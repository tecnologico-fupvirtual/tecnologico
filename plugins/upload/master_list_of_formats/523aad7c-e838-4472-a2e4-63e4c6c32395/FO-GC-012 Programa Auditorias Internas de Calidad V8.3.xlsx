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Downloads\"/>
    </mc:Choice>
  </mc:AlternateContent>
  <bookViews>
    <workbookView xWindow="0" yWindow="0" windowWidth="19200" windowHeight="6470" tabRatio="819"/>
  </bookViews>
  <sheets>
    <sheet name="FO-GC-012" sheetId="1" r:id="rId1"/>
    <sheet name="Seguimiento AIC x Fecha" sheetId="11" r:id="rId2"/>
    <sheet name="Programación x Auditor" sheetId="7" r:id="rId3"/>
    <sheet name="Procesos Vs. Equipos AIC" sheetId="8" r:id="rId4"/>
    <sheet name="Seguimiento AIC x Proceso" sheetId="12" r:id="rId5"/>
    <sheet name="Eq. Auditor" sheetId="14" r:id="rId6"/>
    <sheet name="Listas Desplegables" sheetId="4" r:id="rId7"/>
  </sheets>
  <definedNames>
    <definedName name="_xlnm._FilterDatabase" localSheetId="5" hidden="1">'Eq. Auditor'!$E$2:$Q$62</definedName>
    <definedName name="_xlnm._FilterDatabase" localSheetId="3" hidden="1">'Procesos Vs. Equipos AIC'!$B$3:$AM$49</definedName>
    <definedName name="_xlnm._FilterDatabase" localSheetId="2" hidden="1">'Programación x Auditor'!$B$3:$AQ$62</definedName>
    <definedName name="_xlnm.Print_Area" localSheetId="5">'Eq. Auditor'!$E$1:$S$67</definedName>
    <definedName name="_xlnm.Print_Area" localSheetId="0">'FO-GC-012'!$K$2:$AT$117</definedName>
    <definedName name="_xlnm.Print_Area" localSheetId="2">'Programación x Auditor'!$B$2:$F$45</definedName>
    <definedName name="_xlnm.Print_Area" localSheetId="1">'Seguimiento AIC x Fecha'!$A$1:$I$57</definedName>
    <definedName name="_xlnm.Print_Area" localSheetId="4">'Seguimiento AIC x Proceso'!$A$1:$I$57</definedName>
    <definedName name="_xlnm.Print_Titles" localSheetId="5">'Eq. Auditor'!$1:$2</definedName>
    <definedName name="_xlnm.Print_Titles" localSheetId="0">'FO-GC-012'!$2:$17</definedName>
    <definedName name="_xlnm.Print_Titles" localSheetId="2">'Programación x Auditor'!$2:$3</definedName>
    <definedName name="_xlnm.Print_Titles" localSheetId="1">'Seguimiento AIC x Fecha'!$1:$4</definedName>
    <definedName name="_xlnm.Print_Titles" localSheetId="4">'Seguimiento AIC x Proceso'!$1:$4</definedName>
  </definedNames>
  <calcPr calcId="162913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6" i="14" l="1"/>
  <c r="J65" i="14" l="1"/>
  <c r="J64" i="14"/>
  <c r="J63" i="14"/>
  <c r="J66" i="14" l="1"/>
  <c r="S78" i="1"/>
  <c r="C36" i="14"/>
  <c r="C41" i="7"/>
  <c r="C42" i="7"/>
  <c r="C43" i="7"/>
  <c r="C44" i="7"/>
  <c r="C45" i="7"/>
  <c r="E36" i="14" l="1"/>
  <c r="C56" i="14" l="1"/>
  <c r="C57" i="14"/>
  <c r="C58" i="14"/>
  <c r="C59" i="14"/>
  <c r="C60" i="14"/>
  <c r="C61" i="14"/>
  <c r="C62" i="14"/>
  <c r="C39" i="14" l="1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37" i="14"/>
  <c r="C38" i="14"/>
  <c r="S18" i="1" l="1"/>
  <c r="S32" i="1"/>
  <c r="E58" i="14" l="1"/>
  <c r="D58" i="14" l="1"/>
  <c r="E49" i="14"/>
  <c r="E50" i="14"/>
  <c r="E51" i="14"/>
  <c r="E52" i="14"/>
  <c r="E53" i="14"/>
  <c r="E54" i="14"/>
  <c r="E55" i="14"/>
  <c r="E56" i="14"/>
  <c r="E57" i="14"/>
  <c r="E43" i="14"/>
  <c r="E44" i="14"/>
  <c r="E45" i="14"/>
  <c r="E46" i="14"/>
  <c r="E47" i="14"/>
  <c r="E48" i="14"/>
  <c r="E41" i="14"/>
  <c r="A41" i="14" s="1"/>
  <c r="E42" i="14"/>
  <c r="A42" i="14" s="1"/>
  <c r="E40" i="14"/>
  <c r="A40" i="14" s="1"/>
  <c r="E37" i="14"/>
  <c r="A37" i="14" s="1"/>
  <c r="E38" i="14"/>
  <c r="A38" i="14" s="1"/>
  <c r="E39" i="14"/>
  <c r="A39" i="14" s="1"/>
  <c r="A7" i="4" l="1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6" i="4"/>
  <c r="A33" i="8" l="1"/>
  <c r="A34" i="8"/>
  <c r="A35" i="8" s="1"/>
  <c r="A36" i="8"/>
  <c r="A37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4" i="8"/>
  <c r="H19" i="1"/>
  <c r="G19" i="1"/>
  <c r="F19" i="1"/>
  <c r="E19" i="1"/>
  <c r="D19" i="1"/>
  <c r="A19" i="1"/>
  <c r="BE18" i="1"/>
  <c r="BD18" i="1"/>
  <c r="BC18" i="1"/>
  <c r="BB18" i="1"/>
  <c r="BA18" i="1"/>
  <c r="AY18" i="1"/>
  <c r="AX18" i="1"/>
  <c r="BF18" i="1" s="1"/>
  <c r="AZ18" i="1"/>
  <c r="K18" i="1"/>
  <c r="AW18" i="1" s="1"/>
  <c r="H18" i="1"/>
  <c r="G18" i="1"/>
  <c r="F18" i="1"/>
  <c r="E18" i="1"/>
  <c r="D18" i="1"/>
  <c r="C18" i="1"/>
  <c r="B18" i="1"/>
  <c r="A18" i="1"/>
  <c r="AG74" i="1"/>
  <c r="S22" i="1"/>
  <c r="S24" i="1"/>
  <c r="S26" i="1"/>
  <c r="S28" i="1"/>
  <c r="S30" i="1"/>
  <c r="S34" i="1"/>
  <c r="S36" i="1"/>
  <c r="S38" i="1"/>
  <c r="S40" i="1"/>
  <c r="S44" i="1"/>
  <c r="S46" i="1"/>
  <c r="S48" i="1"/>
  <c r="S50" i="1"/>
  <c r="S52" i="1"/>
  <c r="S54" i="1"/>
  <c r="S56" i="1"/>
  <c r="S58" i="1"/>
  <c r="S60" i="1"/>
  <c r="S62" i="1"/>
  <c r="S64" i="1"/>
  <c r="S66" i="1"/>
  <c r="S68" i="1"/>
  <c r="S70" i="1"/>
  <c r="S72" i="1"/>
  <c r="S74" i="1"/>
  <c r="S76" i="1"/>
  <c r="S80" i="1"/>
  <c r="S82" i="1"/>
  <c r="S84" i="1"/>
  <c r="S86" i="1"/>
  <c r="S88" i="1"/>
  <c r="S90" i="1"/>
  <c r="S92" i="1"/>
  <c r="S94" i="1"/>
  <c r="S96" i="1"/>
  <c r="S98" i="1"/>
  <c r="S100" i="1"/>
  <c r="S102" i="1"/>
  <c r="S104" i="1"/>
  <c r="S106" i="1"/>
  <c r="S108" i="1"/>
  <c r="S20" i="1"/>
  <c r="AG22" i="1"/>
  <c r="AG24" i="1"/>
  <c r="AG26" i="1"/>
  <c r="AG28" i="1"/>
  <c r="AG30" i="1"/>
  <c r="AG32" i="1"/>
  <c r="AG34" i="1"/>
  <c r="AG36" i="1"/>
  <c r="AG38" i="1"/>
  <c r="AG40" i="1"/>
  <c r="AG42" i="1"/>
  <c r="AG44" i="1"/>
  <c r="AG46" i="1"/>
  <c r="AG48" i="1"/>
  <c r="AG50" i="1"/>
  <c r="AG52" i="1"/>
  <c r="AG54" i="1"/>
  <c r="AG56" i="1"/>
  <c r="AG58" i="1"/>
  <c r="AG60" i="1"/>
  <c r="AG62" i="1"/>
  <c r="AG64" i="1"/>
  <c r="AG66" i="1"/>
  <c r="AG68" i="1"/>
  <c r="AG70" i="1"/>
  <c r="AG72" i="1"/>
  <c r="AG76" i="1"/>
  <c r="AG78" i="1"/>
  <c r="AG80" i="1"/>
  <c r="AG82" i="1"/>
  <c r="AG84" i="1"/>
  <c r="AG86" i="1"/>
  <c r="AG88" i="1"/>
  <c r="AG90" i="1"/>
  <c r="AG92" i="1"/>
  <c r="AG94" i="1"/>
  <c r="AG96" i="1"/>
  <c r="AG98" i="1"/>
  <c r="AG100" i="1"/>
  <c r="AG102" i="1"/>
  <c r="AG104" i="1"/>
  <c r="AG106" i="1"/>
  <c r="AG108" i="1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E3" i="1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4" i="4"/>
  <c r="B38" i="14" l="1"/>
  <c r="C38" i="7" s="1"/>
  <c r="B38" i="7" s="1"/>
  <c r="F1" i="12"/>
  <c r="F2" i="12"/>
  <c r="G1" i="11"/>
  <c r="G2" i="11"/>
  <c r="B37" i="14" l="1"/>
  <c r="C37" i="7" s="1"/>
  <c r="B37" i="7" s="1"/>
  <c r="B40" i="14"/>
  <c r="C40" i="7" s="1"/>
  <c r="B40" i="7" s="1"/>
  <c r="B39" i="14"/>
  <c r="C39" i="7" s="1"/>
  <c r="B39" i="7" s="1"/>
  <c r="A6" i="8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5" i="8"/>
  <c r="A1" i="12" l="1"/>
  <c r="A1" i="11"/>
  <c r="L62" i="14"/>
  <c r="L61" i="14"/>
  <c r="H107" i="1" l="1"/>
  <c r="G107" i="1"/>
  <c r="F107" i="1"/>
  <c r="E107" i="1"/>
  <c r="D107" i="1"/>
  <c r="A107" i="1"/>
  <c r="BE106" i="1"/>
  <c r="BD106" i="1"/>
  <c r="BC106" i="1"/>
  <c r="BB106" i="1"/>
  <c r="BA106" i="1"/>
  <c r="AY106" i="1"/>
  <c r="AX106" i="1"/>
  <c r="BF106" i="1" s="1"/>
  <c r="AZ106" i="1"/>
  <c r="H106" i="1"/>
  <c r="G106" i="1"/>
  <c r="F106" i="1"/>
  <c r="E106" i="1"/>
  <c r="D106" i="1"/>
  <c r="C106" i="1"/>
  <c r="B106" i="1"/>
  <c r="A106" i="1"/>
  <c r="H105" i="1"/>
  <c r="G105" i="1"/>
  <c r="F105" i="1"/>
  <c r="E105" i="1"/>
  <c r="D105" i="1"/>
  <c r="A105" i="1"/>
  <c r="BE104" i="1"/>
  <c r="BD104" i="1"/>
  <c r="BC104" i="1"/>
  <c r="BB104" i="1"/>
  <c r="BA104" i="1"/>
  <c r="AY104" i="1"/>
  <c r="AX104" i="1"/>
  <c r="BF104" i="1" s="1"/>
  <c r="AZ104" i="1"/>
  <c r="H104" i="1"/>
  <c r="G104" i="1"/>
  <c r="F104" i="1"/>
  <c r="E104" i="1"/>
  <c r="D104" i="1"/>
  <c r="C104" i="1"/>
  <c r="B104" i="1"/>
  <c r="A104" i="1"/>
  <c r="H103" i="1"/>
  <c r="G103" i="1"/>
  <c r="F103" i="1"/>
  <c r="E103" i="1"/>
  <c r="D103" i="1"/>
  <c r="A103" i="1"/>
  <c r="BE102" i="1"/>
  <c r="BD102" i="1"/>
  <c r="BC102" i="1"/>
  <c r="BB102" i="1"/>
  <c r="BA102" i="1"/>
  <c r="AY102" i="1"/>
  <c r="AX102" i="1"/>
  <c r="BF102" i="1" s="1"/>
  <c r="AZ102" i="1"/>
  <c r="H102" i="1"/>
  <c r="G102" i="1"/>
  <c r="F102" i="1"/>
  <c r="E102" i="1"/>
  <c r="D102" i="1"/>
  <c r="C102" i="1"/>
  <c r="B102" i="1"/>
  <c r="A102" i="1"/>
  <c r="N1" i="14"/>
  <c r="O1" i="14"/>
  <c r="M1" i="14"/>
  <c r="E4" i="14"/>
  <c r="A4" i="14" s="1"/>
  <c r="B4" i="14" s="1"/>
  <c r="C5" i="7" s="1"/>
  <c r="E5" i="14"/>
  <c r="A5" i="14" s="1"/>
  <c r="B5" i="14" s="1"/>
  <c r="C6" i="7" s="1"/>
  <c r="E7" i="14"/>
  <c r="A7" i="14" s="1"/>
  <c r="B7" i="14" s="1"/>
  <c r="C8" i="7" s="1"/>
  <c r="E13" i="14"/>
  <c r="A13" i="14" s="1"/>
  <c r="B13" i="14" s="1"/>
  <c r="C14" i="7" s="1"/>
  <c r="E16" i="14"/>
  <c r="A16" i="14" s="1"/>
  <c r="B16" i="14" s="1"/>
  <c r="C17" i="7" s="1"/>
  <c r="E17" i="14"/>
  <c r="A17" i="14" s="1"/>
  <c r="B17" i="14" s="1"/>
  <c r="C18" i="7" s="1"/>
  <c r="E18" i="14"/>
  <c r="A18" i="14" s="1"/>
  <c r="B18" i="14" s="1"/>
  <c r="C19" i="7" s="1"/>
  <c r="E23" i="14"/>
  <c r="A23" i="14" s="1"/>
  <c r="B23" i="14" s="1"/>
  <c r="C24" i="7" s="1"/>
  <c r="E24" i="14"/>
  <c r="A24" i="14" s="1"/>
  <c r="B24" i="14" s="1"/>
  <c r="C25" i="7" s="1"/>
  <c r="E26" i="14"/>
  <c r="A26" i="14" s="1"/>
  <c r="B26" i="14" s="1"/>
  <c r="C27" i="7" s="1"/>
  <c r="E28" i="14"/>
  <c r="A28" i="14" s="1"/>
  <c r="B28" i="14" s="1"/>
  <c r="C29" i="7" s="1"/>
  <c r="E30" i="14"/>
  <c r="A30" i="14" s="1"/>
  <c r="B30" i="14" s="1"/>
  <c r="C31" i="7" s="1"/>
  <c r="E31" i="14"/>
  <c r="A31" i="14" s="1"/>
  <c r="B31" i="14" s="1"/>
  <c r="C32" i="7" s="1"/>
  <c r="E33" i="14"/>
  <c r="A33" i="14" s="1"/>
  <c r="B33" i="14" s="1"/>
  <c r="C34" i="7" s="1"/>
  <c r="E6" i="14"/>
  <c r="A6" i="14" s="1"/>
  <c r="B6" i="14" s="1"/>
  <c r="C7" i="7" s="1"/>
  <c r="E25" i="14"/>
  <c r="A25" i="14" s="1"/>
  <c r="B25" i="14" s="1"/>
  <c r="C26" i="7" s="1"/>
  <c r="E35" i="14"/>
  <c r="A35" i="14" s="1"/>
  <c r="B35" i="14" s="1"/>
  <c r="C36" i="7" s="1"/>
  <c r="E34" i="14"/>
  <c r="A34" i="14" s="1"/>
  <c r="B34" i="14" s="1"/>
  <c r="C35" i="7" s="1"/>
  <c r="E32" i="14"/>
  <c r="A32" i="14" s="1"/>
  <c r="B32" i="14" s="1"/>
  <c r="C33" i="7" s="1"/>
  <c r="E29" i="14"/>
  <c r="A29" i="14" s="1"/>
  <c r="B29" i="14" s="1"/>
  <c r="C30" i="7" s="1"/>
  <c r="A27" i="14"/>
  <c r="B27" i="14" s="1"/>
  <c r="C28" i="7" s="1"/>
  <c r="E22" i="14"/>
  <c r="A22" i="14" s="1"/>
  <c r="B22" i="14" s="1"/>
  <c r="C23" i="7" s="1"/>
  <c r="E21" i="14"/>
  <c r="A21" i="14" s="1"/>
  <c r="B21" i="14" s="1"/>
  <c r="C22" i="7" s="1"/>
  <c r="E20" i="14"/>
  <c r="A20" i="14" s="1"/>
  <c r="B20" i="14" s="1"/>
  <c r="C21" i="7" s="1"/>
  <c r="E19" i="14"/>
  <c r="A19" i="14" s="1"/>
  <c r="B19" i="14" s="1"/>
  <c r="C20" i="7" s="1"/>
  <c r="E15" i="14"/>
  <c r="A15" i="14" s="1"/>
  <c r="B15" i="14" s="1"/>
  <c r="C16" i="7" s="1"/>
  <c r="E14" i="14"/>
  <c r="A14" i="14" s="1"/>
  <c r="B14" i="14" s="1"/>
  <c r="C15" i="7" s="1"/>
  <c r="E12" i="14"/>
  <c r="A12" i="14" s="1"/>
  <c r="B12" i="14" s="1"/>
  <c r="C13" i="7" s="1"/>
  <c r="E11" i="14"/>
  <c r="A11" i="14" s="1"/>
  <c r="B11" i="14" s="1"/>
  <c r="C12" i="7" s="1"/>
  <c r="E10" i="14"/>
  <c r="A10" i="14" s="1"/>
  <c r="B10" i="14" s="1"/>
  <c r="C11" i="7" s="1"/>
  <c r="E9" i="14"/>
  <c r="A9" i="14" s="1"/>
  <c r="B9" i="14" s="1"/>
  <c r="C10" i="7" s="1"/>
  <c r="E8" i="14"/>
  <c r="A8" i="14" s="1"/>
  <c r="B8" i="14" s="1"/>
  <c r="C9" i="7" s="1"/>
  <c r="D6" i="14" l="1"/>
  <c r="D10" i="14"/>
  <c r="D3" i="14"/>
  <c r="A3" i="14"/>
  <c r="B3" i="14" s="1"/>
  <c r="C4" i="7" s="1"/>
  <c r="D16" i="14"/>
  <c r="D4" i="14"/>
  <c r="D7" i="14"/>
  <c r="D30" i="14"/>
  <c r="D5" i="14"/>
  <c r="D18" i="14"/>
  <c r="D14" i="14"/>
  <c r="D33" i="14"/>
  <c r="D25" i="14"/>
  <c r="D27" i="14"/>
  <c r="D32" i="14"/>
  <c r="D8" i="14"/>
  <c r="D28" i="14"/>
  <c r="D34" i="14"/>
  <c r="D19" i="14"/>
  <c r="D20" i="14"/>
  <c r="D13" i="14"/>
  <c r="D23" i="14"/>
  <c r="D31" i="14"/>
  <c r="D26" i="14"/>
  <c r="D9" i="14"/>
  <c r="D12" i="14"/>
  <c r="D17" i="14"/>
  <c r="D21" i="14"/>
  <c r="D29" i="14"/>
  <c r="D11" i="14"/>
  <c r="D15" i="14"/>
  <c r="D22" i="14"/>
  <c r="D35" i="14"/>
  <c r="D24" i="14"/>
  <c r="B43" i="7" l="1"/>
  <c r="B44" i="7"/>
  <c r="B45" i="7"/>
  <c r="B41" i="7"/>
  <c r="B42" i="7"/>
  <c r="C3" i="8"/>
  <c r="G3" i="7"/>
  <c r="H43" i="7" l="1"/>
  <c r="I43" i="7"/>
  <c r="G43" i="7"/>
  <c r="J43" i="7"/>
  <c r="E43" i="7"/>
  <c r="D43" i="7"/>
  <c r="D44" i="7"/>
  <c r="E44" i="7"/>
  <c r="J44" i="7"/>
  <c r="H44" i="7"/>
  <c r="G44" i="7"/>
  <c r="I44" i="7"/>
  <c r="D45" i="7"/>
  <c r="E45" i="7"/>
  <c r="J45" i="7"/>
  <c r="H45" i="7"/>
  <c r="I45" i="7"/>
  <c r="G45" i="7"/>
  <c r="B22" i="7"/>
  <c r="B14" i="7"/>
  <c r="B13" i="7"/>
  <c r="B18" i="7"/>
  <c r="B20" i="7"/>
  <c r="B24" i="7"/>
  <c r="B17" i="7"/>
  <c r="B15" i="7"/>
  <c r="B23" i="7"/>
  <c r="B19" i="7"/>
  <c r="B21" i="7"/>
  <c r="B12" i="7"/>
  <c r="B16" i="7"/>
  <c r="B25" i="7"/>
  <c r="B5" i="7"/>
  <c r="B11" i="7"/>
  <c r="B6" i="7"/>
  <c r="B4" i="7"/>
  <c r="B9" i="7"/>
  <c r="B8" i="7"/>
  <c r="B7" i="7"/>
  <c r="B10" i="7"/>
  <c r="BE100" i="1"/>
  <c r="BD100" i="1"/>
  <c r="BC100" i="1"/>
  <c r="BB100" i="1"/>
  <c r="BA100" i="1"/>
  <c r="AY100" i="1"/>
  <c r="AX100" i="1"/>
  <c r="BF100" i="1" s="1"/>
  <c r="H109" i="1"/>
  <c r="G109" i="1"/>
  <c r="F109" i="1"/>
  <c r="E109" i="1"/>
  <c r="D109" i="1"/>
  <c r="A109" i="1"/>
  <c r="H108" i="1"/>
  <c r="G108" i="1"/>
  <c r="F108" i="1"/>
  <c r="E108" i="1"/>
  <c r="D108" i="1"/>
  <c r="C108" i="1"/>
  <c r="B108" i="1"/>
  <c r="A108" i="1"/>
  <c r="H101" i="1"/>
  <c r="G101" i="1"/>
  <c r="F101" i="1"/>
  <c r="E101" i="1"/>
  <c r="D101" i="1"/>
  <c r="A101" i="1"/>
  <c r="H100" i="1"/>
  <c r="G100" i="1"/>
  <c r="F100" i="1"/>
  <c r="E100" i="1"/>
  <c r="D100" i="1"/>
  <c r="C100" i="1"/>
  <c r="B100" i="1"/>
  <c r="A100" i="1"/>
  <c r="H99" i="1"/>
  <c r="G99" i="1"/>
  <c r="F99" i="1"/>
  <c r="E99" i="1"/>
  <c r="D99" i="1"/>
  <c r="A99" i="1"/>
  <c r="H98" i="1"/>
  <c r="G98" i="1"/>
  <c r="F98" i="1"/>
  <c r="E98" i="1"/>
  <c r="D98" i="1"/>
  <c r="C98" i="1"/>
  <c r="B98" i="1"/>
  <c r="A98" i="1"/>
  <c r="H97" i="1"/>
  <c r="G97" i="1"/>
  <c r="F97" i="1"/>
  <c r="E97" i="1"/>
  <c r="D97" i="1"/>
  <c r="A97" i="1"/>
  <c r="H96" i="1"/>
  <c r="G96" i="1"/>
  <c r="F96" i="1"/>
  <c r="E96" i="1"/>
  <c r="D96" i="1"/>
  <c r="C96" i="1"/>
  <c r="B96" i="1"/>
  <c r="A96" i="1"/>
  <c r="H95" i="1"/>
  <c r="G95" i="1"/>
  <c r="F95" i="1"/>
  <c r="E95" i="1"/>
  <c r="D95" i="1"/>
  <c r="A95" i="1"/>
  <c r="H94" i="1"/>
  <c r="G94" i="1"/>
  <c r="F94" i="1"/>
  <c r="E94" i="1"/>
  <c r="D94" i="1"/>
  <c r="C94" i="1"/>
  <c r="B94" i="1"/>
  <c r="A94" i="1"/>
  <c r="H93" i="1"/>
  <c r="G93" i="1"/>
  <c r="F93" i="1"/>
  <c r="E93" i="1"/>
  <c r="D93" i="1"/>
  <c r="A93" i="1"/>
  <c r="H92" i="1"/>
  <c r="G92" i="1"/>
  <c r="F92" i="1"/>
  <c r="E92" i="1"/>
  <c r="D92" i="1"/>
  <c r="C92" i="1"/>
  <c r="B92" i="1"/>
  <c r="A92" i="1"/>
  <c r="H91" i="1"/>
  <c r="G91" i="1"/>
  <c r="F91" i="1"/>
  <c r="E91" i="1"/>
  <c r="D91" i="1"/>
  <c r="A91" i="1"/>
  <c r="H90" i="1"/>
  <c r="G90" i="1"/>
  <c r="F90" i="1"/>
  <c r="E90" i="1"/>
  <c r="D90" i="1"/>
  <c r="C90" i="1"/>
  <c r="B90" i="1"/>
  <c r="A90" i="1"/>
  <c r="H89" i="1"/>
  <c r="G89" i="1"/>
  <c r="F89" i="1"/>
  <c r="E89" i="1"/>
  <c r="D89" i="1"/>
  <c r="A89" i="1"/>
  <c r="H88" i="1"/>
  <c r="G88" i="1"/>
  <c r="F88" i="1"/>
  <c r="E88" i="1"/>
  <c r="D88" i="1"/>
  <c r="C88" i="1"/>
  <c r="B88" i="1"/>
  <c r="A88" i="1"/>
  <c r="H87" i="1"/>
  <c r="G87" i="1"/>
  <c r="F87" i="1"/>
  <c r="E87" i="1"/>
  <c r="D87" i="1"/>
  <c r="A87" i="1"/>
  <c r="H86" i="1"/>
  <c r="G86" i="1"/>
  <c r="F86" i="1"/>
  <c r="E86" i="1"/>
  <c r="D86" i="1"/>
  <c r="C86" i="1"/>
  <c r="B86" i="1"/>
  <c r="A86" i="1"/>
  <c r="H85" i="1"/>
  <c r="G85" i="1"/>
  <c r="F85" i="1"/>
  <c r="E85" i="1"/>
  <c r="D85" i="1"/>
  <c r="A85" i="1"/>
  <c r="H84" i="1"/>
  <c r="G84" i="1"/>
  <c r="F84" i="1"/>
  <c r="E84" i="1"/>
  <c r="D84" i="1"/>
  <c r="C84" i="1"/>
  <c r="B84" i="1"/>
  <c r="A84" i="1"/>
  <c r="H83" i="1"/>
  <c r="G83" i="1"/>
  <c r="F83" i="1"/>
  <c r="E83" i="1"/>
  <c r="D83" i="1"/>
  <c r="A83" i="1"/>
  <c r="H82" i="1"/>
  <c r="G82" i="1"/>
  <c r="F82" i="1"/>
  <c r="E82" i="1"/>
  <c r="D82" i="1"/>
  <c r="C82" i="1"/>
  <c r="B82" i="1"/>
  <c r="A82" i="1"/>
  <c r="H81" i="1"/>
  <c r="G81" i="1"/>
  <c r="F81" i="1"/>
  <c r="E81" i="1"/>
  <c r="D81" i="1"/>
  <c r="A81" i="1"/>
  <c r="H80" i="1"/>
  <c r="G80" i="1"/>
  <c r="F80" i="1"/>
  <c r="E80" i="1"/>
  <c r="D80" i="1"/>
  <c r="C80" i="1"/>
  <c r="B80" i="1"/>
  <c r="A80" i="1"/>
  <c r="H79" i="1"/>
  <c r="G79" i="1"/>
  <c r="F79" i="1"/>
  <c r="E79" i="1"/>
  <c r="D79" i="1"/>
  <c r="A79" i="1"/>
  <c r="H78" i="1"/>
  <c r="G78" i="1"/>
  <c r="F78" i="1"/>
  <c r="E78" i="1"/>
  <c r="D78" i="1"/>
  <c r="C78" i="1"/>
  <c r="B78" i="1"/>
  <c r="A78" i="1"/>
  <c r="H77" i="1"/>
  <c r="G77" i="1"/>
  <c r="F77" i="1"/>
  <c r="E77" i="1"/>
  <c r="D77" i="1"/>
  <c r="A77" i="1"/>
  <c r="H76" i="1"/>
  <c r="G76" i="1"/>
  <c r="F76" i="1"/>
  <c r="E76" i="1"/>
  <c r="D76" i="1"/>
  <c r="C76" i="1"/>
  <c r="B76" i="1"/>
  <c r="A76" i="1"/>
  <c r="H75" i="1"/>
  <c r="G75" i="1"/>
  <c r="F75" i="1"/>
  <c r="E75" i="1"/>
  <c r="D75" i="1"/>
  <c r="A75" i="1"/>
  <c r="H74" i="1"/>
  <c r="G74" i="1"/>
  <c r="F74" i="1"/>
  <c r="E74" i="1"/>
  <c r="D74" i="1"/>
  <c r="C74" i="1"/>
  <c r="B74" i="1"/>
  <c r="A74" i="1"/>
  <c r="H73" i="1"/>
  <c r="G73" i="1"/>
  <c r="F73" i="1"/>
  <c r="E73" i="1"/>
  <c r="D73" i="1"/>
  <c r="A73" i="1"/>
  <c r="H72" i="1"/>
  <c r="G72" i="1"/>
  <c r="F72" i="1"/>
  <c r="E72" i="1"/>
  <c r="D72" i="1"/>
  <c r="C72" i="1"/>
  <c r="B72" i="1"/>
  <c r="A72" i="1"/>
  <c r="H71" i="1"/>
  <c r="G71" i="1"/>
  <c r="F71" i="1"/>
  <c r="E71" i="1"/>
  <c r="D71" i="1"/>
  <c r="A71" i="1"/>
  <c r="H70" i="1"/>
  <c r="G70" i="1"/>
  <c r="F70" i="1"/>
  <c r="E70" i="1"/>
  <c r="D70" i="1"/>
  <c r="C70" i="1"/>
  <c r="B70" i="1"/>
  <c r="A70" i="1"/>
  <c r="H69" i="1"/>
  <c r="G69" i="1"/>
  <c r="F69" i="1"/>
  <c r="E69" i="1"/>
  <c r="D69" i="1"/>
  <c r="A69" i="1"/>
  <c r="H68" i="1"/>
  <c r="G68" i="1"/>
  <c r="F68" i="1"/>
  <c r="E68" i="1"/>
  <c r="D68" i="1"/>
  <c r="C68" i="1"/>
  <c r="B68" i="1"/>
  <c r="A68" i="1"/>
  <c r="H67" i="1"/>
  <c r="G67" i="1"/>
  <c r="F67" i="1"/>
  <c r="E67" i="1"/>
  <c r="D67" i="1"/>
  <c r="A67" i="1"/>
  <c r="H66" i="1"/>
  <c r="G66" i="1"/>
  <c r="F66" i="1"/>
  <c r="E66" i="1"/>
  <c r="D66" i="1"/>
  <c r="C66" i="1"/>
  <c r="B66" i="1"/>
  <c r="A66" i="1"/>
  <c r="H65" i="1"/>
  <c r="G65" i="1"/>
  <c r="F65" i="1"/>
  <c r="E65" i="1"/>
  <c r="D65" i="1"/>
  <c r="A65" i="1"/>
  <c r="H64" i="1"/>
  <c r="G64" i="1"/>
  <c r="F64" i="1"/>
  <c r="E64" i="1"/>
  <c r="D64" i="1"/>
  <c r="C64" i="1"/>
  <c r="B64" i="1"/>
  <c r="A64" i="1"/>
  <c r="H63" i="1"/>
  <c r="G63" i="1"/>
  <c r="F63" i="1"/>
  <c r="E63" i="1"/>
  <c r="D63" i="1"/>
  <c r="A63" i="1"/>
  <c r="H62" i="1"/>
  <c r="G62" i="1"/>
  <c r="F62" i="1"/>
  <c r="E62" i="1"/>
  <c r="D62" i="1"/>
  <c r="C62" i="1"/>
  <c r="B62" i="1"/>
  <c r="A62" i="1"/>
  <c r="H61" i="1"/>
  <c r="G61" i="1"/>
  <c r="F61" i="1"/>
  <c r="E61" i="1"/>
  <c r="D61" i="1"/>
  <c r="A61" i="1"/>
  <c r="H60" i="1"/>
  <c r="G60" i="1"/>
  <c r="F60" i="1"/>
  <c r="E60" i="1"/>
  <c r="D60" i="1"/>
  <c r="C60" i="1"/>
  <c r="B60" i="1"/>
  <c r="A60" i="1"/>
  <c r="H59" i="1"/>
  <c r="G59" i="1"/>
  <c r="F59" i="1"/>
  <c r="E59" i="1"/>
  <c r="D59" i="1"/>
  <c r="A59" i="1"/>
  <c r="H58" i="1"/>
  <c r="G58" i="1"/>
  <c r="F58" i="1"/>
  <c r="E58" i="1"/>
  <c r="D58" i="1"/>
  <c r="C58" i="1"/>
  <c r="B58" i="1"/>
  <c r="A58" i="1"/>
  <c r="H57" i="1"/>
  <c r="G57" i="1"/>
  <c r="F57" i="1"/>
  <c r="E57" i="1"/>
  <c r="D57" i="1"/>
  <c r="A57" i="1"/>
  <c r="H56" i="1"/>
  <c r="G56" i="1"/>
  <c r="F56" i="1"/>
  <c r="E56" i="1"/>
  <c r="D56" i="1"/>
  <c r="C56" i="1"/>
  <c r="B56" i="1"/>
  <c r="A56" i="1"/>
  <c r="H55" i="1"/>
  <c r="G55" i="1"/>
  <c r="F55" i="1"/>
  <c r="E55" i="1"/>
  <c r="D55" i="1"/>
  <c r="A55" i="1"/>
  <c r="H54" i="1"/>
  <c r="G54" i="1"/>
  <c r="F54" i="1"/>
  <c r="E54" i="1"/>
  <c r="D54" i="1"/>
  <c r="C54" i="1"/>
  <c r="B54" i="1"/>
  <c r="A54" i="1"/>
  <c r="H53" i="1"/>
  <c r="G53" i="1"/>
  <c r="F53" i="1"/>
  <c r="E53" i="1"/>
  <c r="D53" i="1"/>
  <c r="A53" i="1"/>
  <c r="H52" i="1"/>
  <c r="G52" i="1"/>
  <c r="F52" i="1"/>
  <c r="E52" i="1"/>
  <c r="D52" i="1"/>
  <c r="C52" i="1"/>
  <c r="B52" i="1"/>
  <c r="A52" i="1"/>
  <c r="H51" i="1"/>
  <c r="G51" i="1"/>
  <c r="F51" i="1"/>
  <c r="E51" i="1"/>
  <c r="D51" i="1"/>
  <c r="A51" i="1"/>
  <c r="H50" i="1"/>
  <c r="G50" i="1"/>
  <c r="F50" i="1"/>
  <c r="E50" i="1"/>
  <c r="D50" i="1"/>
  <c r="C50" i="1"/>
  <c r="B50" i="1"/>
  <c r="A50" i="1"/>
  <c r="H49" i="1"/>
  <c r="G49" i="1"/>
  <c r="F49" i="1"/>
  <c r="E49" i="1"/>
  <c r="D49" i="1"/>
  <c r="A49" i="1"/>
  <c r="H48" i="1"/>
  <c r="G48" i="1"/>
  <c r="F48" i="1"/>
  <c r="E48" i="1"/>
  <c r="D48" i="1"/>
  <c r="C48" i="1"/>
  <c r="B48" i="1"/>
  <c r="A48" i="1"/>
  <c r="H47" i="1"/>
  <c r="G47" i="1"/>
  <c r="F47" i="1"/>
  <c r="E47" i="1"/>
  <c r="D47" i="1"/>
  <c r="A47" i="1"/>
  <c r="H46" i="1"/>
  <c r="G46" i="1"/>
  <c r="F46" i="1"/>
  <c r="E46" i="1"/>
  <c r="D46" i="1"/>
  <c r="C46" i="1"/>
  <c r="B46" i="1"/>
  <c r="A46" i="1"/>
  <c r="H45" i="1"/>
  <c r="G45" i="1"/>
  <c r="F45" i="1"/>
  <c r="E45" i="1"/>
  <c r="D45" i="1"/>
  <c r="A45" i="1"/>
  <c r="H44" i="1"/>
  <c r="G44" i="1"/>
  <c r="F44" i="1"/>
  <c r="E44" i="1"/>
  <c r="D44" i="1"/>
  <c r="C44" i="1"/>
  <c r="B44" i="1"/>
  <c r="A44" i="1"/>
  <c r="H43" i="1"/>
  <c r="G43" i="1"/>
  <c r="F43" i="1"/>
  <c r="E43" i="1"/>
  <c r="D43" i="1"/>
  <c r="A43" i="1"/>
  <c r="H42" i="1"/>
  <c r="G42" i="1"/>
  <c r="F42" i="1"/>
  <c r="E42" i="1"/>
  <c r="D42" i="1"/>
  <c r="C42" i="1"/>
  <c r="B42" i="1"/>
  <c r="A42" i="1"/>
  <c r="H41" i="1"/>
  <c r="G41" i="1"/>
  <c r="F41" i="1"/>
  <c r="E41" i="1"/>
  <c r="D41" i="1"/>
  <c r="A41" i="1"/>
  <c r="H40" i="1"/>
  <c r="G40" i="1"/>
  <c r="F40" i="1"/>
  <c r="E40" i="1"/>
  <c r="D40" i="1"/>
  <c r="C40" i="1"/>
  <c r="B40" i="1"/>
  <c r="A40" i="1"/>
  <c r="H39" i="1"/>
  <c r="G39" i="1"/>
  <c r="F39" i="1"/>
  <c r="E39" i="1"/>
  <c r="D39" i="1"/>
  <c r="A39" i="1"/>
  <c r="H38" i="1"/>
  <c r="G38" i="1"/>
  <c r="F38" i="1"/>
  <c r="E38" i="1"/>
  <c r="D38" i="1"/>
  <c r="C38" i="1"/>
  <c r="B38" i="1"/>
  <c r="A38" i="1"/>
  <c r="H37" i="1"/>
  <c r="G37" i="1"/>
  <c r="F37" i="1"/>
  <c r="E37" i="1"/>
  <c r="D37" i="1"/>
  <c r="A37" i="1"/>
  <c r="H36" i="1"/>
  <c r="G36" i="1"/>
  <c r="F36" i="1"/>
  <c r="E36" i="1"/>
  <c r="D36" i="1"/>
  <c r="C36" i="1"/>
  <c r="B36" i="1"/>
  <c r="A36" i="1"/>
  <c r="H35" i="1"/>
  <c r="G35" i="1"/>
  <c r="F35" i="1"/>
  <c r="E35" i="1"/>
  <c r="D35" i="1"/>
  <c r="A35" i="1"/>
  <c r="H34" i="1"/>
  <c r="G34" i="1"/>
  <c r="F34" i="1"/>
  <c r="E34" i="1"/>
  <c r="D34" i="1"/>
  <c r="C34" i="1"/>
  <c r="B34" i="1"/>
  <c r="A34" i="1"/>
  <c r="H33" i="1"/>
  <c r="G33" i="1"/>
  <c r="F33" i="1"/>
  <c r="E33" i="1"/>
  <c r="D33" i="1"/>
  <c r="A33" i="1"/>
  <c r="H32" i="1"/>
  <c r="G32" i="1"/>
  <c r="F32" i="1"/>
  <c r="E32" i="1"/>
  <c r="D32" i="1"/>
  <c r="C32" i="1"/>
  <c r="B32" i="1"/>
  <c r="A32" i="1"/>
  <c r="H31" i="1"/>
  <c r="G31" i="1"/>
  <c r="F31" i="1"/>
  <c r="E31" i="1"/>
  <c r="D31" i="1"/>
  <c r="A31" i="1"/>
  <c r="H30" i="1"/>
  <c r="G30" i="1"/>
  <c r="F30" i="1"/>
  <c r="E30" i="1"/>
  <c r="D30" i="1"/>
  <c r="C30" i="1"/>
  <c r="B30" i="1"/>
  <c r="A30" i="1"/>
  <c r="H29" i="1"/>
  <c r="G29" i="1"/>
  <c r="F29" i="1"/>
  <c r="E29" i="1"/>
  <c r="D29" i="1"/>
  <c r="A29" i="1"/>
  <c r="H28" i="1"/>
  <c r="G28" i="1"/>
  <c r="F28" i="1"/>
  <c r="E28" i="1"/>
  <c r="D28" i="1"/>
  <c r="C28" i="1"/>
  <c r="B28" i="1"/>
  <c r="A28" i="1"/>
  <c r="H27" i="1"/>
  <c r="G27" i="1"/>
  <c r="F27" i="1"/>
  <c r="E27" i="1"/>
  <c r="D27" i="1"/>
  <c r="A27" i="1"/>
  <c r="H26" i="1"/>
  <c r="G26" i="1"/>
  <c r="F26" i="1"/>
  <c r="E26" i="1"/>
  <c r="D26" i="1"/>
  <c r="C26" i="1"/>
  <c r="B26" i="1"/>
  <c r="A26" i="1"/>
  <c r="H25" i="1"/>
  <c r="G25" i="1"/>
  <c r="F25" i="1"/>
  <c r="E25" i="1"/>
  <c r="D25" i="1"/>
  <c r="A25" i="1"/>
  <c r="H24" i="1"/>
  <c r="G24" i="1"/>
  <c r="F24" i="1"/>
  <c r="E24" i="1"/>
  <c r="D24" i="1"/>
  <c r="C24" i="1"/>
  <c r="B24" i="1"/>
  <c r="A24" i="1"/>
  <c r="H23" i="1"/>
  <c r="G23" i="1"/>
  <c r="F23" i="1"/>
  <c r="E23" i="1"/>
  <c r="D23" i="1"/>
  <c r="A23" i="1"/>
  <c r="H22" i="1"/>
  <c r="G22" i="1"/>
  <c r="F22" i="1"/>
  <c r="E22" i="1"/>
  <c r="D22" i="1"/>
  <c r="C22" i="1"/>
  <c r="B22" i="1"/>
  <c r="A22" i="1"/>
  <c r="K20" i="1"/>
  <c r="AZ100" i="1"/>
  <c r="Q24" i="14" l="1"/>
  <c r="Q27" i="14"/>
  <c r="Q23" i="14"/>
  <c r="Q26" i="14"/>
  <c r="Q28" i="14"/>
  <c r="Q31" i="14"/>
  <c r="F43" i="7"/>
  <c r="F44" i="7"/>
  <c r="F45" i="7"/>
  <c r="B31" i="7"/>
  <c r="B33" i="7"/>
  <c r="B26" i="7"/>
  <c r="B35" i="7"/>
  <c r="B29" i="7"/>
  <c r="B28" i="7"/>
  <c r="B36" i="7"/>
  <c r="B34" i="7"/>
  <c r="B30" i="7"/>
  <c r="B27" i="7"/>
  <c r="B32" i="7"/>
  <c r="P19" i="14"/>
  <c r="P31" i="14"/>
  <c r="Q17" i="14"/>
  <c r="Q19" i="14"/>
  <c r="P17" i="14"/>
  <c r="P15" i="14"/>
  <c r="P27" i="14"/>
  <c r="Q15" i="14"/>
  <c r="P26" i="14"/>
  <c r="K22" i="1"/>
  <c r="K24" i="1" s="1"/>
  <c r="K26" i="1" s="1"/>
  <c r="AW20" i="1"/>
  <c r="L19" i="14" l="1"/>
  <c r="L31" i="14"/>
  <c r="L26" i="14"/>
  <c r="L15" i="14"/>
  <c r="L17" i="14"/>
  <c r="L27" i="14"/>
  <c r="K28" i="1"/>
  <c r="AW22" i="1"/>
  <c r="K30" i="1" l="1"/>
  <c r="K32" i="1" s="1"/>
  <c r="AW24" i="1"/>
  <c r="AX20" i="1"/>
  <c r="BF20" i="1" s="1"/>
  <c r="AX22" i="1"/>
  <c r="BF22" i="1" s="1"/>
  <c r="AX24" i="1"/>
  <c r="BF24" i="1" s="1"/>
  <c r="AX26" i="1"/>
  <c r="BF26" i="1" s="1"/>
  <c r="AX28" i="1"/>
  <c r="BF28" i="1" s="1"/>
  <c r="AX30" i="1"/>
  <c r="BF30" i="1" s="1"/>
  <c r="AX32" i="1"/>
  <c r="BF32" i="1" s="1"/>
  <c r="AX34" i="1"/>
  <c r="BF34" i="1" s="1"/>
  <c r="AX36" i="1"/>
  <c r="BF36" i="1" s="1"/>
  <c r="AX38" i="1"/>
  <c r="BF38" i="1" s="1"/>
  <c r="AX40" i="1"/>
  <c r="BF40" i="1" s="1"/>
  <c r="AX42" i="1"/>
  <c r="BF42" i="1" s="1"/>
  <c r="AX44" i="1"/>
  <c r="BF44" i="1" s="1"/>
  <c r="AX46" i="1"/>
  <c r="BF46" i="1" s="1"/>
  <c r="AX48" i="1"/>
  <c r="BF48" i="1" s="1"/>
  <c r="AX50" i="1"/>
  <c r="BF50" i="1" s="1"/>
  <c r="AX52" i="1"/>
  <c r="BF52" i="1" s="1"/>
  <c r="AX54" i="1"/>
  <c r="BF54" i="1" s="1"/>
  <c r="AX56" i="1"/>
  <c r="BF56" i="1" s="1"/>
  <c r="AX58" i="1"/>
  <c r="BF58" i="1" s="1"/>
  <c r="AX60" i="1"/>
  <c r="BF60" i="1" s="1"/>
  <c r="AX62" i="1"/>
  <c r="BF62" i="1" s="1"/>
  <c r="AX64" i="1"/>
  <c r="BF64" i="1" s="1"/>
  <c r="AX66" i="1"/>
  <c r="BF66" i="1" s="1"/>
  <c r="AX68" i="1"/>
  <c r="BF68" i="1" s="1"/>
  <c r="AX70" i="1"/>
  <c r="BF70" i="1" s="1"/>
  <c r="AX72" i="1"/>
  <c r="BF72" i="1" s="1"/>
  <c r="AX74" i="1"/>
  <c r="BF74" i="1" s="1"/>
  <c r="AX76" i="1"/>
  <c r="BF76" i="1" s="1"/>
  <c r="AX78" i="1"/>
  <c r="BF78" i="1" s="1"/>
  <c r="AX80" i="1"/>
  <c r="BF80" i="1" s="1"/>
  <c r="AX82" i="1"/>
  <c r="BF82" i="1" s="1"/>
  <c r="AX84" i="1"/>
  <c r="BF84" i="1" s="1"/>
  <c r="AX86" i="1"/>
  <c r="BF86" i="1" s="1"/>
  <c r="AX88" i="1"/>
  <c r="BF88" i="1" s="1"/>
  <c r="AX90" i="1"/>
  <c r="BF90" i="1" s="1"/>
  <c r="AX92" i="1"/>
  <c r="BF92" i="1" s="1"/>
  <c r="AX94" i="1"/>
  <c r="BF94" i="1" s="1"/>
  <c r="AX96" i="1"/>
  <c r="BF96" i="1" s="1"/>
  <c r="AX98" i="1"/>
  <c r="BF98" i="1" s="1"/>
  <c r="AX108" i="1"/>
  <c r="BF108" i="1" s="1"/>
  <c r="K34" i="1" l="1"/>
  <c r="AW26" i="1"/>
  <c r="K36" i="1" l="1"/>
  <c r="K38" i="1" s="1"/>
  <c r="K40" i="1" s="1"/>
  <c r="AW30" i="1"/>
  <c r="AW28" i="1"/>
  <c r="BE108" i="1"/>
  <c r="BE98" i="1"/>
  <c r="BE96" i="1"/>
  <c r="BE94" i="1"/>
  <c r="BE92" i="1"/>
  <c r="BE90" i="1"/>
  <c r="BE88" i="1"/>
  <c r="BE86" i="1"/>
  <c r="BE84" i="1"/>
  <c r="BE82" i="1"/>
  <c r="BE80" i="1"/>
  <c r="BE78" i="1"/>
  <c r="BE76" i="1"/>
  <c r="BE74" i="1"/>
  <c r="BE72" i="1"/>
  <c r="BE70" i="1"/>
  <c r="BE68" i="1"/>
  <c r="BE66" i="1"/>
  <c r="BE64" i="1"/>
  <c r="BE62" i="1"/>
  <c r="BE60" i="1"/>
  <c r="BE58" i="1"/>
  <c r="BE56" i="1"/>
  <c r="BE54" i="1"/>
  <c r="BE52" i="1"/>
  <c r="BE50" i="1"/>
  <c r="BE48" i="1"/>
  <c r="BE46" i="1"/>
  <c r="BE44" i="1"/>
  <c r="BE42" i="1"/>
  <c r="BE40" i="1"/>
  <c r="BE38" i="1"/>
  <c r="BE36" i="1"/>
  <c r="BE34" i="1"/>
  <c r="BE32" i="1"/>
  <c r="BE30" i="1"/>
  <c r="BE28" i="1"/>
  <c r="BE26" i="1"/>
  <c r="BE24" i="1"/>
  <c r="BE22" i="1"/>
  <c r="K42" i="1" l="1"/>
  <c r="K44" i="1" s="1"/>
  <c r="K46" i="1" s="1"/>
  <c r="K48" i="1" s="1"/>
  <c r="K50" i="1" s="1"/>
  <c r="K52" i="1" s="1"/>
  <c r="K54" i="1" s="1"/>
  <c r="K56" i="1" s="1"/>
  <c r="K58" i="1" s="1"/>
  <c r="K60" i="1" s="1"/>
  <c r="K62" i="1" s="1"/>
  <c r="K64" i="1" s="1"/>
  <c r="K66" i="1" s="1"/>
  <c r="K68" i="1" s="1"/>
  <c r="K70" i="1" s="1"/>
  <c r="K72" i="1" s="1"/>
  <c r="K74" i="1" s="1"/>
  <c r="K76" i="1" s="1"/>
  <c r="K78" i="1" s="1"/>
  <c r="K80" i="1" s="1"/>
  <c r="K82" i="1" s="1"/>
  <c r="K84" i="1" s="1"/>
  <c r="K86" i="1" s="1"/>
  <c r="K88" i="1" s="1"/>
  <c r="K90" i="1" s="1"/>
  <c r="K92" i="1" s="1"/>
  <c r="K94" i="1" s="1"/>
  <c r="K96" i="1" s="1"/>
  <c r="K98" i="1" s="1"/>
  <c r="K100" i="1" s="1"/>
  <c r="K102" i="1" s="1"/>
  <c r="K104" i="1" s="1"/>
  <c r="K106" i="1" s="1"/>
  <c r="K108" i="1" s="1"/>
  <c r="BD108" i="1"/>
  <c r="BC108" i="1"/>
  <c r="BB108" i="1"/>
  <c r="BA108" i="1"/>
  <c r="AY108" i="1"/>
  <c r="BD98" i="1"/>
  <c r="BC98" i="1"/>
  <c r="BB98" i="1"/>
  <c r="BA98" i="1"/>
  <c r="AY98" i="1"/>
  <c r="BD96" i="1"/>
  <c r="BC96" i="1"/>
  <c r="BB96" i="1"/>
  <c r="BA96" i="1"/>
  <c r="AY96" i="1"/>
  <c r="BD94" i="1"/>
  <c r="BC94" i="1"/>
  <c r="BB94" i="1"/>
  <c r="BA94" i="1"/>
  <c r="AY94" i="1"/>
  <c r="BD92" i="1"/>
  <c r="BC92" i="1"/>
  <c r="BB92" i="1"/>
  <c r="BA92" i="1"/>
  <c r="AY92" i="1"/>
  <c r="BD90" i="1"/>
  <c r="BC90" i="1"/>
  <c r="BB90" i="1"/>
  <c r="BA90" i="1"/>
  <c r="AY90" i="1"/>
  <c r="BD88" i="1"/>
  <c r="BC88" i="1"/>
  <c r="BB88" i="1"/>
  <c r="BA88" i="1"/>
  <c r="AY88" i="1"/>
  <c r="BD86" i="1"/>
  <c r="BC86" i="1"/>
  <c r="BB86" i="1"/>
  <c r="BA86" i="1"/>
  <c r="AY86" i="1"/>
  <c r="BD84" i="1"/>
  <c r="BC84" i="1"/>
  <c r="BB84" i="1"/>
  <c r="BA84" i="1"/>
  <c r="AY84" i="1"/>
  <c r="BD82" i="1"/>
  <c r="BC82" i="1"/>
  <c r="BB82" i="1"/>
  <c r="BA82" i="1"/>
  <c r="AY82" i="1"/>
  <c r="BD80" i="1"/>
  <c r="BC80" i="1"/>
  <c r="BB80" i="1"/>
  <c r="BA80" i="1"/>
  <c r="AY80" i="1"/>
  <c r="BD78" i="1"/>
  <c r="BC78" i="1"/>
  <c r="BB78" i="1"/>
  <c r="BA78" i="1"/>
  <c r="AY78" i="1"/>
  <c r="BD76" i="1"/>
  <c r="BC76" i="1"/>
  <c r="BB76" i="1"/>
  <c r="BA76" i="1"/>
  <c r="AY76" i="1"/>
  <c r="BD74" i="1"/>
  <c r="BC74" i="1"/>
  <c r="BB74" i="1"/>
  <c r="BA74" i="1"/>
  <c r="AY74" i="1"/>
  <c r="BD72" i="1"/>
  <c r="BC72" i="1"/>
  <c r="BB72" i="1"/>
  <c r="BA72" i="1"/>
  <c r="AY72" i="1"/>
  <c r="BD70" i="1"/>
  <c r="BC70" i="1"/>
  <c r="BB70" i="1"/>
  <c r="BA70" i="1"/>
  <c r="AY70" i="1"/>
  <c r="BD68" i="1"/>
  <c r="BC68" i="1"/>
  <c r="BB68" i="1"/>
  <c r="BA68" i="1"/>
  <c r="AY68" i="1"/>
  <c r="BD66" i="1"/>
  <c r="BC66" i="1"/>
  <c r="BB66" i="1"/>
  <c r="BA66" i="1"/>
  <c r="AY66" i="1"/>
  <c r="BD64" i="1"/>
  <c r="BC64" i="1"/>
  <c r="BB64" i="1"/>
  <c r="BA64" i="1"/>
  <c r="AY64" i="1"/>
  <c r="BD62" i="1"/>
  <c r="BC62" i="1"/>
  <c r="BB62" i="1"/>
  <c r="BA62" i="1"/>
  <c r="AY62" i="1"/>
  <c r="BD60" i="1"/>
  <c r="BC60" i="1"/>
  <c r="BB60" i="1"/>
  <c r="BA60" i="1"/>
  <c r="AY60" i="1"/>
  <c r="BD58" i="1"/>
  <c r="BC58" i="1"/>
  <c r="BB58" i="1"/>
  <c r="BA58" i="1"/>
  <c r="AY58" i="1"/>
  <c r="BD56" i="1"/>
  <c r="BC56" i="1"/>
  <c r="BB56" i="1"/>
  <c r="BA56" i="1"/>
  <c r="AY56" i="1"/>
  <c r="BD54" i="1"/>
  <c r="BC54" i="1"/>
  <c r="BB54" i="1"/>
  <c r="BA54" i="1"/>
  <c r="AY54" i="1"/>
  <c r="BD52" i="1"/>
  <c r="BC52" i="1"/>
  <c r="BB52" i="1"/>
  <c r="BA52" i="1"/>
  <c r="AY52" i="1"/>
  <c r="BD50" i="1"/>
  <c r="BC50" i="1"/>
  <c r="BB50" i="1"/>
  <c r="BA50" i="1"/>
  <c r="AY50" i="1"/>
  <c r="BD48" i="1"/>
  <c r="BC48" i="1"/>
  <c r="BB48" i="1"/>
  <c r="BA48" i="1"/>
  <c r="AY48" i="1"/>
  <c r="BD46" i="1"/>
  <c r="BC46" i="1"/>
  <c r="BB46" i="1"/>
  <c r="BA46" i="1"/>
  <c r="AY46" i="1"/>
  <c r="BD44" i="1"/>
  <c r="BC44" i="1"/>
  <c r="BB44" i="1"/>
  <c r="BA44" i="1"/>
  <c r="AY44" i="1"/>
  <c r="BD42" i="1"/>
  <c r="BC42" i="1"/>
  <c r="BB42" i="1"/>
  <c r="BA42" i="1"/>
  <c r="AY42" i="1"/>
  <c r="BD40" i="1"/>
  <c r="BC40" i="1"/>
  <c r="BB40" i="1"/>
  <c r="BA40" i="1"/>
  <c r="AY40" i="1"/>
  <c r="BD38" i="1"/>
  <c r="BC38" i="1"/>
  <c r="BB38" i="1"/>
  <c r="BA38" i="1"/>
  <c r="AY38" i="1"/>
  <c r="BD36" i="1"/>
  <c r="BC36" i="1"/>
  <c r="BB36" i="1"/>
  <c r="BA36" i="1"/>
  <c r="AY36" i="1"/>
  <c r="BD34" i="1"/>
  <c r="BC34" i="1"/>
  <c r="BB34" i="1"/>
  <c r="BA34" i="1"/>
  <c r="AY34" i="1"/>
  <c r="BD32" i="1"/>
  <c r="BC32" i="1"/>
  <c r="BB32" i="1"/>
  <c r="BA32" i="1"/>
  <c r="AY32" i="1"/>
  <c r="BD30" i="1"/>
  <c r="BC30" i="1"/>
  <c r="BB30" i="1"/>
  <c r="BA30" i="1"/>
  <c r="AY30" i="1"/>
  <c r="BD28" i="1"/>
  <c r="BC28" i="1"/>
  <c r="BB28" i="1"/>
  <c r="BA28" i="1"/>
  <c r="AY28" i="1"/>
  <c r="BD26" i="1"/>
  <c r="BC26" i="1"/>
  <c r="BB26" i="1"/>
  <c r="BA26" i="1"/>
  <c r="AY26" i="1"/>
  <c r="BD24" i="1"/>
  <c r="BC24" i="1"/>
  <c r="BB24" i="1"/>
  <c r="BA24" i="1"/>
  <c r="AY24" i="1"/>
  <c r="BD22" i="1"/>
  <c r="BC22" i="1"/>
  <c r="BB22" i="1"/>
  <c r="BA22" i="1"/>
  <c r="AY22" i="1"/>
  <c r="BD20" i="1"/>
  <c r="BE20" i="1"/>
  <c r="BC20" i="1"/>
  <c r="BB20" i="1"/>
  <c r="BA20" i="1"/>
  <c r="AY20" i="1"/>
  <c r="AW32" i="1" l="1"/>
  <c r="AZ108" i="1"/>
  <c r="AW34" i="1" l="1"/>
  <c r="AW36" i="1" l="1"/>
  <c r="AZ98" i="1"/>
  <c r="AZ96" i="1"/>
  <c r="AZ94" i="1"/>
  <c r="AZ34" i="1"/>
  <c r="AZ36" i="1"/>
  <c r="AZ38" i="1"/>
  <c r="AZ40" i="1"/>
  <c r="AZ42" i="1"/>
  <c r="AZ44" i="1"/>
  <c r="AZ46" i="1"/>
  <c r="AZ48" i="1"/>
  <c r="AZ50" i="1"/>
  <c r="AZ52" i="1"/>
  <c r="AZ54" i="1"/>
  <c r="AZ56" i="1"/>
  <c r="AZ58" i="1"/>
  <c r="AZ60" i="1"/>
  <c r="AZ62" i="1"/>
  <c r="AZ64" i="1"/>
  <c r="AZ66" i="1"/>
  <c r="AZ68" i="1"/>
  <c r="AZ70" i="1"/>
  <c r="AZ72" i="1"/>
  <c r="AZ74" i="1"/>
  <c r="AZ76" i="1"/>
  <c r="AZ78" i="1"/>
  <c r="AZ80" i="1"/>
  <c r="AZ82" i="1"/>
  <c r="AZ84" i="1"/>
  <c r="AZ86" i="1"/>
  <c r="AZ88" i="1"/>
  <c r="AZ90" i="1"/>
  <c r="AW38" i="1" l="1"/>
  <c r="AW40" i="1"/>
  <c r="G1" i="8"/>
  <c r="AW42" i="1" l="1"/>
  <c r="K1" i="8"/>
  <c r="G3" i="8"/>
  <c r="AZ92" i="1"/>
  <c r="O1" i="8" l="1"/>
  <c r="K3" i="8"/>
  <c r="AW44" i="1" l="1"/>
  <c r="AW48" i="1"/>
  <c r="AW46" i="1"/>
  <c r="S1" i="8"/>
  <c r="O3" i="8"/>
  <c r="W1" i="8" l="1"/>
  <c r="S3" i="8"/>
  <c r="C20" i="1"/>
  <c r="B20" i="1"/>
  <c r="E20" i="1"/>
  <c r="C13" i="8" l="1"/>
  <c r="C4" i="8"/>
  <c r="E33" i="8"/>
  <c r="I33" i="8"/>
  <c r="O33" i="8"/>
  <c r="T33" i="8"/>
  <c r="C35" i="8"/>
  <c r="H35" i="8"/>
  <c r="M35" i="8"/>
  <c r="S35" i="8"/>
  <c r="K36" i="8"/>
  <c r="C37" i="8"/>
  <c r="H37" i="8"/>
  <c r="M37" i="8"/>
  <c r="S37" i="8"/>
  <c r="C38" i="8"/>
  <c r="O38" i="8"/>
  <c r="Q39" i="8"/>
  <c r="L40" i="8"/>
  <c r="I41" i="8"/>
  <c r="E43" i="8"/>
  <c r="K43" i="8"/>
  <c r="P43" i="8"/>
  <c r="U43" i="8"/>
  <c r="D33" i="8"/>
  <c r="K33" i="8"/>
  <c r="P33" i="8"/>
  <c r="U33" i="8"/>
  <c r="D35" i="8"/>
  <c r="I35" i="8"/>
  <c r="O35" i="8"/>
  <c r="T35" i="8"/>
  <c r="C36" i="8"/>
  <c r="M36" i="8"/>
  <c r="D37" i="8"/>
  <c r="I37" i="8"/>
  <c r="O37" i="8"/>
  <c r="T37" i="8"/>
  <c r="D38" i="8"/>
  <c r="S38" i="8"/>
  <c r="M40" i="8"/>
  <c r="M41" i="8"/>
  <c r="G43" i="8"/>
  <c r="L33" i="8"/>
  <c r="E35" i="8"/>
  <c r="P35" i="8"/>
  <c r="I36" i="8"/>
  <c r="G37" i="8"/>
  <c r="Q37" i="8"/>
  <c r="I39" i="8"/>
  <c r="E40" i="8"/>
  <c r="D43" i="8"/>
  <c r="M43" i="8"/>
  <c r="T43" i="8"/>
  <c r="D44" i="8"/>
  <c r="L44" i="8"/>
  <c r="T44" i="8"/>
  <c r="I46" i="8"/>
  <c r="D47" i="8"/>
  <c r="I47" i="8"/>
  <c r="O47" i="8"/>
  <c r="T47" i="8"/>
  <c r="D48" i="8"/>
  <c r="I48" i="8"/>
  <c r="O48" i="8"/>
  <c r="T48" i="8"/>
  <c r="M33" i="8"/>
  <c r="G35" i="8"/>
  <c r="Q35" i="8"/>
  <c r="Q36" i="8"/>
  <c r="K37" i="8"/>
  <c r="U37" i="8"/>
  <c r="H38" i="8"/>
  <c r="Q40" i="8"/>
  <c r="D41" i="8"/>
  <c r="H43" i="8"/>
  <c r="O43" i="8"/>
  <c r="G44" i="8"/>
  <c r="O44" i="8"/>
  <c r="M46" i="8"/>
  <c r="E47" i="8"/>
  <c r="K47" i="8"/>
  <c r="P47" i="8"/>
  <c r="U47" i="8"/>
  <c r="E48" i="8"/>
  <c r="K48" i="8"/>
  <c r="P48" i="8"/>
  <c r="U48" i="8"/>
  <c r="S33" i="8"/>
  <c r="G36" i="8"/>
  <c r="E37" i="8"/>
  <c r="L43" i="8"/>
  <c r="K44" i="8"/>
  <c r="U46" i="8"/>
  <c r="C47" i="8"/>
  <c r="M47" i="8"/>
  <c r="H48" i="8"/>
  <c r="S48" i="8"/>
  <c r="C49" i="8"/>
  <c r="H33" i="8"/>
  <c r="L35" i="8"/>
  <c r="P37" i="8"/>
  <c r="S44" i="8"/>
  <c r="S47" i="8"/>
  <c r="M48" i="8"/>
  <c r="U35" i="8"/>
  <c r="L38" i="8"/>
  <c r="Q46" i="8"/>
  <c r="Q48" i="8"/>
  <c r="G33" i="8"/>
  <c r="K35" i="8"/>
  <c r="S36" i="8"/>
  <c r="L37" i="8"/>
  <c r="H41" i="8"/>
  <c r="Q43" i="8"/>
  <c r="E44" i="8"/>
  <c r="P44" i="8"/>
  <c r="G47" i="8"/>
  <c r="Q47" i="8"/>
  <c r="L48" i="8"/>
  <c r="T41" i="8"/>
  <c r="C43" i="8"/>
  <c r="S43" i="8"/>
  <c r="C44" i="8"/>
  <c r="E46" i="8"/>
  <c r="H47" i="8"/>
  <c r="C48" i="8"/>
  <c r="Q33" i="8"/>
  <c r="U40" i="8"/>
  <c r="I43" i="8"/>
  <c r="H44" i="8"/>
  <c r="L47" i="8"/>
  <c r="G48" i="8"/>
  <c r="D45" i="8"/>
  <c r="T45" i="8"/>
  <c r="E45" i="8"/>
  <c r="U45" i="8"/>
  <c r="K49" i="8"/>
  <c r="O46" i="8"/>
  <c r="P46" i="8"/>
  <c r="S45" i="8"/>
  <c r="G42" i="8"/>
  <c r="I42" i="8"/>
  <c r="L42" i="8"/>
  <c r="H39" i="8"/>
  <c r="O39" i="8"/>
  <c r="M39" i="8"/>
  <c r="H49" i="8"/>
  <c r="I49" i="8"/>
  <c r="G49" i="8"/>
  <c r="G40" i="8"/>
  <c r="D40" i="8"/>
  <c r="M38" i="8"/>
  <c r="D36" i="8"/>
  <c r="T36" i="8"/>
  <c r="E36" i="8"/>
  <c r="K41" i="8"/>
  <c r="I44" i="8"/>
  <c r="E41" i="8"/>
  <c r="T38" i="8"/>
  <c r="K34" i="8"/>
  <c r="L34" i="8"/>
  <c r="M34" i="8"/>
  <c r="H46" i="8"/>
  <c r="O42" i="8"/>
  <c r="U42" i="8"/>
  <c r="D42" i="8"/>
  <c r="Q42" i="8"/>
  <c r="K39" i="8"/>
  <c r="Q49" i="8"/>
  <c r="L41" i="8"/>
  <c r="O40" i="8"/>
  <c r="U38" i="8"/>
  <c r="L36" i="8"/>
  <c r="U36" i="8"/>
  <c r="S41" i="8"/>
  <c r="H45" i="8"/>
  <c r="I45" i="8"/>
  <c r="C46" i="8"/>
  <c r="S46" i="8"/>
  <c r="D46" i="8"/>
  <c r="T46" i="8"/>
  <c r="K45" i="8"/>
  <c r="K42" i="8"/>
  <c r="M42" i="8"/>
  <c r="P42" i="8"/>
  <c r="L39" i="8"/>
  <c r="U39" i="8"/>
  <c r="C39" i="8"/>
  <c r="G39" i="8"/>
  <c r="S39" i="8"/>
  <c r="L49" i="8"/>
  <c r="M49" i="8"/>
  <c r="O45" i="8"/>
  <c r="Q41" i="8"/>
  <c r="K40" i="8"/>
  <c r="I40" i="8"/>
  <c r="Q38" i="8"/>
  <c r="H36" i="8"/>
  <c r="O36" i="8"/>
  <c r="O41" i="8"/>
  <c r="U44" i="8"/>
  <c r="P40" i="8"/>
  <c r="G38" i="8"/>
  <c r="O34" i="8"/>
  <c r="P34" i="8"/>
  <c r="Q34" i="8"/>
  <c r="L45" i="8"/>
  <c r="M45" i="8"/>
  <c r="G46" i="8"/>
  <c r="C45" i="8"/>
  <c r="T42" i="8"/>
  <c r="P39" i="8"/>
  <c r="P49" i="8"/>
  <c r="G45" i="8"/>
  <c r="T40" i="8"/>
  <c r="E38" i="8"/>
  <c r="K38" i="8"/>
  <c r="C41" i="8"/>
  <c r="P45" i="8"/>
  <c r="K46" i="8"/>
  <c r="C42" i="8"/>
  <c r="H42" i="8"/>
  <c r="T39" i="8"/>
  <c r="E39" i="8"/>
  <c r="D49" i="8"/>
  <c r="O49" i="8"/>
  <c r="I38" i="8"/>
  <c r="P36" i="8"/>
  <c r="P41" i="8"/>
  <c r="H34" i="8"/>
  <c r="Q44" i="8"/>
  <c r="H40" i="8"/>
  <c r="C34" i="8"/>
  <c r="E34" i="8"/>
  <c r="U49" i="8"/>
  <c r="M44" i="8"/>
  <c r="G34" i="8"/>
  <c r="S49" i="8"/>
  <c r="S40" i="8"/>
  <c r="U41" i="8"/>
  <c r="S34" i="8"/>
  <c r="C33" i="8"/>
  <c r="Q45" i="8"/>
  <c r="L46" i="8"/>
  <c r="S42" i="8"/>
  <c r="E42" i="8"/>
  <c r="T49" i="8"/>
  <c r="E49" i="8"/>
  <c r="P38" i="8"/>
  <c r="T34" i="8"/>
  <c r="C40" i="8"/>
  <c r="I34" i="8"/>
  <c r="D39" i="8"/>
  <c r="G41" i="8"/>
  <c r="D34" i="8"/>
  <c r="U34" i="8"/>
  <c r="AW50" i="1"/>
  <c r="AA1" i="8"/>
  <c r="W3" i="8"/>
  <c r="X46" i="8" s="1"/>
  <c r="AW52" i="1"/>
  <c r="Y34" i="8" l="1"/>
  <c r="Y42" i="8"/>
  <c r="X45" i="8"/>
  <c r="W49" i="8"/>
  <c r="X33" i="8"/>
  <c r="W38" i="8"/>
  <c r="X43" i="8"/>
  <c r="W48" i="8"/>
  <c r="W37" i="8"/>
  <c r="Y49" i="8"/>
  <c r="W45" i="8"/>
  <c r="Y44" i="8"/>
  <c r="W46" i="8"/>
  <c r="W36" i="8"/>
  <c r="Y37" i="8"/>
  <c r="W44" i="8"/>
  <c r="Y35" i="8"/>
  <c r="W39" i="8"/>
  <c r="X37" i="8"/>
  <c r="W33" i="8"/>
  <c r="X44" i="8"/>
  <c r="X49" i="8"/>
  <c r="X41" i="8"/>
  <c r="Y48" i="8"/>
  <c r="X47" i="8"/>
  <c r="Y45" i="8"/>
  <c r="X35" i="8"/>
  <c r="Y40" i="8"/>
  <c r="X38" i="8"/>
  <c r="Y46" i="8"/>
  <c r="Y47" i="8"/>
  <c r="W43" i="8"/>
  <c r="Y33" i="8"/>
  <c r="Y41" i="8"/>
  <c r="Y43" i="8"/>
  <c r="X48" i="8"/>
  <c r="X39" i="8"/>
  <c r="W40" i="8"/>
  <c r="Y36" i="8"/>
  <c r="W35" i="8"/>
  <c r="W47" i="8"/>
  <c r="W42" i="8"/>
  <c r="Y38" i="8"/>
  <c r="X40" i="8"/>
  <c r="X36" i="8"/>
  <c r="Y39" i="8"/>
  <c r="X34" i="8"/>
  <c r="X42" i="8"/>
  <c r="W34" i="8"/>
  <c r="W41" i="8"/>
  <c r="AW54" i="1"/>
  <c r="AE1" i="8"/>
  <c r="AA3" i="8"/>
  <c r="C11" i="8"/>
  <c r="D16" i="8"/>
  <c r="C26" i="8"/>
  <c r="E29" i="8"/>
  <c r="D8" i="8"/>
  <c r="D23" i="8"/>
  <c r="C27" i="8"/>
  <c r="C19" i="8"/>
  <c r="D31" i="8"/>
  <c r="D24" i="8"/>
  <c r="E13" i="8"/>
  <c r="E28" i="8"/>
  <c r="D32" i="8"/>
  <c r="E21" i="8"/>
  <c r="E16" i="8"/>
  <c r="E8" i="8"/>
  <c r="D22" i="8"/>
  <c r="D14" i="8"/>
  <c r="C29" i="8"/>
  <c r="D15" i="8"/>
  <c r="D30" i="8"/>
  <c r="D10" i="8"/>
  <c r="C21" i="8"/>
  <c r="D9" i="8"/>
  <c r="E14" i="8"/>
  <c r="C20" i="8"/>
  <c r="D25" i="8"/>
  <c r="E30" i="8"/>
  <c r="D19" i="8"/>
  <c r="C14" i="8"/>
  <c r="D6" i="8"/>
  <c r="C17" i="8"/>
  <c r="D7" i="8"/>
  <c r="C18" i="8"/>
  <c r="D26" i="8"/>
  <c r="E10" i="8"/>
  <c r="C16" i="8"/>
  <c r="D21" i="8"/>
  <c r="E26" i="8"/>
  <c r="C32" i="8"/>
  <c r="E27" i="8"/>
  <c r="C9" i="8"/>
  <c r="E19" i="8"/>
  <c r="C10" i="8"/>
  <c r="E20" i="8"/>
  <c r="C5" i="8"/>
  <c r="E15" i="8"/>
  <c r="E31" i="8"/>
  <c r="E6" i="8"/>
  <c r="C12" i="8"/>
  <c r="D17" i="8"/>
  <c r="E22" i="8"/>
  <c r="C28" i="8"/>
  <c r="D11" i="8"/>
  <c r="E23" i="8"/>
  <c r="C24" i="8"/>
  <c r="E12" i="8"/>
  <c r="C8" i="8"/>
  <c r="D29" i="8"/>
  <c r="C25" i="8"/>
  <c r="E7" i="8"/>
  <c r="D13" i="8"/>
  <c r="D18" i="8"/>
  <c r="E11" i="8"/>
  <c r="C6" i="8"/>
  <c r="E18" i="8"/>
  <c r="C30" i="8"/>
  <c r="E24" i="8"/>
  <c r="C31" i="8"/>
  <c r="E25" i="8"/>
  <c r="D20" i="8"/>
  <c r="C15" i="8"/>
  <c r="E9" i="8"/>
  <c r="E32" i="8"/>
  <c r="D27" i="8"/>
  <c r="C22" i="8"/>
  <c r="D28" i="8"/>
  <c r="C23" i="8"/>
  <c r="E17" i="8"/>
  <c r="D12" i="8"/>
  <c r="C7" i="8"/>
  <c r="AB35" i="8" l="1"/>
  <c r="AB33" i="8"/>
  <c r="AB43" i="8"/>
  <c r="AA48" i="8"/>
  <c r="AB47" i="8"/>
  <c r="AB45" i="8"/>
  <c r="AC36" i="8"/>
  <c r="AC46" i="8"/>
  <c r="AA47" i="8"/>
  <c r="AC40" i="8"/>
  <c r="AC47" i="8"/>
  <c r="AA41" i="8"/>
  <c r="AA34" i="8"/>
  <c r="AA33" i="8"/>
  <c r="AA35" i="8"/>
  <c r="AB41" i="8"/>
  <c r="AC38" i="8"/>
  <c r="AC37" i="8"/>
  <c r="AC41" i="8"/>
  <c r="AA44" i="8"/>
  <c r="AC48" i="8"/>
  <c r="AA36" i="8"/>
  <c r="AB48" i="8"/>
  <c r="AC34" i="8"/>
  <c r="AC45" i="8"/>
  <c r="AB49" i="8"/>
  <c r="AB44" i="8"/>
  <c r="AA37" i="8"/>
  <c r="AC33" i="8"/>
  <c r="AC35" i="8"/>
  <c r="AA43" i="8"/>
  <c r="AA4" i="8"/>
  <c r="AC43" i="8"/>
  <c r="AB40" i="8"/>
  <c r="AA40" i="8"/>
  <c r="AB37" i="8"/>
  <c r="AB42" i="8"/>
  <c r="AB34" i="8"/>
  <c r="AB38" i="8"/>
  <c r="AA42" i="8"/>
  <c r="AC39" i="8"/>
  <c r="AA38" i="8"/>
  <c r="AA49" i="8"/>
  <c r="AB36" i="8"/>
  <c r="AB46" i="8"/>
  <c r="AA45" i="8"/>
  <c r="AC49" i="8"/>
  <c r="AC44" i="8"/>
  <c r="AA46" i="8"/>
  <c r="AC42" i="8"/>
  <c r="AA39" i="8"/>
  <c r="AB39" i="8"/>
  <c r="AI1" i="8"/>
  <c r="AE3" i="8"/>
  <c r="AW56" i="1"/>
  <c r="H6" i="8"/>
  <c r="I27" i="8"/>
  <c r="I7" i="8"/>
  <c r="G29" i="8"/>
  <c r="I19" i="8"/>
  <c r="G8" i="8"/>
  <c r="H13" i="8"/>
  <c r="I18" i="8"/>
  <c r="G24" i="8"/>
  <c r="H29" i="8"/>
  <c r="G5" i="8"/>
  <c r="I11" i="8"/>
  <c r="G13" i="8"/>
  <c r="G25" i="8"/>
  <c r="G4" i="8"/>
  <c r="H9" i="8"/>
  <c r="I14" i="8"/>
  <c r="G20" i="8"/>
  <c r="H25" i="8"/>
  <c r="I30" i="8"/>
  <c r="H10" i="8"/>
  <c r="H26" i="8"/>
  <c r="G21" i="8"/>
  <c r="G17" i="8"/>
  <c r="H18" i="8"/>
  <c r="G9" i="8"/>
  <c r="H30" i="8"/>
  <c r="H5" i="8"/>
  <c r="I10" i="8"/>
  <c r="G16" i="8"/>
  <c r="H21" i="8"/>
  <c r="I26" i="8"/>
  <c r="G32" i="8"/>
  <c r="I31" i="8"/>
  <c r="I15" i="8"/>
  <c r="I23" i="8"/>
  <c r="I22" i="8"/>
  <c r="H14" i="8"/>
  <c r="I6" i="8"/>
  <c r="G28" i="8"/>
  <c r="H22" i="8"/>
  <c r="G12" i="8"/>
  <c r="H17" i="8"/>
  <c r="I5" i="8"/>
  <c r="G11" i="8"/>
  <c r="H16" i="8"/>
  <c r="I21" i="8"/>
  <c r="G27" i="8"/>
  <c r="H32" i="8"/>
  <c r="I4" i="8"/>
  <c r="G10" i="8"/>
  <c r="H15" i="8"/>
  <c r="I20" i="8"/>
  <c r="G26" i="8"/>
  <c r="H31" i="8"/>
  <c r="G7" i="8"/>
  <c r="H12" i="8"/>
  <c r="I17" i="8"/>
  <c r="G23" i="8"/>
  <c r="H28" i="8"/>
  <c r="G6" i="8"/>
  <c r="H11" i="8"/>
  <c r="I16" i="8"/>
  <c r="H8" i="8"/>
  <c r="I13" i="8"/>
  <c r="G19" i="8"/>
  <c r="H24" i="8"/>
  <c r="I29" i="8"/>
  <c r="H7" i="8"/>
  <c r="I12" i="8"/>
  <c r="G18" i="8"/>
  <c r="H23" i="8"/>
  <c r="I28" i="8"/>
  <c r="H4" i="8"/>
  <c r="I9" i="8"/>
  <c r="G15" i="8"/>
  <c r="G31" i="8"/>
  <c r="G22" i="8"/>
  <c r="I32" i="8"/>
  <c r="I8" i="8"/>
  <c r="I24" i="8"/>
  <c r="H20" i="8"/>
  <c r="G14" i="8"/>
  <c r="H27" i="8"/>
  <c r="I25" i="8"/>
  <c r="H19" i="8"/>
  <c r="G30" i="8"/>
  <c r="K6" i="8"/>
  <c r="K23" i="8"/>
  <c r="K5" i="8"/>
  <c r="K12" i="8"/>
  <c r="M25" i="8"/>
  <c r="K11" i="8"/>
  <c r="L16" i="8"/>
  <c r="M24" i="8"/>
  <c r="K30" i="8"/>
  <c r="K22" i="8"/>
  <c r="K9" i="8"/>
  <c r="K8" i="8"/>
  <c r="M10" i="8"/>
  <c r="L17" i="8"/>
  <c r="L28" i="8"/>
  <c r="L12" i="8"/>
  <c r="M17" i="8"/>
  <c r="K26" i="8"/>
  <c r="L31" i="8"/>
  <c r="K20" i="8"/>
  <c r="K21" i="8"/>
  <c r="K16" i="8"/>
  <c r="L13" i="8"/>
  <c r="M29" i="8"/>
  <c r="K4" i="8"/>
  <c r="M13" i="8"/>
  <c r="K19" i="8"/>
  <c r="L27" i="8"/>
  <c r="M32" i="8"/>
  <c r="L24" i="8"/>
  <c r="L32" i="8"/>
  <c r="M28" i="8"/>
  <c r="L5" i="8"/>
  <c r="K7" i="8"/>
  <c r="K15" i="8"/>
  <c r="M14" i="8"/>
  <c r="M18" i="8"/>
  <c r="L20" i="8"/>
  <c r="L4" i="8"/>
  <c r="K14" i="8"/>
  <c r="L19" i="8"/>
  <c r="M27" i="8"/>
  <c r="L14" i="8"/>
  <c r="M19" i="8"/>
  <c r="K28" i="8"/>
  <c r="K31" i="8"/>
  <c r="M5" i="8"/>
  <c r="L15" i="8"/>
  <c r="M20" i="8"/>
  <c r="K29" i="8"/>
  <c r="K10" i="8"/>
  <c r="M16" i="8"/>
  <c r="K25" i="8"/>
  <c r="L30" i="8"/>
  <c r="L10" i="8"/>
  <c r="K17" i="8"/>
  <c r="L25" i="8"/>
  <c r="M30" i="8"/>
  <c r="M12" i="8"/>
  <c r="M15" i="8"/>
  <c r="L29" i="8"/>
  <c r="K18" i="8"/>
  <c r="L18" i="8"/>
  <c r="K32" i="8"/>
  <c r="L26" i="8"/>
  <c r="M4" i="8"/>
  <c r="K24" i="8"/>
  <c r="M31" i="8"/>
  <c r="K13" i="8"/>
  <c r="M26" i="8"/>
  <c r="K27" i="8"/>
  <c r="AE38" i="8" l="1"/>
  <c r="AG47" i="8"/>
  <c r="AF46" i="8"/>
  <c r="AE24" i="8"/>
  <c r="AE40" i="8"/>
  <c r="AG35" i="8"/>
  <c r="AF44" i="8"/>
  <c r="AG48" i="8"/>
  <c r="AF49" i="8"/>
  <c r="AG36" i="8"/>
  <c r="AE37" i="8"/>
  <c r="AE44" i="8"/>
  <c r="AF48" i="8"/>
  <c r="AG37" i="8"/>
  <c r="AE35" i="8"/>
  <c r="AF47" i="8"/>
  <c r="AE43" i="8"/>
  <c r="AE46" i="8"/>
  <c r="AG42" i="8"/>
  <c r="AF33" i="8"/>
  <c r="AG33" i="8"/>
  <c r="AF37" i="8"/>
  <c r="AF35" i="8"/>
  <c r="AG38" i="8"/>
  <c r="AF41" i="8"/>
  <c r="AE48" i="8"/>
  <c r="AG46" i="8"/>
  <c r="AG39" i="8"/>
  <c r="AG34" i="8"/>
  <c r="AE42" i="8"/>
  <c r="AE47" i="8"/>
  <c r="AE33" i="8"/>
  <c r="AF43" i="8"/>
  <c r="AG43" i="8"/>
  <c r="AF42" i="8"/>
  <c r="AF40" i="8"/>
  <c r="AE41" i="8"/>
  <c r="AE36" i="8"/>
  <c r="AF39" i="8"/>
  <c r="AF45" i="8"/>
  <c r="AG49" i="8"/>
  <c r="AG41" i="8"/>
  <c r="AE39" i="8"/>
  <c r="AF36" i="8"/>
  <c r="AE34" i="8"/>
  <c r="AG45" i="8"/>
  <c r="AE45" i="8"/>
  <c r="AE49" i="8"/>
  <c r="AF38" i="8"/>
  <c r="AF34" i="8"/>
  <c r="AG40" i="8"/>
  <c r="AG44" i="8"/>
  <c r="AW58" i="1"/>
  <c r="AM1" i="8"/>
  <c r="AI3" i="8"/>
  <c r="H1" i="8"/>
  <c r="O32" i="8"/>
  <c r="O30" i="8"/>
  <c r="P7" i="8"/>
  <c r="O14" i="8"/>
  <c r="P19" i="8"/>
  <c r="P27" i="8"/>
  <c r="O28" i="8"/>
  <c r="Q8" i="8"/>
  <c r="P15" i="8"/>
  <c r="Q20" i="8"/>
  <c r="P31" i="8"/>
  <c r="Q4" i="8"/>
  <c r="P11" i="8"/>
  <c r="Q16" i="8"/>
  <c r="O22" i="8"/>
  <c r="O6" i="8"/>
  <c r="O24" i="8"/>
  <c r="O10" i="8"/>
  <c r="Q12" i="8"/>
  <c r="O26" i="8"/>
  <c r="O18" i="8"/>
  <c r="P23" i="8"/>
  <c r="O5" i="8"/>
  <c r="Q11" i="8"/>
  <c r="O17" i="8"/>
  <c r="P22" i="8"/>
  <c r="O29" i="8"/>
  <c r="P5" i="8"/>
  <c r="O12" i="8"/>
  <c r="Q18" i="8"/>
  <c r="P25" i="8"/>
  <c r="P4" i="8"/>
  <c r="Q9" i="8"/>
  <c r="P16" i="8"/>
  <c r="Q21" i="8"/>
  <c r="Q29" i="8"/>
  <c r="P6" i="8"/>
  <c r="O13" i="8"/>
  <c r="P18" i="8"/>
  <c r="Q23" i="8"/>
  <c r="Q31" i="8"/>
  <c r="Q7" i="8"/>
  <c r="P14" i="8"/>
  <c r="Q19" i="8"/>
  <c r="O25" i="8"/>
  <c r="O8" i="8"/>
  <c r="O16" i="8"/>
  <c r="P21" i="8"/>
  <c r="O7" i="8"/>
  <c r="P12" i="8"/>
  <c r="O19" i="8"/>
  <c r="Q25" i="8"/>
  <c r="Q15" i="8"/>
  <c r="Q6" i="8"/>
  <c r="O20" i="8"/>
  <c r="O11" i="8"/>
  <c r="O23" i="8"/>
  <c r="O21" i="8"/>
  <c r="P9" i="8"/>
  <c r="Q22" i="8"/>
  <c r="O15" i="8"/>
  <c r="O27" i="8"/>
  <c r="Q27" i="8"/>
  <c r="Q14" i="8"/>
  <c r="P29" i="8"/>
  <c r="Q5" i="8"/>
  <c r="Q17" i="8"/>
  <c r="O31" i="8"/>
  <c r="O9" i="8"/>
  <c r="O4" i="8"/>
  <c r="P17" i="8"/>
  <c r="P8" i="8"/>
  <c r="P20" i="8"/>
  <c r="AJ33" i="8" l="1"/>
  <c r="AI40" i="8"/>
  <c r="AK43" i="8"/>
  <c r="AI36" i="8"/>
  <c r="AK37" i="8"/>
  <c r="AI33" i="8"/>
  <c r="AJ41" i="8"/>
  <c r="AI43" i="8"/>
  <c r="AK46" i="8"/>
  <c r="AJ40" i="8"/>
  <c r="AJ37" i="8"/>
  <c r="AK48" i="8"/>
  <c r="AJ36" i="8"/>
  <c r="AK41" i="8"/>
  <c r="AJ35" i="8"/>
  <c r="AK35" i="8"/>
  <c r="AK47" i="8"/>
  <c r="AK45" i="8"/>
  <c r="AK42" i="8"/>
  <c r="AI45" i="8"/>
  <c r="AI46" i="8"/>
  <c r="AI37" i="8"/>
  <c r="AK33" i="8"/>
  <c r="AI47" i="8"/>
  <c r="AI44" i="8"/>
  <c r="AJ38" i="8"/>
  <c r="AK40" i="8"/>
  <c r="AJ44" i="8"/>
  <c r="AJ48" i="8"/>
  <c r="AI35" i="8"/>
  <c r="AJ47" i="8"/>
  <c r="AJ43" i="8"/>
  <c r="AI48" i="8"/>
  <c r="AJ45" i="8"/>
  <c r="AK34" i="8"/>
  <c r="AI41" i="8"/>
  <c r="AI34" i="8"/>
  <c r="AI42" i="8"/>
  <c r="AI38" i="8"/>
  <c r="AK49" i="8"/>
  <c r="AJ34" i="8"/>
  <c r="AK44" i="8"/>
  <c r="AJ39" i="8"/>
  <c r="AJ46" i="8"/>
  <c r="AK38" i="8"/>
  <c r="AK39" i="8"/>
  <c r="AI39" i="8"/>
  <c r="AJ42" i="8"/>
  <c r="AI49" i="8"/>
  <c r="AK36" i="8"/>
  <c r="AJ49" i="8"/>
  <c r="AQ1" i="8"/>
  <c r="AM3" i="8"/>
  <c r="AW60" i="1"/>
  <c r="S10" i="8"/>
  <c r="T15" i="8"/>
  <c r="S26" i="8"/>
  <c r="T31" i="8"/>
  <c r="U4" i="8"/>
  <c r="T11" i="8"/>
  <c r="U16" i="8"/>
  <c r="S22" i="8"/>
  <c r="T27" i="8"/>
  <c r="U32" i="8"/>
  <c r="S6" i="8"/>
  <c r="U12" i="8"/>
  <c r="S18" i="8"/>
  <c r="T23" i="8"/>
  <c r="U28" i="8"/>
  <c r="S14" i="8"/>
  <c r="T19" i="8"/>
  <c r="U24" i="8"/>
  <c r="U8" i="8"/>
  <c r="S30" i="8"/>
  <c r="T10" i="8"/>
  <c r="U15" i="8"/>
  <c r="T22" i="8"/>
  <c r="U27" i="8"/>
  <c r="S4" i="8"/>
  <c r="T9" i="8"/>
  <c r="U14" i="8"/>
  <c r="U22" i="8"/>
  <c r="S28" i="8"/>
  <c r="T4" i="8"/>
  <c r="U9" i="8"/>
  <c r="S15" i="8"/>
  <c r="S27" i="8"/>
  <c r="T32" i="8"/>
  <c r="S5" i="8"/>
  <c r="U11" i="8"/>
  <c r="S17" i="8"/>
  <c r="U23" i="8"/>
  <c r="S29" i="8"/>
  <c r="T6" i="8"/>
  <c r="S13" i="8"/>
  <c r="U19" i="8"/>
  <c r="S25" i="8"/>
  <c r="T30" i="8"/>
  <c r="U6" i="8"/>
  <c r="S12" i="8"/>
  <c r="T17" i="8"/>
  <c r="T25" i="8"/>
  <c r="U30" i="8"/>
  <c r="S7" i="8"/>
  <c r="T12" i="8"/>
  <c r="U17" i="8"/>
  <c r="T24" i="8"/>
  <c r="U29" i="8"/>
  <c r="S21" i="8"/>
  <c r="T5" i="8"/>
  <c r="S16" i="8"/>
  <c r="T29" i="8"/>
  <c r="U5" i="8"/>
  <c r="T16" i="8"/>
  <c r="T28" i="8"/>
  <c r="T26" i="8"/>
  <c r="S8" i="8"/>
  <c r="S20" i="8"/>
  <c r="S32" i="8"/>
  <c r="T8" i="8"/>
  <c r="S19" i="8"/>
  <c r="S31" i="8"/>
  <c r="S9" i="8"/>
  <c r="U31" i="8"/>
  <c r="U10" i="8"/>
  <c r="S24" i="8"/>
  <c r="S11" i="8"/>
  <c r="S23" i="8"/>
  <c r="T14" i="8"/>
  <c r="T13" i="8"/>
  <c r="U26" i="8"/>
  <c r="U13" i="8"/>
  <c r="U25" i="8"/>
  <c r="D20" i="1"/>
  <c r="U20" i="8"/>
  <c r="T20" i="8"/>
  <c r="Q32" i="8"/>
  <c r="P32" i="8"/>
  <c r="H21" i="1"/>
  <c r="H20" i="1"/>
  <c r="D21" i="1"/>
  <c r="G21" i="1"/>
  <c r="F21" i="1"/>
  <c r="G20" i="1"/>
  <c r="F20" i="1"/>
  <c r="K1" i="7"/>
  <c r="K3" i="7" s="1"/>
  <c r="A20" i="1"/>
  <c r="A21" i="1"/>
  <c r="M43" i="7" l="1"/>
  <c r="K44" i="7"/>
  <c r="M45" i="7"/>
  <c r="M44" i="7"/>
  <c r="N44" i="7"/>
  <c r="N45" i="7"/>
  <c r="L45" i="7"/>
  <c r="K43" i="7"/>
  <c r="L44" i="7"/>
  <c r="L43" i="7"/>
  <c r="N43" i="7"/>
  <c r="K45" i="7"/>
  <c r="K41" i="7"/>
  <c r="J41" i="7"/>
  <c r="N41" i="7"/>
  <c r="G41" i="7"/>
  <c r="M41" i="7"/>
  <c r="I41" i="7"/>
  <c r="L41" i="7"/>
  <c r="H41" i="7"/>
  <c r="D40" i="7"/>
  <c r="E37" i="7"/>
  <c r="E40" i="7"/>
  <c r="D41" i="7"/>
  <c r="E41" i="7"/>
  <c r="D42" i="7"/>
  <c r="E42" i="7"/>
  <c r="E30" i="7"/>
  <c r="D30" i="7"/>
  <c r="D37" i="7"/>
  <c r="E26" i="7"/>
  <c r="E29" i="7"/>
  <c r="D31" i="7"/>
  <c r="D29" i="7"/>
  <c r="D34" i="7"/>
  <c r="D27" i="7"/>
  <c r="D26" i="7"/>
  <c r="E34" i="7"/>
  <c r="E27" i="7"/>
  <c r="E31" i="7"/>
  <c r="D28" i="7"/>
  <c r="E32" i="7"/>
  <c r="E39" i="7"/>
  <c r="D32" i="7"/>
  <c r="E38" i="7"/>
  <c r="D33" i="7"/>
  <c r="D35" i="7"/>
  <c r="E28" i="7"/>
  <c r="D39" i="7"/>
  <c r="D38" i="7"/>
  <c r="E33" i="7"/>
  <c r="E35" i="7"/>
  <c r="D36" i="7"/>
  <c r="E36" i="7"/>
  <c r="G42" i="7"/>
  <c r="H42" i="7"/>
  <c r="J39" i="7"/>
  <c r="I38" i="7"/>
  <c r="H39" i="7"/>
  <c r="J35" i="7"/>
  <c r="I42" i="7"/>
  <c r="H40" i="7"/>
  <c r="H37" i="7"/>
  <c r="J42" i="7"/>
  <c r="H38" i="7"/>
  <c r="G39" i="7"/>
  <c r="H36" i="7"/>
  <c r="H32" i="7"/>
  <c r="G37" i="7"/>
  <c r="J38" i="7"/>
  <c r="J36" i="7"/>
  <c r="J37" i="7"/>
  <c r="J40" i="7"/>
  <c r="I39" i="7"/>
  <c r="H34" i="7"/>
  <c r="G34" i="7"/>
  <c r="I35" i="7"/>
  <c r="I40" i="7"/>
  <c r="J34" i="7"/>
  <c r="H33" i="7"/>
  <c r="G32" i="7"/>
  <c r="I34" i="7"/>
  <c r="I37" i="7"/>
  <c r="G40" i="7"/>
  <c r="G38" i="7"/>
  <c r="I33" i="7"/>
  <c r="J32" i="7"/>
  <c r="G33" i="7"/>
  <c r="I36" i="7"/>
  <c r="G35" i="7"/>
  <c r="J33" i="7"/>
  <c r="I32" i="7"/>
  <c r="G36" i="7"/>
  <c r="H35" i="7"/>
  <c r="AN35" i="8"/>
  <c r="AM37" i="8"/>
  <c r="AO47" i="8"/>
  <c r="AM48" i="8"/>
  <c r="AM42" i="8"/>
  <c r="AO33" i="8"/>
  <c r="AM35" i="8"/>
  <c r="AN44" i="8"/>
  <c r="AO49" i="8"/>
  <c r="AM38" i="8"/>
  <c r="AM33" i="8"/>
  <c r="AM47" i="8"/>
  <c r="AO43" i="8"/>
  <c r="AM44" i="8"/>
  <c r="AO37" i="8"/>
  <c r="AN47" i="8"/>
  <c r="AN41" i="8"/>
  <c r="AN49" i="8"/>
  <c r="AO42" i="8"/>
  <c r="AN36" i="8"/>
  <c r="AO35" i="8"/>
  <c r="AN33" i="8"/>
  <c r="AN48" i="8"/>
  <c r="AN38" i="8"/>
  <c r="AM49" i="8"/>
  <c r="AO45" i="8"/>
  <c r="AN37" i="8"/>
  <c r="AO46" i="8"/>
  <c r="AM40" i="8"/>
  <c r="AM43" i="8"/>
  <c r="AO41" i="8"/>
  <c r="AO48" i="8"/>
  <c r="AM36" i="8"/>
  <c r="AN43" i="8"/>
  <c r="AO40" i="8"/>
  <c r="AO36" i="8"/>
  <c r="AN39" i="8"/>
  <c r="AN45" i="8"/>
  <c r="AO34" i="8"/>
  <c r="AM34" i="8"/>
  <c r="AO44" i="8"/>
  <c r="AN42" i="8"/>
  <c r="AO38" i="8"/>
  <c r="AM39" i="8"/>
  <c r="AM46" i="8"/>
  <c r="AN40" i="8"/>
  <c r="AN34" i="8"/>
  <c r="AO39" i="8"/>
  <c r="AM41" i="8"/>
  <c r="AN46" i="8"/>
  <c r="AM45" i="8"/>
  <c r="L37" i="7"/>
  <c r="M37" i="7"/>
  <c r="M40" i="7"/>
  <c r="N40" i="7"/>
  <c r="L42" i="7"/>
  <c r="K42" i="7"/>
  <c r="L40" i="7"/>
  <c r="N42" i="7"/>
  <c r="N37" i="7"/>
  <c r="K40" i="7"/>
  <c r="K37" i="7"/>
  <c r="M42" i="7"/>
  <c r="L33" i="7"/>
  <c r="M33" i="7"/>
  <c r="K34" i="7"/>
  <c r="K38" i="7"/>
  <c r="N36" i="7"/>
  <c r="N38" i="7"/>
  <c r="M38" i="7"/>
  <c r="L34" i="7"/>
  <c r="N39" i="7"/>
  <c r="N34" i="7"/>
  <c r="K35" i="7"/>
  <c r="M34" i="7"/>
  <c r="N33" i="7"/>
  <c r="K33" i="7"/>
  <c r="L38" i="7"/>
  <c r="L35" i="7"/>
  <c r="L36" i="7"/>
  <c r="M32" i="7"/>
  <c r="L32" i="7"/>
  <c r="M39" i="7"/>
  <c r="M35" i="7"/>
  <c r="N32" i="7"/>
  <c r="M36" i="7"/>
  <c r="K32" i="7"/>
  <c r="L39" i="7"/>
  <c r="K39" i="7"/>
  <c r="K36" i="7"/>
  <c r="N35" i="7"/>
  <c r="G4" i="7"/>
  <c r="H5" i="7"/>
  <c r="G5" i="7"/>
  <c r="H4" i="7"/>
  <c r="I5" i="7"/>
  <c r="I4" i="7"/>
  <c r="E4" i="8"/>
  <c r="E5" i="8"/>
  <c r="D4" i="8"/>
  <c r="D5" i="8"/>
  <c r="K4" i="7"/>
  <c r="J34" i="8"/>
  <c r="AD36" i="8"/>
  <c r="AL36" i="8"/>
  <c r="AH38" i="8"/>
  <c r="AD39" i="8"/>
  <c r="AD40" i="8"/>
  <c r="R41" i="8"/>
  <c r="J42" i="8"/>
  <c r="Z42" i="8"/>
  <c r="AP42" i="8"/>
  <c r="N44" i="8"/>
  <c r="AD44" i="8"/>
  <c r="J45" i="8"/>
  <c r="AP45" i="8"/>
  <c r="J46" i="8"/>
  <c r="AP46" i="8"/>
  <c r="AH49" i="8"/>
  <c r="R49" i="8"/>
  <c r="R44" i="8"/>
  <c r="R34" i="8"/>
  <c r="R36" i="8"/>
  <c r="R38" i="8"/>
  <c r="Z38" i="8"/>
  <c r="AL39" i="8"/>
  <c r="F40" i="8"/>
  <c r="AD41" i="8"/>
  <c r="N42" i="8"/>
  <c r="AD42" i="8"/>
  <c r="J44" i="8"/>
  <c r="Z44" i="8"/>
  <c r="AP44" i="8"/>
  <c r="R45" i="8"/>
  <c r="AH46" i="8"/>
  <c r="J49" i="8"/>
  <c r="AP49" i="8"/>
  <c r="F41" i="8"/>
  <c r="AH41" i="8"/>
  <c r="R42" i="8"/>
  <c r="J43" i="8"/>
  <c r="N43" i="8"/>
  <c r="V43" i="8"/>
  <c r="AD43" i="8"/>
  <c r="V44" i="8"/>
  <c r="AP40" i="8"/>
  <c r="AL42" i="8"/>
  <c r="AH45" i="8"/>
  <c r="R46" i="8"/>
  <c r="J47" i="8"/>
  <c r="N47" i="8"/>
  <c r="V47" i="8"/>
  <c r="Z47" i="8"/>
  <c r="AD47" i="8"/>
  <c r="AL47" i="8"/>
  <c r="F33" i="8"/>
  <c r="J33" i="8"/>
  <c r="N33" i="8"/>
  <c r="R33" i="8"/>
  <c r="V33" i="8"/>
  <c r="Z33" i="8"/>
  <c r="AD33" i="8"/>
  <c r="AH33" i="8"/>
  <c r="AL33" i="8"/>
  <c r="AP33" i="8"/>
  <c r="Z34" i="8"/>
  <c r="F36" i="8"/>
  <c r="AH36" i="8"/>
  <c r="F37" i="8"/>
  <c r="J37" i="8"/>
  <c r="N37" i="8"/>
  <c r="R37" i="8"/>
  <c r="V37" i="8"/>
  <c r="Z37" i="8"/>
  <c r="AD37" i="8"/>
  <c r="AH37" i="8"/>
  <c r="AL37" i="8"/>
  <c r="AP37" i="8"/>
  <c r="J38" i="8"/>
  <c r="AD38" i="8"/>
  <c r="J40" i="8"/>
  <c r="R40" i="8"/>
  <c r="Z40" i="8"/>
  <c r="AH40" i="8"/>
  <c r="AH42" i="8"/>
  <c r="F43" i="8"/>
  <c r="R43" i="8"/>
  <c r="Z43" i="8"/>
  <c r="AH43" i="8"/>
  <c r="AL43" i="8"/>
  <c r="AP43" i="8"/>
  <c r="F44" i="8"/>
  <c r="AL44" i="8"/>
  <c r="Z45" i="8"/>
  <c r="Z46" i="8"/>
  <c r="N41" i="8"/>
  <c r="V42" i="8"/>
  <c r="AH44" i="8"/>
  <c r="F47" i="8"/>
  <c r="R47" i="8"/>
  <c r="AH47" i="8"/>
  <c r="AP47" i="8"/>
  <c r="AH34" i="8"/>
  <c r="F35" i="8"/>
  <c r="J35" i="8"/>
  <c r="N35" i="8"/>
  <c r="R35" i="8"/>
  <c r="V35" i="8"/>
  <c r="Z35" i="8"/>
  <c r="AD35" i="8"/>
  <c r="AH35" i="8"/>
  <c r="AL35" i="8"/>
  <c r="AP35" i="8"/>
  <c r="N36" i="8"/>
  <c r="V36" i="8"/>
  <c r="F42" i="8"/>
  <c r="Z49" i="8"/>
  <c r="F48" i="8"/>
  <c r="J48" i="8"/>
  <c r="N48" i="8"/>
  <c r="R48" i="8"/>
  <c r="V48" i="8"/>
  <c r="Z48" i="8"/>
  <c r="AD48" i="8"/>
  <c r="AH48" i="8"/>
  <c r="AL48" i="8"/>
  <c r="AP48" i="8"/>
  <c r="N49" i="8"/>
  <c r="AD45" i="8"/>
  <c r="J39" i="8"/>
  <c r="R39" i="8"/>
  <c r="F39" i="8"/>
  <c r="AH39" i="8"/>
  <c r="AD46" i="8"/>
  <c r="N40" i="8"/>
  <c r="V38" i="8"/>
  <c r="Z36" i="8"/>
  <c r="AP34" i="8"/>
  <c r="AP41" i="8"/>
  <c r="AL40" i="8"/>
  <c r="AL34" i="8"/>
  <c r="AD49" i="8"/>
  <c r="N46" i="8"/>
  <c r="AD34" i="8"/>
  <c r="AL49" i="8"/>
  <c r="F49" i="8"/>
  <c r="V45" i="8"/>
  <c r="V46" i="8"/>
  <c r="F38" i="8"/>
  <c r="J36" i="8"/>
  <c r="N34" i="8"/>
  <c r="AP39" i="8"/>
  <c r="V41" i="8"/>
  <c r="J41" i="8"/>
  <c r="V49" i="8"/>
  <c r="AL45" i="8"/>
  <c r="F45" i="8"/>
  <c r="Z39" i="8"/>
  <c r="V39" i="8"/>
  <c r="N39" i="8"/>
  <c r="AL46" i="8"/>
  <c r="F46" i="8"/>
  <c r="AL41" i="8"/>
  <c r="AL38" i="8"/>
  <c r="AP36" i="8"/>
  <c r="Z41" i="8"/>
  <c r="V40" i="8"/>
  <c r="AP38" i="8"/>
  <c r="N38" i="8"/>
  <c r="V34" i="8"/>
  <c r="N45" i="8"/>
  <c r="F34" i="8"/>
  <c r="E25" i="7"/>
  <c r="D16" i="7"/>
  <c r="D24" i="7"/>
  <c r="E20" i="7"/>
  <c r="E22" i="7"/>
  <c r="D21" i="7"/>
  <c r="D17" i="7"/>
  <c r="E16" i="7"/>
  <c r="E24" i="7"/>
  <c r="D18" i="7"/>
  <c r="D22" i="7"/>
  <c r="E21" i="7"/>
  <c r="E19" i="7"/>
  <c r="E17" i="7"/>
  <c r="E23" i="7"/>
  <c r="D12" i="7"/>
  <c r="E18" i="7"/>
  <c r="D25" i="7"/>
  <c r="D19" i="7"/>
  <c r="D23" i="7"/>
  <c r="E12" i="7"/>
  <c r="D20" i="7"/>
  <c r="D13" i="7"/>
  <c r="D15" i="7"/>
  <c r="D14" i="7"/>
  <c r="E14" i="7"/>
  <c r="E13" i="7"/>
  <c r="E15" i="7"/>
  <c r="H31" i="7"/>
  <c r="J30" i="7"/>
  <c r="J31" i="7"/>
  <c r="I31" i="7"/>
  <c r="I30" i="7"/>
  <c r="H30" i="7"/>
  <c r="G29" i="7"/>
  <c r="I29" i="7"/>
  <c r="J20" i="7"/>
  <c r="J29" i="7"/>
  <c r="H29" i="7"/>
  <c r="H20" i="7"/>
  <c r="H12" i="7"/>
  <c r="G20" i="7"/>
  <c r="G12" i="7"/>
  <c r="I23" i="7"/>
  <c r="I26" i="7"/>
  <c r="J28" i="7"/>
  <c r="J12" i="7"/>
  <c r="I20" i="7"/>
  <c r="I12" i="7"/>
  <c r="G23" i="7"/>
  <c r="G26" i="7"/>
  <c r="H28" i="7"/>
  <c r="J23" i="7"/>
  <c r="H8" i="7"/>
  <c r="H23" i="7"/>
  <c r="H26" i="7"/>
  <c r="I28" i="7"/>
  <c r="I22" i="7"/>
  <c r="H22" i="7"/>
  <c r="I8" i="7"/>
  <c r="I21" i="7"/>
  <c r="J7" i="7"/>
  <c r="J26" i="7"/>
  <c r="G28" i="7"/>
  <c r="G22" i="7"/>
  <c r="J22" i="7"/>
  <c r="J8" i="7"/>
  <c r="H7" i="7"/>
  <c r="G7" i="7"/>
  <c r="G8" i="7"/>
  <c r="H27" i="7"/>
  <c r="I6" i="7"/>
  <c r="J27" i="7"/>
  <c r="I27" i="7"/>
  <c r="J25" i="7"/>
  <c r="J6" i="7"/>
  <c r="J21" i="7"/>
  <c r="G18" i="7"/>
  <c r="I7" i="7"/>
  <c r="I18" i="7"/>
  <c r="H21" i="7"/>
  <c r="G27" i="7"/>
  <c r="H6" i="7"/>
  <c r="G13" i="7"/>
  <c r="G19" i="7"/>
  <c r="J18" i="7"/>
  <c r="G6" i="7"/>
  <c r="J19" i="7"/>
  <c r="I19" i="7"/>
  <c r="H19" i="7"/>
  <c r="J9" i="7"/>
  <c r="J17" i="7"/>
  <c r="J13" i="7"/>
  <c r="I13" i="7"/>
  <c r="H13" i="7"/>
  <c r="I25" i="7"/>
  <c r="I9" i="7"/>
  <c r="I17" i="7"/>
  <c r="G16" i="7"/>
  <c r="H25" i="7"/>
  <c r="H9" i="7"/>
  <c r="H17" i="7"/>
  <c r="J16" i="7"/>
  <c r="H18" i="7"/>
  <c r="G25" i="7"/>
  <c r="G9" i="7"/>
  <c r="G17" i="7"/>
  <c r="I16" i="7"/>
  <c r="J14" i="7"/>
  <c r="G10" i="7"/>
  <c r="G11" i="7"/>
  <c r="G15" i="7"/>
  <c r="H16" i="7"/>
  <c r="I14" i="7"/>
  <c r="J10" i="7"/>
  <c r="J11" i="7"/>
  <c r="J15" i="7"/>
  <c r="J24" i="7"/>
  <c r="I24" i="7"/>
  <c r="H14" i="7"/>
  <c r="I10" i="7"/>
  <c r="I11" i="7"/>
  <c r="I15" i="7"/>
  <c r="J5" i="7"/>
  <c r="G24" i="7"/>
  <c r="J4" i="7"/>
  <c r="G14" i="7"/>
  <c r="H10" i="7"/>
  <c r="H11" i="7"/>
  <c r="H15" i="7"/>
  <c r="H24" i="7"/>
  <c r="K31" i="7"/>
  <c r="L31" i="7"/>
  <c r="N31" i="7"/>
  <c r="M31" i="7"/>
  <c r="N20" i="7"/>
  <c r="N12" i="7"/>
  <c r="L23" i="7"/>
  <c r="K12" i="7"/>
  <c r="M23" i="7"/>
  <c r="L20" i="7"/>
  <c r="M12" i="7"/>
  <c r="K23" i="7"/>
  <c r="M26" i="7"/>
  <c r="N29" i="7"/>
  <c r="K20" i="7"/>
  <c r="M20" i="7"/>
  <c r="L12" i="7"/>
  <c r="N22" i="7"/>
  <c r="N28" i="7"/>
  <c r="K22" i="7"/>
  <c r="L26" i="7"/>
  <c r="L29" i="7"/>
  <c r="L28" i="7"/>
  <c r="L8" i="7"/>
  <c r="M8" i="7"/>
  <c r="N23" i="7"/>
  <c r="K26" i="7"/>
  <c r="N26" i="7"/>
  <c r="K29" i="7"/>
  <c r="K28" i="7"/>
  <c r="L22" i="7"/>
  <c r="M29" i="7"/>
  <c r="M28" i="7"/>
  <c r="K8" i="7"/>
  <c r="N21" i="7"/>
  <c r="K7" i="7"/>
  <c r="N18" i="7"/>
  <c r="M21" i="7"/>
  <c r="M27" i="7"/>
  <c r="M22" i="7"/>
  <c r="L7" i="7"/>
  <c r="K18" i="7"/>
  <c r="N27" i="7"/>
  <c r="L21" i="7"/>
  <c r="N7" i="7"/>
  <c r="M18" i="7"/>
  <c r="M7" i="7"/>
  <c r="K27" i="7"/>
  <c r="K21" i="7"/>
  <c r="L27" i="7"/>
  <c r="N8" i="7"/>
  <c r="K6" i="7"/>
  <c r="N13" i="7"/>
  <c r="N19" i="7"/>
  <c r="L25" i="7"/>
  <c r="L18" i="7"/>
  <c r="N6" i="7"/>
  <c r="L13" i="7"/>
  <c r="M19" i="7"/>
  <c r="N25" i="7"/>
  <c r="M9" i="7"/>
  <c r="L9" i="7"/>
  <c r="M17" i="7"/>
  <c r="L17" i="7"/>
  <c r="K13" i="7"/>
  <c r="M25" i="7"/>
  <c r="M13" i="7"/>
  <c r="L19" i="7"/>
  <c r="K25" i="7"/>
  <c r="M6" i="7"/>
  <c r="K9" i="7"/>
  <c r="K17" i="7"/>
  <c r="L6" i="7"/>
  <c r="K19" i="7"/>
  <c r="N9" i="7"/>
  <c r="N17" i="7"/>
  <c r="N30" i="7"/>
  <c r="K16" i="7"/>
  <c r="K24" i="7"/>
  <c r="K14" i="7"/>
  <c r="M30" i="7"/>
  <c r="K10" i="7"/>
  <c r="K11" i="7"/>
  <c r="K15" i="7"/>
  <c r="L5" i="7"/>
  <c r="N16" i="7"/>
  <c r="M4" i="7"/>
  <c r="M24" i="7"/>
  <c r="N14" i="7"/>
  <c r="L30" i="7"/>
  <c r="N10" i="7"/>
  <c r="N11" i="7"/>
  <c r="N15" i="7"/>
  <c r="K5" i="7"/>
  <c r="M16" i="7"/>
  <c r="L16" i="7"/>
  <c r="M14" i="7"/>
  <c r="L14" i="7"/>
  <c r="K30" i="7"/>
  <c r="M10" i="7"/>
  <c r="L10" i="7"/>
  <c r="M11" i="7"/>
  <c r="L11" i="7"/>
  <c r="M15" i="7"/>
  <c r="L15" i="7"/>
  <c r="N5" i="7"/>
  <c r="M5" i="7"/>
  <c r="L4" i="7"/>
  <c r="L24" i="7"/>
  <c r="N4" i="7"/>
  <c r="N24" i="7"/>
  <c r="E8" i="7"/>
  <c r="E10" i="7"/>
  <c r="D10" i="7"/>
  <c r="D7" i="7"/>
  <c r="E5" i="7"/>
  <c r="E6" i="7"/>
  <c r="D5" i="7"/>
  <c r="E7" i="7"/>
  <c r="D4" i="7"/>
  <c r="E4" i="7"/>
  <c r="E9" i="7"/>
  <c r="E11" i="7"/>
  <c r="D11" i="7"/>
  <c r="D6" i="7"/>
  <c r="D8" i="7"/>
  <c r="D9" i="7"/>
  <c r="AW62" i="1"/>
  <c r="AU1" i="8"/>
  <c r="AQ3" i="8"/>
  <c r="AT36" i="8" s="1"/>
  <c r="X9" i="8"/>
  <c r="Y30" i="8"/>
  <c r="Y14" i="8"/>
  <c r="W20" i="8"/>
  <c r="X5" i="8"/>
  <c r="X25" i="8"/>
  <c r="X30" i="8"/>
  <c r="W25" i="8"/>
  <c r="Y19" i="8"/>
  <c r="X14" i="8"/>
  <c r="Y7" i="8"/>
  <c r="W29" i="8"/>
  <c r="Y23" i="8"/>
  <c r="X18" i="8"/>
  <c r="W13" i="8"/>
  <c r="X6" i="8"/>
  <c r="X26" i="8"/>
  <c r="Y15" i="8"/>
  <c r="W30" i="8"/>
  <c r="X23" i="8"/>
  <c r="W18" i="8"/>
  <c r="Y12" i="8"/>
  <c r="X32" i="8"/>
  <c r="W27" i="8"/>
  <c r="X20" i="8"/>
  <c r="W15" i="8"/>
  <c r="Y9" i="8"/>
  <c r="X22" i="8"/>
  <c r="Y11" i="8"/>
  <c r="Y28" i="8"/>
  <c r="W22" i="8"/>
  <c r="Y16" i="8"/>
  <c r="X11" i="8"/>
  <c r="W31" i="8"/>
  <c r="Y25" i="8"/>
  <c r="W19" i="8"/>
  <c r="Y13" i="8"/>
  <c r="W7" i="8"/>
  <c r="Y31" i="8"/>
  <c r="W9" i="8"/>
  <c r="Y32" i="8"/>
  <c r="Y20" i="8"/>
  <c r="W10" i="8"/>
  <c r="W23" i="8"/>
  <c r="X12" i="8"/>
  <c r="X21" i="8"/>
  <c r="X17" i="8"/>
  <c r="X13" i="8"/>
  <c r="Y27" i="8"/>
  <c r="W5" i="8"/>
  <c r="X31" i="8"/>
  <c r="X19" i="8"/>
  <c r="X7" i="8"/>
  <c r="Y21" i="8"/>
  <c r="W11" i="8"/>
  <c r="W4" i="8"/>
  <c r="Y26" i="8"/>
  <c r="W21" i="8"/>
  <c r="X27" i="8"/>
  <c r="X15" i="8"/>
  <c r="Y29" i="8"/>
  <c r="Y17" i="8"/>
  <c r="Y5" i="8"/>
  <c r="W6" i="8"/>
  <c r="W32" i="8"/>
  <c r="Y6" i="8"/>
  <c r="W28" i="8"/>
  <c r="Y4" i="8"/>
  <c r="W24" i="8"/>
  <c r="W17" i="8"/>
  <c r="W26" i="8"/>
  <c r="W14" i="8"/>
  <c r="X28" i="8"/>
  <c r="X16" i="8"/>
  <c r="Y22" i="8"/>
  <c r="Y18" i="8"/>
  <c r="W16" i="8"/>
  <c r="X29" i="8"/>
  <c r="X4" i="8"/>
  <c r="W12" i="8"/>
  <c r="W8" i="8"/>
  <c r="Q30" i="8"/>
  <c r="L11" i="8"/>
  <c r="T18" i="8"/>
  <c r="M11" i="8"/>
  <c r="U18" i="8"/>
  <c r="P30" i="8"/>
  <c r="Q13" i="8"/>
  <c r="P13" i="8"/>
  <c r="M21" i="8"/>
  <c r="U21" i="8"/>
  <c r="L22" i="8"/>
  <c r="P24" i="8"/>
  <c r="X24" i="8"/>
  <c r="P28" i="8"/>
  <c r="M23" i="8"/>
  <c r="M22" i="8"/>
  <c r="Q24" i="8"/>
  <c r="Y24" i="8"/>
  <c r="Q28" i="8"/>
  <c r="L21" i="8"/>
  <c r="T21" i="8"/>
  <c r="L23" i="8"/>
  <c r="Q26" i="8"/>
  <c r="P26" i="8"/>
  <c r="Q10" i="8"/>
  <c r="Y10" i="8"/>
  <c r="P10" i="8"/>
  <c r="X10" i="8"/>
  <c r="M9" i="8"/>
  <c r="L9" i="8"/>
  <c r="M8" i="8"/>
  <c r="Y8" i="8"/>
  <c r="L8" i="8"/>
  <c r="X8" i="8"/>
  <c r="M7" i="8"/>
  <c r="U7" i="8"/>
  <c r="L7" i="8"/>
  <c r="T7" i="8"/>
  <c r="M6" i="8"/>
  <c r="L6" i="8"/>
  <c r="V14" i="8"/>
  <c r="V30" i="8"/>
  <c r="V7" i="8"/>
  <c r="V9" i="8"/>
  <c r="V15" i="8"/>
  <c r="V21" i="8"/>
  <c r="V16" i="8"/>
  <c r="V25" i="8"/>
  <c r="F7" i="8"/>
  <c r="F32" i="8"/>
  <c r="F31" i="8"/>
  <c r="F26" i="8"/>
  <c r="F12" i="8"/>
  <c r="F19" i="8"/>
  <c r="F14" i="8"/>
  <c r="F24" i="8"/>
  <c r="F27" i="8"/>
  <c r="F9" i="8"/>
  <c r="F10" i="8"/>
  <c r="F29" i="8"/>
  <c r="F25" i="8"/>
  <c r="F18" i="8"/>
  <c r="F13" i="8"/>
  <c r="F23" i="8"/>
  <c r="F8" i="8"/>
  <c r="F21" i="8"/>
  <c r="F15" i="8"/>
  <c r="F6" i="8"/>
  <c r="F30" i="8"/>
  <c r="F28" i="8"/>
  <c r="F20" i="8"/>
  <c r="F22" i="8"/>
  <c r="F17" i="8"/>
  <c r="F11" i="8"/>
  <c r="F4" i="8"/>
  <c r="F5" i="8"/>
  <c r="F16" i="8"/>
  <c r="J26" i="8"/>
  <c r="J27" i="8"/>
  <c r="J20" i="8"/>
  <c r="J22" i="8"/>
  <c r="J17" i="8"/>
  <c r="J11" i="8"/>
  <c r="J7" i="8"/>
  <c r="N25" i="8"/>
  <c r="N27" i="8"/>
  <c r="N16" i="8"/>
  <c r="N21" i="8"/>
  <c r="N15" i="8"/>
  <c r="N7" i="8"/>
  <c r="N5" i="8"/>
  <c r="N26" i="8"/>
  <c r="N17" i="8"/>
  <c r="J31" i="8"/>
  <c r="J25" i="8"/>
  <c r="J16" i="8"/>
  <c r="J21" i="8"/>
  <c r="J15" i="8"/>
  <c r="J4" i="8"/>
  <c r="J5" i="8"/>
  <c r="N31" i="8"/>
  <c r="N24" i="8"/>
  <c r="N12" i="8"/>
  <c r="N19" i="8"/>
  <c r="N14" i="8"/>
  <c r="N6" i="8"/>
  <c r="N13" i="8"/>
  <c r="N4" i="8"/>
  <c r="J32" i="8"/>
  <c r="J28" i="8"/>
  <c r="J24" i="8"/>
  <c r="J18" i="8"/>
  <c r="J6" i="8"/>
  <c r="N32" i="8"/>
  <c r="N28" i="8"/>
  <c r="N20" i="8"/>
  <c r="N10" i="8"/>
  <c r="J29" i="8"/>
  <c r="J12" i="8"/>
  <c r="J19" i="8"/>
  <c r="J14" i="8"/>
  <c r="J23" i="8"/>
  <c r="J8" i="8"/>
  <c r="N30" i="8"/>
  <c r="N29" i="8"/>
  <c r="N23" i="8"/>
  <c r="N9" i="8"/>
  <c r="N18" i="8"/>
  <c r="N11" i="8"/>
  <c r="J30" i="8"/>
  <c r="J9" i="8"/>
  <c r="J13" i="8"/>
  <c r="J10" i="8"/>
  <c r="N22" i="8"/>
  <c r="N8" i="8"/>
  <c r="R32" i="8"/>
  <c r="R30" i="8"/>
  <c r="R20" i="8"/>
  <c r="R28" i="8"/>
  <c r="R23" i="8"/>
  <c r="R22" i="8"/>
  <c r="R13" i="8"/>
  <c r="R15" i="8"/>
  <c r="R8" i="8"/>
  <c r="R25" i="8"/>
  <c r="R27" i="8"/>
  <c r="R26" i="8"/>
  <c r="R16" i="8"/>
  <c r="R24" i="8"/>
  <c r="R18" i="8"/>
  <c r="R11" i="8"/>
  <c r="R5" i="8"/>
  <c r="R21" i="8"/>
  <c r="R6" i="8"/>
  <c r="R31" i="8"/>
  <c r="R12" i="8"/>
  <c r="R9" i="8"/>
  <c r="R14" i="8"/>
  <c r="R10" i="8"/>
  <c r="R7" i="8"/>
  <c r="R19" i="8"/>
  <c r="R29" i="8"/>
  <c r="R4" i="8"/>
  <c r="R17" i="8"/>
  <c r="V24" i="8"/>
  <c r="V19" i="8"/>
  <c r="V29" i="8"/>
  <c r="V32" i="8"/>
  <c r="V8" i="8"/>
  <c r="V11" i="8"/>
  <c r="V17" i="8"/>
  <c r="V22" i="8"/>
  <c r="V20" i="8"/>
  <c r="V27" i="8"/>
  <c r="V31" i="8"/>
  <c r="V10" i="8"/>
  <c r="V12" i="8"/>
  <c r="V5" i="8"/>
  <c r="V6" i="8"/>
  <c r="V4" i="8"/>
  <c r="V13" i="8"/>
  <c r="V18" i="8"/>
  <c r="V23" i="8"/>
  <c r="V28" i="8"/>
  <c r="V26" i="8"/>
  <c r="Z32" i="8"/>
  <c r="Z31" i="8"/>
  <c r="Z30" i="8"/>
  <c r="Z26" i="8"/>
  <c r="Z29" i="8"/>
  <c r="Z28" i="8"/>
  <c r="Z27" i="8"/>
  <c r="Z25" i="8"/>
  <c r="Z24" i="8"/>
  <c r="Z20" i="8"/>
  <c r="Z16" i="8"/>
  <c r="Z12" i="8"/>
  <c r="Z9" i="8"/>
  <c r="Z22" i="8"/>
  <c r="Z21" i="8"/>
  <c r="Z19" i="8"/>
  <c r="Z18" i="8"/>
  <c r="Z17" i="8"/>
  <c r="Z15" i="8"/>
  <c r="Z14" i="8"/>
  <c r="Z13" i="8"/>
  <c r="Z11" i="8"/>
  <c r="Z23" i="8"/>
  <c r="Z4" i="8"/>
  <c r="Z10" i="8"/>
  <c r="Z7" i="8"/>
  <c r="Z5" i="8"/>
  <c r="Z8" i="8"/>
  <c r="Z6" i="8"/>
  <c r="O1" i="7"/>
  <c r="O3" i="7" s="1"/>
  <c r="Q41" i="7" s="1"/>
  <c r="E21" i="1"/>
  <c r="G31" i="7" s="1"/>
  <c r="O41" i="7" l="1"/>
  <c r="O43" i="7"/>
  <c r="R44" i="7"/>
  <c r="O45" i="7"/>
  <c r="O44" i="7"/>
  <c r="R43" i="7"/>
  <c r="P43" i="7"/>
  <c r="Q43" i="7"/>
  <c r="P45" i="7"/>
  <c r="Q45" i="7"/>
  <c r="Q44" i="7"/>
  <c r="P44" i="7"/>
  <c r="R45" i="7"/>
  <c r="P41" i="7"/>
  <c r="R41" i="7"/>
  <c r="Q58" i="14"/>
  <c r="P6" i="14"/>
  <c r="F37" i="7"/>
  <c r="P4" i="14"/>
  <c r="Q4" i="14"/>
  <c r="P24" i="14"/>
  <c r="P58" i="14"/>
  <c r="F38" i="7"/>
  <c r="F26" i="7"/>
  <c r="F29" i="7"/>
  <c r="F42" i="7"/>
  <c r="F41" i="7"/>
  <c r="F19" i="7"/>
  <c r="F27" i="7"/>
  <c r="F33" i="7"/>
  <c r="F40" i="7"/>
  <c r="F39" i="7"/>
  <c r="F28" i="7"/>
  <c r="F31" i="7"/>
  <c r="F35" i="7"/>
  <c r="F36" i="7"/>
  <c r="F30" i="7"/>
  <c r="F32" i="7"/>
  <c r="F34" i="7"/>
  <c r="F20" i="7"/>
  <c r="AT45" i="8"/>
  <c r="AT48" i="8"/>
  <c r="AT38" i="8"/>
  <c r="AT49" i="8"/>
  <c r="AT37" i="8"/>
  <c r="AT39" i="8"/>
  <c r="AT41" i="8"/>
  <c r="AT40" i="8"/>
  <c r="AT47" i="8"/>
  <c r="AT44" i="8"/>
  <c r="AT33" i="8"/>
  <c r="AT42" i="8"/>
  <c r="AT35" i="8"/>
  <c r="AT34" i="8"/>
  <c r="AT46" i="8"/>
  <c r="Q40" i="7"/>
  <c r="O37" i="7"/>
  <c r="R40" i="7"/>
  <c r="P40" i="7"/>
  <c r="P37" i="7"/>
  <c r="Q42" i="7"/>
  <c r="R37" i="7"/>
  <c r="Q37" i="7"/>
  <c r="O42" i="7"/>
  <c r="R42" i="7"/>
  <c r="O40" i="7"/>
  <c r="P42" i="7"/>
  <c r="P34" i="7"/>
  <c r="P33" i="7"/>
  <c r="Q36" i="7"/>
  <c r="R36" i="7"/>
  <c r="O33" i="7"/>
  <c r="R33" i="7"/>
  <c r="R34" i="7"/>
  <c r="Q32" i="7"/>
  <c r="Q35" i="7"/>
  <c r="O34" i="7"/>
  <c r="Q39" i="7"/>
  <c r="R32" i="7"/>
  <c r="R39" i="7"/>
  <c r="P35" i="7"/>
  <c r="O38" i="7"/>
  <c r="Q33" i="7"/>
  <c r="O32" i="7"/>
  <c r="R38" i="7"/>
  <c r="P39" i="7"/>
  <c r="Q38" i="7"/>
  <c r="P32" i="7"/>
  <c r="P36" i="7"/>
  <c r="Q34" i="7"/>
  <c r="O35" i="7"/>
  <c r="R35" i="7"/>
  <c r="O36" i="7"/>
  <c r="P38" i="7"/>
  <c r="O39" i="7"/>
  <c r="AR43" i="8"/>
  <c r="AR35" i="8"/>
  <c r="AQ49" i="8"/>
  <c r="AR42" i="8"/>
  <c r="AR34" i="8"/>
  <c r="AS35" i="8"/>
  <c r="AR38" i="8"/>
  <c r="AS40" i="8"/>
  <c r="AQ43" i="8"/>
  <c r="AS36" i="8"/>
  <c r="AS48" i="8"/>
  <c r="AQ39" i="8"/>
  <c r="AS33" i="8"/>
  <c r="AQ48" i="8"/>
  <c r="AR45" i="8"/>
  <c r="AQ36" i="8"/>
  <c r="AS46" i="8"/>
  <c r="AQ41" i="8"/>
  <c r="AQ34" i="8"/>
  <c r="AS39" i="8"/>
  <c r="AS43" i="8"/>
  <c r="AS38" i="8"/>
  <c r="AS41" i="8"/>
  <c r="AR33" i="8"/>
  <c r="AQ37" i="8"/>
  <c r="AQ47" i="8"/>
  <c r="AQ44" i="8"/>
  <c r="AR37" i="8"/>
  <c r="AR47" i="8"/>
  <c r="AS34" i="8"/>
  <c r="AQ45" i="8"/>
  <c r="AS42" i="8"/>
  <c r="AR49" i="8"/>
  <c r="AQ33" i="8"/>
  <c r="AS47" i="8"/>
  <c r="AQ35" i="8"/>
  <c r="AS37" i="8"/>
  <c r="AR44" i="8"/>
  <c r="AR48" i="8"/>
  <c r="AR41" i="8"/>
  <c r="AQ40" i="8"/>
  <c r="AR40" i="8"/>
  <c r="AQ38" i="8"/>
  <c r="AS45" i="8"/>
  <c r="AQ42" i="8"/>
  <c r="AR46" i="8"/>
  <c r="AS44" i="8"/>
  <c r="AS49" i="8"/>
  <c r="AR39" i="8"/>
  <c r="AR36" i="8"/>
  <c r="AQ46" i="8"/>
  <c r="AT43" i="8"/>
  <c r="D1" i="8"/>
  <c r="G21" i="7"/>
  <c r="F22" i="7"/>
  <c r="G30" i="7"/>
  <c r="Q18" i="14"/>
  <c r="F18" i="7"/>
  <c r="O20" i="7"/>
  <c r="O12" i="7"/>
  <c r="Q23" i="7"/>
  <c r="Q26" i="7"/>
  <c r="R31" i="7"/>
  <c r="P31" i="7"/>
  <c r="Q31" i="7"/>
  <c r="O31" i="7"/>
  <c r="Q20" i="7"/>
  <c r="Q12" i="7"/>
  <c r="O23" i="7"/>
  <c r="R12" i="7"/>
  <c r="P12" i="7"/>
  <c r="P23" i="7"/>
  <c r="R23" i="7"/>
  <c r="R20" i="7"/>
  <c r="P20" i="7"/>
  <c r="O26" i="7"/>
  <c r="Q29" i="7"/>
  <c r="Q28" i="7"/>
  <c r="Q22" i="7"/>
  <c r="R29" i="7"/>
  <c r="R28" i="7"/>
  <c r="O21" i="7"/>
  <c r="P7" i="7"/>
  <c r="O18" i="7"/>
  <c r="P22" i="7"/>
  <c r="O22" i="7"/>
  <c r="P26" i="7"/>
  <c r="P29" i="7"/>
  <c r="P28" i="7"/>
  <c r="R8" i="7"/>
  <c r="R21" i="7"/>
  <c r="P21" i="7"/>
  <c r="O7" i="7"/>
  <c r="R26" i="7"/>
  <c r="O29" i="7"/>
  <c r="O28" i="7"/>
  <c r="R22" i="7"/>
  <c r="Q8" i="7"/>
  <c r="Q21" i="7"/>
  <c r="R7" i="7"/>
  <c r="R27" i="7"/>
  <c r="P27" i="7"/>
  <c r="Q7" i="7"/>
  <c r="Q18" i="7"/>
  <c r="R6" i="7"/>
  <c r="Q13" i="7"/>
  <c r="O27" i="7"/>
  <c r="P8" i="7"/>
  <c r="Q27" i="7"/>
  <c r="O8" i="7"/>
  <c r="P6" i="7"/>
  <c r="O13" i="7"/>
  <c r="O19" i="7"/>
  <c r="O6" i="7"/>
  <c r="R13" i="7"/>
  <c r="P13" i="7"/>
  <c r="R19" i="7"/>
  <c r="P19" i="7"/>
  <c r="P25" i="7"/>
  <c r="R25" i="7"/>
  <c r="R18" i="7"/>
  <c r="P18" i="7"/>
  <c r="Q19" i="7"/>
  <c r="Q25" i="7"/>
  <c r="O9" i="7"/>
  <c r="O17" i="7"/>
  <c r="O25" i="7"/>
  <c r="Q6" i="7"/>
  <c r="R9" i="7"/>
  <c r="P9" i="7"/>
  <c r="R17" i="7"/>
  <c r="P17" i="7"/>
  <c r="Q9" i="7"/>
  <c r="Q17" i="7"/>
  <c r="R14" i="7"/>
  <c r="P14" i="7"/>
  <c r="P30" i="7"/>
  <c r="R10" i="7"/>
  <c r="P10" i="7"/>
  <c r="R11" i="7"/>
  <c r="P11" i="7"/>
  <c r="R15" i="7"/>
  <c r="P15" i="7"/>
  <c r="O5" i="7"/>
  <c r="O14" i="7"/>
  <c r="O10" i="7"/>
  <c r="O15" i="7"/>
  <c r="Q24" i="7"/>
  <c r="Q4" i="7"/>
  <c r="Q14" i="7"/>
  <c r="Q10" i="7"/>
  <c r="Q15" i="7"/>
  <c r="O16" i="7"/>
  <c r="O4" i="7"/>
  <c r="P24" i="7"/>
  <c r="O24" i="7"/>
  <c r="R24" i="7"/>
  <c r="Q30" i="7"/>
  <c r="O11" i="7"/>
  <c r="P5" i="7"/>
  <c r="R16" i="7"/>
  <c r="P16" i="7"/>
  <c r="R4" i="7"/>
  <c r="O30" i="7"/>
  <c r="Q11" i="7"/>
  <c r="R5" i="7"/>
  <c r="R30" i="7"/>
  <c r="Q5" i="7"/>
  <c r="Q16" i="7"/>
  <c r="P4" i="7"/>
  <c r="F13" i="7"/>
  <c r="F12" i="7"/>
  <c r="F17" i="7"/>
  <c r="F15" i="7"/>
  <c r="F14" i="7"/>
  <c r="F25" i="7"/>
  <c r="F23" i="7"/>
  <c r="F21" i="7"/>
  <c r="F24" i="7"/>
  <c r="F16" i="7"/>
  <c r="Q7" i="14"/>
  <c r="Q16" i="14"/>
  <c r="F8" i="7"/>
  <c r="F10" i="7"/>
  <c r="F6" i="7"/>
  <c r="F5" i="7"/>
  <c r="F9" i="7"/>
  <c r="F4" i="7"/>
  <c r="F7" i="7"/>
  <c r="F11" i="7"/>
  <c r="AY1" i="8"/>
  <c r="AU3" i="8"/>
  <c r="AW64" i="1"/>
  <c r="T1" i="8"/>
  <c r="L1" i="8"/>
  <c r="X1" i="8"/>
  <c r="P1" i="8"/>
  <c r="AA15" i="8"/>
  <c r="AA14" i="8"/>
  <c r="AC32" i="8"/>
  <c r="AB27" i="8"/>
  <c r="AA22" i="8"/>
  <c r="AB13" i="8"/>
  <c r="AA8" i="8"/>
  <c r="AB31" i="8"/>
  <c r="AA26" i="8"/>
  <c r="AC20" i="8"/>
  <c r="AA12" i="8"/>
  <c r="AC6" i="8"/>
  <c r="AB32" i="8"/>
  <c r="AA27" i="8"/>
  <c r="AC21" i="8"/>
  <c r="AB23" i="8"/>
  <c r="AB9" i="8"/>
  <c r="AA31" i="8"/>
  <c r="AB24" i="8"/>
  <c r="AC17" i="8"/>
  <c r="AB10" i="8"/>
  <c r="AA5" i="8"/>
  <c r="AB29" i="8"/>
  <c r="AC22" i="8"/>
  <c r="AB17" i="8"/>
  <c r="AA10" i="8"/>
  <c r="AC4" i="8"/>
  <c r="AA30" i="8"/>
  <c r="AA18" i="8"/>
  <c r="AC29" i="8"/>
  <c r="AA23" i="8"/>
  <c r="AB16" i="8"/>
  <c r="AA9" i="8"/>
  <c r="AA28" i="8"/>
  <c r="AB21" i="8"/>
  <c r="AA16" i="8"/>
  <c r="AC8" i="8"/>
  <c r="AC16" i="8"/>
  <c r="AB28" i="8"/>
  <c r="AA13" i="8"/>
  <c r="AA32" i="8"/>
  <c r="AA20" i="8"/>
  <c r="AB7" i="8"/>
  <c r="AC31" i="8"/>
  <c r="AA25" i="8"/>
  <c r="AB18" i="8"/>
  <c r="AA11" i="8"/>
  <c r="AB4" i="8"/>
  <c r="AC10" i="8"/>
  <c r="AC25" i="8"/>
  <c r="AC11" i="8"/>
  <c r="AC30" i="8"/>
  <c r="AC18" i="8"/>
  <c r="AA6" i="8"/>
  <c r="AB30" i="8"/>
  <c r="AC23" i="8"/>
  <c r="AA17" i="8"/>
  <c r="AC9" i="8"/>
  <c r="AC28" i="8"/>
  <c r="AB20" i="8"/>
  <c r="AC7" i="8"/>
  <c r="AB25" i="8"/>
  <c r="AC12" i="8"/>
  <c r="AA29" i="8"/>
  <c r="AB22" i="8"/>
  <c r="AC13" i="8"/>
  <c r="AB8" i="8"/>
  <c r="AC24" i="8"/>
  <c r="AA19" i="8"/>
  <c r="AB6" i="8"/>
  <c r="AA24" i="8"/>
  <c r="AB11" i="8"/>
  <c r="AC27" i="8"/>
  <c r="AA21" i="8"/>
  <c r="AB12" i="8"/>
  <c r="AA7" i="8"/>
  <c r="AB26" i="8"/>
  <c r="AC5" i="8"/>
  <c r="AB19" i="8"/>
  <c r="AB15" i="8"/>
  <c r="AC15" i="8"/>
  <c r="AC14" i="8"/>
  <c r="AB14" i="8"/>
  <c r="AC26" i="8"/>
  <c r="AB5" i="8"/>
  <c r="AC19" i="8"/>
  <c r="AD32" i="8"/>
  <c r="AD31" i="8"/>
  <c r="AD30" i="8"/>
  <c r="AD26" i="8"/>
  <c r="AD25" i="8"/>
  <c r="AD29" i="8"/>
  <c r="AD24" i="8"/>
  <c r="AD23" i="8"/>
  <c r="AD20" i="8"/>
  <c r="AD16" i="8"/>
  <c r="AD12" i="8"/>
  <c r="AD28" i="8"/>
  <c r="AD27" i="8"/>
  <c r="AD9" i="8"/>
  <c r="AD5" i="8"/>
  <c r="AD22" i="8"/>
  <c r="AD21" i="8"/>
  <c r="AD19" i="8"/>
  <c r="AD18" i="8"/>
  <c r="AD17" i="8"/>
  <c r="AD15" i="8"/>
  <c r="AD14" i="8"/>
  <c r="AD13" i="8"/>
  <c r="AD8" i="8"/>
  <c r="AD7" i="8"/>
  <c r="AD6" i="8"/>
  <c r="AD4" i="8"/>
  <c r="AD10" i="8"/>
  <c r="AD11" i="8"/>
  <c r="S1" i="7"/>
  <c r="S3" i="7" s="1"/>
  <c r="V43" i="7" l="1"/>
  <c r="S44" i="7"/>
  <c r="S45" i="7"/>
  <c r="U45" i="7"/>
  <c r="V45" i="7"/>
  <c r="U44" i="7"/>
  <c r="T43" i="7"/>
  <c r="T44" i="7"/>
  <c r="S43" i="7"/>
  <c r="U43" i="7"/>
  <c r="V44" i="7"/>
  <c r="T45" i="7"/>
  <c r="V41" i="7"/>
  <c r="T41" i="7"/>
  <c r="U41" i="7"/>
  <c r="S41" i="7"/>
  <c r="L24" i="14"/>
  <c r="L6" i="14"/>
  <c r="L23" i="14"/>
  <c r="L4" i="14"/>
  <c r="U40" i="7"/>
  <c r="U42" i="7"/>
  <c r="T37" i="7"/>
  <c r="U37" i="7"/>
  <c r="S40" i="7"/>
  <c r="V37" i="7"/>
  <c r="S42" i="7"/>
  <c r="V40" i="7"/>
  <c r="S37" i="7"/>
  <c r="V42" i="7"/>
  <c r="T40" i="7"/>
  <c r="T42" i="7"/>
  <c r="U32" i="7"/>
  <c r="U39" i="7"/>
  <c r="T38" i="7"/>
  <c r="T36" i="7"/>
  <c r="T39" i="7"/>
  <c r="U33" i="7"/>
  <c r="U38" i="7"/>
  <c r="V36" i="7"/>
  <c r="S33" i="7"/>
  <c r="V34" i="7"/>
  <c r="U35" i="7"/>
  <c r="V38" i="7"/>
  <c r="V39" i="7"/>
  <c r="V35" i="7"/>
  <c r="V33" i="7"/>
  <c r="S34" i="7"/>
  <c r="S35" i="7"/>
  <c r="S32" i="7"/>
  <c r="V32" i="7"/>
  <c r="T35" i="7"/>
  <c r="S39" i="7"/>
  <c r="U34" i="7"/>
  <c r="T34" i="7"/>
  <c r="T33" i="7"/>
  <c r="T32" i="7"/>
  <c r="U36" i="7"/>
  <c r="S38" i="7"/>
  <c r="S36" i="7"/>
  <c r="AU48" i="8"/>
  <c r="AW39" i="8"/>
  <c r="AW37" i="8"/>
  <c r="AU47" i="8"/>
  <c r="AW33" i="8"/>
  <c r="AU43" i="8"/>
  <c r="AV46" i="8"/>
  <c r="AU33" i="8"/>
  <c r="AV43" i="8"/>
  <c r="AW35" i="8"/>
  <c r="AV44" i="8"/>
  <c r="AW36" i="8"/>
  <c r="AW47" i="8"/>
  <c r="AW48" i="8"/>
  <c r="AW46" i="8"/>
  <c r="AU39" i="8"/>
  <c r="AW43" i="8"/>
  <c r="AU44" i="8"/>
  <c r="AU46" i="8"/>
  <c r="AV39" i="8"/>
  <c r="AU41" i="8"/>
  <c r="AU34" i="8"/>
  <c r="AW42" i="8"/>
  <c r="AU37" i="8"/>
  <c r="AV35" i="8"/>
  <c r="AW38" i="8"/>
  <c r="AU35" i="8"/>
  <c r="AV47" i="8"/>
  <c r="AV37" i="8"/>
  <c r="AV48" i="8"/>
  <c r="AU42" i="8"/>
  <c r="AV33" i="8"/>
  <c r="AU38" i="8"/>
  <c r="AU40" i="8"/>
  <c r="AV34" i="8"/>
  <c r="AV49" i="8"/>
  <c r="AV38" i="8"/>
  <c r="AU49" i="8"/>
  <c r="AV42" i="8"/>
  <c r="AU45" i="8"/>
  <c r="AV40" i="8"/>
  <c r="AV45" i="8"/>
  <c r="AW49" i="8"/>
  <c r="AW44" i="8"/>
  <c r="AV36" i="8"/>
  <c r="AV41" i="8"/>
  <c r="AW41" i="8"/>
  <c r="AW34" i="8"/>
  <c r="AW45" i="8"/>
  <c r="AU36" i="8"/>
  <c r="AW40" i="8"/>
  <c r="AX47" i="8"/>
  <c r="AX43" i="8"/>
  <c r="AX40" i="8"/>
  <c r="AX46" i="8"/>
  <c r="AX49" i="8"/>
  <c r="AX48" i="8"/>
  <c r="AX42" i="8"/>
  <c r="AX41" i="8"/>
  <c r="AX44" i="8"/>
  <c r="AX35" i="8"/>
  <c r="AX45" i="8"/>
  <c r="AX33" i="8"/>
  <c r="AX39" i="8"/>
  <c r="AX34" i="8"/>
  <c r="AX37" i="8"/>
  <c r="AX36" i="8"/>
  <c r="AX38" i="8"/>
  <c r="L21" i="14"/>
  <c r="L13" i="14"/>
  <c r="L28" i="14"/>
  <c r="L5" i="14"/>
  <c r="L22" i="14"/>
  <c r="L18" i="14"/>
  <c r="L35" i="14"/>
  <c r="L33" i="14"/>
  <c r="L9" i="14"/>
  <c r="L34" i="14"/>
  <c r="L32" i="14"/>
  <c r="L29" i="14"/>
  <c r="L30" i="14"/>
  <c r="L3" i="14"/>
  <c r="L7" i="14"/>
  <c r="L12" i="14"/>
  <c r="L25" i="14"/>
  <c r="T31" i="7"/>
  <c r="U20" i="7"/>
  <c r="U12" i="7"/>
  <c r="V31" i="7"/>
  <c r="S20" i="7"/>
  <c r="T20" i="7"/>
  <c r="S12" i="7"/>
  <c r="T12" i="7"/>
  <c r="S31" i="7"/>
  <c r="U31" i="7"/>
  <c r="V20" i="7"/>
  <c r="V12" i="7"/>
  <c r="T23" i="7"/>
  <c r="V23" i="7"/>
  <c r="U28" i="7"/>
  <c r="U22" i="7"/>
  <c r="S8" i="7"/>
  <c r="U23" i="7"/>
  <c r="S23" i="7"/>
  <c r="T22" i="7"/>
  <c r="T26" i="7"/>
  <c r="T29" i="7"/>
  <c r="S28" i="7"/>
  <c r="S29" i="7"/>
  <c r="S27" i="7"/>
  <c r="V22" i="7"/>
  <c r="S26" i="7"/>
  <c r="V29" i="7"/>
  <c r="V28" i="7"/>
  <c r="U7" i="7"/>
  <c r="T27" i="7"/>
  <c r="V26" i="7"/>
  <c r="U29" i="7"/>
  <c r="T28" i="7"/>
  <c r="U26" i="7"/>
  <c r="S22" i="7"/>
  <c r="U27" i="7"/>
  <c r="V27" i="7"/>
  <c r="V8" i="7"/>
  <c r="U8" i="7"/>
  <c r="U21" i="7"/>
  <c r="V7" i="7"/>
  <c r="U18" i="7"/>
  <c r="T6" i="7"/>
  <c r="S13" i="7"/>
  <c r="T13" i="7"/>
  <c r="S19" i="7"/>
  <c r="T19" i="7"/>
  <c r="U25" i="7"/>
  <c r="V25" i="7"/>
  <c r="T8" i="7"/>
  <c r="S6" i="7"/>
  <c r="V13" i="7"/>
  <c r="V19" i="7"/>
  <c r="T25" i="7"/>
  <c r="S21" i="7"/>
  <c r="T21" i="7"/>
  <c r="T7" i="7"/>
  <c r="S18" i="7"/>
  <c r="T18" i="7"/>
  <c r="V6" i="7"/>
  <c r="U13" i="7"/>
  <c r="U19" i="7"/>
  <c r="S25" i="7"/>
  <c r="V21" i="7"/>
  <c r="S7" i="7"/>
  <c r="V18" i="7"/>
  <c r="U6" i="7"/>
  <c r="S9" i="7"/>
  <c r="T9" i="7"/>
  <c r="S17" i="7"/>
  <c r="T17" i="7"/>
  <c r="U14" i="7"/>
  <c r="S30" i="7"/>
  <c r="V9" i="7"/>
  <c r="V17" i="7"/>
  <c r="S10" i="7"/>
  <c r="T10" i="7"/>
  <c r="S11" i="7"/>
  <c r="T11" i="7"/>
  <c r="S15" i="7"/>
  <c r="T15" i="7"/>
  <c r="T5" i="7"/>
  <c r="U9" i="7"/>
  <c r="U17" i="7"/>
  <c r="S14" i="7"/>
  <c r="T14" i="7"/>
  <c r="U30" i="7"/>
  <c r="V10" i="7"/>
  <c r="V11" i="7"/>
  <c r="V15" i="7"/>
  <c r="S5" i="7"/>
  <c r="V14" i="7"/>
  <c r="T30" i="7"/>
  <c r="U10" i="7"/>
  <c r="U11" i="7"/>
  <c r="U15" i="7"/>
  <c r="V5" i="7"/>
  <c r="V30" i="7"/>
  <c r="U5" i="7"/>
  <c r="V16" i="7"/>
  <c r="S16" i="7"/>
  <c r="U16" i="7"/>
  <c r="U4" i="7"/>
  <c r="V4" i="7"/>
  <c r="S24" i="7"/>
  <c r="T4" i="7"/>
  <c r="T16" i="7"/>
  <c r="S4" i="7"/>
  <c r="U24" i="7"/>
  <c r="V24" i="7"/>
  <c r="T24" i="7"/>
  <c r="L8" i="14"/>
  <c r="L14" i="14"/>
  <c r="L11" i="14"/>
  <c r="L20" i="14"/>
  <c r="L10" i="14"/>
  <c r="Q1" i="14"/>
  <c r="L16" i="14"/>
  <c r="P1" i="14"/>
  <c r="AW66" i="1"/>
  <c r="BC1" i="8"/>
  <c r="AY3" i="8"/>
  <c r="AB1" i="8"/>
  <c r="AG28" i="8"/>
  <c r="AF23" i="8"/>
  <c r="AE18" i="8"/>
  <c r="AE10" i="8"/>
  <c r="AG4" i="8"/>
  <c r="AG32" i="8"/>
  <c r="AF27" i="8"/>
  <c r="AE22" i="8"/>
  <c r="AG16" i="8"/>
  <c r="AG8" i="8"/>
  <c r="AE31" i="8"/>
  <c r="AG25" i="8"/>
  <c r="AF20" i="8"/>
  <c r="AE15" i="8"/>
  <c r="AF8" i="8"/>
  <c r="AE30" i="8"/>
  <c r="AF19" i="8"/>
  <c r="AE6" i="8"/>
  <c r="AF28" i="8"/>
  <c r="AG21" i="8"/>
  <c r="AG13" i="8"/>
  <c r="AG5" i="8"/>
  <c r="AE32" i="8"/>
  <c r="AG26" i="8"/>
  <c r="AF21" i="8"/>
  <c r="AE16" i="8"/>
  <c r="AF9" i="8"/>
  <c r="AE4" i="8"/>
  <c r="AF30" i="8"/>
  <c r="AE25" i="8"/>
  <c r="AG19" i="8"/>
  <c r="AE13" i="8"/>
  <c r="AF6" i="8"/>
  <c r="AE26" i="8"/>
  <c r="AF15" i="8"/>
  <c r="AE27" i="8"/>
  <c r="AE19" i="8"/>
  <c r="AE11" i="8"/>
  <c r="AF4" i="8"/>
  <c r="AG30" i="8"/>
  <c r="AF25" i="8"/>
  <c r="AE20" i="8"/>
  <c r="AF13" i="8"/>
  <c r="AE8" i="8"/>
  <c r="AE29" i="8"/>
  <c r="AG23" i="8"/>
  <c r="AF18" i="8"/>
  <c r="AF10" i="8"/>
  <c r="AG24" i="8"/>
  <c r="AF32" i="8"/>
  <c r="AG17" i="8"/>
  <c r="AE12" i="8"/>
  <c r="AF22" i="8"/>
  <c r="AE9" i="8"/>
  <c r="AG20" i="8"/>
  <c r="AG29" i="8"/>
  <c r="AF16" i="8"/>
  <c r="AG22" i="8"/>
  <c r="AG10" i="8"/>
  <c r="AG31" i="8"/>
  <c r="AE21" i="8"/>
  <c r="AG7" i="8"/>
  <c r="AE14" i="8"/>
  <c r="AF24" i="8"/>
  <c r="AG9" i="8"/>
  <c r="AF29" i="8"/>
  <c r="AG18" i="8"/>
  <c r="AG6" i="8"/>
  <c r="AG27" i="8"/>
  <c r="AE17" i="8"/>
  <c r="AE5" i="8"/>
  <c r="AF31" i="8"/>
  <c r="AF7" i="8"/>
  <c r="AE23" i="8"/>
  <c r="AE7" i="8"/>
  <c r="AE28" i="8"/>
  <c r="AF17" i="8"/>
  <c r="AF5" i="8"/>
  <c r="AF26" i="8"/>
  <c r="AG15" i="8"/>
  <c r="AG12" i="8"/>
  <c r="AF11" i="8"/>
  <c r="AG11" i="8"/>
  <c r="AF12" i="8"/>
  <c r="AF14" i="8"/>
  <c r="AG14" i="8"/>
  <c r="AH32" i="8"/>
  <c r="AH31" i="8"/>
  <c r="AH30" i="8"/>
  <c r="AH26" i="8"/>
  <c r="AH25" i="8"/>
  <c r="AH28" i="8"/>
  <c r="AH27" i="8"/>
  <c r="AH20" i="8"/>
  <c r="AH16" i="8"/>
  <c r="AH12" i="8"/>
  <c r="AH9" i="8"/>
  <c r="AH5" i="8"/>
  <c r="AH23" i="8"/>
  <c r="AH24" i="8"/>
  <c r="AH22" i="8"/>
  <c r="AH15" i="8"/>
  <c r="AH4" i="8"/>
  <c r="AH21" i="8"/>
  <c r="AH19" i="8"/>
  <c r="AH17" i="8"/>
  <c r="AH10" i="8"/>
  <c r="AH18" i="8"/>
  <c r="AH14" i="8"/>
  <c r="AH11" i="8"/>
  <c r="AH8" i="8"/>
  <c r="AH7" i="8"/>
  <c r="AH6" i="8"/>
  <c r="AH13" i="8"/>
  <c r="AH29" i="8"/>
  <c r="W1" i="7"/>
  <c r="W3" i="7" s="1"/>
  <c r="X43" i="7" l="1"/>
  <c r="X44" i="7"/>
  <c r="Z44" i="7"/>
  <c r="W45" i="7"/>
  <c r="Y43" i="7"/>
  <c r="W44" i="7"/>
  <c r="Z45" i="7"/>
  <c r="Z43" i="7"/>
  <c r="Y44" i="7"/>
  <c r="X45" i="7"/>
  <c r="Y45" i="7"/>
  <c r="W43" i="7"/>
  <c r="Y41" i="7"/>
  <c r="W41" i="7"/>
  <c r="X41" i="7"/>
  <c r="Z41" i="7"/>
  <c r="AY37" i="8"/>
  <c r="BA33" i="8"/>
  <c r="AZ44" i="8"/>
  <c r="AY48" i="8"/>
  <c r="AZ45" i="8"/>
  <c r="AZ48" i="8"/>
  <c r="AY43" i="8"/>
  <c r="BA46" i="8"/>
  <c r="AZ43" i="8"/>
  <c r="AZ42" i="8"/>
  <c r="AY35" i="8"/>
  <c r="BA40" i="8"/>
  <c r="AZ47" i="8"/>
  <c r="AZ33" i="8"/>
  <c r="BA43" i="8"/>
  <c r="AY36" i="8"/>
  <c r="AY38" i="8"/>
  <c r="AY47" i="8"/>
  <c r="AZ41" i="8"/>
  <c r="AY45" i="8"/>
  <c r="AZ36" i="8"/>
  <c r="BA36" i="8"/>
  <c r="BA39" i="8"/>
  <c r="BA48" i="8"/>
  <c r="BA35" i="8"/>
  <c r="AY40" i="8"/>
  <c r="BA45" i="8"/>
  <c r="BA38" i="8"/>
  <c r="AY46" i="8"/>
  <c r="AZ37" i="8"/>
  <c r="AZ38" i="8"/>
  <c r="BA37" i="8"/>
  <c r="AY33" i="8"/>
  <c r="AY39" i="8"/>
  <c r="AY44" i="8"/>
  <c r="AZ35" i="8"/>
  <c r="BA47" i="8"/>
  <c r="BA49" i="8"/>
  <c r="AY34" i="8"/>
  <c r="BA44" i="8"/>
  <c r="AZ40" i="8"/>
  <c r="AY49" i="8"/>
  <c r="AZ34" i="8"/>
  <c r="AZ39" i="8"/>
  <c r="BA34" i="8"/>
  <c r="AY42" i="8"/>
  <c r="BA42" i="8"/>
  <c r="AY41" i="8"/>
  <c r="AZ46" i="8"/>
  <c r="BA41" i="8"/>
  <c r="AZ49" i="8"/>
  <c r="BB37" i="8"/>
  <c r="BB48" i="8"/>
  <c r="BB45" i="8"/>
  <c r="BB43" i="8"/>
  <c r="BB38" i="8"/>
  <c r="BB36" i="8"/>
  <c r="BB41" i="8"/>
  <c r="BB39" i="8"/>
  <c r="BB42" i="8"/>
  <c r="BB47" i="8"/>
  <c r="BB35" i="8"/>
  <c r="BB40" i="8"/>
  <c r="BB44" i="8"/>
  <c r="BB33" i="8"/>
  <c r="BB49" i="8"/>
  <c r="BB34" i="8"/>
  <c r="BB46" i="8"/>
  <c r="Z40" i="7"/>
  <c r="W37" i="7"/>
  <c r="Z37" i="7"/>
  <c r="X42" i="7"/>
  <c r="Z42" i="7"/>
  <c r="X40" i="7"/>
  <c r="W40" i="7"/>
  <c r="Y42" i="7"/>
  <c r="Y40" i="7"/>
  <c r="X37" i="7"/>
  <c r="Y37" i="7"/>
  <c r="W42" i="7"/>
  <c r="Z39" i="7"/>
  <c r="Z38" i="7"/>
  <c r="Z35" i="7"/>
  <c r="W39" i="7"/>
  <c r="Z36" i="7"/>
  <c r="X38" i="7"/>
  <c r="W34" i="7"/>
  <c r="Z32" i="7"/>
  <c r="Y32" i="7"/>
  <c r="W38" i="7"/>
  <c r="Z34" i="7"/>
  <c r="W32" i="7"/>
  <c r="W36" i="7"/>
  <c r="X36" i="7"/>
  <c r="X39" i="7"/>
  <c r="Y36" i="7"/>
  <c r="X35" i="7"/>
  <c r="W33" i="7"/>
  <c r="Y38" i="7"/>
  <c r="X32" i="7"/>
  <c r="Z33" i="7"/>
  <c r="X33" i="7"/>
  <c r="Y35" i="7"/>
  <c r="Y33" i="7"/>
  <c r="Y34" i="7"/>
  <c r="X34" i="7"/>
  <c r="W35" i="7"/>
  <c r="Y39" i="7"/>
  <c r="X31" i="7"/>
  <c r="Y31" i="7"/>
  <c r="Z31" i="7"/>
  <c r="X20" i="7"/>
  <c r="X12" i="7"/>
  <c r="W31" i="7"/>
  <c r="W20" i="7"/>
  <c r="W12" i="7"/>
  <c r="Z12" i="7"/>
  <c r="X23" i="7"/>
  <c r="X26" i="7"/>
  <c r="Z29" i="7"/>
  <c r="Y28" i="7"/>
  <c r="Z28" i="7"/>
  <c r="Y22" i="7"/>
  <c r="Y20" i="7"/>
  <c r="Y12" i="7"/>
  <c r="Z20" i="7"/>
  <c r="W28" i="7"/>
  <c r="Y26" i="7"/>
  <c r="Y29" i="7"/>
  <c r="W29" i="7"/>
  <c r="X22" i="7"/>
  <c r="Z26" i="7"/>
  <c r="W22" i="7"/>
  <c r="X8" i="7"/>
  <c r="X21" i="7"/>
  <c r="Z27" i="7"/>
  <c r="Y23" i="7"/>
  <c r="Z23" i="7"/>
  <c r="X29" i="7"/>
  <c r="W23" i="7"/>
  <c r="W26" i="7"/>
  <c r="X28" i="7"/>
  <c r="W8" i="7"/>
  <c r="Z21" i="7"/>
  <c r="W7" i="7"/>
  <c r="Z22" i="7"/>
  <c r="Y8" i="7"/>
  <c r="Y21" i="7"/>
  <c r="Y27" i="7"/>
  <c r="X7" i="7"/>
  <c r="W18" i="7"/>
  <c r="X18" i="7"/>
  <c r="X13" i="7"/>
  <c r="X19" i="7"/>
  <c r="Z7" i="7"/>
  <c r="W27" i="7"/>
  <c r="W21" i="7"/>
  <c r="Y7" i="7"/>
  <c r="Z8" i="7"/>
  <c r="X27" i="7"/>
  <c r="Z18" i="7"/>
  <c r="W6" i="7"/>
  <c r="Z13" i="7"/>
  <c r="Z19" i="7"/>
  <c r="Y13" i="7"/>
  <c r="W19" i="7"/>
  <c r="Y25" i="7"/>
  <c r="Y9" i="7"/>
  <c r="Y17" i="7"/>
  <c r="W16" i="7"/>
  <c r="Y18" i="7"/>
  <c r="X6" i="7"/>
  <c r="W13" i="7"/>
  <c r="X25" i="7"/>
  <c r="X9" i="7"/>
  <c r="X17" i="7"/>
  <c r="Z16" i="7"/>
  <c r="Z6" i="7"/>
  <c r="W25" i="7"/>
  <c r="W9" i="7"/>
  <c r="W17" i="7"/>
  <c r="Y16" i="7"/>
  <c r="Y6" i="7"/>
  <c r="Y19" i="7"/>
  <c r="Z25" i="7"/>
  <c r="Z9" i="7"/>
  <c r="Z17" i="7"/>
  <c r="X14" i="7"/>
  <c r="X10" i="7"/>
  <c r="X11" i="7"/>
  <c r="X15" i="7"/>
  <c r="Y14" i="7"/>
  <c r="Z10" i="7"/>
  <c r="Z11" i="7"/>
  <c r="Z15" i="7"/>
  <c r="W5" i="7"/>
  <c r="Y10" i="7"/>
  <c r="Y11" i="7"/>
  <c r="Y15" i="7"/>
  <c r="Z5" i="7"/>
  <c r="Y4" i="7"/>
  <c r="Y24" i="7"/>
  <c r="X4" i="7"/>
  <c r="W14" i="7"/>
  <c r="Y30" i="7"/>
  <c r="X30" i="7"/>
  <c r="W30" i="7"/>
  <c r="X24" i="7"/>
  <c r="Z24" i="7"/>
  <c r="W4" i="7"/>
  <c r="Z14" i="7"/>
  <c r="Z30" i="7"/>
  <c r="W10" i="7"/>
  <c r="W11" i="7"/>
  <c r="W15" i="7"/>
  <c r="X5" i="7"/>
  <c r="Y5" i="7"/>
  <c r="X16" i="7"/>
  <c r="W24" i="7"/>
  <c r="Z4" i="7"/>
  <c r="BG1" i="8"/>
  <c r="BC3" i="8"/>
  <c r="AW68" i="1"/>
  <c r="AF1" i="8"/>
  <c r="L1" i="7"/>
  <c r="H1" i="7"/>
  <c r="P1" i="7"/>
  <c r="AK31" i="8"/>
  <c r="AJ26" i="8"/>
  <c r="AI21" i="8"/>
  <c r="AJ11" i="8"/>
  <c r="AI6" i="8"/>
  <c r="AK28" i="8"/>
  <c r="AJ30" i="8"/>
  <c r="AI25" i="8"/>
  <c r="AI18" i="8"/>
  <c r="AI10" i="8"/>
  <c r="AK4" i="8"/>
  <c r="AK32" i="8"/>
  <c r="AJ27" i="8"/>
  <c r="AI22" i="8"/>
  <c r="AI11" i="8"/>
  <c r="AJ4" i="8"/>
  <c r="AJ22" i="8"/>
  <c r="AJ7" i="8"/>
  <c r="AI30" i="8"/>
  <c r="AI19" i="8"/>
  <c r="AI7" i="8"/>
  <c r="AJ28" i="8"/>
  <c r="AI23" i="8"/>
  <c r="AI12" i="8"/>
  <c r="AJ5" i="8"/>
  <c r="AJ29" i="8"/>
  <c r="AI24" i="8"/>
  <c r="AJ14" i="8"/>
  <c r="AI9" i="8"/>
  <c r="AI29" i="8"/>
  <c r="AI14" i="8"/>
  <c r="AI26" i="8"/>
  <c r="AI15" i="8"/>
  <c r="AK5" i="8"/>
  <c r="AJ32" i="8"/>
  <c r="AI27" i="8"/>
  <c r="AK21" i="8"/>
  <c r="AK10" i="8"/>
  <c r="AI4" i="8"/>
  <c r="AI28" i="8"/>
  <c r="AK22" i="8"/>
  <c r="AI13" i="8"/>
  <c r="AK7" i="8"/>
  <c r="AK27" i="8"/>
  <c r="AK24" i="8"/>
  <c r="AI31" i="8"/>
  <c r="AI16" i="8"/>
  <c r="AK26" i="8"/>
  <c r="AK11" i="8"/>
  <c r="AK23" i="8"/>
  <c r="AJ23" i="8"/>
  <c r="AK29" i="8"/>
  <c r="AK14" i="8"/>
  <c r="AJ25" i="8"/>
  <c r="AJ10" i="8"/>
  <c r="AI20" i="8"/>
  <c r="AK12" i="8"/>
  <c r="AJ12" i="8"/>
  <c r="AK25" i="8"/>
  <c r="AI8" i="8"/>
  <c r="AI32" i="8"/>
  <c r="AJ21" i="8"/>
  <c r="AJ6" i="8"/>
  <c r="AK8" i="8"/>
  <c r="AJ31" i="8"/>
  <c r="AJ8" i="8"/>
  <c r="AJ24" i="8"/>
  <c r="AK6" i="8"/>
  <c r="AK30" i="8"/>
  <c r="AI17" i="8"/>
  <c r="AI5" i="8"/>
  <c r="AJ18" i="8"/>
  <c r="AK18" i="8"/>
  <c r="AK20" i="8"/>
  <c r="AK13" i="8"/>
  <c r="AK17" i="8"/>
  <c r="AK19" i="8"/>
  <c r="AK9" i="8"/>
  <c r="AJ16" i="8"/>
  <c r="AJ20" i="8"/>
  <c r="AJ13" i="8"/>
  <c r="AJ17" i="8"/>
  <c r="AJ19" i="8"/>
  <c r="AK16" i="8"/>
  <c r="AK15" i="8"/>
  <c r="AJ15" i="8"/>
  <c r="AJ9" i="8"/>
  <c r="AL32" i="8"/>
  <c r="AL31" i="8"/>
  <c r="AL30" i="8"/>
  <c r="AL26" i="8"/>
  <c r="AL29" i="8"/>
  <c r="AL28" i="8"/>
  <c r="AL27" i="8"/>
  <c r="AL25" i="8"/>
  <c r="AL20" i="8"/>
  <c r="AL16" i="8"/>
  <c r="AL12" i="8"/>
  <c r="AL22" i="8"/>
  <c r="AL21" i="8"/>
  <c r="AL19" i="8"/>
  <c r="AL18" i="8"/>
  <c r="AL17" i="8"/>
  <c r="AL15" i="8"/>
  <c r="AL14" i="8"/>
  <c r="AL13" i="8"/>
  <c r="AL11" i="8"/>
  <c r="AL9" i="8"/>
  <c r="AL5" i="8"/>
  <c r="AL24" i="8"/>
  <c r="AL4" i="8"/>
  <c r="AL8" i="8"/>
  <c r="AL7" i="8"/>
  <c r="AL6" i="8"/>
  <c r="AL23" i="8"/>
  <c r="AL10" i="8"/>
  <c r="AA1" i="7"/>
  <c r="AA3" i="7" s="1"/>
  <c r="AD45" i="7" l="1"/>
  <c r="AB45" i="7"/>
  <c r="AB43" i="7"/>
  <c r="AB44" i="7"/>
  <c r="AD43" i="7"/>
  <c r="AC44" i="7"/>
  <c r="AA45" i="7"/>
  <c r="AC45" i="7"/>
  <c r="AA44" i="7"/>
  <c r="AC43" i="7"/>
  <c r="AD44" i="7"/>
  <c r="AA43" i="7"/>
  <c r="AA41" i="7"/>
  <c r="AD41" i="7"/>
  <c r="AB41" i="7"/>
  <c r="AC41" i="7"/>
  <c r="AB40" i="7"/>
  <c r="AA42" i="7"/>
  <c r="AC40" i="7"/>
  <c r="AA37" i="7"/>
  <c r="AD42" i="7"/>
  <c r="AC42" i="7"/>
  <c r="AC37" i="7"/>
  <c r="AD37" i="7"/>
  <c r="AB42" i="7"/>
  <c r="AA40" i="7"/>
  <c r="AD40" i="7"/>
  <c r="AB37" i="7"/>
  <c r="AD36" i="7"/>
  <c r="AC36" i="7"/>
  <c r="AC34" i="7"/>
  <c r="AA32" i="7"/>
  <c r="AD39" i="7"/>
  <c r="AC32" i="7"/>
  <c r="AA33" i="7"/>
  <c r="AB33" i="7"/>
  <c r="AD32" i="7"/>
  <c r="AA39" i="7"/>
  <c r="AD34" i="7"/>
  <c r="AC33" i="7"/>
  <c r="AA36" i="7"/>
  <c r="AD35" i="7"/>
  <c r="AD33" i="7"/>
  <c r="AD38" i="7"/>
  <c r="AC38" i="7"/>
  <c r="AA38" i="7"/>
  <c r="AC39" i="7"/>
  <c r="AB34" i="7"/>
  <c r="AB38" i="7"/>
  <c r="AC35" i="7"/>
  <c r="AB39" i="7"/>
  <c r="AB36" i="7"/>
  <c r="AA35" i="7"/>
  <c r="AB32" i="7"/>
  <c r="AA34" i="7"/>
  <c r="AB35" i="7"/>
  <c r="BE41" i="8"/>
  <c r="BE35" i="8"/>
  <c r="BE40" i="8"/>
  <c r="BC43" i="8"/>
  <c r="BD39" i="8"/>
  <c r="BD37" i="8"/>
  <c r="BC47" i="8"/>
  <c r="BC42" i="8"/>
  <c r="BC46" i="8"/>
  <c r="BC38" i="8"/>
  <c r="BC40" i="8"/>
  <c r="BE36" i="8"/>
  <c r="BE48" i="8"/>
  <c r="BE43" i="8"/>
  <c r="BC35" i="8"/>
  <c r="BE49" i="8"/>
  <c r="BD35" i="8"/>
  <c r="BE47" i="8"/>
  <c r="BD33" i="8"/>
  <c r="BC37" i="8"/>
  <c r="BD46" i="8"/>
  <c r="BE33" i="8"/>
  <c r="BC36" i="8"/>
  <c r="BD44" i="8"/>
  <c r="BD48" i="8"/>
  <c r="BE42" i="8"/>
  <c r="BD41" i="8"/>
  <c r="BD43" i="8"/>
  <c r="BC44" i="8"/>
  <c r="BD49" i="8"/>
  <c r="BC49" i="8"/>
  <c r="BD36" i="8"/>
  <c r="BC33" i="8"/>
  <c r="BE44" i="8"/>
  <c r="BE37" i="8"/>
  <c r="BE46" i="8"/>
  <c r="BD47" i="8"/>
  <c r="BC48" i="8"/>
  <c r="BD45" i="8"/>
  <c r="BD38" i="8"/>
  <c r="BC41" i="8"/>
  <c r="BC34" i="8"/>
  <c r="BE38" i="8"/>
  <c r="BE45" i="8"/>
  <c r="BD42" i="8"/>
  <c r="BC45" i="8"/>
  <c r="BC39" i="8"/>
  <c r="BE39" i="8"/>
  <c r="BE34" i="8"/>
  <c r="BD40" i="8"/>
  <c r="BD34" i="8"/>
  <c r="BF40" i="8"/>
  <c r="BF34" i="8"/>
  <c r="BF45" i="8"/>
  <c r="BF49" i="8"/>
  <c r="BF42" i="8"/>
  <c r="BF46" i="8"/>
  <c r="BF37" i="8"/>
  <c r="BF43" i="8"/>
  <c r="BF48" i="8"/>
  <c r="BF44" i="8"/>
  <c r="BF38" i="8"/>
  <c r="BF39" i="8"/>
  <c r="BF36" i="8"/>
  <c r="BF47" i="8"/>
  <c r="BF41" i="8"/>
  <c r="BF35" i="8"/>
  <c r="BF33" i="8"/>
  <c r="AD31" i="7"/>
  <c r="AA31" i="7"/>
  <c r="AA20" i="7"/>
  <c r="AA12" i="7"/>
  <c r="AC23" i="7"/>
  <c r="AC31" i="7"/>
  <c r="AB31" i="7"/>
  <c r="AB20" i="7"/>
  <c r="AB12" i="7"/>
  <c r="AD23" i="7"/>
  <c r="AC20" i="7"/>
  <c r="AC12" i="7"/>
  <c r="AA23" i="7"/>
  <c r="AD20" i="7"/>
  <c r="AD28" i="7"/>
  <c r="AA22" i="7"/>
  <c r="AD12" i="7"/>
  <c r="AB23" i="7"/>
  <c r="AC26" i="7"/>
  <c r="AD26" i="7"/>
  <c r="AD29" i="7"/>
  <c r="AA26" i="7"/>
  <c r="AA29" i="7"/>
  <c r="AA28" i="7"/>
  <c r="AB22" i="7"/>
  <c r="AD22" i="7"/>
  <c r="AA21" i="7"/>
  <c r="AB7" i="7"/>
  <c r="AC7" i="7"/>
  <c r="AA18" i="7"/>
  <c r="AB8" i="7"/>
  <c r="AC29" i="7"/>
  <c r="AC28" i="7"/>
  <c r="AC22" i="7"/>
  <c r="AA8" i="7"/>
  <c r="AB26" i="7"/>
  <c r="AB29" i="7"/>
  <c r="AB28" i="7"/>
  <c r="AB21" i="7"/>
  <c r="AC8" i="7"/>
  <c r="AC21" i="7"/>
  <c r="AD7" i="7"/>
  <c r="AC18" i="7"/>
  <c r="AD27" i="7"/>
  <c r="AB18" i="7"/>
  <c r="AB13" i="7"/>
  <c r="AD8" i="7"/>
  <c r="AD21" i="7"/>
  <c r="AA27" i="7"/>
  <c r="AB6" i="7"/>
  <c r="AC6" i="7"/>
  <c r="AA13" i="7"/>
  <c r="AA19" i="7"/>
  <c r="AC25" i="7"/>
  <c r="AB27" i="7"/>
  <c r="AA7" i="7"/>
  <c r="AD18" i="7"/>
  <c r="AC27" i="7"/>
  <c r="AD6" i="7"/>
  <c r="AC13" i="7"/>
  <c r="AC19" i="7"/>
  <c r="AA25" i="7"/>
  <c r="AD25" i="7"/>
  <c r="AD30" i="7"/>
  <c r="AA6" i="7"/>
  <c r="AD19" i="7"/>
  <c r="AA9" i="7"/>
  <c r="AA17" i="7"/>
  <c r="AB19" i="7"/>
  <c r="AD9" i="7"/>
  <c r="AD17" i="7"/>
  <c r="AD13" i="7"/>
  <c r="AB25" i="7"/>
  <c r="AB9" i="7"/>
  <c r="AB17" i="7"/>
  <c r="AC9" i="7"/>
  <c r="AC17" i="7"/>
  <c r="AA14" i="7"/>
  <c r="AC30" i="7"/>
  <c r="AA10" i="7"/>
  <c r="AA11" i="7"/>
  <c r="AA15" i="7"/>
  <c r="AB5" i="7"/>
  <c r="AC5" i="7"/>
  <c r="AD16" i="7"/>
  <c r="AB11" i="7"/>
  <c r="AD14" i="7"/>
  <c r="AB30" i="7"/>
  <c r="AD10" i="7"/>
  <c r="AD11" i="7"/>
  <c r="AD15" i="7"/>
  <c r="AA5" i="7"/>
  <c r="AC16" i="7"/>
  <c r="AA4" i="7"/>
  <c r="AC4" i="7"/>
  <c r="AC24" i="7"/>
  <c r="AC14" i="7"/>
  <c r="AA30" i="7"/>
  <c r="AC10" i="7"/>
  <c r="AC11" i="7"/>
  <c r="AC15" i="7"/>
  <c r="AD5" i="7"/>
  <c r="AB24" i="7"/>
  <c r="AB14" i="7"/>
  <c r="AB10" i="7"/>
  <c r="AB15" i="7"/>
  <c r="AB16" i="7"/>
  <c r="AA16" i="7"/>
  <c r="AD24" i="7"/>
  <c r="AD4" i="7"/>
  <c r="AA24" i="7"/>
  <c r="AB4" i="7"/>
  <c r="AW70" i="1"/>
  <c r="BK1" i="8"/>
  <c r="BG3" i="8"/>
  <c r="AJ1" i="8"/>
  <c r="T1" i="7"/>
  <c r="AM5" i="8"/>
  <c r="AM4" i="8"/>
  <c r="AM29" i="8"/>
  <c r="AO23" i="8"/>
  <c r="AN18" i="8"/>
  <c r="AM13" i="8"/>
  <c r="AO7" i="8"/>
  <c r="AO27" i="8"/>
  <c r="AN22" i="8"/>
  <c r="AM17" i="8"/>
  <c r="AO11" i="8"/>
  <c r="AN6" i="8"/>
  <c r="AN26" i="8"/>
  <c r="AO15" i="8"/>
  <c r="AM30" i="8"/>
  <c r="AO24" i="8"/>
  <c r="AN19" i="8"/>
  <c r="AM14" i="8"/>
  <c r="AN7" i="8"/>
  <c r="AO25" i="8"/>
  <c r="AM15" i="8"/>
  <c r="AM28" i="8"/>
  <c r="AN17" i="8"/>
  <c r="AO6" i="8"/>
  <c r="AM25" i="8"/>
  <c r="AN14" i="8"/>
  <c r="AO28" i="8"/>
  <c r="AN23" i="8"/>
  <c r="AM18" i="8"/>
  <c r="AN11" i="8"/>
  <c r="AM6" i="8"/>
  <c r="AM23" i="8"/>
  <c r="AO9" i="8"/>
  <c r="AN25" i="8"/>
  <c r="AO14" i="8"/>
  <c r="AO19" i="8"/>
  <c r="AM26" i="8"/>
  <c r="AN15" i="8"/>
  <c r="AN28" i="8"/>
  <c r="AM20" i="8"/>
  <c r="AM27" i="8"/>
  <c r="AN16" i="8"/>
  <c r="AN29" i="8"/>
  <c r="AO18" i="8"/>
  <c r="AM8" i="8"/>
  <c r="AO31" i="8"/>
  <c r="AN10" i="8"/>
  <c r="AO32" i="8"/>
  <c r="AM22" i="8"/>
  <c r="AM10" i="8"/>
  <c r="AN20" i="8"/>
  <c r="AM12" i="8"/>
  <c r="AN24" i="8"/>
  <c r="AO13" i="8"/>
  <c r="AO26" i="8"/>
  <c r="AM16" i="8"/>
  <c r="AM9" i="8"/>
  <c r="AN31" i="8"/>
  <c r="AO8" i="8"/>
  <c r="AO17" i="8"/>
  <c r="AN9" i="8"/>
  <c r="AO21" i="8"/>
  <c r="AN13" i="8"/>
  <c r="AN27" i="8"/>
  <c r="AM7" i="8"/>
  <c r="AM19" i="8"/>
  <c r="AM32" i="8"/>
  <c r="AO10" i="8"/>
  <c r="AN30" i="8"/>
  <c r="AO20" i="8"/>
  <c r="AO30" i="8"/>
  <c r="AN32" i="8"/>
  <c r="AM11" i="8"/>
  <c r="AM24" i="8"/>
  <c r="AM21" i="8"/>
  <c r="AO16" i="8"/>
  <c r="AM31" i="8"/>
  <c r="AO22" i="8"/>
  <c r="AO29" i="8"/>
  <c r="AN8" i="8"/>
  <c r="AN21" i="8"/>
  <c r="AO4" i="8"/>
  <c r="AN5" i="8"/>
  <c r="AO12" i="8"/>
  <c r="AO5" i="8"/>
  <c r="AN4" i="8"/>
  <c r="AN12" i="8"/>
  <c r="AP32" i="8"/>
  <c r="AP31" i="8"/>
  <c r="AP30" i="8"/>
  <c r="AP26" i="8"/>
  <c r="AP29" i="8"/>
  <c r="AP28" i="8"/>
  <c r="AP27" i="8"/>
  <c r="AP25" i="8"/>
  <c r="AP24" i="8"/>
  <c r="AP20" i="8"/>
  <c r="AP16" i="8"/>
  <c r="AP12" i="8"/>
  <c r="AP9" i="8"/>
  <c r="AP5" i="8"/>
  <c r="AP23" i="8"/>
  <c r="AP22" i="8"/>
  <c r="AP21" i="8"/>
  <c r="AP19" i="8"/>
  <c r="AP18" i="8"/>
  <c r="AP17" i="8"/>
  <c r="AP15" i="8"/>
  <c r="AP14" i="8"/>
  <c r="AP13" i="8"/>
  <c r="AP11" i="8"/>
  <c r="AP4" i="8"/>
  <c r="AP10" i="8"/>
  <c r="AP7" i="8"/>
  <c r="AP8" i="8"/>
  <c r="AP6" i="8"/>
  <c r="AE1" i="7"/>
  <c r="AE3" i="7" s="1"/>
  <c r="AG43" i="7" l="1"/>
  <c r="AG45" i="7"/>
  <c r="AE45" i="7"/>
  <c r="AH45" i="7"/>
  <c r="AF43" i="7"/>
  <c r="AE44" i="7"/>
  <c r="AG44" i="7"/>
  <c r="AE43" i="7"/>
  <c r="AH44" i="7"/>
  <c r="AF45" i="7"/>
  <c r="AH43" i="7"/>
  <c r="AF44" i="7"/>
  <c r="AE41" i="7"/>
  <c r="AH41" i="7"/>
  <c r="AF41" i="7"/>
  <c r="AG41" i="7"/>
  <c r="AH40" i="7"/>
  <c r="AF42" i="7"/>
  <c r="AF37" i="7"/>
  <c r="AE42" i="7"/>
  <c r="AG42" i="7"/>
  <c r="AF40" i="7"/>
  <c r="AE40" i="7"/>
  <c r="AG40" i="7"/>
  <c r="AH37" i="7"/>
  <c r="AG37" i="7"/>
  <c r="AE37" i="7"/>
  <c r="AH42" i="7"/>
  <c r="AH33" i="7"/>
  <c r="AE35" i="7"/>
  <c r="AG39" i="7"/>
  <c r="AH32" i="7"/>
  <c r="AF34" i="7"/>
  <c r="AF39" i="7"/>
  <c r="AE34" i="7"/>
  <c r="AH38" i="7"/>
  <c r="AE38" i="7"/>
  <c r="AE36" i="7"/>
  <c r="AE39" i="7"/>
  <c r="AF32" i="7"/>
  <c r="AF35" i="7"/>
  <c r="AG34" i="7"/>
  <c r="AH35" i="7"/>
  <c r="AF36" i="7"/>
  <c r="AE33" i="7"/>
  <c r="AF38" i="7"/>
  <c r="AG38" i="7"/>
  <c r="AH39" i="7"/>
  <c r="AH36" i="7"/>
  <c r="AG32" i="7"/>
  <c r="AG33" i="7"/>
  <c r="AF33" i="7"/>
  <c r="AH34" i="7"/>
  <c r="AE32" i="7"/>
  <c r="AG35" i="7"/>
  <c r="AG36" i="7"/>
  <c r="BH38" i="8"/>
  <c r="BG36" i="8"/>
  <c r="BG47" i="8"/>
  <c r="BI48" i="8"/>
  <c r="BG48" i="8"/>
  <c r="BI36" i="8"/>
  <c r="BH40" i="8"/>
  <c r="BG38" i="8"/>
  <c r="BG33" i="8"/>
  <c r="BH44" i="8"/>
  <c r="BG37" i="8"/>
  <c r="BH42" i="8"/>
  <c r="BH34" i="8"/>
  <c r="BI37" i="8"/>
  <c r="BH37" i="8"/>
  <c r="BI43" i="8"/>
  <c r="BH48" i="8"/>
  <c r="BH41" i="8"/>
  <c r="BH36" i="8"/>
  <c r="BH35" i="8"/>
  <c r="BI35" i="8"/>
  <c r="BG43" i="8"/>
  <c r="BI46" i="8"/>
  <c r="BH47" i="8"/>
  <c r="BH33" i="8"/>
  <c r="BG41" i="8"/>
  <c r="BG34" i="8"/>
  <c r="BG49" i="8"/>
  <c r="BG39" i="8"/>
  <c r="BI47" i="8"/>
  <c r="BH43" i="8"/>
  <c r="BI38" i="8"/>
  <c r="BG40" i="8"/>
  <c r="BI45" i="8"/>
  <c r="BI41" i="8"/>
  <c r="BG35" i="8"/>
  <c r="BI33" i="8"/>
  <c r="BG44" i="8"/>
  <c r="BI34" i="8"/>
  <c r="BI40" i="8"/>
  <c r="BG45" i="8"/>
  <c r="BH49" i="8"/>
  <c r="BG42" i="8"/>
  <c r="BI44" i="8"/>
  <c r="BI42" i="8"/>
  <c r="BG46" i="8"/>
  <c r="BI39" i="8"/>
  <c r="BI49" i="8"/>
  <c r="BH39" i="8"/>
  <c r="BH45" i="8"/>
  <c r="BH46" i="8"/>
  <c r="BJ33" i="8"/>
  <c r="BJ45" i="8"/>
  <c r="BJ39" i="8"/>
  <c r="BJ41" i="8"/>
  <c r="BJ46" i="8"/>
  <c r="BJ43" i="8"/>
  <c r="BJ36" i="8"/>
  <c r="BJ37" i="8"/>
  <c r="BJ48" i="8"/>
  <c r="BJ34" i="8"/>
  <c r="BJ38" i="8"/>
  <c r="BJ40" i="8"/>
  <c r="BJ42" i="8"/>
  <c r="BJ47" i="8"/>
  <c r="BJ44" i="8"/>
  <c r="BJ49" i="8"/>
  <c r="BJ35" i="8"/>
  <c r="AE31" i="7"/>
  <c r="AH20" i="7"/>
  <c r="AH12" i="7"/>
  <c r="AF23" i="7"/>
  <c r="AH31" i="7"/>
  <c r="AG31" i="7"/>
  <c r="AF31" i="7"/>
  <c r="AF20" i="7"/>
  <c r="AF12" i="7"/>
  <c r="AH23" i="7"/>
  <c r="AG20" i="7"/>
  <c r="AE12" i="7"/>
  <c r="AG23" i="7"/>
  <c r="AE22" i="7"/>
  <c r="AH22" i="7"/>
  <c r="AG12" i="7"/>
  <c r="AE23" i="7"/>
  <c r="AE20" i="7"/>
  <c r="AG26" i="7"/>
  <c r="AH26" i="7"/>
  <c r="AF26" i="7"/>
  <c r="AE26" i="7"/>
  <c r="AG29" i="7"/>
  <c r="AG28" i="7"/>
  <c r="AG22" i="7"/>
  <c r="AE21" i="7"/>
  <c r="AF7" i="7"/>
  <c r="AG27" i="7"/>
  <c r="AE18" i="7"/>
  <c r="AF29" i="7"/>
  <c r="AF28" i="7"/>
  <c r="AH21" i="7"/>
  <c r="AE7" i="7"/>
  <c r="AE27" i="7"/>
  <c r="AF27" i="7"/>
  <c r="AE29" i="7"/>
  <c r="AE28" i="7"/>
  <c r="AF22" i="7"/>
  <c r="AE8" i="7"/>
  <c r="AG8" i="7"/>
  <c r="AG21" i="7"/>
  <c r="AH7" i="7"/>
  <c r="AH29" i="7"/>
  <c r="AH28" i="7"/>
  <c r="AG7" i="7"/>
  <c r="AH8" i="7"/>
  <c r="AG6" i="7"/>
  <c r="AF8" i="7"/>
  <c r="AH18" i="7"/>
  <c r="AF13" i="7"/>
  <c r="AF19" i="7"/>
  <c r="AH25" i="7"/>
  <c r="AF6" i="7"/>
  <c r="AE13" i="7"/>
  <c r="AE19" i="7"/>
  <c r="AG25" i="7"/>
  <c r="AG18" i="7"/>
  <c r="AE6" i="7"/>
  <c r="AH13" i="7"/>
  <c r="AH19" i="7"/>
  <c r="AH27" i="7"/>
  <c r="AF21" i="7"/>
  <c r="AF18" i="7"/>
  <c r="AH6" i="7"/>
  <c r="AG13" i="7"/>
  <c r="AG19" i="7"/>
  <c r="AE25" i="7"/>
  <c r="AE9" i="7"/>
  <c r="AE17" i="7"/>
  <c r="AF9" i="7"/>
  <c r="AF17" i="7"/>
  <c r="AH9" i="7"/>
  <c r="AH17" i="7"/>
  <c r="AE14" i="7"/>
  <c r="AG30" i="7"/>
  <c r="AE10" i="7"/>
  <c r="AE11" i="7"/>
  <c r="AE15" i="7"/>
  <c r="AF5" i="7"/>
  <c r="AG9" i="7"/>
  <c r="AG17" i="7"/>
  <c r="AF10" i="7"/>
  <c r="AF11" i="7"/>
  <c r="AF15" i="7"/>
  <c r="AF25" i="7"/>
  <c r="AF14" i="7"/>
  <c r="AG14" i="7"/>
  <c r="AE30" i="7"/>
  <c r="AG10" i="7"/>
  <c r="AG11" i="7"/>
  <c r="AG15" i="7"/>
  <c r="AH5" i="7"/>
  <c r="AF16" i="7"/>
  <c r="AF30" i="7"/>
  <c r="AH11" i="7"/>
  <c r="AE5" i="7"/>
  <c r="AE16" i="7"/>
  <c r="AE4" i="7"/>
  <c r="AE24" i="7"/>
  <c r="AH30" i="7"/>
  <c r="AG5" i="7"/>
  <c r="AH16" i="7"/>
  <c r="AH4" i="7"/>
  <c r="AG4" i="7"/>
  <c r="AH14" i="7"/>
  <c r="AH10" i="7"/>
  <c r="AH15" i="7"/>
  <c r="AG16" i="7"/>
  <c r="AF4" i="7"/>
  <c r="AG24" i="7"/>
  <c r="AF24" i="7"/>
  <c r="AH24" i="7"/>
  <c r="BO1" i="8"/>
  <c r="BK3" i="8"/>
  <c r="AW72" i="1"/>
  <c r="AN1" i="8"/>
  <c r="X1" i="7"/>
  <c r="AQ29" i="8"/>
  <c r="AS23" i="8"/>
  <c r="AR18" i="8"/>
  <c r="AQ13" i="8"/>
  <c r="AS7" i="8"/>
  <c r="AS27" i="8"/>
  <c r="AR22" i="8"/>
  <c r="AQ17" i="8"/>
  <c r="AS11" i="8"/>
  <c r="AR6" i="8"/>
  <c r="AR26" i="8"/>
  <c r="AS15" i="8"/>
  <c r="AQ5" i="8"/>
  <c r="AR31" i="8"/>
  <c r="AS24" i="8"/>
  <c r="AR19" i="8"/>
  <c r="AQ14" i="8"/>
  <c r="AS8" i="8"/>
  <c r="AR24" i="8"/>
  <c r="AS13" i="8"/>
  <c r="AR29" i="8"/>
  <c r="AS18" i="8"/>
  <c r="AQ8" i="8"/>
  <c r="AQ25" i="8"/>
  <c r="AR14" i="8"/>
  <c r="AQ30" i="8"/>
  <c r="AR23" i="8"/>
  <c r="AQ18" i="8"/>
  <c r="AS12" i="8"/>
  <c r="AR7" i="8"/>
  <c r="AR32" i="8"/>
  <c r="AS21" i="8"/>
  <c r="AQ11" i="8"/>
  <c r="AS26" i="8"/>
  <c r="AQ16" i="8"/>
  <c r="AR5" i="8"/>
  <c r="AQ21" i="8"/>
  <c r="AS19" i="8"/>
  <c r="AQ26" i="8"/>
  <c r="AR15" i="8"/>
  <c r="AS4" i="8"/>
  <c r="AQ27" i="8"/>
  <c r="AS5" i="8"/>
  <c r="AR21" i="8"/>
  <c r="AQ31" i="8"/>
  <c r="AS17" i="8"/>
  <c r="AQ7" i="8"/>
  <c r="AQ28" i="8"/>
  <c r="AR17" i="8"/>
  <c r="AS6" i="8"/>
  <c r="AS31" i="8"/>
  <c r="AR10" i="8"/>
  <c r="AQ22" i="8"/>
  <c r="AR11" i="8"/>
  <c r="AQ19" i="8"/>
  <c r="AR13" i="8"/>
  <c r="AS25" i="8"/>
  <c r="AQ15" i="8"/>
  <c r="AR4" i="8"/>
  <c r="AR25" i="8"/>
  <c r="AS14" i="8"/>
  <c r="AQ4" i="8"/>
  <c r="AR30" i="8"/>
  <c r="AS32" i="8"/>
  <c r="AQ10" i="8"/>
  <c r="AR16" i="8"/>
  <c r="AS10" i="8"/>
  <c r="AQ23" i="8"/>
  <c r="AQ12" i="8"/>
  <c r="AQ9" i="8"/>
  <c r="AR27" i="8"/>
  <c r="AQ6" i="8"/>
  <c r="AR8" i="8"/>
  <c r="AR20" i="8"/>
  <c r="AS30" i="8"/>
  <c r="AR9" i="8"/>
  <c r="AS20" i="8"/>
  <c r="AQ32" i="8"/>
  <c r="AR12" i="8"/>
  <c r="AS22" i="8"/>
  <c r="AS16" i="8"/>
  <c r="AS29" i="8"/>
  <c r="AQ24" i="8"/>
  <c r="AS9" i="8"/>
  <c r="AQ20" i="8"/>
  <c r="AR28" i="8"/>
  <c r="AS28" i="8"/>
  <c r="AT32" i="8"/>
  <c r="AT31" i="8"/>
  <c r="AT30" i="8"/>
  <c r="AT26" i="8"/>
  <c r="AT25" i="8"/>
  <c r="AT29" i="8"/>
  <c r="AT28" i="8"/>
  <c r="AT27" i="8"/>
  <c r="AT24" i="8"/>
  <c r="AT23" i="8"/>
  <c r="AT20" i="8"/>
  <c r="AT16" i="8"/>
  <c r="AT12" i="8"/>
  <c r="AT9" i="8"/>
  <c r="AT5" i="8"/>
  <c r="AT22" i="8"/>
  <c r="AT21" i="8"/>
  <c r="AT19" i="8"/>
  <c r="AT18" i="8"/>
  <c r="AT17" i="8"/>
  <c r="AT15" i="8"/>
  <c r="AT14" i="8"/>
  <c r="AT11" i="8"/>
  <c r="AT8" i="8"/>
  <c r="AT7" i="8"/>
  <c r="AT6" i="8"/>
  <c r="AT4" i="8"/>
  <c r="AT10" i="8"/>
  <c r="AT13" i="8"/>
  <c r="AI1" i="7"/>
  <c r="AI3" i="7" s="1"/>
  <c r="AZ28" i="1"/>
  <c r="AZ26" i="1"/>
  <c r="AK44" i="7" l="1"/>
  <c r="AL45" i="7"/>
  <c r="AK43" i="7"/>
  <c r="AI45" i="7"/>
  <c r="AK45" i="7"/>
  <c r="AJ44" i="7"/>
  <c r="AJ43" i="7"/>
  <c r="AL44" i="7"/>
  <c r="AJ45" i="7"/>
  <c r="AI43" i="7"/>
  <c r="AL43" i="7"/>
  <c r="AI44" i="7"/>
  <c r="AK41" i="7"/>
  <c r="AL41" i="7"/>
  <c r="AJ41" i="7"/>
  <c r="AI41" i="7"/>
  <c r="AJ40" i="7"/>
  <c r="AL40" i="7"/>
  <c r="AJ37" i="7"/>
  <c r="AK37" i="7"/>
  <c r="AI42" i="7"/>
  <c r="AI37" i="7"/>
  <c r="AK42" i="7"/>
  <c r="AI40" i="7"/>
  <c r="AJ42" i="7"/>
  <c r="AK40" i="7"/>
  <c r="AL37" i="7"/>
  <c r="AL42" i="7"/>
  <c r="AI35" i="7"/>
  <c r="AL38" i="7"/>
  <c r="AJ34" i="7"/>
  <c r="AI36" i="7"/>
  <c r="AI39" i="7"/>
  <c r="AI32" i="7"/>
  <c r="AI38" i="7"/>
  <c r="AJ38" i="7"/>
  <c r="AK33" i="7"/>
  <c r="AI33" i="7"/>
  <c r="AL33" i="7"/>
  <c r="AK32" i="7"/>
  <c r="AL34" i="7"/>
  <c r="AJ32" i="7"/>
  <c r="AJ39" i="7"/>
  <c r="AK39" i="7"/>
  <c r="AK35" i="7"/>
  <c r="AJ36" i="7"/>
  <c r="AK36" i="7"/>
  <c r="AJ35" i="7"/>
  <c r="AI34" i="7"/>
  <c r="AL35" i="7"/>
  <c r="AK38" i="7"/>
  <c r="AL39" i="7"/>
  <c r="AL36" i="7"/>
  <c r="AJ33" i="7"/>
  <c r="AK34" i="7"/>
  <c r="AL32" i="7"/>
  <c r="BK37" i="8"/>
  <c r="BK35" i="8"/>
  <c r="BL47" i="8"/>
  <c r="BM35" i="8"/>
  <c r="BM48" i="8"/>
  <c r="BM37" i="8"/>
  <c r="BL33" i="8"/>
  <c r="BL46" i="8"/>
  <c r="BL49" i="8"/>
  <c r="BK48" i="8"/>
  <c r="BM43" i="8"/>
  <c r="BL44" i="8"/>
  <c r="BK47" i="8"/>
  <c r="BL35" i="8"/>
  <c r="BM49" i="8"/>
  <c r="BK33" i="8"/>
  <c r="BM36" i="8"/>
  <c r="BL43" i="8"/>
  <c r="BL48" i="8"/>
  <c r="BK46" i="8"/>
  <c r="BM42" i="8"/>
  <c r="BK49" i="8"/>
  <c r="BK41" i="8"/>
  <c r="BK34" i="8"/>
  <c r="BK43" i="8"/>
  <c r="BK44" i="8"/>
  <c r="BM46" i="8"/>
  <c r="BM47" i="8"/>
  <c r="BM33" i="8"/>
  <c r="BL37" i="8"/>
  <c r="BK40" i="8"/>
  <c r="BL38" i="8"/>
  <c r="BL34" i="8"/>
  <c r="BK36" i="8"/>
  <c r="BL45" i="8"/>
  <c r="BK45" i="8"/>
  <c r="BL42" i="8"/>
  <c r="BL40" i="8"/>
  <c r="BK42" i="8"/>
  <c r="BL39" i="8"/>
  <c r="BM41" i="8"/>
  <c r="BL36" i="8"/>
  <c r="BK38" i="8"/>
  <c r="BK39" i="8"/>
  <c r="BM45" i="8"/>
  <c r="BM40" i="8"/>
  <c r="BM44" i="8"/>
  <c r="BM38" i="8"/>
  <c r="BM34" i="8"/>
  <c r="BM39" i="8"/>
  <c r="BL41" i="8"/>
  <c r="BN38" i="8"/>
  <c r="BN46" i="8"/>
  <c r="BN35" i="8"/>
  <c r="BN40" i="8"/>
  <c r="BN33" i="8"/>
  <c r="BN42" i="8"/>
  <c r="BN36" i="8"/>
  <c r="BN43" i="8"/>
  <c r="BN48" i="8"/>
  <c r="BN44" i="8"/>
  <c r="BN39" i="8"/>
  <c r="BN37" i="8"/>
  <c r="BN45" i="8"/>
  <c r="BN47" i="8"/>
  <c r="BN49" i="8"/>
  <c r="BN34" i="8"/>
  <c r="BN41" i="8"/>
  <c r="AK31" i="7"/>
  <c r="AJ31" i="7"/>
  <c r="AL31" i="7"/>
  <c r="AI20" i="7"/>
  <c r="AI12" i="7"/>
  <c r="AK23" i="7"/>
  <c r="AI31" i="7"/>
  <c r="AL20" i="7"/>
  <c r="AL12" i="7"/>
  <c r="AK20" i="7"/>
  <c r="AK12" i="7"/>
  <c r="AI23" i="7"/>
  <c r="AJ23" i="7"/>
  <c r="AJ20" i="7"/>
  <c r="AJ12" i="7"/>
  <c r="AK29" i="7"/>
  <c r="AJ28" i="7"/>
  <c r="AI26" i="7"/>
  <c r="AI29" i="7"/>
  <c r="AL23" i="7"/>
  <c r="AL26" i="7"/>
  <c r="AK28" i="7"/>
  <c r="AI8" i="7"/>
  <c r="AK26" i="7"/>
  <c r="AJ29" i="7"/>
  <c r="AL29" i="7"/>
  <c r="AI28" i="7"/>
  <c r="AL8" i="7"/>
  <c r="AK22" i="7"/>
  <c r="AJ22" i="7"/>
  <c r="AI22" i="7"/>
  <c r="AJ26" i="7"/>
  <c r="AL28" i="7"/>
  <c r="AL22" i="7"/>
  <c r="AJ27" i="7"/>
  <c r="AL27" i="7"/>
  <c r="AI6" i="7"/>
  <c r="AL13" i="7"/>
  <c r="AL19" i="7"/>
  <c r="AJ25" i="7"/>
  <c r="AJ21" i="7"/>
  <c r="AI21" i="7"/>
  <c r="AJ7" i="7"/>
  <c r="AK27" i="7"/>
  <c r="AI18" i="7"/>
  <c r="AL6" i="7"/>
  <c r="AK6" i="7"/>
  <c r="AK13" i="7"/>
  <c r="AK19" i="7"/>
  <c r="AI25" i="7"/>
  <c r="AJ8" i="7"/>
  <c r="AL21" i="7"/>
  <c r="AI7" i="7"/>
  <c r="AI27" i="7"/>
  <c r="AL18" i="7"/>
  <c r="AK8" i="7"/>
  <c r="AK21" i="7"/>
  <c r="AL7" i="7"/>
  <c r="AK7" i="7"/>
  <c r="AK18" i="7"/>
  <c r="AJ6" i="7"/>
  <c r="AI13" i="7"/>
  <c r="AI19" i="7"/>
  <c r="AK25" i="7"/>
  <c r="AJ18" i="7"/>
  <c r="AL25" i="7"/>
  <c r="AL9" i="7"/>
  <c r="AL17" i="7"/>
  <c r="AI10" i="7"/>
  <c r="AI11" i="7"/>
  <c r="AI15" i="7"/>
  <c r="AJ5" i="7"/>
  <c r="AJ19" i="7"/>
  <c r="AK9" i="7"/>
  <c r="AK17" i="7"/>
  <c r="AI14" i="7"/>
  <c r="AK30" i="7"/>
  <c r="AL10" i="7"/>
  <c r="AL11" i="7"/>
  <c r="AL15" i="7"/>
  <c r="AI5" i="7"/>
  <c r="AI16" i="7"/>
  <c r="AJ13" i="7"/>
  <c r="AJ9" i="7"/>
  <c r="AJ17" i="7"/>
  <c r="AL14" i="7"/>
  <c r="AJ30" i="7"/>
  <c r="AL30" i="7"/>
  <c r="AK10" i="7"/>
  <c r="AK11" i="7"/>
  <c r="AK15" i="7"/>
  <c r="AL5" i="7"/>
  <c r="AK5" i="7"/>
  <c r="AI9" i="7"/>
  <c r="AI17" i="7"/>
  <c r="AK14" i="7"/>
  <c r="AI30" i="7"/>
  <c r="AK16" i="7"/>
  <c r="AJ16" i="7"/>
  <c r="AL24" i="7"/>
  <c r="AI4" i="7"/>
  <c r="AK4" i="7"/>
  <c r="AI24" i="7"/>
  <c r="AL16" i="7"/>
  <c r="AJ14" i="7"/>
  <c r="AK24" i="7"/>
  <c r="AJ10" i="7"/>
  <c r="AJ11" i="7"/>
  <c r="AJ15" i="7"/>
  <c r="AJ24" i="7"/>
  <c r="AJ4" i="7"/>
  <c r="AL4" i="7"/>
  <c r="AW74" i="1"/>
  <c r="BS1" i="8"/>
  <c r="BO3" i="8"/>
  <c r="AR1" i="8"/>
  <c r="AB1" i="7"/>
  <c r="AV29" i="8"/>
  <c r="AU24" i="8"/>
  <c r="AV17" i="8"/>
  <c r="AU12" i="8"/>
  <c r="AW6" i="8"/>
  <c r="AW31" i="8"/>
  <c r="AU25" i="8"/>
  <c r="AU17" i="8"/>
  <c r="AW11" i="8"/>
  <c r="AV6" i="8"/>
  <c r="AU28" i="8"/>
  <c r="AV21" i="8"/>
  <c r="AU16" i="8"/>
  <c r="AW10" i="8"/>
  <c r="AV5" i="8"/>
  <c r="AU29" i="8"/>
  <c r="AU21" i="8"/>
  <c r="AW15" i="8"/>
  <c r="AV10" i="8"/>
  <c r="AU5" i="8"/>
  <c r="AW26" i="8"/>
  <c r="AW14" i="8"/>
  <c r="AU4" i="8"/>
  <c r="AW27" i="8"/>
  <c r="AV14" i="8"/>
  <c r="AV31" i="8"/>
  <c r="AU26" i="8"/>
  <c r="AV19" i="8"/>
  <c r="AU14" i="8"/>
  <c r="AW8" i="8"/>
  <c r="AU31" i="8"/>
  <c r="AW9" i="8"/>
  <c r="AU19" i="8"/>
  <c r="AV25" i="8"/>
  <c r="AV13" i="8"/>
  <c r="AV26" i="8"/>
  <c r="AU13" i="8"/>
  <c r="AU30" i="8"/>
  <c r="AW24" i="8"/>
  <c r="AU18" i="8"/>
  <c r="AW12" i="8"/>
  <c r="AV7" i="8"/>
  <c r="AW25" i="8"/>
  <c r="AV4" i="8"/>
  <c r="AW13" i="8"/>
  <c r="AU20" i="8"/>
  <c r="AW19" i="8"/>
  <c r="AW18" i="8"/>
  <c r="AV18" i="8"/>
  <c r="AV27" i="8"/>
  <c r="AV15" i="8"/>
  <c r="AW4" i="8"/>
  <c r="AU15" i="8"/>
  <c r="AU23" i="8"/>
  <c r="AV16" i="8"/>
  <c r="AV9" i="8"/>
  <c r="AU9" i="8"/>
  <c r="AU22" i="8"/>
  <c r="AV11" i="8"/>
  <c r="AW29" i="8"/>
  <c r="AW17" i="8"/>
  <c r="AV32" i="8"/>
  <c r="AU11" i="8"/>
  <c r="AW32" i="8"/>
  <c r="AU10" i="8"/>
  <c r="AV24" i="8"/>
  <c r="AV12" i="8"/>
  <c r="AU27" i="8"/>
  <c r="AU32" i="8"/>
  <c r="AW28" i="8"/>
  <c r="AU6" i="8"/>
  <c r="AV20" i="8"/>
  <c r="AV8" i="8"/>
  <c r="AU7" i="8"/>
  <c r="AW21" i="8"/>
  <c r="AU8" i="8"/>
  <c r="AW20" i="8"/>
  <c r="AW5" i="8"/>
  <c r="AW7" i="8"/>
  <c r="AW16" i="8"/>
  <c r="AV28" i="8"/>
  <c r="AW30" i="8"/>
  <c r="AV22" i="8"/>
  <c r="AW23" i="8"/>
  <c r="AV23" i="8"/>
  <c r="AV30" i="8"/>
  <c r="AW22" i="8"/>
  <c r="AX32" i="8"/>
  <c r="AX31" i="8"/>
  <c r="AX30" i="8"/>
  <c r="AX26" i="8"/>
  <c r="AX25" i="8"/>
  <c r="AX29" i="8"/>
  <c r="AX20" i="8"/>
  <c r="AX16" i="8"/>
  <c r="AX12" i="8"/>
  <c r="AX24" i="8"/>
  <c r="AX23" i="8"/>
  <c r="AX9" i="8"/>
  <c r="AX5" i="8"/>
  <c r="AX28" i="8"/>
  <c r="AX27" i="8"/>
  <c r="AX19" i="8"/>
  <c r="AX17" i="8"/>
  <c r="AX4" i="8"/>
  <c r="AX21" i="8"/>
  <c r="AX11" i="8"/>
  <c r="AX10" i="8"/>
  <c r="AX22" i="8"/>
  <c r="AX15" i="8"/>
  <c r="AX13" i="8"/>
  <c r="AX8" i="8"/>
  <c r="AX7" i="8"/>
  <c r="AX6" i="8"/>
  <c r="AX18" i="8"/>
  <c r="AX14" i="8"/>
  <c r="AM1" i="7"/>
  <c r="AM3" i="7" s="1"/>
  <c r="AZ32" i="1"/>
  <c r="AZ30" i="1"/>
  <c r="AZ22" i="1"/>
  <c r="AZ24" i="1"/>
  <c r="AO43" i="7" l="1"/>
  <c r="AN43" i="7"/>
  <c r="AM43" i="7"/>
  <c r="AO44" i="7"/>
  <c r="AN45" i="7"/>
  <c r="AP43" i="7"/>
  <c r="AP45" i="7"/>
  <c r="AN44" i="7"/>
  <c r="AP44" i="7"/>
  <c r="AM44" i="7"/>
  <c r="AM45" i="7"/>
  <c r="AO45" i="7"/>
  <c r="AM41" i="7"/>
  <c r="AO41" i="7"/>
  <c r="AN41" i="7"/>
  <c r="AP41" i="7"/>
  <c r="BO47" i="8"/>
  <c r="BQ46" i="8"/>
  <c r="BQ36" i="8"/>
  <c r="BP37" i="8"/>
  <c r="BQ40" i="8"/>
  <c r="BP43" i="8"/>
  <c r="BQ48" i="8"/>
  <c r="BO44" i="8"/>
  <c r="BP45" i="8"/>
  <c r="BP35" i="8"/>
  <c r="BP44" i="8"/>
  <c r="BO41" i="8"/>
  <c r="BQ47" i="8"/>
  <c r="BP38" i="8"/>
  <c r="BP41" i="8"/>
  <c r="BO37" i="8"/>
  <c r="BO40" i="8"/>
  <c r="BQ33" i="8"/>
  <c r="BO36" i="8"/>
  <c r="BO38" i="8"/>
  <c r="BP40" i="8"/>
  <c r="BP48" i="8"/>
  <c r="BO33" i="8"/>
  <c r="BO35" i="8"/>
  <c r="BP47" i="8"/>
  <c r="BP36" i="8"/>
  <c r="BP33" i="8"/>
  <c r="BO48" i="8"/>
  <c r="BQ45" i="8"/>
  <c r="BQ38" i="8"/>
  <c r="BQ35" i="8"/>
  <c r="BQ43" i="8"/>
  <c r="BQ37" i="8"/>
  <c r="BO43" i="8"/>
  <c r="BO45" i="8"/>
  <c r="BP49" i="8"/>
  <c r="BQ49" i="8"/>
  <c r="BO46" i="8"/>
  <c r="BQ44" i="8"/>
  <c r="BO42" i="8"/>
  <c r="BO34" i="8"/>
  <c r="BQ39" i="8"/>
  <c r="BQ42" i="8"/>
  <c r="BO39" i="8"/>
  <c r="BP39" i="8"/>
  <c r="BQ41" i="8"/>
  <c r="BO49" i="8"/>
  <c r="BQ34" i="8"/>
  <c r="BP46" i="8"/>
  <c r="BP42" i="8"/>
  <c r="BP34" i="8"/>
  <c r="BR45" i="8"/>
  <c r="BR35" i="8"/>
  <c r="BR34" i="8"/>
  <c r="BR33" i="8"/>
  <c r="BR42" i="8"/>
  <c r="BR38" i="8"/>
  <c r="BR43" i="8"/>
  <c r="BR36" i="8"/>
  <c r="BR48" i="8"/>
  <c r="BR41" i="8"/>
  <c r="BR37" i="8"/>
  <c r="BR47" i="8"/>
  <c r="BR49" i="8"/>
  <c r="BR40" i="8"/>
  <c r="BR39" i="8"/>
  <c r="BR44" i="8"/>
  <c r="BR46" i="8"/>
  <c r="AN40" i="7"/>
  <c r="AP40" i="7"/>
  <c r="AM40" i="7"/>
  <c r="AM42" i="7"/>
  <c r="AO37" i="7"/>
  <c r="AO42" i="7"/>
  <c r="AM37" i="7"/>
  <c r="AP42" i="7"/>
  <c r="AO40" i="7"/>
  <c r="AN37" i="7"/>
  <c r="AN42" i="7"/>
  <c r="AP37" i="7"/>
  <c r="AO36" i="7"/>
  <c r="AP34" i="7"/>
  <c r="AM34" i="7"/>
  <c r="AN35" i="7"/>
  <c r="AO32" i="7"/>
  <c r="AN33" i="7"/>
  <c r="AO33" i="7"/>
  <c r="AN36" i="7"/>
  <c r="AO38" i="7"/>
  <c r="AN39" i="7"/>
  <c r="AM38" i="7"/>
  <c r="AO39" i="7"/>
  <c r="AM35" i="7"/>
  <c r="AP33" i="7"/>
  <c r="AM39" i="7"/>
  <c r="AN32" i="7"/>
  <c r="AO34" i="7"/>
  <c r="AP38" i="7"/>
  <c r="AM33" i="7"/>
  <c r="AM36" i="7"/>
  <c r="AP36" i="7"/>
  <c r="AN34" i="7"/>
  <c r="AN38" i="7"/>
  <c r="AP35" i="7"/>
  <c r="AM32" i="7"/>
  <c r="AO35" i="7"/>
  <c r="AP39" i="7"/>
  <c r="AP32" i="7"/>
  <c r="AM31" i="7"/>
  <c r="AP31" i="7"/>
  <c r="AN31" i="7"/>
  <c r="AO31" i="7"/>
  <c r="AP20" i="7"/>
  <c r="AM20" i="7"/>
  <c r="AP12" i="7"/>
  <c r="AN12" i="7"/>
  <c r="AO20" i="7"/>
  <c r="AO12" i="7"/>
  <c r="AM23" i="7"/>
  <c r="AM26" i="7"/>
  <c r="AN28" i="7"/>
  <c r="AP26" i="7"/>
  <c r="AP23" i="7"/>
  <c r="AN20" i="7"/>
  <c r="AM12" i="7"/>
  <c r="AO23" i="7"/>
  <c r="AO26" i="7"/>
  <c r="AO29" i="7"/>
  <c r="AN29" i="7"/>
  <c r="AM29" i="7"/>
  <c r="AN23" i="7"/>
  <c r="AN26" i="7"/>
  <c r="AO28" i="7"/>
  <c r="AM22" i="7"/>
  <c r="AN21" i="7"/>
  <c r="AN27" i="7"/>
  <c r="AM28" i="7"/>
  <c r="AP27" i="7"/>
  <c r="AO7" i="7"/>
  <c r="AN8" i="7"/>
  <c r="AM21" i="7"/>
  <c r="AN7" i="7"/>
  <c r="AO22" i="7"/>
  <c r="AP29" i="7"/>
  <c r="AP28" i="7"/>
  <c r="AP22" i="7"/>
  <c r="AO8" i="7"/>
  <c r="AO21" i="7"/>
  <c r="AP7" i="7"/>
  <c r="AO27" i="7"/>
  <c r="AM18" i="7"/>
  <c r="AP21" i="7"/>
  <c r="AM27" i="7"/>
  <c r="AN22" i="7"/>
  <c r="AO18" i="7"/>
  <c r="AN18" i="7"/>
  <c r="AN13" i="7"/>
  <c r="AN19" i="7"/>
  <c r="AO6" i="7"/>
  <c r="AN6" i="7"/>
  <c r="AP8" i="7"/>
  <c r="AM7" i="7"/>
  <c r="AM8" i="7"/>
  <c r="AP18" i="7"/>
  <c r="AP6" i="7"/>
  <c r="AO13" i="7"/>
  <c r="AO19" i="7"/>
  <c r="AM13" i="7"/>
  <c r="AP13" i="7"/>
  <c r="AN25" i="7"/>
  <c r="AP25" i="7"/>
  <c r="AN9" i="7"/>
  <c r="AN17" i="7"/>
  <c r="AP16" i="7"/>
  <c r="AM25" i="7"/>
  <c r="AM9" i="7"/>
  <c r="AM17" i="7"/>
  <c r="AO16" i="7"/>
  <c r="AN14" i="7"/>
  <c r="AN10" i="7"/>
  <c r="AN11" i="7"/>
  <c r="AN15" i="7"/>
  <c r="AP9" i="7"/>
  <c r="AP17" i="7"/>
  <c r="AM6" i="7"/>
  <c r="AM19" i="7"/>
  <c r="AP19" i="7"/>
  <c r="AO25" i="7"/>
  <c r="AO9" i="7"/>
  <c r="AO17" i="7"/>
  <c r="AM16" i="7"/>
  <c r="AP30" i="7"/>
  <c r="AO5" i="7"/>
  <c r="AN16" i="7"/>
  <c r="AO10" i="7"/>
  <c r="AO11" i="7"/>
  <c r="AO15" i="7"/>
  <c r="AP5" i="7"/>
  <c r="AO24" i="7"/>
  <c r="AN4" i="7"/>
  <c r="AM14" i="7"/>
  <c r="AO30" i="7"/>
  <c r="AN30" i="7"/>
  <c r="AM30" i="7"/>
  <c r="AO4" i="7"/>
  <c r="AN24" i="7"/>
  <c r="AM24" i="7"/>
  <c r="AM4" i="7"/>
  <c r="AP14" i="7"/>
  <c r="AM10" i="7"/>
  <c r="AM11" i="7"/>
  <c r="AM15" i="7"/>
  <c r="AN5" i="7"/>
  <c r="AP4" i="7"/>
  <c r="AO14" i="7"/>
  <c r="AP10" i="7"/>
  <c r="AP11" i="7"/>
  <c r="AP15" i="7"/>
  <c r="AM5" i="7"/>
  <c r="AP24" i="7"/>
  <c r="BW1" i="8"/>
  <c r="BS3" i="8"/>
  <c r="AW76" i="1"/>
  <c r="AV17" i="1"/>
  <c r="AZ20" i="1"/>
  <c r="AV1" i="8"/>
  <c r="AF1" i="7"/>
  <c r="AY17" i="8"/>
  <c r="AY28" i="8"/>
  <c r="BA22" i="8"/>
  <c r="AY16" i="8"/>
  <c r="BA10" i="8"/>
  <c r="AY4" i="8"/>
  <c r="BA31" i="8"/>
  <c r="AZ26" i="8"/>
  <c r="AY21" i="8"/>
  <c r="BA15" i="8"/>
  <c r="AZ10" i="8"/>
  <c r="AY32" i="8"/>
  <c r="BA26" i="8"/>
  <c r="AZ21" i="8"/>
  <c r="BA14" i="8"/>
  <c r="AZ9" i="8"/>
  <c r="AZ30" i="8"/>
  <c r="AY25" i="8"/>
  <c r="BA19" i="8"/>
  <c r="AZ14" i="8"/>
  <c r="AY9" i="8"/>
  <c r="BA30" i="8"/>
  <c r="AY20" i="8"/>
  <c r="AY8" i="8"/>
  <c r="AY29" i="8"/>
  <c r="AZ18" i="8"/>
  <c r="BA7" i="8"/>
  <c r="BA32" i="8"/>
  <c r="AZ27" i="8"/>
  <c r="AY22" i="8"/>
  <c r="AZ15" i="8"/>
  <c r="AY10" i="8"/>
  <c r="BA4" i="8"/>
  <c r="BA13" i="8"/>
  <c r="AY23" i="8"/>
  <c r="AZ29" i="8"/>
  <c r="BA18" i="8"/>
  <c r="AZ5" i="8"/>
  <c r="BA27" i="8"/>
  <c r="AY5" i="8"/>
  <c r="AZ31" i="8"/>
  <c r="AY26" i="8"/>
  <c r="AZ19" i="8"/>
  <c r="AY14" i="8"/>
  <c r="BA8" i="8"/>
  <c r="BA29" i="8"/>
  <c r="AZ8" i="8"/>
  <c r="AZ12" i="8"/>
  <c r="AZ25" i="8"/>
  <c r="BA23" i="8"/>
  <c r="AY24" i="8"/>
  <c r="AZ22" i="8"/>
  <c r="BA28" i="8"/>
  <c r="BA16" i="8"/>
  <c r="AY6" i="8"/>
  <c r="AY19" i="8"/>
  <c r="AY27" i="8"/>
  <c r="BA5" i="8"/>
  <c r="AY15" i="8"/>
  <c r="AZ13" i="8"/>
  <c r="AY13" i="8"/>
  <c r="BA24" i="8"/>
  <c r="BA12" i="8"/>
  <c r="BA21" i="8"/>
  <c r="BA9" i="8"/>
  <c r="AY12" i="8"/>
  <c r="AZ11" i="8"/>
  <c r="AZ16" i="8"/>
  <c r="AY31" i="8"/>
  <c r="BA11" i="8"/>
  <c r="AY30" i="8"/>
  <c r="AZ7" i="8"/>
  <c r="AY11" i="8"/>
  <c r="BA25" i="8"/>
  <c r="AZ23" i="8"/>
  <c r="AZ28" i="8"/>
  <c r="AZ4" i="8"/>
  <c r="AY18" i="8"/>
  <c r="AZ24" i="8"/>
  <c r="AY7" i="8"/>
  <c r="AZ32" i="8"/>
  <c r="BA20" i="8"/>
  <c r="BA17" i="8"/>
  <c r="BA6" i="8"/>
  <c r="AZ20" i="8"/>
  <c r="AZ17" i="8"/>
  <c r="AZ6" i="8"/>
  <c r="BB32" i="8"/>
  <c r="BB31" i="8"/>
  <c r="BB30" i="8"/>
  <c r="BB26" i="8"/>
  <c r="BB29" i="8"/>
  <c r="BB28" i="8"/>
  <c r="BB27" i="8"/>
  <c r="BB25" i="8"/>
  <c r="BB20" i="8"/>
  <c r="BB16" i="8"/>
  <c r="BB12" i="8"/>
  <c r="BB22" i="8"/>
  <c r="BB21" i="8"/>
  <c r="BB19" i="8"/>
  <c r="BB18" i="8"/>
  <c r="BB17" i="8"/>
  <c r="BB15" i="8"/>
  <c r="BB14" i="8"/>
  <c r="BB13" i="8"/>
  <c r="BB11" i="8"/>
  <c r="BB10" i="8"/>
  <c r="BB9" i="8"/>
  <c r="BB5" i="8"/>
  <c r="BB23" i="8"/>
  <c r="BB4" i="8"/>
  <c r="BB8" i="8"/>
  <c r="BB7" i="8"/>
  <c r="BB24" i="8"/>
  <c r="BB6" i="8"/>
  <c r="AQ1" i="7"/>
  <c r="AQ3" i="7" s="1"/>
  <c r="AR43" i="7" l="1"/>
  <c r="AS43" i="7"/>
  <c r="AR45" i="7"/>
  <c r="AR44" i="7"/>
  <c r="AQ43" i="7"/>
  <c r="AQ45" i="7"/>
  <c r="AS44" i="7"/>
  <c r="AS45" i="7"/>
  <c r="AT45" i="7"/>
  <c r="AT43" i="7"/>
  <c r="AQ44" i="7"/>
  <c r="AT44" i="7"/>
  <c r="AR41" i="7"/>
  <c r="AS41" i="7"/>
  <c r="AQ41" i="7"/>
  <c r="AT41" i="7"/>
  <c r="AS37" i="7"/>
  <c r="AT40" i="7"/>
  <c r="AQ42" i="7"/>
  <c r="AT42" i="7"/>
  <c r="AR40" i="7"/>
  <c r="AS40" i="7"/>
  <c r="AT37" i="7"/>
  <c r="AQ40" i="7"/>
  <c r="AQ37" i="7"/>
  <c r="AR42" i="7"/>
  <c r="AR37" i="7"/>
  <c r="AS42" i="7"/>
  <c r="AT33" i="7"/>
  <c r="AQ32" i="7"/>
  <c r="AS34" i="7"/>
  <c r="AS39" i="7"/>
  <c r="AS32" i="7"/>
  <c r="AR38" i="7"/>
  <c r="AT36" i="7"/>
  <c r="AS35" i="7"/>
  <c r="AQ38" i="7"/>
  <c r="AS33" i="7"/>
  <c r="AQ34" i="7"/>
  <c r="AQ36" i="7"/>
  <c r="AQ33" i="7"/>
  <c r="AS38" i="7"/>
  <c r="AQ39" i="7"/>
  <c r="AR34" i="7"/>
  <c r="AQ35" i="7"/>
  <c r="AT32" i="7"/>
  <c r="AR36" i="7"/>
  <c r="AR33" i="7"/>
  <c r="AT34" i="7"/>
  <c r="AR39" i="7"/>
  <c r="AT39" i="7"/>
  <c r="AR32" i="7"/>
  <c r="AR35" i="7"/>
  <c r="AT35" i="7"/>
  <c r="AT38" i="7"/>
  <c r="AS36" i="7"/>
  <c r="BU46" i="8"/>
  <c r="BT48" i="8"/>
  <c r="BS41" i="8"/>
  <c r="BT39" i="8"/>
  <c r="BU37" i="8"/>
  <c r="BS33" i="8"/>
  <c r="BT44" i="8"/>
  <c r="BS42" i="8"/>
  <c r="BT45" i="8"/>
  <c r="BT38" i="8"/>
  <c r="BU35" i="8"/>
  <c r="BU39" i="8"/>
  <c r="BS37" i="8"/>
  <c r="BU40" i="8"/>
  <c r="BS40" i="8"/>
  <c r="BU43" i="8"/>
  <c r="BU49" i="8"/>
  <c r="BT37" i="8"/>
  <c r="BU36" i="8"/>
  <c r="BS35" i="8"/>
  <c r="BS43" i="8"/>
  <c r="BT47" i="8"/>
  <c r="BS49" i="8"/>
  <c r="BS39" i="8"/>
  <c r="BU48" i="8"/>
  <c r="BS36" i="8"/>
  <c r="BS47" i="8"/>
  <c r="BU42" i="8"/>
  <c r="BU44" i="8"/>
  <c r="BT35" i="8"/>
  <c r="BU47" i="8"/>
  <c r="BT43" i="8"/>
  <c r="BS48" i="8"/>
  <c r="BT49" i="8"/>
  <c r="BS45" i="8"/>
  <c r="BU33" i="8"/>
  <c r="BS44" i="8"/>
  <c r="BT33" i="8"/>
  <c r="BS38" i="8"/>
  <c r="BU41" i="8"/>
  <c r="BT36" i="8"/>
  <c r="BT42" i="8"/>
  <c r="BU34" i="8"/>
  <c r="BU45" i="8"/>
  <c r="BS46" i="8"/>
  <c r="BT40" i="8"/>
  <c r="BU38" i="8"/>
  <c r="BS34" i="8"/>
  <c r="BT41" i="8"/>
  <c r="BT34" i="8"/>
  <c r="BT46" i="8"/>
  <c r="BV38" i="8"/>
  <c r="BV47" i="8"/>
  <c r="BV42" i="8"/>
  <c r="BV45" i="8"/>
  <c r="BV35" i="8"/>
  <c r="BV44" i="8"/>
  <c r="BV49" i="8"/>
  <c r="BV33" i="8"/>
  <c r="BV43" i="8"/>
  <c r="BV48" i="8"/>
  <c r="BV39" i="8"/>
  <c r="BV36" i="8"/>
  <c r="BV46" i="8"/>
  <c r="BV37" i="8"/>
  <c r="BV34" i="8"/>
  <c r="BV40" i="8"/>
  <c r="BV41" i="8"/>
  <c r="AS31" i="7"/>
  <c r="AR31" i="7"/>
  <c r="AR20" i="7"/>
  <c r="AR12" i="7"/>
  <c r="AT20" i="7"/>
  <c r="AT12" i="7"/>
  <c r="AR23" i="7"/>
  <c r="AT31" i="7"/>
  <c r="AQ31" i="7"/>
  <c r="AS12" i="7"/>
  <c r="AQ23" i="7"/>
  <c r="AT23" i="7"/>
  <c r="AQ20" i="7"/>
  <c r="AS20" i="7"/>
  <c r="AQ12" i="7"/>
  <c r="AS23" i="7"/>
  <c r="AT22" i="7"/>
  <c r="AT26" i="7"/>
  <c r="AQ22" i="7"/>
  <c r="AS7" i="7"/>
  <c r="AS29" i="7"/>
  <c r="AS28" i="7"/>
  <c r="AS22" i="7"/>
  <c r="AQ8" i="7"/>
  <c r="AT21" i="7"/>
  <c r="AQ7" i="7"/>
  <c r="AQ27" i="7"/>
  <c r="AT18" i="7"/>
  <c r="AS26" i="7"/>
  <c r="AT29" i="7"/>
  <c r="AR26" i="7"/>
  <c r="AR29" i="7"/>
  <c r="AR28" i="7"/>
  <c r="AT28" i="7"/>
  <c r="AR27" i="7"/>
  <c r="AT27" i="7"/>
  <c r="AR22" i="7"/>
  <c r="AQ26" i="7"/>
  <c r="AQ29" i="7"/>
  <c r="AQ28" i="7"/>
  <c r="AR8" i="7"/>
  <c r="AS8" i="7"/>
  <c r="AR7" i="7"/>
  <c r="AQ18" i="7"/>
  <c r="AR21" i="7"/>
  <c r="AT7" i="7"/>
  <c r="AS18" i="7"/>
  <c r="AS6" i="7"/>
  <c r="AQ6" i="7"/>
  <c r="AT13" i="7"/>
  <c r="AT19" i="7"/>
  <c r="AR25" i="7"/>
  <c r="AQ21" i="7"/>
  <c r="AS27" i="7"/>
  <c r="AT8" i="7"/>
  <c r="AR18" i="7"/>
  <c r="AR13" i="7"/>
  <c r="AR19" i="7"/>
  <c r="AS21" i="7"/>
  <c r="AQ13" i="7"/>
  <c r="AS25" i="7"/>
  <c r="AQ9" i="7"/>
  <c r="AQ17" i="7"/>
  <c r="AR14" i="7"/>
  <c r="AS13" i="7"/>
  <c r="AQ25" i="7"/>
  <c r="AT9" i="7"/>
  <c r="AT17" i="7"/>
  <c r="AS5" i="7"/>
  <c r="AR6" i="7"/>
  <c r="AQ19" i="7"/>
  <c r="AR9" i="7"/>
  <c r="AR17" i="7"/>
  <c r="AS9" i="7"/>
  <c r="AS17" i="7"/>
  <c r="AT6" i="7"/>
  <c r="AS19" i="7"/>
  <c r="AT25" i="7"/>
  <c r="AR10" i="7"/>
  <c r="AR11" i="7"/>
  <c r="AR15" i="7"/>
  <c r="AT14" i="7"/>
  <c r="AR30" i="7"/>
  <c r="AT10" i="7"/>
  <c r="AT11" i="7"/>
  <c r="AT15" i="7"/>
  <c r="AQ5" i="7"/>
  <c r="AS16" i="7"/>
  <c r="AS14" i="7"/>
  <c r="AQ30" i="7"/>
  <c r="AS10" i="7"/>
  <c r="AS11" i="7"/>
  <c r="AS15" i="7"/>
  <c r="AT5" i="7"/>
  <c r="AR24" i="7"/>
  <c r="AT24" i="7"/>
  <c r="AQ24" i="7"/>
  <c r="AQ4" i="7"/>
  <c r="AT30" i="7"/>
  <c r="AQ16" i="7"/>
  <c r="AR4" i="7"/>
  <c r="AT4" i="7"/>
  <c r="AR16" i="7"/>
  <c r="AQ14" i="7"/>
  <c r="AS30" i="7"/>
  <c r="AQ10" i="7"/>
  <c r="AQ11" i="7"/>
  <c r="AQ15" i="7"/>
  <c r="AR5" i="7"/>
  <c r="AT16" i="7"/>
  <c r="AS4" i="7"/>
  <c r="AS24" i="7"/>
  <c r="AW78" i="1"/>
  <c r="CA1" i="8"/>
  <c r="CA3" i="8" s="1"/>
  <c r="BW3" i="8"/>
  <c r="AZ1" i="8"/>
  <c r="AJ1" i="7"/>
  <c r="BE30" i="8"/>
  <c r="BD25" i="8"/>
  <c r="BC20" i="8"/>
  <c r="BE14" i="8"/>
  <c r="BD9" i="8"/>
  <c r="BC4" i="8"/>
  <c r="BD31" i="8"/>
  <c r="BC26" i="8"/>
  <c r="BE20" i="8"/>
  <c r="BD15" i="8"/>
  <c r="BC10" i="8"/>
  <c r="BE4" i="8"/>
  <c r="BC25" i="8"/>
  <c r="BC27" i="8"/>
  <c r="BD16" i="8"/>
  <c r="BE5" i="8"/>
  <c r="BE23" i="8"/>
  <c r="BC13" i="8"/>
  <c r="BE25" i="8"/>
  <c r="BC15" i="8"/>
  <c r="BD4" i="8"/>
  <c r="BD29" i="8"/>
  <c r="BC24" i="8"/>
  <c r="BE18" i="8"/>
  <c r="BD13" i="8"/>
  <c r="BC8" i="8"/>
  <c r="BC30" i="8"/>
  <c r="BE24" i="8"/>
  <c r="BD19" i="8"/>
  <c r="BC14" i="8"/>
  <c r="BE8" i="8"/>
  <c r="BD22" i="8"/>
  <c r="BD24" i="8"/>
  <c r="BE13" i="8"/>
  <c r="BE31" i="8"/>
  <c r="BC21" i="8"/>
  <c r="BD10" i="8"/>
  <c r="BC23" i="8"/>
  <c r="BD12" i="8"/>
  <c r="BC28" i="8"/>
  <c r="BD17" i="8"/>
  <c r="BE6" i="8"/>
  <c r="BE28" i="8"/>
  <c r="BC18" i="8"/>
  <c r="BD7" i="8"/>
  <c r="BE19" i="8"/>
  <c r="BE21" i="8"/>
  <c r="BD18" i="8"/>
  <c r="BC31" i="8"/>
  <c r="BE9" i="8"/>
  <c r="BE26" i="8"/>
  <c r="BC16" i="8"/>
  <c r="BD5" i="8"/>
  <c r="BD27" i="8"/>
  <c r="BE16" i="8"/>
  <c r="BC6" i="8"/>
  <c r="BC19" i="8"/>
  <c r="BE15" i="8"/>
  <c r="BD28" i="8"/>
  <c r="BC7" i="8"/>
  <c r="BC17" i="8"/>
  <c r="BC12" i="8"/>
  <c r="BE12" i="8"/>
  <c r="BD30" i="8"/>
  <c r="BC11" i="8"/>
  <c r="BE7" i="8"/>
  <c r="BC32" i="8"/>
  <c r="BE10" i="8"/>
  <c r="BE32" i="8"/>
  <c r="BD11" i="8"/>
  <c r="BE27" i="8"/>
  <c r="BD8" i="8"/>
  <c r="BC5" i="8"/>
  <c r="BD14" i="8"/>
  <c r="BE11" i="8"/>
  <c r="BE22" i="8"/>
  <c r="BD23" i="8"/>
  <c r="BD32" i="8"/>
  <c r="BC29" i="8"/>
  <c r="BD20" i="8"/>
  <c r="BD6" i="8"/>
  <c r="BE29" i="8"/>
  <c r="BE17" i="8"/>
  <c r="BD21" i="8"/>
  <c r="BC22" i="8"/>
  <c r="BD26" i="8"/>
  <c r="BC9" i="8"/>
  <c r="BF32" i="8"/>
  <c r="BF31" i="8"/>
  <c r="BF30" i="8"/>
  <c r="BF26" i="8"/>
  <c r="BF29" i="8"/>
  <c r="BF28" i="8"/>
  <c r="BF27" i="8"/>
  <c r="BF25" i="8"/>
  <c r="BF24" i="8"/>
  <c r="BF20" i="8"/>
  <c r="BF16" i="8"/>
  <c r="BF12" i="8"/>
  <c r="BF23" i="8"/>
  <c r="BF9" i="8"/>
  <c r="BF5" i="8"/>
  <c r="BF22" i="8"/>
  <c r="BF21" i="8"/>
  <c r="BF19" i="8"/>
  <c r="BF18" i="8"/>
  <c r="BF17" i="8"/>
  <c r="BF15" i="8"/>
  <c r="BF14" i="8"/>
  <c r="BF13" i="8"/>
  <c r="BF11" i="8"/>
  <c r="BF10" i="8"/>
  <c r="BF4" i="8"/>
  <c r="BF7" i="8"/>
  <c r="BF8" i="8"/>
  <c r="BF6" i="8"/>
  <c r="AU1" i="7"/>
  <c r="AU3" i="7" s="1"/>
  <c r="AU44" i="7" l="1"/>
  <c r="AW43" i="7"/>
  <c r="AU43" i="7"/>
  <c r="AV45" i="7"/>
  <c r="AV44" i="7"/>
  <c r="AX44" i="7"/>
  <c r="AX45" i="7"/>
  <c r="AW45" i="7"/>
  <c r="AV43" i="7"/>
  <c r="AW44" i="7"/>
  <c r="AU45" i="7"/>
  <c r="AX43" i="7"/>
  <c r="AX41" i="7"/>
  <c r="AW41" i="7"/>
  <c r="AV41" i="7"/>
  <c r="AU41" i="7"/>
  <c r="BX33" i="8"/>
  <c r="BW43" i="8"/>
  <c r="BW37" i="8"/>
  <c r="BW41" i="8"/>
  <c r="BX38" i="8"/>
  <c r="BY47" i="8"/>
  <c r="BY41" i="8"/>
  <c r="BX40" i="8"/>
  <c r="BX48" i="8"/>
  <c r="BY43" i="8"/>
  <c r="BX47" i="8"/>
  <c r="BX42" i="8"/>
  <c r="BX34" i="8"/>
  <c r="BX44" i="8"/>
  <c r="BW47" i="8"/>
  <c r="BX35" i="8"/>
  <c r="BW48" i="8"/>
  <c r="BX45" i="8"/>
  <c r="BY42" i="8"/>
  <c r="BY40" i="8"/>
  <c r="BW33" i="8"/>
  <c r="BY36" i="8"/>
  <c r="BX37" i="8"/>
  <c r="BW45" i="8"/>
  <c r="BY49" i="8"/>
  <c r="BY37" i="8"/>
  <c r="BY33" i="8"/>
  <c r="BX43" i="8"/>
  <c r="BY46" i="8"/>
  <c r="BW34" i="8"/>
  <c r="BW36" i="8"/>
  <c r="BW35" i="8"/>
  <c r="BW39" i="8"/>
  <c r="BY38" i="8"/>
  <c r="BY45" i="8"/>
  <c r="BY35" i="8"/>
  <c r="BW44" i="8"/>
  <c r="BY48" i="8"/>
  <c r="BW49" i="8"/>
  <c r="BX39" i="8"/>
  <c r="BX36" i="8"/>
  <c r="BX41" i="8"/>
  <c r="BY44" i="8"/>
  <c r="BY34" i="8"/>
  <c r="BX49" i="8"/>
  <c r="BY39" i="8"/>
  <c r="BW40" i="8"/>
  <c r="BX46" i="8"/>
  <c r="BW42" i="8"/>
  <c r="BW38" i="8"/>
  <c r="BW46" i="8"/>
  <c r="BZ36" i="8"/>
  <c r="BZ46" i="8"/>
  <c r="BZ35" i="8"/>
  <c r="BZ40" i="8"/>
  <c r="BZ33" i="8"/>
  <c r="BZ43" i="8"/>
  <c r="BZ48" i="8"/>
  <c r="BZ45" i="8"/>
  <c r="BZ41" i="8"/>
  <c r="BZ49" i="8"/>
  <c r="BZ39" i="8"/>
  <c r="BZ42" i="8"/>
  <c r="BZ37" i="8"/>
  <c r="BZ47" i="8"/>
  <c r="BZ34" i="8"/>
  <c r="BZ38" i="8"/>
  <c r="BZ44" i="8"/>
  <c r="AV37" i="7"/>
  <c r="AU40" i="7"/>
  <c r="AX37" i="7"/>
  <c r="AX42" i="7"/>
  <c r="AV40" i="7"/>
  <c r="AX40" i="7"/>
  <c r="AU42" i="7"/>
  <c r="AV42" i="7"/>
  <c r="AW42" i="7"/>
  <c r="AW40" i="7"/>
  <c r="AU37" i="7"/>
  <c r="AW37" i="7"/>
  <c r="AW33" i="7"/>
  <c r="AU36" i="7"/>
  <c r="AW39" i="7"/>
  <c r="AV35" i="7"/>
  <c r="AU34" i="7"/>
  <c r="AV39" i="7"/>
  <c r="AU35" i="7"/>
  <c r="AV38" i="7"/>
  <c r="AW35" i="7"/>
  <c r="AV34" i="7"/>
  <c r="AU39" i="7"/>
  <c r="AX38" i="7"/>
  <c r="AU33" i="7"/>
  <c r="AW38" i="7"/>
  <c r="AX32" i="7"/>
  <c r="AX36" i="7"/>
  <c r="AX34" i="7"/>
  <c r="AW34" i="7"/>
  <c r="AU32" i="7"/>
  <c r="AX33" i="7"/>
  <c r="AV33" i="7"/>
  <c r="AV36" i="7"/>
  <c r="AX39" i="7"/>
  <c r="AX35" i="7"/>
  <c r="AW32" i="7"/>
  <c r="AV32" i="7"/>
  <c r="AU38" i="7"/>
  <c r="AW36" i="7"/>
  <c r="CA33" i="8"/>
  <c r="CB35" i="8"/>
  <c r="CA44" i="8"/>
  <c r="CC34" i="8"/>
  <c r="CB43" i="8"/>
  <c r="CC36" i="8"/>
  <c r="CA38" i="8"/>
  <c r="CA40" i="8"/>
  <c r="CA43" i="8"/>
  <c r="CB37" i="8"/>
  <c r="CB48" i="8"/>
  <c r="CA37" i="8"/>
  <c r="CB46" i="8"/>
  <c r="CA35" i="8"/>
  <c r="CC37" i="8"/>
  <c r="CB47" i="8"/>
  <c r="CB44" i="8"/>
  <c r="CC39" i="8"/>
  <c r="CC48" i="8"/>
  <c r="CA39" i="8"/>
  <c r="CB33" i="8"/>
  <c r="CC35" i="8"/>
  <c r="CC33" i="8"/>
  <c r="CB39" i="8"/>
  <c r="CC40" i="8"/>
  <c r="CA48" i="8"/>
  <c r="CC43" i="8"/>
  <c r="CC46" i="8"/>
  <c r="CC47" i="8"/>
  <c r="CA46" i="8"/>
  <c r="CA41" i="8"/>
  <c r="CA47" i="8"/>
  <c r="CA45" i="8"/>
  <c r="CB36" i="8"/>
  <c r="CA49" i="8"/>
  <c r="CB49" i="8"/>
  <c r="CC44" i="8"/>
  <c r="CB34" i="8"/>
  <c r="CB42" i="8"/>
  <c r="CB40" i="8"/>
  <c r="CA42" i="8"/>
  <c r="CB45" i="8"/>
  <c r="CC45" i="8"/>
  <c r="CC41" i="8"/>
  <c r="CB38" i="8"/>
  <c r="CC49" i="8"/>
  <c r="CB41" i="8"/>
  <c r="CA34" i="8"/>
  <c r="CC42" i="8"/>
  <c r="CC38" i="8"/>
  <c r="CA36" i="8"/>
  <c r="CD41" i="8"/>
  <c r="CD34" i="8"/>
  <c r="CD49" i="8"/>
  <c r="CD42" i="8"/>
  <c r="CD44" i="8"/>
  <c r="CD36" i="8"/>
  <c r="CD43" i="8"/>
  <c r="CD35" i="8"/>
  <c r="CD48" i="8"/>
  <c r="CD39" i="8"/>
  <c r="CD38" i="8"/>
  <c r="CD33" i="8"/>
  <c r="CD47" i="8"/>
  <c r="CD45" i="8"/>
  <c r="CD40" i="8"/>
  <c r="CD37" i="8"/>
  <c r="CD46" i="8"/>
  <c r="AX31" i="7"/>
  <c r="AW20" i="7"/>
  <c r="AW12" i="7"/>
  <c r="AU23" i="7"/>
  <c r="AW31" i="7"/>
  <c r="AV31" i="7"/>
  <c r="AU31" i="7"/>
  <c r="AU20" i="7"/>
  <c r="AU12" i="7"/>
  <c r="AW23" i="7"/>
  <c r="AW26" i="7"/>
  <c r="AX20" i="7"/>
  <c r="AV20" i="7"/>
  <c r="AV12" i="7"/>
  <c r="AX23" i="7"/>
  <c r="AX26" i="7"/>
  <c r="AX12" i="7"/>
  <c r="AV23" i="7"/>
  <c r="AX29" i="7"/>
  <c r="AX28" i="7"/>
  <c r="AV22" i="7"/>
  <c r="AU26" i="7"/>
  <c r="AU22" i="7"/>
  <c r="AV29" i="7"/>
  <c r="AV28" i="7"/>
  <c r="AX21" i="7"/>
  <c r="AU7" i="7"/>
  <c r="AU27" i="7"/>
  <c r="AV26" i="7"/>
  <c r="AU29" i="7"/>
  <c r="AU28" i="7"/>
  <c r="AW8" i="7"/>
  <c r="AX8" i="7"/>
  <c r="AW21" i="7"/>
  <c r="AX7" i="7"/>
  <c r="AX22" i="7"/>
  <c r="AW29" i="7"/>
  <c r="AW28" i="7"/>
  <c r="AW22" i="7"/>
  <c r="AU21" i="7"/>
  <c r="AV7" i="7"/>
  <c r="AW27" i="7"/>
  <c r="AU18" i="7"/>
  <c r="AU8" i="7"/>
  <c r="AV21" i="7"/>
  <c r="AV8" i="7"/>
  <c r="AW7" i="7"/>
  <c r="AV6" i="7"/>
  <c r="AU13" i="7"/>
  <c r="AU19" i="7"/>
  <c r="AV27" i="7"/>
  <c r="AU6" i="7"/>
  <c r="AX13" i="7"/>
  <c r="AX19" i="7"/>
  <c r="AV25" i="7"/>
  <c r="AX27" i="7"/>
  <c r="AW6" i="7"/>
  <c r="AX6" i="7"/>
  <c r="AW13" i="7"/>
  <c r="AW18" i="7"/>
  <c r="AV18" i="7"/>
  <c r="AV13" i="7"/>
  <c r="AV19" i="7"/>
  <c r="AW25" i="7"/>
  <c r="AX9" i="7"/>
  <c r="AX17" i="7"/>
  <c r="AU25" i="7"/>
  <c r="AX18" i="7"/>
  <c r="AX25" i="7"/>
  <c r="AW9" i="7"/>
  <c r="AW17" i="7"/>
  <c r="AV16" i="7"/>
  <c r="AX14" i="7"/>
  <c r="AV30" i="7"/>
  <c r="AX10" i="7"/>
  <c r="AX11" i="7"/>
  <c r="AX15" i="7"/>
  <c r="AU5" i="7"/>
  <c r="AW19" i="7"/>
  <c r="AV9" i="7"/>
  <c r="AV17" i="7"/>
  <c r="AU9" i="7"/>
  <c r="AU17" i="7"/>
  <c r="AX30" i="7"/>
  <c r="AW5" i="7"/>
  <c r="AW14" i="7"/>
  <c r="AW10" i="7"/>
  <c r="AW15" i="7"/>
  <c r="AX16" i="7"/>
  <c r="AV10" i="7"/>
  <c r="AV11" i="7"/>
  <c r="AV15" i="7"/>
  <c r="AW30" i="7"/>
  <c r="AU11" i="7"/>
  <c r="AV5" i="7"/>
  <c r="AW16" i="7"/>
  <c r="AW4" i="7"/>
  <c r="AU30" i="7"/>
  <c r="AW11" i="7"/>
  <c r="AX5" i="7"/>
  <c r="AV4" i="7"/>
  <c r="AW24" i="7"/>
  <c r="AU14" i="7"/>
  <c r="AU10" i="7"/>
  <c r="AU15" i="7"/>
  <c r="AU16" i="7"/>
  <c r="AV14" i="7"/>
  <c r="AU4" i="7"/>
  <c r="AV24" i="7"/>
  <c r="AX24" i="7"/>
  <c r="AU24" i="7"/>
  <c r="AX4" i="7"/>
  <c r="AW80" i="1"/>
  <c r="BD1" i="8"/>
  <c r="AN1" i="7"/>
  <c r="BG28" i="8"/>
  <c r="BI22" i="8"/>
  <c r="BH17" i="8"/>
  <c r="BG12" i="8"/>
  <c r="BI6" i="8"/>
  <c r="BG32" i="8"/>
  <c r="BI26" i="8"/>
  <c r="BH21" i="8"/>
  <c r="BG16" i="8"/>
  <c r="BI10" i="8"/>
  <c r="BH5" i="8"/>
  <c r="BI30" i="8"/>
  <c r="BG20" i="8"/>
  <c r="BH9" i="8"/>
  <c r="BI31" i="8"/>
  <c r="BH26" i="8"/>
  <c r="BG21" i="8"/>
  <c r="BI15" i="8"/>
  <c r="BH10" i="8"/>
  <c r="BG5" i="8"/>
  <c r="BG30" i="8"/>
  <c r="BI24" i="8"/>
  <c r="BH19" i="8"/>
  <c r="BG14" i="8"/>
  <c r="BI8" i="8"/>
  <c r="BI29" i="8"/>
  <c r="BH24" i="8"/>
  <c r="BG19" i="8"/>
  <c r="BI13" i="8"/>
  <c r="BH8" i="8"/>
  <c r="BH29" i="8"/>
  <c r="BI18" i="8"/>
  <c r="BG8" i="8"/>
  <c r="BH30" i="8"/>
  <c r="BG25" i="8"/>
  <c r="BI19" i="8"/>
  <c r="BH14" i="8"/>
  <c r="BG9" i="8"/>
  <c r="BI28" i="8"/>
  <c r="BH23" i="8"/>
  <c r="BG18" i="8"/>
  <c r="BI12" i="8"/>
  <c r="BH7" i="8"/>
  <c r="BH28" i="8"/>
  <c r="BG23" i="8"/>
  <c r="BI17" i="8"/>
  <c r="BH12" i="8"/>
  <c r="BG7" i="8"/>
  <c r="BI14" i="8"/>
  <c r="BI23" i="8"/>
  <c r="BG13" i="8"/>
  <c r="BH27" i="8"/>
  <c r="BI16" i="8"/>
  <c r="BG6" i="8"/>
  <c r="BH32" i="8"/>
  <c r="BI21" i="8"/>
  <c r="BG11" i="8"/>
  <c r="BH13" i="8"/>
  <c r="BH22" i="8"/>
  <c r="BI11" i="8"/>
  <c r="BG26" i="8"/>
  <c r="BH15" i="8"/>
  <c r="BI4" i="8"/>
  <c r="BG31" i="8"/>
  <c r="BH20" i="8"/>
  <c r="BI9" i="8"/>
  <c r="BH25" i="8"/>
  <c r="BH18" i="8"/>
  <c r="BI32" i="8"/>
  <c r="BH11" i="8"/>
  <c r="BG27" i="8"/>
  <c r="BI5" i="8"/>
  <c r="BG24" i="8"/>
  <c r="BG17" i="8"/>
  <c r="BH31" i="8"/>
  <c r="BG10" i="8"/>
  <c r="BI25" i="8"/>
  <c r="BH4" i="8"/>
  <c r="BG4" i="8"/>
  <c r="BG29" i="8"/>
  <c r="BI7" i="8"/>
  <c r="BG22" i="8"/>
  <c r="BH16" i="8"/>
  <c r="BI27" i="8"/>
  <c r="BG15" i="8"/>
  <c r="BH6" i="8"/>
  <c r="BI20" i="8"/>
  <c r="BJ32" i="8"/>
  <c r="BJ31" i="8"/>
  <c r="BJ30" i="8"/>
  <c r="BJ26" i="8"/>
  <c r="BJ25" i="8"/>
  <c r="BJ29" i="8"/>
  <c r="BJ24" i="8"/>
  <c r="BJ23" i="8"/>
  <c r="BJ20" i="8"/>
  <c r="BJ16" i="8"/>
  <c r="BJ12" i="8"/>
  <c r="BJ28" i="8"/>
  <c r="BJ27" i="8"/>
  <c r="BJ9" i="8"/>
  <c r="BJ5" i="8"/>
  <c r="BJ22" i="8"/>
  <c r="BJ21" i="8"/>
  <c r="BJ19" i="8"/>
  <c r="BJ18" i="8"/>
  <c r="BJ17" i="8"/>
  <c r="BJ15" i="8"/>
  <c r="BJ14" i="8"/>
  <c r="BJ13" i="8"/>
  <c r="BJ8" i="8"/>
  <c r="BJ7" i="8"/>
  <c r="BJ6" i="8"/>
  <c r="BJ4" i="8"/>
  <c r="BJ11" i="8"/>
  <c r="BJ10" i="8"/>
  <c r="AY1" i="7"/>
  <c r="AY3" i="7" s="1"/>
  <c r="AY45" i="7" l="1"/>
  <c r="AY44" i="7"/>
  <c r="BA44" i="7"/>
  <c r="BA45" i="7"/>
  <c r="AZ45" i="7"/>
  <c r="BB45" i="7"/>
  <c r="AY43" i="7"/>
  <c r="BA43" i="7"/>
  <c r="BB43" i="7"/>
  <c r="AZ43" i="7"/>
  <c r="AZ44" i="7"/>
  <c r="BB44" i="7"/>
  <c r="BB41" i="7"/>
  <c r="AY41" i="7"/>
  <c r="AZ41" i="7"/>
  <c r="BA41" i="7"/>
  <c r="AZ37" i="7"/>
  <c r="BA40" i="7"/>
  <c r="BA37" i="7"/>
  <c r="AZ42" i="7"/>
  <c r="AZ40" i="7"/>
  <c r="AY37" i="7"/>
  <c r="BA42" i="7"/>
  <c r="AY42" i="7"/>
  <c r="BB40" i="7"/>
  <c r="AY40" i="7"/>
  <c r="BB37" i="7"/>
  <c r="BB42" i="7"/>
  <c r="BB34" i="7"/>
  <c r="AY38" i="7"/>
  <c r="AZ39" i="7"/>
  <c r="BB36" i="7"/>
  <c r="BA34" i="7"/>
  <c r="AZ32" i="7"/>
  <c r="BA32" i="7"/>
  <c r="BB33" i="7"/>
  <c r="AY33" i="7"/>
  <c r="AY32" i="7"/>
  <c r="BB39" i="7"/>
  <c r="BB35" i="7"/>
  <c r="AZ33" i="7"/>
  <c r="AZ38" i="7"/>
  <c r="AZ34" i="7"/>
  <c r="BB32" i="7"/>
  <c r="AY35" i="7"/>
  <c r="AY39" i="7"/>
  <c r="BA33" i="7"/>
  <c r="BA39" i="7"/>
  <c r="BB38" i="7"/>
  <c r="AZ35" i="7"/>
  <c r="BA36" i="7"/>
  <c r="AY34" i="7"/>
  <c r="AY36" i="7"/>
  <c r="AZ36" i="7"/>
  <c r="BA35" i="7"/>
  <c r="BA38" i="7"/>
  <c r="BA31" i="7"/>
  <c r="AY20" i="7"/>
  <c r="AY12" i="7"/>
  <c r="AZ31" i="7"/>
  <c r="AY31" i="7"/>
  <c r="BB20" i="7"/>
  <c r="BB12" i="7"/>
  <c r="AZ23" i="7"/>
  <c r="AZ20" i="7"/>
  <c r="AZ12" i="7"/>
  <c r="BB23" i="7"/>
  <c r="BB31" i="7"/>
  <c r="BA20" i="7"/>
  <c r="BA12" i="7"/>
  <c r="BA23" i="7"/>
  <c r="AZ26" i="7"/>
  <c r="AZ29" i="7"/>
  <c r="AY28" i="7"/>
  <c r="AY23" i="7"/>
  <c r="BB22" i="7"/>
  <c r="BA28" i="7"/>
  <c r="BA22" i="7"/>
  <c r="AY8" i="7"/>
  <c r="BB27" i="7"/>
  <c r="BB29" i="7"/>
  <c r="AY26" i="7"/>
  <c r="AY22" i="7"/>
  <c r="AZ21" i="7"/>
  <c r="AZ18" i="7"/>
  <c r="BA29" i="7"/>
  <c r="AZ28" i="7"/>
  <c r="BA26" i="7"/>
  <c r="BB26" i="7"/>
  <c r="BB28" i="7"/>
  <c r="AZ22" i="7"/>
  <c r="AY29" i="7"/>
  <c r="BA7" i="7"/>
  <c r="AZ8" i="7"/>
  <c r="AY21" i="7"/>
  <c r="AZ7" i="7"/>
  <c r="BA27" i="7"/>
  <c r="AY18" i="7"/>
  <c r="BB6" i="7"/>
  <c r="BA13" i="7"/>
  <c r="BA19" i="7"/>
  <c r="AY25" i="7"/>
  <c r="BB8" i="7"/>
  <c r="BB21" i="7"/>
  <c r="AY7" i="7"/>
  <c r="AY27" i="7"/>
  <c r="BB18" i="7"/>
  <c r="AZ13" i="7"/>
  <c r="AZ19" i="7"/>
  <c r="BB25" i="7"/>
  <c r="BA8" i="7"/>
  <c r="BA21" i="7"/>
  <c r="BB7" i="7"/>
  <c r="BA18" i="7"/>
  <c r="AZ6" i="7"/>
  <c r="AY13" i="7"/>
  <c r="AY19" i="7"/>
  <c r="BA25" i="7"/>
  <c r="AZ27" i="7"/>
  <c r="AY6" i="7"/>
  <c r="BB13" i="7"/>
  <c r="BB19" i="7"/>
  <c r="AZ25" i="7"/>
  <c r="BA6" i="7"/>
  <c r="BA9" i="7"/>
  <c r="BA17" i="7"/>
  <c r="AY14" i="7"/>
  <c r="BA30" i="7"/>
  <c r="BB10" i="7"/>
  <c r="BB11" i="7"/>
  <c r="BB15" i="7"/>
  <c r="AY5" i="7"/>
  <c r="AZ9" i="7"/>
  <c r="AZ17" i="7"/>
  <c r="BB14" i="7"/>
  <c r="AZ30" i="7"/>
  <c r="BA10" i="7"/>
  <c r="BA11" i="7"/>
  <c r="BA15" i="7"/>
  <c r="BB5" i="7"/>
  <c r="BB16" i="7"/>
  <c r="AY9" i="7"/>
  <c r="AY17" i="7"/>
  <c r="BA14" i="7"/>
  <c r="AY30" i="7"/>
  <c r="BB9" i="7"/>
  <c r="BB17" i="7"/>
  <c r="AY10" i="7"/>
  <c r="AY11" i="7"/>
  <c r="AY15" i="7"/>
  <c r="AZ5" i="7"/>
  <c r="BA16" i="7"/>
  <c r="AZ14" i="7"/>
  <c r="AZ10" i="7"/>
  <c r="AZ11" i="7"/>
  <c r="AZ15" i="7"/>
  <c r="BB30" i="7"/>
  <c r="BA5" i="7"/>
  <c r="BB24" i="7"/>
  <c r="AZ4" i="7"/>
  <c r="BA24" i="7"/>
  <c r="AY4" i="7"/>
  <c r="BA4" i="7"/>
  <c r="AZ24" i="7"/>
  <c r="AY16" i="7"/>
  <c r="AZ16" i="7"/>
  <c r="BB4" i="7"/>
  <c r="AY24" i="7"/>
  <c r="AW82" i="1"/>
  <c r="BH1" i="8"/>
  <c r="AR1" i="7"/>
  <c r="BM28" i="8"/>
  <c r="BL23" i="8"/>
  <c r="BK18" i="8"/>
  <c r="BM12" i="8"/>
  <c r="BL7" i="8"/>
  <c r="BM32" i="8"/>
  <c r="BL27" i="8"/>
  <c r="BK22" i="8"/>
  <c r="BM16" i="8"/>
  <c r="BL11" i="8"/>
  <c r="BL31" i="8"/>
  <c r="BK26" i="8"/>
  <c r="BM20" i="8"/>
  <c r="BL15" i="8"/>
  <c r="BK10" i="8"/>
  <c r="BM4" i="8"/>
  <c r="BL19" i="8"/>
  <c r="BM30" i="8"/>
  <c r="BM23" i="8"/>
  <c r="BL16" i="8"/>
  <c r="BL9" i="8"/>
  <c r="BK14" i="8"/>
  <c r="BK29" i="8"/>
  <c r="BM21" i="8"/>
  <c r="BM14" i="8"/>
  <c r="BM7" i="8"/>
  <c r="BK30" i="8"/>
  <c r="BM8" i="8"/>
  <c r="BK27" i="8"/>
  <c r="BK13" i="8"/>
  <c r="BL28" i="8"/>
  <c r="BL21" i="8"/>
  <c r="BL14" i="8"/>
  <c r="BK7" i="8"/>
  <c r="BL26" i="8"/>
  <c r="BK19" i="8"/>
  <c r="BK12" i="8"/>
  <c r="BK5" i="8"/>
  <c r="BM25" i="8"/>
  <c r="BM18" i="8"/>
  <c r="BM11" i="8"/>
  <c r="BL4" i="8"/>
  <c r="BL25" i="8"/>
  <c r="BK11" i="8"/>
  <c r="BM26" i="8"/>
  <c r="BM19" i="8"/>
  <c r="BL12" i="8"/>
  <c r="BL5" i="8"/>
  <c r="BM31" i="8"/>
  <c r="BL24" i="8"/>
  <c r="BL17" i="8"/>
  <c r="BL10" i="8"/>
  <c r="BK31" i="8"/>
  <c r="BK24" i="8"/>
  <c r="BK17" i="8"/>
  <c r="BM9" i="8"/>
  <c r="BM24" i="8"/>
  <c r="BK20" i="8"/>
  <c r="BK32" i="8"/>
  <c r="BM17" i="8"/>
  <c r="BM22" i="8"/>
  <c r="BL8" i="8"/>
  <c r="BL29" i="8"/>
  <c r="BK15" i="8"/>
  <c r="BK6" i="8"/>
  <c r="BL18" i="8"/>
  <c r="BL30" i="8"/>
  <c r="BK16" i="8"/>
  <c r="BK21" i="8"/>
  <c r="BM6" i="8"/>
  <c r="BM27" i="8"/>
  <c r="BL13" i="8"/>
  <c r="BK25" i="8"/>
  <c r="BM15" i="8"/>
  <c r="BK8" i="8"/>
  <c r="BL32" i="8"/>
  <c r="BK23" i="8"/>
  <c r="BM13" i="8"/>
  <c r="BL6" i="8"/>
  <c r="BM5" i="8"/>
  <c r="BM10" i="8"/>
  <c r="BM29" i="8"/>
  <c r="BL22" i="8"/>
  <c r="BK4" i="8"/>
  <c r="BL20" i="8"/>
  <c r="BK9" i="8"/>
  <c r="BK28" i="8"/>
  <c r="BN32" i="8"/>
  <c r="BN31" i="8"/>
  <c r="BN30" i="8"/>
  <c r="BN26" i="8"/>
  <c r="BN25" i="8"/>
  <c r="BN29" i="8"/>
  <c r="BN28" i="8"/>
  <c r="BN27" i="8"/>
  <c r="BN20" i="8"/>
  <c r="BN16" i="8"/>
  <c r="BN12" i="8"/>
  <c r="BN9" i="8"/>
  <c r="BN5" i="8"/>
  <c r="BN24" i="8"/>
  <c r="BN21" i="8"/>
  <c r="BN4" i="8"/>
  <c r="BN23" i="8"/>
  <c r="BN18" i="8"/>
  <c r="BN19" i="8"/>
  <c r="BN17" i="8"/>
  <c r="BN11" i="8"/>
  <c r="BN10" i="8"/>
  <c r="BN8" i="8"/>
  <c r="BN7" i="8"/>
  <c r="BN6" i="8"/>
  <c r="BN14" i="8"/>
  <c r="BN13" i="8"/>
  <c r="BN22" i="8"/>
  <c r="BN15" i="8"/>
  <c r="BC1" i="7"/>
  <c r="BC3" i="7" s="1"/>
  <c r="BE43" i="7" l="1"/>
  <c r="BC43" i="7"/>
  <c r="BF45" i="7"/>
  <c r="BF43" i="7"/>
  <c r="BD43" i="7"/>
  <c r="BC44" i="7"/>
  <c r="BE45" i="7"/>
  <c r="BF44" i="7"/>
  <c r="BD45" i="7"/>
  <c r="BC45" i="7"/>
  <c r="BE44" i="7"/>
  <c r="BD44" i="7"/>
  <c r="BF41" i="7"/>
  <c r="BE41" i="7"/>
  <c r="BD41" i="7"/>
  <c r="BC41" i="7"/>
  <c r="BC40" i="7"/>
  <c r="BC37" i="7"/>
  <c r="BD42" i="7"/>
  <c r="BE42" i="7"/>
  <c r="BF37" i="7"/>
  <c r="BC42" i="7"/>
  <c r="BD37" i="7"/>
  <c r="BF40" i="7"/>
  <c r="BE40" i="7"/>
  <c r="BE37" i="7"/>
  <c r="BF42" i="7"/>
  <c r="BD40" i="7"/>
  <c r="BD34" i="7"/>
  <c r="BD36" i="7"/>
  <c r="BD33" i="7"/>
  <c r="BD35" i="7"/>
  <c r="BF38" i="7"/>
  <c r="BE36" i="7"/>
  <c r="BC32" i="7"/>
  <c r="BC36" i="7"/>
  <c r="BF39" i="7"/>
  <c r="BD39" i="7"/>
  <c r="BC34" i="7"/>
  <c r="BC35" i="7"/>
  <c r="BE34" i="7"/>
  <c r="BE32" i="7"/>
  <c r="BF35" i="7"/>
  <c r="BE39" i="7"/>
  <c r="BE38" i="7"/>
  <c r="BC33" i="7"/>
  <c r="BF34" i="7"/>
  <c r="BD32" i="7"/>
  <c r="BF36" i="7"/>
  <c r="BD38" i="7"/>
  <c r="BC38" i="7"/>
  <c r="BE33" i="7"/>
  <c r="BE35" i="7"/>
  <c r="BC39" i="7"/>
  <c r="BF32" i="7"/>
  <c r="BF33" i="7"/>
  <c r="BE31" i="7"/>
  <c r="BD20" i="7"/>
  <c r="BD12" i="7"/>
  <c r="BC20" i="7"/>
  <c r="BF31" i="7"/>
  <c r="BC31" i="7"/>
  <c r="BD31" i="7"/>
  <c r="BE20" i="7"/>
  <c r="BE12" i="7"/>
  <c r="BF23" i="7"/>
  <c r="BC28" i="7"/>
  <c r="BF20" i="7"/>
  <c r="BC12" i="7"/>
  <c r="BF12" i="7"/>
  <c r="BD23" i="7"/>
  <c r="BD26" i="7"/>
  <c r="BF26" i="7"/>
  <c r="BE28" i="7"/>
  <c r="BE22" i="7"/>
  <c r="BF29" i="7"/>
  <c r="BF28" i="7"/>
  <c r="BF22" i="7"/>
  <c r="BE7" i="7"/>
  <c r="BE23" i="7"/>
  <c r="BD29" i="7"/>
  <c r="BF21" i="7"/>
  <c r="BC7" i="7"/>
  <c r="BC23" i="7"/>
  <c r="BC26" i="7"/>
  <c r="BD28" i="7"/>
  <c r="BE26" i="7"/>
  <c r="BE29" i="7"/>
  <c r="BC29" i="7"/>
  <c r="BC22" i="7"/>
  <c r="BD22" i="7"/>
  <c r="BD8" i="7"/>
  <c r="BD7" i="7"/>
  <c r="BC27" i="7"/>
  <c r="BD27" i="7"/>
  <c r="BF7" i="7"/>
  <c r="BF27" i="7"/>
  <c r="BD21" i="7"/>
  <c r="BE6" i="7"/>
  <c r="BE18" i="7"/>
  <c r="BC6" i="7"/>
  <c r="BC21" i="7"/>
  <c r="BF8" i="7"/>
  <c r="BF18" i="7"/>
  <c r="BC8" i="7"/>
  <c r="BE8" i="7"/>
  <c r="BE21" i="7"/>
  <c r="BE27" i="7"/>
  <c r="BC18" i="7"/>
  <c r="BD18" i="7"/>
  <c r="BD13" i="7"/>
  <c r="BD19" i="7"/>
  <c r="BD6" i="7"/>
  <c r="BC25" i="7"/>
  <c r="BC9" i="7"/>
  <c r="BC17" i="7"/>
  <c r="BD10" i="7"/>
  <c r="BD11" i="7"/>
  <c r="BD15" i="7"/>
  <c r="BF6" i="7"/>
  <c r="BF9" i="7"/>
  <c r="BF17" i="7"/>
  <c r="BD14" i="7"/>
  <c r="BF30" i="7"/>
  <c r="BE5" i="7"/>
  <c r="BD16" i="7"/>
  <c r="BC19" i="7"/>
  <c r="BF19" i="7"/>
  <c r="BE19" i="7"/>
  <c r="BE25" i="7"/>
  <c r="BF25" i="7"/>
  <c r="BE9" i="7"/>
  <c r="BE17" i="7"/>
  <c r="BC16" i="7"/>
  <c r="BC13" i="7"/>
  <c r="BF13" i="7"/>
  <c r="BE13" i="7"/>
  <c r="BD25" i="7"/>
  <c r="BD9" i="7"/>
  <c r="BD17" i="7"/>
  <c r="BF16" i="7"/>
  <c r="BD4" i="7"/>
  <c r="BC14" i="7"/>
  <c r="BE30" i="7"/>
  <c r="BD30" i="7"/>
  <c r="BC30" i="7"/>
  <c r="BD24" i="7"/>
  <c r="BC4" i="7"/>
  <c r="BF14" i="7"/>
  <c r="BC10" i="7"/>
  <c r="BC11" i="7"/>
  <c r="BC15" i="7"/>
  <c r="BD5" i="7"/>
  <c r="BF4" i="7"/>
  <c r="BC24" i="7"/>
  <c r="BE14" i="7"/>
  <c r="BF10" i="7"/>
  <c r="BF11" i="7"/>
  <c r="BF15" i="7"/>
  <c r="BC5" i="7"/>
  <c r="BF24" i="7"/>
  <c r="BE16" i="7"/>
  <c r="BE10" i="7"/>
  <c r="BE11" i="7"/>
  <c r="BE15" i="7"/>
  <c r="BF5" i="7"/>
  <c r="BE4" i="7"/>
  <c r="BE24" i="7"/>
  <c r="AW84" i="1"/>
  <c r="BL1" i="8"/>
  <c r="AV1" i="7"/>
  <c r="BQ32" i="8"/>
  <c r="BP27" i="8"/>
  <c r="BO22" i="8"/>
  <c r="BQ16" i="8"/>
  <c r="BP11" i="8"/>
  <c r="BO6" i="8"/>
  <c r="BP31" i="8"/>
  <c r="BO26" i="8"/>
  <c r="BQ20" i="8"/>
  <c r="BP15" i="8"/>
  <c r="BO10" i="8"/>
  <c r="BQ4" i="8"/>
  <c r="BO30" i="8"/>
  <c r="BQ24" i="8"/>
  <c r="BP19" i="8"/>
  <c r="BO14" i="8"/>
  <c r="BQ8" i="8"/>
  <c r="BO18" i="8"/>
  <c r="BP32" i="8"/>
  <c r="BO27" i="8"/>
  <c r="BQ21" i="8"/>
  <c r="BP16" i="8"/>
  <c r="BQ30" i="8"/>
  <c r="BP25" i="8"/>
  <c r="BO20" i="8"/>
  <c r="BQ14" i="8"/>
  <c r="BP9" i="8"/>
  <c r="BO4" i="8"/>
  <c r="BP12" i="8"/>
  <c r="BQ12" i="8"/>
  <c r="BO31" i="8"/>
  <c r="BQ25" i="8"/>
  <c r="BP20" i="8"/>
  <c r="BO15" i="8"/>
  <c r="BP29" i="8"/>
  <c r="BO24" i="8"/>
  <c r="BQ18" i="8"/>
  <c r="BP13" i="8"/>
  <c r="BO8" i="8"/>
  <c r="BQ27" i="8"/>
  <c r="BQ9" i="8"/>
  <c r="BQ28" i="8"/>
  <c r="BP7" i="8"/>
  <c r="BQ29" i="8"/>
  <c r="BP23" i="8"/>
  <c r="BO19" i="8"/>
  <c r="BQ22" i="8"/>
  <c r="BO12" i="8"/>
  <c r="BP22" i="8"/>
  <c r="BP26" i="8"/>
  <c r="BO9" i="8"/>
  <c r="BQ19" i="8"/>
  <c r="BQ5" i="8"/>
  <c r="BP18" i="8"/>
  <c r="BO5" i="8"/>
  <c r="BP28" i="8"/>
  <c r="BQ17" i="8"/>
  <c r="BO32" i="8"/>
  <c r="BP21" i="8"/>
  <c r="BQ10" i="8"/>
  <c r="BO17" i="8"/>
  <c r="BO21" i="8"/>
  <c r="BP6" i="8"/>
  <c r="BP14" i="8"/>
  <c r="BO13" i="8"/>
  <c r="BQ13" i="8"/>
  <c r="BO28" i="8"/>
  <c r="BQ6" i="8"/>
  <c r="BO7" i="8"/>
  <c r="BO11" i="8"/>
  <c r="BO29" i="8"/>
  <c r="BQ26" i="8"/>
  <c r="BP5" i="8"/>
  <c r="BP4" i="8"/>
  <c r="BQ31" i="8"/>
  <c r="BP8" i="8"/>
  <c r="BQ23" i="8"/>
  <c r="BP24" i="8"/>
  <c r="BQ15" i="8"/>
  <c r="BO23" i="8"/>
  <c r="BQ11" i="8"/>
  <c r="BP17" i="8"/>
  <c r="BP30" i="8"/>
  <c r="BP10" i="8"/>
  <c r="BQ7" i="8"/>
  <c r="BO25" i="8"/>
  <c r="BO16" i="8"/>
  <c r="BR32" i="8"/>
  <c r="BR31" i="8"/>
  <c r="BR30" i="8"/>
  <c r="BR26" i="8"/>
  <c r="BR29" i="8"/>
  <c r="BR28" i="8"/>
  <c r="BR27" i="8"/>
  <c r="BR25" i="8"/>
  <c r="BR20" i="8"/>
  <c r="BR16" i="8"/>
  <c r="BR12" i="8"/>
  <c r="BR22" i="8"/>
  <c r="BR21" i="8"/>
  <c r="BR19" i="8"/>
  <c r="BR18" i="8"/>
  <c r="BR17" i="8"/>
  <c r="BR15" i="8"/>
  <c r="BR14" i="8"/>
  <c r="BR13" i="8"/>
  <c r="BR11" i="8"/>
  <c r="BR10" i="8"/>
  <c r="BR9" i="8"/>
  <c r="BR5" i="8"/>
  <c r="BR24" i="8"/>
  <c r="BR23" i="8"/>
  <c r="BR4" i="8"/>
  <c r="BR8" i="8"/>
  <c r="BR7" i="8"/>
  <c r="BR6" i="8"/>
  <c r="BG1" i="7"/>
  <c r="BG3" i="7" s="1"/>
  <c r="BJ44" i="7" l="1"/>
  <c r="BH44" i="7"/>
  <c r="BI44" i="7"/>
  <c r="BJ45" i="7"/>
  <c r="BH45" i="7"/>
  <c r="BG44" i="7"/>
  <c r="BJ43" i="7"/>
  <c r="BH43" i="7"/>
  <c r="BG45" i="7"/>
  <c r="BI45" i="7"/>
  <c r="BI43" i="7"/>
  <c r="BG43" i="7"/>
  <c r="BG41" i="7"/>
  <c r="BH41" i="7"/>
  <c r="BJ41" i="7"/>
  <c r="BI41" i="7"/>
  <c r="BH42" i="7"/>
  <c r="BG40" i="7"/>
  <c r="BI37" i="7"/>
  <c r="BH40" i="7"/>
  <c r="BJ40" i="7"/>
  <c r="BG37" i="7"/>
  <c r="BJ42" i="7"/>
  <c r="BJ37" i="7"/>
  <c r="BH37" i="7"/>
  <c r="BI42" i="7"/>
  <c r="BI40" i="7"/>
  <c r="BG42" i="7"/>
  <c r="BI32" i="7"/>
  <c r="BI33" i="7"/>
  <c r="BH38" i="7"/>
  <c r="BJ33" i="7"/>
  <c r="BJ34" i="7"/>
  <c r="BG32" i="7"/>
  <c r="BH39" i="7"/>
  <c r="BI36" i="7"/>
  <c r="BH35" i="7"/>
  <c r="BJ36" i="7"/>
  <c r="BH34" i="7"/>
  <c r="BI39" i="7"/>
  <c r="BG33" i="7"/>
  <c r="BH36" i="7"/>
  <c r="BG34" i="7"/>
  <c r="BJ35" i="7"/>
  <c r="BG36" i="7"/>
  <c r="BG39" i="7"/>
  <c r="BJ32" i="7"/>
  <c r="BJ39" i="7"/>
  <c r="BI34" i="7"/>
  <c r="BG38" i="7"/>
  <c r="BJ38" i="7"/>
  <c r="BH33" i="7"/>
  <c r="BI35" i="7"/>
  <c r="BH32" i="7"/>
  <c r="BG35" i="7"/>
  <c r="BI38" i="7"/>
  <c r="BG31" i="7"/>
  <c r="BH31" i="7"/>
  <c r="BI31" i="7"/>
  <c r="BI20" i="7"/>
  <c r="BI12" i="7"/>
  <c r="BG23" i="7"/>
  <c r="BJ31" i="7"/>
  <c r="BG20" i="7"/>
  <c r="BG12" i="7"/>
  <c r="BI23" i="7"/>
  <c r="BJ12" i="7"/>
  <c r="BH23" i="7"/>
  <c r="BH20" i="7"/>
  <c r="BH12" i="7"/>
  <c r="BJ20" i="7"/>
  <c r="BG22" i="7"/>
  <c r="BJ28" i="7"/>
  <c r="BI29" i="7"/>
  <c r="BI28" i="7"/>
  <c r="BI22" i="7"/>
  <c r="BJ22" i="7"/>
  <c r="BG8" i="7"/>
  <c r="BJ23" i="7"/>
  <c r="BJ26" i="7"/>
  <c r="BH26" i="7"/>
  <c r="BH29" i="7"/>
  <c r="BH28" i="7"/>
  <c r="BI8" i="7"/>
  <c r="BJ8" i="7"/>
  <c r="BI21" i="7"/>
  <c r="BJ7" i="7"/>
  <c r="BI18" i="7"/>
  <c r="BJ29" i="7"/>
  <c r="BG26" i="7"/>
  <c r="BG29" i="7"/>
  <c r="BG28" i="7"/>
  <c r="BI26" i="7"/>
  <c r="BH22" i="7"/>
  <c r="BG21" i="7"/>
  <c r="BH7" i="7"/>
  <c r="BI27" i="7"/>
  <c r="BG18" i="7"/>
  <c r="BJ21" i="7"/>
  <c r="BG27" i="7"/>
  <c r="BI7" i="7"/>
  <c r="BJ6" i="7"/>
  <c r="BI13" i="7"/>
  <c r="BI19" i="7"/>
  <c r="BG25" i="7"/>
  <c r="BG7" i="7"/>
  <c r="BJ27" i="7"/>
  <c r="BJ18" i="7"/>
  <c r="BH8" i="7"/>
  <c r="BH21" i="7"/>
  <c r="BH27" i="7"/>
  <c r="BI6" i="7"/>
  <c r="BH6" i="7"/>
  <c r="BG13" i="7"/>
  <c r="BG19" i="7"/>
  <c r="BI25" i="7"/>
  <c r="BG6" i="7"/>
  <c r="BJ19" i="7"/>
  <c r="BH9" i="7"/>
  <c r="BH17" i="7"/>
  <c r="BJ9" i="7"/>
  <c r="BJ17" i="7"/>
  <c r="BI5" i="7"/>
  <c r="BI9" i="7"/>
  <c r="BI17" i="7"/>
  <c r="BJ13" i="7"/>
  <c r="BH25" i="7"/>
  <c r="BH18" i="7"/>
  <c r="BH19" i="7"/>
  <c r="BJ25" i="7"/>
  <c r="BH16" i="7"/>
  <c r="BH13" i="7"/>
  <c r="BG9" i="7"/>
  <c r="BG17" i="7"/>
  <c r="BI14" i="7"/>
  <c r="BG30" i="7"/>
  <c r="BI10" i="7"/>
  <c r="BI11" i="7"/>
  <c r="BI15" i="7"/>
  <c r="BJ5" i="7"/>
  <c r="BH14" i="7"/>
  <c r="BG4" i="7"/>
  <c r="BH24" i="7"/>
  <c r="BH10" i="7"/>
  <c r="BH11" i="7"/>
  <c r="BH15" i="7"/>
  <c r="BG16" i="7"/>
  <c r="BJ4" i="7"/>
  <c r="BG24" i="7"/>
  <c r="BJ24" i="7"/>
  <c r="BI4" i="7"/>
  <c r="BG14" i="7"/>
  <c r="BI30" i="7"/>
  <c r="BG10" i="7"/>
  <c r="BG11" i="7"/>
  <c r="BG15" i="7"/>
  <c r="BH5" i="7"/>
  <c r="BJ16" i="7"/>
  <c r="BJ14" i="7"/>
  <c r="BH30" i="7"/>
  <c r="BJ10" i="7"/>
  <c r="BJ11" i="7"/>
  <c r="BJ15" i="7"/>
  <c r="BG5" i="7"/>
  <c r="BJ30" i="7"/>
  <c r="BI16" i="7"/>
  <c r="BI24" i="7"/>
  <c r="BH4" i="7"/>
  <c r="AW86" i="1"/>
  <c r="BP1" i="8"/>
  <c r="AZ1" i="7"/>
  <c r="BU27" i="8"/>
  <c r="BU28" i="8"/>
  <c r="BS27" i="8"/>
  <c r="BU20" i="8"/>
  <c r="BT15" i="8"/>
  <c r="BS10" i="8"/>
  <c r="BU4" i="8"/>
  <c r="BU31" i="8"/>
  <c r="BT26" i="8"/>
  <c r="BU32" i="8"/>
  <c r="BT27" i="8"/>
  <c r="BT25" i="8"/>
  <c r="BT19" i="8"/>
  <c r="BS14" i="8"/>
  <c r="BU8" i="8"/>
  <c r="BT30" i="8"/>
  <c r="BS25" i="8"/>
  <c r="BT31" i="8"/>
  <c r="BT32" i="8"/>
  <c r="BT23" i="8"/>
  <c r="BS18" i="8"/>
  <c r="BU12" i="8"/>
  <c r="BT7" i="8"/>
  <c r="BS29" i="8"/>
  <c r="BU16" i="8"/>
  <c r="BU26" i="8"/>
  <c r="BT20" i="8"/>
  <c r="BS15" i="8"/>
  <c r="BU9" i="8"/>
  <c r="BT4" i="8"/>
  <c r="BT24" i="8"/>
  <c r="BU18" i="8"/>
  <c r="BT13" i="8"/>
  <c r="BS8" i="8"/>
  <c r="BT10" i="8"/>
  <c r="BU23" i="8"/>
  <c r="BS30" i="8"/>
  <c r="BT11" i="8"/>
  <c r="BU24" i="8"/>
  <c r="BS19" i="8"/>
  <c r="BU13" i="8"/>
  <c r="BT8" i="8"/>
  <c r="BS31" i="8"/>
  <c r="BU22" i="8"/>
  <c r="BT17" i="8"/>
  <c r="BS12" i="8"/>
  <c r="BU6" i="8"/>
  <c r="BS28" i="8"/>
  <c r="BS5" i="8"/>
  <c r="BU29" i="8"/>
  <c r="BS6" i="8"/>
  <c r="BS32" i="8"/>
  <c r="BS23" i="8"/>
  <c r="BU17" i="8"/>
  <c r="BT12" i="8"/>
  <c r="BS7" i="8"/>
  <c r="BS11" i="8"/>
  <c r="BT21" i="8"/>
  <c r="BU10" i="8"/>
  <c r="BS21" i="8"/>
  <c r="BU25" i="8"/>
  <c r="BT18" i="8"/>
  <c r="BS17" i="8"/>
  <c r="BT29" i="8"/>
  <c r="BU5" i="8"/>
  <c r="BS20" i="8"/>
  <c r="BT9" i="8"/>
  <c r="BU15" i="8"/>
  <c r="BU19" i="8"/>
  <c r="BS13" i="8"/>
  <c r="BU11" i="8"/>
  <c r="BT28" i="8"/>
  <c r="BT5" i="8"/>
  <c r="BU7" i="8"/>
  <c r="BU30" i="8"/>
  <c r="BS26" i="8"/>
  <c r="BS4" i="8"/>
  <c r="BT22" i="8"/>
  <c r="BT6" i="8"/>
  <c r="BS24" i="8"/>
  <c r="BS22" i="8"/>
  <c r="BU21" i="8"/>
  <c r="BS16" i="8"/>
  <c r="BT14" i="8"/>
  <c r="BT16" i="8"/>
  <c r="BS9" i="8"/>
  <c r="BU14" i="8"/>
  <c r="BV32" i="8"/>
  <c r="BV31" i="8"/>
  <c r="BV30" i="8"/>
  <c r="BV26" i="8"/>
  <c r="BV29" i="8"/>
  <c r="BV28" i="8"/>
  <c r="BV27" i="8"/>
  <c r="BV25" i="8"/>
  <c r="BV24" i="8"/>
  <c r="BV20" i="8"/>
  <c r="BV16" i="8"/>
  <c r="BV12" i="8"/>
  <c r="BV9" i="8"/>
  <c r="BV5" i="8"/>
  <c r="BV22" i="8"/>
  <c r="BV21" i="8"/>
  <c r="BV19" i="8"/>
  <c r="BV18" i="8"/>
  <c r="BV17" i="8"/>
  <c r="BV15" i="8"/>
  <c r="BV14" i="8"/>
  <c r="BV13" i="8"/>
  <c r="BV11" i="8"/>
  <c r="BV10" i="8"/>
  <c r="BV4" i="8"/>
  <c r="BV23" i="8"/>
  <c r="BV7" i="8"/>
  <c r="BV8" i="8"/>
  <c r="BV6" i="8"/>
  <c r="BK1" i="7"/>
  <c r="BK3" i="7" s="1"/>
  <c r="BN45" i="7" l="1"/>
  <c r="BL45" i="7"/>
  <c r="BN44" i="7"/>
  <c r="BN43" i="7"/>
  <c r="BK43" i="7"/>
  <c r="BL44" i="7"/>
  <c r="BL43" i="7"/>
  <c r="BK44" i="7"/>
  <c r="BM45" i="7"/>
  <c r="BM44" i="7"/>
  <c r="BM43" i="7"/>
  <c r="BK45" i="7"/>
  <c r="BK41" i="7"/>
  <c r="BN41" i="7"/>
  <c r="BM41" i="7"/>
  <c r="BL41" i="7"/>
  <c r="BL37" i="7"/>
  <c r="BL40" i="7"/>
  <c r="BM37" i="7"/>
  <c r="BM40" i="7"/>
  <c r="BL42" i="7"/>
  <c r="BN37" i="7"/>
  <c r="BK40" i="7"/>
  <c r="BK37" i="7"/>
  <c r="BM42" i="7"/>
  <c r="BN40" i="7"/>
  <c r="BK42" i="7"/>
  <c r="BN42" i="7"/>
  <c r="BK35" i="7"/>
  <c r="BK38" i="7"/>
  <c r="BL39" i="7"/>
  <c r="BL35" i="7"/>
  <c r="BL38" i="7"/>
  <c r="BM35" i="7"/>
  <c r="BN33" i="7"/>
  <c r="BK34" i="7"/>
  <c r="BK32" i="7"/>
  <c r="BN39" i="7"/>
  <c r="BM33" i="7"/>
  <c r="BL34" i="7"/>
  <c r="BN35" i="7"/>
  <c r="BL32" i="7"/>
  <c r="BL36" i="7"/>
  <c r="BM32" i="7"/>
  <c r="BM34" i="7"/>
  <c r="BN38" i="7"/>
  <c r="BK33" i="7"/>
  <c r="BN34" i="7"/>
  <c r="BK39" i="7"/>
  <c r="BN36" i="7"/>
  <c r="BL33" i="7"/>
  <c r="BN32" i="7"/>
  <c r="BM36" i="7"/>
  <c r="BM39" i="7"/>
  <c r="BK36" i="7"/>
  <c r="BM38" i="7"/>
  <c r="BN31" i="7"/>
  <c r="BK31" i="7"/>
  <c r="BL31" i="7"/>
  <c r="BM31" i="7"/>
  <c r="BN20" i="7"/>
  <c r="BN12" i="7"/>
  <c r="BL23" i="7"/>
  <c r="BK12" i="7"/>
  <c r="BM23" i="7"/>
  <c r="BL20" i="7"/>
  <c r="BM12" i="7"/>
  <c r="BK23" i="7"/>
  <c r="BL26" i="7"/>
  <c r="BK20" i="7"/>
  <c r="BM26" i="7"/>
  <c r="BL12" i="7"/>
  <c r="BN23" i="7"/>
  <c r="BM20" i="7"/>
  <c r="BN29" i="7"/>
  <c r="BN28" i="7"/>
  <c r="BK22" i="7"/>
  <c r="BN22" i="7"/>
  <c r="BK29" i="7"/>
  <c r="BK28" i="7"/>
  <c r="BL22" i="7"/>
  <c r="BM8" i="7"/>
  <c r="BM21" i="7"/>
  <c r="BN7" i="7"/>
  <c r="BK8" i="7"/>
  <c r="BM29" i="7"/>
  <c r="BM28" i="7"/>
  <c r="BM22" i="7"/>
  <c r="BK21" i="7"/>
  <c r="BL7" i="7"/>
  <c r="BM27" i="7"/>
  <c r="BK18" i="7"/>
  <c r="BK26" i="7"/>
  <c r="BL29" i="7"/>
  <c r="BL28" i="7"/>
  <c r="BN26" i="7"/>
  <c r="BN21" i="7"/>
  <c r="BK7" i="7"/>
  <c r="BK27" i="7"/>
  <c r="BN27" i="7"/>
  <c r="BM7" i="7"/>
  <c r="BL8" i="7"/>
  <c r="BN18" i="7"/>
  <c r="BK6" i="7"/>
  <c r="BN13" i="7"/>
  <c r="BN19" i="7"/>
  <c r="BL21" i="7"/>
  <c r="BN6" i="7"/>
  <c r="BM13" i="7"/>
  <c r="BM19" i="7"/>
  <c r="BK25" i="7"/>
  <c r="BL27" i="7"/>
  <c r="BL18" i="7"/>
  <c r="BN8" i="7"/>
  <c r="BL6" i="7"/>
  <c r="BK13" i="7"/>
  <c r="BK19" i="7"/>
  <c r="BM25" i="7"/>
  <c r="BM6" i="7"/>
  <c r="BM9" i="7"/>
  <c r="BM17" i="7"/>
  <c r="BL19" i="7"/>
  <c r="BM14" i="7"/>
  <c r="BK30" i="7"/>
  <c r="BM10" i="7"/>
  <c r="BM11" i="7"/>
  <c r="BM15" i="7"/>
  <c r="BN5" i="7"/>
  <c r="BL25" i="7"/>
  <c r="BM18" i="7"/>
  <c r="BK9" i="7"/>
  <c r="BK17" i="7"/>
  <c r="BL9" i="7"/>
  <c r="BL17" i="7"/>
  <c r="BL13" i="7"/>
  <c r="BN25" i="7"/>
  <c r="BN9" i="7"/>
  <c r="BN17" i="7"/>
  <c r="BK14" i="7"/>
  <c r="BM30" i="7"/>
  <c r="BK10" i="7"/>
  <c r="BK11" i="7"/>
  <c r="BK15" i="7"/>
  <c r="BL5" i="7"/>
  <c r="BM16" i="7"/>
  <c r="BL16" i="7"/>
  <c r="BN14" i="7"/>
  <c r="BN10" i="7"/>
  <c r="BN15" i="7"/>
  <c r="BL14" i="7"/>
  <c r="BL10" i="7"/>
  <c r="BL11" i="7"/>
  <c r="BL15" i="7"/>
  <c r="BN30" i="7"/>
  <c r="BM5" i="7"/>
  <c r="BL4" i="7"/>
  <c r="BM24" i="7"/>
  <c r="BL24" i="7"/>
  <c r="BK16" i="7"/>
  <c r="BK4" i="7"/>
  <c r="BN24" i="7"/>
  <c r="BL30" i="7"/>
  <c r="BN11" i="7"/>
  <c r="BK5" i="7"/>
  <c r="BN16" i="7"/>
  <c r="BN4" i="7"/>
  <c r="BK24" i="7"/>
  <c r="BM4" i="7"/>
  <c r="AW88" i="1"/>
  <c r="BT1" i="8"/>
  <c r="BD1" i="7"/>
  <c r="CA29" i="8"/>
  <c r="CC23" i="8"/>
  <c r="CB18" i="8"/>
  <c r="CA13" i="8"/>
  <c r="CC7" i="8"/>
  <c r="CC27" i="8"/>
  <c r="CB22" i="8"/>
  <c r="CA17" i="8"/>
  <c r="CC11" i="8"/>
  <c r="CB6" i="8"/>
  <c r="CC31" i="8"/>
  <c r="CB26" i="8"/>
  <c r="CA21" i="8"/>
  <c r="CC15" i="8"/>
  <c r="CB10" i="8"/>
  <c r="CA5" i="8"/>
  <c r="CA25" i="8"/>
  <c r="CB31" i="8"/>
  <c r="CA26" i="8"/>
  <c r="CC20" i="8"/>
  <c r="CB15" i="8"/>
  <c r="CA10" i="8"/>
  <c r="CC4" i="8"/>
  <c r="CB28" i="8"/>
  <c r="CA23" i="8"/>
  <c r="CC17" i="8"/>
  <c r="CB12" i="8"/>
  <c r="CA7" i="8"/>
  <c r="CB25" i="8"/>
  <c r="CA4" i="8"/>
  <c r="CC19" i="8"/>
  <c r="CA30" i="8"/>
  <c r="CC24" i="8"/>
  <c r="CB19" i="8"/>
  <c r="CA14" i="8"/>
  <c r="CC8" i="8"/>
  <c r="CB32" i="8"/>
  <c r="CA27" i="8"/>
  <c r="CC21" i="8"/>
  <c r="CB16" i="8"/>
  <c r="CA11" i="8"/>
  <c r="CC5" i="8"/>
  <c r="CA20" i="8"/>
  <c r="CB14" i="8"/>
  <c r="CC28" i="8"/>
  <c r="CB23" i="8"/>
  <c r="CA18" i="8"/>
  <c r="CC12" i="8"/>
  <c r="CB7" i="8"/>
  <c r="CA31" i="8"/>
  <c r="CC25" i="8"/>
  <c r="CB20" i="8"/>
  <c r="CA15" i="8"/>
  <c r="CC9" i="8"/>
  <c r="CB4" i="8"/>
  <c r="CC14" i="8"/>
  <c r="CB30" i="8"/>
  <c r="CC32" i="8"/>
  <c r="CB11" i="8"/>
  <c r="CC13" i="8"/>
  <c r="CB9" i="8"/>
  <c r="CA24" i="8"/>
  <c r="CB17" i="8"/>
  <c r="CB21" i="8"/>
  <c r="CA9" i="8"/>
  <c r="CB27" i="8"/>
  <c r="CA6" i="8"/>
  <c r="CC29" i="8"/>
  <c r="CB8" i="8"/>
  <c r="CC18" i="8"/>
  <c r="CA12" i="8"/>
  <c r="CA16" i="8"/>
  <c r="CA22" i="8"/>
  <c r="CB24" i="8"/>
  <c r="CB13" i="8"/>
  <c r="CC30" i="8"/>
  <c r="CA28" i="8"/>
  <c r="CC10" i="8"/>
  <c r="CC22" i="8"/>
  <c r="CB5" i="8"/>
  <c r="CA19" i="8"/>
  <c r="CC16" i="8"/>
  <c r="CB29" i="8"/>
  <c r="CA32" i="8"/>
  <c r="CA8" i="8"/>
  <c r="CC26" i="8"/>
  <c r="CC6" i="8"/>
  <c r="BX30" i="8"/>
  <c r="BW25" i="8"/>
  <c r="BY19" i="8"/>
  <c r="BX14" i="8"/>
  <c r="BW29" i="8"/>
  <c r="BY23" i="8"/>
  <c r="BX18" i="8"/>
  <c r="BW13" i="8"/>
  <c r="BY27" i="8"/>
  <c r="BX22" i="8"/>
  <c r="BW17" i="8"/>
  <c r="BX26" i="8"/>
  <c r="BX10" i="8"/>
  <c r="BW5" i="8"/>
  <c r="BY32" i="8"/>
  <c r="BX27" i="8"/>
  <c r="BW22" i="8"/>
  <c r="BY16" i="8"/>
  <c r="BX11" i="8"/>
  <c r="BW6" i="8"/>
  <c r="BY25" i="8"/>
  <c r="BW15" i="8"/>
  <c r="BX4" i="8"/>
  <c r="BW21" i="8"/>
  <c r="BW9" i="8"/>
  <c r="BX31" i="8"/>
  <c r="BW26" i="8"/>
  <c r="BY20" i="8"/>
  <c r="BX15" i="8"/>
  <c r="BW10" i="8"/>
  <c r="BY4" i="8"/>
  <c r="BW23" i="8"/>
  <c r="BX12" i="8"/>
  <c r="BY15" i="8"/>
  <c r="BY7" i="8"/>
  <c r="BW30" i="8"/>
  <c r="BY24" i="8"/>
  <c r="BX19" i="8"/>
  <c r="BW14" i="8"/>
  <c r="BY8" i="8"/>
  <c r="BW31" i="8"/>
  <c r="BX20" i="8"/>
  <c r="BY9" i="8"/>
  <c r="BX6" i="8"/>
  <c r="BY12" i="8"/>
  <c r="BW7" i="8"/>
  <c r="BX25" i="8"/>
  <c r="BY14" i="8"/>
  <c r="BW4" i="8"/>
  <c r="BX32" i="8"/>
  <c r="BY21" i="8"/>
  <c r="BW11" i="8"/>
  <c r="BY28" i="8"/>
  <c r="BX7" i="8"/>
  <c r="BY22" i="8"/>
  <c r="BW12" i="8"/>
  <c r="BY29" i="8"/>
  <c r="BW19" i="8"/>
  <c r="BX8" i="8"/>
  <c r="BY26" i="8"/>
  <c r="BY31" i="8"/>
  <c r="BX23" i="8"/>
  <c r="BX28" i="8"/>
  <c r="BY30" i="8"/>
  <c r="BW20" i="8"/>
  <c r="BX9" i="8"/>
  <c r="BW18" i="8"/>
  <c r="BX16" i="8"/>
  <c r="BW24" i="8"/>
  <c r="BY10" i="8"/>
  <c r="BW8" i="8"/>
  <c r="BY17" i="8"/>
  <c r="BW28" i="8"/>
  <c r="BY13" i="8"/>
  <c r="BX13" i="8"/>
  <c r="BX17" i="8"/>
  <c r="BW27" i="8"/>
  <c r="BW16" i="8"/>
  <c r="BW32" i="8"/>
  <c r="BY11" i="8"/>
  <c r="BY6" i="8"/>
  <c r="BX24" i="8"/>
  <c r="BX5" i="8"/>
  <c r="BX21" i="8"/>
  <c r="BY5" i="8"/>
  <c r="BX29" i="8"/>
  <c r="BY18" i="8"/>
  <c r="CD32" i="8"/>
  <c r="CD31" i="8"/>
  <c r="CD30" i="8"/>
  <c r="CD26" i="8"/>
  <c r="CD25" i="8"/>
  <c r="CD20" i="8"/>
  <c r="CD16" i="8"/>
  <c r="CD12" i="8"/>
  <c r="CD29" i="8"/>
  <c r="CD24" i="8"/>
  <c r="CD9" i="8"/>
  <c r="CD5" i="8"/>
  <c r="CD28" i="8"/>
  <c r="CD23" i="8"/>
  <c r="CD18" i="8"/>
  <c r="CD14" i="8"/>
  <c r="CD4" i="8"/>
  <c r="CD27" i="8"/>
  <c r="CD22" i="8"/>
  <c r="CD11" i="8"/>
  <c r="CD10" i="8"/>
  <c r="CD21" i="8"/>
  <c r="CD13" i="8"/>
  <c r="CD8" i="8"/>
  <c r="CD7" i="8"/>
  <c r="CD6" i="8"/>
  <c r="CD15" i="8"/>
  <c r="CD19" i="8"/>
  <c r="CD17" i="8"/>
  <c r="BZ32" i="8"/>
  <c r="BZ31" i="8"/>
  <c r="BZ30" i="8"/>
  <c r="BZ26" i="8"/>
  <c r="BZ25" i="8"/>
  <c r="BZ29" i="8"/>
  <c r="BZ28" i="8"/>
  <c r="BZ27" i="8"/>
  <c r="BZ24" i="8"/>
  <c r="BZ23" i="8"/>
  <c r="BZ20" i="8"/>
  <c r="BZ16" i="8"/>
  <c r="BZ12" i="8"/>
  <c r="BZ9" i="8"/>
  <c r="BZ5" i="8"/>
  <c r="BZ22" i="8"/>
  <c r="BZ21" i="8"/>
  <c r="BZ19" i="8"/>
  <c r="BZ18" i="8"/>
  <c r="BZ17" i="8"/>
  <c r="BZ15" i="8"/>
  <c r="BZ14" i="8"/>
  <c r="BZ11" i="8"/>
  <c r="BZ10" i="8"/>
  <c r="BZ8" i="8"/>
  <c r="BZ7" i="8"/>
  <c r="BZ6" i="8"/>
  <c r="BZ4" i="8"/>
  <c r="BZ13" i="8"/>
  <c r="BO1" i="7"/>
  <c r="BO3" i="7" s="1"/>
  <c r="BO45" i="7" l="1"/>
  <c r="BQ43" i="7"/>
  <c r="BR43" i="7"/>
  <c r="BQ44" i="7"/>
  <c r="BP44" i="7"/>
  <c r="BR45" i="7"/>
  <c r="BP45" i="7"/>
  <c r="BR44" i="7"/>
  <c r="BQ45" i="7"/>
  <c r="BO44" i="7"/>
  <c r="BP43" i="7"/>
  <c r="BO43" i="7"/>
  <c r="BR41" i="7"/>
  <c r="BP41" i="7"/>
  <c r="BQ41" i="7"/>
  <c r="BO41" i="7"/>
  <c r="BQ37" i="7"/>
  <c r="BO40" i="7"/>
  <c r="BO37" i="7"/>
  <c r="BR42" i="7"/>
  <c r="BQ42" i="7"/>
  <c r="BQ40" i="7"/>
  <c r="BP40" i="7"/>
  <c r="BR37" i="7"/>
  <c r="BO42" i="7"/>
  <c r="BP42" i="7"/>
  <c r="BR40" i="7"/>
  <c r="BP37" i="7"/>
  <c r="BP35" i="7"/>
  <c r="BQ39" i="7"/>
  <c r="BO38" i="7"/>
  <c r="BR36" i="7"/>
  <c r="BP39" i="7"/>
  <c r="BQ32" i="7"/>
  <c r="BP38" i="7"/>
  <c r="BR38" i="7"/>
  <c r="BR32" i="7"/>
  <c r="BR39" i="7"/>
  <c r="BO32" i="7"/>
  <c r="BP32" i="7"/>
  <c r="BO35" i="7"/>
  <c r="BO39" i="7"/>
  <c r="BQ33" i="7"/>
  <c r="BR33" i="7"/>
  <c r="BR34" i="7"/>
  <c r="BP33" i="7"/>
  <c r="BO34" i="7"/>
  <c r="BQ35" i="7"/>
  <c r="BP36" i="7"/>
  <c r="BR35" i="7"/>
  <c r="BP34" i="7"/>
  <c r="BO36" i="7"/>
  <c r="BO33" i="7"/>
  <c r="BQ34" i="7"/>
  <c r="BQ36" i="7"/>
  <c r="BQ38" i="7"/>
  <c r="BR20" i="7"/>
  <c r="BR12" i="7"/>
  <c r="BP31" i="7"/>
  <c r="BR31" i="7"/>
  <c r="BQ20" i="7"/>
  <c r="BQ12" i="7"/>
  <c r="BO23" i="7"/>
  <c r="BO31" i="7"/>
  <c r="BQ31" i="7"/>
  <c r="BO20" i="7"/>
  <c r="BO12" i="7"/>
  <c r="BQ23" i="7"/>
  <c r="BP20" i="7"/>
  <c r="BQ26" i="7"/>
  <c r="BO26" i="7"/>
  <c r="BO29" i="7"/>
  <c r="BP23" i="7"/>
  <c r="BP12" i="7"/>
  <c r="BR23" i="7"/>
  <c r="BQ29" i="7"/>
  <c r="BP28" i="7"/>
  <c r="BP29" i="7"/>
  <c r="BO28" i="7"/>
  <c r="BO22" i="7"/>
  <c r="BR8" i="7"/>
  <c r="BP21" i="7"/>
  <c r="BQ22" i="7"/>
  <c r="BP22" i="7"/>
  <c r="BR27" i="7"/>
  <c r="BP26" i="7"/>
  <c r="BQ8" i="7"/>
  <c r="BR26" i="7"/>
  <c r="BR22" i="7"/>
  <c r="BQ28" i="7"/>
  <c r="BO8" i="7"/>
  <c r="BR29" i="7"/>
  <c r="BR28" i="7"/>
  <c r="BP8" i="7"/>
  <c r="BR21" i="7"/>
  <c r="BO7" i="7"/>
  <c r="BO27" i="7"/>
  <c r="BR18" i="7"/>
  <c r="BQ21" i="7"/>
  <c r="BR7" i="7"/>
  <c r="BQ18" i="7"/>
  <c r="BP6" i="7"/>
  <c r="BO13" i="7"/>
  <c r="BO19" i="7"/>
  <c r="BQ25" i="7"/>
  <c r="BP13" i="7"/>
  <c r="BP19" i="7"/>
  <c r="BR25" i="7"/>
  <c r="BO6" i="7"/>
  <c r="BR13" i="7"/>
  <c r="BR19" i="7"/>
  <c r="BP25" i="7"/>
  <c r="BQ7" i="7"/>
  <c r="BP27" i="7"/>
  <c r="BO21" i="7"/>
  <c r="BP7" i="7"/>
  <c r="BQ27" i="7"/>
  <c r="BO18" i="7"/>
  <c r="BR6" i="7"/>
  <c r="BQ13" i="7"/>
  <c r="BQ19" i="7"/>
  <c r="BO25" i="7"/>
  <c r="BP9" i="7"/>
  <c r="BP17" i="7"/>
  <c r="BR14" i="7"/>
  <c r="BP30" i="7"/>
  <c r="BQ10" i="7"/>
  <c r="BQ11" i="7"/>
  <c r="BQ15" i="7"/>
  <c r="BR5" i="7"/>
  <c r="BQ6" i="7"/>
  <c r="BO9" i="7"/>
  <c r="BO17" i="7"/>
  <c r="BQ14" i="7"/>
  <c r="BO30" i="7"/>
  <c r="BP14" i="7"/>
  <c r="BP10" i="7"/>
  <c r="BP11" i="7"/>
  <c r="BP15" i="7"/>
  <c r="BQ16" i="7"/>
  <c r="BR9" i="7"/>
  <c r="BR17" i="7"/>
  <c r="BO10" i="7"/>
  <c r="BO11" i="7"/>
  <c r="BO15" i="7"/>
  <c r="BP5" i="7"/>
  <c r="BP18" i="7"/>
  <c r="BQ9" i="7"/>
  <c r="BQ17" i="7"/>
  <c r="BO14" i="7"/>
  <c r="BQ30" i="7"/>
  <c r="BR10" i="7"/>
  <c r="BR11" i="7"/>
  <c r="BR15" i="7"/>
  <c r="BO5" i="7"/>
  <c r="BO16" i="7"/>
  <c r="BP16" i="7"/>
  <c r="BR24" i="7"/>
  <c r="BR16" i="7"/>
  <c r="BR30" i="7"/>
  <c r="BQ5" i="7"/>
  <c r="BP24" i="7"/>
  <c r="BQ4" i="7"/>
  <c r="BR4" i="7"/>
  <c r="BP4" i="7"/>
  <c r="BO24" i="7"/>
  <c r="BO4" i="7"/>
  <c r="BQ24" i="7"/>
  <c r="AW90" i="1"/>
  <c r="CB1" i="8"/>
  <c r="BX1" i="8"/>
  <c r="BH1" i="7"/>
  <c r="BS1" i="7"/>
  <c r="BS3" i="7" s="1"/>
  <c r="BT43" i="7" l="1"/>
  <c r="BU43" i="7"/>
  <c r="BU44" i="7"/>
  <c r="BV43" i="7"/>
  <c r="BS44" i="7"/>
  <c r="BV45" i="7"/>
  <c r="BU45" i="7"/>
  <c r="BV44" i="7"/>
  <c r="BT44" i="7"/>
  <c r="BS43" i="7"/>
  <c r="BS45" i="7"/>
  <c r="BT45" i="7"/>
  <c r="BU41" i="7"/>
  <c r="BS41" i="7"/>
  <c r="BV41" i="7"/>
  <c r="BT41" i="7"/>
  <c r="BV40" i="7"/>
  <c r="BS37" i="7"/>
  <c r="BU42" i="7"/>
  <c r="BT37" i="7"/>
  <c r="BS42" i="7"/>
  <c r="BT40" i="7"/>
  <c r="BS40" i="7"/>
  <c r="BU37" i="7"/>
  <c r="BU40" i="7"/>
  <c r="BV37" i="7"/>
  <c r="BV42" i="7"/>
  <c r="BT42" i="7"/>
  <c r="BT34" i="7"/>
  <c r="BU39" i="7"/>
  <c r="BS38" i="7"/>
  <c r="BS34" i="7"/>
  <c r="BT33" i="7"/>
  <c r="BU35" i="7"/>
  <c r="BS32" i="7"/>
  <c r="BT38" i="7"/>
  <c r="BS36" i="7"/>
  <c r="BU38" i="7"/>
  <c r="BV34" i="7"/>
  <c r="BV32" i="7"/>
  <c r="BT39" i="7"/>
  <c r="BV38" i="7"/>
  <c r="BV39" i="7"/>
  <c r="BU32" i="7"/>
  <c r="BV33" i="7"/>
  <c r="BV36" i="7"/>
  <c r="BS33" i="7"/>
  <c r="BV35" i="7"/>
  <c r="BT32" i="7"/>
  <c r="BT36" i="7"/>
  <c r="BT35" i="7"/>
  <c r="BU36" i="7"/>
  <c r="BU34" i="7"/>
  <c r="BU33" i="7"/>
  <c r="BS39" i="7"/>
  <c r="BS35" i="7"/>
  <c r="BU31" i="7"/>
  <c r="BV20" i="7"/>
  <c r="BS31" i="7"/>
  <c r="BV31" i="7"/>
  <c r="BT31" i="7"/>
  <c r="BU20" i="7"/>
  <c r="BS12" i="7"/>
  <c r="BU23" i="7"/>
  <c r="BU26" i="7"/>
  <c r="BU29" i="7"/>
  <c r="BT29" i="7"/>
  <c r="BS29" i="7"/>
  <c r="BV29" i="7"/>
  <c r="BV12" i="7"/>
  <c r="BS20" i="7"/>
  <c r="BT20" i="7"/>
  <c r="BU12" i="7"/>
  <c r="BT12" i="7"/>
  <c r="BS23" i="7"/>
  <c r="BV23" i="7"/>
  <c r="BS26" i="7"/>
  <c r="BT28" i="7"/>
  <c r="BS28" i="7"/>
  <c r="BV8" i="7"/>
  <c r="BU22" i="7"/>
  <c r="BT22" i="7"/>
  <c r="BT27" i="7"/>
  <c r="BU21" i="7"/>
  <c r="BT21" i="7"/>
  <c r="BV7" i="7"/>
  <c r="BV28" i="7"/>
  <c r="BS22" i="7"/>
  <c r="BV26" i="7"/>
  <c r="BV22" i="7"/>
  <c r="BT23" i="7"/>
  <c r="BT26" i="7"/>
  <c r="BU28" i="7"/>
  <c r="BS21" i="7"/>
  <c r="BT7" i="7"/>
  <c r="BU27" i="7"/>
  <c r="BT8" i="7"/>
  <c r="BV21" i="7"/>
  <c r="BU18" i="7"/>
  <c r="BV27" i="7"/>
  <c r="BU8" i="7"/>
  <c r="BU7" i="7"/>
  <c r="BT18" i="7"/>
  <c r="BV6" i="7"/>
  <c r="BS7" i="7"/>
  <c r="BS18" i="7"/>
  <c r="BS8" i="7"/>
  <c r="BS27" i="7"/>
  <c r="BV18" i="7"/>
  <c r="BU6" i="7"/>
  <c r="BT6" i="7"/>
  <c r="BS13" i="7"/>
  <c r="BS19" i="7"/>
  <c r="BT13" i="7"/>
  <c r="BV9" i="7"/>
  <c r="BV17" i="7"/>
  <c r="BU5" i="7"/>
  <c r="BV19" i="7"/>
  <c r="BU19" i="7"/>
  <c r="BU25" i="7"/>
  <c r="BU9" i="7"/>
  <c r="BT9" i="7"/>
  <c r="BU17" i="7"/>
  <c r="BT17" i="7"/>
  <c r="BV25" i="7"/>
  <c r="BV30" i="7"/>
  <c r="BS16" i="7"/>
  <c r="BS6" i="7"/>
  <c r="BV13" i="7"/>
  <c r="BU13" i="7"/>
  <c r="BT25" i="7"/>
  <c r="BV16" i="7"/>
  <c r="BT19" i="7"/>
  <c r="BS25" i="7"/>
  <c r="BS9" i="7"/>
  <c r="BS17" i="7"/>
  <c r="BU16" i="7"/>
  <c r="BT16" i="7"/>
  <c r="BS4" i="7"/>
  <c r="BV14" i="7"/>
  <c r="BS10" i="7"/>
  <c r="BS11" i="7"/>
  <c r="BS15" i="7"/>
  <c r="BT5" i="7"/>
  <c r="BV4" i="7"/>
  <c r="BS24" i="7"/>
  <c r="BU14" i="7"/>
  <c r="BT14" i="7"/>
  <c r="BV10" i="7"/>
  <c r="BV11" i="7"/>
  <c r="BV15" i="7"/>
  <c r="BS5" i="7"/>
  <c r="BV24" i="7"/>
  <c r="BU10" i="7"/>
  <c r="BT10" i="7"/>
  <c r="BU11" i="7"/>
  <c r="BT11" i="7"/>
  <c r="BU15" i="7"/>
  <c r="BT15" i="7"/>
  <c r="BV5" i="7"/>
  <c r="BU24" i="7"/>
  <c r="BU4" i="7"/>
  <c r="BT4" i="7"/>
  <c r="BS14" i="7"/>
  <c r="BU30" i="7"/>
  <c r="BT30" i="7"/>
  <c r="BS30" i="7"/>
  <c r="BT24" i="7"/>
  <c r="AW92" i="1"/>
  <c r="BL1" i="7"/>
  <c r="BW1" i="7"/>
  <c r="BW3" i="7" s="1"/>
  <c r="BW43" i="7" l="1"/>
  <c r="BY45" i="7"/>
  <c r="BZ45" i="7"/>
  <c r="BY44" i="7"/>
  <c r="BZ44" i="7"/>
  <c r="BZ43" i="7"/>
  <c r="BX44" i="7"/>
  <c r="BW45" i="7"/>
  <c r="BY43" i="7"/>
  <c r="BW44" i="7"/>
  <c r="BX45" i="7"/>
  <c r="BX43" i="7"/>
  <c r="BY41" i="7"/>
  <c r="BX41" i="7"/>
  <c r="BW41" i="7"/>
  <c r="BZ41" i="7"/>
  <c r="BY42" i="7"/>
  <c r="BW37" i="7"/>
  <c r="BZ37" i="7"/>
  <c r="BX37" i="7"/>
  <c r="BX42" i="7"/>
  <c r="BZ40" i="7"/>
  <c r="BZ42" i="7"/>
  <c r="BY40" i="7"/>
  <c r="BW42" i="7"/>
  <c r="BW40" i="7"/>
  <c r="BX40" i="7"/>
  <c r="BY37" i="7"/>
  <c r="BW38" i="7"/>
  <c r="BZ32" i="7"/>
  <c r="BX34" i="7"/>
  <c r="BY33" i="7"/>
  <c r="BZ35" i="7"/>
  <c r="BY35" i="7"/>
  <c r="BZ36" i="7"/>
  <c r="BZ38" i="7"/>
  <c r="BY39" i="7"/>
  <c r="BX36" i="7"/>
  <c r="BX33" i="7"/>
  <c r="BY36" i="7"/>
  <c r="BX32" i="7"/>
  <c r="BW32" i="7"/>
  <c r="BW33" i="7"/>
  <c r="BW39" i="7"/>
  <c r="BX35" i="7"/>
  <c r="BZ34" i="7"/>
  <c r="BW34" i="7"/>
  <c r="BX39" i="7"/>
  <c r="BW36" i="7"/>
  <c r="BY34" i="7"/>
  <c r="BZ33" i="7"/>
  <c r="BW35" i="7"/>
  <c r="BZ39" i="7"/>
  <c r="BX38" i="7"/>
  <c r="BY38" i="7"/>
  <c r="BY32" i="7"/>
  <c r="BZ31" i="7"/>
  <c r="BY31" i="7"/>
  <c r="BW31" i="7"/>
  <c r="BX31" i="7"/>
  <c r="BZ20" i="7"/>
  <c r="BX20" i="7"/>
  <c r="BZ12" i="7"/>
  <c r="BX12" i="7"/>
  <c r="BX23" i="7"/>
  <c r="BZ23" i="7"/>
  <c r="BW20" i="7"/>
  <c r="BY20" i="7"/>
  <c r="BX22" i="7"/>
  <c r="BW12" i="7"/>
  <c r="BY23" i="7"/>
  <c r="BY12" i="7"/>
  <c r="BW23" i="7"/>
  <c r="BY26" i="7"/>
  <c r="BZ28" i="7"/>
  <c r="BX26" i="7"/>
  <c r="BZ26" i="7"/>
  <c r="BX29" i="7"/>
  <c r="BX28" i="7"/>
  <c r="BZ8" i="7"/>
  <c r="BZ22" i="7"/>
  <c r="BW26" i="7"/>
  <c r="BW29" i="7"/>
  <c r="BW28" i="7"/>
  <c r="BY8" i="7"/>
  <c r="BX8" i="7"/>
  <c r="BZ29" i="7"/>
  <c r="BW22" i="7"/>
  <c r="BY29" i="7"/>
  <c r="BY28" i="7"/>
  <c r="BY22" i="7"/>
  <c r="BW8" i="7"/>
  <c r="BZ21" i="7"/>
  <c r="BX21" i="7"/>
  <c r="BW7" i="7"/>
  <c r="BW27" i="7"/>
  <c r="BZ18" i="7"/>
  <c r="BX18" i="7"/>
  <c r="BZ7" i="7"/>
  <c r="BY18" i="7"/>
  <c r="BW21" i="7"/>
  <c r="BY27" i="7"/>
  <c r="BY7" i="7"/>
  <c r="BY21" i="7"/>
  <c r="BX27" i="7"/>
  <c r="BX7" i="7"/>
  <c r="BW18" i="7"/>
  <c r="BZ27" i="7"/>
  <c r="BW6" i="7"/>
  <c r="BZ13" i="7"/>
  <c r="BX13" i="7"/>
  <c r="BZ19" i="7"/>
  <c r="BX19" i="7"/>
  <c r="BX25" i="7"/>
  <c r="BY13" i="7"/>
  <c r="BW25" i="7"/>
  <c r="BY9" i="7"/>
  <c r="BY17" i="7"/>
  <c r="BX6" i="7"/>
  <c r="BW19" i="7"/>
  <c r="BY6" i="7"/>
  <c r="BZ25" i="7"/>
  <c r="BX4" i="7"/>
  <c r="BZ30" i="7"/>
  <c r="BZ6" i="7"/>
  <c r="BY19" i="7"/>
  <c r="BW9" i="7"/>
  <c r="BW17" i="7"/>
  <c r="BW13" i="7"/>
  <c r="BY25" i="7"/>
  <c r="BZ9" i="7"/>
  <c r="BX9" i="7"/>
  <c r="BZ17" i="7"/>
  <c r="BX17" i="7"/>
  <c r="BW16" i="7"/>
  <c r="BZ4" i="7"/>
  <c r="BY4" i="7"/>
  <c r="BW14" i="7"/>
  <c r="BY30" i="7"/>
  <c r="BW10" i="7"/>
  <c r="BW11" i="7"/>
  <c r="BW15" i="7"/>
  <c r="BX5" i="7"/>
  <c r="BZ16" i="7"/>
  <c r="BX16" i="7"/>
  <c r="BW4" i="7"/>
  <c r="BZ14" i="7"/>
  <c r="BX14" i="7"/>
  <c r="BX30" i="7"/>
  <c r="BZ10" i="7"/>
  <c r="BX10" i="7"/>
  <c r="BZ11" i="7"/>
  <c r="BX11" i="7"/>
  <c r="BZ15" i="7"/>
  <c r="BX15" i="7"/>
  <c r="BW5" i="7"/>
  <c r="BY5" i="7"/>
  <c r="BY16" i="7"/>
  <c r="BY24" i="7"/>
  <c r="BY14" i="7"/>
  <c r="BW30" i="7"/>
  <c r="BY10" i="7"/>
  <c r="BY11" i="7"/>
  <c r="BY15" i="7"/>
  <c r="BZ5" i="7"/>
  <c r="BX24" i="7"/>
  <c r="BZ24" i="7"/>
  <c r="BW24" i="7"/>
  <c r="AW94" i="1"/>
  <c r="BP1" i="7"/>
  <c r="CA1" i="7"/>
  <c r="CA3" i="7" s="1"/>
  <c r="CC43" i="7" l="1"/>
  <c r="CB45" i="7"/>
  <c r="CA43" i="7"/>
  <c r="CB44" i="7"/>
  <c r="CC45" i="7"/>
  <c r="CC44" i="7"/>
  <c r="CB43" i="7"/>
  <c r="CD45" i="7"/>
  <c r="CA45" i="7"/>
  <c r="CD43" i="7"/>
  <c r="CD44" i="7"/>
  <c r="CA44" i="7"/>
  <c r="CD41" i="7"/>
  <c r="CB41" i="7"/>
  <c r="CC41" i="7"/>
  <c r="CA41" i="7"/>
  <c r="CA40" i="7"/>
  <c r="CD37" i="7"/>
  <c r="CC37" i="7"/>
  <c r="CA37" i="7"/>
  <c r="CA42" i="7"/>
  <c r="CB40" i="7"/>
  <c r="CD40" i="7"/>
  <c r="CC42" i="7"/>
  <c r="CC40" i="7"/>
  <c r="CB42" i="7"/>
  <c r="CB37" i="7"/>
  <c r="CD42" i="7"/>
  <c r="CB32" i="7"/>
  <c r="CA39" i="7"/>
  <c r="CC34" i="7"/>
  <c r="CB35" i="7"/>
  <c r="CD34" i="7"/>
  <c r="CB39" i="7"/>
  <c r="CB38" i="7"/>
  <c r="CD35" i="7"/>
  <c r="CD38" i="7"/>
  <c r="CA33" i="7"/>
  <c r="CA34" i="7"/>
  <c r="CD36" i="7"/>
  <c r="CD33" i="7"/>
  <c r="CC36" i="7"/>
  <c r="CC38" i="7"/>
  <c r="CC39" i="7"/>
  <c r="CB34" i="7"/>
  <c r="CA36" i="7"/>
  <c r="CA35" i="7"/>
  <c r="CA32" i="7"/>
  <c r="CC33" i="7"/>
  <c r="CC32" i="7"/>
  <c r="CB36" i="7"/>
  <c r="CD32" i="7"/>
  <c r="CC35" i="7"/>
  <c r="CD39" i="7"/>
  <c r="CA38" i="7"/>
  <c r="CB33" i="7"/>
  <c r="CA31" i="7"/>
  <c r="CC31" i="7"/>
  <c r="CD31" i="7"/>
  <c r="CB31" i="7"/>
  <c r="CA20" i="7"/>
  <c r="CB20" i="7"/>
  <c r="CA12" i="7"/>
  <c r="CB12" i="7"/>
  <c r="CC23" i="7"/>
  <c r="CD23" i="7"/>
  <c r="CC26" i="7"/>
  <c r="CC20" i="7"/>
  <c r="CC12" i="7"/>
  <c r="CA23" i="7"/>
  <c r="CD20" i="7"/>
  <c r="CA26" i="7"/>
  <c r="CD12" i="7"/>
  <c r="CB23" i="7"/>
  <c r="CD26" i="7"/>
  <c r="CC29" i="7"/>
  <c r="CB26" i="7"/>
  <c r="CD29" i="7"/>
  <c r="CD28" i="7"/>
  <c r="CB22" i="7"/>
  <c r="CC28" i="7"/>
  <c r="CC22" i="7"/>
  <c r="CD22" i="7"/>
  <c r="CA21" i="7"/>
  <c r="CB21" i="7"/>
  <c r="CB7" i="7"/>
  <c r="CC27" i="7"/>
  <c r="CA18" i="7"/>
  <c r="CC8" i="7"/>
  <c r="CB29" i="7"/>
  <c r="CB28" i="7"/>
  <c r="CB8" i="7"/>
  <c r="CD21" i="7"/>
  <c r="CA7" i="7"/>
  <c r="CA27" i="7"/>
  <c r="CD18" i="7"/>
  <c r="CA22" i="7"/>
  <c r="CA29" i="7"/>
  <c r="CA28" i="7"/>
  <c r="CD8" i="7"/>
  <c r="CC21" i="7"/>
  <c r="CD7" i="7"/>
  <c r="CD27" i="7"/>
  <c r="CC7" i="7"/>
  <c r="CD6" i="7"/>
  <c r="CC13" i="7"/>
  <c r="CC19" i="7"/>
  <c r="CA8" i="7"/>
  <c r="CB27" i="7"/>
  <c r="CB18" i="7"/>
  <c r="CC18" i="7"/>
  <c r="CB6" i="7"/>
  <c r="CA13" i="7"/>
  <c r="CB13" i="7"/>
  <c r="CA19" i="7"/>
  <c r="CA6" i="7"/>
  <c r="CD13" i="7"/>
  <c r="CD19" i="7"/>
  <c r="CB25" i="7"/>
  <c r="CC6" i="7"/>
  <c r="CA25" i="7"/>
  <c r="CB19" i="7"/>
  <c r="CA9" i="7"/>
  <c r="CB9" i="7"/>
  <c r="CA17" i="7"/>
  <c r="CB17" i="7"/>
  <c r="CD9" i="7"/>
  <c r="CD17" i="7"/>
  <c r="CC25" i="7"/>
  <c r="CD25" i="7"/>
  <c r="CC9" i="7"/>
  <c r="CC17" i="7"/>
  <c r="CD14" i="7"/>
  <c r="CB30" i="7"/>
  <c r="CD10" i="7"/>
  <c r="CD11" i="7"/>
  <c r="CD15" i="7"/>
  <c r="CA5" i="7"/>
  <c r="CC30" i="7"/>
  <c r="CA11" i="7"/>
  <c r="CB11" i="7"/>
  <c r="CB5" i="7"/>
  <c r="CB4" i="7"/>
  <c r="CA30" i="7"/>
  <c r="CC11" i="7"/>
  <c r="CD5" i="7"/>
  <c r="CA16" i="7"/>
  <c r="CB16" i="7"/>
  <c r="CA4" i="7"/>
  <c r="CB24" i="7"/>
  <c r="CD4" i="7"/>
  <c r="CD24" i="7"/>
  <c r="CA14" i="7"/>
  <c r="CB14" i="7"/>
  <c r="CA10" i="7"/>
  <c r="CB10" i="7"/>
  <c r="CA15" i="7"/>
  <c r="CB15" i="7"/>
  <c r="CD30" i="7"/>
  <c r="CC5" i="7"/>
  <c r="CD16" i="7"/>
  <c r="CA24" i="7"/>
  <c r="CC14" i="7"/>
  <c r="CC10" i="7"/>
  <c r="CC15" i="7"/>
  <c r="CC16" i="7"/>
  <c r="CC4" i="7"/>
  <c r="CC24" i="7"/>
  <c r="AW96" i="1"/>
  <c r="BT1" i="7"/>
  <c r="CE1" i="7"/>
  <c r="CE3" i="7" s="1"/>
  <c r="CE44" i="7" l="1"/>
  <c r="CH44" i="7"/>
  <c r="CH45" i="7"/>
  <c r="CG45" i="7"/>
  <c r="CG43" i="7"/>
  <c r="CF45" i="7"/>
  <c r="CG44" i="7"/>
  <c r="CF43" i="7"/>
  <c r="CF44" i="7"/>
  <c r="CE45" i="7"/>
  <c r="CH43" i="7"/>
  <c r="CE43" i="7"/>
  <c r="CE41" i="7"/>
  <c r="CH41" i="7"/>
  <c r="CG41" i="7"/>
  <c r="CF41" i="7"/>
  <c r="CH40" i="7"/>
  <c r="CF40" i="7"/>
  <c r="CG37" i="7"/>
  <c r="CF37" i="7"/>
  <c r="CH37" i="7"/>
  <c r="CH42" i="7"/>
  <c r="CE37" i="7"/>
  <c r="CG42" i="7"/>
  <c r="CG40" i="7"/>
  <c r="CE40" i="7"/>
  <c r="CF42" i="7"/>
  <c r="CE42" i="7"/>
  <c r="CG39" i="7"/>
  <c r="CE35" i="7"/>
  <c r="CH38" i="7"/>
  <c r="CE32" i="7"/>
  <c r="CH34" i="7"/>
  <c r="CF38" i="7"/>
  <c r="CG33" i="7"/>
  <c r="CG35" i="7"/>
  <c r="CH32" i="7"/>
  <c r="CG34" i="7"/>
  <c r="CH35" i="7"/>
  <c r="CF35" i="7"/>
  <c r="CG38" i="7"/>
  <c r="CE34" i="7"/>
  <c r="CG36" i="7"/>
  <c r="CE38" i="7"/>
  <c r="CF36" i="7"/>
  <c r="CG32" i="7"/>
  <c r="CE33" i="7"/>
  <c r="CH33" i="7"/>
  <c r="CH36" i="7"/>
  <c r="CF33" i="7"/>
  <c r="CF32" i="7"/>
  <c r="CF34" i="7"/>
  <c r="CE39" i="7"/>
  <c r="CE36" i="7"/>
  <c r="CH39" i="7"/>
  <c r="CF39" i="7"/>
  <c r="CG20" i="7"/>
  <c r="CG12" i="7"/>
  <c r="CH31" i="7"/>
  <c r="CF31" i="7"/>
  <c r="CF20" i="7"/>
  <c r="CF12" i="7"/>
  <c r="CH23" i="7"/>
  <c r="CE31" i="7"/>
  <c r="CG31" i="7"/>
  <c r="CE20" i="7"/>
  <c r="CE12" i="7"/>
  <c r="CH20" i="7"/>
  <c r="CH12" i="7"/>
  <c r="CF23" i="7"/>
  <c r="CG23" i="7"/>
  <c r="CE23" i="7"/>
  <c r="CF22" i="7"/>
  <c r="CH26" i="7"/>
  <c r="CG28" i="7"/>
  <c r="CG22" i="7"/>
  <c r="CE8" i="7"/>
  <c r="CF26" i="7"/>
  <c r="CF29" i="7"/>
  <c r="CE28" i="7"/>
  <c r="CG8" i="7"/>
  <c r="CE26" i="7"/>
  <c r="CH27" i="7"/>
  <c r="CH22" i="7"/>
  <c r="CG29" i="7"/>
  <c r="CF28" i="7"/>
  <c r="CH8" i="7"/>
  <c r="CH29" i="7"/>
  <c r="CH28" i="7"/>
  <c r="CG26" i="7"/>
  <c r="CG7" i="7"/>
  <c r="CF27" i="7"/>
  <c r="CE29" i="7"/>
  <c r="CE22" i="7"/>
  <c r="CG21" i="7"/>
  <c r="CH7" i="7"/>
  <c r="CG18" i="7"/>
  <c r="CF6" i="7"/>
  <c r="CE13" i="7"/>
  <c r="CE19" i="7"/>
  <c r="CG25" i="7"/>
  <c r="CF8" i="7"/>
  <c r="CF21" i="7"/>
  <c r="CF18" i="7"/>
  <c r="CE6" i="7"/>
  <c r="CH13" i="7"/>
  <c r="CH19" i="7"/>
  <c r="CF25" i="7"/>
  <c r="CE21" i="7"/>
  <c r="CF7" i="7"/>
  <c r="CG27" i="7"/>
  <c r="CE18" i="7"/>
  <c r="CH6" i="7"/>
  <c r="CG13" i="7"/>
  <c r="CG19" i="7"/>
  <c r="CE25" i="7"/>
  <c r="CG6" i="7"/>
  <c r="CH21" i="7"/>
  <c r="CE7" i="7"/>
  <c r="CE27" i="7"/>
  <c r="CH18" i="7"/>
  <c r="CF13" i="7"/>
  <c r="CF19" i="7"/>
  <c r="CH25" i="7"/>
  <c r="CE9" i="7"/>
  <c r="CE17" i="7"/>
  <c r="CG14" i="7"/>
  <c r="CE30" i="7"/>
  <c r="CF10" i="7"/>
  <c r="CF11" i="7"/>
  <c r="CF15" i="7"/>
  <c r="CH9" i="7"/>
  <c r="CH17" i="7"/>
  <c r="CF14" i="7"/>
  <c r="CE10" i="7"/>
  <c r="CE11" i="7"/>
  <c r="CE15" i="7"/>
  <c r="CF5" i="7"/>
  <c r="CF16" i="7"/>
  <c r="CG9" i="7"/>
  <c r="CG17" i="7"/>
  <c r="CE14" i="7"/>
  <c r="CG30" i="7"/>
  <c r="CH10" i="7"/>
  <c r="CH11" i="7"/>
  <c r="CH15" i="7"/>
  <c r="CE5" i="7"/>
  <c r="CF9" i="7"/>
  <c r="CF17" i="7"/>
  <c r="CH14" i="7"/>
  <c r="CF30" i="7"/>
  <c r="CG10" i="7"/>
  <c r="CG11" i="7"/>
  <c r="CG15" i="7"/>
  <c r="CH5" i="7"/>
  <c r="CH16" i="7"/>
  <c r="CH30" i="7"/>
  <c r="CG5" i="7"/>
  <c r="CG4" i="7"/>
  <c r="CF24" i="7"/>
  <c r="CF4" i="7"/>
  <c r="CE4" i="7"/>
  <c r="CH4" i="7"/>
  <c r="CE24" i="7"/>
  <c r="CH24" i="7"/>
  <c r="CE16" i="7"/>
  <c r="CG16" i="7"/>
  <c r="CG24" i="7"/>
  <c r="AW108" i="1"/>
  <c r="AW98" i="1"/>
  <c r="BX1" i="7"/>
  <c r="AW100" i="1" l="1"/>
  <c r="CF1" i="7"/>
  <c r="CB1" i="7"/>
  <c r="AW102" i="1" l="1"/>
  <c r="AW104" i="1" l="1"/>
  <c r="AW106" i="1"/>
</calcChain>
</file>

<file path=xl/sharedStrings.xml><?xml version="1.0" encoding="utf-8"?>
<sst xmlns="http://schemas.openxmlformats.org/spreadsheetml/2006/main" count="843" uniqueCount="431">
  <si>
    <t>OBJETIVO DE LA AUDITORIA</t>
  </si>
  <si>
    <t>ALCANCE DE LA AUDITORIA</t>
  </si>
  <si>
    <t>RIESGOS DE AUDITORÍA</t>
  </si>
  <si>
    <t>RECURSOS REQUERIDOS</t>
  </si>
  <si>
    <t>Ciclo de Auditoría</t>
  </si>
  <si>
    <t>Ejec.</t>
  </si>
  <si>
    <t>FECHA PROGR. / REPROGR.</t>
  </si>
  <si>
    <t>Ini</t>
  </si>
  <si>
    <t>Fin</t>
  </si>
  <si>
    <t>P-R</t>
  </si>
  <si>
    <t>ID</t>
  </si>
  <si>
    <t>Proceso / Subproceso / Programa Académico</t>
  </si>
  <si>
    <t>Líder de Proceso / Director Programa</t>
  </si>
  <si>
    <t>Locación</t>
  </si>
  <si>
    <t>Fecha Progr. / Reprog.</t>
  </si>
  <si>
    <t>Fecha de Ejecucuón</t>
  </si>
  <si>
    <t>Duración
hrs : min</t>
  </si>
  <si>
    <t>Horario</t>
  </si>
  <si>
    <t>Equipo Auditor 
(*Principal / Asistente)</t>
  </si>
  <si>
    <t>No.</t>
  </si>
  <si>
    <t>Fecha</t>
  </si>
  <si>
    <t>Auditoría</t>
  </si>
  <si>
    <t>Auditado</t>
  </si>
  <si>
    <t>Hora Inicio</t>
  </si>
  <si>
    <t>Hora Fin</t>
  </si>
  <si>
    <t>Auditor P</t>
  </si>
  <si>
    <t>Auditor A</t>
  </si>
  <si>
    <t>Ejecutado</t>
  </si>
  <si>
    <t>Entrega Informe</t>
  </si>
  <si>
    <t>Reunión de Apertura</t>
  </si>
  <si>
    <t>Claustro San José</t>
  </si>
  <si>
    <t>Inicio</t>
  </si>
  <si>
    <t>Auditor Líder</t>
  </si>
  <si>
    <t>Equipo Auditor</t>
  </si>
  <si>
    <t>Direccionamiento Estratégico</t>
  </si>
  <si>
    <t xml:space="preserve">Depsi Johana Córdoba Mompotes </t>
  </si>
  <si>
    <t>Andrea Karina Ballagan Estrada</t>
  </si>
  <si>
    <t>Claustro San Camilo</t>
  </si>
  <si>
    <t>Jaime Vente Garcés</t>
  </si>
  <si>
    <t>Comunicaciones Institucional</t>
  </si>
  <si>
    <t>PPN - Prog. Administración de Empresas</t>
  </si>
  <si>
    <t>Monseñor Samuel Silverio</t>
  </si>
  <si>
    <t>PPN - Prog. Admin. Empresas Agropecuarias</t>
  </si>
  <si>
    <t>PPN - Prog. Arquitectura</t>
  </si>
  <si>
    <t>Alexander Luna Nieto</t>
  </si>
  <si>
    <t>PPN - Prog. Contaduría Pública</t>
  </si>
  <si>
    <t>PPN - Prog. Comunicación Social</t>
  </si>
  <si>
    <t>PPN - Prog. Derecho</t>
  </si>
  <si>
    <t>PPN - Prog. Ecología</t>
  </si>
  <si>
    <t>Los Robles</t>
  </si>
  <si>
    <t>Juan David Cortés León</t>
  </si>
  <si>
    <t>PPN - Prog. Ingeniería de Sistemas</t>
  </si>
  <si>
    <t>Omar Andrés Acosta Caicedo</t>
  </si>
  <si>
    <t>PPN - Prog. Ingeneiría Industrial</t>
  </si>
  <si>
    <t>Kener Mauricio Quina Velarde</t>
  </si>
  <si>
    <t>PPN - Prog. Licenciatura Ed. Art. y Cultural</t>
  </si>
  <si>
    <t>PPN - Prog. Psicología</t>
  </si>
  <si>
    <t>PPN - Prog. Trabajo Social</t>
  </si>
  <si>
    <t>STQ - Prog. Arquitectura</t>
  </si>
  <si>
    <t>Alvaro Ulcué Chocué</t>
  </si>
  <si>
    <t>STQ - Prog. Derecho</t>
  </si>
  <si>
    <t>STQ - Prog. Licenciatura Ed. Art. y Cultural</t>
  </si>
  <si>
    <t>STQ - Prog. Psicología</t>
  </si>
  <si>
    <t>STQ - Prog. Trabajo Social</t>
  </si>
  <si>
    <t>Escuela de Formación Para el TDH</t>
  </si>
  <si>
    <t>Bienestar Institucional</t>
  </si>
  <si>
    <t>Recursos Educativos</t>
  </si>
  <si>
    <t>Reunión de Cierre</t>
  </si>
  <si>
    <t>Fecha Elaboración</t>
  </si>
  <si>
    <t>Firma</t>
  </si>
  <si>
    <t>Nombre</t>
  </si>
  <si>
    <t>Cargo</t>
  </si>
  <si>
    <t>Fecha Aprobación</t>
  </si>
  <si>
    <t>Responsable Aprobación</t>
  </si>
  <si>
    <t>Horas</t>
  </si>
  <si>
    <t>Mónica Erazo</t>
  </si>
  <si>
    <t/>
  </si>
  <si>
    <t>Martha Balcazar / Arnol Arias</t>
  </si>
  <si>
    <t>Clara Eugenia Satizábal Serna</t>
  </si>
  <si>
    <t>Wilmer Urrea</t>
  </si>
  <si>
    <t>Carlos Manuel Cardona</t>
  </si>
  <si>
    <t>Carlos Fernando Mina Zape</t>
  </si>
  <si>
    <t>Daniel Feriz</t>
  </si>
  <si>
    <t>Daisy Ximena Valencia Palomino</t>
  </si>
  <si>
    <t>Karen Jisset Zuñiga Ramos</t>
  </si>
  <si>
    <t>Ginna Fernanda Ocampo Guzman</t>
  </si>
  <si>
    <t>Juan Carlos Rojas</t>
  </si>
  <si>
    <t>Vanessa Zuñiga</t>
  </si>
  <si>
    <t>Programación x Auditor</t>
  </si>
  <si>
    <t>Principal / Asistente</t>
  </si>
  <si>
    <t>Fecha Programada</t>
  </si>
  <si>
    <t>Fecha Re-Programada</t>
  </si>
  <si>
    <t>#</t>
  </si>
  <si>
    <t>Auditor Convocado</t>
  </si>
  <si>
    <t>Prin</t>
  </si>
  <si>
    <t>Asis</t>
  </si>
  <si>
    <t>Total</t>
  </si>
  <si>
    <t>Procesos / Programas Vs. Equipos AIC</t>
  </si>
  <si>
    <t>Proceso / Programa</t>
  </si>
  <si>
    <t>Id</t>
  </si>
  <si>
    <t>Nombre y Apellido</t>
  </si>
  <si>
    <t>Correo Electrónico</t>
  </si>
  <si>
    <t>Asignación</t>
  </si>
  <si>
    <t>Disp.
Inter</t>
  </si>
  <si>
    <t>Exp.</t>
  </si>
  <si>
    <t>AI - *P
2020</t>
  </si>
  <si>
    <t>AI - *P
2021</t>
  </si>
  <si>
    <t>AI - A
2021</t>
  </si>
  <si>
    <t>AI - *P
2022</t>
  </si>
  <si>
    <t>AI - A
2022</t>
  </si>
  <si>
    <t>Aida Marcela Correa Benavides</t>
  </si>
  <si>
    <t>asistente.posgrados@fup.edu.co</t>
  </si>
  <si>
    <t>Principal</t>
  </si>
  <si>
    <t>Si</t>
  </si>
  <si>
    <t>Alex Fabián Rivera Muñoz</t>
  </si>
  <si>
    <t>alex.rivera@docente.fup.edu.co</t>
  </si>
  <si>
    <t>Asistente</t>
  </si>
  <si>
    <t>No</t>
  </si>
  <si>
    <t xml:space="preserve">alexander.luna@docente.fup.edu.co </t>
  </si>
  <si>
    <t>Ana Baos</t>
  </si>
  <si>
    <t>Auxiliar Académica</t>
  </si>
  <si>
    <t>Carlos Andrés Durán Enríquez</t>
  </si>
  <si>
    <t>decanatura.ambientalesyagrarias@fup.edu.co</t>
  </si>
  <si>
    <t>Director Programa de Psicologia</t>
  </si>
  <si>
    <t>psicologia@fup.edu.co</t>
  </si>
  <si>
    <t>Directora Programa de Ingeniería de Sistemas</t>
  </si>
  <si>
    <t>sistemas@fup.edu.co</t>
  </si>
  <si>
    <t>decanatura.cienciassociales@fup.edu.co</t>
  </si>
  <si>
    <t>Daniel Andres Feriz Garcia</t>
  </si>
  <si>
    <t>Director investigación</t>
  </si>
  <si>
    <t xml:space="preserve">investigacion@fup.edu.co </t>
  </si>
  <si>
    <t>calidad@fup.edu.co</t>
  </si>
  <si>
    <t xml:space="preserve">Coordinadora de Gestión Curricular </t>
  </si>
  <si>
    <t xml:space="preserve">coord.gestioncurricular@fup.edu.co </t>
  </si>
  <si>
    <t>Diego Fabian Bolaños Sarria</t>
  </si>
  <si>
    <t>Decano Facultad de Ingenierías</t>
  </si>
  <si>
    <t>decanatura.ingenieriasyarquitectura@fup.edu.co</t>
  </si>
  <si>
    <t>Gabriela Andrea Rivera Macias</t>
  </si>
  <si>
    <t>Docente Tiempo Completo</t>
  </si>
  <si>
    <t>gabriela.rivera@docente.fup.edu.co</t>
  </si>
  <si>
    <t>Docente</t>
  </si>
  <si>
    <t>Docente TC</t>
  </si>
  <si>
    <t>jaime.vente@docente.fup.edu.co</t>
  </si>
  <si>
    <t>José Fernando Ruíz López</t>
  </si>
  <si>
    <t>jose.ruiz@docente.fup.edu.co</t>
  </si>
  <si>
    <t>Coordinador Academico</t>
  </si>
  <si>
    <t>coordinacion.arquitectura@fup.edu.co</t>
  </si>
  <si>
    <t>Julian Camilo Ortega Gomez</t>
  </si>
  <si>
    <t>Docente - Coordinador de Egresados Ingeniería Industrial</t>
  </si>
  <si>
    <t>julian.ortega@docente.fup.edu.co</t>
  </si>
  <si>
    <t>Julio Cesar Garcia Buitron</t>
  </si>
  <si>
    <t>Contador</t>
  </si>
  <si>
    <t>contador@fup.edu.co</t>
  </si>
  <si>
    <t>Coordinadora Trabajo Social Sede Norte</t>
  </si>
  <si>
    <t>trabajo.social.santander@fup.edu.co</t>
  </si>
  <si>
    <t>Karen Viviana Quiñones Mosquera</t>
  </si>
  <si>
    <t>Auxiliar de Planeación</t>
  </si>
  <si>
    <t>auxiliar.planeacion@fup.edu.co</t>
  </si>
  <si>
    <t>Laura María Orozco García</t>
  </si>
  <si>
    <t>Docente -  Coordinadora Autoevaluación Ing. Sistemas</t>
  </si>
  <si>
    <t>laura.orozco@docente.fup.edu.co</t>
  </si>
  <si>
    <t>Liliana Erazo</t>
  </si>
  <si>
    <t>industrial@fup.edu.co</t>
  </si>
  <si>
    <t>Martha Lucia Bolaños Imbachi</t>
  </si>
  <si>
    <t>martha.bolanos@docente.fup.edu.co</t>
  </si>
  <si>
    <t>Miguel Dario Calvachy</t>
  </si>
  <si>
    <t>miguel.calvachy@docente.fup.edu.co</t>
  </si>
  <si>
    <t>Natalia Córdoba Claros</t>
  </si>
  <si>
    <t>natalia.cordoba@docente.fup.edu.co</t>
  </si>
  <si>
    <t>Neiby Alejandra López Montenegro</t>
  </si>
  <si>
    <t>Coordinación Académica Ingenierías</t>
  </si>
  <si>
    <t>coordinacionacademica.ingenierias@fup.edu.co</t>
  </si>
  <si>
    <t>planeacion@fup.edu.co</t>
  </si>
  <si>
    <t>Oscar Eduardo Torres Fernandez</t>
  </si>
  <si>
    <t>oscar.torres@docente.fup.edu.co</t>
  </si>
  <si>
    <t>Sandra Johanna Pinzón Hermosa</t>
  </si>
  <si>
    <t>Coordinadora Académica Prog. Administración de Empresas</t>
  </si>
  <si>
    <t>profesional.viceacad@fup.edu.co</t>
  </si>
  <si>
    <t>Wadys Montilla Ortega</t>
  </si>
  <si>
    <t>Coordinador Académico General</t>
  </si>
  <si>
    <t>Yaqueline Rivera López</t>
  </si>
  <si>
    <t>Coordinador de Registro Calificado</t>
  </si>
  <si>
    <t>registro.calificado@fup.edu.co</t>
  </si>
  <si>
    <t>***</t>
  </si>
  <si>
    <t>Responsable</t>
  </si>
  <si>
    <t>direccion.comunicaciones@fup.edu.co</t>
  </si>
  <si>
    <t>Director Programa Administración de Empresas</t>
  </si>
  <si>
    <t>administracion.empresas@fup.edu.co</t>
  </si>
  <si>
    <t>Director de Programa Admin. Empr. Agropecuarias</t>
  </si>
  <si>
    <t>admone.agropecuaria@fup.edu.co</t>
  </si>
  <si>
    <t>arquitectura@fup.edu.co</t>
  </si>
  <si>
    <t>Director Programa Contaduría Pública</t>
  </si>
  <si>
    <t>Director de Programa Comunicación Social</t>
  </si>
  <si>
    <t>comunicacionsocial@fup.edu.co</t>
  </si>
  <si>
    <t>Director de Programa Ecología</t>
  </si>
  <si>
    <t>ecologia@fup.edu.co</t>
  </si>
  <si>
    <t>Director Programa Ingeniería de Sistemas</t>
  </si>
  <si>
    <t>Director de Programa Ingeniería Industrial</t>
  </si>
  <si>
    <t>licenciatura@fup.edu.co</t>
  </si>
  <si>
    <t>Director de Programa Psicología</t>
  </si>
  <si>
    <t xml:space="preserve">psicologia@fup.edu.co </t>
  </si>
  <si>
    <t>trabajo.social@fup.edu.co</t>
  </si>
  <si>
    <t>Coordinador Prog. Arquitectura Campus Alvaro Ulcué Chocué</t>
  </si>
  <si>
    <t xml:space="preserve">arquitectura.santander@fup.edu.co </t>
  </si>
  <si>
    <t>Coordinador Prog. Derecho Campus Alvaro Ulcué Chocué</t>
  </si>
  <si>
    <t>derecho.santander@fup.edu.co</t>
  </si>
  <si>
    <t>Coordinador Prog. LEAC Campus Alvaro Ulcué Chocué</t>
  </si>
  <si>
    <t>licenciatura.santander@fup.edu.co</t>
  </si>
  <si>
    <t>Coordinador Prog. Psicología Campus Alvaro Ulcué Chocué</t>
  </si>
  <si>
    <t>psicologia.santander@fup.edu.co</t>
  </si>
  <si>
    <t>Coordinador Prog. Trabajo Social Campus Alvaro Ulcué Chocué</t>
  </si>
  <si>
    <t>Coordinador Prog. Ing. Industrial Campus Alvaro Ulcué Chocué</t>
  </si>
  <si>
    <t>industrial.santander@fup.edu.co</t>
  </si>
  <si>
    <t>Director SIDI</t>
  </si>
  <si>
    <t>investigación@fup.edu.co</t>
  </si>
  <si>
    <t>extension@fup.edu.co</t>
  </si>
  <si>
    <t>Director Escuela de Formación</t>
  </si>
  <si>
    <t>Dirección Bienestar Institucional</t>
  </si>
  <si>
    <t>bienestar@fup.edu.co</t>
  </si>
  <si>
    <t>vicerrectoria.administrativa@fup.edu.co</t>
  </si>
  <si>
    <t>Directora de Talento Humano</t>
  </si>
  <si>
    <t>recursos.humanos@fup.edu.co</t>
  </si>
  <si>
    <t>Bibliotecóloga
Laboratorista</t>
  </si>
  <si>
    <t>biblioteca@fup.edu.co
laboratorios@fup.edu.co</t>
  </si>
  <si>
    <t>Director GTI</t>
  </si>
  <si>
    <t>wilmer.urrea@fup.edu.co</t>
  </si>
  <si>
    <t>Fechas de Auditoría</t>
  </si>
  <si>
    <t>VALIDACIÓN AUDITORÍAS PROGRAMADAS</t>
  </si>
  <si>
    <t>NOMBRE SEDE</t>
  </si>
  <si>
    <t>Días Laborales</t>
  </si>
  <si>
    <t>Días No Laborales</t>
  </si>
  <si>
    <t>Sig. Fecha</t>
  </si>
  <si>
    <t>Check List - Programa de Auditoría Interna de Calidad</t>
  </si>
  <si>
    <t>Arquitectura</t>
  </si>
  <si>
    <t>Derecho</t>
  </si>
  <si>
    <t>Paola Joaqui</t>
  </si>
  <si>
    <t>Bibiana Patricia Montoya Bonilla</t>
  </si>
  <si>
    <t>Rector</t>
  </si>
  <si>
    <t>Padre Danilo Díaz, cjm</t>
  </si>
  <si>
    <t>rectoria@fup.edu.co</t>
  </si>
  <si>
    <t>Tatiana Mejia Rondon</t>
  </si>
  <si>
    <t>Decana Ciencias Sociales</t>
  </si>
  <si>
    <t>Actualizaciones de la Programación Posterior a la Divulgación</t>
  </si>
  <si>
    <t>Descripción</t>
  </si>
  <si>
    <t>CRITERIOS DE AUDITORIA</t>
  </si>
  <si>
    <t>Auditorias Programadas</t>
  </si>
  <si>
    <t>Planeación Institucional</t>
  </si>
  <si>
    <t>Director de Planeación Institucional</t>
  </si>
  <si>
    <t>Autoevaluación Institucional</t>
  </si>
  <si>
    <t>Calidad Institucional</t>
  </si>
  <si>
    <t>Extensión y Proyección Social</t>
  </si>
  <si>
    <t>Coordinador de Recursos Físicos</t>
  </si>
  <si>
    <t xml:space="preserve">Equipo Auditor FUP - Ciclo: </t>
  </si>
  <si>
    <t>José Gregorio Betancur López</t>
  </si>
  <si>
    <t>direccion.escueladeformacion@fup.edu.co</t>
  </si>
  <si>
    <t xml:space="preserve"> Ejecución Ciclo AI</t>
  </si>
  <si>
    <t>(en blanco)</t>
  </si>
  <si>
    <t>&lt;0/01/1900</t>
  </si>
  <si>
    <t>Total (en blanco)</t>
  </si>
  <si>
    <t>*</t>
  </si>
  <si>
    <t xml:space="preserve">Sergio Lozano </t>
  </si>
  <si>
    <t>Luis Emiro Mosquera</t>
  </si>
  <si>
    <t>sistemas.informacion@fup.edu.co</t>
  </si>
  <si>
    <t xml:space="preserve">Gestión de Sistemas de Información </t>
  </si>
  <si>
    <t>Gestión de Proyectos Institucionales</t>
  </si>
  <si>
    <t>autoevaluacion@fup.edu.co</t>
  </si>
  <si>
    <t>Director Gestión de Sistemas de información</t>
  </si>
  <si>
    <t xml:space="preserve">Director Programa de Trabajo Social </t>
  </si>
  <si>
    <t>Acalo Higon Yudy Andrea</t>
  </si>
  <si>
    <t>PPN - Prog. Ingenieria Agroecológica</t>
  </si>
  <si>
    <t>Omar Andres Acosta</t>
  </si>
  <si>
    <t>Juan Manuel Prado Quintero</t>
  </si>
  <si>
    <t>Decano de Programa Arquitectura</t>
  </si>
  <si>
    <t xml:space="preserve">Diana Michelly Villamarin </t>
  </si>
  <si>
    <t>contaduria.publica@fup.edu.co</t>
  </si>
  <si>
    <t xml:space="preserve">Daisy Ximena Valencia </t>
  </si>
  <si>
    <t>Decano Facultad Ciencias Sociales</t>
  </si>
  <si>
    <t>Carlos Andres Duran</t>
  </si>
  <si>
    <t>Decano Ciencias Ambientales y Agrarias</t>
  </si>
  <si>
    <t>Director de Programa de Licenciatura</t>
  </si>
  <si>
    <t>Juan Camilo Arias Rivera</t>
  </si>
  <si>
    <t>Investigación, Desarrollo e Innovación</t>
  </si>
  <si>
    <t xml:space="preserve">Emprendimiento </t>
  </si>
  <si>
    <t>Educación Continuada</t>
  </si>
  <si>
    <t xml:space="preserve">Gestión de Egresados </t>
  </si>
  <si>
    <t>Coordinador Educación Continuada</t>
  </si>
  <si>
    <t xml:space="preserve">Coordinador Emprendimeinto </t>
  </si>
  <si>
    <t xml:space="preserve">Coordinador Gestión de Egresados </t>
  </si>
  <si>
    <t xml:space="preserve">Derly Vivian Valencia </t>
  </si>
  <si>
    <t>cede@fup.edu.co</t>
  </si>
  <si>
    <t>direccion.egresados@fup.edu.co</t>
  </si>
  <si>
    <t xml:space="preserve">Gloria Patricia Castro </t>
  </si>
  <si>
    <t>coordinacion.educacioncontinua@fup.edu.co</t>
  </si>
  <si>
    <t>STQ - Prog. Ingeniería Industrial</t>
  </si>
  <si>
    <t xml:space="preserve">Registro Calificado </t>
  </si>
  <si>
    <t xml:space="preserve">Cordinador de Registro Calificado </t>
  </si>
  <si>
    <t>Yaqueline Rivera Lopez</t>
  </si>
  <si>
    <t>Registro Académico</t>
  </si>
  <si>
    <t>Coordinador Registro Académico</t>
  </si>
  <si>
    <t xml:space="preserve">Coordinador gestión Curricular </t>
  </si>
  <si>
    <t>Gestión Curricular</t>
  </si>
  <si>
    <t>Maria Fernanda Bonilla</t>
  </si>
  <si>
    <t>registro@fup.edu.co</t>
  </si>
  <si>
    <t>Depsi Johana Cordoba</t>
  </si>
  <si>
    <t>coord.gestioncurricular@fup.edu.co</t>
  </si>
  <si>
    <t>Relaciones Interinstitucionales-ORI</t>
  </si>
  <si>
    <t xml:space="preserve">Director ORI </t>
  </si>
  <si>
    <t>Sonia del Consuelo Gaviria</t>
  </si>
  <si>
    <t>ori@fup.edu.co</t>
  </si>
  <si>
    <t>Mercadeo-Admisiones</t>
  </si>
  <si>
    <t xml:space="preserve">Coordinador de Mercadeo Admisiones </t>
  </si>
  <si>
    <t>mercadeo.admisiones@fup.edu.co</t>
  </si>
  <si>
    <t xml:space="preserve">Coordinador Comunicaciones Institucional </t>
  </si>
  <si>
    <t>Fabian Fernando Pasaje</t>
  </si>
  <si>
    <t>Coordinadora de SST</t>
  </si>
  <si>
    <t>seguridadysaludeneltrabajo@fup.edu.co</t>
  </si>
  <si>
    <t>Gestión de SST</t>
  </si>
  <si>
    <t>Gestión Financiera</t>
  </si>
  <si>
    <t xml:space="preserve">Gestión Administratva </t>
  </si>
  <si>
    <t xml:space="preserve">Gestión Contable y Tesoreria </t>
  </si>
  <si>
    <t>Vierrector Adminsitrativo y Financiero</t>
  </si>
  <si>
    <t xml:space="preserve">Contador </t>
  </si>
  <si>
    <t>Fernando Solis Escobar</t>
  </si>
  <si>
    <t>coordinacion.administrativa@fup.edu.co</t>
  </si>
  <si>
    <t>Lorena Montilla Ortega</t>
  </si>
  <si>
    <t xml:space="preserve">Cordinador Administrativo </t>
  </si>
  <si>
    <t>Julio Cesar Garcia</t>
  </si>
  <si>
    <t xml:space="preserve">Gestión Documental </t>
  </si>
  <si>
    <t>Recursos tecnológicos</t>
  </si>
  <si>
    <t>Recursos Físicos</t>
  </si>
  <si>
    <t xml:space="preserve">Gestión Legal </t>
  </si>
  <si>
    <t xml:space="preserve">Julian Andres Duran </t>
  </si>
  <si>
    <t>recursos.fisicos@fup.edu.co</t>
  </si>
  <si>
    <t>gestion.documental@fup.edu.co</t>
  </si>
  <si>
    <t xml:space="preserve">Victor Daniel Collazos </t>
  </si>
  <si>
    <t xml:space="preserve">Coordinador Gestión Documental </t>
  </si>
  <si>
    <t xml:space="preserve">Secretaria General </t>
  </si>
  <si>
    <t>Luz Angela Ordoñez</t>
  </si>
  <si>
    <t>secretariageneral@fup.edu.co</t>
  </si>
  <si>
    <t>AI - A
2023</t>
  </si>
  <si>
    <t>AI - *P
2023</t>
  </si>
  <si>
    <t>auxiliaracademico.tsocial@fup.edu.co</t>
  </si>
  <si>
    <t>Decano Facultad Ciencias Ambientales y Agrarias</t>
  </si>
  <si>
    <t>Asistente Administrativo</t>
  </si>
  <si>
    <t xml:space="preserve">Director de Programa Ingenieria Industrial </t>
  </si>
  <si>
    <t>direccion.docencia@fup.edu.co</t>
  </si>
  <si>
    <t>Gestión del Talento Humano</t>
  </si>
  <si>
    <t>Nora Fernanda Arciniegas Sanchez</t>
  </si>
  <si>
    <t>fernanda.arciniegas@docente.fup.edu.co</t>
  </si>
  <si>
    <t>Jeferson Esteban Cordoba Molano</t>
  </si>
  <si>
    <t>Auxiliar Contable</t>
  </si>
  <si>
    <t>auxiliar2.tesoreria@fup.edu.co</t>
  </si>
  <si>
    <t>Diana Carolina Vasquez Zambrano</t>
  </si>
  <si>
    <t>Auxiliar</t>
  </si>
  <si>
    <t>auxiliaradministrativa.secretariageneral@fup.edu.co</t>
  </si>
  <si>
    <t>Yudi Andrea Acalo Higon</t>
  </si>
  <si>
    <t>Directora</t>
  </si>
  <si>
    <t>Jorge Eduardo Rengifo Lozada</t>
  </si>
  <si>
    <t>auxiliar.grados@fup.edu.co</t>
  </si>
  <si>
    <t xml:space="preserve"> Arnol Arias Hoyos </t>
  </si>
  <si>
    <t xml:space="preserve">Coordinador </t>
  </si>
  <si>
    <t>laboratorios@fup.edu.co</t>
  </si>
  <si>
    <t>Cristian Libardo Idrobo Posada</t>
  </si>
  <si>
    <t>Auxiliar Ingeneria</t>
  </si>
  <si>
    <t>Sergio Andrés Lozano Niño</t>
  </si>
  <si>
    <t>Director Planeacion</t>
  </si>
  <si>
    <t xml:space="preserve"> planeacion@fup.edu.co</t>
  </si>
  <si>
    <t>auxacademica.ingenierias@fup.edu.co</t>
  </si>
  <si>
    <t xml:space="preserve">Lina Fernanda Gutiérrez Montoya   </t>
  </si>
  <si>
    <t>auxiliar5.contabilidad@fup.edu.co</t>
  </si>
  <si>
    <t>Fabian Felipe Mera Hurtado</t>
  </si>
  <si>
    <t xml:space="preserve">Yeni Fernanda Castrillón Sánchez </t>
  </si>
  <si>
    <t xml:space="preserve">Diego Fernando Ordoñez Trullo   </t>
  </si>
  <si>
    <t xml:space="preserve">Auxiliar de Soporte </t>
  </si>
  <si>
    <t>Director de Programa</t>
  </si>
  <si>
    <t>soporte.tic2@fup.edu.co</t>
  </si>
  <si>
    <t>auxiliar.sidi@fup.edu.co</t>
  </si>
  <si>
    <t>derecho.popayan@fup.edu.co</t>
  </si>
  <si>
    <t>Ashley Stephany Cubides Valderrama</t>
  </si>
  <si>
    <t xml:space="preserve">Angela Milena Velásquez Vargas      </t>
  </si>
  <si>
    <t xml:space="preserve">Julieth Alexandra Chacón Paja
</t>
  </si>
  <si>
    <t>Laura Maria Olarte Zuñiga</t>
  </si>
  <si>
    <t>Lucy Marlady Lopez Perez</t>
  </si>
  <si>
    <t>Profesional EDP</t>
  </si>
  <si>
    <t>Profesional apoyo</t>
  </si>
  <si>
    <t>Coordinadora del SG-SST</t>
  </si>
  <si>
    <t>Contabilidad</t>
  </si>
  <si>
    <t>Coordinadora</t>
  </si>
  <si>
    <t>profesional.profesoral@fup.edu.co</t>
  </si>
  <si>
    <t>asistente.registro@fup.edu.co</t>
  </si>
  <si>
    <t>julieth.chacon@docente.fup.edu.co</t>
  </si>
  <si>
    <t>Seguridadysaludeneltrabajo@fup.edu.co</t>
  </si>
  <si>
    <t>auxiliar1.contabilidad@fup.edu.co</t>
  </si>
  <si>
    <t>Nathalia Vanessa Hurtado Sanchez</t>
  </si>
  <si>
    <t>Laura Melissa Muñoz Burbano</t>
  </si>
  <si>
    <t>Director</t>
  </si>
  <si>
    <t>Profesional VRA</t>
  </si>
  <si>
    <t>nathalia.hurtado@docente.fup.edu.co</t>
  </si>
  <si>
    <t>Pedro Pablo Saa Tafurt</t>
  </si>
  <si>
    <t>Juan David Gonzalez</t>
  </si>
  <si>
    <t>Marly Esthepany Ortega Apraez</t>
  </si>
  <si>
    <t>Andres Cisneros</t>
  </si>
  <si>
    <t>Maria Camila Toro Gonzalez</t>
  </si>
  <si>
    <t>Luisa Marcela Toro Medina</t>
  </si>
  <si>
    <t>Maria Alejandra Lopez Collazos</t>
  </si>
  <si>
    <t>Tatiana Dulcey Mojica</t>
  </si>
  <si>
    <t xml:space="preserve">Luz Mery Lopez </t>
  </si>
  <si>
    <t>Camia Toro/ Sergio Lozano</t>
  </si>
  <si>
    <t xml:space="preserve">Coordinador Gestión de Proyectos </t>
  </si>
  <si>
    <t>coor.extensionyproyeccion@fup.edu.co</t>
  </si>
  <si>
    <t xml:space="preserve">Coordinador de Autoevaluación Institucional </t>
  </si>
  <si>
    <t xml:space="preserve">Director de Proyección y Extensión Social </t>
  </si>
  <si>
    <t>Profesional Calidad Institucional</t>
  </si>
  <si>
    <t>COORDINADORA DE GESTION PARA LA INVESTIGACION</t>
  </si>
  <si>
    <t>coor.gestiondeinvestigacion@fup.edu.co</t>
  </si>
  <si>
    <t>Coordinadora Autoevaluacion</t>
  </si>
  <si>
    <t>coord.autoevaluacion@fup.edu.co</t>
  </si>
  <si>
    <t>compras@fup.edu.co</t>
  </si>
  <si>
    <t>Compras</t>
  </si>
  <si>
    <t>apoyo.leac@fup.edu.co</t>
  </si>
  <si>
    <t xml:space="preserve">Docente </t>
  </si>
  <si>
    <t>Apoyo leac</t>
  </si>
  <si>
    <t>coordinacionacademica.faceca@fup.edu.co</t>
  </si>
  <si>
    <t>Coordinadora trabajo social</t>
  </si>
  <si>
    <t>coordinacion.tsocial@fup.edu.co</t>
  </si>
  <si>
    <t>ORO</t>
  </si>
  <si>
    <t>PLATA</t>
  </si>
  <si>
    <t>BRONCE</t>
  </si>
  <si>
    <t xml:space="preserve">TOTAL </t>
  </si>
  <si>
    <t>tenemos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</si>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</sst>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\-mmm\-yyyy"/>
    <numFmt numFmtId="165" formatCode="[$-240A]h:mm\ AM/PM;@"/>
    <numFmt numFmtId="166" formatCode="dd\-mmm\-yy;@"/>
    <numFmt numFmtId="167" formatCode="[$-240A]h:mm"/>
    <numFmt numFmtId="168" formatCode="dd\-mm\-yy;@"/>
  </numFmts>
  <fonts count="6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rgb="FFFFFF00"/>
      <name val="Arial"/>
      <family val="2"/>
    </font>
    <font>
      <sz val="10"/>
      <color rgb="FF0000FF"/>
      <name val="Arial"/>
      <family val="2"/>
    </font>
    <font>
      <sz val="8"/>
      <color theme="1"/>
      <name val="Calibri"/>
      <family val="2"/>
      <scheme val="minor"/>
    </font>
    <font>
      <b/>
      <sz val="9"/>
      <color rgb="FF00FF00"/>
      <name val="Arial"/>
      <family val="2"/>
    </font>
    <font>
      <b/>
      <sz val="8"/>
      <color rgb="FFFFFF00"/>
      <name val="Arial"/>
      <family val="2"/>
    </font>
    <font>
      <sz val="8"/>
      <color theme="0" tint="-4.9989318521683403E-2"/>
      <name val="Arial"/>
      <family val="2"/>
    </font>
    <font>
      <b/>
      <sz val="8"/>
      <color theme="0" tint="-4.9989318521683403E-2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b/>
      <sz val="9"/>
      <color theme="0"/>
      <name val="Arial"/>
      <family val="2"/>
    </font>
    <font>
      <b/>
      <sz val="8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8"/>
      <color rgb="FF00FFFF"/>
      <name val="Arial"/>
      <family val="2"/>
    </font>
    <font>
      <b/>
      <sz val="10"/>
      <color rgb="FFC00000"/>
      <name val="Arial"/>
      <family val="2"/>
    </font>
    <font>
      <sz val="8"/>
      <color theme="0" tint="-0.1499984740745262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0"/>
      <color theme="0" tint="-0.14999847407452621"/>
      <name val="Arial"/>
      <family val="2"/>
    </font>
    <font>
      <b/>
      <sz val="8"/>
      <color theme="0" tint="-0.14999847407452621"/>
      <name val="Arial"/>
      <family val="2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rgb="FF00FFFF"/>
      <name val="Arial"/>
      <family val="2"/>
    </font>
    <font>
      <b/>
      <sz val="10"/>
      <color rgb="FF002060"/>
      <name val="Arial"/>
      <family val="2"/>
    </font>
    <font>
      <b/>
      <sz val="9"/>
      <color rgb="FF00FFFF"/>
      <name val="Calibri"/>
      <family val="2"/>
      <scheme val="minor"/>
    </font>
    <font>
      <b/>
      <sz val="8"/>
      <color theme="0" tint="-0.34998626667073579"/>
      <name val="Arial"/>
      <family val="2"/>
    </font>
    <font>
      <b/>
      <sz val="9"/>
      <color rgb="FFFFFF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00FFFF"/>
      <name val="Arial"/>
      <family val="2"/>
    </font>
    <font>
      <b/>
      <sz val="11"/>
      <color rgb="FFFFFF00"/>
      <name val="Calibri"/>
      <family val="2"/>
      <scheme val="minor"/>
    </font>
    <font>
      <sz val="11"/>
      <color rgb="FF00FF00"/>
      <name val="Calibri"/>
      <family val="2"/>
      <scheme val="minor"/>
    </font>
    <font>
      <sz val="8"/>
      <color rgb="FF00FF00"/>
      <name val="Calibri"/>
      <family val="2"/>
      <scheme val="minor"/>
    </font>
    <font>
      <b/>
      <sz val="8"/>
      <color rgb="FF00FF00"/>
      <name val="Calibri"/>
      <family val="2"/>
      <scheme val="minor"/>
    </font>
    <font>
      <b/>
      <sz val="10"/>
      <color rgb="FF00FF00"/>
      <name val="Arial"/>
      <family val="2"/>
    </font>
    <font>
      <b/>
      <sz val="9"/>
      <color rgb="FF66FF66"/>
      <name val="Calibri"/>
      <family val="2"/>
      <scheme val="minor"/>
    </font>
    <font>
      <b/>
      <sz val="8"/>
      <color rgb="FFC00000"/>
      <name val="Arial"/>
      <family val="2"/>
    </font>
    <font>
      <b/>
      <sz val="9"/>
      <color rgb="FF0000CC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FFFF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u/>
      <sz val="9"/>
      <color theme="10"/>
      <name val="Arial"/>
      <family val="2"/>
    </font>
    <font>
      <sz val="10"/>
      <color theme="2"/>
      <name val="Arial"/>
      <family val="2"/>
    </font>
    <font>
      <sz val="10"/>
      <color rgb="FFC00000"/>
      <name val="Arial"/>
      <family val="2"/>
    </font>
    <font>
      <b/>
      <sz val="10"/>
      <color theme="7" tint="0.39997558519241921"/>
      <name val="Arial"/>
      <family val="2"/>
    </font>
    <font>
      <b/>
      <sz val="10"/>
      <color rgb="FFFFCC66"/>
      <name val="Arial"/>
      <family val="2"/>
    </font>
    <font>
      <b/>
      <sz val="10"/>
      <color rgb="FF00FFFF"/>
      <name val="Arial"/>
      <family val="2"/>
    </font>
    <font>
      <u/>
      <sz val="10"/>
      <color theme="10"/>
      <name val="Arial"/>
      <family val="2"/>
    </font>
    <font>
      <sz val="9"/>
      <color theme="0" tint="-0.14999847407452621"/>
      <name val="Arial"/>
      <family val="2"/>
    </font>
    <font>
      <u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6C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4.9989318521683403E-2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rgb="FF00B0F0"/>
      </left>
      <right style="thin">
        <color rgb="FF00B0F0"/>
      </right>
      <top style="hair">
        <color rgb="FF00B0F0"/>
      </top>
      <bottom style="hair">
        <color rgb="FF00B0F0"/>
      </bottom>
      <diagonal/>
    </border>
    <border>
      <left style="thin">
        <color rgb="FF00B0F0"/>
      </left>
      <right/>
      <top style="thin">
        <color rgb="FF00B0F0"/>
      </top>
      <bottom style="hair">
        <color rgb="FF00B0F0"/>
      </bottom>
      <diagonal/>
    </border>
    <border>
      <left/>
      <right/>
      <top style="thin">
        <color rgb="FF00B0F0"/>
      </top>
      <bottom style="hair">
        <color rgb="FF00B0F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rgb="FF00B0F0"/>
      </bottom>
      <diagonal/>
    </border>
    <border>
      <left style="thin">
        <color rgb="FF00B0F0"/>
      </left>
      <right/>
      <top style="hair">
        <color rgb="FF00B0F0"/>
      </top>
      <bottom style="hair">
        <color rgb="FF00B0F0"/>
      </bottom>
      <diagonal/>
    </border>
    <border>
      <left style="thin">
        <color rgb="FF0000CC"/>
      </left>
      <right style="thin">
        <color rgb="FF0000CC"/>
      </right>
      <top style="hair">
        <color rgb="FF00B0F0"/>
      </top>
      <bottom style="hair">
        <color rgb="FF00B0F0"/>
      </bottom>
      <diagonal/>
    </border>
    <border>
      <left style="thin">
        <color rgb="FF0000CC"/>
      </left>
      <right/>
      <top style="hair">
        <color rgb="FF00B0F0"/>
      </top>
      <bottom style="hair">
        <color rgb="FF00B0F0"/>
      </bottom>
      <diagonal/>
    </border>
    <border>
      <left/>
      <right style="thin">
        <color rgb="FF0000CC"/>
      </right>
      <top style="hair">
        <color rgb="FF00B0F0"/>
      </top>
      <bottom style="hair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rgb="FF00B0F0"/>
      </top>
      <bottom style="hair">
        <color rgb="FF00B0F0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rgb="FF00B0F0"/>
      </left>
      <right style="thin">
        <color rgb="FF00B0F0"/>
      </right>
      <top/>
      <bottom style="hair">
        <color rgb="FF00B0F0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rgb="FF00B0F0"/>
      </left>
      <right/>
      <top style="hair">
        <color rgb="FF00B0F0"/>
      </top>
      <bottom/>
      <diagonal/>
    </border>
    <border>
      <left style="thin">
        <color rgb="FF00B0F0"/>
      </left>
      <right style="thin">
        <color rgb="FF00B0F0"/>
      </right>
      <top style="hair">
        <color rgb="FF00B0F0"/>
      </top>
      <bottom/>
      <diagonal/>
    </border>
  </borders>
  <cellStyleXfs count="3">
    <xf numFmtId="0" fontId="0" fillId="0" borderId="0"/>
    <xf numFmtId="9" fontId="15" fillId="0" borderId="0" applyFont="0" applyFill="0" applyBorder="0" applyAlignment="0" applyProtection="0"/>
    <xf numFmtId="0" fontId="47" fillId="0" borderId="0" applyNumberFormat="0" applyFill="0" applyBorder="0" applyAlignment="0" applyProtection="0"/>
  </cellStyleXfs>
  <cellXfs count="507">
    <xf numFmtId="0" fontId="0" fillId="0" borderId="0" xfId="0"/>
    <xf numFmtId="0" fontId="2" fillId="2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vertical="center" wrapText="1"/>
    </xf>
    <xf numFmtId="0" fontId="6" fillId="2" borderId="0" xfId="0" applyFont="1" applyFill="1" applyAlignment="1">
      <alignment horizontal="left" vertical="center" wrapText="1"/>
    </xf>
    <xf numFmtId="0" fontId="6" fillId="5" borderId="24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 wrapText="1"/>
    </xf>
    <xf numFmtId="15" fontId="18" fillId="6" borderId="6" xfId="0" applyNumberFormat="1" applyFont="1" applyFill="1" applyBorder="1" applyAlignment="1">
      <alignment horizontal="left" vertical="center" wrapText="1"/>
    </xf>
    <xf numFmtId="165" fontId="0" fillId="5" borderId="0" xfId="0" applyNumberFormat="1" applyFill="1" applyAlignment="1">
      <alignment vertical="center"/>
    </xf>
    <xf numFmtId="165" fontId="6" fillId="2" borderId="0" xfId="0" applyNumberFormat="1" applyFont="1" applyFill="1" applyAlignment="1">
      <alignment horizontal="left" vertical="center" wrapText="1"/>
    </xf>
    <xf numFmtId="15" fontId="23" fillId="6" borderId="8" xfId="0" applyNumberFormat="1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165" fontId="6" fillId="5" borderId="0" xfId="0" applyNumberFormat="1" applyFont="1" applyFill="1" applyAlignment="1">
      <alignment horizontal="left" vertical="center" wrapText="1"/>
    </xf>
    <xf numFmtId="0" fontId="21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7" fillId="12" borderId="22" xfId="0" applyFont="1" applyFill="1" applyBorder="1" applyAlignment="1">
      <alignment horizontal="left" vertical="center" wrapText="1"/>
    </xf>
    <xf numFmtId="0" fontId="17" fillId="12" borderId="0" xfId="0" applyFont="1" applyFill="1" applyAlignment="1">
      <alignment vertical="center" wrapText="1"/>
    </xf>
    <xf numFmtId="0" fontId="6" fillId="2" borderId="25" xfId="0" applyFont="1" applyFill="1" applyBorder="1" applyAlignment="1">
      <alignment horizontal="left" vertical="center" wrapText="1"/>
    </xf>
    <xf numFmtId="165" fontId="6" fillId="2" borderId="23" xfId="0" applyNumberFormat="1" applyFont="1" applyFill="1" applyBorder="1" applyAlignment="1">
      <alignment horizontal="left" vertical="center" wrapText="1"/>
    </xf>
    <xf numFmtId="165" fontId="6" fillId="2" borderId="26" xfId="0" applyNumberFormat="1" applyFont="1" applyFill="1" applyBorder="1" applyAlignment="1">
      <alignment horizontal="left" vertical="center" wrapText="1"/>
    </xf>
    <xf numFmtId="0" fontId="6" fillId="2" borderId="24" xfId="0" applyFont="1" applyFill="1" applyBorder="1" applyAlignment="1">
      <alignment horizontal="left" vertical="center" wrapText="1"/>
    </xf>
    <xf numFmtId="0" fontId="6" fillId="7" borderId="25" xfId="0" applyFont="1" applyFill="1" applyBorder="1" applyAlignment="1">
      <alignment horizontal="left" vertical="center" wrapText="1"/>
    </xf>
    <xf numFmtId="165" fontId="6" fillId="7" borderId="23" xfId="0" applyNumberFormat="1" applyFont="1" applyFill="1" applyBorder="1" applyAlignment="1">
      <alignment horizontal="left" vertical="center" wrapText="1"/>
    </xf>
    <xf numFmtId="165" fontId="6" fillId="7" borderId="26" xfId="0" applyNumberFormat="1" applyFont="1" applyFill="1" applyBorder="1" applyAlignment="1">
      <alignment horizontal="left" vertical="center" wrapText="1"/>
    </xf>
    <xf numFmtId="0" fontId="6" fillId="7" borderId="24" xfId="0" applyFont="1" applyFill="1" applyBorder="1" applyAlignment="1">
      <alignment horizontal="left" vertical="center" wrapText="1"/>
    </xf>
    <xf numFmtId="15" fontId="23" fillId="17" borderId="8" xfId="0" applyNumberFormat="1" applyFont="1" applyFill="1" applyBorder="1" applyAlignment="1">
      <alignment horizontal="left" vertical="center" wrapText="1"/>
    </xf>
    <xf numFmtId="15" fontId="18" fillId="19" borderId="6" xfId="0" applyNumberFormat="1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1" fillId="2" borderId="27" xfId="0" quotePrefix="1" applyFont="1" applyFill="1" applyBorder="1" applyAlignment="1">
      <alignment vertical="center" wrapText="1"/>
    </xf>
    <xf numFmtId="0" fontId="29" fillId="5" borderId="0" xfId="0" applyFont="1" applyFill="1" applyAlignment="1">
      <alignment horizontal="center" vertical="center" wrapText="1"/>
    </xf>
    <xf numFmtId="165" fontId="29" fillId="5" borderId="0" xfId="0" applyNumberFormat="1" applyFont="1" applyFill="1" applyAlignment="1">
      <alignment horizontal="center" vertical="center" wrapText="1"/>
    </xf>
    <xf numFmtId="1" fontId="22" fillId="10" borderId="0" xfId="0" applyNumberFormat="1" applyFont="1" applyFill="1" applyAlignment="1">
      <alignment horizontal="center" vertical="center" wrapText="1"/>
    </xf>
    <xf numFmtId="0" fontId="2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1" fillId="0" borderId="0" xfId="0" applyFont="1" applyAlignment="1">
      <alignment horizontal="center" vertical="top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top" wrapText="1"/>
    </xf>
    <xf numFmtId="0" fontId="26" fillId="21" borderId="0" xfId="0" applyFont="1" applyFill="1" applyAlignment="1">
      <alignment vertical="top" wrapText="1"/>
    </xf>
    <xf numFmtId="0" fontId="31" fillId="21" borderId="0" xfId="0" applyFont="1" applyFill="1" applyAlignment="1">
      <alignment horizontal="center" vertical="top" wrapText="1"/>
    </xf>
    <xf numFmtId="0" fontId="31" fillId="21" borderId="0" xfId="0" applyFont="1" applyFill="1" applyAlignment="1">
      <alignment horizontal="left" vertical="top"/>
    </xf>
    <xf numFmtId="0" fontId="9" fillId="21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0" xfId="0" applyFont="1"/>
    <xf numFmtId="0" fontId="31" fillId="21" borderId="0" xfId="0" applyFont="1" applyFill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6" fontId="26" fillId="0" borderId="0" xfId="0" applyNumberFormat="1" applyFont="1" applyAlignment="1">
      <alignment vertical="top" wrapText="1"/>
    </xf>
    <xf numFmtId="166" fontId="0" fillId="0" borderId="0" xfId="0" applyNumberFormat="1"/>
    <xf numFmtId="166" fontId="0" fillId="0" borderId="0" xfId="0" applyNumberFormat="1" applyAlignment="1">
      <alignment vertical="top" wrapText="1"/>
    </xf>
    <xf numFmtId="0" fontId="27" fillId="5" borderId="0" xfId="0" applyFont="1" applyFill="1" applyAlignment="1">
      <alignment horizontal="center" vertical="top"/>
    </xf>
    <xf numFmtId="0" fontId="29" fillId="5" borderId="0" xfId="0" applyFont="1" applyFill="1" applyAlignment="1">
      <alignment horizontal="center" vertical="top" wrapText="1"/>
    </xf>
    <xf numFmtId="1" fontId="22" fillId="10" borderId="0" xfId="0" applyNumberFormat="1" applyFont="1" applyFill="1" applyAlignment="1">
      <alignment horizontal="center" vertical="top" wrapText="1"/>
    </xf>
    <xf numFmtId="165" fontId="29" fillId="5" borderId="0" xfId="0" applyNumberFormat="1" applyFont="1" applyFill="1" applyAlignment="1">
      <alignment horizontal="center" vertical="top" wrapText="1"/>
    </xf>
    <xf numFmtId="0" fontId="22" fillId="5" borderId="0" xfId="0" applyFont="1" applyFill="1" applyAlignment="1">
      <alignment horizontal="center" vertical="top" wrapText="1"/>
    </xf>
    <xf numFmtId="0" fontId="14" fillId="5" borderId="0" xfId="0" applyFont="1" applyFill="1" applyAlignment="1">
      <alignment horizontal="center" vertical="top"/>
    </xf>
    <xf numFmtId="15" fontId="18" fillId="6" borderId="6" xfId="0" applyNumberFormat="1" applyFont="1" applyFill="1" applyBorder="1" applyAlignment="1">
      <alignment horizontal="left" vertical="top" wrapText="1"/>
    </xf>
    <xf numFmtId="0" fontId="0" fillId="5" borderId="0" xfId="0" applyFill="1" applyAlignment="1">
      <alignment vertical="top"/>
    </xf>
    <xf numFmtId="15" fontId="23" fillId="6" borderId="8" xfId="0" applyNumberFormat="1" applyFont="1" applyFill="1" applyBorder="1" applyAlignment="1">
      <alignment horizontal="left" vertical="top" wrapText="1"/>
    </xf>
    <xf numFmtId="0" fontId="6" fillId="2" borderId="25" xfId="0" applyFont="1" applyFill="1" applyBorder="1" applyAlignment="1">
      <alignment horizontal="left" vertical="top" wrapText="1"/>
    </xf>
    <xf numFmtId="165" fontId="6" fillId="2" borderId="23" xfId="0" applyNumberFormat="1" applyFont="1" applyFill="1" applyBorder="1" applyAlignment="1">
      <alignment horizontal="left" vertical="top" wrapText="1"/>
    </xf>
    <xf numFmtId="165" fontId="6" fillId="2" borderId="26" xfId="0" applyNumberFormat="1" applyFont="1" applyFill="1" applyBorder="1" applyAlignment="1">
      <alignment horizontal="left" vertical="top" wrapText="1"/>
    </xf>
    <xf numFmtId="0" fontId="6" fillId="2" borderId="24" xfId="0" applyFont="1" applyFill="1" applyBorder="1" applyAlignment="1">
      <alignment horizontal="left" vertical="top" wrapText="1"/>
    </xf>
    <xf numFmtId="0" fontId="6" fillId="20" borderId="25" xfId="0" applyFont="1" applyFill="1" applyBorder="1" applyAlignment="1">
      <alignment horizontal="left" vertical="top" wrapText="1"/>
    </xf>
    <xf numFmtId="165" fontId="6" fillId="20" borderId="23" xfId="0" applyNumberFormat="1" applyFont="1" applyFill="1" applyBorder="1" applyAlignment="1">
      <alignment horizontal="left" vertical="top" wrapText="1"/>
    </xf>
    <xf numFmtId="165" fontId="6" fillId="20" borderId="26" xfId="0" applyNumberFormat="1" applyFont="1" applyFill="1" applyBorder="1" applyAlignment="1">
      <alignment horizontal="left" vertical="top" wrapText="1"/>
    </xf>
    <xf numFmtId="0" fontId="6" fillId="20" borderId="24" xfId="0" applyFont="1" applyFill="1" applyBorder="1" applyAlignment="1">
      <alignment horizontal="left" vertical="top" wrapText="1"/>
    </xf>
    <xf numFmtId="165" fontId="6" fillId="5" borderId="0" xfId="0" applyNumberFormat="1" applyFont="1" applyFill="1" applyAlignment="1">
      <alignment horizontal="left" vertical="top" wrapText="1"/>
    </xf>
    <xf numFmtId="0" fontId="6" fillId="5" borderId="0" xfId="0" applyFont="1" applyFill="1" applyAlignment="1">
      <alignment horizontal="left" vertical="top" wrapText="1"/>
    </xf>
    <xf numFmtId="0" fontId="16" fillId="5" borderId="0" xfId="0" applyFont="1" applyFill="1" applyAlignment="1">
      <alignment vertical="top"/>
    </xf>
    <xf numFmtId="165" fontId="16" fillId="5" borderId="0" xfId="0" applyNumberFormat="1" applyFont="1" applyFill="1" applyAlignment="1">
      <alignment vertical="top"/>
    </xf>
    <xf numFmtId="165" fontId="0" fillId="5" borderId="0" xfId="0" applyNumberFormat="1" applyFill="1" applyAlignment="1">
      <alignment vertical="top"/>
    </xf>
    <xf numFmtId="0" fontId="6" fillId="2" borderId="0" xfId="0" applyFont="1" applyFill="1" applyAlignment="1">
      <alignment horizontal="left" vertical="top" wrapText="1"/>
    </xf>
    <xf numFmtId="165" fontId="6" fillId="2" borderId="0" xfId="0" applyNumberFormat="1" applyFont="1" applyFill="1" applyAlignment="1">
      <alignment horizontal="left" vertical="top" wrapText="1"/>
    </xf>
    <xf numFmtId="0" fontId="27" fillId="5" borderId="0" xfId="0" applyFont="1" applyFill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0" fontId="6" fillId="2" borderId="24" xfId="0" applyFont="1" applyFill="1" applyBorder="1" applyAlignment="1">
      <alignment vertical="center"/>
    </xf>
    <xf numFmtId="0" fontId="3" fillId="2" borderId="24" xfId="0" applyFont="1" applyFill="1" applyBorder="1" applyAlignment="1">
      <alignment horizontal="center" vertical="center"/>
    </xf>
    <xf numFmtId="0" fontId="16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16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37" fillId="9" borderId="35" xfId="0" applyFont="1" applyFill="1" applyBorder="1" applyAlignment="1">
      <alignment horizontal="center" vertical="center" wrapText="1"/>
    </xf>
    <xf numFmtId="0" fontId="38" fillId="6" borderId="27" xfId="0" applyFont="1" applyFill="1" applyBorder="1" applyAlignment="1">
      <alignment horizontal="left" vertical="center" wrapText="1"/>
    </xf>
    <xf numFmtId="164" fontId="38" fillId="6" borderId="27" xfId="0" applyNumberFormat="1" applyFont="1" applyFill="1" applyBorder="1" applyAlignment="1">
      <alignment horizontal="left" vertical="center" wrapText="1"/>
    </xf>
    <xf numFmtId="164" fontId="38" fillId="6" borderId="36" xfId="0" applyNumberFormat="1" applyFont="1" applyFill="1" applyBorder="1" applyAlignment="1">
      <alignment horizontal="left" vertical="center" wrapText="1"/>
    </xf>
    <xf numFmtId="164" fontId="19" fillId="6" borderId="39" xfId="0" applyNumberFormat="1" applyFont="1" applyFill="1" applyBorder="1" applyAlignment="1">
      <alignment horizontal="left" vertical="center" wrapText="1"/>
    </xf>
    <xf numFmtId="0" fontId="25" fillId="5" borderId="0" xfId="0" applyFont="1" applyFill="1" applyAlignment="1">
      <alignment vertical="center"/>
    </xf>
    <xf numFmtId="0" fontId="1" fillId="2" borderId="36" xfId="0" applyFont="1" applyFill="1" applyBorder="1" applyAlignment="1">
      <alignment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5" borderId="0" xfId="0" applyFill="1"/>
    <xf numFmtId="0" fontId="0" fillId="0" borderId="0" xfId="0" applyAlignment="1">
      <alignment horizontal="center" vertical="center"/>
    </xf>
    <xf numFmtId="164" fontId="10" fillId="6" borderId="27" xfId="0" applyNumberFormat="1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center"/>
    </xf>
    <xf numFmtId="0" fontId="16" fillId="3" borderId="0" xfId="0" applyFont="1" applyFill="1" applyAlignment="1">
      <alignment horizontal="center" vertical="center"/>
    </xf>
    <xf numFmtId="0" fontId="40" fillId="9" borderId="0" xfId="0" applyFont="1" applyFill="1"/>
    <xf numFmtId="0" fontId="41" fillId="9" borderId="0" xfId="0" applyFont="1" applyFill="1" applyAlignment="1">
      <alignment vertical="center"/>
    </xf>
    <xf numFmtId="0" fontId="39" fillId="9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top"/>
    </xf>
    <xf numFmtId="0" fontId="20" fillId="5" borderId="0" xfId="0" applyFont="1" applyFill="1" applyAlignment="1">
      <alignment vertical="top"/>
    </xf>
    <xf numFmtId="0" fontId="10" fillId="14" borderId="22" xfId="0" applyFont="1" applyFill="1" applyBorder="1" applyAlignment="1">
      <alignment horizontal="left" vertical="center"/>
    </xf>
    <xf numFmtId="0" fontId="43" fillId="14" borderId="22" xfId="0" applyFont="1" applyFill="1" applyBorder="1" applyAlignment="1">
      <alignment horizontal="left" vertical="center"/>
    </xf>
    <xf numFmtId="0" fontId="26" fillId="0" borderId="30" xfId="0" applyFont="1" applyBorder="1" applyAlignment="1">
      <alignment vertical="top" wrapText="1"/>
    </xf>
    <xf numFmtId="0" fontId="4" fillId="2" borderId="58" xfId="0" applyFont="1" applyFill="1" applyBorder="1" applyAlignment="1">
      <alignment horizontal="center" vertical="center" wrapText="1"/>
    </xf>
    <xf numFmtId="164" fontId="38" fillId="6" borderId="58" xfId="0" applyNumberFormat="1" applyFont="1" applyFill="1" applyBorder="1" applyAlignment="1">
      <alignment horizontal="left" vertical="center" wrapText="1"/>
    </xf>
    <xf numFmtId="0" fontId="18" fillId="14" borderId="22" xfId="0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64" fontId="38" fillId="6" borderId="37" xfId="0" applyNumberFormat="1" applyFont="1" applyFill="1" applyBorder="1" applyAlignment="1">
      <alignment horizontal="left" vertical="center" wrapText="1"/>
    </xf>
    <xf numFmtId="164" fontId="38" fillId="6" borderId="38" xfId="0" applyNumberFormat="1" applyFont="1" applyFill="1" applyBorder="1" applyAlignment="1">
      <alignment horizontal="left" vertical="center" wrapText="1"/>
    </xf>
    <xf numFmtId="0" fontId="5" fillId="5" borderId="24" xfId="0" applyFont="1" applyFill="1" applyBorder="1" applyAlignment="1">
      <alignment vertical="center" wrapText="1"/>
    </xf>
    <xf numFmtId="0" fontId="5" fillId="24" borderId="24" xfId="0" applyFont="1" applyFill="1" applyBorder="1" applyAlignment="1">
      <alignment vertical="center" wrapText="1"/>
    </xf>
    <xf numFmtId="0" fontId="6" fillId="3" borderId="0" xfId="0" applyFont="1" applyFill="1" applyAlignment="1">
      <alignment vertical="center" shrinkToFit="1"/>
    </xf>
    <xf numFmtId="0" fontId="6" fillId="16" borderId="0" xfId="0" applyFont="1" applyFill="1" applyAlignment="1">
      <alignment vertical="center" shrinkToFit="1"/>
    </xf>
    <xf numFmtId="0" fontId="2" fillId="3" borderId="0" xfId="0" applyFont="1" applyFill="1" applyAlignment="1">
      <alignment vertical="center" shrinkToFit="1"/>
    </xf>
    <xf numFmtId="0" fontId="2" fillId="11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1" fontId="2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 shrinkToFit="1"/>
    </xf>
    <xf numFmtId="0" fontId="5" fillId="16" borderId="0" xfId="0" applyFont="1" applyFill="1" applyAlignment="1">
      <alignment horizontal="left" vertical="center" shrinkToFit="1"/>
    </xf>
    <xf numFmtId="0" fontId="3" fillId="3" borderId="0" xfId="0" applyFont="1" applyFill="1" applyAlignment="1">
      <alignment horizontal="left" vertical="center" shrinkToFit="1"/>
    </xf>
    <xf numFmtId="0" fontId="3" fillId="11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1" fontId="3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5" fillId="5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9" fontId="35" fillId="5" borderId="0" xfId="1" applyFont="1" applyFill="1" applyAlignment="1" applyProtection="1">
      <alignment horizontal="right" vertical="center"/>
    </xf>
    <xf numFmtId="0" fontId="6" fillId="3" borderId="0" xfId="0" applyFont="1" applyFill="1" applyAlignment="1">
      <alignment vertical="center" wrapText="1" shrinkToFit="1"/>
    </xf>
    <xf numFmtId="0" fontId="19" fillId="23" borderId="40" xfId="0" applyFont="1" applyFill="1" applyBorder="1" applyAlignment="1">
      <alignment horizontal="center" vertical="center" wrapText="1"/>
    </xf>
    <xf numFmtId="1" fontId="35" fillId="5" borderId="0" xfId="0" applyNumberFormat="1" applyFont="1" applyFill="1" applyAlignment="1">
      <alignment horizontal="right" vertical="center"/>
    </xf>
    <xf numFmtId="1" fontId="11" fillId="9" borderId="0" xfId="0" applyNumberFormat="1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shrinkToFit="1"/>
    </xf>
    <xf numFmtId="18" fontId="6" fillId="2" borderId="0" xfId="0" applyNumberFormat="1" applyFont="1" applyFill="1" applyAlignment="1">
      <alignment vertical="center" shrinkToFit="1"/>
    </xf>
    <xf numFmtId="1" fontId="32" fillId="9" borderId="0" xfId="0" applyNumberFormat="1" applyFont="1" applyFill="1" applyAlignment="1">
      <alignment horizontal="center" vertical="center"/>
    </xf>
    <xf numFmtId="168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18" fontId="6" fillId="3" borderId="0" xfId="0" applyNumberFormat="1" applyFont="1" applyFill="1" applyAlignment="1">
      <alignment horizontal="left" vertical="center"/>
    </xf>
    <xf numFmtId="166" fontId="6" fillId="3" borderId="0" xfId="0" applyNumberFormat="1" applyFont="1" applyFill="1" applyAlignment="1">
      <alignment horizontal="left" vertical="center"/>
    </xf>
    <xf numFmtId="166" fontId="32" fillId="9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 shrinkToFit="1"/>
    </xf>
    <xf numFmtId="0" fontId="1" fillId="2" borderId="0" xfId="0" applyFont="1" applyFill="1" applyAlignment="1">
      <alignment vertical="center" shrinkToFit="1"/>
    </xf>
    <xf numFmtId="0" fontId="1" fillId="11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1" fontId="1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</xf>
    <xf numFmtId="0" fontId="5" fillId="4" borderId="22" xfId="0" applyFont="1" applyFill="1" applyBorder="1" applyAlignment="1" applyProtection="1">
      <alignment horizontal="center" vertical="center"/>
    </xf>
    <xf numFmtId="0" fontId="3" fillId="4" borderId="24" xfId="0" applyFont="1" applyFill="1" applyBorder="1" applyAlignment="1" applyProtection="1">
      <alignment horizontal="center" vertical="center"/>
    </xf>
    <xf numFmtId="0" fontId="3" fillId="4" borderId="9" xfId="0" applyFont="1" applyFill="1" applyBorder="1" applyAlignment="1" applyProtection="1">
      <alignment horizontal="center" vertical="center"/>
    </xf>
    <xf numFmtId="0" fontId="7" fillId="6" borderId="29" xfId="0" applyFont="1" applyFill="1" applyBorder="1" applyAlignment="1">
      <alignment horizontal="left" vertical="center" wrapText="1"/>
    </xf>
    <xf numFmtId="0" fontId="46" fillId="5" borderId="0" xfId="0" applyFont="1" applyFill="1" applyAlignment="1">
      <alignment horizontal="center" vertical="center"/>
    </xf>
    <xf numFmtId="0" fontId="46" fillId="20" borderId="0" xfId="0" applyFont="1" applyFill="1" applyAlignment="1">
      <alignment horizontal="center" vertical="center"/>
    </xf>
    <xf numFmtId="0" fontId="46" fillId="25" borderId="0" xfId="0" applyFont="1" applyFill="1" applyAlignment="1">
      <alignment horizontal="center" vertical="center"/>
    </xf>
    <xf numFmtId="9" fontId="30" fillId="9" borderId="0" xfId="1" applyFont="1" applyFill="1" applyAlignment="1">
      <alignment horizontal="right" vertical="top" wrapText="1"/>
    </xf>
    <xf numFmtId="0" fontId="34" fillId="9" borderId="0" xfId="0" applyFont="1" applyFill="1" applyAlignment="1">
      <alignment horizontal="right" vertical="top" wrapText="1"/>
    </xf>
    <xf numFmtId="0" fontId="6" fillId="2" borderId="27" xfId="0" applyFont="1" applyFill="1" applyBorder="1" applyAlignment="1">
      <alignment vertical="center" wrapText="1"/>
    </xf>
    <xf numFmtId="0" fontId="49" fillId="21" borderId="0" xfId="0" applyFont="1" applyFill="1" applyAlignment="1">
      <alignment horizontal="center" vertical="center" wrapText="1"/>
    </xf>
    <xf numFmtId="0" fontId="49" fillId="21" borderId="0" xfId="0" applyFont="1" applyFill="1" applyAlignment="1">
      <alignment horizontal="left" vertical="center"/>
    </xf>
    <xf numFmtId="0" fontId="50" fillId="21" borderId="0" xfId="0" applyFont="1" applyFill="1" applyAlignment="1">
      <alignment horizontal="left" vertical="center"/>
    </xf>
    <xf numFmtId="0" fontId="26" fillId="0" borderId="31" xfId="0" applyFont="1" applyBorder="1" applyAlignment="1">
      <alignment vertical="top" wrapText="1"/>
    </xf>
    <xf numFmtId="0" fontId="30" fillId="8" borderId="30" xfId="0" applyFont="1" applyFill="1" applyBorder="1" applyAlignment="1">
      <alignment horizontal="center" vertical="center" wrapText="1"/>
    </xf>
    <xf numFmtId="0" fontId="48" fillId="8" borderId="31" xfId="0" applyFont="1" applyFill="1" applyBorder="1" applyAlignment="1">
      <alignment vertical="top" wrapText="1"/>
    </xf>
    <xf numFmtId="0" fontId="30" fillId="8" borderId="31" xfId="0" applyFont="1" applyFill="1" applyBorder="1" applyAlignment="1">
      <alignment vertical="top" wrapText="1"/>
    </xf>
    <xf numFmtId="0" fontId="30" fillId="22" borderId="31" xfId="0" applyFont="1" applyFill="1" applyBorder="1" applyAlignment="1">
      <alignment horizontal="left" vertical="top" wrapText="1"/>
    </xf>
    <xf numFmtId="0" fontId="34" fillId="9" borderId="31" xfId="0" applyFont="1" applyFill="1" applyBorder="1" applyAlignment="1">
      <alignment horizontal="left" vertical="top" wrapText="1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top" wrapText="1"/>
    </xf>
    <xf numFmtId="166" fontId="26" fillId="0" borderId="0" xfId="0" applyNumberFormat="1" applyFont="1" applyAlignment="1">
      <alignment horizontal="center" vertical="top" wrapText="1"/>
    </xf>
    <xf numFmtId="0" fontId="26" fillId="21" borderId="0" xfId="0" applyFont="1" applyFill="1" applyAlignment="1">
      <alignment vertical="center" wrapText="1"/>
    </xf>
    <xf numFmtId="9" fontId="30" fillId="9" borderId="0" xfId="1" applyFont="1" applyFill="1" applyAlignment="1">
      <alignment horizontal="right" vertical="center" wrapText="1"/>
    </xf>
    <xf numFmtId="0" fontId="34" fillId="9" borderId="0" xfId="0" applyFont="1" applyFill="1" applyAlignment="1">
      <alignment horizontal="right" vertical="center" wrapText="1"/>
    </xf>
    <xf numFmtId="0" fontId="30" fillId="18" borderId="60" xfId="0" applyFont="1" applyFill="1" applyBorder="1" applyAlignment="1">
      <alignment vertical="center" wrapText="1"/>
    </xf>
    <xf numFmtId="0" fontId="30" fillId="18" borderId="61" xfId="0" applyFont="1" applyFill="1" applyBorder="1" applyAlignment="1">
      <alignment vertical="center" wrapText="1"/>
    </xf>
    <xf numFmtId="0" fontId="31" fillId="0" borderId="30" xfId="0" applyFont="1" applyBorder="1" applyAlignment="1">
      <alignment vertical="center" wrapText="1"/>
    </xf>
    <xf numFmtId="0" fontId="26" fillId="0" borderId="31" xfId="0" applyFont="1" applyBorder="1" applyAlignment="1">
      <alignment vertical="center" wrapText="1"/>
    </xf>
    <xf numFmtId="0" fontId="30" fillId="15" borderId="3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30" fillId="18" borderId="62" xfId="0" applyFont="1" applyFill="1" applyBorder="1" applyAlignment="1">
      <alignment vertical="center" wrapText="1"/>
    </xf>
    <xf numFmtId="0" fontId="30" fillId="18" borderId="33" xfId="0" applyFont="1" applyFill="1" applyBorder="1" applyAlignment="1">
      <alignment vertical="center" wrapText="1"/>
    </xf>
    <xf numFmtId="0" fontId="48" fillId="26" borderId="33" xfId="0" applyFont="1" applyFill="1" applyBorder="1" applyAlignment="1">
      <alignment horizontal="left" vertical="center" wrapText="1"/>
    </xf>
    <xf numFmtId="0" fontId="44" fillId="9" borderId="33" xfId="0" applyFont="1" applyFill="1" applyBorder="1" applyAlignment="1">
      <alignment horizontal="left" vertical="center" wrapText="1"/>
    </xf>
    <xf numFmtId="0" fontId="34" fillId="9" borderId="33" xfId="0" applyFont="1" applyFill="1" applyBorder="1" applyAlignment="1">
      <alignment horizontal="left" vertical="center" wrapText="1"/>
    </xf>
    <xf numFmtId="14" fontId="26" fillId="0" borderId="31" xfId="0" applyNumberFormat="1" applyFont="1" applyBorder="1" applyAlignment="1">
      <alignment vertical="top" wrapText="1"/>
    </xf>
    <xf numFmtId="0" fontId="52" fillId="5" borderId="0" xfId="0" applyFont="1" applyFill="1" applyAlignment="1">
      <alignment vertical="center"/>
    </xf>
    <xf numFmtId="165" fontId="53" fillId="5" borderId="0" xfId="0" applyNumberFormat="1" applyFont="1" applyFill="1" applyAlignment="1">
      <alignment horizontal="center" vertical="center"/>
    </xf>
    <xf numFmtId="165" fontId="2" fillId="5" borderId="0" xfId="0" applyNumberFormat="1" applyFont="1" applyFill="1" applyAlignment="1">
      <alignment horizontal="center" vertical="center"/>
    </xf>
    <xf numFmtId="15" fontId="2" fillId="5" borderId="0" xfId="0" applyNumberFormat="1" applyFont="1" applyFill="1" applyAlignment="1">
      <alignment horizontal="center" vertical="center"/>
    </xf>
    <xf numFmtId="0" fontId="54" fillId="6" borderId="19" xfId="0" applyFont="1" applyFill="1" applyBorder="1" applyAlignment="1">
      <alignment horizontal="left" vertical="center" wrapText="1"/>
    </xf>
    <xf numFmtId="0" fontId="54" fillId="6" borderId="0" xfId="0" applyFont="1" applyFill="1" applyAlignment="1">
      <alignment horizontal="left" vertical="center" wrapText="1"/>
    </xf>
    <xf numFmtId="0" fontId="54" fillId="6" borderId="0" xfId="0" applyFont="1" applyFill="1" applyAlignment="1">
      <alignment horizontal="center" vertical="center" wrapText="1"/>
    </xf>
    <xf numFmtId="0" fontId="55" fillId="6" borderId="0" xfId="0" applyFont="1" applyFill="1" applyAlignment="1">
      <alignment horizontal="center" vertical="center" wrapText="1"/>
    </xf>
    <xf numFmtId="1" fontId="55" fillId="6" borderId="0" xfId="0" applyNumberFormat="1" applyFont="1" applyFill="1" applyAlignment="1">
      <alignment horizontal="center" vertical="center" wrapText="1"/>
    </xf>
    <xf numFmtId="0" fontId="55" fillId="6" borderId="19" xfId="0" applyFont="1" applyFill="1" applyBorder="1" applyAlignment="1">
      <alignment horizontal="left" vertical="center" wrapText="1"/>
    </xf>
    <xf numFmtId="165" fontId="54" fillId="6" borderId="30" xfId="0" applyNumberFormat="1" applyFont="1" applyFill="1" applyBorder="1" applyAlignment="1">
      <alignment horizontal="center" vertical="center" wrapText="1"/>
    </xf>
    <xf numFmtId="0" fontId="56" fillId="6" borderId="27" xfId="0" applyFont="1" applyFill="1" applyBorder="1" applyAlignment="1">
      <alignment horizontal="left" vertical="center" wrapText="1"/>
    </xf>
    <xf numFmtId="164" fontId="56" fillId="6" borderId="27" xfId="0" applyNumberFormat="1" applyFont="1" applyFill="1" applyBorder="1" applyAlignment="1">
      <alignment horizontal="left" vertical="center" wrapText="1"/>
    </xf>
    <xf numFmtId="165" fontId="55" fillId="6" borderId="5" xfId="0" applyNumberFormat="1" applyFont="1" applyFill="1" applyBorder="1" applyAlignment="1">
      <alignment horizontal="center" vertical="center" wrapText="1"/>
    </xf>
    <xf numFmtId="1" fontId="55" fillId="6" borderId="20" xfId="0" applyNumberFormat="1" applyFont="1" applyFill="1" applyBorder="1" applyAlignment="1">
      <alignment horizontal="center" vertical="center" wrapText="1"/>
    </xf>
    <xf numFmtId="165" fontId="55" fillId="6" borderId="20" xfId="0" applyNumberFormat="1" applyFont="1" applyFill="1" applyBorder="1" applyAlignment="1">
      <alignment horizontal="center" vertical="center" wrapText="1"/>
    </xf>
    <xf numFmtId="15" fontId="55" fillId="6" borderId="20" xfId="0" applyNumberFormat="1" applyFont="1" applyFill="1" applyBorder="1" applyAlignment="1">
      <alignment horizontal="center" vertical="center" wrapText="1"/>
    </xf>
    <xf numFmtId="15" fontId="55" fillId="6" borderId="21" xfId="0" applyNumberFormat="1" applyFont="1" applyFill="1" applyBorder="1" applyAlignment="1">
      <alignment horizontal="center" vertical="center" wrapText="1"/>
    </xf>
    <xf numFmtId="1" fontId="3" fillId="2" borderId="30" xfId="0" applyNumberFormat="1" applyFont="1" applyFill="1" applyBorder="1" applyAlignment="1">
      <alignment horizontal="center" vertical="center" wrapText="1"/>
    </xf>
    <xf numFmtId="15" fontId="2" fillId="2" borderId="30" xfId="0" applyNumberFormat="1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left" wrapText="1"/>
    </xf>
    <xf numFmtId="1" fontId="3" fillId="7" borderId="31" xfId="0" applyNumberFormat="1" applyFont="1" applyFill="1" applyBorder="1" applyAlignment="1">
      <alignment horizontal="center" vertical="center" wrapText="1"/>
    </xf>
    <xf numFmtId="165" fontId="2" fillId="7" borderId="31" xfId="0" applyNumberFormat="1" applyFont="1" applyFill="1" applyBorder="1" applyAlignment="1">
      <alignment horizontal="center" vertical="center" wrapText="1"/>
    </xf>
    <xf numFmtId="15" fontId="2" fillId="7" borderId="31" xfId="0" applyNumberFormat="1" applyFont="1" applyFill="1" applyBorder="1" applyAlignment="1">
      <alignment horizontal="center" vertical="center" wrapText="1"/>
    </xf>
    <xf numFmtId="1" fontId="3" fillId="7" borderId="3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1" fontId="3" fillId="7" borderId="64" xfId="0" applyNumberFormat="1" applyFont="1" applyFill="1" applyBorder="1" applyAlignment="1">
      <alignment horizontal="center" vertical="center" wrapText="1"/>
    </xf>
    <xf numFmtId="1" fontId="3" fillId="2" borderId="31" xfId="0" applyNumberFormat="1" applyFont="1" applyFill="1" applyBorder="1" applyAlignment="1">
      <alignment horizontal="center" vertical="center" wrapText="1"/>
    </xf>
    <xf numFmtId="165" fontId="2" fillId="2" borderId="31" xfId="0" applyNumberFormat="1" applyFont="1" applyFill="1" applyBorder="1" applyAlignment="1">
      <alignment horizontal="center" vertical="center" wrapText="1"/>
    </xf>
    <xf numFmtId="15" fontId="2" fillId="2" borderId="31" xfId="0" applyNumberFormat="1" applyFont="1" applyFill="1" applyBorder="1" applyAlignment="1">
      <alignment horizontal="center" vertical="center" wrapText="1"/>
    </xf>
    <xf numFmtId="165" fontId="2" fillId="5" borderId="0" xfId="0" applyNumberFormat="1" applyFont="1" applyFill="1" applyAlignment="1">
      <alignment horizontal="center" vertical="center" wrapText="1"/>
    </xf>
    <xf numFmtId="165" fontId="2" fillId="0" borderId="31" xfId="0" applyNumberFormat="1" applyFont="1" applyFill="1" applyBorder="1" applyAlignment="1">
      <alignment horizontal="left" vertical="center" wrapText="1"/>
    </xf>
    <xf numFmtId="0" fontId="47" fillId="0" borderId="0" xfId="2" applyAlignment="1">
      <alignment vertical="center"/>
    </xf>
    <xf numFmtId="165" fontId="2" fillId="5" borderId="0" xfId="0" applyNumberFormat="1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vertical="center" wrapText="1"/>
    </xf>
    <xf numFmtId="0" fontId="2" fillId="5" borderId="0" xfId="0" applyFont="1" applyFill="1" applyBorder="1" applyAlignment="1">
      <alignment vertical="center"/>
    </xf>
    <xf numFmtId="165" fontId="53" fillId="5" borderId="0" xfId="0" applyNumberFormat="1" applyFont="1" applyFill="1" applyBorder="1" applyAlignment="1">
      <alignment horizontal="center" vertical="center"/>
    </xf>
    <xf numFmtId="165" fontId="47" fillId="0" borderId="31" xfId="2" applyNumberFormat="1" applyFill="1" applyBorder="1" applyAlignment="1">
      <alignment horizontal="left" vertical="center" wrapText="1"/>
    </xf>
    <xf numFmtId="165" fontId="57" fillId="0" borderId="31" xfId="2" applyNumberFormat="1" applyFont="1" applyFill="1" applyBorder="1" applyAlignment="1">
      <alignment horizontal="left" vertical="center" wrapText="1"/>
    </xf>
    <xf numFmtId="165" fontId="2" fillId="2" borderId="65" xfId="0" applyNumberFormat="1" applyFont="1" applyFill="1" applyBorder="1" applyAlignment="1">
      <alignment horizontal="left" vertical="center" wrapText="1"/>
    </xf>
    <xf numFmtId="165" fontId="2" fillId="7" borderId="66" xfId="0" applyNumberFormat="1" applyFont="1" applyFill="1" applyBorder="1" applyAlignment="1">
      <alignment horizontal="left" vertical="center" wrapText="1"/>
    </xf>
    <xf numFmtId="165" fontId="2" fillId="2" borderId="66" xfId="0" applyNumberFormat="1" applyFont="1" applyFill="1" applyBorder="1" applyAlignment="1">
      <alignment horizontal="left" vertical="center" wrapText="1"/>
    </xf>
    <xf numFmtId="165" fontId="2" fillId="7" borderId="67" xfId="0" applyNumberFormat="1" applyFont="1" applyFill="1" applyBorder="1" applyAlignment="1">
      <alignment horizontal="left" vertical="center" wrapText="1"/>
    </xf>
    <xf numFmtId="0" fontId="2" fillId="0" borderId="31" xfId="0" applyFont="1" applyFill="1" applyBorder="1" applyAlignment="1">
      <alignment vertical="center"/>
    </xf>
    <xf numFmtId="0" fontId="2" fillId="0" borderId="31" xfId="0" applyFont="1" applyFill="1" applyBorder="1" applyAlignment="1">
      <alignment vertical="center" wrapText="1"/>
    </xf>
    <xf numFmtId="0" fontId="47" fillId="0" borderId="31" xfId="2" applyFill="1" applyBorder="1" applyAlignment="1">
      <alignment vertical="center"/>
    </xf>
    <xf numFmtId="0" fontId="57" fillId="0" borderId="31" xfId="2" applyFont="1" applyFill="1" applyBorder="1" applyAlignment="1">
      <alignment vertical="center"/>
    </xf>
    <xf numFmtId="1" fontId="3" fillId="7" borderId="34" xfId="0" applyNumberFormat="1" applyFont="1" applyFill="1" applyBorder="1" applyAlignment="1">
      <alignment horizontal="center" vertical="center" wrapText="1"/>
    </xf>
    <xf numFmtId="1" fontId="3" fillId="2" borderId="68" xfId="0" applyNumberFormat="1" applyFont="1" applyFill="1" applyBorder="1" applyAlignment="1">
      <alignment horizontal="center" vertical="center" wrapText="1"/>
    </xf>
    <xf numFmtId="15" fontId="2" fillId="7" borderId="66" xfId="0" applyNumberFormat="1" applyFont="1" applyFill="1" applyBorder="1" applyAlignment="1">
      <alignment horizontal="center" vertical="center" wrapText="1"/>
    </xf>
    <xf numFmtId="15" fontId="2" fillId="2" borderId="66" xfId="0" applyNumberFormat="1" applyFont="1" applyFill="1" applyBorder="1" applyAlignment="1">
      <alignment horizontal="center" vertical="center" wrapText="1"/>
    </xf>
    <xf numFmtId="165" fontId="2" fillId="5" borderId="0" xfId="0" applyNumberFormat="1" applyFont="1" applyFill="1" applyBorder="1" applyAlignment="1">
      <alignment horizontal="center" vertical="center" wrapText="1"/>
    </xf>
    <xf numFmtId="15" fontId="2" fillId="5" borderId="0" xfId="0" applyNumberFormat="1" applyFont="1" applyFill="1" applyBorder="1" applyAlignment="1">
      <alignment horizontal="center" vertical="center" wrapText="1"/>
    </xf>
    <xf numFmtId="15" fontId="2" fillId="2" borderId="65" xfId="0" applyNumberFormat="1" applyFont="1" applyFill="1" applyBorder="1" applyAlignment="1">
      <alignment horizontal="center" vertical="center" wrapText="1"/>
    </xf>
    <xf numFmtId="15" fontId="2" fillId="2" borderId="70" xfId="0" applyNumberFormat="1" applyFont="1" applyFill="1" applyBorder="1" applyAlignment="1">
      <alignment horizontal="center" vertical="center" wrapText="1"/>
    </xf>
    <xf numFmtId="15" fontId="2" fillId="7" borderId="65" xfId="0" applyNumberFormat="1" applyFont="1" applyFill="1" applyBorder="1" applyAlignment="1">
      <alignment horizontal="center" vertical="center" wrapText="1"/>
    </xf>
    <xf numFmtId="15" fontId="2" fillId="7" borderId="71" xfId="0" applyNumberFormat="1" applyFont="1" applyFill="1" applyBorder="1" applyAlignment="1">
      <alignment horizontal="center" vertical="center" wrapText="1"/>
    </xf>
    <xf numFmtId="15" fontId="2" fillId="2" borderId="33" xfId="0" applyNumberFormat="1" applyFont="1" applyFill="1" applyBorder="1" applyAlignment="1">
      <alignment horizontal="center" vertical="center" wrapText="1"/>
    </xf>
    <xf numFmtId="165" fontId="2" fillId="2" borderId="33" xfId="0" applyNumberFormat="1" applyFont="1" applyFill="1" applyBorder="1" applyAlignment="1">
      <alignment horizontal="center" vertical="center" wrapText="1"/>
    </xf>
    <xf numFmtId="1" fontId="3" fillId="2" borderId="69" xfId="0" applyNumberFormat="1" applyFont="1" applyFill="1" applyBorder="1" applyAlignment="1">
      <alignment horizontal="center" vertical="center" wrapText="1"/>
    </xf>
    <xf numFmtId="1" fontId="3" fillId="2" borderId="33" xfId="0" applyNumberFormat="1" applyFont="1" applyFill="1" applyBorder="1" applyAlignment="1">
      <alignment horizontal="center" vertical="center" wrapText="1"/>
    </xf>
    <xf numFmtId="165" fontId="2" fillId="7" borderId="32" xfId="0" applyNumberFormat="1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wrapText="1"/>
    </xf>
    <xf numFmtId="0" fontId="37" fillId="9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58" fillId="5" borderId="0" xfId="0" applyFont="1" applyFill="1" applyAlignment="1">
      <alignment vertical="center"/>
    </xf>
    <xf numFmtId="0" fontId="1" fillId="5" borderId="0" xfId="0" applyFont="1" applyFill="1"/>
    <xf numFmtId="0" fontId="47" fillId="2" borderId="27" xfId="2" applyFill="1" applyBorder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1" fillId="2" borderId="72" xfId="0" applyFont="1" applyFill="1" applyBorder="1" applyAlignment="1">
      <alignment vertical="center" wrapText="1"/>
    </xf>
    <xf numFmtId="0" fontId="6" fillId="2" borderId="72" xfId="0" applyFont="1" applyFill="1" applyBorder="1" applyAlignment="1">
      <alignment vertical="center" wrapText="1"/>
    </xf>
    <xf numFmtId="0" fontId="4" fillId="27" borderId="37" xfId="0" applyFont="1" applyFill="1" applyBorder="1" applyAlignment="1">
      <alignment horizontal="center" vertical="center" wrapText="1"/>
    </xf>
    <xf numFmtId="0" fontId="4" fillId="27" borderId="38" xfId="0" applyFont="1" applyFill="1" applyBorder="1" applyAlignment="1">
      <alignment horizontal="center" vertical="center" wrapText="1"/>
    </xf>
    <xf numFmtId="0" fontId="4" fillId="27" borderId="39" xfId="0" applyFont="1" applyFill="1" applyBorder="1" applyAlignment="1">
      <alignment horizontal="center" vertical="center" wrapText="1"/>
    </xf>
    <xf numFmtId="0" fontId="4" fillId="27" borderId="0" xfId="0" applyFont="1" applyFill="1" applyBorder="1" applyAlignment="1">
      <alignment horizontal="center" vertical="center" wrapText="1"/>
    </xf>
    <xf numFmtId="0" fontId="1" fillId="27" borderId="0" xfId="0" applyFont="1" applyFill="1" applyBorder="1" applyAlignment="1">
      <alignment vertical="center"/>
    </xf>
    <xf numFmtId="0" fontId="4" fillId="27" borderId="27" xfId="0" applyFont="1" applyFill="1" applyBorder="1" applyAlignment="1">
      <alignment horizontal="center" vertical="center" wrapText="1"/>
    </xf>
    <xf numFmtId="0" fontId="1" fillId="27" borderId="0" xfId="0" applyFont="1" applyFill="1" applyBorder="1" applyAlignment="1"/>
    <xf numFmtId="0" fontId="1" fillId="2" borderId="0" xfId="0" applyFont="1" applyFill="1" applyBorder="1" applyAlignment="1">
      <alignment vertical="center"/>
    </xf>
    <xf numFmtId="0" fontId="1" fillId="25" borderId="72" xfId="0" applyFont="1" applyFill="1" applyBorder="1" applyAlignment="1">
      <alignment vertical="center" wrapText="1"/>
    </xf>
    <xf numFmtId="0" fontId="1" fillId="25" borderId="36" xfId="0" applyFont="1" applyFill="1" applyBorder="1" applyAlignment="1">
      <alignment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0" fontId="4" fillId="0" borderId="39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25" borderId="58" xfId="0" applyFont="1" applyFill="1" applyBorder="1" applyAlignment="1">
      <alignment horizontal="center" vertical="center" wrapText="1"/>
    </xf>
    <xf numFmtId="0" fontId="4" fillId="25" borderId="37" xfId="0" applyFont="1" applyFill="1" applyBorder="1" applyAlignment="1">
      <alignment horizontal="center" vertical="center" wrapText="1"/>
    </xf>
    <xf numFmtId="0" fontId="4" fillId="25" borderId="38" xfId="0" applyFont="1" applyFill="1" applyBorder="1" applyAlignment="1">
      <alignment horizontal="center" vertical="center" wrapText="1"/>
    </xf>
    <xf numFmtId="0" fontId="4" fillId="25" borderId="39" xfId="0" applyFont="1" applyFill="1" applyBorder="1" applyAlignment="1">
      <alignment horizontal="center" vertical="center" wrapText="1"/>
    </xf>
    <xf numFmtId="0" fontId="4" fillId="25" borderId="0" xfId="0" applyFont="1" applyFill="1" applyBorder="1" applyAlignment="1">
      <alignment horizontal="center" vertical="center" wrapText="1"/>
    </xf>
    <xf numFmtId="0" fontId="51" fillId="27" borderId="0" xfId="2" applyFont="1" applyFill="1" applyBorder="1" applyAlignment="1">
      <alignment vertical="center" wrapText="1"/>
    </xf>
    <xf numFmtId="0" fontId="60" fillId="2" borderId="0" xfId="0" applyFont="1" applyFill="1" applyBorder="1" applyAlignment="1">
      <alignment wrapText="1"/>
    </xf>
    <xf numFmtId="0" fontId="1" fillId="27" borderId="0" xfId="0" applyFont="1" applyFill="1" applyBorder="1" applyAlignment="1">
      <alignment vertical="center" wrapText="1"/>
    </xf>
    <xf numFmtId="0" fontId="51" fillId="2" borderId="0" xfId="2" applyFont="1" applyFill="1" applyBorder="1" applyAlignment="1">
      <alignment vertical="center" wrapText="1"/>
    </xf>
    <xf numFmtId="0" fontId="1" fillId="2" borderId="0" xfId="0" applyFont="1" applyFill="1" applyBorder="1" applyAlignment="1">
      <alignment wrapText="1"/>
    </xf>
    <xf numFmtId="0" fontId="1" fillId="28" borderId="0" xfId="0" applyFont="1" applyFill="1" applyBorder="1" applyAlignment="1">
      <alignment vertical="center" wrapText="1"/>
    </xf>
    <xf numFmtId="0" fontId="1" fillId="28" borderId="59" xfId="0" applyFont="1" applyFill="1" applyBorder="1" applyAlignment="1">
      <alignment vertical="center"/>
    </xf>
    <xf numFmtId="0" fontId="59" fillId="28" borderId="19" xfId="2" applyFont="1" applyFill="1" applyBorder="1" applyAlignment="1">
      <alignment vertical="center" wrapText="1"/>
    </xf>
    <xf numFmtId="0" fontId="1" fillId="28" borderId="36" xfId="0" applyFont="1" applyFill="1" applyBorder="1" applyAlignment="1">
      <alignment vertical="center" wrapText="1"/>
    </xf>
    <xf numFmtId="0" fontId="6" fillId="16" borderId="27" xfId="0" applyFont="1" applyFill="1" applyBorder="1" applyAlignment="1">
      <alignment vertical="center" wrapText="1"/>
    </xf>
    <xf numFmtId="0" fontId="47" fillId="0" borderId="0" xfId="2"/>
    <xf numFmtId="0" fontId="1" fillId="29" borderId="27" xfId="0" applyFont="1" applyFill="1" applyBorder="1" applyAlignment="1">
      <alignment vertical="center" wrapText="1"/>
    </xf>
    <xf numFmtId="0" fontId="0" fillId="3" borderId="0" xfId="0" applyFont="1" applyFill="1" applyAlignment="1">
      <alignment horizontal="center" vertical="center"/>
    </xf>
    <xf numFmtId="0" fontId="39" fillId="10" borderId="0" xfId="0" applyFont="1" applyFill="1" applyAlignment="1">
      <alignment horizontal="center" vertical="center"/>
    </xf>
    <xf numFmtId="0" fontId="41" fillId="10" borderId="0" xfId="0" applyFont="1" applyFill="1" applyAlignment="1">
      <alignment vertical="center"/>
    </xf>
    <xf numFmtId="0" fontId="16" fillId="10" borderId="0" xfId="0" applyFont="1" applyFill="1" applyAlignment="1">
      <alignment horizontal="center" vertical="center"/>
    </xf>
    <xf numFmtId="0" fontId="25" fillId="10" borderId="0" xfId="0" applyFont="1" applyFill="1" applyAlignment="1">
      <alignment vertical="center"/>
    </xf>
    <xf numFmtId="0" fontId="4" fillId="10" borderId="36" xfId="0" applyFont="1" applyFill="1" applyBorder="1" applyAlignment="1">
      <alignment horizontal="center" vertical="center" wrapText="1"/>
    </xf>
    <xf numFmtId="0" fontId="1" fillId="10" borderId="0" xfId="0" applyFont="1" applyFill="1" applyBorder="1" applyAlignment="1">
      <alignment vertical="center"/>
    </xf>
    <xf numFmtId="0" fontId="1" fillId="10" borderId="0" xfId="0" applyFont="1" applyFill="1" applyBorder="1" applyAlignment="1">
      <alignment vertical="center" wrapText="1"/>
    </xf>
    <xf numFmtId="0" fontId="1" fillId="10" borderId="36" xfId="0" applyFont="1" applyFill="1" applyBorder="1" applyAlignment="1">
      <alignment vertical="center" wrapText="1"/>
    </xf>
    <xf numFmtId="0" fontId="4" fillId="10" borderId="27" xfId="0" applyFont="1" applyFill="1" applyBorder="1" applyAlignment="1">
      <alignment horizontal="center" vertical="center" wrapText="1"/>
    </xf>
    <xf numFmtId="0" fontId="4" fillId="10" borderId="58" xfId="0" applyFont="1" applyFill="1" applyBorder="1" applyAlignment="1">
      <alignment horizontal="center" vertical="center" wrapText="1"/>
    </xf>
    <xf numFmtId="0" fontId="4" fillId="10" borderId="37" xfId="0" applyFont="1" applyFill="1" applyBorder="1" applyAlignment="1">
      <alignment horizontal="center" vertical="center" wrapText="1"/>
    </xf>
    <xf numFmtId="0" fontId="4" fillId="10" borderId="38" xfId="0" applyFont="1" applyFill="1" applyBorder="1" applyAlignment="1">
      <alignment horizontal="center" vertical="center" wrapText="1"/>
    </xf>
    <xf numFmtId="0" fontId="4" fillId="10" borderId="39" xfId="0" applyFont="1" applyFill="1" applyBorder="1" applyAlignment="1">
      <alignment horizontal="center" vertical="center" wrapText="1"/>
    </xf>
    <xf numFmtId="0" fontId="4" fillId="10" borderId="0" xfId="0" applyFont="1" applyFill="1" applyBorder="1" applyAlignment="1">
      <alignment horizontal="center" vertical="center" wrapText="1"/>
    </xf>
    <xf numFmtId="0" fontId="0" fillId="10" borderId="0" xfId="0" applyFill="1"/>
    <xf numFmtId="0" fontId="1" fillId="10" borderId="27" xfId="0" quotePrefix="1" applyFont="1" applyFill="1" applyBorder="1" applyAlignment="1">
      <alignment vertical="center" wrapText="1"/>
    </xf>
    <xf numFmtId="0" fontId="6" fillId="10" borderId="27" xfId="0" applyFont="1" applyFill="1" applyBorder="1" applyAlignment="1">
      <alignment vertical="center" wrapText="1"/>
    </xf>
    <xf numFmtId="0" fontId="1" fillId="10" borderId="27" xfId="0" applyFont="1" applyFill="1" applyBorder="1" applyAlignment="1">
      <alignment vertical="center" wrapText="1"/>
    </xf>
    <xf numFmtId="164" fontId="10" fillId="6" borderId="58" xfId="0" applyNumberFormat="1" applyFont="1" applyFill="1" applyBorder="1" applyAlignment="1">
      <alignment horizontal="left" vertical="center" wrapText="1"/>
    </xf>
    <xf numFmtId="0" fontId="1" fillId="28" borderId="27" xfId="0" quotePrefix="1" applyFont="1" applyFill="1" applyBorder="1" applyAlignment="1">
      <alignment vertical="center" wrapText="1"/>
    </xf>
    <xf numFmtId="0" fontId="1" fillId="2" borderId="79" xfId="0" applyFont="1" applyFill="1" applyBorder="1" applyAlignment="1">
      <alignment vertical="center" wrapText="1"/>
    </xf>
    <xf numFmtId="0" fontId="4" fillId="2" borderId="80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6" fillId="5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" fillId="2" borderId="47" xfId="0" applyFont="1" applyFill="1" applyBorder="1" applyAlignment="1" applyProtection="1">
      <alignment horizontal="left" vertical="top" wrapText="1"/>
      <protection locked="0"/>
    </xf>
    <xf numFmtId="0" fontId="1" fillId="2" borderId="2" xfId="0" applyFont="1" applyFill="1" applyBorder="1" applyAlignment="1" applyProtection="1">
      <alignment horizontal="left" vertical="top" wrapText="1"/>
      <protection locked="0"/>
    </xf>
    <xf numFmtId="0" fontId="1" fillId="2" borderId="49" xfId="0" applyFont="1" applyFill="1" applyBorder="1" applyAlignment="1" applyProtection="1">
      <alignment horizontal="left" vertical="top" wrapText="1"/>
      <protection locked="0"/>
    </xf>
    <xf numFmtId="0" fontId="1" fillId="2" borderId="50" xfId="0" applyFont="1" applyFill="1" applyBorder="1" applyAlignment="1" applyProtection="1">
      <alignment horizontal="left" vertical="top" wrapText="1"/>
      <protection locked="0"/>
    </xf>
    <xf numFmtId="0" fontId="1" fillId="2" borderId="19" xfId="0" applyFont="1" applyFill="1" applyBorder="1" applyAlignment="1" applyProtection="1">
      <alignment horizontal="left" vertical="top" wrapText="1"/>
      <protection locked="0"/>
    </xf>
    <xf numFmtId="0" fontId="1" fillId="2" borderId="0" xfId="0" applyFont="1" applyFill="1" applyBorder="1" applyAlignment="1" applyProtection="1">
      <alignment horizontal="left" vertical="top" wrapText="1"/>
      <protection locked="0"/>
    </xf>
    <xf numFmtId="0" fontId="1" fillId="2" borderId="59" xfId="0" applyFont="1" applyFill="1" applyBorder="1" applyAlignment="1" applyProtection="1">
      <alignment horizontal="left" vertical="top" wrapText="1"/>
      <protection locked="0"/>
    </xf>
    <xf numFmtId="0" fontId="1" fillId="2" borderId="52" xfId="0" applyFont="1" applyFill="1" applyBorder="1" applyAlignment="1" applyProtection="1">
      <alignment horizontal="left" vertical="top" wrapText="1"/>
      <protection locked="0"/>
    </xf>
    <xf numFmtId="0" fontId="1" fillId="2" borderId="51" xfId="0" applyFont="1" applyFill="1" applyBorder="1" applyAlignment="1" applyProtection="1">
      <alignment horizontal="left" vertical="top" wrapText="1"/>
      <protection locked="0"/>
    </xf>
    <xf numFmtId="0" fontId="19" fillId="23" borderId="16" xfId="0" applyFont="1" applyFill="1" applyBorder="1" applyAlignment="1">
      <alignment horizontal="center" vertical="center" wrapText="1"/>
    </xf>
    <xf numFmtId="0" fontId="19" fillId="23" borderId="17" xfId="0" applyFont="1" applyFill="1" applyBorder="1" applyAlignment="1">
      <alignment horizontal="center" vertical="center" wrapText="1"/>
    </xf>
    <xf numFmtId="0" fontId="19" fillId="23" borderId="18" xfId="0" applyFont="1" applyFill="1" applyBorder="1" applyAlignment="1">
      <alignment horizontal="center" vertical="center" wrapText="1"/>
    </xf>
    <xf numFmtId="0" fontId="19" fillId="23" borderId="45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 applyProtection="1">
      <alignment horizontal="left" vertical="top" wrapText="1"/>
      <protection locked="0"/>
    </xf>
    <xf numFmtId="0" fontId="6" fillId="2" borderId="24" xfId="0" applyFont="1" applyFill="1" applyBorder="1" applyAlignment="1" applyProtection="1">
      <alignment horizontal="left" vertical="top"/>
      <protection locked="0"/>
    </xf>
    <xf numFmtId="0" fontId="6" fillId="2" borderId="9" xfId="0" applyFont="1" applyFill="1" applyBorder="1" applyAlignment="1" applyProtection="1">
      <alignment horizontal="left" vertical="top"/>
      <protection locked="0"/>
    </xf>
    <xf numFmtId="15" fontId="45" fillId="3" borderId="24" xfId="0" applyNumberFormat="1" applyFont="1" applyFill="1" applyBorder="1" applyAlignment="1" applyProtection="1">
      <alignment horizontal="center" vertical="center"/>
      <protection locked="0"/>
    </xf>
    <xf numFmtId="15" fontId="45" fillId="3" borderId="9" xfId="0" applyNumberFormat="1" applyFont="1" applyFill="1" applyBorder="1" applyAlignment="1" applyProtection="1">
      <alignment horizontal="center" vertical="center"/>
      <protection locked="0"/>
    </xf>
    <xf numFmtId="15" fontId="45" fillId="3" borderId="22" xfId="0" applyNumberFormat="1" applyFont="1" applyFill="1" applyBorder="1" applyAlignment="1" applyProtection="1">
      <alignment horizontal="center" vertical="center"/>
      <protection locked="0"/>
    </xf>
    <xf numFmtId="0" fontId="19" fillId="23" borderId="4" xfId="0" applyFont="1" applyFill="1" applyBorder="1" applyAlignment="1" applyProtection="1">
      <alignment horizontal="center" vertical="center"/>
    </xf>
    <xf numFmtId="0" fontId="19" fillId="23" borderId="2" xfId="0" applyFont="1" applyFill="1" applyBorder="1" applyAlignment="1" applyProtection="1">
      <alignment horizontal="center" vertical="center"/>
    </xf>
    <xf numFmtId="0" fontId="19" fillId="23" borderId="5" xfId="0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left" vertical="center"/>
    </xf>
    <xf numFmtId="0" fontId="6" fillId="2" borderId="22" xfId="0" applyFont="1" applyFill="1" applyBorder="1" applyAlignment="1" applyProtection="1">
      <alignment horizontal="left" vertical="top"/>
      <protection locked="0"/>
    </xf>
    <xf numFmtId="0" fontId="1" fillId="2" borderId="4" xfId="0" applyFont="1" applyFill="1" applyBorder="1" applyAlignment="1" applyProtection="1">
      <alignment horizontal="left" vertical="center" wrapText="1"/>
      <protection locked="0"/>
    </xf>
    <xf numFmtId="0" fontId="1" fillId="2" borderId="2" xfId="0" applyFont="1" applyFill="1" applyBorder="1" applyAlignment="1" applyProtection="1">
      <alignment horizontal="left" vertical="center" wrapText="1"/>
      <protection locked="0"/>
    </xf>
    <xf numFmtId="0" fontId="1" fillId="2" borderId="5" xfId="0" applyFont="1" applyFill="1" applyBorder="1" applyAlignment="1" applyProtection="1">
      <alignment horizontal="left" vertical="center" wrapText="1"/>
      <protection locked="0"/>
    </xf>
    <xf numFmtId="0" fontId="1" fillId="2" borderId="6" xfId="0" applyFont="1" applyFill="1" applyBorder="1" applyAlignment="1" applyProtection="1">
      <alignment horizontal="left" vertical="center" wrapText="1"/>
      <protection locked="0"/>
    </xf>
    <xf numFmtId="0" fontId="1" fillId="2" borderId="3" xfId="0" applyFont="1" applyFill="1" applyBorder="1" applyAlignment="1" applyProtection="1">
      <alignment horizontal="left" vertical="center" wrapText="1"/>
      <protection locked="0"/>
    </xf>
    <xf numFmtId="0" fontId="1" fillId="2" borderId="7" xfId="0" applyFont="1" applyFill="1" applyBorder="1" applyAlignment="1" applyProtection="1">
      <alignment horizontal="left" vertical="center" wrapText="1"/>
      <protection locked="0"/>
    </xf>
    <xf numFmtId="0" fontId="1" fillId="2" borderId="4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166" fontId="3" fillId="2" borderId="14" xfId="0" applyNumberFormat="1" applyFont="1" applyFill="1" applyBorder="1" applyAlignment="1" applyProtection="1">
      <alignment horizontal="center" vertical="center"/>
      <protection locked="0"/>
    </xf>
    <xf numFmtId="166" fontId="3" fillId="2" borderId="10" xfId="0" applyNumberFormat="1" applyFont="1" applyFill="1" applyBorder="1" applyAlignment="1" applyProtection="1">
      <alignment horizontal="center" vertical="center"/>
      <protection locked="0"/>
    </xf>
    <xf numFmtId="166" fontId="3" fillId="2" borderId="11" xfId="0" applyNumberFormat="1" applyFont="1" applyFill="1" applyBorder="1" applyAlignment="1" applyProtection="1">
      <alignment horizontal="center" vertical="center"/>
      <protection locked="0"/>
    </xf>
    <xf numFmtId="166" fontId="33" fillId="2" borderId="4" xfId="0" applyNumberFormat="1" applyFont="1" applyFill="1" applyBorder="1" applyAlignment="1" applyProtection="1">
      <alignment horizontal="center" vertical="center"/>
      <protection locked="0"/>
    </xf>
    <xf numFmtId="166" fontId="33" fillId="2" borderId="2" xfId="0" applyNumberFormat="1" applyFont="1" applyFill="1" applyBorder="1" applyAlignment="1" applyProtection="1">
      <alignment horizontal="center" vertical="center"/>
      <protection locked="0"/>
    </xf>
    <xf numFmtId="166" fontId="33" fillId="2" borderId="5" xfId="0" applyNumberFormat="1" applyFont="1" applyFill="1" applyBorder="1" applyAlignment="1" applyProtection="1">
      <alignment horizontal="center" vertical="center"/>
      <protection locked="0"/>
    </xf>
    <xf numFmtId="166" fontId="33" fillId="2" borderId="6" xfId="0" applyNumberFormat="1" applyFont="1" applyFill="1" applyBorder="1" applyAlignment="1" applyProtection="1">
      <alignment horizontal="center" vertical="center"/>
      <protection locked="0"/>
    </xf>
    <xf numFmtId="166" fontId="33" fillId="2" borderId="3" xfId="0" applyNumberFormat="1" applyFont="1" applyFill="1" applyBorder="1" applyAlignment="1" applyProtection="1">
      <alignment horizontal="center" vertical="center"/>
      <protection locked="0"/>
    </xf>
    <xf numFmtId="166" fontId="33" fillId="2" borderId="7" xfId="0" applyNumberFormat="1" applyFont="1" applyFill="1" applyBorder="1" applyAlignment="1" applyProtection="1">
      <alignment horizontal="center" vertical="center"/>
      <protection locked="0"/>
    </xf>
    <xf numFmtId="167" fontId="2" fillId="2" borderId="1" xfId="0" applyNumberFormat="1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left" vertical="center"/>
    </xf>
    <xf numFmtId="18" fontId="1" fillId="2" borderId="14" xfId="0" applyNumberFormat="1" applyFont="1" applyFill="1" applyBorder="1" applyAlignment="1" applyProtection="1">
      <alignment horizontal="left" vertical="center"/>
      <protection locked="0"/>
    </xf>
    <xf numFmtId="18" fontId="1" fillId="2" borderId="10" xfId="0" applyNumberFormat="1" applyFont="1" applyFill="1" applyBorder="1" applyAlignment="1" applyProtection="1">
      <alignment horizontal="left" vertical="center"/>
      <protection locked="0"/>
    </xf>
    <xf numFmtId="18" fontId="1" fillId="2" borderId="11" xfId="0" applyNumberFormat="1" applyFont="1" applyFill="1" applyBorder="1" applyAlignment="1" applyProtection="1">
      <alignment horizontal="left" vertical="center"/>
      <protection locked="0"/>
    </xf>
    <xf numFmtId="0" fontId="5" fillId="2" borderId="4" xfId="0" applyFont="1" applyFill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left" vertical="center"/>
      <protection locked="0"/>
    </xf>
    <xf numFmtId="0" fontId="5" fillId="2" borderId="46" xfId="0" applyFont="1" applyFill="1" applyBorder="1" applyAlignment="1" applyProtection="1">
      <alignment horizontal="left" vertical="center"/>
      <protection locked="0"/>
    </xf>
    <xf numFmtId="166" fontId="24" fillId="3" borderId="15" xfId="0" applyNumberFormat="1" applyFont="1" applyFill="1" applyBorder="1" applyAlignment="1" applyProtection="1">
      <alignment horizontal="center" vertical="center"/>
      <protection locked="0"/>
    </xf>
    <xf numFmtId="166" fontId="24" fillId="3" borderId="12" xfId="0" applyNumberFormat="1" applyFont="1" applyFill="1" applyBorder="1" applyAlignment="1" applyProtection="1">
      <alignment horizontal="center" vertical="center"/>
      <protection locked="0"/>
    </xf>
    <xf numFmtId="166" fontId="24" fillId="3" borderId="13" xfId="0" applyNumberFormat="1" applyFont="1" applyFill="1" applyBorder="1" applyAlignment="1" applyProtection="1">
      <alignment horizontal="center" vertical="center"/>
      <protection locked="0"/>
    </xf>
    <xf numFmtId="0" fontId="4" fillId="4" borderId="15" xfId="0" applyFont="1" applyFill="1" applyBorder="1" applyAlignment="1">
      <alignment horizontal="left" vertical="center"/>
    </xf>
    <xf numFmtId="0" fontId="4" fillId="4" borderId="13" xfId="0" applyFont="1" applyFill="1" applyBorder="1" applyAlignment="1">
      <alignment horizontal="left" vertical="center"/>
    </xf>
    <xf numFmtId="0" fontId="6" fillId="2" borderId="6" xfId="0" applyFont="1" applyFill="1" applyBorder="1" applyAlignment="1" applyProtection="1">
      <alignment horizontal="left" vertical="center"/>
      <protection locked="0"/>
    </xf>
    <xf numFmtId="0" fontId="6" fillId="2" borderId="3" xfId="0" applyFont="1" applyFill="1" applyBorder="1" applyAlignment="1" applyProtection="1">
      <alignment horizontal="left" vertical="center"/>
      <protection locked="0"/>
    </xf>
    <xf numFmtId="0" fontId="6" fillId="2" borderId="48" xfId="0" applyFont="1" applyFill="1" applyBorder="1" applyAlignment="1" applyProtection="1">
      <alignment horizontal="left" vertical="center"/>
      <protection locked="0"/>
    </xf>
    <xf numFmtId="0" fontId="19" fillId="23" borderId="16" xfId="0" applyFont="1" applyFill="1" applyBorder="1" applyAlignment="1">
      <alignment horizontal="center" vertical="center"/>
    </xf>
    <xf numFmtId="0" fontId="19" fillId="23" borderId="17" xfId="0" applyFont="1" applyFill="1" applyBorder="1" applyAlignment="1">
      <alignment horizontal="center" vertical="center"/>
    </xf>
    <xf numFmtId="0" fontId="19" fillId="23" borderId="18" xfId="0" applyFont="1" applyFill="1" applyBorder="1" applyAlignment="1">
      <alignment horizontal="center" vertical="center"/>
    </xf>
    <xf numFmtId="15" fontId="1" fillId="2" borderId="8" xfId="0" applyNumberFormat="1" applyFont="1" applyFill="1" applyBorder="1" applyAlignment="1" applyProtection="1">
      <alignment horizontal="left" vertical="center"/>
      <protection locked="0"/>
    </xf>
    <xf numFmtId="15" fontId="6" fillId="2" borderId="9" xfId="0" applyNumberFormat="1" applyFont="1" applyFill="1" applyBorder="1" applyAlignment="1" applyProtection="1">
      <alignment horizontal="left" vertical="center"/>
      <protection locked="0"/>
    </xf>
    <xf numFmtId="0" fontId="19" fillId="23" borderId="40" xfId="0" applyFont="1" applyFill="1" applyBorder="1" applyAlignment="1">
      <alignment horizontal="left" vertical="center" wrapText="1"/>
    </xf>
    <xf numFmtId="0" fontId="19" fillId="23" borderId="41" xfId="0" applyFont="1" applyFill="1" applyBorder="1" applyAlignment="1">
      <alignment horizontal="left" vertical="center" wrapText="1"/>
    </xf>
    <xf numFmtId="0" fontId="19" fillId="23" borderId="41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 applyProtection="1">
      <alignment horizontal="left" vertical="top" wrapText="1"/>
      <protection locked="0"/>
    </xf>
    <xf numFmtId="0" fontId="1" fillId="2" borderId="1" xfId="0" applyFont="1" applyFill="1" applyBorder="1" applyAlignment="1" applyProtection="1">
      <alignment horizontal="left" vertical="top" wrapText="1"/>
      <protection locked="0"/>
    </xf>
    <xf numFmtId="0" fontId="19" fillId="23" borderId="41" xfId="0" applyFont="1" applyFill="1" applyBorder="1" applyAlignment="1">
      <alignment horizontal="center" vertical="center"/>
    </xf>
    <xf numFmtId="0" fontId="19" fillId="23" borderId="42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 applyProtection="1">
      <alignment horizontal="left" vertical="top" wrapText="1"/>
      <protection locked="0"/>
    </xf>
    <xf numFmtId="0" fontId="18" fillId="23" borderId="41" xfId="0" applyFont="1" applyFill="1" applyBorder="1" applyAlignment="1">
      <alignment horizontal="center" vertical="center" wrapText="1"/>
    </xf>
    <xf numFmtId="0" fontId="5" fillId="2" borderId="73" xfId="0" applyFont="1" applyFill="1" applyBorder="1" applyAlignment="1" applyProtection="1">
      <alignment horizontal="left" vertical="center"/>
      <protection locked="0"/>
    </xf>
    <xf numFmtId="0" fontId="5" fillId="2" borderId="74" xfId="0" applyFont="1" applyFill="1" applyBorder="1" applyAlignment="1" applyProtection="1">
      <alignment horizontal="left" vertical="center"/>
      <protection locked="0"/>
    </xf>
    <xf numFmtId="0" fontId="5" fillId="2" borderId="75" xfId="0" applyFont="1" applyFill="1" applyBorder="1" applyAlignment="1" applyProtection="1">
      <alignment horizontal="left" vertical="center"/>
      <protection locked="0"/>
    </xf>
    <xf numFmtId="0" fontId="5" fillId="2" borderId="76" xfId="0" applyFont="1" applyFill="1" applyBorder="1" applyAlignment="1" applyProtection="1">
      <alignment horizontal="left" vertical="center"/>
      <protection locked="0"/>
    </xf>
    <xf numFmtId="0" fontId="5" fillId="2" borderId="77" xfId="0" applyFont="1" applyFill="1" applyBorder="1" applyAlignment="1" applyProtection="1">
      <alignment horizontal="left" vertical="center"/>
      <protection locked="0"/>
    </xf>
    <xf numFmtId="0" fontId="5" fillId="2" borderId="78" xfId="0" applyFont="1" applyFill="1" applyBorder="1" applyAlignment="1" applyProtection="1">
      <alignment horizontal="left" vertical="center"/>
      <protection locked="0"/>
    </xf>
    <xf numFmtId="0" fontId="4" fillId="4" borderId="8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19" fillId="23" borderId="1" xfId="0" applyFont="1" applyFill="1" applyBorder="1" applyAlignment="1">
      <alignment horizontal="center" vertical="center"/>
    </xf>
    <xf numFmtId="15" fontId="1" fillId="2" borderId="1" xfId="0" applyNumberFormat="1" applyFont="1" applyFill="1" applyBorder="1" applyAlignment="1" applyProtection="1">
      <alignment horizontal="center" vertical="center"/>
      <protection locked="0"/>
    </xf>
    <xf numFmtId="15" fontId="2" fillId="2" borderId="0" xfId="0" applyNumberFormat="1" applyFont="1" applyFill="1" applyAlignment="1">
      <alignment horizontal="center" vertical="center"/>
    </xf>
    <xf numFmtId="15" fontId="1" fillId="2" borderId="9" xfId="0" applyNumberFormat="1" applyFont="1" applyFill="1" applyBorder="1" applyAlignment="1" applyProtection="1">
      <alignment horizontal="left" vertical="center"/>
      <protection locked="0"/>
    </xf>
    <xf numFmtId="0" fontId="19" fillId="23" borderId="4" xfId="0" applyFont="1" applyFill="1" applyBorder="1" applyAlignment="1">
      <alignment horizontal="center" vertical="center" wrapText="1"/>
    </xf>
    <xf numFmtId="0" fontId="19" fillId="23" borderId="2" xfId="0" applyFont="1" applyFill="1" applyBorder="1" applyAlignment="1">
      <alignment horizontal="center" vertical="center" wrapText="1"/>
    </xf>
    <xf numFmtId="0" fontId="19" fillId="23" borderId="5" xfId="0" applyFont="1" applyFill="1" applyBorder="1" applyAlignment="1">
      <alignment horizontal="center" vertical="center" wrapText="1"/>
    </xf>
    <xf numFmtId="0" fontId="19" fillId="23" borderId="6" xfId="0" applyFont="1" applyFill="1" applyBorder="1" applyAlignment="1">
      <alignment horizontal="center" vertical="center" wrapText="1"/>
    </xf>
    <xf numFmtId="0" fontId="19" fillId="23" borderId="3" xfId="0" applyFont="1" applyFill="1" applyBorder="1" applyAlignment="1">
      <alignment horizontal="center" vertical="center" wrapText="1"/>
    </xf>
    <xf numFmtId="0" fontId="19" fillId="23" borderId="7" xfId="0" applyFont="1" applyFill="1" applyBorder="1" applyAlignment="1">
      <alignment horizontal="center" vertical="center" wrapText="1"/>
    </xf>
    <xf numFmtId="15" fontId="4" fillId="2" borderId="16" xfId="0" applyNumberFormat="1" applyFont="1" applyFill="1" applyBorder="1" applyAlignment="1" applyProtection="1">
      <alignment horizontal="center" vertical="center"/>
      <protection locked="0"/>
    </xf>
    <xf numFmtId="15" fontId="4" fillId="2" borderId="17" xfId="0" applyNumberFormat="1" applyFont="1" applyFill="1" applyBorder="1" applyAlignment="1" applyProtection="1">
      <alignment horizontal="center" vertical="center"/>
      <protection locked="0"/>
    </xf>
    <xf numFmtId="15" fontId="4" fillId="2" borderId="18" xfId="0" applyNumberFormat="1" applyFont="1" applyFill="1" applyBorder="1" applyAlignment="1" applyProtection="1">
      <alignment horizontal="center" vertical="center"/>
      <protection locked="0"/>
    </xf>
    <xf numFmtId="0" fontId="3" fillId="2" borderId="56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19" fillId="23" borderId="4" xfId="0" applyFont="1" applyFill="1" applyBorder="1" applyAlignment="1" applyProtection="1">
      <alignment horizontal="center" vertical="center" wrapText="1"/>
    </xf>
    <xf numFmtId="0" fontId="19" fillId="23" borderId="2" xfId="0" applyFont="1" applyFill="1" applyBorder="1" applyAlignment="1" applyProtection="1">
      <alignment horizontal="center" vertical="center" wrapText="1"/>
    </xf>
    <xf numFmtId="0" fontId="19" fillId="23" borderId="46" xfId="0" applyFont="1" applyFill="1" applyBorder="1" applyAlignment="1" applyProtection="1">
      <alignment horizontal="center" vertical="center" wrapText="1"/>
    </xf>
    <xf numFmtId="0" fontId="19" fillId="23" borderId="6" xfId="0" applyFont="1" applyFill="1" applyBorder="1" applyAlignment="1" applyProtection="1">
      <alignment horizontal="center" vertical="center" wrapText="1"/>
    </xf>
    <xf numFmtId="0" fontId="19" fillId="23" borderId="3" xfId="0" applyFont="1" applyFill="1" applyBorder="1" applyAlignment="1" applyProtection="1">
      <alignment horizontal="center" vertical="center" wrapText="1"/>
    </xf>
    <xf numFmtId="0" fontId="19" fillId="23" borderId="48" xfId="0" applyFont="1" applyFill="1" applyBorder="1" applyAlignment="1" applyProtection="1">
      <alignment horizontal="center" vertical="center" wrapText="1"/>
    </xf>
    <xf numFmtId="0" fontId="3" fillId="2" borderId="53" xfId="0" applyFont="1" applyFill="1" applyBorder="1" applyAlignment="1" applyProtection="1">
      <alignment horizontal="center" vertical="top" wrapText="1"/>
      <protection locked="0"/>
    </xf>
    <xf numFmtId="0" fontId="3" fillId="2" borderId="54" xfId="0" applyFont="1" applyFill="1" applyBorder="1" applyAlignment="1" applyProtection="1">
      <alignment horizontal="center" vertical="top" wrapText="1"/>
      <protection locked="0"/>
    </xf>
    <xf numFmtId="0" fontId="3" fillId="2" borderId="55" xfId="0" applyFont="1" applyFill="1" applyBorder="1" applyAlignment="1" applyProtection="1">
      <alignment horizontal="center" vertical="top" wrapText="1"/>
      <protection locked="0"/>
    </xf>
    <xf numFmtId="0" fontId="30" fillId="9" borderId="0" xfId="0" applyFont="1" applyFill="1" applyAlignment="1">
      <alignment horizontal="left" vertical="center" wrapText="1"/>
    </xf>
    <xf numFmtId="0" fontId="31" fillId="9" borderId="63" xfId="0" applyFont="1" applyFill="1" applyBorder="1" applyAlignment="1">
      <alignment horizontal="left" vertical="center" wrapText="1"/>
    </xf>
    <xf numFmtId="15" fontId="18" fillId="15" borderId="14" xfId="0" applyNumberFormat="1" applyFont="1" applyFill="1" applyBorder="1" applyAlignment="1">
      <alignment horizontal="left" vertical="top" wrapText="1"/>
    </xf>
    <xf numFmtId="15" fontId="18" fillId="15" borderId="10" xfId="0" applyNumberFormat="1" applyFont="1" applyFill="1" applyBorder="1" applyAlignment="1">
      <alignment horizontal="left" vertical="top" wrapText="1"/>
    </xf>
    <xf numFmtId="15" fontId="18" fillId="15" borderId="11" xfId="0" applyNumberFormat="1" applyFont="1" applyFill="1" applyBorder="1" applyAlignment="1">
      <alignment horizontal="left" vertical="top" wrapText="1"/>
    </xf>
    <xf numFmtId="15" fontId="18" fillId="13" borderId="14" xfId="0" applyNumberFormat="1" applyFont="1" applyFill="1" applyBorder="1" applyAlignment="1">
      <alignment horizontal="left" vertical="top" wrapText="1"/>
    </xf>
    <xf numFmtId="15" fontId="18" fillId="13" borderId="10" xfId="0" applyNumberFormat="1" applyFont="1" applyFill="1" applyBorder="1" applyAlignment="1">
      <alignment horizontal="left" vertical="top" wrapText="1"/>
    </xf>
    <xf numFmtId="15" fontId="18" fillId="13" borderId="11" xfId="0" applyNumberFormat="1" applyFont="1" applyFill="1" applyBorder="1" applyAlignment="1">
      <alignment horizontal="left" vertical="top" wrapText="1"/>
    </xf>
    <xf numFmtId="0" fontId="42" fillId="14" borderId="16" xfId="0" applyFont="1" applyFill="1" applyBorder="1" applyAlignment="1">
      <alignment horizontal="center" vertical="center"/>
    </xf>
    <xf numFmtId="0" fontId="42" fillId="14" borderId="17" xfId="0" applyFont="1" applyFill="1" applyBorder="1" applyAlignment="1">
      <alignment horizontal="center" vertical="center"/>
    </xf>
    <xf numFmtId="0" fontId="18" fillId="14" borderId="16" xfId="0" applyFont="1" applyFill="1" applyBorder="1" applyAlignment="1">
      <alignment horizontal="center" vertical="center"/>
    </xf>
    <xf numFmtId="0" fontId="18" fillId="14" borderId="17" xfId="0" applyFont="1" applyFill="1" applyBorder="1" applyAlignment="1">
      <alignment horizontal="center" vertical="center"/>
    </xf>
    <xf numFmtId="0" fontId="18" fillId="14" borderId="18" xfId="0" applyFont="1" applyFill="1" applyBorder="1" applyAlignment="1">
      <alignment horizontal="center" vertical="center"/>
    </xf>
    <xf numFmtId="15" fontId="18" fillId="6" borderId="6" xfId="0" applyNumberFormat="1" applyFont="1" applyFill="1" applyBorder="1" applyAlignment="1">
      <alignment horizontal="center" vertical="top" wrapText="1"/>
    </xf>
    <xf numFmtId="15" fontId="18" fillId="6" borderId="3" xfId="0" applyNumberFormat="1" applyFont="1" applyFill="1" applyBorder="1" applyAlignment="1">
      <alignment horizontal="center" vertical="top" wrapText="1"/>
    </xf>
    <xf numFmtId="15" fontId="18" fillId="6" borderId="7" xfId="0" applyNumberFormat="1" applyFont="1" applyFill="1" applyBorder="1" applyAlignment="1">
      <alignment horizontal="center" vertical="top" wrapText="1"/>
    </xf>
    <xf numFmtId="15" fontId="11" fillId="6" borderId="6" xfId="0" applyNumberFormat="1" applyFont="1" applyFill="1" applyBorder="1" applyAlignment="1">
      <alignment horizontal="center" vertical="top" wrapText="1"/>
    </xf>
    <xf numFmtId="15" fontId="11" fillId="6" borderId="3" xfId="0" applyNumberFormat="1" applyFont="1" applyFill="1" applyBorder="1" applyAlignment="1">
      <alignment horizontal="center" vertical="top" wrapText="1"/>
    </xf>
    <xf numFmtId="15" fontId="11" fillId="6" borderId="7" xfId="0" applyNumberFormat="1" applyFont="1" applyFill="1" applyBorder="1" applyAlignment="1">
      <alignment horizontal="center" vertical="top" wrapText="1"/>
    </xf>
    <xf numFmtId="0" fontId="36" fillId="26" borderId="0" xfId="0" applyFont="1" applyFill="1" applyAlignment="1">
      <alignment horizontal="center" vertical="center" wrapText="1"/>
    </xf>
    <xf numFmtId="15" fontId="18" fillId="14" borderId="14" xfId="0" applyNumberFormat="1" applyFont="1" applyFill="1" applyBorder="1" applyAlignment="1">
      <alignment horizontal="left" vertical="center" wrapText="1"/>
    </xf>
    <xf numFmtId="15" fontId="18" fillId="14" borderId="10" xfId="0" applyNumberFormat="1" applyFont="1" applyFill="1" applyBorder="1" applyAlignment="1">
      <alignment horizontal="left" vertical="center" wrapText="1"/>
    </xf>
    <xf numFmtId="15" fontId="18" fillId="14" borderId="11" xfId="0" applyNumberFormat="1" applyFont="1" applyFill="1" applyBorder="1" applyAlignment="1">
      <alignment horizontal="left" vertical="center" wrapText="1"/>
    </xf>
    <xf numFmtId="15" fontId="18" fillId="17" borderId="14" xfId="0" applyNumberFormat="1" applyFont="1" applyFill="1" applyBorder="1" applyAlignment="1">
      <alignment horizontal="left" vertical="center" wrapText="1"/>
    </xf>
    <xf numFmtId="15" fontId="18" fillId="17" borderId="10" xfId="0" applyNumberFormat="1" applyFont="1" applyFill="1" applyBorder="1" applyAlignment="1">
      <alignment horizontal="left" vertical="center" wrapText="1"/>
    </xf>
    <xf numFmtId="15" fontId="18" fillId="17" borderId="11" xfId="0" applyNumberFormat="1" applyFont="1" applyFill="1" applyBorder="1" applyAlignment="1">
      <alignment horizontal="left" vertical="center" wrapText="1"/>
    </xf>
    <xf numFmtId="15" fontId="18" fillId="19" borderId="6" xfId="0" applyNumberFormat="1" applyFont="1" applyFill="1" applyBorder="1" applyAlignment="1">
      <alignment horizontal="center" vertical="center" wrapText="1"/>
    </xf>
    <xf numFmtId="15" fontId="18" fillId="19" borderId="3" xfId="0" applyNumberFormat="1" applyFont="1" applyFill="1" applyBorder="1" applyAlignment="1">
      <alignment horizontal="center" vertical="center" wrapText="1"/>
    </xf>
    <xf numFmtId="15" fontId="18" fillId="19" borderId="7" xfId="0" applyNumberFormat="1" applyFont="1" applyFill="1" applyBorder="1" applyAlignment="1">
      <alignment horizontal="center" vertical="center" wrapText="1"/>
    </xf>
    <xf numFmtId="15" fontId="11" fillId="19" borderId="6" xfId="0" applyNumberFormat="1" applyFont="1" applyFill="1" applyBorder="1" applyAlignment="1">
      <alignment horizontal="center" vertical="center" wrapText="1"/>
    </xf>
    <xf numFmtId="15" fontId="11" fillId="19" borderId="3" xfId="0" applyNumberFormat="1" applyFont="1" applyFill="1" applyBorder="1" applyAlignment="1">
      <alignment horizontal="center" vertical="center" wrapText="1"/>
    </xf>
    <xf numFmtId="15" fontId="11" fillId="19" borderId="7" xfId="0" applyNumberFormat="1" applyFont="1" applyFill="1" applyBorder="1" applyAlignment="1">
      <alignment horizontal="center" vertical="center" wrapText="1"/>
    </xf>
    <xf numFmtId="0" fontId="30" fillId="9" borderId="0" xfId="0" applyFont="1" applyFill="1" applyAlignment="1">
      <alignment horizontal="left" vertical="top" wrapText="1"/>
    </xf>
    <xf numFmtId="0" fontId="31" fillId="9" borderId="63" xfId="0" applyFont="1" applyFill="1" applyBorder="1" applyAlignment="1">
      <alignment horizontal="center" vertical="top" wrapText="1"/>
    </xf>
    <xf numFmtId="0" fontId="7" fillId="6" borderId="28" xfId="0" applyFont="1" applyFill="1" applyBorder="1" applyAlignment="1">
      <alignment horizontal="right" vertical="center" wrapText="1"/>
    </xf>
    <xf numFmtId="0" fontId="7" fillId="6" borderId="29" xfId="0" applyFont="1" applyFill="1" applyBorder="1" applyAlignment="1">
      <alignment horizontal="right" vertical="center" wrapText="1"/>
    </xf>
    <xf numFmtId="15" fontId="55" fillId="6" borderId="19" xfId="0" applyNumberFormat="1" applyFont="1" applyFill="1" applyBorder="1" applyAlignment="1">
      <alignment horizontal="center" vertical="center" wrapText="1"/>
    </xf>
    <xf numFmtId="15" fontId="55" fillId="6" borderId="0" xfId="0" applyNumberFormat="1" applyFont="1" applyFill="1" applyAlignment="1">
      <alignment horizontal="center" vertical="center" wrapText="1"/>
    </xf>
    <xf numFmtId="0" fontId="39" fillId="30" borderId="0" xfId="0" applyFont="1" applyFill="1" applyAlignment="1">
      <alignment horizontal="center" vertical="center"/>
    </xf>
    <xf numFmtId="0" fontId="41" fillId="30" borderId="0" xfId="0" applyFont="1" applyFill="1" applyAlignment="1">
      <alignment vertical="center"/>
    </xf>
    <xf numFmtId="0" fontId="16" fillId="30" borderId="0" xfId="0" applyFont="1" applyFill="1" applyAlignment="1">
      <alignment horizontal="center" vertical="center"/>
    </xf>
    <xf numFmtId="0" fontId="25" fillId="30" borderId="0" xfId="0" applyFont="1" applyFill="1" applyAlignment="1">
      <alignment vertical="center"/>
    </xf>
  </cellXfs>
  <cellStyles count="3">
    <cellStyle name="Hipervínculo" xfId="2" builtinId="8"/>
    <cellStyle name="Normal" xfId="0" builtinId="0"/>
    <cellStyle name="Porcentaje" xfId="1" builtinId="5"/>
  </cellStyles>
  <dxfs count="1584">
    <dxf>
      <font>
        <b/>
        <i val="0"/>
        <color rgb="FF0000CC"/>
      </font>
    </dxf>
    <dxf>
      <font>
        <b/>
        <i val="0"/>
        <color rgb="FF0000CC"/>
      </font>
    </dxf>
    <dxf>
      <font>
        <b/>
        <i val="0"/>
        <color rgb="FF0000CC"/>
      </font>
    </dxf>
    <dxf>
      <font>
        <b/>
        <i val="0"/>
        <color rgb="FF0000CC"/>
      </font>
    </dxf>
    <dxf>
      <font>
        <b/>
        <i val="0"/>
        <color rgb="FF0000CC"/>
      </font>
    </dxf>
    <dxf>
      <font>
        <b/>
        <i val="0"/>
        <color rgb="FF0000CC"/>
      </font>
    </dxf>
    <dxf>
      <font>
        <b/>
        <i val="0"/>
        <color rgb="FF0000CC"/>
      </font>
    </dxf>
    <dxf>
      <font>
        <b/>
        <i val="0"/>
        <color rgb="FF0000CC"/>
      </font>
    </dxf>
    <dxf>
      <font>
        <b/>
        <i val="0"/>
        <color rgb="FF0000CC"/>
      </font>
    </dxf>
    <dxf>
      <font>
        <b/>
        <i val="0"/>
        <color rgb="FF0000CC"/>
      </font>
    </dxf>
    <dxf>
      <font>
        <b/>
        <i val="0"/>
        <color rgb="FF0000CC"/>
      </font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rgb="FF66FF66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rgb="FF66FF66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66FF66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00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00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00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00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00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00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alignment horizontal="left" readingOrder="0"/>
    </dxf>
    <dxf>
      <alignment horizontal="left" readingOrder="0"/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hair">
          <color theme="0" tint="-0.499984740745262"/>
        </bottom>
        <vertical style="thin">
          <color theme="0" tint="-0.499984740745262"/>
        </vertical>
        <horizontal style="hair">
          <color theme="0" tint="-0.499984740745262"/>
        </horizontal>
      </border>
    </dxf>
    <dxf>
      <border>
        <right style="thin">
          <color theme="0" tint="-0.499984740745262"/>
        </right>
        <top style="thin">
          <color theme="0" tint="-0.499984740745262"/>
        </top>
        <bottom style="hair">
          <color theme="0" tint="-0.499984740745262"/>
        </bottom>
        <horizontal style="hair">
          <color theme="0" tint="-0.499984740745262"/>
        </horizontal>
      </border>
    </dxf>
    <dxf>
      <border>
        <right style="thin">
          <color theme="0" tint="-0.499984740745262"/>
        </right>
        <top style="thin">
          <color theme="0" tint="-0.499984740745262"/>
        </top>
        <bottom style="hair">
          <color theme="0" tint="-0.499984740745262"/>
        </bottom>
        <horizontal style="hair">
          <color theme="0" tint="-0.499984740745262"/>
        </horizontal>
      </border>
    </dxf>
    <dxf>
      <border>
        <right style="thin">
          <color theme="0" tint="-0.499984740745262"/>
        </right>
        <top style="thin">
          <color theme="0" tint="-0.499984740745262"/>
        </top>
        <bottom style="hair">
          <color theme="0" tint="-0.499984740745262"/>
        </bottom>
        <horizontal style="hair">
          <color theme="0" tint="-0.499984740745262"/>
        </horizontal>
      </border>
    </dxf>
    <dxf>
      <border>
        <right style="thin">
          <color theme="0" tint="-0.499984740745262"/>
        </right>
        <top style="thin">
          <color theme="0" tint="-0.499984740745262"/>
        </top>
        <bottom style="hair">
          <color theme="0" tint="-0.499984740745262"/>
        </bottom>
        <horizontal style="hair">
          <color theme="0" tint="-0.499984740745262"/>
        </horizontal>
      </border>
    </dxf>
    <dxf>
      <border>
        <right style="thin">
          <color theme="0" tint="-0.499984740745262"/>
        </right>
        <top style="thin">
          <color theme="0" tint="-0.499984740745262"/>
        </top>
        <bottom style="hair">
          <color theme="0" tint="-0.499984740745262"/>
        </bottom>
        <horizontal style="hair">
          <color theme="0" tint="-0.499984740745262"/>
        </horizontal>
      </border>
    </dxf>
    <dxf>
      <border>
        <right style="thin">
          <color theme="0" tint="-0.499984740745262"/>
        </right>
        <top style="thin">
          <color theme="0" tint="-0.499984740745262"/>
        </top>
        <bottom style="hair">
          <color theme="0" tint="-0.499984740745262"/>
        </bottom>
        <horizontal style="hair">
          <color theme="0" tint="-0.499984740745262"/>
        </horizontal>
      </border>
    </dxf>
    <dxf>
      <border>
        <right style="thin">
          <color theme="0" tint="-0.499984740745262"/>
        </right>
        <top style="thin">
          <color theme="0" tint="-0.499984740745262"/>
        </top>
        <bottom style="hair">
          <color theme="0" tint="-0.499984740745262"/>
        </bottom>
        <horizontal style="hair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hair">
          <color theme="0" tint="-0.499984740745262"/>
        </bottom>
        <horizontal style="hair">
          <color theme="0" tint="-0.499984740745262"/>
        </horizontal>
      </border>
    </dxf>
    <dxf>
      <font>
        <color theme="0"/>
      </font>
    </dxf>
    <dxf>
      <fill>
        <patternFill>
          <bgColor rgb="FF0000FF"/>
        </patternFill>
      </fill>
    </dxf>
    <dxf>
      <font>
        <color rgb="FFFFFF00"/>
      </font>
    </dxf>
    <dxf>
      <fill>
        <patternFill patternType="solid">
          <bgColor rgb="FF0000FF"/>
        </patternFill>
      </fill>
    </dxf>
    <dxf>
      <alignment vertical="center"/>
    </dxf>
    <dxf>
      <alignment horizontal="center"/>
    </dxf>
    <dxf>
      <border>
        <right style="thin">
          <color theme="0" tint="-0.499984740745262"/>
        </right>
      </border>
    </dxf>
    <dxf>
      <border>
        <right style="thin">
          <color theme="0" tint="-0.499984740745262"/>
        </right>
      </border>
    </dxf>
    <dxf>
      <border>
        <right style="thin">
          <color theme="0" tint="-0.499984740745262"/>
        </right>
      </border>
    </dxf>
    <dxf>
      <border>
        <right style="thin">
          <color theme="0" tint="-0.499984740745262"/>
        </right>
      </border>
    </dxf>
    <dxf>
      <border>
        <right style="thin">
          <color theme="0" tint="-0.499984740745262"/>
        </right>
      </border>
    </dxf>
    <dxf>
      <border>
        <right style="thin">
          <color theme="0" tint="-0.499984740745262"/>
        </right>
      </border>
    </dxf>
    <dxf>
      <border>
        <right style="thin">
          <color theme="0" tint="-0.499984740745262"/>
        </right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hair">
          <color theme="0" tint="-0.499984740745262"/>
        </bottom>
        <vertical style="thin">
          <color theme="0" tint="-0.499984740745262"/>
        </vertical>
        <horizontal style="hair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hair">
          <color theme="0" tint="-0.499984740745262"/>
        </bottom>
        <vertical style="thin">
          <color theme="0" tint="-0.499984740745262"/>
        </vertical>
        <horizontal style="hair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hair">
          <color theme="0" tint="-0.499984740745262"/>
        </bottom>
        <vertical style="thin">
          <color theme="0" tint="-0.499984740745262"/>
        </vertical>
        <horizontal style="hair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hair">
          <color theme="0" tint="-0.499984740745262"/>
        </bottom>
        <vertical style="thin">
          <color theme="0" tint="-0.499984740745262"/>
        </vertical>
        <horizontal style="hair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hair">
          <color theme="0" tint="-0.499984740745262"/>
        </bottom>
        <vertical style="thin">
          <color theme="0" tint="-0.499984740745262"/>
        </vertical>
        <horizontal style="hair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hair">
          <color theme="0" tint="-0.499984740745262"/>
        </bottom>
        <vertical style="thin">
          <color theme="0" tint="-0.499984740745262"/>
        </vertical>
        <horizontal style="hair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hair">
          <color theme="0" tint="-0.499984740745262"/>
        </bottom>
        <vertical style="thin">
          <color theme="0" tint="-0.499984740745262"/>
        </vertical>
        <horizontal style="hair">
          <color theme="0" tint="-0.499984740745262"/>
        </horizontal>
      </border>
    </dxf>
    <dxf>
      <font>
        <color theme="1"/>
      </font>
    </dxf>
    <dxf>
      <fill>
        <patternFill>
          <bgColor rgb="FF00FFFF"/>
        </patternFill>
      </fill>
    </dxf>
    <dxf>
      <alignment horizontal="left" readingOrder="0"/>
    </dxf>
    <dxf>
      <alignment horizontal="center" readingOrder="0"/>
    </dxf>
    <dxf>
      <font>
        <b/>
      </font>
      <fill>
        <patternFill>
          <bgColor indexed="64"/>
        </patternFill>
      </fill>
    </dxf>
    <dxf>
      <fill>
        <patternFill>
          <bgColor theme="1"/>
        </patternFill>
      </fill>
    </dxf>
    <dxf>
      <font>
        <color rgb="FF00FFFF"/>
      </font>
    </dxf>
    <dxf>
      <fill>
        <patternFill>
          <bgColor rgb="FF0000C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top style="hair">
          <color theme="0" tint="-0.14993743705557422"/>
        </top>
        <bottom style="hair">
          <color theme="0" tint="-0.14993743705557422"/>
        </bottom>
        <horizontal style="hair">
          <color theme="0" tint="-0.14993743705557422"/>
        </horizontal>
      </border>
    </dxf>
    <dxf>
      <border>
        <top style="hair">
          <color theme="0" tint="-0.14996795556505021"/>
        </top>
        <bottom style="hair">
          <color theme="0" tint="-0.14996795556505021"/>
        </bottom>
        <horizontal style="hair">
          <color theme="0" tint="-0.14996795556505021"/>
        </horizontal>
      </border>
    </dxf>
    <dxf>
      <alignment horizontal="left" readingOrder="0"/>
    </dxf>
    <dxf>
      <fill>
        <patternFill patternType="solid">
          <bgColor rgb="FFFFFF00"/>
        </patternFill>
      </fill>
    </dxf>
    <dxf>
      <font>
        <b/>
        <color theme="0"/>
      </font>
      <fill>
        <patternFill patternType="solid">
          <fgColor indexed="64"/>
          <bgColor rgb="FF0000FF"/>
        </patternFill>
      </fill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0.79998168889431442"/>
        </patternFill>
      </fill>
    </dxf>
    <dxf>
      <font>
        <color theme="0" tint="-0.34998626667073579"/>
      </font>
    </dxf>
    <dxf>
      <fill>
        <patternFill>
          <bgColor theme="0"/>
        </patternFill>
      </fill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color theme="0"/>
      </font>
    </dxf>
    <dxf>
      <fill>
        <patternFill patternType="solid">
          <bgColor theme="8"/>
        </patternFill>
      </fill>
    </dxf>
    <dxf>
      <font>
        <sz val="8"/>
      </font>
    </dxf>
    <dxf>
      <font>
        <color theme="0" tint="-0.14999847407452621"/>
      </font>
    </dxf>
    <dxf>
      <fill>
        <patternFill>
          <bgColor theme="0" tint="-0.14999847407452621"/>
        </patternFill>
      </fill>
    </dxf>
    <dxf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rgb="FFFFFF00"/>
      </font>
      <fill>
        <patternFill>
          <bgColor rgb="FFA6242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ill>
        <patternFill>
          <bgColor theme="0" tint="-4.9989318521683403E-2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rgb="FFFFFF00"/>
      </font>
      <fill>
        <patternFill>
          <bgColor rgb="FFA6242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theme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/>
      </font>
      <fill>
        <patternFill>
          <bgColor rgb="FF002060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FF00"/>
      </font>
    </dxf>
    <dxf>
      <font>
        <color theme="0" tint="-0.14996795556505021"/>
      </font>
    </dxf>
    <dxf>
      <font>
        <color theme="1"/>
      </font>
      <fill>
        <patternFill>
          <bgColor theme="9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/>
      </font>
      <fill>
        <patternFill>
          <bgColor rgb="FF002060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ont>
        <color theme="0" tint="-0.14996795556505021"/>
      </font>
    </dxf>
    <dxf>
      <fill>
        <patternFill>
          <bgColor rgb="FFFFFF00"/>
        </patternFill>
      </fill>
    </dxf>
    <dxf>
      <font>
        <color theme="0" tint="-0.14996795556505021"/>
      </font>
    </dxf>
    <dxf>
      <fill>
        <patternFill>
          <bgColor rgb="FFFFFF00"/>
        </patternFill>
      </fill>
    </dxf>
    <dxf>
      <font>
        <color theme="0" tint="-0.14996795556505021"/>
      </font>
    </dxf>
    <dxf>
      <border>
        <bottom style="thin">
          <color theme="0" tint="-0.499984740745262"/>
        </bottom>
      </border>
    </dxf>
    <dxf>
      <border>
        <bottom style="thin">
          <color theme="0" tint="-0.499984740745262"/>
        </bottom>
      </border>
    </dxf>
    <dxf>
      <border>
        <bottom style="thin">
          <color theme="0" tint="-0.499984740745262"/>
        </bottom>
      </border>
    </dxf>
    <dxf>
      <border>
        <bottom style="thin">
          <color theme="0" tint="-0.499984740745262"/>
        </bottom>
      </border>
    </dxf>
    <dxf>
      <border>
        <bottom style="thin">
          <color theme="0" tint="-0.499984740745262"/>
        </bottom>
      </border>
    </dxf>
    <dxf>
      <border>
        <bottom style="thin">
          <color theme="0" tint="-0.499984740745262"/>
        </bottom>
      </border>
    </dxf>
    <dxf>
      <border>
        <bottom style="thin">
          <color theme="0" tint="-0.499984740745262"/>
        </bottom>
      </border>
    </dxf>
    <dxf>
      <border>
        <bottom style="thin">
          <color theme="0" tint="-0.499984740745262"/>
        </bottom>
      </border>
    </dxf>
    <dxf>
      <border>
        <bottom style="thin">
          <color theme="0" tint="-0.499984740745262"/>
        </bottom>
      </border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horizontal="left" readingOrder="0"/>
    </dxf>
    <dxf>
      <alignment horizontal="left" readingOrder="0"/>
    </dxf>
    <dxf>
      <border>
        <bottom style="thin">
          <color theme="0" tint="-0.499984740745262"/>
        </bottom>
        <vertical/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hair">
          <color theme="0" tint="-0.499984740745262"/>
        </bottom>
        <vertical style="thin">
          <color theme="0" tint="-0.499984740745262"/>
        </vertical>
        <horizontal style="hair">
          <color theme="0" tint="-0.499984740745262"/>
        </horizontal>
      </border>
    </dxf>
    <dxf>
      <alignment horizontal="left" readingOrder="0"/>
    </dxf>
    <dxf>
      <font>
        <color rgb="FFFFFF00"/>
      </font>
    </dxf>
    <dxf>
      <font>
        <color theme="0"/>
      </font>
    </dxf>
    <dxf>
      <fill>
        <patternFill patternType="solid">
          <bgColor rgb="FF0000CC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color rgb="FF66FF66"/>
      </font>
    </dxf>
    <dxf>
      <fill>
        <patternFill>
          <bgColor theme="1"/>
        </patternFill>
      </fill>
    </dxf>
    <dxf>
      <font>
        <color rgb="FF00FFFF"/>
      </font>
    </dxf>
    <dxf>
      <fill>
        <patternFill>
          <bgColor theme="1"/>
        </patternFill>
      </fill>
    </dxf>
    <dxf>
      <font>
        <color rgb="FF00FFFF"/>
      </font>
    </dxf>
    <dxf>
      <fill>
        <patternFill>
          <bgColor theme="5" tint="-0.499984740745262"/>
        </patternFill>
      </fill>
    </dxf>
    <dxf>
      <font>
        <color rgb="FFFFFF00"/>
      </font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>
          <bgColor theme="8" tint="-0.499984740745262"/>
        </patternFill>
      </fill>
    </dxf>
    <dxf>
      <font>
        <color rgb="FF00FFFF"/>
      </font>
    </dxf>
    <dxf>
      <fill>
        <patternFill>
          <bgColor rgb="FF0000C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top style="hair">
          <color theme="0" tint="-0.14993743705557422"/>
        </top>
        <bottom style="hair">
          <color theme="0" tint="-0.14993743705557422"/>
        </bottom>
        <horizontal style="hair">
          <color theme="0" tint="-0.14993743705557422"/>
        </horizontal>
      </border>
    </dxf>
    <dxf>
      <border>
        <top style="hair">
          <color theme="0" tint="-0.14996795556505021"/>
        </top>
        <bottom style="hair">
          <color theme="0" tint="-0.14996795556505021"/>
        </bottom>
        <horizontal style="hair">
          <color theme="0" tint="-0.14996795556505021"/>
        </horizontal>
      </border>
    </dxf>
    <dxf>
      <alignment horizontal="left" readingOrder="0"/>
    </dxf>
    <dxf>
      <fill>
        <patternFill patternType="solid">
          <bgColor rgb="FFFFFF00"/>
        </patternFill>
      </fill>
    </dxf>
    <dxf>
      <font>
        <b/>
        <color theme="0"/>
      </font>
      <fill>
        <patternFill patternType="solid">
          <fgColor indexed="64"/>
          <bgColor rgb="FF0000FF"/>
        </patternFill>
      </fill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0.79998168889431442"/>
        </patternFill>
      </fill>
    </dxf>
    <dxf>
      <font>
        <color theme="0" tint="-0.34998626667073579"/>
      </font>
    </dxf>
    <dxf>
      <fill>
        <patternFill>
          <bgColor theme="0"/>
        </patternFill>
      </fill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color theme="0"/>
      </font>
    </dxf>
    <dxf>
      <fill>
        <patternFill patternType="solid">
          <bgColor theme="8"/>
        </patternFill>
      </fill>
    </dxf>
    <dxf>
      <font>
        <sz val="8"/>
      </font>
    </dxf>
    <dxf>
      <font>
        <color theme="0" tint="-0.14999847407452621"/>
      </font>
    </dxf>
    <dxf>
      <fill>
        <patternFill>
          <bgColor theme="0" tint="-0.14999847407452621"/>
        </patternFill>
      </fill>
    </dxf>
    <dxf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rgb="FFFFFF00"/>
      </font>
      <fill>
        <patternFill>
          <bgColor rgb="FFA6242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theme="1"/>
      </font>
    </dxf>
    <dxf>
      <font>
        <b/>
        <i/>
        <color rgb="FF00206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1"/>
      </font>
    </dxf>
    <dxf>
      <font>
        <b/>
        <i/>
        <color rgb="FF00206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00FF00"/>
      <color rgb="FF0000FF"/>
      <color rgb="FF0000CC"/>
      <color rgb="FF00FFFF"/>
      <color rgb="FF66FF66"/>
      <color rgb="FF005790"/>
      <color rgb="FFA62424"/>
      <color rgb="FF800000"/>
      <color rgb="FF0086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133350</xdr:colOff>
      <xdr:row>1</xdr:row>
      <xdr:rowOff>0</xdr:rowOff>
    </xdr:from>
    <xdr:to>
      <xdr:col>39</xdr:col>
      <xdr:colOff>114300</xdr:colOff>
      <xdr:row>7</xdr:row>
      <xdr:rowOff>28936</xdr:rowOff>
    </xdr:to>
    <xdr:grpSp>
      <xdr:nvGrpSpPr>
        <xdr:cNvPr id="19" name="Grup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1631950" y="95250"/>
          <a:ext cx="6718300" cy="987786"/>
          <a:chOff x="104775" y="75840"/>
          <a:chExt cx="6410325" cy="1000486"/>
        </a:xfrm>
      </xdr:grpSpPr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1" name="CuadroTexto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GESTIÓN DE CALIDAD</a:t>
            </a:r>
          </a:p>
        </xdr:txBody>
      </xdr:sp>
      <xdr:sp macro="" textlink="">
        <xdr:nvSpPr>
          <xdr:cNvPr id="22" name="CuadroTexto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PROGRAMA DE AUDITORIAS INTERNAS DE CALIDAD</a:t>
            </a:r>
          </a:p>
        </xdr:txBody>
      </xdr:sp>
      <xdr:pic>
        <xdr:nvPicPr>
          <xdr:cNvPr id="23" name="Imagen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24" name="CuadroTexto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Código: FO-GC-012</a:t>
            </a:r>
          </a:p>
        </xdr:txBody>
      </xdr:sp>
      <xdr:sp macro="" textlink="">
        <xdr:nvSpPr>
          <xdr:cNvPr id="25" name="CuadroTexto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Versión: 08</a:t>
            </a:r>
          </a:p>
        </xdr:txBody>
      </xdr:sp>
      <xdr:sp macro="" textlink="">
        <xdr:nvSpPr>
          <xdr:cNvPr id="26" name="CuadroTexto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Noviembre 2022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IRCALIDAD" refreshedDate="44726.597600925925" createdVersion="6" refreshedVersion="6" minRefreshableVersion="3" recordCount="90">
  <cacheSource type="worksheet">
    <worksheetSource ref="AW17:BF109" sheet="FO-GC-012"/>
  </cacheSource>
  <cacheFields count="12">
    <cacheField name="ID" numFmtId="1">
      <sharedItems containsBlank="1" containsMixedTypes="1" containsNumber="1" containsInteger="1" minValue="1" maxValue="34" count="36">
        <s v="*"/>
        <m/>
        <n v="34" u="1"/>
        <n v="13" u="1"/>
        <n v="5" u="1"/>
        <n v="14" u="1"/>
        <n v="15" u="1"/>
        <n v="2" u="1"/>
        <n v="6" u="1"/>
        <n v="16" u="1"/>
        <n v="17" u="1"/>
        <n v="18" u="1"/>
        <n v="19" u="1"/>
        <n v="7" u="1"/>
        <n v="20" u="1"/>
        <n v="33" u="1"/>
        <n v="21" u="1"/>
        <n v="22" u="1"/>
        <n v="1" u="1"/>
        <n v="23" u="1"/>
        <n v="3" u="1"/>
        <n v="8" u="1"/>
        <n v="24" u="1"/>
        <n v="25" u="1"/>
        <n v="9" u="1"/>
        <n v="26" u="1"/>
        <n v="27" u="1"/>
        <n v="10" u="1"/>
        <n v="28" u="1"/>
        <n v="29" u="1"/>
        <n v="11" u="1"/>
        <n v="30" u="1"/>
        <n v="31" u="1"/>
        <n v="4" u="1"/>
        <n v="12" u="1"/>
        <n v="32" u="1"/>
      </sharedItems>
    </cacheField>
    <cacheField name="Fecha" numFmtId="0">
      <sharedItems containsNonDate="0" containsDate="1" containsString="0" containsBlank="1" minDate="1899-12-30T00:00:00" maxDate="1899-12-31T00:00:00" count="2">
        <d v="1899-12-30T00:00:00"/>
        <m/>
      </sharedItems>
      <fieldGroup par="10" base="1">
        <rangePr groupBy="days" startDate="1899-12-30T00:00:00" endDate="1899-12-31T00:00:00"/>
        <groupItems count="368">
          <s v="(en blanco)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01/1900"/>
        </groupItems>
      </fieldGroup>
    </cacheField>
    <cacheField name="Auditoría" numFmtId="0">
      <sharedItems containsString="0" containsBlank="1" containsNumber="1" containsInteger="1" minValue="0" maxValue="0" count="2">
        <n v="0"/>
        <m/>
      </sharedItems>
    </cacheField>
    <cacheField name="Auditado" numFmtId="0">
      <sharedItems containsBlank="1" containsMixedTypes="1" containsNumber="1" containsInteger="1" minValue="0" maxValue="0" count="3">
        <s v=""/>
        <m/>
        <n v="0" u="1"/>
      </sharedItems>
    </cacheField>
    <cacheField name="Hora Inicio" numFmtId="0">
      <sharedItems containsNonDate="0" containsDate="1" containsString="0" containsBlank="1" minDate="1899-12-30T00:00:00" maxDate="1899-12-31T00:00:00" count="2">
        <d v="1899-12-30T00:00:00"/>
        <m/>
      </sharedItems>
      <fieldGroup par="11" base="4">
        <rangePr groupBy="minutes" startDate="1899-12-30T00:00:00" endDate="1899-12-31T00:00:00"/>
        <groupItems count="62">
          <s v="(en blanco)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1/1900"/>
        </groupItems>
      </fieldGroup>
    </cacheField>
    <cacheField name="Hora Fin" numFmtId="0">
      <sharedItems containsNonDate="0" containsDate="1" containsString="0" containsBlank="1" minDate="1899-12-30T00:00:00" maxDate="1899-12-31T00:00:00" count="2">
        <d v="1899-12-30T00:00:00"/>
        <m/>
      </sharedItems>
      <fieldGroup base="5">
        <rangePr groupBy="hours" startDate="1899-12-30T00:00:00" endDate="1899-12-31T00:00:00"/>
        <groupItems count="26">
          <s v="(en blanco)"/>
          <s v="12 a. m."/>
          <s v="1 a. m."/>
          <s v="2 a. m."/>
          <s v="3 a. m."/>
          <s v="4 a. m."/>
          <s v="5 a. m."/>
          <s v="6 a. m."/>
          <s v="7 a. m."/>
          <s v="8 a. m."/>
          <s v="9 a. m."/>
          <s v="10 a. m."/>
          <s v="11 a. m."/>
          <s v="12 p. m."/>
          <s v="1 p. m."/>
          <s v="2 p. m."/>
          <s v="3 p. m."/>
          <s v="4 p. m."/>
          <s v="5 p. m."/>
          <s v="6 p. m."/>
          <s v="7 p. m."/>
          <s v="8 p. m."/>
          <s v="9 p. m."/>
          <s v="10 p. m."/>
          <s v="11 p. m."/>
          <s v="&gt;1/01/1900"/>
        </groupItems>
      </fieldGroup>
    </cacheField>
    <cacheField name="Auditor P" numFmtId="0">
      <sharedItems containsString="0" containsBlank="1" containsNumber="1" containsInteger="1" minValue="0" maxValue="0" count="2">
        <n v="0"/>
        <m/>
      </sharedItems>
    </cacheField>
    <cacheField name="Auditor A" numFmtId="0">
      <sharedItems containsBlank="1" count="29">
        <s v=""/>
        <m/>
        <s v="Kener Mauricio Quina Velarde" u="1"/>
        <s v="Miguel Dario Calvachy" u="1"/>
        <s v="Alejandro Hurtado Sanchez" u="1"/>
        <s v="Equipo Auditor" u="1"/>
        <s v="Natalia Córdoba Claros" u="1"/>
        <s v="Depsi Johana Córdoba Mompotes " u="1"/>
        <s v="Rened Fajardo" u="1"/>
        <s v="Alexander Luna Nieto" u="1"/>
        <s v="Tatiana Mejia Rondon" u="1"/>
        <s v="*Andrea Cecilia Urbano Gallego" u="1"/>
        <s v="Julio Cesar Garcia Buitron" u="1"/>
        <s v="*Yaqueline Rivera López" u="1"/>
        <s v="Omar Andrés Acosta Caicedo" u="1"/>
        <s v="Juan David Cortés León" u="1"/>
        <s v="Neiby Alejandra López Montenegro" u="1"/>
        <s v="Dario Collazos Bolaños" u="1"/>
        <s v="Karen Viviana Quiñones Mosquera" u="1"/>
        <s v="Sandra Johanna Pinzón Hermosa" u="1"/>
        <s v="Andrea Karina Ballagan Estrada" u="1"/>
        <s v="Tataiana Mejia Rondon" u="1"/>
        <s v="Jaime Vente Garcés" u="1"/>
        <s v="Luis Fernando Pedraza Ruiz" u="1"/>
        <s v="Mario Fernando Espinosa" u="1"/>
        <s v="Andrea Cecilia Urbano Gallego" u="1"/>
        <s v="Carlos Andrés Durán Enríquez" u="1"/>
        <s v="Aida Marcela Correa Benavides" u="1"/>
        <s v="Diana Camila Mora Montilla " u="1"/>
      </sharedItems>
    </cacheField>
    <cacheField name="Ejecutado" numFmtId="0">
      <sharedItems containsDate="1" containsBlank="1" containsMixedTypes="1" minDate="2021-05-26T00:00:00" maxDate="2022-07-15T00:00:00" count="18">
        <s v=""/>
        <m/>
        <d v="2021-05-31T00:00:00" u="1"/>
        <d v="2021-06-10T00:00:00" u="1"/>
        <d v="2021-06-03T00:00:00" u="1"/>
        <d v="2021-06-15T00:00:00" u="1"/>
        <d v="2021-06-08T00:00:00" u="1"/>
        <d v="2022-07-13T00:00:00" u="1"/>
        <d v="2021-06-01T00:00:00" u="1"/>
        <d v="2021-05-27T00:00:00" u="1"/>
        <d v="2021-06-11T00:00:00" u="1"/>
        <d v="2021-06-04T00:00:00" u="1"/>
        <d v="2021-06-16T00:00:00" u="1"/>
        <d v="2021-06-09T00:00:00" u="1"/>
        <d v="2022-07-14T00:00:00" u="1"/>
        <d v="2021-06-02T00:00:00" u="1"/>
        <d v="2022-07-12T00:00:00" u="1"/>
        <d v="2021-05-26T00:00:00" u="1"/>
      </sharedItems>
    </cacheField>
    <cacheField name="Entrega Informe" numFmtId="0">
      <sharedItems containsNonDate="0" containsDate="1" containsBlank="1" containsMixedTypes="1" minDate="1900-01-09T00:00:00" maxDate="2022-07-12T00:00:00" count="27">
        <d v="1900-01-09T00:00:00"/>
        <m/>
        <s v="" u="1"/>
        <d v="2021-06-24T00:00:00" u="1"/>
        <d v="2022-06-24T00:00:00" u="1"/>
        <d v="2021-06-17T00:00:00" u="1"/>
        <d v="2021-06-10T00:00:00" u="1"/>
        <d v="2021-06-22T00:00:00" u="1"/>
        <d v="2022-07-08T00:00:00" u="1"/>
        <d v="2022-06-22T00:00:00" u="1"/>
        <d v="2021-06-15T00:00:00" u="1"/>
        <d v="2022-07-01T00:00:00" u="1"/>
        <d v="2021-06-08T00:00:00" u="1"/>
        <d v="2022-06-27T00:00:00" u="1"/>
        <d v="2022-07-11T00:00:00" u="1"/>
        <d v="2021-06-18T00:00:00" u="1"/>
        <d v="2022-07-04T00:00:00" u="1"/>
        <d v="2021-06-11T00:00:00" u="1"/>
        <d v="2021-06-04T00:00:00" u="1"/>
        <d v="2022-06-30T00:00:00" u="1"/>
        <d v="2021-06-23T00:00:00" u="1"/>
        <d v="2022-06-23T00:00:00" u="1"/>
        <d v="2021-06-16T00:00:00" u="1"/>
        <d v="2022-06-28T00:00:00" u="1"/>
        <d v="2021-06-21T00:00:00" u="1"/>
        <d v="2022-07-07T00:00:00" u="1"/>
        <d v="2022-07-05T00:00:00" u="1"/>
      </sharedItems>
    </cacheField>
    <cacheField name="Meses" numFmtId="0" databaseField="0">
      <fieldGroup base="1">
        <rangePr groupBy="months" startDate="1899-12-30T00:00:00" endDate="1899-12-31T00:00:00"/>
        <groupItems count="14">
          <s v="&lt;0/01/190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1/1900"/>
        </groupItems>
      </fieldGroup>
    </cacheField>
    <cacheField name="Horas" numFmtId="0" databaseField="0">
      <fieldGroup base="4">
        <rangePr groupBy="hours" startDate="1899-12-30T00:00:00" endDate="1899-12-31T00:00:00"/>
        <groupItems count="26">
          <s v="&lt;0/01/1900"/>
          <s v="12 a. m."/>
          <s v="1 a. m."/>
          <s v="2 a. m."/>
          <s v="3 a. m."/>
          <s v="4 a. m."/>
          <s v="5 a. m."/>
          <s v="6 a. m."/>
          <s v="7 a. m."/>
          <s v="8 a. m."/>
          <s v="9 a. m."/>
          <s v="10 a. m."/>
          <s v="11 a. m."/>
          <s v="12 p. m."/>
          <s v="1 p. m."/>
          <s v="2 p. m."/>
          <s v="3 p. m."/>
          <s v="4 p. m."/>
          <s v="5 p. m."/>
          <s v="6 p. m."/>
          <s v="7 p. m."/>
          <s v="8 p. m."/>
          <s v="9 p. m."/>
          <s v="10 p. m."/>
          <s v="11 p. m."/>
          <s v="&gt;1/01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compact="0" compactData="0" gridDropZones="1">
  <location ref="A3:O6" firstHeaderRow="2" firstDataRow="2" firstDataCol="9"/>
  <pivotFields count="12">
    <pivotField axis="axisRow" compact="0" outline="0" showAll="0" defaultSubtotal="0">
      <items count="36">
        <item m="1" x="18"/>
        <item m="1" x="7"/>
        <item m="1" x="20"/>
        <item m="1" x="33"/>
        <item m="1" x="4"/>
        <item m="1" x="8"/>
        <item m="1" x="13"/>
        <item m="1" x="21"/>
        <item m="1" x="24"/>
        <item m="1" x="27"/>
        <item m="1" x="30"/>
        <item m="1" x="34"/>
        <item m="1" x="3"/>
        <item m="1" x="5"/>
        <item m="1" x="6"/>
        <item m="1" x="9"/>
        <item m="1" x="10"/>
        <item m="1" x="11"/>
        <item m="1" x="12"/>
        <item m="1" x="14"/>
        <item m="1" x="16"/>
        <item m="1" x="17"/>
        <item m="1" x="19"/>
        <item m="1" x="22"/>
        <item m="1" x="23"/>
        <item m="1" x="25"/>
        <item m="1" x="26"/>
        <item m="1" x="28"/>
        <item m="1" x="29"/>
        <item m="1" x="31"/>
        <item m="1" x="32"/>
        <item m="1" x="35"/>
        <item m="1" x="15"/>
        <item m="1" x="2"/>
        <item x="0"/>
        <item x="1"/>
      </items>
    </pivotField>
    <pivotField axis="axisRow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compact="0" outline="0" showAll="0" defaultSubtotal="0">
      <items count="2">
        <item x="1"/>
        <item h="1" x="0"/>
      </items>
    </pivotField>
    <pivotField axis="axisRow" compact="0" outline="0" showAll="0" defaultSubtotal="0">
      <items count="3">
        <item x="1"/>
        <item m="1" x="2"/>
        <item x="0"/>
      </items>
    </pivotField>
    <pivotField compact="0" outline="0" showAll="0" defaultSubtota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compact="0" outline="0" showAl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29">
        <item m="1" x="27"/>
        <item m="1" x="4"/>
        <item m="1" x="9"/>
        <item m="1" x="26"/>
        <item m="1" x="17"/>
        <item m="1" x="5"/>
        <item m="1" x="12"/>
        <item m="1" x="18"/>
        <item m="1" x="23"/>
        <item m="1" x="24"/>
        <item m="1" x="3"/>
        <item m="1" x="16"/>
        <item m="1" x="8"/>
        <item m="1" x="19"/>
        <item x="1"/>
        <item x="0"/>
        <item m="1" x="25"/>
        <item m="1" x="7"/>
        <item m="1" x="20"/>
        <item m="1" x="22"/>
        <item m="1" x="28"/>
        <item m="1" x="15"/>
        <item m="1" x="14"/>
        <item m="1" x="2"/>
        <item m="1" x="21"/>
        <item m="1" x="11"/>
        <item m="1" x="13"/>
        <item m="1" x="10"/>
        <item m="1" x="6"/>
      </items>
    </pivotField>
    <pivotField axis="axisRow" compact="0" outline="0" showAll="0" defaultSubtotal="0">
      <items count="18">
        <item x="0"/>
        <item x="1"/>
        <item m="1" x="17"/>
        <item m="1" x="2"/>
        <item m="1" x="8"/>
        <item m="1" x="9"/>
        <item m="1" x="15"/>
        <item m="1" x="4"/>
        <item m="1" x="11"/>
        <item m="1" x="6"/>
        <item m="1" x="13"/>
        <item m="1" x="3"/>
        <item m="1" x="10"/>
        <item m="1" x="5"/>
        <item m="1" x="12"/>
        <item m="1" x="16"/>
        <item m="1" x="7"/>
        <item m="1" x="14"/>
      </items>
    </pivotField>
    <pivotField axis="axisRow" compact="0" outline="0" showAll="0" defaultSubtotal="0">
      <items count="27">
        <item m="1" x="18"/>
        <item m="1" x="12"/>
        <item m="1" x="6"/>
        <item m="1" x="17"/>
        <item m="1" x="10"/>
        <item m="1" x="22"/>
        <item m="1" x="5"/>
        <item m="1" x="15"/>
        <item m="1" x="24"/>
        <item m="1" x="7"/>
        <item m="1" x="20"/>
        <item x="1"/>
        <item m="1" x="2"/>
        <item x="0"/>
        <item m="1" x="3"/>
        <item m="1" x="9"/>
        <item m="1" x="8"/>
        <item m="1" x="25"/>
        <item m="1" x="19"/>
        <item m="1" x="11"/>
        <item m="1" x="21"/>
        <item m="1" x="4"/>
        <item m="1" x="13"/>
        <item m="1" x="23"/>
        <item m="1" x="16"/>
        <item m="1" x="26"/>
        <item m="1" x="14"/>
      </items>
    </pivotField>
    <pivotField compact="0" outline="0" showAll="0" defaultSubtotal="0">
      <items count="14">
        <item h="1" sd="0" x="0"/>
        <item sd="0" x="1"/>
        <item sd="0" x="2"/>
        <item sd="0" x="3"/>
        <item sd="0" x="4"/>
        <item x="5"/>
        <item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compact="0" outline="0" showAll="0" defaultSubtotal="0">
      <items count="26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9">
    <field x="1"/>
    <field x="0"/>
    <field x="2"/>
    <field x="3"/>
    <field x="11"/>
    <field x="6"/>
    <field x="7"/>
    <field x="8"/>
    <field x="9"/>
  </rowFields>
  <rowItems count="2">
    <i>
      <x/>
      <x v="35"/>
      <x/>
      <x/>
      <x/>
    </i>
    <i t="default">
      <x/>
    </i>
  </rowItems>
  <colItems count="1">
    <i/>
  </colItems>
  <formats count="225">
    <format dxfId="1567">
      <pivotArea dataOnly="0" outline="0" fieldPosition="0">
        <references count="1">
          <reference field="2" count="0" defaultSubtotal="1"/>
        </references>
      </pivotArea>
    </format>
    <format dxfId="1566">
      <pivotArea dataOnly="0" outline="0" fieldPosition="0">
        <references count="1">
          <reference field="2" count="0" defaultSubtotal="1"/>
        </references>
      </pivotArea>
    </format>
    <format dxfId="1565">
      <pivotArea dataOnly="0" outline="0" fieldPosition="0">
        <references count="1">
          <reference field="2" count="0" defaultSubtotal="1"/>
        </references>
      </pivotArea>
    </format>
    <format dxfId="1564">
      <pivotArea dataOnly="0" outline="0" fieldPosition="0">
        <references count="1">
          <reference field="2" count="0" defaultSubtotal="1"/>
        </references>
      </pivotArea>
    </format>
    <format dxfId="1563">
      <pivotArea dataOnly="0" outline="0" fieldPosition="0">
        <references count="1">
          <reference field="1" count="0" defaultSubtotal="1"/>
        </references>
      </pivotArea>
    </format>
    <format dxfId="1562">
      <pivotArea dataOnly="0" outline="0" fieldPosition="0">
        <references count="1">
          <reference field="1" count="0" defaultSubtotal="1"/>
        </references>
      </pivotArea>
    </format>
    <format dxfId="1561">
      <pivotArea dataOnly="0" outline="0" fieldPosition="0">
        <references count="1">
          <reference field="1" count="0" defaultSubtotal="1"/>
        </references>
      </pivotArea>
    </format>
    <format dxfId="1560">
      <pivotArea type="all" dataOnly="0" outline="0" fieldPosition="0"/>
    </format>
    <format dxfId="1559">
      <pivotArea outline="0" collapsedLevelsAreSubtotals="1" fieldPosition="0"/>
    </format>
    <format dxfId="1558">
      <pivotArea type="origin" dataOnly="0" labelOnly="1" outline="0" fieldPosition="0"/>
    </format>
    <format dxfId="1557">
      <pivotArea type="topRight" dataOnly="0" labelOnly="1" outline="0" fieldPosition="0"/>
    </format>
    <format dxfId="1556">
      <pivotArea field="1" type="button" dataOnly="0" labelOnly="1" outline="0" axis="axisRow" fieldPosition="0"/>
    </format>
    <format dxfId="1555">
      <pivotArea field="2" type="button" dataOnly="0" labelOnly="1" outline="0" axis="axisRow" fieldPosition="2"/>
    </format>
    <format dxfId="1554">
      <pivotArea field="3" type="button" dataOnly="0" labelOnly="1" outline="0" axis="axisRow" fieldPosition="3"/>
    </format>
    <format dxfId="1553">
      <pivotArea field="11" type="button" dataOnly="0" labelOnly="1" outline="0" axis="axisRow" fieldPosition="4"/>
    </format>
    <format dxfId="1552">
      <pivotArea field="4" type="button" dataOnly="0" labelOnly="1" outline="0"/>
    </format>
    <format dxfId="1551">
      <pivotArea field="6" type="button" dataOnly="0" labelOnly="1" outline="0" axis="axisRow" fieldPosition="5"/>
    </format>
    <format dxfId="1550">
      <pivotArea field="7" type="button" dataOnly="0" labelOnly="1" outline="0" axis="axisRow" fieldPosition="6"/>
    </format>
    <format dxfId="1549">
      <pivotArea dataOnly="0" labelOnly="1" outline="0" fieldPosition="0">
        <references count="1">
          <reference field="1" count="11">
            <x v="147"/>
            <x v="148"/>
            <x v="152"/>
            <x v="153"/>
            <x v="154"/>
            <x v="155"/>
            <x v="156"/>
            <x v="160"/>
            <x v="161"/>
            <x v="162"/>
            <x v="163"/>
          </reference>
        </references>
      </pivotArea>
    </format>
    <format dxfId="1548">
      <pivotArea dataOnly="0" labelOnly="1" outline="0" fieldPosition="0">
        <references count="1">
          <reference field="1" count="11" defaultSubtotal="1">
            <x v="147"/>
            <x v="148"/>
            <x v="152"/>
            <x v="153"/>
            <x v="154"/>
            <x v="155"/>
            <x v="156"/>
            <x v="160"/>
            <x v="161"/>
            <x v="162"/>
            <x v="163"/>
          </reference>
        </references>
      </pivotArea>
    </format>
    <format dxfId="1547">
      <pivotArea dataOnly="0" labelOnly="1" grandRow="1" outline="0" fieldPosition="0"/>
    </format>
    <format dxfId="1546">
      <pivotArea type="topRight" dataOnly="0" labelOnly="1" outline="0" fieldPosition="0"/>
    </format>
    <format dxfId="1545">
      <pivotArea type="all" dataOnly="0" outline="0" fieldPosition="0"/>
    </format>
    <format dxfId="1544">
      <pivotArea outline="0" collapsedLevelsAreSubtotals="1" fieldPosition="0"/>
    </format>
    <format dxfId="1543">
      <pivotArea type="origin" dataOnly="0" labelOnly="1" outline="0" fieldPosition="0"/>
    </format>
    <format dxfId="1542">
      <pivotArea type="topRight" dataOnly="0" labelOnly="1" outline="0" fieldPosition="0"/>
    </format>
    <format dxfId="1541">
      <pivotArea field="1" type="button" dataOnly="0" labelOnly="1" outline="0" axis="axisRow" fieldPosition="0"/>
    </format>
    <format dxfId="1540">
      <pivotArea field="2" type="button" dataOnly="0" labelOnly="1" outline="0" axis="axisRow" fieldPosition="2"/>
    </format>
    <format dxfId="1539">
      <pivotArea field="3" type="button" dataOnly="0" labelOnly="1" outline="0" axis="axisRow" fieldPosition="3"/>
    </format>
    <format dxfId="1538">
      <pivotArea field="11" type="button" dataOnly="0" labelOnly="1" outline="0" axis="axisRow" fieldPosition="4"/>
    </format>
    <format dxfId="1537">
      <pivotArea field="6" type="button" dataOnly="0" labelOnly="1" outline="0" axis="axisRow" fieldPosition="5"/>
    </format>
    <format dxfId="1536">
      <pivotArea field="7" type="button" dataOnly="0" labelOnly="1" outline="0" axis="axisRow" fieldPosition="6"/>
    </format>
    <format dxfId="1535">
      <pivotArea dataOnly="0" labelOnly="1" outline="0" fieldPosition="0">
        <references count="1">
          <reference field="1" count="11">
            <x v="147"/>
            <x v="148"/>
            <x v="152"/>
            <x v="153"/>
            <x v="154"/>
            <x v="155"/>
            <x v="156"/>
            <x v="160"/>
            <x v="161"/>
            <x v="162"/>
            <x v="163"/>
          </reference>
        </references>
      </pivotArea>
    </format>
    <format dxfId="1534">
      <pivotArea dataOnly="0" labelOnly="1" outline="0" fieldPosition="0">
        <references count="1">
          <reference field="1" count="11" defaultSubtotal="1">
            <x v="147"/>
            <x v="148"/>
            <x v="152"/>
            <x v="153"/>
            <x v="154"/>
            <x v="155"/>
            <x v="156"/>
            <x v="160"/>
            <x v="161"/>
            <x v="162"/>
            <x v="163"/>
          </reference>
        </references>
      </pivotArea>
    </format>
    <format dxfId="1533">
      <pivotArea dataOnly="0" labelOnly="1" grandRow="1" outline="0" fieldPosition="0"/>
    </format>
    <format dxfId="1532">
      <pivotArea type="topRight" dataOnly="0" labelOnly="1" outline="0" fieldPosition="0"/>
    </format>
    <format dxfId="1531">
      <pivotArea dataOnly="0" outline="0" fieldPosition="0">
        <references count="1">
          <reference field="2" count="0" defaultSubtotal="1"/>
        </references>
      </pivotArea>
    </format>
    <format dxfId="1530">
      <pivotArea dataOnly="0" outline="0" fieldPosition="0">
        <references count="1">
          <reference field="2" count="0" defaultSubtotal="1"/>
        </references>
      </pivotArea>
    </format>
    <format dxfId="1529">
      <pivotArea dataOnly="0" outline="0" fieldPosition="0">
        <references count="1">
          <reference field="2" count="0" defaultSubtotal="1"/>
        </references>
      </pivotArea>
    </format>
    <format dxfId="1528">
      <pivotArea dataOnly="0" outline="0" fieldPosition="0">
        <references count="1">
          <reference field="1" count="0" defaultSubtotal="1"/>
        </references>
      </pivotArea>
    </format>
    <format dxfId="1527">
      <pivotArea type="origin" dataOnly="0" labelOnly="1" outline="0" fieldPosition="0"/>
    </format>
    <format dxfId="1526">
      <pivotArea field="1" type="button" dataOnly="0" labelOnly="1" outline="0" axis="axisRow" fieldPosition="0"/>
    </format>
    <format dxfId="1525">
      <pivotArea field="2" type="button" dataOnly="0" labelOnly="1" outline="0" axis="axisRow" fieldPosition="2"/>
    </format>
    <format dxfId="1524">
      <pivotArea field="3" type="button" dataOnly="0" labelOnly="1" outline="0" axis="axisRow" fieldPosition="3"/>
    </format>
    <format dxfId="1523">
      <pivotArea field="11" type="button" dataOnly="0" labelOnly="1" outline="0" axis="axisRow" fieldPosition="4"/>
    </format>
    <format dxfId="1522">
      <pivotArea field="6" type="button" dataOnly="0" labelOnly="1" outline="0" axis="axisRow" fieldPosition="5"/>
    </format>
    <format dxfId="1521">
      <pivotArea field="7" type="button" dataOnly="0" labelOnly="1" outline="0" axis="axisRow" fieldPosition="6"/>
    </format>
    <format dxfId="1520">
      <pivotArea type="origin" dataOnly="0" labelOnly="1" outline="0" fieldPosition="0"/>
    </format>
    <format dxfId="1519">
      <pivotArea field="1" type="button" dataOnly="0" labelOnly="1" outline="0" axis="axisRow" fieldPosition="0"/>
    </format>
    <format dxfId="1518">
      <pivotArea field="2" type="button" dataOnly="0" labelOnly="1" outline="0" axis="axisRow" fieldPosition="2"/>
    </format>
    <format dxfId="1517">
      <pivotArea field="3" type="button" dataOnly="0" labelOnly="1" outline="0" axis="axisRow" fieldPosition="3"/>
    </format>
    <format dxfId="1516">
      <pivotArea field="11" type="button" dataOnly="0" labelOnly="1" outline="0" axis="axisRow" fieldPosition="4"/>
    </format>
    <format dxfId="1515">
      <pivotArea field="6" type="button" dataOnly="0" labelOnly="1" outline="0" axis="axisRow" fieldPosition="5"/>
    </format>
    <format dxfId="1514">
      <pivotArea field="7" type="button" dataOnly="0" labelOnly="1" outline="0" axis="axisRow" fieldPosition="6"/>
    </format>
    <format dxfId="1513">
      <pivotArea type="origin" dataOnly="0" labelOnly="1" outline="0" fieldPosition="0"/>
    </format>
    <format dxfId="1512">
      <pivotArea field="1" type="button" dataOnly="0" labelOnly="1" outline="0" axis="axisRow" fieldPosition="0"/>
    </format>
    <format dxfId="1511">
      <pivotArea field="2" type="button" dataOnly="0" labelOnly="1" outline="0" axis="axisRow" fieldPosition="2"/>
    </format>
    <format dxfId="1510">
      <pivotArea field="3" type="button" dataOnly="0" labelOnly="1" outline="0" axis="axisRow" fieldPosition="3"/>
    </format>
    <format dxfId="1509">
      <pivotArea field="11" type="button" dataOnly="0" labelOnly="1" outline="0" axis="axisRow" fieldPosition="4"/>
    </format>
    <format dxfId="1508">
      <pivotArea field="6" type="button" dataOnly="0" labelOnly="1" outline="0" axis="axisRow" fieldPosition="5"/>
    </format>
    <format dxfId="1507">
      <pivotArea field="7" type="button" dataOnly="0" labelOnly="1" outline="0" axis="axisRow" fieldPosition="6"/>
    </format>
    <format dxfId="1506">
      <pivotArea type="all" dataOnly="0" outline="0" fieldPosition="0"/>
    </format>
    <format dxfId="1505">
      <pivotArea outline="0" collapsedLevelsAreSubtotals="1" fieldPosition="0"/>
    </format>
    <format dxfId="1504">
      <pivotArea type="origin" dataOnly="0" labelOnly="1" outline="0" fieldPosition="0"/>
    </format>
    <format dxfId="1503">
      <pivotArea type="topRight" dataOnly="0" labelOnly="1" outline="0" fieldPosition="0"/>
    </format>
    <format dxfId="1502">
      <pivotArea field="1" type="button" dataOnly="0" labelOnly="1" outline="0" axis="axisRow" fieldPosition="0"/>
    </format>
    <format dxfId="1501">
      <pivotArea field="2" type="button" dataOnly="0" labelOnly="1" outline="0" axis="axisRow" fieldPosition="2"/>
    </format>
    <format dxfId="1500">
      <pivotArea field="3" type="button" dataOnly="0" labelOnly="1" outline="0" axis="axisRow" fieldPosition="3"/>
    </format>
    <format dxfId="1499">
      <pivotArea field="11" type="button" dataOnly="0" labelOnly="1" outline="0" axis="axisRow" fieldPosition="4"/>
    </format>
    <format dxfId="1498">
      <pivotArea field="6" type="button" dataOnly="0" labelOnly="1" outline="0" axis="axisRow" fieldPosition="5"/>
    </format>
    <format dxfId="1497">
      <pivotArea field="7" type="button" dataOnly="0" labelOnly="1" outline="0" axis="axisRow" fieldPosition="6"/>
    </format>
    <format dxfId="1496">
      <pivotArea dataOnly="0" labelOnly="1" outline="0" fieldPosition="0">
        <references count="1">
          <reference field="1" count="11">
            <x v="147"/>
            <x v="148"/>
            <x v="152"/>
            <x v="153"/>
            <x v="154"/>
            <x v="155"/>
            <x v="156"/>
            <x v="160"/>
            <x v="161"/>
            <x v="162"/>
            <x v="163"/>
          </reference>
        </references>
      </pivotArea>
    </format>
    <format dxfId="1495">
      <pivotArea dataOnly="0" labelOnly="1" outline="0" fieldPosition="0">
        <references count="1">
          <reference field="1" count="11" defaultSubtotal="1">
            <x v="147"/>
            <x v="148"/>
            <x v="152"/>
            <x v="153"/>
            <x v="154"/>
            <x v="155"/>
            <x v="156"/>
            <x v="160"/>
            <x v="161"/>
            <x v="162"/>
            <x v="163"/>
          </reference>
        </references>
      </pivotArea>
    </format>
    <format dxfId="1494">
      <pivotArea dataOnly="0" labelOnly="1" grandRow="1" outline="0" fieldPosition="0"/>
    </format>
    <format dxfId="1493">
      <pivotArea type="topRight" dataOnly="0" labelOnly="1" outline="0" fieldPosition="0"/>
    </format>
    <format dxfId="1492">
      <pivotArea field="8" type="button" dataOnly="0" labelOnly="1" outline="0" axis="axisRow" fieldPosition="7"/>
    </format>
    <format dxfId="1491">
      <pivotArea field="9" type="button" dataOnly="0" labelOnly="1" outline="0" axis="axisRow" fieldPosition="8"/>
    </format>
    <format dxfId="1490">
      <pivotArea field="9" type="button" dataOnly="0" labelOnly="1" outline="0" axis="axisRow" fieldPosition="8"/>
    </format>
    <format dxfId="1489">
      <pivotArea dataOnly="0" labelOnly="1" outline="0" fieldPosition="0">
        <references count="1">
          <reference field="9" count="0"/>
        </references>
      </pivotArea>
    </format>
    <format dxfId="1488">
      <pivotArea dataOnly="0" labelOnly="1" outline="0" fieldPosition="0">
        <references count="1">
          <reference field="9" count="0"/>
        </references>
      </pivotArea>
    </format>
    <format dxfId="1487">
      <pivotArea field="9" type="button" dataOnly="0" labelOnly="1" outline="0" axis="axisRow" fieldPosition="8"/>
    </format>
    <format dxfId="1486">
      <pivotArea field="2" type="button" dataOnly="0" labelOnly="1" outline="0" axis="axisRow" fieldPosition="2"/>
    </format>
    <format dxfId="1485">
      <pivotArea field="3" type="button" dataOnly="0" labelOnly="1" outline="0" axis="axisRow" fieldPosition="3"/>
    </format>
    <format dxfId="1484">
      <pivotArea field="11" type="button" dataOnly="0" labelOnly="1" outline="0" axis="axisRow" fieldPosition="4"/>
    </format>
    <format dxfId="1483">
      <pivotArea field="6" type="button" dataOnly="0" labelOnly="1" outline="0" axis="axisRow" fieldPosition="5"/>
    </format>
    <format dxfId="1482">
      <pivotArea field="7" type="button" dataOnly="0" labelOnly="1" outline="0" axis="axisRow" fieldPosition="6"/>
    </format>
    <format dxfId="1481">
      <pivotArea field="8" type="button" dataOnly="0" labelOnly="1" outline="0" axis="axisRow" fieldPosition="7"/>
    </format>
    <format dxfId="1480">
      <pivotArea field="2" type="button" dataOnly="0" labelOnly="1" outline="0" axis="axisRow" fieldPosition="2"/>
    </format>
    <format dxfId="1479">
      <pivotArea field="3" type="button" dataOnly="0" labelOnly="1" outline="0" axis="axisRow" fieldPosition="3"/>
    </format>
    <format dxfId="1478">
      <pivotArea field="11" type="button" dataOnly="0" labelOnly="1" outline="0" axis="axisRow" fieldPosition="4"/>
    </format>
    <format dxfId="1477">
      <pivotArea field="6" type="button" dataOnly="0" labelOnly="1" outline="0" axis="axisRow" fieldPosition="5"/>
    </format>
    <format dxfId="1476">
      <pivotArea field="7" type="button" dataOnly="0" labelOnly="1" outline="0" axis="axisRow" fieldPosition="6"/>
    </format>
    <format dxfId="1475">
      <pivotArea field="8" type="button" dataOnly="0" labelOnly="1" outline="0" axis="axisRow" fieldPosition="7"/>
    </format>
    <format dxfId="1474">
      <pivotArea field="8" type="button" dataOnly="0" labelOnly="1" outline="0" axis="axisRow" fieldPosition="7"/>
    </format>
    <format dxfId="1473">
      <pivotArea field="8" type="button" dataOnly="0" labelOnly="1" outline="0" axis="axisRow" fieldPosition="7"/>
    </format>
    <format dxfId="1472">
      <pivotArea type="origin" dataOnly="0" labelOnly="1" outline="0" fieldPosition="0"/>
    </format>
    <format dxfId="1471">
      <pivotArea type="origin" dataOnly="0" labelOnly="1" outline="0" offset="A1:F1" fieldPosition="0"/>
    </format>
    <format dxfId="1470">
      <pivotArea field="1" type="button" dataOnly="0" labelOnly="1" outline="0" axis="axisRow" fieldPosition="0"/>
    </format>
    <format dxfId="1469">
      <pivotArea field="2" type="button" dataOnly="0" labelOnly="1" outline="0" axis="axisRow" fieldPosition="2"/>
    </format>
    <format dxfId="1468">
      <pivotArea field="3" type="button" dataOnly="0" labelOnly="1" outline="0" axis="axisRow" fieldPosition="3"/>
    </format>
    <format dxfId="1467">
      <pivotArea field="11" type="button" dataOnly="0" labelOnly="1" outline="0" axis="axisRow" fieldPosition="4"/>
    </format>
    <format dxfId="1466">
      <pivotArea field="6" type="button" dataOnly="0" labelOnly="1" outline="0" axis="axisRow" fieldPosition="5"/>
    </format>
    <format dxfId="1465">
      <pivotArea field="7" type="button" dataOnly="0" labelOnly="1" outline="0" axis="axisRow" fieldPosition="6"/>
    </format>
    <format dxfId="1464">
      <pivotArea type="origin" dataOnly="0" labelOnly="1" outline="0" offset="G1:I1" fieldPosition="0"/>
    </format>
    <format dxfId="1463">
      <pivotArea field="8" type="button" dataOnly="0" labelOnly="1" outline="0" axis="axisRow" fieldPosition="7"/>
    </format>
    <format dxfId="1462">
      <pivotArea field="9" type="button" dataOnly="0" labelOnly="1" outline="0" axis="axisRow" fieldPosition="8"/>
    </format>
    <format dxfId="1461">
      <pivotArea field="8" type="button" dataOnly="0" labelOnly="1" outline="0" axis="axisRow" fieldPosition="7"/>
    </format>
    <format dxfId="1460">
      <pivotArea field="8" type="button" dataOnly="0" labelOnly="1" outline="0" axis="axisRow" fieldPosition="7"/>
    </format>
    <format dxfId="1459">
      <pivotArea field="9" type="button" dataOnly="0" labelOnly="1" outline="0" axis="axisRow" fieldPosition="8"/>
    </format>
    <format dxfId="1458">
      <pivotArea field="9" type="button" dataOnly="0" labelOnly="1" outline="0" axis="axisRow" fieldPosition="8"/>
    </format>
    <format dxfId="1457">
      <pivotArea field="8" type="button" dataOnly="0" labelOnly="1" outline="0" axis="axisRow" fieldPosition="7"/>
    </format>
    <format dxfId="1456">
      <pivotArea field="8" type="button" dataOnly="0" labelOnly="1" outline="0" axis="axisRow" fieldPosition="7"/>
    </format>
    <format dxfId="1455">
      <pivotArea field="8" type="button" dataOnly="0" labelOnly="1" outline="0" axis="axisRow" fieldPosition="7"/>
    </format>
    <format dxfId="1454">
      <pivotArea type="origin" dataOnly="0" labelOnly="1" outline="0" fieldPosition="0"/>
    </format>
    <format dxfId="1453">
      <pivotArea type="topRight" dataOnly="0" labelOnly="1" outline="0" fieldPosition="0"/>
    </format>
    <format dxfId="1452">
      <pivotArea field="1" type="button" dataOnly="0" labelOnly="1" outline="0" axis="axisRow" fieldPosition="0"/>
    </format>
    <format dxfId="1451">
      <pivotArea field="2" type="button" dataOnly="0" labelOnly="1" outline="0" axis="axisRow" fieldPosition="2"/>
    </format>
    <format dxfId="1450">
      <pivotArea field="3" type="button" dataOnly="0" labelOnly="1" outline="0" axis="axisRow" fieldPosition="3"/>
    </format>
    <format dxfId="1449">
      <pivotArea field="11" type="button" dataOnly="0" labelOnly="1" outline="0" axis="axisRow" fieldPosition="4"/>
    </format>
    <format dxfId="1448">
      <pivotArea field="6" type="button" dataOnly="0" labelOnly="1" outline="0" axis="axisRow" fieldPosition="5"/>
    </format>
    <format dxfId="1447">
      <pivotArea field="7" type="button" dataOnly="0" labelOnly="1" outline="0" axis="axisRow" fieldPosition="6"/>
    </format>
    <format dxfId="1446">
      <pivotArea field="8" type="button" dataOnly="0" labelOnly="1" outline="0" axis="axisRow" fieldPosition="7"/>
    </format>
    <format dxfId="1445">
      <pivotArea field="9" type="button" dataOnly="0" labelOnly="1" outline="0" axis="axisRow" fieldPosition="8"/>
    </format>
    <format dxfId="1444">
      <pivotArea type="topRight" dataOnly="0" labelOnly="1" outline="0" fieldPosition="0"/>
    </format>
    <format dxfId="1443">
      <pivotArea type="origin" dataOnly="0" labelOnly="1" outline="0" fieldPosition="0"/>
    </format>
    <format dxfId="1442">
      <pivotArea type="topRight" dataOnly="0" labelOnly="1" outline="0" fieldPosition="0"/>
    </format>
    <format dxfId="1441">
      <pivotArea field="1" type="button" dataOnly="0" labelOnly="1" outline="0" axis="axisRow" fieldPosition="0"/>
    </format>
    <format dxfId="1440">
      <pivotArea field="2" type="button" dataOnly="0" labelOnly="1" outline="0" axis="axisRow" fieldPosition="2"/>
    </format>
    <format dxfId="1439">
      <pivotArea field="3" type="button" dataOnly="0" labelOnly="1" outline="0" axis="axisRow" fieldPosition="3"/>
    </format>
    <format dxfId="1438">
      <pivotArea field="11" type="button" dataOnly="0" labelOnly="1" outline="0" axis="axisRow" fieldPosition="4"/>
    </format>
    <format dxfId="1437">
      <pivotArea field="6" type="button" dataOnly="0" labelOnly="1" outline="0" axis="axisRow" fieldPosition="5"/>
    </format>
    <format dxfId="1436">
      <pivotArea field="7" type="button" dataOnly="0" labelOnly="1" outline="0" axis="axisRow" fieldPosition="6"/>
    </format>
    <format dxfId="1435">
      <pivotArea field="8" type="button" dataOnly="0" labelOnly="1" outline="0" axis="axisRow" fieldPosition="7"/>
    </format>
    <format dxfId="1434">
      <pivotArea field="9" type="button" dataOnly="0" labelOnly="1" outline="0" axis="axisRow" fieldPosition="8"/>
    </format>
    <format dxfId="1433">
      <pivotArea type="topRight" dataOnly="0" labelOnly="1" outline="0" fieldPosition="0"/>
    </format>
    <format dxfId="1432">
      <pivotArea dataOnly="0" outline="0" fieldPosition="0">
        <references count="1">
          <reference field="1" count="0" defaultSubtotal="1"/>
        </references>
      </pivotArea>
    </format>
    <format dxfId="1431">
      <pivotArea field="1" type="button" dataOnly="0" labelOnly="1" outline="0" axis="axisRow" fieldPosition="0"/>
    </format>
    <format dxfId="1430">
      <pivotArea field="2" type="button" dataOnly="0" labelOnly="1" outline="0" axis="axisRow" fieldPosition="2"/>
    </format>
    <format dxfId="1429">
      <pivotArea field="3" type="button" dataOnly="0" labelOnly="1" outline="0" axis="axisRow" fieldPosition="3"/>
    </format>
    <format dxfId="1428">
      <pivotArea field="11" type="button" dataOnly="0" labelOnly="1" outline="0" axis="axisRow" fieldPosition="4"/>
    </format>
    <format dxfId="1427">
      <pivotArea field="6" type="button" dataOnly="0" labelOnly="1" outline="0" axis="axisRow" fieldPosition="5"/>
    </format>
    <format dxfId="1426">
      <pivotArea field="7" type="button" dataOnly="0" labelOnly="1" outline="0" axis="axisRow" fieldPosition="6"/>
    </format>
    <format dxfId="1425">
      <pivotArea field="8" type="button" dataOnly="0" labelOnly="1" outline="0" axis="axisRow" fieldPosition="7"/>
    </format>
    <format dxfId="1424">
      <pivotArea field="9" type="button" dataOnly="0" labelOnly="1" outline="0" axis="axisRow" fieldPosition="8"/>
    </format>
    <format dxfId="1423">
      <pivotArea field="1" type="button" dataOnly="0" labelOnly="1" outline="0" axis="axisRow" fieldPosition="0"/>
    </format>
    <format dxfId="1422">
      <pivotArea field="2" type="button" dataOnly="0" labelOnly="1" outline="0" axis="axisRow" fieldPosition="2"/>
    </format>
    <format dxfId="1421">
      <pivotArea field="3" type="button" dataOnly="0" labelOnly="1" outline="0" axis="axisRow" fieldPosition="3"/>
    </format>
    <format dxfId="1420">
      <pivotArea field="11" type="button" dataOnly="0" labelOnly="1" outline="0" axis="axisRow" fieldPosition="4"/>
    </format>
    <format dxfId="1419">
      <pivotArea field="6" type="button" dataOnly="0" labelOnly="1" outline="0" axis="axisRow" fieldPosition="5"/>
    </format>
    <format dxfId="1418">
      <pivotArea field="7" type="button" dataOnly="0" labelOnly="1" outline="0" axis="axisRow" fieldPosition="6"/>
    </format>
    <format dxfId="1417">
      <pivotArea field="8" type="button" dataOnly="0" labelOnly="1" outline="0" axis="axisRow" fieldPosition="7"/>
    </format>
    <format dxfId="1416">
      <pivotArea field="9" type="button" dataOnly="0" labelOnly="1" outline="0" axis="axisRow" fieldPosition="8"/>
    </format>
    <format dxfId="1415">
      <pivotArea field="0" type="button" dataOnly="0" labelOnly="1" outline="0" axis="axisRow" fieldPosition="1"/>
    </format>
    <format dxfId="1414">
      <pivotArea field="0" type="button" dataOnly="0" labelOnly="1" outline="0" axis="axisRow" fieldPosition="1"/>
    </format>
    <format dxfId="1413">
      <pivotArea field="0" type="button" dataOnly="0" labelOnly="1" outline="0" axis="axisRow" fieldPosition="1"/>
    </format>
    <format dxfId="1412">
      <pivotArea field="0" type="button" dataOnly="0" labelOnly="1" outline="0" axis="axisRow" fieldPosition="1"/>
    </format>
    <format dxfId="1411">
      <pivotArea type="all" dataOnly="0" outline="0" fieldPosition="0"/>
    </format>
    <format dxfId="1410">
      <pivotArea type="origin" dataOnly="0" labelOnly="1" outline="0" fieldPosition="0"/>
    </format>
    <format dxfId="1409">
      <pivotArea field="8" type="button" dataOnly="0" labelOnly="1" outline="0" axis="axisRow" fieldPosition="7"/>
    </format>
    <format dxfId="1408">
      <pivotArea field="9" type="button" dataOnly="0" labelOnly="1" outline="0" axis="axisRow" fieldPosition="8"/>
    </format>
    <format dxfId="1407">
      <pivotArea type="all" dataOnly="0" outline="0" fieldPosition="0"/>
    </format>
    <format dxfId="1406">
      <pivotArea outline="0" collapsedLevelsAreSubtotals="1" fieldPosition="0"/>
    </format>
    <format dxfId="1405">
      <pivotArea type="origin" dataOnly="0" labelOnly="1" outline="0" fieldPosition="0"/>
    </format>
    <format dxfId="1404">
      <pivotArea type="topRight" dataOnly="0" labelOnly="1" outline="0" fieldPosition="0"/>
    </format>
    <format dxfId="1403">
      <pivotArea field="1" type="button" dataOnly="0" labelOnly="1" outline="0" axis="axisRow" fieldPosition="0"/>
    </format>
    <format dxfId="1402">
      <pivotArea field="0" type="button" dataOnly="0" labelOnly="1" outline="0" axis="axisRow" fieldPosition="1"/>
    </format>
    <format dxfId="1401">
      <pivotArea field="2" type="button" dataOnly="0" labelOnly="1" outline="0" axis="axisRow" fieldPosition="2"/>
    </format>
    <format dxfId="1400">
      <pivotArea field="3" type="button" dataOnly="0" labelOnly="1" outline="0" axis="axisRow" fieldPosition="3"/>
    </format>
    <format dxfId="1399">
      <pivotArea field="11" type="button" dataOnly="0" labelOnly="1" outline="0" axis="axisRow" fieldPosition="4"/>
    </format>
    <format dxfId="1398">
      <pivotArea field="6" type="button" dataOnly="0" labelOnly="1" outline="0" axis="axisRow" fieldPosition="5"/>
    </format>
    <format dxfId="1397">
      <pivotArea field="7" type="button" dataOnly="0" labelOnly="1" outline="0" axis="axisRow" fieldPosition="6"/>
    </format>
    <format dxfId="1396">
      <pivotArea field="8" type="button" dataOnly="0" labelOnly="1" outline="0" axis="axisRow" fieldPosition="7"/>
    </format>
    <format dxfId="1395">
      <pivotArea field="9" type="button" dataOnly="0" labelOnly="1" outline="0" axis="axisRow" fieldPosition="8"/>
    </format>
    <format dxfId="1394">
      <pivotArea dataOnly="0" labelOnly="1" outline="0" fieldPosition="0">
        <references count="1">
          <reference field="1" count="12">
            <x v="165"/>
            <x v="166"/>
            <x v="167"/>
            <x v="168"/>
            <x v="169"/>
            <x v="173"/>
            <x v="174"/>
            <x v="175"/>
            <x v="176"/>
            <x v="180"/>
            <x v="181"/>
            <x v="182"/>
          </reference>
        </references>
      </pivotArea>
    </format>
    <format dxfId="1393">
      <pivotArea dataOnly="0" labelOnly="1" outline="0" fieldPosition="0">
        <references count="1">
          <reference field="1" count="12" defaultSubtotal="1">
            <x v="165"/>
            <x v="166"/>
            <x v="167"/>
            <x v="168"/>
            <x v="169"/>
            <x v="173"/>
            <x v="174"/>
            <x v="175"/>
            <x v="176"/>
            <x v="180"/>
            <x v="181"/>
            <x v="182"/>
          </reference>
        </references>
      </pivotArea>
    </format>
    <format dxfId="1392">
      <pivotArea dataOnly="0" labelOnly="1" outline="0" fieldPosition="0">
        <references count="2">
          <reference field="0" count="1">
            <x v="4"/>
          </reference>
          <reference field="1" count="1" selected="0">
            <x v="165"/>
          </reference>
        </references>
      </pivotArea>
    </format>
    <format dxfId="1391">
      <pivotArea dataOnly="0" labelOnly="1" outline="0" fieldPosition="0">
        <references count="2">
          <reference field="0" count="3">
            <x v="5"/>
            <x v="6"/>
            <x v="7"/>
          </reference>
          <reference field="1" count="1" selected="0">
            <x v="166"/>
          </reference>
        </references>
      </pivotArea>
    </format>
    <format dxfId="1390">
      <pivotArea dataOnly="0" labelOnly="1" outline="0" fieldPosition="0">
        <references count="2">
          <reference field="0" count="2">
            <x v="8"/>
            <x v="11"/>
          </reference>
          <reference field="1" count="1" selected="0">
            <x v="167"/>
          </reference>
        </references>
      </pivotArea>
    </format>
    <format dxfId="1389">
      <pivotArea dataOnly="0" labelOnly="1" outline="0" fieldPosition="0">
        <references count="2">
          <reference field="0" count="1">
            <x v="25"/>
          </reference>
          <reference field="1" count="1" selected="0">
            <x v="168"/>
          </reference>
        </references>
      </pivotArea>
    </format>
    <format dxfId="1388">
      <pivotArea dataOnly="0" labelOnly="1" outline="0" fieldPosition="0">
        <references count="2">
          <reference field="0" count="3">
            <x v="9"/>
            <x v="15"/>
            <x v="29"/>
          </reference>
          <reference field="1" count="1" selected="0">
            <x v="169"/>
          </reference>
        </references>
      </pivotArea>
    </format>
    <format dxfId="1387">
      <pivotArea dataOnly="0" labelOnly="1" outline="0" fieldPosition="0">
        <references count="2">
          <reference field="0" count="3">
            <x v="12"/>
            <x v="13"/>
            <x v="30"/>
          </reference>
          <reference field="1" count="1" selected="0">
            <x v="173"/>
          </reference>
        </references>
      </pivotArea>
    </format>
    <format dxfId="1386">
      <pivotArea dataOnly="0" labelOnly="1" outline="0" fieldPosition="0">
        <references count="2">
          <reference field="0" count="5">
            <x v="10"/>
            <x v="14"/>
            <x v="22"/>
            <x v="26"/>
            <x v="32"/>
          </reference>
          <reference field="1" count="1" selected="0">
            <x v="174"/>
          </reference>
        </references>
      </pivotArea>
    </format>
    <format dxfId="1385">
      <pivotArea dataOnly="0" labelOnly="1" outline="0" fieldPosition="0">
        <references count="2">
          <reference field="0" count="8">
            <x v="16"/>
            <x v="17"/>
            <x v="18"/>
            <x v="19"/>
            <x v="20"/>
            <x v="21"/>
            <x v="23"/>
            <x v="28"/>
          </reference>
          <reference field="1" count="1" selected="0">
            <x v="175"/>
          </reference>
        </references>
      </pivotArea>
    </format>
    <format dxfId="1384">
      <pivotArea dataOnly="0" labelOnly="1" outline="0" fieldPosition="0">
        <references count="2">
          <reference field="0" count="2">
            <x v="24"/>
            <x v="27"/>
          </reference>
          <reference field="1" count="1" selected="0">
            <x v="176"/>
          </reference>
        </references>
      </pivotArea>
    </format>
    <format dxfId="1383">
      <pivotArea dataOnly="0" labelOnly="1" outline="0" fieldPosition="0">
        <references count="2">
          <reference field="0" count="2">
            <x v="2"/>
            <x v="3"/>
          </reference>
          <reference field="1" count="1" selected="0">
            <x v="180"/>
          </reference>
        </references>
      </pivotArea>
    </format>
    <format dxfId="1382">
      <pivotArea dataOnly="0" labelOnly="1" outline="0" fieldPosition="0">
        <references count="2">
          <reference field="0" count="2">
            <x v="0"/>
            <x v="1"/>
          </reference>
          <reference field="1" count="1" selected="0">
            <x v="181"/>
          </reference>
        </references>
      </pivotArea>
    </format>
    <format dxfId="1381">
      <pivotArea dataOnly="0" labelOnly="1" outline="0" fieldPosition="0">
        <references count="2">
          <reference field="0" count="2">
            <x v="31"/>
            <x v="33"/>
          </reference>
          <reference field="1" count="1" selected="0">
            <x v="182"/>
          </reference>
        </references>
      </pivotArea>
    </format>
    <format dxfId="1380">
      <pivotArea type="topRight" dataOnly="0" labelOnly="1" outline="0" fieldPosition="0"/>
    </format>
    <format dxfId="1379">
      <pivotArea type="all" dataOnly="0" outline="0" fieldPosition="0"/>
    </format>
    <format dxfId="1378">
      <pivotArea outline="0" collapsedLevelsAreSubtotals="1" fieldPosition="0"/>
    </format>
    <format dxfId="1377">
      <pivotArea type="origin" dataOnly="0" labelOnly="1" outline="0" fieldPosition="0"/>
    </format>
    <format dxfId="1376">
      <pivotArea type="topRight" dataOnly="0" labelOnly="1" outline="0" fieldPosition="0"/>
    </format>
    <format dxfId="1375">
      <pivotArea field="1" type="button" dataOnly="0" labelOnly="1" outline="0" axis="axisRow" fieldPosition="0"/>
    </format>
    <format dxfId="1374">
      <pivotArea field="0" type="button" dataOnly="0" labelOnly="1" outline="0" axis="axisRow" fieldPosition="1"/>
    </format>
    <format dxfId="1373">
      <pivotArea field="2" type="button" dataOnly="0" labelOnly="1" outline="0" axis="axisRow" fieldPosition="2"/>
    </format>
    <format dxfId="1372">
      <pivotArea field="3" type="button" dataOnly="0" labelOnly="1" outline="0" axis="axisRow" fieldPosition="3"/>
    </format>
    <format dxfId="1371">
      <pivotArea field="11" type="button" dataOnly="0" labelOnly="1" outline="0" axis="axisRow" fieldPosition="4"/>
    </format>
    <format dxfId="1370">
      <pivotArea field="6" type="button" dataOnly="0" labelOnly="1" outline="0" axis="axisRow" fieldPosition="5"/>
    </format>
    <format dxfId="1369">
      <pivotArea field="7" type="button" dataOnly="0" labelOnly="1" outline="0" axis="axisRow" fieldPosition="6"/>
    </format>
    <format dxfId="1368">
      <pivotArea field="8" type="button" dataOnly="0" labelOnly="1" outline="0" axis="axisRow" fieldPosition="7"/>
    </format>
    <format dxfId="1367">
      <pivotArea field="9" type="button" dataOnly="0" labelOnly="1" outline="0" axis="axisRow" fieldPosition="8"/>
    </format>
    <format dxfId="1366">
      <pivotArea dataOnly="0" labelOnly="1" outline="0" fieldPosition="0">
        <references count="1">
          <reference field="1" count="12">
            <x v="165"/>
            <x v="166"/>
            <x v="167"/>
            <x v="168"/>
            <x v="169"/>
            <x v="173"/>
            <x v="174"/>
            <x v="175"/>
            <x v="176"/>
            <x v="180"/>
            <x v="181"/>
            <x v="182"/>
          </reference>
        </references>
      </pivotArea>
    </format>
    <format dxfId="1365">
      <pivotArea dataOnly="0" labelOnly="1" outline="0" fieldPosition="0">
        <references count="1">
          <reference field="1" count="12" defaultSubtotal="1">
            <x v="165"/>
            <x v="166"/>
            <x v="167"/>
            <x v="168"/>
            <x v="169"/>
            <x v="173"/>
            <x v="174"/>
            <x v="175"/>
            <x v="176"/>
            <x v="180"/>
            <x v="181"/>
            <x v="182"/>
          </reference>
        </references>
      </pivotArea>
    </format>
    <format dxfId="1364">
      <pivotArea dataOnly="0" labelOnly="1" outline="0" fieldPosition="0">
        <references count="2">
          <reference field="0" count="1">
            <x v="4"/>
          </reference>
          <reference field="1" count="1" selected="0">
            <x v="165"/>
          </reference>
        </references>
      </pivotArea>
    </format>
    <format dxfId="1363">
      <pivotArea dataOnly="0" labelOnly="1" outline="0" fieldPosition="0">
        <references count="2">
          <reference field="0" count="3">
            <x v="5"/>
            <x v="6"/>
            <x v="7"/>
          </reference>
          <reference field="1" count="1" selected="0">
            <x v="166"/>
          </reference>
        </references>
      </pivotArea>
    </format>
    <format dxfId="1362">
      <pivotArea dataOnly="0" labelOnly="1" outline="0" fieldPosition="0">
        <references count="2">
          <reference field="0" count="2">
            <x v="8"/>
            <x v="11"/>
          </reference>
          <reference field="1" count="1" selected="0">
            <x v="167"/>
          </reference>
        </references>
      </pivotArea>
    </format>
    <format dxfId="1361">
      <pivotArea dataOnly="0" labelOnly="1" outline="0" fieldPosition="0">
        <references count="2">
          <reference field="0" count="1">
            <x v="25"/>
          </reference>
          <reference field="1" count="1" selected="0">
            <x v="168"/>
          </reference>
        </references>
      </pivotArea>
    </format>
    <format dxfId="1360">
      <pivotArea dataOnly="0" labelOnly="1" outline="0" fieldPosition="0">
        <references count="2">
          <reference field="0" count="3">
            <x v="9"/>
            <x v="15"/>
            <x v="29"/>
          </reference>
          <reference field="1" count="1" selected="0">
            <x v="169"/>
          </reference>
        </references>
      </pivotArea>
    </format>
    <format dxfId="1359">
      <pivotArea dataOnly="0" labelOnly="1" outline="0" fieldPosition="0">
        <references count="2">
          <reference field="0" count="3">
            <x v="12"/>
            <x v="13"/>
            <x v="30"/>
          </reference>
          <reference field="1" count="1" selected="0">
            <x v="173"/>
          </reference>
        </references>
      </pivotArea>
    </format>
    <format dxfId="1358">
      <pivotArea dataOnly="0" labelOnly="1" outline="0" fieldPosition="0">
        <references count="2">
          <reference field="0" count="5">
            <x v="10"/>
            <x v="14"/>
            <x v="22"/>
            <x v="26"/>
            <x v="32"/>
          </reference>
          <reference field="1" count="1" selected="0">
            <x v="174"/>
          </reference>
        </references>
      </pivotArea>
    </format>
    <format dxfId="1357">
      <pivotArea dataOnly="0" labelOnly="1" outline="0" fieldPosition="0">
        <references count="2">
          <reference field="0" count="8">
            <x v="16"/>
            <x v="17"/>
            <x v="18"/>
            <x v="19"/>
            <x v="20"/>
            <x v="21"/>
            <x v="23"/>
            <x v="28"/>
          </reference>
          <reference field="1" count="1" selected="0">
            <x v="175"/>
          </reference>
        </references>
      </pivotArea>
    </format>
    <format dxfId="1356">
      <pivotArea dataOnly="0" labelOnly="1" outline="0" fieldPosition="0">
        <references count="2">
          <reference field="0" count="2">
            <x v="24"/>
            <x v="27"/>
          </reference>
          <reference field="1" count="1" selected="0">
            <x v="176"/>
          </reference>
        </references>
      </pivotArea>
    </format>
    <format dxfId="1355">
      <pivotArea dataOnly="0" labelOnly="1" outline="0" fieldPosition="0">
        <references count="2">
          <reference field="0" count="2">
            <x v="2"/>
            <x v="3"/>
          </reference>
          <reference field="1" count="1" selected="0">
            <x v="180"/>
          </reference>
        </references>
      </pivotArea>
    </format>
    <format dxfId="1354">
      <pivotArea dataOnly="0" labelOnly="1" outline="0" fieldPosition="0">
        <references count="2">
          <reference field="0" count="2">
            <x v="0"/>
            <x v="1"/>
          </reference>
          <reference field="1" count="1" selected="0">
            <x v="181"/>
          </reference>
        </references>
      </pivotArea>
    </format>
    <format dxfId="1353">
      <pivotArea dataOnly="0" labelOnly="1" outline="0" fieldPosition="0">
        <references count="2">
          <reference field="0" count="2">
            <x v="31"/>
            <x v="33"/>
          </reference>
          <reference field="1" count="1" selected="0">
            <x v="182"/>
          </reference>
        </references>
      </pivotArea>
    </format>
    <format dxfId="1352">
      <pivotArea type="topRight" dataOnly="0" labelOnly="1" outline="0" fieldPosition="0"/>
    </format>
    <format dxfId="1351">
      <pivotArea field="1" type="button" dataOnly="0" labelOnly="1" outline="0" axis="axisRow" fieldPosition="0"/>
    </format>
    <format dxfId="1350">
      <pivotArea field="0" type="button" dataOnly="0" labelOnly="1" outline="0" axis="axisRow" fieldPosition="1"/>
    </format>
    <format dxfId="1349">
      <pivotArea field="2" type="button" dataOnly="0" labelOnly="1" outline="0" axis="axisRow" fieldPosition="2"/>
    </format>
    <format dxfId="1348">
      <pivotArea field="3" type="button" dataOnly="0" labelOnly="1" outline="0" axis="axisRow" fieldPosition="3"/>
    </format>
    <format dxfId="1347">
      <pivotArea field="11" type="button" dataOnly="0" labelOnly="1" outline="0" axis="axisRow" fieldPosition="4"/>
    </format>
    <format dxfId="1346">
      <pivotArea field="6" type="button" dataOnly="0" labelOnly="1" outline="0" axis="axisRow" fieldPosition="5"/>
    </format>
    <format dxfId="1345">
      <pivotArea field="7" type="button" dataOnly="0" labelOnly="1" outline="0" axis="axisRow" fieldPosition="6"/>
    </format>
    <format dxfId="1344">
      <pivotArea field="8" type="button" dataOnly="0" labelOnly="1" outline="0" axis="axisRow" fieldPosition="7"/>
    </format>
    <format dxfId="1343">
      <pivotArea field="9" type="button" dataOnly="0" labelOnly="1" outline="0" axis="axisRow" fieldPosition="8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compact="0" compactData="0" gridDropZones="1">
  <location ref="A3:N5" firstHeaderRow="2" firstDataRow="2" firstDataCol="8"/>
  <pivotFields count="12">
    <pivotField axis="axisRow" compact="0" outline="0" showAll="0" defaultSubtotal="0">
      <items count="36">
        <item m="1" x="18"/>
        <item m="1" x="7"/>
        <item m="1" x="20"/>
        <item m="1" x="33"/>
        <item m="1" x="4"/>
        <item m="1" x="8"/>
        <item m="1" x="13"/>
        <item m="1" x="21"/>
        <item m="1" x="24"/>
        <item m="1" x="27"/>
        <item m="1" x="30"/>
        <item m="1" x="34"/>
        <item m="1" x="3"/>
        <item m="1" x="5"/>
        <item m="1" x="6"/>
        <item m="1" x="9"/>
        <item m="1" x="10"/>
        <item m="1" x="11"/>
        <item m="1" x="12"/>
        <item m="1" x="14"/>
        <item m="1" x="16"/>
        <item m="1" x="17"/>
        <item m="1" x="19"/>
        <item m="1" x="22"/>
        <item m="1" x="23"/>
        <item m="1" x="25"/>
        <item m="1" x="26"/>
        <item m="1" x="28"/>
        <item m="1" x="29"/>
        <item m="1" x="31"/>
        <item m="1" x="32"/>
        <item m="1" x="35"/>
        <item m="1" x="15"/>
        <item m="1" x="2"/>
        <item x="0"/>
        <item x="1"/>
      </items>
    </pivotField>
    <pivotField axis="axisRow" compact="0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axis="axisRow" compact="0" outline="0" showAll="0" sortType="ascending" defaultSubtotal="0">
      <items count="2">
        <item x="0"/>
        <item h="1" x="1"/>
      </items>
    </pivotField>
    <pivotField axis="axisRow" compact="0" outline="0" showAll="0" defaultSubtotal="0">
      <items count="3">
        <item x="1"/>
        <item m="1" x="2"/>
        <item x="0"/>
      </items>
    </pivotField>
    <pivotField compact="0" outline="0" showAll="0" defaultSubtota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compact="0" outline="0" showAl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29">
        <item m="1" x="27"/>
        <item m="1" x="4"/>
        <item m="1" x="9"/>
        <item m="1" x="26"/>
        <item m="1" x="17"/>
        <item m="1" x="5"/>
        <item m="1" x="12"/>
        <item m="1" x="18"/>
        <item m="1" x="23"/>
        <item m="1" x="24"/>
        <item m="1" x="3"/>
        <item m="1" x="16"/>
        <item m="1" x="8"/>
        <item m="1" x="19"/>
        <item x="1"/>
        <item x="0"/>
        <item m="1" x="25"/>
        <item m="1" x="7"/>
        <item m="1" x="20"/>
        <item m="1" x="22"/>
        <item m="1" x="28"/>
        <item m="1" x="15"/>
        <item m="1" x="14"/>
        <item m="1" x="2"/>
        <item m="1" x="21"/>
        <item m="1" x="11"/>
        <item m="1" x="13"/>
        <item m="1" x="10"/>
        <item m="1" x="6"/>
      </items>
    </pivotField>
    <pivotField axis="axisRow" compact="0" outline="0" showAll="0" defaultSubtotal="0">
      <items count="18">
        <item x="0"/>
        <item x="1"/>
        <item m="1" x="17"/>
        <item m="1" x="2"/>
        <item m="1" x="8"/>
        <item m="1" x="9"/>
        <item m="1" x="15"/>
        <item m="1" x="4"/>
        <item m="1" x="11"/>
        <item m="1" x="6"/>
        <item m="1" x="13"/>
        <item m="1" x="3"/>
        <item m="1" x="10"/>
        <item m="1" x="5"/>
        <item m="1" x="12"/>
        <item m="1" x="16"/>
        <item m="1" x="7"/>
        <item m="1" x="14"/>
      </items>
    </pivotField>
    <pivotField axis="axisRow" compact="0" outline="0" showAll="0" defaultSubtotal="0">
      <items count="27">
        <item m="1" x="18"/>
        <item m="1" x="12"/>
        <item m="1" x="6"/>
        <item m="1" x="17"/>
        <item m="1" x="10"/>
        <item m="1" x="22"/>
        <item m="1" x="5"/>
        <item m="1" x="15"/>
        <item m="1" x="24"/>
        <item m="1" x="7"/>
        <item m="1" x="20"/>
        <item x="1"/>
        <item m="1" x="2"/>
        <item x="0"/>
        <item m="1" x="3"/>
        <item m="1" x="9"/>
        <item m="1" x="8"/>
        <item m="1" x="25"/>
        <item m="1" x="19"/>
        <item m="1" x="11"/>
        <item m="1" x="21"/>
        <item m="1" x="4"/>
        <item m="1" x="13"/>
        <item m="1" x="23"/>
        <item m="1" x="16"/>
        <item m="1" x="26"/>
        <item m="1" x="14"/>
      </items>
    </pivotField>
    <pivotField compact="0" outline="0" showAll="0" defaultSubtotal="0">
      <items count="14">
        <item h="1" sd="0" x="0"/>
        <item sd="0" x="1"/>
        <item sd="0" x="2"/>
        <item sd="0" x="3"/>
        <item sd="0" x="4"/>
        <item x="5"/>
        <item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26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8">
    <field x="0"/>
    <field x="2"/>
    <field x="1"/>
    <field x="3"/>
    <field x="6"/>
    <field x="7"/>
    <field x="8"/>
    <field x="9"/>
  </rowFields>
  <rowItems count="1">
    <i>
      <x v="34"/>
      <x/>
      <x/>
      <x v="2"/>
      <x v="1"/>
      <x v="15"/>
      <x/>
      <x v="13"/>
    </i>
  </rowItems>
  <colItems count="1">
    <i/>
  </colItems>
  <formats count="132">
    <format dxfId="210">
      <pivotArea dataOnly="0" outline="0" fieldPosition="0">
        <references count="1">
          <reference field="2" count="0" defaultSubtotal="1"/>
        </references>
      </pivotArea>
    </format>
    <format dxfId="209">
      <pivotArea dataOnly="0" outline="0" fieldPosition="0">
        <references count="1">
          <reference field="2" count="0" defaultSubtotal="1"/>
        </references>
      </pivotArea>
    </format>
    <format dxfId="208">
      <pivotArea dataOnly="0" outline="0" fieldPosition="0">
        <references count="1">
          <reference field="2" count="0" defaultSubtotal="1"/>
        </references>
      </pivotArea>
    </format>
    <format dxfId="207">
      <pivotArea dataOnly="0" outline="0" fieldPosition="0">
        <references count="1">
          <reference field="2" count="0" defaultSubtotal="1"/>
        </references>
      </pivotArea>
    </format>
    <format dxfId="206">
      <pivotArea dataOnly="0" outline="0" fieldPosition="0">
        <references count="1">
          <reference field="1" count="0" defaultSubtotal="1"/>
        </references>
      </pivotArea>
    </format>
    <format dxfId="205">
      <pivotArea dataOnly="0" outline="0" fieldPosition="0">
        <references count="1">
          <reference field="1" count="0" defaultSubtotal="1"/>
        </references>
      </pivotArea>
    </format>
    <format dxfId="204">
      <pivotArea dataOnly="0" outline="0" fieldPosition="0">
        <references count="1">
          <reference field="1" count="0" defaultSubtotal="1"/>
        </references>
      </pivotArea>
    </format>
    <format dxfId="203">
      <pivotArea type="all" dataOnly="0" outline="0" fieldPosition="0"/>
    </format>
    <format dxfId="202">
      <pivotArea outline="0" collapsedLevelsAreSubtotals="1" fieldPosition="0"/>
    </format>
    <format dxfId="201">
      <pivotArea type="origin" dataOnly="0" labelOnly="1" outline="0" fieldPosition="0"/>
    </format>
    <format dxfId="200">
      <pivotArea type="topRight" dataOnly="0" labelOnly="1" outline="0" fieldPosition="0"/>
    </format>
    <format dxfId="199">
      <pivotArea field="1" type="button" dataOnly="0" labelOnly="1" outline="0" axis="axisRow" fieldPosition="2"/>
    </format>
    <format dxfId="198">
      <pivotArea field="2" type="button" dataOnly="0" labelOnly="1" outline="0" axis="axisRow" fieldPosition="1"/>
    </format>
    <format dxfId="197">
      <pivotArea field="3" type="button" dataOnly="0" labelOnly="1" outline="0" axis="axisRow" fieldPosition="3"/>
    </format>
    <format dxfId="196">
      <pivotArea field="11" type="button" dataOnly="0" labelOnly="1" outline="0"/>
    </format>
    <format dxfId="195">
      <pivotArea field="4" type="button" dataOnly="0" labelOnly="1" outline="0"/>
    </format>
    <format dxfId="194">
      <pivotArea field="6" type="button" dataOnly="0" labelOnly="1" outline="0" axis="axisRow" fieldPosition="4"/>
    </format>
    <format dxfId="193">
      <pivotArea field="7" type="button" dataOnly="0" labelOnly="1" outline="0" axis="axisRow" fieldPosition="5"/>
    </format>
    <format dxfId="192">
      <pivotArea dataOnly="0" labelOnly="1" outline="0" fieldPosition="0">
        <references count="1">
          <reference field="1" count="11">
            <x v="147"/>
            <x v="148"/>
            <x v="152"/>
            <x v="153"/>
            <x v="154"/>
            <x v="155"/>
            <x v="156"/>
            <x v="160"/>
            <x v="161"/>
            <x v="162"/>
            <x v="163"/>
          </reference>
        </references>
      </pivotArea>
    </format>
    <format dxfId="191">
      <pivotArea dataOnly="0" labelOnly="1" outline="0" fieldPosition="0">
        <references count="1">
          <reference field="1" count="11" defaultSubtotal="1">
            <x v="147"/>
            <x v="148"/>
            <x v="152"/>
            <x v="153"/>
            <x v="154"/>
            <x v="155"/>
            <x v="156"/>
            <x v="160"/>
            <x v="161"/>
            <x v="162"/>
            <x v="163"/>
          </reference>
        </references>
      </pivotArea>
    </format>
    <format dxfId="190">
      <pivotArea dataOnly="0" labelOnly="1" grandRow="1" outline="0" fieldPosition="0"/>
    </format>
    <format dxfId="189">
      <pivotArea type="topRight" dataOnly="0" labelOnly="1" outline="0" fieldPosition="0"/>
    </format>
    <format dxfId="188">
      <pivotArea type="all" dataOnly="0" outline="0" fieldPosition="0"/>
    </format>
    <format dxfId="187">
      <pivotArea outline="0" collapsedLevelsAreSubtotals="1" fieldPosition="0"/>
    </format>
    <format dxfId="186">
      <pivotArea type="origin" dataOnly="0" labelOnly="1" outline="0" fieldPosition="0"/>
    </format>
    <format dxfId="185">
      <pivotArea type="topRight" dataOnly="0" labelOnly="1" outline="0" fieldPosition="0"/>
    </format>
    <format dxfId="184">
      <pivotArea field="1" type="button" dataOnly="0" labelOnly="1" outline="0" axis="axisRow" fieldPosition="2"/>
    </format>
    <format dxfId="183">
      <pivotArea field="2" type="button" dataOnly="0" labelOnly="1" outline="0" axis="axisRow" fieldPosition="1"/>
    </format>
    <format dxfId="182">
      <pivotArea field="3" type="button" dataOnly="0" labelOnly="1" outline="0" axis="axisRow" fieldPosition="3"/>
    </format>
    <format dxfId="181">
      <pivotArea field="11" type="button" dataOnly="0" labelOnly="1" outline="0"/>
    </format>
    <format dxfId="180">
      <pivotArea field="6" type="button" dataOnly="0" labelOnly="1" outline="0" axis="axisRow" fieldPosition="4"/>
    </format>
    <format dxfId="179">
      <pivotArea field="7" type="button" dataOnly="0" labelOnly="1" outline="0" axis="axisRow" fieldPosition="5"/>
    </format>
    <format dxfId="178">
      <pivotArea dataOnly="0" labelOnly="1" outline="0" fieldPosition="0">
        <references count="1">
          <reference field="1" count="11">
            <x v="147"/>
            <x v="148"/>
            <x v="152"/>
            <x v="153"/>
            <x v="154"/>
            <x v="155"/>
            <x v="156"/>
            <x v="160"/>
            <x v="161"/>
            <x v="162"/>
            <x v="163"/>
          </reference>
        </references>
      </pivotArea>
    </format>
    <format dxfId="177">
      <pivotArea dataOnly="0" labelOnly="1" outline="0" fieldPosition="0">
        <references count="1">
          <reference field="1" count="11" defaultSubtotal="1">
            <x v="147"/>
            <x v="148"/>
            <x v="152"/>
            <x v="153"/>
            <x v="154"/>
            <x v="155"/>
            <x v="156"/>
            <x v="160"/>
            <x v="161"/>
            <x v="162"/>
            <x v="163"/>
          </reference>
        </references>
      </pivotArea>
    </format>
    <format dxfId="176">
      <pivotArea dataOnly="0" labelOnly="1" grandRow="1" outline="0" fieldPosition="0"/>
    </format>
    <format dxfId="175">
      <pivotArea type="topRight" dataOnly="0" labelOnly="1" outline="0" fieldPosition="0"/>
    </format>
    <format dxfId="174">
      <pivotArea dataOnly="0" outline="0" fieldPosition="0">
        <references count="1">
          <reference field="2" count="0" defaultSubtotal="1"/>
        </references>
      </pivotArea>
    </format>
    <format dxfId="173">
      <pivotArea dataOnly="0" outline="0" fieldPosition="0">
        <references count="1">
          <reference field="2" count="0" defaultSubtotal="1"/>
        </references>
      </pivotArea>
    </format>
    <format dxfId="172">
      <pivotArea dataOnly="0" outline="0" fieldPosition="0">
        <references count="1">
          <reference field="2" count="0" defaultSubtotal="1"/>
        </references>
      </pivotArea>
    </format>
    <format dxfId="171">
      <pivotArea dataOnly="0" outline="0" fieldPosition="0">
        <references count="1">
          <reference field="1" count="0" defaultSubtotal="1"/>
        </references>
      </pivotArea>
    </format>
    <format dxfId="170">
      <pivotArea type="origin" dataOnly="0" labelOnly="1" outline="0" fieldPosition="0"/>
    </format>
    <format dxfId="169">
      <pivotArea field="1" type="button" dataOnly="0" labelOnly="1" outline="0" axis="axisRow" fieldPosition="2"/>
    </format>
    <format dxfId="168">
      <pivotArea field="2" type="button" dataOnly="0" labelOnly="1" outline="0" axis="axisRow" fieldPosition="1"/>
    </format>
    <format dxfId="167">
      <pivotArea field="3" type="button" dataOnly="0" labelOnly="1" outline="0" axis="axisRow" fieldPosition="3"/>
    </format>
    <format dxfId="166">
      <pivotArea field="11" type="button" dataOnly="0" labelOnly="1" outline="0"/>
    </format>
    <format dxfId="165">
      <pivotArea field="6" type="button" dataOnly="0" labelOnly="1" outline="0" axis="axisRow" fieldPosition="4"/>
    </format>
    <format dxfId="164">
      <pivotArea field="7" type="button" dataOnly="0" labelOnly="1" outline="0" axis="axisRow" fieldPosition="5"/>
    </format>
    <format dxfId="163">
      <pivotArea type="origin" dataOnly="0" labelOnly="1" outline="0" fieldPosition="0"/>
    </format>
    <format dxfId="162">
      <pivotArea field="1" type="button" dataOnly="0" labelOnly="1" outline="0" axis="axisRow" fieldPosition="2"/>
    </format>
    <format dxfId="161">
      <pivotArea field="2" type="button" dataOnly="0" labelOnly="1" outline="0" axis="axisRow" fieldPosition="1"/>
    </format>
    <format dxfId="160">
      <pivotArea field="3" type="button" dataOnly="0" labelOnly="1" outline="0" axis="axisRow" fieldPosition="3"/>
    </format>
    <format dxfId="159">
      <pivotArea field="11" type="button" dataOnly="0" labelOnly="1" outline="0"/>
    </format>
    <format dxfId="158">
      <pivotArea field="6" type="button" dataOnly="0" labelOnly="1" outline="0" axis="axisRow" fieldPosition="4"/>
    </format>
    <format dxfId="157">
      <pivotArea field="7" type="button" dataOnly="0" labelOnly="1" outline="0" axis="axisRow" fieldPosition="5"/>
    </format>
    <format dxfId="156">
      <pivotArea type="origin" dataOnly="0" labelOnly="1" outline="0" fieldPosition="0"/>
    </format>
    <format dxfId="155">
      <pivotArea field="1" type="button" dataOnly="0" labelOnly="1" outline="0" axis="axisRow" fieldPosition="2"/>
    </format>
    <format dxfId="154">
      <pivotArea field="2" type="button" dataOnly="0" labelOnly="1" outline="0" axis="axisRow" fieldPosition="1"/>
    </format>
    <format dxfId="153">
      <pivotArea field="3" type="button" dataOnly="0" labelOnly="1" outline="0" axis="axisRow" fieldPosition="3"/>
    </format>
    <format dxfId="152">
      <pivotArea field="11" type="button" dataOnly="0" labelOnly="1" outline="0"/>
    </format>
    <format dxfId="151">
      <pivotArea field="6" type="button" dataOnly="0" labelOnly="1" outline="0" axis="axisRow" fieldPosition="4"/>
    </format>
    <format dxfId="150">
      <pivotArea field="7" type="button" dataOnly="0" labelOnly="1" outline="0" axis="axisRow" fieldPosition="5"/>
    </format>
    <format dxfId="149">
      <pivotArea type="all" dataOnly="0" outline="0" fieldPosition="0"/>
    </format>
    <format dxfId="148">
      <pivotArea outline="0" collapsedLevelsAreSubtotals="1" fieldPosition="0"/>
    </format>
    <format dxfId="147">
      <pivotArea type="origin" dataOnly="0" labelOnly="1" outline="0" fieldPosition="0"/>
    </format>
    <format dxfId="146">
      <pivotArea type="topRight" dataOnly="0" labelOnly="1" outline="0" fieldPosition="0"/>
    </format>
    <format dxfId="145">
      <pivotArea field="1" type="button" dataOnly="0" labelOnly="1" outline="0" axis="axisRow" fieldPosition="2"/>
    </format>
    <format dxfId="144">
      <pivotArea field="2" type="button" dataOnly="0" labelOnly="1" outline="0" axis="axisRow" fieldPosition="1"/>
    </format>
    <format dxfId="143">
      <pivotArea field="3" type="button" dataOnly="0" labelOnly="1" outline="0" axis="axisRow" fieldPosition="3"/>
    </format>
    <format dxfId="142">
      <pivotArea field="11" type="button" dataOnly="0" labelOnly="1" outline="0"/>
    </format>
    <format dxfId="141">
      <pivotArea field="6" type="button" dataOnly="0" labelOnly="1" outline="0" axis="axisRow" fieldPosition="4"/>
    </format>
    <format dxfId="140">
      <pivotArea field="7" type="button" dataOnly="0" labelOnly="1" outline="0" axis="axisRow" fieldPosition="5"/>
    </format>
    <format dxfId="139">
      <pivotArea dataOnly="0" labelOnly="1" outline="0" fieldPosition="0">
        <references count="1">
          <reference field="1" count="11">
            <x v="147"/>
            <x v="148"/>
            <x v="152"/>
            <x v="153"/>
            <x v="154"/>
            <x v="155"/>
            <x v="156"/>
            <x v="160"/>
            <x v="161"/>
            <x v="162"/>
            <x v="163"/>
          </reference>
        </references>
      </pivotArea>
    </format>
    <format dxfId="138">
      <pivotArea dataOnly="0" labelOnly="1" outline="0" fieldPosition="0">
        <references count="1">
          <reference field="1" count="11" defaultSubtotal="1">
            <x v="147"/>
            <x v="148"/>
            <x v="152"/>
            <x v="153"/>
            <x v="154"/>
            <x v="155"/>
            <x v="156"/>
            <x v="160"/>
            <x v="161"/>
            <x v="162"/>
            <x v="163"/>
          </reference>
        </references>
      </pivotArea>
    </format>
    <format dxfId="137">
      <pivotArea dataOnly="0" labelOnly="1" grandRow="1" outline="0" fieldPosition="0"/>
    </format>
    <format dxfId="136">
      <pivotArea type="topRight" dataOnly="0" labelOnly="1" outline="0" fieldPosition="0"/>
    </format>
    <format dxfId="135">
      <pivotArea field="8" type="button" dataOnly="0" labelOnly="1" outline="0" axis="axisRow" fieldPosition="6"/>
    </format>
    <format dxfId="134">
      <pivotArea field="9" type="button" dataOnly="0" labelOnly="1" outline="0" axis="axisRow" fieldPosition="7"/>
    </format>
    <format dxfId="133">
      <pivotArea field="9" type="button" dataOnly="0" labelOnly="1" outline="0" axis="axisRow" fieldPosition="7"/>
    </format>
    <format dxfId="132">
      <pivotArea dataOnly="0" labelOnly="1" outline="0" fieldPosition="0">
        <references count="1">
          <reference field="9" count="0"/>
        </references>
      </pivotArea>
    </format>
    <format dxfId="131">
      <pivotArea dataOnly="0" labelOnly="1" outline="0" fieldPosition="0">
        <references count="1">
          <reference field="9" count="0"/>
        </references>
      </pivotArea>
    </format>
    <format dxfId="130">
      <pivotArea field="9" type="button" dataOnly="0" labelOnly="1" outline="0" axis="axisRow" fieldPosition="7"/>
    </format>
    <format dxfId="129">
      <pivotArea field="2" type="button" dataOnly="0" labelOnly="1" outline="0" axis="axisRow" fieldPosition="1"/>
    </format>
    <format dxfId="128">
      <pivotArea field="3" type="button" dataOnly="0" labelOnly="1" outline="0" axis="axisRow" fieldPosition="3"/>
    </format>
    <format dxfId="127">
      <pivotArea field="11" type="button" dataOnly="0" labelOnly="1" outline="0"/>
    </format>
    <format dxfId="126">
      <pivotArea field="6" type="button" dataOnly="0" labelOnly="1" outline="0" axis="axisRow" fieldPosition="4"/>
    </format>
    <format dxfId="125">
      <pivotArea field="7" type="button" dataOnly="0" labelOnly="1" outline="0" axis="axisRow" fieldPosition="5"/>
    </format>
    <format dxfId="124">
      <pivotArea field="8" type="button" dataOnly="0" labelOnly="1" outline="0" axis="axisRow" fieldPosition="6"/>
    </format>
    <format dxfId="123">
      <pivotArea field="2" type="button" dataOnly="0" labelOnly="1" outline="0" axis="axisRow" fieldPosition="1"/>
    </format>
    <format dxfId="122">
      <pivotArea field="3" type="button" dataOnly="0" labelOnly="1" outline="0" axis="axisRow" fieldPosition="3"/>
    </format>
    <format dxfId="121">
      <pivotArea field="11" type="button" dataOnly="0" labelOnly="1" outline="0"/>
    </format>
    <format dxfId="120">
      <pivotArea field="6" type="button" dataOnly="0" labelOnly="1" outline="0" axis="axisRow" fieldPosition="4"/>
    </format>
    <format dxfId="119">
      <pivotArea field="7" type="button" dataOnly="0" labelOnly="1" outline="0" axis="axisRow" fieldPosition="5"/>
    </format>
    <format dxfId="118">
      <pivotArea field="8" type="button" dataOnly="0" labelOnly="1" outline="0" axis="axisRow" fieldPosition="6"/>
    </format>
    <format dxfId="117">
      <pivotArea field="8" type="button" dataOnly="0" labelOnly="1" outline="0" axis="axisRow" fieldPosition="6"/>
    </format>
    <format dxfId="116">
      <pivotArea field="8" type="button" dataOnly="0" labelOnly="1" outline="0" axis="axisRow" fieldPosition="6"/>
    </format>
    <format dxfId="115">
      <pivotArea field="8" type="button" dataOnly="0" labelOnly="1" outline="0" axis="axisRow" fieldPosition="6"/>
    </format>
    <format dxfId="114">
      <pivotArea field="9" type="button" dataOnly="0" labelOnly="1" outline="0" axis="axisRow" fieldPosition="7"/>
    </format>
    <format dxfId="113">
      <pivotArea type="origin" dataOnly="0" labelOnly="1" outline="0" fieldPosition="0"/>
    </format>
    <format dxfId="112">
      <pivotArea type="origin" dataOnly="0" labelOnly="1" outline="0" fieldPosition="0"/>
    </format>
    <format dxfId="111">
      <pivotArea field="3" type="button" dataOnly="0" labelOnly="1" outline="0" axis="axisRow" fieldPosition="3"/>
    </format>
    <format dxfId="110">
      <pivotArea field="3" type="button" dataOnly="0" labelOnly="1" outline="0" axis="axisRow" fieldPosition="3"/>
    </format>
    <format dxfId="109">
      <pivotArea field="2" type="button" dataOnly="0" labelOnly="1" outline="0" axis="axisRow" fieldPosition="1"/>
    </format>
    <format dxfId="108">
      <pivotArea field="3" type="button" dataOnly="0" labelOnly="1" outline="0" axis="axisRow" fieldPosition="3"/>
    </format>
    <format dxfId="107">
      <pivotArea field="1" type="button" dataOnly="0" labelOnly="1" outline="0" axis="axisRow" fieldPosition="2"/>
    </format>
    <format dxfId="106">
      <pivotArea field="6" type="button" dataOnly="0" labelOnly="1" outline="0" axis="axisRow" fieldPosition="4"/>
    </format>
    <format dxfId="105">
      <pivotArea field="7" type="button" dataOnly="0" labelOnly="1" outline="0" axis="axisRow" fieldPosition="5"/>
    </format>
    <format dxfId="104">
      <pivotArea field="8" type="button" dataOnly="0" labelOnly="1" outline="0" axis="axisRow" fieldPosition="6"/>
    </format>
    <format dxfId="103">
      <pivotArea field="9" type="button" dataOnly="0" labelOnly="1" outline="0" axis="axisRow" fieldPosition="7"/>
    </format>
    <format dxfId="102">
      <pivotArea field="2" type="button" dataOnly="0" labelOnly="1" outline="0" axis="axisRow" fieldPosition="1"/>
    </format>
    <format dxfId="101">
      <pivotArea field="1" type="button" dataOnly="0" labelOnly="1" outline="0" axis="axisRow" fieldPosition="2"/>
    </format>
    <format dxfId="100">
      <pivotArea field="3" type="button" dataOnly="0" labelOnly="1" outline="0" axis="axisRow" fieldPosition="3"/>
    </format>
    <format dxfId="99">
      <pivotArea field="6" type="button" dataOnly="0" labelOnly="1" outline="0" axis="axisRow" fieldPosition="4"/>
    </format>
    <format dxfId="98">
      <pivotArea field="7" type="button" dataOnly="0" labelOnly="1" outline="0" axis="axisRow" fieldPosition="5"/>
    </format>
    <format dxfId="97">
      <pivotArea field="8" type="button" dataOnly="0" labelOnly="1" outline="0" axis="axisRow" fieldPosition="6"/>
    </format>
    <format dxfId="96">
      <pivotArea field="9" type="button" dataOnly="0" labelOnly="1" outline="0" axis="axisRow" fieldPosition="7"/>
    </format>
    <format dxfId="95">
      <pivotArea type="origin" dataOnly="0" labelOnly="1" outline="0" fieldPosition="0"/>
    </format>
    <format dxfId="94">
      <pivotArea type="origin" dataOnly="0" labelOnly="1" outline="0" fieldPosition="0"/>
    </format>
    <format dxfId="93">
      <pivotArea field="0" type="button" dataOnly="0" labelOnly="1" outline="0" axis="axisRow" fieldPosition="0"/>
    </format>
    <format dxfId="92">
      <pivotArea field="0" type="button" dataOnly="0" labelOnly="1" outline="0" axis="axisRow" fieldPosition="0"/>
    </format>
    <format dxfId="91">
      <pivotArea field="3" type="button" dataOnly="0" labelOnly="1" outline="0" axis="axisRow" fieldPosition="3"/>
    </format>
    <format dxfId="90">
      <pivotArea field="3" type="button" dataOnly="0" labelOnly="1" outline="0" axis="axisRow" fieldPosition="3"/>
    </format>
    <format dxfId="89">
      <pivotArea dataOnly="0" labelOnly="1" outline="0" fieldPosition="0">
        <references count="1">
          <reference field="0" count="0"/>
        </references>
      </pivotArea>
    </format>
    <format dxfId="88">
      <pivotArea dataOnly="0" labelOnly="1" outline="0" fieldPosition="0">
        <references count="1">
          <reference field="2" count="0"/>
        </references>
      </pivotArea>
    </format>
    <format dxfId="87">
      <pivotArea dataOnly="0" labelOnly="1" outline="0" fieldPosition="0">
        <references count="1">
          <reference field="1" count="0"/>
        </references>
      </pivotArea>
    </format>
    <format dxfId="86">
      <pivotArea dataOnly="0" labelOnly="1" outline="0" fieldPosition="0">
        <references count="1">
          <reference field="3" count="0"/>
        </references>
      </pivotArea>
    </format>
    <format dxfId="85">
      <pivotArea dataOnly="0" labelOnly="1" outline="0" fieldPosition="0">
        <references count="1">
          <reference field="6" count="0"/>
        </references>
      </pivotArea>
    </format>
    <format dxfId="84">
      <pivotArea dataOnly="0" labelOnly="1" outline="0" fieldPosition="0">
        <references count="1">
          <reference field="7" count="0"/>
        </references>
      </pivotArea>
    </format>
    <format dxfId="83">
      <pivotArea dataOnly="0" labelOnly="1" outline="0" fieldPosition="0">
        <references count="1">
          <reference field="8" count="0"/>
        </references>
      </pivotArea>
    </format>
    <format dxfId="82">
      <pivotArea dataOnly="0" labelOnly="1" outline="0" fieldPosition="0">
        <references count="1">
          <reference field="9" count="0"/>
        </references>
      </pivotArea>
    </format>
    <format dxfId="81">
      <pivotArea type="all" dataOnly="0" outline="0" fieldPosition="0"/>
    </format>
    <format dxfId="80">
      <pivotArea field="8" type="button" dataOnly="0" labelOnly="1" outline="0" axis="axisRow" fieldPosition="6"/>
    </format>
    <format dxfId="79">
      <pivotArea field="9" type="button" dataOnly="0" labelOnly="1" outline="0" axis="axisRow" fieldPosition="7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auxiliar.grados@fup.edu.co" TargetMode="External"/><Relationship Id="rId13" Type="http://schemas.openxmlformats.org/officeDocument/2006/relationships/hyperlink" Target="mailto:coor.gestiondeinvestigacion@fup.edu.co" TargetMode="External"/><Relationship Id="rId3" Type="http://schemas.openxmlformats.org/officeDocument/2006/relationships/hyperlink" Target="mailto:asistente.posgrados@fup.edu.co" TargetMode="External"/><Relationship Id="rId7" Type="http://schemas.openxmlformats.org/officeDocument/2006/relationships/hyperlink" Target="mailto:auxiliar2.tesoreria@fup.edu.co" TargetMode="External"/><Relationship Id="rId12" Type="http://schemas.openxmlformats.org/officeDocument/2006/relationships/hyperlink" Target="mailto:arquitectura@fup.edu.co" TargetMode="External"/><Relationship Id="rId2" Type="http://schemas.openxmlformats.org/officeDocument/2006/relationships/hyperlink" Target="mailto:auxiliaracademico.tsocial@fup.edu.co" TargetMode="External"/><Relationship Id="rId16" Type="http://schemas.openxmlformats.org/officeDocument/2006/relationships/printerSettings" Target="../printerSettings/printerSettings6.bin"/><Relationship Id="rId1" Type="http://schemas.openxmlformats.org/officeDocument/2006/relationships/hyperlink" Target="mailto:compras@fup.edu.co" TargetMode="External"/><Relationship Id="rId6" Type="http://schemas.openxmlformats.org/officeDocument/2006/relationships/hyperlink" Target="mailto:fernanda.arciniegas@docente.fup.edu.co" TargetMode="External"/><Relationship Id="rId11" Type="http://schemas.openxmlformats.org/officeDocument/2006/relationships/hyperlink" Target="mailto:nathalia.hurtado@docente.fup.edu.co" TargetMode="External"/><Relationship Id="rId5" Type="http://schemas.openxmlformats.org/officeDocument/2006/relationships/hyperlink" Target="mailto:direccion.docencia@fup.edu.co" TargetMode="External"/><Relationship Id="rId15" Type="http://schemas.openxmlformats.org/officeDocument/2006/relationships/hyperlink" Target="mailto:coordinacion.tsocial@fup.edu.co" TargetMode="External"/><Relationship Id="rId10" Type="http://schemas.openxmlformats.org/officeDocument/2006/relationships/hyperlink" Target="mailto:calidad@fup.edu.co" TargetMode="External"/><Relationship Id="rId4" Type="http://schemas.openxmlformats.org/officeDocument/2006/relationships/hyperlink" Target="mailto:industrial@fup.edu.co" TargetMode="External"/><Relationship Id="rId9" Type="http://schemas.openxmlformats.org/officeDocument/2006/relationships/hyperlink" Target="mailto:auxiliar1.contabilidad@fup.edu.co" TargetMode="External"/><Relationship Id="rId14" Type="http://schemas.openxmlformats.org/officeDocument/2006/relationships/hyperlink" Target="mailto:apoyo.leac@fup.edu.co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coor.extensionyproyeccion@fup.edu.co" TargetMode="External"/><Relationship Id="rId3" Type="http://schemas.openxmlformats.org/officeDocument/2006/relationships/hyperlink" Target="mailto:contaduria.publica@fup.edu.co" TargetMode="External"/><Relationship Id="rId7" Type="http://schemas.openxmlformats.org/officeDocument/2006/relationships/hyperlink" Target="mailto:recursos.fisicos@fup.edu.co" TargetMode="External"/><Relationship Id="rId2" Type="http://schemas.openxmlformats.org/officeDocument/2006/relationships/hyperlink" Target="mailto:autoevaluacion@fup.edu.co" TargetMode="External"/><Relationship Id="rId1" Type="http://schemas.openxmlformats.org/officeDocument/2006/relationships/hyperlink" Target="mailto:psicologia@fup.edu.co" TargetMode="External"/><Relationship Id="rId6" Type="http://schemas.openxmlformats.org/officeDocument/2006/relationships/hyperlink" Target="mailto:decanatura.ambientalesyagrarias@fup.edu.co" TargetMode="External"/><Relationship Id="rId5" Type="http://schemas.openxmlformats.org/officeDocument/2006/relationships/hyperlink" Target="mailto:mercadeo.admisiones@fup.edu.co" TargetMode="External"/><Relationship Id="rId4" Type="http://schemas.openxmlformats.org/officeDocument/2006/relationships/hyperlink" Target="mailto:decanatura.cienciassociales@fup.edu.co" TargetMode="External"/><Relationship Id="rId9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0070C0"/>
  </sheetPr>
  <dimension ref="A1:BF127"/>
  <sheetViews>
    <sheetView tabSelected="1" topLeftCell="J1" zoomScaleNormal="100" workbookViewId="0">
      <pane ySplit="8" topLeftCell="A9" activePane="bottomLeft" state="frozen"/>
      <selection activeCell="J1" sqref="J1"/>
      <selection pane="bottomLeft" activeCell="AD20" sqref="AD20:AF21"/>
    </sheetView>
  </sheetViews>
  <sheetFormatPr baseColWidth="10" defaultColWidth="8.81640625" defaultRowHeight="12.5" zeroHeight="1" x14ac:dyDescent="0.35"/>
  <cols>
    <col min="1" max="1" width="25.26953125" style="127" hidden="1" customWidth="1"/>
    <col min="2" max="3" width="16.453125" style="128" hidden="1" customWidth="1"/>
    <col min="4" max="4" width="29.81640625" style="170" hidden="1" customWidth="1"/>
    <col min="5" max="5" width="14.26953125" style="170" hidden="1" customWidth="1"/>
    <col min="6" max="8" width="3.81640625" style="170" hidden="1" customWidth="1"/>
    <col min="9" max="9" width="1" style="130" hidden="1" customWidth="1"/>
    <col min="10" max="10" width="1.453125" style="131" customWidth="1"/>
    <col min="11" max="18" width="4" style="1" customWidth="1"/>
    <col min="19" max="21" width="4" style="290" customWidth="1"/>
    <col min="22" max="22" width="4.453125" style="290" customWidth="1"/>
    <col min="23" max="43" width="4" style="1" customWidth="1"/>
    <col min="44" max="44" width="5.26953125" style="1" customWidth="1"/>
    <col min="45" max="46" width="4" style="1" customWidth="1"/>
    <col min="47" max="47" width="1.1796875" style="1" customWidth="1"/>
    <col min="48" max="48" width="5.7265625" style="132" customWidth="1"/>
    <col min="49" max="49" width="5.453125" style="133" hidden="1" customWidth="1"/>
    <col min="50" max="50" width="8.54296875" style="134" hidden="1" customWidth="1"/>
    <col min="51" max="51" width="11.7265625" style="135" hidden="1" customWidth="1"/>
    <col min="52" max="52" width="10.7265625" style="135" hidden="1" customWidth="1"/>
    <col min="53" max="54" width="8.54296875" style="135" hidden="1" customWidth="1"/>
    <col min="55" max="55" width="9.7265625" style="135" hidden="1" customWidth="1"/>
    <col min="56" max="56" width="8.54296875" style="135" hidden="1" customWidth="1"/>
    <col min="57" max="57" width="8.81640625" style="136" hidden="1" customWidth="1"/>
    <col min="58" max="58" width="8.81640625" style="137" hidden="1" customWidth="1"/>
    <col min="59" max="59" width="2" style="137" customWidth="1"/>
    <col min="60" max="16384" width="8.81640625" style="137"/>
  </cols>
  <sheetData>
    <row r="1" spans="1:57" ht="7.5" customHeight="1" x14ac:dyDescent="0.35">
      <c r="D1" s="129"/>
      <c r="E1" s="129"/>
      <c r="F1" s="129"/>
      <c r="G1" s="129"/>
      <c r="H1" s="129"/>
    </row>
    <row r="2" spans="1:57" x14ac:dyDescent="0.35">
      <c r="D2" s="129"/>
      <c r="E2" s="129"/>
      <c r="F2" s="129"/>
      <c r="G2" s="129"/>
      <c r="H2" s="129"/>
    </row>
    <row r="3" spans="1:57" ht="12.75" customHeight="1" x14ac:dyDescent="0.35">
      <c r="D3" s="129"/>
      <c r="E3" s="129"/>
      <c r="F3" s="129"/>
      <c r="G3" s="129"/>
      <c r="H3" s="129"/>
    </row>
    <row r="4" spans="1:57" x14ac:dyDescent="0.35">
      <c r="D4" s="129"/>
      <c r="E4" s="129"/>
      <c r="F4" s="129"/>
      <c r="G4" s="129"/>
      <c r="H4" s="129"/>
    </row>
    <row r="5" spans="1:57" x14ac:dyDescent="0.35">
      <c r="D5" s="129"/>
      <c r="E5" s="129"/>
      <c r="F5" s="129"/>
      <c r="G5" s="129"/>
      <c r="H5" s="129"/>
    </row>
    <row r="6" spans="1:57" ht="13" x14ac:dyDescent="0.35">
      <c r="D6" s="129"/>
      <c r="E6" s="129"/>
      <c r="F6" s="129"/>
      <c r="G6" s="129"/>
      <c r="H6" s="129"/>
      <c r="AO6" s="138"/>
    </row>
    <row r="7" spans="1:57" x14ac:dyDescent="0.35">
      <c r="D7" s="129"/>
      <c r="E7" s="129"/>
      <c r="F7" s="129"/>
      <c r="G7" s="129"/>
      <c r="H7" s="129"/>
    </row>
    <row r="8" spans="1:57" ht="7.5" customHeight="1" thickBot="1" x14ac:dyDescent="0.4">
      <c r="D8" s="129"/>
      <c r="E8" s="129"/>
      <c r="F8" s="129"/>
      <c r="G8" s="129"/>
      <c r="H8" s="129"/>
    </row>
    <row r="9" spans="1:57" s="6" customFormat="1" ht="12.75" customHeight="1" x14ac:dyDescent="0.35">
      <c r="A9" s="139"/>
      <c r="B9" s="140"/>
      <c r="C9" s="140"/>
      <c r="D9" s="141"/>
      <c r="E9" s="141"/>
      <c r="F9" s="141"/>
      <c r="G9" s="141"/>
      <c r="H9" s="141"/>
      <c r="I9" s="142"/>
      <c r="J9" s="143"/>
      <c r="K9" s="424" t="s">
        <v>0</v>
      </c>
      <c r="L9" s="425"/>
      <c r="M9" s="425"/>
      <c r="N9" s="425"/>
      <c r="O9" s="425"/>
      <c r="P9" s="425"/>
      <c r="Q9" s="425"/>
      <c r="R9" s="425"/>
      <c r="S9" s="425"/>
      <c r="T9" s="425"/>
      <c r="U9" s="425"/>
      <c r="V9" s="425"/>
      <c r="W9" s="426" t="s">
        <v>1</v>
      </c>
      <c r="X9" s="426"/>
      <c r="Y9" s="426"/>
      <c r="Z9" s="426"/>
      <c r="AA9" s="426"/>
      <c r="AB9" s="426"/>
      <c r="AC9" s="426"/>
      <c r="AD9" s="426"/>
      <c r="AE9" s="426"/>
      <c r="AF9" s="426"/>
      <c r="AG9" s="426"/>
      <c r="AH9" s="426"/>
      <c r="AI9" s="426" t="s">
        <v>244</v>
      </c>
      <c r="AJ9" s="426"/>
      <c r="AK9" s="426"/>
      <c r="AL9" s="426"/>
      <c r="AM9" s="426"/>
      <c r="AN9" s="426"/>
      <c r="AO9" s="426"/>
      <c r="AP9" s="426"/>
      <c r="AQ9" s="426"/>
      <c r="AR9" s="426"/>
      <c r="AS9" s="426"/>
      <c r="AT9" s="430"/>
      <c r="AU9" s="144"/>
      <c r="AW9" s="145"/>
      <c r="AX9" s="146"/>
      <c r="AY9" s="147"/>
      <c r="AZ9" s="147"/>
      <c r="BA9" s="147"/>
      <c r="BB9" s="147"/>
      <c r="BC9" s="147"/>
      <c r="BD9" s="147"/>
      <c r="BE9" s="148"/>
    </row>
    <row r="10" spans="1:57" s="6" customFormat="1" ht="12.75" customHeight="1" x14ac:dyDescent="0.35">
      <c r="A10" s="139"/>
      <c r="B10" s="140"/>
      <c r="C10" s="140"/>
      <c r="D10" s="141"/>
      <c r="E10" s="141"/>
      <c r="F10" s="141"/>
      <c r="G10" s="141"/>
      <c r="H10" s="141"/>
      <c r="I10" s="142"/>
      <c r="J10" s="143"/>
      <c r="K10" s="427"/>
      <c r="L10" s="428"/>
      <c r="M10" s="428"/>
      <c r="N10" s="428"/>
      <c r="O10" s="428"/>
      <c r="P10" s="428"/>
      <c r="Q10" s="428"/>
      <c r="R10" s="428"/>
      <c r="S10" s="428"/>
      <c r="T10" s="428"/>
      <c r="U10" s="428"/>
      <c r="V10" s="428"/>
      <c r="W10" s="428"/>
      <c r="X10" s="428"/>
      <c r="Y10" s="428"/>
      <c r="Z10" s="428"/>
      <c r="AA10" s="428"/>
      <c r="AB10" s="428"/>
      <c r="AC10" s="428"/>
      <c r="AD10" s="428"/>
      <c r="AE10" s="428"/>
      <c r="AF10" s="428"/>
      <c r="AG10" s="428"/>
      <c r="AH10" s="428"/>
      <c r="AI10" s="428"/>
      <c r="AJ10" s="428"/>
      <c r="AK10" s="428"/>
      <c r="AL10" s="428"/>
      <c r="AM10" s="428"/>
      <c r="AN10" s="428"/>
      <c r="AO10" s="428"/>
      <c r="AP10" s="428"/>
      <c r="AQ10" s="428"/>
      <c r="AR10" s="428"/>
      <c r="AS10" s="428"/>
      <c r="AT10" s="431"/>
      <c r="AU10" s="144"/>
      <c r="AW10" s="145"/>
      <c r="AX10" s="146"/>
      <c r="AY10" s="147"/>
      <c r="AZ10" s="147"/>
      <c r="BA10" s="147"/>
      <c r="BB10" s="147"/>
      <c r="BC10" s="147"/>
      <c r="BD10" s="147"/>
      <c r="BE10" s="148"/>
    </row>
    <row r="11" spans="1:57" s="6" customFormat="1" ht="13.5" customHeight="1" x14ac:dyDescent="0.35">
      <c r="A11" s="139"/>
      <c r="B11" s="140"/>
      <c r="C11" s="140"/>
      <c r="D11" s="141"/>
      <c r="E11" s="141"/>
      <c r="F11" s="141"/>
      <c r="G11" s="141"/>
      <c r="H11" s="141"/>
      <c r="I11" s="142"/>
      <c r="J11" s="143"/>
      <c r="K11" s="427"/>
      <c r="L11" s="428"/>
      <c r="M11" s="428"/>
      <c r="N11" s="428"/>
      <c r="O11" s="428"/>
      <c r="P11" s="428"/>
      <c r="Q11" s="428"/>
      <c r="R11" s="428"/>
      <c r="S11" s="428"/>
      <c r="T11" s="428"/>
      <c r="U11" s="428"/>
      <c r="V11" s="428"/>
      <c r="W11" s="428"/>
      <c r="X11" s="428"/>
      <c r="Y11" s="428"/>
      <c r="Z11" s="428"/>
      <c r="AA11" s="428"/>
      <c r="AB11" s="428"/>
      <c r="AC11" s="428"/>
      <c r="AD11" s="428"/>
      <c r="AE11" s="428"/>
      <c r="AF11" s="428"/>
      <c r="AG11" s="428"/>
      <c r="AH11" s="428"/>
      <c r="AI11" s="428"/>
      <c r="AJ11" s="428"/>
      <c r="AK11" s="428"/>
      <c r="AL11" s="428"/>
      <c r="AM11" s="428"/>
      <c r="AN11" s="428"/>
      <c r="AO11" s="428"/>
      <c r="AP11" s="428"/>
      <c r="AQ11" s="428"/>
      <c r="AR11" s="428"/>
      <c r="AS11" s="428"/>
      <c r="AT11" s="431"/>
      <c r="AU11" s="144"/>
      <c r="AW11" s="145"/>
      <c r="AX11" s="146"/>
      <c r="AY11" s="147"/>
      <c r="AZ11" s="147"/>
      <c r="BA11" s="147"/>
      <c r="BB11" s="147"/>
      <c r="BC11" s="147"/>
      <c r="BD11" s="147"/>
      <c r="BE11" s="148"/>
    </row>
    <row r="12" spans="1:57" s="6" customFormat="1" ht="12.75" customHeight="1" x14ac:dyDescent="0.35">
      <c r="A12" s="139"/>
      <c r="B12" s="140"/>
      <c r="C12" s="140"/>
      <c r="D12" s="141"/>
      <c r="E12" s="141"/>
      <c r="F12" s="141"/>
      <c r="G12" s="141"/>
      <c r="H12" s="141"/>
      <c r="I12" s="142"/>
      <c r="J12" s="143"/>
      <c r="K12" s="427"/>
      <c r="L12" s="428"/>
      <c r="M12" s="428"/>
      <c r="N12" s="428"/>
      <c r="O12" s="428"/>
      <c r="P12" s="428"/>
      <c r="Q12" s="428"/>
      <c r="R12" s="428"/>
      <c r="S12" s="428"/>
      <c r="T12" s="428"/>
      <c r="U12" s="428"/>
      <c r="V12" s="428"/>
      <c r="W12" s="428"/>
      <c r="X12" s="428"/>
      <c r="Y12" s="428"/>
      <c r="Z12" s="428"/>
      <c r="AA12" s="428"/>
      <c r="AB12" s="428"/>
      <c r="AC12" s="428"/>
      <c r="AD12" s="428"/>
      <c r="AE12" s="428"/>
      <c r="AF12" s="428"/>
      <c r="AG12" s="428"/>
      <c r="AH12" s="428"/>
      <c r="AI12" s="428"/>
      <c r="AJ12" s="428"/>
      <c r="AK12" s="428"/>
      <c r="AL12" s="428"/>
      <c r="AM12" s="428"/>
      <c r="AN12" s="428"/>
      <c r="AO12" s="428"/>
      <c r="AP12" s="428"/>
      <c r="AQ12" s="428"/>
      <c r="AR12" s="428"/>
      <c r="AS12" s="428"/>
      <c r="AT12" s="431"/>
      <c r="AU12" s="144"/>
      <c r="AW12" s="145"/>
      <c r="AX12" s="146"/>
      <c r="AY12" s="147"/>
      <c r="AZ12" s="147"/>
      <c r="BA12" s="147"/>
      <c r="BB12" s="147"/>
      <c r="BC12" s="147"/>
      <c r="BD12" s="147"/>
      <c r="BE12" s="148"/>
    </row>
    <row r="13" spans="1:57" s="6" customFormat="1" ht="12.75" customHeight="1" x14ac:dyDescent="0.35">
      <c r="A13" s="139"/>
      <c r="B13" s="140"/>
      <c r="C13" s="140"/>
      <c r="D13" s="141"/>
      <c r="E13" s="141"/>
      <c r="F13" s="141"/>
      <c r="G13" s="141"/>
      <c r="H13" s="141"/>
      <c r="I13" s="142"/>
      <c r="J13" s="143"/>
      <c r="K13" s="367" t="s">
        <v>2</v>
      </c>
      <c r="L13" s="365"/>
      <c r="M13" s="365"/>
      <c r="N13" s="365"/>
      <c r="O13" s="365"/>
      <c r="P13" s="365"/>
      <c r="Q13" s="365"/>
      <c r="R13" s="365"/>
      <c r="S13" s="365"/>
      <c r="T13" s="365"/>
      <c r="U13" s="365"/>
      <c r="V13" s="365"/>
      <c r="W13" s="365"/>
      <c r="X13" s="365"/>
      <c r="Y13" s="365"/>
      <c r="Z13" s="366"/>
      <c r="AA13" s="364" t="s">
        <v>3</v>
      </c>
      <c r="AB13" s="365"/>
      <c r="AC13" s="365"/>
      <c r="AD13" s="365"/>
      <c r="AE13" s="365"/>
      <c r="AF13" s="365"/>
      <c r="AG13" s="365"/>
      <c r="AH13" s="365"/>
      <c r="AI13" s="365"/>
      <c r="AJ13" s="365"/>
      <c r="AK13" s="365"/>
      <c r="AL13" s="365"/>
      <c r="AM13" s="365"/>
      <c r="AN13" s="365"/>
      <c r="AO13" s="365"/>
      <c r="AP13" s="365"/>
      <c r="AQ13" s="366"/>
      <c r="AR13" s="456" t="s">
        <v>4</v>
      </c>
      <c r="AS13" s="457"/>
      <c r="AT13" s="458"/>
      <c r="AU13" s="144"/>
      <c r="AW13" s="145"/>
      <c r="AX13" s="146"/>
      <c r="AY13" s="147"/>
      <c r="AZ13" s="147"/>
      <c r="BA13" s="147"/>
      <c r="BB13" s="147"/>
      <c r="BC13" s="147"/>
      <c r="BD13" s="147"/>
      <c r="BE13" s="148"/>
    </row>
    <row r="14" spans="1:57" ht="12.75" customHeight="1" x14ac:dyDescent="0.35">
      <c r="D14" s="129"/>
      <c r="E14" s="129"/>
      <c r="F14" s="129"/>
      <c r="G14" s="129"/>
      <c r="H14" s="129"/>
      <c r="K14" s="355"/>
      <c r="L14" s="356"/>
      <c r="M14" s="356"/>
      <c r="N14" s="356"/>
      <c r="O14" s="356"/>
      <c r="P14" s="356"/>
      <c r="Q14" s="356"/>
      <c r="R14" s="356"/>
      <c r="S14" s="356"/>
      <c r="T14" s="356"/>
      <c r="U14" s="356"/>
      <c r="V14" s="356"/>
      <c r="W14" s="356"/>
      <c r="X14" s="356"/>
      <c r="Y14" s="356"/>
      <c r="Z14" s="356"/>
      <c r="AA14" s="359"/>
      <c r="AB14" s="360"/>
      <c r="AC14" s="360"/>
      <c r="AD14" s="360"/>
      <c r="AE14" s="360"/>
      <c r="AF14" s="360"/>
      <c r="AG14" s="360"/>
      <c r="AH14" s="360"/>
      <c r="AI14" s="360"/>
      <c r="AJ14" s="360"/>
      <c r="AK14" s="360"/>
      <c r="AL14" s="360"/>
      <c r="AM14" s="360"/>
      <c r="AN14" s="360"/>
      <c r="AO14" s="360"/>
      <c r="AP14" s="360"/>
      <c r="AQ14" s="361"/>
      <c r="AR14" s="459"/>
      <c r="AS14" s="460"/>
      <c r="AT14" s="461"/>
    </row>
    <row r="15" spans="1:57" ht="13.5" customHeight="1" thickBot="1" x14ac:dyDescent="0.4">
      <c r="D15" s="129"/>
      <c r="E15" s="129"/>
      <c r="F15" s="129"/>
      <c r="G15" s="129"/>
      <c r="H15" s="129"/>
      <c r="K15" s="357"/>
      <c r="L15" s="358"/>
      <c r="M15" s="358"/>
      <c r="N15" s="358"/>
      <c r="O15" s="358"/>
      <c r="P15" s="358"/>
      <c r="Q15" s="358"/>
      <c r="R15" s="358"/>
      <c r="S15" s="358"/>
      <c r="T15" s="358"/>
      <c r="U15" s="358"/>
      <c r="V15" s="358"/>
      <c r="W15" s="358"/>
      <c r="X15" s="358"/>
      <c r="Y15" s="358"/>
      <c r="Z15" s="358"/>
      <c r="AA15" s="362"/>
      <c r="AB15" s="358"/>
      <c r="AC15" s="358"/>
      <c r="AD15" s="358"/>
      <c r="AE15" s="358"/>
      <c r="AF15" s="358"/>
      <c r="AG15" s="358"/>
      <c r="AH15" s="358"/>
      <c r="AI15" s="358"/>
      <c r="AJ15" s="358"/>
      <c r="AK15" s="358"/>
      <c r="AL15" s="358"/>
      <c r="AM15" s="358"/>
      <c r="AN15" s="358"/>
      <c r="AO15" s="358"/>
      <c r="AP15" s="358"/>
      <c r="AQ15" s="363"/>
      <c r="AR15" s="462"/>
      <c r="AS15" s="463"/>
      <c r="AT15" s="464"/>
      <c r="AV15" s="149"/>
    </row>
    <row r="16" spans="1:57" ht="7.5" customHeight="1" thickBot="1" x14ac:dyDescent="0.4">
      <c r="D16" s="129">
        <v>1</v>
      </c>
      <c r="E16" s="129">
        <v>2</v>
      </c>
      <c r="F16" s="129">
        <v>3</v>
      </c>
      <c r="G16" s="129">
        <v>4</v>
      </c>
      <c r="H16" s="129">
        <v>5</v>
      </c>
      <c r="K16" s="150"/>
      <c r="L16" s="150"/>
      <c r="M16" s="150"/>
      <c r="N16" s="150"/>
      <c r="O16" s="150"/>
      <c r="P16" s="150"/>
      <c r="Q16" s="150"/>
      <c r="R16" s="150"/>
      <c r="S16" s="291"/>
      <c r="T16" s="291"/>
      <c r="U16" s="291"/>
      <c r="V16" s="291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V16" s="151" t="s">
        <v>5</v>
      </c>
    </row>
    <row r="17" spans="1:58" ht="26.25" customHeight="1" x14ac:dyDescent="0.35">
      <c r="D17" s="152" t="s">
        <v>6</v>
      </c>
      <c r="E17" s="129"/>
      <c r="F17" s="129" t="s">
        <v>7</v>
      </c>
      <c r="G17" s="129" t="s">
        <v>8</v>
      </c>
      <c r="H17" s="129" t="s">
        <v>9</v>
      </c>
      <c r="K17" s="153" t="s">
        <v>10</v>
      </c>
      <c r="L17" s="426" t="s">
        <v>11</v>
      </c>
      <c r="M17" s="426"/>
      <c r="N17" s="426"/>
      <c r="O17" s="426"/>
      <c r="P17" s="426"/>
      <c r="Q17" s="426"/>
      <c r="R17" s="426"/>
      <c r="S17" s="425" t="s">
        <v>12</v>
      </c>
      <c r="T17" s="425"/>
      <c r="U17" s="425"/>
      <c r="V17" s="425"/>
      <c r="W17" s="429" t="s">
        <v>13</v>
      </c>
      <c r="X17" s="429"/>
      <c r="Y17" s="429"/>
      <c r="Z17" s="429"/>
      <c r="AA17" s="432" t="s">
        <v>14</v>
      </c>
      <c r="AB17" s="432"/>
      <c r="AC17" s="432"/>
      <c r="AD17" s="426" t="s">
        <v>15</v>
      </c>
      <c r="AE17" s="426"/>
      <c r="AF17" s="426"/>
      <c r="AG17" s="426" t="s">
        <v>16</v>
      </c>
      <c r="AH17" s="429"/>
      <c r="AI17" s="429"/>
      <c r="AJ17" s="429" t="s">
        <v>17</v>
      </c>
      <c r="AK17" s="429"/>
      <c r="AL17" s="429"/>
      <c r="AM17" s="429"/>
      <c r="AN17" s="429"/>
      <c r="AO17" s="426" t="s">
        <v>18</v>
      </c>
      <c r="AP17" s="426"/>
      <c r="AQ17" s="426"/>
      <c r="AR17" s="426"/>
      <c r="AS17" s="426"/>
      <c r="AT17" s="430"/>
      <c r="AV17" s="154" t="str">
        <f>CONCATENATE(COUNT(AD20:AF109)-2," / ",COUNTA(S20:V109)-2)</f>
        <v>-2 / 43</v>
      </c>
      <c r="AW17" s="155" t="s">
        <v>10</v>
      </c>
      <c r="AX17" s="156" t="s">
        <v>20</v>
      </c>
      <c r="AY17" s="157" t="s">
        <v>21</v>
      </c>
      <c r="AZ17" s="157" t="s">
        <v>22</v>
      </c>
      <c r="BA17" s="157" t="s">
        <v>23</v>
      </c>
      <c r="BB17" s="157" t="s">
        <v>24</v>
      </c>
      <c r="BC17" s="157" t="s">
        <v>25</v>
      </c>
      <c r="BD17" s="157" t="s">
        <v>26</v>
      </c>
      <c r="BE17" s="157" t="s">
        <v>27</v>
      </c>
      <c r="BF17" s="158" t="s">
        <v>28</v>
      </c>
    </row>
    <row r="18" spans="1:58" ht="12" customHeight="1" x14ac:dyDescent="0.35">
      <c r="A18" s="127" t="str">
        <f>CONCATENATE("P-",AO18)</f>
        <v>P-</v>
      </c>
      <c r="B18" s="128" t="str">
        <f>IF(AA19="",CONCATENATE(AA18,"-",L18),CONCATENATE(AA19,"-",L18))</f>
        <v>-Reunión de Apertura</v>
      </c>
      <c r="C18" s="128" t="str">
        <f>CONCATENATE(AO18," / ",AO19)</f>
        <v xml:space="preserve"> / </v>
      </c>
      <c r="D18" s="159" t="str">
        <f>IF(AA19="",CONCATENATE(AA18,"-",AO18),CONCATENATE(AA19,"-",AO18))</f>
        <v>-</v>
      </c>
      <c r="E18" s="159" t="str">
        <f>L18</f>
        <v>Reunión de Apertura</v>
      </c>
      <c r="F18" s="160">
        <f>AL18</f>
        <v>0</v>
      </c>
      <c r="G18" s="160">
        <f>AL19</f>
        <v>0</v>
      </c>
      <c r="H18" s="160" t="str">
        <f>IF(AA19="","P","R")</f>
        <v>P</v>
      </c>
      <c r="K18" s="454" t="str">
        <f>IF(OR(L18="",L18="Reunión de Apertura",L18="Reunión de Cierre"),"*",COUNT(K15:K$17)+1)</f>
        <v>*</v>
      </c>
      <c r="L18" s="380" t="s">
        <v>29</v>
      </c>
      <c r="M18" s="381"/>
      <c r="N18" s="381"/>
      <c r="O18" s="381"/>
      <c r="P18" s="381"/>
      <c r="Q18" s="381"/>
      <c r="R18" s="382"/>
      <c r="S18" s="386" t="str">
        <f>IFERROR(VLOOKUP(L18,'Listas Desplegables'!B:D,3,0),"")</f>
        <v>Camia Toro/ Sergio Lozano</v>
      </c>
      <c r="T18" s="387"/>
      <c r="U18" s="387"/>
      <c r="V18" s="388"/>
      <c r="W18" s="392" t="s">
        <v>37</v>
      </c>
      <c r="X18" s="392"/>
      <c r="Y18" s="392"/>
      <c r="Z18" s="392"/>
      <c r="AA18" s="393"/>
      <c r="AB18" s="394"/>
      <c r="AC18" s="395"/>
      <c r="AD18" s="396"/>
      <c r="AE18" s="397"/>
      <c r="AF18" s="398"/>
      <c r="AG18" s="402"/>
      <c r="AH18" s="402"/>
      <c r="AI18" s="402"/>
      <c r="AJ18" s="403" t="s">
        <v>31</v>
      </c>
      <c r="AK18" s="404"/>
      <c r="AL18" s="405"/>
      <c r="AM18" s="406"/>
      <c r="AN18" s="407"/>
      <c r="AO18" s="433"/>
      <c r="AP18" s="434"/>
      <c r="AQ18" s="434"/>
      <c r="AR18" s="434"/>
      <c r="AS18" s="434"/>
      <c r="AT18" s="435"/>
      <c r="AU18" s="131"/>
      <c r="AW18" s="161" t="str">
        <f>K18</f>
        <v>*</v>
      </c>
      <c r="AX18" s="162">
        <f>IF(AA19="",AA18,AA19)</f>
        <v>0</v>
      </c>
      <c r="AY18" s="163" t="str">
        <f>L18</f>
        <v>Reunión de Apertura</v>
      </c>
      <c r="AZ18" s="163" t="str">
        <f>S18</f>
        <v>Camia Toro/ Sergio Lozano</v>
      </c>
      <c r="BA18" s="164">
        <f>AL18</f>
        <v>0</v>
      </c>
      <c r="BB18" s="164">
        <f>AL19</f>
        <v>0</v>
      </c>
      <c r="BC18" s="163">
        <f>AO18</f>
        <v>0</v>
      </c>
      <c r="BD18" s="163" t="str">
        <f>IF(AO19="","",AO19)</f>
        <v/>
      </c>
      <c r="BE18" s="165" t="str">
        <f>IF(AD18="","",AD18)</f>
        <v/>
      </c>
      <c r="BF18" s="166" t="str">
        <f>IF(OR(L18='Listas Desplegables'!$B$4,L18='Listas Desplegables'!$B$5),"",WORKDAY(AX18,7,'Listas Desplegables'!$J$11:$J$18))</f>
        <v/>
      </c>
    </row>
    <row r="19" spans="1:58" ht="12" customHeight="1" x14ac:dyDescent="0.35">
      <c r="A19" s="127" t="str">
        <f>CONCATENATE("A-",AO19)</f>
        <v>A-</v>
      </c>
      <c r="D19" s="159" t="str">
        <f>IF(AA19="",CONCATENATE(AA18,"-",AO19),CONCATENATE(AA19,"-",AO19))</f>
        <v>-</v>
      </c>
      <c r="E19" s="159" t="str">
        <f>L18</f>
        <v>Reunión de Apertura</v>
      </c>
      <c r="F19" s="160">
        <f>AL18</f>
        <v>0</v>
      </c>
      <c r="G19" s="160">
        <f>AL19</f>
        <v>0</v>
      </c>
      <c r="H19" s="160" t="str">
        <f>IF(AA19="","P","R")</f>
        <v>P</v>
      </c>
      <c r="K19" s="455"/>
      <c r="L19" s="383"/>
      <c r="M19" s="384"/>
      <c r="N19" s="384"/>
      <c r="O19" s="384"/>
      <c r="P19" s="384"/>
      <c r="Q19" s="384"/>
      <c r="R19" s="385"/>
      <c r="S19" s="389"/>
      <c r="T19" s="390"/>
      <c r="U19" s="390"/>
      <c r="V19" s="391"/>
      <c r="W19" s="392"/>
      <c r="X19" s="392"/>
      <c r="Y19" s="392"/>
      <c r="Z19" s="392"/>
      <c r="AA19" s="411"/>
      <c r="AB19" s="412"/>
      <c r="AC19" s="413"/>
      <c r="AD19" s="399"/>
      <c r="AE19" s="400"/>
      <c r="AF19" s="401"/>
      <c r="AG19" s="402"/>
      <c r="AH19" s="402"/>
      <c r="AI19" s="402"/>
      <c r="AJ19" s="414" t="s">
        <v>8</v>
      </c>
      <c r="AK19" s="415"/>
      <c r="AL19" s="405"/>
      <c r="AM19" s="406"/>
      <c r="AN19" s="407"/>
      <c r="AO19" s="436"/>
      <c r="AP19" s="437"/>
      <c r="AQ19" s="437"/>
      <c r="AR19" s="437"/>
      <c r="AS19" s="437"/>
      <c r="AT19" s="438"/>
      <c r="AU19" s="131"/>
      <c r="AX19" s="167"/>
      <c r="AY19" s="163"/>
      <c r="AZ19" s="163"/>
      <c r="BA19" s="163"/>
      <c r="BB19" s="163"/>
      <c r="BC19" s="163"/>
      <c r="BD19" s="163"/>
    </row>
    <row r="20" spans="1:58" ht="12" customHeight="1" x14ac:dyDescent="0.35">
      <c r="A20" s="127" t="str">
        <f>CONCATENATE("P-",AO20)</f>
        <v>P-</v>
      </c>
      <c r="B20" s="128" t="str">
        <f>IF(AA21="",CONCATENATE(AA20,"-",L20),CONCATENATE(AA21,"-",L20))</f>
        <v>-Registro Académico</v>
      </c>
      <c r="C20" s="128" t="str">
        <f>CONCATENATE(AO20," / ",AO21)</f>
        <v xml:space="preserve"> / </v>
      </c>
      <c r="D20" s="159" t="str">
        <f>IF(AA21="",CONCATENATE(AA20,"-",AO20),CONCATENATE(AA21,"-",AO20))</f>
        <v>-</v>
      </c>
      <c r="E20" s="159" t="str">
        <f>L20</f>
        <v>Registro Académico</v>
      </c>
      <c r="F20" s="160">
        <f>AL20</f>
        <v>0</v>
      </c>
      <c r="G20" s="160">
        <f>AL21</f>
        <v>0</v>
      </c>
      <c r="H20" s="160" t="str">
        <f>IF(AA21="","P","R")</f>
        <v>P</v>
      </c>
      <c r="K20" s="454">
        <f>IF(OR(L20="",L20="Reunión de Apertura",L20="Reunión de Cierre"),"*",COUNT(K$17:K17)+1)</f>
        <v>1</v>
      </c>
      <c r="L20" s="380" t="s">
        <v>297</v>
      </c>
      <c r="M20" s="381"/>
      <c r="N20" s="381"/>
      <c r="O20" s="381"/>
      <c r="P20" s="381"/>
      <c r="Q20" s="381"/>
      <c r="R20" s="382"/>
      <c r="S20" s="386" t="str">
        <f>IFERROR(VLOOKUP(L20,'Listas Desplegables'!B:D,3,0),"")</f>
        <v>Maria Fernanda Bonilla</v>
      </c>
      <c r="T20" s="387"/>
      <c r="U20" s="387"/>
      <c r="V20" s="388"/>
      <c r="W20" s="392" t="s">
        <v>37</v>
      </c>
      <c r="X20" s="392"/>
      <c r="Y20" s="392"/>
      <c r="Z20" s="392"/>
      <c r="AA20" s="393"/>
      <c r="AB20" s="394"/>
      <c r="AC20" s="395"/>
      <c r="AD20" s="396"/>
      <c r="AE20" s="397"/>
      <c r="AF20" s="398"/>
      <c r="AG20" s="402"/>
      <c r="AH20" s="402"/>
      <c r="AI20" s="402"/>
      <c r="AJ20" s="403" t="s">
        <v>31</v>
      </c>
      <c r="AK20" s="404"/>
      <c r="AL20" s="405"/>
      <c r="AM20" s="406"/>
      <c r="AN20" s="407"/>
      <c r="AO20" s="433"/>
      <c r="AP20" s="434"/>
      <c r="AQ20" s="434"/>
      <c r="AR20" s="434"/>
      <c r="AS20" s="434"/>
      <c r="AT20" s="435"/>
      <c r="AU20" s="131"/>
      <c r="AW20" s="161">
        <f>K20</f>
        <v>1</v>
      </c>
      <c r="AX20" s="162">
        <f>IF(AA21="",AA20,AA21)</f>
        <v>0</v>
      </c>
      <c r="AY20" s="163" t="str">
        <f>L20</f>
        <v>Registro Académico</v>
      </c>
      <c r="AZ20" s="163" t="str">
        <f>S20</f>
        <v>Maria Fernanda Bonilla</v>
      </c>
      <c r="BA20" s="164">
        <f>AL20</f>
        <v>0</v>
      </c>
      <c r="BB20" s="164">
        <f>AL21</f>
        <v>0</v>
      </c>
      <c r="BC20" s="163">
        <f>AO20</f>
        <v>0</v>
      </c>
      <c r="BD20" s="163" t="str">
        <f>IF(AO21="","",AO21)</f>
        <v/>
      </c>
      <c r="BE20" s="165" t="str">
        <f>IF(AD20="","",AD20)</f>
        <v/>
      </c>
      <c r="BF20" s="166">
        <f>IF(OR(L20='Listas Desplegables'!$B$4,L20='Listas Desplegables'!$B$5),"",WORKDAY(AX20,7,'Listas Desplegables'!$J$11:$J$18))</f>
        <v>10</v>
      </c>
    </row>
    <row r="21" spans="1:58" ht="12" customHeight="1" x14ac:dyDescent="0.35">
      <c r="A21" s="127" t="str">
        <f>CONCATENATE("A-",AO21)</f>
        <v>A-</v>
      </c>
      <c r="D21" s="159" t="str">
        <f>IF(AA21="",CONCATENATE(AA20,"-",AO21),CONCATENATE(AA21,"-",AO21))</f>
        <v>-</v>
      </c>
      <c r="E21" s="159" t="str">
        <f>L20</f>
        <v>Registro Académico</v>
      </c>
      <c r="F21" s="160">
        <f>AL20</f>
        <v>0</v>
      </c>
      <c r="G21" s="160">
        <f>AL21</f>
        <v>0</v>
      </c>
      <c r="H21" s="160" t="str">
        <f>IF(AA21="","P","R")</f>
        <v>P</v>
      </c>
      <c r="K21" s="455"/>
      <c r="L21" s="383"/>
      <c r="M21" s="384"/>
      <c r="N21" s="384"/>
      <c r="O21" s="384"/>
      <c r="P21" s="384"/>
      <c r="Q21" s="384"/>
      <c r="R21" s="385"/>
      <c r="S21" s="389"/>
      <c r="T21" s="390"/>
      <c r="U21" s="390"/>
      <c r="V21" s="391"/>
      <c r="W21" s="392"/>
      <c r="X21" s="392"/>
      <c r="Y21" s="392"/>
      <c r="Z21" s="392"/>
      <c r="AA21" s="411"/>
      <c r="AB21" s="412"/>
      <c r="AC21" s="413"/>
      <c r="AD21" s="399"/>
      <c r="AE21" s="400"/>
      <c r="AF21" s="401"/>
      <c r="AG21" s="402"/>
      <c r="AH21" s="402"/>
      <c r="AI21" s="402"/>
      <c r="AJ21" s="414" t="s">
        <v>8</v>
      </c>
      <c r="AK21" s="415"/>
      <c r="AL21" s="405"/>
      <c r="AM21" s="406"/>
      <c r="AN21" s="407"/>
      <c r="AO21" s="436"/>
      <c r="AP21" s="437"/>
      <c r="AQ21" s="437"/>
      <c r="AR21" s="437"/>
      <c r="AS21" s="437"/>
      <c r="AT21" s="438"/>
      <c r="AU21" s="131"/>
      <c r="AX21" s="167"/>
      <c r="AY21" s="163"/>
      <c r="AZ21" s="163"/>
      <c r="BA21" s="163"/>
      <c r="BB21" s="163"/>
      <c r="BC21" s="163"/>
      <c r="BD21" s="163"/>
    </row>
    <row r="22" spans="1:58" ht="12" customHeight="1" x14ac:dyDescent="0.35">
      <c r="A22" s="127" t="str">
        <f t="shared" ref="A22" si="0">CONCATENATE("P-",AO22)</f>
        <v>P-</v>
      </c>
      <c r="B22" s="128" t="str">
        <f t="shared" ref="B22" si="1">IF(AA23="",CONCATENATE(AA22,"-",L22),CONCATENATE(AA23,"-",L22))</f>
        <v>-Gestión Curricular</v>
      </c>
      <c r="C22" s="128" t="str">
        <f t="shared" ref="C22" si="2">CONCATENATE(AO22," / ",AO23)</f>
        <v xml:space="preserve"> / </v>
      </c>
      <c r="D22" s="159" t="str">
        <f t="shared" ref="D22" si="3">IF(AA23="",CONCATENATE(AA22,"-",AO22),CONCATENATE(AA23,"-",AO22))</f>
        <v>-</v>
      </c>
      <c r="E22" s="159" t="str">
        <f t="shared" ref="E22" si="4">L22</f>
        <v>Gestión Curricular</v>
      </c>
      <c r="F22" s="160">
        <f t="shared" ref="F22" si="5">AL22</f>
        <v>0</v>
      </c>
      <c r="G22" s="160">
        <f t="shared" ref="G22" si="6">AL23</f>
        <v>0</v>
      </c>
      <c r="H22" s="160" t="str">
        <f t="shared" ref="H22" si="7">IF(AA23="","P","R")</f>
        <v>P</v>
      </c>
      <c r="K22" s="454">
        <f>IF(OR(L22="",L22="Reunión de Apertura",L22="Reunión de Cierre"),"*",COUNT(K$17:K21)+1)</f>
        <v>2</v>
      </c>
      <c r="L22" s="380" t="s">
        <v>300</v>
      </c>
      <c r="M22" s="381"/>
      <c r="N22" s="381"/>
      <c r="O22" s="381"/>
      <c r="P22" s="381"/>
      <c r="Q22" s="381"/>
      <c r="R22" s="382"/>
      <c r="S22" s="386" t="str">
        <f>IFERROR(VLOOKUP(L22,'Listas Desplegables'!B:D,3,0),"")</f>
        <v>Depsi Johana Cordoba</v>
      </c>
      <c r="T22" s="387"/>
      <c r="U22" s="387"/>
      <c r="V22" s="388"/>
      <c r="W22" s="392" t="s">
        <v>30</v>
      </c>
      <c r="X22" s="392"/>
      <c r="Y22" s="392"/>
      <c r="Z22" s="392"/>
      <c r="AA22" s="393"/>
      <c r="AB22" s="394"/>
      <c r="AC22" s="395"/>
      <c r="AD22" s="396"/>
      <c r="AE22" s="397"/>
      <c r="AF22" s="398"/>
      <c r="AG22" s="402" t="str">
        <f t="shared" ref="AG22" si="8">IF(SUM(AL23-AL22)=0,"",AL23-AL22)</f>
        <v/>
      </c>
      <c r="AH22" s="402"/>
      <c r="AI22" s="402"/>
      <c r="AJ22" s="403" t="s">
        <v>31</v>
      </c>
      <c r="AK22" s="404"/>
      <c r="AL22" s="405"/>
      <c r="AM22" s="406"/>
      <c r="AN22" s="407"/>
      <c r="AO22" s="433"/>
      <c r="AP22" s="434"/>
      <c r="AQ22" s="434"/>
      <c r="AR22" s="434"/>
      <c r="AS22" s="434"/>
      <c r="AT22" s="435"/>
      <c r="AU22" s="131"/>
      <c r="AW22" s="161">
        <f>K22</f>
        <v>2</v>
      </c>
      <c r="AX22" s="162">
        <f t="shared" ref="AX22" si="9">IF(AA23="",AA22,AA23)</f>
        <v>0</v>
      </c>
      <c r="AY22" s="163" t="str">
        <f t="shared" ref="AY22" si="10">L22</f>
        <v>Gestión Curricular</v>
      </c>
      <c r="AZ22" s="163" t="str">
        <f t="shared" ref="AZ22" si="11">S22</f>
        <v>Depsi Johana Cordoba</v>
      </c>
      <c r="BA22" s="164">
        <f t="shared" ref="BA22" si="12">AL22</f>
        <v>0</v>
      </c>
      <c r="BB22" s="164">
        <f t="shared" ref="BB22" si="13">AL23</f>
        <v>0</v>
      </c>
      <c r="BC22" s="163">
        <f t="shared" ref="BC22" si="14">AO22</f>
        <v>0</v>
      </c>
      <c r="BD22" s="163" t="str">
        <f t="shared" ref="BD22" si="15">IF(AO23="","",AO23)</f>
        <v/>
      </c>
      <c r="BE22" s="165" t="str">
        <f>IF(AD22="","",AD22)</f>
        <v/>
      </c>
      <c r="BF22" s="166">
        <f>IF(OR(L22='Listas Desplegables'!$B$4,L22='Listas Desplegables'!$B$5),"",WORKDAY(AX22,7,'Listas Desplegables'!$J$11:$J$18))</f>
        <v>10</v>
      </c>
    </row>
    <row r="23" spans="1:58" ht="12" customHeight="1" x14ac:dyDescent="0.35">
      <c r="A23" s="127" t="str">
        <f t="shared" ref="A23" si="16">CONCATENATE("A-",AO23)</f>
        <v>A-</v>
      </c>
      <c r="D23" s="159" t="str">
        <f t="shared" ref="D23" si="17">IF(AA23="",CONCATENATE(AA22,"-",AO23),CONCATENATE(AA23,"-",AO23))</f>
        <v>-</v>
      </c>
      <c r="E23" s="159" t="str">
        <f t="shared" ref="E23" si="18">L22</f>
        <v>Gestión Curricular</v>
      </c>
      <c r="F23" s="160">
        <f t="shared" ref="F23" si="19">AL22</f>
        <v>0</v>
      </c>
      <c r="G23" s="160">
        <f t="shared" ref="G23" si="20">AL23</f>
        <v>0</v>
      </c>
      <c r="H23" s="160" t="str">
        <f t="shared" ref="H23" si="21">IF(AA23="","P","R")</f>
        <v>P</v>
      </c>
      <c r="K23" s="455"/>
      <c r="L23" s="383"/>
      <c r="M23" s="384"/>
      <c r="N23" s="384"/>
      <c r="O23" s="384"/>
      <c r="P23" s="384"/>
      <c r="Q23" s="384"/>
      <c r="R23" s="385"/>
      <c r="S23" s="389"/>
      <c r="T23" s="390"/>
      <c r="U23" s="390"/>
      <c r="V23" s="391"/>
      <c r="W23" s="392"/>
      <c r="X23" s="392"/>
      <c r="Y23" s="392"/>
      <c r="Z23" s="392"/>
      <c r="AA23" s="411"/>
      <c r="AB23" s="412"/>
      <c r="AC23" s="413"/>
      <c r="AD23" s="399"/>
      <c r="AE23" s="400"/>
      <c r="AF23" s="401"/>
      <c r="AG23" s="402"/>
      <c r="AH23" s="402"/>
      <c r="AI23" s="402"/>
      <c r="AJ23" s="414" t="s">
        <v>8</v>
      </c>
      <c r="AK23" s="415"/>
      <c r="AL23" s="405"/>
      <c r="AM23" s="406"/>
      <c r="AN23" s="407"/>
      <c r="AO23" s="436"/>
      <c r="AP23" s="437"/>
      <c r="AQ23" s="437"/>
      <c r="AR23" s="437"/>
      <c r="AS23" s="437"/>
      <c r="AT23" s="438"/>
      <c r="AU23" s="131"/>
      <c r="AX23" s="167"/>
      <c r="AY23" s="163"/>
      <c r="AZ23" s="163"/>
      <c r="BA23" s="163"/>
      <c r="BB23" s="163"/>
      <c r="BC23" s="163"/>
      <c r="BD23" s="163"/>
    </row>
    <row r="24" spans="1:58" ht="12" customHeight="1" x14ac:dyDescent="0.35">
      <c r="A24" s="127" t="str">
        <f t="shared" ref="A24" si="22">CONCATENATE("P-",AO24)</f>
        <v>P-</v>
      </c>
      <c r="B24" s="128" t="str">
        <f t="shared" ref="B24" si="23">IF(AA25="",CONCATENATE(AA24,"-",L24),CONCATENATE(AA25,"-",L24))</f>
        <v>-Investigación, Desarrollo e Innovación</v>
      </c>
      <c r="C24" s="128" t="str">
        <f t="shared" ref="C24" si="24">CONCATENATE(AO24," / ",AO25)</f>
        <v xml:space="preserve"> / </v>
      </c>
      <c r="D24" s="159" t="str">
        <f t="shared" ref="D24" si="25">IF(AA25="",CONCATENATE(AA24,"-",AO24),CONCATENATE(AA25,"-",AO24))</f>
        <v>-</v>
      </c>
      <c r="E24" s="159" t="str">
        <f t="shared" ref="E24" si="26">L24</f>
        <v>Investigación, Desarrollo e Innovación</v>
      </c>
      <c r="F24" s="160">
        <f t="shared" ref="F24" si="27">AL24</f>
        <v>0</v>
      </c>
      <c r="G24" s="160">
        <f t="shared" ref="G24" si="28">AL25</f>
        <v>0</v>
      </c>
      <c r="H24" s="160" t="str">
        <f t="shared" ref="H24" si="29">IF(AA25="","P","R")</f>
        <v>P</v>
      </c>
      <c r="K24" s="454">
        <f>IF(OR(L24="",L24="Reunión de Apertura",L24="Reunión de Cierre"),"*",COUNT(K$17:K23)+1)</f>
        <v>3</v>
      </c>
      <c r="L24" s="380" t="s">
        <v>281</v>
      </c>
      <c r="M24" s="381"/>
      <c r="N24" s="381"/>
      <c r="O24" s="381"/>
      <c r="P24" s="381"/>
      <c r="Q24" s="381"/>
      <c r="R24" s="382"/>
      <c r="S24" s="386" t="str">
        <f>IFERROR(VLOOKUP(L24,'Listas Desplegables'!B:D,3,0),"")</f>
        <v>Daniel Feriz</v>
      </c>
      <c r="T24" s="387"/>
      <c r="U24" s="387"/>
      <c r="V24" s="388"/>
      <c r="W24" s="392" t="s">
        <v>30</v>
      </c>
      <c r="X24" s="392"/>
      <c r="Y24" s="392"/>
      <c r="Z24" s="392"/>
      <c r="AA24" s="393"/>
      <c r="AB24" s="394"/>
      <c r="AC24" s="395"/>
      <c r="AD24" s="396"/>
      <c r="AE24" s="397"/>
      <c r="AF24" s="398"/>
      <c r="AG24" s="402" t="str">
        <f t="shared" ref="AG24" si="30">IF(SUM(AL25-AL24)=0,"",AL25-AL24)</f>
        <v/>
      </c>
      <c r="AH24" s="402"/>
      <c r="AI24" s="402"/>
      <c r="AJ24" s="403" t="s">
        <v>31</v>
      </c>
      <c r="AK24" s="404"/>
      <c r="AL24" s="405"/>
      <c r="AM24" s="406"/>
      <c r="AN24" s="407"/>
      <c r="AO24" s="433"/>
      <c r="AP24" s="434"/>
      <c r="AQ24" s="434"/>
      <c r="AR24" s="434"/>
      <c r="AS24" s="434"/>
      <c r="AT24" s="435"/>
      <c r="AU24" s="131"/>
      <c r="AW24" s="161">
        <f t="shared" ref="AW24" si="31">K24</f>
        <v>3</v>
      </c>
      <c r="AX24" s="162">
        <f t="shared" ref="AX24" si="32">IF(AA25="",AA24,AA25)</f>
        <v>0</v>
      </c>
      <c r="AY24" s="163" t="str">
        <f t="shared" ref="AY24" si="33">L24</f>
        <v>Investigación, Desarrollo e Innovación</v>
      </c>
      <c r="AZ24" s="163" t="str">
        <f t="shared" ref="AZ24" si="34">S24</f>
        <v>Daniel Feriz</v>
      </c>
      <c r="BA24" s="164">
        <f t="shared" ref="BA24" si="35">AL24</f>
        <v>0</v>
      </c>
      <c r="BB24" s="164">
        <f t="shared" ref="BB24" si="36">AL25</f>
        <v>0</v>
      </c>
      <c r="BC24" s="163">
        <f t="shared" ref="BC24" si="37">AO24</f>
        <v>0</v>
      </c>
      <c r="BD24" s="163" t="str">
        <f t="shared" ref="BD24" si="38">IF(AO25="","",AO25)</f>
        <v/>
      </c>
      <c r="BE24" s="165" t="str">
        <f>IF(AD24="","",AD24)</f>
        <v/>
      </c>
      <c r="BF24" s="166">
        <f>IF(OR(L24='Listas Desplegables'!$B$4,L24='Listas Desplegables'!$B$5),"",WORKDAY(AX24,7,'Listas Desplegables'!$J$11:$J$18))</f>
        <v>10</v>
      </c>
    </row>
    <row r="25" spans="1:58" ht="12" customHeight="1" x14ac:dyDescent="0.35">
      <c r="A25" s="127" t="str">
        <f t="shared" ref="A25" si="39">CONCATENATE("A-",AO25)</f>
        <v>A-</v>
      </c>
      <c r="D25" s="159" t="str">
        <f t="shared" ref="D25" si="40">IF(AA25="",CONCATENATE(AA24,"-",AO25),CONCATENATE(AA25,"-",AO25))</f>
        <v>-</v>
      </c>
      <c r="E25" s="159" t="str">
        <f t="shared" ref="E25" si="41">L24</f>
        <v>Investigación, Desarrollo e Innovación</v>
      </c>
      <c r="F25" s="160">
        <f t="shared" ref="F25" si="42">AL24</f>
        <v>0</v>
      </c>
      <c r="G25" s="160">
        <f t="shared" ref="G25" si="43">AL25</f>
        <v>0</v>
      </c>
      <c r="H25" s="160" t="str">
        <f t="shared" ref="H25" si="44">IF(AA25="","P","R")</f>
        <v>P</v>
      </c>
      <c r="K25" s="455"/>
      <c r="L25" s="383"/>
      <c r="M25" s="384"/>
      <c r="N25" s="384"/>
      <c r="O25" s="384"/>
      <c r="P25" s="384"/>
      <c r="Q25" s="384"/>
      <c r="R25" s="385"/>
      <c r="S25" s="389"/>
      <c r="T25" s="390"/>
      <c r="U25" s="390"/>
      <c r="V25" s="391"/>
      <c r="W25" s="392"/>
      <c r="X25" s="392"/>
      <c r="Y25" s="392"/>
      <c r="Z25" s="392"/>
      <c r="AA25" s="411"/>
      <c r="AB25" s="412"/>
      <c r="AC25" s="413"/>
      <c r="AD25" s="399"/>
      <c r="AE25" s="400"/>
      <c r="AF25" s="401"/>
      <c r="AG25" s="402"/>
      <c r="AH25" s="402"/>
      <c r="AI25" s="402"/>
      <c r="AJ25" s="414" t="s">
        <v>8</v>
      </c>
      <c r="AK25" s="415"/>
      <c r="AL25" s="405"/>
      <c r="AM25" s="406"/>
      <c r="AN25" s="407"/>
      <c r="AO25" s="436"/>
      <c r="AP25" s="437"/>
      <c r="AQ25" s="437"/>
      <c r="AR25" s="437"/>
      <c r="AS25" s="437"/>
      <c r="AT25" s="438"/>
      <c r="AU25" s="131"/>
      <c r="AX25" s="167"/>
      <c r="AY25" s="163"/>
      <c r="AZ25" s="163"/>
      <c r="BA25" s="163"/>
      <c r="BB25" s="163"/>
      <c r="BC25" s="163"/>
      <c r="BD25" s="163"/>
    </row>
    <row r="26" spans="1:58" ht="12" customHeight="1" x14ac:dyDescent="0.35">
      <c r="A26" s="127" t="str">
        <f t="shared" ref="A26" si="45">CONCATENATE("P-",AO26)</f>
        <v>P-</v>
      </c>
      <c r="B26" s="128" t="str">
        <f t="shared" ref="B26" si="46">IF(AA27="",CONCATENATE(AA26,"-",L26),CONCATENATE(AA27,"-",L26))</f>
        <v>-Extensión y Proyección Social</v>
      </c>
      <c r="C26" s="128" t="str">
        <f t="shared" ref="C26" si="47">CONCATENATE(AO26," / ",AO27)</f>
        <v xml:space="preserve"> / </v>
      </c>
      <c r="D26" s="159" t="str">
        <f t="shared" ref="D26" si="48">IF(AA27="",CONCATENATE(AA26,"-",AO26),CONCATENATE(AA27,"-",AO26))</f>
        <v>-</v>
      </c>
      <c r="E26" s="159" t="str">
        <f t="shared" ref="E26" si="49">L26</f>
        <v>Extensión y Proyección Social</v>
      </c>
      <c r="F26" s="160">
        <f t="shared" ref="F26" si="50">AL26</f>
        <v>0</v>
      </c>
      <c r="G26" s="160">
        <f t="shared" ref="G26" si="51">AL27</f>
        <v>0</v>
      </c>
      <c r="H26" s="160" t="str">
        <f t="shared" ref="H26" si="52">IF(AA27="","P","R")</f>
        <v>P</v>
      </c>
      <c r="K26" s="454">
        <f>IF(OR(L26="",L26="Reunión de Apertura",L26="Reunión de Cierre"),"*",COUNT(K$17:K25)+1)</f>
        <v>4</v>
      </c>
      <c r="L26" s="380" t="s">
        <v>250</v>
      </c>
      <c r="M26" s="381"/>
      <c r="N26" s="381"/>
      <c r="O26" s="381"/>
      <c r="P26" s="381"/>
      <c r="Q26" s="381"/>
      <c r="R26" s="382"/>
      <c r="S26" s="386" t="str">
        <f>IFERROR(VLOOKUP(L26,'Listas Desplegables'!B:D,3,0),"")</f>
        <v>Andres Cisneros</v>
      </c>
      <c r="T26" s="387"/>
      <c r="U26" s="387"/>
      <c r="V26" s="388"/>
      <c r="W26" s="392" t="s">
        <v>30</v>
      </c>
      <c r="X26" s="392"/>
      <c r="Y26" s="392"/>
      <c r="Z26" s="392"/>
      <c r="AA26" s="393"/>
      <c r="AB26" s="394"/>
      <c r="AC26" s="395"/>
      <c r="AD26" s="396"/>
      <c r="AE26" s="397"/>
      <c r="AF26" s="398"/>
      <c r="AG26" s="402" t="str">
        <f t="shared" ref="AG26" si="53">IF(SUM(AL27-AL26)=0,"",AL27-AL26)</f>
        <v/>
      </c>
      <c r="AH26" s="402"/>
      <c r="AI26" s="402"/>
      <c r="AJ26" s="403" t="s">
        <v>31</v>
      </c>
      <c r="AK26" s="404"/>
      <c r="AL26" s="405"/>
      <c r="AM26" s="406"/>
      <c r="AN26" s="407"/>
      <c r="AO26" s="433"/>
      <c r="AP26" s="434"/>
      <c r="AQ26" s="434"/>
      <c r="AR26" s="434"/>
      <c r="AS26" s="434"/>
      <c r="AT26" s="435"/>
      <c r="AU26" s="131"/>
      <c r="AW26" s="161">
        <f t="shared" ref="AW26" si="54">K26</f>
        <v>4</v>
      </c>
      <c r="AX26" s="162">
        <f t="shared" ref="AX26" si="55">IF(AA27="",AA26,AA27)</f>
        <v>0</v>
      </c>
      <c r="AY26" s="163" t="str">
        <f t="shared" ref="AY26" si="56">L26</f>
        <v>Extensión y Proyección Social</v>
      </c>
      <c r="AZ26" s="163" t="str">
        <f t="shared" ref="AZ26" si="57">S26</f>
        <v>Andres Cisneros</v>
      </c>
      <c r="BA26" s="164">
        <f t="shared" ref="BA26" si="58">AL26</f>
        <v>0</v>
      </c>
      <c r="BB26" s="164">
        <f t="shared" ref="BB26" si="59">AL27</f>
        <v>0</v>
      </c>
      <c r="BC26" s="163">
        <f t="shared" ref="BC26" si="60">AO26</f>
        <v>0</v>
      </c>
      <c r="BD26" s="163" t="str">
        <f t="shared" ref="BD26" si="61">IF(AO27="","",AO27)</f>
        <v/>
      </c>
      <c r="BE26" s="165" t="str">
        <f>IF(AD26="","",AD26)</f>
        <v/>
      </c>
      <c r="BF26" s="166">
        <f>IF(OR(L26='Listas Desplegables'!$B$4,L26='Listas Desplegables'!$B$5),"",WORKDAY(AX26,7,'Listas Desplegables'!$J$11:$J$18))</f>
        <v>10</v>
      </c>
    </row>
    <row r="27" spans="1:58" ht="12" customHeight="1" x14ac:dyDescent="0.35">
      <c r="A27" s="127" t="str">
        <f t="shared" ref="A27" si="62">CONCATENATE("A-",AO27)</f>
        <v>A-</v>
      </c>
      <c r="D27" s="159" t="str">
        <f t="shared" ref="D27" si="63">IF(AA27="",CONCATENATE(AA26,"-",AO27),CONCATENATE(AA27,"-",AO27))</f>
        <v>-</v>
      </c>
      <c r="E27" s="159" t="str">
        <f t="shared" ref="E27" si="64">L26</f>
        <v>Extensión y Proyección Social</v>
      </c>
      <c r="F27" s="160">
        <f t="shared" ref="F27" si="65">AL26</f>
        <v>0</v>
      </c>
      <c r="G27" s="160">
        <f t="shared" ref="G27" si="66">AL27</f>
        <v>0</v>
      </c>
      <c r="H27" s="160" t="str">
        <f t="shared" ref="H27" si="67">IF(AA27="","P","R")</f>
        <v>P</v>
      </c>
      <c r="K27" s="455"/>
      <c r="L27" s="383"/>
      <c r="M27" s="384"/>
      <c r="N27" s="384"/>
      <c r="O27" s="384"/>
      <c r="P27" s="384"/>
      <c r="Q27" s="384"/>
      <c r="R27" s="385"/>
      <c r="S27" s="389"/>
      <c r="T27" s="390"/>
      <c r="U27" s="390"/>
      <c r="V27" s="391"/>
      <c r="W27" s="392"/>
      <c r="X27" s="392"/>
      <c r="Y27" s="392"/>
      <c r="Z27" s="392"/>
      <c r="AA27" s="411"/>
      <c r="AB27" s="412"/>
      <c r="AC27" s="413"/>
      <c r="AD27" s="399"/>
      <c r="AE27" s="400"/>
      <c r="AF27" s="401"/>
      <c r="AG27" s="402"/>
      <c r="AH27" s="402"/>
      <c r="AI27" s="402"/>
      <c r="AJ27" s="414" t="s">
        <v>8</v>
      </c>
      <c r="AK27" s="415"/>
      <c r="AL27" s="405"/>
      <c r="AM27" s="406"/>
      <c r="AN27" s="407"/>
      <c r="AO27" s="436"/>
      <c r="AP27" s="437"/>
      <c r="AQ27" s="437"/>
      <c r="AR27" s="437"/>
      <c r="AS27" s="437"/>
      <c r="AT27" s="438"/>
      <c r="AU27" s="131"/>
      <c r="AX27" s="167"/>
      <c r="AY27" s="163"/>
      <c r="AZ27" s="163"/>
      <c r="BA27" s="163"/>
      <c r="BB27" s="163"/>
      <c r="BC27" s="163"/>
      <c r="BD27" s="163"/>
    </row>
    <row r="28" spans="1:58" ht="12" customHeight="1" x14ac:dyDescent="0.35">
      <c r="A28" s="127" t="str">
        <f t="shared" ref="A28" si="68">CONCATENATE("P-",AO28)</f>
        <v>P-</v>
      </c>
      <c r="B28" s="128" t="str">
        <f t="shared" ref="B28" si="69">IF(AA29="",CONCATENATE(AA28,"-",L28),CONCATENATE(AA29,"-",L28))</f>
        <v xml:space="preserve">-Emprendimiento </v>
      </c>
      <c r="C28" s="128" t="str">
        <f t="shared" ref="C28" si="70">CONCATENATE(AO28," / ",AO29)</f>
        <v xml:space="preserve"> / </v>
      </c>
      <c r="D28" s="159" t="str">
        <f t="shared" ref="D28" si="71">IF(AA29="",CONCATENATE(AA28,"-",AO28),CONCATENATE(AA29,"-",AO28))</f>
        <v>-</v>
      </c>
      <c r="E28" s="159" t="str">
        <f t="shared" ref="E28" si="72">L28</f>
        <v xml:space="preserve">Emprendimiento </v>
      </c>
      <c r="F28" s="160">
        <f t="shared" ref="F28" si="73">AL28</f>
        <v>0</v>
      </c>
      <c r="G28" s="160">
        <f t="shared" ref="G28" si="74">AL29</f>
        <v>0</v>
      </c>
      <c r="H28" s="160" t="str">
        <f t="shared" ref="H28" si="75">IF(AA29="","P","R")</f>
        <v>P</v>
      </c>
      <c r="K28" s="454">
        <f>IF(OR(L28="",L28="Reunión de Apertura",L28="Reunión de Cierre"),"*",COUNT(K$17:K27)+1)</f>
        <v>5</v>
      </c>
      <c r="L28" s="380" t="s">
        <v>282</v>
      </c>
      <c r="M28" s="381"/>
      <c r="N28" s="381"/>
      <c r="O28" s="381"/>
      <c r="P28" s="381"/>
      <c r="Q28" s="381"/>
      <c r="R28" s="382"/>
      <c r="S28" s="386" t="str">
        <f>IFERROR(VLOOKUP(L28,'Listas Desplegables'!B:D,3,0),"")</f>
        <v xml:space="preserve">Derly Vivian Valencia </v>
      </c>
      <c r="T28" s="387"/>
      <c r="U28" s="387"/>
      <c r="V28" s="388"/>
      <c r="W28" s="392" t="s">
        <v>41</v>
      </c>
      <c r="X28" s="392"/>
      <c r="Y28" s="392"/>
      <c r="Z28" s="392"/>
      <c r="AA28" s="393"/>
      <c r="AB28" s="394"/>
      <c r="AC28" s="395"/>
      <c r="AD28" s="396"/>
      <c r="AE28" s="397"/>
      <c r="AF28" s="398"/>
      <c r="AG28" s="402" t="str">
        <f t="shared" ref="AG28" si="76">IF(SUM(AL29-AL28)=0,"",AL29-AL28)</f>
        <v/>
      </c>
      <c r="AH28" s="402"/>
      <c r="AI28" s="402"/>
      <c r="AJ28" s="403" t="s">
        <v>31</v>
      </c>
      <c r="AK28" s="404"/>
      <c r="AL28" s="405"/>
      <c r="AM28" s="406"/>
      <c r="AN28" s="407"/>
      <c r="AO28" s="433"/>
      <c r="AP28" s="434"/>
      <c r="AQ28" s="434"/>
      <c r="AR28" s="434"/>
      <c r="AS28" s="434"/>
      <c r="AT28" s="435"/>
      <c r="AU28" s="131"/>
      <c r="AW28" s="161">
        <f t="shared" ref="AW28" si="77">K28</f>
        <v>5</v>
      </c>
      <c r="AX28" s="162">
        <f t="shared" ref="AX28" si="78">IF(AA29="",AA28,AA29)</f>
        <v>0</v>
      </c>
      <c r="AY28" s="163" t="str">
        <f t="shared" ref="AY28" si="79">L28</f>
        <v xml:space="preserve">Emprendimiento </v>
      </c>
      <c r="AZ28" s="163" t="str">
        <f t="shared" ref="AZ28" si="80">S28</f>
        <v xml:space="preserve">Derly Vivian Valencia </v>
      </c>
      <c r="BA28" s="164">
        <f t="shared" ref="BA28" si="81">AL28</f>
        <v>0</v>
      </c>
      <c r="BB28" s="164">
        <f t="shared" ref="BB28" si="82">AL29</f>
        <v>0</v>
      </c>
      <c r="BC28" s="163">
        <f t="shared" ref="BC28" si="83">AO28</f>
        <v>0</v>
      </c>
      <c r="BD28" s="163" t="str">
        <f t="shared" ref="BD28" si="84">IF(AO29="","",AO29)</f>
        <v/>
      </c>
      <c r="BE28" s="165" t="str">
        <f>IF(AD28="","",AD28)</f>
        <v/>
      </c>
      <c r="BF28" s="166">
        <f>IF(OR(L28='Listas Desplegables'!$B$4,L28='Listas Desplegables'!$B$5),"",WORKDAY(AX28,7,'Listas Desplegables'!$J$11:$J$18))</f>
        <v>10</v>
      </c>
    </row>
    <row r="29" spans="1:58" ht="12" customHeight="1" x14ac:dyDescent="0.35">
      <c r="A29" s="127" t="str">
        <f t="shared" ref="A29" si="85">CONCATENATE("A-",AO29)</f>
        <v>A-</v>
      </c>
      <c r="D29" s="159" t="str">
        <f t="shared" ref="D29" si="86">IF(AA29="",CONCATENATE(AA28,"-",AO29),CONCATENATE(AA29,"-",AO29))</f>
        <v>-</v>
      </c>
      <c r="E29" s="159" t="str">
        <f t="shared" ref="E29" si="87">L28</f>
        <v xml:space="preserve">Emprendimiento </v>
      </c>
      <c r="F29" s="160">
        <f t="shared" ref="F29" si="88">AL28</f>
        <v>0</v>
      </c>
      <c r="G29" s="160">
        <f t="shared" ref="G29" si="89">AL29</f>
        <v>0</v>
      </c>
      <c r="H29" s="160" t="str">
        <f t="shared" ref="H29" si="90">IF(AA29="","P","R")</f>
        <v>P</v>
      </c>
      <c r="K29" s="455"/>
      <c r="L29" s="383"/>
      <c r="M29" s="384"/>
      <c r="N29" s="384"/>
      <c r="O29" s="384"/>
      <c r="P29" s="384"/>
      <c r="Q29" s="384"/>
      <c r="R29" s="385"/>
      <c r="S29" s="389"/>
      <c r="T29" s="390"/>
      <c r="U29" s="390"/>
      <c r="V29" s="391"/>
      <c r="W29" s="392"/>
      <c r="X29" s="392"/>
      <c r="Y29" s="392"/>
      <c r="Z29" s="392"/>
      <c r="AA29" s="411"/>
      <c r="AB29" s="412"/>
      <c r="AC29" s="413"/>
      <c r="AD29" s="399"/>
      <c r="AE29" s="400"/>
      <c r="AF29" s="401"/>
      <c r="AG29" s="402"/>
      <c r="AH29" s="402"/>
      <c r="AI29" s="402"/>
      <c r="AJ29" s="414" t="s">
        <v>8</v>
      </c>
      <c r="AK29" s="415"/>
      <c r="AL29" s="405"/>
      <c r="AM29" s="406"/>
      <c r="AN29" s="407"/>
      <c r="AO29" s="436"/>
      <c r="AP29" s="437"/>
      <c r="AQ29" s="437"/>
      <c r="AR29" s="437"/>
      <c r="AS29" s="437"/>
      <c r="AT29" s="438"/>
      <c r="AU29" s="131"/>
      <c r="AX29" s="167"/>
      <c r="AY29" s="163"/>
      <c r="AZ29" s="163"/>
      <c r="BA29" s="163"/>
      <c r="BB29" s="163"/>
      <c r="BC29" s="163"/>
      <c r="BD29" s="163"/>
    </row>
    <row r="30" spans="1:58" s="169" customFormat="1" ht="12" customHeight="1" x14ac:dyDescent="0.35">
      <c r="A30" s="127" t="str">
        <f t="shared" ref="A30" si="91">CONCATENATE("P-",AO30)</f>
        <v>P-</v>
      </c>
      <c r="B30" s="128" t="str">
        <f t="shared" ref="B30" si="92">IF(AA31="",CONCATENATE(AA30,"-",L30),CONCATENATE(AA31,"-",L30))</f>
        <v xml:space="preserve">-Gestión de Egresados </v>
      </c>
      <c r="C30" s="128" t="str">
        <f t="shared" ref="C30" si="93">CONCATENATE(AO30," / ",AO31)</f>
        <v xml:space="preserve"> / </v>
      </c>
      <c r="D30" s="159" t="str">
        <f t="shared" ref="D30" si="94">IF(AA31="",CONCATENATE(AA30,"-",AO30),CONCATENATE(AA31,"-",AO30))</f>
        <v>-</v>
      </c>
      <c r="E30" s="159" t="str">
        <f t="shared" ref="E30" si="95">L30</f>
        <v xml:space="preserve">Gestión de Egresados </v>
      </c>
      <c r="F30" s="160">
        <f t="shared" ref="F30" si="96">AL30</f>
        <v>0</v>
      </c>
      <c r="G30" s="160">
        <f t="shared" ref="G30" si="97">AL31</f>
        <v>0</v>
      </c>
      <c r="H30" s="160" t="str">
        <f t="shared" ref="H30" si="98">IF(AA31="","P","R")</f>
        <v>P</v>
      </c>
      <c r="I30" s="168"/>
      <c r="J30" s="131"/>
      <c r="K30" s="454">
        <f>IF(OR(L30="",L30="Reunión de Apertura",L30="Reunión de Cierre"),"*",COUNT(K$17:K29)+1)</f>
        <v>6</v>
      </c>
      <c r="L30" s="380" t="s">
        <v>284</v>
      </c>
      <c r="M30" s="381"/>
      <c r="N30" s="381"/>
      <c r="O30" s="381"/>
      <c r="P30" s="381"/>
      <c r="Q30" s="381"/>
      <c r="R30" s="382"/>
      <c r="S30" s="386" t="str">
        <f>IFERROR(VLOOKUP(L30,'Listas Desplegables'!B:D,3,0),"")</f>
        <v xml:space="preserve">Gloria Patricia Castro </v>
      </c>
      <c r="T30" s="387"/>
      <c r="U30" s="387"/>
      <c r="V30" s="388"/>
      <c r="W30" s="392" t="s">
        <v>30</v>
      </c>
      <c r="X30" s="392"/>
      <c r="Y30" s="392"/>
      <c r="Z30" s="392"/>
      <c r="AA30" s="393"/>
      <c r="AB30" s="394"/>
      <c r="AC30" s="395"/>
      <c r="AD30" s="396"/>
      <c r="AE30" s="397"/>
      <c r="AF30" s="398"/>
      <c r="AG30" s="402" t="str">
        <f t="shared" ref="AG30" si="99">IF(SUM(AL31-AL30)=0,"",AL31-AL30)</f>
        <v/>
      </c>
      <c r="AH30" s="402"/>
      <c r="AI30" s="402"/>
      <c r="AJ30" s="403" t="s">
        <v>31</v>
      </c>
      <c r="AK30" s="404"/>
      <c r="AL30" s="405"/>
      <c r="AM30" s="406"/>
      <c r="AN30" s="407"/>
      <c r="AO30" s="433"/>
      <c r="AP30" s="434"/>
      <c r="AQ30" s="434"/>
      <c r="AR30" s="434"/>
      <c r="AS30" s="434"/>
      <c r="AT30" s="435"/>
      <c r="AU30" s="131"/>
      <c r="AV30" s="132"/>
      <c r="AW30" s="161">
        <f t="shared" ref="AW30" si="100">K30</f>
        <v>6</v>
      </c>
      <c r="AX30" s="162">
        <f t="shared" ref="AX30" si="101">IF(AA31="",AA30,AA31)</f>
        <v>0</v>
      </c>
      <c r="AY30" s="163" t="str">
        <f t="shared" ref="AY30" si="102">L30</f>
        <v xml:space="preserve">Gestión de Egresados </v>
      </c>
      <c r="AZ30" s="163" t="str">
        <f t="shared" ref="AZ30" si="103">S30</f>
        <v xml:space="preserve">Gloria Patricia Castro </v>
      </c>
      <c r="BA30" s="164">
        <f t="shared" ref="BA30" si="104">AL30</f>
        <v>0</v>
      </c>
      <c r="BB30" s="164">
        <f t="shared" ref="BB30" si="105">AL31</f>
        <v>0</v>
      </c>
      <c r="BC30" s="163">
        <f t="shared" ref="BC30" si="106">AO30</f>
        <v>0</v>
      </c>
      <c r="BD30" s="163" t="str">
        <f t="shared" ref="BD30" si="107">IF(AO31="","",AO31)</f>
        <v/>
      </c>
      <c r="BE30" s="165" t="str">
        <f>IF(AD30="","",AD30)</f>
        <v/>
      </c>
      <c r="BF30" s="166">
        <f>IF(OR(L30='Listas Desplegables'!$B$4,L30='Listas Desplegables'!$B$5),"",WORKDAY(AX30,7,'Listas Desplegables'!$J$11:$J$18))</f>
        <v>10</v>
      </c>
    </row>
    <row r="31" spans="1:58" s="169" customFormat="1" ht="12" customHeight="1" x14ac:dyDescent="0.35">
      <c r="A31" s="127" t="str">
        <f t="shared" ref="A31" si="108">CONCATENATE("A-",AO31)</f>
        <v>A-</v>
      </c>
      <c r="B31" s="128"/>
      <c r="C31" s="128"/>
      <c r="D31" s="159" t="str">
        <f t="shared" ref="D31" si="109">IF(AA31="",CONCATENATE(AA30,"-",AO31),CONCATENATE(AA31,"-",AO31))</f>
        <v>-</v>
      </c>
      <c r="E31" s="159" t="str">
        <f t="shared" ref="E31" si="110">L30</f>
        <v xml:space="preserve">Gestión de Egresados </v>
      </c>
      <c r="F31" s="160">
        <f t="shared" ref="F31" si="111">AL30</f>
        <v>0</v>
      </c>
      <c r="G31" s="160">
        <f t="shared" ref="G31" si="112">AL31</f>
        <v>0</v>
      </c>
      <c r="H31" s="160" t="str">
        <f t="shared" ref="H31" si="113">IF(AA31="","P","R")</f>
        <v>P</v>
      </c>
      <c r="I31" s="168"/>
      <c r="J31" s="131"/>
      <c r="K31" s="455"/>
      <c r="L31" s="383"/>
      <c r="M31" s="384"/>
      <c r="N31" s="384"/>
      <c r="O31" s="384"/>
      <c r="P31" s="384"/>
      <c r="Q31" s="384"/>
      <c r="R31" s="385"/>
      <c r="S31" s="389"/>
      <c r="T31" s="390"/>
      <c r="U31" s="390"/>
      <c r="V31" s="391"/>
      <c r="W31" s="392"/>
      <c r="X31" s="392"/>
      <c r="Y31" s="392"/>
      <c r="Z31" s="392"/>
      <c r="AA31" s="411"/>
      <c r="AB31" s="412"/>
      <c r="AC31" s="413"/>
      <c r="AD31" s="399"/>
      <c r="AE31" s="400"/>
      <c r="AF31" s="401"/>
      <c r="AG31" s="402"/>
      <c r="AH31" s="402"/>
      <c r="AI31" s="402"/>
      <c r="AJ31" s="414" t="s">
        <v>8</v>
      </c>
      <c r="AK31" s="415"/>
      <c r="AL31" s="405"/>
      <c r="AM31" s="406"/>
      <c r="AN31" s="407"/>
      <c r="AO31" s="436"/>
      <c r="AP31" s="437"/>
      <c r="AQ31" s="437"/>
      <c r="AR31" s="437"/>
      <c r="AS31" s="437"/>
      <c r="AT31" s="438"/>
      <c r="AU31" s="131"/>
      <c r="AV31" s="132"/>
      <c r="AW31" s="133"/>
      <c r="AX31" s="167"/>
      <c r="AY31" s="163"/>
      <c r="AZ31" s="163"/>
      <c r="BA31" s="163"/>
      <c r="BB31" s="163"/>
      <c r="BC31" s="163"/>
      <c r="BD31" s="163"/>
      <c r="BE31" s="136"/>
      <c r="BF31" s="137"/>
    </row>
    <row r="32" spans="1:58" s="169" customFormat="1" ht="12" customHeight="1" x14ac:dyDescent="0.35">
      <c r="A32" s="127" t="str">
        <f t="shared" ref="A32" si="114">CONCATENATE("P-",AO32)</f>
        <v>P-</v>
      </c>
      <c r="B32" s="128" t="str">
        <f t="shared" ref="B32" si="115">IF(AA33="",CONCATENATE(AA32,"-",L32),CONCATENATE(AA33,"-",L32))</f>
        <v>-Educación Continuada</v>
      </c>
      <c r="C32" s="128" t="str">
        <f t="shared" ref="C32" si="116">CONCATENATE(AO32," / ",AO33)</f>
        <v xml:space="preserve"> / </v>
      </c>
      <c r="D32" s="159" t="str">
        <f t="shared" ref="D32" si="117">IF(AA33="",CONCATENATE(AA32,"-",AO32),CONCATENATE(AA33,"-",AO32))</f>
        <v>-</v>
      </c>
      <c r="E32" s="159" t="str">
        <f t="shared" ref="E32" si="118">L32</f>
        <v>Educación Continuada</v>
      </c>
      <c r="F32" s="160">
        <f t="shared" ref="F32" si="119">AL32</f>
        <v>0</v>
      </c>
      <c r="G32" s="160">
        <f t="shared" ref="G32" si="120">AL33</f>
        <v>0</v>
      </c>
      <c r="H32" s="160" t="str">
        <f t="shared" ref="H32" si="121">IF(AA33="","P","R")</f>
        <v>P</v>
      </c>
      <c r="I32" s="168"/>
      <c r="J32" s="131"/>
      <c r="K32" s="454">
        <f>IF(OR(L32="",L32="Reunión de Apertura",L32="Reunión de Cierre"),"*",COUNT(K$17:K31)+1)</f>
        <v>7</v>
      </c>
      <c r="L32" s="380" t="s">
        <v>283</v>
      </c>
      <c r="M32" s="381"/>
      <c r="N32" s="381"/>
      <c r="O32" s="381"/>
      <c r="P32" s="381"/>
      <c r="Q32" s="381"/>
      <c r="R32" s="382"/>
      <c r="S32" s="386">
        <f>IFERROR(VLOOKUP(L32,'Listas Desplegables'!B:D,3,0),"")</f>
        <v>0</v>
      </c>
      <c r="T32" s="387"/>
      <c r="U32" s="387"/>
      <c r="V32" s="388"/>
      <c r="W32" s="392" t="s">
        <v>37</v>
      </c>
      <c r="X32" s="392"/>
      <c r="Y32" s="392"/>
      <c r="Z32" s="392"/>
      <c r="AA32" s="393"/>
      <c r="AB32" s="394"/>
      <c r="AC32" s="395"/>
      <c r="AD32" s="396"/>
      <c r="AE32" s="397"/>
      <c r="AF32" s="398"/>
      <c r="AG32" s="402" t="str">
        <f t="shared" ref="AG32" si="122">IF(SUM(AL33-AL32)=0,"",AL33-AL32)</f>
        <v/>
      </c>
      <c r="AH32" s="402"/>
      <c r="AI32" s="402"/>
      <c r="AJ32" s="403" t="s">
        <v>31</v>
      </c>
      <c r="AK32" s="404"/>
      <c r="AL32" s="405"/>
      <c r="AM32" s="406"/>
      <c r="AN32" s="407"/>
      <c r="AO32" s="433"/>
      <c r="AP32" s="434"/>
      <c r="AQ32" s="434"/>
      <c r="AR32" s="434"/>
      <c r="AS32" s="434"/>
      <c r="AT32" s="435"/>
      <c r="AU32" s="131"/>
      <c r="AV32" s="132"/>
      <c r="AW32" s="161">
        <f t="shared" ref="AW32" si="123">K32</f>
        <v>7</v>
      </c>
      <c r="AX32" s="162">
        <f t="shared" ref="AX32" si="124">IF(AA33="",AA32,AA33)</f>
        <v>0</v>
      </c>
      <c r="AY32" s="163" t="str">
        <f t="shared" ref="AY32" si="125">L32</f>
        <v>Educación Continuada</v>
      </c>
      <c r="AZ32" s="163">
        <f t="shared" ref="AZ32" si="126">S32</f>
        <v>0</v>
      </c>
      <c r="BA32" s="164">
        <f t="shared" ref="BA32" si="127">AL32</f>
        <v>0</v>
      </c>
      <c r="BB32" s="164">
        <f t="shared" ref="BB32" si="128">AL33</f>
        <v>0</v>
      </c>
      <c r="BC32" s="163">
        <f t="shared" ref="BC32" si="129">AO32</f>
        <v>0</v>
      </c>
      <c r="BD32" s="163" t="str">
        <f t="shared" ref="BD32" si="130">IF(AO33="","",AO33)</f>
        <v/>
      </c>
      <c r="BE32" s="165" t="str">
        <f>IF(AD32="","",AD32)</f>
        <v/>
      </c>
      <c r="BF32" s="166">
        <f>IF(OR(L32='Listas Desplegables'!$B$4,L32='Listas Desplegables'!$B$5),"",WORKDAY(AX32,7,'Listas Desplegables'!$J$11:$J$18))</f>
        <v>10</v>
      </c>
    </row>
    <row r="33" spans="1:58" s="169" customFormat="1" ht="12" customHeight="1" x14ac:dyDescent="0.35">
      <c r="A33" s="127" t="str">
        <f t="shared" ref="A33" si="131">CONCATENATE("A-",AO33)</f>
        <v>A-</v>
      </c>
      <c r="B33" s="128"/>
      <c r="C33" s="128"/>
      <c r="D33" s="159" t="str">
        <f t="shared" ref="D33" si="132">IF(AA33="",CONCATENATE(AA32,"-",AO33),CONCATENATE(AA33,"-",AO33))</f>
        <v>-</v>
      </c>
      <c r="E33" s="159" t="str">
        <f t="shared" ref="E33" si="133">L32</f>
        <v>Educación Continuada</v>
      </c>
      <c r="F33" s="160">
        <f t="shared" ref="F33" si="134">AL32</f>
        <v>0</v>
      </c>
      <c r="G33" s="160">
        <f t="shared" ref="G33" si="135">AL33</f>
        <v>0</v>
      </c>
      <c r="H33" s="160" t="str">
        <f t="shared" ref="H33" si="136">IF(AA33="","P","R")</f>
        <v>P</v>
      </c>
      <c r="I33" s="168"/>
      <c r="J33" s="131"/>
      <c r="K33" s="455"/>
      <c r="L33" s="383"/>
      <c r="M33" s="384"/>
      <c r="N33" s="384"/>
      <c r="O33" s="384"/>
      <c r="P33" s="384"/>
      <c r="Q33" s="384"/>
      <c r="R33" s="385"/>
      <c r="S33" s="389"/>
      <c r="T33" s="390"/>
      <c r="U33" s="390"/>
      <c r="V33" s="391"/>
      <c r="W33" s="392"/>
      <c r="X33" s="392"/>
      <c r="Y33" s="392"/>
      <c r="Z33" s="392"/>
      <c r="AA33" s="411"/>
      <c r="AB33" s="412"/>
      <c r="AC33" s="413"/>
      <c r="AD33" s="399"/>
      <c r="AE33" s="400"/>
      <c r="AF33" s="401"/>
      <c r="AG33" s="402"/>
      <c r="AH33" s="402"/>
      <c r="AI33" s="402"/>
      <c r="AJ33" s="414" t="s">
        <v>8</v>
      </c>
      <c r="AK33" s="415"/>
      <c r="AL33" s="405"/>
      <c r="AM33" s="406"/>
      <c r="AN33" s="407"/>
      <c r="AO33" s="436"/>
      <c r="AP33" s="437"/>
      <c r="AQ33" s="437"/>
      <c r="AR33" s="437"/>
      <c r="AS33" s="437"/>
      <c r="AT33" s="438"/>
      <c r="AU33" s="131"/>
      <c r="AV33" s="132"/>
      <c r="AW33" s="133"/>
      <c r="AX33" s="167"/>
      <c r="AY33" s="163"/>
      <c r="AZ33" s="163"/>
      <c r="BA33" s="163"/>
      <c r="BB33" s="163"/>
      <c r="BC33" s="163"/>
      <c r="BD33" s="163"/>
      <c r="BE33" s="136"/>
      <c r="BF33" s="137"/>
    </row>
    <row r="34" spans="1:58" ht="12" customHeight="1" x14ac:dyDescent="0.35">
      <c r="A34" s="127" t="str">
        <f t="shared" ref="A34" si="137">CONCATENATE("P-",AO34)</f>
        <v>P-</v>
      </c>
      <c r="B34" s="128" t="str">
        <f t="shared" ref="B34" si="138">IF(AA35="",CONCATENATE(AA34,"-",L34),CONCATENATE(AA35,"-",L34))</f>
        <v>-Escuela de Formación Para el TDH</v>
      </c>
      <c r="C34" s="128" t="str">
        <f t="shared" ref="C34" si="139">CONCATENATE(AO34," / ",AO35)</f>
        <v xml:space="preserve"> / </v>
      </c>
      <c r="D34" s="159" t="str">
        <f t="shared" ref="D34" si="140">IF(AA35="",CONCATENATE(AA34,"-",AO34),CONCATENATE(AA35,"-",AO34))</f>
        <v>-</v>
      </c>
      <c r="E34" s="159" t="str">
        <f t="shared" ref="E34" si="141">L34</f>
        <v>Escuela de Formación Para el TDH</v>
      </c>
      <c r="F34" s="160">
        <f t="shared" ref="F34" si="142">AL34</f>
        <v>0</v>
      </c>
      <c r="G34" s="160">
        <f t="shared" ref="G34" si="143">AL35</f>
        <v>0</v>
      </c>
      <c r="H34" s="160" t="str">
        <f t="shared" ref="H34" si="144">IF(AA35="","P","R")</f>
        <v>P</v>
      </c>
      <c r="K34" s="454">
        <f>IF(OR(L34="",L34="Reunión de Apertura",L34="Reunión de Cierre"),"*",COUNT(K$17:K33)+1)</f>
        <v>8</v>
      </c>
      <c r="L34" s="380" t="s">
        <v>64</v>
      </c>
      <c r="M34" s="381"/>
      <c r="N34" s="381"/>
      <c r="O34" s="381"/>
      <c r="P34" s="381"/>
      <c r="Q34" s="381"/>
      <c r="R34" s="382"/>
      <c r="S34" s="386" t="str">
        <f>IFERROR(VLOOKUP(L34,'Listas Desplegables'!B:D,3,0),"")</f>
        <v>Juan Carlos Rojas</v>
      </c>
      <c r="T34" s="387"/>
      <c r="U34" s="387"/>
      <c r="V34" s="388"/>
      <c r="W34" s="392" t="s">
        <v>30</v>
      </c>
      <c r="X34" s="392"/>
      <c r="Y34" s="392"/>
      <c r="Z34" s="392"/>
      <c r="AA34" s="393"/>
      <c r="AB34" s="394"/>
      <c r="AC34" s="395"/>
      <c r="AD34" s="396"/>
      <c r="AE34" s="397"/>
      <c r="AF34" s="398"/>
      <c r="AG34" s="402" t="str">
        <f t="shared" ref="AG34" si="145">IF(SUM(AL35-AL34)=0,"",AL35-AL34)</f>
        <v/>
      </c>
      <c r="AH34" s="402"/>
      <c r="AI34" s="402"/>
      <c r="AJ34" s="403" t="s">
        <v>31</v>
      </c>
      <c r="AK34" s="404"/>
      <c r="AL34" s="405"/>
      <c r="AM34" s="406"/>
      <c r="AN34" s="407"/>
      <c r="AO34" s="433"/>
      <c r="AP34" s="434"/>
      <c r="AQ34" s="434"/>
      <c r="AR34" s="434"/>
      <c r="AS34" s="434"/>
      <c r="AT34" s="435"/>
      <c r="AU34" s="131"/>
      <c r="AW34" s="161">
        <f t="shared" ref="AW34" si="146">K34</f>
        <v>8</v>
      </c>
      <c r="AX34" s="162">
        <f t="shared" ref="AX34" si="147">IF(AA35="",AA34,AA35)</f>
        <v>0</v>
      </c>
      <c r="AY34" s="163" t="str">
        <f t="shared" ref="AY34" si="148">L34</f>
        <v>Escuela de Formación Para el TDH</v>
      </c>
      <c r="AZ34" s="163" t="str">
        <f t="shared" ref="AZ34" si="149">S34</f>
        <v>Juan Carlos Rojas</v>
      </c>
      <c r="BA34" s="164">
        <f t="shared" ref="BA34" si="150">AL34</f>
        <v>0</v>
      </c>
      <c r="BB34" s="164">
        <f t="shared" ref="BB34" si="151">AL35</f>
        <v>0</v>
      </c>
      <c r="BC34" s="163">
        <f t="shared" ref="BC34" si="152">AO34</f>
        <v>0</v>
      </c>
      <c r="BD34" s="163" t="str">
        <f t="shared" ref="BD34" si="153">IF(AO35="","",AO35)</f>
        <v/>
      </c>
      <c r="BE34" s="165" t="str">
        <f>IF(AD34="","",AD34)</f>
        <v/>
      </c>
      <c r="BF34" s="166">
        <f>IF(OR(L34='Listas Desplegables'!$B$4,L34='Listas Desplegables'!$B$5),"",WORKDAY(AX34,7,'Listas Desplegables'!$J$11:$J$18))</f>
        <v>10</v>
      </c>
    </row>
    <row r="35" spans="1:58" ht="12" customHeight="1" x14ac:dyDescent="0.35">
      <c r="A35" s="127" t="str">
        <f t="shared" ref="A35" si="154">CONCATENATE("A-",AO35)</f>
        <v>A-</v>
      </c>
      <c r="D35" s="159" t="str">
        <f t="shared" ref="D35" si="155">IF(AA35="",CONCATENATE(AA34,"-",AO35),CONCATENATE(AA35,"-",AO35))</f>
        <v>-</v>
      </c>
      <c r="E35" s="159" t="str">
        <f t="shared" ref="E35" si="156">L34</f>
        <v>Escuela de Formación Para el TDH</v>
      </c>
      <c r="F35" s="160">
        <f t="shared" ref="F35" si="157">AL34</f>
        <v>0</v>
      </c>
      <c r="G35" s="160">
        <f t="shared" ref="G35" si="158">AL35</f>
        <v>0</v>
      </c>
      <c r="H35" s="160" t="str">
        <f t="shared" ref="H35" si="159">IF(AA35="","P","R")</f>
        <v>P</v>
      </c>
      <c r="K35" s="455"/>
      <c r="L35" s="383"/>
      <c r="M35" s="384"/>
      <c r="N35" s="384"/>
      <c r="O35" s="384"/>
      <c r="P35" s="384"/>
      <c r="Q35" s="384"/>
      <c r="R35" s="385"/>
      <c r="S35" s="389"/>
      <c r="T35" s="390"/>
      <c r="U35" s="390"/>
      <c r="V35" s="391"/>
      <c r="W35" s="392"/>
      <c r="X35" s="392"/>
      <c r="Y35" s="392"/>
      <c r="Z35" s="392"/>
      <c r="AA35" s="411"/>
      <c r="AB35" s="412"/>
      <c r="AC35" s="413"/>
      <c r="AD35" s="399"/>
      <c r="AE35" s="400"/>
      <c r="AF35" s="401"/>
      <c r="AG35" s="402"/>
      <c r="AH35" s="402"/>
      <c r="AI35" s="402"/>
      <c r="AJ35" s="414" t="s">
        <v>8</v>
      </c>
      <c r="AK35" s="415"/>
      <c r="AL35" s="405"/>
      <c r="AM35" s="406"/>
      <c r="AN35" s="407"/>
      <c r="AO35" s="436"/>
      <c r="AP35" s="437"/>
      <c r="AQ35" s="437"/>
      <c r="AR35" s="437"/>
      <c r="AS35" s="437"/>
      <c r="AT35" s="438"/>
      <c r="AU35" s="131"/>
      <c r="AX35" s="167"/>
      <c r="AY35" s="163"/>
      <c r="AZ35" s="163"/>
      <c r="BA35" s="163"/>
      <c r="BB35" s="163"/>
      <c r="BC35" s="163"/>
      <c r="BD35" s="163"/>
    </row>
    <row r="36" spans="1:58" ht="12" customHeight="1" x14ac:dyDescent="0.35">
      <c r="A36" s="127" t="str">
        <f t="shared" ref="A36" si="160">CONCATENATE("P-",AO36)</f>
        <v>P-</v>
      </c>
      <c r="B36" s="128" t="str">
        <f t="shared" ref="B36" si="161">IF(AA37="",CONCATENATE(AA36,"-",L36),CONCATENATE(AA37,"-",L36))</f>
        <v>-Direccionamiento Estratégico</v>
      </c>
      <c r="C36" s="128" t="str">
        <f t="shared" ref="C36" si="162">CONCATENATE(AO36," / ",AO37)</f>
        <v xml:space="preserve"> / </v>
      </c>
      <c r="D36" s="159" t="str">
        <f t="shared" ref="D36" si="163">IF(AA37="",CONCATENATE(AA36,"-",AO36),CONCATENATE(AA37,"-",AO36))</f>
        <v>-</v>
      </c>
      <c r="E36" s="159" t="str">
        <f t="shared" ref="E36" si="164">L36</f>
        <v>Direccionamiento Estratégico</v>
      </c>
      <c r="F36" s="160">
        <f t="shared" ref="F36" si="165">AL36</f>
        <v>0</v>
      </c>
      <c r="G36" s="160">
        <f t="shared" ref="G36" si="166">AL37</f>
        <v>0</v>
      </c>
      <c r="H36" s="160" t="str">
        <f t="shared" ref="H36" si="167">IF(AA37="","P","R")</f>
        <v>P</v>
      </c>
      <c r="K36" s="454">
        <f>IF(OR(L36="",L36="Reunión de Apertura",L36="Reunión de Cierre"),"*",COUNT(K$17:K35)+1)</f>
        <v>9</v>
      </c>
      <c r="L36" s="380" t="s">
        <v>34</v>
      </c>
      <c r="M36" s="381"/>
      <c r="N36" s="381"/>
      <c r="O36" s="381"/>
      <c r="P36" s="381"/>
      <c r="Q36" s="381"/>
      <c r="R36" s="382"/>
      <c r="S36" s="386" t="str">
        <f>IFERROR(VLOOKUP(L36,'Listas Desplegables'!B:D,3,0),"")</f>
        <v>Padre Danilo Díaz, cjm</v>
      </c>
      <c r="T36" s="387"/>
      <c r="U36" s="387"/>
      <c r="V36" s="388"/>
      <c r="W36" s="392" t="s">
        <v>30</v>
      </c>
      <c r="X36" s="392"/>
      <c r="Y36" s="392"/>
      <c r="Z36" s="392"/>
      <c r="AA36" s="393"/>
      <c r="AB36" s="394"/>
      <c r="AC36" s="395"/>
      <c r="AD36" s="396"/>
      <c r="AE36" s="397"/>
      <c r="AF36" s="398"/>
      <c r="AG36" s="402" t="str">
        <f t="shared" ref="AG36" si="168">IF(SUM(AL37-AL36)=0,"",AL37-AL36)</f>
        <v/>
      </c>
      <c r="AH36" s="402"/>
      <c r="AI36" s="402"/>
      <c r="AJ36" s="403" t="s">
        <v>31</v>
      </c>
      <c r="AK36" s="404"/>
      <c r="AL36" s="405"/>
      <c r="AM36" s="406"/>
      <c r="AN36" s="407"/>
      <c r="AO36" s="433"/>
      <c r="AP36" s="434"/>
      <c r="AQ36" s="434"/>
      <c r="AR36" s="434"/>
      <c r="AS36" s="434"/>
      <c r="AT36" s="435"/>
      <c r="AU36" s="131"/>
      <c r="AW36" s="161">
        <f t="shared" ref="AW36" si="169">K36</f>
        <v>9</v>
      </c>
      <c r="AX36" s="162">
        <f t="shared" ref="AX36" si="170">IF(AA37="",AA36,AA37)</f>
        <v>0</v>
      </c>
      <c r="AY36" s="163" t="str">
        <f t="shared" ref="AY36" si="171">L36</f>
        <v>Direccionamiento Estratégico</v>
      </c>
      <c r="AZ36" s="163" t="str">
        <f t="shared" ref="AZ36" si="172">S36</f>
        <v>Padre Danilo Díaz, cjm</v>
      </c>
      <c r="BA36" s="164">
        <f t="shared" ref="BA36" si="173">AL36</f>
        <v>0</v>
      </c>
      <c r="BB36" s="164">
        <f t="shared" ref="BB36" si="174">AL37</f>
        <v>0</v>
      </c>
      <c r="BC36" s="163">
        <f t="shared" ref="BC36" si="175">AO36</f>
        <v>0</v>
      </c>
      <c r="BD36" s="163" t="str">
        <f t="shared" ref="BD36" si="176">IF(AO37="","",AO37)</f>
        <v/>
      </c>
      <c r="BE36" s="165" t="str">
        <f>IF(AD36="","",AD36)</f>
        <v/>
      </c>
      <c r="BF36" s="166">
        <f>IF(OR(L36='Listas Desplegables'!$B$4,L36='Listas Desplegables'!$B$5),"",WORKDAY(AX36,7,'Listas Desplegables'!$J$11:$J$18))</f>
        <v>10</v>
      </c>
    </row>
    <row r="37" spans="1:58" ht="12" customHeight="1" x14ac:dyDescent="0.35">
      <c r="A37" s="127" t="str">
        <f t="shared" ref="A37" si="177">CONCATENATE("A-",AO37)</f>
        <v>A-</v>
      </c>
      <c r="D37" s="159" t="str">
        <f t="shared" ref="D37" si="178">IF(AA37="",CONCATENATE(AA36,"-",AO37),CONCATENATE(AA37,"-",AO37))</f>
        <v>-</v>
      </c>
      <c r="E37" s="159" t="str">
        <f t="shared" ref="E37" si="179">L36</f>
        <v>Direccionamiento Estratégico</v>
      </c>
      <c r="F37" s="160">
        <f t="shared" ref="F37" si="180">AL36</f>
        <v>0</v>
      </c>
      <c r="G37" s="160">
        <f t="shared" ref="G37" si="181">AL37</f>
        <v>0</v>
      </c>
      <c r="H37" s="160" t="str">
        <f t="shared" ref="H37" si="182">IF(AA37="","P","R")</f>
        <v>P</v>
      </c>
      <c r="K37" s="455"/>
      <c r="L37" s="383"/>
      <c r="M37" s="384"/>
      <c r="N37" s="384"/>
      <c r="O37" s="384"/>
      <c r="P37" s="384"/>
      <c r="Q37" s="384"/>
      <c r="R37" s="385"/>
      <c r="S37" s="389"/>
      <c r="T37" s="390"/>
      <c r="U37" s="390"/>
      <c r="V37" s="391"/>
      <c r="W37" s="392"/>
      <c r="X37" s="392"/>
      <c r="Y37" s="392"/>
      <c r="Z37" s="392"/>
      <c r="AA37" s="411"/>
      <c r="AB37" s="412"/>
      <c r="AC37" s="413"/>
      <c r="AD37" s="399"/>
      <c r="AE37" s="400"/>
      <c r="AF37" s="401"/>
      <c r="AG37" s="402"/>
      <c r="AH37" s="402"/>
      <c r="AI37" s="402"/>
      <c r="AJ37" s="414" t="s">
        <v>8</v>
      </c>
      <c r="AK37" s="415"/>
      <c r="AL37" s="405"/>
      <c r="AM37" s="406"/>
      <c r="AN37" s="407"/>
      <c r="AO37" s="436"/>
      <c r="AP37" s="437"/>
      <c r="AQ37" s="437"/>
      <c r="AR37" s="437"/>
      <c r="AS37" s="437"/>
      <c r="AT37" s="438"/>
      <c r="AU37" s="131"/>
      <c r="AX37" s="167"/>
      <c r="AY37" s="163"/>
      <c r="AZ37" s="163"/>
      <c r="BA37" s="163"/>
      <c r="BB37" s="163"/>
      <c r="BC37" s="163"/>
      <c r="BD37" s="163"/>
    </row>
    <row r="38" spans="1:58" ht="12" customHeight="1" x14ac:dyDescent="0.35">
      <c r="A38" s="127" t="str">
        <f t="shared" ref="A38" si="183">CONCATENATE("P-",AO38)</f>
        <v>P-</v>
      </c>
      <c r="B38" s="128" t="str">
        <f t="shared" ref="B38" si="184">IF(AA39="",CONCATENATE(AA38,"-",L38),CONCATENATE(AA39,"-",L38))</f>
        <v>-Planeación Institucional</v>
      </c>
      <c r="C38" s="128" t="str">
        <f t="shared" ref="C38" si="185">CONCATENATE(AO38," / ",AO39)</f>
        <v xml:space="preserve"> / </v>
      </c>
      <c r="D38" s="159" t="str">
        <f t="shared" ref="D38" si="186">IF(AA39="",CONCATENATE(AA38,"-",AO38),CONCATENATE(AA39,"-",AO38))</f>
        <v>-</v>
      </c>
      <c r="E38" s="159" t="str">
        <f t="shared" ref="E38" si="187">L38</f>
        <v>Planeación Institucional</v>
      </c>
      <c r="F38" s="160">
        <f t="shared" ref="F38" si="188">AL38</f>
        <v>0</v>
      </c>
      <c r="G38" s="160">
        <f t="shared" ref="G38" si="189">AL39</f>
        <v>0</v>
      </c>
      <c r="H38" s="160" t="str">
        <f t="shared" ref="H38" si="190">IF(AA39="","P","R")</f>
        <v>P</v>
      </c>
      <c r="K38" s="454">
        <f>IF(OR(L38="",L38="Reunión de Apertura",L38="Reunión de Cierre"),"*",COUNT(K$17:K37)+1)</f>
        <v>10</v>
      </c>
      <c r="L38" s="380" t="s">
        <v>246</v>
      </c>
      <c r="M38" s="381"/>
      <c r="N38" s="381"/>
      <c r="O38" s="381"/>
      <c r="P38" s="381"/>
      <c r="Q38" s="381"/>
      <c r="R38" s="382"/>
      <c r="S38" s="386" t="str">
        <f>IFERROR(VLOOKUP(L38,'Listas Desplegables'!B:D,3,0),"")</f>
        <v xml:space="preserve">Sergio Lozano </v>
      </c>
      <c r="T38" s="387"/>
      <c r="U38" s="387"/>
      <c r="V38" s="388"/>
      <c r="W38" s="392" t="s">
        <v>30</v>
      </c>
      <c r="X38" s="392"/>
      <c r="Y38" s="392"/>
      <c r="Z38" s="392"/>
      <c r="AA38" s="393"/>
      <c r="AB38" s="394"/>
      <c r="AC38" s="395"/>
      <c r="AD38" s="396"/>
      <c r="AE38" s="397"/>
      <c r="AF38" s="398"/>
      <c r="AG38" s="402" t="str">
        <f t="shared" ref="AG38" si="191">IF(SUM(AL39-AL38)=0,"",AL39-AL38)</f>
        <v/>
      </c>
      <c r="AH38" s="402"/>
      <c r="AI38" s="402"/>
      <c r="AJ38" s="403" t="s">
        <v>31</v>
      </c>
      <c r="AK38" s="404"/>
      <c r="AL38" s="405"/>
      <c r="AM38" s="406"/>
      <c r="AN38" s="407"/>
      <c r="AO38" s="433"/>
      <c r="AP38" s="434"/>
      <c r="AQ38" s="434"/>
      <c r="AR38" s="434"/>
      <c r="AS38" s="434"/>
      <c r="AT38" s="435"/>
      <c r="AU38" s="131"/>
      <c r="AW38" s="161">
        <f t="shared" ref="AW38" si="192">K38</f>
        <v>10</v>
      </c>
      <c r="AX38" s="162">
        <f t="shared" ref="AX38" si="193">IF(AA39="",AA38,AA39)</f>
        <v>0</v>
      </c>
      <c r="AY38" s="163" t="str">
        <f t="shared" ref="AY38" si="194">L38</f>
        <v>Planeación Institucional</v>
      </c>
      <c r="AZ38" s="163" t="str">
        <f t="shared" ref="AZ38" si="195">S38</f>
        <v xml:space="preserve">Sergio Lozano </v>
      </c>
      <c r="BA38" s="164">
        <f t="shared" ref="BA38" si="196">AL38</f>
        <v>0</v>
      </c>
      <c r="BB38" s="164">
        <f t="shared" ref="BB38" si="197">AL39</f>
        <v>0</v>
      </c>
      <c r="BC38" s="163">
        <f t="shared" ref="BC38" si="198">AO38</f>
        <v>0</v>
      </c>
      <c r="BD38" s="163" t="str">
        <f t="shared" ref="BD38" si="199">IF(AO39="","",AO39)</f>
        <v/>
      </c>
      <c r="BE38" s="165" t="str">
        <f>IF(AD38="","",AD38)</f>
        <v/>
      </c>
      <c r="BF38" s="166">
        <f>IF(OR(L38='Listas Desplegables'!$B$4,L38='Listas Desplegables'!$B$5),"",WORKDAY(AX38,7,'Listas Desplegables'!$J$11:$J$18))</f>
        <v>10</v>
      </c>
    </row>
    <row r="39" spans="1:58" ht="12" customHeight="1" x14ac:dyDescent="0.35">
      <c r="A39" s="127" t="str">
        <f t="shared" ref="A39" si="200">CONCATENATE("A-",AO39)</f>
        <v>A-</v>
      </c>
      <c r="D39" s="159" t="str">
        <f t="shared" ref="D39" si="201">IF(AA39="",CONCATENATE(AA38,"-",AO39),CONCATENATE(AA39,"-",AO39))</f>
        <v>-</v>
      </c>
      <c r="E39" s="159" t="str">
        <f t="shared" ref="E39" si="202">L38</f>
        <v>Planeación Institucional</v>
      </c>
      <c r="F39" s="160">
        <f t="shared" ref="F39" si="203">AL38</f>
        <v>0</v>
      </c>
      <c r="G39" s="160">
        <f t="shared" ref="G39" si="204">AL39</f>
        <v>0</v>
      </c>
      <c r="H39" s="160" t="str">
        <f t="shared" ref="H39" si="205">IF(AA39="","P","R")</f>
        <v>P</v>
      </c>
      <c r="K39" s="455"/>
      <c r="L39" s="383"/>
      <c r="M39" s="384"/>
      <c r="N39" s="384"/>
      <c r="O39" s="384"/>
      <c r="P39" s="384"/>
      <c r="Q39" s="384"/>
      <c r="R39" s="385"/>
      <c r="S39" s="389"/>
      <c r="T39" s="390"/>
      <c r="U39" s="390"/>
      <c r="V39" s="391"/>
      <c r="W39" s="392"/>
      <c r="X39" s="392"/>
      <c r="Y39" s="392"/>
      <c r="Z39" s="392"/>
      <c r="AA39" s="411"/>
      <c r="AB39" s="412"/>
      <c r="AC39" s="413"/>
      <c r="AD39" s="399"/>
      <c r="AE39" s="400"/>
      <c r="AF39" s="401"/>
      <c r="AG39" s="402"/>
      <c r="AH39" s="402"/>
      <c r="AI39" s="402"/>
      <c r="AJ39" s="414" t="s">
        <v>8</v>
      </c>
      <c r="AK39" s="415"/>
      <c r="AL39" s="405"/>
      <c r="AM39" s="406"/>
      <c r="AN39" s="407"/>
      <c r="AO39" s="436"/>
      <c r="AP39" s="437"/>
      <c r="AQ39" s="437"/>
      <c r="AR39" s="437"/>
      <c r="AS39" s="437"/>
      <c r="AT39" s="438"/>
      <c r="AU39" s="131"/>
      <c r="AX39" s="167"/>
      <c r="AY39" s="163"/>
      <c r="AZ39" s="163"/>
      <c r="BA39" s="163"/>
      <c r="BB39" s="163"/>
      <c r="BC39" s="163"/>
      <c r="BD39" s="163"/>
    </row>
    <row r="40" spans="1:58" ht="12" customHeight="1" x14ac:dyDescent="0.35">
      <c r="A40" s="127" t="str">
        <f t="shared" ref="A40" si="206">CONCATENATE("P-",AO40)</f>
        <v>P-</v>
      </c>
      <c r="B40" s="128" t="str">
        <f t="shared" ref="B40" si="207">IF(AA41="",CONCATENATE(AA40,"-",L40),CONCATENATE(AA41,"-",L40))</f>
        <v xml:space="preserve">-Gestión de Sistemas de Información </v>
      </c>
      <c r="C40" s="128" t="str">
        <f t="shared" ref="C40" si="208">CONCATENATE(AO40," / ",AO41)</f>
        <v xml:space="preserve"> / </v>
      </c>
      <c r="D40" s="159" t="str">
        <f t="shared" ref="D40" si="209">IF(AA41="",CONCATENATE(AA40,"-",AO40),CONCATENATE(AA41,"-",AO40))</f>
        <v>-</v>
      </c>
      <c r="E40" s="159" t="str">
        <f t="shared" ref="E40" si="210">L40</f>
        <v xml:space="preserve">Gestión de Sistemas de Información </v>
      </c>
      <c r="F40" s="160">
        <f t="shared" ref="F40" si="211">AL40</f>
        <v>0</v>
      </c>
      <c r="G40" s="160">
        <f t="shared" ref="G40" si="212">AL41</f>
        <v>0</v>
      </c>
      <c r="H40" s="160" t="str">
        <f t="shared" ref="H40" si="213">IF(AA41="","P","R")</f>
        <v>P</v>
      </c>
      <c r="K40" s="454">
        <f>IF(OR(L40="",L40="Reunión de Apertura",L40="Reunión de Cierre"),"*",COUNT(K$17:K39)+1)</f>
        <v>11</v>
      </c>
      <c r="L40" s="380" t="s">
        <v>263</v>
      </c>
      <c r="M40" s="381"/>
      <c r="N40" s="381"/>
      <c r="O40" s="381"/>
      <c r="P40" s="381"/>
      <c r="Q40" s="381"/>
      <c r="R40" s="382"/>
      <c r="S40" s="386" t="str">
        <f>IFERROR(VLOOKUP(L40,'Listas Desplegables'!B:D,3,0),"")</f>
        <v>Luis Emiro Mosquera</v>
      </c>
      <c r="T40" s="387"/>
      <c r="U40" s="387"/>
      <c r="V40" s="388"/>
      <c r="W40" s="392" t="s">
        <v>30</v>
      </c>
      <c r="X40" s="392"/>
      <c r="Y40" s="392"/>
      <c r="Z40" s="392"/>
      <c r="AA40" s="393"/>
      <c r="AB40" s="394"/>
      <c r="AC40" s="395"/>
      <c r="AD40" s="396"/>
      <c r="AE40" s="397"/>
      <c r="AF40" s="398"/>
      <c r="AG40" s="402" t="str">
        <f t="shared" ref="AG40" si="214">IF(SUM(AL41-AL40)=0,"",AL41-AL40)</f>
        <v/>
      </c>
      <c r="AH40" s="402"/>
      <c r="AI40" s="402"/>
      <c r="AJ40" s="403" t="s">
        <v>31</v>
      </c>
      <c r="AK40" s="404"/>
      <c r="AL40" s="405"/>
      <c r="AM40" s="406"/>
      <c r="AN40" s="407"/>
      <c r="AO40" s="433"/>
      <c r="AP40" s="434"/>
      <c r="AQ40" s="434"/>
      <c r="AR40" s="434"/>
      <c r="AS40" s="434"/>
      <c r="AT40" s="435"/>
      <c r="AU40" s="131"/>
      <c r="AW40" s="161">
        <f t="shared" ref="AW40" si="215">K40</f>
        <v>11</v>
      </c>
      <c r="AX40" s="162">
        <f t="shared" ref="AX40" si="216">IF(AA41="",AA40,AA41)</f>
        <v>0</v>
      </c>
      <c r="AY40" s="163" t="str">
        <f t="shared" ref="AY40" si="217">L40</f>
        <v xml:space="preserve">Gestión de Sistemas de Información </v>
      </c>
      <c r="AZ40" s="163" t="str">
        <f t="shared" ref="AZ40" si="218">S40</f>
        <v>Luis Emiro Mosquera</v>
      </c>
      <c r="BA40" s="164">
        <f t="shared" ref="BA40" si="219">AL40</f>
        <v>0</v>
      </c>
      <c r="BB40" s="164">
        <f t="shared" ref="BB40" si="220">AL41</f>
        <v>0</v>
      </c>
      <c r="BC40" s="163">
        <f t="shared" ref="BC40" si="221">AO40</f>
        <v>0</v>
      </c>
      <c r="BD40" s="163" t="str">
        <f t="shared" ref="BD40" si="222">IF(AO41="","",AO41)</f>
        <v/>
      </c>
      <c r="BE40" s="165" t="str">
        <f>IF(AD40="","",AD40)</f>
        <v/>
      </c>
      <c r="BF40" s="166">
        <f>IF(OR(L40='Listas Desplegables'!$B$4,L40='Listas Desplegables'!$B$5),"",WORKDAY(AX40,7,'Listas Desplegables'!$J$11:$J$18))</f>
        <v>10</v>
      </c>
    </row>
    <row r="41" spans="1:58" ht="12" customHeight="1" x14ac:dyDescent="0.35">
      <c r="A41" s="127" t="str">
        <f t="shared" ref="A41" si="223">CONCATENATE("A-",AO41)</f>
        <v>A-</v>
      </c>
      <c r="D41" s="159" t="str">
        <f t="shared" ref="D41" si="224">IF(AA41="",CONCATENATE(AA40,"-",AO41),CONCATENATE(AA41,"-",AO41))</f>
        <v>-</v>
      </c>
      <c r="E41" s="159" t="str">
        <f t="shared" ref="E41" si="225">L40</f>
        <v xml:space="preserve">Gestión de Sistemas de Información </v>
      </c>
      <c r="F41" s="160">
        <f t="shared" ref="F41" si="226">AL40</f>
        <v>0</v>
      </c>
      <c r="G41" s="160">
        <f t="shared" ref="G41" si="227">AL41</f>
        <v>0</v>
      </c>
      <c r="H41" s="160" t="str">
        <f t="shared" ref="H41" si="228">IF(AA41="","P","R")</f>
        <v>P</v>
      </c>
      <c r="K41" s="455"/>
      <c r="L41" s="383"/>
      <c r="M41" s="384"/>
      <c r="N41" s="384"/>
      <c r="O41" s="384"/>
      <c r="P41" s="384"/>
      <c r="Q41" s="384"/>
      <c r="R41" s="385"/>
      <c r="S41" s="389"/>
      <c r="T41" s="390"/>
      <c r="U41" s="390"/>
      <c r="V41" s="391"/>
      <c r="W41" s="392"/>
      <c r="X41" s="392"/>
      <c r="Y41" s="392"/>
      <c r="Z41" s="392"/>
      <c r="AA41" s="411"/>
      <c r="AB41" s="412"/>
      <c r="AC41" s="413"/>
      <c r="AD41" s="399"/>
      <c r="AE41" s="400"/>
      <c r="AF41" s="401"/>
      <c r="AG41" s="402"/>
      <c r="AH41" s="402"/>
      <c r="AI41" s="402"/>
      <c r="AJ41" s="414" t="s">
        <v>8</v>
      </c>
      <c r="AK41" s="415"/>
      <c r="AL41" s="405"/>
      <c r="AM41" s="406"/>
      <c r="AN41" s="407"/>
      <c r="AO41" s="436"/>
      <c r="AP41" s="437"/>
      <c r="AQ41" s="437"/>
      <c r="AR41" s="437"/>
      <c r="AS41" s="437"/>
      <c r="AT41" s="438"/>
      <c r="AU41" s="131"/>
      <c r="AX41" s="167"/>
      <c r="AY41" s="163"/>
      <c r="AZ41" s="163"/>
      <c r="BA41" s="163"/>
      <c r="BB41" s="163"/>
      <c r="BC41" s="163"/>
      <c r="BD41" s="163"/>
    </row>
    <row r="42" spans="1:58" ht="12" customHeight="1" x14ac:dyDescent="0.35">
      <c r="A42" s="127" t="str">
        <f t="shared" ref="A42" si="229">CONCATENATE("P-",AO42)</f>
        <v>P-</v>
      </c>
      <c r="B42" s="128" t="str">
        <f t="shared" ref="B42" si="230">IF(AA43="",CONCATENATE(AA42,"-",L42),CONCATENATE(AA43,"-",L42))</f>
        <v>-Gestión de Proyectos Institucionales</v>
      </c>
      <c r="C42" s="128" t="str">
        <f t="shared" ref="C42" si="231">CONCATENATE(AO42," / ",AO43)</f>
        <v xml:space="preserve"> / </v>
      </c>
      <c r="D42" s="159" t="str">
        <f t="shared" ref="D42" si="232">IF(AA43="",CONCATENATE(AA42,"-",AO42),CONCATENATE(AA43,"-",AO42))</f>
        <v>-</v>
      </c>
      <c r="E42" s="159" t="str">
        <f t="shared" ref="E42" si="233">L42</f>
        <v>Gestión de Proyectos Institucionales</v>
      </c>
      <c r="F42" s="160">
        <f t="shared" ref="F42" si="234">AL42</f>
        <v>0</v>
      </c>
      <c r="G42" s="160">
        <f t="shared" ref="G42" si="235">AL43</f>
        <v>0</v>
      </c>
      <c r="H42" s="160" t="str">
        <f t="shared" ref="H42" si="236">IF(AA43="","P","R")</f>
        <v>P</v>
      </c>
      <c r="K42" s="454">
        <f>IF(OR(L42="",L42="Reunión de Apertura",L42="Reunión de Cierre"),"*",COUNT(K$17:K41)+1)</f>
        <v>12</v>
      </c>
      <c r="L42" s="380" t="s">
        <v>264</v>
      </c>
      <c r="M42" s="381"/>
      <c r="N42" s="381"/>
      <c r="O42" s="381"/>
      <c r="P42" s="381"/>
      <c r="Q42" s="381"/>
      <c r="R42" s="382"/>
      <c r="S42" s="386" t="s">
        <v>406</v>
      </c>
      <c r="T42" s="387"/>
      <c r="U42" s="387"/>
      <c r="V42" s="388"/>
      <c r="W42" s="392" t="s">
        <v>30</v>
      </c>
      <c r="X42" s="392"/>
      <c r="Y42" s="392"/>
      <c r="Z42" s="392"/>
      <c r="AA42" s="393"/>
      <c r="AB42" s="394"/>
      <c r="AC42" s="395"/>
      <c r="AD42" s="396"/>
      <c r="AE42" s="397"/>
      <c r="AF42" s="398"/>
      <c r="AG42" s="402" t="str">
        <f t="shared" ref="AG42" si="237">IF(SUM(AL43-AL42)=0,"",AL43-AL42)</f>
        <v/>
      </c>
      <c r="AH42" s="402"/>
      <c r="AI42" s="402"/>
      <c r="AJ42" s="403" t="s">
        <v>31</v>
      </c>
      <c r="AK42" s="404"/>
      <c r="AL42" s="405"/>
      <c r="AM42" s="406"/>
      <c r="AN42" s="407"/>
      <c r="AO42" s="433"/>
      <c r="AP42" s="434"/>
      <c r="AQ42" s="434"/>
      <c r="AR42" s="434"/>
      <c r="AS42" s="434"/>
      <c r="AT42" s="435"/>
      <c r="AU42" s="131"/>
      <c r="AW42" s="161">
        <f t="shared" ref="AW42" si="238">K42</f>
        <v>12</v>
      </c>
      <c r="AX42" s="162">
        <f t="shared" ref="AX42" si="239">IF(AA43="",AA42,AA43)</f>
        <v>0</v>
      </c>
      <c r="AY42" s="163" t="str">
        <f t="shared" ref="AY42" si="240">L42</f>
        <v>Gestión de Proyectos Institucionales</v>
      </c>
      <c r="AZ42" s="163" t="str">
        <f t="shared" ref="AZ42" si="241">S42</f>
        <v xml:space="preserve">Luz Mery Lopez </v>
      </c>
      <c r="BA42" s="164">
        <f t="shared" ref="BA42" si="242">AL42</f>
        <v>0</v>
      </c>
      <c r="BB42" s="164">
        <f t="shared" ref="BB42" si="243">AL43</f>
        <v>0</v>
      </c>
      <c r="BC42" s="163">
        <f t="shared" ref="BC42" si="244">AO42</f>
        <v>0</v>
      </c>
      <c r="BD42" s="163" t="str">
        <f t="shared" ref="BD42" si="245">IF(AO43="","",AO43)</f>
        <v/>
      </c>
      <c r="BE42" s="165" t="str">
        <f>IF(AD42="","",AD42)</f>
        <v/>
      </c>
      <c r="BF42" s="166">
        <f>IF(OR(L42='Listas Desplegables'!$B$4,L42='Listas Desplegables'!$B$5),"",WORKDAY(AX42,7,'Listas Desplegables'!$J$11:$J$18))</f>
        <v>10</v>
      </c>
    </row>
    <row r="43" spans="1:58" ht="12" customHeight="1" x14ac:dyDescent="0.35">
      <c r="A43" s="127" t="str">
        <f t="shared" ref="A43" si="246">CONCATENATE("A-",AO43)</f>
        <v>A-</v>
      </c>
      <c r="D43" s="159" t="str">
        <f t="shared" ref="D43" si="247">IF(AA43="",CONCATENATE(AA42,"-",AO43),CONCATENATE(AA43,"-",AO43))</f>
        <v>-</v>
      </c>
      <c r="E43" s="159" t="str">
        <f t="shared" ref="E43" si="248">L42</f>
        <v>Gestión de Proyectos Institucionales</v>
      </c>
      <c r="F43" s="160">
        <f t="shared" ref="F43" si="249">AL42</f>
        <v>0</v>
      </c>
      <c r="G43" s="160">
        <f t="shared" ref="G43" si="250">AL43</f>
        <v>0</v>
      </c>
      <c r="H43" s="160" t="str">
        <f t="shared" ref="H43" si="251">IF(AA43="","P","R")</f>
        <v>P</v>
      </c>
      <c r="K43" s="455"/>
      <c r="L43" s="383"/>
      <c r="M43" s="384"/>
      <c r="N43" s="384"/>
      <c r="O43" s="384"/>
      <c r="P43" s="384"/>
      <c r="Q43" s="384"/>
      <c r="R43" s="385"/>
      <c r="S43" s="389"/>
      <c r="T43" s="390"/>
      <c r="U43" s="390"/>
      <c r="V43" s="391"/>
      <c r="W43" s="392"/>
      <c r="X43" s="392"/>
      <c r="Y43" s="392"/>
      <c r="Z43" s="392"/>
      <c r="AA43" s="411"/>
      <c r="AB43" s="412"/>
      <c r="AC43" s="413"/>
      <c r="AD43" s="399"/>
      <c r="AE43" s="400"/>
      <c r="AF43" s="401"/>
      <c r="AG43" s="402"/>
      <c r="AH43" s="402"/>
      <c r="AI43" s="402"/>
      <c r="AJ43" s="414" t="s">
        <v>8</v>
      </c>
      <c r="AK43" s="415"/>
      <c r="AL43" s="405"/>
      <c r="AM43" s="406"/>
      <c r="AN43" s="407"/>
      <c r="AO43" s="436"/>
      <c r="AP43" s="437"/>
      <c r="AQ43" s="437"/>
      <c r="AR43" s="437"/>
      <c r="AS43" s="437"/>
      <c r="AT43" s="438"/>
      <c r="AU43" s="131"/>
      <c r="AX43" s="167"/>
      <c r="AY43" s="163"/>
      <c r="AZ43" s="163"/>
      <c r="BA43" s="163"/>
      <c r="BB43" s="163"/>
      <c r="BC43" s="163"/>
      <c r="BD43" s="163"/>
    </row>
    <row r="44" spans="1:58" ht="12" customHeight="1" x14ac:dyDescent="0.35">
      <c r="A44" s="127" t="str">
        <f t="shared" ref="A44" si="252">CONCATENATE("P-",AO44)</f>
        <v>P-</v>
      </c>
      <c r="B44" s="128" t="str">
        <f t="shared" ref="B44" si="253">IF(AA45="",CONCATENATE(AA44,"-",L44),CONCATENATE(AA45,"-",L44))</f>
        <v>-Calidad Institucional</v>
      </c>
      <c r="C44" s="128" t="str">
        <f t="shared" ref="C44" si="254">CONCATENATE(AO44," / ",AO45)</f>
        <v xml:space="preserve"> / </v>
      </c>
      <c r="D44" s="159" t="str">
        <f t="shared" ref="D44" si="255">IF(AA45="",CONCATENATE(AA44,"-",AO44),CONCATENATE(AA45,"-",AO44))</f>
        <v>-</v>
      </c>
      <c r="E44" s="159" t="str">
        <f t="shared" ref="E44" si="256">L44</f>
        <v>Calidad Institucional</v>
      </c>
      <c r="F44" s="160">
        <f t="shared" ref="F44" si="257">AL44</f>
        <v>0</v>
      </c>
      <c r="G44" s="160">
        <f t="shared" ref="G44" si="258">AL45</f>
        <v>0</v>
      </c>
      <c r="H44" s="160" t="str">
        <f t="shared" ref="H44" si="259">IF(AA45="","P","R")</f>
        <v>P</v>
      </c>
      <c r="K44" s="454">
        <f>IF(OR(L44="",L44="Reunión de Apertura",L44="Reunión de Cierre"),"*",COUNT(K$17:K43)+1)</f>
        <v>13</v>
      </c>
      <c r="L44" s="380" t="s">
        <v>249</v>
      </c>
      <c r="M44" s="381"/>
      <c r="N44" s="381"/>
      <c r="O44" s="381"/>
      <c r="P44" s="381"/>
      <c r="Q44" s="381"/>
      <c r="R44" s="382"/>
      <c r="S44" s="386" t="str">
        <f>IFERROR(VLOOKUP(L44,'Listas Desplegables'!B:D,3,0),"")</f>
        <v>Maria Camila Toro Gonzalez</v>
      </c>
      <c r="T44" s="387"/>
      <c r="U44" s="387"/>
      <c r="V44" s="388"/>
      <c r="W44" s="392" t="s">
        <v>30</v>
      </c>
      <c r="X44" s="392"/>
      <c r="Y44" s="392"/>
      <c r="Z44" s="392"/>
      <c r="AA44" s="393"/>
      <c r="AB44" s="394"/>
      <c r="AC44" s="395"/>
      <c r="AD44" s="396"/>
      <c r="AE44" s="397"/>
      <c r="AF44" s="398"/>
      <c r="AG44" s="402" t="str">
        <f t="shared" ref="AG44" si="260">IF(SUM(AL45-AL44)=0,"",AL45-AL44)</f>
        <v/>
      </c>
      <c r="AH44" s="402"/>
      <c r="AI44" s="402"/>
      <c r="AJ44" s="403" t="s">
        <v>31</v>
      </c>
      <c r="AK44" s="404"/>
      <c r="AL44" s="405"/>
      <c r="AM44" s="406"/>
      <c r="AN44" s="407"/>
      <c r="AO44" s="433"/>
      <c r="AP44" s="434"/>
      <c r="AQ44" s="434"/>
      <c r="AR44" s="434"/>
      <c r="AS44" s="434"/>
      <c r="AT44" s="435"/>
      <c r="AU44" s="131"/>
      <c r="AW44" s="161">
        <f t="shared" ref="AW44" si="261">K44</f>
        <v>13</v>
      </c>
      <c r="AX44" s="162">
        <f t="shared" ref="AX44" si="262">IF(AA45="",AA44,AA45)</f>
        <v>0</v>
      </c>
      <c r="AY44" s="163" t="str">
        <f t="shared" ref="AY44" si="263">L44</f>
        <v>Calidad Institucional</v>
      </c>
      <c r="AZ44" s="163" t="str">
        <f t="shared" ref="AZ44" si="264">S44</f>
        <v>Maria Camila Toro Gonzalez</v>
      </c>
      <c r="BA44" s="164">
        <f t="shared" ref="BA44" si="265">AL44</f>
        <v>0</v>
      </c>
      <c r="BB44" s="164">
        <f t="shared" ref="BB44" si="266">AL45</f>
        <v>0</v>
      </c>
      <c r="BC44" s="163">
        <f t="shared" ref="BC44" si="267">AO44</f>
        <v>0</v>
      </c>
      <c r="BD44" s="163" t="str">
        <f t="shared" ref="BD44" si="268">IF(AO45="","",AO45)</f>
        <v/>
      </c>
      <c r="BE44" s="165" t="str">
        <f>IF(AD44="","",AD44)</f>
        <v/>
      </c>
      <c r="BF44" s="166">
        <f>IF(OR(L44='Listas Desplegables'!$B$4,L44='Listas Desplegables'!$B$5),"",WORKDAY(AX44,7,'Listas Desplegables'!$J$11:$J$18))</f>
        <v>10</v>
      </c>
    </row>
    <row r="45" spans="1:58" ht="12" customHeight="1" x14ac:dyDescent="0.35">
      <c r="A45" s="127" t="str">
        <f t="shared" ref="A45" si="269">CONCATENATE("A-",AO45)</f>
        <v>A-</v>
      </c>
      <c r="D45" s="159" t="str">
        <f t="shared" ref="D45" si="270">IF(AA45="",CONCATENATE(AA44,"-",AO45),CONCATENATE(AA45,"-",AO45))</f>
        <v>-</v>
      </c>
      <c r="E45" s="159" t="str">
        <f t="shared" ref="E45" si="271">L44</f>
        <v>Calidad Institucional</v>
      </c>
      <c r="F45" s="160">
        <f t="shared" ref="F45" si="272">AL44</f>
        <v>0</v>
      </c>
      <c r="G45" s="160">
        <f t="shared" ref="G45" si="273">AL45</f>
        <v>0</v>
      </c>
      <c r="H45" s="160" t="str">
        <f t="shared" ref="H45" si="274">IF(AA45="","P","R")</f>
        <v>P</v>
      </c>
      <c r="K45" s="455"/>
      <c r="L45" s="383"/>
      <c r="M45" s="384"/>
      <c r="N45" s="384"/>
      <c r="O45" s="384"/>
      <c r="P45" s="384"/>
      <c r="Q45" s="384"/>
      <c r="R45" s="385"/>
      <c r="S45" s="389"/>
      <c r="T45" s="390"/>
      <c r="U45" s="390"/>
      <c r="V45" s="391"/>
      <c r="W45" s="392"/>
      <c r="X45" s="392"/>
      <c r="Y45" s="392"/>
      <c r="Z45" s="392"/>
      <c r="AA45" s="411"/>
      <c r="AB45" s="412"/>
      <c r="AC45" s="413"/>
      <c r="AD45" s="399"/>
      <c r="AE45" s="400"/>
      <c r="AF45" s="401"/>
      <c r="AG45" s="402"/>
      <c r="AH45" s="402"/>
      <c r="AI45" s="402"/>
      <c r="AJ45" s="414" t="s">
        <v>8</v>
      </c>
      <c r="AK45" s="415"/>
      <c r="AL45" s="405"/>
      <c r="AM45" s="406"/>
      <c r="AN45" s="407"/>
      <c r="AO45" s="436"/>
      <c r="AP45" s="437"/>
      <c r="AQ45" s="437"/>
      <c r="AR45" s="437"/>
      <c r="AS45" s="437"/>
      <c r="AT45" s="438"/>
      <c r="AU45" s="131"/>
      <c r="AX45" s="167"/>
      <c r="AY45" s="163"/>
      <c r="AZ45" s="163"/>
      <c r="BA45" s="163"/>
      <c r="BB45" s="163"/>
      <c r="BC45" s="163"/>
      <c r="BD45" s="163"/>
    </row>
    <row r="46" spans="1:58" ht="12" customHeight="1" x14ac:dyDescent="0.35">
      <c r="A46" s="127" t="str">
        <f t="shared" ref="A46" si="275">CONCATENATE("P-",AO46)</f>
        <v>P-</v>
      </c>
      <c r="B46" s="128" t="str">
        <f t="shared" ref="B46" si="276">IF(AA47="",CONCATENATE(AA46,"-",L46),CONCATENATE(AA47,"-",L46))</f>
        <v>-Autoevaluación Institucional</v>
      </c>
      <c r="C46" s="128" t="str">
        <f t="shared" ref="C46" si="277">CONCATENATE(AO46," / ",AO47)</f>
        <v xml:space="preserve"> / </v>
      </c>
      <c r="D46" s="159" t="str">
        <f t="shared" ref="D46" si="278">IF(AA47="",CONCATENATE(AA46,"-",AO46),CONCATENATE(AA47,"-",AO46))</f>
        <v>-</v>
      </c>
      <c r="E46" s="159" t="str">
        <f t="shared" ref="E46" si="279">L46</f>
        <v>Autoevaluación Institucional</v>
      </c>
      <c r="F46" s="160">
        <f t="shared" ref="F46" si="280">AL46</f>
        <v>0</v>
      </c>
      <c r="G46" s="160">
        <f t="shared" ref="G46" si="281">AL47</f>
        <v>0</v>
      </c>
      <c r="H46" s="160" t="str">
        <f t="shared" ref="H46" si="282">IF(AA47="","P","R")</f>
        <v>P</v>
      </c>
      <c r="K46" s="454">
        <f>IF(OR(L46="",L46="Reunión de Apertura",L46="Reunión de Cierre"),"*",COUNT(K$17:K45)+1)</f>
        <v>14</v>
      </c>
      <c r="L46" s="380" t="s">
        <v>248</v>
      </c>
      <c r="M46" s="381"/>
      <c r="N46" s="381"/>
      <c r="O46" s="381"/>
      <c r="P46" s="381"/>
      <c r="Q46" s="381"/>
      <c r="R46" s="382"/>
      <c r="S46" s="386" t="str">
        <f>IFERROR(VLOOKUP(L46,'Listas Desplegables'!B:D,3,0),"")</f>
        <v>Luisa Marcela Toro Medina</v>
      </c>
      <c r="T46" s="387"/>
      <c r="U46" s="387"/>
      <c r="V46" s="388"/>
      <c r="W46" s="392" t="s">
        <v>30</v>
      </c>
      <c r="X46" s="392"/>
      <c r="Y46" s="392"/>
      <c r="Z46" s="392"/>
      <c r="AA46" s="393"/>
      <c r="AB46" s="394"/>
      <c r="AC46" s="395"/>
      <c r="AD46" s="396"/>
      <c r="AE46" s="397"/>
      <c r="AF46" s="398"/>
      <c r="AG46" s="402" t="str">
        <f t="shared" ref="AG46" si="283">IF(SUM(AL47-AL46)=0,"",AL47-AL46)</f>
        <v/>
      </c>
      <c r="AH46" s="402"/>
      <c r="AI46" s="402"/>
      <c r="AJ46" s="403" t="s">
        <v>31</v>
      </c>
      <c r="AK46" s="404"/>
      <c r="AL46" s="405"/>
      <c r="AM46" s="406"/>
      <c r="AN46" s="407"/>
      <c r="AO46" s="433"/>
      <c r="AP46" s="434"/>
      <c r="AQ46" s="434"/>
      <c r="AR46" s="434"/>
      <c r="AS46" s="434"/>
      <c r="AT46" s="435"/>
      <c r="AU46" s="131"/>
      <c r="AW46" s="161">
        <f t="shared" ref="AW46" si="284">K46</f>
        <v>14</v>
      </c>
      <c r="AX46" s="162">
        <f t="shared" ref="AX46" si="285">IF(AA47="",AA46,AA47)</f>
        <v>0</v>
      </c>
      <c r="AY46" s="163" t="str">
        <f t="shared" ref="AY46" si="286">L46</f>
        <v>Autoevaluación Institucional</v>
      </c>
      <c r="AZ46" s="163" t="str">
        <f t="shared" ref="AZ46" si="287">S46</f>
        <v>Luisa Marcela Toro Medina</v>
      </c>
      <c r="BA46" s="164">
        <f t="shared" ref="BA46" si="288">AL46</f>
        <v>0</v>
      </c>
      <c r="BB46" s="164">
        <f t="shared" ref="BB46" si="289">AL47</f>
        <v>0</v>
      </c>
      <c r="BC46" s="163">
        <f t="shared" ref="BC46" si="290">AO46</f>
        <v>0</v>
      </c>
      <c r="BD46" s="163" t="str">
        <f t="shared" ref="BD46" si="291">IF(AO47="","",AO47)</f>
        <v/>
      </c>
      <c r="BE46" s="165" t="str">
        <f>IF(AD46="","",AD46)</f>
        <v/>
      </c>
      <c r="BF46" s="166">
        <f>IF(OR(L46='Listas Desplegables'!$B$4,L46='Listas Desplegables'!$B$5),"",WORKDAY(AX46,7,'Listas Desplegables'!$J$11:$J$18))</f>
        <v>10</v>
      </c>
    </row>
    <row r="47" spans="1:58" ht="12" customHeight="1" x14ac:dyDescent="0.35">
      <c r="A47" s="127" t="str">
        <f t="shared" ref="A47" si="292">CONCATENATE("A-",AO47)</f>
        <v>A-</v>
      </c>
      <c r="D47" s="159" t="str">
        <f t="shared" ref="D47" si="293">IF(AA47="",CONCATENATE(AA46,"-",AO47),CONCATENATE(AA47,"-",AO47))</f>
        <v>-</v>
      </c>
      <c r="E47" s="159" t="str">
        <f t="shared" ref="E47" si="294">L46</f>
        <v>Autoevaluación Institucional</v>
      </c>
      <c r="F47" s="160">
        <f t="shared" ref="F47" si="295">AL46</f>
        <v>0</v>
      </c>
      <c r="G47" s="160">
        <f t="shared" ref="G47" si="296">AL47</f>
        <v>0</v>
      </c>
      <c r="H47" s="160" t="str">
        <f t="shared" ref="H47" si="297">IF(AA47="","P","R")</f>
        <v>P</v>
      </c>
      <c r="K47" s="455"/>
      <c r="L47" s="383"/>
      <c r="M47" s="384"/>
      <c r="N47" s="384"/>
      <c r="O47" s="384"/>
      <c r="P47" s="384"/>
      <c r="Q47" s="384"/>
      <c r="R47" s="385"/>
      <c r="S47" s="389"/>
      <c r="T47" s="390"/>
      <c r="U47" s="390"/>
      <c r="V47" s="391"/>
      <c r="W47" s="392"/>
      <c r="X47" s="392"/>
      <c r="Y47" s="392"/>
      <c r="Z47" s="392"/>
      <c r="AA47" s="411"/>
      <c r="AB47" s="412"/>
      <c r="AC47" s="413"/>
      <c r="AD47" s="399"/>
      <c r="AE47" s="400"/>
      <c r="AF47" s="401"/>
      <c r="AG47" s="402"/>
      <c r="AH47" s="402"/>
      <c r="AI47" s="402"/>
      <c r="AJ47" s="414" t="s">
        <v>8</v>
      </c>
      <c r="AK47" s="415"/>
      <c r="AL47" s="405"/>
      <c r="AM47" s="406"/>
      <c r="AN47" s="407"/>
      <c r="AO47" s="436"/>
      <c r="AP47" s="437"/>
      <c r="AQ47" s="437"/>
      <c r="AR47" s="437"/>
      <c r="AS47" s="437"/>
      <c r="AT47" s="438"/>
      <c r="AU47" s="131"/>
      <c r="AX47" s="167"/>
      <c r="AY47" s="163"/>
      <c r="AZ47" s="163"/>
      <c r="BA47" s="163"/>
      <c r="BB47" s="163"/>
      <c r="BC47" s="163"/>
      <c r="BD47" s="163"/>
    </row>
    <row r="48" spans="1:58" ht="12" customHeight="1" x14ac:dyDescent="0.35">
      <c r="A48" s="127" t="str">
        <f t="shared" ref="A48" si="298">CONCATENATE("P-",AO48)</f>
        <v>P-</v>
      </c>
      <c r="B48" s="128" t="str">
        <f t="shared" ref="B48" si="299">IF(AA49="",CONCATENATE(AA48,"-",L48),CONCATENATE(AA49,"-",L48))</f>
        <v xml:space="preserve">-Registro Calificado </v>
      </c>
      <c r="C48" s="128" t="str">
        <f t="shared" ref="C48" si="300">CONCATENATE(AO48," / ",AO49)</f>
        <v xml:space="preserve"> / </v>
      </c>
      <c r="D48" s="159" t="str">
        <f t="shared" ref="D48" si="301">IF(AA49="",CONCATENATE(AA48,"-",AO48),CONCATENATE(AA49,"-",AO48))</f>
        <v>-</v>
      </c>
      <c r="E48" s="159" t="str">
        <f t="shared" ref="E48" si="302">L48</f>
        <v xml:space="preserve">Registro Calificado </v>
      </c>
      <c r="F48" s="160">
        <f t="shared" ref="F48" si="303">AL48</f>
        <v>0</v>
      </c>
      <c r="G48" s="160">
        <f t="shared" ref="G48" si="304">AL49</f>
        <v>0</v>
      </c>
      <c r="H48" s="160" t="str">
        <f t="shared" ref="H48" si="305">IF(AA49="","P","R")</f>
        <v>P</v>
      </c>
      <c r="K48" s="454">
        <f>IF(OR(L48="",L48="Reunión de Apertura",L48="Reunión de Cierre"),"*",COUNT(K$17:K47)+1)</f>
        <v>15</v>
      </c>
      <c r="L48" s="380" t="s">
        <v>294</v>
      </c>
      <c r="M48" s="381"/>
      <c r="N48" s="381"/>
      <c r="O48" s="381"/>
      <c r="P48" s="381"/>
      <c r="Q48" s="381"/>
      <c r="R48" s="382"/>
      <c r="S48" s="386" t="str">
        <f>IFERROR(VLOOKUP(L48,'Listas Desplegables'!B:D,3,0),"")</f>
        <v>Yaqueline Rivera Lopez</v>
      </c>
      <c r="T48" s="387"/>
      <c r="U48" s="387"/>
      <c r="V48" s="388"/>
      <c r="W48" s="392" t="s">
        <v>30</v>
      </c>
      <c r="X48" s="392"/>
      <c r="Y48" s="392"/>
      <c r="Z48" s="392"/>
      <c r="AA48" s="393"/>
      <c r="AB48" s="394"/>
      <c r="AC48" s="395"/>
      <c r="AD48" s="396"/>
      <c r="AE48" s="397"/>
      <c r="AF48" s="398"/>
      <c r="AG48" s="402" t="str">
        <f t="shared" ref="AG48" si="306">IF(SUM(AL49-AL48)=0,"",AL49-AL48)</f>
        <v/>
      </c>
      <c r="AH48" s="402"/>
      <c r="AI48" s="402"/>
      <c r="AJ48" s="403" t="s">
        <v>31</v>
      </c>
      <c r="AK48" s="404"/>
      <c r="AL48" s="405"/>
      <c r="AM48" s="406"/>
      <c r="AN48" s="407"/>
      <c r="AO48" s="433"/>
      <c r="AP48" s="434"/>
      <c r="AQ48" s="434"/>
      <c r="AR48" s="434"/>
      <c r="AS48" s="434"/>
      <c r="AT48" s="435"/>
      <c r="AU48" s="131"/>
      <c r="AW48" s="161">
        <f t="shared" ref="AW48" si="307">K48</f>
        <v>15</v>
      </c>
      <c r="AX48" s="162">
        <f t="shared" ref="AX48" si="308">IF(AA49="",AA48,AA49)</f>
        <v>0</v>
      </c>
      <c r="AY48" s="163" t="str">
        <f t="shared" ref="AY48" si="309">L48</f>
        <v xml:space="preserve">Registro Calificado </v>
      </c>
      <c r="AZ48" s="163" t="str">
        <f t="shared" ref="AZ48" si="310">S48</f>
        <v>Yaqueline Rivera Lopez</v>
      </c>
      <c r="BA48" s="164">
        <f t="shared" ref="BA48" si="311">AL48</f>
        <v>0</v>
      </c>
      <c r="BB48" s="164">
        <f t="shared" ref="BB48" si="312">AL49</f>
        <v>0</v>
      </c>
      <c r="BC48" s="163">
        <f t="shared" ref="BC48" si="313">AO48</f>
        <v>0</v>
      </c>
      <c r="BD48" s="163" t="str">
        <f t="shared" ref="BD48" si="314">IF(AO49="","",AO49)</f>
        <v/>
      </c>
      <c r="BE48" s="165" t="str">
        <f>IF(AD48="","",AD48)</f>
        <v/>
      </c>
      <c r="BF48" s="166">
        <f>IF(OR(L48='Listas Desplegables'!$B$4,L48='Listas Desplegables'!$B$5),"",WORKDAY(AX48,7,'Listas Desplegables'!$J$11:$J$18))</f>
        <v>10</v>
      </c>
    </row>
    <row r="49" spans="1:58" ht="12" customHeight="1" x14ac:dyDescent="0.35">
      <c r="A49" s="127" t="str">
        <f t="shared" ref="A49" si="315">CONCATENATE("A-",AO49)</f>
        <v>A-</v>
      </c>
      <c r="D49" s="159" t="str">
        <f t="shared" ref="D49" si="316">IF(AA49="",CONCATENATE(AA48,"-",AO49),CONCATENATE(AA49,"-",AO49))</f>
        <v>-</v>
      </c>
      <c r="E49" s="159" t="str">
        <f t="shared" ref="E49" si="317">L48</f>
        <v xml:space="preserve">Registro Calificado </v>
      </c>
      <c r="F49" s="160">
        <f t="shared" ref="F49" si="318">AL48</f>
        <v>0</v>
      </c>
      <c r="G49" s="160">
        <f t="shared" ref="G49" si="319">AL49</f>
        <v>0</v>
      </c>
      <c r="H49" s="160" t="str">
        <f t="shared" ref="H49" si="320">IF(AA49="","P","R")</f>
        <v>P</v>
      </c>
      <c r="K49" s="455"/>
      <c r="L49" s="383"/>
      <c r="M49" s="384"/>
      <c r="N49" s="384"/>
      <c r="O49" s="384"/>
      <c r="P49" s="384"/>
      <c r="Q49" s="384"/>
      <c r="R49" s="385"/>
      <c r="S49" s="389"/>
      <c r="T49" s="390"/>
      <c r="U49" s="390"/>
      <c r="V49" s="391"/>
      <c r="W49" s="392"/>
      <c r="X49" s="392"/>
      <c r="Y49" s="392"/>
      <c r="Z49" s="392"/>
      <c r="AA49" s="411"/>
      <c r="AB49" s="412"/>
      <c r="AC49" s="413"/>
      <c r="AD49" s="399"/>
      <c r="AE49" s="400"/>
      <c r="AF49" s="401"/>
      <c r="AG49" s="402"/>
      <c r="AH49" s="402"/>
      <c r="AI49" s="402"/>
      <c r="AJ49" s="414" t="s">
        <v>8</v>
      </c>
      <c r="AK49" s="415"/>
      <c r="AL49" s="405"/>
      <c r="AM49" s="406"/>
      <c r="AN49" s="407"/>
      <c r="AO49" s="436"/>
      <c r="AP49" s="437"/>
      <c r="AQ49" s="437"/>
      <c r="AR49" s="437"/>
      <c r="AS49" s="437"/>
      <c r="AT49" s="438"/>
      <c r="AU49" s="131"/>
      <c r="AX49" s="167"/>
      <c r="AY49" s="163"/>
      <c r="AZ49" s="163"/>
      <c r="BA49" s="163"/>
      <c r="BB49" s="163"/>
      <c r="BC49" s="163"/>
      <c r="BD49" s="163"/>
    </row>
    <row r="50" spans="1:58" ht="12" customHeight="1" x14ac:dyDescent="0.35">
      <c r="A50" s="127" t="str">
        <f t="shared" ref="A50" si="321">CONCATENATE("P-",AO50)</f>
        <v>P-</v>
      </c>
      <c r="B50" s="128" t="str">
        <f t="shared" ref="B50" si="322">IF(AA51="",CONCATENATE(AA50,"-",L50),CONCATENATE(AA51,"-",L50))</f>
        <v>-Relaciones Interinstitucionales-ORI</v>
      </c>
      <c r="C50" s="128" t="str">
        <f t="shared" ref="C50" si="323">CONCATENATE(AO50," / ",AO51)</f>
        <v xml:space="preserve"> / </v>
      </c>
      <c r="D50" s="159" t="str">
        <f t="shared" ref="D50" si="324">IF(AA51="",CONCATENATE(AA50,"-",AO50),CONCATENATE(AA51,"-",AO50))</f>
        <v>-</v>
      </c>
      <c r="E50" s="159" t="str">
        <f t="shared" ref="E50" si="325">L50</f>
        <v>Relaciones Interinstitucionales-ORI</v>
      </c>
      <c r="F50" s="160">
        <f t="shared" ref="F50" si="326">AL50</f>
        <v>0</v>
      </c>
      <c r="G50" s="160">
        <f t="shared" ref="G50" si="327">AL51</f>
        <v>0</v>
      </c>
      <c r="H50" s="160" t="str">
        <f t="shared" ref="H50" si="328">IF(AA51="","P","R")</f>
        <v>P</v>
      </c>
      <c r="K50" s="454">
        <f>IF(OR(L50="",L50="Reunión de Apertura",L50="Reunión de Cierre"),"*",COUNT(K$17:K49)+1)</f>
        <v>16</v>
      </c>
      <c r="L50" s="380" t="s">
        <v>305</v>
      </c>
      <c r="M50" s="381"/>
      <c r="N50" s="381"/>
      <c r="O50" s="381"/>
      <c r="P50" s="381"/>
      <c r="Q50" s="381"/>
      <c r="R50" s="382"/>
      <c r="S50" s="386" t="str">
        <f>IFERROR(VLOOKUP(L50,'Listas Desplegables'!B:D,3,0),"")</f>
        <v>Sonia del Consuelo Gaviria</v>
      </c>
      <c r="T50" s="387"/>
      <c r="U50" s="387"/>
      <c r="V50" s="388"/>
      <c r="W50" s="392" t="s">
        <v>30</v>
      </c>
      <c r="X50" s="392"/>
      <c r="Y50" s="392"/>
      <c r="Z50" s="392"/>
      <c r="AA50" s="393"/>
      <c r="AB50" s="394"/>
      <c r="AC50" s="395"/>
      <c r="AD50" s="396"/>
      <c r="AE50" s="397"/>
      <c r="AF50" s="398"/>
      <c r="AG50" s="402" t="str">
        <f t="shared" ref="AG50" si="329">IF(SUM(AL51-AL50)=0,"",AL51-AL50)</f>
        <v/>
      </c>
      <c r="AH50" s="402"/>
      <c r="AI50" s="402"/>
      <c r="AJ50" s="403" t="s">
        <v>31</v>
      </c>
      <c r="AK50" s="404"/>
      <c r="AL50" s="405"/>
      <c r="AM50" s="406"/>
      <c r="AN50" s="407"/>
      <c r="AO50" s="433"/>
      <c r="AP50" s="434"/>
      <c r="AQ50" s="434"/>
      <c r="AR50" s="434"/>
      <c r="AS50" s="434"/>
      <c r="AT50" s="435"/>
      <c r="AU50" s="131"/>
      <c r="AW50" s="161">
        <f t="shared" ref="AW50" si="330">K50</f>
        <v>16</v>
      </c>
      <c r="AX50" s="162">
        <f t="shared" ref="AX50" si="331">IF(AA51="",AA50,AA51)</f>
        <v>0</v>
      </c>
      <c r="AY50" s="163" t="str">
        <f t="shared" ref="AY50" si="332">L50</f>
        <v>Relaciones Interinstitucionales-ORI</v>
      </c>
      <c r="AZ50" s="163" t="str">
        <f t="shared" ref="AZ50" si="333">S50</f>
        <v>Sonia del Consuelo Gaviria</v>
      </c>
      <c r="BA50" s="164">
        <f t="shared" ref="BA50" si="334">AL50</f>
        <v>0</v>
      </c>
      <c r="BB50" s="164">
        <f t="shared" ref="BB50" si="335">AL51</f>
        <v>0</v>
      </c>
      <c r="BC50" s="163">
        <f t="shared" ref="BC50" si="336">AO50</f>
        <v>0</v>
      </c>
      <c r="BD50" s="163" t="str">
        <f t="shared" ref="BD50" si="337">IF(AO51="","",AO51)</f>
        <v/>
      </c>
      <c r="BE50" s="165" t="str">
        <f>IF(AD50="","",AD50)</f>
        <v/>
      </c>
      <c r="BF50" s="166">
        <f>IF(OR(L50='Listas Desplegables'!$B$4,L50='Listas Desplegables'!$B$5),"",WORKDAY(AX50,7,'Listas Desplegables'!$J$11:$J$18))</f>
        <v>10</v>
      </c>
    </row>
    <row r="51" spans="1:58" ht="12" customHeight="1" x14ac:dyDescent="0.35">
      <c r="A51" s="127" t="str">
        <f t="shared" ref="A51" si="338">CONCATENATE("A-",AO51)</f>
        <v>A-</v>
      </c>
      <c r="D51" s="159" t="str">
        <f t="shared" ref="D51" si="339">IF(AA51="",CONCATENATE(AA50,"-",AO51),CONCATENATE(AA51,"-",AO51))</f>
        <v>-</v>
      </c>
      <c r="E51" s="159" t="str">
        <f t="shared" ref="E51" si="340">L50</f>
        <v>Relaciones Interinstitucionales-ORI</v>
      </c>
      <c r="F51" s="160">
        <f t="shared" ref="F51" si="341">AL50</f>
        <v>0</v>
      </c>
      <c r="G51" s="160">
        <f t="shared" ref="G51" si="342">AL51</f>
        <v>0</v>
      </c>
      <c r="H51" s="160" t="str">
        <f t="shared" ref="H51" si="343">IF(AA51="","P","R")</f>
        <v>P</v>
      </c>
      <c r="K51" s="455"/>
      <c r="L51" s="383"/>
      <c r="M51" s="384"/>
      <c r="N51" s="384"/>
      <c r="O51" s="384"/>
      <c r="P51" s="384"/>
      <c r="Q51" s="384"/>
      <c r="R51" s="385"/>
      <c r="S51" s="389"/>
      <c r="T51" s="390"/>
      <c r="U51" s="390"/>
      <c r="V51" s="391"/>
      <c r="W51" s="392"/>
      <c r="X51" s="392"/>
      <c r="Y51" s="392"/>
      <c r="Z51" s="392"/>
      <c r="AA51" s="411"/>
      <c r="AB51" s="412"/>
      <c r="AC51" s="413"/>
      <c r="AD51" s="399"/>
      <c r="AE51" s="400"/>
      <c r="AF51" s="401"/>
      <c r="AG51" s="402"/>
      <c r="AH51" s="402"/>
      <c r="AI51" s="402"/>
      <c r="AJ51" s="414" t="s">
        <v>8</v>
      </c>
      <c r="AK51" s="415"/>
      <c r="AL51" s="405"/>
      <c r="AM51" s="406"/>
      <c r="AN51" s="407"/>
      <c r="AO51" s="436"/>
      <c r="AP51" s="437"/>
      <c r="AQ51" s="437"/>
      <c r="AR51" s="437"/>
      <c r="AS51" s="437"/>
      <c r="AT51" s="438"/>
      <c r="AU51" s="131"/>
      <c r="AX51" s="167"/>
      <c r="AY51" s="163"/>
      <c r="AZ51" s="163"/>
      <c r="BA51" s="163"/>
      <c r="BB51" s="163"/>
      <c r="BC51" s="163"/>
      <c r="BD51" s="163"/>
    </row>
    <row r="52" spans="1:58" ht="12" customHeight="1" x14ac:dyDescent="0.35">
      <c r="A52" s="127" t="str">
        <f t="shared" ref="A52" si="344">CONCATENATE("P-",AO52)</f>
        <v>P-</v>
      </c>
      <c r="B52" s="128" t="str">
        <f t="shared" ref="B52" si="345">IF(AA53="",CONCATENATE(AA52,"-",L52),CONCATENATE(AA53,"-",L52))</f>
        <v>-Mercadeo-Admisiones</v>
      </c>
      <c r="C52" s="128" t="str">
        <f t="shared" ref="C52" si="346">CONCATENATE(AO52," / ",AO53)</f>
        <v xml:space="preserve"> / </v>
      </c>
      <c r="D52" s="159" t="str">
        <f t="shared" ref="D52" si="347">IF(AA53="",CONCATENATE(AA52,"-",AO52),CONCATENATE(AA53,"-",AO52))</f>
        <v>-</v>
      </c>
      <c r="E52" s="159" t="str">
        <f t="shared" ref="E52" si="348">L52</f>
        <v>Mercadeo-Admisiones</v>
      </c>
      <c r="F52" s="160">
        <f t="shared" ref="F52" si="349">AL52</f>
        <v>0</v>
      </c>
      <c r="G52" s="160">
        <f t="shared" ref="G52" si="350">AL53</f>
        <v>0</v>
      </c>
      <c r="H52" s="160" t="str">
        <f t="shared" ref="H52" si="351">IF(AA53="","P","R")</f>
        <v>P</v>
      </c>
      <c r="K52" s="454">
        <f>IF(OR(L52="",L52="Reunión de Apertura",L52="Reunión de Cierre"),"*",COUNT(K$17:K51)+1)</f>
        <v>17</v>
      </c>
      <c r="L52" s="380" t="s">
        <v>309</v>
      </c>
      <c r="M52" s="381"/>
      <c r="N52" s="381"/>
      <c r="O52" s="381"/>
      <c r="P52" s="381"/>
      <c r="Q52" s="381"/>
      <c r="R52" s="382"/>
      <c r="S52" s="386" t="str">
        <f>IFERROR(VLOOKUP(L52,'Listas Desplegables'!B:D,3,0),"")</f>
        <v>Maria Alejandra Lopez Collazos</v>
      </c>
      <c r="T52" s="387"/>
      <c r="U52" s="387"/>
      <c r="V52" s="388"/>
      <c r="W52" s="392" t="s">
        <v>37</v>
      </c>
      <c r="X52" s="392"/>
      <c r="Y52" s="392"/>
      <c r="Z52" s="392"/>
      <c r="AA52" s="393"/>
      <c r="AB52" s="394"/>
      <c r="AC52" s="395"/>
      <c r="AD52" s="396"/>
      <c r="AE52" s="397"/>
      <c r="AF52" s="398"/>
      <c r="AG52" s="402" t="str">
        <f t="shared" ref="AG52" si="352">IF(SUM(AL53-AL52)=0,"",AL53-AL52)</f>
        <v/>
      </c>
      <c r="AH52" s="402"/>
      <c r="AI52" s="402"/>
      <c r="AJ52" s="403" t="s">
        <v>31</v>
      </c>
      <c r="AK52" s="404"/>
      <c r="AL52" s="405"/>
      <c r="AM52" s="406"/>
      <c r="AN52" s="407"/>
      <c r="AO52" s="433"/>
      <c r="AP52" s="434"/>
      <c r="AQ52" s="434"/>
      <c r="AR52" s="434"/>
      <c r="AS52" s="434"/>
      <c r="AT52" s="435"/>
      <c r="AU52" s="131"/>
      <c r="AW52" s="161">
        <f t="shared" ref="AW52" si="353">K52</f>
        <v>17</v>
      </c>
      <c r="AX52" s="162">
        <f t="shared" ref="AX52" si="354">IF(AA53="",AA52,AA53)</f>
        <v>0</v>
      </c>
      <c r="AY52" s="163" t="str">
        <f t="shared" ref="AY52" si="355">L52</f>
        <v>Mercadeo-Admisiones</v>
      </c>
      <c r="AZ52" s="163" t="str">
        <f t="shared" ref="AZ52" si="356">S52</f>
        <v>Maria Alejandra Lopez Collazos</v>
      </c>
      <c r="BA52" s="164">
        <f t="shared" ref="BA52" si="357">AL52</f>
        <v>0</v>
      </c>
      <c r="BB52" s="164">
        <f t="shared" ref="BB52" si="358">AL53</f>
        <v>0</v>
      </c>
      <c r="BC52" s="163">
        <f t="shared" ref="BC52" si="359">AO52</f>
        <v>0</v>
      </c>
      <c r="BD52" s="163" t="str">
        <f t="shared" ref="BD52" si="360">IF(AO53="","",AO53)</f>
        <v/>
      </c>
      <c r="BE52" s="165" t="str">
        <f>IF(AD52="","",AD52)</f>
        <v/>
      </c>
      <c r="BF52" s="166">
        <f>IF(OR(L52='Listas Desplegables'!$B$4,L52='Listas Desplegables'!$B$5),"",WORKDAY(AX52,7,'Listas Desplegables'!$J$11:$J$18))</f>
        <v>10</v>
      </c>
    </row>
    <row r="53" spans="1:58" ht="12" customHeight="1" x14ac:dyDescent="0.35">
      <c r="A53" s="127" t="str">
        <f t="shared" ref="A53" si="361">CONCATENATE("A-",AO53)</f>
        <v>A-</v>
      </c>
      <c r="D53" s="159" t="str">
        <f t="shared" ref="D53" si="362">IF(AA53="",CONCATENATE(AA52,"-",AO53),CONCATENATE(AA53,"-",AO53))</f>
        <v>-</v>
      </c>
      <c r="E53" s="159" t="str">
        <f t="shared" ref="E53" si="363">L52</f>
        <v>Mercadeo-Admisiones</v>
      </c>
      <c r="F53" s="160">
        <f t="shared" ref="F53" si="364">AL52</f>
        <v>0</v>
      </c>
      <c r="G53" s="160">
        <f t="shared" ref="G53" si="365">AL53</f>
        <v>0</v>
      </c>
      <c r="H53" s="160" t="str">
        <f t="shared" ref="H53" si="366">IF(AA53="","P","R")</f>
        <v>P</v>
      </c>
      <c r="K53" s="455"/>
      <c r="L53" s="383"/>
      <c r="M53" s="384"/>
      <c r="N53" s="384"/>
      <c r="O53" s="384"/>
      <c r="P53" s="384"/>
      <c r="Q53" s="384"/>
      <c r="R53" s="385"/>
      <c r="S53" s="389"/>
      <c r="T53" s="390"/>
      <c r="U53" s="390"/>
      <c r="V53" s="391"/>
      <c r="W53" s="392"/>
      <c r="X53" s="392"/>
      <c r="Y53" s="392"/>
      <c r="Z53" s="392"/>
      <c r="AA53" s="411"/>
      <c r="AB53" s="412"/>
      <c r="AC53" s="413"/>
      <c r="AD53" s="399"/>
      <c r="AE53" s="400"/>
      <c r="AF53" s="401"/>
      <c r="AG53" s="402"/>
      <c r="AH53" s="402"/>
      <c r="AI53" s="402"/>
      <c r="AJ53" s="414" t="s">
        <v>8</v>
      </c>
      <c r="AK53" s="415"/>
      <c r="AL53" s="405"/>
      <c r="AM53" s="406"/>
      <c r="AN53" s="407"/>
      <c r="AO53" s="436"/>
      <c r="AP53" s="437"/>
      <c r="AQ53" s="437"/>
      <c r="AR53" s="437"/>
      <c r="AS53" s="437"/>
      <c r="AT53" s="438"/>
      <c r="AU53" s="131"/>
      <c r="AX53" s="167"/>
      <c r="AY53" s="163"/>
      <c r="AZ53" s="163"/>
      <c r="BA53" s="163"/>
      <c r="BB53" s="163"/>
      <c r="BC53" s="163"/>
      <c r="BD53" s="163"/>
    </row>
    <row r="54" spans="1:58" ht="12" customHeight="1" x14ac:dyDescent="0.35">
      <c r="A54" s="127" t="str">
        <f t="shared" ref="A54" si="367">CONCATENATE("P-",AO54)</f>
        <v>P-</v>
      </c>
      <c r="B54" s="128" t="str">
        <f t="shared" ref="B54" si="368">IF(AA55="",CONCATENATE(AA54,"-",L54),CONCATENATE(AA55,"-",L54))</f>
        <v>-Comunicaciones Institucional</v>
      </c>
      <c r="C54" s="128" t="str">
        <f t="shared" ref="C54" si="369">CONCATENATE(AO54," / ",AO55)</f>
        <v xml:space="preserve"> / </v>
      </c>
      <c r="D54" s="159" t="str">
        <f t="shared" ref="D54" si="370">IF(AA55="",CONCATENATE(AA54,"-",AO54),CONCATENATE(AA55,"-",AO54))</f>
        <v>-</v>
      </c>
      <c r="E54" s="159" t="str">
        <f t="shared" ref="E54" si="371">L54</f>
        <v>Comunicaciones Institucional</v>
      </c>
      <c r="F54" s="160">
        <f t="shared" ref="F54" si="372">AL54</f>
        <v>0</v>
      </c>
      <c r="G54" s="160">
        <f t="shared" ref="G54" si="373">AL55</f>
        <v>0</v>
      </c>
      <c r="H54" s="160" t="str">
        <f t="shared" ref="H54" si="374">IF(AA55="","P","R")</f>
        <v>P</v>
      </c>
      <c r="K54" s="454">
        <f>IF(OR(L54="",L54="Reunión de Apertura",L54="Reunión de Cierre"),"*",COUNT(K$17:K53)+1)</f>
        <v>18</v>
      </c>
      <c r="L54" s="380" t="s">
        <v>39</v>
      </c>
      <c r="M54" s="381"/>
      <c r="N54" s="381"/>
      <c r="O54" s="381"/>
      <c r="P54" s="381"/>
      <c r="Q54" s="381"/>
      <c r="R54" s="382"/>
      <c r="S54" s="386" t="str">
        <f>IFERROR(VLOOKUP(L54,'Listas Desplegables'!B:D,3,0),"")</f>
        <v>Fabian Fernando Pasaje</v>
      </c>
      <c r="T54" s="387"/>
      <c r="U54" s="387"/>
      <c r="V54" s="388"/>
      <c r="W54" s="392" t="s">
        <v>30</v>
      </c>
      <c r="X54" s="392"/>
      <c r="Y54" s="392"/>
      <c r="Z54" s="392"/>
      <c r="AA54" s="393"/>
      <c r="AB54" s="394"/>
      <c r="AC54" s="395"/>
      <c r="AD54" s="396"/>
      <c r="AE54" s="397"/>
      <c r="AF54" s="398"/>
      <c r="AG54" s="402" t="str">
        <f t="shared" ref="AG54" si="375">IF(SUM(AL55-AL54)=0,"",AL55-AL54)</f>
        <v/>
      </c>
      <c r="AH54" s="402"/>
      <c r="AI54" s="402"/>
      <c r="AJ54" s="403" t="s">
        <v>31</v>
      </c>
      <c r="AK54" s="404"/>
      <c r="AL54" s="405"/>
      <c r="AM54" s="406"/>
      <c r="AN54" s="407"/>
      <c r="AO54" s="433"/>
      <c r="AP54" s="434"/>
      <c r="AQ54" s="434"/>
      <c r="AR54" s="434"/>
      <c r="AS54" s="434"/>
      <c r="AT54" s="435"/>
      <c r="AU54" s="131"/>
      <c r="AW54" s="161">
        <f t="shared" ref="AW54" si="376">K54</f>
        <v>18</v>
      </c>
      <c r="AX54" s="162">
        <f t="shared" ref="AX54" si="377">IF(AA55="",AA54,AA55)</f>
        <v>0</v>
      </c>
      <c r="AY54" s="163" t="str">
        <f t="shared" ref="AY54" si="378">L54</f>
        <v>Comunicaciones Institucional</v>
      </c>
      <c r="AZ54" s="163" t="str">
        <f t="shared" ref="AZ54" si="379">S54</f>
        <v>Fabian Fernando Pasaje</v>
      </c>
      <c r="BA54" s="164">
        <f t="shared" ref="BA54" si="380">AL54</f>
        <v>0</v>
      </c>
      <c r="BB54" s="164">
        <f t="shared" ref="BB54" si="381">AL55</f>
        <v>0</v>
      </c>
      <c r="BC54" s="163">
        <f t="shared" ref="BC54" si="382">AO54</f>
        <v>0</v>
      </c>
      <c r="BD54" s="163" t="str">
        <f t="shared" ref="BD54" si="383">IF(AO55="","",AO55)</f>
        <v/>
      </c>
      <c r="BE54" s="165" t="str">
        <f>IF(AD54="","",AD54)</f>
        <v/>
      </c>
      <c r="BF54" s="166">
        <f>IF(OR(L54='Listas Desplegables'!$B$4,L54='Listas Desplegables'!$B$5),"",WORKDAY(AX54,7,'Listas Desplegables'!$J$11:$J$18))</f>
        <v>10</v>
      </c>
    </row>
    <row r="55" spans="1:58" ht="12" customHeight="1" x14ac:dyDescent="0.35">
      <c r="A55" s="127" t="str">
        <f t="shared" ref="A55" si="384">CONCATENATE("A-",AO55)</f>
        <v>A-</v>
      </c>
      <c r="D55" s="159" t="str">
        <f t="shared" ref="D55" si="385">IF(AA55="",CONCATENATE(AA54,"-",AO55),CONCATENATE(AA55,"-",AO55))</f>
        <v>-</v>
      </c>
      <c r="E55" s="159" t="str">
        <f t="shared" ref="E55" si="386">L54</f>
        <v>Comunicaciones Institucional</v>
      </c>
      <c r="F55" s="160">
        <f t="shared" ref="F55" si="387">AL54</f>
        <v>0</v>
      </c>
      <c r="G55" s="160">
        <f t="shared" ref="G55" si="388">AL55</f>
        <v>0</v>
      </c>
      <c r="H55" s="160" t="str">
        <f t="shared" ref="H55" si="389">IF(AA55="","P","R")</f>
        <v>P</v>
      </c>
      <c r="K55" s="455"/>
      <c r="L55" s="383"/>
      <c r="M55" s="384"/>
      <c r="N55" s="384"/>
      <c r="O55" s="384"/>
      <c r="P55" s="384"/>
      <c r="Q55" s="384"/>
      <c r="R55" s="385"/>
      <c r="S55" s="389"/>
      <c r="T55" s="390"/>
      <c r="U55" s="390"/>
      <c r="V55" s="391"/>
      <c r="W55" s="392"/>
      <c r="X55" s="392"/>
      <c r="Y55" s="392"/>
      <c r="Z55" s="392"/>
      <c r="AA55" s="411"/>
      <c r="AB55" s="412"/>
      <c r="AC55" s="413"/>
      <c r="AD55" s="399"/>
      <c r="AE55" s="400"/>
      <c r="AF55" s="401"/>
      <c r="AG55" s="402"/>
      <c r="AH55" s="402"/>
      <c r="AI55" s="402"/>
      <c r="AJ55" s="414" t="s">
        <v>8</v>
      </c>
      <c r="AK55" s="415"/>
      <c r="AL55" s="405"/>
      <c r="AM55" s="406"/>
      <c r="AN55" s="407"/>
      <c r="AO55" s="436"/>
      <c r="AP55" s="437"/>
      <c r="AQ55" s="437"/>
      <c r="AR55" s="437"/>
      <c r="AS55" s="437"/>
      <c r="AT55" s="438"/>
      <c r="AU55" s="131"/>
      <c r="AX55" s="167"/>
      <c r="AY55" s="163"/>
      <c r="AZ55" s="163"/>
      <c r="BA55" s="163"/>
      <c r="BB55" s="163"/>
      <c r="BC55" s="163"/>
      <c r="BD55" s="163"/>
    </row>
    <row r="56" spans="1:58" ht="12" customHeight="1" x14ac:dyDescent="0.35">
      <c r="A56" s="127" t="str">
        <f t="shared" ref="A56" si="390">CONCATENATE("P-",AO56)</f>
        <v>P-</v>
      </c>
      <c r="B56" s="128" t="str">
        <f t="shared" ref="B56" si="391">IF(AA57="",CONCATENATE(AA56,"-",L56),CONCATENATE(AA57,"-",L56))</f>
        <v>-Bienestar Institucional</v>
      </c>
      <c r="C56" s="128" t="str">
        <f t="shared" ref="C56" si="392">CONCATENATE(AO56," / ",AO57)</f>
        <v xml:space="preserve"> / </v>
      </c>
      <c r="D56" s="159" t="str">
        <f t="shared" ref="D56" si="393">IF(AA57="",CONCATENATE(AA56,"-",AO56),CONCATENATE(AA57,"-",AO56))</f>
        <v>-</v>
      </c>
      <c r="E56" s="159" t="str">
        <f t="shared" ref="E56" si="394">L56</f>
        <v>Bienestar Institucional</v>
      </c>
      <c r="F56" s="160">
        <f t="shared" ref="F56" si="395">AL56</f>
        <v>0</v>
      </c>
      <c r="G56" s="160">
        <f t="shared" ref="G56" si="396">AL57</f>
        <v>0</v>
      </c>
      <c r="H56" s="160" t="str">
        <f t="shared" ref="H56" si="397">IF(AA57="","P","R")</f>
        <v>P</v>
      </c>
      <c r="K56" s="454">
        <f>IF(OR(L56="",L56="Reunión de Apertura",L56="Reunión de Cierre"),"*",COUNT(K$17:K55)+1)</f>
        <v>19</v>
      </c>
      <c r="L56" s="380" t="s">
        <v>65</v>
      </c>
      <c r="M56" s="381"/>
      <c r="N56" s="381"/>
      <c r="O56" s="381"/>
      <c r="P56" s="381"/>
      <c r="Q56" s="381"/>
      <c r="R56" s="382"/>
      <c r="S56" s="386" t="str">
        <f>IFERROR(VLOOKUP(L56,'Listas Desplegables'!B:D,3,0),"")</f>
        <v>Vanessa Zuñiga</v>
      </c>
      <c r="T56" s="387"/>
      <c r="U56" s="387"/>
      <c r="V56" s="388"/>
      <c r="W56" s="392" t="s">
        <v>30</v>
      </c>
      <c r="X56" s="392"/>
      <c r="Y56" s="392"/>
      <c r="Z56" s="392"/>
      <c r="AA56" s="393"/>
      <c r="AB56" s="394"/>
      <c r="AC56" s="395"/>
      <c r="AD56" s="396"/>
      <c r="AE56" s="397"/>
      <c r="AF56" s="398"/>
      <c r="AG56" s="402" t="str">
        <f t="shared" ref="AG56" si="398">IF(SUM(AL57-AL56)=0,"",AL57-AL56)</f>
        <v/>
      </c>
      <c r="AH56" s="402"/>
      <c r="AI56" s="402"/>
      <c r="AJ56" s="403" t="s">
        <v>31</v>
      </c>
      <c r="AK56" s="404"/>
      <c r="AL56" s="405"/>
      <c r="AM56" s="406"/>
      <c r="AN56" s="407"/>
      <c r="AO56" s="433"/>
      <c r="AP56" s="434"/>
      <c r="AQ56" s="434"/>
      <c r="AR56" s="434"/>
      <c r="AS56" s="434"/>
      <c r="AT56" s="435"/>
      <c r="AU56" s="131"/>
      <c r="AW56" s="161">
        <f t="shared" ref="AW56" si="399">K56</f>
        <v>19</v>
      </c>
      <c r="AX56" s="162">
        <f t="shared" ref="AX56" si="400">IF(AA57="",AA56,AA57)</f>
        <v>0</v>
      </c>
      <c r="AY56" s="163" t="str">
        <f t="shared" ref="AY56" si="401">L56</f>
        <v>Bienestar Institucional</v>
      </c>
      <c r="AZ56" s="163" t="str">
        <f t="shared" ref="AZ56" si="402">S56</f>
        <v>Vanessa Zuñiga</v>
      </c>
      <c r="BA56" s="164">
        <f t="shared" ref="BA56" si="403">AL56</f>
        <v>0</v>
      </c>
      <c r="BB56" s="164">
        <f t="shared" ref="BB56" si="404">AL57</f>
        <v>0</v>
      </c>
      <c r="BC56" s="163">
        <f t="shared" ref="BC56" si="405">AO56</f>
        <v>0</v>
      </c>
      <c r="BD56" s="163" t="str">
        <f t="shared" ref="BD56" si="406">IF(AO57="","",AO57)</f>
        <v/>
      </c>
      <c r="BE56" s="165" t="str">
        <f>IF(AD56="","",AD56)</f>
        <v/>
      </c>
      <c r="BF56" s="166">
        <f>IF(OR(L56='Listas Desplegables'!$B$4,L56='Listas Desplegables'!$B$5),"",WORKDAY(AX56,7,'Listas Desplegables'!$J$11:$J$18))</f>
        <v>10</v>
      </c>
    </row>
    <row r="57" spans="1:58" ht="12" customHeight="1" x14ac:dyDescent="0.35">
      <c r="A57" s="127" t="str">
        <f t="shared" ref="A57" si="407">CONCATENATE("A-",AO57)</f>
        <v>A-</v>
      </c>
      <c r="D57" s="159" t="str">
        <f t="shared" ref="D57" si="408">IF(AA57="",CONCATENATE(AA56,"-",AO57),CONCATENATE(AA57,"-",AO57))</f>
        <v>-</v>
      </c>
      <c r="E57" s="159" t="str">
        <f t="shared" ref="E57" si="409">L56</f>
        <v>Bienestar Institucional</v>
      </c>
      <c r="F57" s="160">
        <f t="shared" ref="F57" si="410">AL56</f>
        <v>0</v>
      </c>
      <c r="G57" s="160">
        <f t="shared" ref="G57" si="411">AL57</f>
        <v>0</v>
      </c>
      <c r="H57" s="160" t="str">
        <f t="shared" ref="H57" si="412">IF(AA57="","P","R")</f>
        <v>P</v>
      </c>
      <c r="K57" s="455"/>
      <c r="L57" s="383"/>
      <c r="M57" s="384"/>
      <c r="N57" s="384"/>
      <c r="O57" s="384"/>
      <c r="P57" s="384"/>
      <c r="Q57" s="384"/>
      <c r="R57" s="385"/>
      <c r="S57" s="389"/>
      <c r="T57" s="390"/>
      <c r="U57" s="390"/>
      <c r="V57" s="391"/>
      <c r="W57" s="392"/>
      <c r="X57" s="392"/>
      <c r="Y57" s="392"/>
      <c r="Z57" s="392"/>
      <c r="AA57" s="411"/>
      <c r="AB57" s="412"/>
      <c r="AC57" s="413"/>
      <c r="AD57" s="399"/>
      <c r="AE57" s="400"/>
      <c r="AF57" s="401"/>
      <c r="AG57" s="402"/>
      <c r="AH57" s="402"/>
      <c r="AI57" s="402"/>
      <c r="AJ57" s="414" t="s">
        <v>8</v>
      </c>
      <c r="AK57" s="415"/>
      <c r="AL57" s="405"/>
      <c r="AM57" s="406"/>
      <c r="AN57" s="407"/>
      <c r="AO57" s="436"/>
      <c r="AP57" s="437"/>
      <c r="AQ57" s="437"/>
      <c r="AR57" s="437"/>
      <c r="AS57" s="437"/>
      <c r="AT57" s="438"/>
      <c r="AU57" s="131"/>
      <c r="AX57" s="167"/>
      <c r="AY57" s="163"/>
      <c r="AZ57" s="163"/>
      <c r="BA57" s="163"/>
      <c r="BB57" s="163"/>
      <c r="BC57" s="163"/>
      <c r="BD57" s="163"/>
    </row>
    <row r="58" spans="1:58" ht="12" customHeight="1" x14ac:dyDescent="0.35">
      <c r="A58" s="127" t="str">
        <f t="shared" ref="A58" si="413">CONCATENATE("P-",AO58)</f>
        <v>P-</v>
      </c>
      <c r="B58" s="128" t="str">
        <f t="shared" ref="B58" si="414">IF(AA59="",CONCATENATE(AA58,"-",L58),CONCATENATE(AA59,"-",L58))</f>
        <v>-Gestión del Talento Humano</v>
      </c>
      <c r="C58" s="128" t="str">
        <f t="shared" ref="C58" si="415">CONCATENATE(AO58," / ",AO59)</f>
        <v xml:space="preserve"> / </v>
      </c>
      <c r="D58" s="159" t="str">
        <f t="shared" ref="D58" si="416">IF(AA59="",CONCATENATE(AA58,"-",AO58),CONCATENATE(AA59,"-",AO58))</f>
        <v>-</v>
      </c>
      <c r="E58" s="159" t="str">
        <f t="shared" ref="E58" si="417">L58</f>
        <v>Gestión del Talento Humano</v>
      </c>
      <c r="F58" s="160">
        <f t="shared" ref="F58" si="418">AL58</f>
        <v>0</v>
      </c>
      <c r="G58" s="160">
        <f t="shared" ref="G58" si="419">AL59</f>
        <v>0</v>
      </c>
      <c r="H58" s="160" t="str">
        <f t="shared" ref="H58" si="420">IF(AA59="","P","R")</f>
        <v>P</v>
      </c>
      <c r="K58" s="454">
        <f>IF(OR(L58="",L58="Reunión de Apertura",L58="Reunión de Cierre"),"*",COUNT(K$17:K57)+1)</f>
        <v>20</v>
      </c>
      <c r="L58" s="380" t="s">
        <v>346</v>
      </c>
      <c r="M58" s="381"/>
      <c r="N58" s="381"/>
      <c r="O58" s="381"/>
      <c r="P58" s="381"/>
      <c r="Q58" s="381"/>
      <c r="R58" s="382"/>
      <c r="S58" s="386" t="str">
        <f>IFERROR(VLOOKUP(L58,'Listas Desplegables'!B:D,3,0),"")</f>
        <v>Tatiana Dulcey Mojica</v>
      </c>
      <c r="T58" s="387"/>
      <c r="U58" s="387"/>
      <c r="V58" s="388"/>
      <c r="W58" s="392" t="s">
        <v>37</v>
      </c>
      <c r="X58" s="392"/>
      <c r="Y58" s="392"/>
      <c r="Z58" s="392"/>
      <c r="AA58" s="393"/>
      <c r="AB58" s="394"/>
      <c r="AC58" s="395"/>
      <c r="AD58" s="396"/>
      <c r="AE58" s="397"/>
      <c r="AF58" s="398"/>
      <c r="AG58" s="402" t="str">
        <f t="shared" ref="AG58" si="421">IF(SUM(AL59-AL58)=0,"",AL59-AL58)</f>
        <v/>
      </c>
      <c r="AH58" s="402"/>
      <c r="AI58" s="402"/>
      <c r="AJ58" s="403" t="s">
        <v>31</v>
      </c>
      <c r="AK58" s="404"/>
      <c r="AL58" s="405"/>
      <c r="AM58" s="406"/>
      <c r="AN58" s="407"/>
      <c r="AO58" s="433"/>
      <c r="AP58" s="434"/>
      <c r="AQ58" s="434"/>
      <c r="AR58" s="434"/>
      <c r="AS58" s="434"/>
      <c r="AT58" s="435"/>
      <c r="AU58" s="131"/>
      <c r="AW58" s="161">
        <f t="shared" ref="AW58" si="422">K58</f>
        <v>20</v>
      </c>
      <c r="AX58" s="162">
        <f t="shared" ref="AX58" si="423">IF(AA59="",AA58,AA59)</f>
        <v>0</v>
      </c>
      <c r="AY58" s="163" t="str">
        <f t="shared" ref="AY58" si="424">L58</f>
        <v>Gestión del Talento Humano</v>
      </c>
      <c r="AZ58" s="163" t="str">
        <f t="shared" ref="AZ58" si="425">S58</f>
        <v>Tatiana Dulcey Mojica</v>
      </c>
      <c r="BA58" s="164">
        <f t="shared" ref="BA58" si="426">AL58</f>
        <v>0</v>
      </c>
      <c r="BB58" s="164">
        <f t="shared" ref="BB58" si="427">AL59</f>
        <v>0</v>
      </c>
      <c r="BC58" s="163">
        <f t="shared" ref="BC58" si="428">AO58</f>
        <v>0</v>
      </c>
      <c r="BD58" s="163" t="str">
        <f t="shared" ref="BD58" si="429">IF(AO59="","",AO59)</f>
        <v/>
      </c>
      <c r="BE58" s="165" t="str">
        <f>IF(AD58="","",AD58)</f>
        <v/>
      </c>
      <c r="BF58" s="166">
        <f>IF(OR(L58='Listas Desplegables'!$B$4,L58='Listas Desplegables'!$B$5),"",WORKDAY(AX58,7,'Listas Desplegables'!$J$11:$J$18))</f>
        <v>10</v>
      </c>
    </row>
    <row r="59" spans="1:58" ht="12" customHeight="1" x14ac:dyDescent="0.35">
      <c r="A59" s="127" t="str">
        <f t="shared" ref="A59" si="430">CONCATENATE("A-",AO59)</f>
        <v>A-</v>
      </c>
      <c r="D59" s="159" t="str">
        <f t="shared" ref="D59" si="431">IF(AA59="",CONCATENATE(AA58,"-",AO59),CONCATENATE(AA59,"-",AO59))</f>
        <v>-</v>
      </c>
      <c r="E59" s="159" t="str">
        <f t="shared" ref="E59" si="432">L58</f>
        <v>Gestión del Talento Humano</v>
      </c>
      <c r="F59" s="160">
        <f t="shared" ref="F59" si="433">AL58</f>
        <v>0</v>
      </c>
      <c r="G59" s="160">
        <f t="shared" ref="G59" si="434">AL59</f>
        <v>0</v>
      </c>
      <c r="H59" s="160" t="str">
        <f t="shared" ref="H59" si="435">IF(AA59="","P","R")</f>
        <v>P</v>
      </c>
      <c r="K59" s="455"/>
      <c r="L59" s="383"/>
      <c r="M59" s="384"/>
      <c r="N59" s="384"/>
      <c r="O59" s="384"/>
      <c r="P59" s="384"/>
      <c r="Q59" s="384"/>
      <c r="R59" s="385"/>
      <c r="S59" s="389"/>
      <c r="T59" s="390"/>
      <c r="U59" s="390"/>
      <c r="V59" s="391"/>
      <c r="W59" s="392"/>
      <c r="X59" s="392"/>
      <c r="Y59" s="392"/>
      <c r="Z59" s="392"/>
      <c r="AA59" s="411"/>
      <c r="AB59" s="412"/>
      <c r="AC59" s="413"/>
      <c r="AD59" s="399"/>
      <c r="AE59" s="400"/>
      <c r="AF59" s="401"/>
      <c r="AG59" s="402"/>
      <c r="AH59" s="402"/>
      <c r="AI59" s="402"/>
      <c r="AJ59" s="414" t="s">
        <v>8</v>
      </c>
      <c r="AK59" s="415"/>
      <c r="AL59" s="405"/>
      <c r="AM59" s="406"/>
      <c r="AN59" s="407"/>
      <c r="AO59" s="436"/>
      <c r="AP59" s="437"/>
      <c r="AQ59" s="437"/>
      <c r="AR59" s="437"/>
      <c r="AS59" s="437"/>
      <c r="AT59" s="438"/>
      <c r="AU59" s="131"/>
      <c r="AX59" s="167"/>
      <c r="AY59" s="163"/>
      <c r="AZ59" s="163"/>
      <c r="BA59" s="163"/>
      <c r="BB59" s="163"/>
      <c r="BC59" s="163"/>
      <c r="BD59" s="163"/>
    </row>
    <row r="60" spans="1:58" ht="12" customHeight="1" x14ac:dyDescent="0.35">
      <c r="A60" s="127" t="str">
        <f t="shared" ref="A60" si="436">CONCATENATE("P-",AO60)</f>
        <v>P-</v>
      </c>
      <c r="B60" s="128" t="str">
        <f t="shared" ref="B60" si="437">IF(AA61="",CONCATENATE(AA60,"-",L60),CONCATENATE(AA61,"-",L60))</f>
        <v>-Gestión de SST</v>
      </c>
      <c r="C60" s="128" t="str">
        <f t="shared" ref="C60" si="438">CONCATENATE(AO60," / ",AO61)</f>
        <v xml:space="preserve"> / </v>
      </c>
      <c r="D60" s="159" t="str">
        <f t="shared" ref="D60" si="439">IF(AA61="",CONCATENATE(AA60,"-",AO60),CONCATENATE(AA61,"-",AO60))</f>
        <v>-</v>
      </c>
      <c r="E60" s="159" t="str">
        <f t="shared" ref="E60" si="440">L60</f>
        <v>Gestión de SST</v>
      </c>
      <c r="F60" s="160">
        <f t="shared" ref="F60" si="441">AL60</f>
        <v>0</v>
      </c>
      <c r="G60" s="160">
        <f t="shared" ref="G60" si="442">AL61</f>
        <v>0</v>
      </c>
      <c r="H60" s="160" t="str">
        <f t="shared" ref="H60" si="443">IF(AA61="","P","R")</f>
        <v>P</v>
      </c>
      <c r="K60" s="454">
        <f>IF(OR(L60="",L60="Reunión de Apertura",L60="Reunión de Cierre"),"*",COUNT(K$17:K59)+1)</f>
        <v>21</v>
      </c>
      <c r="L60" s="380" t="s">
        <v>316</v>
      </c>
      <c r="M60" s="381"/>
      <c r="N60" s="381"/>
      <c r="O60" s="381"/>
      <c r="P60" s="381"/>
      <c r="Q60" s="381"/>
      <c r="R60" s="382"/>
      <c r="S60" s="386" t="str">
        <f>IFERROR(VLOOKUP(L60,'Listas Desplegables'!B:D,3,0),"")</f>
        <v>Laura Maria Olarte Zuñiga</v>
      </c>
      <c r="T60" s="387"/>
      <c r="U60" s="387"/>
      <c r="V60" s="388"/>
      <c r="W60" s="392" t="s">
        <v>37</v>
      </c>
      <c r="X60" s="392"/>
      <c r="Y60" s="392"/>
      <c r="Z60" s="392"/>
      <c r="AA60" s="393"/>
      <c r="AB60" s="394"/>
      <c r="AC60" s="395"/>
      <c r="AD60" s="396"/>
      <c r="AE60" s="397"/>
      <c r="AF60" s="398"/>
      <c r="AG60" s="402" t="str">
        <f t="shared" ref="AG60" si="444">IF(SUM(AL61-AL60)=0,"",AL61-AL60)</f>
        <v/>
      </c>
      <c r="AH60" s="402"/>
      <c r="AI60" s="402"/>
      <c r="AJ60" s="403" t="s">
        <v>31</v>
      </c>
      <c r="AK60" s="404"/>
      <c r="AL60" s="405"/>
      <c r="AM60" s="406"/>
      <c r="AN60" s="407"/>
      <c r="AO60" s="433"/>
      <c r="AP60" s="434"/>
      <c r="AQ60" s="434"/>
      <c r="AR60" s="434"/>
      <c r="AS60" s="434"/>
      <c r="AT60" s="435"/>
      <c r="AU60" s="131"/>
      <c r="AW60" s="161">
        <f t="shared" ref="AW60" si="445">K60</f>
        <v>21</v>
      </c>
      <c r="AX60" s="162">
        <f t="shared" ref="AX60" si="446">IF(AA61="",AA60,AA61)</f>
        <v>0</v>
      </c>
      <c r="AY60" s="163" t="str">
        <f t="shared" ref="AY60" si="447">L60</f>
        <v>Gestión de SST</v>
      </c>
      <c r="AZ60" s="163" t="str">
        <f t="shared" ref="AZ60" si="448">S60</f>
        <v>Laura Maria Olarte Zuñiga</v>
      </c>
      <c r="BA60" s="164">
        <f t="shared" ref="BA60" si="449">AL60</f>
        <v>0</v>
      </c>
      <c r="BB60" s="164">
        <f t="shared" ref="BB60" si="450">AL61</f>
        <v>0</v>
      </c>
      <c r="BC60" s="163">
        <f t="shared" ref="BC60" si="451">AO60</f>
        <v>0</v>
      </c>
      <c r="BD60" s="163" t="str">
        <f t="shared" ref="BD60" si="452">IF(AO61="","",AO61)</f>
        <v/>
      </c>
      <c r="BE60" s="165" t="str">
        <f>IF(AD60="","",AD60)</f>
        <v/>
      </c>
      <c r="BF60" s="166">
        <f>IF(OR(L60='Listas Desplegables'!$B$4,L60='Listas Desplegables'!$B$5),"",WORKDAY(AX60,7,'Listas Desplegables'!$J$11:$J$18))</f>
        <v>10</v>
      </c>
    </row>
    <row r="61" spans="1:58" ht="12" customHeight="1" x14ac:dyDescent="0.35">
      <c r="A61" s="127" t="str">
        <f t="shared" ref="A61" si="453">CONCATENATE("A-",AO61)</f>
        <v>A-</v>
      </c>
      <c r="D61" s="159" t="str">
        <f t="shared" ref="D61" si="454">IF(AA61="",CONCATENATE(AA60,"-",AO61),CONCATENATE(AA61,"-",AO61))</f>
        <v>-</v>
      </c>
      <c r="E61" s="159" t="str">
        <f t="shared" ref="E61" si="455">L60</f>
        <v>Gestión de SST</v>
      </c>
      <c r="F61" s="160">
        <f t="shared" ref="F61" si="456">AL60</f>
        <v>0</v>
      </c>
      <c r="G61" s="160">
        <f t="shared" ref="G61" si="457">AL61</f>
        <v>0</v>
      </c>
      <c r="H61" s="160" t="str">
        <f t="shared" ref="H61" si="458">IF(AA61="","P","R")</f>
        <v>P</v>
      </c>
      <c r="K61" s="455"/>
      <c r="L61" s="383"/>
      <c r="M61" s="384"/>
      <c r="N61" s="384"/>
      <c r="O61" s="384"/>
      <c r="P61" s="384"/>
      <c r="Q61" s="384"/>
      <c r="R61" s="385"/>
      <c r="S61" s="389"/>
      <c r="T61" s="390"/>
      <c r="U61" s="390"/>
      <c r="V61" s="391"/>
      <c r="W61" s="392"/>
      <c r="X61" s="392"/>
      <c r="Y61" s="392"/>
      <c r="Z61" s="392"/>
      <c r="AA61" s="411"/>
      <c r="AB61" s="412"/>
      <c r="AC61" s="413"/>
      <c r="AD61" s="399"/>
      <c r="AE61" s="400"/>
      <c r="AF61" s="401"/>
      <c r="AG61" s="402"/>
      <c r="AH61" s="402"/>
      <c r="AI61" s="402"/>
      <c r="AJ61" s="414" t="s">
        <v>8</v>
      </c>
      <c r="AK61" s="415"/>
      <c r="AL61" s="405"/>
      <c r="AM61" s="406"/>
      <c r="AN61" s="407"/>
      <c r="AO61" s="436"/>
      <c r="AP61" s="437"/>
      <c r="AQ61" s="437"/>
      <c r="AR61" s="437"/>
      <c r="AS61" s="437"/>
      <c r="AT61" s="438"/>
      <c r="AU61" s="131"/>
      <c r="AX61" s="167"/>
      <c r="AY61" s="163"/>
      <c r="AZ61" s="163"/>
      <c r="BA61" s="163"/>
      <c r="BB61" s="163"/>
      <c r="BC61" s="163"/>
      <c r="BD61" s="163"/>
    </row>
    <row r="62" spans="1:58" ht="12" customHeight="1" x14ac:dyDescent="0.35">
      <c r="A62" s="127" t="str">
        <f t="shared" ref="A62" si="459">CONCATENATE("P-",AO62)</f>
        <v>P-</v>
      </c>
      <c r="B62" s="128" t="str">
        <f t="shared" ref="B62" si="460">IF(AA63="",CONCATENATE(AA62,"-",L62),CONCATENATE(AA63,"-",L62))</f>
        <v>-Gestión Financiera</v>
      </c>
      <c r="C62" s="128" t="str">
        <f t="shared" ref="C62" si="461">CONCATENATE(AO62," / ",AO63)</f>
        <v xml:space="preserve"> / </v>
      </c>
      <c r="D62" s="159" t="str">
        <f t="shared" ref="D62" si="462">IF(AA63="",CONCATENATE(AA62,"-",AO62),CONCATENATE(AA63,"-",AO62))</f>
        <v>-</v>
      </c>
      <c r="E62" s="159" t="str">
        <f t="shared" ref="E62" si="463">L62</f>
        <v>Gestión Financiera</v>
      </c>
      <c r="F62" s="160">
        <f t="shared" ref="F62" si="464">AL62</f>
        <v>0</v>
      </c>
      <c r="G62" s="160">
        <f t="shared" ref="G62" si="465">AL63</f>
        <v>0</v>
      </c>
      <c r="H62" s="160" t="str">
        <f t="shared" ref="H62" si="466">IF(AA63="","P","R")</f>
        <v>P</v>
      </c>
      <c r="K62" s="454">
        <f>IF(OR(L62="",L62="Reunión de Apertura",L62="Reunión de Cierre"),"*",COUNT(K$17:K61)+1)</f>
        <v>22</v>
      </c>
      <c r="L62" s="380" t="s">
        <v>317</v>
      </c>
      <c r="M62" s="381"/>
      <c r="N62" s="381"/>
      <c r="O62" s="381"/>
      <c r="P62" s="381"/>
      <c r="Q62" s="381"/>
      <c r="R62" s="382"/>
      <c r="S62" s="386" t="str">
        <f>IFERROR(VLOOKUP(L62,'Listas Desplegables'!B:D,3,0),"")</f>
        <v>Fernando Solis Escobar</v>
      </c>
      <c r="T62" s="387"/>
      <c r="U62" s="387"/>
      <c r="V62" s="388"/>
      <c r="W62" s="392"/>
      <c r="X62" s="392"/>
      <c r="Y62" s="392"/>
      <c r="Z62" s="392"/>
      <c r="AA62" s="393"/>
      <c r="AB62" s="394"/>
      <c r="AC62" s="395"/>
      <c r="AD62" s="396"/>
      <c r="AE62" s="397"/>
      <c r="AF62" s="398"/>
      <c r="AG62" s="402" t="str">
        <f t="shared" ref="AG62" si="467">IF(SUM(AL63-AL62)=0,"",AL63-AL62)</f>
        <v/>
      </c>
      <c r="AH62" s="402"/>
      <c r="AI62" s="402"/>
      <c r="AJ62" s="403" t="s">
        <v>31</v>
      </c>
      <c r="AK62" s="404"/>
      <c r="AL62" s="405"/>
      <c r="AM62" s="406"/>
      <c r="AN62" s="407"/>
      <c r="AO62" s="433"/>
      <c r="AP62" s="434"/>
      <c r="AQ62" s="434"/>
      <c r="AR62" s="434"/>
      <c r="AS62" s="434"/>
      <c r="AT62" s="435"/>
      <c r="AU62" s="131"/>
      <c r="AW62" s="161">
        <f t="shared" ref="AW62" si="468">K62</f>
        <v>22</v>
      </c>
      <c r="AX62" s="162">
        <f t="shared" ref="AX62" si="469">IF(AA63="",AA62,AA63)</f>
        <v>0</v>
      </c>
      <c r="AY62" s="163" t="str">
        <f t="shared" ref="AY62" si="470">L62</f>
        <v>Gestión Financiera</v>
      </c>
      <c r="AZ62" s="163" t="str">
        <f t="shared" ref="AZ62" si="471">S62</f>
        <v>Fernando Solis Escobar</v>
      </c>
      <c r="BA62" s="164">
        <f t="shared" ref="BA62" si="472">AL62</f>
        <v>0</v>
      </c>
      <c r="BB62" s="164">
        <f t="shared" ref="BB62" si="473">AL63</f>
        <v>0</v>
      </c>
      <c r="BC62" s="163">
        <f t="shared" ref="BC62" si="474">AO62</f>
        <v>0</v>
      </c>
      <c r="BD62" s="163" t="str">
        <f t="shared" ref="BD62" si="475">IF(AO63="","",AO63)</f>
        <v/>
      </c>
      <c r="BE62" s="165" t="str">
        <f>IF(AD62="","",AD62)</f>
        <v/>
      </c>
      <c r="BF62" s="166">
        <f>IF(OR(L62='Listas Desplegables'!$B$4,L62='Listas Desplegables'!$B$5),"",WORKDAY(AX62,7,'Listas Desplegables'!$J$11:$J$18))</f>
        <v>10</v>
      </c>
    </row>
    <row r="63" spans="1:58" ht="12" customHeight="1" x14ac:dyDescent="0.35">
      <c r="A63" s="127" t="str">
        <f t="shared" ref="A63" si="476">CONCATENATE("A-",AO63)</f>
        <v>A-</v>
      </c>
      <c r="D63" s="159" t="str">
        <f t="shared" ref="D63" si="477">IF(AA63="",CONCATENATE(AA62,"-",AO63),CONCATENATE(AA63,"-",AO63))</f>
        <v>-</v>
      </c>
      <c r="E63" s="159" t="str">
        <f t="shared" ref="E63" si="478">L62</f>
        <v>Gestión Financiera</v>
      </c>
      <c r="F63" s="160">
        <f t="shared" ref="F63" si="479">AL62</f>
        <v>0</v>
      </c>
      <c r="G63" s="160">
        <f t="shared" ref="G63" si="480">AL63</f>
        <v>0</v>
      </c>
      <c r="H63" s="160" t="str">
        <f t="shared" ref="H63" si="481">IF(AA63="","P","R")</f>
        <v>P</v>
      </c>
      <c r="K63" s="455"/>
      <c r="L63" s="383"/>
      <c r="M63" s="384"/>
      <c r="N63" s="384"/>
      <c r="O63" s="384"/>
      <c r="P63" s="384"/>
      <c r="Q63" s="384"/>
      <c r="R63" s="385"/>
      <c r="S63" s="389"/>
      <c r="T63" s="390"/>
      <c r="U63" s="390"/>
      <c r="V63" s="391"/>
      <c r="W63" s="392"/>
      <c r="X63" s="392"/>
      <c r="Y63" s="392"/>
      <c r="Z63" s="392"/>
      <c r="AA63" s="411"/>
      <c r="AB63" s="412"/>
      <c r="AC63" s="413"/>
      <c r="AD63" s="399"/>
      <c r="AE63" s="400"/>
      <c r="AF63" s="401"/>
      <c r="AG63" s="402"/>
      <c r="AH63" s="402"/>
      <c r="AI63" s="402"/>
      <c r="AJ63" s="414" t="s">
        <v>8</v>
      </c>
      <c r="AK63" s="415"/>
      <c r="AL63" s="405"/>
      <c r="AM63" s="406"/>
      <c r="AN63" s="407"/>
      <c r="AO63" s="436"/>
      <c r="AP63" s="437"/>
      <c r="AQ63" s="437"/>
      <c r="AR63" s="437"/>
      <c r="AS63" s="437"/>
      <c r="AT63" s="438"/>
      <c r="AU63" s="131"/>
      <c r="AX63" s="167"/>
      <c r="AY63" s="163"/>
      <c r="AZ63" s="163"/>
      <c r="BA63" s="163"/>
      <c r="BB63" s="163"/>
      <c r="BC63" s="163"/>
      <c r="BD63" s="163"/>
    </row>
    <row r="64" spans="1:58" ht="12" customHeight="1" x14ac:dyDescent="0.35">
      <c r="A64" s="127" t="str">
        <f t="shared" ref="A64" si="482">CONCATENATE("P-",AO64)</f>
        <v>P-</v>
      </c>
      <c r="B64" s="128" t="str">
        <f t="shared" ref="B64" si="483">IF(AA65="",CONCATENATE(AA64,"-",L64),CONCATENATE(AA65,"-",L64))</f>
        <v xml:space="preserve">-Gestión Administratva </v>
      </c>
      <c r="C64" s="128" t="str">
        <f t="shared" ref="C64" si="484">CONCATENATE(AO64," / ",AO65)</f>
        <v xml:space="preserve"> / </v>
      </c>
      <c r="D64" s="159" t="str">
        <f t="shared" ref="D64" si="485">IF(AA65="",CONCATENATE(AA64,"-",AO64),CONCATENATE(AA65,"-",AO64))</f>
        <v>-</v>
      </c>
      <c r="E64" s="159" t="str">
        <f t="shared" ref="E64" si="486">L64</f>
        <v xml:space="preserve">Gestión Administratva </v>
      </c>
      <c r="F64" s="160">
        <f t="shared" ref="F64" si="487">AL64</f>
        <v>0</v>
      </c>
      <c r="G64" s="160">
        <f t="shared" ref="G64" si="488">AL65</f>
        <v>0</v>
      </c>
      <c r="H64" s="160" t="str">
        <f t="shared" ref="H64" si="489">IF(AA65="","P","R")</f>
        <v>P</v>
      </c>
      <c r="K64" s="454">
        <f>IF(OR(L64="",L64="Reunión de Apertura",L64="Reunión de Cierre"),"*",COUNT(K$17:K63)+1)</f>
        <v>23</v>
      </c>
      <c r="L64" s="380" t="s">
        <v>318</v>
      </c>
      <c r="M64" s="381"/>
      <c r="N64" s="381"/>
      <c r="O64" s="381"/>
      <c r="P64" s="381"/>
      <c r="Q64" s="381"/>
      <c r="R64" s="382"/>
      <c r="S64" s="386" t="str">
        <f>IFERROR(VLOOKUP(L64,'Listas Desplegables'!B:D,3,0),"")</f>
        <v>Lorena Montilla Ortega</v>
      </c>
      <c r="T64" s="387"/>
      <c r="U64" s="387"/>
      <c r="V64" s="388"/>
      <c r="W64" s="392"/>
      <c r="X64" s="392"/>
      <c r="Y64" s="392"/>
      <c r="Z64" s="392"/>
      <c r="AA64" s="393"/>
      <c r="AB64" s="394"/>
      <c r="AC64" s="395"/>
      <c r="AD64" s="396"/>
      <c r="AE64" s="397"/>
      <c r="AF64" s="398"/>
      <c r="AG64" s="402" t="str">
        <f t="shared" ref="AG64" si="490">IF(SUM(AL65-AL64)=0,"",AL65-AL64)</f>
        <v/>
      </c>
      <c r="AH64" s="402"/>
      <c r="AI64" s="402"/>
      <c r="AJ64" s="403" t="s">
        <v>31</v>
      </c>
      <c r="AK64" s="404"/>
      <c r="AL64" s="405"/>
      <c r="AM64" s="406"/>
      <c r="AN64" s="407"/>
      <c r="AO64" s="433"/>
      <c r="AP64" s="434"/>
      <c r="AQ64" s="434"/>
      <c r="AR64" s="434"/>
      <c r="AS64" s="434"/>
      <c r="AT64" s="435"/>
      <c r="AU64" s="131"/>
      <c r="AW64" s="161">
        <f t="shared" ref="AW64" si="491">K64</f>
        <v>23</v>
      </c>
      <c r="AX64" s="162">
        <f t="shared" ref="AX64" si="492">IF(AA65="",AA64,AA65)</f>
        <v>0</v>
      </c>
      <c r="AY64" s="163" t="str">
        <f t="shared" ref="AY64" si="493">L64</f>
        <v xml:space="preserve">Gestión Administratva </v>
      </c>
      <c r="AZ64" s="163" t="str">
        <f t="shared" ref="AZ64" si="494">S64</f>
        <v>Lorena Montilla Ortega</v>
      </c>
      <c r="BA64" s="164">
        <f t="shared" ref="BA64" si="495">AL64</f>
        <v>0</v>
      </c>
      <c r="BB64" s="164">
        <f t="shared" ref="BB64" si="496">AL65</f>
        <v>0</v>
      </c>
      <c r="BC64" s="163">
        <f t="shared" ref="BC64" si="497">AO64</f>
        <v>0</v>
      </c>
      <c r="BD64" s="163" t="str">
        <f t="shared" ref="BD64" si="498">IF(AO65="","",AO65)</f>
        <v/>
      </c>
      <c r="BE64" s="165" t="str">
        <f>IF(AD64="","",AD64)</f>
        <v/>
      </c>
      <c r="BF64" s="166">
        <f>IF(OR(L64='Listas Desplegables'!$B$4,L64='Listas Desplegables'!$B$5),"",WORKDAY(AX64,7,'Listas Desplegables'!$J$11:$J$18))</f>
        <v>10</v>
      </c>
    </row>
    <row r="65" spans="1:58" ht="12" customHeight="1" x14ac:dyDescent="0.35">
      <c r="A65" s="127" t="str">
        <f t="shared" ref="A65" si="499">CONCATENATE("A-",AO65)</f>
        <v>A-</v>
      </c>
      <c r="D65" s="159" t="str">
        <f t="shared" ref="D65" si="500">IF(AA65="",CONCATENATE(AA64,"-",AO65),CONCATENATE(AA65,"-",AO65))</f>
        <v>-</v>
      </c>
      <c r="E65" s="159" t="str">
        <f t="shared" ref="E65" si="501">L64</f>
        <v xml:space="preserve">Gestión Administratva </v>
      </c>
      <c r="F65" s="160">
        <f t="shared" ref="F65" si="502">AL64</f>
        <v>0</v>
      </c>
      <c r="G65" s="160">
        <f t="shared" ref="G65" si="503">AL65</f>
        <v>0</v>
      </c>
      <c r="H65" s="160" t="str">
        <f t="shared" ref="H65" si="504">IF(AA65="","P","R")</f>
        <v>P</v>
      </c>
      <c r="K65" s="455"/>
      <c r="L65" s="383"/>
      <c r="M65" s="384"/>
      <c r="N65" s="384"/>
      <c r="O65" s="384"/>
      <c r="P65" s="384"/>
      <c r="Q65" s="384"/>
      <c r="R65" s="385"/>
      <c r="S65" s="389"/>
      <c r="T65" s="390"/>
      <c r="U65" s="390"/>
      <c r="V65" s="391"/>
      <c r="W65" s="392"/>
      <c r="X65" s="392"/>
      <c r="Y65" s="392"/>
      <c r="Z65" s="392"/>
      <c r="AA65" s="411"/>
      <c r="AB65" s="412"/>
      <c r="AC65" s="413"/>
      <c r="AD65" s="399"/>
      <c r="AE65" s="400"/>
      <c r="AF65" s="401"/>
      <c r="AG65" s="402"/>
      <c r="AH65" s="402"/>
      <c r="AI65" s="402"/>
      <c r="AJ65" s="414" t="s">
        <v>8</v>
      </c>
      <c r="AK65" s="415"/>
      <c r="AL65" s="405"/>
      <c r="AM65" s="406"/>
      <c r="AN65" s="407"/>
      <c r="AO65" s="436"/>
      <c r="AP65" s="437"/>
      <c r="AQ65" s="437"/>
      <c r="AR65" s="437"/>
      <c r="AS65" s="437"/>
      <c r="AT65" s="438"/>
      <c r="AU65" s="131"/>
      <c r="AX65" s="167"/>
      <c r="AY65" s="163"/>
      <c r="AZ65" s="163"/>
      <c r="BA65" s="163"/>
      <c r="BB65" s="163"/>
      <c r="BC65" s="163"/>
      <c r="BD65" s="163"/>
    </row>
    <row r="66" spans="1:58" ht="12" customHeight="1" x14ac:dyDescent="0.35">
      <c r="A66" s="127" t="str">
        <f t="shared" ref="A66" si="505">CONCATENATE("P-",AO66)</f>
        <v>P-</v>
      </c>
      <c r="B66" s="128" t="str">
        <f t="shared" ref="B66" si="506">IF(AA67="",CONCATENATE(AA66,"-",L66),CONCATENATE(AA67,"-",L66))</f>
        <v xml:space="preserve">-Gestión Contable y Tesoreria </v>
      </c>
      <c r="C66" s="128" t="str">
        <f t="shared" ref="C66" si="507">CONCATENATE(AO66," / ",AO67)</f>
        <v xml:space="preserve"> / </v>
      </c>
      <c r="D66" s="159" t="str">
        <f t="shared" ref="D66" si="508">IF(AA67="",CONCATENATE(AA66,"-",AO66),CONCATENATE(AA67,"-",AO66))</f>
        <v>-</v>
      </c>
      <c r="E66" s="159" t="str">
        <f t="shared" ref="E66" si="509">L66</f>
        <v xml:space="preserve">Gestión Contable y Tesoreria </v>
      </c>
      <c r="F66" s="160">
        <f t="shared" ref="F66" si="510">AL66</f>
        <v>0</v>
      </c>
      <c r="G66" s="160">
        <f t="shared" ref="G66" si="511">AL67</f>
        <v>0</v>
      </c>
      <c r="H66" s="160" t="str">
        <f t="shared" ref="H66" si="512">IF(AA67="","P","R")</f>
        <v>P</v>
      </c>
      <c r="K66" s="454">
        <f>IF(OR(L66="",L66="Reunión de Apertura",L66="Reunión de Cierre"),"*",COUNT(K$17:K65)+1)</f>
        <v>24</v>
      </c>
      <c r="L66" s="380" t="s">
        <v>319</v>
      </c>
      <c r="M66" s="381"/>
      <c r="N66" s="381"/>
      <c r="O66" s="381"/>
      <c r="P66" s="381"/>
      <c r="Q66" s="381"/>
      <c r="R66" s="382"/>
      <c r="S66" s="386" t="str">
        <f>IFERROR(VLOOKUP(L66,'Listas Desplegables'!B:D,3,0),"")</f>
        <v>Julio Cesar Garcia</v>
      </c>
      <c r="T66" s="387"/>
      <c r="U66" s="387"/>
      <c r="V66" s="388"/>
      <c r="W66" s="392"/>
      <c r="X66" s="392"/>
      <c r="Y66" s="392"/>
      <c r="Z66" s="392"/>
      <c r="AA66" s="393"/>
      <c r="AB66" s="394"/>
      <c r="AC66" s="395"/>
      <c r="AD66" s="396"/>
      <c r="AE66" s="397"/>
      <c r="AF66" s="398"/>
      <c r="AG66" s="402" t="str">
        <f t="shared" ref="AG66" si="513">IF(SUM(AL67-AL66)=0,"",AL67-AL66)</f>
        <v/>
      </c>
      <c r="AH66" s="402"/>
      <c r="AI66" s="402"/>
      <c r="AJ66" s="403" t="s">
        <v>31</v>
      </c>
      <c r="AK66" s="404"/>
      <c r="AL66" s="405"/>
      <c r="AM66" s="406"/>
      <c r="AN66" s="407"/>
      <c r="AO66" s="433"/>
      <c r="AP66" s="434"/>
      <c r="AQ66" s="434"/>
      <c r="AR66" s="434"/>
      <c r="AS66" s="434"/>
      <c r="AT66" s="435"/>
      <c r="AU66" s="131"/>
      <c r="AW66" s="161">
        <f t="shared" ref="AW66" si="514">K66</f>
        <v>24</v>
      </c>
      <c r="AX66" s="162">
        <f t="shared" ref="AX66" si="515">IF(AA67="",AA66,AA67)</f>
        <v>0</v>
      </c>
      <c r="AY66" s="163" t="str">
        <f t="shared" ref="AY66" si="516">L66</f>
        <v xml:space="preserve">Gestión Contable y Tesoreria </v>
      </c>
      <c r="AZ66" s="163" t="str">
        <f t="shared" ref="AZ66" si="517">S66</f>
        <v>Julio Cesar Garcia</v>
      </c>
      <c r="BA66" s="164">
        <f t="shared" ref="BA66" si="518">AL66</f>
        <v>0</v>
      </c>
      <c r="BB66" s="164">
        <f t="shared" ref="BB66" si="519">AL67</f>
        <v>0</v>
      </c>
      <c r="BC66" s="163">
        <f t="shared" ref="BC66" si="520">AO66</f>
        <v>0</v>
      </c>
      <c r="BD66" s="163" t="str">
        <f t="shared" ref="BD66" si="521">IF(AO67="","",AO67)</f>
        <v/>
      </c>
      <c r="BE66" s="165" t="str">
        <f>IF(AD66="","",AD66)</f>
        <v/>
      </c>
      <c r="BF66" s="166">
        <f>IF(OR(L66='Listas Desplegables'!$B$4,L66='Listas Desplegables'!$B$5),"",WORKDAY(AX66,7,'Listas Desplegables'!$J$11:$J$18))</f>
        <v>10</v>
      </c>
    </row>
    <row r="67" spans="1:58" ht="12" customHeight="1" x14ac:dyDescent="0.35">
      <c r="A67" s="127" t="str">
        <f t="shared" ref="A67" si="522">CONCATENATE("A-",AO67)</f>
        <v>A-</v>
      </c>
      <c r="D67" s="159" t="str">
        <f t="shared" ref="D67" si="523">IF(AA67="",CONCATENATE(AA66,"-",AO67),CONCATENATE(AA67,"-",AO67))</f>
        <v>-</v>
      </c>
      <c r="E67" s="159" t="str">
        <f t="shared" ref="E67" si="524">L66</f>
        <v xml:space="preserve">Gestión Contable y Tesoreria </v>
      </c>
      <c r="F67" s="160">
        <f t="shared" ref="F67" si="525">AL66</f>
        <v>0</v>
      </c>
      <c r="G67" s="160">
        <f t="shared" ref="G67" si="526">AL67</f>
        <v>0</v>
      </c>
      <c r="H67" s="160" t="str">
        <f t="shared" ref="H67" si="527">IF(AA67="","P","R")</f>
        <v>P</v>
      </c>
      <c r="K67" s="455"/>
      <c r="L67" s="383"/>
      <c r="M67" s="384"/>
      <c r="N67" s="384"/>
      <c r="O67" s="384"/>
      <c r="P67" s="384"/>
      <c r="Q67" s="384"/>
      <c r="R67" s="385"/>
      <c r="S67" s="389"/>
      <c r="T67" s="390"/>
      <c r="U67" s="390"/>
      <c r="V67" s="391"/>
      <c r="W67" s="392"/>
      <c r="X67" s="392"/>
      <c r="Y67" s="392"/>
      <c r="Z67" s="392"/>
      <c r="AA67" s="411"/>
      <c r="AB67" s="412"/>
      <c r="AC67" s="413"/>
      <c r="AD67" s="399"/>
      <c r="AE67" s="400"/>
      <c r="AF67" s="401"/>
      <c r="AG67" s="402"/>
      <c r="AH67" s="402"/>
      <c r="AI67" s="402"/>
      <c r="AJ67" s="414" t="s">
        <v>8</v>
      </c>
      <c r="AK67" s="415"/>
      <c r="AL67" s="405"/>
      <c r="AM67" s="406"/>
      <c r="AN67" s="407"/>
      <c r="AO67" s="436"/>
      <c r="AP67" s="437"/>
      <c r="AQ67" s="437"/>
      <c r="AR67" s="437"/>
      <c r="AS67" s="437"/>
      <c r="AT67" s="438"/>
      <c r="AU67" s="131"/>
      <c r="AX67" s="167"/>
      <c r="AY67" s="163"/>
      <c r="AZ67" s="163"/>
      <c r="BA67" s="163"/>
      <c r="BB67" s="163"/>
      <c r="BC67" s="163"/>
      <c r="BD67" s="163"/>
    </row>
    <row r="68" spans="1:58" ht="12" customHeight="1" x14ac:dyDescent="0.35">
      <c r="A68" s="127" t="str">
        <f t="shared" ref="A68" si="528">CONCATENATE("P-",AO68)</f>
        <v>P-</v>
      </c>
      <c r="B68" s="128" t="str">
        <f t="shared" ref="B68" si="529">IF(AA69="",CONCATENATE(AA68,"-",L68),CONCATENATE(AA69,"-",L68))</f>
        <v xml:space="preserve">-Gestión Legal </v>
      </c>
      <c r="C68" s="128" t="str">
        <f t="shared" ref="C68" si="530">CONCATENATE(AO68," / ",AO69)</f>
        <v xml:space="preserve"> / </v>
      </c>
      <c r="D68" s="159" t="str">
        <f t="shared" ref="D68" si="531">IF(AA69="",CONCATENATE(AA68,"-",AO68),CONCATENATE(AA69,"-",AO68))</f>
        <v>-</v>
      </c>
      <c r="E68" s="159" t="str">
        <f t="shared" ref="E68" si="532">L68</f>
        <v xml:space="preserve">Gestión Legal </v>
      </c>
      <c r="F68" s="160">
        <f t="shared" ref="F68" si="533">AL68</f>
        <v>0</v>
      </c>
      <c r="G68" s="160">
        <f t="shared" ref="G68" si="534">AL69</f>
        <v>0</v>
      </c>
      <c r="H68" s="160" t="str">
        <f t="shared" ref="H68" si="535">IF(AA69="","P","R")</f>
        <v>P</v>
      </c>
      <c r="K68" s="454">
        <f>IF(OR(L68="",L68="Reunión de Apertura",L68="Reunión de Cierre"),"*",COUNT(K$17:K67)+1)</f>
        <v>25</v>
      </c>
      <c r="L68" s="380" t="s">
        <v>330</v>
      </c>
      <c r="M68" s="381"/>
      <c r="N68" s="381"/>
      <c r="O68" s="381"/>
      <c r="P68" s="381"/>
      <c r="Q68" s="381"/>
      <c r="R68" s="382"/>
      <c r="S68" s="386" t="str">
        <f>IFERROR(VLOOKUP(L68,'Listas Desplegables'!B:D,3,0),"")</f>
        <v>Luz Angela Ordoñez</v>
      </c>
      <c r="T68" s="387"/>
      <c r="U68" s="387"/>
      <c r="V68" s="388"/>
      <c r="W68" s="392" t="s">
        <v>30</v>
      </c>
      <c r="X68" s="392"/>
      <c r="Y68" s="392"/>
      <c r="Z68" s="392"/>
      <c r="AA68" s="393"/>
      <c r="AB68" s="394"/>
      <c r="AC68" s="395"/>
      <c r="AD68" s="396"/>
      <c r="AE68" s="397"/>
      <c r="AF68" s="398"/>
      <c r="AG68" s="402" t="str">
        <f t="shared" ref="AG68" si="536">IF(SUM(AL69-AL68)=0,"",AL69-AL68)</f>
        <v/>
      </c>
      <c r="AH68" s="402"/>
      <c r="AI68" s="402"/>
      <c r="AJ68" s="403" t="s">
        <v>31</v>
      </c>
      <c r="AK68" s="404"/>
      <c r="AL68" s="405"/>
      <c r="AM68" s="406"/>
      <c r="AN68" s="407"/>
      <c r="AO68" s="433"/>
      <c r="AP68" s="434"/>
      <c r="AQ68" s="434"/>
      <c r="AR68" s="434"/>
      <c r="AS68" s="434"/>
      <c r="AT68" s="435"/>
      <c r="AU68" s="131"/>
      <c r="AW68" s="161">
        <f t="shared" ref="AW68" si="537">K68</f>
        <v>25</v>
      </c>
      <c r="AX68" s="162">
        <f t="shared" ref="AX68" si="538">IF(AA69="",AA68,AA69)</f>
        <v>0</v>
      </c>
      <c r="AY68" s="163" t="str">
        <f t="shared" ref="AY68" si="539">L68</f>
        <v xml:space="preserve">Gestión Legal </v>
      </c>
      <c r="AZ68" s="163" t="str">
        <f t="shared" ref="AZ68" si="540">S68</f>
        <v>Luz Angela Ordoñez</v>
      </c>
      <c r="BA68" s="164">
        <f t="shared" ref="BA68" si="541">AL68</f>
        <v>0</v>
      </c>
      <c r="BB68" s="164">
        <f t="shared" ref="BB68" si="542">AL69</f>
        <v>0</v>
      </c>
      <c r="BC68" s="163">
        <f t="shared" ref="BC68" si="543">AO68</f>
        <v>0</v>
      </c>
      <c r="BD68" s="163" t="str">
        <f t="shared" ref="BD68" si="544">IF(AO69="","",AO69)</f>
        <v/>
      </c>
      <c r="BE68" s="165" t="str">
        <f>IF(AD68="","",AD68)</f>
        <v/>
      </c>
      <c r="BF68" s="166">
        <f>IF(OR(L68='Listas Desplegables'!$B$4,L68='Listas Desplegables'!$B$5),"",WORKDAY(AX68,7,'Listas Desplegables'!$J$11:$J$18))</f>
        <v>10</v>
      </c>
    </row>
    <row r="69" spans="1:58" ht="12" customHeight="1" x14ac:dyDescent="0.35">
      <c r="A69" s="127" t="str">
        <f t="shared" ref="A69" si="545">CONCATENATE("A-",AO69)</f>
        <v>A-</v>
      </c>
      <c r="D69" s="159" t="str">
        <f t="shared" ref="D69" si="546">IF(AA69="",CONCATENATE(AA68,"-",AO69),CONCATENATE(AA69,"-",AO69))</f>
        <v>-</v>
      </c>
      <c r="E69" s="159" t="str">
        <f t="shared" ref="E69" si="547">L68</f>
        <v xml:space="preserve">Gestión Legal </v>
      </c>
      <c r="F69" s="160">
        <f t="shared" ref="F69" si="548">AL68</f>
        <v>0</v>
      </c>
      <c r="G69" s="160">
        <f t="shared" ref="G69" si="549">AL69</f>
        <v>0</v>
      </c>
      <c r="H69" s="160" t="str">
        <f t="shared" ref="H69" si="550">IF(AA69="","P","R")</f>
        <v>P</v>
      </c>
      <c r="K69" s="455"/>
      <c r="L69" s="383"/>
      <c r="M69" s="384"/>
      <c r="N69" s="384"/>
      <c r="O69" s="384"/>
      <c r="P69" s="384"/>
      <c r="Q69" s="384"/>
      <c r="R69" s="385"/>
      <c r="S69" s="389"/>
      <c r="T69" s="390"/>
      <c r="U69" s="390"/>
      <c r="V69" s="391"/>
      <c r="W69" s="392"/>
      <c r="X69" s="392"/>
      <c r="Y69" s="392"/>
      <c r="Z69" s="392"/>
      <c r="AA69" s="411"/>
      <c r="AB69" s="412"/>
      <c r="AC69" s="413"/>
      <c r="AD69" s="399"/>
      <c r="AE69" s="400"/>
      <c r="AF69" s="401"/>
      <c r="AG69" s="402"/>
      <c r="AH69" s="402"/>
      <c r="AI69" s="402"/>
      <c r="AJ69" s="414" t="s">
        <v>8</v>
      </c>
      <c r="AK69" s="415"/>
      <c r="AL69" s="405"/>
      <c r="AM69" s="406"/>
      <c r="AN69" s="407"/>
      <c r="AO69" s="436"/>
      <c r="AP69" s="437"/>
      <c r="AQ69" s="437"/>
      <c r="AR69" s="437"/>
      <c r="AS69" s="437"/>
      <c r="AT69" s="438"/>
      <c r="AU69" s="131"/>
      <c r="AX69" s="167"/>
      <c r="AY69" s="163"/>
      <c r="AZ69" s="163"/>
      <c r="BA69" s="163"/>
      <c r="BB69" s="163"/>
      <c r="BC69" s="163"/>
      <c r="BD69" s="163"/>
    </row>
    <row r="70" spans="1:58" ht="12" customHeight="1" x14ac:dyDescent="0.35">
      <c r="A70" s="127" t="str">
        <f t="shared" ref="A70" si="551">CONCATENATE("P-",AO70)</f>
        <v>P-</v>
      </c>
      <c r="B70" s="128" t="str">
        <f t="shared" ref="B70" si="552">IF(AA71="",CONCATENATE(AA70,"-",L70),CONCATENATE(AA71,"-",L70))</f>
        <v xml:space="preserve">-Gestión Documental </v>
      </c>
      <c r="C70" s="128" t="str">
        <f t="shared" ref="C70" si="553">CONCATENATE(AO70," / ",AO71)</f>
        <v xml:space="preserve"> / </v>
      </c>
      <c r="D70" s="159" t="str">
        <f t="shared" ref="D70" si="554">IF(AA71="",CONCATENATE(AA70,"-",AO70),CONCATENATE(AA71,"-",AO70))</f>
        <v>-</v>
      </c>
      <c r="E70" s="159" t="str">
        <f t="shared" ref="E70" si="555">L70</f>
        <v xml:space="preserve">Gestión Documental </v>
      </c>
      <c r="F70" s="160">
        <f t="shared" ref="F70" si="556">AL70</f>
        <v>0</v>
      </c>
      <c r="G70" s="160">
        <f t="shared" ref="G70" si="557">AL71</f>
        <v>0</v>
      </c>
      <c r="H70" s="160" t="str">
        <f t="shared" ref="H70" si="558">IF(AA71="","P","R")</f>
        <v>P</v>
      </c>
      <c r="K70" s="454">
        <f>IF(OR(L70="",L70="Reunión de Apertura",L70="Reunión de Cierre"),"*",COUNT(K$17:K69)+1)</f>
        <v>26</v>
      </c>
      <c r="L70" s="380" t="s">
        <v>327</v>
      </c>
      <c r="M70" s="381"/>
      <c r="N70" s="381"/>
      <c r="O70" s="381"/>
      <c r="P70" s="381"/>
      <c r="Q70" s="381"/>
      <c r="R70" s="382"/>
      <c r="S70" s="386" t="str">
        <f>IFERROR(VLOOKUP(L70,'Listas Desplegables'!B:D,3,0),"")</f>
        <v xml:space="preserve">Victor Daniel Collazos </v>
      </c>
      <c r="T70" s="387"/>
      <c r="U70" s="387"/>
      <c r="V70" s="388"/>
      <c r="W70" s="392" t="s">
        <v>37</v>
      </c>
      <c r="X70" s="392"/>
      <c r="Y70" s="392"/>
      <c r="Z70" s="392"/>
      <c r="AA70" s="393"/>
      <c r="AB70" s="394"/>
      <c r="AC70" s="395"/>
      <c r="AD70" s="396"/>
      <c r="AE70" s="397"/>
      <c r="AF70" s="398"/>
      <c r="AG70" s="402" t="str">
        <f t="shared" ref="AG70" si="559">IF(SUM(AL71-AL70)=0,"",AL71-AL70)</f>
        <v/>
      </c>
      <c r="AH70" s="402"/>
      <c r="AI70" s="402"/>
      <c r="AJ70" s="403" t="s">
        <v>31</v>
      </c>
      <c r="AK70" s="404"/>
      <c r="AL70" s="405"/>
      <c r="AM70" s="406"/>
      <c r="AN70" s="407"/>
      <c r="AO70" s="433"/>
      <c r="AP70" s="434"/>
      <c r="AQ70" s="434"/>
      <c r="AR70" s="434"/>
      <c r="AS70" s="434"/>
      <c r="AT70" s="435"/>
      <c r="AU70" s="131"/>
      <c r="AW70" s="161">
        <f t="shared" ref="AW70" si="560">K70</f>
        <v>26</v>
      </c>
      <c r="AX70" s="162">
        <f t="shared" ref="AX70" si="561">IF(AA71="",AA70,AA71)</f>
        <v>0</v>
      </c>
      <c r="AY70" s="163" t="str">
        <f t="shared" ref="AY70" si="562">L70</f>
        <v xml:space="preserve">Gestión Documental </v>
      </c>
      <c r="AZ70" s="163" t="str">
        <f t="shared" ref="AZ70" si="563">S70</f>
        <v xml:space="preserve">Victor Daniel Collazos </v>
      </c>
      <c r="BA70" s="164">
        <f t="shared" ref="BA70" si="564">AL70</f>
        <v>0</v>
      </c>
      <c r="BB70" s="164">
        <f t="shared" ref="BB70" si="565">AL71</f>
        <v>0</v>
      </c>
      <c r="BC70" s="163">
        <f t="shared" ref="BC70" si="566">AO70</f>
        <v>0</v>
      </c>
      <c r="BD70" s="163" t="str">
        <f t="shared" ref="BD70" si="567">IF(AO71="","",AO71)</f>
        <v/>
      </c>
      <c r="BE70" s="165" t="str">
        <f>IF(AD70="","",AD70)</f>
        <v/>
      </c>
      <c r="BF70" s="166">
        <f>IF(OR(L70='Listas Desplegables'!$B$4,L70='Listas Desplegables'!$B$5),"",WORKDAY(AX70,7,'Listas Desplegables'!$J$11:$J$18))</f>
        <v>10</v>
      </c>
    </row>
    <row r="71" spans="1:58" ht="12" customHeight="1" x14ac:dyDescent="0.35">
      <c r="A71" s="127" t="str">
        <f t="shared" ref="A71" si="568">CONCATENATE("A-",AO71)</f>
        <v>A-</v>
      </c>
      <c r="D71" s="159" t="str">
        <f t="shared" ref="D71" si="569">IF(AA71="",CONCATENATE(AA70,"-",AO71),CONCATENATE(AA71,"-",AO71))</f>
        <v>-</v>
      </c>
      <c r="E71" s="159" t="str">
        <f t="shared" ref="E71" si="570">L70</f>
        <v xml:space="preserve">Gestión Documental </v>
      </c>
      <c r="F71" s="160">
        <f t="shared" ref="F71" si="571">AL70</f>
        <v>0</v>
      </c>
      <c r="G71" s="160">
        <f t="shared" ref="G71" si="572">AL71</f>
        <v>0</v>
      </c>
      <c r="H71" s="160" t="str">
        <f t="shared" ref="H71" si="573">IF(AA71="","P","R")</f>
        <v>P</v>
      </c>
      <c r="K71" s="455"/>
      <c r="L71" s="383"/>
      <c r="M71" s="384"/>
      <c r="N71" s="384"/>
      <c r="O71" s="384"/>
      <c r="P71" s="384"/>
      <c r="Q71" s="384"/>
      <c r="R71" s="385"/>
      <c r="S71" s="389"/>
      <c r="T71" s="390"/>
      <c r="U71" s="390"/>
      <c r="V71" s="391"/>
      <c r="W71" s="392"/>
      <c r="X71" s="392"/>
      <c r="Y71" s="392"/>
      <c r="Z71" s="392"/>
      <c r="AA71" s="411"/>
      <c r="AB71" s="412"/>
      <c r="AC71" s="413"/>
      <c r="AD71" s="399"/>
      <c r="AE71" s="400"/>
      <c r="AF71" s="401"/>
      <c r="AG71" s="402"/>
      <c r="AH71" s="402"/>
      <c r="AI71" s="402"/>
      <c r="AJ71" s="414" t="s">
        <v>8</v>
      </c>
      <c r="AK71" s="415"/>
      <c r="AL71" s="405"/>
      <c r="AM71" s="406"/>
      <c r="AN71" s="407"/>
      <c r="AO71" s="436"/>
      <c r="AP71" s="437"/>
      <c r="AQ71" s="437"/>
      <c r="AR71" s="437"/>
      <c r="AS71" s="437"/>
      <c r="AT71" s="438"/>
      <c r="AU71" s="131"/>
      <c r="AX71" s="167"/>
      <c r="AY71" s="163"/>
      <c r="AZ71" s="163"/>
      <c r="BA71" s="163"/>
      <c r="BB71" s="163"/>
      <c r="BC71" s="163"/>
      <c r="BD71" s="163"/>
    </row>
    <row r="72" spans="1:58" ht="12" customHeight="1" x14ac:dyDescent="0.35">
      <c r="A72" s="127" t="str">
        <f t="shared" ref="A72" si="574">CONCATENATE("P-",AO72)</f>
        <v>P-</v>
      </c>
      <c r="B72" s="128" t="str">
        <f t="shared" ref="B72" si="575">IF(AA73="",CONCATENATE(AA72,"-",L72),CONCATENATE(AA73,"-",L72))</f>
        <v>-Recursos Educativos</v>
      </c>
      <c r="C72" s="128" t="str">
        <f t="shared" ref="C72" si="576">CONCATENATE(AO72," / ",AO73)</f>
        <v xml:space="preserve"> / </v>
      </c>
      <c r="D72" s="159" t="str">
        <f t="shared" ref="D72" si="577">IF(AA73="",CONCATENATE(AA72,"-",AO72),CONCATENATE(AA73,"-",AO72))</f>
        <v>-</v>
      </c>
      <c r="E72" s="159" t="str">
        <f t="shared" ref="E72" si="578">L72</f>
        <v>Recursos Educativos</v>
      </c>
      <c r="F72" s="160">
        <f t="shared" ref="F72" si="579">AL72</f>
        <v>0</v>
      </c>
      <c r="G72" s="160">
        <f t="shared" ref="G72" si="580">AL73</f>
        <v>0</v>
      </c>
      <c r="H72" s="160" t="str">
        <f t="shared" ref="H72" si="581">IF(AA73="","P","R")</f>
        <v>P</v>
      </c>
      <c r="K72" s="454">
        <f>IF(OR(L72="",L72="Reunión de Apertura",L72="Reunión de Cierre"),"*",COUNT(K$17:K71)+1)</f>
        <v>27</v>
      </c>
      <c r="L72" s="380" t="s">
        <v>66</v>
      </c>
      <c r="M72" s="381"/>
      <c r="N72" s="381"/>
      <c r="O72" s="381"/>
      <c r="P72" s="381"/>
      <c r="Q72" s="381"/>
      <c r="R72" s="382"/>
      <c r="S72" s="386" t="str">
        <f>IFERROR(VLOOKUP(L72,'Listas Desplegables'!B:D,3,0),"")</f>
        <v>Martha Balcazar / Arnol Arias</v>
      </c>
      <c r="T72" s="387"/>
      <c r="U72" s="387"/>
      <c r="V72" s="388"/>
      <c r="W72" s="392" t="s">
        <v>30</v>
      </c>
      <c r="X72" s="392"/>
      <c r="Y72" s="392"/>
      <c r="Z72" s="392"/>
      <c r="AA72" s="393"/>
      <c r="AB72" s="394"/>
      <c r="AC72" s="395"/>
      <c r="AD72" s="396"/>
      <c r="AE72" s="397"/>
      <c r="AF72" s="398"/>
      <c r="AG72" s="402" t="str">
        <f t="shared" ref="AG72" si="582">IF(SUM(AL73-AL72)=0,"",AL73-AL72)</f>
        <v/>
      </c>
      <c r="AH72" s="402"/>
      <c r="AI72" s="402"/>
      <c r="AJ72" s="403" t="s">
        <v>31</v>
      </c>
      <c r="AK72" s="404"/>
      <c r="AL72" s="405"/>
      <c r="AM72" s="406"/>
      <c r="AN72" s="407"/>
      <c r="AO72" s="433"/>
      <c r="AP72" s="434"/>
      <c r="AQ72" s="434"/>
      <c r="AR72" s="434"/>
      <c r="AS72" s="434"/>
      <c r="AT72" s="435"/>
      <c r="AU72" s="131"/>
      <c r="AW72" s="161">
        <f t="shared" ref="AW72" si="583">K72</f>
        <v>27</v>
      </c>
      <c r="AX72" s="162">
        <f t="shared" ref="AX72" si="584">IF(AA73="",AA72,AA73)</f>
        <v>0</v>
      </c>
      <c r="AY72" s="163" t="str">
        <f t="shared" ref="AY72" si="585">L72</f>
        <v>Recursos Educativos</v>
      </c>
      <c r="AZ72" s="163" t="str">
        <f t="shared" ref="AZ72" si="586">S72</f>
        <v>Martha Balcazar / Arnol Arias</v>
      </c>
      <c r="BA72" s="164">
        <f t="shared" ref="BA72" si="587">AL72</f>
        <v>0</v>
      </c>
      <c r="BB72" s="164">
        <f t="shared" ref="BB72" si="588">AL73</f>
        <v>0</v>
      </c>
      <c r="BC72" s="163">
        <f t="shared" ref="BC72" si="589">AO72</f>
        <v>0</v>
      </c>
      <c r="BD72" s="163" t="str">
        <f t="shared" ref="BD72" si="590">IF(AO73="","",AO73)</f>
        <v/>
      </c>
      <c r="BE72" s="165" t="str">
        <f>IF(AD72="","",AD72)</f>
        <v/>
      </c>
      <c r="BF72" s="166">
        <f>IF(OR(L72='Listas Desplegables'!$B$4,L72='Listas Desplegables'!$B$5),"",WORKDAY(AX72,7,'Listas Desplegables'!$J$11:$J$18))</f>
        <v>10</v>
      </c>
    </row>
    <row r="73" spans="1:58" ht="12" customHeight="1" x14ac:dyDescent="0.35">
      <c r="A73" s="127" t="str">
        <f t="shared" ref="A73" si="591">CONCATENATE("A-",AO73)</f>
        <v>A-</v>
      </c>
      <c r="D73" s="159" t="str">
        <f t="shared" ref="D73" si="592">IF(AA73="",CONCATENATE(AA72,"-",AO73),CONCATENATE(AA73,"-",AO73))</f>
        <v>-</v>
      </c>
      <c r="E73" s="159" t="str">
        <f t="shared" ref="E73" si="593">L72</f>
        <v>Recursos Educativos</v>
      </c>
      <c r="F73" s="160">
        <f t="shared" ref="F73" si="594">AL72</f>
        <v>0</v>
      </c>
      <c r="G73" s="160">
        <f t="shared" ref="G73" si="595">AL73</f>
        <v>0</v>
      </c>
      <c r="H73" s="160" t="str">
        <f t="shared" ref="H73" si="596">IF(AA73="","P","R")</f>
        <v>P</v>
      </c>
      <c r="K73" s="455"/>
      <c r="L73" s="383"/>
      <c r="M73" s="384"/>
      <c r="N73" s="384"/>
      <c r="O73" s="384"/>
      <c r="P73" s="384"/>
      <c r="Q73" s="384"/>
      <c r="R73" s="385"/>
      <c r="S73" s="389"/>
      <c r="T73" s="390"/>
      <c r="U73" s="390"/>
      <c r="V73" s="391"/>
      <c r="W73" s="392"/>
      <c r="X73" s="392"/>
      <c r="Y73" s="392"/>
      <c r="Z73" s="392"/>
      <c r="AA73" s="411"/>
      <c r="AB73" s="412"/>
      <c r="AC73" s="413"/>
      <c r="AD73" s="399"/>
      <c r="AE73" s="400"/>
      <c r="AF73" s="401"/>
      <c r="AG73" s="402"/>
      <c r="AH73" s="402"/>
      <c r="AI73" s="402"/>
      <c r="AJ73" s="414" t="s">
        <v>8</v>
      </c>
      <c r="AK73" s="415"/>
      <c r="AL73" s="405"/>
      <c r="AM73" s="406"/>
      <c r="AN73" s="407"/>
      <c r="AO73" s="436"/>
      <c r="AP73" s="437"/>
      <c r="AQ73" s="437"/>
      <c r="AR73" s="437"/>
      <c r="AS73" s="437"/>
      <c r="AT73" s="438"/>
      <c r="AU73" s="131"/>
      <c r="AX73" s="167"/>
      <c r="AY73" s="163"/>
      <c r="AZ73" s="163"/>
      <c r="BA73" s="163"/>
      <c r="BB73" s="163"/>
      <c r="BC73" s="163"/>
      <c r="BD73" s="163"/>
    </row>
    <row r="74" spans="1:58" ht="12" customHeight="1" x14ac:dyDescent="0.35">
      <c r="A74" s="127" t="str">
        <f t="shared" ref="A74" si="597">CONCATENATE("P-",AO74)</f>
        <v>P-</v>
      </c>
      <c r="B74" s="128" t="str">
        <f t="shared" ref="B74" si="598">IF(AA75="",CONCATENATE(AA74,"-",L74),CONCATENATE(AA75,"-",L74))</f>
        <v>-Recursos tecnológicos</v>
      </c>
      <c r="C74" s="128" t="str">
        <f t="shared" ref="C74" si="599">CONCATENATE(AO74," / ",AO75)</f>
        <v xml:space="preserve"> / </v>
      </c>
      <c r="D74" s="159" t="str">
        <f t="shared" ref="D74" si="600">IF(AA75="",CONCATENATE(AA74,"-",AO74),CONCATENATE(AA75,"-",AO74))</f>
        <v>-</v>
      </c>
      <c r="E74" s="159" t="str">
        <f t="shared" ref="E74" si="601">L74</f>
        <v>Recursos tecnológicos</v>
      </c>
      <c r="F74" s="160">
        <f t="shared" ref="F74" si="602">AL74</f>
        <v>0</v>
      </c>
      <c r="G74" s="160">
        <f t="shared" ref="G74" si="603">AL75</f>
        <v>0</v>
      </c>
      <c r="H74" s="160" t="str">
        <f t="shared" ref="H74" si="604">IF(AA75="","P","R")</f>
        <v>P</v>
      </c>
      <c r="K74" s="454">
        <f>IF(OR(L74="",L74="Reunión de Apertura",L74="Reunión de Cierre"),"*",COUNT(K$17:K73)+1)</f>
        <v>28</v>
      </c>
      <c r="L74" s="380" t="s">
        <v>328</v>
      </c>
      <c r="M74" s="381"/>
      <c r="N74" s="381"/>
      <c r="O74" s="381"/>
      <c r="P74" s="381"/>
      <c r="Q74" s="381"/>
      <c r="R74" s="382"/>
      <c r="S74" s="386" t="str">
        <f>IFERROR(VLOOKUP(L74,'Listas Desplegables'!B:D,3,0),"")</f>
        <v>Wilmer Urrea</v>
      </c>
      <c r="T74" s="387"/>
      <c r="U74" s="387"/>
      <c r="V74" s="388"/>
      <c r="W74" s="392" t="s">
        <v>30</v>
      </c>
      <c r="X74" s="392"/>
      <c r="Y74" s="392"/>
      <c r="Z74" s="392"/>
      <c r="AA74" s="393"/>
      <c r="AB74" s="394"/>
      <c r="AC74" s="395"/>
      <c r="AD74" s="396"/>
      <c r="AE74" s="397"/>
      <c r="AF74" s="398"/>
      <c r="AG74" s="402" t="str">
        <f>IF(SUM(AL75-AL74)=0,"",AL75-AL74)</f>
        <v/>
      </c>
      <c r="AH74" s="402"/>
      <c r="AI74" s="402"/>
      <c r="AJ74" s="403" t="s">
        <v>31</v>
      </c>
      <c r="AK74" s="404"/>
      <c r="AL74" s="405"/>
      <c r="AM74" s="406"/>
      <c r="AN74" s="407"/>
      <c r="AO74" s="433"/>
      <c r="AP74" s="434"/>
      <c r="AQ74" s="434"/>
      <c r="AR74" s="434"/>
      <c r="AS74" s="434"/>
      <c r="AT74" s="435"/>
      <c r="AU74" s="131"/>
      <c r="AW74" s="161">
        <f t="shared" ref="AW74" si="605">K74</f>
        <v>28</v>
      </c>
      <c r="AX74" s="162">
        <f t="shared" ref="AX74" si="606">IF(AA75="",AA74,AA75)</f>
        <v>0</v>
      </c>
      <c r="AY74" s="163" t="str">
        <f t="shared" ref="AY74" si="607">L74</f>
        <v>Recursos tecnológicos</v>
      </c>
      <c r="AZ74" s="163" t="str">
        <f t="shared" ref="AZ74" si="608">S74</f>
        <v>Wilmer Urrea</v>
      </c>
      <c r="BA74" s="164">
        <f t="shared" ref="BA74" si="609">AL74</f>
        <v>0</v>
      </c>
      <c r="BB74" s="164">
        <f t="shared" ref="BB74" si="610">AL75</f>
        <v>0</v>
      </c>
      <c r="BC74" s="163">
        <f t="shared" ref="BC74" si="611">AO74</f>
        <v>0</v>
      </c>
      <c r="BD74" s="163" t="str">
        <f t="shared" ref="BD74" si="612">IF(AO75="","",AO75)</f>
        <v/>
      </c>
      <c r="BE74" s="165" t="str">
        <f>IF(AD74="","",AD74)</f>
        <v/>
      </c>
      <c r="BF74" s="166">
        <f>IF(OR(L74='Listas Desplegables'!$B$4,L74='Listas Desplegables'!$B$5),"",WORKDAY(AX74,7,'Listas Desplegables'!$J$11:$J$18))</f>
        <v>10</v>
      </c>
    </row>
    <row r="75" spans="1:58" ht="12" customHeight="1" x14ac:dyDescent="0.35">
      <c r="A75" s="127" t="str">
        <f t="shared" ref="A75" si="613">CONCATENATE("A-",AO75)</f>
        <v>A-</v>
      </c>
      <c r="D75" s="159" t="str">
        <f t="shared" ref="D75" si="614">IF(AA75="",CONCATENATE(AA74,"-",AO75),CONCATENATE(AA75,"-",AO75))</f>
        <v>-</v>
      </c>
      <c r="E75" s="159" t="str">
        <f t="shared" ref="E75" si="615">L74</f>
        <v>Recursos tecnológicos</v>
      </c>
      <c r="F75" s="160">
        <f t="shared" ref="F75" si="616">AL74</f>
        <v>0</v>
      </c>
      <c r="G75" s="160">
        <f t="shared" ref="G75" si="617">AL75</f>
        <v>0</v>
      </c>
      <c r="H75" s="160" t="str">
        <f t="shared" ref="H75" si="618">IF(AA75="","P","R")</f>
        <v>P</v>
      </c>
      <c r="K75" s="455"/>
      <c r="L75" s="383"/>
      <c r="M75" s="384"/>
      <c r="N75" s="384"/>
      <c r="O75" s="384"/>
      <c r="P75" s="384"/>
      <c r="Q75" s="384"/>
      <c r="R75" s="385"/>
      <c r="S75" s="389"/>
      <c r="T75" s="390"/>
      <c r="U75" s="390"/>
      <c r="V75" s="391"/>
      <c r="W75" s="392"/>
      <c r="X75" s="392"/>
      <c r="Y75" s="392"/>
      <c r="Z75" s="392"/>
      <c r="AA75" s="411"/>
      <c r="AB75" s="412"/>
      <c r="AC75" s="413"/>
      <c r="AD75" s="399"/>
      <c r="AE75" s="400"/>
      <c r="AF75" s="401"/>
      <c r="AG75" s="402"/>
      <c r="AH75" s="402"/>
      <c r="AI75" s="402"/>
      <c r="AJ75" s="414" t="s">
        <v>8</v>
      </c>
      <c r="AK75" s="415"/>
      <c r="AL75" s="405"/>
      <c r="AM75" s="406"/>
      <c r="AN75" s="407"/>
      <c r="AO75" s="436"/>
      <c r="AP75" s="437"/>
      <c r="AQ75" s="437"/>
      <c r="AR75" s="437"/>
      <c r="AS75" s="437"/>
      <c r="AT75" s="438"/>
      <c r="AU75" s="131"/>
      <c r="AX75" s="167"/>
      <c r="AY75" s="163"/>
      <c r="AZ75" s="163"/>
      <c r="BA75" s="163"/>
      <c r="BB75" s="163"/>
      <c r="BC75" s="163"/>
      <c r="BD75" s="163"/>
    </row>
    <row r="76" spans="1:58" ht="12" customHeight="1" x14ac:dyDescent="0.35">
      <c r="A76" s="127" t="str">
        <f t="shared" ref="A76" si="619">CONCATENATE("P-",AO76)</f>
        <v>P-</v>
      </c>
      <c r="B76" s="128" t="str">
        <f t="shared" ref="B76" si="620">IF(AA77="",CONCATENATE(AA76,"-",L76),CONCATENATE(AA77,"-",L76))</f>
        <v>-Recursos Físicos</v>
      </c>
      <c r="C76" s="128" t="str">
        <f t="shared" ref="C76" si="621">CONCATENATE(AO76," / ",AO77)</f>
        <v xml:space="preserve"> / </v>
      </c>
      <c r="D76" s="159" t="str">
        <f t="shared" ref="D76" si="622">IF(AA77="",CONCATENATE(AA76,"-",AO76),CONCATENATE(AA77,"-",AO76))</f>
        <v>-</v>
      </c>
      <c r="E76" s="159" t="str">
        <f t="shared" ref="E76" si="623">L76</f>
        <v>Recursos Físicos</v>
      </c>
      <c r="F76" s="160">
        <f t="shared" ref="F76" si="624">AL76</f>
        <v>0</v>
      </c>
      <c r="G76" s="160">
        <f t="shared" ref="G76" si="625">AL77</f>
        <v>0</v>
      </c>
      <c r="H76" s="160" t="str">
        <f t="shared" ref="H76" si="626">IF(AA77="","P","R")</f>
        <v>P</v>
      </c>
      <c r="K76" s="454">
        <f>IF(OR(L76="",L76="Reunión de Apertura",L76="Reunión de Cierre"),"*",COUNT(K$17:K75)+1)</f>
        <v>29</v>
      </c>
      <c r="L76" s="380" t="s">
        <v>329</v>
      </c>
      <c r="M76" s="381"/>
      <c r="N76" s="381"/>
      <c r="O76" s="381"/>
      <c r="P76" s="381"/>
      <c r="Q76" s="381"/>
      <c r="R76" s="382"/>
      <c r="S76" s="386" t="str">
        <f>IFERROR(VLOOKUP(L76,'Listas Desplegables'!B:D,3,0),"")</f>
        <v xml:space="preserve">Julian Andres Duran </v>
      </c>
      <c r="T76" s="387"/>
      <c r="U76" s="387"/>
      <c r="V76" s="388"/>
      <c r="W76" s="392" t="s">
        <v>37</v>
      </c>
      <c r="X76" s="392"/>
      <c r="Y76" s="392"/>
      <c r="Z76" s="392"/>
      <c r="AA76" s="393"/>
      <c r="AB76" s="394"/>
      <c r="AC76" s="395"/>
      <c r="AD76" s="396"/>
      <c r="AE76" s="397"/>
      <c r="AF76" s="398"/>
      <c r="AG76" s="402" t="str">
        <f t="shared" ref="AG76" si="627">IF(SUM(AL77-AL76)=0,"",AL77-AL76)</f>
        <v/>
      </c>
      <c r="AH76" s="402"/>
      <c r="AI76" s="402"/>
      <c r="AJ76" s="403" t="s">
        <v>31</v>
      </c>
      <c r="AK76" s="404"/>
      <c r="AL76" s="405"/>
      <c r="AM76" s="406"/>
      <c r="AN76" s="407"/>
      <c r="AO76" s="433"/>
      <c r="AP76" s="434"/>
      <c r="AQ76" s="434"/>
      <c r="AR76" s="434"/>
      <c r="AS76" s="434"/>
      <c r="AT76" s="435"/>
      <c r="AU76" s="131"/>
      <c r="AW76" s="161">
        <f t="shared" ref="AW76" si="628">K76</f>
        <v>29</v>
      </c>
      <c r="AX76" s="162">
        <f t="shared" ref="AX76" si="629">IF(AA77="",AA76,AA77)</f>
        <v>0</v>
      </c>
      <c r="AY76" s="163" t="str">
        <f t="shared" ref="AY76" si="630">L76</f>
        <v>Recursos Físicos</v>
      </c>
      <c r="AZ76" s="163" t="str">
        <f t="shared" ref="AZ76" si="631">S76</f>
        <v xml:space="preserve">Julian Andres Duran </v>
      </c>
      <c r="BA76" s="164">
        <f t="shared" ref="BA76" si="632">AL76</f>
        <v>0</v>
      </c>
      <c r="BB76" s="164">
        <f t="shared" ref="BB76" si="633">AL77</f>
        <v>0</v>
      </c>
      <c r="BC76" s="163">
        <f t="shared" ref="BC76" si="634">AO76</f>
        <v>0</v>
      </c>
      <c r="BD76" s="163" t="str">
        <f t="shared" ref="BD76" si="635">IF(AO77="","",AO77)</f>
        <v/>
      </c>
      <c r="BE76" s="165" t="str">
        <f>IF(AD76="","",AD76)</f>
        <v/>
      </c>
      <c r="BF76" s="166">
        <f>IF(OR(L76='Listas Desplegables'!$B$4,L76='Listas Desplegables'!$B$5),"",WORKDAY(AX76,7,'Listas Desplegables'!$J$11:$J$18))</f>
        <v>10</v>
      </c>
    </row>
    <row r="77" spans="1:58" ht="12" customHeight="1" x14ac:dyDescent="0.35">
      <c r="A77" s="127" t="str">
        <f t="shared" ref="A77" si="636">CONCATENATE("A-",AO77)</f>
        <v>A-</v>
      </c>
      <c r="D77" s="159" t="str">
        <f t="shared" ref="D77" si="637">IF(AA77="",CONCATENATE(AA76,"-",AO77),CONCATENATE(AA77,"-",AO77))</f>
        <v>-</v>
      </c>
      <c r="E77" s="159" t="str">
        <f t="shared" ref="E77" si="638">L76</f>
        <v>Recursos Físicos</v>
      </c>
      <c r="F77" s="160">
        <f t="shared" ref="F77" si="639">AL76</f>
        <v>0</v>
      </c>
      <c r="G77" s="160">
        <f t="shared" ref="G77" si="640">AL77</f>
        <v>0</v>
      </c>
      <c r="H77" s="160" t="str">
        <f t="shared" ref="H77" si="641">IF(AA77="","P","R")</f>
        <v>P</v>
      </c>
      <c r="K77" s="455"/>
      <c r="L77" s="383"/>
      <c r="M77" s="384"/>
      <c r="N77" s="384"/>
      <c r="O77" s="384"/>
      <c r="P77" s="384"/>
      <c r="Q77" s="384"/>
      <c r="R77" s="385"/>
      <c r="S77" s="389"/>
      <c r="T77" s="390"/>
      <c r="U77" s="390"/>
      <c r="V77" s="391"/>
      <c r="W77" s="392"/>
      <c r="X77" s="392"/>
      <c r="Y77" s="392"/>
      <c r="Z77" s="392"/>
      <c r="AA77" s="411"/>
      <c r="AB77" s="412"/>
      <c r="AC77" s="413"/>
      <c r="AD77" s="399"/>
      <c r="AE77" s="400"/>
      <c r="AF77" s="401"/>
      <c r="AG77" s="402"/>
      <c r="AH77" s="402"/>
      <c r="AI77" s="402"/>
      <c r="AJ77" s="414" t="s">
        <v>8</v>
      </c>
      <c r="AK77" s="415"/>
      <c r="AL77" s="405"/>
      <c r="AM77" s="406"/>
      <c r="AN77" s="407"/>
      <c r="AO77" s="436"/>
      <c r="AP77" s="437"/>
      <c r="AQ77" s="437"/>
      <c r="AR77" s="437"/>
      <c r="AS77" s="437"/>
      <c r="AT77" s="438"/>
      <c r="AU77" s="131"/>
      <c r="AX77" s="167"/>
      <c r="AY77" s="163"/>
      <c r="AZ77" s="163"/>
      <c r="BA77" s="163"/>
      <c r="BB77" s="163"/>
      <c r="BC77" s="163"/>
      <c r="BD77" s="163"/>
    </row>
    <row r="78" spans="1:58" ht="12" customHeight="1" x14ac:dyDescent="0.35">
      <c r="A78" s="127" t="str">
        <f t="shared" ref="A78" si="642">CONCATENATE("P-",AO78)</f>
        <v>P-</v>
      </c>
      <c r="B78" s="128" t="str">
        <f t="shared" ref="B78" si="643">IF(AA79="",CONCATENATE(AA78,"-",L78),CONCATENATE(AA79,"-",L78))</f>
        <v>-Reunión de Cierre</v>
      </c>
      <c r="C78" s="128" t="str">
        <f t="shared" ref="C78" si="644">CONCATENATE(AO78," / ",AO79)</f>
        <v xml:space="preserve"> / </v>
      </c>
      <c r="D78" s="159" t="str">
        <f t="shared" ref="D78" si="645">IF(AA79="",CONCATENATE(AA78,"-",AO78),CONCATENATE(AA79,"-",AO78))</f>
        <v>-</v>
      </c>
      <c r="E78" s="159" t="str">
        <f t="shared" ref="E78" si="646">L78</f>
        <v>Reunión de Cierre</v>
      </c>
      <c r="F78" s="160">
        <f t="shared" ref="F78" si="647">AL78</f>
        <v>0</v>
      </c>
      <c r="G78" s="160">
        <f t="shared" ref="G78" si="648">AL79</f>
        <v>0</v>
      </c>
      <c r="H78" s="160" t="str">
        <f t="shared" ref="H78" si="649">IF(AA79="","P","R")</f>
        <v>P</v>
      </c>
      <c r="K78" s="454" t="str">
        <f>IF(OR(L78="",L78="Reunión de Apertura",L78="Reunión de Cierre"),"*",COUNT(K$17:K77)+1)</f>
        <v>*</v>
      </c>
      <c r="L78" s="380" t="s">
        <v>67</v>
      </c>
      <c r="M78" s="381"/>
      <c r="N78" s="381"/>
      <c r="O78" s="381"/>
      <c r="P78" s="381"/>
      <c r="Q78" s="381"/>
      <c r="R78" s="382"/>
      <c r="S78" s="386" t="str">
        <f>IFERROR(VLOOKUP(L78,'Listas Desplegables'!B:D,3,0),"")</f>
        <v>Camia Toro/ Sergio Lozano</v>
      </c>
      <c r="T78" s="387"/>
      <c r="U78" s="387"/>
      <c r="V78" s="388"/>
      <c r="W78" s="392"/>
      <c r="X78" s="392"/>
      <c r="Y78" s="392"/>
      <c r="Z78" s="392"/>
      <c r="AA78" s="393"/>
      <c r="AB78" s="394"/>
      <c r="AC78" s="395"/>
      <c r="AD78" s="396"/>
      <c r="AE78" s="397"/>
      <c r="AF78" s="398"/>
      <c r="AG78" s="402" t="str">
        <f t="shared" ref="AG78" si="650">IF(SUM(AL79-AL78)=0,"",AL79-AL78)</f>
        <v/>
      </c>
      <c r="AH78" s="402"/>
      <c r="AI78" s="402"/>
      <c r="AJ78" s="403" t="s">
        <v>31</v>
      </c>
      <c r="AK78" s="404"/>
      <c r="AL78" s="405"/>
      <c r="AM78" s="406"/>
      <c r="AN78" s="407"/>
      <c r="AO78" s="433"/>
      <c r="AP78" s="434"/>
      <c r="AQ78" s="434"/>
      <c r="AR78" s="434"/>
      <c r="AS78" s="434"/>
      <c r="AT78" s="435"/>
      <c r="AU78" s="131"/>
      <c r="AW78" s="161" t="str">
        <f t="shared" ref="AW78" si="651">K78</f>
        <v>*</v>
      </c>
      <c r="AX78" s="162">
        <f t="shared" ref="AX78" si="652">IF(AA79="",AA78,AA79)</f>
        <v>0</v>
      </c>
      <c r="AY78" s="163" t="str">
        <f t="shared" ref="AY78" si="653">L78</f>
        <v>Reunión de Cierre</v>
      </c>
      <c r="AZ78" s="163" t="str">
        <f t="shared" ref="AZ78" si="654">S78</f>
        <v>Camia Toro/ Sergio Lozano</v>
      </c>
      <c r="BA78" s="164">
        <f t="shared" ref="BA78" si="655">AL78</f>
        <v>0</v>
      </c>
      <c r="BB78" s="164">
        <f t="shared" ref="BB78" si="656">AL79</f>
        <v>0</v>
      </c>
      <c r="BC78" s="163">
        <f t="shared" ref="BC78" si="657">AO78</f>
        <v>0</v>
      </c>
      <c r="BD78" s="163" t="str">
        <f t="shared" ref="BD78" si="658">IF(AO79="","",AO79)</f>
        <v/>
      </c>
      <c r="BE78" s="165" t="str">
        <f>IF(AD78="","",AD78)</f>
        <v/>
      </c>
      <c r="BF78" s="166" t="str">
        <f>IF(OR(L78='Listas Desplegables'!$B$4,L78='Listas Desplegables'!$B$5),"",WORKDAY(AX78,7,'Listas Desplegables'!$J$11:$J$18))</f>
        <v/>
      </c>
    </row>
    <row r="79" spans="1:58" ht="12" customHeight="1" x14ac:dyDescent="0.35">
      <c r="A79" s="127" t="str">
        <f t="shared" ref="A79" si="659">CONCATENATE("A-",AO79)</f>
        <v>A-</v>
      </c>
      <c r="D79" s="159" t="str">
        <f t="shared" ref="D79" si="660">IF(AA79="",CONCATENATE(AA78,"-",AO79),CONCATENATE(AA79,"-",AO79))</f>
        <v>-</v>
      </c>
      <c r="E79" s="159" t="str">
        <f t="shared" ref="E79" si="661">L78</f>
        <v>Reunión de Cierre</v>
      </c>
      <c r="F79" s="160">
        <f t="shared" ref="F79" si="662">AL78</f>
        <v>0</v>
      </c>
      <c r="G79" s="160">
        <f t="shared" ref="G79" si="663">AL79</f>
        <v>0</v>
      </c>
      <c r="H79" s="160" t="str">
        <f t="shared" ref="H79" si="664">IF(AA79="","P","R")</f>
        <v>P</v>
      </c>
      <c r="K79" s="455"/>
      <c r="L79" s="383"/>
      <c r="M79" s="384"/>
      <c r="N79" s="384"/>
      <c r="O79" s="384"/>
      <c r="P79" s="384"/>
      <c r="Q79" s="384"/>
      <c r="R79" s="385"/>
      <c r="S79" s="389"/>
      <c r="T79" s="390"/>
      <c r="U79" s="390"/>
      <c r="V79" s="391"/>
      <c r="W79" s="392"/>
      <c r="X79" s="392"/>
      <c r="Y79" s="392"/>
      <c r="Z79" s="392"/>
      <c r="AA79" s="411"/>
      <c r="AB79" s="412"/>
      <c r="AC79" s="413"/>
      <c r="AD79" s="399"/>
      <c r="AE79" s="400"/>
      <c r="AF79" s="401"/>
      <c r="AG79" s="402"/>
      <c r="AH79" s="402"/>
      <c r="AI79" s="402"/>
      <c r="AJ79" s="414" t="s">
        <v>8</v>
      </c>
      <c r="AK79" s="415"/>
      <c r="AL79" s="405"/>
      <c r="AM79" s="406"/>
      <c r="AN79" s="407"/>
      <c r="AO79" s="436"/>
      <c r="AP79" s="437"/>
      <c r="AQ79" s="437"/>
      <c r="AR79" s="437"/>
      <c r="AS79" s="437"/>
      <c r="AT79" s="438"/>
      <c r="AU79" s="131"/>
      <c r="AX79" s="167"/>
      <c r="AY79" s="163"/>
      <c r="AZ79" s="163"/>
      <c r="BA79" s="163"/>
      <c r="BB79" s="163"/>
      <c r="BC79" s="163"/>
      <c r="BD79" s="163"/>
    </row>
    <row r="80" spans="1:58" ht="12" hidden="1" customHeight="1" x14ac:dyDescent="0.35">
      <c r="A80" s="127" t="str">
        <f t="shared" ref="A80" si="665">CONCATENATE("P-",AO80)</f>
        <v>P-</v>
      </c>
      <c r="B80" s="128" t="str">
        <f t="shared" ref="B80" si="666">IF(AA81="",CONCATENATE(AA80,"-",L80),CONCATENATE(AA81,"-",L80))</f>
        <v>-</v>
      </c>
      <c r="C80" s="128" t="str">
        <f t="shared" ref="C80" si="667">CONCATENATE(AO80," / ",AO81)</f>
        <v xml:space="preserve"> / </v>
      </c>
      <c r="D80" s="159" t="str">
        <f t="shared" ref="D80" si="668">IF(AA81="",CONCATENATE(AA80,"-",AO80),CONCATENATE(AA81,"-",AO80))</f>
        <v>-</v>
      </c>
      <c r="E80" s="159">
        <f t="shared" ref="E80" si="669">L80</f>
        <v>0</v>
      </c>
      <c r="F80" s="160">
        <f t="shared" ref="F80" si="670">AL80</f>
        <v>0</v>
      </c>
      <c r="G80" s="160">
        <f t="shared" ref="G80" si="671">AL81</f>
        <v>0</v>
      </c>
      <c r="H80" s="160" t="str">
        <f t="shared" ref="H80" si="672">IF(AA81="","P","R")</f>
        <v>P</v>
      </c>
      <c r="K80" s="454" t="str">
        <f>IF(OR(L80="",L80="Reunión de Apertura",L80="Reunión de Cierre"),"*",COUNT(K$17:K79)+1)</f>
        <v>*</v>
      </c>
      <c r="L80" s="380"/>
      <c r="M80" s="381"/>
      <c r="N80" s="381"/>
      <c r="O80" s="381"/>
      <c r="P80" s="381"/>
      <c r="Q80" s="381"/>
      <c r="R80" s="382"/>
      <c r="S80" s="386" t="str">
        <f>IFERROR(VLOOKUP(L80,'Listas Desplegables'!B:D,3,0),"")</f>
        <v/>
      </c>
      <c r="T80" s="387"/>
      <c r="U80" s="387"/>
      <c r="V80" s="388"/>
      <c r="W80" s="392"/>
      <c r="X80" s="392"/>
      <c r="Y80" s="392"/>
      <c r="Z80" s="392"/>
      <c r="AA80" s="393"/>
      <c r="AB80" s="394"/>
      <c r="AC80" s="395"/>
      <c r="AD80" s="396"/>
      <c r="AE80" s="397"/>
      <c r="AF80" s="398"/>
      <c r="AG80" s="402" t="str">
        <f t="shared" ref="AG80" si="673">IF(SUM(AL81-AL80)=0,"",AL81-AL80)</f>
        <v/>
      </c>
      <c r="AH80" s="402"/>
      <c r="AI80" s="402"/>
      <c r="AJ80" s="403" t="s">
        <v>31</v>
      </c>
      <c r="AK80" s="404"/>
      <c r="AL80" s="405"/>
      <c r="AM80" s="406"/>
      <c r="AN80" s="407"/>
      <c r="AO80" s="408"/>
      <c r="AP80" s="409"/>
      <c r="AQ80" s="409"/>
      <c r="AR80" s="409"/>
      <c r="AS80" s="409"/>
      <c r="AT80" s="410"/>
      <c r="AU80" s="131"/>
      <c r="AW80" s="161" t="str">
        <f t="shared" ref="AW80" si="674">K80</f>
        <v>*</v>
      </c>
      <c r="AX80" s="162">
        <f t="shared" ref="AX80" si="675">IF(AA81="",AA80,AA81)</f>
        <v>0</v>
      </c>
      <c r="AY80" s="163">
        <f t="shared" ref="AY80" si="676">L80</f>
        <v>0</v>
      </c>
      <c r="AZ80" s="163" t="str">
        <f t="shared" ref="AZ80" si="677">S80</f>
        <v/>
      </c>
      <c r="BA80" s="164">
        <f t="shared" ref="BA80" si="678">AL80</f>
        <v>0</v>
      </c>
      <c r="BB80" s="164">
        <f t="shared" ref="BB80" si="679">AL81</f>
        <v>0</v>
      </c>
      <c r="BC80" s="163">
        <f t="shared" ref="BC80" si="680">AO80</f>
        <v>0</v>
      </c>
      <c r="BD80" s="163" t="str">
        <f t="shared" ref="BD80" si="681">IF(AO81="","",AO81)</f>
        <v/>
      </c>
      <c r="BE80" s="165" t="str">
        <f>IF(AD80="","",AD80)</f>
        <v/>
      </c>
      <c r="BF80" s="166">
        <f>IF(OR(L80='Listas Desplegables'!$B$4,L80='Listas Desplegables'!$B$5),"",WORKDAY(AX80,7,'Listas Desplegables'!$J$11:$J$18))</f>
        <v>10</v>
      </c>
    </row>
    <row r="81" spans="1:58" ht="12" hidden="1" customHeight="1" x14ac:dyDescent="0.35">
      <c r="A81" s="127" t="str">
        <f t="shared" ref="A81" si="682">CONCATENATE("A-",AO81)</f>
        <v>A-</v>
      </c>
      <c r="D81" s="159" t="str">
        <f t="shared" ref="D81" si="683">IF(AA81="",CONCATENATE(AA80,"-",AO81),CONCATENATE(AA81,"-",AO81))</f>
        <v>-</v>
      </c>
      <c r="E81" s="159">
        <f t="shared" ref="E81" si="684">L80</f>
        <v>0</v>
      </c>
      <c r="F81" s="160">
        <f t="shared" ref="F81" si="685">AL80</f>
        <v>0</v>
      </c>
      <c r="G81" s="160">
        <f t="shared" ref="G81" si="686">AL81</f>
        <v>0</v>
      </c>
      <c r="H81" s="160" t="str">
        <f t="shared" ref="H81" si="687">IF(AA81="","P","R")</f>
        <v>P</v>
      </c>
      <c r="K81" s="455"/>
      <c r="L81" s="383"/>
      <c r="M81" s="384"/>
      <c r="N81" s="384"/>
      <c r="O81" s="384"/>
      <c r="P81" s="384"/>
      <c r="Q81" s="384"/>
      <c r="R81" s="385"/>
      <c r="S81" s="389"/>
      <c r="T81" s="390"/>
      <c r="U81" s="390"/>
      <c r="V81" s="391"/>
      <c r="W81" s="392"/>
      <c r="X81" s="392"/>
      <c r="Y81" s="392"/>
      <c r="Z81" s="392"/>
      <c r="AA81" s="411"/>
      <c r="AB81" s="412"/>
      <c r="AC81" s="413"/>
      <c r="AD81" s="399"/>
      <c r="AE81" s="400"/>
      <c r="AF81" s="401"/>
      <c r="AG81" s="402"/>
      <c r="AH81" s="402"/>
      <c r="AI81" s="402"/>
      <c r="AJ81" s="414" t="s">
        <v>8</v>
      </c>
      <c r="AK81" s="415"/>
      <c r="AL81" s="405"/>
      <c r="AM81" s="406"/>
      <c r="AN81" s="407"/>
      <c r="AO81" s="416"/>
      <c r="AP81" s="417"/>
      <c r="AQ81" s="417"/>
      <c r="AR81" s="417"/>
      <c r="AS81" s="417"/>
      <c r="AT81" s="418"/>
      <c r="AU81" s="131"/>
      <c r="AX81" s="167"/>
      <c r="AY81" s="163"/>
      <c r="AZ81" s="163"/>
      <c r="BA81" s="163"/>
      <c r="BB81" s="163"/>
      <c r="BC81" s="163"/>
      <c r="BD81" s="163"/>
    </row>
    <row r="82" spans="1:58" ht="12" hidden="1" customHeight="1" x14ac:dyDescent="0.35">
      <c r="A82" s="127" t="str">
        <f t="shared" ref="A82" si="688">CONCATENATE("P-",AO82)</f>
        <v>P-</v>
      </c>
      <c r="B82" s="128" t="str">
        <f t="shared" ref="B82" si="689">IF(AA83="",CONCATENATE(AA82,"-",L82),CONCATENATE(AA83,"-",L82))</f>
        <v>-</v>
      </c>
      <c r="C82" s="128" t="str">
        <f t="shared" ref="C82" si="690">CONCATENATE(AO82," / ",AO83)</f>
        <v xml:space="preserve"> / </v>
      </c>
      <c r="D82" s="159" t="str">
        <f t="shared" ref="D82" si="691">IF(AA83="",CONCATENATE(AA82,"-",AO82),CONCATENATE(AA83,"-",AO82))</f>
        <v>-</v>
      </c>
      <c r="E82" s="159">
        <f t="shared" ref="E82" si="692">L82</f>
        <v>0</v>
      </c>
      <c r="F82" s="160">
        <f t="shared" ref="F82" si="693">AL82</f>
        <v>0</v>
      </c>
      <c r="G82" s="160">
        <f t="shared" ref="G82" si="694">AL83</f>
        <v>0</v>
      </c>
      <c r="H82" s="160" t="str">
        <f t="shared" ref="H82" si="695">IF(AA83="","P","R")</f>
        <v>P</v>
      </c>
      <c r="K82" s="454" t="str">
        <f>IF(OR(L82="",L82="Reunión de Apertura",L82="Reunión de Cierre"),"*",COUNT(K$17:K81)+1)</f>
        <v>*</v>
      </c>
      <c r="L82" s="380"/>
      <c r="M82" s="381"/>
      <c r="N82" s="381"/>
      <c r="O82" s="381"/>
      <c r="P82" s="381"/>
      <c r="Q82" s="381"/>
      <c r="R82" s="382"/>
      <c r="S82" s="386" t="str">
        <f>IFERROR(VLOOKUP(L82,'Listas Desplegables'!B:D,3,0),"")</f>
        <v/>
      </c>
      <c r="T82" s="387"/>
      <c r="U82" s="387"/>
      <c r="V82" s="388"/>
      <c r="W82" s="392"/>
      <c r="X82" s="392"/>
      <c r="Y82" s="392"/>
      <c r="Z82" s="392"/>
      <c r="AA82" s="393"/>
      <c r="AB82" s="394"/>
      <c r="AC82" s="395"/>
      <c r="AD82" s="396"/>
      <c r="AE82" s="397"/>
      <c r="AF82" s="398"/>
      <c r="AG82" s="402" t="str">
        <f t="shared" ref="AG82" si="696">IF(SUM(AL83-AL82)=0,"",AL83-AL82)</f>
        <v/>
      </c>
      <c r="AH82" s="402"/>
      <c r="AI82" s="402"/>
      <c r="AJ82" s="403" t="s">
        <v>31</v>
      </c>
      <c r="AK82" s="404"/>
      <c r="AL82" s="405"/>
      <c r="AM82" s="406"/>
      <c r="AN82" s="407"/>
      <c r="AO82" s="408"/>
      <c r="AP82" s="409"/>
      <c r="AQ82" s="409"/>
      <c r="AR82" s="409"/>
      <c r="AS82" s="409"/>
      <c r="AT82" s="410"/>
      <c r="AU82" s="131"/>
      <c r="AW82" s="161" t="str">
        <f t="shared" ref="AW82" si="697">K82</f>
        <v>*</v>
      </c>
      <c r="AX82" s="162">
        <f t="shared" ref="AX82" si="698">IF(AA83="",AA82,AA83)</f>
        <v>0</v>
      </c>
      <c r="AY82" s="163">
        <f t="shared" ref="AY82" si="699">L82</f>
        <v>0</v>
      </c>
      <c r="AZ82" s="163" t="str">
        <f t="shared" ref="AZ82" si="700">S82</f>
        <v/>
      </c>
      <c r="BA82" s="164">
        <f t="shared" ref="BA82" si="701">AL82</f>
        <v>0</v>
      </c>
      <c r="BB82" s="164">
        <f t="shared" ref="BB82" si="702">AL83</f>
        <v>0</v>
      </c>
      <c r="BC82" s="163">
        <f t="shared" ref="BC82" si="703">AO82</f>
        <v>0</v>
      </c>
      <c r="BD82" s="163" t="str">
        <f t="shared" ref="BD82" si="704">IF(AO83="","",AO83)</f>
        <v/>
      </c>
      <c r="BE82" s="165" t="str">
        <f>IF(AD82="","",AD82)</f>
        <v/>
      </c>
      <c r="BF82" s="166">
        <f>IF(OR(L82='Listas Desplegables'!$B$4,L82='Listas Desplegables'!$B$5),"",WORKDAY(AX82,7,'Listas Desplegables'!$J$11:$J$18))</f>
        <v>10</v>
      </c>
    </row>
    <row r="83" spans="1:58" ht="12" hidden="1" customHeight="1" x14ac:dyDescent="0.35">
      <c r="A83" s="127" t="str">
        <f t="shared" ref="A83" si="705">CONCATENATE("A-",AO83)</f>
        <v>A-</v>
      </c>
      <c r="D83" s="159" t="str">
        <f t="shared" ref="D83" si="706">IF(AA83="",CONCATENATE(AA82,"-",AO83),CONCATENATE(AA83,"-",AO83))</f>
        <v>-</v>
      </c>
      <c r="E83" s="159">
        <f t="shared" ref="E83" si="707">L82</f>
        <v>0</v>
      </c>
      <c r="F83" s="160">
        <f t="shared" ref="F83" si="708">AL82</f>
        <v>0</v>
      </c>
      <c r="G83" s="160">
        <f t="shared" ref="G83" si="709">AL83</f>
        <v>0</v>
      </c>
      <c r="H83" s="160" t="str">
        <f t="shared" ref="H83" si="710">IF(AA83="","P","R")</f>
        <v>P</v>
      </c>
      <c r="K83" s="455"/>
      <c r="L83" s="383"/>
      <c r="M83" s="384"/>
      <c r="N83" s="384"/>
      <c r="O83" s="384"/>
      <c r="P83" s="384"/>
      <c r="Q83" s="384"/>
      <c r="R83" s="385"/>
      <c r="S83" s="389"/>
      <c r="T83" s="390"/>
      <c r="U83" s="390"/>
      <c r="V83" s="391"/>
      <c r="W83" s="392"/>
      <c r="X83" s="392"/>
      <c r="Y83" s="392"/>
      <c r="Z83" s="392"/>
      <c r="AA83" s="411"/>
      <c r="AB83" s="412"/>
      <c r="AC83" s="413"/>
      <c r="AD83" s="399"/>
      <c r="AE83" s="400"/>
      <c r="AF83" s="401"/>
      <c r="AG83" s="402"/>
      <c r="AH83" s="402"/>
      <c r="AI83" s="402"/>
      <c r="AJ83" s="414" t="s">
        <v>8</v>
      </c>
      <c r="AK83" s="415"/>
      <c r="AL83" s="405"/>
      <c r="AM83" s="406"/>
      <c r="AN83" s="407"/>
      <c r="AO83" s="416"/>
      <c r="AP83" s="417"/>
      <c r="AQ83" s="417"/>
      <c r="AR83" s="417"/>
      <c r="AS83" s="417"/>
      <c r="AT83" s="418"/>
      <c r="AU83" s="131"/>
      <c r="AX83" s="167"/>
      <c r="AY83" s="163"/>
      <c r="AZ83" s="163"/>
      <c r="BA83" s="163"/>
      <c r="BB83" s="163"/>
      <c r="BC83" s="163"/>
      <c r="BD83" s="163"/>
    </row>
    <row r="84" spans="1:58" ht="12" hidden="1" customHeight="1" x14ac:dyDescent="0.35">
      <c r="A84" s="127" t="str">
        <f t="shared" ref="A84" si="711">CONCATENATE("P-",AO84)</f>
        <v>P-</v>
      </c>
      <c r="B84" s="128" t="str">
        <f t="shared" ref="B84" si="712">IF(AA85="",CONCATENATE(AA84,"-",L84),CONCATENATE(AA85,"-",L84))</f>
        <v>-</v>
      </c>
      <c r="C84" s="128" t="str">
        <f t="shared" ref="C84" si="713">CONCATENATE(AO84," / ",AO85)</f>
        <v xml:space="preserve"> / </v>
      </c>
      <c r="D84" s="159" t="str">
        <f t="shared" ref="D84" si="714">IF(AA85="",CONCATENATE(AA84,"-",AO84),CONCATENATE(AA85,"-",AO84))</f>
        <v>-</v>
      </c>
      <c r="E84" s="159">
        <f t="shared" ref="E84" si="715">L84</f>
        <v>0</v>
      </c>
      <c r="F84" s="160">
        <f t="shared" ref="F84" si="716">AL84</f>
        <v>0</v>
      </c>
      <c r="G84" s="160">
        <f t="shared" ref="G84" si="717">AL85</f>
        <v>0</v>
      </c>
      <c r="H84" s="160" t="str">
        <f t="shared" ref="H84" si="718">IF(AA85="","P","R")</f>
        <v>P</v>
      </c>
      <c r="K84" s="454" t="str">
        <f>IF(OR(L84="",L84="Reunión de Apertura",L84="Reunión de Cierre"),"*",COUNT(K$17:K83)+1)</f>
        <v>*</v>
      </c>
      <c r="L84" s="380"/>
      <c r="M84" s="381"/>
      <c r="N84" s="381"/>
      <c r="O84" s="381"/>
      <c r="P84" s="381"/>
      <c r="Q84" s="381"/>
      <c r="R84" s="382"/>
      <c r="S84" s="386" t="str">
        <f>IFERROR(VLOOKUP(L84,'Listas Desplegables'!B:D,3,0),"")</f>
        <v/>
      </c>
      <c r="T84" s="387"/>
      <c r="U84" s="387"/>
      <c r="V84" s="388"/>
      <c r="W84" s="392"/>
      <c r="X84" s="392"/>
      <c r="Y84" s="392"/>
      <c r="Z84" s="392"/>
      <c r="AA84" s="393"/>
      <c r="AB84" s="394"/>
      <c r="AC84" s="395"/>
      <c r="AD84" s="396"/>
      <c r="AE84" s="397"/>
      <c r="AF84" s="398"/>
      <c r="AG84" s="402" t="str">
        <f t="shared" ref="AG84" si="719">IF(SUM(AL85-AL84)=0,"",AL85-AL84)</f>
        <v/>
      </c>
      <c r="AH84" s="402"/>
      <c r="AI84" s="402"/>
      <c r="AJ84" s="403" t="s">
        <v>31</v>
      </c>
      <c r="AK84" s="404"/>
      <c r="AL84" s="405"/>
      <c r="AM84" s="406"/>
      <c r="AN84" s="407"/>
      <c r="AO84" s="408"/>
      <c r="AP84" s="409"/>
      <c r="AQ84" s="409"/>
      <c r="AR84" s="409"/>
      <c r="AS84" s="409"/>
      <c r="AT84" s="410"/>
      <c r="AU84" s="131"/>
      <c r="AW84" s="161" t="str">
        <f t="shared" ref="AW84" si="720">K84</f>
        <v>*</v>
      </c>
      <c r="AX84" s="162">
        <f t="shared" ref="AX84" si="721">IF(AA85="",AA84,AA85)</f>
        <v>0</v>
      </c>
      <c r="AY84" s="163">
        <f t="shared" ref="AY84" si="722">L84</f>
        <v>0</v>
      </c>
      <c r="AZ84" s="163" t="str">
        <f t="shared" ref="AZ84" si="723">S84</f>
        <v/>
      </c>
      <c r="BA84" s="164">
        <f t="shared" ref="BA84" si="724">AL84</f>
        <v>0</v>
      </c>
      <c r="BB84" s="164">
        <f t="shared" ref="BB84" si="725">AL85</f>
        <v>0</v>
      </c>
      <c r="BC84" s="163">
        <f t="shared" ref="BC84" si="726">AO84</f>
        <v>0</v>
      </c>
      <c r="BD84" s="163" t="str">
        <f t="shared" ref="BD84" si="727">IF(AO85="","",AO85)</f>
        <v/>
      </c>
      <c r="BE84" s="165" t="str">
        <f>IF(AD84="","",AD84)</f>
        <v/>
      </c>
      <c r="BF84" s="166">
        <f>IF(OR(L84='Listas Desplegables'!$B$4,L84='Listas Desplegables'!$B$5),"",WORKDAY(AX84,7,'Listas Desplegables'!$J$11:$J$18))</f>
        <v>10</v>
      </c>
    </row>
    <row r="85" spans="1:58" ht="12" hidden="1" customHeight="1" x14ac:dyDescent="0.35">
      <c r="A85" s="127" t="str">
        <f t="shared" ref="A85" si="728">CONCATENATE("A-",AO85)</f>
        <v>A-</v>
      </c>
      <c r="D85" s="159" t="str">
        <f t="shared" ref="D85" si="729">IF(AA85="",CONCATENATE(AA84,"-",AO85),CONCATENATE(AA85,"-",AO85))</f>
        <v>-</v>
      </c>
      <c r="E85" s="159">
        <f t="shared" ref="E85" si="730">L84</f>
        <v>0</v>
      </c>
      <c r="F85" s="160">
        <f t="shared" ref="F85" si="731">AL84</f>
        <v>0</v>
      </c>
      <c r="G85" s="160">
        <f t="shared" ref="G85" si="732">AL85</f>
        <v>0</v>
      </c>
      <c r="H85" s="160" t="str">
        <f t="shared" ref="H85" si="733">IF(AA85="","P","R")</f>
        <v>P</v>
      </c>
      <c r="K85" s="455"/>
      <c r="L85" s="383"/>
      <c r="M85" s="384"/>
      <c r="N85" s="384"/>
      <c r="O85" s="384"/>
      <c r="P85" s="384"/>
      <c r="Q85" s="384"/>
      <c r="R85" s="385"/>
      <c r="S85" s="389"/>
      <c r="T85" s="390"/>
      <c r="U85" s="390"/>
      <c r="V85" s="391"/>
      <c r="W85" s="392"/>
      <c r="X85" s="392"/>
      <c r="Y85" s="392"/>
      <c r="Z85" s="392"/>
      <c r="AA85" s="411"/>
      <c r="AB85" s="412"/>
      <c r="AC85" s="413"/>
      <c r="AD85" s="399"/>
      <c r="AE85" s="400"/>
      <c r="AF85" s="401"/>
      <c r="AG85" s="402"/>
      <c r="AH85" s="402"/>
      <c r="AI85" s="402"/>
      <c r="AJ85" s="414" t="s">
        <v>8</v>
      </c>
      <c r="AK85" s="415"/>
      <c r="AL85" s="405"/>
      <c r="AM85" s="406"/>
      <c r="AN85" s="407"/>
      <c r="AO85" s="416"/>
      <c r="AP85" s="417"/>
      <c r="AQ85" s="417"/>
      <c r="AR85" s="417"/>
      <c r="AS85" s="417"/>
      <c r="AT85" s="418"/>
      <c r="AU85" s="131"/>
      <c r="AX85" s="167"/>
      <c r="AY85" s="163"/>
      <c r="AZ85" s="163"/>
      <c r="BA85" s="163"/>
      <c r="BB85" s="163"/>
      <c r="BC85" s="163"/>
      <c r="BD85" s="163"/>
    </row>
    <row r="86" spans="1:58" ht="12" hidden="1" customHeight="1" x14ac:dyDescent="0.35">
      <c r="A86" s="127" t="str">
        <f t="shared" ref="A86" si="734">CONCATENATE("P-",AO86)</f>
        <v>P-</v>
      </c>
      <c r="B86" s="128" t="str">
        <f t="shared" ref="B86" si="735">IF(AA87="",CONCATENATE(AA86,"-",L86),CONCATENATE(AA87,"-",L86))</f>
        <v>-</v>
      </c>
      <c r="C86" s="128" t="str">
        <f t="shared" ref="C86" si="736">CONCATENATE(AO86," / ",AO87)</f>
        <v xml:space="preserve"> / </v>
      </c>
      <c r="D86" s="159" t="str">
        <f t="shared" ref="D86" si="737">IF(AA87="",CONCATENATE(AA86,"-",AO86),CONCATENATE(AA87,"-",AO86))</f>
        <v>-</v>
      </c>
      <c r="E86" s="159">
        <f t="shared" ref="E86" si="738">L86</f>
        <v>0</v>
      </c>
      <c r="F86" s="160">
        <f t="shared" ref="F86" si="739">AL86</f>
        <v>0</v>
      </c>
      <c r="G86" s="160">
        <f t="shared" ref="G86" si="740">AL87</f>
        <v>0</v>
      </c>
      <c r="H86" s="160" t="str">
        <f t="shared" ref="H86" si="741">IF(AA87="","P","R")</f>
        <v>P</v>
      </c>
      <c r="K86" s="454" t="str">
        <f>IF(OR(L86="",L86="Reunión de Apertura",L86="Reunión de Cierre"),"*",COUNT(K$17:K85)+1)</f>
        <v>*</v>
      </c>
      <c r="L86" s="380"/>
      <c r="M86" s="381"/>
      <c r="N86" s="381"/>
      <c r="O86" s="381"/>
      <c r="P86" s="381"/>
      <c r="Q86" s="381"/>
      <c r="R86" s="382"/>
      <c r="S86" s="386" t="str">
        <f>IFERROR(VLOOKUP(L86,'Listas Desplegables'!B:D,3,0),"")</f>
        <v/>
      </c>
      <c r="T86" s="387"/>
      <c r="U86" s="387"/>
      <c r="V86" s="388"/>
      <c r="W86" s="392"/>
      <c r="X86" s="392"/>
      <c r="Y86" s="392"/>
      <c r="Z86" s="392"/>
      <c r="AA86" s="393"/>
      <c r="AB86" s="394"/>
      <c r="AC86" s="395"/>
      <c r="AD86" s="396"/>
      <c r="AE86" s="397"/>
      <c r="AF86" s="398"/>
      <c r="AG86" s="402" t="str">
        <f t="shared" ref="AG86" si="742">IF(SUM(AL87-AL86)=0,"",AL87-AL86)</f>
        <v/>
      </c>
      <c r="AH86" s="402"/>
      <c r="AI86" s="402"/>
      <c r="AJ86" s="403" t="s">
        <v>31</v>
      </c>
      <c r="AK86" s="404"/>
      <c r="AL86" s="405"/>
      <c r="AM86" s="406"/>
      <c r="AN86" s="407"/>
      <c r="AO86" s="408"/>
      <c r="AP86" s="409"/>
      <c r="AQ86" s="409"/>
      <c r="AR86" s="409"/>
      <c r="AS86" s="409"/>
      <c r="AT86" s="410"/>
      <c r="AU86" s="131"/>
      <c r="AW86" s="161" t="str">
        <f t="shared" ref="AW86" si="743">K86</f>
        <v>*</v>
      </c>
      <c r="AX86" s="162">
        <f t="shared" ref="AX86" si="744">IF(AA87="",AA86,AA87)</f>
        <v>0</v>
      </c>
      <c r="AY86" s="163">
        <f t="shared" ref="AY86" si="745">L86</f>
        <v>0</v>
      </c>
      <c r="AZ86" s="163" t="str">
        <f t="shared" ref="AZ86" si="746">S86</f>
        <v/>
      </c>
      <c r="BA86" s="164">
        <f t="shared" ref="BA86" si="747">AL86</f>
        <v>0</v>
      </c>
      <c r="BB86" s="164">
        <f t="shared" ref="BB86" si="748">AL87</f>
        <v>0</v>
      </c>
      <c r="BC86" s="163">
        <f t="shared" ref="BC86" si="749">AO86</f>
        <v>0</v>
      </c>
      <c r="BD86" s="163" t="str">
        <f t="shared" ref="BD86" si="750">IF(AO87="","",AO87)</f>
        <v/>
      </c>
      <c r="BE86" s="165" t="str">
        <f>IF(AD86="","",AD86)</f>
        <v/>
      </c>
      <c r="BF86" s="166">
        <f>IF(OR(L86='Listas Desplegables'!$B$4,L86='Listas Desplegables'!$B$5),"",WORKDAY(AX86,7,'Listas Desplegables'!$J$11:$J$18))</f>
        <v>10</v>
      </c>
    </row>
    <row r="87" spans="1:58" ht="12" hidden="1" customHeight="1" x14ac:dyDescent="0.35">
      <c r="A87" s="127" t="str">
        <f t="shared" ref="A87" si="751">CONCATENATE("A-",AO87)</f>
        <v>A-</v>
      </c>
      <c r="D87" s="159" t="str">
        <f t="shared" ref="D87" si="752">IF(AA87="",CONCATENATE(AA86,"-",AO87),CONCATENATE(AA87,"-",AO87))</f>
        <v>-</v>
      </c>
      <c r="E87" s="159">
        <f t="shared" ref="E87" si="753">L86</f>
        <v>0</v>
      </c>
      <c r="F87" s="160">
        <f t="shared" ref="F87" si="754">AL86</f>
        <v>0</v>
      </c>
      <c r="G87" s="160">
        <f t="shared" ref="G87" si="755">AL87</f>
        <v>0</v>
      </c>
      <c r="H87" s="160" t="str">
        <f t="shared" ref="H87" si="756">IF(AA87="","P","R")</f>
        <v>P</v>
      </c>
      <c r="K87" s="455"/>
      <c r="L87" s="383"/>
      <c r="M87" s="384"/>
      <c r="N87" s="384"/>
      <c r="O87" s="384"/>
      <c r="P87" s="384"/>
      <c r="Q87" s="384"/>
      <c r="R87" s="385"/>
      <c r="S87" s="389"/>
      <c r="T87" s="390"/>
      <c r="U87" s="390"/>
      <c r="V87" s="391"/>
      <c r="W87" s="392"/>
      <c r="X87" s="392"/>
      <c r="Y87" s="392"/>
      <c r="Z87" s="392"/>
      <c r="AA87" s="411"/>
      <c r="AB87" s="412"/>
      <c r="AC87" s="413"/>
      <c r="AD87" s="399"/>
      <c r="AE87" s="400"/>
      <c r="AF87" s="401"/>
      <c r="AG87" s="402"/>
      <c r="AH87" s="402"/>
      <c r="AI87" s="402"/>
      <c r="AJ87" s="414" t="s">
        <v>8</v>
      </c>
      <c r="AK87" s="415"/>
      <c r="AL87" s="405"/>
      <c r="AM87" s="406"/>
      <c r="AN87" s="407"/>
      <c r="AO87" s="416"/>
      <c r="AP87" s="417"/>
      <c r="AQ87" s="417"/>
      <c r="AR87" s="417"/>
      <c r="AS87" s="417"/>
      <c r="AT87" s="418"/>
      <c r="AU87" s="131"/>
      <c r="AX87" s="167"/>
      <c r="AY87" s="163"/>
      <c r="AZ87" s="163"/>
      <c r="BA87" s="163"/>
      <c r="BB87" s="163"/>
      <c r="BC87" s="163"/>
      <c r="BD87" s="163"/>
    </row>
    <row r="88" spans="1:58" ht="12" hidden="1" customHeight="1" x14ac:dyDescent="0.35">
      <c r="A88" s="127" t="str">
        <f t="shared" ref="A88" si="757">CONCATENATE("P-",AO88)</f>
        <v>P-</v>
      </c>
      <c r="B88" s="128" t="str">
        <f t="shared" ref="B88" si="758">IF(AA89="",CONCATENATE(AA88,"-",L88),CONCATENATE(AA89,"-",L88))</f>
        <v>-</v>
      </c>
      <c r="C88" s="128" t="str">
        <f t="shared" ref="C88" si="759">CONCATENATE(AO88," / ",AO89)</f>
        <v xml:space="preserve"> / </v>
      </c>
      <c r="D88" s="159" t="str">
        <f t="shared" ref="D88" si="760">IF(AA89="",CONCATENATE(AA88,"-",AO88),CONCATENATE(AA89,"-",AO88))</f>
        <v>-</v>
      </c>
      <c r="E88" s="159">
        <f t="shared" ref="E88" si="761">L88</f>
        <v>0</v>
      </c>
      <c r="F88" s="160">
        <f t="shared" ref="F88" si="762">AL88</f>
        <v>0</v>
      </c>
      <c r="G88" s="160">
        <f t="shared" ref="G88" si="763">AL89</f>
        <v>0</v>
      </c>
      <c r="H88" s="160" t="str">
        <f t="shared" ref="H88" si="764">IF(AA89="","P","R")</f>
        <v>P</v>
      </c>
      <c r="K88" s="454" t="str">
        <f>IF(OR(L88="",L88="Reunión de Apertura",L88="Reunión de Cierre"),"*",COUNT(K$17:K87)+1)</f>
        <v>*</v>
      </c>
      <c r="L88" s="380"/>
      <c r="M88" s="381"/>
      <c r="N88" s="381"/>
      <c r="O88" s="381"/>
      <c r="P88" s="381"/>
      <c r="Q88" s="381"/>
      <c r="R88" s="382"/>
      <c r="S88" s="386" t="str">
        <f>IFERROR(VLOOKUP(L88,'Listas Desplegables'!B:D,3,0),"")</f>
        <v/>
      </c>
      <c r="T88" s="387"/>
      <c r="U88" s="387"/>
      <c r="V88" s="388"/>
      <c r="W88" s="392"/>
      <c r="X88" s="392"/>
      <c r="Y88" s="392"/>
      <c r="Z88" s="392"/>
      <c r="AA88" s="393"/>
      <c r="AB88" s="394"/>
      <c r="AC88" s="395"/>
      <c r="AD88" s="396"/>
      <c r="AE88" s="397"/>
      <c r="AF88" s="398"/>
      <c r="AG88" s="402" t="str">
        <f t="shared" ref="AG88" si="765">IF(SUM(AL89-AL88)=0,"",AL89-AL88)</f>
        <v/>
      </c>
      <c r="AH88" s="402"/>
      <c r="AI88" s="402"/>
      <c r="AJ88" s="403" t="s">
        <v>31</v>
      </c>
      <c r="AK88" s="404"/>
      <c r="AL88" s="405"/>
      <c r="AM88" s="406"/>
      <c r="AN88" s="407"/>
      <c r="AO88" s="408"/>
      <c r="AP88" s="409"/>
      <c r="AQ88" s="409"/>
      <c r="AR88" s="409"/>
      <c r="AS88" s="409"/>
      <c r="AT88" s="410"/>
      <c r="AU88" s="131"/>
      <c r="AW88" s="161" t="str">
        <f t="shared" ref="AW88" si="766">K88</f>
        <v>*</v>
      </c>
      <c r="AX88" s="162">
        <f t="shared" ref="AX88" si="767">IF(AA89="",AA88,AA89)</f>
        <v>0</v>
      </c>
      <c r="AY88" s="163">
        <f t="shared" ref="AY88" si="768">L88</f>
        <v>0</v>
      </c>
      <c r="AZ88" s="163" t="str">
        <f t="shared" ref="AZ88" si="769">S88</f>
        <v/>
      </c>
      <c r="BA88" s="164">
        <f t="shared" ref="BA88" si="770">AL88</f>
        <v>0</v>
      </c>
      <c r="BB88" s="164">
        <f t="shared" ref="BB88" si="771">AL89</f>
        <v>0</v>
      </c>
      <c r="BC88" s="163">
        <f t="shared" ref="BC88" si="772">AO88</f>
        <v>0</v>
      </c>
      <c r="BD88" s="163" t="str">
        <f t="shared" ref="BD88" si="773">IF(AO89="","",AO89)</f>
        <v/>
      </c>
      <c r="BE88" s="165" t="str">
        <f>IF(AD88="","",AD88)</f>
        <v/>
      </c>
      <c r="BF88" s="166">
        <f>IF(OR(L88='Listas Desplegables'!$B$4,L88='Listas Desplegables'!$B$5),"",WORKDAY(AX88,7,'Listas Desplegables'!$J$11:$J$18))</f>
        <v>10</v>
      </c>
    </row>
    <row r="89" spans="1:58" ht="12" hidden="1" customHeight="1" x14ac:dyDescent="0.35">
      <c r="A89" s="127" t="str">
        <f t="shared" ref="A89" si="774">CONCATENATE("A-",AO89)</f>
        <v>A-</v>
      </c>
      <c r="D89" s="159" t="str">
        <f t="shared" ref="D89" si="775">IF(AA89="",CONCATENATE(AA88,"-",AO89),CONCATENATE(AA89,"-",AO89))</f>
        <v>-</v>
      </c>
      <c r="E89" s="159">
        <f t="shared" ref="E89" si="776">L88</f>
        <v>0</v>
      </c>
      <c r="F89" s="160">
        <f t="shared" ref="F89" si="777">AL88</f>
        <v>0</v>
      </c>
      <c r="G89" s="160">
        <f t="shared" ref="G89" si="778">AL89</f>
        <v>0</v>
      </c>
      <c r="H89" s="160" t="str">
        <f t="shared" ref="H89" si="779">IF(AA89="","P","R")</f>
        <v>P</v>
      </c>
      <c r="K89" s="455"/>
      <c r="L89" s="383"/>
      <c r="M89" s="384"/>
      <c r="N89" s="384"/>
      <c r="O89" s="384"/>
      <c r="P89" s="384"/>
      <c r="Q89" s="384"/>
      <c r="R89" s="385"/>
      <c r="S89" s="389"/>
      <c r="T89" s="390"/>
      <c r="U89" s="390"/>
      <c r="V89" s="391"/>
      <c r="W89" s="392"/>
      <c r="X89" s="392"/>
      <c r="Y89" s="392"/>
      <c r="Z89" s="392"/>
      <c r="AA89" s="411"/>
      <c r="AB89" s="412"/>
      <c r="AC89" s="413"/>
      <c r="AD89" s="399"/>
      <c r="AE89" s="400"/>
      <c r="AF89" s="401"/>
      <c r="AG89" s="402"/>
      <c r="AH89" s="402"/>
      <c r="AI89" s="402"/>
      <c r="AJ89" s="414" t="s">
        <v>8</v>
      </c>
      <c r="AK89" s="415"/>
      <c r="AL89" s="405"/>
      <c r="AM89" s="406"/>
      <c r="AN89" s="407"/>
      <c r="AO89" s="416"/>
      <c r="AP89" s="417"/>
      <c r="AQ89" s="417"/>
      <c r="AR89" s="417"/>
      <c r="AS89" s="417"/>
      <c r="AT89" s="418"/>
      <c r="AU89" s="131"/>
      <c r="AX89" s="167"/>
      <c r="AY89" s="163"/>
      <c r="AZ89" s="163"/>
      <c r="BA89" s="163"/>
      <c r="BB89" s="163"/>
      <c r="BC89" s="163"/>
      <c r="BD89" s="163"/>
    </row>
    <row r="90" spans="1:58" ht="12" hidden="1" customHeight="1" x14ac:dyDescent="0.35">
      <c r="A90" s="127" t="str">
        <f t="shared" ref="A90" si="780">CONCATENATE("P-",AO90)</f>
        <v>P-</v>
      </c>
      <c r="B90" s="128" t="str">
        <f t="shared" ref="B90" si="781">IF(AA91="",CONCATENATE(AA90,"-",L90),CONCATENATE(AA91,"-",L90))</f>
        <v>-</v>
      </c>
      <c r="C90" s="128" t="str">
        <f t="shared" ref="C90" si="782">CONCATENATE(AO90," / ",AO91)</f>
        <v xml:space="preserve"> / </v>
      </c>
      <c r="D90" s="159" t="str">
        <f t="shared" ref="D90" si="783">IF(AA91="",CONCATENATE(AA90,"-",AO90),CONCATENATE(AA91,"-",AO90))</f>
        <v>-</v>
      </c>
      <c r="E90" s="159">
        <f t="shared" ref="E90" si="784">L90</f>
        <v>0</v>
      </c>
      <c r="F90" s="160">
        <f t="shared" ref="F90" si="785">AL90</f>
        <v>0</v>
      </c>
      <c r="G90" s="160">
        <f t="shared" ref="G90" si="786">AL91</f>
        <v>0</v>
      </c>
      <c r="H90" s="160" t="str">
        <f t="shared" ref="H90" si="787">IF(AA91="","P","R")</f>
        <v>P</v>
      </c>
      <c r="K90" s="454" t="str">
        <f>IF(OR(L90="",L90="Reunión de Apertura",L90="Reunión de Cierre"),"*",COUNT(K$17:K89)+1)</f>
        <v>*</v>
      </c>
      <c r="L90" s="380"/>
      <c r="M90" s="381"/>
      <c r="N90" s="381"/>
      <c r="O90" s="381"/>
      <c r="P90" s="381"/>
      <c r="Q90" s="381"/>
      <c r="R90" s="382"/>
      <c r="S90" s="386" t="str">
        <f>IFERROR(VLOOKUP(L90,'Listas Desplegables'!B:D,3,0),"")</f>
        <v/>
      </c>
      <c r="T90" s="387"/>
      <c r="U90" s="387"/>
      <c r="V90" s="388"/>
      <c r="W90" s="392"/>
      <c r="X90" s="392"/>
      <c r="Y90" s="392"/>
      <c r="Z90" s="392"/>
      <c r="AA90" s="393"/>
      <c r="AB90" s="394"/>
      <c r="AC90" s="395"/>
      <c r="AD90" s="396"/>
      <c r="AE90" s="397"/>
      <c r="AF90" s="398"/>
      <c r="AG90" s="402" t="str">
        <f t="shared" ref="AG90" si="788">IF(SUM(AL91-AL90)=0,"",AL91-AL90)</f>
        <v/>
      </c>
      <c r="AH90" s="402"/>
      <c r="AI90" s="402"/>
      <c r="AJ90" s="403" t="s">
        <v>31</v>
      </c>
      <c r="AK90" s="404"/>
      <c r="AL90" s="405"/>
      <c r="AM90" s="406"/>
      <c r="AN90" s="407"/>
      <c r="AO90" s="408"/>
      <c r="AP90" s="409"/>
      <c r="AQ90" s="409"/>
      <c r="AR90" s="409"/>
      <c r="AS90" s="409"/>
      <c r="AT90" s="410"/>
      <c r="AU90" s="131"/>
      <c r="AW90" s="161" t="str">
        <f t="shared" ref="AW90" si="789">K90</f>
        <v>*</v>
      </c>
      <c r="AX90" s="162">
        <f t="shared" ref="AX90" si="790">IF(AA91="",AA90,AA91)</f>
        <v>0</v>
      </c>
      <c r="AY90" s="163">
        <f t="shared" ref="AY90" si="791">L90</f>
        <v>0</v>
      </c>
      <c r="AZ90" s="163" t="str">
        <f t="shared" ref="AZ90" si="792">S90</f>
        <v/>
      </c>
      <c r="BA90" s="164">
        <f t="shared" ref="BA90" si="793">AL90</f>
        <v>0</v>
      </c>
      <c r="BB90" s="164">
        <f t="shared" ref="BB90" si="794">AL91</f>
        <v>0</v>
      </c>
      <c r="BC90" s="163">
        <f t="shared" ref="BC90" si="795">AO90</f>
        <v>0</v>
      </c>
      <c r="BD90" s="163" t="str">
        <f t="shared" ref="BD90" si="796">IF(AO91="","",AO91)</f>
        <v/>
      </c>
      <c r="BE90" s="165" t="str">
        <f>IF(AD90="","",AD90)</f>
        <v/>
      </c>
      <c r="BF90" s="166">
        <f>IF(OR(L90='Listas Desplegables'!$B$4,L90='Listas Desplegables'!$B$5),"",WORKDAY(AX90,7,'Listas Desplegables'!$J$11:$J$18))</f>
        <v>10</v>
      </c>
    </row>
    <row r="91" spans="1:58" ht="12" hidden="1" customHeight="1" x14ac:dyDescent="0.35">
      <c r="A91" s="127" t="str">
        <f t="shared" ref="A91" si="797">CONCATENATE("A-",AO91)</f>
        <v>A-</v>
      </c>
      <c r="D91" s="159" t="str">
        <f t="shared" ref="D91" si="798">IF(AA91="",CONCATENATE(AA90,"-",AO91),CONCATENATE(AA91,"-",AO91))</f>
        <v>-</v>
      </c>
      <c r="E91" s="159">
        <f t="shared" ref="E91" si="799">L90</f>
        <v>0</v>
      </c>
      <c r="F91" s="160">
        <f t="shared" ref="F91" si="800">AL90</f>
        <v>0</v>
      </c>
      <c r="G91" s="160">
        <f t="shared" ref="G91" si="801">AL91</f>
        <v>0</v>
      </c>
      <c r="H91" s="160" t="str">
        <f t="shared" ref="H91" si="802">IF(AA91="","P","R")</f>
        <v>P</v>
      </c>
      <c r="K91" s="455"/>
      <c r="L91" s="383"/>
      <c r="M91" s="384"/>
      <c r="N91" s="384"/>
      <c r="O91" s="384"/>
      <c r="P91" s="384"/>
      <c r="Q91" s="384"/>
      <c r="R91" s="385"/>
      <c r="S91" s="389"/>
      <c r="T91" s="390"/>
      <c r="U91" s="390"/>
      <c r="V91" s="391"/>
      <c r="W91" s="392"/>
      <c r="X91" s="392"/>
      <c r="Y91" s="392"/>
      <c r="Z91" s="392"/>
      <c r="AA91" s="411"/>
      <c r="AB91" s="412"/>
      <c r="AC91" s="413"/>
      <c r="AD91" s="399"/>
      <c r="AE91" s="400"/>
      <c r="AF91" s="401"/>
      <c r="AG91" s="402"/>
      <c r="AH91" s="402"/>
      <c r="AI91" s="402"/>
      <c r="AJ91" s="414" t="s">
        <v>8</v>
      </c>
      <c r="AK91" s="415"/>
      <c r="AL91" s="405"/>
      <c r="AM91" s="406"/>
      <c r="AN91" s="407"/>
      <c r="AO91" s="416"/>
      <c r="AP91" s="417"/>
      <c r="AQ91" s="417"/>
      <c r="AR91" s="417"/>
      <c r="AS91" s="417"/>
      <c r="AT91" s="418"/>
      <c r="AU91" s="131"/>
      <c r="AX91" s="167"/>
      <c r="AY91" s="163"/>
      <c r="AZ91" s="163"/>
      <c r="BA91" s="163"/>
      <c r="BB91" s="163"/>
      <c r="BC91" s="163"/>
      <c r="BD91" s="163"/>
    </row>
    <row r="92" spans="1:58" ht="12" hidden="1" customHeight="1" x14ac:dyDescent="0.35">
      <c r="A92" s="127" t="str">
        <f t="shared" ref="A92" si="803">CONCATENATE("P-",AO92)</f>
        <v>P-</v>
      </c>
      <c r="B92" s="128" t="str">
        <f t="shared" ref="B92" si="804">IF(AA93="",CONCATENATE(AA92,"-",L92),CONCATENATE(AA93,"-",L92))</f>
        <v>-</v>
      </c>
      <c r="C92" s="128" t="str">
        <f t="shared" ref="C92" si="805">CONCATENATE(AO92," / ",AO93)</f>
        <v xml:space="preserve"> / </v>
      </c>
      <c r="D92" s="159" t="str">
        <f t="shared" ref="D92" si="806">IF(AA93="",CONCATENATE(AA92,"-",AO92),CONCATENATE(AA93,"-",AO92))</f>
        <v>-</v>
      </c>
      <c r="E92" s="159">
        <f t="shared" ref="E92" si="807">L92</f>
        <v>0</v>
      </c>
      <c r="F92" s="160">
        <f t="shared" ref="F92" si="808">AL92</f>
        <v>0</v>
      </c>
      <c r="G92" s="160">
        <f t="shared" ref="G92" si="809">AL93</f>
        <v>0</v>
      </c>
      <c r="H92" s="160" t="str">
        <f t="shared" ref="H92" si="810">IF(AA93="","P","R")</f>
        <v>P</v>
      </c>
      <c r="K92" s="454" t="str">
        <f>IF(OR(L92="",L92="Reunión de Apertura",L92="Reunión de Cierre"),"*",COUNT(K$17:K91)+1)</f>
        <v>*</v>
      </c>
      <c r="L92" s="380"/>
      <c r="M92" s="381"/>
      <c r="N92" s="381"/>
      <c r="O92" s="381"/>
      <c r="P92" s="381"/>
      <c r="Q92" s="381"/>
      <c r="R92" s="382"/>
      <c r="S92" s="386" t="str">
        <f>IFERROR(VLOOKUP(L92,'Listas Desplegables'!B:D,3,0),"")</f>
        <v/>
      </c>
      <c r="T92" s="387"/>
      <c r="U92" s="387"/>
      <c r="V92" s="388"/>
      <c r="W92" s="392"/>
      <c r="X92" s="392"/>
      <c r="Y92" s="392"/>
      <c r="Z92" s="392"/>
      <c r="AA92" s="393"/>
      <c r="AB92" s="394"/>
      <c r="AC92" s="395"/>
      <c r="AD92" s="396"/>
      <c r="AE92" s="397"/>
      <c r="AF92" s="398"/>
      <c r="AG92" s="402" t="str">
        <f t="shared" ref="AG92" si="811">IF(SUM(AL93-AL92)=0,"",AL93-AL92)</f>
        <v/>
      </c>
      <c r="AH92" s="402"/>
      <c r="AI92" s="402"/>
      <c r="AJ92" s="403" t="s">
        <v>31</v>
      </c>
      <c r="AK92" s="404"/>
      <c r="AL92" s="405"/>
      <c r="AM92" s="406"/>
      <c r="AN92" s="407"/>
      <c r="AO92" s="408"/>
      <c r="AP92" s="409"/>
      <c r="AQ92" s="409"/>
      <c r="AR92" s="409"/>
      <c r="AS92" s="409"/>
      <c r="AT92" s="410"/>
      <c r="AU92" s="131"/>
      <c r="AW92" s="161" t="str">
        <f t="shared" ref="AW92" si="812">K92</f>
        <v>*</v>
      </c>
      <c r="AX92" s="162">
        <f t="shared" ref="AX92" si="813">IF(AA93="",AA92,AA93)</f>
        <v>0</v>
      </c>
      <c r="AY92" s="163">
        <f t="shared" ref="AY92" si="814">L92</f>
        <v>0</v>
      </c>
      <c r="AZ92" s="163" t="str">
        <f t="shared" ref="AZ92" si="815">S92</f>
        <v/>
      </c>
      <c r="BA92" s="164">
        <f t="shared" ref="BA92" si="816">AL92</f>
        <v>0</v>
      </c>
      <c r="BB92" s="164">
        <f t="shared" ref="BB92" si="817">AL93</f>
        <v>0</v>
      </c>
      <c r="BC92" s="163">
        <f t="shared" ref="BC92" si="818">AO92</f>
        <v>0</v>
      </c>
      <c r="BD92" s="163" t="str">
        <f t="shared" ref="BD92" si="819">IF(AO93="","",AO93)</f>
        <v/>
      </c>
      <c r="BE92" s="165" t="str">
        <f>IF(AD92="","",AD92)</f>
        <v/>
      </c>
      <c r="BF92" s="166">
        <f>IF(OR(L92='Listas Desplegables'!$B$4,L92='Listas Desplegables'!$B$5),"",WORKDAY(AX92,7,'Listas Desplegables'!$J$11:$J$18))</f>
        <v>10</v>
      </c>
    </row>
    <row r="93" spans="1:58" ht="12" hidden="1" customHeight="1" x14ac:dyDescent="0.35">
      <c r="A93" s="127" t="str">
        <f t="shared" ref="A93" si="820">CONCATENATE("A-",AO93)</f>
        <v>A-</v>
      </c>
      <c r="D93" s="159" t="str">
        <f t="shared" ref="D93" si="821">IF(AA93="",CONCATENATE(AA92,"-",AO93),CONCATENATE(AA93,"-",AO93))</f>
        <v>-</v>
      </c>
      <c r="E93" s="159">
        <f t="shared" ref="E93" si="822">L92</f>
        <v>0</v>
      </c>
      <c r="F93" s="160">
        <f t="shared" ref="F93" si="823">AL92</f>
        <v>0</v>
      </c>
      <c r="G93" s="160">
        <f t="shared" ref="G93" si="824">AL93</f>
        <v>0</v>
      </c>
      <c r="H93" s="160" t="str">
        <f t="shared" ref="H93" si="825">IF(AA93="","P","R")</f>
        <v>P</v>
      </c>
      <c r="K93" s="455"/>
      <c r="L93" s="383"/>
      <c r="M93" s="384"/>
      <c r="N93" s="384"/>
      <c r="O93" s="384"/>
      <c r="P93" s="384"/>
      <c r="Q93" s="384"/>
      <c r="R93" s="385"/>
      <c r="S93" s="389"/>
      <c r="T93" s="390"/>
      <c r="U93" s="390"/>
      <c r="V93" s="391"/>
      <c r="W93" s="392"/>
      <c r="X93" s="392"/>
      <c r="Y93" s="392"/>
      <c r="Z93" s="392"/>
      <c r="AA93" s="411"/>
      <c r="AB93" s="412"/>
      <c r="AC93" s="413"/>
      <c r="AD93" s="399"/>
      <c r="AE93" s="400"/>
      <c r="AF93" s="401"/>
      <c r="AG93" s="402"/>
      <c r="AH93" s="402"/>
      <c r="AI93" s="402"/>
      <c r="AJ93" s="414" t="s">
        <v>8</v>
      </c>
      <c r="AK93" s="415"/>
      <c r="AL93" s="405"/>
      <c r="AM93" s="406"/>
      <c r="AN93" s="407"/>
      <c r="AO93" s="416"/>
      <c r="AP93" s="417"/>
      <c r="AQ93" s="417"/>
      <c r="AR93" s="417"/>
      <c r="AS93" s="417"/>
      <c r="AT93" s="418"/>
      <c r="AU93" s="131"/>
      <c r="AX93" s="167"/>
      <c r="AY93" s="163"/>
      <c r="AZ93" s="163"/>
      <c r="BA93" s="163"/>
      <c r="BB93" s="163"/>
      <c r="BC93" s="163"/>
      <c r="BD93" s="163"/>
    </row>
    <row r="94" spans="1:58" ht="12" hidden="1" customHeight="1" x14ac:dyDescent="0.35">
      <c r="A94" s="127" t="str">
        <f t="shared" ref="A94" si="826">CONCATENATE("P-",AO94)</f>
        <v>P-</v>
      </c>
      <c r="B94" s="128" t="str">
        <f t="shared" ref="B94" si="827">IF(AA95="",CONCATENATE(AA94,"-",L94),CONCATENATE(AA95,"-",L94))</f>
        <v>-</v>
      </c>
      <c r="C94" s="128" t="str">
        <f t="shared" ref="C94" si="828">CONCATENATE(AO94," / ",AO95)</f>
        <v xml:space="preserve"> / </v>
      </c>
      <c r="D94" s="159" t="str">
        <f t="shared" ref="D94" si="829">IF(AA95="",CONCATENATE(AA94,"-",AO94),CONCATENATE(AA95,"-",AO94))</f>
        <v>-</v>
      </c>
      <c r="E94" s="159">
        <f t="shared" ref="E94" si="830">L94</f>
        <v>0</v>
      </c>
      <c r="F94" s="160">
        <f t="shared" ref="F94" si="831">AL94</f>
        <v>0</v>
      </c>
      <c r="G94" s="160">
        <f t="shared" ref="G94" si="832">AL95</f>
        <v>0</v>
      </c>
      <c r="H94" s="160" t="str">
        <f t="shared" ref="H94" si="833">IF(AA95="","P","R")</f>
        <v>P</v>
      </c>
      <c r="K94" s="454" t="str">
        <f>IF(OR(L94="",L94="Reunión de Apertura",L94="Reunión de Cierre"),"*",COUNT(K$17:K93)+1)</f>
        <v>*</v>
      </c>
      <c r="L94" s="380"/>
      <c r="M94" s="381"/>
      <c r="N94" s="381"/>
      <c r="O94" s="381"/>
      <c r="P94" s="381"/>
      <c r="Q94" s="381"/>
      <c r="R94" s="382"/>
      <c r="S94" s="386" t="str">
        <f>IFERROR(VLOOKUP(L94,'Listas Desplegables'!B:D,3,0),"")</f>
        <v/>
      </c>
      <c r="T94" s="387"/>
      <c r="U94" s="387"/>
      <c r="V94" s="388"/>
      <c r="W94" s="392"/>
      <c r="X94" s="392"/>
      <c r="Y94" s="392"/>
      <c r="Z94" s="392"/>
      <c r="AA94" s="393"/>
      <c r="AB94" s="394"/>
      <c r="AC94" s="395"/>
      <c r="AD94" s="396"/>
      <c r="AE94" s="397"/>
      <c r="AF94" s="398"/>
      <c r="AG94" s="402" t="str">
        <f t="shared" ref="AG94" si="834">IF(SUM(AL95-AL94)=0,"",AL95-AL94)</f>
        <v/>
      </c>
      <c r="AH94" s="402"/>
      <c r="AI94" s="402"/>
      <c r="AJ94" s="403" t="s">
        <v>31</v>
      </c>
      <c r="AK94" s="404"/>
      <c r="AL94" s="405"/>
      <c r="AM94" s="406"/>
      <c r="AN94" s="407"/>
      <c r="AO94" s="408"/>
      <c r="AP94" s="409"/>
      <c r="AQ94" s="409"/>
      <c r="AR94" s="409"/>
      <c r="AS94" s="409"/>
      <c r="AT94" s="410"/>
      <c r="AU94" s="131"/>
      <c r="AW94" s="161" t="str">
        <f t="shared" ref="AW94" si="835">K94</f>
        <v>*</v>
      </c>
      <c r="AX94" s="162">
        <f t="shared" ref="AX94" si="836">IF(AA95="",AA94,AA95)</f>
        <v>0</v>
      </c>
      <c r="AY94" s="163">
        <f t="shared" ref="AY94" si="837">L94</f>
        <v>0</v>
      </c>
      <c r="AZ94" s="163" t="str">
        <f t="shared" ref="AZ94" si="838">S94</f>
        <v/>
      </c>
      <c r="BA94" s="164">
        <f t="shared" ref="BA94" si="839">AL94</f>
        <v>0</v>
      </c>
      <c r="BB94" s="164">
        <f t="shared" ref="BB94" si="840">AL95</f>
        <v>0</v>
      </c>
      <c r="BC94" s="163">
        <f t="shared" ref="BC94" si="841">AO94</f>
        <v>0</v>
      </c>
      <c r="BD94" s="163" t="str">
        <f t="shared" ref="BD94" si="842">IF(AO95="","",AO95)</f>
        <v/>
      </c>
      <c r="BE94" s="165" t="str">
        <f>IF(AD94="","",AD94)</f>
        <v/>
      </c>
      <c r="BF94" s="166">
        <f>IF(OR(L94='Listas Desplegables'!$B$4,L94='Listas Desplegables'!$B$5),"",WORKDAY(AX94,7,'Listas Desplegables'!$J$11:$J$18))</f>
        <v>10</v>
      </c>
    </row>
    <row r="95" spans="1:58" ht="12" hidden="1" customHeight="1" x14ac:dyDescent="0.35">
      <c r="A95" s="127" t="str">
        <f t="shared" ref="A95" si="843">CONCATENATE("A-",AO95)</f>
        <v>A-</v>
      </c>
      <c r="D95" s="159" t="str">
        <f t="shared" ref="D95" si="844">IF(AA95="",CONCATENATE(AA94,"-",AO95),CONCATENATE(AA95,"-",AO95))</f>
        <v>-</v>
      </c>
      <c r="E95" s="159">
        <f t="shared" ref="E95" si="845">L94</f>
        <v>0</v>
      </c>
      <c r="F95" s="160">
        <f t="shared" ref="F95" si="846">AL94</f>
        <v>0</v>
      </c>
      <c r="G95" s="160">
        <f t="shared" ref="G95" si="847">AL95</f>
        <v>0</v>
      </c>
      <c r="H95" s="160" t="str">
        <f t="shared" ref="H95" si="848">IF(AA95="","P","R")</f>
        <v>P</v>
      </c>
      <c r="K95" s="455"/>
      <c r="L95" s="383"/>
      <c r="M95" s="384"/>
      <c r="N95" s="384"/>
      <c r="O95" s="384"/>
      <c r="P95" s="384"/>
      <c r="Q95" s="384"/>
      <c r="R95" s="385"/>
      <c r="S95" s="389"/>
      <c r="T95" s="390"/>
      <c r="U95" s="390"/>
      <c r="V95" s="391"/>
      <c r="W95" s="392"/>
      <c r="X95" s="392"/>
      <c r="Y95" s="392"/>
      <c r="Z95" s="392"/>
      <c r="AA95" s="411"/>
      <c r="AB95" s="412"/>
      <c r="AC95" s="413"/>
      <c r="AD95" s="399"/>
      <c r="AE95" s="400"/>
      <c r="AF95" s="401"/>
      <c r="AG95" s="402"/>
      <c r="AH95" s="402"/>
      <c r="AI95" s="402"/>
      <c r="AJ95" s="414" t="s">
        <v>8</v>
      </c>
      <c r="AK95" s="415"/>
      <c r="AL95" s="405"/>
      <c r="AM95" s="406"/>
      <c r="AN95" s="407"/>
      <c r="AO95" s="416"/>
      <c r="AP95" s="417"/>
      <c r="AQ95" s="417"/>
      <c r="AR95" s="417"/>
      <c r="AS95" s="417"/>
      <c r="AT95" s="418"/>
      <c r="AU95" s="131"/>
      <c r="AX95" s="167"/>
      <c r="AY95" s="163"/>
      <c r="AZ95" s="163"/>
      <c r="BA95" s="163"/>
      <c r="BB95" s="163"/>
      <c r="BC95" s="163"/>
      <c r="BD95" s="163"/>
    </row>
    <row r="96" spans="1:58" ht="12" hidden="1" customHeight="1" x14ac:dyDescent="0.35">
      <c r="A96" s="127" t="str">
        <f t="shared" ref="A96" si="849">CONCATENATE("P-",AO96)</f>
        <v>P-</v>
      </c>
      <c r="B96" s="128" t="str">
        <f t="shared" ref="B96" si="850">IF(AA97="",CONCATENATE(AA96,"-",L96),CONCATENATE(AA97,"-",L96))</f>
        <v>-</v>
      </c>
      <c r="C96" s="128" t="str">
        <f t="shared" ref="C96" si="851">CONCATENATE(AO96," / ",AO97)</f>
        <v xml:space="preserve"> / </v>
      </c>
      <c r="D96" s="159" t="str">
        <f t="shared" ref="D96" si="852">IF(AA97="",CONCATENATE(AA96,"-",AO96),CONCATENATE(AA97,"-",AO96))</f>
        <v>-</v>
      </c>
      <c r="E96" s="159">
        <f t="shared" ref="E96" si="853">L96</f>
        <v>0</v>
      </c>
      <c r="F96" s="160">
        <f t="shared" ref="F96" si="854">AL96</f>
        <v>0</v>
      </c>
      <c r="G96" s="160">
        <f t="shared" ref="G96" si="855">AL97</f>
        <v>0</v>
      </c>
      <c r="H96" s="160" t="str">
        <f t="shared" ref="H96" si="856">IF(AA97="","P","R")</f>
        <v>P</v>
      </c>
      <c r="K96" s="454" t="str">
        <f>IF(OR(L96="",L96="Reunión de Apertura",L96="Reunión de Cierre"),"*",COUNT(K$17:K95)+1)</f>
        <v>*</v>
      </c>
      <c r="L96" s="380"/>
      <c r="M96" s="381"/>
      <c r="N96" s="381"/>
      <c r="O96" s="381"/>
      <c r="P96" s="381"/>
      <c r="Q96" s="381"/>
      <c r="R96" s="382"/>
      <c r="S96" s="386" t="str">
        <f>IFERROR(VLOOKUP(L96,'Listas Desplegables'!B:D,3,0),"")</f>
        <v/>
      </c>
      <c r="T96" s="387"/>
      <c r="U96" s="387"/>
      <c r="V96" s="388"/>
      <c r="W96" s="392"/>
      <c r="X96" s="392"/>
      <c r="Y96" s="392"/>
      <c r="Z96" s="392"/>
      <c r="AA96" s="393"/>
      <c r="AB96" s="394"/>
      <c r="AC96" s="395"/>
      <c r="AD96" s="396"/>
      <c r="AE96" s="397"/>
      <c r="AF96" s="398"/>
      <c r="AG96" s="402" t="str">
        <f t="shared" ref="AG96" si="857">IF(SUM(AL97-AL96)=0,"",AL97-AL96)</f>
        <v/>
      </c>
      <c r="AH96" s="402"/>
      <c r="AI96" s="402"/>
      <c r="AJ96" s="403" t="s">
        <v>31</v>
      </c>
      <c r="AK96" s="404"/>
      <c r="AL96" s="405"/>
      <c r="AM96" s="406"/>
      <c r="AN96" s="407"/>
      <c r="AO96" s="408"/>
      <c r="AP96" s="409"/>
      <c r="AQ96" s="409"/>
      <c r="AR96" s="409"/>
      <c r="AS96" s="409"/>
      <c r="AT96" s="410"/>
      <c r="AU96" s="131"/>
      <c r="AW96" s="161" t="str">
        <f t="shared" ref="AW96" si="858">K96</f>
        <v>*</v>
      </c>
      <c r="AX96" s="162">
        <f t="shared" ref="AX96" si="859">IF(AA97="",AA96,AA97)</f>
        <v>0</v>
      </c>
      <c r="AY96" s="163">
        <f t="shared" ref="AY96" si="860">L96</f>
        <v>0</v>
      </c>
      <c r="AZ96" s="163" t="str">
        <f t="shared" ref="AZ96" si="861">S96</f>
        <v/>
      </c>
      <c r="BA96" s="164">
        <f t="shared" ref="BA96" si="862">AL96</f>
        <v>0</v>
      </c>
      <c r="BB96" s="164">
        <f t="shared" ref="BB96" si="863">AL97</f>
        <v>0</v>
      </c>
      <c r="BC96" s="163">
        <f t="shared" ref="BC96" si="864">AO96</f>
        <v>0</v>
      </c>
      <c r="BD96" s="163" t="str">
        <f t="shared" ref="BD96" si="865">IF(AO97="","",AO97)</f>
        <v/>
      </c>
      <c r="BE96" s="165" t="str">
        <f>IF(AD96="","",AD96)</f>
        <v/>
      </c>
      <c r="BF96" s="166">
        <f>IF(OR(L96='Listas Desplegables'!$B$4,L96='Listas Desplegables'!$B$5),"",WORKDAY(AX96,7,'Listas Desplegables'!$J$11:$J$18))</f>
        <v>10</v>
      </c>
    </row>
    <row r="97" spans="1:58" ht="12" hidden="1" customHeight="1" x14ac:dyDescent="0.35">
      <c r="A97" s="127" t="str">
        <f t="shared" ref="A97" si="866">CONCATENATE("A-",AO97)</f>
        <v>A-</v>
      </c>
      <c r="D97" s="159" t="str">
        <f t="shared" ref="D97" si="867">IF(AA97="",CONCATENATE(AA96,"-",AO97),CONCATENATE(AA97,"-",AO97))</f>
        <v>-</v>
      </c>
      <c r="E97" s="159">
        <f t="shared" ref="E97" si="868">L96</f>
        <v>0</v>
      </c>
      <c r="F97" s="160">
        <f t="shared" ref="F97" si="869">AL96</f>
        <v>0</v>
      </c>
      <c r="G97" s="160">
        <f t="shared" ref="G97" si="870">AL97</f>
        <v>0</v>
      </c>
      <c r="H97" s="160" t="str">
        <f t="shared" ref="H97" si="871">IF(AA97="","P","R")</f>
        <v>P</v>
      </c>
      <c r="K97" s="455"/>
      <c r="L97" s="383"/>
      <c r="M97" s="384"/>
      <c r="N97" s="384"/>
      <c r="O97" s="384"/>
      <c r="P97" s="384"/>
      <c r="Q97" s="384"/>
      <c r="R97" s="385"/>
      <c r="S97" s="389"/>
      <c r="T97" s="390"/>
      <c r="U97" s="390"/>
      <c r="V97" s="391"/>
      <c r="W97" s="392"/>
      <c r="X97" s="392"/>
      <c r="Y97" s="392"/>
      <c r="Z97" s="392"/>
      <c r="AA97" s="411"/>
      <c r="AB97" s="412"/>
      <c r="AC97" s="413"/>
      <c r="AD97" s="399"/>
      <c r="AE97" s="400"/>
      <c r="AF97" s="401"/>
      <c r="AG97" s="402"/>
      <c r="AH97" s="402"/>
      <c r="AI97" s="402"/>
      <c r="AJ97" s="414" t="s">
        <v>8</v>
      </c>
      <c r="AK97" s="415"/>
      <c r="AL97" s="405"/>
      <c r="AM97" s="406"/>
      <c r="AN97" s="407"/>
      <c r="AO97" s="416"/>
      <c r="AP97" s="417"/>
      <c r="AQ97" s="417"/>
      <c r="AR97" s="417"/>
      <c r="AS97" s="417"/>
      <c r="AT97" s="418"/>
      <c r="AU97" s="131"/>
      <c r="AX97" s="167"/>
      <c r="AY97" s="163"/>
      <c r="AZ97" s="163"/>
      <c r="BA97" s="163"/>
      <c r="BB97" s="163"/>
      <c r="BC97" s="163"/>
      <c r="BD97" s="163"/>
    </row>
    <row r="98" spans="1:58" ht="12" hidden="1" customHeight="1" x14ac:dyDescent="0.35">
      <c r="A98" s="127" t="str">
        <f t="shared" ref="A98" si="872">CONCATENATE("P-",AO98)</f>
        <v>P-</v>
      </c>
      <c r="B98" s="128" t="str">
        <f t="shared" ref="B98" si="873">IF(AA99="",CONCATENATE(AA98,"-",L98),CONCATENATE(AA99,"-",L98))</f>
        <v>-</v>
      </c>
      <c r="C98" s="128" t="str">
        <f t="shared" ref="C98" si="874">CONCATENATE(AO98," / ",AO99)</f>
        <v xml:space="preserve"> / </v>
      </c>
      <c r="D98" s="159" t="str">
        <f t="shared" ref="D98" si="875">IF(AA99="",CONCATENATE(AA98,"-",AO98),CONCATENATE(AA99,"-",AO98))</f>
        <v>-</v>
      </c>
      <c r="E98" s="159">
        <f t="shared" ref="E98" si="876">L98</f>
        <v>0</v>
      </c>
      <c r="F98" s="160">
        <f t="shared" ref="F98" si="877">AL98</f>
        <v>0</v>
      </c>
      <c r="G98" s="160">
        <f t="shared" ref="G98" si="878">AL99</f>
        <v>0</v>
      </c>
      <c r="H98" s="160" t="str">
        <f t="shared" ref="H98" si="879">IF(AA99="","P","R")</f>
        <v>P</v>
      </c>
      <c r="K98" s="454" t="str">
        <f>IF(OR(L98="",L98="Reunión de Apertura",L98="Reunión de Cierre"),"*",COUNT(K$17:K97)+1)</f>
        <v>*</v>
      </c>
      <c r="L98" s="380"/>
      <c r="M98" s="381"/>
      <c r="N98" s="381"/>
      <c r="O98" s="381"/>
      <c r="P98" s="381"/>
      <c r="Q98" s="381"/>
      <c r="R98" s="382"/>
      <c r="S98" s="386" t="str">
        <f>IFERROR(VLOOKUP(L98,'Listas Desplegables'!B:D,3,0),"")</f>
        <v/>
      </c>
      <c r="T98" s="387"/>
      <c r="U98" s="387"/>
      <c r="V98" s="388"/>
      <c r="W98" s="392"/>
      <c r="X98" s="392"/>
      <c r="Y98" s="392"/>
      <c r="Z98" s="392"/>
      <c r="AA98" s="393"/>
      <c r="AB98" s="394"/>
      <c r="AC98" s="395"/>
      <c r="AD98" s="396"/>
      <c r="AE98" s="397"/>
      <c r="AF98" s="398"/>
      <c r="AG98" s="402" t="str">
        <f t="shared" ref="AG98" si="880">IF(SUM(AL99-AL98)=0,"",AL99-AL98)</f>
        <v/>
      </c>
      <c r="AH98" s="402"/>
      <c r="AI98" s="402"/>
      <c r="AJ98" s="403" t="s">
        <v>31</v>
      </c>
      <c r="AK98" s="404"/>
      <c r="AL98" s="405"/>
      <c r="AM98" s="406"/>
      <c r="AN98" s="407"/>
      <c r="AO98" s="408"/>
      <c r="AP98" s="409"/>
      <c r="AQ98" s="409"/>
      <c r="AR98" s="409"/>
      <c r="AS98" s="409"/>
      <c r="AT98" s="410"/>
      <c r="AU98" s="131"/>
      <c r="AW98" s="161" t="str">
        <f t="shared" ref="AW98" si="881">K98</f>
        <v>*</v>
      </c>
      <c r="AX98" s="162">
        <f t="shared" ref="AX98" si="882">IF(AA99="",AA98,AA99)</f>
        <v>0</v>
      </c>
      <c r="AY98" s="163">
        <f t="shared" ref="AY98" si="883">L98</f>
        <v>0</v>
      </c>
      <c r="AZ98" s="163" t="str">
        <f t="shared" ref="AZ98" si="884">S98</f>
        <v/>
      </c>
      <c r="BA98" s="164">
        <f t="shared" ref="BA98" si="885">AL98</f>
        <v>0</v>
      </c>
      <c r="BB98" s="164">
        <f t="shared" ref="BB98" si="886">AL99</f>
        <v>0</v>
      </c>
      <c r="BC98" s="163">
        <f t="shared" ref="BC98" si="887">AO98</f>
        <v>0</v>
      </c>
      <c r="BD98" s="163" t="str">
        <f t="shared" ref="BD98" si="888">IF(AO99="","",AO99)</f>
        <v/>
      </c>
      <c r="BE98" s="165" t="str">
        <f>IF(AD98="","",AD98)</f>
        <v/>
      </c>
      <c r="BF98" s="166">
        <f>IF(OR(L98='Listas Desplegables'!$B$4,L98='Listas Desplegables'!$B$5),"",WORKDAY(AX98,7,'Listas Desplegables'!$J$11:$J$18))</f>
        <v>10</v>
      </c>
    </row>
    <row r="99" spans="1:58" ht="12" hidden="1" customHeight="1" x14ac:dyDescent="0.35">
      <c r="A99" s="127" t="str">
        <f t="shared" ref="A99" si="889">CONCATENATE("A-",AO99)</f>
        <v>A-</v>
      </c>
      <c r="D99" s="159" t="str">
        <f t="shared" ref="D99" si="890">IF(AA99="",CONCATENATE(AA98,"-",AO99),CONCATENATE(AA99,"-",AO99))</f>
        <v>-</v>
      </c>
      <c r="E99" s="159">
        <f t="shared" ref="E99" si="891">L98</f>
        <v>0</v>
      </c>
      <c r="F99" s="160">
        <f t="shared" ref="F99" si="892">AL98</f>
        <v>0</v>
      </c>
      <c r="G99" s="160">
        <f t="shared" ref="G99" si="893">AL99</f>
        <v>0</v>
      </c>
      <c r="H99" s="160" t="str">
        <f t="shared" ref="H99" si="894">IF(AA99="","P","R")</f>
        <v>P</v>
      </c>
      <c r="K99" s="455"/>
      <c r="L99" s="383"/>
      <c r="M99" s="384"/>
      <c r="N99" s="384"/>
      <c r="O99" s="384"/>
      <c r="P99" s="384"/>
      <c r="Q99" s="384"/>
      <c r="R99" s="385"/>
      <c r="S99" s="389"/>
      <c r="T99" s="390"/>
      <c r="U99" s="390"/>
      <c r="V99" s="391"/>
      <c r="W99" s="392"/>
      <c r="X99" s="392"/>
      <c r="Y99" s="392"/>
      <c r="Z99" s="392"/>
      <c r="AA99" s="411"/>
      <c r="AB99" s="412"/>
      <c r="AC99" s="413"/>
      <c r="AD99" s="399"/>
      <c r="AE99" s="400"/>
      <c r="AF99" s="401"/>
      <c r="AG99" s="402"/>
      <c r="AH99" s="402"/>
      <c r="AI99" s="402"/>
      <c r="AJ99" s="414" t="s">
        <v>8</v>
      </c>
      <c r="AK99" s="415"/>
      <c r="AL99" s="405"/>
      <c r="AM99" s="406"/>
      <c r="AN99" s="407"/>
      <c r="AO99" s="416"/>
      <c r="AP99" s="417"/>
      <c r="AQ99" s="417"/>
      <c r="AR99" s="417"/>
      <c r="AS99" s="417"/>
      <c r="AT99" s="418"/>
      <c r="AU99" s="131"/>
      <c r="AX99" s="167"/>
      <c r="AY99" s="163"/>
      <c r="AZ99" s="163"/>
      <c r="BA99" s="163"/>
      <c r="BB99" s="163"/>
      <c r="BC99" s="163"/>
      <c r="BD99" s="163"/>
    </row>
    <row r="100" spans="1:58" ht="12" hidden="1" customHeight="1" x14ac:dyDescent="0.35">
      <c r="A100" s="127" t="str">
        <f t="shared" ref="A100" si="895">CONCATENATE("P-",AO100)</f>
        <v>P-</v>
      </c>
      <c r="B100" s="128" t="str">
        <f t="shared" ref="B100" si="896">IF(AA101="",CONCATENATE(AA100,"-",L100),CONCATENATE(AA101,"-",L100))</f>
        <v>-</v>
      </c>
      <c r="C100" s="128" t="str">
        <f t="shared" ref="C100" si="897">CONCATENATE(AO100," / ",AO101)</f>
        <v xml:space="preserve"> / </v>
      </c>
      <c r="D100" s="159" t="str">
        <f t="shared" ref="D100" si="898">IF(AA101="",CONCATENATE(AA100,"-",AO100),CONCATENATE(AA101,"-",AO100))</f>
        <v>-</v>
      </c>
      <c r="E100" s="159">
        <f t="shared" ref="E100" si="899">L100</f>
        <v>0</v>
      </c>
      <c r="F100" s="160">
        <f t="shared" ref="F100" si="900">AL100</f>
        <v>0</v>
      </c>
      <c r="G100" s="160">
        <f t="shared" ref="G100" si="901">AL101</f>
        <v>0</v>
      </c>
      <c r="H100" s="160" t="str">
        <f t="shared" ref="H100" si="902">IF(AA101="","P","R")</f>
        <v>P</v>
      </c>
      <c r="K100" s="454" t="str">
        <f>IF(OR(L100="",L100="Reunión de Apertura",L100="Reunión de Cierre"),"*",COUNT(K$17:K99)+1)</f>
        <v>*</v>
      </c>
      <c r="L100" s="380"/>
      <c r="M100" s="381"/>
      <c r="N100" s="381"/>
      <c r="O100" s="381"/>
      <c r="P100" s="381"/>
      <c r="Q100" s="381"/>
      <c r="R100" s="382"/>
      <c r="S100" s="386" t="str">
        <f>IFERROR(VLOOKUP(L100,'Listas Desplegables'!B:D,3,0),"")</f>
        <v/>
      </c>
      <c r="T100" s="387"/>
      <c r="U100" s="387"/>
      <c r="V100" s="388"/>
      <c r="W100" s="392"/>
      <c r="X100" s="392"/>
      <c r="Y100" s="392"/>
      <c r="Z100" s="392"/>
      <c r="AA100" s="393"/>
      <c r="AB100" s="394"/>
      <c r="AC100" s="395"/>
      <c r="AD100" s="396"/>
      <c r="AE100" s="397"/>
      <c r="AF100" s="398"/>
      <c r="AG100" s="402" t="str">
        <f t="shared" ref="AG100" si="903">IF(SUM(AL101-AL100)=0,"",AL101-AL100)</f>
        <v/>
      </c>
      <c r="AH100" s="402"/>
      <c r="AI100" s="402"/>
      <c r="AJ100" s="403" t="s">
        <v>31</v>
      </c>
      <c r="AK100" s="404"/>
      <c r="AL100" s="405"/>
      <c r="AM100" s="406"/>
      <c r="AN100" s="407"/>
      <c r="AO100" s="408"/>
      <c r="AP100" s="409"/>
      <c r="AQ100" s="409"/>
      <c r="AR100" s="409"/>
      <c r="AS100" s="409"/>
      <c r="AT100" s="410"/>
      <c r="AU100" s="131"/>
      <c r="AW100" s="161" t="str">
        <f t="shared" ref="AW100" si="904">K100</f>
        <v>*</v>
      </c>
      <c r="AX100" s="162">
        <f t="shared" ref="AX100" si="905">IF(AA101="",AA100,AA101)</f>
        <v>0</v>
      </c>
      <c r="AY100" s="163">
        <f t="shared" ref="AY100" si="906">L100</f>
        <v>0</v>
      </c>
      <c r="AZ100" s="163" t="str">
        <f t="shared" ref="AZ100" si="907">S100</f>
        <v/>
      </c>
      <c r="BA100" s="164">
        <f t="shared" ref="BA100" si="908">AL100</f>
        <v>0</v>
      </c>
      <c r="BB100" s="164">
        <f t="shared" ref="BB100" si="909">AL101</f>
        <v>0</v>
      </c>
      <c r="BC100" s="163">
        <f t="shared" ref="BC100" si="910">AO100</f>
        <v>0</v>
      </c>
      <c r="BD100" s="163" t="str">
        <f t="shared" ref="BD100" si="911">IF(AO101="","",AO101)</f>
        <v/>
      </c>
      <c r="BE100" s="165" t="str">
        <f>IF(AD100="","",AD100)</f>
        <v/>
      </c>
      <c r="BF100" s="166">
        <f>IF(OR(L100='Listas Desplegables'!$B$4,L100='Listas Desplegables'!$B$5),"",WORKDAY(AX100,7,'Listas Desplegables'!$J$11:$J$18))</f>
        <v>10</v>
      </c>
    </row>
    <row r="101" spans="1:58" ht="12" hidden="1" customHeight="1" x14ac:dyDescent="0.35">
      <c r="A101" s="127" t="str">
        <f t="shared" ref="A101" si="912">CONCATENATE("A-",AO101)</f>
        <v>A-</v>
      </c>
      <c r="D101" s="159" t="str">
        <f t="shared" ref="D101" si="913">IF(AA101="",CONCATENATE(AA100,"-",AO101),CONCATENATE(AA101,"-",AO101))</f>
        <v>-</v>
      </c>
      <c r="E101" s="159">
        <f t="shared" ref="E101" si="914">L100</f>
        <v>0</v>
      </c>
      <c r="F101" s="160">
        <f t="shared" ref="F101" si="915">AL100</f>
        <v>0</v>
      </c>
      <c r="G101" s="160">
        <f t="shared" ref="G101" si="916">AL101</f>
        <v>0</v>
      </c>
      <c r="H101" s="160" t="str">
        <f t="shared" ref="H101" si="917">IF(AA101="","P","R")</f>
        <v>P</v>
      </c>
      <c r="K101" s="455"/>
      <c r="L101" s="383"/>
      <c r="M101" s="384"/>
      <c r="N101" s="384"/>
      <c r="O101" s="384"/>
      <c r="P101" s="384"/>
      <c r="Q101" s="384"/>
      <c r="R101" s="385"/>
      <c r="S101" s="389"/>
      <c r="T101" s="390"/>
      <c r="U101" s="390"/>
      <c r="V101" s="391"/>
      <c r="W101" s="392"/>
      <c r="X101" s="392"/>
      <c r="Y101" s="392"/>
      <c r="Z101" s="392"/>
      <c r="AA101" s="411"/>
      <c r="AB101" s="412"/>
      <c r="AC101" s="413"/>
      <c r="AD101" s="399"/>
      <c r="AE101" s="400"/>
      <c r="AF101" s="401"/>
      <c r="AG101" s="402"/>
      <c r="AH101" s="402"/>
      <c r="AI101" s="402"/>
      <c r="AJ101" s="414" t="s">
        <v>8</v>
      </c>
      <c r="AK101" s="415"/>
      <c r="AL101" s="405"/>
      <c r="AM101" s="406"/>
      <c r="AN101" s="407"/>
      <c r="AO101" s="416"/>
      <c r="AP101" s="417"/>
      <c r="AQ101" s="417"/>
      <c r="AR101" s="417"/>
      <c r="AS101" s="417"/>
      <c r="AT101" s="418"/>
      <c r="AU101" s="131"/>
      <c r="AX101" s="167"/>
      <c r="AY101" s="163"/>
      <c r="AZ101" s="163"/>
      <c r="BA101" s="163"/>
      <c r="BB101" s="163"/>
      <c r="BC101" s="163"/>
      <c r="BD101" s="163"/>
    </row>
    <row r="102" spans="1:58" ht="12" hidden="1" customHeight="1" x14ac:dyDescent="0.35">
      <c r="A102" s="127" t="str">
        <f t="shared" ref="A102" si="918">CONCATENATE("P-",AO102)</f>
        <v>P-</v>
      </c>
      <c r="B102" s="128" t="str">
        <f t="shared" ref="B102" si="919">IF(AA103="",CONCATENATE(AA102,"-",L102),CONCATENATE(AA103,"-",L102))</f>
        <v>-</v>
      </c>
      <c r="C102" s="128" t="str">
        <f t="shared" ref="C102" si="920">CONCATENATE(AO102," / ",AO103)</f>
        <v xml:space="preserve"> / </v>
      </c>
      <c r="D102" s="159" t="str">
        <f t="shared" ref="D102" si="921">IF(AA103="",CONCATENATE(AA102,"-",AO102),CONCATENATE(AA103,"-",AO102))</f>
        <v>-</v>
      </c>
      <c r="E102" s="159">
        <f t="shared" ref="E102" si="922">L102</f>
        <v>0</v>
      </c>
      <c r="F102" s="160">
        <f t="shared" ref="F102" si="923">AL102</f>
        <v>0</v>
      </c>
      <c r="G102" s="160">
        <f t="shared" ref="G102" si="924">AL103</f>
        <v>0</v>
      </c>
      <c r="H102" s="160" t="str">
        <f t="shared" ref="H102" si="925">IF(AA103="","P","R")</f>
        <v>P</v>
      </c>
      <c r="K102" s="454" t="str">
        <f>IF(OR(L102="",L102="Reunión de Apertura",L102="Reunión de Cierre"),"*",COUNT(K$17:K101)+1)</f>
        <v>*</v>
      </c>
      <c r="L102" s="380"/>
      <c r="M102" s="381"/>
      <c r="N102" s="381"/>
      <c r="O102" s="381"/>
      <c r="P102" s="381"/>
      <c r="Q102" s="381"/>
      <c r="R102" s="382"/>
      <c r="S102" s="386" t="str">
        <f>IFERROR(VLOOKUP(L102,'Listas Desplegables'!B:D,3,0),"")</f>
        <v/>
      </c>
      <c r="T102" s="387"/>
      <c r="U102" s="387"/>
      <c r="V102" s="388"/>
      <c r="W102" s="392"/>
      <c r="X102" s="392"/>
      <c r="Y102" s="392"/>
      <c r="Z102" s="392"/>
      <c r="AA102" s="393"/>
      <c r="AB102" s="394"/>
      <c r="AC102" s="395"/>
      <c r="AD102" s="396"/>
      <c r="AE102" s="397"/>
      <c r="AF102" s="398"/>
      <c r="AG102" s="402" t="str">
        <f t="shared" ref="AG102" si="926">IF(SUM(AL103-AL102)=0,"",AL103-AL102)</f>
        <v/>
      </c>
      <c r="AH102" s="402"/>
      <c r="AI102" s="402"/>
      <c r="AJ102" s="403" t="s">
        <v>31</v>
      </c>
      <c r="AK102" s="404"/>
      <c r="AL102" s="405"/>
      <c r="AM102" s="406"/>
      <c r="AN102" s="407"/>
      <c r="AO102" s="408"/>
      <c r="AP102" s="409"/>
      <c r="AQ102" s="409"/>
      <c r="AR102" s="409"/>
      <c r="AS102" s="409"/>
      <c r="AT102" s="410"/>
      <c r="AU102" s="131"/>
      <c r="AW102" s="161" t="str">
        <f t="shared" ref="AW102" si="927">K102</f>
        <v>*</v>
      </c>
      <c r="AX102" s="162">
        <f t="shared" ref="AX102" si="928">IF(AA103="",AA102,AA103)</f>
        <v>0</v>
      </c>
      <c r="AY102" s="163">
        <f t="shared" ref="AY102" si="929">L102</f>
        <v>0</v>
      </c>
      <c r="AZ102" s="163" t="str">
        <f t="shared" ref="AZ102" si="930">S102</f>
        <v/>
      </c>
      <c r="BA102" s="164">
        <f t="shared" ref="BA102" si="931">AL102</f>
        <v>0</v>
      </c>
      <c r="BB102" s="164">
        <f t="shared" ref="BB102" si="932">AL103</f>
        <v>0</v>
      </c>
      <c r="BC102" s="163">
        <f t="shared" ref="BC102" si="933">AO102</f>
        <v>0</v>
      </c>
      <c r="BD102" s="163" t="str">
        <f t="shared" ref="BD102" si="934">IF(AO103="","",AO103)</f>
        <v/>
      </c>
      <c r="BE102" s="165" t="str">
        <f>IF(AD102="","",AD102)</f>
        <v/>
      </c>
      <c r="BF102" s="166">
        <f>IF(OR(L102='Listas Desplegables'!$B$4,L102='Listas Desplegables'!$B$5),"",WORKDAY(AX102,7,'Listas Desplegables'!$J$11:$J$18))</f>
        <v>10</v>
      </c>
    </row>
    <row r="103" spans="1:58" ht="12" hidden="1" customHeight="1" x14ac:dyDescent="0.35">
      <c r="A103" s="127" t="str">
        <f t="shared" ref="A103" si="935">CONCATENATE("A-",AO103)</f>
        <v>A-</v>
      </c>
      <c r="D103" s="159" t="str">
        <f t="shared" ref="D103" si="936">IF(AA103="",CONCATENATE(AA102,"-",AO103),CONCATENATE(AA103,"-",AO103))</f>
        <v>-</v>
      </c>
      <c r="E103" s="159">
        <f t="shared" ref="E103" si="937">L102</f>
        <v>0</v>
      </c>
      <c r="F103" s="160">
        <f t="shared" ref="F103" si="938">AL102</f>
        <v>0</v>
      </c>
      <c r="G103" s="160">
        <f t="shared" ref="G103" si="939">AL103</f>
        <v>0</v>
      </c>
      <c r="H103" s="160" t="str">
        <f t="shared" ref="H103" si="940">IF(AA103="","P","R")</f>
        <v>P</v>
      </c>
      <c r="K103" s="455"/>
      <c r="L103" s="383"/>
      <c r="M103" s="384"/>
      <c r="N103" s="384"/>
      <c r="O103" s="384"/>
      <c r="P103" s="384"/>
      <c r="Q103" s="384"/>
      <c r="R103" s="385"/>
      <c r="S103" s="389"/>
      <c r="T103" s="390"/>
      <c r="U103" s="390"/>
      <c r="V103" s="391"/>
      <c r="W103" s="392"/>
      <c r="X103" s="392"/>
      <c r="Y103" s="392"/>
      <c r="Z103" s="392"/>
      <c r="AA103" s="411"/>
      <c r="AB103" s="412"/>
      <c r="AC103" s="413"/>
      <c r="AD103" s="399"/>
      <c r="AE103" s="400"/>
      <c r="AF103" s="401"/>
      <c r="AG103" s="402"/>
      <c r="AH103" s="402"/>
      <c r="AI103" s="402"/>
      <c r="AJ103" s="414" t="s">
        <v>8</v>
      </c>
      <c r="AK103" s="415"/>
      <c r="AL103" s="405"/>
      <c r="AM103" s="406"/>
      <c r="AN103" s="407"/>
      <c r="AO103" s="416"/>
      <c r="AP103" s="417"/>
      <c r="AQ103" s="417"/>
      <c r="AR103" s="417"/>
      <c r="AS103" s="417"/>
      <c r="AT103" s="418"/>
      <c r="AU103" s="131"/>
      <c r="AX103" s="167"/>
      <c r="AY103" s="163"/>
      <c r="AZ103" s="163"/>
      <c r="BA103" s="163"/>
      <c r="BB103" s="163"/>
      <c r="BC103" s="163"/>
      <c r="BD103" s="163"/>
    </row>
    <row r="104" spans="1:58" ht="12" hidden="1" customHeight="1" x14ac:dyDescent="0.35">
      <c r="A104" s="127" t="str">
        <f t="shared" ref="A104" si="941">CONCATENATE("P-",AO104)</f>
        <v>P-</v>
      </c>
      <c r="B104" s="128" t="str">
        <f t="shared" ref="B104" si="942">IF(AA105="",CONCATENATE(AA104,"-",L104),CONCATENATE(AA105,"-",L104))</f>
        <v>-</v>
      </c>
      <c r="C104" s="128" t="str">
        <f t="shared" ref="C104" si="943">CONCATENATE(AO104," / ",AO105)</f>
        <v xml:space="preserve"> / </v>
      </c>
      <c r="D104" s="159" t="str">
        <f t="shared" ref="D104" si="944">IF(AA105="",CONCATENATE(AA104,"-",AO104),CONCATENATE(AA105,"-",AO104))</f>
        <v>-</v>
      </c>
      <c r="E104" s="159">
        <f t="shared" ref="E104" si="945">L104</f>
        <v>0</v>
      </c>
      <c r="F104" s="160">
        <f t="shared" ref="F104" si="946">AL104</f>
        <v>0</v>
      </c>
      <c r="G104" s="160">
        <f t="shared" ref="G104" si="947">AL105</f>
        <v>0</v>
      </c>
      <c r="H104" s="160" t="str">
        <f t="shared" ref="H104" si="948">IF(AA105="","P","R")</f>
        <v>P</v>
      </c>
      <c r="K104" s="454" t="str">
        <f>IF(OR(L104="",L104="Reunión de Apertura",L104="Reunión de Cierre"),"*",COUNT(K$17:K103)+1)</f>
        <v>*</v>
      </c>
      <c r="L104" s="380"/>
      <c r="M104" s="381"/>
      <c r="N104" s="381"/>
      <c r="O104" s="381"/>
      <c r="P104" s="381"/>
      <c r="Q104" s="381"/>
      <c r="R104" s="382"/>
      <c r="S104" s="386" t="str">
        <f>IFERROR(VLOOKUP(L104,'Listas Desplegables'!B:D,3,0),"")</f>
        <v/>
      </c>
      <c r="T104" s="387"/>
      <c r="U104" s="387"/>
      <c r="V104" s="388"/>
      <c r="W104" s="392"/>
      <c r="X104" s="392"/>
      <c r="Y104" s="392"/>
      <c r="Z104" s="392"/>
      <c r="AA104" s="393"/>
      <c r="AB104" s="394"/>
      <c r="AC104" s="395"/>
      <c r="AD104" s="396"/>
      <c r="AE104" s="397"/>
      <c r="AF104" s="398"/>
      <c r="AG104" s="402" t="str">
        <f t="shared" ref="AG104" si="949">IF(SUM(AL105-AL104)=0,"",AL105-AL104)</f>
        <v/>
      </c>
      <c r="AH104" s="402"/>
      <c r="AI104" s="402"/>
      <c r="AJ104" s="403" t="s">
        <v>31</v>
      </c>
      <c r="AK104" s="404"/>
      <c r="AL104" s="405"/>
      <c r="AM104" s="406"/>
      <c r="AN104" s="407"/>
      <c r="AO104" s="408"/>
      <c r="AP104" s="409"/>
      <c r="AQ104" s="409"/>
      <c r="AR104" s="409"/>
      <c r="AS104" s="409"/>
      <c r="AT104" s="410"/>
      <c r="AU104" s="131"/>
      <c r="AW104" s="161" t="str">
        <f t="shared" ref="AW104" si="950">K104</f>
        <v>*</v>
      </c>
      <c r="AX104" s="162">
        <f t="shared" ref="AX104" si="951">IF(AA105="",AA104,AA105)</f>
        <v>0</v>
      </c>
      <c r="AY104" s="163">
        <f t="shared" ref="AY104" si="952">L104</f>
        <v>0</v>
      </c>
      <c r="AZ104" s="163" t="str">
        <f t="shared" ref="AZ104" si="953">S104</f>
        <v/>
      </c>
      <c r="BA104" s="164">
        <f t="shared" ref="BA104" si="954">AL104</f>
        <v>0</v>
      </c>
      <c r="BB104" s="164">
        <f t="shared" ref="BB104" si="955">AL105</f>
        <v>0</v>
      </c>
      <c r="BC104" s="163">
        <f t="shared" ref="BC104" si="956">AO104</f>
        <v>0</v>
      </c>
      <c r="BD104" s="163" t="str">
        <f t="shared" ref="BD104" si="957">IF(AO105="","",AO105)</f>
        <v/>
      </c>
      <c r="BE104" s="165" t="str">
        <f>IF(AD104="","",AD104)</f>
        <v/>
      </c>
      <c r="BF104" s="166">
        <f>IF(OR(L104='Listas Desplegables'!$B$4,L104='Listas Desplegables'!$B$5),"",WORKDAY(AX104,7,'Listas Desplegables'!$J$11:$J$18))</f>
        <v>10</v>
      </c>
    </row>
    <row r="105" spans="1:58" ht="12" hidden="1" customHeight="1" x14ac:dyDescent="0.35">
      <c r="A105" s="127" t="str">
        <f t="shared" ref="A105" si="958">CONCATENATE("A-",AO105)</f>
        <v>A-</v>
      </c>
      <c r="D105" s="159" t="str">
        <f t="shared" ref="D105" si="959">IF(AA105="",CONCATENATE(AA104,"-",AO105),CONCATENATE(AA105,"-",AO105))</f>
        <v>-</v>
      </c>
      <c r="E105" s="159">
        <f t="shared" ref="E105" si="960">L104</f>
        <v>0</v>
      </c>
      <c r="F105" s="160">
        <f t="shared" ref="F105" si="961">AL104</f>
        <v>0</v>
      </c>
      <c r="G105" s="160">
        <f t="shared" ref="G105" si="962">AL105</f>
        <v>0</v>
      </c>
      <c r="H105" s="160" t="str">
        <f t="shared" ref="H105" si="963">IF(AA105="","P","R")</f>
        <v>P</v>
      </c>
      <c r="K105" s="455"/>
      <c r="L105" s="383"/>
      <c r="M105" s="384"/>
      <c r="N105" s="384"/>
      <c r="O105" s="384"/>
      <c r="P105" s="384"/>
      <c r="Q105" s="384"/>
      <c r="R105" s="385"/>
      <c r="S105" s="389"/>
      <c r="T105" s="390"/>
      <c r="U105" s="390"/>
      <c r="V105" s="391"/>
      <c r="W105" s="392"/>
      <c r="X105" s="392"/>
      <c r="Y105" s="392"/>
      <c r="Z105" s="392"/>
      <c r="AA105" s="411"/>
      <c r="AB105" s="412"/>
      <c r="AC105" s="413"/>
      <c r="AD105" s="399"/>
      <c r="AE105" s="400"/>
      <c r="AF105" s="401"/>
      <c r="AG105" s="402"/>
      <c r="AH105" s="402"/>
      <c r="AI105" s="402"/>
      <c r="AJ105" s="414" t="s">
        <v>8</v>
      </c>
      <c r="AK105" s="415"/>
      <c r="AL105" s="405"/>
      <c r="AM105" s="406"/>
      <c r="AN105" s="407"/>
      <c r="AO105" s="416"/>
      <c r="AP105" s="417"/>
      <c r="AQ105" s="417"/>
      <c r="AR105" s="417"/>
      <c r="AS105" s="417"/>
      <c r="AT105" s="418"/>
      <c r="AU105" s="131"/>
      <c r="AX105" s="167"/>
      <c r="AY105" s="163"/>
      <c r="AZ105" s="163"/>
      <c r="BA105" s="163"/>
      <c r="BB105" s="163"/>
      <c r="BC105" s="163"/>
      <c r="BD105" s="163"/>
    </row>
    <row r="106" spans="1:58" ht="12" hidden="1" customHeight="1" x14ac:dyDescent="0.35">
      <c r="A106" s="127" t="str">
        <f t="shared" ref="A106" si="964">CONCATENATE("P-",AO106)</f>
        <v>P-</v>
      </c>
      <c r="B106" s="128" t="str">
        <f t="shared" ref="B106" si="965">IF(AA107="",CONCATENATE(AA106,"-",L106),CONCATENATE(AA107,"-",L106))</f>
        <v>-</v>
      </c>
      <c r="C106" s="128" t="str">
        <f t="shared" ref="C106" si="966">CONCATENATE(AO106," / ",AO107)</f>
        <v xml:space="preserve"> / </v>
      </c>
      <c r="D106" s="159" t="str">
        <f t="shared" ref="D106" si="967">IF(AA107="",CONCATENATE(AA106,"-",AO106),CONCATENATE(AA107,"-",AO106))</f>
        <v>-</v>
      </c>
      <c r="E106" s="159">
        <f t="shared" ref="E106" si="968">L106</f>
        <v>0</v>
      </c>
      <c r="F106" s="160">
        <f t="shared" ref="F106" si="969">AL106</f>
        <v>0</v>
      </c>
      <c r="G106" s="160">
        <f t="shared" ref="G106" si="970">AL107</f>
        <v>0</v>
      </c>
      <c r="H106" s="160" t="str">
        <f t="shared" ref="H106" si="971">IF(AA107="","P","R")</f>
        <v>P</v>
      </c>
      <c r="K106" s="454" t="str">
        <f>IF(OR(L106="",L106="Reunión de Apertura",L106="Reunión de Cierre"),"*",COUNT(K$17:K105)+1)</f>
        <v>*</v>
      </c>
      <c r="L106" s="380"/>
      <c r="M106" s="381"/>
      <c r="N106" s="381"/>
      <c r="O106" s="381"/>
      <c r="P106" s="381"/>
      <c r="Q106" s="381"/>
      <c r="R106" s="382"/>
      <c r="S106" s="386" t="str">
        <f>IFERROR(VLOOKUP(L106,'Listas Desplegables'!B:D,3,0),"")</f>
        <v/>
      </c>
      <c r="T106" s="387"/>
      <c r="U106" s="387"/>
      <c r="V106" s="388"/>
      <c r="W106" s="392"/>
      <c r="X106" s="392"/>
      <c r="Y106" s="392"/>
      <c r="Z106" s="392"/>
      <c r="AA106" s="393"/>
      <c r="AB106" s="394"/>
      <c r="AC106" s="395"/>
      <c r="AD106" s="396"/>
      <c r="AE106" s="397"/>
      <c r="AF106" s="398"/>
      <c r="AG106" s="402" t="str">
        <f t="shared" ref="AG106" si="972">IF(SUM(AL107-AL106)=0,"",AL107-AL106)</f>
        <v/>
      </c>
      <c r="AH106" s="402"/>
      <c r="AI106" s="402"/>
      <c r="AJ106" s="403" t="s">
        <v>31</v>
      </c>
      <c r="AK106" s="404"/>
      <c r="AL106" s="405"/>
      <c r="AM106" s="406"/>
      <c r="AN106" s="407"/>
      <c r="AO106" s="408"/>
      <c r="AP106" s="409"/>
      <c r="AQ106" s="409"/>
      <c r="AR106" s="409"/>
      <c r="AS106" s="409"/>
      <c r="AT106" s="410"/>
      <c r="AU106" s="131"/>
      <c r="AW106" s="161" t="str">
        <f t="shared" ref="AW106" si="973">K106</f>
        <v>*</v>
      </c>
      <c r="AX106" s="162">
        <f t="shared" ref="AX106" si="974">IF(AA107="",AA106,AA107)</f>
        <v>0</v>
      </c>
      <c r="AY106" s="163">
        <f t="shared" ref="AY106" si="975">L106</f>
        <v>0</v>
      </c>
      <c r="AZ106" s="163" t="str">
        <f t="shared" ref="AZ106" si="976">S106</f>
        <v/>
      </c>
      <c r="BA106" s="164">
        <f t="shared" ref="BA106" si="977">AL106</f>
        <v>0</v>
      </c>
      <c r="BB106" s="164">
        <f t="shared" ref="BB106" si="978">AL107</f>
        <v>0</v>
      </c>
      <c r="BC106" s="163">
        <f t="shared" ref="BC106" si="979">AO106</f>
        <v>0</v>
      </c>
      <c r="BD106" s="163" t="str">
        <f t="shared" ref="BD106" si="980">IF(AO107="","",AO107)</f>
        <v/>
      </c>
      <c r="BE106" s="165" t="str">
        <f>IF(AD106="","",AD106)</f>
        <v/>
      </c>
      <c r="BF106" s="166">
        <f>IF(OR(L106='Listas Desplegables'!$B$4,L106='Listas Desplegables'!$B$5),"",WORKDAY(AX106,7,'Listas Desplegables'!$J$11:$J$18))</f>
        <v>10</v>
      </c>
    </row>
    <row r="107" spans="1:58" ht="12" hidden="1" customHeight="1" x14ac:dyDescent="0.35">
      <c r="A107" s="127" t="str">
        <f t="shared" ref="A107" si="981">CONCATENATE("A-",AO107)</f>
        <v>A-</v>
      </c>
      <c r="D107" s="159" t="str">
        <f t="shared" ref="D107" si="982">IF(AA107="",CONCATENATE(AA106,"-",AO107),CONCATENATE(AA107,"-",AO107))</f>
        <v>-</v>
      </c>
      <c r="E107" s="159">
        <f t="shared" ref="E107" si="983">L106</f>
        <v>0</v>
      </c>
      <c r="F107" s="160">
        <f t="shared" ref="F107" si="984">AL106</f>
        <v>0</v>
      </c>
      <c r="G107" s="160">
        <f t="shared" ref="G107" si="985">AL107</f>
        <v>0</v>
      </c>
      <c r="H107" s="160" t="str">
        <f t="shared" ref="H107" si="986">IF(AA107="","P","R")</f>
        <v>P</v>
      </c>
      <c r="K107" s="455"/>
      <c r="L107" s="383"/>
      <c r="M107" s="384"/>
      <c r="N107" s="384"/>
      <c r="O107" s="384"/>
      <c r="P107" s="384"/>
      <c r="Q107" s="384"/>
      <c r="R107" s="385"/>
      <c r="S107" s="389"/>
      <c r="T107" s="390"/>
      <c r="U107" s="390"/>
      <c r="V107" s="391"/>
      <c r="W107" s="392"/>
      <c r="X107" s="392"/>
      <c r="Y107" s="392"/>
      <c r="Z107" s="392"/>
      <c r="AA107" s="411"/>
      <c r="AB107" s="412"/>
      <c r="AC107" s="413"/>
      <c r="AD107" s="399"/>
      <c r="AE107" s="400"/>
      <c r="AF107" s="401"/>
      <c r="AG107" s="402"/>
      <c r="AH107" s="402"/>
      <c r="AI107" s="402"/>
      <c r="AJ107" s="414" t="s">
        <v>8</v>
      </c>
      <c r="AK107" s="415"/>
      <c r="AL107" s="405"/>
      <c r="AM107" s="406"/>
      <c r="AN107" s="407"/>
      <c r="AO107" s="416"/>
      <c r="AP107" s="417"/>
      <c r="AQ107" s="417"/>
      <c r="AR107" s="417"/>
      <c r="AS107" s="417"/>
      <c r="AT107" s="418"/>
      <c r="AU107" s="131"/>
      <c r="AX107" s="167"/>
      <c r="AY107" s="163"/>
      <c r="AZ107" s="163"/>
      <c r="BA107" s="163"/>
      <c r="BB107" s="163"/>
      <c r="BC107" s="163"/>
      <c r="BD107" s="163"/>
    </row>
    <row r="108" spans="1:58" ht="12" hidden="1" customHeight="1" x14ac:dyDescent="0.35">
      <c r="A108" s="127" t="str">
        <f t="shared" ref="A108" si="987">CONCATENATE("P-",AO108)</f>
        <v>P-</v>
      </c>
      <c r="B108" s="128" t="str">
        <f t="shared" ref="B108" si="988">IF(AA109="",CONCATENATE(AA108,"-",L108),CONCATENATE(AA109,"-",L108))</f>
        <v>-</v>
      </c>
      <c r="C108" s="128" t="str">
        <f t="shared" ref="C108" si="989">CONCATENATE(AO108," / ",AO109)</f>
        <v xml:space="preserve"> / </v>
      </c>
      <c r="D108" s="159" t="str">
        <f t="shared" ref="D108" si="990">IF(AA109="",CONCATENATE(AA108,"-",AO108),CONCATENATE(AA109,"-",AO108))</f>
        <v>-</v>
      </c>
      <c r="E108" s="159">
        <f t="shared" ref="E108" si="991">L108</f>
        <v>0</v>
      </c>
      <c r="F108" s="160">
        <f t="shared" ref="F108" si="992">AL108</f>
        <v>0</v>
      </c>
      <c r="G108" s="160">
        <f t="shared" ref="G108" si="993">AL109</f>
        <v>0</v>
      </c>
      <c r="H108" s="160" t="str">
        <f t="shared" ref="H108" si="994">IF(AA109="","P","R")</f>
        <v>P</v>
      </c>
      <c r="K108" s="454" t="str">
        <f>IF(OR(L108="",L108="Reunión de Apertura",L108="Reunión de Cierre"),"*",COUNT(K$17:K107)+1)</f>
        <v>*</v>
      </c>
      <c r="L108" s="380"/>
      <c r="M108" s="381"/>
      <c r="N108" s="381"/>
      <c r="O108" s="381"/>
      <c r="P108" s="381"/>
      <c r="Q108" s="381"/>
      <c r="R108" s="382"/>
      <c r="S108" s="386" t="str">
        <f>IFERROR(VLOOKUP(L108,'Listas Desplegables'!B:D,3,0),"")</f>
        <v/>
      </c>
      <c r="T108" s="387"/>
      <c r="U108" s="387"/>
      <c r="V108" s="388"/>
      <c r="W108" s="392"/>
      <c r="X108" s="392"/>
      <c r="Y108" s="392"/>
      <c r="Z108" s="392"/>
      <c r="AA108" s="393"/>
      <c r="AB108" s="394"/>
      <c r="AC108" s="395"/>
      <c r="AD108" s="396"/>
      <c r="AE108" s="397"/>
      <c r="AF108" s="398"/>
      <c r="AG108" s="402" t="str">
        <f t="shared" ref="AG108" si="995">IF(SUM(AL109-AL108)=0,"",AL109-AL108)</f>
        <v/>
      </c>
      <c r="AH108" s="402"/>
      <c r="AI108" s="402"/>
      <c r="AJ108" s="403" t="s">
        <v>31</v>
      </c>
      <c r="AK108" s="404"/>
      <c r="AL108" s="405"/>
      <c r="AM108" s="406"/>
      <c r="AN108" s="407"/>
      <c r="AO108" s="408"/>
      <c r="AP108" s="409"/>
      <c r="AQ108" s="409"/>
      <c r="AR108" s="409"/>
      <c r="AS108" s="409"/>
      <c r="AT108" s="410"/>
      <c r="AU108" s="131"/>
      <c r="AW108" s="161" t="str">
        <f t="shared" ref="AW108" si="996">K108</f>
        <v>*</v>
      </c>
      <c r="AX108" s="162">
        <f t="shared" ref="AX108" si="997">IF(AA109="",AA108,AA109)</f>
        <v>0</v>
      </c>
      <c r="AY108" s="163">
        <f t="shared" ref="AY108" si="998">L108</f>
        <v>0</v>
      </c>
      <c r="AZ108" s="163" t="str">
        <f t="shared" ref="AZ108" si="999">S108</f>
        <v/>
      </c>
      <c r="BA108" s="164">
        <f t="shared" ref="BA108" si="1000">AL108</f>
        <v>0</v>
      </c>
      <c r="BB108" s="164">
        <f t="shared" ref="BB108" si="1001">AL109</f>
        <v>0</v>
      </c>
      <c r="BC108" s="163">
        <f t="shared" ref="BC108" si="1002">AO108</f>
        <v>0</v>
      </c>
      <c r="BD108" s="163" t="str">
        <f t="shared" ref="BD108" si="1003">IF(AO109="","",AO109)</f>
        <v/>
      </c>
      <c r="BE108" s="165" t="str">
        <f>IF(AD108="","",AD108)</f>
        <v/>
      </c>
      <c r="BF108" s="166">
        <f>IF(OR(L108='Listas Desplegables'!$B$4,L108='Listas Desplegables'!$B$5),"",WORKDAY(AX108,7,'Listas Desplegables'!$J$11:$J$18))</f>
        <v>10</v>
      </c>
    </row>
    <row r="109" spans="1:58" ht="12" hidden="1" customHeight="1" x14ac:dyDescent="0.35">
      <c r="A109" s="127" t="str">
        <f t="shared" ref="A109" si="1004">CONCATENATE("A-",AO109)</f>
        <v>A-</v>
      </c>
      <c r="D109" s="159" t="str">
        <f t="shared" ref="D109" si="1005">IF(AA109="",CONCATENATE(AA108,"-",AO109),CONCATENATE(AA109,"-",AO109))</f>
        <v>-</v>
      </c>
      <c r="E109" s="159">
        <f t="shared" ref="E109" si="1006">L108</f>
        <v>0</v>
      </c>
      <c r="F109" s="160">
        <f t="shared" ref="F109" si="1007">AL108</f>
        <v>0</v>
      </c>
      <c r="G109" s="160">
        <f t="shared" ref="G109" si="1008">AL109</f>
        <v>0</v>
      </c>
      <c r="H109" s="160" t="str">
        <f t="shared" ref="H109" si="1009">IF(AA109="","P","R")</f>
        <v>P</v>
      </c>
      <c r="K109" s="455"/>
      <c r="L109" s="383"/>
      <c r="M109" s="384"/>
      <c r="N109" s="384"/>
      <c r="O109" s="384"/>
      <c r="P109" s="384"/>
      <c r="Q109" s="384"/>
      <c r="R109" s="385"/>
      <c r="S109" s="389"/>
      <c r="T109" s="390"/>
      <c r="U109" s="390"/>
      <c r="V109" s="391"/>
      <c r="W109" s="392"/>
      <c r="X109" s="392"/>
      <c r="Y109" s="392"/>
      <c r="Z109" s="392"/>
      <c r="AA109" s="411"/>
      <c r="AB109" s="412"/>
      <c r="AC109" s="413"/>
      <c r="AD109" s="399"/>
      <c r="AE109" s="400"/>
      <c r="AF109" s="401"/>
      <c r="AG109" s="402"/>
      <c r="AH109" s="402"/>
      <c r="AI109" s="402"/>
      <c r="AJ109" s="414" t="s">
        <v>8</v>
      </c>
      <c r="AK109" s="415"/>
      <c r="AL109" s="405"/>
      <c r="AM109" s="406"/>
      <c r="AN109" s="407"/>
      <c r="AO109" s="416"/>
      <c r="AP109" s="417"/>
      <c r="AQ109" s="417"/>
      <c r="AR109" s="417"/>
      <c r="AS109" s="417"/>
      <c r="AT109" s="418"/>
      <c r="AU109" s="131"/>
      <c r="AX109" s="167"/>
      <c r="AY109" s="163"/>
      <c r="AZ109" s="163"/>
      <c r="BA109" s="163"/>
      <c r="BB109" s="163"/>
      <c r="BC109" s="163"/>
      <c r="BD109" s="163"/>
    </row>
    <row r="110" spans="1:58" ht="7.5" customHeight="1" x14ac:dyDescent="0.35"/>
    <row r="111" spans="1:58" s="175" customFormat="1" ht="12" customHeight="1" x14ac:dyDescent="0.35">
      <c r="A111" s="127"/>
      <c r="B111" s="128"/>
      <c r="C111" s="128"/>
      <c r="D111" s="171"/>
      <c r="E111" s="171"/>
      <c r="F111" s="171"/>
      <c r="G111" s="171"/>
      <c r="H111" s="171"/>
      <c r="I111" s="172"/>
      <c r="J111" s="131"/>
      <c r="K111" s="445" t="s">
        <v>68</v>
      </c>
      <c r="L111" s="446"/>
      <c r="M111" s="447"/>
      <c r="N111" s="419" t="s">
        <v>32</v>
      </c>
      <c r="O111" s="420"/>
      <c r="P111" s="420"/>
      <c r="Q111" s="420"/>
      <c r="R111" s="420"/>
      <c r="S111" s="420"/>
      <c r="T111" s="420"/>
      <c r="U111" s="420"/>
      <c r="V111" s="421"/>
      <c r="W111" s="441" t="s">
        <v>69</v>
      </c>
      <c r="X111" s="441"/>
      <c r="Y111" s="441"/>
      <c r="Z111" s="441"/>
      <c r="AA111" s="441"/>
      <c r="AB111" s="176"/>
      <c r="AC111" s="374" t="s">
        <v>242</v>
      </c>
      <c r="AD111" s="375"/>
      <c r="AE111" s="375"/>
      <c r="AF111" s="375"/>
      <c r="AG111" s="375"/>
      <c r="AH111" s="375"/>
      <c r="AI111" s="375"/>
      <c r="AJ111" s="375"/>
      <c r="AK111" s="375"/>
      <c r="AL111" s="375"/>
      <c r="AM111" s="375"/>
      <c r="AN111" s="375"/>
      <c r="AO111" s="375"/>
      <c r="AP111" s="375"/>
      <c r="AQ111" s="375"/>
      <c r="AR111" s="375"/>
      <c r="AS111" s="375"/>
      <c r="AT111" s="376"/>
      <c r="AU111" s="173"/>
      <c r="AV111" s="132"/>
      <c r="AW111" s="174"/>
      <c r="AX111" s="134"/>
      <c r="AY111" s="135"/>
      <c r="AZ111" s="135"/>
      <c r="BA111" s="135"/>
      <c r="BB111" s="135"/>
      <c r="BC111" s="135"/>
      <c r="BD111" s="135"/>
      <c r="BE111" s="136"/>
      <c r="BF111" s="137"/>
    </row>
    <row r="112" spans="1:58" s="175" customFormat="1" ht="12" customHeight="1" x14ac:dyDescent="0.35">
      <c r="A112" s="127"/>
      <c r="B112" s="128"/>
      <c r="C112" s="128"/>
      <c r="D112" s="171"/>
      <c r="E112" s="171"/>
      <c r="F112" s="171"/>
      <c r="G112" s="171"/>
      <c r="H112" s="171"/>
      <c r="I112" s="172"/>
      <c r="J112" s="131"/>
      <c r="K112" s="448"/>
      <c r="L112" s="449"/>
      <c r="M112" s="450"/>
      <c r="N112" s="439" t="s">
        <v>70</v>
      </c>
      <c r="O112" s="439"/>
      <c r="P112" s="422"/>
      <c r="Q112" s="422"/>
      <c r="R112" s="422"/>
      <c r="S112" s="422"/>
      <c r="T112" s="422"/>
      <c r="U112" s="422"/>
      <c r="V112" s="422"/>
      <c r="W112" s="442"/>
      <c r="X112" s="442"/>
      <c r="Y112" s="442"/>
      <c r="Z112" s="442"/>
      <c r="AA112" s="442"/>
      <c r="AB112" s="173"/>
      <c r="AC112" s="177" t="s">
        <v>19</v>
      </c>
      <c r="AD112" s="377" t="s">
        <v>20</v>
      </c>
      <c r="AE112" s="377"/>
      <c r="AF112" s="378" t="s">
        <v>243</v>
      </c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173"/>
      <c r="AV112" s="132"/>
      <c r="AW112" s="174"/>
      <c r="AX112" s="134"/>
      <c r="AY112" s="135"/>
      <c r="AZ112" s="135"/>
      <c r="BA112" s="135"/>
      <c r="BB112" s="135"/>
      <c r="BC112" s="135"/>
      <c r="BD112" s="135"/>
      <c r="BE112" s="136"/>
      <c r="BF112" s="137"/>
    </row>
    <row r="113" spans="1:58" s="175" customFormat="1" ht="12" customHeight="1" x14ac:dyDescent="0.35">
      <c r="A113" s="127"/>
      <c r="B113" s="128"/>
      <c r="C113" s="128"/>
      <c r="D113" s="171"/>
      <c r="E113" s="171"/>
      <c r="F113" s="171"/>
      <c r="G113" s="171"/>
      <c r="H113" s="171"/>
      <c r="I113" s="172"/>
      <c r="J113" s="131"/>
      <c r="K113" s="451"/>
      <c r="L113" s="452"/>
      <c r="M113" s="453"/>
      <c r="N113" s="440" t="s">
        <v>71</v>
      </c>
      <c r="O113" s="440"/>
      <c r="P113" s="423"/>
      <c r="Q113" s="423"/>
      <c r="R113" s="423"/>
      <c r="S113" s="423"/>
      <c r="T113" s="423"/>
      <c r="U113" s="423"/>
      <c r="V113" s="423"/>
      <c r="W113" s="442"/>
      <c r="X113" s="442"/>
      <c r="Y113" s="442"/>
      <c r="Z113" s="442"/>
      <c r="AA113" s="442"/>
      <c r="AB113" s="173"/>
      <c r="AC113" s="178">
        <v>1</v>
      </c>
      <c r="AD113" s="373"/>
      <c r="AE113" s="373"/>
      <c r="AF113" s="379"/>
      <c r="AG113" s="379"/>
      <c r="AH113" s="379"/>
      <c r="AI113" s="379"/>
      <c r="AJ113" s="379"/>
      <c r="AK113" s="379"/>
      <c r="AL113" s="379"/>
      <c r="AM113" s="379"/>
      <c r="AN113" s="379"/>
      <c r="AO113" s="379"/>
      <c r="AP113" s="379"/>
      <c r="AQ113" s="379"/>
      <c r="AR113" s="379"/>
      <c r="AS113" s="379"/>
      <c r="AT113" s="379"/>
      <c r="AU113" s="173"/>
      <c r="AV113" s="132"/>
      <c r="AW113" s="174"/>
      <c r="AX113" s="134"/>
      <c r="AY113" s="135"/>
      <c r="AZ113" s="135"/>
      <c r="BA113" s="135"/>
      <c r="BB113" s="135"/>
      <c r="BC113" s="135"/>
      <c r="BD113" s="135"/>
      <c r="BE113" s="136"/>
      <c r="BF113" s="137"/>
    </row>
    <row r="114" spans="1:58" ht="13" x14ac:dyDescent="0.35">
      <c r="AC114" s="179">
        <v>2</v>
      </c>
      <c r="AD114" s="371"/>
      <c r="AE114" s="371"/>
      <c r="AF114" s="368"/>
      <c r="AG114" s="368"/>
      <c r="AH114" s="368"/>
      <c r="AI114" s="368"/>
      <c r="AJ114" s="368"/>
      <c r="AK114" s="368"/>
      <c r="AL114" s="368"/>
      <c r="AM114" s="368"/>
      <c r="AN114" s="368"/>
      <c r="AO114" s="368"/>
      <c r="AP114" s="368"/>
      <c r="AQ114" s="368"/>
      <c r="AR114" s="368"/>
      <c r="AS114" s="368"/>
      <c r="AT114" s="368"/>
    </row>
    <row r="115" spans="1:58" ht="12" customHeight="1" x14ac:dyDescent="0.35">
      <c r="K115" s="445" t="s">
        <v>72</v>
      </c>
      <c r="L115" s="446"/>
      <c r="M115" s="447"/>
      <c r="N115" s="419" t="s">
        <v>73</v>
      </c>
      <c r="O115" s="420"/>
      <c r="P115" s="420"/>
      <c r="Q115" s="420"/>
      <c r="R115" s="420"/>
      <c r="S115" s="420"/>
      <c r="T115" s="420"/>
      <c r="U115" s="420"/>
      <c r="V115" s="421"/>
      <c r="W115" s="441" t="s">
        <v>69</v>
      </c>
      <c r="X115" s="441"/>
      <c r="Y115" s="441"/>
      <c r="Z115" s="441"/>
      <c r="AA115" s="441"/>
      <c r="AC115" s="179">
        <v>3</v>
      </c>
      <c r="AD115" s="371"/>
      <c r="AE115" s="371"/>
      <c r="AF115" s="369"/>
      <c r="AG115" s="369"/>
      <c r="AH115" s="369"/>
      <c r="AI115" s="369"/>
      <c r="AJ115" s="369"/>
      <c r="AK115" s="369"/>
      <c r="AL115" s="369"/>
      <c r="AM115" s="369"/>
      <c r="AN115" s="369"/>
      <c r="AO115" s="369"/>
      <c r="AP115" s="369"/>
      <c r="AQ115" s="369"/>
      <c r="AR115" s="369"/>
      <c r="AS115" s="369"/>
      <c r="AT115" s="369"/>
    </row>
    <row r="116" spans="1:58" ht="12" customHeight="1" x14ac:dyDescent="0.35">
      <c r="K116" s="448"/>
      <c r="L116" s="449"/>
      <c r="M116" s="450"/>
      <c r="N116" s="439" t="s">
        <v>70</v>
      </c>
      <c r="O116" s="439"/>
      <c r="P116" s="422"/>
      <c r="Q116" s="422"/>
      <c r="R116" s="422"/>
      <c r="S116" s="422"/>
      <c r="T116" s="422"/>
      <c r="U116" s="422"/>
      <c r="V116" s="422"/>
      <c r="W116" s="442"/>
      <c r="X116" s="442"/>
      <c r="Y116" s="442"/>
      <c r="Z116" s="442"/>
      <c r="AA116" s="442"/>
      <c r="AC116" s="179">
        <v>4</v>
      </c>
      <c r="AD116" s="371"/>
      <c r="AE116" s="371"/>
      <c r="AF116" s="369"/>
      <c r="AG116" s="369"/>
      <c r="AH116" s="369"/>
      <c r="AI116" s="369"/>
      <c r="AJ116" s="369"/>
      <c r="AK116" s="369"/>
      <c r="AL116" s="369"/>
      <c r="AM116" s="369"/>
      <c r="AN116" s="369"/>
      <c r="AO116" s="369"/>
      <c r="AP116" s="369"/>
      <c r="AQ116" s="369"/>
      <c r="AR116" s="369"/>
      <c r="AS116" s="369"/>
      <c r="AT116" s="369"/>
    </row>
    <row r="117" spans="1:58" ht="12" customHeight="1" x14ac:dyDescent="0.35">
      <c r="K117" s="451"/>
      <c r="L117" s="452"/>
      <c r="M117" s="453"/>
      <c r="N117" s="440" t="s">
        <v>71</v>
      </c>
      <c r="O117" s="440"/>
      <c r="P117" s="444"/>
      <c r="Q117" s="444"/>
      <c r="R117" s="444"/>
      <c r="S117" s="444"/>
      <c r="T117" s="444"/>
      <c r="U117" s="444"/>
      <c r="V117" s="444"/>
      <c r="W117" s="442"/>
      <c r="X117" s="442"/>
      <c r="Y117" s="442"/>
      <c r="Z117" s="442"/>
      <c r="AA117" s="442"/>
      <c r="AC117" s="180">
        <v>5</v>
      </c>
      <c r="AD117" s="372"/>
      <c r="AE117" s="372"/>
      <c r="AF117" s="370"/>
      <c r="AG117" s="370"/>
      <c r="AH117" s="370"/>
      <c r="AI117" s="370"/>
      <c r="AJ117" s="370"/>
      <c r="AK117" s="370"/>
      <c r="AL117" s="370"/>
      <c r="AM117" s="370"/>
      <c r="AN117" s="370"/>
      <c r="AO117" s="370"/>
      <c r="AP117" s="370"/>
      <c r="AQ117" s="370"/>
      <c r="AR117" s="370"/>
      <c r="AS117" s="370"/>
      <c r="AT117" s="370"/>
    </row>
    <row r="118" spans="1:58" ht="7.5" customHeight="1" x14ac:dyDescent="0.35">
      <c r="AG118" s="443"/>
      <c r="AH118" s="443"/>
      <c r="AI118" s="443"/>
      <c r="AJ118" s="443"/>
      <c r="AK118" s="443"/>
    </row>
    <row r="119" spans="1:58" x14ac:dyDescent="0.35"/>
    <row r="120" spans="1:58" x14ac:dyDescent="0.35"/>
    <row r="121" spans="1:58" x14ac:dyDescent="0.35"/>
    <row r="122" spans="1:58" x14ac:dyDescent="0.35"/>
    <row r="123" spans="1:58" x14ac:dyDescent="0.35"/>
    <row r="124" spans="1:58" x14ac:dyDescent="0.35"/>
    <row r="125" spans="1:58" x14ac:dyDescent="0.35"/>
    <row r="126" spans="1:58" x14ac:dyDescent="0.35"/>
    <row r="127" spans="1:58" x14ac:dyDescent="0.35"/>
  </sheetData>
  <mergeCells count="696">
    <mergeCell ref="AO19:AT19"/>
    <mergeCell ref="K18:K19"/>
    <mergeCell ref="L18:R19"/>
    <mergeCell ref="S18:V19"/>
    <mergeCell ref="W18:Z19"/>
    <mergeCell ref="AA18:AC18"/>
    <mergeCell ref="AD18:AF19"/>
    <mergeCell ref="AG18:AI19"/>
    <mergeCell ref="AJ18:AK18"/>
    <mergeCell ref="AL18:AN18"/>
    <mergeCell ref="AA19:AC19"/>
    <mergeCell ref="AJ19:AK19"/>
    <mergeCell ref="AL19:AN19"/>
    <mergeCell ref="AR13:AT14"/>
    <mergeCell ref="AR15:AT15"/>
    <mergeCell ref="K92:K93"/>
    <mergeCell ref="K94:K95"/>
    <mergeCell ref="K96:K97"/>
    <mergeCell ref="K56:K57"/>
    <mergeCell ref="K58:K59"/>
    <mergeCell ref="K60:K61"/>
    <mergeCell ref="K62:K63"/>
    <mergeCell ref="K64:K65"/>
    <mergeCell ref="K66:K67"/>
    <mergeCell ref="K68:K69"/>
    <mergeCell ref="K70:K71"/>
    <mergeCell ref="K72:K73"/>
    <mergeCell ref="K38:K39"/>
    <mergeCell ref="K40:K41"/>
    <mergeCell ref="K42:K43"/>
    <mergeCell ref="K44:K45"/>
    <mergeCell ref="K46:K47"/>
    <mergeCell ref="K48:K49"/>
    <mergeCell ref="AO94:AT94"/>
    <mergeCell ref="AO95:AT95"/>
    <mergeCell ref="AO96:AT96"/>
    <mergeCell ref="AO97:AT97"/>
    <mergeCell ref="K108:K109"/>
    <mergeCell ref="K74:K75"/>
    <mergeCell ref="K76:K77"/>
    <mergeCell ref="K78:K79"/>
    <mergeCell ref="K80:K81"/>
    <mergeCell ref="K82:K83"/>
    <mergeCell ref="K84:K85"/>
    <mergeCell ref="K86:K87"/>
    <mergeCell ref="K88:K89"/>
    <mergeCell ref="K90:K91"/>
    <mergeCell ref="K102:K103"/>
    <mergeCell ref="K104:K105"/>
    <mergeCell ref="K106:K107"/>
    <mergeCell ref="AO100:AT100"/>
    <mergeCell ref="AA101:AC101"/>
    <mergeCell ref="AJ101:AK101"/>
    <mergeCell ref="AL101:AN101"/>
    <mergeCell ref="AO101:AT101"/>
    <mergeCell ref="K50:K51"/>
    <mergeCell ref="K52:K53"/>
    <mergeCell ref="K54:K55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98:K99"/>
    <mergeCell ref="K100:K101"/>
    <mergeCell ref="AO98:AT98"/>
    <mergeCell ref="AA99:AC99"/>
    <mergeCell ref="AJ99:AK99"/>
    <mergeCell ref="AL99:AN99"/>
    <mergeCell ref="AO99:AT99"/>
    <mergeCell ref="L100:R101"/>
    <mergeCell ref="S100:V101"/>
    <mergeCell ref="W100:Z101"/>
    <mergeCell ref="AA100:AC100"/>
    <mergeCell ref="AD100:AF101"/>
    <mergeCell ref="AG100:AI101"/>
    <mergeCell ref="AJ100:AK100"/>
    <mergeCell ref="AL100:AN100"/>
    <mergeCell ref="L102:R103"/>
    <mergeCell ref="S102:V103"/>
    <mergeCell ref="W102:Z103"/>
    <mergeCell ref="AA102:AC102"/>
    <mergeCell ref="AD102:AF103"/>
    <mergeCell ref="AG102:AI103"/>
    <mergeCell ref="AJ102:AK102"/>
    <mergeCell ref="AL102:AN102"/>
    <mergeCell ref="L98:R99"/>
    <mergeCell ref="S98:V99"/>
    <mergeCell ref="W98:Z99"/>
    <mergeCell ref="AA98:AC98"/>
    <mergeCell ref="AD98:AF99"/>
    <mergeCell ref="AG98:AI99"/>
    <mergeCell ref="AJ98:AK98"/>
    <mergeCell ref="AL98:AN98"/>
    <mergeCell ref="AL94:AN94"/>
    <mergeCell ref="AA95:AC95"/>
    <mergeCell ref="AJ95:AK95"/>
    <mergeCell ref="AL95:AN95"/>
    <mergeCell ref="L96:R97"/>
    <mergeCell ref="S96:V97"/>
    <mergeCell ref="W96:Z97"/>
    <mergeCell ref="AA96:AC96"/>
    <mergeCell ref="AD96:AF97"/>
    <mergeCell ref="AG96:AI97"/>
    <mergeCell ref="AJ96:AK96"/>
    <mergeCell ref="AL96:AN96"/>
    <mergeCell ref="AA97:AC97"/>
    <mergeCell ref="AJ97:AK97"/>
    <mergeCell ref="AL97:AN97"/>
    <mergeCell ref="L46:R47"/>
    <mergeCell ref="L64:R65"/>
    <mergeCell ref="L94:R95"/>
    <mergeCell ref="S94:V95"/>
    <mergeCell ref="W94:Z95"/>
    <mergeCell ref="AA94:AC94"/>
    <mergeCell ref="AD94:AF95"/>
    <mergeCell ref="AG94:AI95"/>
    <mergeCell ref="L50:R51"/>
    <mergeCell ref="S50:V51"/>
    <mergeCell ref="W50:Z51"/>
    <mergeCell ref="AA50:AC50"/>
    <mergeCell ref="AD50:AF51"/>
    <mergeCell ref="AG50:AI51"/>
    <mergeCell ref="L70:R71"/>
    <mergeCell ref="S70:V71"/>
    <mergeCell ref="L62:R63"/>
    <mergeCell ref="S62:V63"/>
    <mergeCell ref="W62:Z63"/>
    <mergeCell ref="L54:R55"/>
    <mergeCell ref="S54:V55"/>
    <mergeCell ref="S58:V59"/>
    <mergeCell ref="W58:Z59"/>
    <mergeCell ref="AA73:AC73"/>
    <mergeCell ref="AO56:AT56"/>
    <mergeCell ref="AO57:AT57"/>
    <mergeCell ref="AO66:AT66"/>
    <mergeCell ref="AO67:AT67"/>
    <mergeCell ref="L66:R67"/>
    <mergeCell ref="S64:V65"/>
    <mergeCell ref="W64:Z65"/>
    <mergeCell ref="AA64:AC64"/>
    <mergeCell ref="AA65:AC65"/>
    <mergeCell ref="AD64:AF65"/>
    <mergeCell ref="AG64:AI65"/>
    <mergeCell ref="L60:R61"/>
    <mergeCell ref="S60:V61"/>
    <mergeCell ref="W60:Z61"/>
    <mergeCell ref="AO65:AT65"/>
    <mergeCell ref="AJ56:AK56"/>
    <mergeCell ref="AL56:AN56"/>
    <mergeCell ref="AA58:AC58"/>
    <mergeCell ref="AJ60:AK60"/>
    <mergeCell ref="AL60:AN60"/>
    <mergeCell ref="S66:V67"/>
    <mergeCell ref="W66:Z67"/>
    <mergeCell ref="AA66:AC66"/>
    <mergeCell ref="AA67:AC67"/>
    <mergeCell ref="AO50:AT50"/>
    <mergeCell ref="AA51:AC51"/>
    <mergeCell ref="AJ51:AK51"/>
    <mergeCell ref="AL51:AN51"/>
    <mergeCell ref="AO51:AT51"/>
    <mergeCell ref="AA62:AC62"/>
    <mergeCell ref="AD62:AF63"/>
    <mergeCell ref="AG62:AI63"/>
    <mergeCell ref="AJ62:AK62"/>
    <mergeCell ref="AL62:AN62"/>
    <mergeCell ref="AA63:AC63"/>
    <mergeCell ref="AJ63:AK63"/>
    <mergeCell ref="AL63:AN63"/>
    <mergeCell ref="AJ53:AK53"/>
    <mergeCell ref="AL53:AN53"/>
    <mergeCell ref="AA56:AC56"/>
    <mergeCell ref="AA57:AC57"/>
    <mergeCell ref="AJ50:AK50"/>
    <mergeCell ref="AL50:AN50"/>
    <mergeCell ref="AA59:AC59"/>
    <mergeCell ref="AA60:AC60"/>
    <mergeCell ref="AD60:AF61"/>
    <mergeCell ref="AG60:AI61"/>
    <mergeCell ref="AG56:AI57"/>
    <mergeCell ref="AD72:AF73"/>
    <mergeCell ref="AG72:AI73"/>
    <mergeCell ref="L72:R73"/>
    <mergeCell ref="AD70:AF71"/>
    <mergeCell ref="AG70:AI71"/>
    <mergeCell ref="AL70:AN70"/>
    <mergeCell ref="S72:V73"/>
    <mergeCell ref="W72:Z73"/>
    <mergeCell ref="AA71:AC71"/>
    <mergeCell ref="W70:Z71"/>
    <mergeCell ref="AA70:AC70"/>
    <mergeCell ref="AL72:AN72"/>
    <mergeCell ref="W68:Z69"/>
    <mergeCell ref="AA68:AC68"/>
    <mergeCell ref="AA69:AC69"/>
    <mergeCell ref="AD66:AF67"/>
    <mergeCell ref="AG66:AI67"/>
    <mergeCell ref="L68:R69"/>
    <mergeCell ref="AO62:AT62"/>
    <mergeCell ref="AO63:AT63"/>
    <mergeCell ref="AJ68:AK68"/>
    <mergeCell ref="AL68:AN68"/>
    <mergeCell ref="S68:V69"/>
    <mergeCell ref="AO72:AT72"/>
    <mergeCell ref="AL64:AN64"/>
    <mergeCell ref="AO64:AT64"/>
    <mergeCell ref="AJ65:AK65"/>
    <mergeCell ref="AJ72:AK72"/>
    <mergeCell ref="AL67:AN67"/>
    <mergeCell ref="AO68:AT68"/>
    <mergeCell ref="AL65:AN65"/>
    <mergeCell ref="AJ64:AK64"/>
    <mergeCell ref="AJ66:AK66"/>
    <mergeCell ref="AL66:AN66"/>
    <mergeCell ref="AJ67:AK67"/>
    <mergeCell ref="AL69:AN69"/>
    <mergeCell ref="AO69:AT69"/>
    <mergeCell ref="AO86:AT86"/>
    <mergeCell ref="AJ87:AK87"/>
    <mergeCell ref="AL87:AN87"/>
    <mergeCell ref="AO87:AT87"/>
    <mergeCell ref="AL73:AN73"/>
    <mergeCell ref="AJ73:AK73"/>
    <mergeCell ref="AO73:AT73"/>
    <mergeCell ref="AL86:AN86"/>
    <mergeCell ref="AD68:AF69"/>
    <mergeCell ref="AG68:AI69"/>
    <mergeCell ref="AL84:AN84"/>
    <mergeCell ref="AD82:AF83"/>
    <mergeCell ref="AG82:AI83"/>
    <mergeCell ref="AJ82:AK82"/>
    <mergeCell ref="AL82:AN82"/>
    <mergeCell ref="AD80:AF81"/>
    <mergeCell ref="AO84:AT84"/>
    <mergeCell ref="AL85:AN85"/>
    <mergeCell ref="AO70:AT70"/>
    <mergeCell ref="AJ71:AK71"/>
    <mergeCell ref="AL71:AN71"/>
    <mergeCell ref="AO71:AT71"/>
    <mergeCell ref="AJ70:AK70"/>
    <mergeCell ref="AJ69:AK69"/>
    <mergeCell ref="AG48:AI49"/>
    <mergeCell ref="AO52:AT52"/>
    <mergeCell ref="AO53:AT53"/>
    <mergeCell ref="AO54:AT54"/>
    <mergeCell ref="AO55:AT55"/>
    <mergeCell ref="AA61:AC61"/>
    <mergeCell ref="AJ61:AK61"/>
    <mergeCell ref="AL61:AN61"/>
    <mergeCell ref="AJ58:AK58"/>
    <mergeCell ref="AL58:AN58"/>
    <mergeCell ref="AJ59:AK59"/>
    <mergeCell ref="AL59:AN59"/>
    <mergeCell ref="AD58:AF59"/>
    <mergeCell ref="AG58:AI59"/>
    <mergeCell ref="AA52:AC52"/>
    <mergeCell ref="AD52:AF53"/>
    <mergeCell ref="AG52:AI53"/>
    <mergeCell ref="AJ52:AK52"/>
    <mergeCell ref="AL52:AN52"/>
    <mergeCell ref="AA53:AC53"/>
    <mergeCell ref="AO58:AT58"/>
    <mergeCell ref="AO59:AT59"/>
    <mergeCell ref="AO60:AT60"/>
    <mergeCell ref="AO61:AT61"/>
    <mergeCell ref="AJ57:AK57"/>
    <mergeCell ref="AL57:AN57"/>
    <mergeCell ref="W54:Z55"/>
    <mergeCell ref="AA54:AC54"/>
    <mergeCell ref="AD54:AF55"/>
    <mergeCell ref="AG54:AI55"/>
    <mergeCell ref="AJ54:AK54"/>
    <mergeCell ref="AL54:AN54"/>
    <mergeCell ref="AA55:AC55"/>
    <mergeCell ref="AJ55:AK55"/>
    <mergeCell ref="AL55:AN55"/>
    <mergeCell ref="AD56:AF57"/>
    <mergeCell ref="W56:Z57"/>
    <mergeCell ref="AJ46:AK46"/>
    <mergeCell ref="AL46:AN46"/>
    <mergeCell ref="AO46:AT46"/>
    <mergeCell ref="AJ47:AK47"/>
    <mergeCell ref="AL47:AN47"/>
    <mergeCell ref="AO47:AT47"/>
    <mergeCell ref="L48:R49"/>
    <mergeCell ref="S46:V47"/>
    <mergeCell ref="W46:Z47"/>
    <mergeCell ref="AA46:AC46"/>
    <mergeCell ref="AA47:AC47"/>
    <mergeCell ref="AD46:AF47"/>
    <mergeCell ref="AG46:AI47"/>
    <mergeCell ref="AJ48:AK48"/>
    <mergeCell ref="AL48:AN48"/>
    <mergeCell ref="AO48:AT48"/>
    <mergeCell ref="S48:V49"/>
    <mergeCell ref="AJ49:AK49"/>
    <mergeCell ref="AL49:AN49"/>
    <mergeCell ref="AO49:AT49"/>
    <mergeCell ref="W48:Z49"/>
    <mergeCell ref="AA48:AC48"/>
    <mergeCell ref="AA49:AC49"/>
    <mergeCell ref="AD48:AF49"/>
    <mergeCell ref="AL44:AN44"/>
    <mergeCell ref="AO44:AT44"/>
    <mergeCell ref="AJ45:AK45"/>
    <mergeCell ref="AL45:AN45"/>
    <mergeCell ref="AO45:AT45"/>
    <mergeCell ref="S44:V45"/>
    <mergeCell ref="W44:Z45"/>
    <mergeCell ref="AA44:AC44"/>
    <mergeCell ref="AA45:AC45"/>
    <mergeCell ref="AD44:AF45"/>
    <mergeCell ref="AG44:AI45"/>
    <mergeCell ref="L56:R57"/>
    <mergeCell ref="S56:V57"/>
    <mergeCell ref="AL41:AN41"/>
    <mergeCell ref="AO41:AT41"/>
    <mergeCell ref="S40:V41"/>
    <mergeCell ref="W40:Z41"/>
    <mergeCell ref="AA40:AC40"/>
    <mergeCell ref="AA41:AC41"/>
    <mergeCell ref="AD40:AF41"/>
    <mergeCell ref="AG40:AI41"/>
    <mergeCell ref="L40:R41"/>
    <mergeCell ref="AJ42:AK42"/>
    <mergeCell ref="AL42:AN42"/>
    <mergeCell ref="AO42:AT42"/>
    <mergeCell ref="AJ43:AK43"/>
    <mergeCell ref="AL43:AN43"/>
    <mergeCell ref="AO43:AT43"/>
    <mergeCell ref="S42:V43"/>
    <mergeCell ref="W42:Z43"/>
    <mergeCell ref="AA42:AC42"/>
    <mergeCell ref="AA43:AC43"/>
    <mergeCell ref="AD42:AF43"/>
    <mergeCell ref="AG42:AI43"/>
    <mergeCell ref="AJ44:AK44"/>
    <mergeCell ref="S36:V37"/>
    <mergeCell ref="W36:Z37"/>
    <mergeCell ref="AA36:AC36"/>
    <mergeCell ref="AA37:AC37"/>
    <mergeCell ref="L90:R91"/>
    <mergeCell ref="S90:V91"/>
    <mergeCell ref="W90:Z91"/>
    <mergeCell ref="AA90:AC90"/>
    <mergeCell ref="L38:R39"/>
    <mergeCell ref="S38:V39"/>
    <mergeCell ref="W38:Z39"/>
    <mergeCell ref="AA38:AC38"/>
    <mergeCell ref="AA39:AC39"/>
    <mergeCell ref="L42:R43"/>
    <mergeCell ref="L52:R53"/>
    <mergeCell ref="W52:Z53"/>
    <mergeCell ref="L44:R45"/>
    <mergeCell ref="S52:V53"/>
    <mergeCell ref="AA72:AC72"/>
    <mergeCell ref="AA88:AC88"/>
    <mergeCell ref="AA89:AC89"/>
    <mergeCell ref="L76:R77"/>
    <mergeCell ref="S76:V77"/>
    <mergeCell ref="L58:R59"/>
    <mergeCell ref="L88:R89"/>
    <mergeCell ref="S88:V89"/>
    <mergeCell ref="W88:Z89"/>
    <mergeCell ref="N112:O112"/>
    <mergeCell ref="N113:O113"/>
    <mergeCell ref="W111:AA111"/>
    <mergeCell ref="W112:AA113"/>
    <mergeCell ref="AG118:AK118"/>
    <mergeCell ref="N116:O116"/>
    <mergeCell ref="P116:V116"/>
    <mergeCell ref="W116:AA117"/>
    <mergeCell ref="N117:O117"/>
    <mergeCell ref="P117:V117"/>
    <mergeCell ref="N115:V115"/>
    <mergeCell ref="W115:AA115"/>
    <mergeCell ref="K115:M116"/>
    <mergeCell ref="K117:M117"/>
    <mergeCell ref="K113:M113"/>
    <mergeCell ref="K111:M112"/>
    <mergeCell ref="AJ94:AK94"/>
    <mergeCell ref="AA109:AC109"/>
    <mergeCell ref="AJ109:AK109"/>
    <mergeCell ref="L108:R109"/>
    <mergeCell ref="S108:V109"/>
    <mergeCell ref="AA91:AC91"/>
    <mergeCell ref="AD88:AF89"/>
    <mergeCell ref="AG88:AI89"/>
    <mergeCell ref="AJ88:AK88"/>
    <mergeCell ref="AL88:AN88"/>
    <mergeCell ref="AO88:AT88"/>
    <mergeCell ref="AJ89:AK89"/>
    <mergeCell ref="AL89:AN89"/>
    <mergeCell ref="AO89:AT89"/>
    <mergeCell ref="AD90:AF91"/>
    <mergeCell ref="AG90:AI91"/>
    <mergeCell ref="AJ90:AK90"/>
    <mergeCell ref="AL90:AN90"/>
    <mergeCell ref="AO90:AT90"/>
    <mergeCell ref="AJ91:AK91"/>
    <mergeCell ref="AL91:AN91"/>
    <mergeCell ref="AO91:AT91"/>
    <mergeCell ref="L86:R87"/>
    <mergeCell ref="S86:V87"/>
    <mergeCell ref="W86:Z87"/>
    <mergeCell ref="AA86:AC86"/>
    <mergeCell ref="AA87:AC87"/>
    <mergeCell ref="AD86:AF87"/>
    <mergeCell ref="AG86:AI87"/>
    <mergeCell ref="AJ86:AK86"/>
    <mergeCell ref="AJ85:AK85"/>
    <mergeCell ref="AO85:AT85"/>
    <mergeCell ref="L84:R85"/>
    <mergeCell ref="S84:V85"/>
    <mergeCell ref="W84:Z85"/>
    <mergeCell ref="AA84:AC84"/>
    <mergeCell ref="AA85:AC85"/>
    <mergeCell ref="AO82:AT82"/>
    <mergeCell ref="AJ83:AK83"/>
    <mergeCell ref="AL83:AN83"/>
    <mergeCell ref="AO83:AT83"/>
    <mergeCell ref="L82:R83"/>
    <mergeCell ref="S82:V83"/>
    <mergeCell ref="W82:Z83"/>
    <mergeCell ref="AA82:AC82"/>
    <mergeCell ref="AA83:AC83"/>
    <mergeCell ref="AD84:AF85"/>
    <mergeCell ref="AG84:AI85"/>
    <mergeCell ref="AJ84:AK84"/>
    <mergeCell ref="AL80:AN80"/>
    <mergeCell ref="AO80:AT80"/>
    <mergeCell ref="AJ81:AK81"/>
    <mergeCell ref="AL81:AN81"/>
    <mergeCell ref="AO81:AT81"/>
    <mergeCell ref="L80:R81"/>
    <mergeCell ref="S80:V81"/>
    <mergeCell ref="W80:Z81"/>
    <mergeCell ref="AA80:AC80"/>
    <mergeCell ref="AA81:AC81"/>
    <mergeCell ref="AG80:AI81"/>
    <mergeCell ref="AJ80:AK80"/>
    <mergeCell ref="AL78:AN78"/>
    <mergeCell ref="AO78:AT78"/>
    <mergeCell ref="AJ79:AK79"/>
    <mergeCell ref="AL79:AN79"/>
    <mergeCell ref="AO79:AT79"/>
    <mergeCell ref="L78:R79"/>
    <mergeCell ref="S78:V79"/>
    <mergeCell ref="W78:Z79"/>
    <mergeCell ref="AA78:AC78"/>
    <mergeCell ref="AA79:AC79"/>
    <mergeCell ref="W76:Z77"/>
    <mergeCell ref="AA76:AC76"/>
    <mergeCell ref="AA77:AC77"/>
    <mergeCell ref="AD76:AF77"/>
    <mergeCell ref="AD78:AF79"/>
    <mergeCell ref="AG78:AI79"/>
    <mergeCell ref="AJ78:AK78"/>
    <mergeCell ref="AA75:AC75"/>
    <mergeCell ref="AO36:AT36"/>
    <mergeCell ref="AJ37:AK37"/>
    <mergeCell ref="AG76:AI77"/>
    <mergeCell ref="AJ76:AK76"/>
    <mergeCell ref="AL76:AN76"/>
    <mergeCell ref="AO76:AT76"/>
    <mergeCell ref="AJ77:AK77"/>
    <mergeCell ref="AL77:AN77"/>
    <mergeCell ref="AO77:AT77"/>
    <mergeCell ref="AL37:AN37"/>
    <mergeCell ref="AO37:AT37"/>
    <mergeCell ref="AJ38:AK38"/>
    <mergeCell ref="AL38:AN38"/>
    <mergeCell ref="AO38:AT38"/>
    <mergeCell ref="AJ39:AK39"/>
    <mergeCell ref="AL39:AN39"/>
    <mergeCell ref="AJ40:AK40"/>
    <mergeCell ref="AL40:AN40"/>
    <mergeCell ref="AO40:AT40"/>
    <mergeCell ref="AJ41:AK41"/>
    <mergeCell ref="L22:R23"/>
    <mergeCell ref="S22:V23"/>
    <mergeCell ref="AG24:AI25"/>
    <mergeCell ref="L24:R25"/>
    <mergeCell ref="S24:V25"/>
    <mergeCell ref="W24:Z25"/>
    <mergeCell ref="AA24:AC24"/>
    <mergeCell ref="AJ24:AK24"/>
    <mergeCell ref="AL24:AN24"/>
    <mergeCell ref="AA25:AC25"/>
    <mergeCell ref="AJ25:AK25"/>
    <mergeCell ref="AL25:AN25"/>
    <mergeCell ref="AD24:AF25"/>
    <mergeCell ref="AG32:AI33"/>
    <mergeCell ref="AJ32:AK32"/>
    <mergeCell ref="AL32:AN32"/>
    <mergeCell ref="AA33:AC33"/>
    <mergeCell ref="L34:R35"/>
    <mergeCell ref="S34:V35"/>
    <mergeCell ref="W34:Z35"/>
    <mergeCell ref="AJ74:AK74"/>
    <mergeCell ref="AL74:AN74"/>
    <mergeCell ref="AO74:AT74"/>
    <mergeCell ref="AJ75:AK75"/>
    <mergeCell ref="AL75:AN75"/>
    <mergeCell ref="AO75:AT75"/>
    <mergeCell ref="AO34:AT34"/>
    <mergeCell ref="AA35:AC35"/>
    <mergeCell ref="AJ35:AK35"/>
    <mergeCell ref="AL35:AN35"/>
    <mergeCell ref="AO35:AT35"/>
    <mergeCell ref="AA34:AC34"/>
    <mergeCell ref="AD34:AF35"/>
    <mergeCell ref="AG34:AI35"/>
    <mergeCell ref="AJ34:AK34"/>
    <mergeCell ref="AL34:AN34"/>
    <mergeCell ref="AD36:AF37"/>
    <mergeCell ref="AG36:AI37"/>
    <mergeCell ref="AJ36:AK36"/>
    <mergeCell ref="AL36:AN36"/>
    <mergeCell ref="AA74:AC74"/>
    <mergeCell ref="AO39:AT39"/>
    <mergeCell ref="AD38:AF39"/>
    <mergeCell ref="AG38:AI39"/>
    <mergeCell ref="AO32:AT32"/>
    <mergeCell ref="AO33:AT33"/>
    <mergeCell ref="AJ21:AK21"/>
    <mergeCell ref="AL20:AN20"/>
    <mergeCell ref="AL21:AN21"/>
    <mergeCell ref="AJ28:AK28"/>
    <mergeCell ref="AL28:AN28"/>
    <mergeCell ref="AO28:AT28"/>
    <mergeCell ref="AJ29:AK29"/>
    <mergeCell ref="AL29:AN29"/>
    <mergeCell ref="AO29:AT29"/>
    <mergeCell ref="AO20:AT20"/>
    <mergeCell ref="AO21:AT21"/>
    <mergeCell ref="AJ20:AK20"/>
    <mergeCell ref="AJ22:AK22"/>
    <mergeCell ref="AL22:AN22"/>
    <mergeCell ref="AO22:AT22"/>
    <mergeCell ref="AJ23:AK23"/>
    <mergeCell ref="AL23:AN23"/>
    <mergeCell ref="AO23:AT23"/>
    <mergeCell ref="AJ33:AK33"/>
    <mergeCell ref="AL33:AN33"/>
    <mergeCell ref="AJ30:AK30"/>
    <mergeCell ref="AG20:AI21"/>
    <mergeCell ref="AG22:AI23"/>
    <mergeCell ref="AA23:AC23"/>
    <mergeCell ref="AA21:AC21"/>
    <mergeCell ref="W20:Z21"/>
    <mergeCell ref="AO17:AT17"/>
    <mergeCell ref="AO30:AT30"/>
    <mergeCell ref="AA30:AC30"/>
    <mergeCell ref="AD30:AF31"/>
    <mergeCell ref="AG30:AI31"/>
    <mergeCell ref="AL30:AN30"/>
    <mergeCell ref="AA31:AC31"/>
    <mergeCell ref="AJ31:AK31"/>
    <mergeCell ref="AL31:AN31"/>
    <mergeCell ref="AJ26:AK26"/>
    <mergeCell ref="AL26:AN26"/>
    <mergeCell ref="AO26:AT26"/>
    <mergeCell ref="AO27:AT27"/>
    <mergeCell ref="AO31:AT31"/>
    <mergeCell ref="AL27:AN27"/>
    <mergeCell ref="AO24:AT24"/>
    <mergeCell ref="AO25:AT25"/>
    <mergeCell ref="W30:Z31"/>
    <mergeCell ref="AO18:AT18"/>
    <mergeCell ref="AD74:AF75"/>
    <mergeCell ref="AG74:AI75"/>
    <mergeCell ref="L74:R75"/>
    <mergeCell ref="S74:V75"/>
    <mergeCell ref="W74:Z75"/>
    <mergeCell ref="AA26:AC26"/>
    <mergeCell ref="AD26:AF27"/>
    <mergeCell ref="AG26:AI27"/>
    <mergeCell ref="AA27:AC27"/>
    <mergeCell ref="L28:R29"/>
    <mergeCell ref="S28:V29"/>
    <mergeCell ref="W28:Z29"/>
    <mergeCell ref="AA28:AC28"/>
    <mergeCell ref="AD28:AF29"/>
    <mergeCell ref="AG28:AI29"/>
    <mergeCell ref="AA29:AC29"/>
    <mergeCell ref="AA32:AC32"/>
    <mergeCell ref="AD32:AF33"/>
    <mergeCell ref="L30:R31"/>
    <mergeCell ref="S30:V31"/>
    <mergeCell ref="L32:R33"/>
    <mergeCell ref="S32:V33"/>
    <mergeCell ref="W32:Z33"/>
    <mergeCell ref="L36:R37"/>
    <mergeCell ref="K9:V9"/>
    <mergeCell ref="W9:AH9"/>
    <mergeCell ref="K10:V12"/>
    <mergeCell ref="W10:AH12"/>
    <mergeCell ref="S26:V27"/>
    <mergeCell ref="W26:Z27"/>
    <mergeCell ref="AJ27:AK27"/>
    <mergeCell ref="W22:Z23"/>
    <mergeCell ref="AA22:AC22"/>
    <mergeCell ref="AD22:AF23"/>
    <mergeCell ref="AJ17:AN17"/>
    <mergeCell ref="AI9:AT9"/>
    <mergeCell ref="AI10:AT12"/>
    <mergeCell ref="L20:R21"/>
    <mergeCell ref="AD17:AF17"/>
    <mergeCell ref="AG17:AI17"/>
    <mergeCell ref="S17:V17"/>
    <mergeCell ref="AA17:AC17"/>
    <mergeCell ref="L26:R27"/>
    <mergeCell ref="AD20:AF21"/>
    <mergeCell ref="S20:V21"/>
    <mergeCell ref="AA20:AC20"/>
    <mergeCell ref="W17:Z17"/>
    <mergeCell ref="L17:R17"/>
    <mergeCell ref="AO92:AT92"/>
    <mergeCell ref="AA93:AC93"/>
    <mergeCell ref="AJ93:AK93"/>
    <mergeCell ref="AL93:AN93"/>
    <mergeCell ref="AO93:AT93"/>
    <mergeCell ref="L92:R93"/>
    <mergeCell ref="S92:V93"/>
    <mergeCell ref="W92:Z93"/>
    <mergeCell ref="AA92:AC92"/>
    <mergeCell ref="AD92:AF93"/>
    <mergeCell ref="AG92:AI93"/>
    <mergeCell ref="AJ92:AK92"/>
    <mergeCell ref="AL92:AN92"/>
    <mergeCell ref="AO102:AT102"/>
    <mergeCell ref="AA103:AC103"/>
    <mergeCell ref="AJ103:AK103"/>
    <mergeCell ref="AL103:AN103"/>
    <mergeCell ref="AO103:AT103"/>
    <mergeCell ref="L104:R105"/>
    <mergeCell ref="S104:V105"/>
    <mergeCell ref="W104:Z105"/>
    <mergeCell ref="AA104:AC104"/>
    <mergeCell ref="AD104:AF105"/>
    <mergeCell ref="AG104:AI105"/>
    <mergeCell ref="AJ104:AK104"/>
    <mergeCell ref="AL104:AN104"/>
    <mergeCell ref="AO104:AT104"/>
    <mergeCell ref="AA105:AC105"/>
    <mergeCell ref="AJ105:AK105"/>
    <mergeCell ref="AL105:AN105"/>
    <mergeCell ref="AO105:AT105"/>
    <mergeCell ref="AL106:AN106"/>
    <mergeCell ref="AO106:AT106"/>
    <mergeCell ref="AA107:AC107"/>
    <mergeCell ref="AJ107:AK107"/>
    <mergeCell ref="AL107:AN107"/>
    <mergeCell ref="AO107:AT107"/>
    <mergeCell ref="N111:V111"/>
    <mergeCell ref="P112:V112"/>
    <mergeCell ref="P113:V113"/>
    <mergeCell ref="AO108:AT108"/>
    <mergeCell ref="AL109:AN109"/>
    <mergeCell ref="AO109:AT109"/>
    <mergeCell ref="W108:Z109"/>
    <mergeCell ref="AA108:AC108"/>
    <mergeCell ref="AD108:AF109"/>
    <mergeCell ref="AG108:AI109"/>
    <mergeCell ref="AJ108:AK108"/>
    <mergeCell ref="AL108:AN108"/>
    <mergeCell ref="K14:Z15"/>
    <mergeCell ref="AA14:AQ15"/>
    <mergeCell ref="AA13:AQ13"/>
    <mergeCell ref="K13:Z13"/>
    <mergeCell ref="AF114:AT114"/>
    <mergeCell ref="AF115:AT115"/>
    <mergeCell ref="AF116:AT116"/>
    <mergeCell ref="AF117:AT117"/>
    <mergeCell ref="AD114:AE114"/>
    <mergeCell ref="AD115:AE115"/>
    <mergeCell ref="AD116:AE116"/>
    <mergeCell ref="AD117:AE117"/>
    <mergeCell ref="AD113:AE113"/>
    <mergeCell ref="AC111:AT111"/>
    <mergeCell ref="AD112:AE112"/>
    <mergeCell ref="AF112:AT112"/>
    <mergeCell ref="AF113:AT113"/>
    <mergeCell ref="L106:R107"/>
    <mergeCell ref="S106:V107"/>
    <mergeCell ref="W106:Z107"/>
    <mergeCell ref="AA106:AC106"/>
    <mergeCell ref="AD106:AF107"/>
    <mergeCell ref="AG106:AI107"/>
    <mergeCell ref="AJ106:AK106"/>
  </mergeCells>
  <conditionalFormatting sqref="AD113">
    <cfRule type="containsBlanks" dxfId="1583" priority="56">
      <formula>LEN(TRIM(AD113))=0</formula>
    </cfRule>
  </conditionalFormatting>
  <conditionalFormatting sqref="AA21:AC21 AA23:AC23 AA25:AC25 AA27:AC27 AA29:AC29 AA31:AC31 AA33:AC33 AA35:AC35 AA37:AC37 AA39:AC39 AA41:AC41 AA43:AC43 AA45:AC45 AA47:AC47 AA49:AC49 AA51:AC51 AA53:AC53 AA55:AC55 AA57:AC57 AA59:AC59 AA61:AC61 AA63:AC63 AA65:AC65 AA67:AC67 AA69:AC69 AA71:AC71 AA73:AC73 AA75:AC75 AA77:AC77 AA79:AC79 AA81:AC81 AA83:AC83 AA85:AC85 AA87:AC87 AA89:AC89 AA91:AC91 AA93:AC93 AA95:AC95 AA97:AC97 AA99:AC99 AA101:AC101 AA103:AC103 AA105:AC105 AA107:AC107 AA109:AC109">
    <cfRule type="containsBlanks" dxfId="1582" priority="54">
      <formula>LEN(TRIM(AA21))=0</formula>
    </cfRule>
  </conditionalFormatting>
  <conditionalFormatting sqref="L20:R109">
    <cfRule type="expression" dxfId="1581" priority="38">
      <formula>$AD20&gt;0</formula>
    </cfRule>
  </conditionalFormatting>
  <conditionalFormatting sqref="K20:K109">
    <cfRule type="expression" dxfId="1580" priority="28">
      <formula>$AD20&gt;0</formula>
    </cfRule>
  </conditionalFormatting>
  <conditionalFormatting sqref="AD114">
    <cfRule type="containsBlanks" dxfId="1579" priority="9">
      <formula>LEN(TRIM(AD114))=0</formula>
    </cfRule>
  </conditionalFormatting>
  <conditionalFormatting sqref="AD115">
    <cfRule type="containsBlanks" dxfId="1578" priority="8">
      <formula>LEN(TRIM(AD115))=0</formula>
    </cfRule>
  </conditionalFormatting>
  <conditionalFormatting sqref="AD116">
    <cfRule type="containsBlanks" dxfId="1577" priority="7">
      <formula>LEN(TRIM(AD116))=0</formula>
    </cfRule>
  </conditionalFormatting>
  <conditionalFormatting sqref="AD117">
    <cfRule type="containsBlanks" dxfId="1576" priority="6">
      <formula>LEN(TRIM(AD117))=0</formula>
    </cfRule>
  </conditionalFormatting>
  <conditionalFormatting sqref="AA19:AC19">
    <cfRule type="containsBlanks" dxfId="1575" priority="3">
      <formula>LEN(TRIM(AA19))=0</formula>
    </cfRule>
  </conditionalFormatting>
  <conditionalFormatting sqref="L18:R19">
    <cfRule type="expression" dxfId="1574" priority="2">
      <formula>$AD18&gt;0</formula>
    </cfRule>
  </conditionalFormatting>
  <conditionalFormatting sqref="K18:K19">
    <cfRule type="expression" dxfId="1573" priority="1">
      <formula>$AD18&gt;0</formula>
    </cfRule>
  </conditionalFormatting>
  <dataValidations count="30">
    <dataValidation type="list" allowBlank="1" showInputMessage="1" showErrorMessage="1" sqref="AO81:AT81">
      <formula1>$B$3:$B$42</formula1>
    </dataValidation>
    <dataValidation type="list" allowBlank="1" showInputMessage="1" showErrorMessage="1" sqref="AO83:AT83">
      <formula1>$B$3:$B$42</formula1>
    </dataValidation>
    <dataValidation type="list" allowBlank="1" showInputMessage="1" showErrorMessage="1" sqref="AO85:AT85">
      <formula1>$B$3:$B$42</formula1>
    </dataValidation>
    <dataValidation type="list" allowBlank="1" showInputMessage="1" showErrorMessage="1" sqref="AO87:AT87">
      <formula1>$B$3:$B$42</formula1>
    </dataValidation>
    <dataValidation type="list" allowBlank="1" showInputMessage="1" showErrorMessage="1" sqref="AO89:AT89">
      <formula1>$B$3:$B$42</formula1>
    </dataValidation>
    <dataValidation type="list" allowBlank="1" showInputMessage="1" showErrorMessage="1" sqref="AO91:AT91">
      <formula1>$B$3:$B$42</formula1>
    </dataValidation>
    <dataValidation type="list" allowBlank="1" showInputMessage="1" showErrorMessage="1" sqref="AO93:AT93">
      <formula1>$B$3:$B$42</formula1>
    </dataValidation>
    <dataValidation type="list" allowBlank="1" showInputMessage="1" showErrorMessage="1" sqref="AO95:AT95">
      <formula1>$B$3:$B$42</formula1>
    </dataValidation>
    <dataValidation type="list" allowBlank="1" showInputMessage="1" showErrorMessage="1" sqref="AO97:AT97">
      <formula1>$B$3:$B$42</formula1>
    </dataValidation>
    <dataValidation type="list" allowBlank="1" showInputMessage="1" showErrorMessage="1" sqref="AO99:AT99">
      <formula1>$B$3:$B$42</formula1>
    </dataValidation>
    <dataValidation type="list" allowBlank="1" showInputMessage="1" showErrorMessage="1" sqref="AO101:AT101">
      <formula1>$B$3:$B$42</formula1>
    </dataValidation>
    <dataValidation type="list" allowBlank="1" showInputMessage="1" showErrorMessage="1" sqref="AO103:AT103">
      <formula1>$B$3:$B$42</formula1>
    </dataValidation>
    <dataValidation type="list" allowBlank="1" showInputMessage="1" showErrorMessage="1" sqref="AO105:AT105">
      <formula1>$B$3:$B$42</formula1>
    </dataValidation>
    <dataValidation type="list" allowBlank="1" showInputMessage="1" showErrorMessage="1" sqref="AO107:AT107">
      <formula1>$B$3:$B$42</formula1>
    </dataValidation>
    <dataValidation type="list" allowBlank="1" showInputMessage="1" showErrorMessage="1" sqref="AO109:AT109">
      <formula1>$B$3:$B$42</formula1>
    </dataValidation>
    <dataValidation type="list" allowBlank="1" showInputMessage="1" showErrorMessage="1" sqref="AO80:AT80">
      <formula1>$B$3:$B$39</formula1>
    </dataValidation>
    <dataValidation type="list" allowBlank="1" showInputMessage="1" showErrorMessage="1" sqref="AO82:AT82">
      <formula1>$B$3:$B$39</formula1>
    </dataValidation>
    <dataValidation type="list" allowBlank="1" showInputMessage="1" showErrorMessage="1" sqref="AO84:AT84">
      <formula1>$B$3:$B$39</formula1>
    </dataValidation>
    <dataValidation type="list" allowBlank="1" showInputMessage="1" showErrorMessage="1" sqref="AO86:AT86">
      <formula1>$B$3:$B$39</formula1>
    </dataValidation>
    <dataValidation type="list" allowBlank="1" showInputMessage="1" showErrorMessage="1" sqref="AO88:AT88">
      <formula1>$B$3:$B$39</formula1>
    </dataValidation>
    <dataValidation type="list" allowBlank="1" showInputMessage="1" showErrorMessage="1" sqref="AO90:AT90">
      <formula1>$B$3:$B$39</formula1>
    </dataValidation>
    <dataValidation type="list" allowBlank="1" showInputMessage="1" showErrorMessage="1" sqref="AO92:AT92">
      <formula1>$B$3:$B$39</formula1>
    </dataValidation>
    <dataValidation type="list" allowBlank="1" showInputMessage="1" showErrorMessage="1" sqref="AO94:AT94">
      <formula1>$B$3:$B$39</formula1>
    </dataValidation>
    <dataValidation type="list" allowBlank="1" showInputMessage="1" showErrorMessage="1" sqref="AO96:AT96">
      <formula1>$B$3:$B$39</formula1>
    </dataValidation>
    <dataValidation type="list" allowBlank="1" showInputMessage="1" showErrorMessage="1" sqref="AO98:AT98">
      <formula1>$B$3:$B$39</formula1>
    </dataValidation>
    <dataValidation type="list" allowBlank="1" showInputMessage="1" showErrorMessage="1" sqref="AO100:AT100">
      <formula1>$B$3:$B$39</formula1>
    </dataValidation>
    <dataValidation type="list" allowBlank="1" showInputMessage="1" showErrorMessage="1" sqref="AO102:AT102">
      <formula1>$B$3:$B$39</formula1>
    </dataValidation>
    <dataValidation type="list" allowBlank="1" showInputMessage="1" showErrorMessage="1" sqref="AO104:AT104">
      <formula1>$B$3:$B$39</formula1>
    </dataValidation>
    <dataValidation type="list" allowBlank="1" showInputMessage="1" showErrorMessage="1" sqref="AO106:AT106">
      <formula1>$B$3:$B$39</formula1>
    </dataValidation>
    <dataValidation type="list" allowBlank="1" showInputMessage="1" showErrorMessage="1" sqref="AO108:AT108">
      <formula1>$B$3:$B$39</formula1>
    </dataValidation>
  </dataValidations>
  <printOptions horizontalCentered="1"/>
  <pageMargins left="0.39370078740157483" right="0.39370078740157483" top="0.59055118110236227" bottom="0.74803149606299213" header="0.31496062992125984" footer="7.874015748031496E-2"/>
  <pageSetup scale="85" orientation="landscape" horizontalDpi="4294967295" verticalDpi="4294967295" r:id="rId1"/>
  <headerFooter>
    <oddFooter>&amp;R&amp;"Arial,Normal"&amp;9&amp;P de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'Listas Desplegables'!$B$4:$B$53</xm:f>
          </x14:formula1>
          <xm:sqref>L18:R109</xm:sqref>
        </x14:dataValidation>
        <x14:dataValidation type="list" allowBlank="1" showInputMessage="1" showErrorMessage="1">
          <x14:formula1>
            <xm:f>'Listas Desplegables'!$I$4:$I$12</xm:f>
          </x14:formula1>
          <xm:sqref>AA18:AF109</xm:sqref>
        </x14:dataValidation>
        <x14:dataValidation type="list" allowBlank="1" showInputMessage="1" showErrorMessage="1">
          <x14:formula1>
            <xm:f>'Listas Desplegables'!$H$4:$H$24</xm:f>
          </x14:formula1>
          <xm:sqref>AL18:AN109</xm:sqref>
        </x14:dataValidation>
        <x14:dataValidation type="list" allowBlank="1" showInputMessage="1" showErrorMessage="1">
          <x14:formula1>
            <xm:f>'Listas Desplegables'!$F$4:$F$10</xm:f>
          </x14:formula1>
          <xm:sqref>W18:Z109</xm:sqref>
        </x14:dataValidation>
        <x14:dataValidation type="list" allowBlank="1" showInputMessage="1" showErrorMessage="1">
          <x14:formula1>
            <xm:f>'Eq. Auditor'!$F$3:$F$58</xm:f>
          </x14:formula1>
          <xm:sqref>AO18:AT79</xm:sqref>
        </x14:dataValidation>
        <x14:dataValidation type="list" allowBlank="1" showInputMessage="1" showErrorMessage="1">
          <x14:formula1>
            <xm:f>'Eq. Auditor'!$B$3:$B$60</xm:f>
          </x14:formula1>
          <xm:sqref>P112:V112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theme="5" tint="-0.249977111117893"/>
  </sheetPr>
  <dimension ref="A1:AQ140"/>
  <sheetViews>
    <sheetView workbookViewId="0">
      <pane ySplit="4" topLeftCell="A5" activePane="bottomLeft" state="frozen"/>
      <selection pane="bottomLeft" activeCell="G5" sqref="G5"/>
    </sheetView>
  </sheetViews>
  <sheetFormatPr baseColWidth="10" defaultColWidth="0" defaultRowHeight="12" x14ac:dyDescent="0.35"/>
  <cols>
    <col min="1" max="1" width="11.54296875" style="211" customWidth="1"/>
    <col min="2" max="2" width="5.7265625" style="122" customWidth="1"/>
    <col min="3" max="3" width="24.453125" style="213" customWidth="1"/>
    <col min="4" max="4" width="18.26953125" style="211" customWidth="1"/>
    <col min="5" max="5" width="10.26953125" style="211" customWidth="1"/>
    <col min="6" max="7" width="18.26953125" style="211" customWidth="1"/>
    <col min="8" max="8" width="12.54296875" style="50" customWidth="1"/>
    <col min="9" max="9" width="14.7265625" style="50" customWidth="1"/>
    <col min="10" max="15" width="12.1796875" style="211" hidden="1" customWidth="1"/>
    <col min="16" max="16" width="1.54296875" style="49" customWidth="1"/>
    <col min="17" max="17" width="21.453125" style="211" hidden="1" customWidth="1"/>
    <col min="18" max="18" width="43.453125" style="211" hidden="1" customWidth="1"/>
    <col min="19" max="19" width="30.81640625" style="211" hidden="1" customWidth="1"/>
    <col min="20" max="20" width="12" style="211" hidden="1" customWidth="1"/>
    <col min="21" max="21" width="12.26953125" style="211" hidden="1" customWidth="1"/>
    <col min="22" max="22" width="23.26953125" style="211" hidden="1" customWidth="1"/>
    <col min="23" max="23" width="25.26953125" style="211" hidden="1" customWidth="1"/>
    <col min="24" max="24" width="20" style="211" hidden="1" customWidth="1"/>
    <col min="25" max="25" width="24.26953125" style="211" hidden="1" customWidth="1"/>
    <col min="26" max="26" width="13" style="211" hidden="1" customWidth="1"/>
    <col min="27" max="27" width="17.7265625" style="211" hidden="1" customWidth="1"/>
    <col min="28" max="28" width="33" style="211" hidden="1" customWidth="1"/>
    <col min="29" max="29" width="28.81640625" style="211" hidden="1" customWidth="1"/>
    <col min="30" max="30" width="19.1796875" style="211" hidden="1" customWidth="1"/>
    <col min="31" max="31" width="39.7265625" style="211" hidden="1" customWidth="1"/>
    <col min="32" max="32" width="22.7265625" style="211" hidden="1" customWidth="1"/>
    <col min="33" max="33" width="29" style="211" hidden="1" customWidth="1"/>
    <col min="34" max="34" width="33.26953125" style="211" hidden="1" customWidth="1"/>
    <col min="35" max="35" width="12.7265625" style="211" hidden="1" customWidth="1"/>
    <col min="36" max="36" width="28.54296875" style="211" hidden="1" customWidth="1"/>
    <col min="37" max="37" width="12.1796875" style="211" hidden="1" customWidth="1"/>
    <col min="38" max="38" width="13.7265625" style="211" hidden="1" customWidth="1"/>
    <col min="39" max="39" width="13.81640625" style="211" hidden="1" customWidth="1"/>
    <col min="40" max="40" width="13.26953125" style="211" hidden="1" customWidth="1"/>
    <col min="41" max="41" width="12.453125" style="211" hidden="1" customWidth="1"/>
    <col min="42" max="42" width="13.1796875" style="211" hidden="1" customWidth="1"/>
    <col min="43" max="43" width="12.54296875" style="211" hidden="1" customWidth="1"/>
    <col min="44" max="16384" width="11.453125" style="211" hidden="1"/>
  </cols>
  <sheetData>
    <row r="1" spans="1:15" s="49" customFormat="1" ht="15" customHeight="1" x14ac:dyDescent="0.35">
      <c r="A1" s="189" t="str">
        <f>CONCATENATE("SEGUIMIENTO AIC - ",'FO-GC-012'!AR15," x FECHA DE EJECUCIÓN")</f>
        <v>SEGUIMIENTO AIC -  x FECHA DE EJECUCIÓN</v>
      </c>
      <c r="B1" s="188"/>
      <c r="C1" s="188"/>
      <c r="D1" s="188"/>
      <c r="E1" s="200"/>
      <c r="F1" s="200"/>
      <c r="G1" s="201" t="e">
        <f>COUNT(H:H)/COUNT(I:I)</f>
        <v>#DIV/0!</v>
      </c>
      <c r="H1" s="465" t="s">
        <v>255</v>
      </c>
      <c r="I1" s="465"/>
      <c r="J1" s="200"/>
      <c r="K1" s="200"/>
      <c r="L1" s="200"/>
      <c r="M1" s="200"/>
      <c r="N1" s="200"/>
      <c r="O1" s="200"/>
    </row>
    <row r="2" spans="1:15" s="49" customFormat="1" ht="12" customHeight="1" x14ac:dyDescent="0.35">
      <c r="A2" s="188"/>
      <c r="B2" s="188"/>
      <c r="C2" s="188"/>
      <c r="D2" s="188"/>
      <c r="E2" s="200"/>
      <c r="F2" s="200"/>
      <c r="G2" s="202" t="str">
        <f>CONCATENATE(COUNT(H:H)," / ",COUNT(I:I))</f>
        <v>0 / 0</v>
      </c>
      <c r="H2" s="466"/>
      <c r="I2" s="466"/>
      <c r="J2" s="200"/>
      <c r="K2" s="200"/>
      <c r="L2" s="200"/>
      <c r="M2" s="200"/>
      <c r="N2" s="200"/>
      <c r="O2" s="200"/>
    </row>
    <row r="3" spans="1:15" s="49" customFormat="1" hidden="1" x14ac:dyDescent="0.35">
      <c r="A3" s="203"/>
      <c r="B3" s="204"/>
      <c r="C3" s="204"/>
      <c r="D3" s="204"/>
      <c r="E3" s="204"/>
      <c r="F3" s="204"/>
      <c r="G3" s="204"/>
      <c r="H3" s="204"/>
      <c r="I3" s="215"/>
      <c r="J3" s="205"/>
      <c r="K3" s="205"/>
      <c r="L3" s="205"/>
      <c r="M3" s="205"/>
      <c r="N3" s="205"/>
      <c r="O3" s="205"/>
    </row>
    <row r="4" spans="1:15" s="49" customFormat="1" x14ac:dyDescent="0.35">
      <c r="A4" s="216" t="s">
        <v>20</v>
      </c>
      <c r="B4" s="217" t="s">
        <v>10</v>
      </c>
      <c r="C4" s="216" t="s">
        <v>21</v>
      </c>
      <c r="D4" s="216" t="s">
        <v>22</v>
      </c>
      <c r="E4" s="216" t="s">
        <v>74</v>
      </c>
      <c r="F4" s="216" t="s">
        <v>25</v>
      </c>
      <c r="G4" s="216" t="s">
        <v>26</v>
      </c>
      <c r="H4" s="218" t="s">
        <v>27</v>
      </c>
      <c r="I4" s="219" t="s">
        <v>28</v>
      </c>
      <c r="J4" s="206"/>
      <c r="K4" s="206"/>
      <c r="L4" s="206"/>
      <c r="M4" s="206"/>
      <c r="N4" s="206"/>
      <c r="O4" s="206"/>
    </row>
    <row r="5" spans="1:15" s="49" customFormat="1" ht="24" x14ac:dyDescent="0.35">
      <c r="A5" s="206" t="s">
        <v>256</v>
      </c>
      <c r="B5" s="206" t="s">
        <v>256</v>
      </c>
      <c r="C5" s="206" t="s">
        <v>256</v>
      </c>
      <c r="D5" s="206" t="s">
        <v>256</v>
      </c>
      <c r="E5" s="206" t="s">
        <v>257</v>
      </c>
      <c r="F5" s="206"/>
      <c r="G5" s="206"/>
      <c r="H5" s="206"/>
      <c r="I5" s="206"/>
      <c r="J5" s="206"/>
      <c r="K5" s="206"/>
      <c r="L5" s="206"/>
      <c r="M5" s="206"/>
      <c r="N5" s="206"/>
      <c r="O5" s="206"/>
    </row>
    <row r="6" spans="1:15" s="49" customFormat="1" ht="24" x14ac:dyDescent="0.35">
      <c r="A6" s="207" t="s">
        <v>258</v>
      </c>
      <c r="B6" s="207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</row>
    <row r="7" spans="1:15" s="49" customFormat="1" ht="14.5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 s="49" customFormat="1" ht="14.5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 s="49" customFormat="1" ht="14.5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 s="49" customFormat="1" ht="14.5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 s="49" customFormat="1" ht="14.5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 s="49" customFormat="1" ht="14.5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 s="49" customFormat="1" ht="14.5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 s="49" customFormat="1" ht="14.5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s="49" customFormat="1" ht="14.5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s="49" customFormat="1" ht="14.5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s="49" customFormat="1" ht="14.5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s="49" customFormat="1" ht="14.5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s="49" customFormat="1" ht="14.5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s="49" customFormat="1" ht="14.5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s="49" customFormat="1" ht="14.5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s="49" customFormat="1" ht="14.5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s="49" customFormat="1" ht="14.5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s="49" customFormat="1" ht="14.5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s="49" customFormat="1" ht="14.5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s="49" customFormat="1" ht="14.5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s="49" customFormat="1" ht="14.5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s="49" customFormat="1" ht="14.5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 s="49" customFormat="1" ht="14.5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 s="49" customFormat="1" ht="14.5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 s="49" customFormat="1" ht="14.5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 s="49" customFormat="1" ht="14.5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 s="49" customFormat="1" ht="14.5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 s="49" customFormat="1" ht="14.5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 s="49" customFormat="1" ht="14.5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 s="49" customFormat="1" ht="14.5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 s="49" customFormat="1" ht="14.5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 s="49" customFormat="1" ht="14.5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 s="49" customFormat="1" ht="14.5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 s="49" customFormat="1" ht="14.5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 s="49" customFormat="1" ht="14.5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 s="49" customFormat="1" ht="14.5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 s="49" customFormat="1" ht="14.5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 s="49" customFormat="1" ht="14.5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 s="49" customFormat="1" ht="14.5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 s="49" customFormat="1" ht="14.5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 s="49" customFormat="1" ht="14.5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 s="49" customFormat="1" ht="14.5" x14ac:dyDescent="0.3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 s="49" customFormat="1" ht="14.5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 s="49" customFormat="1" ht="14.5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 s="49" customFormat="1" ht="14.5" x14ac:dyDescent="0.35">
      <c r="A51" s="208"/>
      <c r="B51" s="105"/>
      <c r="C51" s="208"/>
      <c r="D51" s="208"/>
      <c r="E51" s="208"/>
      <c r="F51" s="209"/>
      <c r="G51" s="208"/>
      <c r="H51" s="105"/>
      <c r="I51" s="105"/>
      <c r="J51" s="208"/>
      <c r="K51" s="208"/>
      <c r="L51" s="208"/>
      <c r="M51" s="208"/>
      <c r="N51" s="208"/>
      <c r="O51" s="208"/>
    </row>
    <row r="52" spans="1:15" s="49" customFormat="1" ht="14.5" x14ac:dyDescent="0.35">
      <c r="A52" s="208"/>
      <c r="B52" s="105"/>
      <c r="C52" s="208"/>
      <c r="D52" s="208"/>
      <c r="E52" s="208"/>
      <c r="F52" s="209"/>
      <c r="G52" s="208"/>
      <c r="H52" s="105"/>
      <c r="I52" s="105"/>
      <c r="J52" s="208"/>
      <c r="K52" s="208"/>
      <c r="L52" s="208"/>
      <c r="M52" s="208"/>
      <c r="N52" s="208"/>
      <c r="O52" s="208"/>
    </row>
    <row r="53" spans="1:15" s="49" customFormat="1" ht="14.5" x14ac:dyDescent="0.35">
      <c r="A53" s="208"/>
      <c r="B53" s="105"/>
      <c r="C53" s="208"/>
      <c r="D53" s="208"/>
      <c r="E53" s="208"/>
      <c r="F53" s="209"/>
      <c r="G53" s="208"/>
      <c r="H53" s="105"/>
      <c r="I53" s="105"/>
      <c r="J53" s="208"/>
      <c r="K53" s="208"/>
      <c r="L53" s="208"/>
      <c r="M53" s="208"/>
      <c r="N53" s="208"/>
      <c r="O53" s="208"/>
    </row>
    <row r="54" spans="1:15" s="49" customFormat="1" ht="14.5" x14ac:dyDescent="0.35">
      <c r="A54" s="208"/>
      <c r="B54" s="105"/>
      <c r="C54" s="208"/>
      <c r="D54" s="208"/>
      <c r="E54" s="208"/>
      <c r="F54" s="209"/>
      <c r="G54" s="208"/>
      <c r="H54" s="105"/>
      <c r="I54" s="105"/>
      <c r="J54" s="208"/>
      <c r="K54" s="208"/>
      <c r="L54" s="208"/>
      <c r="M54" s="208"/>
      <c r="N54" s="208"/>
      <c r="O54" s="208"/>
    </row>
    <row r="55" spans="1:15" s="49" customFormat="1" ht="14.5" x14ac:dyDescent="0.35">
      <c r="A55" s="208"/>
      <c r="B55" s="105"/>
      <c r="C55" s="208"/>
      <c r="D55" s="208"/>
      <c r="E55" s="208"/>
      <c r="F55" s="209"/>
      <c r="G55" s="208"/>
      <c r="H55" s="105"/>
      <c r="I55" s="105"/>
      <c r="J55" s="208"/>
      <c r="K55" s="208"/>
      <c r="L55" s="208"/>
      <c r="M55" s="208"/>
      <c r="N55" s="208"/>
      <c r="O55" s="208"/>
    </row>
    <row r="56" spans="1:15" s="49" customFormat="1" ht="14.5" x14ac:dyDescent="0.35">
      <c r="A56" s="208"/>
      <c r="B56" s="105"/>
      <c r="C56" s="208"/>
      <c r="D56" s="208"/>
      <c r="E56" s="208"/>
      <c r="F56" s="209"/>
      <c r="G56" s="208"/>
      <c r="H56" s="105"/>
      <c r="I56" s="105"/>
      <c r="J56" s="208"/>
      <c r="K56" s="208"/>
      <c r="L56" s="208"/>
      <c r="M56" s="208"/>
      <c r="N56" s="208"/>
      <c r="O56" s="208"/>
    </row>
    <row r="57" spans="1:15" s="49" customFormat="1" ht="14.5" x14ac:dyDescent="0.35">
      <c r="A57" s="208"/>
      <c r="B57" s="105"/>
      <c r="C57" s="208"/>
      <c r="D57" s="208"/>
      <c r="E57" s="208"/>
      <c r="F57" s="209"/>
      <c r="G57" s="208"/>
      <c r="H57" s="105"/>
      <c r="I57" s="105"/>
      <c r="J57" s="208"/>
      <c r="K57" s="208"/>
      <c r="L57" s="208"/>
      <c r="M57" s="208"/>
      <c r="N57" s="208"/>
      <c r="O57" s="208"/>
    </row>
    <row r="58" spans="1:15" s="49" customFormat="1" ht="14.5" x14ac:dyDescent="0.35">
      <c r="A58" s="208"/>
      <c r="B58" s="105"/>
      <c r="C58" s="210"/>
      <c r="D58" s="208"/>
      <c r="E58" s="208"/>
      <c r="F58" s="209"/>
      <c r="G58" s="208"/>
      <c r="H58" s="105"/>
      <c r="I58" s="51"/>
      <c r="J58" s="208"/>
      <c r="K58" s="208"/>
      <c r="L58" s="208"/>
      <c r="M58" s="208"/>
      <c r="N58" s="208"/>
      <c r="O58" s="208"/>
    </row>
    <row r="59" spans="1:15" s="49" customFormat="1" ht="14.5" x14ac:dyDescent="0.35">
      <c r="A59" s="208"/>
      <c r="B59" s="105"/>
      <c r="C59" s="210"/>
      <c r="D59" s="208"/>
      <c r="E59" s="208"/>
      <c r="F59" s="209"/>
      <c r="G59" s="208"/>
      <c r="H59" s="51"/>
      <c r="I59" s="51"/>
      <c r="J59" s="208"/>
      <c r="K59" s="208"/>
      <c r="L59" s="208"/>
      <c r="M59" s="208"/>
      <c r="N59" s="211"/>
      <c r="O59" s="211"/>
    </row>
    <row r="60" spans="1:15" s="49" customFormat="1" ht="14.5" x14ac:dyDescent="0.35">
      <c r="A60" s="208"/>
      <c r="B60" s="105"/>
      <c r="C60" s="210"/>
      <c r="D60" s="208"/>
      <c r="E60" s="208"/>
      <c r="F60" s="209"/>
      <c r="G60" s="208"/>
      <c r="H60" s="51"/>
      <c r="I60" s="51"/>
      <c r="J60" s="208"/>
      <c r="K60" s="208"/>
      <c r="L60" s="208"/>
      <c r="M60" s="208"/>
      <c r="N60" s="211"/>
      <c r="O60" s="211"/>
    </row>
    <row r="61" spans="1:15" s="49" customFormat="1" ht="14.5" x14ac:dyDescent="0.35">
      <c r="A61" s="208"/>
      <c r="B61" s="105"/>
      <c r="C61" s="210"/>
      <c r="D61" s="208"/>
      <c r="E61" s="208"/>
      <c r="F61" s="209"/>
      <c r="G61" s="208"/>
      <c r="H61" s="51"/>
      <c r="I61" s="51"/>
      <c r="J61" s="208"/>
      <c r="K61" s="208"/>
      <c r="L61" s="208"/>
      <c r="M61" s="208"/>
      <c r="N61" s="211"/>
      <c r="O61" s="211"/>
    </row>
    <row r="62" spans="1:15" s="49" customFormat="1" ht="14.5" x14ac:dyDescent="0.35">
      <c r="A62" s="208"/>
      <c r="B62" s="105"/>
      <c r="C62" s="210"/>
      <c r="D62" s="208"/>
      <c r="E62" s="208"/>
      <c r="F62" s="209"/>
      <c r="G62" s="208"/>
      <c r="H62" s="51"/>
      <c r="I62" s="51"/>
      <c r="J62" s="208"/>
      <c r="K62" s="208"/>
      <c r="L62" s="208"/>
      <c r="M62" s="208"/>
      <c r="N62" s="211"/>
      <c r="O62" s="211"/>
    </row>
    <row r="63" spans="1:15" s="49" customFormat="1" ht="14.5" x14ac:dyDescent="0.35">
      <c r="A63" s="208"/>
      <c r="B63" s="105"/>
      <c r="C63" s="210"/>
      <c r="D63" s="208"/>
      <c r="E63" s="208"/>
      <c r="F63" s="209"/>
      <c r="G63" s="208"/>
      <c r="H63" s="51"/>
      <c r="I63" s="51"/>
      <c r="J63" s="208"/>
      <c r="K63" s="208"/>
      <c r="L63" s="208"/>
      <c r="M63" s="208"/>
      <c r="N63" s="211"/>
      <c r="O63" s="211"/>
    </row>
    <row r="64" spans="1:15" s="49" customFormat="1" ht="14.5" x14ac:dyDescent="0.35">
      <c r="A64" s="208"/>
      <c r="B64" s="105"/>
      <c r="C64" s="210"/>
      <c r="D64" s="208"/>
      <c r="E64" s="208"/>
      <c r="F64" s="209"/>
      <c r="G64" s="208"/>
      <c r="H64" s="51"/>
      <c r="I64" s="51"/>
      <c r="J64" s="208"/>
      <c r="K64" s="208"/>
      <c r="L64" s="208"/>
      <c r="M64" s="208"/>
      <c r="N64" s="211"/>
      <c r="O64" s="211"/>
    </row>
    <row r="65" spans="1:15" s="49" customFormat="1" ht="14.5" x14ac:dyDescent="0.35">
      <c r="A65" s="208"/>
      <c r="B65" s="105"/>
      <c r="C65" s="210"/>
      <c r="D65" s="208"/>
      <c r="E65" s="208"/>
      <c r="F65" s="209"/>
      <c r="G65" s="208"/>
      <c r="H65" s="51"/>
      <c r="I65" s="51"/>
      <c r="J65" s="208"/>
      <c r="K65" s="208"/>
      <c r="L65" s="208"/>
      <c r="M65" s="208"/>
      <c r="N65" s="211"/>
      <c r="O65" s="211"/>
    </row>
    <row r="66" spans="1:15" s="49" customFormat="1" ht="14.5" x14ac:dyDescent="0.35">
      <c r="A66" s="208"/>
      <c r="B66" s="105"/>
      <c r="C66" s="210"/>
      <c r="D66" s="208"/>
      <c r="E66" s="208"/>
      <c r="F66" s="209"/>
      <c r="G66" s="208"/>
      <c r="H66" s="51"/>
      <c r="I66" s="51"/>
      <c r="J66" s="208"/>
      <c r="K66" s="208"/>
      <c r="L66" s="208"/>
      <c r="M66" s="208"/>
      <c r="N66" s="211"/>
      <c r="O66" s="211"/>
    </row>
    <row r="67" spans="1:15" s="49" customFormat="1" ht="14.5" x14ac:dyDescent="0.35">
      <c r="A67" s="208"/>
      <c r="B67" s="105"/>
      <c r="C67" s="210"/>
      <c r="D67" s="208"/>
      <c r="E67" s="208"/>
      <c r="F67" s="209"/>
      <c r="G67" s="208"/>
      <c r="H67" s="51"/>
      <c r="I67" s="51"/>
      <c r="J67" s="208"/>
      <c r="K67" s="208"/>
      <c r="L67" s="208"/>
      <c r="M67" s="208"/>
      <c r="N67" s="211"/>
      <c r="O67" s="211"/>
    </row>
    <row r="68" spans="1:15" s="49" customFormat="1" ht="14.5" x14ac:dyDescent="0.35">
      <c r="A68" s="208"/>
      <c r="B68" s="105"/>
      <c r="C68" s="210"/>
      <c r="D68" s="208"/>
      <c r="E68" s="208"/>
      <c r="F68" s="209"/>
      <c r="G68" s="208"/>
      <c r="H68" s="51"/>
      <c r="I68" s="51"/>
      <c r="J68" s="208"/>
      <c r="K68" s="208"/>
      <c r="L68" s="208"/>
      <c r="M68" s="208"/>
      <c r="N68" s="211"/>
      <c r="O68" s="211"/>
    </row>
    <row r="69" spans="1:15" s="49" customFormat="1" ht="14.5" x14ac:dyDescent="0.35">
      <c r="A69" s="208"/>
      <c r="B69" s="105"/>
      <c r="C69" s="210"/>
      <c r="D69" s="208"/>
      <c r="E69" s="208"/>
      <c r="F69" s="209"/>
      <c r="G69" s="208"/>
      <c r="H69" s="51"/>
      <c r="I69" s="51"/>
      <c r="J69" s="208"/>
      <c r="K69" s="208"/>
      <c r="L69" s="208"/>
      <c r="M69" s="208"/>
      <c r="N69" s="211"/>
      <c r="O69" s="211"/>
    </row>
    <row r="70" spans="1:15" s="49" customFormat="1" ht="14.5" x14ac:dyDescent="0.35">
      <c r="A70" s="208"/>
      <c r="B70" s="105"/>
      <c r="C70" s="210"/>
      <c r="D70" s="208"/>
      <c r="E70" s="208"/>
      <c r="F70" s="209"/>
      <c r="G70" s="208"/>
      <c r="H70" s="51"/>
      <c r="I70" s="51"/>
      <c r="J70" s="208"/>
      <c r="K70" s="208"/>
      <c r="L70" s="208"/>
      <c r="M70" s="208"/>
      <c r="N70" s="211"/>
      <c r="O70" s="211"/>
    </row>
    <row r="71" spans="1:15" s="49" customFormat="1" ht="14.5" x14ac:dyDescent="0.35">
      <c r="A71" s="208"/>
      <c r="B71" s="105"/>
      <c r="C71" s="210"/>
      <c r="D71" s="208"/>
      <c r="E71" s="208"/>
      <c r="F71" s="209"/>
      <c r="G71" s="208"/>
      <c r="H71" s="51"/>
      <c r="I71" s="51"/>
      <c r="J71" s="208"/>
      <c r="K71" s="208"/>
      <c r="L71" s="208"/>
      <c r="M71" s="208"/>
      <c r="N71" s="211"/>
      <c r="O71" s="211"/>
    </row>
    <row r="72" spans="1:15" s="49" customFormat="1" ht="14.5" x14ac:dyDescent="0.35">
      <c r="A72" s="208"/>
      <c r="B72" s="105"/>
      <c r="C72" s="210"/>
      <c r="D72" s="208"/>
      <c r="E72" s="208"/>
      <c r="F72" s="209"/>
      <c r="G72" s="208"/>
      <c r="H72" s="51"/>
      <c r="I72" s="51"/>
      <c r="J72" s="208"/>
      <c r="K72" s="208"/>
      <c r="L72" s="208"/>
      <c r="M72" s="208"/>
      <c r="N72" s="211"/>
      <c r="O72" s="211"/>
    </row>
    <row r="73" spans="1:15" s="49" customFormat="1" ht="14.5" x14ac:dyDescent="0.35">
      <c r="A73" s="208"/>
      <c r="B73" s="105"/>
      <c r="C73" s="210"/>
      <c r="D73" s="208"/>
      <c r="E73" s="208"/>
      <c r="F73" s="209"/>
      <c r="G73" s="208"/>
      <c r="H73" s="51"/>
      <c r="I73" s="51"/>
      <c r="J73" s="208"/>
      <c r="K73" s="208"/>
      <c r="L73" s="208"/>
      <c r="M73" s="208"/>
      <c r="N73" s="211"/>
      <c r="O73" s="211"/>
    </row>
    <row r="74" spans="1:15" s="49" customFormat="1" ht="14.5" x14ac:dyDescent="0.35">
      <c r="A74" s="208"/>
      <c r="B74" s="105"/>
      <c r="C74" s="210"/>
      <c r="D74" s="208"/>
      <c r="E74" s="208"/>
      <c r="F74" s="209"/>
      <c r="G74" s="208"/>
      <c r="H74" s="51"/>
      <c r="I74" s="51"/>
      <c r="J74" s="208"/>
      <c r="K74" s="208"/>
      <c r="L74" s="208"/>
      <c r="M74" s="208"/>
      <c r="N74" s="211"/>
      <c r="O74" s="211"/>
    </row>
    <row r="75" spans="1:15" s="49" customFormat="1" ht="14.5" x14ac:dyDescent="0.35">
      <c r="A75" s="208"/>
      <c r="B75" s="105"/>
      <c r="C75" s="210"/>
      <c r="D75" s="208"/>
      <c r="E75" s="208"/>
      <c r="F75" s="209"/>
      <c r="G75" s="208"/>
      <c r="H75" s="51"/>
      <c r="I75" s="51"/>
      <c r="J75" s="208"/>
      <c r="K75" s="208"/>
      <c r="L75" s="208"/>
      <c r="M75" s="208"/>
      <c r="N75" s="211"/>
      <c r="O75" s="211"/>
    </row>
    <row r="76" spans="1:15" s="49" customFormat="1" ht="14.5" x14ac:dyDescent="0.35">
      <c r="A76" s="208"/>
      <c r="B76" s="105"/>
      <c r="C76" s="210"/>
      <c r="D76" s="208"/>
      <c r="E76" s="208"/>
      <c r="F76" s="209"/>
      <c r="G76" s="208"/>
      <c r="H76" s="51"/>
      <c r="I76" s="51"/>
      <c r="J76" s="208"/>
      <c r="K76" s="208"/>
      <c r="L76" s="208"/>
      <c r="M76" s="208"/>
      <c r="N76" s="211"/>
      <c r="O76" s="211"/>
    </row>
    <row r="77" spans="1:15" s="49" customFormat="1" ht="14.5" x14ac:dyDescent="0.35">
      <c r="A77" s="208"/>
      <c r="B77" s="105"/>
      <c r="C77" s="210"/>
      <c r="D77" s="208"/>
      <c r="E77" s="208"/>
      <c r="F77" s="209"/>
      <c r="G77" s="208"/>
      <c r="H77" s="51"/>
      <c r="I77" s="51"/>
      <c r="J77" s="208"/>
      <c r="K77" s="208"/>
      <c r="L77" s="208"/>
      <c r="M77" s="208"/>
      <c r="N77" s="211"/>
      <c r="O77" s="211"/>
    </row>
    <row r="78" spans="1:15" s="49" customFormat="1" ht="14.5" x14ac:dyDescent="0.35">
      <c r="A78" s="208"/>
      <c r="B78" s="105"/>
      <c r="C78" s="210"/>
      <c r="D78" s="208"/>
      <c r="E78" s="208"/>
      <c r="F78" s="209"/>
      <c r="G78" s="208"/>
      <c r="H78" s="51"/>
      <c r="I78" s="51"/>
      <c r="J78" s="208"/>
      <c r="K78" s="208"/>
      <c r="L78" s="208"/>
      <c r="M78" s="208"/>
      <c r="N78" s="211"/>
      <c r="O78" s="211"/>
    </row>
    <row r="79" spans="1:15" s="49" customFormat="1" ht="14.5" x14ac:dyDescent="0.35">
      <c r="A79" s="208"/>
      <c r="B79" s="105"/>
      <c r="C79" s="210"/>
      <c r="D79" s="208"/>
      <c r="E79" s="208"/>
      <c r="F79" s="209"/>
      <c r="G79" s="208"/>
      <c r="H79" s="51"/>
      <c r="I79" s="51"/>
      <c r="J79" s="208"/>
      <c r="K79" s="208"/>
      <c r="L79" s="208"/>
      <c r="M79" s="208"/>
      <c r="N79" s="211"/>
      <c r="O79" s="211"/>
    </row>
    <row r="80" spans="1:15" s="49" customFormat="1" ht="14.5" x14ac:dyDescent="0.35">
      <c r="A80" s="208"/>
      <c r="B80" s="105"/>
      <c r="C80" s="210"/>
      <c r="D80" s="208"/>
      <c r="E80" s="208"/>
      <c r="F80" s="209"/>
      <c r="G80" s="208"/>
      <c r="H80" s="51"/>
      <c r="I80" s="51"/>
      <c r="J80" s="208"/>
      <c r="K80" s="208"/>
      <c r="L80" s="208"/>
      <c r="M80" s="208"/>
      <c r="N80" s="211"/>
      <c r="O80" s="211"/>
    </row>
    <row r="81" spans="1:15" s="49" customFormat="1" ht="14.5" x14ac:dyDescent="0.35">
      <c r="A81" s="208"/>
      <c r="B81" s="105"/>
      <c r="C81" s="210"/>
      <c r="D81" s="208"/>
      <c r="E81" s="208"/>
      <c r="F81" s="209"/>
      <c r="G81" s="208"/>
      <c r="H81" s="51"/>
      <c r="I81" s="51"/>
      <c r="J81" s="208"/>
      <c r="K81" s="208"/>
      <c r="L81" s="208"/>
      <c r="M81" s="208"/>
      <c r="N81" s="211"/>
      <c r="O81" s="211"/>
    </row>
    <row r="82" spans="1:15" s="49" customFormat="1" ht="14.5" x14ac:dyDescent="0.35">
      <c r="A82" s="208"/>
      <c r="B82" s="105"/>
      <c r="C82" s="210"/>
      <c r="D82" s="208"/>
      <c r="E82" s="208"/>
      <c r="F82" s="209"/>
      <c r="G82" s="208"/>
      <c r="H82" s="51"/>
      <c r="I82" s="51"/>
      <c r="J82" s="208"/>
      <c r="K82" s="208"/>
      <c r="L82" s="208"/>
      <c r="M82" s="208"/>
      <c r="N82" s="211"/>
      <c r="O82" s="211"/>
    </row>
    <row r="83" spans="1:15" s="49" customFormat="1" ht="14.5" x14ac:dyDescent="0.35">
      <c r="A83" s="208"/>
      <c r="B83" s="105"/>
      <c r="C83" s="210"/>
      <c r="D83" s="208"/>
      <c r="E83" s="208"/>
      <c r="F83" s="209"/>
      <c r="G83" s="208"/>
      <c r="H83" s="51"/>
      <c r="I83" s="51"/>
      <c r="J83" s="208"/>
      <c r="K83" s="208"/>
      <c r="L83" s="208"/>
      <c r="M83" s="208"/>
      <c r="N83" s="211"/>
      <c r="O83" s="211"/>
    </row>
    <row r="84" spans="1:15" s="49" customFormat="1" ht="14.5" x14ac:dyDescent="0.35">
      <c r="A84" s="208"/>
      <c r="B84" s="105"/>
      <c r="C84" s="210"/>
      <c r="D84" s="208"/>
      <c r="E84" s="208"/>
      <c r="F84" s="209"/>
      <c r="G84" s="208"/>
      <c r="H84" s="51"/>
      <c r="I84" s="51"/>
      <c r="J84" s="208"/>
      <c r="K84" s="208"/>
      <c r="L84" s="208"/>
      <c r="M84" s="208"/>
      <c r="N84" s="211"/>
      <c r="O84" s="211"/>
    </row>
    <row r="85" spans="1:15" s="49" customFormat="1" ht="14.5" x14ac:dyDescent="0.35">
      <c r="A85" s="208"/>
      <c r="B85" s="105"/>
      <c r="C85" s="210"/>
      <c r="D85" s="208"/>
      <c r="E85" s="208"/>
      <c r="F85" s="209"/>
      <c r="G85" s="208"/>
      <c r="H85" s="51"/>
      <c r="I85" s="51"/>
      <c r="J85" s="208"/>
      <c r="K85" s="208"/>
      <c r="L85" s="208"/>
      <c r="M85" s="208"/>
      <c r="N85" s="211"/>
      <c r="O85" s="211"/>
    </row>
    <row r="86" spans="1:15" s="49" customFormat="1" ht="14.5" x14ac:dyDescent="0.35">
      <c r="A86" s="208"/>
      <c r="B86" s="105"/>
      <c r="C86" s="210"/>
      <c r="D86" s="208"/>
      <c r="E86" s="208"/>
      <c r="F86" s="209"/>
      <c r="G86" s="208"/>
      <c r="H86" s="51"/>
      <c r="I86" s="51"/>
      <c r="J86" s="208"/>
      <c r="K86" s="208"/>
      <c r="L86" s="208"/>
      <c r="M86" s="208"/>
      <c r="N86" s="211"/>
      <c r="O86" s="211"/>
    </row>
    <row r="87" spans="1:15" s="49" customFormat="1" ht="14.5" x14ac:dyDescent="0.35">
      <c r="A87" s="208"/>
      <c r="B87" s="105"/>
      <c r="C87" s="210"/>
      <c r="D87" s="208"/>
      <c r="E87" s="208"/>
      <c r="F87" s="209"/>
      <c r="G87" s="208"/>
      <c r="H87" s="51"/>
      <c r="I87" s="51"/>
      <c r="J87" s="208"/>
      <c r="K87" s="208"/>
      <c r="L87" s="208"/>
      <c r="M87" s="208"/>
      <c r="N87" s="211"/>
      <c r="O87" s="211"/>
    </row>
    <row r="88" spans="1:15" s="49" customFormat="1" ht="14.5" x14ac:dyDescent="0.35">
      <c r="A88" s="208"/>
      <c r="B88" s="105"/>
      <c r="C88" s="210"/>
      <c r="D88" s="208"/>
      <c r="E88" s="208"/>
      <c r="F88" s="209"/>
      <c r="G88" s="208"/>
      <c r="H88" s="51"/>
      <c r="I88" s="51"/>
      <c r="J88" s="208"/>
      <c r="K88" s="208"/>
      <c r="L88" s="208"/>
      <c r="M88" s="208"/>
      <c r="N88" s="211"/>
      <c r="O88" s="211"/>
    </row>
    <row r="89" spans="1:15" s="49" customFormat="1" ht="14.5" x14ac:dyDescent="0.35">
      <c r="A89" s="208"/>
      <c r="B89" s="105"/>
      <c r="C89" s="210"/>
      <c r="D89" s="208"/>
      <c r="E89" s="208"/>
      <c r="F89" s="209"/>
      <c r="G89" s="208"/>
      <c r="H89" s="51"/>
      <c r="I89" s="51"/>
      <c r="J89" s="208"/>
      <c r="K89" s="208"/>
      <c r="L89" s="208"/>
      <c r="M89" s="208"/>
      <c r="N89" s="211"/>
      <c r="O89" s="211"/>
    </row>
    <row r="90" spans="1:15" s="49" customFormat="1" ht="14.5" x14ac:dyDescent="0.35">
      <c r="A90" s="208"/>
      <c r="B90" s="105"/>
      <c r="C90" s="210"/>
      <c r="D90" s="208"/>
      <c r="E90" s="208"/>
      <c r="F90" s="209"/>
      <c r="G90" s="208"/>
      <c r="H90" s="51"/>
      <c r="I90" s="51"/>
      <c r="J90" s="208"/>
      <c r="K90" s="208"/>
      <c r="L90" s="208"/>
      <c r="M90" s="208"/>
      <c r="N90" s="211"/>
      <c r="O90" s="211"/>
    </row>
    <row r="91" spans="1:15" s="49" customFormat="1" ht="14.5" x14ac:dyDescent="0.35">
      <c r="A91" s="208"/>
      <c r="B91" s="105"/>
      <c r="C91" s="210"/>
      <c r="D91" s="208"/>
      <c r="E91" s="208"/>
      <c r="F91" s="209"/>
      <c r="G91" s="208"/>
      <c r="H91" s="51"/>
      <c r="I91" s="51"/>
      <c r="J91" s="208"/>
      <c r="K91" s="208"/>
      <c r="L91" s="208"/>
      <c r="M91" s="208"/>
      <c r="N91" s="211"/>
      <c r="O91" s="211"/>
    </row>
    <row r="92" spans="1:15" s="49" customFormat="1" ht="14.5" x14ac:dyDescent="0.35">
      <c r="A92" s="208"/>
      <c r="B92" s="105"/>
      <c r="C92" s="210"/>
      <c r="D92" s="208"/>
      <c r="E92" s="208"/>
      <c r="F92" s="209"/>
      <c r="G92" s="208"/>
      <c r="H92" s="51"/>
      <c r="I92" s="51"/>
      <c r="J92" s="208"/>
      <c r="K92" s="208"/>
      <c r="L92" s="208"/>
      <c r="M92" s="208"/>
      <c r="N92" s="211"/>
      <c r="O92" s="211"/>
    </row>
    <row r="93" spans="1:15" s="49" customFormat="1" ht="14.5" x14ac:dyDescent="0.35">
      <c r="A93" s="208"/>
      <c r="B93" s="105"/>
      <c r="C93" s="210"/>
      <c r="D93" s="208"/>
      <c r="E93" s="208"/>
      <c r="F93" s="209"/>
      <c r="G93" s="208"/>
      <c r="H93" s="51"/>
      <c r="I93" s="51"/>
      <c r="J93" s="208"/>
      <c r="K93" s="208"/>
      <c r="L93" s="208"/>
      <c r="M93" s="208"/>
      <c r="N93" s="211"/>
      <c r="O93" s="211"/>
    </row>
    <row r="94" spans="1:15" s="49" customFormat="1" ht="14.5" x14ac:dyDescent="0.35">
      <c r="A94" s="208"/>
      <c r="B94" s="105"/>
      <c r="C94" s="210"/>
      <c r="D94" s="208"/>
      <c r="E94" s="208"/>
      <c r="F94" s="209"/>
      <c r="G94" s="208"/>
      <c r="H94" s="51"/>
      <c r="I94" s="51"/>
      <c r="J94" s="208"/>
      <c r="K94" s="208"/>
      <c r="L94" s="208"/>
      <c r="M94" s="208"/>
      <c r="N94" s="211"/>
      <c r="O94" s="211"/>
    </row>
    <row r="95" spans="1:15" s="49" customFormat="1" ht="14.5" x14ac:dyDescent="0.35">
      <c r="A95" s="208"/>
      <c r="B95" s="105"/>
      <c r="C95" s="210"/>
      <c r="D95" s="208"/>
      <c r="E95" s="208"/>
      <c r="F95" s="209"/>
      <c r="G95" s="208"/>
      <c r="H95" s="51"/>
      <c r="I95" s="51"/>
      <c r="J95" s="208"/>
      <c r="K95" s="208"/>
      <c r="L95" s="208"/>
      <c r="M95" s="208"/>
      <c r="N95" s="211"/>
      <c r="O95" s="211"/>
    </row>
    <row r="96" spans="1:15" s="49" customFormat="1" ht="14.5" x14ac:dyDescent="0.35">
      <c r="A96" s="208"/>
      <c r="B96" s="105"/>
      <c r="C96" s="210"/>
      <c r="D96" s="208"/>
      <c r="E96" s="208"/>
      <c r="F96" s="209"/>
      <c r="G96" s="208"/>
      <c r="H96" s="51"/>
      <c r="I96" s="51"/>
      <c r="J96" s="208"/>
      <c r="K96" s="208"/>
      <c r="L96" s="208"/>
      <c r="M96" s="208"/>
      <c r="N96" s="211"/>
      <c r="O96" s="211"/>
    </row>
    <row r="97" spans="1:15" s="49" customFormat="1" ht="14.5" x14ac:dyDescent="0.35">
      <c r="A97" s="208"/>
      <c r="B97" s="105"/>
      <c r="C97" s="210"/>
      <c r="D97" s="208"/>
      <c r="E97" s="208"/>
      <c r="F97" s="209"/>
      <c r="G97" s="208"/>
      <c r="H97" s="51"/>
      <c r="I97" s="51"/>
      <c r="J97" s="208"/>
      <c r="K97" s="208"/>
      <c r="L97" s="208"/>
      <c r="M97" s="208"/>
      <c r="N97" s="211"/>
      <c r="O97" s="211"/>
    </row>
    <row r="98" spans="1:15" s="49" customFormat="1" ht="14.5" x14ac:dyDescent="0.35">
      <c r="A98" s="208"/>
      <c r="B98" s="105"/>
      <c r="C98" s="210"/>
      <c r="D98" s="208"/>
      <c r="E98" s="208"/>
      <c r="F98" s="209"/>
      <c r="G98" s="208"/>
      <c r="H98" s="51"/>
      <c r="I98" s="51"/>
      <c r="J98" s="208"/>
      <c r="K98" s="208"/>
      <c r="L98" s="208"/>
      <c r="M98" s="208"/>
      <c r="N98" s="211"/>
      <c r="O98" s="211"/>
    </row>
    <row r="99" spans="1:15" s="49" customFormat="1" ht="14.5" x14ac:dyDescent="0.35">
      <c r="A99" s="208"/>
      <c r="B99" s="105"/>
      <c r="C99" s="210"/>
      <c r="D99" s="208"/>
      <c r="E99" s="208"/>
      <c r="F99" s="209"/>
      <c r="G99" s="208"/>
      <c r="H99" s="51"/>
      <c r="I99" s="51"/>
      <c r="J99" s="208"/>
      <c r="K99" s="208"/>
      <c r="L99" s="208"/>
      <c r="M99" s="208"/>
      <c r="N99" s="211"/>
      <c r="O99" s="211"/>
    </row>
    <row r="100" spans="1:15" s="49" customFormat="1" ht="14.5" x14ac:dyDescent="0.35">
      <c r="A100" s="208"/>
      <c r="B100" s="105"/>
      <c r="C100" s="210"/>
      <c r="D100" s="208"/>
      <c r="E100" s="208"/>
      <c r="F100" s="209"/>
      <c r="G100" s="208"/>
      <c r="H100" s="51"/>
      <c r="I100" s="51"/>
      <c r="J100" s="208"/>
      <c r="K100" s="208"/>
      <c r="L100" s="208"/>
      <c r="M100" s="208"/>
      <c r="N100" s="211"/>
      <c r="O100" s="211"/>
    </row>
    <row r="101" spans="1:15" s="49" customFormat="1" ht="14.5" x14ac:dyDescent="0.35">
      <c r="A101" s="212"/>
      <c r="B101" s="121"/>
      <c r="C101" s="213"/>
      <c r="D101" s="212"/>
      <c r="E101" s="212"/>
      <c r="F101" s="214"/>
      <c r="G101" s="212"/>
      <c r="H101" s="52"/>
      <c r="I101" s="52"/>
      <c r="J101" s="212"/>
      <c r="K101" s="212"/>
      <c r="L101" s="212"/>
      <c r="M101" s="212"/>
      <c r="N101" s="211"/>
      <c r="O101" s="211"/>
    </row>
    <row r="102" spans="1:15" s="49" customFormat="1" ht="14.5" x14ac:dyDescent="0.35">
      <c r="A102" s="212"/>
      <c r="B102" s="121"/>
      <c r="C102" s="213"/>
      <c r="D102" s="212"/>
      <c r="E102" s="212"/>
      <c r="F102" s="214"/>
      <c r="G102" s="212"/>
      <c r="H102" s="52"/>
      <c r="I102" s="52"/>
      <c r="J102" s="212"/>
      <c r="K102" s="212"/>
      <c r="L102" s="212"/>
      <c r="M102" s="212"/>
      <c r="N102" s="211"/>
      <c r="O102" s="211"/>
    </row>
    <row r="103" spans="1:15" s="49" customFormat="1" ht="14.5" x14ac:dyDescent="0.35">
      <c r="A103" s="212"/>
      <c r="B103" s="121"/>
      <c r="C103" s="213"/>
      <c r="D103" s="212"/>
      <c r="E103" s="212"/>
      <c r="F103" s="214"/>
      <c r="G103" s="212"/>
      <c r="H103" s="52"/>
      <c r="I103" s="52"/>
      <c r="J103" s="212"/>
      <c r="K103" s="212"/>
      <c r="L103" s="212"/>
      <c r="M103" s="212"/>
      <c r="N103" s="211"/>
      <c r="O103" s="211"/>
    </row>
    <row r="104" spans="1:15" s="49" customFormat="1" ht="14.5" x14ac:dyDescent="0.35">
      <c r="A104" s="212"/>
      <c r="B104" s="121"/>
      <c r="C104" s="213"/>
      <c r="D104" s="212"/>
      <c r="E104" s="212"/>
      <c r="F104" s="214"/>
      <c r="G104" s="212"/>
      <c r="H104" s="52"/>
      <c r="I104" s="52"/>
      <c r="J104" s="212"/>
      <c r="K104" s="212"/>
      <c r="L104" s="212"/>
      <c r="M104" s="212"/>
      <c r="N104" s="211"/>
      <c r="O104" s="211"/>
    </row>
    <row r="105" spans="1:15" s="49" customFormat="1" ht="14.5" x14ac:dyDescent="0.35">
      <c r="A105" s="212"/>
      <c r="B105" s="121"/>
      <c r="C105" s="213"/>
      <c r="D105" s="212"/>
      <c r="E105" s="212"/>
      <c r="F105" s="214"/>
      <c r="G105" s="212"/>
      <c r="H105" s="52"/>
      <c r="I105" s="52"/>
      <c r="J105" s="212"/>
      <c r="K105" s="212"/>
      <c r="L105" s="212"/>
      <c r="M105" s="212"/>
      <c r="N105" s="211"/>
      <c r="O105" s="211"/>
    </row>
    <row r="106" spans="1:15" s="49" customFormat="1" ht="14.5" x14ac:dyDescent="0.35">
      <c r="A106" s="212"/>
      <c r="B106" s="121"/>
      <c r="C106" s="213"/>
      <c r="D106" s="212"/>
      <c r="E106" s="212"/>
      <c r="F106" s="214"/>
      <c r="G106" s="212"/>
      <c r="H106" s="52"/>
      <c r="I106" s="52"/>
      <c r="J106" s="212"/>
      <c r="K106" s="212"/>
      <c r="L106" s="212"/>
      <c r="M106" s="212"/>
      <c r="N106" s="211"/>
      <c r="O106" s="211"/>
    </row>
    <row r="107" spans="1:15" s="49" customFormat="1" ht="14.5" x14ac:dyDescent="0.35">
      <c r="A107" s="212"/>
      <c r="B107" s="121"/>
      <c r="C107" s="213"/>
      <c r="D107" s="212"/>
      <c r="E107" s="212"/>
      <c r="F107" s="214"/>
      <c r="G107" s="212"/>
      <c r="H107" s="52"/>
      <c r="I107" s="52"/>
      <c r="J107" s="212"/>
      <c r="K107" s="212"/>
      <c r="L107" s="212"/>
      <c r="M107" s="212"/>
      <c r="N107" s="211"/>
      <c r="O107" s="211"/>
    </row>
    <row r="108" spans="1:15" s="49" customFormat="1" ht="14.5" x14ac:dyDescent="0.35">
      <c r="A108" s="212"/>
      <c r="B108" s="121"/>
      <c r="C108" s="213"/>
      <c r="D108" s="212"/>
      <c r="E108" s="212"/>
      <c r="F108" s="214"/>
      <c r="G108" s="212"/>
      <c r="H108" s="52"/>
      <c r="I108" s="52"/>
      <c r="J108" s="212"/>
      <c r="K108" s="212"/>
      <c r="L108" s="212"/>
      <c r="M108" s="212"/>
      <c r="N108" s="211"/>
      <c r="O108" s="211"/>
    </row>
    <row r="109" spans="1:15" s="49" customFormat="1" ht="14.5" x14ac:dyDescent="0.35">
      <c r="A109" s="212"/>
      <c r="B109" s="121"/>
      <c r="C109" s="213"/>
      <c r="D109" s="212"/>
      <c r="E109" s="212"/>
      <c r="F109" s="214"/>
      <c r="G109" s="212"/>
      <c r="H109" s="52"/>
      <c r="I109" s="52"/>
      <c r="J109" s="212"/>
      <c r="K109" s="212"/>
      <c r="L109" s="212"/>
      <c r="M109" s="212"/>
      <c r="N109" s="211"/>
      <c r="O109" s="211"/>
    </row>
    <row r="110" spans="1:15" s="49" customFormat="1" ht="14.5" x14ac:dyDescent="0.35">
      <c r="A110" s="212"/>
      <c r="B110" s="121"/>
      <c r="C110" s="213"/>
      <c r="D110" s="212"/>
      <c r="E110" s="212"/>
      <c r="F110" s="214"/>
      <c r="G110" s="212"/>
      <c r="H110" s="52"/>
      <c r="I110" s="52"/>
      <c r="J110" s="212"/>
      <c r="K110" s="212"/>
      <c r="L110" s="212"/>
      <c r="M110" s="212"/>
      <c r="N110" s="211"/>
      <c r="O110" s="211"/>
    </row>
    <row r="111" spans="1:15" s="49" customFormat="1" ht="14.5" x14ac:dyDescent="0.35">
      <c r="A111" s="212"/>
      <c r="B111" s="121"/>
      <c r="C111" s="213"/>
      <c r="D111" s="212"/>
      <c r="E111" s="212"/>
      <c r="F111" s="214"/>
      <c r="G111" s="212"/>
      <c r="H111" s="52"/>
      <c r="I111" s="52"/>
      <c r="J111" s="212"/>
      <c r="K111" s="212"/>
      <c r="L111" s="212"/>
      <c r="M111" s="212"/>
      <c r="N111" s="211"/>
      <c r="O111" s="211"/>
    </row>
    <row r="112" spans="1:15" s="49" customFormat="1" ht="14.5" x14ac:dyDescent="0.35">
      <c r="A112" s="212"/>
      <c r="B112" s="121"/>
      <c r="C112" s="213"/>
      <c r="D112" s="212"/>
      <c r="E112" s="212"/>
      <c r="F112" s="214"/>
      <c r="G112" s="212"/>
      <c r="H112" s="52"/>
      <c r="I112" s="52"/>
      <c r="J112" s="212"/>
      <c r="K112" s="212"/>
      <c r="L112" s="212"/>
      <c r="M112" s="212"/>
      <c r="N112" s="211"/>
      <c r="O112" s="211"/>
    </row>
    <row r="113" spans="1:15" s="49" customFormat="1" ht="14.5" x14ac:dyDescent="0.35">
      <c r="A113" s="212"/>
      <c r="B113" s="121"/>
      <c r="C113" s="213"/>
      <c r="D113" s="212"/>
      <c r="E113" s="212"/>
      <c r="F113" s="214"/>
      <c r="G113" s="212"/>
      <c r="H113" s="52"/>
      <c r="I113" s="52"/>
      <c r="J113" s="212"/>
      <c r="K113" s="212"/>
      <c r="L113" s="212"/>
      <c r="M113" s="212"/>
      <c r="N113" s="211"/>
      <c r="O113" s="211"/>
    </row>
    <row r="114" spans="1:15" s="49" customFormat="1" ht="14.5" x14ac:dyDescent="0.35">
      <c r="A114" s="212"/>
      <c r="B114" s="121"/>
      <c r="C114" s="213"/>
      <c r="D114" s="212"/>
      <c r="E114" s="212"/>
      <c r="F114" s="214"/>
      <c r="G114" s="212"/>
      <c r="H114" s="52"/>
      <c r="I114" s="52"/>
      <c r="J114" s="212"/>
      <c r="K114" s="212"/>
      <c r="L114" s="212"/>
      <c r="M114" s="212"/>
      <c r="N114" s="211"/>
      <c r="O114" s="211"/>
    </row>
    <row r="115" spans="1:15" s="49" customFormat="1" ht="14.5" x14ac:dyDescent="0.35">
      <c r="A115" s="212"/>
      <c r="B115" s="121"/>
      <c r="C115" s="213"/>
      <c r="D115" s="212"/>
      <c r="E115" s="212"/>
      <c r="F115" s="214"/>
      <c r="G115" s="212"/>
      <c r="H115" s="52"/>
      <c r="I115" s="52"/>
      <c r="J115" s="212"/>
      <c r="K115" s="212"/>
      <c r="L115" s="212"/>
      <c r="M115" s="212"/>
      <c r="N115" s="211"/>
      <c r="O115" s="211"/>
    </row>
    <row r="116" spans="1:15" s="49" customFormat="1" ht="14.5" x14ac:dyDescent="0.35">
      <c r="A116" s="212"/>
      <c r="B116" s="121"/>
      <c r="C116" s="213"/>
      <c r="D116" s="212"/>
      <c r="E116" s="212"/>
      <c r="F116" s="214"/>
      <c r="G116" s="212"/>
      <c r="H116" s="52"/>
      <c r="I116" s="52"/>
      <c r="J116" s="212"/>
      <c r="K116" s="212"/>
      <c r="L116" s="212"/>
      <c r="M116" s="212"/>
      <c r="N116" s="211"/>
      <c r="O116" s="211"/>
    </row>
    <row r="117" spans="1:15" s="49" customFormat="1" ht="14.5" x14ac:dyDescent="0.35">
      <c r="A117" s="212"/>
      <c r="B117" s="121"/>
      <c r="C117" s="213"/>
      <c r="D117" s="212"/>
      <c r="E117" s="212"/>
      <c r="F117" s="214"/>
      <c r="G117" s="212"/>
      <c r="H117" s="52"/>
      <c r="I117" s="52"/>
      <c r="J117" s="212"/>
      <c r="K117" s="212"/>
      <c r="L117" s="212"/>
      <c r="M117" s="212"/>
      <c r="N117" s="211"/>
      <c r="O117" s="211"/>
    </row>
    <row r="118" spans="1:15" s="49" customFormat="1" ht="14.5" x14ac:dyDescent="0.35">
      <c r="A118" s="212"/>
      <c r="B118" s="121"/>
      <c r="C118" s="213"/>
      <c r="D118" s="212"/>
      <c r="E118" s="212"/>
      <c r="F118" s="214"/>
      <c r="G118" s="212"/>
      <c r="H118" s="52"/>
      <c r="I118" s="52"/>
      <c r="J118" s="212"/>
      <c r="K118" s="212"/>
      <c r="L118" s="212"/>
      <c r="M118" s="212"/>
      <c r="N118" s="211"/>
      <c r="O118" s="211"/>
    </row>
    <row r="119" spans="1:15" s="49" customFormat="1" ht="14.5" x14ac:dyDescent="0.35">
      <c r="A119" s="212"/>
      <c r="B119" s="121"/>
      <c r="C119" s="213"/>
      <c r="D119" s="212"/>
      <c r="E119" s="212"/>
      <c r="F119" s="214"/>
      <c r="G119" s="212"/>
      <c r="H119" s="52"/>
      <c r="I119" s="52"/>
      <c r="J119" s="212"/>
      <c r="K119" s="212"/>
      <c r="L119" s="212"/>
      <c r="M119" s="212"/>
      <c r="N119" s="211"/>
      <c r="O119" s="211"/>
    </row>
    <row r="120" spans="1:15" s="49" customFormat="1" ht="14.5" x14ac:dyDescent="0.35">
      <c r="A120" s="212"/>
      <c r="B120" s="121"/>
      <c r="C120" s="213"/>
      <c r="D120" s="212"/>
      <c r="E120" s="212"/>
      <c r="F120" s="214"/>
      <c r="G120" s="212"/>
      <c r="H120" s="52"/>
      <c r="I120" s="52"/>
      <c r="J120" s="212"/>
      <c r="K120" s="212"/>
      <c r="L120" s="212"/>
      <c r="M120" s="212"/>
      <c r="N120" s="211"/>
      <c r="O120" s="211"/>
    </row>
    <row r="121" spans="1:15" s="49" customFormat="1" ht="14.5" x14ac:dyDescent="0.35">
      <c r="A121" s="212"/>
      <c r="B121" s="121"/>
      <c r="C121" s="213"/>
      <c r="D121" s="212"/>
      <c r="E121" s="212"/>
      <c r="F121" s="214"/>
      <c r="G121" s="212"/>
      <c r="H121" s="52"/>
      <c r="I121" s="52"/>
      <c r="J121" s="212"/>
      <c r="K121" s="212"/>
      <c r="L121" s="212"/>
      <c r="M121" s="212"/>
      <c r="N121" s="211"/>
      <c r="O121" s="211"/>
    </row>
    <row r="122" spans="1:15" s="49" customFormat="1" ht="14.5" x14ac:dyDescent="0.35">
      <c r="A122" s="212"/>
      <c r="B122" s="121"/>
      <c r="C122" s="213"/>
      <c r="D122" s="212"/>
      <c r="E122" s="212"/>
      <c r="F122" s="214"/>
      <c r="G122" s="212"/>
      <c r="H122" s="52"/>
      <c r="I122" s="52"/>
      <c r="J122" s="212"/>
      <c r="K122" s="212"/>
      <c r="L122" s="212"/>
      <c r="M122" s="212"/>
      <c r="N122" s="211"/>
      <c r="O122" s="211"/>
    </row>
    <row r="123" spans="1:15" s="49" customFormat="1" ht="14.5" x14ac:dyDescent="0.35">
      <c r="A123" s="212"/>
      <c r="B123" s="121"/>
      <c r="C123" s="213"/>
      <c r="D123" s="212"/>
      <c r="E123" s="212"/>
      <c r="F123" s="214"/>
      <c r="G123" s="212"/>
      <c r="H123" s="52"/>
      <c r="I123" s="52"/>
      <c r="J123" s="212"/>
      <c r="K123" s="212"/>
      <c r="L123" s="212"/>
      <c r="M123" s="212"/>
      <c r="N123" s="211"/>
      <c r="O123" s="211"/>
    </row>
    <row r="124" spans="1:15" s="49" customFormat="1" ht="14.5" x14ac:dyDescent="0.35">
      <c r="A124" s="212"/>
      <c r="B124" s="121"/>
      <c r="C124" s="213"/>
      <c r="D124" s="212"/>
      <c r="E124" s="212"/>
      <c r="F124" s="214"/>
      <c r="G124" s="212"/>
      <c r="H124" s="52"/>
      <c r="I124" s="52"/>
      <c r="J124" s="212"/>
      <c r="K124" s="212"/>
      <c r="L124" s="212"/>
      <c r="M124" s="212"/>
      <c r="N124" s="211"/>
      <c r="O124" s="211"/>
    </row>
    <row r="125" spans="1:15" s="49" customFormat="1" ht="14.5" x14ac:dyDescent="0.35">
      <c r="A125" s="212"/>
      <c r="B125" s="121"/>
      <c r="C125" s="213"/>
      <c r="D125" s="212"/>
      <c r="E125" s="212"/>
      <c r="F125" s="214"/>
      <c r="G125" s="212"/>
      <c r="H125" s="52"/>
      <c r="I125" s="52"/>
      <c r="J125" s="212"/>
      <c r="K125" s="212"/>
      <c r="L125" s="212"/>
      <c r="M125" s="212"/>
      <c r="N125" s="211"/>
      <c r="O125" s="211"/>
    </row>
    <row r="126" spans="1:15" s="49" customFormat="1" ht="14.5" x14ac:dyDescent="0.35">
      <c r="A126" s="212"/>
      <c r="B126" s="121"/>
      <c r="C126" s="213"/>
      <c r="D126" s="212"/>
      <c r="E126" s="212"/>
      <c r="F126" s="214"/>
      <c r="G126" s="212"/>
      <c r="H126" s="52"/>
      <c r="I126" s="52"/>
      <c r="J126" s="212"/>
      <c r="K126" s="212"/>
      <c r="L126" s="212"/>
      <c r="M126" s="212"/>
      <c r="N126" s="211"/>
      <c r="O126" s="211"/>
    </row>
    <row r="127" spans="1:15" s="49" customFormat="1" ht="14.5" x14ac:dyDescent="0.35">
      <c r="A127" s="212"/>
      <c r="B127" s="121"/>
      <c r="C127" s="213"/>
      <c r="D127" s="212"/>
      <c r="E127" s="212"/>
      <c r="F127" s="214"/>
      <c r="G127" s="212"/>
      <c r="H127" s="52"/>
      <c r="I127" s="52"/>
      <c r="J127" s="212"/>
      <c r="K127" s="212"/>
      <c r="L127" s="212"/>
      <c r="M127" s="212"/>
      <c r="N127" s="211"/>
      <c r="O127" s="211"/>
    </row>
    <row r="128" spans="1:15" s="49" customFormat="1" ht="14.5" x14ac:dyDescent="0.35">
      <c r="A128" s="212"/>
      <c r="B128" s="121"/>
      <c r="C128" s="213"/>
      <c r="D128" s="212"/>
      <c r="E128" s="212"/>
      <c r="F128" s="214"/>
      <c r="G128" s="212"/>
      <c r="H128" s="52"/>
      <c r="I128" s="52"/>
      <c r="J128" s="212"/>
      <c r="K128" s="212"/>
      <c r="L128" s="212"/>
      <c r="M128" s="212"/>
      <c r="N128" s="211"/>
      <c r="O128" s="211"/>
    </row>
    <row r="129" spans="1:15" s="49" customFormat="1" ht="14.5" x14ac:dyDescent="0.35">
      <c r="A129" s="212"/>
      <c r="B129" s="121"/>
      <c r="C129" s="213"/>
      <c r="D129" s="212"/>
      <c r="E129" s="212"/>
      <c r="F129" s="214"/>
      <c r="G129" s="212"/>
      <c r="H129" s="52"/>
      <c r="I129" s="52"/>
      <c r="J129" s="212"/>
      <c r="K129" s="212"/>
      <c r="L129" s="212"/>
      <c r="M129" s="212"/>
      <c r="N129" s="211"/>
      <c r="O129" s="211"/>
    </row>
    <row r="130" spans="1:15" s="49" customFormat="1" ht="14.5" x14ac:dyDescent="0.35">
      <c r="A130" s="212"/>
      <c r="B130" s="121"/>
      <c r="C130" s="213"/>
      <c r="D130" s="212"/>
      <c r="E130" s="212"/>
      <c r="F130" s="214"/>
      <c r="G130" s="212"/>
      <c r="H130" s="52"/>
      <c r="I130" s="52"/>
      <c r="J130" s="212"/>
      <c r="K130" s="212"/>
      <c r="L130" s="212"/>
      <c r="M130" s="212"/>
      <c r="N130" s="211"/>
      <c r="O130" s="211"/>
    </row>
    <row r="131" spans="1:15" s="49" customFormat="1" ht="14.5" x14ac:dyDescent="0.35">
      <c r="A131" s="212"/>
      <c r="B131" s="121"/>
      <c r="C131" s="213"/>
      <c r="D131" s="212"/>
      <c r="E131" s="212"/>
      <c r="F131" s="214"/>
      <c r="G131" s="212"/>
      <c r="H131" s="52"/>
      <c r="I131" s="52"/>
      <c r="J131" s="212"/>
      <c r="K131" s="212"/>
      <c r="L131" s="212"/>
      <c r="M131" s="212"/>
      <c r="N131" s="211"/>
      <c r="O131" s="211"/>
    </row>
    <row r="132" spans="1:15" s="49" customFormat="1" ht="14.5" x14ac:dyDescent="0.35">
      <c r="A132" s="212"/>
      <c r="B132" s="121"/>
      <c r="C132" s="213"/>
      <c r="D132" s="212"/>
      <c r="E132" s="212"/>
      <c r="F132" s="214"/>
      <c r="G132" s="212"/>
      <c r="H132" s="52"/>
      <c r="I132" s="52"/>
      <c r="J132" s="212"/>
      <c r="K132" s="212"/>
      <c r="L132" s="212"/>
      <c r="M132" s="212"/>
      <c r="N132" s="211"/>
      <c r="O132" s="211"/>
    </row>
    <row r="133" spans="1:15" s="49" customFormat="1" ht="14.5" x14ac:dyDescent="0.35">
      <c r="A133" s="212"/>
      <c r="B133" s="121"/>
      <c r="C133" s="213"/>
      <c r="D133" s="212"/>
      <c r="E133" s="212"/>
      <c r="F133" s="214"/>
      <c r="G133" s="212"/>
      <c r="H133" s="52"/>
      <c r="I133" s="52"/>
      <c r="J133" s="212"/>
      <c r="K133" s="212"/>
      <c r="L133" s="212"/>
      <c r="M133" s="212"/>
      <c r="N133" s="211"/>
      <c r="O133" s="211"/>
    </row>
    <row r="134" spans="1:15" s="49" customFormat="1" ht="14.5" x14ac:dyDescent="0.35">
      <c r="A134" s="212"/>
      <c r="B134" s="121"/>
      <c r="C134" s="213"/>
      <c r="D134" s="212"/>
      <c r="E134" s="212"/>
      <c r="F134" s="214"/>
      <c r="G134" s="212"/>
      <c r="H134" s="52"/>
      <c r="I134" s="52"/>
      <c r="J134" s="212"/>
      <c r="K134" s="212"/>
      <c r="L134" s="212"/>
      <c r="M134" s="212"/>
      <c r="N134" s="211"/>
      <c r="O134" s="211"/>
    </row>
    <row r="135" spans="1:15" s="49" customFormat="1" ht="14.5" x14ac:dyDescent="0.35">
      <c r="A135" s="212"/>
      <c r="B135" s="121"/>
      <c r="C135" s="213"/>
      <c r="D135" s="212"/>
      <c r="E135" s="212"/>
      <c r="F135" s="214"/>
      <c r="G135" s="212"/>
      <c r="H135" s="52"/>
      <c r="I135" s="52"/>
      <c r="J135" s="212"/>
      <c r="K135" s="212"/>
      <c r="L135" s="212"/>
      <c r="M135" s="212"/>
      <c r="N135" s="211"/>
      <c r="O135" s="211"/>
    </row>
    <row r="136" spans="1:15" s="49" customFormat="1" ht="14.5" x14ac:dyDescent="0.35">
      <c r="A136" s="212"/>
      <c r="B136" s="121"/>
      <c r="C136" s="213"/>
      <c r="D136" s="212"/>
      <c r="E136" s="212"/>
      <c r="F136" s="214"/>
      <c r="G136" s="212"/>
      <c r="H136" s="52"/>
      <c r="I136" s="52"/>
      <c r="J136" s="212"/>
      <c r="K136" s="212"/>
      <c r="L136" s="212"/>
      <c r="M136" s="212"/>
      <c r="N136" s="211"/>
      <c r="O136" s="211"/>
    </row>
    <row r="137" spans="1:15" s="49" customFormat="1" ht="14.5" x14ac:dyDescent="0.35">
      <c r="A137" s="212"/>
      <c r="B137" s="121"/>
      <c r="C137" s="213"/>
      <c r="D137" s="212"/>
      <c r="E137" s="212"/>
      <c r="F137" s="214"/>
      <c r="G137" s="212"/>
      <c r="H137" s="52"/>
      <c r="I137" s="52"/>
      <c r="J137" s="212"/>
      <c r="K137" s="212"/>
      <c r="L137" s="212"/>
      <c r="M137" s="212"/>
      <c r="N137" s="211"/>
      <c r="O137" s="211"/>
    </row>
    <row r="138" spans="1:15" s="49" customFormat="1" ht="14.5" x14ac:dyDescent="0.35">
      <c r="A138" s="212"/>
      <c r="B138" s="121"/>
      <c r="C138" s="213"/>
      <c r="D138" s="212"/>
      <c r="E138" s="212"/>
      <c r="F138" s="214"/>
      <c r="G138" s="212"/>
      <c r="H138" s="52"/>
      <c r="I138" s="52"/>
      <c r="J138" s="212"/>
      <c r="K138" s="212"/>
      <c r="L138" s="212"/>
      <c r="M138" s="212"/>
      <c r="N138" s="211"/>
      <c r="O138" s="211"/>
    </row>
    <row r="139" spans="1:15" s="49" customFormat="1" ht="14.5" x14ac:dyDescent="0.35">
      <c r="A139" s="212"/>
      <c r="B139" s="121"/>
      <c r="C139" s="213"/>
      <c r="D139" s="212"/>
      <c r="E139" s="212"/>
      <c r="F139" s="214"/>
      <c r="G139" s="212"/>
      <c r="H139" s="52"/>
      <c r="I139" s="52"/>
      <c r="J139" s="212"/>
      <c r="K139" s="212"/>
      <c r="L139" s="212"/>
      <c r="M139" s="212"/>
      <c r="N139" s="211"/>
      <c r="O139" s="211"/>
    </row>
    <row r="140" spans="1:15" s="49" customFormat="1" ht="14.5" x14ac:dyDescent="0.35">
      <c r="A140" s="212"/>
      <c r="B140" s="121"/>
      <c r="C140" s="213"/>
      <c r="D140" s="212"/>
      <c r="E140" s="212"/>
      <c r="F140" s="214"/>
      <c r="G140" s="212"/>
      <c r="H140" s="52"/>
      <c r="I140" s="52"/>
      <c r="J140" s="212"/>
      <c r="K140" s="212"/>
      <c r="L140" s="212"/>
      <c r="M140" s="212"/>
      <c r="N140" s="211"/>
      <c r="O140" s="211"/>
    </row>
  </sheetData>
  <mergeCells count="2">
    <mergeCell ref="H1:I1"/>
    <mergeCell ref="H2:I2"/>
  </mergeCells>
  <conditionalFormatting sqref="H2:H1048576">
    <cfRule type="notContainsBlanks" dxfId="1572" priority="11">
      <formula>LEN(TRIM(H2))&gt;0</formula>
    </cfRule>
  </conditionalFormatting>
  <conditionalFormatting sqref="P135:P1048576">
    <cfRule type="containsText" dxfId="1571" priority="10" operator="containsText" text="OK">
      <formula>NOT(ISERROR(SEARCH("OK",P135)))</formula>
    </cfRule>
  </conditionalFormatting>
  <conditionalFormatting sqref="I57:I88">
    <cfRule type="notContainsBlanks" dxfId="1570" priority="7">
      <formula>LEN(TRIM(I57))&gt;0</formula>
    </cfRule>
  </conditionalFormatting>
  <conditionalFormatting sqref="G2">
    <cfRule type="containsText" dxfId="1569" priority="5" operator="containsText" text="OK">
      <formula>NOT(ISERROR(SEARCH("OK",G2)))</formula>
    </cfRule>
  </conditionalFormatting>
  <conditionalFormatting sqref="G1">
    <cfRule type="containsText" dxfId="1568" priority="4" operator="containsText" text="OK">
      <formula>NOT(ISERROR(SEARCH("OK",G1)))</formula>
    </cfRule>
  </conditionalFormatting>
  <pageMargins left="0.70866141732283472" right="0.70866141732283472" top="0.74803149606299213" bottom="0.74803149606299213" header="0.31496062992125984" footer="0.31496062992125984"/>
  <pageSetup scale="85" orientation="landscape" horizontalDpi="4294967295" verticalDpi="4294967295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9" tint="-0.499984740745262"/>
  </sheetPr>
  <dimension ref="A1:CI130"/>
  <sheetViews>
    <sheetView zoomScale="80" zoomScaleNormal="80" workbookViewId="0">
      <pane xSplit="6" ySplit="3" topLeftCell="G4" activePane="bottomRight" state="frozen"/>
      <selection pane="topRight" activeCell="E45" sqref="E45"/>
      <selection pane="bottomLeft" activeCell="E45" sqref="E45"/>
      <selection pane="bottomRight" activeCell="G35" sqref="G35"/>
    </sheetView>
  </sheetViews>
  <sheetFormatPr baseColWidth="10" defaultColWidth="11.453125" defaultRowHeight="33.75" customHeight="1" x14ac:dyDescent="0.35"/>
  <cols>
    <col min="1" max="1" width="1.1796875" style="114" customWidth="1"/>
    <col min="2" max="2" width="5.54296875" style="86" customWidth="1"/>
    <col min="3" max="3" width="31.453125" style="1" customWidth="1"/>
    <col min="4" max="6" width="7" style="90" customWidth="1"/>
    <col min="7" max="7" width="20" style="78" customWidth="1"/>
    <col min="8" max="9" width="8.7265625" style="79" customWidth="1"/>
    <col min="10" max="10" width="3.453125" style="78" hidden="1" customWidth="1"/>
    <col min="11" max="11" width="20" style="78" customWidth="1"/>
    <col min="12" max="13" width="8.7265625" style="79" customWidth="1"/>
    <col min="14" max="14" width="3.453125" style="78" hidden="1" customWidth="1"/>
    <col min="15" max="15" width="20" style="78" customWidth="1"/>
    <col min="16" max="17" width="8.7265625" style="79" customWidth="1"/>
    <col min="18" max="18" width="3.453125" style="78" hidden="1" customWidth="1"/>
    <col min="19" max="19" width="20" style="78" customWidth="1"/>
    <col min="20" max="21" width="8.7265625" style="79" customWidth="1"/>
    <col min="22" max="22" width="3.453125" style="78" hidden="1" customWidth="1"/>
    <col min="23" max="23" width="20" style="78" customWidth="1"/>
    <col min="24" max="25" width="8.7265625" style="79" customWidth="1"/>
    <col min="26" max="26" width="3.453125" style="78" hidden="1" customWidth="1"/>
    <col min="27" max="27" width="20" style="78" customWidth="1"/>
    <col min="28" max="29" width="8.7265625" style="79" customWidth="1"/>
    <col min="30" max="30" width="3.453125" style="78" hidden="1" customWidth="1"/>
    <col min="31" max="31" width="20" style="78" customWidth="1"/>
    <col min="32" max="33" width="8.7265625" style="79" customWidth="1"/>
    <col min="34" max="34" width="3.453125" style="78" hidden="1" customWidth="1"/>
    <col min="35" max="35" width="20" style="78" customWidth="1"/>
    <col min="36" max="37" width="8.7265625" style="79" customWidth="1"/>
    <col min="38" max="38" width="3.453125" style="78" hidden="1" customWidth="1"/>
    <col min="39" max="39" width="20" style="78" customWidth="1"/>
    <col min="40" max="41" width="8.7265625" style="79" customWidth="1"/>
    <col min="42" max="42" width="3.453125" style="78" hidden="1" customWidth="1"/>
    <col min="43" max="43" width="20" style="78" customWidth="1"/>
    <col min="44" max="45" width="8.7265625" style="79" customWidth="1"/>
    <col min="46" max="46" width="3.453125" style="78" hidden="1" customWidth="1"/>
    <col min="47" max="47" width="20" style="78" customWidth="1"/>
    <col min="48" max="49" width="8.7265625" style="79" customWidth="1"/>
    <col min="50" max="50" width="3.453125" style="78" hidden="1" customWidth="1"/>
    <col min="51" max="51" width="20" style="78" customWidth="1"/>
    <col min="52" max="53" width="8.7265625" style="79" customWidth="1"/>
    <col min="54" max="54" width="3.453125" style="78" hidden="1" customWidth="1"/>
    <col min="55" max="55" width="20" style="78" customWidth="1"/>
    <col min="56" max="57" width="8.7265625" style="79" customWidth="1"/>
    <col min="58" max="58" width="3.453125" style="78" hidden="1" customWidth="1"/>
    <col min="59" max="59" width="20" style="78" customWidth="1"/>
    <col min="60" max="61" width="8.7265625" style="79" customWidth="1"/>
    <col min="62" max="62" width="3.453125" style="78" hidden="1" customWidth="1"/>
    <col min="63" max="63" width="20" style="78" customWidth="1"/>
    <col min="64" max="65" width="8.7265625" style="79" customWidth="1"/>
    <col min="66" max="66" width="3.453125" style="78" hidden="1" customWidth="1"/>
    <col min="67" max="67" width="20" style="78" customWidth="1"/>
    <col min="68" max="69" width="8.7265625" style="79" customWidth="1"/>
    <col min="70" max="70" width="3.453125" style="78" hidden="1" customWidth="1"/>
    <col min="71" max="71" width="20" style="78" customWidth="1"/>
    <col min="72" max="73" width="8.7265625" style="79" customWidth="1"/>
    <col min="74" max="74" width="3.453125" style="78" hidden="1" customWidth="1"/>
    <col min="75" max="75" width="20" style="78" customWidth="1"/>
    <col min="76" max="77" width="8.7265625" style="79" customWidth="1"/>
    <col min="78" max="78" width="3.453125" style="78" hidden="1" customWidth="1"/>
    <col min="79" max="79" width="20" style="78" customWidth="1"/>
    <col min="80" max="81" width="8.7265625" style="79" customWidth="1"/>
    <col min="82" max="82" width="3.453125" style="78" hidden="1" customWidth="1"/>
    <col min="83" max="83" width="20" style="78" customWidth="1"/>
    <col min="84" max="85" width="8.7265625" style="79" customWidth="1"/>
    <col min="86" max="86" width="3.453125" style="78" hidden="1" customWidth="1"/>
    <col min="87" max="87" width="1.81640625" style="63" customWidth="1"/>
    <col min="88" max="16384" width="11.453125" style="63"/>
  </cols>
  <sheetData>
    <row r="1" spans="1:87" s="61" customFormat="1" ht="5.25" customHeight="1" x14ac:dyDescent="0.35">
      <c r="A1" s="113"/>
      <c r="B1" s="80"/>
      <c r="C1" s="81"/>
      <c r="D1" s="81"/>
      <c r="E1" s="81"/>
      <c r="F1" s="81"/>
      <c r="G1" s="57">
        <v>1</v>
      </c>
      <c r="H1" s="58">
        <f>COUNT(H4:H42)</f>
        <v>0</v>
      </c>
      <c r="I1" s="59"/>
      <c r="J1" s="60"/>
      <c r="K1" s="57">
        <f>G1+1</f>
        <v>2</v>
      </c>
      <c r="L1" s="58">
        <f>COUNT(L4:L42)</f>
        <v>0</v>
      </c>
      <c r="M1" s="59"/>
      <c r="N1" s="60"/>
      <c r="O1" s="57">
        <f>K1+1</f>
        <v>3</v>
      </c>
      <c r="P1" s="58">
        <f>COUNT(P4:P42)</f>
        <v>0</v>
      </c>
      <c r="Q1" s="59"/>
      <c r="R1" s="60"/>
      <c r="S1" s="57">
        <f>O1+1</f>
        <v>4</v>
      </c>
      <c r="T1" s="58">
        <f>COUNT(T4:T42)</f>
        <v>0</v>
      </c>
      <c r="U1" s="59"/>
      <c r="V1" s="60"/>
      <c r="W1" s="57">
        <f>S1+1</f>
        <v>5</v>
      </c>
      <c r="X1" s="58">
        <f>COUNT(X4:X42)</f>
        <v>0</v>
      </c>
      <c r="Y1" s="59"/>
      <c r="Z1" s="60"/>
      <c r="AA1" s="57">
        <f>W1+1</f>
        <v>6</v>
      </c>
      <c r="AB1" s="58">
        <f>COUNT(AB4:AB42)</f>
        <v>0</v>
      </c>
      <c r="AC1" s="59"/>
      <c r="AD1" s="60"/>
      <c r="AE1" s="57">
        <f>AA1+1</f>
        <v>7</v>
      </c>
      <c r="AF1" s="58">
        <f>COUNT(AF4:AF42)</f>
        <v>0</v>
      </c>
      <c r="AG1" s="59"/>
      <c r="AH1" s="60"/>
      <c r="AI1" s="57">
        <f>AE1+1</f>
        <v>8</v>
      </c>
      <c r="AJ1" s="58">
        <f>COUNT(AJ4:AJ42)</f>
        <v>0</v>
      </c>
      <c r="AK1" s="59"/>
      <c r="AL1" s="60"/>
      <c r="AM1" s="57">
        <f>AI1+1</f>
        <v>9</v>
      </c>
      <c r="AN1" s="58">
        <f>COUNT(AN4:AN42)</f>
        <v>0</v>
      </c>
      <c r="AO1" s="59"/>
      <c r="AP1" s="60"/>
      <c r="AQ1" s="57">
        <f t="shared" ref="AQ1" si="0">AM1+1</f>
        <v>10</v>
      </c>
      <c r="AR1" s="58">
        <f>COUNT(AR4:AR42)</f>
        <v>0</v>
      </c>
      <c r="AS1" s="59"/>
      <c r="AT1" s="60"/>
      <c r="AU1" s="57">
        <f>AQ1+1</f>
        <v>11</v>
      </c>
      <c r="AV1" s="58">
        <f>COUNT(AV4:AV42)</f>
        <v>0</v>
      </c>
      <c r="AW1" s="59"/>
      <c r="AX1" s="60"/>
      <c r="AY1" s="57">
        <f>AU1+1</f>
        <v>12</v>
      </c>
      <c r="AZ1" s="58">
        <f>COUNT(AZ4:AZ42)</f>
        <v>0</v>
      </c>
      <c r="BA1" s="59"/>
      <c r="BB1" s="60"/>
      <c r="BC1" s="57">
        <f>AY1+1</f>
        <v>13</v>
      </c>
      <c r="BD1" s="58">
        <f>COUNT(BD4:BD42)</f>
        <v>0</v>
      </c>
      <c r="BE1" s="59"/>
      <c r="BF1" s="60"/>
      <c r="BG1" s="57">
        <f>BC1+1</f>
        <v>14</v>
      </c>
      <c r="BH1" s="58">
        <f>COUNT(BH4:BH42)</f>
        <v>0</v>
      </c>
      <c r="BI1" s="59"/>
      <c r="BJ1" s="60"/>
      <c r="BK1" s="57">
        <f>BG1+1</f>
        <v>15</v>
      </c>
      <c r="BL1" s="58">
        <f>COUNT(BL4:BL42)</f>
        <v>0</v>
      </c>
      <c r="BM1" s="59"/>
      <c r="BN1" s="60"/>
      <c r="BO1" s="57">
        <f>BK1+1</f>
        <v>16</v>
      </c>
      <c r="BP1" s="58">
        <f>COUNT(BP4:BP42)</f>
        <v>0</v>
      </c>
      <c r="BQ1" s="59"/>
      <c r="BR1" s="60"/>
      <c r="BS1" s="57">
        <f>BO1+1</f>
        <v>17</v>
      </c>
      <c r="BT1" s="58">
        <f>COUNT(BT4:BT42)</f>
        <v>0</v>
      </c>
      <c r="BU1" s="59"/>
      <c r="BV1" s="60"/>
      <c r="BW1" s="57">
        <f>BS1+1</f>
        <v>18</v>
      </c>
      <c r="BX1" s="58">
        <f>COUNT(BX4:BX42)</f>
        <v>0</v>
      </c>
      <c r="BY1" s="59"/>
      <c r="BZ1" s="60"/>
      <c r="CA1" s="57">
        <f>BW1+1</f>
        <v>19</v>
      </c>
      <c r="CB1" s="58">
        <f>COUNT(CB4:CB42)</f>
        <v>0</v>
      </c>
      <c r="CC1" s="59"/>
      <c r="CD1" s="60"/>
      <c r="CE1" s="57">
        <f t="shared" ref="CE1" si="1">CA1+1</f>
        <v>20</v>
      </c>
      <c r="CF1" s="58">
        <f>COUNT(CF4:CF42)</f>
        <v>0</v>
      </c>
      <c r="CG1" s="59"/>
      <c r="CH1" s="60"/>
      <c r="CI1" s="56"/>
    </row>
    <row r="2" spans="1:87" ht="16.5" customHeight="1" x14ac:dyDescent="0.35">
      <c r="B2" s="473" t="s">
        <v>88</v>
      </c>
      <c r="C2" s="474"/>
      <c r="D2" s="475" t="s">
        <v>89</v>
      </c>
      <c r="E2" s="476"/>
      <c r="F2" s="477"/>
      <c r="G2" s="478" t="s">
        <v>90</v>
      </c>
      <c r="H2" s="479"/>
      <c r="I2" s="480"/>
      <c r="J2" s="62"/>
      <c r="K2" s="481" t="s">
        <v>91</v>
      </c>
      <c r="L2" s="482"/>
      <c r="M2" s="483"/>
      <c r="N2" s="62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</row>
    <row r="3" spans="1:87" ht="16.5" customHeight="1" x14ac:dyDescent="0.35">
      <c r="B3" s="115" t="s">
        <v>92</v>
      </c>
      <c r="C3" s="116" t="s">
        <v>93</v>
      </c>
      <c r="D3" s="120" t="s">
        <v>94</v>
      </c>
      <c r="E3" s="120" t="s">
        <v>95</v>
      </c>
      <c r="F3" s="120" t="s">
        <v>96</v>
      </c>
      <c r="G3" s="467">
        <f>IFERROR(VLOOKUP(G1,'Listas Desplegables'!G:I,3,0),"")</f>
        <v>374010</v>
      </c>
      <c r="H3" s="468"/>
      <c r="I3" s="469"/>
      <c r="J3" s="64" t="s">
        <v>9</v>
      </c>
      <c r="K3" s="470">
        <f>IFERROR(VLOOKUP(K1,'Listas Desplegables'!$G:$I,3,0),"")</f>
        <v>374011</v>
      </c>
      <c r="L3" s="471"/>
      <c r="M3" s="472"/>
      <c r="N3" s="64" t="s">
        <v>9</v>
      </c>
      <c r="O3" s="467">
        <f>IFERROR(VLOOKUP(O1,'Listas Desplegables'!$G:$I,3,0),"")</f>
        <v>374012</v>
      </c>
      <c r="P3" s="468"/>
      <c r="Q3" s="469"/>
      <c r="R3" s="64" t="s">
        <v>9</v>
      </c>
      <c r="S3" s="470">
        <f>IFERROR(VLOOKUP(S1,'Listas Desplegables'!$G:$I,3,0),"")</f>
        <v>374013</v>
      </c>
      <c r="T3" s="471"/>
      <c r="U3" s="472"/>
      <c r="V3" s="64" t="s">
        <v>9</v>
      </c>
      <c r="W3" s="467">
        <f>IFERROR(VLOOKUP(W1,'Listas Desplegables'!$G:$I,3,0),"")</f>
        <v>374014</v>
      </c>
      <c r="X3" s="468"/>
      <c r="Y3" s="469"/>
      <c r="Z3" s="64" t="s">
        <v>9</v>
      </c>
      <c r="AA3" s="470">
        <f>IFERROR(VLOOKUP(AA1,'Listas Desplegables'!$G:$I,3,0),"")</f>
        <v>374015</v>
      </c>
      <c r="AB3" s="471"/>
      <c r="AC3" s="472"/>
      <c r="AD3" s="64" t="s">
        <v>9</v>
      </c>
      <c r="AE3" s="467">
        <f>IFERROR(VLOOKUP(AE1,'Listas Desplegables'!$G:$I,3,0),"")</f>
        <v>374016</v>
      </c>
      <c r="AF3" s="468"/>
      <c r="AG3" s="469"/>
      <c r="AH3" s="64" t="s">
        <v>9</v>
      </c>
      <c r="AI3" s="470">
        <f>IFERROR(VLOOKUP(AI1,'Listas Desplegables'!$G:$I,3,0),"")</f>
        <v>374017</v>
      </c>
      <c r="AJ3" s="471"/>
      <c r="AK3" s="472"/>
      <c r="AL3" s="64" t="s">
        <v>9</v>
      </c>
      <c r="AM3" s="467">
        <f>IFERROR(VLOOKUP(AM1,'Listas Desplegables'!$G:$I,3,0),"")</f>
        <v>374018</v>
      </c>
      <c r="AN3" s="468"/>
      <c r="AO3" s="469"/>
      <c r="AP3" s="64" t="s">
        <v>9</v>
      </c>
      <c r="AQ3" s="470">
        <f>IFERROR(VLOOKUP(AQ1,'Listas Desplegables'!$G:$I,3,0),"")</f>
        <v>0</v>
      </c>
      <c r="AR3" s="471"/>
      <c r="AS3" s="472"/>
      <c r="AT3" s="64" t="s">
        <v>9</v>
      </c>
      <c r="AU3" s="467">
        <f>IFERROR(VLOOKUP(AU1,'Listas Desplegables'!$G:$I,3,0),"")</f>
        <v>0</v>
      </c>
      <c r="AV3" s="468"/>
      <c r="AW3" s="469"/>
      <c r="AX3" s="64" t="s">
        <v>9</v>
      </c>
      <c r="AY3" s="470">
        <f>IFERROR(VLOOKUP(AY1,'Listas Desplegables'!$G:$I,3,0),"")</f>
        <v>0</v>
      </c>
      <c r="AZ3" s="471"/>
      <c r="BA3" s="472"/>
      <c r="BB3" s="64" t="s">
        <v>9</v>
      </c>
      <c r="BC3" s="467">
        <f>IFERROR(VLOOKUP(BC1,'Listas Desplegables'!$G:$I,3,0),"")</f>
        <v>0</v>
      </c>
      <c r="BD3" s="468"/>
      <c r="BE3" s="469"/>
      <c r="BF3" s="64" t="s">
        <v>9</v>
      </c>
      <c r="BG3" s="470">
        <f>IFERROR(VLOOKUP(BG1,'Listas Desplegables'!$G:$I,3,0),"")</f>
        <v>0</v>
      </c>
      <c r="BH3" s="471"/>
      <c r="BI3" s="472"/>
      <c r="BJ3" s="64" t="s">
        <v>9</v>
      </c>
      <c r="BK3" s="467">
        <f>IFERROR(VLOOKUP(BK1,'Listas Desplegables'!$G:$I,3,0),"")</f>
        <v>0</v>
      </c>
      <c r="BL3" s="468"/>
      <c r="BM3" s="469"/>
      <c r="BN3" s="64" t="s">
        <v>9</v>
      </c>
      <c r="BO3" s="470">
        <f>IFERROR(VLOOKUP(BO1,'Listas Desplegables'!$G:$I,3,0),"")</f>
        <v>0</v>
      </c>
      <c r="BP3" s="471"/>
      <c r="BQ3" s="472"/>
      <c r="BR3" s="64" t="s">
        <v>9</v>
      </c>
      <c r="BS3" s="467">
        <f>IFERROR(VLOOKUP(BS1,'Listas Desplegables'!$G:$I,3,0),"")</f>
        <v>0</v>
      </c>
      <c r="BT3" s="468"/>
      <c r="BU3" s="469"/>
      <c r="BV3" s="64" t="s">
        <v>9</v>
      </c>
      <c r="BW3" s="470">
        <f>IFERROR(VLOOKUP(BW1,'Listas Desplegables'!$G:$I,3,0),"")</f>
        <v>0</v>
      </c>
      <c r="BX3" s="471"/>
      <c r="BY3" s="472"/>
      <c r="BZ3" s="64" t="s">
        <v>9</v>
      </c>
      <c r="CA3" s="467">
        <f>IFERROR(VLOOKUP(CA1,'Listas Desplegables'!$G:$I,3,0),"")</f>
        <v>0</v>
      </c>
      <c r="CB3" s="468"/>
      <c r="CC3" s="469"/>
      <c r="CD3" s="64" t="s">
        <v>9</v>
      </c>
      <c r="CE3" s="470">
        <f>IFERROR(VLOOKUP(CE1,'Listas Desplegables'!$G:$I,3,0),"")</f>
        <v>0</v>
      </c>
      <c r="CF3" s="471"/>
      <c r="CG3" s="472"/>
      <c r="CH3" s="64" t="s">
        <v>9</v>
      </c>
    </row>
    <row r="4" spans="1:87" ht="33.75" customHeight="1" x14ac:dyDescent="0.35">
      <c r="B4" s="83" t="str">
        <f>IF(C4="","",COUNTA(C$4:C4))</f>
        <v/>
      </c>
      <c r="C4" s="82" t="str">
        <f>'Eq. Auditor'!B3</f>
        <v/>
      </c>
      <c r="D4" s="83" t="str">
        <f>IF(C4="","",COUNTIF('FO-GC-012'!A:A,CONCATENATE("P-",C4)))</f>
        <v/>
      </c>
      <c r="E4" s="83" t="str">
        <f>IF(C4="","",COUNTIF('FO-GC-012'!A:A,CONCATENATE("A-",C4)))</f>
        <v/>
      </c>
      <c r="F4" s="83" t="str">
        <f t="shared" ref="F4:F11" si="2">IF(C4="","",SUM(D4:E4))</f>
        <v/>
      </c>
      <c r="G4" s="65" t="str">
        <f>IF($C4="","",IFERROR(VLOOKUP(CONCATENATE(G$3,"-",$C4),'FO-GC-012'!$D$20:$H$109,2,0),""))</f>
        <v/>
      </c>
      <c r="H4" s="66" t="str">
        <f>IF($C4="","",IFERROR(VLOOKUP(CONCATENATE(G$3,"-",$C4),'FO-GC-012'!$D$20:$H$109,3,0),""))</f>
        <v/>
      </c>
      <c r="I4" s="67" t="str">
        <f>IF($C4="","",IFERROR(VLOOKUP(CONCATENATE(G$3,"-",$C4),'FO-GC-012'!$D$20:$H$109,4,0),""))</f>
        <v/>
      </c>
      <c r="J4" s="68" t="str">
        <f>IF($C4="","",IFERROR(VLOOKUP(CONCATENATE(G$3,"-",$C4),'FO-GC-012'!$D$20:$H$109,5,0),""))</f>
        <v/>
      </c>
      <c r="K4" s="65" t="str">
        <f>IF($C4="","",IFERROR(VLOOKUP(CONCATENATE(K$3,"-",$C4),'FO-GC-012'!$D$20:$H$109,2,0),""))</f>
        <v/>
      </c>
      <c r="L4" s="66" t="str">
        <f>IF($C4="","",IFERROR(VLOOKUP(CONCATENATE(K$3,"-",$C4),'FO-GC-012'!$D$20:$H$109,3,0),""))</f>
        <v/>
      </c>
      <c r="M4" s="67" t="str">
        <f>IF($C4="","",IFERROR(VLOOKUP(CONCATENATE(K$3,"-",$C4),'FO-GC-012'!$D$20:$H$109,4,0),""))</f>
        <v/>
      </c>
      <c r="N4" s="68" t="str">
        <f>IF($C4="","",IFERROR(VLOOKUP(CONCATENATE(K$3,"-",$C4),'FO-GC-012'!$D$20:$H$109,5,0),""))</f>
        <v/>
      </c>
      <c r="O4" s="65" t="str">
        <f>IF($C4="","",IFERROR(VLOOKUP(CONCATENATE(O$3,"-",$C4),'FO-GC-012'!$D$20:$H$109,2,0),""))</f>
        <v/>
      </c>
      <c r="P4" s="66" t="str">
        <f>IF($C4="","",IFERROR(VLOOKUP(CONCATENATE(O$3,"-",$C4),'FO-GC-012'!$D$20:$H$109,3,0),""))</f>
        <v/>
      </c>
      <c r="Q4" s="67" t="str">
        <f>IF($C4="","",IFERROR(VLOOKUP(CONCATENATE(O$3,"-",$C4),'FO-GC-012'!$D$20:$H$109,4,0),""))</f>
        <v/>
      </c>
      <c r="R4" s="68" t="str">
        <f>IF($C4="","",IFERROR(VLOOKUP(CONCATENATE(O$3,"-",$C4),'FO-GC-012'!$D$20:$H$109,5,0),""))</f>
        <v/>
      </c>
      <c r="S4" s="65" t="str">
        <f>IF($C4="","",IFERROR(VLOOKUP(CONCATENATE(S$3,"-",$C4),'FO-GC-012'!$D$20:$H$109,2,0),""))</f>
        <v/>
      </c>
      <c r="T4" s="66" t="str">
        <f>IF($C4="","",IFERROR(VLOOKUP(CONCATENATE(S$3,"-",$C4),'FO-GC-012'!$D$20:$H$109,3,0),""))</f>
        <v/>
      </c>
      <c r="U4" s="67" t="str">
        <f>IF($C4="","",IFERROR(VLOOKUP(CONCATENATE(S$3,"-",$C4),'FO-GC-012'!$D$20:$H$109,4,0),""))</f>
        <v/>
      </c>
      <c r="V4" s="68" t="str">
        <f>IF($C4="","",IFERROR(VLOOKUP(CONCATENATE(S$3,"-",$C4),'FO-GC-012'!$D$20:$H$109,5,0),""))</f>
        <v/>
      </c>
      <c r="W4" s="65" t="str">
        <f>IF($C4="","",IFERROR(VLOOKUP(CONCATENATE(W$3,"-",$C4),'FO-GC-012'!$D$20:$H$109,2,0),""))</f>
        <v/>
      </c>
      <c r="X4" s="66" t="str">
        <f>IF($C4="","",IFERROR(VLOOKUP(CONCATENATE(W$3,"-",$C4),'FO-GC-012'!$D$20:$H$109,3,0),""))</f>
        <v/>
      </c>
      <c r="Y4" s="67" t="str">
        <f>IF($C4="","",IFERROR(VLOOKUP(CONCATENATE(W$3,"-",$C4),'FO-GC-012'!$D$20:$H$109,4,0),""))</f>
        <v/>
      </c>
      <c r="Z4" s="68" t="str">
        <f>IF($C4="","",IFERROR(VLOOKUP(CONCATENATE(W$3,"-",$C4),'FO-GC-012'!$D$20:$H$109,5,0),""))</f>
        <v/>
      </c>
      <c r="AA4" s="65" t="str">
        <f>IF($C4="","",IFERROR(VLOOKUP(CONCATENATE(AA$3,"-",$C4),'FO-GC-012'!$D$20:$H$109,2,0),""))</f>
        <v/>
      </c>
      <c r="AB4" s="66" t="str">
        <f>IF($C4="","",IFERROR(VLOOKUP(CONCATENATE(AA$3,"-",$C4),'FO-GC-012'!$D$20:$H$109,3,0),""))</f>
        <v/>
      </c>
      <c r="AC4" s="67" t="str">
        <f>IF($C4="","",IFERROR(VLOOKUP(CONCATENATE(AA$3,"-",$C4),'FO-GC-012'!$D$20:$H$109,4,0),""))</f>
        <v/>
      </c>
      <c r="AD4" s="68" t="str">
        <f>IF($C4="","",IFERROR(VLOOKUP(CONCATENATE(AA$3,"-",$C4),'FO-GC-012'!$D$20:$H$109,5,0),""))</f>
        <v/>
      </c>
      <c r="AE4" s="65" t="str">
        <f>IF($C4="","",IFERROR(VLOOKUP(CONCATENATE(AE$3,"-",$C4),'FO-GC-012'!$D$20:$H$109,2,0),""))</f>
        <v/>
      </c>
      <c r="AF4" s="66" t="str">
        <f>IF($C4="","",IFERROR(VLOOKUP(CONCATENATE(AE$3,"-",$C4),'FO-GC-012'!$D$20:$H$109,3,0),""))</f>
        <v/>
      </c>
      <c r="AG4" s="67" t="str">
        <f>IF($C4="","",IFERROR(VLOOKUP(CONCATENATE(AE$3,"-",$C4),'FO-GC-012'!$D$20:$H$109,4,0),""))</f>
        <v/>
      </c>
      <c r="AH4" s="68" t="str">
        <f>IF($C4="","",IFERROR(VLOOKUP(CONCATENATE(AE$3,"-",$C4),'FO-GC-012'!$D$20:$H$109,5,0),""))</f>
        <v/>
      </c>
      <c r="AI4" s="65" t="str">
        <f>IF($C4="","",IFERROR(VLOOKUP(CONCATENATE(AI$3,"-",$C4),'FO-GC-012'!$D$20:$H$109,2,0),""))</f>
        <v/>
      </c>
      <c r="AJ4" s="66" t="str">
        <f>IF($C4="","",IFERROR(VLOOKUP(CONCATENATE(AI$3,"-",$C4),'FO-GC-012'!$D$20:$H$109,3,0),""))</f>
        <v/>
      </c>
      <c r="AK4" s="67" t="str">
        <f>IF($C4="","",IFERROR(VLOOKUP(CONCATENATE(AI$3,"-",$C4),'FO-GC-012'!$D$20:$H$109,4,0),""))</f>
        <v/>
      </c>
      <c r="AL4" s="68" t="str">
        <f>IF($C4="","",IFERROR(VLOOKUP(CONCATENATE(AI$3,"-",$C4),'FO-GC-012'!$D$20:$H$109,5,0),""))</f>
        <v/>
      </c>
      <c r="AM4" s="65" t="str">
        <f>IF($C4="","",IFERROR(VLOOKUP(CONCATENATE(AM$3,"-",$C4),'FO-GC-012'!$D$20:$H$109,2,0),""))</f>
        <v/>
      </c>
      <c r="AN4" s="66" t="str">
        <f>IF($C4="","",IFERROR(VLOOKUP(CONCATENATE(AM$3,"-",$C4),'FO-GC-012'!$D$20:$H$109,3,0),""))</f>
        <v/>
      </c>
      <c r="AO4" s="67" t="str">
        <f>IF($C4="","",IFERROR(VLOOKUP(CONCATENATE(AM$3,"-",$C4),'FO-GC-012'!$D$20:$H$109,4,0),""))</f>
        <v/>
      </c>
      <c r="AP4" s="68" t="str">
        <f>IF($C4="","",IFERROR(VLOOKUP(CONCATENATE(AM$3,"-",$C4),'FO-GC-012'!$D$20:$H$109,5,0),""))</f>
        <v/>
      </c>
      <c r="AQ4" s="65" t="str">
        <f>IF($C4="","",IFERROR(VLOOKUP(CONCATENATE(AQ$3,"-",$C4),'FO-GC-012'!$D$20:$H$109,2,0),""))</f>
        <v/>
      </c>
      <c r="AR4" s="66" t="str">
        <f>IF($C4="","",IFERROR(VLOOKUP(CONCATENATE(AQ$3,"-",$C4),'FO-GC-012'!$D$20:$H$109,3,0),""))</f>
        <v/>
      </c>
      <c r="AS4" s="67" t="str">
        <f>IF($C4="","",IFERROR(VLOOKUP(CONCATENATE(AQ$3,"-",$C4),'FO-GC-012'!$D$20:$H$109,4,0),""))</f>
        <v/>
      </c>
      <c r="AT4" s="68" t="str">
        <f>IF($C4="","",IFERROR(VLOOKUP(CONCATENATE(AQ$3,"-",$C4),'FO-GC-012'!$D$20:$H$109,5,0),""))</f>
        <v/>
      </c>
      <c r="AU4" s="65" t="str">
        <f>IF($C4="","",IFERROR(VLOOKUP(CONCATENATE(AU$3,"-",$C4),'FO-GC-012'!$D$20:$H$109,2,0),""))</f>
        <v/>
      </c>
      <c r="AV4" s="66" t="str">
        <f>IF($C4="","",IFERROR(VLOOKUP(CONCATENATE(AU$3,"-",$C4),'FO-GC-012'!$D$20:$H$109,3,0),""))</f>
        <v/>
      </c>
      <c r="AW4" s="67" t="str">
        <f>IF($C4="","",IFERROR(VLOOKUP(CONCATENATE(AU$3,"-",$C4),'FO-GC-012'!$D$20:$H$109,4,0),""))</f>
        <v/>
      </c>
      <c r="AX4" s="68" t="str">
        <f>IF($C4="","",IFERROR(VLOOKUP(CONCATENATE(AU$3,"-",$C4),'FO-GC-012'!$D$20:$H$109,5,0),""))</f>
        <v/>
      </c>
      <c r="AY4" s="65" t="str">
        <f>IF($C4="","",IFERROR(VLOOKUP(CONCATENATE(AY$3,"-",$C4),'FO-GC-012'!$D$20:$H$109,2,0),""))</f>
        <v/>
      </c>
      <c r="AZ4" s="66" t="str">
        <f>IF($C4="","",IFERROR(VLOOKUP(CONCATENATE(AY$3,"-",$C4),'FO-GC-012'!$D$20:$H$109,3,0),""))</f>
        <v/>
      </c>
      <c r="BA4" s="67" t="str">
        <f>IF($C4="","",IFERROR(VLOOKUP(CONCATENATE(AY$3,"-",$C4),'FO-GC-012'!$D$20:$H$109,4,0),""))</f>
        <v/>
      </c>
      <c r="BB4" s="68" t="str">
        <f>IF($C4="","",IFERROR(VLOOKUP(CONCATENATE(AY$3,"-",$C4),'FO-GC-012'!$D$20:$H$109,5,0),""))</f>
        <v/>
      </c>
      <c r="BC4" s="65" t="str">
        <f>IF($C4="","",IFERROR(VLOOKUP(CONCATENATE(BC$3,"-",$C4),'FO-GC-012'!$D$20:$H$109,2,0),""))</f>
        <v/>
      </c>
      <c r="BD4" s="66" t="str">
        <f>IF($C4="","",IFERROR(VLOOKUP(CONCATENATE(BC$3,"-",$C4),'FO-GC-012'!$D$20:$H$109,3,0),""))</f>
        <v/>
      </c>
      <c r="BE4" s="67" t="str">
        <f>IF($C4="","",IFERROR(VLOOKUP(CONCATENATE(BC$3,"-",$C4),'FO-GC-012'!$D$20:$H$109,4,0),""))</f>
        <v/>
      </c>
      <c r="BF4" s="68" t="str">
        <f>IF($C4="","",IFERROR(VLOOKUP(CONCATENATE(BC$3,"-",$C4),'FO-GC-012'!$D$20:$H$109,5,0),""))</f>
        <v/>
      </c>
      <c r="BG4" s="65" t="str">
        <f>IF($C4="","",IFERROR(VLOOKUP(CONCATENATE(BG$3,"-",$C4),'FO-GC-012'!$D$20:$H$109,2,0),""))</f>
        <v/>
      </c>
      <c r="BH4" s="66" t="str">
        <f>IF($C4="","",IFERROR(VLOOKUP(CONCATENATE(BG$3,"-",$C4),'FO-GC-012'!$D$20:$H$109,3,0),""))</f>
        <v/>
      </c>
      <c r="BI4" s="67" t="str">
        <f>IF($C4="","",IFERROR(VLOOKUP(CONCATENATE(BG$3,"-",$C4),'FO-GC-012'!$D$20:$H$109,4,0),""))</f>
        <v/>
      </c>
      <c r="BJ4" s="68" t="str">
        <f>IF($C4="","",IFERROR(VLOOKUP(CONCATENATE(BG$3,"-",$C4),'FO-GC-012'!$D$20:$H$109,5,0),""))</f>
        <v/>
      </c>
      <c r="BK4" s="65" t="str">
        <f>IF($C4="","",IFERROR(VLOOKUP(CONCATENATE(BK$3,"-",$C4),'FO-GC-012'!$D$20:$H$109,2,0),""))</f>
        <v/>
      </c>
      <c r="BL4" s="66" t="str">
        <f>IF($C4="","",IFERROR(VLOOKUP(CONCATENATE(BK$3,"-",$C4),'FO-GC-012'!$D$20:$H$109,3,0),""))</f>
        <v/>
      </c>
      <c r="BM4" s="67" t="str">
        <f>IF($C4="","",IFERROR(VLOOKUP(CONCATENATE(BK$3,"-",$C4),'FO-GC-012'!$D$20:$H$109,4,0),""))</f>
        <v/>
      </c>
      <c r="BN4" s="68" t="str">
        <f>IF($C4="","",IFERROR(VLOOKUP(CONCATENATE(BK$3,"-",$C4),'FO-GC-012'!$D$20:$H$109,5,0),""))</f>
        <v/>
      </c>
      <c r="BO4" s="65" t="str">
        <f>IF($C4="","",IFERROR(VLOOKUP(CONCATENATE(BO$3,"-",$C4),'FO-GC-012'!$D$20:$H$109,2,0),""))</f>
        <v/>
      </c>
      <c r="BP4" s="66" t="str">
        <f>IF($C4="","",IFERROR(VLOOKUP(CONCATENATE(BO$3,"-",$C4),'FO-GC-012'!$D$20:$H$109,3,0),""))</f>
        <v/>
      </c>
      <c r="BQ4" s="67" t="str">
        <f>IF($C4="","",IFERROR(VLOOKUP(CONCATENATE(BO$3,"-",$C4),'FO-GC-012'!$D$20:$H$109,4,0),""))</f>
        <v/>
      </c>
      <c r="BR4" s="68" t="str">
        <f>IF($C4="","",IFERROR(VLOOKUP(CONCATENATE(BO$3,"-",$C4),'FO-GC-012'!$D$20:$H$109,5,0),""))</f>
        <v/>
      </c>
      <c r="BS4" s="65" t="str">
        <f>IF($C4="","",IFERROR(VLOOKUP(CONCATENATE(BS$3,"-",$C4),'FO-GC-012'!$D$20:$H$109,2,0),""))</f>
        <v/>
      </c>
      <c r="BT4" s="66" t="str">
        <f>IF($C4="","",IFERROR(VLOOKUP(CONCATENATE(BS$3,"-",$C4),'FO-GC-012'!$D$20:$H$109,3,0),""))</f>
        <v/>
      </c>
      <c r="BU4" s="67" t="str">
        <f>IF($C4="","",IFERROR(VLOOKUP(CONCATENATE(BS$3,"-",$C4),'FO-GC-012'!$D$20:$H$109,4,0),""))</f>
        <v/>
      </c>
      <c r="BV4" s="68" t="str">
        <f>IF($C4="","",IFERROR(VLOOKUP(CONCATENATE(BS$3,"-",$C4),'FO-GC-012'!$D$20:$H$109,5,0),""))</f>
        <v/>
      </c>
      <c r="BW4" s="65" t="str">
        <f>IF($C4="","",IFERROR(VLOOKUP(CONCATENATE(BW$3,"-",$C4),'FO-GC-012'!$D$20:$H$109,2,0),""))</f>
        <v/>
      </c>
      <c r="BX4" s="66" t="str">
        <f>IF($C4="","",IFERROR(VLOOKUP(CONCATENATE(BW$3,"-",$C4),'FO-GC-012'!$D$20:$H$109,3,0),""))</f>
        <v/>
      </c>
      <c r="BY4" s="67" t="str">
        <f>IF($C4="","",IFERROR(VLOOKUP(CONCATENATE(BW$3,"-",$C4),'FO-GC-012'!$D$20:$H$109,4,0),""))</f>
        <v/>
      </c>
      <c r="BZ4" s="68" t="str">
        <f>IF($C4="","",IFERROR(VLOOKUP(CONCATENATE(BW$3,"-",$C4),'FO-GC-012'!$D$20:$H$109,5,0),""))</f>
        <v/>
      </c>
      <c r="CA4" s="65" t="str">
        <f>IF($C4="","",IFERROR(VLOOKUP(CONCATENATE(CA$3,"-",$C4),'FO-GC-012'!$D$20:$H$109,2,0),""))</f>
        <v/>
      </c>
      <c r="CB4" s="66" t="str">
        <f>IF($C4="","",IFERROR(VLOOKUP(CONCATENATE(CA$3,"-",$C4),'FO-GC-012'!$D$20:$H$109,3,0),""))</f>
        <v/>
      </c>
      <c r="CC4" s="67" t="str">
        <f>IF($C4="","",IFERROR(VLOOKUP(CONCATENATE(CA$3,"-",$C4),'FO-GC-012'!$D$20:$H$109,4,0),""))</f>
        <v/>
      </c>
      <c r="CD4" s="68" t="str">
        <f>IF($C4="","",IFERROR(VLOOKUP(CONCATENATE(CA$3,"-",$C4),'FO-GC-012'!$D$20:$H$109,5,0),""))</f>
        <v/>
      </c>
      <c r="CE4" s="65" t="str">
        <f>IF($C4="","",IFERROR(VLOOKUP(CONCATENATE(CE$3,"-",$C4),'FO-GC-012'!$D$20:$H$109,2,0),""))</f>
        <v/>
      </c>
      <c r="CF4" s="66" t="str">
        <f>IF($C4="","",IFERROR(VLOOKUP(CONCATENATE(CE$3,"-",$C4),'FO-GC-012'!$D$20:$H$109,3,0),""))</f>
        <v/>
      </c>
      <c r="CG4" s="67" t="str">
        <f>IF($C4="","",IFERROR(VLOOKUP(CONCATENATE(CE$3,"-",$C4),'FO-GC-012'!$D$20:$H$109,4,0),""))</f>
        <v/>
      </c>
      <c r="CH4" s="68" t="str">
        <f>IF($C4="","",IFERROR(VLOOKUP(CONCATENATE(CE$3,"-",$C4),'FO-GC-012'!$D$20:$H$109,5,0),""))</f>
        <v/>
      </c>
    </row>
    <row r="5" spans="1:87" ht="33.75" customHeight="1" x14ac:dyDescent="0.35">
      <c r="B5" s="83">
        <f>IF(C5="","",COUNTA(C$4:C5))</f>
        <v>2</v>
      </c>
      <c r="C5" s="82" t="str">
        <f>'Eq. Auditor'!B4</f>
        <v>Alexander Luna Nieto</v>
      </c>
      <c r="D5" s="83">
        <f>IF(C5="","",COUNTIF('FO-GC-012'!A:A,CONCATENATE("P-",C5)))</f>
        <v>0</v>
      </c>
      <c r="E5" s="83">
        <f>IF(C5="","",COUNTIF('FO-GC-012'!A:A,CONCATENATE("A-",C5)))</f>
        <v>0</v>
      </c>
      <c r="F5" s="83">
        <f t="shared" si="2"/>
        <v>0</v>
      </c>
      <c r="G5" s="69" t="str">
        <f>IF($C5="","",IFERROR(VLOOKUP(CONCATENATE(G$3,"-",$C5),'FO-GC-012'!$D$20:$H$109,2,0),""))</f>
        <v/>
      </c>
      <c r="H5" s="70" t="str">
        <f>IF($C5="","",IFERROR(VLOOKUP(CONCATENATE(G$3,"-",$C5),'FO-GC-012'!$D$20:$H$109,3,0),""))</f>
        <v/>
      </c>
      <c r="I5" s="71" t="str">
        <f>IF($C5="","",IFERROR(VLOOKUP(CONCATENATE(G$3,"-",$C5),'FO-GC-012'!$D$20:$H$109,4,0),""))</f>
        <v/>
      </c>
      <c r="J5" s="72" t="str">
        <f>IF($C5="","",IFERROR(VLOOKUP(CONCATENATE(G$3,"-",$C5),'FO-GC-012'!$D$20:$H$109,5,0),""))</f>
        <v/>
      </c>
      <c r="K5" s="69" t="str">
        <f>IF($C5="","",IFERROR(VLOOKUP(CONCATENATE(K$3,"-",$C5),'FO-GC-012'!$D$20:$H$109,2,0),""))</f>
        <v/>
      </c>
      <c r="L5" s="70" t="str">
        <f>IF($C5="","",IFERROR(VLOOKUP(CONCATENATE(K$3,"-",$C5),'FO-GC-012'!$D$20:$H$109,3,0),""))</f>
        <v/>
      </c>
      <c r="M5" s="71" t="str">
        <f>IF($C5="","",IFERROR(VLOOKUP(CONCATENATE(K$3,"-",$C5),'FO-GC-012'!$D$20:$H$109,4,0),""))</f>
        <v/>
      </c>
      <c r="N5" s="72" t="str">
        <f>IF($C5="","",IFERROR(VLOOKUP(CONCATENATE(K$3,"-",$C5),'FO-GC-012'!$D$20:$H$109,5,0),""))</f>
        <v/>
      </c>
      <c r="O5" s="69" t="str">
        <f>IF($C5="","",IFERROR(VLOOKUP(CONCATENATE(O$3,"-",$C5),'FO-GC-012'!$D$20:$H$109,2,0),""))</f>
        <v/>
      </c>
      <c r="P5" s="70" t="str">
        <f>IF($C5="","",IFERROR(VLOOKUP(CONCATENATE(O$3,"-",$C5),'FO-GC-012'!$D$20:$H$109,3,0),""))</f>
        <v/>
      </c>
      <c r="Q5" s="71" t="str">
        <f>IF($C5="","",IFERROR(VLOOKUP(CONCATENATE(O$3,"-",$C5),'FO-GC-012'!$D$20:$H$109,4,0),""))</f>
        <v/>
      </c>
      <c r="R5" s="72" t="str">
        <f>IF($C5="","",IFERROR(VLOOKUP(CONCATENATE(O$3,"-",$C5),'FO-GC-012'!$D$20:$H$109,5,0),""))</f>
        <v/>
      </c>
      <c r="S5" s="69" t="str">
        <f>IF($C5="","",IFERROR(VLOOKUP(CONCATENATE(S$3,"-",$C5),'FO-GC-012'!$D$20:$H$109,2,0),""))</f>
        <v/>
      </c>
      <c r="T5" s="70" t="str">
        <f>IF($C5="","",IFERROR(VLOOKUP(CONCATENATE(S$3,"-",$C5),'FO-GC-012'!$D$20:$H$109,3,0),""))</f>
        <v/>
      </c>
      <c r="U5" s="71" t="str">
        <f>IF($C5="","",IFERROR(VLOOKUP(CONCATENATE(S$3,"-",$C5),'FO-GC-012'!$D$20:$H$109,4,0),""))</f>
        <v/>
      </c>
      <c r="V5" s="72" t="str">
        <f>IF($C5="","",IFERROR(VLOOKUP(CONCATENATE(S$3,"-",$C5),'FO-GC-012'!$D$20:$H$109,5,0),""))</f>
        <v/>
      </c>
      <c r="W5" s="69" t="str">
        <f>IF($C5="","",IFERROR(VLOOKUP(CONCATENATE(W$3,"-",$C5),'FO-GC-012'!$D$20:$H$109,2,0),""))</f>
        <v/>
      </c>
      <c r="X5" s="70" t="str">
        <f>IF($C5="","",IFERROR(VLOOKUP(CONCATENATE(W$3,"-",$C5),'FO-GC-012'!$D$20:$H$109,3,0),""))</f>
        <v/>
      </c>
      <c r="Y5" s="71" t="str">
        <f>IF($C5="","",IFERROR(VLOOKUP(CONCATENATE(W$3,"-",$C5),'FO-GC-012'!$D$20:$H$109,4,0),""))</f>
        <v/>
      </c>
      <c r="Z5" s="72" t="str">
        <f>IF($C5="","",IFERROR(VLOOKUP(CONCATENATE(W$3,"-",$C5),'FO-GC-012'!$D$20:$H$109,5,0),""))</f>
        <v/>
      </c>
      <c r="AA5" s="69" t="str">
        <f>IF($C5="","",IFERROR(VLOOKUP(CONCATENATE(AA$3,"-",$C5),'FO-GC-012'!$D$20:$H$109,2,0),""))</f>
        <v/>
      </c>
      <c r="AB5" s="70" t="str">
        <f>IF($C5="","",IFERROR(VLOOKUP(CONCATENATE(AA$3,"-",$C5),'FO-GC-012'!$D$20:$H$109,3,0),""))</f>
        <v/>
      </c>
      <c r="AC5" s="71" t="str">
        <f>IF($C5="","",IFERROR(VLOOKUP(CONCATENATE(AA$3,"-",$C5),'FO-GC-012'!$D$20:$H$109,4,0),""))</f>
        <v/>
      </c>
      <c r="AD5" s="72" t="str">
        <f>IF($C5="","",IFERROR(VLOOKUP(CONCATENATE(AA$3,"-",$C5),'FO-GC-012'!$D$20:$H$109,5,0),""))</f>
        <v/>
      </c>
      <c r="AE5" s="69" t="str">
        <f>IF($C5="","",IFERROR(VLOOKUP(CONCATENATE(AE$3,"-",$C5),'FO-GC-012'!$D$20:$H$109,2,0),""))</f>
        <v/>
      </c>
      <c r="AF5" s="70" t="str">
        <f>IF($C5="","",IFERROR(VLOOKUP(CONCATENATE(AE$3,"-",$C5),'FO-GC-012'!$D$20:$H$109,3,0),""))</f>
        <v/>
      </c>
      <c r="AG5" s="71" t="str">
        <f>IF($C5="","",IFERROR(VLOOKUP(CONCATENATE(AE$3,"-",$C5),'FO-GC-012'!$D$20:$H$109,4,0),""))</f>
        <v/>
      </c>
      <c r="AH5" s="72" t="str">
        <f>IF($C5="","",IFERROR(VLOOKUP(CONCATENATE(AE$3,"-",$C5),'FO-GC-012'!$D$20:$H$109,5,0),""))</f>
        <v/>
      </c>
      <c r="AI5" s="69" t="str">
        <f>IF($C5="","",IFERROR(VLOOKUP(CONCATENATE(AI$3,"-",$C5),'FO-GC-012'!$D$20:$H$109,2,0),""))</f>
        <v/>
      </c>
      <c r="AJ5" s="70" t="str">
        <f>IF($C5="","",IFERROR(VLOOKUP(CONCATENATE(AI$3,"-",$C5),'FO-GC-012'!$D$20:$H$109,3,0),""))</f>
        <v/>
      </c>
      <c r="AK5" s="71" t="str">
        <f>IF($C5="","",IFERROR(VLOOKUP(CONCATENATE(AI$3,"-",$C5),'FO-GC-012'!$D$20:$H$109,4,0),""))</f>
        <v/>
      </c>
      <c r="AL5" s="72" t="str">
        <f>IF($C5="","",IFERROR(VLOOKUP(CONCATENATE(AI$3,"-",$C5),'FO-GC-012'!$D$20:$H$109,5,0),""))</f>
        <v/>
      </c>
      <c r="AM5" s="69" t="str">
        <f>IF($C5="","",IFERROR(VLOOKUP(CONCATENATE(AM$3,"-",$C5),'FO-GC-012'!$D$20:$H$109,2,0),""))</f>
        <v/>
      </c>
      <c r="AN5" s="70" t="str">
        <f>IF($C5="","",IFERROR(VLOOKUP(CONCATENATE(AM$3,"-",$C5),'FO-GC-012'!$D$20:$H$109,3,0),""))</f>
        <v/>
      </c>
      <c r="AO5" s="71" t="str">
        <f>IF($C5="","",IFERROR(VLOOKUP(CONCATENATE(AM$3,"-",$C5),'FO-GC-012'!$D$20:$H$109,4,0),""))</f>
        <v/>
      </c>
      <c r="AP5" s="72" t="str">
        <f>IF($C5="","",IFERROR(VLOOKUP(CONCATENATE(AM$3,"-",$C5),'FO-GC-012'!$D$20:$H$109,5,0),""))</f>
        <v/>
      </c>
      <c r="AQ5" s="69" t="str">
        <f>IF($C5="","",IFERROR(VLOOKUP(CONCATENATE(AQ$3,"-",$C5),'FO-GC-012'!$D$20:$H$109,2,0),""))</f>
        <v/>
      </c>
      <c r="AR5" s="70" t="str">
        <f>IF($C5="","",IFERROR(VLOOKUP(CONCATENATE(AQ$3,"-",$C5),'FO-GC-012'!$D$20:$H$109,3,0),""))</f>
        <v/>
      </c>
      <c r="AS5" s="71" t="str">
        <f>IF($C5="","",IFERROR(VLOOKUP(CONCATENATE(AQ$3,"-",$C5),'FO-GC-012'!$D$20:$H$109,4,0),""))</f>
        <v/>
      </c>
      <c r="AT5" s="72" t="str">
        <f>IF($C5="","",IFERROR(VLOOKUP(CONCATENATE(AQ$3,"-",$C5),'FO-GC-012'!$D$20:$H$109,5,0),""))</f>
        <v/>
      </c>
      <c r="AU5" s="69" t="str">
        <f>IF($C5="","",IFERROR(VLOOKUP(CONCATENATE(AU$3,"-",$C5),'FO-GC-012'!$D$20:$H$109,2,0),""))</f>
        <v/>
      </c>
      <c r="AV5" s="70" t="str">
        <f>IF($C5="","",IFERROR(VLOOKUP(CONCATENATE(AU$3,"-",$C5),'FO-GC-012'!$D$20:$H$109,3,0),""))</f>
        <v/>
      </c>
      <c r="AW5" s="71" t="str">
        <f>IF($C5="","",IFERROR(VLOOKUP(CONCATENATE(AU$3,"-",$C5),'FO-GC-012'!$D$20:$H$109,4,0),""))</f>
        <v/>
      </c>
      <c r="AX5" s="72" t="str">
        <f>IF($C5="","",IFERROR(VLOOKUP(CONCATENATE(AU$3,"-",$C5),'FO-GC-012'!$D$20:$H$109,5,0),""))</f>
        <v/>
      </c>
      <c r="AY5" s="69" t="str">
        <f>IF($C5="","",IFERROR(VLOOKUP(CONCATENATE(AY$3,"-",$C5),'FO-GC-012'!$D$20:$H$109,2,0),""))</f>
        <v/>
      </c>
      <c r="AZ5" s="70" t="str">
        <f>IF($C5="","",IFERROR(VLOOKUP(CONCATENATE(AY$3,"-",$C5),'FO-GC-012'!$D$20:$H$109,3,0),""))</f>
        <v/>
      </c>
      <c r="BA5" s="71" t="str">
        <f>IF($C5="","",IFERROR(VLOOKUP(CONCATENATE(AY$3,"-",$C5),'FO-GC-012'!$D$20:$H$109,4,0),""))</f>
        <v/>
      </c>
      <c r="BB5" s="72" t="str">
        <f>IF($C5="","",IFERROR(VLOOKUP(CONCATENATE(AY$3,"-",$C5),'FO-GC-012'!$D$20:$H$109,5,0),""))</f>
        <v/>
      </c>
      <c r="BC5" s="69" t="str">
        <f>IF($C5="","",IFERROR(VLOOKUP(CONCATENATE(BC$3,"-",$C5),'FO-GC-012'!$D$20:$H$109,2,0),""))</f>
        <v/>
      </c>
      <c r="BD5" s="70" t="str">
        <f>IF($C5="","",IFERROR(VLOOKUP(CONCATENATE(BC$3,"-",$C5),'FO-GC-012'!$D$20:$H$109,3,0),""))</f>
        <v/>
      </c>
      <c r="BE5" s="71" t="str">
        <f>IF($C5="","",IFERROR(VLOOKUP(CONCATENATE(BC$3,"-",$C5),'FO-GC-012'!$D$20:$H$109,4,0),""))</f>
        <v/>
      </c>
      <c r="BF5" s="72" t="str">
        <f>IF($C5="","",IFERROR(VLOOKUP(CONCATENATE(BC$3,"-",$C5),'FO-GC-012'!$D$20:$H$109,5,0),""))</f>
        <v/>
      </c>
      <c r="BG5" s="69" t="str">
        <f>IF($C5="","",IFERROR(VLOOKUP(CONCATENATE(BG$3,"-",$C5),'FO-GC-012'!$D$20:$H$109,2,0),""))</f>
        <v/>
      </c>
      <c r="BH5" s="70" t="str">
        <f>IF($C5="","",IFERROR(VLOOKUP(CONCATENATE(BG$3,"-",$C5),'FO-GC-012'!$D$20:$H$109,3,0),""))</f>
        <v/>
      </c>
      <c r="BI5" s="71" t="str">
        <f>IF($C5="","",IFERROR(VLOOKUP(CONCATENATE(BG$3,"-",$C5),'FO-GC-012'!$D$20:$H$109,4,0),""))</f>
        <v/>
      </c>
      <c r="BJ5" s="72" t="str">
        <f>IF($C5="","",IFERROR(VLOOKUP(CONCATENATE(BG$3,"-",$C5),'FO-GC-012'!$D$20:$H$109,5,0),""))</f>
        <v/>
      </c>
      <c r="BK5" s="69" t="str">
        <f>IF($C5="","",IFERROR(VLOOKUP(CONCATENATE(BK$3,"-",$C5),'FO-GC-012'!$D$20:$H$109,2,0),""))</f>
        <v/>
      </c>
      <c r="BL5" s="70" t="str">
        <f>IF($C5="","",IFERROR(VLOOKUP(CONCATENATE(BK$3,"-",$C5),'FO-GC-012'!$D$20:$H$109,3,0),""))</f>
        <v/>
      </c>
      <c r="BM5" s="71" t="str">
        <f>IF($C5="","",IFERROR(VLOOKUP(CONCATENATE(BK$3,"-",$C5),'FO-GC-012'!$D$20:$H$109,4,0),""))</f>
        <v/>
      </c>
      <c r="BN5" s="72" t="str">
        <f>IF($C5="","",IFERROR(VLOOKUP(CONCATENATE(BK$3,"-",$C5),'FO-GC-012'!$D$20:$H$109,5,0),""))</f>
        <v/>
      </c>
      <c r="BO5" s="69" t="str">
        <f>IF($C5="","",IFERROR(VLOOKUP(CONCATENATE(BO$3,"-",$C5),'FO-GC-012'!$D$20:$H$109,2,0),""))</f>
        <v/>
      </c>
      <c r="BP5" s="70" t="str">
        <f>IF($C5="","",IFERROR(VLOOKUP(CONCATENATE(BO$3,"-",$C5),'FO-GC-012'!$D$20:$H$109,3,0),""))</f>
        <v/>
      </c>
      <c r="BQ5" s="71" t="str">
        <f>IF($C5="","",IFERROR(VLOOKUP(CONCATENATE(BO$3,"-",$C5),'FO-GC-012'!$D$20:$H$109,4,0),""))</f>
        <v/>
      </c>
      <c r="BR5" s="72" t="str">
        <f>IF($C5="","",IFERROR(VLOOKUP(CONCATENATE(BO$3,"-",$C5),'FO-GC-012'!$D$20:$H$109,5,0),""))</f>
        <v/>
      </c>
      <c r="BS5" s="69" t="str">
        <f>IF($C5="","",IFERROR(VLOOKUP(CONCATENATE(BS$3,"-",$C5),'FO-GC-012'!$D$20:$H$109,2,0),""))</f>
        <v/>
      </c>
      <c r="BT5" s="70" t="str">
        <f>IF($C5="","",IFERROR(VLOOKUP(CONCATENATE(BS$3,"-",$C5),'FO-GC-012'!$D$20:$H$109,3,0),""))</f>
        <v/>
      </c>
      <c r="BU5" s="71" t="str">
        <f>IF($C5="","",IFERROR(VLOOKUP(CONCATENATE(BS$3,"-",$C5),'FO-GC-012'!$D$20:$H$109,4,0),""))</f>
        <v/>
      </c>
      <c r="BV5" s="72" t="str">
        <f>IF($C5="","",IFERROR(VLOOKUP(CONCATENATE(BS$3,"-",$C5),'FO-GC-012'!$D$20:$H$109,5,0),""))</f>
        <v/>
      </c>
      <c r="BW5" s="69" t="str">
        <f>IF($C5="","",IFERROR(VLOOKUP(CONCATENATE(BW$3,"-",$C5),'FO-GC-012'!$D$20:$H$109,2,0),""))</f>
        <v/>
      </c>
      <c r="BX5" s="70" t="str">
        <f>IF($C5="","",IFERROR(VLOOKUP(CONCATENATE(BW$3,"-",$C5),'FO-GC-012'!$D$20:$H$109,3,0),""))</f>
        <v/>
      </c>
      <c r="BY5" s="71" t="str">
        <f>IF($C5="","",IFERROR(VLOOKUP(CONCATENATE(BW$3,"-",$C5),'FO-GC-012'!$D$20:$H$109,4,0),""))</f>
        <v/>
      </c>
      <c r="BZ5" s="72" t="str">
        <f>IF($C5="","",IFERROR(VLOOKUP(CONCATENATE(BW$3,"-",$C5),'FO-GC-012'!$D$20:$H$109,5,0),""))</f>
        <v/>
      </c>
      <c r="CA5" s="69" t="str">
        <f>IF($C5="","",IFERROR(VLOOKUP(CONCATENATE(CA$3,"-",$C5),'FO-GC-012'!$D$20:$H$109,2,0),""))</f>
        <v/>
      </c>
      <c r="CB5" s="70" t="str">
        <f>IF($C5="","",IFERROR(VLOOKUP(CONCATENATE(CA$3,"-",$C5),'FO-GC-012'!$D$20:$H$109,3,0),""))</f>
        <v/>
      </c>
      <c r="CC5" s="71" t="str">
        <f>IF($C5="","",IFERROR(VLOOKUP(CONCATENATE(CA$3,"-",$C5),'FO-GC-012'!$D$20:$H$109,4,0),""))</f>
        <v/>
      </c>
      <c r="CD5" s="72" t="str">
        <f>IF($C5="","",IFERROR(VLOOKUP(CONCATENATE(CA$3,"-",$C5),'FO-GC-012'!$D$20:$H$109,5,0),""))</f>
        <v/>
      </c>
      <c r="CE5" s="69" t="str">
        <f>IF($C5="","",IFERROR(VLOOKUP(CONCATENATE(CE$3,"-",$C5),'FO-GC-012'!$D$20:$H$109,2,0),""))</f>
        <v/>
      </c>
      <c r="CF5" s="70" t="str">
        <f>IF($C5="","",IFERROR(VLOOKUP(CONCATENATE(CE$3,"-",$C5),'FO-GC-012'!$D$20:$H$109,3,0),""))</f>
        <v/>
      </c>
      <c r="CG5" s="71" t="str">
        <f>IF($C5="","",IFERROR(VLOOKUP(CONCATENATE(CE$3,"-",$C5),'FO-GC-012'!$D$20:$H$109,4,0),""))</f>
        <v/>
      </c>
      <c r="CH5" s="72" t="str">
        <f>IF($C5="","",IFERROR(VLOOKUP(CONCATENATE(CE$3,"-",$C5),'FO-GC-012'!$D$20:$H$109,5,0),""))</f>
        <v/>
      </c>
    </row>
    <row r="6" spans="1:87" ht="33.75" customHeight="1" x14ac:dyDescent="0.35">
      <c r="B6" s="83">
        <f>IF(C6="","",COUNTA(C$4:C6))</f>
        <v>3</v>
      </c>
      <c r="C6" s="82" t="str">
        <f>'Eq. Auditor'!B5</f>
        <v>Ana Baos</v>
      </c>
      <c r="D6" s="83">
        <f>IF(C6="","",COUNTIF('FO-GC-012'!A:A,CONCATENATE("P-",C6)))</f>
        <v>0</v>
      </c>
      <c r="E6" s="83">
        <f>IF(C6="","",COUNTIF('FO-GC-012'!A:A,CONCATENATE("A-",C6)))</f>
        <v>0</v>
      </c>
      <c r="F6" s="83">
        <f t="shared" si="2"/>
        <v>0</v>
      </c>
      <c r="G6" s="65" t="str">
        <f>IF($C6="","",IFERROR(VLOOKUP(CONCATENATE(G$3,"-",$C6),'FO-GC-012'!$D$20:$H$109,2,0),""))</f>
        <v/>
      </c>
      <c r="H6" s="66" t="str">
        <f>IF($C6="","",IFERROR(VLOOKUP(CONCATENATE(G$3,"-",$C6),'FO-GC-012'!$D$20:$H$109,3,0),""))</f>
        <v/>
      </c>
      <c r="I6" s="67" t="str">
        <f>IF($C6="","",IFERROR(VLOOKUP(CONCATENATE(G$3,"-",$C6),'FO-GC-012'!$D$20:$H$109,4,0),""))</f>
        <v/>
      </c>
      <c r="J6" s="68" t="str">
        <f>IF($C6="","",IFERROR(VLOOKUP(CONCATENATE(G$3,"-",$C6),'FO-GC-012'!$D$20:$H$109,5,0),""))</f>
        <v/>
      </c>
      <c r="K6" s="65" t="str">
        <f>IF($C6="","",IFERROR(VLOOKUP(CONCATENATE(K$3,"-",$C6),'FO-GC-012'!$D$20:$H$109,2,0),""))</f>
        <v/>
      </c>
      <c r="L6" s="66" t="str">
        <f>IF($C6="","",IFERROR(VLOOKUP(CONCATENATE(K$3,"-",$C6),'FO-GC-012'!$D$20:$H$109,3,0),""))</f>
        <v/>
      </c>
      <c r="M6" s="67" t="str">
        <f>IF($C6="","",IFERROR(VLOOKUP(CONCATENATE(K$3,"-",$C6),'FO-GC-012'!$D$20:$H$109,4,0),""))</f>
        <v/>
      </c>
      <c r="N6" s="68" t="str">
        <f>IF($C6="","",IFERROR(VLOOKUP(CONCATENATE(K$3,"-",$C6),'FO-GC-012'!$D$20:$H$109,5,0),""))</f>
        <v/>
      </c>
      <c r="O6" s="65" t="str">
        <f>IF($C6="","",IFERROR(VLOOKUP(CONCATENATE(O$3,"-",$C6),'FO-GC-012'!$D$20:$H$109,2,0),""))</f>
        <v/>
      </c>
      <c r="P6" s="66" t="str">
        <f>IF($C6="","",IFERROR(VLOOKUP(CONCATENATE(O$3,"-",$C6),'FO-GC-012'!$D$20:$H$109,3,0),""))</f>
        <v/>
      </c>
      <c r="Q6" s="67" t="str">
        <f>IF($C6="","",IFERROR(VLOOKUP(CONCATENATE(O$3,"-",$C6),'FO-GC-012'!$D$20:$H$109,4,0),""))</f>
        <v/>
      </c>
      <c r="R6" s="68" t="str">
        <f>IF($C6="","",IFERROR(VLOOKUP(CONCATENATE(O$3,"-",$C6),'FO-GC-012'!$D$20:$H$109,5,0),""))</f>
        <v/>
      </c>
      <c r="S6" s="65" t="str">
        <f>IF($C6="","",IFERROR(VLOOKUP(CONCATENATE(S$3,"-",$C6),'FO-GC-012'!$D$20:$H$109,2,0),""))</f>
        <v/>
      </c>
      <c r="T6" s="66" t="str">
        <f>IF($C6="","",IFERROR(VLOOKUP(CONCATENATE(S$3,"-",$C6),'FO-GC-012'!$D$20:$H$109,3,0),""))</f>
        <v/>
      </c>
      <c r="U6" s="67" t="str">
        <f>IF($C6="","",IFERROR(VLOOKUP(CONCATENATE(S$3,"-",$C6),'FO-GC-012'!$D$20:$H$109,4,0),""))</f>
        <v/>
      </c>
      <c r="V6" s="68" t="str">
        <f>IF($C6="","",IFERROR(VLOOKUP(CONCATENATE(S$3,"-",$C6),'FO-GC-012'!$D$20:$H$109,5,0),""))</f>
        <v/>
      </c>
      <c r="W6" s="65" t="str">
        <f>IF($C6="","",IFERROR(VLOOKUP(CONCATENATE(W$3,"-",$C6),'FO-GC-012'!$D$20:$H$109,2,0),""))</f>
        <v/>
      </c>
      <c r="X6" s="66" t="str">
        <f>IF($C6="","",IFERROR(VLOOKUP(CONCATENATE(W$3,"-",$C6),'FO-GC-012'!$D$20:$H$109,3,0),""))</f>
        <v/>
      </c>
      <c r="Y6" s="67" t="str">
        <f>IF($C6="","",IFERROR(VLOOKUP(CONCATENATE(W$3,"-",$C6),'FO-GC-012'!$D$20:$H$109,4,0),""))</f>
        <v/>
      </c>
      <c r="Z6" s="68" t="str">
        <f>IF($C6="","",IFERROR(VLOOKUP(CONCATENATE(W$3,"-",$C6),'FO-GC-012'!$D$20:$H$109,5,0),""))</f>
        <v/>
      </c>
      <c r="AA6" s="65" t="str">
        <f>IF($C6="","",IFERROR(VLOOKUP(CONCATENATE(AA$3,"-",$C6),'FO-GC-012'!$D$20:$H$109,2,0),""))</f>
        <v/>
      </c>
      <c r="AB6" s="66" t="str">
        <f>IF($C6="","",IFERROR(VLOOKUP(CONCATENATE(AA$3,"-",$C6),'FO-GC-012'!$D$20:$H$109,3,0),""))</f>
        <v/>
      </c>
      <c r="AC6" s="67" t="str">
        <f>IF($C6="","",IFERROR(VLOOKUP(CONCATENATE(AA$3,"-",$C6),'FO-GC-012'!$D$20:$H$109,4,0),""))</f>
        <v/>
      </c>
      <c r="AD6" s="68" t="str">
        <f>IF($C6="","",IFERROR(VLOOKUP(CONCATENATE(AA$3,"-",$C6),'FO-GC-012'!$D$20:$H$109,5,0),""))</f>
        <v/>
      </c>
      <c r="AE6" s="65" t="str">
        <f>IF($C6="","",IFERROR(VLOOKUP(CONCATENATE(AE$3,"-",$C6),'FO-GC-012'!$D$20:$H$109,2,0),""))</f>
        <v/>
      </c>
      <c r="AF6" s="66" t="str">
        <f>IF($C6="","",IFERROR(VLOOKUP(CONCATENATE(AE$3,"-",$C6),'FO-GC-012'!$D$20:$H$109,3,0),""))</f>
        <v/>
      </c>
      <c r="AG6" s="67" t="str">
        <f>IF($C6="","",IFERROR(VLOOKUP(CONCATENATE(AE$3,"-",$C6),'FO-GC-012'!$D$20:$H$109,4,0),""))</f>
        <v/>
      </c>
      <c r="AH6" s="68" t="str">
        <f>IF($C6="","",IFERROR(VLOOKUP(CONCATENATE(AE$3,"-",$C6),'FO-GC-012'!$D$20:$H$109,5,0),""))</f>
        <v/>
      </c>
      <c r="AI6" s="65" t="str">
        <f>IF($C6="","",IFERROR(VLOOKUP(CONCATENATE(AI$3,"-",$C6),'FO-GC-012'!$D$20:$H$109,2,0),""))</f>
        <v/>
      </c>
      <c r="AJ6" s="66" t="str">
        <f>IF($C6="","",IFERROR(VLOOKUP(CONCATENATE(AI$3,"-",$C6),'FO-GC-012'!$D$20:$H$109,3,0),""))</f>
        <v/>
      </c>
      <c r="AK6" s="67" t="str">
        <f>IF($C6="","",IFERROR(VLOOKUP(CONCATENATE(AI$3,"-",$C6),'FO-GC-012'!$D$20:$H$109,4,0),""))</f>
        <v/>
      </c>
      <c r="AL6" s="68" t="str">
        <f>IF($C6="","",IFERROR(VLOOKUP(CONCATENATE(AI$3,"-",$C6),'FO-GC-012'!$D$20:$H$109,5,0),""))</f>
        <v/>
      </c>
      <c r="AM6" s="65" t="str">
        <f>IF($C6="","",IFERROR(VLOOKUP(CONCATENATE(AM$3,"-",$C6),'FO-GC-012'!$D$20:$H$109,2,0),""))</f>
        <v/>
      </c>
      <c r="AN6" s="66" t="str">
        <f>IF($C6="","",IFERROR(VLOOKUP(CONCATENATE(AM$3,"-",$C6),'FO-GC-012'!$D$20:$H$109,3,0),""))</f>
        <v/>
      </c>
      <c r="AO6" s="67" t="str">
        <f>IF($C6="","",IFERROR(VLOOKUP(CONCATENATE(AM$3,"-",$C6),'FO-GC-012'!$D$20:$H$109,4,0),""))</f>
        <v/>
      </c>
      <c r="AP6" s="68" t="str">
        <f>IF($C6="","",IFERROR(VLOOKUP(CONCATENATE(AM$3,"-",$C6),'FO-GC-012'!$D$20:$H$109,5,0),""))</f>
        <v/>
      </c>
      <c r="AQ6" s="65" t="str">
        <f>IF($C6="","",IFERROR(VLOOKUP(CONCATENATE(AQ$3,"-",$C6),'FO-GC-012'!$D$20:$H$109,2,0),""))</f>
        <v/>
      </c>
      <c r="AR6" s="66" t="str">
        <f>IF($C6="","",IFERROR(VLOOKUP(CONCATENATE(AQ$3,"-",$C6),'FO-GC-012'!$D$20:$H$109,3,0),""))</f>
        <v/>
      </c>
      <c r="AS6" s="67" t="str">
        <f>IF($C6="","",IFERROR(VLOOKUP(CONCATENATE(AQ$3,"-",$C6),'FO-GC-012'!$D$20:$H$109,4,0),""))</f>
        <v/>
      </c>
      <c r="AT6" s="68" t="str">
        <f>IF($C6="","",IFERROR(VLOOKUP(CONCATENATE(AQ$3,"-",$C6),'FO-GC-012'!$D$20:$H$109,5,0),""))</f>
        <v/>
      </c>
      <c r="AU6" s="65" t="str">
        <f>IF($C6="","",IFERROR(VLOOKUP(CONCATENATE(AU$3,"-",$C6),'FO-GC-012'!$D$20:$H$109,2,0),""))</f>
        <v/>
      </c>
      <c r="AV6" s="66" t="str">
        <f>IF($C6="","",IFERROR(VLOOKUP(CONCATENATE(AU$3,"-",$C6),'FO-GC-012'!$D$20:$H$109,3,0),""))</f>
        <v/>
      </c>
      <c r="AW6" s="67" t="str">
        <f>IF($C6="","",IFERROR(VLOOKUP(CONCATENATE(AU$3,"-",$C6),'FO-GC-012'!$D$20:$H$109,4,0),""))</f>
        <v/>
      </c>
      <c r="AX6" s="68" t="str">
        <f>IF($C6="","",IFERROR(VLOOKUP(CONCATENATE(AU$3,"-",$C6),'FO-GC-012'!$D$20:$H$109,5,0),""))</f>
        <v/>
      </c>
      <c r="AY6" s="65" t="str">
        <f>IF($C6="","",IFERROR(VLOOKUP(CONCATENATE(AY$3,"-",$C6),'FO-GC-012'!$D$20:$H$109,2,0),""))</f>
        <v/>
      </c>
      <c r="AZ6" s="66" t="str">
        <f>IF($C6="","",IFERROR(VLOOKUP(CONCATENATE(AY$3,"-",$C6),'FO-GC-012'!$D$20:$H$109,3,0),""))</f>
        <v/>
      </c>
      <c r="BA6" s="67" t="str">
        <f>IF($C6="","",IFERROR(VLOOKUP(CONCATENATE(AY$3,"-",$C6),'FO-GC-012'!$D$20:$H$109,4,0),""))</f>
        <v/>
      </c>
      <c r="BB6" s="68" t="str">
        <f>IF($C6="","",IFERROR(VLOOKUP(CONCATENATE(AY$3,"-",$C6),'FO-GC-012'!$D$20:$H$109,5,0),""))</f>
        <v/>
      </c>
      <c r="BC6" s="65" t="str">
        <f>IF($C6="","",IFERROR(VLOOKUP(CONCATENATE(BC$3,"-",$C6),'FO-GC-012'!$D$20:$H$109,2,0),""))</f>
        <v/>
      </c>
      <c r="BD6" s="66" t="str">
        <f>IF($C6="","",IFERROR(VLOOKUP(CONCATENATE(BC$3,"-",$C6),'FO-GC-012'!$D$20:$H$109,3,0),""))</f>
        <v/>
      </c>
      <c r="BE6" s="67" t="str">
        <f>IF($C6="","",IFERROR(VLOOKUP(CONCATENATE(BC$3,"-",$C6),'FO-GC-012'!$D$20:$H$109,4,0),""))</f>
        <v/>
      </c>
      <c r="BF6" s="68" t="str">
        <f>IF($C6="","",IFERROR(VLOOKUP(CONCATENATE(BC$3,"-",$C6),'FO-GC-012'!$D$20:$H$109,5,0),""))</f>
        <v/>
      </c>
      <c r="BG6" s="65" t="str">
        <f>IF($C6="","",IFERROR(VLOOKUP(CONCATENATE(BG$3,"-",$C6),'FO-GC-012'!$D$20:$H$109,2,0),""))</f>
        <v/>
      </c>
      <c r="BH6" s="66" t="str">
        <f>IF($C6="","",IFERROR(VLOOKUP(CONCATENATE(BG$3,"-",$C6),'FO-GC-012'!$D$20:$H$109,3,0),""))</f>
        <v/>
      </c>
      <c r="BI6" s="67" t="str">
        <f>IF($C6="","",IFERROR(VLOOKUP(CONCATENATE(BG$3,"-",$C6),'FO-GC-012'!$D$20:$H$109,4,0),""))</f>
        <v/>
      </c>
      <c r="BJ6" s="68" t="str">
        <f>IF($C6="","",IFERROR(VLOOKUP(CONCATENATE(BG$3,"-",$C6),'FO-GC-012'!$D$20:$H$109,5,0),""))</f>
        <v/>
      </c>
      <c r="BK6" s="65" t="str">
        <f>IF($C6="","",IFERROR(VLOOKUP(CONCATENATE(BK$3,"-",$C6),'FO-GC-012'!$D$20:$H$109,2,0),""))</f>
        <v/>
      </c>
      <c r="BL6" s="66" t="str">
        <f>IF($C6="","",IFERROR(VLOOKUP(CONCATENATE(BK$3,"-",$C6),'FO-GC-012'!$D$20:$H$109,3,0),""))</f>
        <v/>
      </c>
      <c r="BM6" s="67" t="str">
        <f>IF($C6="","",IFERROR(VLOOKUP(CONCATENATE(BK$3,"-",$C6),'FO-GC-012'!$D$20:$H$109,4,0),""))</f>
        <v/>
      </c>
      <c r="BN6" s="68" t="str">
        <f>IF($C6="","",IFERROR(VLOOKUP(CONCATENATE(BK$3,"-",$C6),'FO-GC-012'!$D$20:$H$109,5,0),""))</f>
        <v/>
      </c>
      <c r="BO6" s="65" t="str">
        <f>IF($C6="","",IFERROR(VLOOKUP(CONCATENATE(BO$3,"-",$C6),'FO-GC-012'!$D$20:$H$109,2,0),""))</f>
        <v/>
      </c>
      <c r="BP6" s="66" t="str">
        <f>IF($C6="","",IFERROR(VLOOKUP(CONCATENATE(BO$3,"-",$C6),'FO-GC-012'!$D$20:$H$109,3,0),""))</f>
        <v/>
      </c>
      <c r="BQ6" s="67" t="str">
        <f>IF($C6="","",IFERROR(VLOOKUP(CONCATENATE(BO$3,"-",$C6),'FO-GC-012'!$D$20:$H$109,4,0),""))</f>
        <v/>
      </c>
      <c r="BR6" s="68" t="str">
        <f>IF($C6="","",IFERROR(VLOOKUP(CONCATENATE(BO$3,"-",$C6),'FO-GC-012'!$D$20:$H$109,5,0),""))</f>
        <v/>
      </c>
      <c r="BS6" s="65" t="str">
        <f>IF($C6="","",IFERROR(VLOOKUP(CONCATENATE(BS$3,"-",$C6),'FO-GC-012'!$D$20:$H$109,2,0),""))</f>
        <v/>
      </c>
      <c r="BT6" s="66" t="str">
        <f>IF($C6="","",IFERROR(VLOOKUP(CONCATENATE(BS$3,"-",$C6),'FO-GC-012'!$D$20:$H$109,3,0),""))</f>
        <v/>
      </c>
      <c r="BU6" s="67" t="str">
        <f>IF($C6="","",IFERROR(VLOOKUP(CONCATENATE(BS$3,"-",$C6),'FO-GC-012'!$D$20:$H$109,4,0),""))</f>
        <v/>
      </c>
      <c r="BV6" s="68" t="str">
        <f>IF($C6="","",IFERROR(VLOOKUP(CONCATENATE(BS$3,"-",$C6),'FO-GC-012'!$D$20:$H$109,5,0),""))</f>
        <v/>
      </c>
      <c r="BW6" s="65" t="str">
        <f>IF($C6="","",IFERROR(VLOOKUP(CONCATENATE(BW$3,"-",$C6),'FO-GC-012'!$D$20:$H$109,2,0),""))</f>
        <v/>
      </c>
      <c r="BX6" s="66" t="str">
        <f>IF($C6="","",IFERROR(VLOOKUP(CONCATENATE(BW$3,"-",$C6),'FO-GC-012'!$D$20:$H$109,3,0),""))</f>
        <v/>
      </c>
      <c r="BY6" s="67" t="str">
        <f>IF($C6="","",IFERROR(VLOOKUP(CONCATENATE(BW$3,"-",$C6),'FO-GC-012'!$D$20:$H$109,4,0),""))</f>
        <v/>
      </c>
      <c r="BZ6" s="68" t="str">
        <f>IF($C6="","",IFERROR(VLOOKUP(CONCATENATE(BW$3,"-",$C6),'FO-GC-012'!$D$20:$H$109,5,0),""))</f>
        <v/>
      </c>
      <c r="CA6" s="65" t="str">
        <f>IF($C6="","",IFERROR(VLOOKUP(CONCATENATE(CA$3,"-",$C6),'FO-GC-012'!$D$20:$H$109,2,0),""))</f>
        <v/>
      </c>
      <c r="CB6" s="66" t="str">
        <f>IF($C6="","",IFERROR(VLOOKUP(CONCATENATE(CA$3,"-",$C6),'FO-GC-012'!$D$20:$H$109,3,0),""))</f>
        <v/>
      </c>
      <c r="CC6" s="67" t="str">
        <f>IF($C6="","",IFERROR(VLOOKUP(CONCATENATE(CA$3,"-",$C6),'FO-GC-012'!$D$20:$H$109,4,0),""))</f>
        <v/>
      </c>
      <c r="CD6" s="68" t="str">
        <f>IF($C6="","",IFERROR(VLOOKUP(CONCATENATE(CA$3,"-",$C6),'FO-GC-012'!$D$20:$H$109,5,0),""))</f>
        <v/>
      </c>
      <c r="CE6" s="65" t="str">
        <f>IF($C6="","",IFERROR(VLOOKUP(CONCATENATE(CE$3,"-",$C6),'FO-GC-012'!$D$20:$H$109,2,0),""))</f>
        <v/>
      </c>
      <c r="CF6" s="66" t="str">
        <f>IF($C6="","",IFERROR(VLOOKUP(CONCATENATE(CE$3,"-",$C6),'FO-GC-012'!$D$20:$H$109,3,0),""))</f>
        <v/>
      </c>
      <c r="CG6" s="67" t="str">
        <f>IF($C6="","",IFERROR(VLOOKUP(CONCATENATE(CE$3,"-",$C6),'FO-GC-012'!$D$20:$H$109,4,0),""))</f>
        <v/>
      </c>
      <c r="CH6" s="68" t="str">
        <f>IF($C6="","",IFERROR(VLOOKUP(CONCATENATE(CE$3,"-",$C6),'FO-GC-012'!$D$20:$H$109,5,0),""))</f>
        <v/>
      </c>
    </row>
    <row r="7" spans="1:87" ht="33.75" customHeight="1" x14ac:dyDescent="0.35">
      <c r="B7" s="83">
        <f>IF(C7="","",COUNTA(C$4:C7))</f>
        <v>4</v>
      </c>
      <c r="C7" s="82" t="str">
        <f>'Eq. Auditor'!B6</f>
        <v>*Carlos Andrés Durán Enríquez</v>
      </c>
      <c r="D7" s="83">
        <f>IF(C7="","",COUNTIF('FO-GC-012'!A:A,CONCATENATE("P-",C7)))</f>
        <v>0</v>
      </c>
      <c r="E7" s="83">
        <f>IF(C7="","",COUNTIF('FO-GC-012'!A:A,CONCATENATE("A-",C7)))</f>
        <v>0</v>
      </c>
      <c r="F7" s="83">
        <f t="shared" si="2"/>
        <v>0</v>
      </c>
      <c r="G7" s="69" t="str">
        <f>IF($C7="","",IFERROR(VLOOKUP(CONCATENATE(G$3,"-",$C7),'FO-GC-012'!$D$20:$H$109,2,0),""))</f>
        <v/>
      </c>
      <c r="H7" s="70" t="str">
        <f>IF($C7="","",IFERROR(VLOOKUP(CONCATENATE(G$3,"-",$C7),'FO-GC-012'!$D$20:$H$109,3,0),""))</f>
        <v/>
      </c>
      <c r="I7" s="71" t="str">
        <f>IF($C7="","",IFERROR(VLOOKUP(CONCATENATE(G$3,"-",$C7),'FO-GC-012'!$D$20:$H$109,4,0),""))</f>
        <v/>
      </c>
      <c r="J7" s="72" t="str">
        <f>IF($C7="","",IFERROR(VLOOKUP(CONCATENATE(G$3,"-",$C7),'FO-GC-012'!$D$20:$H$109,5,0),""))</f>
        <v/>
      </c>
      <c r="K7" s="69" t="str">
        <f>IF($C7="","",IFERROR(VLOOKUP(CONCATENATE(K$3,"-",$C7),'FO-GC-012'!$D$20:$H$109,2,0),""))</f>
        <v/>
      </c>
      <c r="L7" s="70" t="str">
        <f>IF($C7="","",IFERROR(VLOOKUP(CONCATENATE(K$3,"-",$C7),'FO-GC-012'!$D$20:$H$109,3,0),""))</f>
        <v/>
      </c>
      <c r="M7" s="71" t="str">
        <f>IF($C7="","",IFERROR(VLOOKUP(CONCATENATE(K$3,"-",$C7),'FO-GC-012'!$D$20:$H$109,4,0),""))</f>
        <v/>
      </c>
      <c r="N7" s="72" t="str">
        <f>IF($C7="","",IFERROR(VLOOKUP(CONCATENATE(K$3,"-",$C7),'FO-GC-012'!$D$20:$H$109,5,0),""))</f>
        <v/>
      </c>
      <c r="O7" s="69" t="str">
        <f>IF($C7="","",IFERROR(VLOOKUP(CONCATENATE(O$3,"-",$C7),'FO-GC-012'!$D$20:$H$109,2,0),""))</f>
        <v/>
      </c>
      <c r="P7" s="70" t="str">
        <f>IF($C7="","",IFERROR(VLOOKUP(CONCATENATE(O$3,"-",$C7),'FO-GC-012'!$D$20:$H$109,3,0),""))</f>
        <v/>
      </c>
      <c r="Q7" s="71" t="str">
        <f>IF($C7="","",IFERROR(VLOOKUP(CONCATENATE(O$3,"-",$C7),'FO-GC-012'!$D$20:$H$109,4,0),""))</f>
        <v/>
      </c>
      <c r="R7" s="72" t="str">
        <f>IF($C7="","",IFERROR(VLOOKUP(CONCATENATE(O$3,"-",$C7),'FO-GC-012'!$D$20:$H$109,5,0),""))</f>
        <v/>
      </c>
      <c r="S7" s="69" t="str">
        <f>IF($C7="","",IFERROR(VLOOKUP(CONCATENATE(S$3,"-",$C7),'FO-GC-012'!$D$20:$H$109,2,0),""))</f>
        <v/>
      </c>
      <c r="T7" s="70" t="str">
        <f>IF($C7="","",IFERROR(VLOOKUP(CONCATENATE(S$3,"-",$C7),'FO-GC-012'!$D$20:$H$109,3,0),""))</f>
        <v/>
      </c>
      <c r="U7" s="71" t="str">
        <f>IF($C7="","",IFERROR(VLOOKUP(CONCATENATE(S$3,"-",$C7),'FO-GC-012'!$D$20:$H$109,4,0),""))</f>
        <v/>
      </c>
      <c r="V7" s="72" t="str">
        <f>IF($C7="","",IFERROR(VLOOKUP(CONCATENATE(S$3,"-",$C7),'FO-GC-012'!$D$20:$H$109,5,0),""))</f>
        <v/>
      </c>
      <c r="W7" s="69" t="str">
        <f>IF($C7="","",IFERROR(VLOOKUP(CONCATENATE(W$3,"-",$C7),'FO-GC-012'!$D$20:$H$109,2,0),""))</f>
        <v/>
      </c>
      <c r="X7" s="70" t="str">
        <f>IF($C7="","",IFERROR(VLOOKUP(CONCATENATE(W$3,"-",$C7),'FO-GC-012'!$D$20:$H$109,3,0),""))</f>
        <v/>
      </c>
      <c r="Y7" s="71" t="str">
        <f>IF($C7="","",IFERROR(VLOOKUP(CONCATENATE(W$3,"-",$C7),'FO-GC-012'!$D$20:$H$109,4,0),""))</f>
        <v/>
      </c>
      <c r="Z7" s="72" t="str">
        <f>IF($C7="","",IFERROR(VLOOKUP(CONCATENATE(W$3,"-",$C7),'FO-GC-012'!$D$20:$H$109,5,0),""))</f>
        <v/>
      </c>
      <c r="AA7" s="69" t="str">
        <f>IF($C7="","",IFERROR(VLOOKUP(CONCATENATE(AA$3,"-",$C7),'FO-GC-012'!$D$20:$H$109,2,0),""))</f>
        <v/>
      </c>
      <c r="AB7" s="70" t="str">
        <f>IF($C7="","",IFERROR(VLOOKUP(CONCATENATE(AA$3,"-",$C7),'FO-GC-012'!$D$20:$H$109,3,0),""))</f>
        <v/>
      </c>
      <c r="AC7" s="71" t="str">
        <f>IF($C7="","",IFERROR(VLOOKUP(CONCATENATE(AA$3,"-",$C7),'FO-GC-012'!$D$20:$H$109,4,0),""))</f>
        <v/>
      </c>
      <c r="AD7" s="72" t="str">
        <f>IF($C7="","",IFERROR(VLOOKUP(CONCATENATE(AA$3,"-",$C7),'FO-GC-012'!$D$20:$H$109,5,0),""))</f>
        <v/>
      </c>
      <c r="AE7" s="69" t="str">
        <f>IF($C7="","",IFERROR(VLOOKUP(CONCATENATE(AE$3,"-",$C7),'FO-GC-012'!$D$20:$H$109,2,0),""))</f>
        <v/>
      </c>
      <c r="AF7" s="70" t="str">
        <f>IF($C7="","",IFERROR(VLOOKUP(CONCATENATE(AE$3,"-",$C7),'FO-GC-012'!$D$20:$H$109,3,0),""))</f>
        <v/>
      </c>
      <c r="AG7" s="71" t="str">
        <f>IF($C7="","",IFERROR(VLOOKUP(CONCATENATE(AE$3,"-",$C7),'FO-GC-012'!$D$20:$H$109,4,0),""))</f>
        <v/>
      </c>
      <c r="AH7" s="72" t="str">
        <f>IF($C7="","",IFERROR(VLOOKUP(CONCATENATE(AE$3,"-",$C7),'FO-GC-012'!$D$20:$H$109,5,0),""))</f>
        <v/>
      </c>
      <c r="AI7" s="69" t="str">
        <f>IF($C7="","",IFERROR(VLOOKUP(CONCATENATE(AI$3,"-",$C7),'FO-GC-012'!$D$20:$H$109,2,0),""))</f>
        <v/>
      </c>
      <c r="AJ7" s="70" t="str">
        <f>IF($C7="","",IFERROR(VLOOKUP(CONCATENATE(AI$3,"-",$C7),'FO-GC-012'!$D$20:$H$109,3,0),""))</f>
        <v/>
      </c>
      <c r="AK7" s="71" t="str">
        <f>IF($C7="","",IFERROR(VLOOKUP(CONCATENATE(AI$3,"-",$C7),'FO-GC-012'!$D$20:$H$109,4,0),""))</f>
        <v/>
      </c>
      <c r="AL7" s="72" t="str">
        <f>IF($C7="","",IFERROR(VLOOKUP(CONCATENATE(AI$3,"-",$C7),'FO-GC-012'!$D$20:$H$109,5,0),""))</f>
        <v/>
      </c>
      <c r="AM7" s="69" t="str">
        <f>IF($C7="","",IFERROR(VLOOKUP(CONCATENATE(AM$3,"-",$C7),'FO-GC-012'!$D$20:$H$109,2,0),""))</f>
        <v/>
      </c>
      <c r="AN7" s="70" t="str">
        <f>IF($C7="","",IFERROR(VLOOKUP(CONCATENATE(AM$3,"-",$C7),'FO-GC-012'!$D$20:$H$109,3,0),""))</f>
        <v/>
      </c>
      <c r="AO7" s="71" t="str">
        <f>IF($C7="","",IFERROR(VLOOKUP(CONCATENATE(AM$3,"-",$C7),'FO-GC-012'!$D$20:$H$109,4,0),""))</f>
        <v/>
      </c>
      <c r="AP7" s="72" t="str">
        <f>IF($C7="","",IFERROR(VLOOKUP(CONCATENATE(AM$3,"-",$C7),'FO-GC-012'!$D$20:$H$109,5,0),""))</f>
        <v/>
      </c>
      <c r="AQ7" s="69" t="str">
        <f>IF($C7="","",IFERROR(VLOOKUP(CONCATENATE(AQ$3,"-",$C7),'FO-GC-012'!$D$20:$H$109,2,0),""))</f>
        <v/>
      </c>
      <c r="AR7" s="70" t="str">
        <f>IF($C7="","",IFERROR(VLOOKUP(CONCATENATE(AQ$3,"-",$C7),'FO-GC-012'!$D$20:$H$109,3,0),""))</f>
        <v/>
      </c>
      <c r="AS7" s="71" t="str">
        <f>IF($C7="","",IFERROR(VLOOKUP(CONCATENATE(AQ$3,"-",$C7),'FO-GC-012'!$D$20:$H$109,4,0),""))</f>
        <v/>
      </c>
      <c r="AT7" s="72" t="str">
        <f>IF($C7="","",IFERROR(VLOOKUP(CONCATENATE(AQ$3,"-",$C7),'FO-GC-012'!$D$20:$H$109,5,0),""))</f>
        <v/>
      </c>
      <c r="AU7" s="69" t="str">
        <f>IF($C7="","",IFERROR(VLOOKUP(CONCATENATE(AU$3,"-",$C7),'FO-GC-012'!$D$20:$H$109,2,0),""))</f>
        <v/>
      </c>
      <c r="AV7" s="70" t="str">
        <f>IF($C7="","",IFERROR(VLOOKUP(CONCATENATE(AU$3,"-",$C7),'FO-GC-012'!$D$20:$H$109,3,0),""))</f>
        <v/>
      </c>
      <c r="AW7" s="71" t="str">
        <f>IF($C7="","",IFERROR(VLOOKUP(CONCATENATE(AU$3,"-",$C7),'FO-GC-012'!$D$20:$H$109,4,0),""))</f>
        <v/>
      </c>
      <c r="AX7" s="72" t="str">
        <f>IF($C7="","",IFERROR(VLOOKUP(CONCATENATE(AU$3,"-",$C7),'FO-GC-012'!$D$20:$H$109,5,0),""))</f>
        <v/>
      </c>
      <c r="AY7" s="69" t="str">
        <f>IF($C7="","",IFERROR(VLOOKUP(CONCATENATE(AY$3,"-",$C7),'FO-GC-012'!$D$20:$H$109,2,0),""))</f>
        <v/>
      </c>
      <c r="AZ7" s="70" t="str">
        <f>IF($C7="","",IFERROR(VLOOKUP(CONCATENATE(AY$3,"-",$C7),'FO-GC-012'!$D$20:$H$109,3,0),""))</f>
        <v/>
      </c>
      <c r="BA7" s="71" t="str">
        <f>IF($C7="","",IFERROR(VLOOKUP(CONCATENATE(AY$3,"-",$C7),'FO-GC-012'!$D$20:$H$109,4,0),""))</f>
        <v/>
      </c>
      <c r="BB7" s="72" t="str">
        <f>IF($C7="","",IFERROR(VLOOKUP(CONCATENATE(AY$3,"-",$C7),'FO-GC-012'!$D$20:$H$109,5,0),""))</f>
        <v/>
      </c>
      <c r="BC7" s="69" t="str">
        <f>IF($C7="","",IFERROR(VLOOKUP(CONCATENATE(BC$3,"-",$C7),'FO-GC-012'!$D$20:$H$109,2,0),""))</f>
        <v/>
      </c>
      <c r="BD7" s="70" t="str">
        <f>IF($C7="","",IFERROR(VLOOKUP(CONCATENATE(BC$3,"-",$C7),'FO-GC-012'!$D$20:$H$109,3,0),""))</f>
        <v/>
      </c>
      <c r="BE7" s="71" t="str">
        <f>IF($C7="","",IFERROR(VLOOKUP(CONCATENATE(BC$3,"-",$C7),'FO-GC-012'!$D$20:$H$109,4,0),""))</f>
        <v/>
      </c>
      <c r="BF7" s="72" t="str">
        <f>IF($C7="","",IFERROR(VLOOKUP(CONCATENATE(BC$3,"-",$C7),'FO-GC-012'!$D$20:$H$109,5,0),""))</f>
        <v/>
      </c>
      <c r="BG7" s="69" t="str">
        <f>IF($C7="","",IFERROR(VLOOKUP(CONCATENATE(BG$3,"-",$C7),'FO-GC-012'!$D$20:$H$109,2,0),""))</f>
        <v/>
      </c>
      <c r="BH7" s="70" t="str">
        <f>IF($C7="","",IFERROR(VLOOKUP(CONCATENATE(BG$3,"-",$C7),'FO-GC-012'!$D$20:$H$109,3,0),""))</f>
        <v/>
      </c>
      <c r="BI7" s="71" t="str">
        <f>IF($C7="","",IFERROR(VLOOKUP(CONCATENATE(BG$3,"-",$C7),'FO-GC-012'!$D$20:$H$109,4,0),""))</f>
        <v/>
      </c>
      <c r="BJ7" s="72" t="str">
        <f>IF($C7="","",IFERROR(VLOOKUP(CONCATENATE(BG$3,"-",$C7),'FO-GC-012'!$D$20:$H$109,5,0),""))</f>
        <v/>
      </c>
      <c r="BK7" s="69" t="str">
        <f>IF($C7="","",IFERROR(VLOOKUP(CONCATENATE(BK$3,"-",$C7),'FO-GC-012'!$D$20:$H$109,2,0),""))</f>
        <v/>
      </c>
      <c r="BL7" s="70" t="str">
        <f>IF($C7="","",IFERROR(VLOOKUP(CONCATENATE(BK$3,"-",$C7),'FO-GC-012'!$D$20:$H$109,3,0),""))</f>
        <v/>
      </c>
      <c r="BM7" s="71" t="str">
        <f>IF($C7="","",IFERROR(VLOOKUP(CONCATENATE(BK$3,"-",$C7),'FO-GC-012'!$D$20:$H$109,4,0),""))</f>
        <v/>
      </c>
      <c r="BN7" s="72" t="str">
        <f>IF($C7="","",IFERROR(VLOOKUP(CONCATENATE(BK$3,"-",$C7),'FO-GC-012'!$D$20:$H$109,5,0),""))</f>
        <v/>
      </c>
      <c r="BO7" s="69" t="str">
        <f>IF($C7="","",IFERROR(VLOOKUP(CONCATENATE(BO$3,"-",$C7),'FO-GC-012'!$D$20:$H$109,2,0),""))</f>
        <v/>
      </c>
      <c r="BP7" s="70" t="str">
        <f>IF($C7="","",IFERROR(VLOOKUP(CONCATENATE(BO$3,"-",$C7),'FO-GC-012'!$D$20:$H$109,3,0),""))</f>
        <v/>
      </c>
      <c r="BQ7" s="71" t="str">
        <f>IF($C7="","",IFERROR(VLOOKUP(CONCATENATE(BO$3,"-",$C7),'FO-GC-012'!$D$20:$H$109,4,0),""))</f>
        <v/>
      </c>
      <c r="BR7" s="72" t="str">
        <f>IF($C7="","",IFERROR(VLOOKUP(CONCATENATE(BO$3,"-",$C7),'FO-GC-012'!$D$20:$H$109,5,0),""))</f>
        <v/>
      </c>
      <c r="BS7" s="69" t="str">
        <f>IF($C7="","",IFERROR(VLOOKUP(CONCATENATE(BS$3,"-",$C7),'FO-GC-012'!$D$20:$H$109,2,0),""))</f>
        <v/>
      </c>
      <c r="BT7" s="70" t="str">
        <f>IF($C7="","",IFERROR(VLOOKUP(CONCATENATE(BS$3,"-",$C7),'FO-GC-012'!$D$20:$H$109,3,0),""))</f>
        <v/>
      </c>
      <c r="BU7" s="71" t="str">
        <f>IF($C7="","",IFERROR(VLOOKUP(CONCATENATE(BS$3,"-",$C7),'FO-GC-012'!$D$20:$H$109,4,0),""))</f>
        <v/>
      </c>
      <c r="BV7" s="72" t="str">
        <f>IF($C7="","",IFERROR(VLOOKUP(CONCATENATE(BS$3,"-",$C7),'FO-GC-012'!$D$20:$H$109,5,0),""))</f>
        <v/>
      </c>
      <c r="BW7" s="69" t="str">
        <f>IF($C7="","",IFERROR(VLOOKUP(CONCATENATE(BW$3,"-",$C7),'FO-GC-012'!$D$20:$H$109,2,0),""))</f>
        <v/>
      </c>
      <c r="BX7" s="70" t="str">
        <f>IF($C7="","",IFERROR(VLOOKUP(CONCATENATE(BW$3,"-",$C7),'FO-GC-012'!$D$20:$H$109,3,0),""))</f>
        <v/>
      </c>
      <c r="BY7" s="71" t="str">
        <f>IF($C7="","",IFERROR(VLOOKUP(CONCATENATE(BW$3,"-",$C7),'FO-GC-012'!$D$20:$H$109,4,0),""))</f>
        <v/>
      </c>
      <c r="BZ7" s="72" t="str">
        <f>IF($C7="","",IFERROR(VLOOKUP(CONCATENATE(BW$3,"-",$C7),'FO-GC-012'!$D$20:$H$109,5,0),""))</f>
        <v/>
      </c>
      <c r="CA7" s="69" t="str">
        <f>IF($C7="","",IFERROR(VLOOKUP(CONCATENATE(CA$3,"-",$C7),'FO-GC-012'!$D$20:$H$109,2,0),""))</f>
        <v/>
      </c>
      <c r="CB7" s="70" t="str">
        <f>IF($C7="","",IFERROR(VLOOKUP(CONCATENATE(CA$3,"-",$C7),'FO-GC-012'!$D$20:$H$109,3,0),""))</f>
        <v/>
      </c>
      <c r="CC7" s="71" t="str">
        <f>IF($C7="","",IFERROR(VLOOKUP(CONCATENATE(CA$3,"-",$C7),'FO-GC-012'!$D$20:$H$109,4,0),""))</f>
        <v/>
      </c>
      <c r="CD7" s="72" t="str">
        <f>IF($C7="","",IFERROR(VLOOKUP(CONCATENATE(CA$3,"-",$C7),'FO-GC-012'!$D$20:$H$109,5,0),""))</f>
        <v/>
      </c>
      <c r="CE7" s="69" t="str">
        <f>IF($C7="","",IFERROR(VLOOKUP(CONCATENATE(CE$3,"-",$C7),'FO-GC-012'!$D$20:$H$109,2,0),""))</f>
        <v/>
      </c>
      <c r="CF7" s="70" t="str">
        <f>IF($C7="","",IFERROR(VLOOKUP(CONCATENATE(CE$3,"-",$C7),'FO-GC-012'!$D$20:$H$109,3,0),""))</f>
        <v/>
      </c>
      <c r="CG7" s="71" t="str">
        <f>IF($C7="","",IFERROR(VLOOKUP(CONCATENATE(CE$3,"-",$C7),'FO-GC-012'!$D$20:$H$109,4,0),""))</f>
        <v/>
      </c>
      <c r="CH7" s="72" t="str">
        <f>IF($C7="","",IFERROR(VLOOKUP(CONCATENATE(CE$3,"-",$C7),'FO-GC-012'!$D$20:$H$109,5,0),""))</f>
        <v/>
      </c>
    </row>
    <row r="8" spans="1:87" ht="33.75" customHeight="1" x14ac:dyDescent="0.35">
      <c r="B8" s="83">
        <f>IF(C8="","",COUNTA(C$4:C8))</f>
        <v>5</v>
      </c>
      <c r="C8" s="82" t="str">
        <f>'Eq. Auditor'!B7</f>
        <v>*Carlos Fernando Mina Zape</v>
      </c>
      <c r="D8" s="83">
        <f>IF(C8="","",COUNTIF('FO-GC-012'!A:A,CONCATENATE("P-",C8)))</f>
        <v>0</v>
      </c>
      <c r="E8" s="83">
        <f>IF(C8="","",COUNTIF('FO-GC-012'!A:A,CONCATENATE("A-",C8)))</f>
        <v>0</v>
      </c>
      <c r="F8" s="83">
        <f t="shared" si="2"/>
        <v>0</v>
      </c>
      <c r="G8" s="69" t="str">
        <f>IF($C8="","",IFERROR(VLOOKUP(CONCATENATE(G$3,"-",$C8),'FO-GC-012'!$D$20:$H$109,2,0),""))</f>
        <v/>
      </c>
      <c r="H8" s="70" t="str">
        <f>IF($C8="","",IFERROR(VLOOKUP(CONCATENATE(G$3,"-",$C8),'FO-GC-012'!$D$20:$H$109,3,0),""))</f>
        <v/>
      </c>
      <c r="I8" s="71" t="str">
        <f>IF($C8="","",IFERROR(VLOOKUP(CONCATENATE(G$3,"-",$C8),'FO-GC-012'!$D$20:$H$109,4,0),""))</f>
        <v/>
      </c>
      <c r="J8" s="72" t="str">
        <f>IF($C8="","",IFERROR(VLOOKUP(CONCATENATE(G$3,"-",$C8),'FO-GC-012'!$D$20:$H$109,5,0),""))</f>
        <v/>
      </c>
      <c r="K8" s="69" t="str">
        <f>IF($C8="","",IFERROR(VLOOKUP(CONCATENATE(K$3,"-",$C8),'FO-GC-012'!$D$20:$H$109,2,0),""))</f>
        <v/>
      </c>
      <c r="L8" s="70" t="str">
        <f>IF($C8="","",IFERROR(VLOOKUP(CONCATENATE(K$3,"-",$C8),'FO-GC-012'!$D$20:$H$109,3,0),""))</f>
        <v/>
      </c>
      <c r="M8" s="71" t="str">
        <f>IF($C8="","",IFERROR(VLOOKUP(CONCATENATE(K$3,"-",$C8),'FO-GC-012'!$D$20:$H$109,4,0),""))</f>
        <v/>
      </c>
      <c r="N8" s="72" t="str">
        <f>IF($C8="","",IFERROR(VLOOKUP(CONCATENATE(K$3,"-",$C8),'FO-GC-012'!$D$20:$H$109,5,0),""))</f>
        <v/>
      </c>
      <c r="O8" s="69" t="str">
        <f>IF($C8="","",IFERROR(VLOOKUP(CONCATENATE(O$3,"-",$C8),'FO-GC-012'!$D$20:$H$109,2,0),""))</f>
        <v/>
      </c>
      <c r="P8" s="70" t="str">
        <f>IF($C8="","",IFERROR(VLOOKUP(CONCATENATE(O$3,"-",$C8),'FO-GC-012'!$D$20:$H$109,3,0),""))</f>
        <v/>
      </c>
      <c r="Q8" s="71" t="str">
        <f>IF($C8="","",IFERROR(VLOOKUP(CONCATENATE(O$3,"-",$C8),'FO-GC-012'!$D$20:$H$109,4,0),""))</f>
        <v/>
      </c>
      <c r="R8" s="72" t="str">
        <f>IF($C8="","",IFERROR(VLOOKUP(CONCATENATE(O$3,"-",$C8),'FO-GC-012'!$D$20:$H$109,5,0),""))</f>
        <v/>
      </c>
      <c r="S8" s="69" t="str">
        <f>IF($C8="","",IFERROR(VLOOKUP(CONCATENATE(S$3,"-",$C8),'FO-GC-012'!$D$20:$H$109,2,0),""))</f>
        <v/>
      </c>
      <c r="T8" s="70" t="str">
        <f>IF($C8="","",IFERROR(VLOOKUP(CONCATENATE(S$3,"-",$C8),'FO-GC-012'!$D$20:$H$109,3,0),""))</f>
        <v/>
      </c>
      <c r="U8" s="71" t="str">
        <f>IF($C8="","",IFERROR(VLOOKUP(CONCATENATE(S$3,"-",$C8),'FO-GC-012'!$D$20:$H$109,4,0),""))</f>
        <v/>
      </c>
      <c r="V8" s="72" t="str">
        <f>IF($C8="","",IFERROR(VLOOKUP(CONCATENATE(S$3,"-",$C8),'FO-GC-012'!$D$20:$H$109,5,0),""))</f>
        <v/>
      </c>
      <c r="W8" s="69" t="str">
        <f>IF($C8="","",IFERROR(VLOOKUP(CONCATENATE(W$3,"-",$C8),'FO-GC-012'!$D$20:$H$109,2,0),""))</f>
        <v/>
      </c>
      <c r="X8" s="70" t="str">
        <f>IF($C8="","",IFERROR(VLOOKUP(CONCATENATE(W$3,"-",$C8),'FO-GC-012'!$D$20:$H$109,3,0),""))</f>
        <v/>
      </c>
      <c r="Y8" s="71" t="str">
        <f>IF($C8="","",IFERROR(VLOOKUP(CONCATENATE(W$3,"-",$C8),'FO-GC-012'!$D$20:$H$109,4,0),""))</f>
        <v/>
      </c>
      <c r="Z8" s="72" t="str">
        <f>IF($C8="","",IFERROR(VLOOKUP(CONCATENATE(W$3,"-",$C8),'FO-GC-012'!$D$20:$H$109,5,0),""))</f>
        <v/>
      </c>
      <c r="AA8" s="69" t="str">
        <f>IF($C8="","",IFERROR(VLOOKUP(CONCATENATE(AA$3,"-",$C8),'FO-GC-012'!$D$20:$H$109,2,0),""))</f>
        <v/>
      </c>
      <c r="AB8" s="70" t="str">
        <f>IF($C8="","",IFERROR(VLOOKUP(CONCATENATE(AA$3,"-",$C8),'FO-GC-012'!$D$20:$H$109,3,0),""))</f>
        <v/>
      </c>
      <c r="AC8" s="71" t="str">
        <f>IF($C8="","",IFERROR(VLOOKUP(CONCATENATE(AA$3,"-",$C8),'FO-GC-012'!$D$20:$H$109,4,0),""))</f>
        <v/>
      </c>
      <c r="AD8" s="72" t="str">
        <f>IF($C8="","",IFERROR(VLOOKUP(CONCATENATE(AA$3,"-",$C8),'FO-GC-012'!$D$20:$H$109,5,0),""))</f>
        <v/>
      </c>
      <c r="AE8" s="69" t="str">
        <f>IF($C8="","",IFERROR(VLOOKUP(CONCATENATE(AE$3,"-",$C8),'FO-GC-012'!$D$20:$H$109,2,0),""))</f>
        <v/>
      </c>
      <c r="AF8" s="70" t="str">
        <f>IF($C8="","",IFERROR(VLOOKUP(CONCATENATE(AE$3,"-",$C8),'FO-GC-012'!$D$20:$H$109,3,0),""))</f>
        <v/>
      </c>
      <c r="AG8" s="71" t="str">
        <f>IF($C8="","",IFERROR(VLOOKUP(CONCATENATE(AE$3,"-",$C8),'FO-GC-012'!$D$20:$H$109,4,0),""))</f>
        <v/>
      </c>
      <c r="AH8" s="72" t="str">
        <f>IF($C8="","",IFERROR(VLOOKUP(CONCATENATE(AE$3,"-",$C8),'FO-GC-012'!$D$20:$H$109,5,0),""))</f>
        <v/>
      </c>
      <c r="AI8" s="69" t="str">
        <f>IF($C8="","",IFERROR(VLOOKUP(CONCATENATE(AI$3,"-",$C8),'FO-GC-012'!$D$20:$H$109,2,0),""))</f>
        <v/>
      </c>
      <c r="AJ8" s="70" t="str">
        <f>IF($C8="","",IFERROR(VLOOKUP(CONCATENATE(AI$3,"-",$C8),'FO-GC-012'!$D$20:$H$109,3,0),""))</f>
        <v/>
      </c>
      <c r="AK8" s="71" t="str">
        <f>IF($C8="","",IFERROR(VLOOKUP(CONCATENATE(AI$3,"-",$C8),'FO-GC-012'!$D$20:$H$109,4,0),""))</f>
        <v/>
      </c>
      <c r="AL8" s="72" t="str">
        <f>IF($C8="","",IFERROR(VLOOKUP(CONCATENATE(AI$3,"-",$C8),'FO-GC-012'!$D$20:$H$109,5,0),""))</f>
        <v/>
      </c>
      <c r="AM8" s="69" t="str">
        <f>IF($C8="","",IFERROR(VLOOKUP(CONCATENATE(AM$3,"-",$C8),'FO-GC-012'!$D$20:$H$109,2,0),""))</f>
        <v/>
      </c>
      <c r="AN8" s="70" t="str">
        <f>IF($C8="","",IFERROR(VLOOKUP(CONCATENATE(AM$3,"-",$C8),'FO-GC-012'!$D$20:$H$109,3,0),""))</f>
        <v/>
      </c>
      <c r="AO8" s="71" t="str">
        <f>IF($C8="","",IFERROR(VLOOKUP(CONCATENATE(AM$3,"-",$C8),'FO-GC-012'!$D$20:$H$109,4,0),""))</f>
        <v/>
      </c>
      <c r="AP8" s="72" t="str">
        <f>IF($C8="","",IFERROR(VLOOKUP(CONCATENATE(AM$3,"-",$C8),'FO-GC-012'!$D$20:$H$109,5,0),""))</f>
        <v/>
      </c>
      <c r="AQ8" s="69" t="str">
        <f>IF($C8="","",IFERROR(VLOOKUP(CONCATENATE(AQ$3,"-",$C8),'FO-GC-012'!$D$20:$H$109,2,0),""))</f>
        <v/>
      </c>
      <c r="AR8" s="70" t="str">
        <f>IF($C8="","",IFERROR(VLOOKUP(CONCATENATE(AQ$3,"-",$C8),'FO-GC-012'!$D$20:$H$109,3,0),""))</f>
        <v/>
      </c>
      <c r="AS8" s="71" t="str">
        <f>IF($C8="","",IFERROR(VLOOKUP(CONCATENATE(AQ$3,"-",$C8),'FO-GC-012'!$D$20:$H$109,4,0),""))</f>
        <v/>
      </c>
      <c r="AT8" s="72" t="str">
        <f>IF($C8="","",IFERROR(VLOOKUP(CONCATENATE(AQ$3,"-",$C8),'FO-GC-012'!$D$20:$H$109,5,0),""))</f>
        <v/>
      </c>
      <c r="AU8" s="69" t="str">
        <f>IF($C8="","",IFERROR(VLOOKUP(CONCATENATE(AU$3,"-",$C8),'FO-GC-012'!$D$20:$H$109,2,0),""))</f>
        <v/>
      </c>
      <c r="AV8" s="70" t="str">
        <f>IF($C8="","",IFERROR(VLOOKUP(CONCATENATE(AU$3,"-",$C8),'FO-GC-012'!$D$20:$H$109,3,0),""))</f>
        <v/>
      </c>
      <c r="AW8" s="71" t="str">
        <f>IF($C8="","",IFERROR(VLOOKUP(CONCATENATE(AU$3,"-",$C8),'FO-GC-012'!$D$20:$H$109,4,0),""))</f>
        <v/>
      </c>
      <c r="AX8" s="72" t="str">
        <f>IF($C8="","",IFERROR(VLOOKUP(CONCATENATE(AU$3,"-",$C8),'FO-GC-012'!$D$20:$H$109,5,0),""))</f>
        <v/>
      </c>
      <c r="AY8" s="69" t="str">
        <f>IF($C8="","",IFERROR(VLOOKUP(CONCATENATE(AY$3,"-",$C8),'FO-GC-012'!$D$20:$H$109,2,0),""))</f>
        <v/>
      </c>
      <c r="AZ8" s="70" t="str">
        <f>IF($C8="","",IFERROR(VLOOKUP(CONCATENATE(AY$3,"-",$C8),'FO-GC-012'!$D$20:$H$109,3,0),""))</f>
        <v/>
      </c>
      <c r="BA8" s="71" t="str">
        <f>IF($C8="","",IFERROR(VLOOKUP(CONCATENATE(AY$3,"-",$C8),'FO-GC-012'!$D$20:$H$109,4,0),""))</f>
        <v/>
      </c>
      <c r="BB8" s="72" t="str">
        <f>IF($C8="","",IFERROR(VLOOKUP(CONCATENATE(AY$3,"-",$C8),'FO-GC-012'!$D$20:$H$109,5,0),""))</f>
        <v/>
      </c>
      <c r="BC8" s="69" t="str">
        <f>IF($C8="","",IFERROR(VLOOKUP(CONCATENATE(BC$3,"-",$C8),'FO-GC-012'!$D$20:$H$109,2,0),""))</f>
        <v/>
      </c>
      <c r="BD8" s="70" t="str">
        <f>IF($C8="","",IFERROR(VLOOKUP(CONCATENATE(BC$3,"-",$C8),'FO-GC-012'!$D$20:$H$109,3,0),""))</f>
        <v/>
      </c>
      <c r="BE8" s="71" t="str">
        <f>IF($C8="","",IFERROR(VLOOKUP(CONCATENATE(BC$3,"-",$C8),'FO-GC-012'!$D$20:$H$109,4,0),""))</f>
        <v/>
      </c>
      <c r="BF8" s="72" t="str">
        <f>IF($C8="","",IFERROR(VLOOKUP(CONCATENATE(BC$3,"-",$C8),'FO-GC-012'!$D$20:$H$109,5,0),""))</f>
        <v/>
      </c>
      <c r="BG8" s="69" t="str">
        <f>IF($C8="","",IFERROR(VLOOKUP(CONCATENATE(BG$3,"-",$C8),'FO-GC-012'!$D$20:$H$109,2,0),""))</f>
        <v/>
      </c>
      <c r="BH8" s="70" t="str">
        <f>IF($C8="","",IFERROR(VLOOKUP(CONCATENATE(BG$3,"-",$C8),'FO-GC-012'!$D$20:$H$109,3,0),""))</f>
        <v/>
      </c>
      <c r="BI8" s="71" t="str">
        <f>IF($C8="","",IFERROR(VLOOKUP(CONCATENATE(BG$3,"-",$C8),'FO-GC-012'!$D$20:$H$109,4,0),""))</f>
        <v/>
      </c>
      <c r="BJ8" s="72" t="str">
        <f>IF($C8="","",IFERROR(VLOOKUP(CONCATENATE(BG$3,"-",$C8),'FO-GC-012'!$D$20:$H$109,5,0),""))</f>
        <v/>
      </c>
      <c r="BK8" s="69" t="str">
        <f>IF($C8="","",IFERROR(VLOOKUP(CONCATENATE(BK$3,"-",$C8),'FO-GC-012'!$D$20:$H$109,2,0),""))</f>
        <v/>
      </c>
      <c r="BL8" s="70" t="str">
        <f>IF($C8="","",IFERROR(VLOOKUP(CONCATENATE(BK$3,"-",$C8),'FO-GC-012'!$D$20:$H$109,3,0),""))</f>
        <v/>
      </c>
      <c r="BM8" s="71" t="str">
        <f>IF($C8="","",IFERROR(VLOOKUP(CONCATENATE(BK$3,"-",$C8),'FO-GC-012'!$D$20:$H$109,4,0),""))</f>
        <v/>
      </c>
      <c r="BN8" s="72" t="str">
        <f>IF($C8="","",IFERROR(VLOOKUP(CONCATENATE(BK$3,"-",$C8),'FO-GC-012'!$D$20:$H$109,5,0),""))</f>
        <v/>
      </c>
      <c r="BO8" s="69" t="str">
        <f>IF($C8="","",IFERROR(VLOOKUP(CONCATENATE(BO$3,"-",$C8),'FO-GC-012'!$D$20:$H$109,2,0),""))</f>
        <v/>
      </c>
      <c r="BP8" s="70" t="str">
        <f>IF($C8="","",IFERROR(VLOOKUP(CONCATENATE(BO$3,"-",$C8),'FO-GC-012'!$D$20:$H$109,3,0),""))</f>
        <v/>
      </c>
      <c r="BQ8" s="71" t="str">
        <f>IF($C8="","",IFERROR(VLOOKUP(CONCATENATE(BO$3,"-",$C8),'FO-GC-012'!$D$20:$H$109,4,0),""))</f>
        <v/>
      </c>
      <c r="BR8" s="72" t="str">
        <f>IF($C8="","",IFERROR(VLOOKUP(CONCATENATE(BO$3,"-",$C8),'FO-GC-012'!$D$20:$H$109,5,0),""))</f>
        <v/>
      </c>
      <c r="BS8" s="69" t="str">
        <f>IF($C8="","",IFERROR(VLOOKUP(CONCATENATE(BS$3,"-",$C8),'FO-GC-012'!$D$20:$H$109,2,0),""))</f>
        <v/>
      </c>
      <c r="BT8" s="70" t="str">
        <f>IF($C8="","",IFERROR(VLOOKUP(CONCATENATE(BS$3,"-",$C8),'FO-GC-012'!$D$20:$H$109,3,0),""))</f>
        <v/>
      </c>
      <c r="BU8" s="71" t="str">
        <f>IF($C8="","",IFERROR(VLOOKUP(CONCATENATE(BS$3,"-",$C8),'FO-GC-012'!$D$20:$H$109,4,0),""))</f>
        <v/>
      </c>
      <c r="BV8" s="72" t="str">
        <f>IF($C8="","",IFERROR(VLOOKUP(CONCATENATE(BS$3,"-",$C8),'FO-GC-012'!$D$20:$H$109,5,0),""))</f>
        <v/>
      </c>
      <c r="BW8" s="69" t="str">
        <f>IF($C8="","",IFERROR(VLOOKUP(CONCATENATE(BW$3,"-",$C8),'FO-GC-012'!$D$20:$H$109,2,0),""))</f>
        <v/>
      </c>
      <c r="BX8" s="70" t="str">
        <f>IF($C8="","",IFERROR(VLOOKUP(CONCATENATE(BW$3,"-",$C8),'FO-GC-012'!$D$20:$H$109,3,0),""))</f>
        <v/>
      </c>
      <c r="BY8" s="71" t="str">
        <f>IF($C8="","",IFERROR(VLOOKUP(CONCATENATE(BW$3,"-",$C8),'FO-GC-012'!$D$20:$H$109,4,0),""))</f>
        <v/>
      </c>
      <c r="BZ8" s="72" t="str">
        <f>IF($C8="","",IFERROR(VLOOKUP(CONCATENATE(BW$3,"-",$C8),'FO-GC-012'!$D$20:$H$109,5,0),""))</f>
        <v/>
      </c>
      <c r="CA8" s="69" t="str">
        <f>IF($C8="","",IFERROR(VLOOKUP(CONCATENATE(CA$3,"-",$C8),'FO-GC-012'!$D$20:$H$109,2,0),""))</f>
        <v/>
      </c>
      <c r="CB8" s="70" t="str">
        <f>IF($C8="","",IFERROR(VLOOKUP(CONCATENATE(CA$3,"-",$C8),'FO-GC-012'!$D$20:$H$109,3,0),""))</f>
        <v/>
      </c>
      <c r="CC8" s="71" t="str">
        <f>IF($C8="","",IFERROR(VLOOKUP(CONCATENATE(CA$3,"-",$C8),'FO-GC-012'!$D$20:$H$109,4,0),""))</f>
        <v/>
      </c>
      <c r="CD8" s="72" t="str">
        <f>IF($C8="","",IFERROR(VLOOKUP(CONCATENATE(CA$3,"-",$C8),'FO-GC-012'!$D$20:$H$109,5,0),""))</f>
        <v/>
      </c>
      <c r="CE8" s="69" t="str">
        <f>IF($C8="","",IFERROR(VLOOKUP(CONCATENATE(CE$3,"-",$C8),'FO-GC-012'!$D$20:$H$109,2,0),""))</f>
        <v/>
      </c>
      <c r="CF8" s="70" t="str">
        <f>IF($C8="","",IFERROR(VLOOKUP(CONCATENATE(CE$3,"-",$C8),'FO-GC-012'!$D$20:$H$109,3,0),""))</f>
        <v/>
      </c>
      <c r="CG8" s="71" t="str">
        <f>IF($C8="","",IFERROR(VLOOKUP(CONCATENATE(CE$3,"-",$C8),'FO-GC-012'!$D$20:$H$109,4,0),""))</f>
        <v/>
      </c>
      <c r="CH8" s="72" t="str">
        <f>IF($C8="","",IFERROR(VLOOKUP(CONCATENATE(CE$3,"-",$C8),'FO-GC-012'!$D$20:$H$109,5,0),""))</f>
        <v/>
      </c>
    </row>
    <row r="9" spans="1:87" ht="33.75" customHeight="1" x14ac:dyDescent="0.35">
      <c r="B9" s="83">
        <f>IF(C9="","",COUNTA(C$4:C9))</f>
        <v>6</v>
      </c>
      <c r="C9" s="82" t="str">
        <f>'Eq. Auditor'!B8</f>
        <v>*Clara Eugenia Satizábal Serna</v>
      </c>
      <c r="D9" s="83">
        <f>IF(C9="","",COUNTIF('FO-GC-012'!A:A,CONCATENATE("P-",C9)))</f>
        <v>0</v>
      </c>
      <c r="E9" s="83">
        <f>IF(C9="","",COUNTIF('FO-GC-012'!A:A,CONCATENATE("A-",C9)))</f>
        <v>0</v>
      </c>
      <c r="F9" s="83">
        <f t="shared" si="2"/>
        <v>0</v>
      </c>
      <c r="G9" s="65" t="str">
        <f>IF($C9="","",IFERROR(VLOOKUP(CONCATENATE(G$3,"-",$C9),'FO-GC-012'!$D$20:$H$109,2,0),""))</f>
        <v/>
      </c>
      <c r="H9" s="66" t="str">
        <f>IF($C9="","",IFERROR(VLOOKUP(CONCATENATE(G$3,"-",$C9),'FO-GC-012'!$D$20:$H$109,3,0),""))</f>
        <v/>
      </c>
      <c r="I9" s="67" t="str">
        <f>IF($C9="","",IFERROR(VLOOKUP(CONCATENATE(G$3,"-",$C9),'FO-GC-012'!$D$20:$H$109,4,0),""))</f>
        <v/>
      </c>
      <c r="J9" s="68" t="str">
        <f>IF($C9="","",IFERROR(VLOOKUP(CONCATENATE(G$3,"-",$C9),'FO-GC-012'!$D$20:$H$109,5,0),""))</f>
        <v/>
      </c>
      <c r="K9" s="65" t="str">
        <f>IF($C9="","",IFERROR(VLOOKUP(CONCATENATE(K$3,"-",$C9),'FO-GC-012'!$D$20:$H$109,2,0),""))</f>
        <v/>
      </c>
      <c r="L9" s="66" t="str">
        <f>IF($C9="","",IFERROR(VLOOKUP(CONCATENATE(K$3,"-",$C9),'FO-GC-012'!$D$20:$H$109,3,0),""))</f>
        <v/>
      </c>
      <c r="M9" s="67" t="str">
        <f>IF($C9="","",IFERROR(VLOOKUP(CONCATENATE(K$3,"-",$C9),'FO-GC-012'!$D$20:$H$109,4,0),""))</f>
        <v/>
      </c>
      <c r="N9" s="68" t="str">
        <f>IF($C9="","",IFERROR(VLOOKUP(CONCATENATE(K$3,"-",$C9),'FO-GC-012'!$D$20:$H$109,5,0),""))</f>
        <v/>
      </c>
      <c r="O9" s="65" t="str">
        <f>IF($C9="","",IFERROR(VLOOKUP(CONCATENATE(O$3,"-",$C9),'FO-GC-012'!$D$20:$H$109,2,0),""))</f>
        <v/>
      </c>
      <c r="P9" s="66" t="str">
        <f>IF($C9="","",IFERROR(VLOOKUP(CONCATENATE(O$3,"-",$C9),'FO-GC-012'!$D$20:$H$109,3,0),""))</f>
        <v/>
      </c>
      <c r="Q9" s="67" t="str">
        <f>IF($C9="","",IFERROR(VLOOKUP(CONCATENATE(O$3,"-",$C9),'FO-GC-012'!$D$20:$H$109,4,0),""))</f>
        <v/>
      </c>
      <c r="R9" s="68" t="str">
        <f>IF($C9="","",IFERROR(VLOOKUP(CONCATENATE(O$3,"-",$C9),'FO-GC-012'!$D$20:$H$109,5,0),""))</f>
        <v/>
      </c>
      <c r="S9" s="65" t="str">
        <f>IF($C9="","",IFERROR(VLOOKUP(CONCATENATE(S$3,"-",$C9),'FO-GC-012'!$D$20:$H$109,2,0),""))</f>
        <v/>
      </c>
      <c r="T9" s="66" t="str">
        <f>IF($C9="","",IFERROR(VLOOKUP(CONCATENATE(S$3,"-",$C9),'FO-GC-012'!$D$20:$H$109,3,0),""))</f>
        <v/>
      </c>
      <c r="U9" s="67" t="str">
        <f>IF($C9="","",IFERROR(VLOOKUP(CONCATENATE(S$3,"-",$C9),'FO-GC-012'!$D$20:$H$109,4,0),""))</f>
        <v/>
      </c>
      <c r="V9" s="68" t="str">
        <f>IF($C9="","",IFERROR(VLOOKUP(CONCATENATE(S$3,"-",$C9),'FO-GC-012'!$D$20:$H$109,5,0),""))</f>
        <v/>
      </c>
      <c r="W9" s="65" t="str">
        <f>IF($C9="","",IFERROR(VLOOKUP(CONCATENATE(W$3,"-",$C9),'FO-GC-012'!$D$20:$H$109,2,0),""))</f>
        <v/>
      </c>
      <c r="X9" s="66" t="str">
        <f>IF($C9="","",IFERROR(VLOOKUP(CONCATENATE(W$3,"-",$C9),'FO-GC-012'!$D$20:$H$109,3,0),""))</f>
        <v/>
      </c>
      <c r="Y9" s="67" t="str">
        <f>IF($C9="","",IFERROR(VLOOKUP(CONCATENATE(W$3,"-",$C9),'FO-GC-012'!$D$20:$H$109,4,0),""))</f>
        <v/>
      </c>
      <c r="Z9" s="68" t="str">
        <f>IF($C9="","",IFERROR(VLOOKUP(CONCATENATE(W$3,"-",$C9),'FO-GC-012'!$D$20:$H$109,5,0),""))</f>
        <v/>
      </c>
      <c r="AA9" s="65" t="str">
        <f>IF($C9="","",IFERROR(VLOOKUP(CONCATENATE(AA$3,"-",$C9),'FO-GC-012'!$D$20:$H$109,2,0),""))</f>
        <v/>
      </c>
      <c r="AB9" s="66" t="str">
        <f>IF($C9="","",IFERROR(VLOOKUP(CONCATENATE(AA$3,"-",$C9),'FO-GC-012'!$D$20:$H$109,3,0),""))</f>
        <v/>
      </c>
      <c r="AC9" s="67" t="str">
        <f>IF($C9="","",IFERROR(VLOOKUP(CONCATENATE(AA$3,"-",$C9),'FO-GC-012'!$D$20:$H$109,4,0),""))</f>
        <v/>
      </c>
      <c r="AD9" s="68" t="str">
        <f>IF($C9="","",IFERROR(VLOOKUP(CONCATENATE(AA$3,"-",$C9),'FO-GC-012'!$D$20:$H$109,5,0),""))</f>
        <v/>
      </c>
      <c r="AE9" s="65" t="str">
        <f>IF($C9="","",IFERROR(VLOOKUP(CONCATENATE(AE$3,"-",$C9),'FO-GC-012'!$D$20:$H$109,2,0),""))</f>
        <v/>
      </c>
      <c r="AF9" s="66" t="str">
        <f>IF($C9="","",IFERROR(VLOOKUP(CONCATENATE(AE$3,"-",$C9),'FO-GC-012'!$D$20:$H$109,3,0),""))</f>
        <v/>
      </c>
      <c r="AG9" s="67" t="str">
        <f>IF($C9="","",IFERROR(VLOOKUP(CONCATENATE(AE$3,"-",$C9),'FO-GC-012'!$D$20:$H$109,4,0),""))</f>
        <v/>
      </c>
      <c r="AH9" s="68" t="str">
        <f>IF($C9="","",IFERROR(VLOOKUP(CONCATENATE(AE$3,"-",$C9),'FO-GC-012'!$D$20:$H$109,5,0),""))</f>
        <v/>
      </c>
      <c r="AI9" s="65" t="str">
        <f>IF($C9="","",IFERROR(VLOOKUP(CONCATENATE(AI$3,"-",$C9),'FO-GC-012'!$D$20:$H$109,2,0),""))</f>
        <v/>
      </c>
      <c r="AJ9" s="66" t="str">
        <f>IF($C9="","",IFERROR(VLOOKUP(CONCATENATE(AI$3,"-",$C9),'FO-GC-012'!$D$20:$H$109,3,0),""))</f>
        <v/>
      </c>
      <c r="AK9" s="67" t="str">
        <f>IF($C9="","",IFERROR(VLOOKUP(CONCATENATE(AI$3,"-",$C9),'FO-GC-012'!$D$20:$H$109,4,0),""))</f>
        <v/>
      </c>
      <c r="AL9" s="68" t="str">
        <f>IF($C9="","",IFERROR(VLOOKUP(CONCATENATE(AI$3,"-",$C9),'FO-GC-012'!$D$20:$H$109,5,0),""))</f>
        <v/>
      </c>
      <c r="AM9" s="65" t="str">
        <f>IF($C9="","",IFERROR(VLOOKUP(CONCATENATE(AM$3,"-",$C9),'FO-GC-012'!$D$20:$H$109,2,0),""))</f>
        <v/>
      </c>
      <c r="AN9" s="66" t="str">
        <f>IF($C9="","",IFERROR(VLOOKUP(CONCATENATE(AM$3,"-",$C9),'FO-GC-012'!$D$20:$H$109,3,0),""))</f>
        <v/>
      </c>
      <c r="AO9" s="67" t="str">
        <f>IF($C9="","",IFERROR(VLOOKUP(CONCATENATE(AM$3,"-",$C9),'FO-GC-012'!$D$20:$H$109,4,0),""))</f>
        <v/>
      </c>
      <c r="AP9" s="68" t="str">
        <f>IF($C9="","",IFERROR(VLOOKUP(CONCATENATE(AM$3,"-",$C9),'FO-GC-012'!$D$20:$H$109,5,0),""))</f>
        <v/>
      </c>
      <c r="AQ9" s="65" t="str">
        <f>IF($C9="","",IFERROR(VLOOKUP(CONCATENATE(AQ$3,"-",$C9),'FO-GC-012'!$D$20:$H$109,2,0),""))</f>
        <v/>
      </c>
      <c r="AR9" s="66" t="str">
        <f>IF($C9="","",IFERROR(VLOOKUP(CONCATENATE(AQ$3,"-",$C9),'FO-GC-012'!$D$20:$H$109,3,0),""))</f>
        <v/>
      </c>
      <c r="AS9" s="67" t="str">
        <f>IF($C9="","",IFERROR(VLOOKUP(CONCATENATE(AQ$3,"-",$C9),'FO-GC-012'!$D$20:$H$109,4,0),""))</f>
        <v/>
      </c>
      <c r="AT9" s="68" t="str">
        <f>IF($C9="","",IFERROR(VLOOKUP(CONCATENATE(AQ$3,"-",$C9),'FO-GC-012'!$D$20:$H$109,5,0),""))</f>
        <v/>
      </c>
      <c r="AU9" s="65" t="str">
        <f>IF($C9="","",IFERROR(VLOOKUP(CONCATENATE(AU$3,"-",$C9),'FO-GC-012'!$D$20:$H$109,2,0),""))</f>
        <v/>
      </c>
      <c r="AV9" s="66" t="str">
        <f>IF($C9="","",IFERROR(VLOOKUP(CONCATENATE(AU$3,"-",$C9),'FO-GC-012'!$D$20:$H$109,3,0),""))</f>
        <v/>
      </c>
      <c r="AW9" s="67" t="str">
        <f>IF($C9="","",IFERROR(VLOOKUP(CONCATENATE(AU$3,"-",$C9),'FO-GC-012'!$D$20:$H$109,4,0),""))</f>
        <v/>
      </c>
      <c r="AX9" s="68" t="str">
        <f>IF($C9="","",IFERROR(VLOOKUP(CONCATENATE(AU$3,"-",$C9),'FO-GC-012'!$D$20:$H$109,5,0),""))</f>
        <v/>
      </c>
      <c r="AY9" s="65" t="str">
        <f>IF($C9="","",IFERROR(VLOOKUP(CONCATENATE(AY$3,"-",$C9),'FO-GC-012'!$D$20:$H$109,2,0),""))</f>
        <v/>
      </c>
      <c r="AZ9" s="66" t="str">
        <f>IF($C9="","",IFERROR(VLOOKUP(CONCATENATE(AY$3,"-",$C9),'FO-GC-012'!$D$20:$H$109,3,0),""))</f>
        <v/>
      </c>
      <c r="BA9" s="67" t="str">
        <f>IF($C9="","",IFERROR(VLOOKUP(CONCATENATE(AY$3,"-",$C9),'FO-GC-012'!$D$20:$H$109,4,0),""))</f>
        <v/>
      </c>
      <c r="BB9" s="68" t="str">
        <f>IF($C9="","",IFERROR(VLOOKUP(CONCATENATE(AY$3,"-",$C9),'FO-GC-012'!$D$20:$H$109,5,0),""))</f>
        <v/>
      </c>
      <c r="BC9" s="65" t="str">
        <f>IF($C9="","",IFERROR(VLOOKUP(CONCATENATE(BC$3,"-",$C9),'FO-GC-012'!$D$20:$H$109,2,0),""))</f>
        <v/>
      </c>
      <c r="BD9" s="66" t="str">
        <f>IF($C9="","",IFERROR(VLOOKUP(CONCATENATE(BC$3,"-",$C9),'FO-GC-012'!$D$20:$H$109,3,0),""))</f>
        <v/>
      </c>
      <c r="BE9" s="67" t="str">
        <f>IF($C9="","",IFERROR(VLOOKUP(CONCATENATE(BC$3,"-",$C9),'FO-GC-012'!$D$20:$H$109,4,0),""))</f>
        <v/>
      </c>
      <c r="BF9" s="68" t="str">
        <f>IF($C9="","",IFERROR(VLOOKUP(CONCATENATE(BC$3,"-",$C9),'FO-GC-012'!$D$20:$H$109,5,0),""))</f>
        <v/>
      </c>
      <c r="BG9" s="65" t="str">
        <f>IF($C9="","",IFERROR(VLOOKUP(CONCATENATE(BG$3,"-",$C9),'FO-GC-012'!$D$20:$H$109,2,0),""))</f>
        <v/>
      </c>
      <c r="BH9" s="66" t="str">
        <f>IF($C9="","",IFERROR(VLOOKUP(CONCATENATE(BG$3,"-",$C9),'FO-GC-012'!$D$20:$H$109,3,0),""))</f>
        <v/>
      </c>
      <c r="BI9" s="67" t="str">
        <f>IF($C9="","",IFERROR(VLOOKUP(CONCATENATE(BG$3,"-",$C9),'FO-GC-012'!$D$20:$H$109,4,0),""))</f>
        <v/>
      </c>
      <c r="BJ9" s="68" t="str">
        <f>IF($C9="","",IFERROR(VLOOKUP(CONCATENATE(BG$3,"-",$C9),'FO-GC-012'!$D$20:$H$109,5,0),""))</f>
        <v/>
      </c>
      <c r="BK9" s="65" t="str">
        <f>IF($C9="","",IFERROR(VLOOKUP(CONCATENATE(BK$3,"-",$C9),'FO-GC-012'!$D$20:$H$109,2,0),""))</f>
        <v/>
      </c>
      <c r="BL9" s="66" t="str">
        <f>IF($C9="","",IFERROR(VLOOKUP(CONCATENATE(BK$3,"-",$C9),'FO-GC-012'!$D$20:$H$109,3,0),""))</f>
        <v/>
      </c>
      <c r="BM9" s="67" t="str">
        <f>IF($C9="","",IFERROR(VLOOKUP(CONCATENATE(BK$3,"-",$C9),'FO-GC-012'!$D$20:$H$109,4,0),""))</f>
        <v/>
      </c>
      <c r="BN9" s="68" t="str">
        <f>IF($C9="","",IFERROR(VLOOKUP(CONCATENATE(BK$3,"-",$C9),'FO-GC-012'!$D$20:$H$109,5,0),""))</f>
        <v/>
      </c>
      <c r="BO9" s="65" t="str">
        <f>IF($C9="","",IFERROR(VLOOKUP(CONCATENATE(BO$3,"-",$C9),'FO-GC-012'!$D$20:$H$109,2,0),""))</f>
        <v/>
      </c>
      <c r="BP9" s="66" t="str">
        <f>IF($C9="","",IFERROR(VLOOKUP(CONCATENATE(BO$3,"-",$C9),'FO-GC-012'!$D$20:$H$109,3,0),""))</f>
        <v/>
      </c>
      <c r="BQ9" s="67" t="str">
        <f>IF($C9="","",IFERROR(VLOOKUP(CONCATENATE(BO$3,"-",$C9),'FO-GC-012'!$D$20:$H$109,4,0),""))</f>
        <v/>
      </c>
      <c r="BR9" s="68" t="str">
        <f>IF($C9="","",IFERROR(VLOOKUP(CONCATENATE(BO$3,"-",$C9),'FO-GC-012'!$D$20:$H$109,5,0),""))</f>
        <v/>
      </c>
      <c r="BS9" s="65" t="str">
        <f>IF($C9="","",IFERROR(VLOOKUP(CONCATENATE(BS$3,"-",$C9),'FO-GC-012'!$D$20:$H$109,2,0),""))</f>
        <v/>
      </c>
      <c r="BT9" s="66" t="str">
        <f>IF($C9="","",IFERROR(VLOOKUP(CONCATENATE(BS$3,"-",$C9),'FO-GC-012'!$D$20:$H$109,3,0),""))</f>
        <v/>
      </c>
      <c r="BU9" s="67" t="str">
        <f>IF($C9="","",IFERROR(VLOOKUP(CONCATENATE(BS$3,"-",$C9),'FO-GC-012'!$D$20:$H$109,4,0),""))</f>
        <v/>
      </c>
      <c r="BV9" s="68" t="str">
        <f>IF($C9="","",IFERROR(VLOOKUP(CONCATENATE(BS$3,"-",$C9),'FO-GC-012'!$D$20:$H$109,5,0),""))</f>
        <v/>
      </c>
      <c r="BW9" s="65" t="str">
        <f>IF($C9="","",IFERROR(VLOOKUP(CONCATENATE(BW$3,"-",$C9),'FO-GC-012'!$D$20:$H$109,2,0),""))</f>
        <v/>
      </c>
      <c r="BX9" s="66" t="str">
        <f>IF($C9="","",IFERROR(VLOOKUP(CONCATENATE(BW$3,"-",$C9),'FO-GC-012'!$D$20:$H$109,3,0),""))</f>
        <v/>
      </c>
      <c r="BY9" s="67" t="str">
        <f>IF($C9="","",IFERROR(VLOOKUP(CONCATENATE(BW$3,"-",$C9),'FO-GC-012'!$D$20:$H$109,4,0),""))</f>
        <v/>
      </c>
      <c r="BZ9" s="68" t="str">
        <f>IF($C9="","",IFERROR(VLOOKUP(CONCATENATE(BW$3,"-",$C9),'FO-GC-012'!$D$20:$H$109,5,0),""))</f>
        <v/>
      </c>
      <c r="CA9" s="65" t="str">
        <f>IF($C9="","",IFERROR(VLOOKUP(CONCATENATE(CA$3,"-",$C9),'FO-GC-012'!$D$20:$H$109,2,0),""))</f>
        <v/>
      </c>
      <c r="CB9" s="66" t="str">
        <f>IF($C9="","",IFERROR(VLOOKUP(CONCATENATE(CA$3,"-",$C9),'FO-GC-012'!$D$20:$H$109,3,0),""))</f>
        <v/>
      </c>
      <c r="CC9" s="67" t="str">
        <f>IF($C9="","",IFERROR(VLOOKUP(CONCATENATE(CA$3,"-",$C9),'FO-GC-012'!$D$20:$H$109,4,0),""))</f>
        <v/>
      </c>
      <c r="CD9" s="68" t="str">
        <f>IF($C9="","",IFERROR(VLOOKUP(CONCATENATE(CA$3,"-",$C9),'FO-GC-012'!$D$20:$H$109,5,0),""))</f>
        <v/>
      </c>
      <c r="CE9" s="65" t="str">
        <f>IF($C9="","",IFERROR(VLOOKUP(CONCATENATE(CE$3,"-",$C9),'FO-GC-012'!$D$20:$H$109,2,0),""))</f>
        <v/>
      </c>
      <c r="CF9" s="66" t="str">
        <f>IF($C9="","",IFERROR(VLOOKUP(CONCATENATE(CE$3,"-",$C9),'FO-GC-012'!$D$20:$H$109,3,0),""))</f>
        <v/>
      </c>
      <c r="CG9" s="67" t="str">
        <f>IF($C9="","",IFERROR(VLOOKUP(CONCATENATE(CE$3,"-",$C9),'FO-GC-012'!$D$20:$H$109,4,0),""))</f>
        <v/>
      </c>
      <c r="CH9" s="68" t="str">
        <f>IF($C9="","",IFERROR(VLOOKUP(CONCATENATE(CE$3,"-",$C9),'FO-GC-012'!$D$20:$H$109,5,0),""))</f>
        <v/>
      </c>
    </row>
    <row r="10" spans="1:87" ht="33.75" customHeight="1" x14ac:dyDescent="0.35">
      <c r="B10" s="83">
        <f>IF(C10="","",COUNTA(C$4:C10))</f>
        <v>7</v>
      </c>
      <c r="C10" s="82" t="str">
        <f>'Eq. Auditor'!B9</f>
        <v>*Daisy Ximena Valencia Palomino</v>
      </c>
      <c r="D10" s="83">
        <f>IF(C10="","",COUNTIF('FO-GC-012'!A:A,CONCATENATE("P-",C10)))</f>
        <v>0</v>
      </c>
      <c r="E10" s="83">
        <f>IF(C10="","",COUNTIF('FO-GC-012'!A:A,CONCATENATE("A-",C10)))</f>
        <v>0</v>
      </c>
      <c r="F10" s="83">
        <f t="shared" si="2"/>
        <v>0</v>
      </c>
      <c r="G10" s="69" t="str">
        <f>IF($C10="","",IFERROR(VLOOKUP(CONCATENATE(G$3,"-",$C10),'FO-GC-012'!$D$20:$H$109,2,0),""))</f>
        <v/>
      </c>
      <c r="H10" s="70" t="str">
        <f>IF($C10="","",IFERROR(VLOOKUP(CONCATENATE(G$3,"-",$C10),'FO-GC-012'!$D$20:$H$109,3,0),""))</f>
        <v/>
      </c>
      <c r="I10" s="71" t="str">
        <f>IF($C10="","",IFERROR(VLOOKUP(CONCATENATE(G$3,"-",$C10),'FO-GC-012'!$D$20:$H$109,4,0),""))</f>
        <v/>
      </c>
      <c r="J10" s="72" t="str">
        <f>IF($C10="","",IFERROR(VLOOKUP(CONCATENATE(G$3,"-",$C10),'FO-GC-012'!$D$20:$H$109,5,0),""))</f>
        <v/>
      </c>
      <c r="K10" s="69" t="str">
        <f>IF($C10="","",IFERROR(VLOOKUP(CONCATENATE(K$3,"-",$C10),'FO-GC-012'!$D$20:$H$109,2,0),""))</f>
        <v/>
      </c>
      <c r="L10" s="70" t="str">
        <f>IF($C10="","",IFERROR(VLOOKUP(CONCATENATE(K$3,"-",$C10),'FO-GC-012'!$D$20:$H$109,3,0),""))</f>
        <v/>
      </c>
      <c r="M10" s="71" t="str">
        <f>IF($C10="","",IFERROR(VLOOKUP(CONCATENATE(K$3,"-",$C10),'FO-GC-012'!$D$20:$H$109,4,0),""))</f>
        <v/>
      </c>
      <c r="N10" s="72" t="str">
        <f>IF($C10="","",IFERROR(VLOOKUP(CONCATENATE(K$3,"-",$C10),'FO-GC-012'!$D$20:$H$109,5,0),""))</f>
        <v/>
      </c>
      <c r="O10" s="69" t="str">
        <f>IF($C10="","",IFERROR(VLOOKUP(CONCATENATE(O$3,"-",$C10),'FO-GC-012'!$D$20:$H$109,2,0),""))</f>
        <v/>
      </c>
      <c r="P10" s="70" t="str">
        <f>IF($C10="","",IFERROR(VLOOKUP(CONCATENATE(O$3,"-",$C10),'FO-GC-012'!$D$20:$H$109,3,0),""))</f>
        <v/>
      </c>
      <c r="Q10" s="71" t="str">
        <f>IF($C10="","",IFERROR(VLOOKUP(CONCATENATE(O$3,"-",$C10),'FO-GC-012'!$D$20:$H$109,4,0),""))</f>
        <v/>
      </c>
      <c r="R10" s="72" t="str">
        <f>IF($C10="","",IFERROR(VLOOKUP(CONCATENATE(O$3,"-",$C10),'FO-GC-012'!$D$20:$H$109,5,0),""))</f>
        <v/>
      </c>
      <c r="S10" s="69" t="str">
        <f>IF($C10="","",IFERROR(VLOOKUP(CONCATENATE(S$3,"-",$C10),'FO-GC-012'!$D$20:$H$109,2,0),""))</f>
        <v/>
      </c>
      <c r="T10" s="70" t="str">
        <f>IF($C10="","",IFERROR(VLOOKUP(CONCATENATE(S$3,"-",$C10),'FO-GC-012'!$D$20:$H$109,3,0),""))</f>
        <v/>
      </c>
      <c r="U10" s="71" t="str">
        <f>IF($C10="","",IFERROR(VLOOKUP(CONCATENATE(S$3,"-",$C10),'FO-GC-012'!$D$20:$H$109,4,0),""))</f>
        <v/>
      </c>
      <c r="V10" s="72" t="str">
        <f>IF($C10="","",IFERROR(VLOOKUP(CONCATENATE(S$3,"-",$C10),'FO-GC-012'!$D$20:$H$109,5,0),""))</f>
        <v/>
      </c>
      <c r="W10" s="69" t="str">
        <f>IF($C10="","",IFERROR(VLOOKUP(CONCATENATE(W$3,"-",$C10),'FO-GC-012'!$D$20:$H$109,2,0),""))</f>
        <v/>
      </c>
      <c r="X10" s="70" t="str">
        <f>IF($C10="","",IFERROR(VLOOKUP(CONCATENATE(W$3,"-",$C10),'FO-GC-012'!$D$20:$H$109,3,0),""))</f>
        <v/>
      </c>
      <c r="Y10" s="71" t="str">
        <f>IF($C10="","",IFERROR(VLOOKUP(CONCATENATE(W$3,"-",$C10),'FO-GC-012'!$D$20:$H$109,4,0),""))</f>
        <v/>
      </c>
      <c r="Z10" s="72" t="str">
        <f>IF($C10="","",IFERROR(VLOOKUP(CONCATENATE(W$3,"-",$C10),'FO-GC-012'!$D$20:$H$109,5,0),""))</f>
        <v/>
      </c>
      <c r="AA10" s="69" t="str">
        <f>IF($C10="","",IFERROR(VLOOKUP(CONCATENATE(AA$3,"-",$C10),'FO-GC-012'!$D$20:$H$109,2,0),""))</f>
        <v/>
      </c>
      <c r="AB10" s="70" t="str">
        <f>IF($C10="","",IFERROR(VLOOKUP(CONCATENATE(AA$3,"-",$C10),'FO-GC-012'!$D$20:$H$109,3,0),""))</f>
        <v/>
      </c>
      <c r="AC10" s="71" t="str">
        <f>IF($C10="","",IFERROR(VLOOKUP(CONCATENATE(AA$3,"-",$C10),'FO-GC-012'!$D$20:$H$109,4,0),""))</f>
        <v/>
      </c>
      <c r="AD10" s="72" t="str">
        <f>IF($C10="","",IFERROR(VLOOKUP(CONCATENATE(AA$3,"-",$C10),'FO-GC-012'!$D$20:$H$109,5,0),""))</f>
        <v/>
      </c>
      <c r="AE10" s="69" t="str">
        <f>IF($C10="","",IFERROR(VLOOKUP(CONCATENATE(AE$3,"-",$C10),'FO-GC-012'!$D$20:$H$109,2,0),""))</f>
        <v/>
      </c>
      <c r="AF10" s="70" t="str">
        <f>IF($C10="","",IFERROR(VLOOKUP(CONCATENATE(AE$3,"-",$C10),'FO-GC-012'!$D$20:$H$109,3,0),""))</f>
        <v/>
      </c>
      <c r="AG10" s="71" t="str">
        <f>IF($C10="","",IFERROR(VLOOKUP(CONCATENATE(AE$3,"-",$C10),'FO-GC-012'!$D$20:$H$109,4,0),""))</f>
        <v/>
      </c>
      <c r="AH10" s="72" t="str">
        <f>IF($C10="","",IFERROR(VLOOKUP(CONCATENATE(AE$3,"-",$C10),'FO-GC-012'!$D$20:$H$109,5,0),""))</f>
        <v/>
      </c>
      <c r="AI10" s="69" t="str">
        <f>IF($C10="","",IFERROR(VLOOKUP(CONCATENATE(AI$3,"-",$C10),'FO-GC-012'!$D$20:$H$109,2,0),""))</f>
        <v/>
      </c>
      <c r="AJ10" s="70" t="str">
        <f>IF($C10="","",IFERROR(VLOOKUP(CONCATENATE(AI$3,"-",$C10),'FO-GC-012'!$D$20:$H$109,3,0),""))</f>
        <v/>
      </c>
      <c r="AK10" s="71" t="str">
        <f>IF($C10="","",IFERROR(VLOOKUP(CONCATENATE(AI$3,"-",$C10),'FO-GC-012'!$D$20:$H$109,4,0),""))</f>
        <v/>
      </c>
      <c r="AL10" s="72" t="str">
        <f>IF($C10="","",IFERROR(VLOOKUP(CONCATENATE(AI$3,"-",$C10),'FO-GC-012'!$D$20:$H$109,5,0),""))</f>
        <v/>
      </c>
      <c r="AM10" s="69" t="str">
        <f>IF($C10="","",IFERROR(VLOOKUP(CONCATENATE(AM$3,"-",$C10),'FO-GC-012'!$D$20:$H$109,2,0),""))</f>
        <v/>
      </c>
      <c r="AN10" s="70" t="str">
        <f>IF($C10="","",IFERROR(VLOOKUP(CONCATENATE(AM$3,"-",$C10),'FO-GC-012'!$D$20:$H$109,3,0),""))</f>
        <v/>
      </c>
      <c r="AO10" s="71" t="str">
        <f>IF($C10="","",IFERROR(VLOOKUP(CONCATENATE(AM$3,"-",$C10),'FO-GC-012'!$D$20:$H$109,4,0),""))</f>
        <v/>
      </c>
      <c r="AP10" s="72" t="str">
        <f>IF($C10="","",IFERROR(VLOOKUP(CONCATENATE(AM$3,"-",$C10),'FO-GC-012'!$D$20:$H$109,5,0),""))</f>
        <v/>
      </c>
      <c r="AQ10" s="69" t="str">
        <f>IF($C10="","",IFERROR(VLOOKUP(CONCATENATE(AQ$3,"-",$C10),'FO-GC-012'!$D$20:$H$109,2,0),""))</f>
        <v/>
      </c>
      <c r="AR10" s="70" t="str">
        <f>IF($C10="","",IFERROR(VLOOKUP(CONCATENATE(AQ$3,"-",$C10),'FO-GC-012'!$D$20:$H$109,3,0),""))</f>
        <v/>
      </c>
      <c r="AS10" s="71" t="str">
        <f>IF($C10="","",IFERROR(VLOOKUP(CONCATENATE(AQ$3,"-",$C10),'FO-GC-012'!$D$20:$H$109,4,0),""))</f>
        <v/>
      </c>
      <c r="AT10" s="72" t="str">
        <f>IF($C10="","",IFERROR(VLOOKUP(CONCATENATE(AQ$3,"-",$C10),'FO-GC-012'!$D$20:$H$109,5,0),""))</f>
        <v/>
      </c>
      <c r="AU10" s="69" t="str">
        <f>IF($C10="","",IFERROR(VLOOKUP(CONCATENATE(AU$3,"-",$C10),'FO-GC-012'!$D$20:$H$109,2,0),""))</f>
        <v/>
      </c>
      <c r="AV10" s="70" t="str">
        <f>IF($C10="","",IFERROR(VLOOKUP(CONCATENATE(AU$3,"-",$C10),'FO-GC-012'!$D$20:$H$109,3,0),""))</f>
        <v/>
      </c>
      <c r="AW10" s="71" t="str">
        <f>IF($C10="","",IFERROR(VLOOKUP(CONCATENATE(AU$3,"-",$C10),'FO-GC-012'!$D$20:$H$109,4,0),""))</f>
        <v/>
      </c>
      <c r="AX10" s="72" t="str">
        <f>IF($C10="","",IFERROR(VLOOKUP(CONCATENATE(AU$3,"-",$C10),'FO-GC-012'!$D$20:$H$109,5,0),""))</f>
        <v/>
      </c>
      <c r="AY10" s="69" t="str">
        <f>IF($C10="","",IFERROR(VLOOKUP(CONCATENATE(AY$3,"-",$C10),'FO-GC-012'!$D$20:$H$109,2,0),""))</f>
        <v/>
      </c>
      <c r="AZ10" s="70" t="str">
        <f>IF($C10="","",IFERROR(VLOOKUP(CONCATENATE(AY$3,"-",$C10),'FO-GC-012'!$D$20:$H$109,3,0),""))</f>
        <v/>
      </c>
      <c r="BA10" s="71" t="str">
        <f>IF($C10="","",IFERROR(VLOOKUP(CONCATENATE(AY$3,"-",$C10),'FO-GC-012'!$D$20:$H$109,4,0),""))</f>
        <v/>
      </c>
      <c r="BB10" s="72" t="str">
        <f>IF($C10="","",IFERROR(VLOOKUP(CONCATENATE(AY$3,"-",$C10),'FO-GC-012'!$D$20:$H$109,5,0),""))</f>
        <v/>
      </c>
      <c r="BC10" s="69" t="str">
        <f>IF($C10="","",IFERROR(VLOOKUP(CONCATENATE(BC$3,"-",$C10),'FO-GC-012'!$D$20:$H$109,2,0),""))</f>
        <v/>
      </c>
      <c r="BD10" s="70" t="str">
        <f>IF($C10="","",IFERROR(VLOOKUP(CONCATENATE(BC$3,"-",$C10),'FO-GC-012'!$D$20:$H$109,3,0),""))</f>
        <v/>
      </c>
      <c r="BE10" s="71" t="str">
        <f>IF($C10="","",IFERROR(VLOOKUP(CONCATENATE(BC$3,"-",$C10),'FO-GC-012'!$D$20:$H$109,4,0),""))</f>
        <v/>
      </c>
      <c r="BF10" s="72" t="str">
        <f>IF($C10="","",IFERROR(VLOOKUP(CONCATENATE(BC$3,"-",$C10),'FO-GC-012'!$D$20:$H$109,5,0),""))</f>
        <v/>
      </c>
      <c r="BG10" s="69" t="str">
        <f>IF($C10="","",IFERROR(VLOOKUP(CONCATENATE(BG$3,"-",$C10),'FO-GC-012'!$D$20:$H$109,2,0),""))</f>
        <v/>
      </c>
      <c r="BH10" s="70" t="str">
        <f>IF($C10="","",IFERROR(VLOOKUP(CONCATENATE(BG$3,"-",$C10),'FO-GC-012'!$D$20:$H$109,3,0),""))</f>
        <v/>
      </c>
      <c r="BI10" s="71" t="str">
        <f>IF($C10="","",IFERROR(VLOOKUP(CONCATENATE(BG$3,"-",$C10),'FO-GC-012'!$D$20:$H$109,4,0),""))</f>
        <v/>
      </c>
      <c r="BJ10" s="72" t="str">
        <f>IF($C10="","",IFERROR(VLOOKUP(CONCATENATE(BG$3,"-",$C10),'FO-GC-012'!$D$20:$H$109,5,0),""))</f>
        <v/>
      </c>
      <c r="BK10" s="69" t="str">
        <f>IF($C10="","",IFERROR(VLOOKUP(CONCATENATE(BK$3,"-",$C10),'FO-GC-012'!$D$20:$H$109,2,0),""))</f>
        <v/>
      </c>
      <c r="BL10" s="70" t="str">
        <f>IF($C10="","",IFERROR(VLOOKUP(CONCATENATE(BK$3,"-",$C10),'FO-GC-012'!$D$20:$H$109,3,0),""))</f>
        <v/>
      </c>
      <c r="BM10" s="71" t="str">
        <f>IF($C10="","",IFERROR(VLOOKUP(CONCATENATE(BK$3,"-",$C10),'FO-GC-012'!$D$20:$H$109,4,0),""))</f>
        <v/>
      </c>
      <c r="BN10" s="72" t="str">
        <f>IF($C10="","",IFERROR(VLOOKUP(CONCATENATE(BK$3,"-",$C10),'FO-GC-012'!$D$20:$H$109,5,0),""))</f>
        <v/>
      </c>
      <c r="BO10" s="69" t="str">
        <f>IF($C10="","",IFERROR(VLOOKUP(CONCATENATE(BO$3,"-",$C10),'FO-GC-012'!$D$20:$H$109,2,0),""))</f>
        <v/>
      </c>
      <c r="BP10" s="70" t="str">
        <f>IF($C10="","",IFERROR(VLOOKUP(CONCATENATE(BO$3,"-",$C10),'FO-GC-012'!$D$20:$H$109,3,0),""))</f>
        <v/>
      </c>
      <c r="BQ10" s="71" t="str">
        <f>IF($C10="","",IFERROR(VLOOKUP(CONCATENATE(BO$3,"-",$C10),'FO-GC-012'!$D$20:$H$109,4,0),""))</f>
        <v/>
      </c>
      <c r="BR10" s="72" t="str">
        <f>IF($C10="","",IFERROR(VLOOKUP(CONCATENATE(BO$3,"-",$C10),'FO-GC-012'!$D$20:$H$109,5,0),""))</f>
        <v/>
      </c>
      <c r="BS10" s="69" t="str">
        <f>IF($C10="","",IFERROR(VLOOKUP(CONCATENATE(BS$3,"-",$C10),'FO-GC-012'!$D$20:$H$109,2,0),""))</f>
        <v/>
      </c>
      <c r="BT10" s="70" t="str">
        <f>IF($C10="","",IFERROR(VLOOKUP(CONCATENATE(BS$3,"-",$C10),'FO-GC-012'!$D$20:$H$109,3,0),""))</f>
        <v/>
      </c>
      <c r="BU10" s="71" t="str">
        <f>IF($C10="","",IFERROR(VLOOKUP(CONCATENATE(BS$3,"-",$C10),'FO-GC-012'!$D$20:$H$109,4,0),""))</f>
        <v/>
      </c>
      <c r="BV10" s="72" t="str">
        <f>IF($C10="","",IFERROR(VLOOKUP(CONCATENATE(BS$3,"-",$C10),'FO-GC-012'!$D$20:$H$109,5,0),""))</f>
        <v/>
      </c>
      <c r="BW10" s="69" t="str">
        <f>IF($C10="","",IFERROR(VLOOKUP(CONCATENATE(BW$3,"-",$C10),'FO-GC-012'!$D$20:$H$109,2,0),""))</f>
        <v/>
      </c>
      <c r="BX10" s="70" t="str">
        <f>IF($C10="","",IFERROR(VLOOKUP(CONCATENATE(BW$3,"-",$C10),'FO-GC-012'!$D$20:$H$109,3,0),""))</f>
        <v/>
      </c>
      <c r="BY10" s="71" t="str">
        <f>IF($C10="","",IFERROR(VLOOKUP(CONCATENATE(BW$3,"-",$C10),'FO-GC-012'!$D$20:$H$109,4,0),""))</f>
        <v/>
      </c>
      <c r="BZ10" s="72" t="str">
        <f>IF($C10="","",IFERROR(VLOOKUP(CONCATENATE(BW$3,"-",$C10),'FO-GC-012'!$D$20:$H$109,5,0),""))</f>
        <v/>
      </c>
      <c r="CA10" s="69" t="str">
        <f>IF($C10="","",IFERROR(VLOOKUP(CONCATENATE(CA$3,"-",$C10),'FO-GC-012'!$D$20:$H$109,2,0),""))</f>
        <v/>
      </c>
      <c r="CB10" s="70" t="str">
        <f>IF($C10="","",IFERROR(VLOOKUP(CONCATENATE(CA$3,"-",$C10),'FO-GC-012'!$D$20:$H$109,3,0),""))</f>
        <v/>
      </c>
      <c r="CC10" s="71" t="str">
        <f>IF($C10="","",IFERROR(VLOOKUP(CONCATENATE(CA$3,"-",$C10),'FO-GC-012'!$D$20:$H$109,4,0),""))</f>
        <v/>
      </c>
      <c r="CD10" s="72" t="str">
        <f>IF($C10="","",IFERROR(VLOOKUP(CONCATENATE(CA$3,"-",$C10),'FO-GC-012'!$D$20:$H$109,5,0),""))</f>
        <v/>
      </c>
      <c r="CE10" s="69" t="str">
        <f>IF($C10="","",IFERROR(VLOOKUP(CONCATENATE(CE$3,"-",$C10),'FO-GC-012'!$D$20:$H$109,2,0),""))</f>
        <v/>
      </c>
      <c r="CF10" s="70" t="str">
        <f>IF($C10="","",IFERROR(VLOOKUP(CONCATENATE(CE$3,"-",$C10),'FO-GC-012'!$D$20:$H$109,3,0),""))</f>
        <v/>
      </c>
      <c r="CG10" s="71" t="str">
        <f>IF($C10="","",IFERROR(VLOOKUP(CONCATENATE(CE$3,"-",$C10),'FO-GC-012'!$D$20:$H$109,4,0),""))</f>
        <v/>
      </c>
      <c r="CH10" s="72" t="str">
        <f>IF($C10="","",IFERROR(VLOOKUP(CONCATENATE(CE$3,"-",$C10),'FO-GC-012'!$D$20:$H$109,5,0),""))</f>
        <v/>
      </c>
    </row>
    <row r="11" spans="1:87" ht="33.75" customHeight="1" x14ac:dyDescent="0.35">
      <c r="B11" s="83">
        <f>IF(C11="","",COUNTA(C$4:C11))</f>
        <v>8</v>
      </c>
      <c r="C11" s="82" t="str">
        <f>'Eq. Auditor'!B10</f>
        <v>*Daniel Andres Feriz Garcia</v>
      </c>
      <c r="D11" s="83">
        <f>IF(C11="","",COUNTIF('FO-GC-012'!A:A,CONCATENATE("P-",C11)))</f>
        <v>0</v>
      </c>
      <c r="E11" s="83">
        <f>IF(C11="","",COUNTIF('FO-GC-012'!A:A,CONCATENATE("A-",C11)))</f>
        <v>0</v>
      </c>
      <c r="F11" s="83">
        <f t="shared" si="2"/>
        <v>0</v>
      </c>
      <c r="G11" s="65" t="str">
        <f>IF($C11="","",IFERROR(VLOOKUP(CONCATENATE(G$3,"-",$C11),'FO-GC-012'!$D$20:$H$109,2,0),""))</f>
        <v/>
      </c>
      <c r="H11" s="66" t="str">
        <f>IF($C11="","",IFERROR(VLOOKUP(CONCATENATE(G$3,"-",$C11),'FO-GC-012'!$D$20:$H$109,3,0),""))</f>
        <v/>
      </c>
      <c r="I11" s="67" t="str">
        <f>IF($C11="","",IFERROR(VLOOKUP(CONCATENATE(G$3,"-",$C11),'FO-GC-012'!$D$20:$H$109,4,0),""))</f>
        <v/>
      </c>
      <c r="J11" s="68" t="str">
        <f>IF($C11="","",IFERROR(VLOOKUP(CONCATENATE(G$3,"-",$C11),'FO-GC-012'!$D$20:$H$109,5,0),""))</f>
        <v/>
      </c>
      <c r="K11" s="65" t="str">
        <f>IF($C11="","",IFERROR(VLOOKUP(CONCATENATE(K$3,"-",$C11),'FO-GC-012'!$D$20:$H$109,2,0),""))</f>
        <v/>
      </c>
      <c r="L11" s="66" t="str">
        <f>IF($C11="","",IFERROR(VLOOKUP(CONCATENATE(K$3,"-",$C11),'FO-GC-012'!$D$20:$H$109,3,0),""))</f>
        <v/>
      </c>
      <c r="M11" s="67" t="str">
        <f>IF($C11="","",IFERROR(VLOOKUP(CONCATENATE(K$3,"-",$C11),'FO-GC-012'!$D$20:$H$109,4,0),""))</f>
        <v/>
      </c>
      <c r="N11" s="68" t="str">
        <f>IF($C11="","",IFERROR(VLOOKUP(CONCATENATE(K$3,"-",$C11),'FO-GC-012'!$D$20:$H$109,5,0),""))</f>
        <v/>
      </c>
      <c r="O11" s="65" t="str">
        <f>IF($C11="","",IFERROR(VLOOKUP(CONCATENATE(O$3,"-",$C11),'FO-GC-012'!$D$20:$H$109,2,0),""))</f>
        <v/>
      </c>
      <c r="P11" s="66" t="str">
        <f>IF($C11="","",IFERROR(VLOOKUP(CONCATENATE(O$3,"-",$C11),'FO-GC-012'!$D$20:$H$109,3,0),""))</f>
        <v/>
      </c>
      <c r="Q11" s="67" t="str">
        <f>IF($C11="","",IFERROR(VLOOKUP(CONCATENATE(O$3,"-",$C11),'FO-GC-012'!$D$20:$H$109,4,0),""))</f>
        <v/>
      </c>
      <c r="R11" s="68" t="str">
        <f>IF($C11="","",IFERROR(VLOOKUP(CONCATENATE(O$3,"-",$C11),'FO-GC-012'!$D$20:$H$109,5,0),""))</f>
        <v/>
      </c>
      <c r="S11" s="65" t="str">
        <f>IF($C11="","",IFERROR(VLOOKUP(CONCATENATE(S$3,"-",$C11),'FO-GC-012'!$D$20:$H$109,2,0),""))</f>
        <v/>
      </c>
      <c r="T11" s="66" t="str">
        <f>IF($C11="","",IFERROR(VLOOKUP(CONCATENATE(S$3,"-",$C11),'FO-GC-012'!$D$20:$H$109,3,0),""))</f>
        <v/>
      </c>
      <c r="U11" s="67" t="str">
        <f>IF($C11="","",IFERROR(VLOOKUP(CONCATENATE(S$3,"-",$C11),'FO-GC-012'!$D$20:$H$109,4,0),""))</f>
        <v/>
      </c>
      <c r="V11" s="68" t="str">
        <f>IF($C11="","",IFERROR(VLOOKUP(CONCATENATE(S$3,"-",$C11),'FO-GC-012'!$D$20:$H$109,5,0),""))</f>
        <v/>
      </c>
      <c r="W11" s="65" t="str">
        <f>IF($C11="","",IFERROR(VLOOKUP(CONCATENATE(W$3,"-",$C11),'FO-GC-012'!$D$20:$H$109,2,0),""))</f>
        <v/>
      </c>
      <c r="X11" s="66" t="str">
        <f>IF($C11="","",IFERROR(VLOOKUP(CONCATENATE(W$3,"-",$C11),'FO-GC-012'!$D$20:$H$109,3,0),""))</f>
        <v/>
      </c>
      <c r="Y11" s="67" t="str">
        <f>IF($C11="","",IFERROR(VLOOKUP(CONCATENATE(W$3,"-",$C11),'FO-GC-012'!$D$20:$H$109,4,0),""))</f>
        <v/>
      </c>
      <c r="Z11" s="68" t="str">
        <f>IF($C11="","",IFERROR(VLOOKUP(CONCATENATE(W$3,"-",$C11),'FO-GC-012'!$D$20:$H$109,5,0),""))</f>
        <v/>
      </c>
      <c r="AA11" s="65" t="str">
        <f>IF($C11="","",IFERROR(VLOOKUP(CONCATENATE(AA$3,"-",$C11),'FO-GC-012'!$D$20:$H$109,2,0),""))</f>
        <v/>
      </c>
      <c r="AB11" s="66" t="str">
        <f>IF($C11="","",IFERROR(VLOOKUP(CONCATENATE(AA$3,"-",$C11),'FO-GC-012'!$D$20:$H$109,3,0),""))</f>
        <v/>
      </c>
      <c r="AC11" s="67" t="str">
        <f>IF($C11="","",IFERROR(VLOOKUP(CONCATENATE(AA$3,"-",$C11),'FO-GC-012'!$D$20:$H$109,4,0),""))</f>
        <v/>
      </c>
      <c r="AD11" s="68" t="str">
        <f>IF($C11="","",IFERROR(VLOOKUP(CONCATENATE(AA$3,"-",$C11),'FO-GC-012'!$D$20:$H$109,5,0),""))</f>
        <v/>
      </c>
      <c r="AE11" s="65" t="str">
        <f>IF($C11="","",IFERROR(VLOOKUP(CONCATENATE(AE$3,"-",$C11),'FO-GC-012'!$D$20:$H$109,2,0),""))</f>
        <v/>
      </c>
      <c r="AF11" s="66" t="str">
        <f>IF($C11="","",IFERROR(VLOOKUP(CONCATENATE(AE$3,"-",$C11),'FO-GC-012'!$D$20:$H$109,3,0),""))</f>
        <v/>
      </c>
      <c r="AG11" s="67" t="str">
        <f>IF($C11="","",IFERROR(VLOOKUP(CONCATENATE(AE$3,"-",$C11),'FO-GC-012'!$D$20:$H$109,4,0),""))</f>
        <v/>
      </c>
      <c r="AH11" s="68" t="str">
        <f>IF($C11="","",IFERROR(VLOOKUP(CONCATENATE(AE$3,"-",$C11),'FO-GC-012'!$D$20:$H$109,5,0),""))</f>
        <v/>
      </c>
      <c r="AI11" s="65" t="str">
        <f>IF($C11="","",IFERROR(VLOOKUP(CONCATENATE(AI$3,"-",$C11),'FO-GC-012'!$D$20:$H$109,2,0),""))</f>
        <v/>
      </c>
      <c r="AJ11" s="66" t="str">
        <f>IF($C11="","",IFERROR(VLOOKUP(CONCATENATE(AI$3,"-",$C11),'FO-GC-012'!$D$20:$H$109,3,0),""))</f>
        <v/>
      </c>
      <c r="AK11" s="67" t="str">
        <f>IF($C11="","",IFERROR(VLOOKUP(CONCATENATE(AI$3,"-",$C11),'FO-GC-012'!$D$20:$H$109,4,0),""))</f>
        <v/>
      </c>
      <c r="AL11" s="68" t="str">
        <f>IF($C11="","",IFERROR(VLOOKUP(CONCATENATE(AI$3,"-",$C11),'FO-GC-012'!$D$20:$H$109,5,0),""))</f>
        <v/>
      </c>
      <c r="AM11" s="65" t="str">
        <f>IF($C11="","",IFERROR(VLOOKUP(CONCATENATE(AM$3,"-",$C11),'FO-GC-012'!$D$20:$H$109,2,0),""))</f>
        <v/>
      </c>
      <c r="AN11" s="66" t="str">
        <f>IF($C11="","",IFERROR(VLOOKUP(CONCATENATE(AM$3,"-",$C11),'FO-GC-012'!$D$20:$H$109,3,0),""))</f>
        <v/>
      </c>
      <c r="AO11" s="67" t="str">
        <f>IF($C11="","",IFERROR(VLOOKUP(CONCATENATE(AM$3,"-",$C11),'FO-GC-012'!$D$20:$H$109,4,0),""))</f>
        <v/>
      </c>
      <c r="AP11" s="68" t="str">
        <f>IF($C11="","",IFERROR(VLOOKUP(CONCATENATE(AM$3,"-",$C11),'FO-GC-012'!$D$20:$H$109,5,0),""))</f>
        <v/>
      </c>
      <c r="AQ11" s="65" t="str">
        <f>IF($C11="","",IFERROR(VLOOKUP(CONCATENATE(AQ$3,"-",$C11),'FO-GC-012'!$D$20:$H$109,2,0),""))</f>
        <v/>
      </c>
      <c r="AR11" s="66" t="str">
        <f>IF($C11="","",IFERROR(VLOOKUP(CONCATENATE(AQ$3,"-",$C11),'FO-GC-012'!$D$20:$H$109,3,0),""))</f>
        <v/>
      </c>
      <c r="AS11" s="67" t="str">
        <f>IF($C11="","",IFERROR(VLOOKUP(CONCATENATE(AQ$3,"-",$C11),'FO-GC-012'!$D$20:$H$109,4,0),""))</f>
        <v/>
      </c>
      <c r="AT11" s="68" t="str">
        <f>IF($C11="","",IFERROR(VLOOKUP(CONCATENATE(AQ$3,"-",$C11),'FO-GC-012'!$D$20:$H$109,5,0),""))</f>
        <v/>
      </c>
      <c r="AU11" s="65" t="str">
        <f>IF($C11="","",IFERROR(VLOOKUP(CONCATENATE(AU$3,"-",$C11),'FO-GC-012'!$D$20:$H$109,2,0),""))</f>
        <v/>
      </c>
      <c r="AV11" s="66" t="str">
        <f>IF($C11="","",IFERROR(VLOOKUP(CONCATENATE(AU$3,"-",$C11),'FO-GC-012'!$D$20:$H$109,3,0),""))</f>
        <v/>
      </c>
      <c r="AW11" s="67" t="str">
        <f>IF($C11="","",IFERROR(VLOOKUP(CONCATENATE(AU$3,"-",$C11),'FO-GC-012'!$D$20:$H$109,4,0),""))</f>
        <v/>
      </c>
      <c r="AX11" s="68" t="str">
        <f>IF($C11="","",IFERROR(VLOOKUP(CONCATENATE(AU$3,"-",$C11),'FO-GC-012'!$D$20:$H$109,5,0),""))</f>
        <v/>
      </c>
      <c r="AY11" s="65" t="str">
        <f>IF($C11="","",IFERROR(VLOOKUP(CONCATENATE(AY$3,"-",$C11),'FO-GC-012'!$D$20:$H$109,2,0),""))</f>
        <v/>
      </c>
      <c r="AZ11" s="66" t="str">
        <f>IF($C11="","",IFERROR(VLOOKUP(CONCATENATE(AY$3,"-",$C11),'FO-GC-012'!$D$20:$H$109,3,0),""))</f>
        <v/>
      </c>
      <c r="BA11" s="67" t="str">
        <f>IF($C11="","",IFERROR(VLOOKUP(CONCATENATE(AY$3,"-",$C11),'FO-GC-012'!$D$20:$H$109,4,0),""))</f>
        <v/>
      </c>
      <c r="BB11" s="68" t="str">
        <f>IF($C11="","",IFERROR(VLOOKUP(CONCATENATE(AY$3,"-",$C11),'FO-GC-012'!$D$20:$H$109,5,0),""))</f>
        <v/>
      </c>
      <c r="BC11" s="65" t="str">
        <f>IF($C11="","",IFERROR(VLOOKUP(CONCATENATE(BC$3,"-",$C11),'FO-GC-012'!$D$20:$H$109,2,0),""))</f>
        <v/>
      </c>
      <c r="BD11" s="66" t="str">
        <f>IF($C11="","",IFERROR(VLOOKUP(CONCATENATE(BC$3,"-",$C11),'FO-GC-012'!$D$20:$H$109,3,0),""))</f>
        <v/>
      </c>
      <c r="BE11" s="67" t="str">
        <f>IF($C11="","",IFERROR(VLOOKUP(CONCATENATE(BC$3,"-",$C11),'FO-GC-012'!$D$20:$H$109,4,0),""))</f>
        <v/>
      </c>
      <c r="BF11" s="68" t="str">
        <f>IF($C11="","",IFERROR(VLOOKUP(CONCATENATE(BC$3,"-",$C11),'FO-GC-012'!$D$20:$H$109,5,0),""))</f>
        <v/>
      </c>
      <c r="BG11" s="65" t="str">
        <f>IF($C11="","",IFERROR(VLOOKUP(CONCATENATE(BG$3,"-",$C11),'FO-GC-012'!$D$20:$H$109,2,0),""))</f>
        <v/>
      </c>
      <c r="BH11" s="66" t="str">
        <f>IF($C11="","",IFERROR(VLOOKUP(CONCATENATE(BG$3,"-",$C11),'FO-GC-012'!$D$20:$H$109,3,0),""))</f>
        <v/>
      </c>
      <c r="BI11" s="67" t="str">
        <f>IF($C11="","",IFERROR(VLOOKUP(CONCATENATE(BG$3,"-",$C11),'FO-GC-012'!$D$20:$H$109,4,0),""))</f>
        <v/>
      </c>
      <c r="BJ11" s="68" t="str">
        <f>IF($C11="","",IFERROR(VLOOKUP(CONCATENATE(BG$3,"-",$C11),'FO-GC-012'!$D$20:$H$109,5,0),""))</f>
        <v/>
      </c>
      <c r="BK11" s="65" t="str">
        <f>IF($C11="","",IFERROR(VLOOKUP(CONCATENATE(BK$3,"-",$C11),'FO-GC-012'!$D$20:$H$109,2,0),""))</f>
        <v/>
      </c>
      <c r="BL11" s="66" t="str">
        <f>IF($C11="","",IFERROR(VLOOKUP(CONCATENATE(BK$3,"-",$C11),'FO-GC-012'!$D$20:$H$109,3,0),""))</f>
        <v/>
      </c>
      <c r="BM11" s="67" t="str">
        <f>IF($C11="","",IFERROR(VLOOKUP(CONCATENATE(BK$3,"-",$C11),'FO-GC-012'!$D$20:$H$109,4,0),""))</f>
        <v/>
      </c>
      <c r="BN11" s="68" t="str">
        <f>IF($C11="","",IFERROR(VLOOKUP(CONCATENATE(BK$3,"-",$C11),'FO-GC-012'!$D$20:$H$109,5,0),""))</f>
        <v/>
      </c>
      <c r="BO11" s="65" t="str">
        <f>IF($C11="","",IFERROR(VLOOKUP(CONCATENATE(BO$3,"-",$C11),'FO-GC-012'!$D$20:$H$109,2,0),""))</f>
        <v/>
      </c>
      <c r="BP11" s="66" t="str">
        <f>IF($C11="","",IFERROR(VLOOKUP(CONCATENATE(BO$3,"-",$C11),'FO-GC-012'!$D$20:$H$109,3,0),""))</f>
        <v/>
      </c>
      <c r="BQ11" s="67" t="str">
        <f>IF($C11="","",IFERROR(VLOOKUP(CONCATENATE(BO$3,"-",$C11),'FO-GC-012'!$D$20:$H$109,4,0),""))</f>
        <v/>
      </c>
      <c r="BR11" s="68" t="str">
        <f>IF($C11="","",IFERROR(VLOOKUP(CONCATENATE(BO$3,"-",$C11),'FO-GC-012'!$D$20:$H$109,5,0),""))</f>
        <v/>
      </c>
      <c r="BS11" s="65" t="str">
        <f>IF($C11="","",IFERROR(VLOOKUP(CONCATENATE(BS$3,"-",$C11),'FO-GC-012'!$D$20:$H$109,2,0),""))</f>
        <v/>
      </c>
      <c r="BT11" s="66" t="str">
        <f>IF($C11="","",IFERROR(VLOOKUP(CONCATENATE(BS$3,"-",$C11),'FO-GC-012'!$D$20:$H$109,3,0),""))</f>
        <v/>
      </c>
      <c r="BU11" s="67" t="str">
        <f>IF($C11="","",IFERROR(VLOOKUP(CONCATENATE(BS$3,"-",$C11),'FO-GC-012'!$D$20:$H$109,4,0),""))</f>
        <v/>
      </c>
      <c r="BV11" s="68" t="str">
        <f>IF($C11="","",IFERROR(VLOOKUP(CONCATENATE(BS$3,"-",$C11),'FO-GC-012'!$D$20:$H$109,5,0),""))</f>
        <v/>
      </c>
      <c r="BW11" s="65" t="str">
        <f>IF($C11="","",IFERROR(VLOOKUP(CONCATENATE(BW$3,"-",$C11),'FO-GC-012'!$D$20:$H$109,2,0),""))</f>
        <v/>
      </c>
      <c r="BX11" s="66" t="str">
        <f>IF($C11="","",IFERROR(VLOOKUP(CONCATENATE(BW$3,"-",$C11),'FO-GC-012'!$D$20:$H$109,3,0),""))</f>
        <v/>
      </c>
      <c r="BY11" s="67" t="str">
        <f>IF($C11="","",IFERROR(VLOOKUP(CONCATENATE(BW$3,"-",$C11),'FO-GC-012'!$D$20:$H$109,4,0),""))</f>
        <v/>
      </c>
      <c r="BZ11" s="68" t="str">
        <f>IF($C11="","",IFERROR(VLOOKUP(CONCATENATE(BW$3,"-",$C11),'FO-GC-012'!$D$20:$H$109,5,0),""))</f>
        <v/>
      </c>
      <c r="CA11" s="65" t="str">
        <f>IF($C11="","",IFERROR(VLOOKUP(CONCATENATE(CA$3,"-",$C11),'FO-GC-012'!$D$20:$H$109,2,0),""))</f>
        <v/>
      </c>
      <c r="CB11" s="66" t="str">
        <f>IF($C11="","",IFERROR(VLOOKUP(CONCATENATE(CA$3,"-",$C11),'FO-GC-012'!$D$20:$H$109,3,0),""))</f>
        <v/>
      </c>
      <c r="CC11" s="67" t="str">
        <f>IF($C11="","",IFERROR(VLOOKUP(CONCATENATE(CA$3,"-",$C11),'FO-GC-012'!$D$20:$H$109,4,0),""))</f>
        <v/>
      </c>
      <c r="CD11" s="68" t="str">
        <f>IF($C11="","",IFERROR(VLOOKUP(CONCATENATE(CA$3,"-",$C11),'FO-GC-012'!$D$20:$H$109,5,0),""))</f>
        <v/>
      </c>
      <c r="CE11" s="65" t="str">
        <f>IF($C11="","",IFERROR(VLOOKUP(CONCATENATE(CE$3,"-",$C11),'FO-GC-012'!$D$20:$H$109,2,0),""))</f>
        <v/>
      </c>
      <c r="CF11" s="66" t="str">
        <f>IF($C11="","",IFERROR(VLOOKUP(CONCATENATE(CE$3,"-",$C11),'FO-GC-012'!$D$20:$H$109,3,0),""))</f>
        <v/>
      </c>
      <c r="CG11" s="67" t="str">
        <f>IF($C11="","",IFERROR(VLOOKUP(CONCATENATE(CE$3,"-",$C11),'FO-GC-012'!$D$20:$H$109,4,0),""))</f>
        <v/>
      </c>
      <c r="CH11" s="68" t="str">
        <f>IF($C11="","",IFERROR(VLOOKUP(CONCATENATE(CE$3,"-",$C11),'FO-GC-012'!$D$20:$H$109,5,0),""))</f>
        <v/>
      </c>
    </row>
    <row r="12" spans="1:87" ht="33.75" customHeight="1" x14ac:dyDescent="0.35">
      <c r="B12" s="83">
        <f>IF(C12="","",COUNTA(C$4:C12))</f>
        <v>9</v>
      </c>
      <c r="C12" s="82" t="str">
        <f>'Eq. Auditor'!B11</f>
        <v xml:space="preserve">*Depsi Johana Córdoba Mompotes </v>
      </c>
      <c r="D12" s="83">
        <f>IF(C12="","",COUNTIF('FO-GC-012'!A:A,CONCATENATE("P-",C12)))</f>
        <v>0</v>
      </c>
      <c r="E12" s="83">
        <f>IF(C12="","",COUNTIF('FO-GC-012'!A:A,CONCATENATE("A-",C12)))</f>
        <v>0</v>
      </c>
      <c r="F12" s="83">
        <f t="shared" ref="F12:F45" si="3">IF(C12="","",SUM(D12:E12))</f>
        <v>0</v>
      </c>
      <c r="G12" s="69" t="str">
        <f>IF($C12="","",IFERROR(VLOOKUP(CONCATENATE(G$3,"-",$C12),'FO-GC-012'!$D$20:$H$109,2,0),""))</f>
        <v/>
      </c>
      <c r="H12" s="70" t="str">
        <f>IF($C12="","",IFERROR(VLOOKUP(CONCATENATE(G$3,"-",$C12),'FO-GC-012'!$D$20:$H$109,3,0),""))</f>
        <v/>
      </c>
      <c r="I12" s="71" t="str">
        <f>IF($C12="","",IFERROR(VLOOKUP(CONCATENATE(G$3,"-",$C12),'FO-GC-012'!$D$20:$H$109,4,0),""))</f>
        <v/>
      </c>
      <c r="J12" s="72" t="str">
        <f>IF($C12="","",IFERROR(VLOOKUP(CONCATENATE(G$3,"-",$C12),'FO-GC-012'!$D$20:$H$109,5,0),""))</f>
        <v/>
      </c>
      <c r="K12" s="69" t="str">
        <f>IF($C12="","",IFERROR(VLOOKUP(CONCATENATE(K$3,"-",$C12),'FO-GC-012'!$D$20:$H$109,2,0),""))</f>
        <v/>
      </c>
      <c r="L12" s="70" t="str">
        <f>IF($C12="","",IFERROR(VLOOKUP(CONCATENATE(K$3,"-",$C12),'FO-GC-012'!$D$20:$H$109,3,0),""))</f>
        <v/>
      </c>
      <c r="M12" s="71" t="str">
        <f>IF($C12="","",IFERROR(VLOOKUP(CONCATENATE(K$3,"-",$C12),'FO-GC-012'!$D$20:$H$109,4,0),""))</f>
        <v/>
      </c>
      <c r="N12" s="72" t="str">
        <f>IF($C12="","",IFERROR(VLOOKUP(CONCATENATE(K$3,"-",$C12),'FO-GC-012'!$D$20:$H$109,5,0),""))</f>
        <v/>
      </c>
      <c r="O12" s="69" t="str">
        <f>IF($C12="","",IFERROR(VLOOKUP(CONCATENATE(O$3,"-",$C12),'FO-GC-012'!$D$20:$H$109,2,0),""))</f>
        <v/>
      </c>
      <c r="P12" s="70" t="str">
        <f>IF($C12="","",IFERROR(VLOOKUP(CONCATENATE(O$3,"-",$C12),'FO-GC-012'!$D$20:$H$109,3,0),""))</f>
        <v/>
      </c>
      <c r="Q12" s="71" t="str">
        <f>IF($C12="","",IFERROR(VLOOKUP(CONCATENATE(O$3,"-",$C12),'FO-GC-012'!$D$20:$H$109,4,0),""))</f>
        <v/>
      </c>
      <c r="R12" s="72" t="str">
        <f>IF($C12="","",IFERROR(VLOOKUP(CONCATENATE(O$3,"-",$C12),'FO-GC-012'!$D$20:$H$109,5,0),""))</f>
        <v/>
      </c>
      <c r="S12" s="69" t="str">
        <f>IF($C12="","",IFERROR(VLOOKUP(CONCATENATE(S$3,"-",$C12),'FO-GC-012'!$D$20:$H$109,2,0),""))</f>
        <v/>
      </c>
      <c r="T12" s="70" t="str">
        <f>IF($C12="","",IFERROR(VLOOKUP(CONCATENATE(S$3,"-",$C12),'FO-GC-012'!$D$20:$H$109,3,0),""))</f>
        <v/>
      </c>
      <c r="U12" s="71" t="str">
        <f>IF($C12="","",IFERROR(VLOOKUP(CONCATENATE(S$3,"-",$C12),'FO-GC-012'!$D$20:$H$109,4,0),""))</f>
        <v/>
      </c>
      <c r="V12" s="72" t="str">
        <f>IF($C12="","",IFERROR(VLOOKUP(CONCATENATE(S$3,"-",$C12),'FO-GC-012'!$D$20:$H$109,5,0),""))</f>
        <v/>
      </c>
      <c r="W12" s="69" t="str">
        <f>IF($C12="","",IFERROR(VLOOKUP(CONCATENATE(W$3,"-",$C12),'FO-GC-012'!$D$20:$H$109,2,0),""))</f>
        <v/>
      </c>
      <c r="X12" s="70" t="str">
        <f>IF($C12="","",IFERROR(VLOOKUP(CONCATENATE(W$3,"-",$C12),'FO-GC-012'!$D$20:$H$109,3,0),""))</f>
        <v/>
      </c>
      <c r="Y12" s="71" t="str">
        <f>IF($C12="","",IFERROR(VLOOKUP(CONCATENATE(W$3,"-",$C12),'FO-GC-012'!$D$20:$H$109,4,0),""))</f>
        <v/>
      </c>
      <c r="Z12" s="72" t="str">
        <f>IF($C12="","",IFERROR(VLOOKUP(CONCATENATE(W$3,"-",$C12),'FO-GC-012'!$D$20:$H$109,5,0),""))</f>
        <v/>
      </c>
      <c r="AA12" s="69" t="str">
        <f>IF($C12="","",IFERROR(VLOOKUP(CONCATENATE(AA$3,"-",$C12),'FO-GC-012'!$D$20:$H$109,2,0),""))</f>
        <v/>
      </c>
      <c r="AB12" s="70" t="str">
        <f>IF($C12="","",IFERROR(VLOOKUP(CONCATENATE(AA$3,"-",$C12),'FO-GC-012'!$D$20:$H$109,3,0),""))</f>
        <v/>
      </c>
      <c r="AC12" s="71" t="str">
        <f>IF($C12="","",IFERROR(VLOOKUP(CONCATENATE(AA$3,"-",$C12),'FO-GC-012'!$D$20:$H$109,4,0),""))</f>
        <v/>
      </c>
      <c r="AD12" s="72" t="str">
        <f>IF($C12="","",IFERROR(VLOOKUP(CONCATENATE(AA$3,"-",$C12),'FO-GC-012'!$D$20:$H$109,5,0),""))</f>
        <v/>
      </c>
      <c r="AE12" s="69" t="str">
        <f>IF($C12="","",IFERROR(VLOOKUP(CONCATENATE(AE$3,"-",$C12),'FO-GC-012'!$D$20:$H$109,2,0),""))</f>
        <v/>
      </c>
      <c r="AF12" s="70" t="str">
        <f>IF($C12="","",IFERROR(VLOOKUP(CONCATENATE(AE$3,"-",$C12),'FO-GC-012'!$D$20:$H$109,3,0),""))</f>
        <v/>
      </c>
      <c r="AG12" s="71" t="str">
        <f>IF($C12="","",IFERROR(VLOOKUP(CONCATENATE(AE$3,"-",$C12),'FO-GC-012'!$D$20:$H$109,4,0),""))</f>
        <v/>
      </c>
      <c r="AH12" s="72" t="str">
        <f>IF($C12="","",IFERROR(VLOOKUP(CONCATENATE(AE$3,"-",$C12),'FO-GC-012'!$D$20:$H$109,5,0),""))</f>
        <v/>
      </c>
      <c r="AI12" s="69" t="str">
        <f>IF($C12="","",IFERROR(VLOOKUP(CONCATENATE(AI$3,"-",$C12),'FO-GC-012'!$D$20:$H$109,2,0),""))</f>
        <v/>
      </c>
      <c r="AJ12" s="70" t="str">
        <f>IF($C12="","",IFERROR(VLOOKUP(CONCATENATE(AI$3,"-",$C12),'FO-GC-012'!$D$20:$H$109,3,0),""))</f>
        <v/>
      </c>
      <c r="AK12" s="71" t="str">
        <f>IF($C12="","",IFERROR(VLOOKUP(CONCATENATE(AI$3,"-",$C12),'FO-GC-012'!$D$20:$H$109,4,0),""))</f>
        <v/>
      </c>
      <c r="AL12" s="72" t="str">
        <f>IF($C12="","",IFERROR(VLOOKUP(CONCATENATE(AI$3,"-",$C12),'FO-GC-012'!$D$20:$H$109,5,0),""))</f>
        <v/>
      </c>
      <c r="AM12" s="69" t="str">
        <f>IF($C12="","",IFERROR(VLOOKUP(CONCATENATE(AM$3,"-",$C12),'FO-GC-012'!$D$20:$H$109,2,0),""))</f>
        <v/>
      </c>
      <c r="AN12" s="70" t="str">
        <f>IF($C12="","",IFERROR(VLOOKUP(CONCATENATE(AM$3,"-",$C12),'FO-GC-012'!$D$20:$H$109,3,0),""))</f>
        <v/>
      </c>
      <c r="AO12" s="71" t="str">
        <f>IF($C12="","",IFERROR(VLOOKUP(CONCATENATE(AM$3,"-",$C12),'FO-GC-012'!$D$20:$H$109,4,0),""))</f>
        <v/>
      </c>
      <c r="AP12" s="72" t="str">
        <f>IF($C12="","",IFERROR(VLOOKUP(CONCATENATE(AM$3,"-",$C12),'FO-GC-012'!$D$20:$H$109,5,0),""))</f>
        <v/>
      </c>
      <c r="AQ12" s="69" t="str">
        <f>IF($C12="","",IFERROR(VLOOKUP(CONCATENATE(AQ$3,"-",$C12),'FO-GC-012'!$D$20:$H$109,2,0),""))</f>
        <v/>
      </c>
      <c r="AR12" s="70" t="str">
        <f>IF($C12="","",IFERROR(VLOOKUP(CONCATENATE(AQ$3,"-",$C12),'FO-GC-012'!$D$20:$H$109,3,0),""))</f>
        <v/>
      </c>
      <c r="AS12" s="71" t="str">
        <f>IF($C12="","",IFERROR(VLOOKUP(CONCATENATE(AQ$3,"-",$C12),'FO-GC-012'!$D$20:$H$109,4,0),""))</f>
        <v/>
      </c>
      <c r="AT12" s="72" t="str">
        <f>IF($C12="","",IFERROR(VLOOKUP(CONCATENATE(AQ$3,"-",$C12),'FO-GC-012'!$D$20:$H$109,5,0),""))</f>
        <v/>
      </c>
      <c r="AU12" s="69" t="str">
        <f>IF($C12="","",IFERROR(VLOOKUP(CONCATENATE(AU$3,"-",$C12),'FO-GC-012'!$D$20:$H$109,2,0),""))</f>
        <v/>
      </c>
      <c r="AV12" s="70" t="str">
        <f>IF($C12="","",IFERROR(VLOOKUP(CONCATENATE(AU$3,"-",$C12),'FO-GC-012'!$D$20:$H$109,3,0),""))</f>
        <v/>
      </c>
      <c r="AW12" s="71" t="str">
        <f>IF($C12="","",IFERROR(VLOOKUP(CONCATENATE(AU$3,"-",$C12),'FO-GC-012'!$D$20:$H$109,4,0),""))</f>
        <v/>
      </c>
      <c r="AX12" s="72" t="str">
        <f>IF($C12="","",IFERROR(VLOOKUP(CONCATENATE(AU$3,"-",$C12),'FO-GC-012'!$D$20:$H$109,5,0),""))</f>
        <v/>
      </c>
      <c r="AY12" s="69" t="str">
        <f>IF($C12="","",IFERROR(VLOOKUP(CONCATENATE(AY$3,"-",$C12),'FO-GC-012'!$D$20:$H$109,2,0),""))</f>
        <v/>
      </c>
      <c r="AZ12" s="70" t="str">
        <f>IF($C12="","",IFERROR(VLOOKUP(CONCATENATE(AY$3,"-",$C12),'FO-GC-012'!$D$20:$H$109,3,0),""))</f>
        <v/>
      </c>
      <c r="BA12" s="71" t="str">
        <f>IF($C12="","",IFERROR(VLOOKUP(CONCATENATE(AY$3,"-",$C12),'FO-GC-012'!$D$20:$H$109,4,0),""))</f>
        <v/>
      </c>
      <c r="BB12" s="72" t="str">
        <f>IF($C12="","",IFERROR(VLOOKUP(CONCATENATE(AY$3,"-",$C12),'FO-GC-012'!$D$20:$H$109,5,0),""))</f>
        <v/>
      </c>
      <c r="BC12" s="69" t="str">
        <f>IF($C12="","",IFERROR(VLOOKUP(CONCATENATE(BC$3,"-",$C12),'FO-GC-012'!$D$20:$H$109,2,0),""))</f>
        <v/>
      </c>
      <c r="BD12" s="70" t="str">
        <f>IF($C12="","",IFERROR(VLOOKUP(CONCATENATE(BC$3,"-",$C12),'FO-GC-012'!$D$20:$H$109,3,0),""))</f>
        <v/>
      </c>
      <c r="BE12" s="71" t="str">
        <f>IF($C12="","",IFERROR(VLOOKUP(CONCATENATE(BC$3,"-",$C12),'FO-GC-012'!$D$20:$H$109,4,0),""))</f>
        <v/>
      </c>
      <c r="BF12" s="72" t="str">
        <f>IF($C12="","",IFERROR(VLOOKUP(CONCATENATE(BC$3,"-",$C12),'FO-GC-012'!$D$20:$H$109,5,0),""))</f>
        <v/>
      </c>
      <c r="BG12" s="69" t="str">
        <f>IF($C12="","",IFERROR(VLOOKUP(CONCATENATE(BG$3,"-",$C12),'FO-GC-012'!$D$20:$H$109,2,0),""))</f>
        <v/>
      </c>
      <c r="BH12" s="70" t="str">
        <f>IF($C12="","",IFERROR(VLOOKUP(CONCATENATE(BG$3,"-",$C12),'FO-GC-012'!$D$20:$H$109,3,0),""))</f>
        <v/>
      </c>
      <c r="BI12" s="71" t="str">
        <f>IF($C12="","",IFERROR(VLOOKUP(CONCATENATE(BG$3,"-",$C12),'FO-GC-012'!$D$20:$H$109,4,0),""))</f>
        <v/>
      </c>
      <c r="BJ12" s="72" t="str">
        <f>IF($C12="","",IFERROR(VLOOKUP(CONCATENATE(BG$3,"-",$C12),'FO-GC-012'!$D$20:$H$109,5,0),""))</f>
        <v/>
      </c>
      <c r="BK12" s="69" t="str">
        <f>IF($C12="","",IFERROR(VLOOKUP(CONCATENATE(BK$3,"-",$C12),'FO-GC-012'!$D$20:$H$109,2,0),""))</f>
        <v/>
      </c>
      <c r="BL12" s="70" t="str">
        <f>IF($C12="","",IFERROR(VLOOKUP(CONCATENATE(BK$3,"-",$C12),'FO-GC-012'!$D$20:$H$109,3,0),""))</f>
        <v/>
      </c>
      <c r="BM12" s="71" t="str">
        <f>IF($C12="","",IFERROR(VLOOKUP(CONCATENATE(BK$3,"-",$C12),'FO-GC-012'!$D$20:$H$109,4,0),""))</f>
        <v/>
      </c>
      <c r="BN12" s="72" t="str">
        <f>IF($C12="","",IFERROR(VLOOKUP(CONCATENATE(BK$3,"-",$C12),'FO-GC-012'!$D$20:$H$109,5,0),""))</f>
        <v/>
      </c>
      <c r="BO12" s="69" t="str">
        <f>IF($C12="","",IFERROR(VLOOKUP(CONCATENATE(BO$3,"-",$C12),'FO-GC-012'!$D$20:$H$109,2,0),""))</f>
        <v/>
      </c>
      <c r="BP12" s="70" t="str">
        <f>IF($C12="","",IFERROR(VLOOKUP(CONCATENATE(BO$3,"-",$C12),'FO-GC-012'!$D$20:$H$109,3,0),""))</f>
        <v/>
      </c>
      <c r="BQ12" s="71" t="str">
        <f>IF($C12="","",IFERROR(VLOOKUP(CONCATENATE(BO$3,"-",$C12),'FO-GC-012'!$D$20:$H$109,4,0),""))</f>
        <v/>
      </c>
      <c r="BR12" s="72" t="str">
        <f>IF($C12="","",IFERROR(VLOOKUP(CONCATENATE(BO$3,"-",$C12),'FO-GC-012'!$D$20:$H$109,5,0),""))</f>
        <v/>
      </c>
      <c r="BS12" s="69" t="str">
        <f>IF($C12="","",IFERROR(VLOOKUP(CONCATENATE(BS$3,"-",$C12),'FO-GC-012'!$D$20:$H$109,2,0),""))</f>
        <v/>
      </c>
      <c r="BT12" s="70" t="str">
        <f>IF($C12="","",IFERROR(VLOOKUP(CONCATENATE(BS$3,"-",$C12),'FO-GC-012'!$D$20:$H$109,3,0),""))</f>
        <v/>
      </c>
      <c r="BU12" s="71" t="str">
        <f>IF($C12="","",IFERROR(VLOOKUP(CONCATENATE(BS$3,"-",$C12),'FO-GC-012'!$D$20:$H$109,4,0),""))</f>
        <v/>
      </c>
      <c r="BV12" s="72" t="str">
        <f>IF($C12="","",IFERROR(VLOOKUP(CONCATENATE(BS$3,"-",$C12),'FO-GC-012'!$D$20:$H$109,5,0),""))</f>
        <v/>
      </c>
      <c r="BW12" s="69" t="str">
        <f>IF($C12="","",IFERROR(VLOOKUP(CONCATENATE(BW$3,"-",$C12),'FO-GC-012'!$D$20:$H$109,2,0),""))</f>
        <v/>
      </c>
      <c r="BX12" s="70" t="str">
        <f>IF($C12="","",IFERROR(VLOOKUP(CONCATENATE(BW$3,"-",$C12),'FO-GC-012'!$D$20:$H$109,3,0),""))</f>
        <v/>
      </c>
      <c r="BY12" s="71" t="str">
        <f>IF($C12="","",IFERROR(VLOOKUP(CONCATENATE(BW$3,"-",$C12),'FO-GC-012'!$D$20:$H$109,4,0),""))</f>
        <v/>
      </c>
      <c r="BZ12" s="72" t="str">
        <f>IF($C12="","",IFERROR(VLOOKUP(CONCATENATE(BW$3,"-",$C12),'FO-GC-012'!$D$20:$H$109,5,0),""))</f>
        <v/>
      </c>
      <c r="CA12" s="69" t="str">
        <f>IF($C12="","",IFERROR(VLOOKUP(CONCATENATE(CA$3,"-",$C12),'FO-GC-012'!$D$20:$H$109,2,0),""))</f>
        <v/>
      </c>
      <c r="CB12" s="70" t="str">
        <f>IF($C12="","",IFERROR(VLOOKUP(CONCATENATE(CA$3,"-",$C12),'FO-GC-012'!$D$20:$H$109,3,0),""))</f>
        <v/>
      </c>
      <c r="CC12" s="71" t="str">
        <f>IF($C12="","",IFERROR(VLOOKUP(CONCATENATE(CA$3,"-",$C12),'FO-GC-012'!$D$20:$H$109,4,0),""))</f>
        <v/>
      </c>
      <c r="CD12" s="72" t="str">
        <f>IF($C12="","",IFERROR(VLOOKUP(CONCATENATE(CA$3,"-",$C12),'FO-GC-012'!$D$20:$H$109,5,0),""))</f>
        <v/>
      </c>
      <c r="CE12" s="69" t="str">
        <f>IF($C12="","",IFERROR(VLOOKUP(CONCATENATE(CE$3,"-",$C12),'FO-GC-012'!$D$20:$H$109,2,0),""))</f>
        <v/>
      </c>
      <c r="CF12" s="70" t="str">
        <f>IF($C12="","",IFERROR(VLOOKUP(CONCATENATE(CE$3,"-",$C12),'FO-GC-012'!$D$20:$H$109,3,0),""))</f>
        <v/>
      </c>
      <c r="CG12" s="71" t="str">
        <f>IF($C12="","",IFERROR(VLOOKUP(CONCATENATE(CE$3,"-",$C12),'FO-GC-012'!$D$20:$H$109,4,0),""))</f>
        <v/>
      </c>
      <c r="CH12" s="72" t="str">
        <f>IF($C12="","",IFERROR(VLOOKUP(CONCATENATE(CE$3,"-",$C12),'FO-GC-012'!$D$20:$H$109,5,0),""))</f>
        <v/>
      </c>
    </row>
    <row r="13" spans="1:87" ht="33.75" customHeight="1" x14ac:dyDescent="0.35">
      <c r="B13" s="83">
        <f>IF(C13="","",COUNTA(C$4:C13))</f>
        <v>10</v>
      </c>
      <c r="C13" s="82" t="str">
        <f>'Eq. Auditor'!B12</f>
        <v>*Diego Fabian Bolaños Sarria</v>
      </c>
      <c r="D13" s="83">
        <f>IF(C13="","",COUNTIF('FO-GC-012'!A:A,CONCATENATE("P-",C13)))</f>
        <v>0</v>
      </c>
      <c r="E13" s="83">
        <f>IF(C13="","",COUNTIF('FO-GC-012'!A:A,CONCATENATE("A-",C13)))</f>
        <v>0</v>
      </c>
      <c r="F13" s="83">
        <f t="shared" si="3"/>
        <v>0</v>
      </c>
      <c r="G13" s="65" t="str">
        <f>IF($C13="","",IFERROR(VLOOKUP(CONCATENATE(G$3,"-",$C13),'FO-GC-012'!$D$20:$H$109,2,0),""))</f>
        <v/>
      </c>
      <c r="H13" s="66" t="str">
        <f>IF($C13="","",IFERROR(VLOOKUP(CONCATENATE(G$3,"-",$C13),'FO-GC-012'!$D$20:$H$109,3,0),""))</f>
        <v/>
      </c>
      <c r="I13" s="67" t="str">
        <f>IF($C13="","",IFERROR(VLOOKUP(CONCATENATE(G$3,"-",$C13),'FO-GC-012'!$D$20:$H$109,4,0),""))</f>
        <v/>
      </c>
      <c r="J13" s="68" t="str">
        <f>IF($C13="","",IFERROR(VLOOKUP(CONCATENATE(G$3,"-",$C13),'FO-GC-012'!$D$20:$H$109,5,0),""))</f>
        <v/>
      </c>
      <c r="K13" s="65" t="str">
        <f>IF($C13="","",IFERROR(VLOOKUP(CONCATENATE(K$3,"-",$C13),'FO-GC-012'!$D$20:$H$109,2,0),""))</f>
        <v/>
      </c>
      <c r="L13" s="66" t="str">
        <f>IF($C13="","",IFERROR(VLOOKUP(CONCATENATE(K$3,"-",$C13),'FO-GC-012'!$D$20:$H$109,3,0),""))</f>
        <v/>
      </c>
      <c r="M13" s="67" t="str">
        <f>IF($C13="","",IFERROR(VLOOKUP(CONCATENATE(K$3,"-",$C13),'FO-GC-012'!$D$20:$H$109,4,0),""))</f>
        <v/>
      </c>
      <c r="N13" s="68" t="str">
        <f>IF($C13="","",IFERROR(VLOOKUP(CONCATENATE(K$3,"-",$C13),'FO-GC-012'!$D$20:$H$109,5,0),""))</f>
        <v/>
      </c>
      <c r="O13" s="65" t="str">
        <f>IF($C13="","",IFERROR(VLOOKUP(CONCATENATE(O$3,"-",$C13),'FO-GC-012'!$D$20:$H$109,2,0),""))</f>
        <v/>
      </c>
      <c r="P13" s="66" t="str">
        <f>IF($C13="","",IFERROR(VLOOKUP(CONCATENATE(O$3,"-",$C13),'FO-GC-012'!$D$20:$H$109,3,0),""))</f>
        <v/>
      </c>
      <c r="Q13" s="67" t="str">
        <f>IF($C13="","",IFERROR(VLOOKUP(CONCATENATE(O$3,"-",$C13),'FO-GC-012'!$D$20:$H$109,4,0),""))</f>
        <v/>
      </c>
      <c r="R13" s="68" t="str">
        <f>IF($C13="","",IFERROR(VLOOKUP(CONCATENATE(O$3,"-",$C13),'FO-GC-012'!$D$20:$H$109,5,0),""))</f>
        <v/>
      </c>
      <c r="S13" s="65" t="str">
        <f>IF($C13="","",IFERROR(VLOOKUP(CONCATENATE(S$3,"-",$C13),'FO-GC-012'!$D$20:$H$109,2,0),""))</f>
        <v/>
      </c>
      <c r="T13" s="66" t="str">
        <f>IF($C13="","",IFERROR(VLOOKUP(CONCATENATE(S$3,"-",$C13),'FO-GC-012'!$D$20:$H$109,3,0),""))</f>
        <v/>
      </c>
      <c r="U13" s="67" t="str">
        <f>IF($C13="","",IFERROR(VLOOKUP(CONCATENATE(S$3,"-",$C13),'FO-GC-012'!$D$20:$H$109,4,0),""))</f>
        <v/>
      </c>
      <c r="V13" s="68" t="str">
        <f>IF($C13="","",IFERROR(VLOOKUP(CONCATENATE(S$3,"-",$C13),'FO-GC-012'!$D$20:$H$109,5,0),""))</f>
        <v/>
      </c>
      <c r="W13" s="65" t="str">
        <f>IF($C13="","",IFERROR(VLOOKUP(CONCATENATE(W$3,"-",$C13),'FO-GC-012'!$D$20:$H$109,2,0),""))</f>
        <v/>
      </c>
      <c r="X13" s="66" t="str">
        <f>IF($C13="","",IFERROR(VLOOKUP(CONCATENATE(W$3,"-",$C13),'FO-GC-012'!$D$20:$H$109,3,0),""))</f>
        <v/>
      </c>
      <c r="Y13" s="67" t="str">
        <f>IF($C13="","",IFERROR(VLOOKUP(CONCATENATE(W$3,"-",$C13),'FO-GC-012'!$D$20:$H$109,4,0),""))</f>
        <v/>
      </c>
      <c r="Z13" s="68" t="str">
        <f>IF($C13="","",IFERROR(VLOOKUP(CONCATENATE(W$3,"-",$C13),'FO-GC-012'!$D$20:$H$109,5,0),""))</f>
        <v/>
      </c>
      <c r="AA13" s="65" t="str">
        <f>IF($C13="","",IFERROR(VLOOKUP(CONCATENATE(AA$3,"-",$C13),'FO-GC-012'!$D$20:$H$109,2,0),""))</f>
        <v/>
      </c>
      <c r="AB13" s="66" t="str">
        <f>IF($C13="","",IFERROR(VLOOKUP(CONCATENATE(AA$3,"-",$C13),'FO-GC-012'!$D$20:$H$109,3,0),""))</f>
        <v/>
      </c>
      <c r="AC13" s="67" t="str">
        <f>IF($C13="","",IFERROR(VLOOKUP(CONCATENATE(AA$3,"-",$C13),'FO-GC-012'!$D$20:$H$109,4,0),""))</f>
        <v/>
      </c>
      <c r="AD13" s="68" t="str">
        <f>IF($C13="","",IFERROR(VLOOKUP(CONCATENATE(AA$3,"-",$C13),'FO-GC-012'!$D$20:$H$109,5,0),""))</f>
        <v/>
      </c>
      <c r="AE13" s="65" t="str">
        <f>IF($C13="","",IFERROR(VLOOKUP(CONCATENATE(AE$3,"-",$C13),'FO-GC-012'!$D$20:$H$109,2,0),""))</f>
        <v/>
      </c>
      <c r="AF13" s="66" t="str">
        <f>IF($C13="","",IFERROR(VLOOKUP(CONCATENATE(AE$3,"-",$C13),'FO-GC-012'!$D$20:$H$109,3,0),""))</f>
        <v/>
      </c>
      <c r="AG13" s="67" t="str">
        <f>IF($C13="","",IFERROR(VLOOKUP(CONCATENATE(AE$3,"-",$C13),'FO-GC-012'!$D$20:$H$109,4,0),""))</f>
        <v/>
      </c>
      <c r="AH13" s="68" t="str">
        <f>IF($C13="","",IFERROR(VLOOKUP(CONCATENATE(AE$3,"-",$C13),'FO-GC-012'!$D$20:$H$109,5,0),""))</f>
        <v/>
      </c>
      <c r="AI13" s="65" t="str">
        <f>IF($C13="","",IFERROR(VLOOKUP(CONCATENATE(AI$3,"-",$C13),'FO-GC-012'!$D$20:$H$109,2,0),""))</f>
        <v/>
      </c>
      <c r="AJ13" s="66" t="str">
        <f>IF($C13="","",IFERROR(VLOOKUP(CONCATENATE(AI$3,"-",$C13),'FO-GC-012'!$D$20:$H$109,3,0),""))</f>
        <v/>
      </c>
      <c r="AK13" s="67" t="str">
        <f>IF($C13="","",IFERROR(VLOOKUP(CONCATENATE(AI$3,"-",$C13),'FO-GC-012'!$D$20:$H$109,4,0),""))</f>
        <v/>
      </c>
      <c r="AL13" s="68" t="str">
        <f>IF($C13="","",IFERROR(VLOOKUP(CONCATENATE(AI$3,"-",$C13),'FO-GC-012'!$D$20:$H$109,5,0),""))</f>
        <v/>
      </c>
      <c r="AM13" s="65" t="str">
        <f>IF($C13="","",IFERROR(VLOOKUP(CONCATENATE(AM$3,"-",$C13),'FO-GC-012'!$D$20:$H$109,2,0),""))</f>
        <v/>
      </c>
      <c r="AN13" s="66" t="str">
        <f>IF($C13="","",IFERROR(VLOOKUP(CONCATENATE(AM$3,"-",$C13),'FO-GC-012'!$D$20:$H$109,3,0),""))</f>
        <v/>
      </c>
      <c r="AO13" s="67" t="str">
        <f>IF($C13="","",IFERROR(VLOOKUP(CONCATENATE(AM$3,"-",$C13),'FO-GC-012'!$D$20:$H$109,4,0),""))</f>
        <v/>
      </c>
      <c r="AP13" s="68" t="str">
        <f>IF($C13="","",IFERROR(VLOOKUP(CONCATENATE(AM$3,"-",$C13),'FO-GC-012'!$D$20:$H$109,5,0),""))</f>
        <v/>
      </c>
      <c r="AQ13" s="65" t="str">
        <f>IF($C13="","",IFERROR(VLOOKUP(CONCATENATE(AQ$3,"-",$C13),'FO-GC-012'!$D$20:$H$109,2,0),""))</f>
        <v/>
      </c>
      <c r="AR13" s="66" t="str">
        <f>IF($C13="","",IFERROR(VLOOKUP(CONCATENATE(AQ$3,"-",$C13),'FO-GC-012'!$D$20:$H$109,3,0),""))</f>
        <v/>
      </c>
      <c r="AS13" s="67" t="str">
        <f>IF($C13="","",IFERROR(VLOOKUP(CONCATENATE(AQ$3,"-",$C13),'FO-GC-012'!$D$20:$H$109,4,0),""))</f>
        <v/>
      </c>
      <c r="AT13" s="68" t="str">
        <f>IF($C13="","",IFERROR(VLOOKUP(CONCATENATE(AQ$3,"-",$C13),'FO-GC-012'!$D$20:$H$109,5,0),""))</f>
        <v/>
      </c>
      <c r="AU13" s="65" t="str">
        <f>IF($C13="","",IFERROR(VLOOKUP(CONCATENATE(AU$3,"-",$C13),'FO-GC-012'!$D$20:$H$109,2,0),""))</f>
        <v/>
      </c>
      <c r="AV13" s="66" t="str">
        <f>IF($C13="","",IFERROR(VLOOKUP(CONCATENATE(AU$3,"-",$C13),'FO-GC-012'!$D$20:$H$109,3,0),""))</f>
        <v/>
      </c>
      <c r="AW13" s="67" t="str">
        <f>IF($C13="","",IFERROR(VLOOKUP(CONCATENATE(AU$3,"-",$C13),'FO-GC-012'!$D$20:$H$109,4,0),""))</f>
        <v/>
      </c>
      <c r="AX13" s="68" t="str">
        <f>IF($C13="","",IFERROR(VLOOKUP(CONCATENATE(AU$3,"-",$C13),'FO-GC-012'!$D$20:$H$109,5,0),""))</f>
        <v/>
      </c>
      <c r="AY13" s="65" t="str">
        <f>IF($C13="","",IFERROR(VLOOKUP(CONCATENATE(AY$3,"-",$C13),'FO-GC-012'!$D$20:$H$109,2,0),""))</f>
        <v/>
      </c>
      <c r="AZ13" s="66" t="str">
        <f>IF($C13="","",IFERROR(VLOOKUP(CONCATENATE(AY$3,"-",$C13),'FO-GC-012'!$D$20:$H$109,3,0),""))</f>
        <v/>
      </c>
      <c r="BA13" s="67" t="str">
        <f>IF($C13="","",IFERROR(VLOOKUP(CONCATENATE(AY$3,"-",$C13),'FO-GC-012'!$D$20:$H$109,4,0),""))</f>
        <v/>
      </c>
      <c r="BB13" s="68" t="str">
        <f>IF($C13="","",IFERROR(VLOOKUP(CONCATENATE(AY$3,"-",$C13),'FO-GC-012'!$D$20:$H$109,5,0),""))</f>
        <v/>
      </c>
      <c r="BC13" s="65" t="str">
        <f>IF($C13="","",IFERROR(VLOOKUP(CONCATENATE(BC$3,"-",$C13),'FO-GC-012'!$D$20:$H$109,2,0),""))</f>
        <v/>
      </c>
      <c r="BD13" s="66" t="str">
        <f>IF($C13="","",IFERROR(VLOOKUP(CONCATENATE(BC$3,"-",$C13),'FO-GC-012'!$D$20:$H$109,3,0),""))</f>
        <v/>
      </c>
      <c r="BE13" s="67" t="str">
        <f>IF($C13="","",IFERROR(VLOOKUP(CONCATENATE(BC$3,"-",$C13),'FO-GC-012'!$D$20:$H$109,4,0),""))</f>
        <v/>
      </c>
      <c r="BF13" s="68" t="str">
        <f>IF($C13="","",IFERROR(VLOOKUP(CONCATENATE(BC$3,"-",$C13),'FO-GC-012'!$D$20:$H$109,5,0),""))</f>
        <v/>
      </c>
      <c r="BG13" s="65" t="str">
        <f>IF($C13="","",IFERROR(VLOOKUP(CONCATENATE(BG$3,"-",$C13),'FO-GC-012'!$D$20:$H$109,2,0),""))</f>
        <v/>
      </c>
      <c r="BH13" s="66" t="str">
        <f>IF($C13="","",IFERROR(VLOOKUP(CONCATENATE(BG$3,"-",$C13),'FO-GC-012'!$D$20:$H$109,3,0),""))</f>
        <v/>
      </c>
      <c r="BI13" s="67" t="str">
        <f>IF($C13="","",IFERROR(VLOOKUP(CONCATENATE(BG$3,"-",$C13),'FO-GC-012'!$D$20:$H$109,4,0),""))</f>
        <v/>
      </c>
      <c r="BJ13" s="68" t="str">
        <f>IF($C13="","",IFERROR(VLOOKUP(CONCATENATE(BG$3,"-",$C13),'FO-GC-012'!$D$20:$H$109,5,0),""))</f>
        <v/>
      </c>
      <c r="BK13" s="65" t="str">
        <f>IF($C13="","",IFERROR(VLOOKUP(CONCATENATE(BK$3,"-",$C13),'FO-GC-012'!$D$20:$H$109,2,0),""))</f>
        <v/>
      </c>
      <c r="BL13" s="66" t="str">
        <f>IF($C13="","",IFERROR(VLOOKUP(CONCATENATE(BK$3,"-",$C13),'FO-GC-012'!$D$20:$H$109,3,0),""))</f>
        <v/>
      </c>
      <c r="BM13" s="67" t="str">
        <f>IF($C13="","",IFERROR(VLOOKUP(CONCATENATE(BK$3,"-",$C13),'FO-GC-012'!$D$20:$H$109,4,0),""))</f>
        <v/>
      </c>
      <c r="BN13" s="68" t="str">
        <f>IF($C13="","",IFERROR(VLOOKUP(CONCATENATE(BK$3,"-",$C13),'FO-GC-012'!$D$20:$H$109,5,0),""))</f>
        <v/>
      </c>
      <c r="BO13" s="65" t="str">
        <f>IF($C13="","",IFERROR(VLOOKUP(CONCATENATE(BO$3,"-",$C13),'FO-GC-012'!$D$20:$H$109,2,0),""))</f>
        <v/>
      </c>
      <c r="BP13" s="66" t="str">
        <f>IF($C13="","",IFERROR(VLOOKUP(CONCATENATE(BO$3,"-",$C13),'FO-GC-012'!$D$20:$H$109,3,0),""))</f>
        <v/>
      </c>
      <c r="BQ13" s="67" t="str">
        <f>IF($C13="","",IFERROR(VLOOKUP(CONCATENATE(BO$3,"-",$C13),'FO-GC-012'!$D$20:$H$109,4,0),""))</f>
        <v/>
      </c>
      <c r="BR13" s="68" t="str">
        <f>IF($C13="","",IFERROR(VLOOKUP(CONCATENATE(BO$3,"-",$C13),'FO-GC-012'!$D$20:$H$109,5,0),""))</f>
        <v/>
      </c>
      <c r="BS13" s="65" t="str">
        <f>IF($C13="","",IFERROR(VLOOKUP(CONCATENATE(BS$3,"-",$C13),'FO-GC-012'!$D$20:$H$109,2,0),""))</f>
        <v/>
      </c>
      <c r="BT13" s="66" t="str">
        <f>IF($C13="","",IFERROR(VLOOKUP(CONCATENATE(BS$3,"-",$C13),'FO-GC-012'!$D$20:$H$109,3,0),""))</f>
        <v/>
      </c>
      <c r="BU13" s="67" t="str">
        <f>IF($C13="","",IFERROR(VLOOKUP(CONCATENATE(BS$3,"-",$C13),'FO-GC-012'!$D$20:$H$109,4,0),""))</f>
        <v/>
      </c>
      <c r="BV13" s="68" t="str">
        <f>IF($C13="","",IFERROR(VLOOKUP(CONCATENATE(BS$3,"-",$C13),'FO-GC-012'!$D$20:$H$109,5,0),""))</f>
        <v/>
      </c>
      <c r="BW13" s="65" t="str">
        <f>IF($C13="","",IFERROR(VLOOKUP(CONCATENATE(BW$3,"-",$C13),'FO-GC-012'!$D$20:$H$109,2,0),""))</f>
        <v/>
      </c>
      <c r="BX13" s="66" t="str">
        <f>IF($C13="","",IFERROR(VLOOKUP(CONCATENATE(BW$3,"-",$C13),'FO-GC-012'!$D$20:$H$109,3,0),""))</f>
        <v/>
      </c>
      <c r="BY13" s="67" t="str">
        <f>IF($C13="","",IFERROR(VLOOKUP(CONCATENATE(BW$3,"-",$C13),'FO-GC-012'!$D$20:$H$109,4,0),""))</f>
        <v/>
      </c>
      <c r="BZ13" s="68" t="str">
        <f>IF($C13="","",IFERROR(VLOOKUP(CONCATENATE(BW$3,"-",$C13),'FO-GC-012'!$D$20:$H$109,5,0),""))</f>
        <v/>
      </c>
      <c r="CA13" s="65" t="str">
        <f>IF($C13="","",IFERROR(VLOOKUP(CONCATENATE(CA$3,"-",$C13),'FO-GC-012'!$D$20:$H$109,2,0),""))</f>
        <v/>
      </c>
      <c r="CB13" s="66" t="str">
        <f>IF($C13="","",IFERROR(VLOOKUP(CONCATENATE(CA$3,"-",$C13),'FO-GC-012'!$D$20:$H$109,3,0),""))</f>
        <v/>
      </c>
      <c r="CC13" s="67" t="str">
        <f>IF($C13="","",IFERROR(VLOOKUP(CONCATENATE(CA$3,"-",$C13),'FO-GC-012'!$D$20:$H$109,4,0),""))</f>
        <v/>
      </c>
      <c r="CD13" s="68" t="str">
        <f>IF($C13="","",IFERROR(VLOOKUP(CONCATENATE(CA$3,"-",$C13),'FO-GC-012'!$D$20:$H$109,5,0),""))</f>
        <v/>
      </c>
      <c r="CE13" s="65" t="str">
        <f>IF($C13="","",IFERROR(VLOOKUP(CONCATENATE(CE$3,"-",$C13),'FO-GC-012'!$D$20:$H$109,2,0),""))</f>
        <v/>
      </c>
      <c r="CF13" s="66" t="str">
        <f>IF($C13="","",IFERROR(VLOOKUP(CONCATENATE(CE$3,"-",$C13),'FO-GC-012'!$D$20:$H$109,3,0),""))</f>
        <v/>
      </c>
      <c r="CG13" s="67" t="str">
        <f>IF($C13="","",IFERROR(VLOOKUP(CONCATENATE(CE$3,"-",$C13),'FO-GC-012'!$D$20:$H$109,4,0),""))</f>
        <v/>
      </c>
      <c r="CH13" s="68" t="str">
        <f>IF($C13="","",IFERROR(VLOOKUP(CONCATENATE(CE$3,"-",$C13),'FO-GC-012'!$D$20:$H$109,5,0),""))</f>
        <v/>
      </c>
    </row>
    <row r="14" spans="1:87" ht="33.75" customHeight="1" x14ac:dyDescent="0.35">
      <c r="B14" s="83">
        <f>IF(C14="","",COUNTA(C$4:C14))</f>
        <v>11</v>
      </c>
      <c r="C14" s="82" t="str">
        <f>'Eq. Auditor'!B13</f>
        <v>*Julio Cesar Garcia Buitron</v>
      </c>
      <c r="D14" s="83">
        <f>IF(C14="","",COUNTIF('FO-GC-012'!A:A,CONCATENATE("P-",C14)))</f>
        <v>0</v>
      </c>
      <c r="E14" s="83">
        <f>IF(C14="","",COUNTIF('FO-GC-012'!A:A,CONCATENATE("A-",C14)))</f>
        <v>0</v>
      </c>
      <c r="F14" s="83">
        <f t="shared" si="3"/>
        <v>0</v>
      </c>
      <c r="G14" s="69" t="str">
        <f>IF($C14="","",IFERROR(VLOOKUP(CONCATENATE(G$3,"-",$C14),'FO-GC-012'!$D$20:$H$109,2,0),""))</f>
        <v/>
      </c>
      <c r="H14" s="70" t="str">
        <f>IF($C14="","",IFERROR(VLOOKUP(CONCATENATE(G$3,"-",$C14),'FO-GC-012'!$D$20:$H$109,3,0),""))</f>
        <v/>
      </c>
      <c r="I14" s="71" t="str">
        <f>IF($C14="","",IFERROR(VLOOKUP(CONCATENATE(G$3,"-",$C14),'FO-GC-012'!$D$20:$H$109,4,0),""))</f>
        <v/>
      </c>
      <c r="J14" s="72" t="str">
        <f>IF($C14="","",IFERROR(VLOOKUP(CONCATENATE(G$3,"-",$C14),'FO-GC-012'!$D$20:$H$109,5,0),""))</f>
        <v/>
      </c>
      <c r="K14" s="69" t="str">
        <f>IF($C14="","",IFERROR(VLOOKUP(CONCATENATE(K$3,"-",$C14),'FO-GC-012'!$D$20:$H$109,2,0),""))</f>
        <v/>
      </c>
      <c r="L14" s="70" t="str">
        <f>IF($C14="","",IFERROR(VLOOKUP(CONCATENATE(K$3,"-",$C14),'FO-GC-012'!$D$20:$H$109,3,0),""))</f>
        <v/>
      </c>
      <c r="M14" s="71" t="str">
        <f>IF($C14="","",IFERROR(VLOOKUP(CONCATENATE(K$3,"-",$C14),'FO-GC-012'!$D$20:$H$109,4,0),""))</f>
        <v/>
      </c>
      <c r="N14" s="72" t="str">
        <f>IF($C14="","",IFERROR(VLOOKUP(CONCATENATE(K$3,"-",$C14),'FO-GC-012'!$D$20:$H$109,5,0),""))</f>
        <v/>
      </c>
      <c r="O14" s="69" t="str">
        <f>IF($C14="","",IFERROR(VLOOKUP(CONCATENATE(O$3,"-",$C14),'FO-GC-012'!$D$20:$H$109,2,0),""))</f>
        <v/>
      </c>
      <c r="P14" s="70" t="str">
        <f>IF($C14="","",IFERROR(VLOOKUP(CONCATENATE(O$3,"-",$C14),'FO-GC-012'!$D$20:$H$109,3,0),""))</f>
        <v/>
      </c>
      <c r="Q14" s="71" t="str">
        <f>IF($C14="","",IFERROR(VLOOKUP(CONCATENATE(O$3,"-",$C14),'FO-GC-012'!$D$20:$H$109,4,0),""))</f>
        <v/>
      </c>
      <c r="R14" s="72" t="str">
        <f>IF($C14="","",IFERROR(VLOOKUP(CONCATENATE(O$3,"-",$C14),'FO-GC-012'!$D$20:$H$109,5,0),""))</f>
        <v/>
      </c>
      <c r="S14" s="69" t="str">
        <f>IF($C14="","",IFERROR(VLOOKUP(CONCATENATE(S$3,"-",$C14),'FO-GC-012'!$D$20:$H$109,2,0),""))</f>
        <v/>
      </c>
      <c r="T14" s="70" t="str">
        <f>IF($C14="","",IFERROR(VLOOKUP(CONCATENATE(S$3,"-",$C14),'FO-GC-012'!$D$20:$H$109,3,0),""))</f>
        <v/>
      </c>
      <c r="U14" s="71" t="str">
        <f>IF($C14="","",IFERROR(VLOOKUP(CONCATENATE(S$3,"-",$C14),'FO-GC-012'!$D$20:$H$109,4,0),""))</f>
        <v/>
      </c>
      <c r="V14" s="72" t="str">
        <f>IF($C14="","",IFERROR(VLOOKUP(CONCATENATE(S$3,"-",$C14),'FO-GC-012'!$D$20:$H$109,5,0),""))</f>
        <v/>
      </c>
      <c r="W14" s="69" t="str">
        <f>IF($C14="","",IFERROR(VLOOKUP(CONCATENATE(W$3,"-",$C14),'FO-GC-012'!$D$20:$H$109,2,0),""))</f>
        <v/>
      </c>
      <c r="X14" s="70" t="str">
        <f>IF($C14="","",IFERROR(VLOOKUP(CONCATENATE(W$3,"-",$C14),'FO-GC-012'!$D$20:$H$109,3,0),""))</f>
        <v/>
      </c>
      <c r="Y14" s="71" t="str">
        <f>IF($C14="","",IFERROR(VLOOKUP(CONCATENATE(W$3,"-",$C14),'FO-GC-012'!$D$20:$H$109,4,0),""))</f>
        <v/>
      </c>
      <c r="Z14" s="72" t="str">
        <f>IF($C14="","",IFERROR(VLOOKUP(CONCATENATE(W$3,"-",$C14),'FO-GC-012'!$D$20:$H$109,5,0),""))</f>
        <v/>
      </c>
      <c r="AA14" s="69" t="str">
        <f>IF($C14="","",IFERROR(VLOOKUP(CONCATENATE(AA$3,"-",$C14),'FO-GC-012'!$D$20:$H$109,2,0),""))</f>
        <v/>
      </c>
      <c r="AB14" s="70" t="str">
        <f>IF($C14="","",IFERROR(VLOOKUP(CONCATENATE(AA$3,"-",$C14),'FO-GC-012'!$D$20:$H$109,3,0),""))</f>
        <v/>
      </c>
      <c r="AC14" s="71" t="str">
        <f>IF($C14="","",IFERROR(VLOOKUP(CONCATENATE(AA$3,"-",$C14),'FO-GC-012'!$D$20:$H$109,4,0),""))</f>
        <v/>
      </c>
      <c r="AD14" s="72" t="str">
        <f>IF($C14="","",IFERROR(VLOOKUP(CONCATENATE(AA$3,"-",$C14),'FO-GC-012'!$D$20:$H$109,5,0),""))</f>
        <v/>
      </c>
      <c r="AE14" s="69" t="str">
        <f>IF($C14="","",IFERROR(VLOOKUP(CONCATENATE(AE$3,"-",$C14),'FO-GC-012'!$D$20:$H$109,2,0),""))</f>
        <v/>
      </c>
      <c r="AF14" s="70" t="str">
        <f>IF($C14="","",IFERROR(VLOOKUP(CONCATENATE(AE$3,"-",$C14),'FO-GC-012'!$D$20:$H$109,3,0),""))</f>
        <v/>
      </c>
      <c r="AG14" s="71" t="str">
        <f>IF($C14="","",IFERROR(VLOOKUP(CONCATENATE(AE$3,"-",$C14),'FO-GC-012'!$D$20:$H$109,4,0),""))</f>
        <v/>
      </c>
      <c r="AH14" s="72" t="str">
        <f>IF($C14="","",IFERROR(VLOOKUP(CONCATENATE(AE$3,"-",$C14),'FO-GC-012'!$D$20:$H$109,5,0),""))</f>
        <v/>
      </c>
      <c r="AI14" s="69" t="str">
        <f>IF($C14="","",IFERROR(VLOOKUP(CONCATENATE(AI$3,"-",$C14),'FO-GC-012'!$D$20:$H$109,2,0),""))</f>
        <v/>
      </c>
      <c r="AJ14" s="70" t="str">
        <f>IF($C14="","",IFERROR(VLOOKUP(CONCATENATE(AI$3,"-",$C14),'FO-GC-012'!$D$20:$H$109,3,0),""))</f>
        <v/>
      </c>
      <c r="AK14" s="71" t="str">
        <f>IF($C14="","",IFERROR(VLOOKUP(CONCATENATE(AI$3,"-",$C14),'FO-GC-012'!$D$20:$H$109,4,0),""))</f>
        <v/>
      </c>
      <c r="AL14" s="72" t="str">
        <f>IF($C14="","",IFERROR(VLOOKUP(CONCATENATE(AI$3,"-",$C14),'FO-GC-012'!$D$20:$H$109,5,0),""))</f>
        <v/>
      </c>
      <c r="AM14" s="69" t="str">
        <f>IF($C14="","",IFERROR(VLOOKUP(CONCATENATE(AM$3,"-",$C14),'FO-GC-012'!$D$20:$H$109,2,0),""))</f>
        <v/>
      </c>
      <c r="AN14" s="70" t="str">
        <f>IF($C14="","",IFERROR(VLOOKUP(CONCATENATE(AM$3,"-",$C14),'FO-GC-012'!$D$20:$H$109,3,0),""))</f>
        <v/>
      </c>
      <c r="AO14" s="71" t="str">
        <f>IF($C14="","",IFERROR(VLOOKUP(CONCATENATE(AM$3,"-",$C14),'FO-GC-012'!$D$20:$H$109,4,0),""))</f>
        <v/>
      </c>
      <c r="AP14" s="72" t="str">
        <f>IF($C14="","",IFERROR(VLOOKUP(CONCATENATE(AM$3,"-",$C14),'FO-GC-012'!$D$20:$H$109,5,0),""))</f>
        <v/>
      </c>
      <c r="AQ14" s="69" t="str">
        <f>IF($C14="","",IFERROR(VLOOKUP(CONCATENATE(AQ$3,"-",$C14),'FO-GC-012'!$D$20:$H$109,2,0),""))</f>
        <v/>
      </c>
      <c r="AR14" s="70" t="str">
        <f>IF($C14="","",IFERROR(VLOOKUP(CONCATENATE(AQ$3,"-",$C14),'FO-GC-012'!$D$20:$H$109,3,0),""))</f>
        <v/>
      </c>
      <c r="AS14" s="71" t="str">
        <f>IF($C14="","",IFERROR(VLOOKUP(CONCATENATE(AQ$3,"-",$C14),'FO-GC-012'!$D$20:$H$109,4,0),""))</f>
        <v/>
      </c>
      <c r="AT14" s="72" t="str">
        <f>IF($C14="","",IFERROR(VLOOKUP(CONCATENATE(AQ$3,"-",$C14),'FO-GC-012'!$D$20:$H$109,5,0),""))</f>
        <v/>
      </c>
      <c r="AU14" s="69" t="str">
        <f>IF($C14="","",IFERROR(VLOOKUP(CONCATENATE(AU$3,"-",$C14),'FO-GC-012'!$D$20:$H$109,2,0),""))</f>
        <v/>
      </c>
      <c r="AV14" s="70" t="str">
        <f>IF($C14="","",IFERROR(VLOOKUP(CONCATENATE(AU$3,"-",$C14),'FO-GC-012'!$D$20:$H$109,3,0),""))</f>
        <v/>
      </c>
      <c r="AW14" s="71" t="str">
        <f>IF($C14="","",IFERROR(VLOOKUP(CONCATENATE(AU$3,"-",$C14),'FO-GC-012'!$D$20:$H$109,4,0),""))</f>
        <v/>
      </c>
      <c r="AX14" s="72" t="str">
        <f>IF($C14="","",IFERROR(VLOOKUP(CONCATENATE(AU$3,"-",$C14),'FO-GC-012'!$D$20:$H$109,5,0),""))</f>
        <v/>
      </c>
      <c r="AY14" s="69" t="str">
        <f>IF($C14="","",IFERROR(VLOOKUP(CONCATENATE(AY$3,"-",$C14),'FO-GC-012'!$D$20:$H$109,2,0),""))</f>
        <v/>
      </c>
      <c r="AZ14" s="70" t="str">
        <f>IF($C14="","",IFERROR(VLOOKUP(CONCATENATE(AY$3,"-",$C14),'FO-GC-012'!$D$20:$H$109,3,0),""))</f>
        <v/>
      </c>
      <c r="BA14" s="71" t="str">
        <f>IF($C14="","",IFERROR(VLOOKUP(CONCATENATE(AY$3,"-",$C14),'FO-GC-012'!$D$20:$H$109,4,0),""))</f>
        <v/>
      </c>
      <c r="BB14" s="72" t="str">
        <f>IF($C14="","",IFERROR(VLOOKUP(CONCATENATE(AY$3,"-",$C14),'FO-GC-012'!$D$20:$H$109,5,0),""))</f>
        <v/>
      </c>
      <c r="BC14" s="69" t="str">
        <f>IF($C14="","",IFERROR(VLOOKUP(CONCATENATE(BC$3,"-",$C14),'FO-GC-012'!$D$20:$H$109,2,0),""))</f>
        <v/>
      </c>
      <c r="BD14" s="70" t="str">
        <f>IF($C14="","",IFERROR(VLOOKUP(CONCATENATE(BC$3,"-",$C14),'FO-GC-012'!$D$20:$H$109,3,0),""))</f>
        <v/>
      </c>
      <c r="BE14" s="71" t="str">
        <f>IF($C14="","",IFERROR(VLOOKUP(CONCATENATE(BC$3,"-",$C14),'FO-GC-012'!$D$20:$H$109,4,0),""))</f>
        <v/>
      </c>
      <c r="BF14" s="72" t="str">
        <f>IF($C14="","",IFERROR(VLOOKUP(CONCATENATE(BC$3,"-",$C14),'FO-GC-012'!$D$20:$H$109,5,0),""))</f>
        <v/>
      </c>
      <c r="BG14" s="69" t="str">
        <f>IF($C14="","",IFERROR(VLOOKUP(CONCATENATE(BG$3,"-",$C14),'FO-GC-012'!$D$20:$H$109,2,0),""))</f>
        <v/>
      </c>
      <c r="BH14" s="70" t="str">
        <f>IF($C14="","",IFERROR(VLOOKUP(CONCATENATE(BG$3,"-",$C14),'FO-GC-012'!$D$20:$H$109,3,0),""))</f>
        <v/>
      </c>
      <c r="BI14" s="71" t="str">
        <f>IF($C14="","",IFERROR(VLOOKUP(CONCATENATE(BG$3,"-",$C14),'FO-GC-012'!$D$20:$H$109,4,0),""))</f>
        <v/>
      </c>
      <c r="BJ14" s="72" t="str">
        <f>IF($C14="","",IFERROR(VLOOKUP(CONCATENATE(BG$3,"-",$C14),'FO-GC-012'!$D$20:$H$109,5,0),""))</f>
        <v/>
      </c>
      <c r="BK14" s="69" t="str">
        <f>IF($C14="","",IFERROR(VLOOKUP(CONCATENATE(BK$3,"-",$C14),'FO-GC-012'!$D$20:$H$109,2,0),""))</f>
        <v/>
      </c>
      <c r="BL14" s="70" t="str">
        <f>IF($C14="","",IFERROR(VLOOKUP(CONCATENATE(BK$3,"-",$C14),'FO-GC-012'!$D$20:$H$109,3,0),""))</f>
        <v/>
      </c>
      <c r="BM14" s="71" t="str">
        <f>IF($C14="","",IFERROR(VLOOKUP(CONCATENATE(BK$3,"-",$C14),'FO-GC-012'!$D$20:$H$109,4,0),""))</f>
        <v/>
      </c>
      <c r="BN14" s="72" t="str">
        <f>IF($C14="","",IFERROR(VLOOKUP(CONCATENATE(BK$3,"-",$C14),'FO-GC-012'!$D$20:$H$109,5,0),""))</f>
        <v/>
      </c>
      <c r="BO14" s="69" t="str">
        <f>IF($C14="","",IFERROR(VLOOKUP(CONCATENATE(BO$3,"-",$C14),'FO-GC-012'!$D$20:$H$109,2,0),""))</f>
        <v/>
      </c>
      <c r="BP14" s="70" t="str">
        <f>IF($C14="","",IFERROR(VLOOKUP(CONCATENATE(BO$3,"-",$C14),'FO-GC-012'!$D$20:$H$109,3,0),""))</f>
        <v/>
      </c>
      <c r="BQ14" s="71" t="str">
        <f>IF($C14="","",IFERROR(VLOOKUP(CONCATENATE(BO$3,"-",$C14),'FO-GC-012'!$D$20:$H$109,4,0),""))</f>
        <v/>
      </c>
      <c r="BR14" s="72" t="str">
        <f>IF($C14="","",IFERROR(VLOOKUP(CONCATENATE(BO$3,"-",$C14),'FO-GC-012'!$D$20:$H$109,5,0),""))</f>
        <v/>
      </c>
      <c r="BS14" s="69" t="str">
        <f>IF($C14="","",IFERROR(VLOOKUP(CONCATENATE(BS$3,"-",$C14),'FO-GC-012'!$D$20:$H$109,2,0),""))</f>
        <v/>
      </c>
      <c r="BT14" s="70" t="str">
        <f>IF($C14="","",IFERROR(VLOOKUP(CONCATENATE(BS$3,"-",$C14),'FO-GC-012'!$D$20:$H$109,3,0),""))</f>
        <v/>
      </c>
      <c r="BU14" s="71" t="str">
        <f>IF($C14="","",IFERROR(VLOOKUP(CONCATENATE(BS$3,"-",$C14),'FO-GC-012'!$D$20:$H$109,4,0),""))</f>
        <v/>
      </c>
      <c r="BV14" s="72" t="str">
        <f>IF($C14="","",IFERROR(VLOOKUP(CONCATENATE(BS$3,"-",$C14),'FO-GC-012'!$D$20:$H$109,5,0),""))</f>
        <v/>
      </c>
      <c r="BW14" s="69" t="str">
        <f>IF($C14="","",IFERROR(VLOOKUP(CONCATENATE(BW$3,"-",$C14),'FO-GC-012'!$D$20:$H$109,2,0),""))</f>
        <v/>
      </c>
      <c r="BX14" s="70" t="str">
        <f>IF($C14="","",IFERROR(VLOOKUP(CONCATENATE(BW$3,"-",$C14),'FO-GC-012'!$D$20:$H$109,3,0),""))</f>
        <v/>
      </c>
      <c r="BY14" s="71" t="str">
        <f>IF($C14="","",IFERROR(VLOOKUP(CONCATENATE(BW$3,"-",$C14),'FO-GC-012'!$D$20:$H$109,4,0),""))</f>
        <v/>
      </c>
      <c r="BZ14" s="72" t="str">
        <f>IF($C14="","",IFERROR(VLOOKUP(CONCATENATE(BW$3,"-",$C14),'FO-GC-012'!$D$20:$H$109,5,0),""))</f>
        <v/>
      </c>
      <c r="CA14" s="69" t="str">
        <f>IF($C14="","",IFERROR(VLOOKUP(CONCATENATE(CA$3,"-",$C14),'FO-GC-012'!$D$20:$H$109,2,0),""))</f>
        <v/>
      </c>
      <c r="CB14" s="70" t="str">
        <f>IF($C14="","",IFERROR(VLOOKUP(CONCATENATE(CA$3,"-",$C14),'FO-GC-012'!$D$20:$H$109,3,0),""))</f>
        <v/>
      </c>
      <c r="CC14" s="71" t="str">
        <f>IF($C14="","",IFERROR(VLOOKUP(CONCATENATE(CA$3,"-",$C14),'FO-GC-012'!$D$20:$H$109,4,0),""))</f>
        <v/>
      </c>
      <c r="CD14" s="72" t="str">
        <f>IF($C14="","",IFERROR(VLOOKUP(CONCATENATE(CA$3,"-",$C14),'FO-GC-012'!$D$20:$H$109,5,0),""))</f>
        <v/>
      </c>
      <c r="CE14" s="69" t="str">
        <f>IF($C14="","",IFERROR(VLOOKUP(CONCATENATE(CE$3,"-",$C14),'FO-GC-012'!$D$20:$H$109,2,0),""))</f>
        <v/>
      </c>
      <c r="CF14" s="70" t="str">
        <f>IF($C14="","",IFERROR(VLOOKUP(CONCATENATE(CE$3,"-",$C14),'FO-GC-012'!$D$20:$H$109,3,0),""))</f>
        <v/>
      </c>
      <c r="CG14" s="71" t="str">
        <f>IF($C14="","",IFERROR(VLOOKUP(CONCATENATE(CE$3,"-",$C14),'FO-GC-012'!$D$20:$H$109,4,0),""))</f>
        <v/>
      </c>
      <c r="CH14" s="72" t="str">
        <f>IF($C14="","",IFERROR(VLOOKUP(CONCATENATE(CE$3,"-",$C14),'FO-GC-012'!$D$20:$H$109,5,0),""))</f>
        <v/>
      </c>
    </row>
    <row r="15" spans="1:87" ht="33.75" customHeight="1" x14ac:dyDescent="0.35">
      <c r="B15" s="83">
        <f>IF(C15="","",COUNTA(C$4:C15))</f>
        <v>12</v>
      </c>
      <c r="C15" s="82" t="str">
        <f>'Eq. Auditor'!B14</f>
        <v>Karen Jisset Zuñiga Ramos</v>
      </c>
      <c r="D15" s="83">
        <f>IF(C15="","",COUNTIF('FO-GC-012'!A:A,CONCATENATE("P-",C15)))</f>
        <v>0</v>
      </c>
      <c r="E15" s="83">
        <f>IF(C15="","",COUNTIF('FO-GC-012'!A:A,CONCATENATE("A-",C15)))</f>
        <v>0</v>
      </c>
      <c r="F15" s="83">
        <f t="shared" si="3"/>
        <v>0</v>
      </c>
      <c r="G15" s="65" t="str">
        <f>IF($C15="","",IFERROR(VLOOKUP(CONCATENATE(G$3,"-",$C15),'FO-GC-012'!$D$20:$H$109,2,0),""))</f>
        <v/>
      </c>
      <c r="H15" s="66" t="str">
        <f>IF($C15="","",IFERROR(VLOOKUP(CONCATENATE(G$3,"-",$C15),'FO-GC-012'!$D$20:$H$109,3,0),""))</f>
        <v/>
      </c>
      <c r="I15" s="67" t="str">
        <f>IF($C15="","",IFERROR(VLOOKUP(CONCATENATE(G$3,"-",$C15),'FO-GC-012'!$D$20:$H$109,4,0),""))</f>
        <v/>
      </c>
      <c r="J15" s="68" t="str">
        <f>IF($C15="","",IFERROR(VLOOKUP(CONCATENATE(G$3,"-",$C15),'FO-GC-012'!$D$20:$H$109,5,0),""))</f>
        <v/>
      </c>
      <c r="K15" s="65" t="str">
        <f>IF($C15="","",IFERROR(VLOOKUP(CONCATENATE(K$3,"-",$C15),'FO-GC-012'!$D$20:$H$109,2,0),""))</f>
        <v/>
      </c>
      <c r="L15" s="66" t="str">
        <f>IF($C15="","",IFERROR(VLOOKUP(CONCATENATE(K$3,"-",$C15),'FO-GC-012'!$D$20:$H$109,3,0),""))</f>
        <v/>
      </c>
      <c r="M15" s="67" t="str">
        <f>IF($C15="","",IFERROR(VLOOKUP(CONCATENATE(K$3,"-",$C15),'FO-GC-012'!$D$20:$H$109,4,0),""))</f>
        <v/>
      </c>
      <c r="N15" s="68" t="str">
        <f>IF($C15="","",IFERROR(VLOOKUP(CONCATENATE(K$3,"-",$C15),'FO-GC-012'!$D$20:$H$109,5,0),""))</f>
        <v/>
      </c>
      <c r="O15" s="65" t="str">
        <f>IF($C15="","",IFERROR(VLOOKUP(CONCATENATE(O$3,"-",$C15),'FO-GC-012'!$D$20:$H$109,2,0),""))</f>
        <v/>
      </c>
      <c r="P15" s="66" t="str">
        <f>IF($C15="","",IFERROR(VLOOKUP(CONCATENATE(O$3,"-",$C15),'FO-GC-012'!$D$20:$H$109,3,0),""))</f>
        <v/>
      </c>
      <c r="Q15" s="67" t="str">
        <f>IF($C15="","",IFERROR(VLOOKUP(CONCATENATE(O$3,"-",$C15),'FO-GC-012'!$D$20:$H$109,4,0),""))</f>
        <v/>
      </c>
      <c r="R15" s="68" t="str">
        <f>IF($C15="","",IFERROR(VLOOKUP(CONCATENATE(O$3,"-",$C15),'FO-GC-012'!$D$20:$H$109,5,0),""))</f>
        <v/>
      </c>
      <c r="S15" s="65" t="str">
        <f>IF($C15="","",IFERROR(VLOOKUP(CONCATENATE(S$3,"-",$C15),'FO-GC-012'!$D$20:$H$109,2,0),""))</f>
        <v/>
      </c>
      <c r="T15" s="66" t="str">
        <f>IF($C15="","",IFERROR(VLOOKUP(CONCATENATE(S$3,"-",$C15),'FO-GC-012'!$D$20:$H$109,3,0),""))</f>
        <v/>
      </c>
      <c r="U15" s="67" t="str">
        <f>IF($C15="","",IFERROR(VLOOKUP(CONCATENATE(S$3,"-",$C15),'FO-GC-012'!$D$20:$H$109,4,0),""))</f>
        <v/>
      </c>
      <c r="V15" s="68" t="str">
        <f>IF($C15="","",IFERROR(VLOOKUP(CONCATENATE(S$3,"-",$C15),'FO-GC-012'!$D$20:$H$109,5,0),""))</f>
        <v/>
      </c>
      <c r="W15" s="65" t="str">
        <f>IF($C15="","",IFERROR(VLOOKUP(CONCATENATE(W$3,"-",$C15),'FO-GC-012'!$D$20:$H$109,2,0),""))</f>
        <v/>
      </c>
      <c r="X15" s="66" t="str">
        <f>IF($C15="","",IFERROR(VLOOKUP(CONCATENATE(W$3,"-",$C15),'FO-GC-012'!$D$20:$H$109,3,0),""))</f>
        <v/>
      </c>
      <c r="Y15" s="67" t="str">
        <f>IF($C15="","",IFERROR(VLOOKUP(CONCATENATE(W$3,"-",$C15),'FO-GC-012'!$D$20:$H$109,4,0),""))</f>
        <v/>
      </c>
      <c r="Z15" s="68" t="str">
        <f>IF($C15="","",IFERROR(VLOOKUP(CONCATENATE(W$3,"-",$C15),'FO-GC-012'!$D$20:$H$109,5,0),""))</f>
        <v/>
      </c>
      <c r="AA15" s="65" t="str">
        <f>IF($C15="","",IFERROR(VLOOKUP(CONCATENATE(AA$3,"-",$C15),'FO-GC-012'!$D$20:$H$109,2,0),""))</f>
        <v/>
      </c>
      <c r="AB15" s="66" t="str">
        <f>IF($C15="","",IFERROR(VLOOKUP(CONCATENATE(AA$3,"-",$C15),'FO-GC-012'!$D$20:$H$109,3,0),""))</f>
        <v/>
      </c>
      <c r="AC15" s="67" t="str">
        <f>IF($C15="","",IFERROR(VLOOKUP(CONCATENATE(AA$3,"-",$C15),'FO-GC-012'!$D$20:$H$109,4,0),""))</f>
        <v/>
      </c>
      <c r="AD15" s="68" t="str">
        <f>IF($C15="","",IFERROR(VLOOKUP(CONCATENATE(AA$3,"-",$C15),'FO-GC-012'!$D$20:$H$109,5,0),""))</f>
        <v/>
      </c>
      <c r="AE15" s="65" t="str">
        <f>IF($C15="","",IFERROR(VLOOKUP(CONCATENATE(AE$3,"-",$C15),'FO-GC-012'!$D$20:$H$109,2,0),""))</f>
        <v/>
      </c>
      <c r="AF15" s="66" t="str">
        <f>IF($C15="","",IFERROR(VLOOKUP(CONCATENATE(AE$3,"-",$C15),'FO-GC-012'!$D$20:$H$109,3,0),""))</f>
        <v/>
      </c>
      <c r="AG15" s="67" t="str">
        <f>IF($C15="","",IFERROR(VLOOKUP(CONCATENATE(AE$3,"-",$C15),'FO-GC-012'!$D$20:$H$109,4,0),""))</f>
        <v/>
      </c>
      <c r="AH15" s="68" t="str">
        <f>IF($C15="","",IFERROR(VLOOKUP(CONCATENATE(AE$3,"-",$C15),'FO-GC-012'!$D$20:$H$109,5,0),""))</f>
        <v/>
      </c>
      <c r="AI15" s="65" t="str">
        <f>IF($C15="","",IFERROR(VLOOKUP(CONCATENATE(AI$3,"-",$C15),'FO-GC-012'!$D$20:$H$109,2,0),""))</f>
        <v/>
      </c>
      <c r="AJ15" s="66" t="str">
        <f>IF($C15="","",IFERROR(VLOOKUP(CONCATENATE(AI$3,"-",$C15),'FO-GC-012'!$D$20:$H$109,3,0),""))</f>
        <v/>
      </c>
      <c r="AK15" s="67" t="str">
        <f>IF($C15="","",IFERROR(VLOOKUP(CONCATENATE(AI$3,"-",$C15),'FO-GC-012'!$D$20:$H$109,4,0),""))</f>
        <v/>
      </c>
      <c r="AL15" s="68" t="str">
        <f>IF($C15="","",IFERROR(VLOOKUP(CONCATENATE(AI$3,"-",$C15),'FO-GC-012'!$D$20:$H$109,5,0),""))</f>
        <v/>
      </c>
      <c r="AM15" s="65" t="str">
        <f>IF($C15="","",IFERROR(VLOOKUP(CONCATENATE(AM$3,"-",$C15),'FO-GC-012'!$D$20:$H$109,2,0),""))</f>
        <v/>
      </c>
      <c r="AN15" s="66" t="str">
        <f>IF($C15="","",IFERROR(VLOOKUP(CONCATENATE(AM$3,"-",$C15),'FO-GC-012'!$D$20:$H$109,3,0),""))</f>
        <v/>
      </c>
      <c r="AO15" s="67" t="str">
        <f>IF($C15="","",IFERROR(VLOOKUP(CONCATENATE(AM$3,"-",$C15),'FO-GC-012'!$D$20:$H$109,4,0),""))</f>
        <v/>
      </c>
      <c r="AP15" s="68" t="str">
        <f>IF($C15="","",IFERROR(VLOOKUP(CONCATENATE(AM$3,"-",$C15),'FO-GC-012'!$D$20:$H$109,5,0),""))</f>
        <v/>
      </c>
      <c r="AQ15" s="65" t="str">
        <f>IF($C15="","",IFERROR(VLOOKUP(CONCATENATE(AQ$3,"-",$C15),'FO-GC-012'!$D$20:$H$109,2,0),""))</f>
        <v/>
      </c>
      <c r="AR15" s="66" t="str">
        <f>IF($C15="","",IFERROR(VLOOKUP(CONCATENATE(AQ$3,"-",$C15),'FO-GC-012'!$D$20:$H$109,3,0),""))</f>
        <v/>
      </c>
      <c r="AS15" s="67" t="str">
        <f>IF($C15="","",IFERROR(VLOOKUP(CONCATENATE(AQ$3,"-",$C15),'FO-GC-012'!$D$20:$H$109,4,0),""))</f>
        <v/>
      </c>
      <c r="AT15" s="68" t="str">
        <f>IF($C15="","",IFERROR(VLOOKUP(CONCATENATE(AQ$3,"-",$C15),'FO-GC-012'!$D$20:$H$109,5,0),""))</f>
        <v/>
      </c>
      <c r="AU15" s="65" t="str">
        <f>IF($C15="","",IFERROR(VLOOKUP(CONCATENATE(AU$3,"-",$C15),'FO-GC-012'!$D$20:$H$109,2,0),""))</f>
        <v/>
      </c>
      <c r="AV15" s="66" t="str">
        <f>IF($C15="","",IFERROR(VLOOKUP(CONCATENATE(AU$3,"-",$C15),'FO-GC-012'!$D$20:$H$109,3,0),""))</f>
        <v/>
      </c>
      <c r="AW15" s="67" t="str">
        <f>IF($C15="","",IFERROR(VLOOKUP(CONCATENATE(AU$3,"-",$C15),'FO-GC-012'!$D$20:$H$109,4,0),""))</f>
        <v/>
      </c>
      <c r="AX15" s="68" t="str">
        <f>IF($C15="","",IFERROR(VLOOKUP(CONCATENATE(AU$3,"-",$C15),'FO-GC-012'!$D$20:$H$109,5,0),""))</f>
        <v/>
      </c>
      <c r="AY15" s="65" t="str">
        <f>IF($C15="","",IFERROR(VLOOKUP(CONCATENATE(AY$3,"-",$C15),'FO-GC-012'!$D$20:$H$109,2,0),""))</f>
        <v/>
      </c>
      <c r="AZ15" s="66" t="str">
        <f>IF($C15="","",IFERROR(VLOOKUP(CONCATENATE(AY$3,"-",$C15),'FO-GC-012'!$D$20:$H$109,3,0),""))</f>
        <v/>
      </c>
      <c r="BA15" s="67" t="str">
        <f>IF($C15="","",IFERROR(VLOOKUP(CONCATENATE(AY$3,"-",$C15),'FO-GC-012'!$D$20:$H$109,4,0),""))</f>
        <v/>
      </c>
      <c r="BB15" s="68" t="str">
        <f>IF($C15="","",IFERROR(VLOOKUP(CONCATENATE(AY$3,"-",$C15),'FO-GC-012'!$D$20:$H$109,5,0),""))</f>
        <v/>
      </c>
      <c r="BC15" s="65" t="str">
        <f>IF($C15="","",IFERROR(VLOOKUP(CONCATENATE(BC$3,"-",$C15),'FO-GC-012'!$D$20:$H$109,2,0),""))</f>
        <v/>
      </c>
      <c r="BD15" s="66" t="str">
        <f>IF($C15="","",IFERROR(VLOOKUP(CONCATENATE(BC$3,"-",$C15),'FO-GC-012'!$D$20:$H$109,3,0),""))</f>
        <v/>
      </c>
      <c r="BE15" s="67" t="str">
        <f>IF($C15="","",IFERROR(VLOOKUP(CONCATENATE(BC$3,"-",$C15),'FO-GC-012'!$D$20:$H$109,4,0),""))</f>
        <v/>
      </c>
      <c r="BF15" s="68" t="str">
        <f>IF($C15="","",IFERROR(VLOOKUP(CONCATENATE(BC$3,"-",$C15),'FO-GC-012'!$D$20:$H$109,5,0),""))</f>
        <v/>
      </c>
      <c r="BG15" s="65" t="str">
        <f>IF($C15="","",IFERROR(VLOOKUP(CONCATENATE(BG$3,"-",$C15),'FO-GC-012'!$D$20:$H$109,2,0),""))</f>
        <v/>
      </c>
      <c r="BH15" s="66" t="str">
        <f>IF($C15="","",IFERROR(VLOOKUP(CONCATENATE(BG$3,"-",$C15),'FO-GC-012'!$D$20:$H$109,3,0),""))</f>
        <v/>
      </c>
      <c r="BI15" s="67" t="str">
        <f>IF($C15="","",IFERROR(VLOOKUP(CONCATENATE(BG$3,"-",$C15),'FO-GC-012'!$D$20:$H$109,4,0),""))</f>
        <v/>
      </c>
      <c r="BJ15" s="68" t="str">
        <f>IF($C15="","",IFERROR(VLOOKUP(CONCATENATE(BG$3,"-",$C15),'FO-GC-012'!$D$20:$H$109,5,0),""))</f>
        <v/>
      </c>
      <c r="BK15" s="65" t="str">
        <f>IF($C15="","",IFERROR(VLOOKUP(CONCATENATE(BK$3,"-",$C15),'FO-GC-012'!$D$20:$H$109,2,0),""))</f>
        <v/>
      </c>
      <c r="BL15" s="66" t="str">
        <f>IF($C15="","",IFERROR(VLOOKUP(CONCATENATE(BK$3,"-",$C15),'FO-GC-012'!$D$20:$H$109,3,0),""))</f>
        <v/>
      </c>
      <c r="BM15" s="67" t="str">
        <f>IF($C15="","",IFERROR(VLOOKUP(CONCATENATE(BK$3,"-",$C15),'FO-GC-012'!$D$20:$H$109,4,0),""))</f>
        <v/>
      </c>
      <c r="BN15" s="68" t="str">
        <f>IF($C15="","",IFERROR(VLOOKUP(CONCATENATE(BK$3,"-",$C15),'FO-GC-012'!$D$20:$H$109,5,0),""))</f>
        <v/>
      </c>
      <c r="BO15" s="65" t="str">
        <f>IF($C15="","",IFERROR(VLOOKUP(CONCATENATE(BO$3,"-",$C15),'FO-GC-012'!$D$20:$H$109,2,0),""))</f>
        <v/>
      </c>
      <c r="BP15" s="66" t="str">
        <f>IF($C15="","",IFERROR(VLOOKUP(CONCATENATE(BO$3,"-",$C15),'FO-GC-012'!$D$20:$H$109,3,0),""))</f>
        <v/>
      </c>
      <c r="BQ15" s="67" t="str">
        <f>IF($C15="","",IFERROR(VLOOKUP(CONCATENATE(BO$3,"-",$C15),'FO-GC-012'!$D$20:$H$109,4,0),""))</f>
        <v/>
      </c>
      <c r="BR15" s="68" t="str">
        <f>IF($C15="","",IFERROR(VLOOKUP(CONCATENATE(BO$3,"-",$C15),'FO-GC-012'!$D$20:$H$109,5,0),""))</f>
        <v/>
      </c>
      <c r="BS15" s="65" t="str">
        <f>IF($C15="","",IFERROR(VLOOKUP(CONCATENATE(BS$3,"-",$C15),'FO-GC-012'!$D$20:$H$109,2,0),""))</f>
        <v/>
      </c>
      <c r="BT15" s="66" t="str">
        <f>IF($C15="","",IFERROR(VLOOKUP(CONCATENATE(BS$3,"-",$C15),'FO-GC-012'!$D$20:$H$109,3,0),""))</f>
        <v/>
      </c>
      <c r="BU15" s="67" t="str">
        <f>IF($C15="","",IFERROR(VLOOKUP(CONCATENATE(BS$3,"-",$C15),'FO-GC-012'!$D$20:$H$109,4,0),""))</f>
        <v/>
      </c>
      <c r="BV15" s="68" t="str">
        <f>IF($C15="","",IFERROR(VLOOKUP(CONCATENATE(BS$3,"-",$C15),'FO-GC-012'!$D$20:$H$109,5,0),""))</f>
        <v/>
      </c>
      <c r="BW15" s="65" t="str">
        <f>IF($C15="","",IFERROR(VLOOKUP(CONCATENATE(BW$3,"-",$C15),'FO-GC-012'!$D$20:$H$109,2,0),""))</f>
        <v/>
      </c>
      <c r="BX15" s="66" t="str">
        <f>IF($C15="","",IFERROR(VLOOKUP(CONCATENATE(BW$3,"-",$C15),'FO-GC-012'!$D$20:$H$109,3,0),""))</f>
        <v/>
      </c>
      <c r="BY15" s="67" t="str">
        <f>IF($C15="","",IFERROR(VLOOKUP(CONCATENATE(BW$3,"-",$C15),'FO-GC-012'!$D$20:$H$109,4,0),""))</f>
        <v/>
      </c>
      <c r="BZ15" s="68" t="str">
        <f>IF($C15="","",IFERROR(VLOOKUP(CONCATENATE(BW$3,"-",$C15),'FO-GC-012'!$D$20:$H$109,5,0),""))</f>
        <v/>
      </c>
      <c r="CA15" s="65" t="str">
        <f>IF($C15="","",IFERROR(VLOOKUP(CONCATENATE(CA$3,"-",$C15),'FO-GC-012'!$D$20:$H$109,2,0),""))</f>
        <v/>
      </c>
      <c r="CB15" s="66" t="str">
        <f>IF($C15="","",IFERROR(VLOOKUP(CONCATENATE(CA$3,"-",$C15),'FO-GC-012'!$D$20:$H$109,3,0),""))</f>
        <v/>
      </c>
      <c r="CC15" s="67" t="str">
        <f>IF($C15="","",IFERROR(VLOOKUP(CONCATENATE(CA$3,"-",$C15),'FO-GC-012'!$D$20:$H$109,4,0),""))</f>
        <v/>
      </c>
      <c r="CD15" s="68" t="str">
        <f>IF($C15="","",IFERROR(VLOOKUP(CONCATENATE(CA$3,"-",$C15),'FO-GC-012'!$D$20:$H$109,5,0),""))</f>
        <v/>
      </c>
      <c r="CE15" s="65" t="str">
        <f>IF($C15="","",IFERROR(VLOOKUP(CONCATENATE(CE$3,"-",$C15),'FO-GC-012'!$D$20:$H$109,2,0),""))</f>
        <v/>
      </c>
      <c r="CF15" s="66" t="str">
        <f>IF($C15="","",IFERROR(VLOOKUP(CONCATENATE(CE$3,"-",$C15),'FO-GC-012'!$D$20:$H$109,3,0),""))</f>
        <v/>
      </c>
      <c r="CG15" s="67" t="str">
        <f>IF($C15="","",IFERROR(VLOOKUP(CONCATENATE(CE$3,"-",$C15),'FO-GC-012'!$D$20:$H$109,4,0),""))</f>
        <v/>
      </c>
      <c r="CH15" s="68" t="str">
        <f>IF($C15="","",IFERROR(VLOOKUP(CONCATENATE(CE$3,"-",$C15),'FO-GC-012'!$D$20:$H$109,5,0),""))</f>
        <v/>
      </c>
    </row>
    <row r="16" spans="1:87" ht="33.75" customHeight="1" x14ac:dyDescent="0.35">
      <c r="B16" s="83">
        <f>IF(C16="","",COUNTA(C$4:C16))</f>
        <v>13</v>
      </c>
      <c r="C16" s="82" t="str">
        <f>'Eq. Auditor'!B15</f>
        <v>*Karen Viviana Quiñones Mosquera</v>
      </c>
      <c r="D16" s="83">
        <f>IF(C16="","",COUNTIF('FO-GC-012'!A:A,CONCATENATE("P-",C16)))</f>
        <v>0</v>
      </c>
      <c r="E16" s="83">
        <f>IF(C16="","",COUNTIF('FO-GC-012'!A:A,CONCATENATE("A-",C16)))</f>
        <v>0</v>
      </c>
      <c r="F16" s="83">
        <f t="shared" si="3"/>
        <v>0</v>
      </c>
      <c r="G16" s="69" t="str">
        <f>IF($C16="","",IFERROR(VLOOKUP(CONCATENATE(G$3,"-",$C16),'FO-GC-012'!$D$20:$H$109,2,0),""))</f>
        <v/>
      </c>
      <c r="H16" s="70" t="str">
        <f>IF($C16="","",IFERROR(VLOOKUP(CONCATENATE(G$3,"-",$C16),'FO-GC-012'!$D$20:$H$109,3,0),""))</f>
        <v/>
      </c>
      <c r="I16" s="71" t="str">
        <f>IF($C16="","",IFERROR(VLOOKUP(CONCATENATE(G$3,"-",$C16),'FO-GC-012'!$D$20:$H$109,4,0),""))</f>
        <v/>
      </c>
      <c r="J16" s="72" t="str">
        <f>IF($C16="","",IFERROR(VLOOKUP(CONCATENATE(G$3,"-",$C16),'FO-GC-012'!$D$20:$H$109,5,0),""))</f>
        <v/>
      </c>
      <c r="K16" s="69" t="str">
        <f>IF($C16="","",IFERROR(VLOOKUP(CONCATENATE(K$3,"-",$C16),'FO-GC-012'!$D$20:$H$109,2,0),""))</f>
        <v/>
      </c>
      <c r="L16" s="70" t="str">
        <f>IF($C16="","",IFERROR(VLOOKUP(CONCATENATE(K$3,"-",$C16),'FO-GC-012'!$D$20:$H$109,3,0),""))</f>
        <v/>
      </c>
      <c r="M16" s="71" t="str">
        <f>IF($C16="","",IFERROR(VLOOKUP(CONCATENATE(K$3,"-",$C16),'FO-GC-012'!$D$20:$H$109,4,0),""))</f>
        <v/>
      </c>
      <c r="N16" s="72" t="str">
        <f>IF($C16="","",IFERROR(VLOOKUP(CONCATENATE(K$3,"-",$C16),'FO-GC-012'!$D$20:$H$109,5,0),""))</f>
        <v/>
      </c>
      <c r="O16" s="69" t="str">
        <f>IF($C16="","",IFERROR(VLOOKUP(CONCATENATE(O$3,"-",$C16),'FO-GC-012'!$D$20:$H$109,2,0),""))</f>
        <v/>
      </c>
      <c r="P16" s="70" t="str">
        <f>IF($C16="","",IFERROR(VLOOKUP(CONCATENATE(O$3,"-",$C16),'FO-GC-012'!$D$20:$H$109,3,0),""))</f>
        <v/>
      </c>
      <c r="Q16" s="71" t="str">
        <f>IF($C16="","",IFERROR(VLOOKUP(CONCATENATE(O$3,"-",$C16),'FO-GC-012'!$D$20:$H$109,4,0),""))</f>
        <v/>
      </c>
      <c r="R16" s="72" t="str">
        <f>IF($C16="","",IFERROR(VLOOKUP(CONCATENATE(O$3,"-",$C16),'FO-GC-012'!$D$20:$H$109,5,0),""))</f>
        <v/>
      </c>
      <c r="S16" s="69" t="str">
        <f>IF($C16="","",IFERROR(VLOOKUP(CONCATENATE(S$3,"-",$C16),'FO-GC-012'!$D$20:$H$109,2,0),""))</f>
        <v/>
      </c>
      <c r="T16" s="70" t="str">
        <f>IF($C16="","",IFERROR(VLOOKUP(CONCATENATE(S$3,"-",$C16),'FO-GC-012'!$D$20:$H$109,3,0),""))</f>
        <v/>
      </c>
      <c r="U16" s="71" t="str">
        <f>IF($C16="","",IFERROR(VLOOKUP(CONCATENATE(S$3,"-",$C16),'FO-GC-012'!$D$20:$H$109,4,0),""))</f>
        <v/>
      </c>
      <c r="V16" s="72" t="str">
        <f>IF($C16="","",IFERROR(VLOOKUP(CONCATENATE(S$3,"-",$C16),'FO-GC-012'!$D$20:$H$109,5,0),""))</f>
        <v/>
      </c>
      <c r="W16" s="69" t="str">
        <f>IF($C16="","",IFERROR(VLOOKUP(CONCATENATE(W$3,"-",$C16),'FO-GC-012'!$D$20:$H$109,2,0),""))</f>
        <v/>
      </c>
      <c r="X16" s="70" t="str">
        <f>IF($C16="","",IFERROR(VLOOKUP(CONCATENATE(W$3,"-",$C16),'FO-GC-012'!$D$20:$H$109,3,0),""))</f>
        <v/>
      </c>
      <c r="Y16" s="71" t="str">
        <f>IF($C16="","",IFERROR(VLOOKUP(CONCATENATE(W$3,"-",$C16),'FO-GC-012'!$D$20:$H$109,4,0),""))</f>
        <v/>
      </c>
      <c r="Z16" s="72" t="str">
        <f>IF($C16="","",IFERROR(VLOOKUP(CONCATENATE(W$3,"-",$C16),'FO-GC-012'!$D$20:$H$109,5,0),""))</f>
        <v/>
      </c>
      <c r="AA16" s="69" t="str">
        <f>IF($C16="","",IFERROR(VLOOKUP(CONCATENATE(AA$3,"-",$C16),'FO-GC-012'!$D$20:$H$109,2,0),""))</f>
        <v/>
      </c>
      <c r="AB16" s="70" t="str">
        <f>IF($C16="","",IFERROR(VLOOKUP(CONCATENATE(AA$3,"-",$C16),'FO-GC-012'!$D$20:$H$109,3,0),""))</f>
        <v/>
      </c>
      <c r="AC16" s="71" t="str">
        <f>IF($C16="","",IFERROR(VLOOKUP(CONCATENATE(AA$3,"-",$C16),'FO-GC-012'!$D$20:$H$109,4,0),""))</f>
        <v/>
      </c>
      <c r="AD16" s="72" t="str">
        <f>IF($C16="","",IFERROR(VLOOKUP(CONCATENATE(AA$3,"-",$C16),'FO-GC-012'!$D$20:$H$109,5,0),""))</f>
        <v/>
      </c>
      <c r="AE16" s="69" t="str">
        <f>IF($C16="","",IFERROR(VLOOKUP(CONCATENATE(AE$3,"-",$C16),'FO-GC-012'!$D$20:$H$109,2,0),""))</f>
        <v/>
      </c>
      <c r="AF16" s="70" t="str">
        <f>IF($C16="","",IFERROR(VLOOKUP(CONCATENATE(AE$3,"-",$C16),'FO-GC-012'!$D$20:$H$109,3,0),""))</f>
        <v/>
      </c>
      <c r="AG16" s="71" t="str">
        <f>IF($C16="","",IFERROR(VLOOKUP(CONCATENATE(AE$3,"-",$C16),'FO-GC-012'!$D$20:$H$109,4,0),""))</f>
        <v/>
      </c>
      <c r="AH16" s="72" t="str">
        <f>IF($C16="","",IFERROR(VLOOKUP(CONCATENATE(AE$3,"-",$C16),'FO-GC-012'!$D$20:$H$109,5,0),""))</f>
        <v/>
      </c>
      <c r="AI16" s="69" t="str">
        <f>IF($C16="","",IFERROR(VLOOKUP(CONCATENATE(AI$3,"-",$C16),'FO-GC-012'!$D$20:$H$109,2,0),""))</f>
        <v/>
      </c>
      <c r="AJ16" s="70" t="str">
        <f>IF($C16="","",IFERROR(VLOOKUP(CONCATENATE(AI$3,"-",$C16),'FO-GC-012'!$D$20:$H$109,3,0),""))</f>
        <v/>
      </c>
      <c r="AK16" s="71" t="str">
        <f>IF($C16="","",IFERROR(VLOOKUP(CONCATENATE(AI$3,"-",$C16),'FO-GC-012'!$D$20:$H$109,4,0),""))</f>
        <v/>
      </c>
      <c r="AL16" s="72" t="str">
        <f>IF($C16="","",IFERROR(VLOOKUP(CONCATENATE(AI$3,"-",$C16),'FO-GC-012'!$D$20:$H$109,5,0),""))</f>
        <v/>
      </c>
      <c r="AM16" s="69" t="str">
        <f>IF($C16="","",IFERROR(VLOOKUP(CONCATENATE(AM$3,"-",$C16),'FO-GC-012'!$D$20:$H$109,2,0),""))</f>
        <v/>
      </c>
      <c r="AN16" s="70" t="str">
        <f>IF($C16="","",IFERROR(VLOOKUP(CONCATENATE(AM$3,"-",$C16),'FO-GC-012'!$D$20:$H$109,3,0),""))</f>
        <v/>
      </c>
      <c r="AO16" s="71" t="str">
        <f>IF($C16="","",IFERROR(VLOOKUP(CONCATENATE(AM$3,"-",$C16),'FO-GC-012'!$D$20:$H$109,4,0),""))</f>
        <v/>
      </c>
      <c r="AP16" s="72" t="str">
        <f>IF($C16="","",IFERROR(VLOOKUP(CONCATENATE(AM$3,"-",$C16),'FO-GC-012'!$D$20:$H$109,5,0),""))</f>
        <v/>
      </c>
      <c r="AQ16" s="69" t="str">
        <f>IF($C16="","",IFERROR(VLOOKUP(CONCATENATE(AQ$3,"-",$C16),'FO-GC-012'!$D$20:$H$109,2,0),""))</f>
        <v/>
      </c>
      <c r="AR16" s="70" t="str">
        <f>IF($C16="","",IFERROR(VLOOKUP(CONCATENATE(AQ$3,"-",$C16),'FO-GC-012'!$D$20:$H$109,3,0),""))</f>
        <v/>
      </c>
      <c r="AS16" s="71" t="str">
        <f>IF($C16="","",IFERROR(VLOOKUP(CONCATENATE(AQ$3,"-",$C16),'FO-GC-012'!$D$20:$H$109,4,0),""))</f>
        <v/>
      </c>
      <c r="AT16" s="72" t="str">
        <f>IF($C16="","",IFERROR(VLOOKUP(CONCATENATE(AQ$3,"-",$C16),'FO-GC-012'!$D$20:$H$109,5,0),""))</f>
        <v/>
      </c>
      <c r="AU16" s="69" t="str">
        <f>IF($C16="","",IFERROR(VLOOKUP(CONCATENATE(AU$3,"-",$C16),'FO-GC-012'!$D$20:$H$109,2,0),""))</f>
        <v/>
      </c>
      <c r="AV16" s="70" t="str">
        <f>IF($C16="","",IFERROR(VLOOKUP(CONCATENATE(AU$3,"-",$C16),'FO-GC-012'!$D$20:$H$109,3,0),""))</f>
        <v/>
      </c>
      <c r="AW16" s="71" t="str">
        <f>IF($C16="","",IFERROR(VLOOKUP(CONCATENATE(AU$3,"-",$C16),'FO-GC-012'!$D$20:$H$109,4,0),""))</f>
        <v/>
      </c>
      <c r="AX16" s="72" t="str">
        <f>IF($C16="","",IFERROR(VLOOKUP(CONCATENATE(AU$3,"-",$C16),'FO-GC-012'!$D$20:$H$109,5,0),""))</f>
        <v/>
      </c>
      <c r="AY16" s="69" t="str">
        <f>IF($C16="","",IFERROR(VLOOKUP(CONCATENATE(AY$3,"-",$C16),'FO-GC-012'!$D$20:$H$109,2,0),""))</f>
        <v/>
      </c>
      <c r="AZ16" s="70" t="str">
        <f>IF($C16="","",IFERROR(VLOOKUP(CONCATENATE(AY$3,"-",$C16),'FO-GC-012'!$D$20:$H$109,3,0),""))</f>
        <v/>
      </c>
      <c r="BA16" s="71" t="str">
        <f>IF($C16="","",IFERROR(VLOOKUP(CONCATENATE(AY$3,"-",$C16),'FO-GC-012'!$D$20:$H$109,4,0),""))</f>
        <v/>
      </c>
      <c r="BB16" s="72" t="str">
        <f>IF($C16="","",IFERROR(VLOOKUP(CONCATENATE(AY$3,"-",$C16),'FO-GC-012'!$D$20:$H$109,5,0),""))</f>
        <v/>
      </c>
      <c r="BC16" s="69" t="str">
        <f>IF($C16="","",IFERROR(VLOOKUP(CONCATENATE(BC$3,"-",$C16),'FO-GC-012'!$D$20:$H$109,2,0),""))</f>
        <v/>
      </c>
      <c r="BD16" s="70" t="str">
        <f>IF($C16="","",IFERROR(VLOOKUP(CONCATENATE(BC$3,"-",$C16),'FO-GC-012'!$D$20:$H$109,3,0),""))</f>
        <v/>
      </c>
      <c r="BE16" s="71" t="str">
        <f>IF($C16="","",IFERROR(VLOOKUP(CONCATENATE(BC$3,"-",$C16),'FO-GC-012'!$D$20:$H$109,4,0),""))</f>
        <v/>
      </c>
      <c r="BF16" s="72" t="str">
        <f>IF($C16="","",IFERROR(VLOOKUP(CONCATENATE(BC$3,"-",$C16),'FO-GC-012'!$D$20:$H$109,5,0),""))</f>
        <v/>
      </c>
      <c r="BG16" s="69" t="str">
        <f>IF($C16="","",IFERROR(VLOOKUP(CONCATENATE(BG$3,"-",$C16),'FO-GC-012'!$D$20:$H$109,2,0),""))</f>
        <v/>
      </c>
      <c r="BH16" s="70" t="str">
        <f>IF($C16="","",IFERROR(VLOOKUP(CONCATENATE(BG$3,"-",$C16),'FO-GC-012'!$D$20:$H$109,3,0),""))</f>
        <v/>
      </c>
      <c r="BI16" s="71" t="str">
        <f>IF($C16="","",IFERROR(VLOOKUP(CONCATENATE(BG$3,"-",$C16),'FO-GC-012'!$D$20:$H$109,4,0),""))</f>
        <v/>
      </c>
      <c r="BJ16" s="72" t="str">
        <f>IF($C16="","",IFERROR(VLOOKUP(CONCATENATE(BG$3,"-",$C16),'FO-GC-012'!$D$20:$H$109,5,0),""))</f>
        <v/>
      </c>
      <c r="BK16" s="69" t="str">
        <f>IF($C16="","",IFERROR(VLOOKUP(CONCATENATE(BK$3,"-",$C16),'FO-GC-012'!$D$20:$H$109,2,0),""))</f>
        <v/>
      </c>
      <c r="BL16" s="70" t="str">
        <f>IF($C16="","",IFERROR(VLOOKUP(CONCATENATE(BK$3,"-",$C16),'FO-GC-012'!$D$20:$H$109,3,0),""))</f>
        <v/>
      </c>
      <c r="BM16" s="71" t="str">
        <f>IF($C16="","",IFERROR(VLOOKUP(CONCATENATE(BK$3,"-",$C16),'FO-GC-012'!$D$20:$H$109,4,0),""))</f>
        <v/>
      </c>
      <c r="BN16" s="72" t="str">
        <f>IF($C16="","",IFERROR(VLOOKUP(CONCATENATE(BK$3,"-",$C16),'FO-GC-012'!$D$20:$H$109,5,0),""))</f>
        <v/>
      </c>
      <c r="BO16" s="69" t="str">
        <f>IF($C16="","",IFERROR(VLOOKUP(CONCATENATE(BO$3,"-",$C16),'FO-GC-012'!$D$20:$H$109,2,0),""))</f>
        <v/>
      </c>
      <c r="BP16" s="70" t="str">
        <f>IF($C16="","",IFERROR(VLOOKUP(CONCATENATE(BO$3,"-",$C16),'FO-GC-012'!$D$20:$H$109,3,0),""))</f>
        <v/>
      </c>
      <c r="BQ16" s="71" t="str">
        <f>IF($C16="","",IFERROR(VLOOKUP(CONCATENATE(BO$3,"-",$C16),'FO-GC-012'!$D$20:$H$109,4,0),""))</f>
        <v/>
      </c>
      <c r="BR16" s="72" t="str">
        <f>IF($C16="","",IFERROR(VLOOKUP(CONCATENATE(BO$3,"-",$C16),'FO-GC-012'!$D$20:$H$109,5,0),""))</f>
        <v/>
      </c>
      <c r="BS16" s="69" t="str">
        <f>IF($C16="","",IFERROR(VLOOKUP(CONCATENATE(BS$3,"-",$C16),'FO-GC-012'!$D$20:$H$109,2,0),""))</f>
        <v/>
      </c>
      <c r="BT16" s="70" t="str">
        <f>IF($C16="","",IFERROR(VLOOKUP(CONCATENATE(BS$3,"-",$C16),'FO-GC-012'!$D$20:$H$109,3,0),""))</f>
        <v/>
      </c>
      <c r="BU16" s="71" t="str">
        <f>IF($C16="","",IFERROR(VLOOKUP(CONCATENATE(BS$3,"-",$C16),'FO-GC-012'!$D$20:$H$109,4,0),""))</f>
        <v/>
      </c>
      <c r="BV16" s="72" t="str">
        <f>IF($C16="","",IFERROR(VLOOKUP(CONCATENATE(BS$3,"-",$C16),'FO-GC-012'!$D$20:$H$109,5,0),""))</f>
        <v/>
      </c>
      <c r="BW16" s="69" t="str">
        <f>IF($C16="","",IFERROR(VLOOKUP(CONCATENATE(BW$3,"-",$C16),'FO-GC-012'!$D$20:$H$109,2,0),""))</f>
        <v/>
      </c>
      <c r="BX16" s="70" t="str">
        <f>IF($C16="","",IFERROR(VLOOKUP(CONCATENATE(BW$3,"-",$C16),'FO-GC-012'!$D$20:$H$109,3,0),""))</f>
        <v/>
      </c>
      <c r="BY16" s="71" t="str">
        <f>IF($C16="","",IFERROR(VLOOKUP(CONCATENATE(BW$3,"-",$C16),'FO-GC-012'!$D$20:$H$109,4,0),""))</f>
        <v/>
      </c>
      <c r="BZ16" s="72" t="str">
        <f>IF($C16="","",IFERROR(VLOOKUP(CONCATENATE(BW$3,"-",$C16),'FO-GC-012'!$D$20:$H$109,5,0),""))</f>
        <v/>
      </c>
      <c r="CA16" s="69" t="str">
        <f>IF($C16="","",IFERROR(VLOOKUP(CONCATENATE(CA$3,"-",$C16),'FO-GC-012'!$D$20:$H$109,2,0),""))</f>
        <v/>
      </c>
      <c r="CB16" s="70" t="str">
        <f>IF($C16="","",IFERROR(VLOOKUP(CONCATENATE(CA$3,"-",$C16),'FO-GC-012'!$D$20:$H$109,3,0),""))</f>
        <v/>
      </c>
      <c r="CC16" s="71" t="str">
        <f>IF($C16="","",IFERROR(VLOOKUP(CONCATENATE(CA$3,"-",$C16),'FO-GC-012'!$D$20:$H$109,4,0),""))</f>
        <v/>
      </c>
      <c r="CD16" s="72" t="str">
        <f>IF($C16="","",IFERROR(VLOOKUP(CONCATENATE(CA$3,"-",$C16),'FO-GC-012'!$D$20:$H$109,5,0),""))</f>
        <v/>
      </c>
      <c r="CE16" s="69" t="str">
        <f>IF($C16="","",IFERROR(VLOOKUP(CONCATENATE(CE$3,"-",$C16),'FO-GC-012'!$D$20:$H$109,2,0),""))</f>
        <v/>
      </c>
      <c r="CF16" s="70" t="str">
        <f>IF($C16="","",IFERROR(VLOOKUP(CONCATENATE(CE$3,"-",$C16),'FO-GC-012'!$D$20:$H$109,3,0),""))</f>
        <v/>
      </c>
      <c r="CG16" s="71" t="str">
        <f>IF($C16="","",IFERROR(VLOOKUP(CONCATENATE(CE$3,"-",$C16),'FO-GC-012'!$D$20:$H$109,4,0),""))</f>
        <v/>
      </c>
      <c r="CH16" s="72" t="str">
        <f>IF($C16="","",IFERROR(VLOOKUP(CONCATENATE(CE$3,"-",$C16),'FO-GC-012'!$D$20:$H$109,5,0),""))</f>
        <v/>
      </c>
    </row>
    <row r="17" spans="2:86" ht="33.75" customHeight="1" x14ac:dyDescent="0.35">
      <c r="B17" s="83">
        <f>IF(C17="","",COUNTA(C$4:C17))</f>
        <v>14</v>
      </c>
      <c r="C17" s="82" t="str">
        <f>'Eq. Auditor'!B16</f>
        <v>*Liliana Erazo</v>
      </c>
      <c r="D17" s="83">
        <f>IF(C17="","",COUNTIF('FO-GC-012'!A:A,CONCATENATE("P-",C17)))</f>
        <v>0</v>
      </c>
      <c r="E17" s="83">
        <f>IF(C17="","",COUNTIF('FO-GC-012'!A:A,CONCATENATE("A-",C17)))</f>
        <v>0</v>
      </c>
      <c r="F17" s="83">
        <f t="shared" si="3"/>
        <v>0</v>
      </c>
      <c r="G17" s="65" t="str">
        <f>IF($C17="","",IFERROR(VLOOKUP(CONCATENATE(G$3,"-",$C17),'FO-GC-012'!$D$20:$H$109,2,0),""))</f>
        <v/>
      </c>
      <c r="H17" s="66" t="str">
        <f>IF($C17="","",IFERROR(VLOOKUP(CONCATENATE(G$3,"-",$C17),'FO-GC-012'!$D$20:$H$109,3,0),""))</f>
        <v/>
      </c>
      <c r="I17" s="67" t="str">
        <f>IF($C17="","",IFERROR(VLOOKUP(CONCATENATE(G$3,"-",$C17),'FO-GC-012'!$D$20:$H$109,4,0),""))</f>
        <v/>
      </c>
      <c r="J17" s="68" t="str">
        <f>IF($C17="","",IFERROR(VLOOKUP(CONCATENATE(G$3,"-",$C17),'FO-GC-012'!$D$20:$H$109,5,0),""))</f>
        <v/>
      </c>
      <c r="K17" s="65" t="str">
        <f>IF($C17="","",IFERROR(VLOOKUP(CONCATENATE(K$3,"-",$C17),'FO-GC-012'!$D$20:$H$109,2,0),""))</f>
        <v/>
      </c>
      <c r="L17" s="66" t="str">
        <f>IF($C17="","",IFERROR(VLOOKUP(CONCATENATE(K$3,"-",$C17),'FO-GC-012'!$D$20:$H$109,3,0),""))</f>
        <v/>
      </c>
      <c r="M17" s="67" t="str">
        <f>IF($C17="","",IFERROR(VLOOKUP(CONCATENATE(K$3,"-",$C17),'FO-GC-012'!$D$20:$H$109,4,0),""))</f>
        <v/>
      </c>
      <c r="N17" s="68" t="str">
        <f>IF($C17="","",IFERROR(VLOOKUP(CONCATENATE(K$3,"-",$C17),'FO-GC-012'!$D$20:$H$109,5,0),""))</f>
        <v/>
      </c>
      <c r="O17" s="65" t="str">
        <f>IF($C17="","",IFERROR(VLOOKUP(CONCATENATE(O$3,"-",$C17),'FO-GC-012'!$D$20:$H$109,2,0),""))</f>
        <v/>
      </c>
      <c r="P17" s="66" t="str">
        <f>IF($C17="","",IFERROR(VLOOKUP(CONCATENATE(O$3,"-",$C17),'FO-GC-012'!$D$20:$H$109,3,0),""))</f>
        <v/>
      </c>
      <c r="Q17" s="67" t="str">
        <f>IF($C17="","",IFERROR(VLOOKUP(CONCATENATE(O$3,"-",$C17),'FO-GC-012'!$D$20:$H$109,4,0),""))</f>
        <v/>
      </c>
      <c r="R17" s="68" t="str">
        <f>IF($C17="","",IFERROR(VLOOKUP(CONCATENATE(O$3,"-",$C17),'FO-GC-012'!$D$20:$H$109,5,0),""))</f>
        <v/>
      </c>
      <c r="S17" s="65" t="str">
        <f>IF($C17="","",IFERROR(VLOOKUP(CONCATENATE(S$3,"-",$C17),'FO-GC-012'!$D$20:$H$109,2,0),""))</f>
        <v/>
      </c>
      <c r="T17" s="66" t="str">
        <f>IF($C17="","",IFERROR(VLOOKUP(CONCATENATE(S$3,"-",$C17),'FO-GC-012'!$D$20:$H$109,3,0),""))</f>
        <v/>
      </c>
      <c r="U17" s="67" t="str">
        <f>IF($C17="","",IFERROR(VLOOKUP(CONCATENATE(S$3,"-",$C17),'FO-GC-012'!$D$20:$H$109,4,0),""))</f>
        <v/>
      </c>
      <c r="V17" s="68" t="str">
        <f>IF($C17="","",IFERROR(VLOOKUP(CONCATENATE(S$3,"-",$C17),'FO-GC-012'!$D$20:$H$109,5,0),""))</f>
        <v/>
      </c>
      <c r="W17" s="65" t="str">
        <f>IF($C17="","",IFERROR(VLOOKUP(CONCATENATE(W$3,"-",$C17),'FO-GC-012'!$D$20:$H$109,2,0),""))</f>
        <v/>
      </c>
      <c r="X17" s="66" t="str">
        <f>IF($C17="","",IFERROR(VLOOKUP(CONCATENATE(W$3,"-",$C17),'FO-GC-012'!$D$20:$H$109,3,0),""))</f>
        <v/>
      </c>
      <c r="Y17" s="67" t="str">
        <f>IF($C17="","",IFERROR(VLOOKUP(CONCATENATE(W$3,"-",$C17),'FO-GC-012'!$D$20:$H$109,4,0),""))</f>
        <v/>
      </c>
      <c r="Z17" s="68" t="str">
        <f>IF($C17="","",IFERROR(VLOOKUP(CONCATENATE(W$3,"-",$C17),'FO-GC-012'!$D$20:$H$109,5,0),""))</f>
        <v/>
      </c>
      <c r="AA17" s="65" t="str">
        <f>IF($C17="","",IFERROR(VLOOKUP(CONCATENATE(AA$3,"-",$C17),'FO-GC-012'!$D$20:$H$109,2,0),""))</f>
        <v/>
      </c>
      <c r="AB17" s="66" t="str">
        <f>IF($C17="","",IFERROR(VLOOKUP(CONCATENATE(AA$3,"-",$C17),'FO-GC-012'!$D$20:$H$109,3,0),""))</f>
        <v/>
      </c>
      <c r="AC17" s="67" t="str">
        <f>IF($C17="","",IFERROR(VLOOKUP(CONCATENATE(AA$3,"-",$C17),'FO-GC-012'!$D$20:$H$109,4,0),""))</f>
        <v/>
      </c>
      <c r="AD17" s="68" t="str">
        <f>IF($C17="","",IFERROR(VLOOKUP(CONCATENATE(AA$3,"-",$C17),'FO-GC-012'!$D$20:$H$109,5,0),""))</f>
        <v/>
      </c>
      <c r="AE17" s="65" t="str">
        <f>IF($C17="","",IFERROR(VLOOKUP(CONCATENATE(AE$3,"-",$C17),'FO-GC-012'!$D$20:$H$109,2,0),""))</f>
        <v/>
      </c>
      <c r="AF17" s="66" t="str">
        <f>IF($C17="","",IFERROR(VLOOKUP(CONCATENATE(AE$3,"-",$C17),'FO-GC-012'!$D$20:$H$109,3,0),""))</f>
        <v/>
      </c>
      <c r="AG17" s="67" t="str">
        <f>IF($C17="","",IFERROR(VLOOKUP(CONCATENATE(AE$3,"-",$C17),'FO-GC-012'!$D$20:$H$109,4,0),""))</f>
        <v/>
      </c>
      <c r="AH17" s="68" t="str">
        <f>IF($C17="","",IFERROR(VLOOKUP(CONCATENATE(AE$3,"-",$C17),'FO-GC-012'!$D$20:$H$109,5,0),""))</f>
        <v/>
      </c>
      <c r="AI17" s="65" t="str">
        <f>IF($C17="","",IFERROR(VLOOKUP(CONCATENATE(AI$3,"-",$C17),'FO-GC-012'!$D$20:$H$109,2,0),""))</f>
        <v/>
      </c>
      <c r="AJ17" s="66" t="str">
        <f>IF($C17="","",IFERROR(VLOOKUP(CONCATENATE(AI$3,"-",$C17),'FO-GC-012'!$D$20:$H$109,3,0),""))</f>
        <v/>
      </c>
      <c r="AK17" s="67" t="str">
        <f>IF($C17="","",IFERROR(VLOOKUP(CONCATENATE(AI$3,"-",$C17),'FO-GC-012'!$D$20:$H$109,4,0),""))</f>
        <v/>
      </c>
      <c r="AL17" s="68" t="str">
        <f>IF($C17="","",IFERROR(VLOOKUP(CONCATENATE(AI$3,"-",$C17),'FO-GC-012'!$D$20:$H$109,5,0),""))</f>
        <v/>
      </c>
      <c r="AM17" s="65" t="str">
        <f>IF($C17="","",IFERROR(VLOOKUP(CONCATENATE(AM$3,"-",$C17),'FO-GC-012'!$D$20:$H$109,2,0),""))</f>
        <v/>
      </c>
      <c r="AN17" s="66" t="str">
        <f>IF($C17="","",IFERROR(VLOOKUP(CONCATENATE(AM$3,"-",$C17),'FO-GC-012'!$D$20:$H$109,3,0),""))</f>
        <v/>
      </c>
      <c r="AO17" s="67" t="str">
        <f>IF($C17="","",IFERROR(VLOOKUP(CONCATENATE(AM$3,"-",$C17),'FO-GC-012'!$D$20:$H$109,4,0),""))</f>
        <v/>
      </c>
      <c r="AP17" s="68" t="str">
        <f>IF($C17="","",IFERROR(VLOOKUP(CONCATENATE(AM$3,"-",$C17),'FO-GC-012'!$D$20:$H$109,5,0),""))</f>
        <v/>
      </c>
      <c r="AQ17" s="65" t="str">
        <f>IF($C17="","",IFERROR(VLOOKUP(CONCATENATE(AQ$3,"-",$C17),'FO-GC-012'!$D$20:$H$109,2,0),""))</f>
        <v/>
      </c>
      <c r="AR17" s="66" t="str">
        <f>IF($C17="","",IFERROR(VLOOKUP(CONCATENATE(AQ$3,"-",$C17),'FO-GC-012'!$D$20:$H$109,3,0),""))</f>
        <v/>
      </c>
      <c r="AS17" s="67" t="str">
        <f>IF($C17="","",IFERROR(VLOOKUP(CONCATENATE(AQ$3,"-",$C17),'FO-GC-012'!$D$20:$H$109,4,0),""))</f>
        <v/>
      </c>
      <c r="AT17" s="68" t="str">
        <f>IF($C17="","",IFERROR(VLOOKUP(CONCATENATE(AQ$3,"-",$C17),'FO-GC-012'!$D$20:$H$109,5,0),""))</f>
        <v/>
      </c>
      <c r="AU17" s="65" t="str">
        <f>IF($C17="","",IFERROR(VLOOKUP(CONCATENATE(AU$3,"-",$C17),'FO-GC-012'!$D$20:$H$109,2,0),""))</f>
        <v/>
      </c>
      <c r="AV17" s="66" t="str">
        <f>IF($C17="","",IFERROR(VLOOKUP(CONCATENATE(AU$3,"-",$C17),'FO-GC-012'!$D$20:$H$109,3,0),""))</f>
        <v/>
      </c>
      <c r="AW17" s="67" t="str">
        <f>IF($C17="","",IFERROR(VLOOKUP(CONCATENATE(AU$3,"-",$C17),'FO-GC-012'!$D$20:$H$109,4,0),""))</f>
        <v/>
      </c>
      <c r="AX17" s="68" t="str">
        <f>IF($C17="","",IFERROR(VLOOKUP(CONCATENATE(AU$3,"-",$C17),'FO-GC-012'!$D$20:$H$109,5,0),""))</f>
        <v/>
      </c>
      <c r="AY17" s="65" t="str">
        <f>IF($C17="","",IFERROR(VLOOKUP(CONCATENATE(AY$3,"-",$C17),'FO-GC-012'!$D$20:$H$109,2,0),""))</f>
        <v/>
      </c>
      <c r="AZ17" s="66" t="str">
        <f>IF($C17="","",IFERROR(VLOOKUP(CONCATENATE(AY$3,"-",$C17),'FO-GC-012'!$D$20:$H$109,3,0),""))</f>
        <v/>
      </c>
      <c r="BA17" s="67" t="str">
        <f>IF($C17="","",IFERROR(VLOOKUP(CONCATENATE(AY$3,"-",$C17),'FO-GC-012'!$D$20:$H$109,4,0),""))</f>
        <v/>
      </c>
      <c r="BB17" s="68" t="str">
        <f>IF($C17="","",IFERROR(VLOOKUP(CONCATENATE(AY$3,"-",$C17),'FO-GC-012'!$D$20:$H$109,5,0),""))</f>
        <v/>
      </c>
      <c r="BC17" s="65" t="str">
        <f>IF($C17="","",IFERROR(VLOOKUP(CONCATENATE(BC$3,"-",$C17),'FO-GC-012'!$D$20:$H$109,2,0),""))</f>
        <v/>
      </c>
      <c r="BD17" s="66" t="str">
        <f>IF($C17="","",IFERROR(VLOOKUP(CONCATENATE(BC$3,"-",$C17),'FO-GC-012'!$D$20:$H$109,3,0),""))</f>
        <v/>
      </c>
      <c r="BE17" s="67" t="str">
        <f>IF($C17="","",IFERROR(VLOOKUP(CONCATENATE(BC$3,"-",$C17),'FO-GC-012'!$D$20:$H$109,4,0),""))</f>
        <v/>
      </c>
      <c r="BF17" s="68" t="str">
        <f>IF($C17="","",IFERROR(VLOOKUP(CONCATENATE(BC$3,"-",$C17),'FO-GC-012'!$D$20:$H$109,5,0),""))</f>
        <v/>
      </c>
      <c r="BG17" s="65" t="str">
        <f>IF($C17="","",IFERROR(VLOOKUP(CONCATENATE(BG$3,"-",$C17),'FO-GC-012'!$D$20:$H$109,2,0),""))</f>
        <v/>
      </c>
      <c r="BH17" s="66" t="str">
        <f>IF($C17="","",IFERROR(VLOOKUP(CONCATENATE(BG$3,"-",$C17),'FO-GC-012'!$D$20:$H$109,3,0),""))</f>
        <v/>
      </c>
      <c r="BI17" s="67" t="str">
        <f>IF($C17="","",IFERROR(VLOOKUP(CONCATENATE(BG$3,"-",$C17),'FO-GC-012'!$D$20:$H$109,4,0),""))</f>
        <v/>
      </c>
      <c r="BJ17" s="68" t="str">
        <f>IF($C17="","",IFERROR(VLOOKUP(CONCATENATE(BG$3,"-",$C17),'FO-GC-012'!$D$20:$H$109,5,0),""))</f>
        <v/>
      </c>
      <c r="BK17" s="65" t="str">
        <f>IF($C17="","",IFERROR(VLOOKUP(CONCATENATE(BK$3,"-",$C17),'FO-GC-012'!$D$20:$H$109,2,0),""))</f>
        <v/>
      </c>
      <c r="BL17" s="66" t="str">
        <f>IF($C17="","",IFERROR(VLOOKUP(CONCATENATE(BK$3,"-",$C17),'FO-GC-012'!$D$20:$H$109,3,0),""))</f>
        <v/>
      </c>
      <c r="BM17" s="67" t="str">
        <f>IF($C17="","",IFERROR(VLOOKUP(CONCATENATE(BK$3,"-",$C17),'FO-GC-012'!$D$20:$H$109,4,0),""))</f>
        <v/>
      </c>
      <c r="BN17" s="68" t="str">
        <f>IF($C17="","",IFERROR(VLOOKUP(CONCATENATE(BK$3,"-",$C17),'FO-GC-012'!$D$20:$H$109,5,0),""))</f>
        <v/>
      </c>
      <c r="BO17" s="65" t="str">
        <f>IF($C17="","",IFERROR(VLOOKUP(CONCATENATE(BO$3,"-",$C17),'FO-GC-012'!$D$20:$H$109,2,0),""))</f>
        <v/>
      </c>
      <c r="BP17" s="66" t="str">
        <f>IF($C17="","",IFERROR(VLOOKUP(CONCATENATE(BO$3,"-",$C17),'FO-GC-012'!$D$20:$H$109,3,0),""))</f>
        <v/>
      </c>
      <c r="BQ17" s="67" t="str">
        <f>IF($C17="","",IFERROR(VLOOKUP(CONCATENATE(BO$3,"-",$C17),'FO-GC-012'!$D$20:$H$109,4,0),""))</f>
        <v/>
      </c>
      <c r="BR17" s="68" t="str">
        <f>IF($C17="","",IFERROR(VLOOKUP(CONCATENATE(BO$3,"-",$C17),'FO-GC-012'!$D$20:$H$109,5,0),""))</f>
        <v/>
      </c>
      <c r="BS17" s="65" t="str">
        <f>IF($C17="","",IFERROR(VLOOKUP(CONCATENATE(BS$3,"-",$C17),'FO-GC-012'!$D$20:$H$109,2,0),""))</f>
        <v/>
      </c>
      <c r="BT17" s="66" t="str">
        <f>IF($C17="","",IFERROR(VLOOKUP(CONCATENATE(BS$3,"-",$C17),'FO-GC-012'!$D$20:$H$109,3,0),""))</f>
        <v/>
      </c>
      <c r="BU17" s="67" t="str">
        <f>IF($C17="","",IFERROR(VLOOKUP(CONCATENATE(BS$3,"-",$C17),'FO-GC-012'!$D$20:$H$109,4,0),""))</f>
        <v/>
      </c>
      <c r="BV17" s="68" t="str">
        <f>IF($C17="","",IFERROR(VLOOKUP(CONCATENATE(BS$3,"-",$C17),'FO-GC-012'!$D$20:$H$109,5,0),""))</f>
        <v/>
      </c>
      <c r="BW17" s="65" t="str">
        <f>IF($C17="","",IFERROR(VLOOKUP(CONCATENATE(BW$3,"-",$C17),'FO-GC-012'!$D$20:$H$109,2,0),""))</f>
        <v/>
      </c>
      <c r="BX17" s="66" t="str">
        <f>IF($C17="","",IFERROR(VLOOKUP(CONCATENATE(BW$3,"-",$C17),'FO-GC-012'!$D$20:$H$109,3,0),""))</f>
        <v/>
      </c>
      <c r="BY17" s="67" t="str">
        <f>IF($C17="","",IFERROR(VLOOKUP(CONCATENATE(BW$3,"-",$C17),'FO-GC-012'!$D$20:$H$109,4,0),""))</f>
        <v/>
      </c>
      <c r="BZ17" s="68" t="str">
        <f>IF($C17="","",IFERROR(VLOOKUP(CONCATENATE(BW$3,"-",$C17),'FO-GC-012'!$D$20:$H$109,5,0),""))</f>
        <v/>
      </c>
      <c r="CA17" s="65" t="str">
        <f>IF($C17="","",IFERROR(VLOOKUP(CONCATENATE(CA$3,"-",$C17),'FO-GC-012'!$D$20:$H$109,2,0),""))</f>
        <v/>
      </c>
      <c r="CB17" s="66" t="str">
        <f>IF($C17="","",IFERROR(VLOOKUP(CONCATENATE(CA$3,"-",$C17),'FO-GC-012'!$D$20:$H$109,3,0),""))</f>
        <v/>
      </c>
      <c r="CC17" s="67" t="str">
        <f>IF($C17="","",IFERROR(VLOOKUP(CONCATENATE(CA$3,"-",$C17),'FO-GC-012'!$D$20:$H$109,4,0),""))</f>
        <v/>
      </c>
      <c r="CD17" s="68" t="str">
        <f>IF($C17="","",IFERROR(VLOOKUP(CONCATENATE(CA$3,"-",$C17),'FO-GC-012'!$D$20:$H$109,5,0),""))</f>
        <v/>
      </c>
      <c r="CE17" s="65" t="str">
        <f>IF($C17="","",IFERROR(VLOOKUP(CONCATENATE(CE$3,"-",$C17),'FO-GC-012'!$D$20:$H$109,2,0),""))</f>
        <v/>
      </c>
      <c r="CF17" s="66" t="str">
        <f>IF($C17="","",IFERROR(VLOOKUP(CONCATENATE(CE$3,"-",$C17),'FO-GC-012'!$D$20:$H$109,3,0),""))</f>
        <v/>
      </c>
      <c r="CG17" s="67" t="str">
        <f>IF($C17="","",IFERROR(VLOOKUP(CONCATENATE(CE$3,"-",$C17),'FO-GC-012'!$D$20:$H$109,4,0),""))</f>
        <v/>
      </c>
      <c r="CH17" s="68" t="str">
        <f>IF($C17="","",IFERROR(VLOOKUP(CONCATENATE(CE$3,"-",$C17),'FO-GC-012'!$D$20:$H$109,5,0),""))</f>
        <v/>
      </c>
    </row>
    <row r="18" spans="2:86" ht="33.75" customHeight="1" x14ac:dyDescent="0.35">
      <c r="B18" s="83">
        <f>IF(C18="","",COUNTA(C$4:C18))</f>
        <v>15</v>
      </c>
      <c r="C18" s="82" t="str">
        <f>'Eq. Auditor'!B17</f>
        <v>*Neiby Alejandra López Montenegro</v>
      </c>
      <c r="D18" s="83">
        <f>IF(C18="","",COUNTIF('FO-GC-012'!A:A,CONCATENATE("P-",C18)))</f>
        <v>0</v>
      </c>
      <c r="E18" s="83">
        <f>IF(C18="","",COUNTIF('FO-GC-012'!A:A,CONCATENATE("A-",C18)))</f>
        <v>0</v>
      </c>
      <c r="F18" s="83">
        <f t="shared" si="3"/>
        <v>0</v>
      </c>
      <c r="G18" s="69" t="str">
        <f>IF($C18="","",IFERROR(VLOOKUP(CONCATENATE(G$3,"-",$C18),'FO-GC-012'!$D$20:$H$109,2,0),""))</f>
        <v/>
      </c>
      <c r="H18" s="70" t="str">
        <f>IF($C18="","",IFERROR(VLOOKUP(CONCATENATE(G$3,"-",$C18),'FO-GC-012'!$D$20:$H$109,3,0),""))</f>
        <v/>
      </c>
      <c r="I18" s="71" t="str">
        <f>IF($C18="","",IFERROR(VLOOKUP(CONCATENATE(G$3,"-",$C18),'FO-GC-012'!$D$20:$H$109,4,0),""))</f>
        <v/>
      </c>
      <c r="J18" s="72" t="str">
        <f>IF($C18="","",IFERROR(VLOOKUP(CONCATENATE(G$3,"-",$C18),'FO-GC-012'!$D$20:$H$109,5,0),""))</f>
        <v/>
      </c>
      <c r="K18" s="69" t="str">
        <f>IF($C18="","",IFERROR(VLOOKUP(CONCATENATE(K$3,"-",$C18),'FO-GC-012'!$D$20:$H$109,2,0),""))</f>
        <v/>
      </c>
      <c r="L18" s="70" t="str">
        <f>IF($C18="","",IFERROR(VLOOKUP(CONCATENATE(K$3,"-",$C18),'FO-GC-012'!$D$20:$H$109,3,0),""))</f>
        <v/>
      </c>
      <c r="M18" s="71" t="str">
        <f>IF($C18="","",IFERROR(VLOOKUP(CONCATENATE(K$3,"-",$C18),'FO-GC-012'!$D$20:$H$109,4,0),""))</f>
        <v/>
      </c>
      <c r="N18" s="72" t="str">
        <f>IF($C18="","",IFERROR(VLOOKUP(CONCATENATE(K$3,"-",$C18),'FO-GC-012'!$D$20:$H$109,5,0),""))</f>
        <v/>
      </c>
      <c r="O18" s="69" t="str">
        <f>IF($C18="","",IFERROR(VLOOKUP(CONCATENATE(O$3,"-",$C18),'FO-GC-012'!$D$20:$H$109,2,0),""))</f>
        <v/>
      </c>
      <c r="P18" s="70" t="str">
        <f>IF($C18="","",IFERROR(VLOOKUP(CONCATENATE(O$3,"-",$C18),'FO-GC-012'!$D$20:$H$109,3,0),""))</f>
        <v/>
      </c>
      <c r="Q18" s="71" t="str">
        <f>IF($C18="","",IFERROR(VLOOKUP(CONCATENATE(O$3,"-",$C18),'FO-GC-012'!$D$20:$H$109,4,0),""))</f>
        <v/>
      </c>
      <c r="R18" s="72" t="str">
        <f>IF($C18="","",IFERROR(VLOOKUP(CONCATENATE(O$3,"-",$C18),'FO-GC-012'!$D$20:$H$109,5,0),""))</f>
        <v/>
      </c>
      <c r="S18" s="69" t="str">
        <f>IF($C18="","",IFERROR(VLOOKUP(CONCATENATE(S$3,"-",$C18),'FO-GC-012'!$D$20:$H$109,2,0),""))</f>
        <v/>
      </c>
      <c r="T18" s="70" t="str">
        <f>IF($C18="","",IFERROR(VLOOKUP(CONCATENATE(S$3,"-",$C18),'FO-GC-012'!$D$20:$H$109,3,0),""))</f>
        <v/>
      </c>
      <c r="U18" s="71" t="str">
        <f>IF($C18="","",IFERROR(VLOOKUP(CONCATENATE(S$3,"-",$C18),'FO-GC-012'!$D$20:$H$109,4,0),""))</f>
        <v/>
      </c>
      <c r="V18" s="72" t="str">
        <f>IF($C18="","",IFERROR(VLOOKUP(CONCATENATE(S$3,"-",$C18),'FO-GC-012'!$D$20:$H$109,5,0),""))</f>
        <v/>
      </c>
      <c r="W18" s="69" t="str">
        <f>IF($C18="","",IFERROR(VLOOKUP(CONCATENATE(W$3,"-",$C18),'FO-GC-012'!$D$20:$H$109,2,0),""))</f>
        <v/>
      </c>
      <c r="X18" s="70" t="str">
        <f>IF($C18="","",IFERROR(VLOOKUP(CONCATENATE(W$3,"-",$C18),'FO-GC-012'!$D$20:$H$109,3,0),""))</f>
        <v/>
      </c>
      <c r="Y18" s="71" t="str">
        <f>IF($C18="","",IFERROR(VLOOKUP(CONCATENATE(W$3,"-",$C18),'FO-GC-012'!$D$20:$H$109,4,0),""))</f>
        <v/>
      </c>
      <c r="Z18" s="72" t="str">
        <f>IF($C18="","",IFERROR(VLOOKUP(CONCATENATE(W$3,"-",$C18),'FO-GC-012'!$D$20:$H$109,5,0),""))</f>
        <v/>
      </c>
      <c r="AA18" s="69" t="str">
        <f>IF($C18="","",IFERROR(VLOOKUP(CONCATENATE(AA$3,"-",$C18),'FO-GC-012'!$D$20:$H$109,2,0),""))</f>
        <v/>
      </c>
      <c r="AB18" s="70" t="str">
        <f>IF($C18="","",IFERROR(VLOOKUP(CONCATENATE(AA$3,"-",$C18),'FO-GC-012'!$D$20:$H$109,3,0),""))</f>
        <v/>
      </c>
      <c r="AC18" s="71" t="str">
        <f>IF($C18="","",IFERROR(VLOOKUP(CONCATENATE(AA$3,"-",$C18),'FO-GC-012'!$D$20:$H$109,4,0),""))</f>
        <v/>
      </c>
      <c r="AD18" s="72" t="str">
        <f>IF($C18="","",IFERROR(VLOOKUP(CONCATENATE(AA$3,"-",$C18),'FO-GC-012'!$D$20:$H$109,5,0),""))</f>
        <v/>
      </c>
      <c r="AE18" s="69" t="str">
        <f>IF($C18="","",IFERROR(VLOOKUP(CONCATENATE(AE$3,"-",$C18),'FO-GC-012'!$D$20:$H$109,2,0),""))</f>
        <v/>
      </c>
      <c r="AF18" s="70" t="str">
        <f>IF($C18="","",IFERROR(VLOOKUP(CONCATENATE(AE$3,"-",$C18),'FO-GC-012'!$D$20:$H$109,3,0),""))</f>
        <v/>
      </c>
      <c r="AG18" s="71" t="str">
        <f>IF($C18="","",IFERROR(VLOOKUP(CONCATENATE(AE$3,"-",$C18),'FO-GC-012'!$D$20:$H$109,4,0),""))</f>
        <v/>
      </c>
      <c r="AH18" s="72" t="str">
        <f>IF($C18="","",IFERROR(VLOOKUP(CONCATENATE(AE$3,"-",$C18),'FO-GC-012'!$D$20:$H$109,5,0),""))</f>
        <v/>
      </c>
      <c r="AI18" s="69" t="str">
        <f>IF($C18="","",IFERROR(VLOOKUP(CONCATENATE(AI$3,"-",$C18),'FO-GC-012'!$D$20:$H$109,2,0),""))</f>
        <v/>
      </c>
      <c r="AJ18" s="70" t="str">
        <f>IF($C18="","",IFERROR(VLOOKUP(CONCATENATE(AI$3,"-",$C18),'FO-GC-012'!$D$20:$H$109,3,0),""))</f>
        <v/>
      </c>
      <c r="AK18" s="71" t="str">
        <f>IF($C18="","",IFERROR(VLOOKUP(CONCATENATE(AI$3,"-",$C18),'FO-GC-012'!$D$20:$H$109,4,0),""))</f>
        <v/>
      </c>
      <c r="AL18" s="72" t="str">
        <f>IF($C18="","",IFERROR(VLOOKUP(CONCATENATE(AI$3,"-",$C18),'FO-GC-012'!$D$20:$H$109,5,0),""))</f>
        <v/>
      </c>
      <c r="AM18" s="69" t="str">
        <f>IF($C18="","",IFERROR(VLOOKUP(CONCATENATE(AM$3,"-",$C18),'FO-GC-012'!$D$20:$H$109,2,0),""))</f>
        <v/>
      </c>
      <c r="AN18" s="70" t="str">
        <f>IF($C18="","",IFERROR(VLOOKUP(CONCATENATE(AM$3,"-",$C18),'FO-GC-012'!$D$20:$H$109,3,0),""))</f>
        <v/>
      </c>
      <c r="AO18" s="71" t="str">
        <f>IF($C18="","",IFERROR(VLOOKUP(CONCATENATE(AM$3,"-",$C18),'FO-GC-012'!$D$20:$H$109,4,0),""))</f>
        <v/>
      </c>
      <c r="AP18" s="72" t="str">
        <f>IF($C18="","",IFERROR(VLOOKUP(CONCATENATE(AM$3,"-",$C18),'FO-GC-012'!$D$20:$H$109,5,0),""))</f>
        <v/>
      </c>
      <c r="AQ18" s="69" t="str">
        <f>IF($C18="","",IFERROR(VLOOKUP(CONCATENATE(AQ$3,"-",$C18),'FO-GC-012'!$D$20:$H$109,2,0),""))</f>
        <v/>
      </c>
      <c r="AR18" s="70" t="str">
        <f>IF($C18="","",IFERROR(VLOOKUP(CONCATENATE(AQ$3,"-",$C18),'FO-GC-012'!$D$20:$H$109,3,0),""))</f>
        <v/>
      </c>
      <c r="AS18" s="71" t="str">
        <f>IF($C18="","",IFERROR(VLOOKUP(CONCATENATE(AQ$3,"-",$C18),'FO-GC-012'!$D$20:$H$109,4,0),""))</f>
        <v/>
      </c>
      <c r="AT18" s="72" t="str">
        <f>IF($C18="","",IFERROR(VLOOKUP(CONCATENATE(AQ$3,"-",$C18),'FO-GC-012'!$D$20:$H$109,5,0),""))</f>
        <v/>
      </c>
      <c r="AU18" s="69" t="str">
        <f>IF($C18="","",IFERROR(VLOOKUP(CONCATENATE(AU$3,"-",$C18),'FO-GC-012'!$D$20:$H$109,2,0),""))</f>
        <v/>
      </c>
      <c r="AV18" s="70" t="str">
        <f>IF($C18="","",IFERROR(VLOOKUP(CONCATENATE(AU$3,"-",$C18),'FO-GC-012'!$D$20:$H$109,3,0),""))</f>
        <v/>
      </c>
      <c r="AW18" s="71" t="str">
        <f>IF($C18="","",IFERROR(VLOOKUP(CONCATENATE(AU$3,"-",$C18),'FO-GC-012'!$D$20:$H$109,4,0),""))</f>
        <v/>
      </c>
      <c r="AX18" s="72" t="str">
        <f>IF($C18="","",IFERROR(VLOOKUP(CONCATENATE(AU$3,"-",$C18),'FO-GC-012'!$D$20:$H$109,5,0),""))</f>
        <v/>
      </c>
      <c r="AY18" s="69" t="str">
        <f>IF($C18="","",IFERROR(VLOOKUP(CONCATENATE(AY$3,"-",$C18),'FO-GC-012'!$D$20:$H$109,2,0),""))</f>
        <v/>
      </c>
      <c r="AZ18" s="70" t="str">
        <f>IF($C18="","",IFERROR(VLOOKUP(CONCATENATE(AY$3,"-",$C18),'FO-GC-012'!$D$20:$H$109,3,0),""))</f>
        <v/>
      </c>
      <c r="BA18" s="71" t="str">
        <f>IF($C18="","",IFERROR(VLOOKUP(CONCATENATE(AY$3,"-",$C18),'FO-GC-012'!$D$20:$H$109,4,0),""))</f>
        <v/>
      </c>
      <c r="BB18" s="72" t="str">
        <f>IF($C18="","",IFERROR(VLOOKUP(CONCATENATE(AY$3,"-",$C18),'FO-GC-012'!$D$20:$H$109,5,0),""))</f>
        <v/>
      </c>
      <c r="BC18" s="69" t="str">
        <f>IF($C18="","",IFERROR(VLOOKUP(CONCATENATE(BC$3,"-",$C18),'FO-GC-012'!$D$20:$H$109,2,0),""))</f>
        <v/>
      </c>
      <c r="BD18" s="70" t="str">
        <f>IF($C18="","",IFERROR(VLOOKUP(CONCATENATE(BC$3,"-",$C18),'FO-GC-012'!$D$20:$H$109,3,0),""))</f>
        <v/>
      </c>
      <c r="BE18" s="71" t="str">
        <f>IF($C18="","",IFERROR(VLOOKUP(CONCATENATE(BC$3,"-",$C18),'FO-GC-012'!$D$20:$H$109,4,0),""))</f>
        <v/>
      </c>
      <c r="BF18" s="72" t="str">
        <f>IF($C18="","",IFERROR(VLOOKUP(CONCATENATE(BC$3,"-",$C18),'FO-GC-012'!$D$20:$H$109,5,0),""))</f>
        <v/>
      </c>
      <c r="BG18" s="69" t="str">
        <f>IF($C18="","",IFERROR(VLOOKUP(CONCATENATE(BG$3,"-",$C18),'FO-GC-012'!$D$20:$H$109,2,0),""))</f>
        <v/>
      </c>
      <c r="BH18" s="70" t="str">
        <f>IF($C18="","",IFERROR(VLOOKUP(CONCATENATE(BG$3,"-",$C18),'FO-GC-012'!$D$20:$H$109,3,0),""))</f>
        <v/>
      </c>
      <c r="BI18" s="71" t="str">
        <f>IF($C18="","",IFERROR(VLOOKUP(CONCATENATE(BG$3,"-",$C18),'FO-GC-012'!$D$20:$H$109,4,0),""))</f>
        <v/>
      </c>
      <c r="BJ18" s="72" t="str">
        <f>IF($C18="","",IFERROR(VLOOKUP(CONCATENATE(BG$3,"-",$C18),'FO-GC-012'!$D$20:$H$109,5,0),""))</f>
        <v/>
      </c>
      <c r="BK18" s="69" t="str">
        <f>IF($C18="","",IFERROR(VLOOKUP(CONCATENATE(BK$3,"-",$C18),'FO-GC-012'!$D$20:$H$109,2,0),""))</f>
        <v/>
      </c>
      <c r="BL18" s="70" t="str">
        <f>IF($C18="","",IFERROR(VLOOKUP(CONCATENATE(BK$3,"-",$C18),'FO-GC-012'!$D$20:$H$109,3,0),""))</f>
        <v/>
      </c>
      <c r="BM18" s="71" t="str">
        <f>IF($C18="","",IFERROR(VLOOKUP(CONCATENATE(BK$3,"-",$C18),'FO-GC-012'!$D$20:$H$109,4,0),""))</f>
        <v/>
      </c>
      <c r="BN18" s="72" t="str">
        <f>IF($C18="","",IFERROR(VLOOKUP(CONCATENATE(BK$3,"-",$C18),'FO-GC-012'!$D$20:$H$109,5,0),""))</f>
        <v/>
      </c>
      <c r="BO18" s="69" t="str">
        <f>IF($C18="","",IFERROR(VLOOKUP(CONCATENATE(BO$3,"-",$C18),'FO-GC-012'!$D$20:$H$109,2,0),""))</f>
        <v/>
      </c>
      <c r="BP18" s="70" t="str">
        <f>IF($C18="","",IFERROR(VLOOKUP(CONCATENATE(BO$3,"-",$C18),'FO-GC-012'!$D$20:$H$109,3,0),""))</f>
        <v/>
      </c>
      <c r="BQ18" s="71" t="str">
        <f>IF($C18="","",IFERROR(VLOOKUP(CONCATENATE(BO$3,"-",$C18),'FO-GC-012'!$D$20:$H$109,4,0),""))</f>
        <v/>
      </c>
      <c r="BR18" s="72" t="str">
        <f>IF($C18="","",IFERROR(VLOOKUP(CONCATENATE(BO$3,"-",$C18),'FO-GC-012'!$D$20:$H$109,5,0),""))</f>
        <v/>
      </c>
      <c r="BS18" s="69" t="str">
        <f>IF($C18="","",IFERROR(VLOOKUP(CONCATENATE(BS$3,"-",$C18),'FO-GC-012'!$D$20:$H$109,2,0),""))</f>
        <v/>
      </c>
      <c r="BT18" s="70" t="str">
        <f>IF($C18="","",IFERROR(VLOOKUP(CONCATENATE(BS$3,"-",$C18),'FO-GC-012'!$D$20:$H$109,3,0),""))</f>
        <v/>
      </c>
      <c r="BU18" s="71" t="str">
        <f>IF($C18="","",IFERROR(VLOOKUP(CONCATENATE(BS$3,"-",$C18),'FO-GC-012'!$D$20:$H$109,4,0),""))</f>
        <v/>
      </c>
      <c r="BV18" s="72" t="str">
        <f>IF($C18="","",IFERROR(VLOOKUP(CONCATENATE(BS$3,"-",$C18),'FO-GC-012'!$D$20:$H$109,5,0),""))</f>
        <v/>
      </c>
      <c r="BW18" s="69" t="str">
        <f>IF($C18="","",IFERROR(VLOOKUP(CONCATENATE(BW$3,"-",$C18),'FO-GC-012'!$D$20:$H$109,2,0),""))</f>
        <v/>
      </c>
      <c r="BX18" s="70" t="str">
        <f>IF($C18="","",IFERROR(VLOOKUP(CONCATENATE(BW$3,"-",$C18),'FO-GC-012'!$D$20:$H$109,3,0),""))</f>
        <v/>
      </c>
      <c r="BY18" s="71" t="str">
        <f>IF($C18="","",IFERROR(VLOOKUP(CONCATENATE(BW$3,"-",$C18),'FO-GC-012'!$D$20:$H$109,4,0),""))</f>
        <v/>
      </c>
      <c r="BZ18" s="72" t="str">
        <f>IF($C18="","",IFERROR(VLOOKUP(CONCATENATE(BW$3,"-",$C18),'FO-GC-012'!$D$20:$H$109,5,0),""))</f>
        <v/>
      </c>
      <c r="CA18" s="69" t="str">
        <f>IF($C18="","",IFERROR(VLOOKUP(CONCATENATE(CA$3,"-",$C18),'FO-GC-012'!$D$20:$H$109,2,0),""))</f>
        <v/>
      </c>
      <c r="CB18" s="70" t="str">
        <f>IF($C18="","",IFERROR(VLOOKUP(CONCATENATE(CA$3,"-",$C18),'FO-GC-012'!$D$20:$H$109,3,0),""))</f>
        <v/>
      </c>
      <c r="CC18" s="71" t="str">
        <f>IF($C18="","",IFERROR(VLOOKUP(CONCATENATE(CA$3,"-",$C18),'FO-GC-012'!$D$20:$H$109,4,0),""))</f>
        <v/>
      </c>
      <c r="CD18" s="72" t="str">
        <f>IF($C18="","",IFERROR(VLOOKUP(CONCATENATE(CA$3,"-",$C18),'FO-GC-012'!$D$20:$H$109,5,0),""))</f>
        <v/>
      </c>
      <c r="CE18" s="69" t="str">
        <f>IF($C18="","",IFERROR(VLOOKUP(CONCATENATE(CE$3,"-",$C18),'FO-GC-012'!$D$20:$H$109,2,0),""))</f>
        <v/>
      </c>
      <c r="CF18" s="70" t="str">
        <f>IF($C18="","",IFERROR(VLOOKUP(CONCATENATE(CE$3,"-",$C18),'FO-GC-012'!$D$20:$H$109,3,0),""))</f>
        <v/>
      </c>
      <c r="CG18" s="71" t="str">
        <f>IF($C18="","",IFERROR(VLOOKUP(CONCATENATE(CE$3,"-",$C18),'FO-GC-012'!$D$20:$H$109,4,0),""))</f>
        <v/>
      </c>
      <c r="CH18" s="72" t="str">
        <f>IF($C18="","",IFERROR(VLOOKUP(CONCATENATE(CE$3,"-",$C18),'FO-GC-012'!$D$20:$H$109,5,0),""))</f>
        <v/>
      </c>
    </row>
    <row r="19" spans="2:86" ht="33.75" customHeight="1" x14ac:dyDescent="0.35">
      <c r="B19" s="83">
        <f>IF(C19="","",COUNTA(C$4:C19))</f>
        <v>16</v>
      </c>
      <c r="C19" s="82" t="str">
        <f>'Eq. Auditor'!B18</f>
        <v>*Omar Andrés Acosta Caicedo</v>
      </c>
      <c r="D19" s="83">
        <f>IF(C19="","",COUNTIF('FO-GC-012'!A:A,CONCATENATE("P-",C19)))</f>
        <v>0</v>
      </c>
      <c r="E19" s="83">
        <f>IF(C19="","",COUNTIF('FO-GC-012'!A:A,CONCATENATE("A-",C19)))</f>
        <v>0</v>
      </c>
      <c r="F19" s="83">
        <f t="shared" si="3"/>
        <v>0</v>
      </c>
      <c r="G19" s="65" t="str">
        <f>IF($C19="","",IFERROR(VLOOKUP(CONCATENATE(G$3,"-",$C19),'FO-GC-012'!$D$20:$H$109,2,0),""))</f>
        <v/>
      </c>
      <c r="H19" s="66" t="str">
        <f>IF($C19="","",IFERROR(VLOOKUP(CONCATENATE(G$3,"-",$C19),'FO-GC-012'!$D$20:$H$109,3,0),""))</f>
        <v/>
      </c>
      <c r="I19" s="67" t="str">
        <f>IF($C19="","",IFERROR(VLOOKUP(CONCATENATE(G$3,"-",$C19),'FO-GC-012'!$D$20:$H$109,4,0),""))</f>
        <v/>
      </c>
      <c r="J19" s="68" t="str">
        <f>IF($C19="","",IFERROR(VLOOKUP(CONCATENATE(G$3,"-",$C19),'FO-GC-012'!$D$20:$H$109,5,0),""))</f>
        <v/>
      </c>
      <c r="K19" s="65" t="str">
        <f>IF($C19="","",IFERROR(VLOOKUP(CONCATENATE(K$3,"-",$C19),'FO-GC-012'!$D$20:$H$109,2,0),""))</f>
        <v/>
      </c>
      <c r="L19" s="66" t="str">
        <f>IF($C19="","",IFERROR(VLOOKUP(CONCATENATE(K$3,"-",$C19),'FO-GC-012'!$D$20:$H$109,3,0),""))</f>
        <v/>
      </c>
      <c r="M19" s="67" t="str">
        <f>IF($C19="","",IFERROR(VLOOKUP(CONCATENATE(K$3,"-",$C19),'FO-GC-012'!$D$20:$H$109,4,0),""))</f>
        <v/>
      </c>
      <c r="N19" s="68" t="str">
        <f>IF($C19="","",IFERROR(VLOOKUP(CONCATENATE(K$3,"-",$C19),'FO-GC-012'!$D$20:$H$109,5,0),""))</f>
        <v/>
      </c>
      <c r="O19" s="65" t="str">
        <f>IF($C19="","",IFERROR(VLOOKUP(CONCATENATE(O$3,"-",$C19),'FO-GC-012'!$D$20:$H$109,2,0),""))</f>
        <v/>
      </c>
      <c r="P19" s="66" t="str">
        <f>IF($C19="","",IFERROR(VLOOKUP(CONCATENATE(O$3,"-",$C19),'FO-GC-012'!$D$20:$H$109,3,0),""))</f>
        <v/>
      </c>
      <c r="Q19" s="67" t="str">
        <f>IF($C19="","",IFERROR(VLOOKUP(CONCATENATE(O$3,"-",$C19),'FO-GC-012'!$D$20:$H$109,4,0),""))</f>
        <v/>
      </c>
      <c r="R19" s="68" t="str">
        <f>IF($C19="","",IFERROR(VLOOKUP(CONCATENATE(O$3,"-",$C19),'FO-GC-012'!$D$20:$H$109,5,0),""))</f>
        <v/>
      </c>
      <c r="S19" s="65" t="str">
        <f>IF($C19="","",IFERROR(VLOOKUP(CONCATENATE(S$3,"-",$C19),'FO-GC-012'!$D$20:$H$109,2,0),""))</f>
        <v/>
      </c>
      <c r="T19" s="66" t="str">
        <f>IF($C19="","",IFERROR(VLOOKUP(CONCATENATE(S$3,"-",$C19),'FO-GC-012'!$D$20:$H$109,3,0),""))</f>
        <v/>
      </c>
      <c r="U19" s="67" t="str">
        <f>IF($C19="","",IFERROR(VLOOKUP(CONCATENATE(S$3,"-",$C19),'FO-GC-012'!$D$20:$H$109,4,0),""))</f>
        <v/>
      </c>
      <c r="V19" s="68" t="str">
        <f>IF($C19="","",IFERROR(VLOOKUP(CONCATENATE(S$3,"-",$C19),'FO-GC-012'!$D$20:$H$109,5,0),""))</f>
        <v/>
      </c>
      <c r="W19" s="65" t="str">
        <f>IF($C19="","",IFERROR(VLOOKUP(CONCATENATE(W$3,"-",$C19),'FO-GC-012'!$D$20:$H$109,2,0),""))</f>
        <v/>
      </c>
      <c r="X19" s="66" t="str">
        <f>IF($C19="","",IFERROR(VLOOKUP(CONCATENATE(W$3,"-",$C19),'FO-GC-012'!$D$20:$H$109,3,0),""))</f>
        <v/>
      </c>
      <c r="Y19" s="67" t="str">
        <f>IF($C19="","",IFERROR(VLOOKUP(CONCATENATE(W$3,"-",$C19),'FO-GC-012'!$D$20:$H$109,4,0),""))</f>
        <v/>
      </c>
      <c r="Z19" s="68" t="str">
        <f>IF($C19="","",IFERROR(VLOOKUP(CONCATENATE(W$3,"-",$C19),'FO-GC-012'!$D$20:$H$109,5,0),""))</f>
        <v/>
      </c>
      <c r="AA19" s="65" t="str">
        <f>IF($C19="","",IFERROR(VLOOKUP(CONCATENATE(AA$3,"-",$C19),'FO-GC-012'!$D$20:$H$109,2,0),""))</f>
        <v/>
      </c>
      <c r="AB19" s="66" t="str">
        <f>IF($C19="","",IFERROR(VLOOKUP(CONCATENATE(AA$3,"-",$C19),'FO-GC-012'!$D$20:$H$109,3,0),""))</f>
        <v/>
      </c>
      <c r="AC19" s="67" t="str">
        <f>IF($C19="","",IFERROR(VLOOKUP(CONCATENATE(AA$3,"-",$C19),'FO-GC-012'!$D$20:$H$109,4,0),""))</f>
        <v/>
      </c>
      <c r="AD19" s="68" t="str">
        <f>IF($C19="","",IFERROR(VLOOKUP(CONCATENATE(AA$3,"-",$C19),'FO-GC-012'!$D$20:$H$109,5,0),""))</f>
        <v/>
      </c>
      <c r="AE19" s="65" t="str">
        <f>IF($C19="","",IFERROR(VLOOKUP(CONCATENATE(AE$3,"-",$C19),'FO-GC-012'!$D$20:$H$109,2,0),""))</f>
        <v/>
      </c>
      <c r="AF19" s="66" t="str">
        <f>IF($C19="","",IFERROR(VLOOKUP(CONCATENATE(AE$3,"-",$C19),'FO-GC-012'!$D$20:$H$109,3,0),""))</f>
        <v/>
      </c>
      <c r="AG19" s="67" t="str">
        <f>IF($C19="","",IFERROR(VLOOKUP(CONCATENATE(AE$3,"-",$C19),'FO-GC-012'!$D$20:$H$109,4,0),""))</f>
        <v/>
      </c>
      <c r="AH19" s="68" t="str">
        <f>IF($C19="","",IFERROR(VLOOKUP(CONCATENATE(AE$3,"-",$C19),'FO-GC-012'!$D$20:$H$109,5,0),""))</f>
        <v/>
      </c>
      <c r="AI19" s="65" t="str">
        <f>IF($C19="","",IFERROR(VLOOKUP(CONCATENATE(AI$3,"-",$C19),'FO-GC-012'!$D$20:$H$109,2,0),""))</f>
        <v/>
      </c>
      <c r="AJ19" s="66" t="str">
        <f>IF($C19="","",IFERROR(VLOOKUP(CONCATENATE(AI$3,"-",$C19),'FO-GC-012'!$D$20:$H$109,3,0),""))</f>
        <v/>
      </c>
      <c r="AK19" s="67" t="str">
        <f>IF($C19="","",IFERROR(VLOOKUP(CONCATENATE(AI$3,"-",$C19),'FO-GC-012'!$D$20:$H$109,4,0),""))</f>
        <v/>
      </c>
      <c r="AL19" s="68" t="str">
        <f>IF($C19="","",IFERROR(VLOOKUP(CONCATENATE(AI$3,"-",$C19),'FO-GC-012'!$D$20:$H$109,5,0),""))</f>
        <v/>
      </c>
      <c r="AM19" s="65" t="str">
        <f>IF($C19="","",IFERROR(VLOOKUP(CONCATENATE(AM$3,"-",$C19),'FO-GC-012'!$D$20:$H$109,2,0),""))</f>
        <v/>
      </c>
      <c r="AN19" s="66" t="str">
        <f>IF($C19="","",IFERROR(VLOOKUP(CONCATENATE(AM$3,"-",$C19),'FO-GC-012'!$D$20:$H$109,3,0),""))</f>
        <v/>
      </c>
      <c r="AO19" s="67" t="str">
        <f>IF($C19="","",IFERROR(VLOOKUP(CONCATENATE(AM$3,"-",$C19),'FO-GC-012'!$D$20:$H$109,4,0),""))</f>
        <v/>
      </c>
      <c r="AP19" s="68" t="str">
        <f>IF($C19="","",IFERROR(VLOOKUP(CONCATENATE(AM$3,"-",$C19),'FO-GC-012'!$D$20:$H$109,5,0),""))</f>
        <v/>
      </c>
      <c r="AQ19" s="65" t="str">
        <f>IF($C19="","",IFERROR(VLOOKUP(CONCATENATE(AQ$3,"-",$C19),'FO-GC-012'!$D$20:$H$109,2,0),""))</f>
        <v/>
      </c>
      <c r="AR19" s="66" t="str">
        <f>IF($C19="","",IFERROR(VLOOKUP(CONCATENATE(AQ$3,"-",$C19),'FO-GC-012'!$D$20:$H$109,3,0),""))</f>
        <v/>
      </c>
      <c r="AS19" s="67" t="str">
        <f>IF($C19="","",IFERROR(VLOOKUP(CONCATENATE(AQ$3,"-",$C19),'FO-GC-012'!$D$20:$H$109,4,0),""))</f>
        <v/>
      </c>
      <c r="AT19" s="68" t="str">
        <f>IF($C19="","",IFERROR(VLOOKUP(CONCATENATE(AQ$3,"-",$C19),'FO-GC-012'!$D$20:$H$109,5,0),""))</f>
        <v/>
      </c>
      <c r="AU19" s="65" t="str">
        <f>IF($C19="","",IFERROR(VLOOKUP(CONCATENATE(AU$3,"-",$C19),'FO-GC-012'!$D$20:$H$109,2,0),""))</f>
        <v/>
      </c>
      <c r="AV19" s="66" t="str">
        <f>IF($C19="","",IFERROR(VLOOKUP(CONCATENATE(AU$3,"-",$C19),'FO-GC-012'!$D$20:$H$109,3,0),""))</f>
        <v/>
      </c>
      <c r="AW19" s="67" t="str">
        <f>IF($C19="","",IFERROR(VLOOKUP(CONCATENATE(AU$3,"-",$C19),'FO-GC-012'!$D$20:$H$109,4,0),""))</f>
        <v/>
      </c>
      <c r="AX19" s="68" t="str">
        <f>IF($C19="","",IFERROR(VLOOKUP(CONCATENATE(AU$3,"-",$C19),'FO-GC-012'!$D$20:$H$109,5,0),""))</f>
        <v/>
      </c>
      <c r="AY19" s="65" t="str">
        <f>IF($C19="","",IFERROR(VLOOKUP(CONCATENATE(AY$3,"-",$C19),'FO-GC-012'!$D$20:$H$109,2,0),""))</f>
        <v/>
      </c>
      <c r="AZ19" s="66" t="str">
        <f>IF($C19="","",IFERROR(VLOOKUP(CONCATENATE(AY$3,"-",$C19),'FO-GC-012'!$D$20:$H$109,3,0),""))</f>
        <v/>
      </c>
      <c r="BA19" s="67" t="str">
        <f>IF($C19="","",IFERROR(VLOOKUP(CONCATENATE(AY$3,"-",$C19),'FO-GC-012'!$D$20:$H$109,4,0),""))</f>
        <v/>
      </c>
      <c r="BB19" s="68" t="str">
        <f>IF($C19="","",IFERROR(VLOOKUP(CONCATENATE(AY$3,"-",$C19),'FO-GC-012'!$D$20:$H$109,5,0),""))</f>
        <v/>
      </c>
      <c r="BC19" s="65" t="str">
        <f>IF($C19="","",IFERROR(VLOOKUP(CONCATENATE(BC$3,"-",$C19),'FO-GC-012'!$D$20:$H$109,2,0),""))</f>
        <v/>
      </c>
      <c r="BD19" s="66" t="str">
        <f>IF($C19="","",IFERROR(VLOOKUP(CONCATENATE(BC$3,"-",$C19),'FO-GC-012'!$D$20:$H$109,3,0),""))</f>
        <v/>
      </c>
      <c r="BE19" s="67" t="str">
        <f>IF($C19="","",IFERROR(VLOOKUP(CONCATENATE(BC$3,"-",$C19),'FO-GC-012'!$D$20:$H$109,4,0),""))</f>
        <v/>
      </c>
      <c r="BF19" s="68" t="str">
        <f>IF($C19="","",IFERROR(VLOOKUP(CONCATENATE(BC$3,"-",$C19),'FO-GC-012'!$D$20:$H$109,5,0),""))</f>
        <v/>
      </c>
      <c r="BG19" s="65" t="str">
        <f>IF($C19="","",IFERROR(VLOOKUP(CONCATENATE(BG$3,"-",$C19),'FO-GC-012'!$D$20:$H$109,2,0),""))</f>
        <v/>
      </c>
      <c r="BH19" s="66" t="str">
        <f>IF($C19="","",IFERROR(VLOOKUP(CONCATENATE(BG$3,"-",$C19),'FO-GC-012'!$D$20:$H$109,3,0),""))</f>
        <v/>
      </c>
      <c r="BI19" s="67" t="str">
        <f>IF($C19="","",IFERROR(VLOOKUP(CONCATENATE(BG$3,"-",$C19),'FO-GC-012'!$D$20:$H$109,4,0),""))</f>
        <v/>
      </c>
      <c r="BJ19" s="68" t="str">
        <f>IF($C19="","",IFERROR(VLOOKUP(CONCATENATE(BG$3,"-",$C19),'FO-GC-012'!$D$20:$H$109,5,0),""))</f>
        <v/>
      </c>
      <c r="BK19" s="65" t="str">
        <f>IF($C19="","",IFERROR(VLOOKUP(CONCATENATE(BK$3,"-",$C19),'FO-GC-012'!$D$20:$H$109,2,0),""))</f>
        <v/>
      </c>
      <c r="BL19" s="66" t="str">
        <f>IF($C19="","",IFERROR(VLOOKUP(CONCATENATE(BK$3,"-",$C19),'FO-GC-012'!$D$20:$H$109,3,0),""))</f>
        <v/>
      </c>
      <c r="BM19" s="67" t="str">
        <f>IF($C19="","",IFERROR(VLOOKUP(CONCATENATE(BK$3,"-",$C19),'FO-GC-012'!$D$20:$H$109,4,0),""))</f>
        <v/>
      </c>
      <c r="BN19" s="68" t="str">
        <f>IF($C19="","",IFERROR(VLOOKUP(CONCATENATE(BK$3,"-",$C19),'FO-GC-012'!$D$20:$H$109,5,0),""))</f>
        <v/>
      </c>
      <c r="BO19" s="65" t="str">
        <f>IF($C19="","",IFERROR(VLOOKUP(CONCATENATE(BO$3,"-",$C19),'FO-GC-012'!$D$20:$H$109,2,0),""))</f>
        <v/>
      </c>
      <c r="BP19" s="66" t="str">
        <f>IF($C19="","",IFERROR(VLOOKUP(CONCATENATE(BO$3,"-",$C19),'FO-GC-012'!$D$20:$H$109,3,0),""))</f>
        <v/>
      </c>
      <c r="BQ19" s="67" t="str">
        <f>IF($C19="","",IFERROR(VLOOKUP(CONCATENATE(BO$3,"-",$C19),'FO-GC-012'!$D$20:$H$109,4,0),""))</f>
        <v/>
      </c>
      <c r="BR19" s="68" t="str">
        <f>IF($C19="","",IFERROR(VLOOKUP(CONCATENATE(BO$3,"-",$C19),'FO-GC-012'!$D$20:$H$109,5,0),""))</f>
        <v/>
      </c>
      <c r="BS19" s="65" t="str">
        <f>IF($C19="","",IFERROR(VLOOKUP(CONCATENATE(BS$3,"-",$C19),'FO-GC-012'!$D$20:$H$109,2,0),""))</f>
        <v/>
      </c>
      <c r="BT19" s="66" t="str">
        <f>IF($C19="","",IFERROR(VLOOKUP(CONCATENATE(BS$3,"-",$C19),'FO-GC-012'!$D$20:$H$109,3,0),""))</f>
        <v/>
      </c>
      <c r="BU19" s="67" t="str">
        <f>IF($C19="","",IFERROR(VLOOKUP(CONCATENATE(BS$3,"-",$C19),'FO-GC-012'!$D$20:$H$109,4,0),""))</f>
        <v/>
      </c>
      <c r="BV19" s="68" t="str">
        <f>IF($C19="","",IFERROR(VLOOKUP(CONCATENATE(BS$3,"-",$C19),'FO-GC-012'!$D$20:$H$109,5,0),""))</f>
        <v/>
      </c>
      <c r="BW19" s="65" t="str">
        <f>IF($C19="","",IFERROR(VLOOKUP(CONCATENATE(BW$3,"-",$C19),'FO-GC-012'!$D$20:$H$109,2,0),""))</f>
        <v/>
      </c>
      <c r="BX19" s="66" t="str">
        <f>IF($C19="","",IFERROR(VLOOKUP(CONCATENATE(BW$3,"-",$C19),'FO-GC-012'!$D$20:$H$109,3,0),""))</f>
        <v/>
      </c>
      <c r="BY19" s="67" t="str">
        <f>IF($C19="","",IFERROR(VLOOKUP(CONCATENATE(BW$3,"-",$C19),'FO-GC-012'!$D$20:$H$109,4,0),""))</f>
        <v/>
      </c>
      <c r="BZ19" s="68" t="str">
        <f>IF($C19="","",IFERROR(VLOOKUP(CONCATENATE(BW$3,"-",$C19),'FO-GC-012'!$D$20:$H$109,5,0),""))</f>
        <v/>
      </c>
      <c r="CA19" s="65" t="str">
        <f>IF($C19="","",IFERROR(VLOOKUP(CONCATENATE(CA$3,"-",$C19),'FO-GC-012'!$D$20:$H$109,2,0),""))</f>
        <v/>
      </c>
      <c r="CB19" s="66" t="str">
        <f>IF($C19="","",IFERROR(VLOOKUP(CONCATENATE(CA$3,"-",$C19),'FO-GC-012'!$D$20:$H$109,3,0),""))</f>
        <v/>
      </c>
      <c r="CC19" s="67" t="str">
        <f>IF($C19="","",IFERROR(VLOOKUP(CONCATENATE(CA$3,"-",$C19),'FO-GC-012'!$D$20:$H$109,4,0),""))</f>
        <v/>
      </c>
      <c r="CD19" s="68" t="str">
        <f>IF($C19="","",IFERROR(VLOOKUP(CONCATENATE(CA$3,"-",$C19),'FO-GC-012'!$D$20:$H$109,5,0),""))</f>
        <v/>
      </c>
      <c r="CE19" s="65" t="str">
        <f>IF($C19="","",IFERROR(VLOOKUP(CONCATENATE(CE$3,"-",$C19),'FO-GC-012'!$D$20:$H$109,2,0),""))</f>
        <v/>
      </c>
      <c r="CF19" s="66" t="str">
        <f>IF($C19="","",IFERROR(VLOOKUP(CONCATENATE(CE$3,"-",$C19),'FO-GC-012'!$D$20:$H$109,3,0),""))</f>
        <v/>
      </c>
      <c r="CG19" s="67" t="str">
        <f>IF($C19="","",IFERROR(VLOOKUP(CONCATENATE(CE$3,"-",$C19),'FO-GC-012'!$D$20:$H$109,4,0),""))</f>
        <v/>
      </c>
      <c r="CH19" s="68" t="str">
        <f>IF($C19="","",IFERROR(VLOOKUP(CONCATENATE(CE$3,"-",$C19),'FO-GC-012'!$D$20:$H$109,5,0),""))</f>
        <v/>
      </c>
    </row>
    <row r="20" spans="2:86" ht="33.75" customHeight="1" x14ac:dyDescent="0.35">
      <c r="B20" s="83">
        <f>IF(C20="","",COUNTA(C$4:C20))</f>
        <v>17</v>
      </c>
      <c r="C20" s="82" t="str">
        <f>'Eq. Auditor'!B19</f>
        <v>Sandra Johanna Pinzón Hermosa</v>
      </c>
      <c r="D20" s="83">
        <f>IF(C20="","",COUNTIF('FO-GC-012'!A:A,CONCATENATE("P-",C20)))</f>
        <v>0</v>
      </c>
      <c r="E20" s="83">
        <f>IF(C20="","",COUNTIF('FO-GC-012'!A:A,CONCATENATE("A-",C20)))</f>
        <v>0</v>
      </c>
      <c r="F20" s="83">
        <f t="shared" si="3"/>
        <v>0</v>
      </c>
      <c r="G20" s="69" t="str">
        <f>IF($C20="","",IFERROR(VLOOKUP(CONCATENATE(G$3,"-",$C20),'FO-GC-012'!$D$20:$H$109,2,0),""))</f>
        <v/>
      </c>
      <c r="H20" s="70" t="str">
        <f>IF($C20="","",IFERROR(VLOOKUP(CONCATENATE(G$3,"-",$C20),'FO-GC-012'!$D$20:$H$109,3,0),""))</f>
        <v/>
      </c>
      <c r="I20" s="71" t="str">
        <f>IF($C20="","",IFERROR(VLOOKUP(CONCATENATE(G$3,"-",$C20),'FO-GC-012'!$D$20:$H$109,4,0),""))</f>
        <v/>
      </c>
      <c r="J20" s="72" t="str">
        <f>IF($C20="","",IFERROR(VLOOKUP(CONCATENATE(G$3,"-",$C20),'FO-GC-012'!$D$20:$H$109,5,0),""))</f>
        <v/>
      </c>
      <c r="K20" s="69" t="str">
        <f>IF($C20="","",IFERROR(VLOOKUP(CONCATENATE(K$3,"-",$C20),'FO-GC-012'!$D$20:$H$109,2,0),""))</f>
        <v/>
      </c>
      <c r="L20" s="70" t="str">
        <f>IF($C20="","",IFERROR(VLOOKUP(CONCATENATE(K$3,"-",$C20),'FO-GC-012'!$D$20:$H$109,3,0),""))</f>
        <v/>
      </c>
      <c r="M20" s="71" t="str">
        <f>IF($C20="","",IFERROR(VLOOKUP(CONCATENATE(K$3,"-",$C20),'FO-GC-012'!$D$20:$H$109,4,0),""))</f>
        <v/>
      </c>
      <c r="N20" s="72" t="str">
        <f>IF($C20="","",IFERROR(VLOOKUP(CONCATENATE(K$3,"-",$C20),'FO-GC-012'!$D$20:$H$109,5,0),""))</f>
        <v/>
      </c>
      <c r="O20" s="69" t="str">
        <f>IF($C20="","",IFERROR(VLOOKUP(CONCATENATE(O$3,"-",$C20),'FO-GC-012'!$D$20:$H$109,2,0),""))</f>
        <v/>
      </c>
      <c r="P20" s="70" t="str">
        <f>IF($C20="","",IFERROR(VLOOKUP(CONCATENATE(O$3,"-",$C20),'FO-GC-012'!$D$20:$H$109,3,0),""))</f>
        <v/>
      </c>
      <c r="Q20" s="71" t="str">
        <f>IF($C20="","",IFERROR(VLOOKUP(CONCATENATE(O$3,"-",$C20),'FO-GC-012'!$D$20:$H$109,4,0),""))</f>
        <v/>
      </c>
      <c r="R20" s="72" t="str">
        <f>IF($C20="","",IFERROR(VLOOKUP(CONCATENATE(O$3,"-",$C20),'FO-GC-012'!$D$20:$H$109,5,0),""))</f>
        <v/>
      </c>
      <c r="S20" s="69" t="str">
        <f>IF($C20="","",IFERROR(VLOOKUP(CONCATENATE(S$3,"-",$C20),'FO-GC-012'!$D$20:$H$109,2,0),""))</f>
        <v/>
      </c>
      <c r="T20" s="70" t="str">
        <f>IF($C20="","",IFERROR(VLOOKUP(CONCATENATE(S$3,"-",$C20),'FO-GC-012'!$D$20:$H$109,3,0),""))</f>
        <v/>
      </c>
      <c r="U20" s="71" t="str">
        <f>IF($C20="","",IFERROR(VLOOKUP(CONCATENATE(S$3,"-",$C20),'FO-GC-012'!$D$20:$H$109,4,0),""))</f>
        <v/>
      </c>
      <c r="V20" s="72" t="str">
        <f>IF($C20="","",IFERROR(VLOOKUP(CONCATENATE(S$3,"-",$C20),'FO-GC-012'!$D$20:$H$109,5,0),""))</f>
        <v/>
      </c>
      <c r="W20" s="69" t="str">
        <f>IF($C20="","",IFERROR(VLOOKUP(CONCATENATE(W$3,"-",$C20),'FO-GC-012'!$D$20:$H$109,2,0),""))</f>
        <v/>
      </c>
      <c r="X20" s="70" t="str">
        <f>IF($C20="","",IFERROR(VLOOKUP(CONCATENATE(W$3,"-",$C20),'FO-GC-012'!$D$20:$H$109,3,0),""))</f>
        <v/>
      </c>
      <c r="Y20" s="71" t="str">
        <f>IF($C20="","",IFERROR(VLOOKUP(CONCATENATE(W$3,"-",$C20),'FO-GC-012'!$D$20:$H$109,4,0),""))</f>
        <v/>
      </c>
      <c r="Z20" s="72" t="str">
        <f>IF($C20="","",IFERROR(VLOOKUP(CONCATENATE(W$3,"-",$C20),'FO-GC-012'!$D$20:$H$109,5,0),""))</f>
        <v/>
      </c>
      <c r="AA20" s="69" t="str">
        <f>IF($C20="","",IFERROR(VLOOKUP(CONCATENATE(AA$3,"-",$C20),'FO-GC-012'!$D$20:$H$109,2,0),""))</f>
        <v/>
      </c>
      <c r="AB20" s="70" t="str">
        <f>IF($C20="","",IFERROR(VLOOKUP(CONCATENATE(AA$3,"-",$C20),'FO-GC-012'!$D$20:$H$109,3,0),""))</f>
        <v/>
      </c>
      <c r="AC20" s="71" t="str">
        <f>IF($C20="","",IFERROR(VLOOKUP(CONCATENATE(AA$3,"-",$C20),'FO-GC-012'!$D$20:$H$109,4,0),""))</f>
        <v/>
      </c>
      <c r="AD20" s="72" t="str">
        <f>IF($C20="","",IFERROR(VLOOKUP(CONCATENATE(AA$3,"-",$C20),'FO-GC-012'!$D$20:$H$109,5,0),""))</f>
        <v/>
      </c>
      <c r="AE20" s="69" t="str">
        <f>IF($C20="","",IFERROR(VLOOKUP(CONCATENATE(AE$3,"-",$C20),'FO-GC-012'!$D$20:$H$109,2,0),""))</f>
        <v/>
      </c>
      <c r="AF20" s="70" t="str">
        <f>IF($C20="","",IFERROR(VLOOKUP(CONCATENATE(AE$3,"-",$C20),'FO-GC-012'!$D$20:$H$109,3,0),""))</f>
        <v/>
      </c>
      <c r="AG20" s="71" t="str">
        <f>IF($C20="","",IFERROR(VLOOKUP(CONCATENATE(AE$3,"-",$C20),'FO-GC-012'!$D$20:$H$109,4,0),""))</f>
        <v/>
      </c>
      <c r="AH20" s="72" t="str">
        <f>IF($C20="","",IFERROR(VLOOKUP(CONCATENATE(AE$3,"-",$C20),'FO-GC-012'!$D$20:$H$109,5,0),""))</f>
        <v/>
      </c>
      <c r="AI20" s="69" t="str">
        <f>IF($C20="","",IFERROR(VLOOKUP(CONCATENATE(AI$3,"-",$C20),'FO-GC-012'!$D$20:$H$109,2,0),""))</f>
        <v/>
      </c>
      <c r="AJ20" s="70" t="str">
        <f>IF($C20="","",IFERROR(VLOOKUP(CONCATENATE(AI$3,"-",$C20),'FO-GC-012'!$D$20:$H$109,3,0),""))</f>
        <v/>
      </c>
      <c r="AK20" s="71" t="str">
        <f>IF($C20="","",IFERROR(VLOOKUP(CONCATENATE(AI$3,"-",$C20),'FO-GC-012'!$D$20:$H$109,4,0),""))</f>
        <v/>
      </c>
      <c r="AL20" s="72" t="str">
        <f>IF($C20="","",IFERROR(VLOOKUP(CONCATENATE(AI$3,"-",$C20),'FO-GC-012'!$D$20:$H$109,5,0),""))</f>
        <v/>
      </c>
      <c r="AM20" s="69" t="str">
        <f>IF($C20="","",IFERROR(VLOOKUP(CONCATENATE(AM$3,"-",$C20),'FO-GC-012'!$D$20:$H$109,2,0),""))</f>
        <v/>
      </c>
      <c r="AN20" s="70" t="str">
        <f>IF($C20="","",IFERROR(VLOOKUP(CONCATENATE(AM$3,"-",$C20),'FO-GC-012'!$D$20:$H$109,3,0),""))</f>
        <v/>
      </c>
      <c r="AO20" s="71" t="str">
        <f>IF($C20="","",IFERROR(VLOOKUP(CONCATENATE(AM$3,"-",$C20),'FO-GC-012'!$D$20:$H$109,4,0),""))</f>
        <v/>
      </c>
      <c r="AP20" s="72" t="str">
        <f>IF($C20="","",IFERROR(VLOOKUP(CONCATENATE(AM$3,"-",$C20),'FO-GC-012'!$D$20:$H$109,5,0),""))</f>
        <v/>
      </c>
      <c r="AQ20" s="69" t="str">
        <f>IF($C20="","",IFERROR(VLOOKUP(CONCATENATE(AQ$3,"-",$C20),'FO-GC-012'!$D$20:$H$109,2,0),""))</f>
        <v/>
      </c>
      <c r="AR20" s="70" t="str">
        <f>IF($C20="","",IFERROR(VLOOKUP(CONCATENATE(AQ$3,"-",$C20),'FO-GC-012'!$D$20:$H$109,3,0),""))</f>
        <v/>
      </c>
      <c r="AS20" s="71" t="str">
        <f>IF($C20="","",IFERROR(VLOOKUP(CONCATENATE(AQ$3,"-",$C20),'FO-GC-012'!$D$20:$H$109,4,0),""))</f>
        <v/>
      </c>
      <c r="AT20" s="72" t="str">
        <f>IF($C20="","",IFERROR(VLOOKUP(CONCATENATE(AQ$3,"-",$C20),'FO-GC-012'!$D$20:$H$109,5,0),""))</f>
        <v/>
      </c>
      <c r="AU20" s="69" t="str">
        <f>IF($C20="","",IFERROR(VLOOKUP(CONCATENATE(AU$3,"-",$C20),'FO-GC-012'!$D$20:$H$109,2,0),""))</f>
        <v/>
      </c>
      <c r="AV20" s="70" t="str">
        <f>IF($C20="","",IFERROR(VLOOKUP(CONCATENATE(AU$3,"-",$C20),'FO-GC-012'!$D$20:$H$109,3,0),""))</f>
        <v/>
      </c>
      <c r="AW20" s="71" t="str">
        <f>IF($C20="","",IFERROR(VLOOKUP(CONCATENATE(AU$3,"-",$C20),'FO-GC-012'!$D$20:$H$109,4,0),""))</f>
        <v/>
      </c>
      <c r="AX20" s="72" t="str">
        <f>IF($C20="","",IFERROR(VLOOKUP(CONCATENATE(AU$3,"-",$C20),'FO-GC-012'!$D$20:$H$109,5,0),""))</f>
        <v/>
      </c>
      <c r="AY20" s="69" t="str">
        <f>IF($C20="","",IFERROR(VLOOKUP(CONCATENATE(AY$3,"-",$C20),'FO-GC-012'!$D$20:$H$109,2,0),""))</f>
        <v/>
      </c>
      <c r="AZ20" s="70" t="str">
        <f>IF($C20="","",IFERROR(VLOOKUP(CONCATENATE(AY$3,"-",$C20),'FO-GC-012'!$D$20:$H$109,3,0),""))</f>
        <v/>
      </c>
      <c r="BA20" s="71" t="str">
        <f>IF($C20="","",IFERROR(VLOOKUP(CONCATENATE(AY$3,"-",$C20),'FO-GC-012'!$D$20:$H$109,4,0),""))</f>
        <v/>
      </c>
      <c r="BB20" s="72" t="str">
        <f>IF($C20="","",IFERROR(VLOOKUP(CONCATENATE(AY$3,"-",$C20),'FO-GC-012'!$D$20:$H$109,5,0),""))</f>
        <v/>
      </c>
      <c r="BC20" s="69" t="str">
        <f>IF($C20="","",IFERROR(VLOOKUP(CONCATENATE(BC$3,"-",$C20),'FO-GC-012'!$D$20:$H$109,2,0),""))</f>
        <v/>
      </c>
      <c r="BD20" s="70" t="str">
        <f>IF($C20="","",IFERROR(VLOOKUP(CONCATENATE(BC$3,"-",$C20),'FO-GC-012'!$D$20:$H$109,3,0),""))</f>
        <v/>
      </c>
      <c r="BE20" s="71" t="str">
        <f>IF($C20="","",IFERROR(VLOOKUP(CONCATENATE(BC$3,"-",$C20),'FO-GC-012'!$D$20:$H$109,4,0),""))</f>
        <v/>
      </c>
      <c r="BF20" s="72" t="str">
        <f>IF($C20="","",IFERROR(VLOOKUP(CONCATENATE(BC$3,"-",$C20),'FO-GC-012'!$D$20:$H$109,5,0),""))</f>
        <v/>
      </c>
      <c r="BG20" s="69" t="str">
        <f>IF($C20="","",IFERROR(VLOOKUP(CONCATENATE(BG$3,"-",$C20),'FO-GC-012'!$D$20:$H$109,2,0),""))</f>
        <v/>
      </c>
      <c r="BH20" s="70" t="str">
        <f>IF($C20="","",IFERROR(VLOOKUP(CONCATENATE(BG$3,"-",$C20),'FO-GC-012'!$D$20:$H$109,3,0),""))</f>
        <v/>
      </c>
      <c r="BI20" s="71" t="str">
        <f>IF($C20="","",IFERROR(VLOOKUP(CONCATENATE(BG$3,"-",$C20),'FO-GC-012'!$D$20:$H$109,4,0),""))</f>
        <v/>
      </c>
      <c r="BJ20" s="72" t="str">
        <f>IF($C20="","",IFERROR(VLOOKUP(CONCATENATE(BG$3,"-",$C20),'FO-GC-012'!$D$20:$H$109,5,0),""))</f>
        <v/>
      </c>
      <c r="BK20" s="69" t="str">
        <f>IF($C20="","",IFERROR(VLOOKUP(CONCATENATE(BK$3,"-",$C20),'FO-GC-012'!$D$20:$H$109,2,0),""))</f>
        <v/>
      </c>
      <c r="BL20" s="70" t="str">
        <f>IF($C20="","",IFERROR(VLOOKUP(CONCATENATE(BK$3,"-",$C20),'FO-GC-012'!$D$20:$H$109,3,0),""))</f>
        <v/>
      </c>
      <c r="BM20" s="71" t="str">
        <f>IF($C20="","",IFERROR(VLOOKUP(CONCATENATE(BK$3,"-",$C20),'FO-GC-012'!$D$20:$H$109,4,0),""))</f>
        <v/>
      </c>
      <c r="BN20" s="72" t="str">
        <f>IF($C20="","",IFERROR(VLOOKUP(CONCATENATE(BK$3,"-",$C20),'FO-GC-012'!$D$20:$H$109,5,0),""))</f>
        <v/>
      </c>
      <c r="BO20" s="69" t="str">
        <f>IF($C20="","",IFERROR(VLOOKUP(CONCATENATE(BO$3,"-",$C20),'FO-GC-012'!$D$20:$H$109,2,0),""))</f>
        <v/>
      </c>
      <c r="BP20" s="70" t="str">
        <f>IF($C20="","",IFERROR(VLOOKUP(CONCATENATE(BO$3,"-",$C20),'FO-GC-012'!$D$20:$H$109,3,0),""))</f>
        <v/>
      </c>
      <c r="BQ20" s="71" t="str">
        <f>IF($C20="","",IFERROR(VLOOKUP(CONCATENATE(BO$3,"-",$C20),'FO-GC-012'!$D$20:$H$109,4,0),""))</f>
        <v/>
      </c>
      <c r="BR20" s="72" t="str">
        <f>IF($C20="","",IFERROR(VLOOKUP(CONCATENATE(BO$3,"-",$C20),'FO-GC-012'!$D$20:$H$109,5,0),""))</f>
        <v/>
      </c>
      <c r="BS20" s="69" t="str">
        <f>IF($C20="","",IFERROR(VLOOKUP(CONCATENATE(BS$3,"-",$C20),'FO-GC-012'!$D$20:$H$109,2,0),""))</f>
        <v/>
      </c>
      <c r="BT20" s="70" t="str">
        <f>IF($C20="","",IFERROR(VLOOKUP(CONCATENATE(BS$3,"-",$C20),'FO-GC-012'!$D$20:$H$109,3,0),""))</f>
        <v/>
      </c>
      <c r="BU20" s="71" t="str">
        <f>IF($C20="","",IFERROR(VLOOKUP(CONCATENATE(BS$3,"-",$C20),'FO-GC-012'!$D$20:$H$109,4,0),""))</f>
        <v/>
      </c>
      <c r="BV20" s="72" t="str">
        <f>IF($C20="","",IFERROR(VLOOKUP(CONCATENATE(BS$3,"-",$C20),'FO-GC-012'!$D$20:$H$109,5,0),""))</f>
        <v/>
      </c>
      <c r="BW20" s="69" t="str">
        <f>IF($C20="","",IFERROR(VLOOKUP(CONCATENATE(BW$3,"-",$C20),'FO-GC-012'!$D$20:$H$109,2,0),""))</f>
        <v/>
      </c>
      <c r="BX20" s="70" t="str">
        <f>IF($C20="","",IFERROR(VLOOKUP(CONCATENATE(BW$3,"-",$C20),'FO-GC-012'!$D$20:$H$109,3,0),""))</f>
        <v/>
      </c>
      <c r="BY20" s="71" t="str">
        <f>IF($C20="","",IFERROR(VLOOKUP(CONCATENATE(BW$3,"-",$C20),'FO-GC-012'!$D$20:$H$109,4,0),""))</f>
        <v/>
      </c>
      <c r="BZ20" s="72" t="str">
        <f>IF($C20="","",IFERROR(VLOOKUP(CONCATENATE(BW$3,"-",$C20),'FO-GC-012'!$D$20:$H$109,5,0),""))</f>
        <v/>
      </c>
      <c r="CA20" s="69" t="str">
        <f>IF($C20="","",IFERROR(VLOOKUP(CONCATENATE(CA$3,"-",$C20),'FO-GC-012'!$D$20:$H$109,2,0),""))</f>
        <v/>
      </c>
      <c r="CB20" s="70" t="str">
        <f>IF($C20="","",IFERROR(VLOOKUP(CONCATENATE(CA$3,"-",$C20),'FO-GC-012'!$D$20:$H$109,3,0),""))</f>
        <v/>
      </c>
      <c r="CC20" s="71" t="str">
        <f>IF($C20="","",IFERROR(VLOOKUP(CONCATENATE(CA$3,"-",$C20),'FO-GC-012'!$D$20:$H$109,4,0),""))</f>
        <v/>
      </c>
      <c r="CD20" s="72" t="str">
        <f>IF($C20="","",IFERROR(VLOOKUP(CONCATENATE(CA$3,"-",$C20),'FO-GC-012'!$D$20:$H$109,5,0),""))</f>
        <v/>
      </c>
      <c r="CE20" s="69" t="str">
        <f>IF($C20="","",IFERROR(VLOOKUP(CONCATENATE(CE$3,"-",$C20),'FO-GC-012'!$D$20:$H$109,2,0),""))</f>
        <v/>
      </c>
      <c r="CF20" s="70" t="str">
        <f>IF($C20="","",IFERROR(VLOOKUP(CONCATENATE(CE$3,"-",$C20),'FO-GC-012'!$D$20:$H$109,3,0),""))</f>
        <v/>
      </c>
      <c r="CG20" s="71" t="str">
        <f>IF($C20="","",IFERROR(VLOOKUP(CONCATENATE(CE$3,"-",$C20),'FO-GC-012'!$D$20:$H$109,4,0),""))</f>
        <v/>
      </c>
      <c r="CH20" s="72" t="str">
        <f>IF($C20="","",IFERROR(VLOOKUP(CONCATENATE(CE$3,"-",$C20),'FO-GC-012'!$D$20:$H$109,5,0),""))</f>
        <v/>
      </c>
    </row>
    <row r="21" spans="2:86" ht="33.75" customHeight="1" x14ac:dyDescent="0.35">
      <c r="B21" s="83">
        <f>IF(C21="","",COUNTA(C$4:C21))</f>
        <v>18</v>
      </c>
      <c r="C21" s="82" t="str">
        <f>'Eq. Auditor'!B20</f>
        <v>Tatiana Mejia Rondon</v>
      </c>
      <c r="D21" s="83">
        <f>IF(C21="","",COUNTIF('FO-GC-012'!A:A,CONCATENATE("P-",C21)))</f>
        <v>0</v>
      </c>
      <c r="E21" s="83">
        <f>IF(C21="","",COUNTIF('FO-GC-012'!A:A,CONCATENATE("A-",C21)))</f>
        <v>0</v>
      </c>
      <c r="F21" s="83">
        <f t="shared" si="3"/>
        <v>0</v>
      </c>
      <c r="G21" s="65" t="str">
        <f>IF($C21="","",IFERROR(VLOOKUP(CONCATENATE(G$3,"-",$C21),'FO-GC-012'!$D$20:$H$109,2,0),""))</f>
        <v/>
      </c>
      <c r="H21" s="66" t="str">
        <f>IF($C21="","",IFERROR(VLOOKUP(CONCATENATE(G$3,"-",$C21),'FO-GC-012'!$D$20:$H$109,3,0),""))</f>
        <v/>
      </c>
      <c r="I21" s="67" t="str">
        <f>IF($C21="","",IFERROR(VLOOKUP(CONCATENATE(G$3,"-",$C21),'FO-GC-012'!$D$20:$H$109,4,0),""))</f>
        <v/>
      </c>
      <c r="J21" s="68" t="str">
        <f>IF($C21="","",IFERROR(VLOOKUP(CONCATENATE(G$3,"-",$C21),'FO-GC-012'!$D$20:$H$109,5,0),""))</f>
        <v/>
      </c>
      <c r="K21" s="65" t="str">
        <f>IF($C21="","",IFERROR(VLOOKUP(CONCATENATE(K$3,"-",$C21),'FO-GC-012'!$D$20:$H$109,2,0),""))</f>
        <v/>
      </c>
      <c r="L21" s="66" t="str">
        <f>IF($C21="","",IFERROR(VLOOKUP(CONCATENATE(K$3,"-",$C21),'FO-GC-012'!$D$20:$H$109,3,0),""))</f>
        <v/>
      </c>
      <c r="M21" s="67" t="str">
        <f>IF($C21="","",IFERROR(VLOOKUP(CONCATENATE(K$3,"-",$C21),'FO-GC-012'!$D$20:$H$109,4,0),""))</f>
        <v/>
      </c>
      <c r="N21" s="68" t="str">
        <f>IF($C21="","",IFERROR(VLOOKUP(CONCATENATE(K$3,"-",$C21),'FO-GC-012'!$D$20:$H$109,5,0),""))</f>
        <v/>
      </c>
      <c r="O21" s="65" t="str">
        <f>IF($C21="","",IFERROR(VLOOKUP(CONCATENATE(O$3,"-",$C21),'FO-GC-012'!$D$20:$H$109,2,0),""))</f>
        <v/>
      </c>
      <c r="P21" s="66" t="str">
        <f>IF($C21="","",IFERROR(VLOOKUP(CONCATENATE(O$3,"-",$C21),'FO-GC-012'!$D$20:$H$109,3,0),""))</f>
        <v/>
      </c>
      <c r="Q21" s="67" t="str">
        <f>IF($C21="","",IFERROR(VLOOKUP(CONCATENATE(O$3,"-",$C21),'FO-GC-012'!$D$20:$H$109,4,0),""))</f>
        <v/>
      </c>
      <c r="R21" s="68" t="str">
        <f>IF($C21="","",IFERROR(VLOOKUP(CONCATENATE(O$3,"-",$C21),'FO-GC-012'!$D$20:$H$109,5,0),""))</f>
        <v/>
      </c>
      <c r="S21" s="65" t="str">
        <f>IF($C21="","",IFERROR(VLOOKUP(CONCATENATE(S$3,"-",$C21),'FO-GC-012'!$D$20:$H$109,2,0),""))</f>
        <v/>
      </c>
      <c r="T21" s="66" t="str">
        <f>IF($C21="","",IFERROR(VLOOKUP(CONCATENATE(S$3,"-",$C21),'FO-GC-012'!$D$20:$H$109,3,0),""))</f>
        <v/>
      </c>
      <c r="U21" s="67" t="str">
        <f>IF($C21="","",IFERROR(VLOOKUP(CONCATENATE(S$3,"-",$C21),'FO-GC-012'!$D$20:$H$109,4,0),""))</f>
        <v/>
      </c>
      <c r="V21" s="68" t="str">
        <f>IF($C21="","",IFERROR(VLOOKUP(CONCATENATE(S$3,"-",$C21),'FO-GC-012'!$D$20:$H$109,5,0),""))</f>
        <v/>
      </c>
      <c r="W21" s="65" t="str">
        <f>IF($C21="","",IFERROR(VLOOKUP(CONCATENATE(W$3,"-",$C21),'FO-GC-012'!$D$20:$H$109,2,0),""))</f>
        <v/>
      </c>
      <c r="X21" s="66" t="str">
        <f>IF($C21="","",IFERROR(VLOOKUP(CONCATENATE(W$3,"-",$C21),'FO-GC-012'!$D$20:$H$109,3,0),""))</f>
        <v/>
      </c>
      <c r="Y21" s="67" t="str">
        <f>IF($C21="","",IFERROR(VLOOKUP(CONCATENATE(W$3,"-",$C21),'FO-GC-012'!$D$20:$H$109,4,0),""))</f>
        <v/>
      </c>
      <c r="Z21" s="68" t="str">
        <f>IF($C21="","",IFERROR(VLOOKUP(CONCATENATE(W$3,"-",$C21),'FO-GC-012'!$D$20:$H$109,5,0),""))</f>
        <v/>
      </c>
      <c r="AA21" s="65" t="str">
        <f>IF($C21="","",IFERROR(VLOOKUP(CONCATENATE(AA$3,"-",$C21),'FO-GC-012'!$D$20:$H$109,2,0),""))</f>
        <v/>
      </c>
      <c r="AB21" s="66" t="str">
        <f>IF($C21="","",IFERROR(VLOOKUP(CONCATENATE(AA$3,"-",$C21),'FO-GC-012'!$D$20:$H$109,3,0),""))</f>
        <v/>
      </c>
      <c r="AC21" s="67" t="str">
        <f>IF($C21="","",IFERROR(VLOOKUP(CONCATENATE(AA$3,"-",$C21),'FO-GC-012'!$D$20:$H$109,4,0),""))</f>
        <v/>
      </c>
      <c r="AD21" s="68" t="str">
        <f>IF($C21="","",IFERROR(VLOOKUP(CONCATENATE(AA$3,"-",$C21),'FO-GC-012'!$D$20:$H$109,5,0),""))</f>
        <v/>
      </c>
      <c r="AE21" s="65" t="str">
        <f>IF($C21="","",IFERROR(VLOOKUP(CONCATENATE(AE$3,"-",$C21),'FO-GC-012'!$D$20:$H$109,2,0),""))</f>
        <v/>
      </c>
      <c r="AF21" s="66" t="str">
        <f>IF($C21="","",IFERROR(VLOOKUP(CONCATENATE(AE$3,"-",$C21),'FO-GC-012'!$D$20:$H$109,3,0),""))</f>
        <v/>
      </c>
      <c r="AG21" s="67" t="str">
        <f>IF($C21="","",IFERROR(VLOOKUP(CONCATENATE(AE$3,"-",$C21),'FO-GC-012'!$D$20:$H$109,4,0),""))</f>
        <v/>
      </c>
      <c r="AH21" s="68" t="str">
        <f>IF($C21="","",IFERROR(VLOOKUP(CONCATENATE(AE$3,"-",$C21),'FO-GC-012'!$D$20:$H$109,5,0),""))</f>
        <v/>
      </c>
      <c r="AI21" s="65" t="str">
        <f>IF($C21="","",IFERROR(VLOOKUP(CONCATENATE(AI$3,"-",$C21),'FO-GC-012'!$D$20:$H$109,2,0),""))</f>
        <v/>
      </c>
      <c r="AJ21" s="66" t="str">
        <f>IF($C21="","",IFERROR(VLOOKUP(CONCATENATE(AI$3,"-",$C21),'FO-GC-012'!$D$20:$H$109,3,0),""))</f>
        <v/>
      </c>
      <c r="AK21" s="67" t="str">
        <f>IF($C21="","",IFERROR(VLOOKUP(CONCATENATE(AI$3,"-",$C21),'FO-GC-012'!$D$20:$H$109,4,0),""))</f>
        <v/>
      </c>
      <c r="AL21" s="68" t="str">
        <f>IF($C21="","",IFERROR(VLOOKUP(CONCATENATE(AI$3,"-",$C21),'FO-GC-012'!$D$20:$H$109,5,0),""))</f>
        <v/>
      </c>
      <c r="AM21" s="65" t="str">
        <f>IF($C21="","",IFERROR(VLOOKUP(CONCATENATE(AM$3,"-",$C21),'FO-GC-012'!$D$20:$H$109,2,0),""))</f>
        <v/>
      </c>
      <c r="AN21" s="66" t="str">
        <f>IF($C21="","",IFERROR(VLOOKUP(CONCATENATE(AM$3,"-",$C21),'FO-GC-012'!$D$20:$H$109,3,0),""))</f>
        <v/>
      </c>
      <c r="AO21" s="67" t="str">
        <f>IF($C21="","",IFERROR(VLOOKUP(CONCATENATE(AM$3,"-",$C21),'FO-GC-012'!$D$20:$H$109,4,0),""))</f>
        <v/>
      </c>
      <c r="AP21" s="68" t="str">
        <f>IF($C21="","",IFERROR(VLOOKUP(CONCATENATE(AM$3,"-",$C21),'FO-GC-012'!$D$20:$H$109,5,0),""))</f>
        <v/>
      </c>
      <c r="AQ21" s="65" t="str">
        <f>IF($C21="","",IFERROR(VLOOKUP(CONCATENATE(AQ$3,"-",$C21),'FO-GC-012'!$D$20:$H$109,2,0),""))</f>
        <v/>
      </c>
      <c r="AR21" s="66" t="str">
        <f>IF($C21="","",IFERROR(VLOOKUP(CONCATENATE(AQ$3,"-",$C21),'FO-GC-012'!$D$20:$H$109,3,0),""))</f>
        <v/>
      </c>
      <c r="AS21" s="67" t="str">
        <f>IF($C21="","",IFERROR(VLOOKUP(CONCATENATE(AQ$3,"-",$C21),'FO-GC-012'!$D$20:$H$109,4,0),""))</f>
        <v/>
      </c>
      <c r="AT21" s="68" t="str">
        <f>IF($C21="","",IFERROR(VLOOKUP(CONCATENATE(AQ$3,"-",$C21),'FO-GC-012'!$D$20:$H$109,5,0),""))</f>
        <v/>
      </c>
      <c r="AU21" s="65" t="str">
        <f>IF($C21="","",IFERROR(VLOOKUP(CONCATENATE(AU$3,"-",$C21),'FO-GC-012'!$D$20:$H$109,2,0),""))</f>
        <v/>
      </c>
      <c r="AV21" s="66" t="str">
        <f>IF($C21="","",IFERROR(VLOOKUP(CONCATENATE(AU$3,"-",$C21),'FO-GC-012'!$D$20:$H$109,3,0),""))</f>
        <v/>
      </c>
      <c r="AW21" s="67" t="str">
        <f>IF($C21="","",IFERROR(VLOOKUP(CONCATENATE(AU$3,"-",$C21),'FO-GC-012'!$D$20:$H$109,4,0),""))</f>
        <v/>
      </c>
      <c r="AX21" s="68" t="str">
        <f>IF($C21="","",IFERROR(VLOOKUP(CONCATENATE(AU$3,"-",$C21),'FO-GC-012'!$D$20:$H$109,5,0),""))</f>
        <v/>
      </c>
      <c r="AY21" s="65" t="str">
        <f>IF($C21="","",IFERROR(VLOOKUP(CONCATENATE(AY$3,"-",$C21),'FO-GC-012'!$D$20:$H$109,2,0),""))</f>
        <v/>
      </c>
      <c r="AZ21" s="66" t="str">
        <f>IF($C21="","",IFERROR(VLOOKUP(CONCATENATE(AY$3,"-",$C21),'FO-GC-012'!$D$20:$H$109,3,0),""))</f>
        <v/>
      </c>
      <c r="BA21" s="67" t="str">
        <f>IF($C21="","",IFERROR(VLOOKUP(CONCATENATE(AY$3,"-",$C21),'FO-GC-012'!$D$20:$H$109,4,0),""))</f>
        <v/>
      </c>
      <c r="BB21" s="68" t="str">
        <f>IF($C21="","",IFERROR(VLOOKUP(CONCATENATE(AY$3,"-",$C21),'FO-GC-012'!$D$20:$H$109,5,0),""))</f>
        <v/>
      </c>
      <c r="BC21" s="65" t="str">
        <f>IF($C21="","",IFERROR(VLOOKUP(CONCATENATE(BC$3,"-",$C21),'FO-GC-012'!$D$20:$H$109,2,0),""))</f>
        <v/>
      </c>
      <c r="BD21" s="66" t="str">
        <f>IF($C21="","",IFERROR(VLOOKUP(CONCATENATE(BC$3,"-",$C21),'FO-GC-012'!$D$20:$H$109,3,0),""))</f>
        <v/>
      </c>
      <c r="BE21" s="67" t="str">
        <f>IF($C21="","",IFERROR(VLOOKUP(CONCATENATE(BC$3,"-",$C21),'FO-GC-012'!$D$20:$H$109,4,0),""))</f>
        <v/>
      </c>
      <c r="BF21" s="68" t="str">
        <f>IF($C21="","",IFERROR(VLOOKUP(CONCATENATE(BC$3,"-",$C21),'FO-GC-012'!$D$20:$H$109,5,0),""))</f>
        <v/>
      </c>
      <c r="BG21" s="65" t="str">
        <f>IF($C21="","",IFERROR(VLOOKUP(CONCATENATE(BG$3,"-",$C21),'FO-GC-012'!$D$20:$H$109,2,0),""))</f>
        <v/>
      </c>
      <c r="BH21" s="66" t="str">
        <f>IF($C21="","",IFERROR(VLOOKUP(CONCATENATE(BG$3,"-",$C21),'FO-GC-012'!$D$20:$H$109,3,0),""))</f>
        <v/>
      </c>
      <c r="BI21" s="67" t="str">
        <f>IF($C21="","",IFERROR(VLOOKUP(CONCATENATE(BG$3,"-",$C21),'FO-GC-012'!$D$20:$H$109,4,0),""))</f>
        <v/>
      </c>
      <c r="BJ21" s="68" t="str">
        <f>IF($C21="","",IFERROR(VLOOKUP(CONCATENATE(BG$3,"-",$C21),'FO-GC-012'!$D$20:$H$109,5,0),""))</f>
        <v/>
      </c>
      <c r="BK21" s="65" t="str">
        <f>IF($C21="","",IFERROR(VLOOKUP(CONCATENATE(BK$3,"-",$C21),'FO-GC-012'!$D$20:$H$109,2,0),""))</f>
        <v/>
      </c>
      <c r="BL21" s="66" t="str">
        <f>IF($C21="","",IFERROR(VLOOKUP(CONCATENATE(BK$3,"-",$C21),'FO-GC-012'!$D$20:$H$109,3,0),""))</f>
        <v/>
      </c>
      <c r="BM21" s="67" t="str">
        <f>IF($C21="","",IFERROR(VLOOKUP(CONCATENATE(BK$3,"-",$C21),'FO-GC-012'!$D$20:$H$109,4,0),""))</f>
        <v/>
      </c>
      <c r="BN21" s="68" t="str">
        <f>IF($C21="","",IFERROR(VLOOKUP(CONCATENATE(BK$3,"-",$C21),'FO-GC-012'!$D$20:$H$109,5,0),""))</f>
        <v/>
      </c>
      <c r="BO21" s="65" t="str">
        <f>IF($C21="","",IFERROR(VLOOKUP(CONCATENATE(BO$3,"-",$C21),'FO-GC-012'!$D$20:$H$109,2,0),""))</f>
        <v/>
      </c>
      <c r="BP21" s="66" t="str">
        <f>IF($C21="","",IFERROR(VLOOKUP(CONCATENATE(BO$3,"-",$C21),'FO-GC-012'!$D$20:$H$109,3,0),""))</f>
        <v/>
      </c>
      <c r="BQ21" s="67" t="str">
        <f>IF($C21="","",IFERROR(VLOOKUP(CONCATENATE(BO$3,"-",$C21),'FO-GC-012'!$D$20:$H$109,4,0),""))</f>
        <v/>
      </c>
      <c r="BR21" s="68" t="str">
        <f>IF($C21="","",IFERROR(VLOOKUP(CONCATENATE(BO$3,"-",$C21),'FO-GC-012'!$D$20:$H$109,5,0),""))</f>
        <v/>
      </c>
      <c r="BS21" s="65" t="str">
        <f>IF($C21="","",IFERROR(VLOOKUP(CONCATENATE(BS$3,"-",$C21),'FO-GC-012'!$D$20:$H$109,2,0),""))</f>
        <v/>
      </c>
      <c r="BT21" s="66" t="str">
        <f>IF($C21="","",IFERROR(VLOOKUP(CONCATENATE(BS$3,"-",$C21),'FO-GC-012'!$D$20:$H$109,3,0),""))</f>
        <v/>
      </c>
      <c r="BU21" s="67" t="str">
        <f>IF($C21="","",IFERROR(VLOOKUP(CONCATENATE(BS$3,"-",$C21),'FO-GC-012'!$D$20:$H$109,4,0),""))</f>
        <v/>
      </c>
      <c r="BV21" s="68" t="str">
        <f>IF($C21="","",IFERROR(VLOOKUP(CONCATENATE(BS$3,"-",$C21),'FO-GC-012'!$D$20:$H$109,5,0),""))</f>
        <v/>
      </c>
      <c r="BW21" s="65" t="str">
        <f>IF($C21="","",IFERROR(VLOOKUP(CONCATENATE(BW$3,"-",$C21),'FO-GC-012'!$D$20:$H$109,2,0),""))</f>
        <v/>
      </c>
      <c r="BX21" s="66" t="str">
        <f>IF($C21="","",IFERROR(VLOOKUP(CONCATENATE(BW$3,"-",$C21),'FO-GC-012'!$D$20:$H$109,3,0),""))</f>
        <v/>
      </c>
      <c r="BY21" s="67" t="str">
        <f>IF($C21="","",IFERROR(VLOOKUP(CONCATENATE(BW$3,"-",$C21),'FO-GC-012'!$D$20:$H$109,4,0),""))</f>
        <v/>
      </c>
      <c r="BZ21" s="68" t="str">
        <f>IF($C21="","",IFERROR(VLOOKUP(CONCATENATE(BW$3,"-",$C21),'FO-GC-012'!$D$20:$H$109,5,0),""))</f>
        <v/>
      </c>
      <c r="CA21" s="65" t="str">
        <f>IF($C21="","",IFERROR(VLOOKUP(CONCATENATE(CA$3,"-",$C21),'FO-GC-012'!$D$20:$H$109,2,0),""))</f>
        <v/>
      </c>
      <c r="CB21" s="66" t="str">
        <f>IF($C21="","",IFERROR(VLOOKUP(CONCATENATE(CA$3,"-",$C21),'FO-GC-012'!$D$20:$H$109,3,0),""))</f>
        <v/>
      </c>
      <c r="CC21" s="67" t="str">
        <f>IF($C21="","",IFERROR(VLOOKUP(CONCATENATE(CA$3,"-",$C21),'FO-GC-012'!$D$20:$H$109,4,0),""))</f>
        <v/>
      </c>
      <c r="CD21" s="68" t="str">
        <f>IF($C21="","",IFERROR(VLOOKUP(CONCATENATE(CA$3,"-",$C21),'FO-GC-012'!$D$20:$H$109,5,0),""))</f>
        <v/>
      </c>
      <c r="CE21" s="65" t="str">
        <f>IF($C21="","",IFERROR(VLOOKUP(CONCATENATE(CE$3,"-",$C21),'FO-GC-012'!$D$20:$H$109,2,0),""))</f>
        <v/>
      </c>
      <c r="CF21" s="66" t="str">
        <f>IF($C21="","",IFERROR(VLOOKUP(CONCATENATE(CE$3,"-",$C21),'FO-GC-012'!$D$20:$H$109,3,0),""))</f>
        <v/>
      </c>
      <c r="CG21" s="67" t="str">
        <f>IF($C21="","",IFERROR(VLOOKUP(CONCATENATE(CE$3,"-",$C21),'FO-GC-012'!$D$20:$H$109,4,0),""))</f>
        <v/>
      </c>
      <c r="CH21" s="68" t="str">
        <f>IF($C21="","",IFERROR(VLOOKUP(CONCATENATE(CE$3,"-",$C21),'FO-GC-012'!$D$20:$H$109,5,0),""))</f>
        <v/>
      </c>
    </row>
    <row r="22" spans="2:86" ht="33.75" customHeight="1" x14ac:dyDescent="0.35">
      <c r="B22" s="83">
        <f>IF(C22="","",COUNTA(C$4:C22))</f>
        <v>19</v>
      </c>
      <c r="C22" s="82" t="str">
        <f>'Eq. Auditor'!B21</f>
        <v>*Wadys Montilla Ortega</v>
      </c>
      <c r="D22" s="83">
        <f>IF(C22="","",COUNTIF('FO-GC-012'!A:A,CONCATENATE("P-",C22)))</f>
        <v>0</v>
      </c>
      <c r="E22" s="83">
        <f>IF(C22="","",COUNTIF('FO-GC-012'!A:A,CONCATENATE("A-",C22)))</f>
        <v>0</v>
      </c>
      <c r="F22" s="83">
        <f t="shared" si="3"/>
        <v>0</v>
      </c>
      <c r="G22" s="69" t="str">
        <f>IF($C22="","",IFERROR(VLOOKUP(CONCATENATE(G$3,"-",$C22),'FO-GC-012'!$D$20:$H$109,2,0),""))</f>
        <v/>
      </c>
      <c r="H22" s="70" t="str">
        <f>IF($C22="","",IFERROR(VLOOKUP(CONCATENATE(G$3,"-",$C22),'FO-GC-012'!$D$20:$H$109,3,0),""))</f>
        <v/>
      </c>
      <c r="I22" s="71" t="str">
        <f>IF($C22="","",IFERROR(VLOOKUP(CONCATENATE(G$3,"-",$C22),'FO-GC-012'!$D$20:$H$109,4,0),""))</f>
        <v/>
      </c>
      <c r="J22" s="72" t="str">
        <f>IF($C22="","",IFERROR(VLOOKUP(CONCATENATE(G$3,"-",$C22),'FO-GC-012'!$D$20:$H$109,5,0),""))</f>
        <v/>
      </c>
      <c r="K22" s="69" t="str">
        <f>IF($C22="","",IFERROR(VLOOKUP(CONCATENATE(K$3,"-",$C22),'FO-GC-012'!$D$20:$H$109,2,0),""))</f>
        <v/>
      </c>
      <c r="L22" s="70" t="str">
        <f>IF($C22="","",IFERROR(VLOOKUP(CONCATENATE(K$3,"-",$C22),'FO-GC-012'!$D$20:$H$109,3,0),""))</f>
        <v/>
      </c>
      <c r="M22" s="71" t="str">
        <f>IF($C22="","",IFERROR(VLOOKUP(CONCATENATE(K$3,"-",$C22),'FO-GC-012'!$D$20:$H$109,4,0),""))</f>
        <v/>
      </c>
      <c r="N22" s="72" t="str">
        <f>IF($C22="","",IFERROR(VLOOKUP(CONCATENATE(K$3,"-",$C22),'FO-GC-012'!$D$20:$H$109,5,0),""))</f>
        <v/>
      </c>
      <c r="O22" s="69" t="str">
        <f>IF($C22="","",IFERROR(VLOOKUP(CONCATENATE(O$3,"-",$C22),'FO-GC-012'!$D$20:$H$109,2,0),""))</f>
        <v/>
      </c>
      <c r="P22" s="70" t="str">
        <f>IF($C22="","",IFERROR(VLOOKUP(CONCATENATE(O$3,"-",$C22),'FO-GC-012'!$D$20:$H$109,3,0),""))</f>
        <v/>
      </c>
      <c r="Q22" s="71" t="str">
        <f>IF($C22="","",IFERROR(VLOOKUP(CONCATENATE(O$3,"-",$C22),'FO-GC-012'!$D$20:$H$109,4,0),""))</f>
        <v/>
      </c>
      <c r="R22" s="72" t="str">
        <f>IF($C22="","",IFERROR(VLOOKUP(CONCATENATE(O$3,"-",$C22),'FO-GC-012'!$D$20:$H$109,5,0),""))</f>
        <v/>
      </c>
      <c r="S22" s="69" t="str">
        <f>IF($C22="","",IFERROR(VLOOKUP(CONCATENATE(S$3,"-",$C22),'FO-GC-012'!$D$20:$H$109,2,0),""))</f>
        <v/>
      </c>
      <c r="T22" s="70" t="str">
        <f>IF($C22="","",IFERROR(VLOOKUP(CONCATENATE(S$3,"-",$C22),'FO-GC-012'!$D$20:$H$109,3,0),""))</f>
        <v/>
      </c>
      <c r="U22" s="71" t="str">
        <f>IF($C22="","",IFERROR(VLOOKUP(CONCATENATE(S$3,"-",$C22),'FO-GC-012'!$D$20:$H$109,4,0),""))</f>
        <v/>
      </c>
      <c r="V22" s="72" t="str">
        <f>IF($C22="","",IFERROR(VLOOKUP(CONCATENATE(S$3,"-",$C22),'FO-GC-012'!$D$20:$H$109,5,0),""))</f>
        <v/>
      </c>
      <c r="W22" s="69" t="str">
        <f>IF($C22="","",IFERROR(VLOOKUP(CONCATENATE(W$3,"-",$C22),'FO-GC-012'!$D$20:$H$109,2,0),""))</f>
        <v/>
      </c>
      <c r="X22" s="70" t="str">
        <f>IF($C22="","",IFERROR(VLOOKUP(CONCATENATE(W$3,"-",$C22),'FO-GC-012'!$D$20:$H$109,3,0),""))</f>
        <v/>
      </c>
      <c r="Y22" s="71" t="str">
        <f>IF($C22="","",IFERROR(VLOOKUP(CONCATENATE(W$3,"-",$C22),'FO-GC-012'!$D$20:$H$109,4,0),""))</f>
        <v/>
      </c>
      <c r="Z22" s="72" t="str">
        <f>IF($C22="","",IFERROR(VLOOKUP(CONCATENATE(W$3,"-",$C22),'FO-GC-012'!$D$20:$H$109,5,0),""))</f>
        <v/>
      </c>
      <c r="AA22" s="69" t="str">
        <f>IF($C22="","",IFERROR(VLOOKUP(CONCATENATE(AA$3,"-",$C22),'FO-GC-012'!$D$20:$H$109,2,0),""))</f>
        <v/>
      </c>
      <c r="AB22" s="70" t="str">
        <f>IF($C22="","",IFERROR(VLOOKUP(CONCATENATE(AA$3,"-",$C22),'FO-GC-012'!$D$20:$H$109,3,0),""))</f>
        <v/>
      </c>
      <c r="AC22" s="71" t="str">
        <f>IF($C22="","",IFERROR(VLOOKUP(CONCATENATE(AA$3,"-",$C22),'FO-GC-012'!$D$20:$H$109,4,0),""))</f>
        <v/>
      </c>
      <c r="AD22" s="72" t="str">
        <f>IF($C22="","",IFERROR(VLOOKUP(CONCATENATE(AA$3,"-",$C22),'FO-GC-012'!$D$20:$H$109,5,0),""))</f>
        <v/>
      </c>
      <c r="AE22" s="69" t="str">
        <f>IF($C22="","",IFERROR(VLOOKUP(CONCATENATE(AE$3,"-",$C22),'FO-GC-012'!$D$20:$H$109,2,0),""))</f>
        <v/>
      </c>
      <c r="AF22" s="70" t="str">
        <f>IF($C22="","",IFERROR(VLOOKUP(CONCATENATE(AE$3,"-",$C22),'FO-GC-012'!$D$20:$H$109,3,0),""))</f>
        <v/>
      </c>
      <c r="AG22" s="71" t="str">
        <f>IF($C22="","",IFERROR(VLOOKUP(CONCATENATE(AE$3,"-",$C22),'FO-GC-012'!$D$20:$H$109,4,0),""))</f>
        <v/>
      </c>
      <c r="AH22" s="72" t="str">
        <f>IF($C22="","",IFERROR(VLOOKUP(CONCATENATE(AE$3,"-",$C22),'FO-GC-012'!$D$20:$H$109,5,0),""))</f>
        <v/>
      </c>
      <c r="AI22" s="69" t="str">
        <f>IF($C22="","",IFERROR(VLOOKUP(CONCATENATE(AI$3,"-",$C22),'FO-GC-012'!$D$20:$H$109,2,0),""))</f>
        <v/>
      </c>
      <c r="AJ22" s="70" t="str">
        <f>IF($C22="","",IFERROR(VLOOKUP(CONCATENATE(AI$3,"-",$C22),'FO-GC-012'!$D$20:$H$109,3,0),""))</f>
        <v/>
      </c>
      <c r="AK22" s="71" t="str">
        <f>IF($C22="","",IFERROR(VLOOKUP(CONCATENATE(AI$3,"-",$C22),'FO-GC-012'!$D$20:$H$109,4,0),""))</f>
        <v/>
      </c>
      <c r="AL22" s="72" t="str">
        <f>IF($C22="","",IFERROR(VLOOKUP(CONCATENATE(AI$3,"-",$C22),'FO-GC-012'!$D$20:$H$109,5,0),""))</f>
        <v/>
      </c>
      <c r="AM22" s="69" t="str">
        <f>IF($C22="","",IFERROR(VLOOKUP(CONCATENATE(AM$3,"-",$C22),'FO-GC-012'!$D$20:$H$109,2,0),""))</f>
        <v/>
      </c>
      <c r="AN22" s="70" t="str">
        <f>IF($C22="","",IFERROR(VLOOKUP(CONCATENATE(AM$3,"-",$C22),'FO-GC-012'!$D$20:$H$109,3,0),""))</f>
        <v/>
      </c>
      <c r="AO22" s="71" t="str">
        <f>IF($C22="","",IFERROR(VLOOKUP(CONCATENATE(AM$3,"-",$C22),'FO-GC-012'!$D$20:$H$109,4,0),""))</f>
        <v/>
      </c>
      <c r="AP22" s="72" t="str">
        <f>IF($C22="","",IFERROR(VLOOKUP(CONCATENATE(AM$3,"-",$C22),'FO-GC-012'!$D$20:$H$109,5,0),""))</f>
        <v/>
      </c>
      <c r="AQ22" s="69" t="str">
        <f>IF($C22="","",IFERROR(VLOOKUP(CONCATENATE(AQ$3,"-",$C22),'FO-GC-012'!$D$20:$H$109,2,0),""))</f>
        <v/>
      </c>
      <c r="AR22" s="70" t="str">
        <f>IF($C22="","",IFERROR(VLOOKUP(CONCATENATE(AQ$3,"-",$C22),'FO-GC-012'!$D$20:$H$109,3,0),""))</f>
        <v/>
      </c>
      <c r="AS22" s="71" t="str">
        <f>IF($C22="","",IFERROR(VLOOKUP(CONCATENATE(AQ$3,"-",$C22),'FO-GC-012'!$D$20:$H$109,4,0),""))</f>
        <v/>
      </c>
      <c r="AT22" s="72" t="str">
        <f>IF($C22="","",IFERROR(VLOOKUP(CONCATENATE(AQ$3,"-",$C22),'FO-GC-012'!$D$20:$H$109,5,0),""))</f>
        <v/>
      </c>
      <c r="AU22" s="69" t="str">
        <f>IF($C22="","",IFERROR(VLOOKUP(CONCATENATE(AU$3,"-",$C22),'FO-GC-012'!$D$20:$H$109,2,0),""))</f>
        <v/>
      </c>
      <c r="AV22" s="70" t="str">
        <f>IF($C22="","",IFERROR(VLOOKUP(CONCATENATE(AU$3,"-",$C22),'FO-GC-012'!$D$20:$H$109,3,0),""))</f>
        <v/>
      </c>
      <c r="AW22" s="71" t="str">
        <f>IF($C22="","",IFERROR(VLOOKUP(CONCATENATE(AU$3,"-",$C22),'FO-GC-012'!$D$20:$H$109,4,0),""))</f>
        <v/>
      </c>
      <c r="AX22" s="72" t="str">
        <f>IF($C22="","",IFERROR(VLOOKUP(CONCATENATE(AU$3,"-",$C22),'FO-GC-012'!$D$20:$H$109,5,0),""))</f>
        <v/>
      </c>
      <c r="AY22" s="69" t="str">
        <f>IF($C22="","",IFERROR(VLOOKUP(CONCATENATE(AY$3,"-",$C22),'FO-GC-012'!$D$20:$H$109,2,0),""))</f>
        <v/>
      </c>
      <c r="AZ22" s="70" t="str">
        <f>IF($C22="","",IFERROR(VLOOKUP(CONCATENATE(AY$3,"-",$C22),'FO-GC-012'!$D$20:$H$109,3,0),""))</f>
        <v/>
      </c>
      <c r="BA22" s="71" t="str">
        <f>IF($C22="","",IFERROR(VLOOKUP(CONCATENATE(AY$3,"-",$C22),'FO-GC-012'!$D$20:$H$109,4,0),""))</f>
        <v/>
      </c>
      <c r="BB22" s="72" t="str">
        <f>IF($C22="","",IFERROR(VLOOKUP(CONCATENATE(AY$3,"-",$C22),'FO-GC-012'!$D$20:$H$109,5,0),""))</f>
        <v/>
      </c>
      <c r="BC22" s="69" t="str">
        <f>IF($C22="","",IFERROR(VLOOKUP(CONCATENATE(BC$3,"-",$C22),'FO-GC-012'!$D$20:$H$109,2,0),""))</f>
        <v/>
      </c>
      <c r="BD22" s="70" t="str">
        <f>IF($C22="","",IFERROR(VLOOKUP(CONCATENATE(BC$3,"-",$C22),'FO-GC-012'!$D$20:$H$109,3,0),""))</f>
        <v/>
      </c>
      <c r="BE22" s="71" t="str">
        <f>IF($C22="","",IFERROR(VLOOKUP(CONCATENATE(BC$3,"-",$C22),'FO-GC-012'!$D$20:$H$109,4,0),""))</f>
        <v/>
      </c>
      <c r="BF22" s="72" t="str">
        <f>IF($C22="","",IFERROR(VLOOKUP(CONCATENATE(BC$3,"-",$C22),'FO-GC-012'!$D$20:$H$109,5,0),""))</f>
        <v/>
      </c>
      <c r="BG22" s="69" t="str">
        <f>IF($C22="","",IFERROR(VLOOKUP(CONCATENATE(BG$3,"-",$C22),'FO-GC-012'!$D$20:$H$109,2,0),""))</f>
        <v/>
      </c>
      <c r="BH22" s="70" t="str">
        <f>IF($C22="","",IFERROR(VLOOKUP(CONCATENATE(BG$3,"-",$C22),'FO-GC-012'!$D$20:$H$109,3,0),""))</f>
        <v/>
      </c>
      <c r="BI22" s="71" t="str">
        <f>IF($C22="","",IFERROR(VLOOKUP(CONCATENATE(BG$3,"-",$C22),'FO-GC-012'!$D$20:$H$109,4,0),""))</f>
        <v/>
      </c>
      <c r="BJ22" s="72" t="str">
        <f>IF($C22="","",IFERROR(VLOOKUP(CONCATENATE(BG$3,"-",$C22),'FO-GC-012'!$D$20:$H$109,5,0),""))</f>
        <v/>
      </c>
      <c r="BK22" s="69" t="str">
        <f>IF($C22="","",IFERROR(VLOOKUP(CONCATENATE(BK$3,"-",$C22),'FO-GC-012'!$D$20:$H$109,2,0),""))</f>
        <v/>
      </c>
      <c r="BL22" s="70" t="str">
        <f>IF($C22="","",IFERROR(VLOOKUP(CONCATENATE(BK$3,"-",$C22),'FO-GC-012'!$D$20:$H$109,3,0),""))</f>
        <v/>
      </c>
      <c r="BM22" s="71" t="str">
        <f>IF($C22="","",IFERROR(VLOOKUP(CONCATENATE(BK$3,"-",$C22),'FO-GC-012'!$D$20:$H$109,4,0),""))</f>
        <v/>
      </c>
      <c r="BN22" s="72" t="str">
        <f>IF($C22="","",IFERROR(VLOOKUP(CONCATENATE(BK$3,"-",$C22),'FO-GC-012'!$D$20:$H$109,5,0),""))</f>
        <v/>
      </c>
      <c r="BO22" s="69" t="str">
        <f>IF($C22="","",IFERROR(VLOOKUP(CONCATENATE(BO$3,"-",$C22),'FO-GC-012'!$D$20:$H$109,2,0),""))</f>
        <v/>
      </c>
      <c r="BP22" s="70" t="str">
        <f>IF($C22="","",IFERROR(VLOOKUP(CONCATENATE(BO$3,"-",$C22),'FO-GC-012'!$D$20:$H$109,3,0),""))</f>
        <v/>
      </c>
      <c r="BQ22" s="71" t="str">
        <f>IF($C22="","",IFERROR(VLOOKUP(CONCATENATE(BO$3,"-",$C22),'FO-GC-012'!$D$20:$H$109,4,0),""))</f>
        <v/>
      </c>
      <c r="BR22" s="72" t="str">
        <f>IF($C22="","",IFERROR(VLOOKUP(CONCATENATE(BO$3,"-",$C22),'FO-GC-012'!$D$20:$H$109,5,0),""))</f>
        <v/>
      </c>
      <c r="BS22" s="69" t="str">
        <f>IF($C22="","",IFERROR(VLOOKUP(CONCATENATE(BS$3,"-",$C22),'FO-GC-012'!$D$20:$H$109,2,0),""))</f>
        <v/>
      </c>
      <c r="BT22" s="70" t="str">
        <f>IF($C22="","",IFERROR(VLOOKUP(CONCATENATE(BS$3,"-",$C22),'FO-GC-012'!$D$20:$H$109,3,0),""))</f>
        <v/>
      </c>
      <c r="BU22" s="71" t="str">
        <f>IF($C22="","",IFERROR(VLOOKUP(CONCATENATE(BS$3,"-",$C22),'FO-GC-012'!$D$20:$H$109,4,0),""))</f>
        <v/>
      </c>
      <c r="BV22" s="72" t="str">
        <f>IF($C22="","",IFERROR(VLOOKUP(CONCATENATE(BS$3,"-",$C22),'FO-GC-012'!$D$20:$H$109,5,0),""))</f>
        <v/>
      </c>
      <c r="BW22" s="69" t="str">
        <f>IF($C22="","",IFERROR(VLOOKUP(CONCATENATE(BW$3,"-",$C22),'FO-GC-012'!$D$20:$H$109,2,0),""))</f>
        <v/>
      </c>
      <c r="BX22" s="70" t="str">
        <f>IF($C22="","",IFERROR(VLOOKUP(CONCATENATE(BW$3,"-",$C22),'FO-GC-012'!$D$20:$H$109,3,0),""))</f>
        <v/>
      </c>
      <c r="BY22" s="71" t="str">
        <f>IF($C22="","",IFERROR(VLOOKUP(CONCATENATE(BW$3,"-",$C22),'FO-GC-012'!$D$20:$H$109,4,0),""))</f>
        <v/>
      </c>
      <c r="BZ22" s="72" t="str">
        <f>IF($C22="","",IFERROR(VLOOKUP(CONCATENATE(BW$3,"-",$C22),'FO-GC-012'!$D$20:$H$109,5,0),""))</f>
        <v/>
      </c>
      <c r="CA22" s="69" t="str">
        <f>IF($C22="","",IFERROR(VLOOKUP(CONCATENATE(CA$3,"-",$C22),'FO-GC-012'!$D$20:$H$109,2,0),""))</f>
        <v/>
      </c>
      <c r="CB22" s="70" t="str">
        <f>IF($C22="","",IFERROR(VLOOKUP(CONCATENATE(CA$3,"-",$C22),'FO-GC-012'!$D$20:$H$109,3,0),""))</f>
        <v/>
      </c>
      <c r="CC22" s="71" t="str">
        <f>IF($C22="","",IFERROR(VLOOKUP(CONCATENATE(CA$3,"-",$C22),'FO-GC-012'!$D$20:$H$109,4,0),""))</f>
        <v/>
      </c>
      <c r="CD22" s="72" t="str">
        <f>IF($C22="","",IFERROR(VLOOKUP(CONCATENATE(CA$3,"-",$C22),'FO-GC-012'!$D$20:$H$109,5,0),""))</f>
        <v/>
      </c>
      <c r="CE22" s="69" t="str">
        <f>IF($C22="","",IFERROR(VLOOKUP(CONCATENATE(CE$3,"-",$C22),'FO-GC-012'!$D$20:$H$109,2,0),""))</f>
        <v/>
      </c>
      <c r="CF22" s="70" t="str">
        <f>IF($C22="","",IFERROR(VLOOKUP(CONCATENATE(CE$3,"-",$C22),'FO-GC-012'!$D$20:$H$109,3,0),""))</f>
        <v/>
      </c>
      <c r="CG22" s="71" t="str">
        <f>IF($C22="","",IFERROR(VLOOKUP(CONCATENATE(CE$3,"-",$C22),'FO-GC-012'!$D$20:$H$109,4,0),""))</f>
        <v/>
      </c>
      <c r="CH22" s="72" t="str">
        <f>IF($C22="","",IFERROR(VLOOKUP(CONCATENATE(CE$3,"-",$C22),'FO-GC-012'!$D$20:$H$109,5,0),""))</f>
        <v/>
      </c>
    </row>
    <row r="23" spans="2:86" ht="33.75" customHeight="1" x14ac:dyDescent="0.35">
      <c r="B23" s="83">
        <f>IF(C23="","",COUNTA(C$4:C23))</f>
        <v>20</v>
      </c>
      <c r="C23" s="82" t="str">
        <f>'Eq. Auditor'!B22</f>
        <v>*Yaqueline Rivera López</v>
      </c>
      <c r="D23" s="83">
        <f>IF(C23="","",COUNTIF('FO-GC-012'!A:A,CONCATENATE("P-",C23)))</f>
        <v>0</v>
      </c>
      <c r="E23" s="83">
        <f>IF(C23="","",COUNTIF('FO-GC-012'!A:A,CONCATENATE("A-",C23)))</f>
        <v>0</v>
      </c>
      <c r="F23" s="83">
        <f t="shared" si="3"/>
        <v>0</v>
      </c>
      <c r="G23" s="65" t="str">
        <f>IF($C23="","",IFERROR(VLOOKUP(CONCATENATE(G$3,"-",$C23),'FO-GC-012'!$D$20:$H$109,2,0),""))</f>
        <v/>
      </c>
      <c r="H23" s="66" t="str">
        <f>IF($C23="","",IFERROR(VLOOKUP(CONCATENATE(G$3,"-",$C23),'FO-GC-012'!$D$20:$H$109,3,0),""))</f>
        <v/>
      </c>
      <c r="I23" s="67" t="str">
        <f>IF($C23="","",IFERROR(VLOOKUP(CONCATENATE(G$3,"-",$C23),'FO-GC-012'!$D$20:$H$109,4,0),""))</f>
        <v/>
      </c>
      <c r="J23" s="68" t="str">
        <f>IF($C23="","",IFERROR(VLOOKUP(CONCATENATE(G$3,"-",$C23),'FO-GC-012'!$D$20:$H$109,5,0),""))</f>
        <v/>
      </c>
      <c r="K23" s="65" t="str">
        <f>IF($C23="","",IFERROR(VLOOKUP(CONCATENATE(K$3,"-",$C23),'FO-GC-012'!$D$20:$H$109,2,0),""))</f>
        <v/>
      </c>
      <c r="L23" s="66" t="str">
        <f>IF($C23="","",IFERROR(VLOOKUP(CONCATENATE(K$3,"-",$C23),'FO-GC-012'!$D$20:$H$109,3,0),""))</f>
        <v/>
      </c>
      <c r="M23" s="67" t="str">
        <f>IF($C23="","",IFERROR(VLOOKUP(CONCATENATE(K$3,"-",$C23),'FO-GC-012'!$D$20:$H$109,4,0),""))</f>
        <v/>
      </c>
      <c r="N23" s="68" t="str">
        <f>IF($C23="","",IFERROR(VLOOKUP(CONCATENATE(K$3,"-",$C23),'FO-GC-012'!$D$20:$H$109,5,0),""))</f>
        <v/>
      </c>
      <c r="O23" s="65" t="str">
        <f>IF($C23="","",IFERROR(VLOOKUP(CONCATENATE(O$3,"-",$C23),'FO-GC-012'!$D$20:$H$109,2,0),""))</f>
        <v/>
      </c>
      <c r="P23" s="66" t="str">
        <f>IF($C23="","",IFERROR(VLOOKUP(CONCATENATE(O$3,"-",$C23),'FO-GC-012'!$D$20:$H$109,3,0),""))</f>
        <v/>
      </c>
      <c r="Q23" s="67" t="str">
        <f>IF($C23="","",IFERROR(VLOOKUP(CONCATENATE(O$3,"-",$C23),'FO-GC-012'!$D$20:$H$109,4,0),""))</f>
        <v/>
      </c>
      <c r="R23" s="68" t="str">
        <f>IF($C23="","",IFERROR(VLOOKUP(CONCATENATE(O$3,"-",$C23),'FO-GC-012'!$D$20:$H$109,5,0),""))</f>
        <v/>
      </c>
      <c r="S23" s="65" t="str">
        <f>IF($C23="","",IFERROR(VLOOKUP(CONCATENATE(S$3,"-",$C23),'FO-GC-012'!$D$20:$H$109,2,0),""))</f>
        <v/>
      </c>
      <c r="T23" s="66" t="str">
        <f>IF($C23="","",IFERROR(VLOOKUP(CONCATENATE(S$3,"-",$C23),'FO-GC-012'!$D$20:$H$109,3,0),""))</f>
        <v/>
      </c>
      <c r="U23" s="67" t="str">
        <f>IF($C23="","",IFERROR(VLOOKUP(CONCATENATE(S$3,"-",$C23),'FO-GC-012'!$D$20:$H$109,4,0),""))</f>
        <v/>
      </c>
      <c r="V23" s="68" t="str">
        <f>IF($C23="","",IFERROR(VLOOKUP(CONCATENATE(S$3,"-",$C23),'FO-GC-012'!$D$20:$H$109,5,0),""))</f>
        <v/>
      </c>
      <c r="W23" s="65" t="str">
        <f>IF($C23="","",IFERROR(VLOOKUP(CONCATENATE(W$3,"-",$C23),'FO-GC-012'!$D$20:$H$109,2,0),""))</f>
        <v/>
      </c>
      <c r="X23" s="66" t="str">
        <f>IF($C23="","",IFERROR(VLOOKUP(CONCATENATE(W$3,"-",$C23),'FO-GC-012'!$D$20:$H$109,3,0),""))</f>
        <v/>
      </c>
      <c r="Y23" s="67" t="str">
        <f>IF($C23="","",IFERROR(VLOOKUP(CONCATENATE(W$3,"-",$C23),'FO-GC-012'!$D$20:$H$109,4,0),""))</f>
        <v/>
      </c>
      <c r="Z23" s="68" t="str">
        <f>IF($C23="","",IFERROR(VLOOKUP(CONCATENATE(W$3,"-",$C23),'FO-GC-012'!$D$20:$H$109,5,0),""))</f>
        <v/>
      </c>
      <c r="AA23" s="65" t="str">
        <f>IF($C23="","",IFERROR(VLOOKUP(CONCATENATE(AA$3,"-",$C23),'FO-GC-012'!$D$20:$H$109,2,0),""))</f>
        <v/>
      </c>
      <c r="AB23" s="66" t="str">
        <f>IF($C23="","",IFERROR(VLOOKUP(CONCATENATE(AA$3,"-",$C23),'FO-GC-012'!$D$20:$H$109,3,0),""))</f>
        <v/>
      </c>
      <c r="AC23" s="67" t="str">
        <f>IF($C23="","",IFERROR(VLOOKUP(CONCATENATE(AA$3,"-",$C23),'FO-GC-012'!$D$20:$H$109,4,0),""))</f>
        <v/>
      </c>
      <c r="AD23" s="68" t="str">
        <f>IF($C23="","",IFERROR(VLOOKUP(CONCATENATE(AA$3,"-",$C23),'FO-GC-012'!$D$20:$H$109,5,0),""))</f>
        <v/>
      </c>
      <c r="AE23" s="65" t="str">
        <f>IF($C23="","",IFERROR(VLOOKUP(CONCATENATE(AE$3,"-",$C23),'FO-GC-012'!$D$20:$H$109,2,0),""))</f>
        <v/>
      </c>
      <c r="AF23" s="66" t="str">
        <f>IF($C23="","",IFERROR(VLOOKUP(CONCATENATE(AE$3,"-",$C23),'FO-GC-012'!$D$20:$H$109,3,0),""))</f>
        <v/>
      </c>
      <c r="AG23" s="67" t="str">
        <f>IF($C23="","",IFERROR(VLOOKUP(CONCATENATE(AE$3,"-",$C23),'FO-GC-012'!$D$20:$H$109,4,0),""))</f>
        <v/>
      </c>
      <c r="AH23" s="68" t="str">
        <f>IF($C23="","",IFERROR(VLOOKUP(CONCATENATE(AE$3,"-",$C23),'FO-GC-012'!$D$20:$H$109,5,0),""))</f>
        <v/>
      </c>
      <c r="AI23" s="65" t="str">
        <f>IF($C23="","",IFERROR(VLOOKUP(CONCATENATE(AI$3,"-",$C23),'FO-GC-012'!$D$20:$H$109,2,0),""))</f>
        <v/>
      </c>
      <c r="AJ23" s="66" t="str">
        <f>IF($C23="","",IFERROR(VLOOKUP(CONCATENATE(AI$3,"-",$C23),'FO-GC-012'!$D$20:$H$109,3,0),""))</f>
        <v/>
      </c>
      <c r="AK23" s="67" t="str">
        <f>IF($C23="","",IFERROR(VLOOKUP(CONCATENATE(AI$3,"-",$C23),'FO-GC-012'!$D$20:$H$109,4,0),""))</f>
        <v/>
      </c>
      <c r="AL23" s="68" t="str">
        <f>IF($C23="","",IFERROR(VLOOKUP(CONCATENATE(AI$3,"-",$C23),'FO-GC-012'!$D$20:$H$109,5,0),""))</f>
        <v/>
      </c>
      <c r="AM23" s="65" t="str">
        <f>IF($C23="","",IFERROR(VLOOKUP(CONCATENATE(AM$3,"-",$C23),'FO-GC-012'!$D$20:$H$109,2,0),""))</f>
        <v/>
      </c>
      <c r="AN23" s="66" t="str">
        <f>IF($C23="","",IFERROR(VLOOKUP(CONCATENATE(AM$3,"-",$C23),'FO-GC-012'!$D$20:$H$109,3,0),""))</f>
        <v/>
      </c>
      <c r="AO23" s="67" t="str">
        <f>IF($C23="","",IFERROR(VLOOKUP(CONCATENATE(AM$3,"-",$C23),'FO-GC-012'!$D$20:$H$109,4,0),""))</f>
        <v/>
      </c>
      <c r="AP23" s="68" t="str">
        <f>IF($C23="","",IFERROR(VLOOKUP(CONCATENATE(AM$3,"-",$C23),'FO-GC-012'!$D$20:$H$109,5,0),""))</f>
        <v/>
      </c>
      <c r="AQ23" s="65" t="str">
        <f>IF($C23="","",IFERROR(VLOOKUP(CONCATENATE(AQ$3,"-",$C23),'FO-GC-012'!$D$20:$H$109,2,0),""))</f>
        <v/>
      </c>
      <c r="AR23" s="66" t="str">
        <f>IF($C23="","",IFERROR(VLOOKUP(CONCATENATE(AQ$3,"-",$C23),'FO-GC-012'!$D$20:$H$109,3,0),""))</f>
        <v/>
      </c>
      <c r="AS23" s="67" t="str">
        <f>IF($C23="","",IFERROR(VLOOKUP(CONCATENATE(AQ$3,"-",$C23),'FO-GC-012'!$D$20:$H$109,4,0),""))</f>
        <v/>
      </c>
      <c r="AT23" s="68" t="str">
        <f>IF($C23="","",IFERROR(VLOOKUP(CONCATENATE(AQ$3,"-",$C23),'FO-GC-012'!$D$20:$H$109,5,0),""))</f>
        <v/>
      </c>
      <c r="AU23" s="65" t="str">
        <f>IF($C23="","",IFERROR(VLOOKUP(CONCATENATE(AU$3,"-",$C23),'FO-GC-012'!$D$20:$H$109,2,0),""))</f>
        <v/>
      </c>
      <c r="AV23" s="66" t="str">
        <f>IF($C23="","",IFERROR(VLOOKUP(CONCATENATE(AU$3,"-",$C23),'FO-GC-012'!$D$20:$H$109,3,0),""))</f>
        <v/>
      </c>
      <c r="AW23" s="67" t="str">
        <f>IF($C23="","",IFERROR(VLOOKUP(CONCATENATE(AU$3,"-",$C23),'FO-GC-012'!$D$20:$H$109,4,0),""))</f>
        <v/>
      </c>
      <c r="AX23" s="68" t="str">
        <f>IF($C23="","",IFERROR(VLOOKUP(CONCATENATE(AU$3,"-",$C23),'FO-GC-012'!$D$20:$H$109,5,0),""))</f>
        <v/>
      </c>
      <c r="AY23" s="65" t="str">
        <f>IF($C23="","",IFERROR(VLOOKUP(CONCATENATE(AY$3,"-",$C23),'FO-GC-012'!$D$20:$H$109,2,0),""))</f>
        <v/>
      </c>
      <c r="AZ23" s="66" t="str">
        <f>IF($C23="","",IFERROR(VLOOKUP(CONCATENATE(AY$3,"-",$C23),'FO-GC-012'!$D$20:$H$109,3,0),""))</f>
        <v/>
      </c>
      <c r="BA23" s="67" t="str">
        <f>IF($C23="","",IFERROR(VLOOKUP(CONCATENATE(AY$3,"-",$C23),'FO-GC-012'!$D$20:$H$109,4,0),""))</f>
        <v/>
      </c>
      <c r="BB23" s="68" t="str">
        <f>IF($C23="","",IFERROR(VLOOKUP(CONCATENATE(AY$3,"-",$C23),'FO-GC-012'!$D$20:$H$109,5,0),""))</f>
        <v/>
      </c>
      <c r="BC23" s="65" t="str">
        <f>IF($C23="","",IFERROR(VLOOKUP(CONCATENATE(BC$3,"-",$C23),'FO-GC-012'!$D$20:$H$109,2,0),""))</f>
        <v/>
      </c>
      <c r="BD23" s="66" t="str">
        <f>IF($C23="","",IFERROR(VLOOKUP(CONCATENATE(BC$3,"-",$C23),'FO-GC-012'!$D$20:$H$109,3,0),""))</f>
        <v/>
      </c>
      <c r="BE23" s="67" t="str">
        <f>IF($C23="","",IFERROR(VLOOKUP(CONCATENATE(BC$3,"-",$C23),'FO-GC-012'!$D$20:$H$109,4,0),""))</f>
        <v/>
      </c>
      <c r="BF23" s="68" t="str">
        <f>IF($C23="","",IFERROR(VLOOKUP(CONCATENATE(BC$3,"-",$C23),'FO-GC-012'!$D$20:$H$109,5,0),""))</f>
        <v/>
      </c>
      <c r="BG23" s="65" t="str">
        <f>IF($C23="","",IFERROR(VLOOKUP(CONCATENATE(BG$3,"-",$C23),'FO-GC-012'!$D$20:$H$109,2,0),""))</f>
        <v/>
      </c>
      <c r="BH23" s="66" t="str">
        <f>IF($C23="","",IFERROR(VLOOKUP(CONCATENATE(BG$3,"-",$C23),'FO-GC-012'!$D$20:$H$109,3,0),""))</f>
        <v/>
      </c>
      <c r="BI23" s="67" t="str">
        <f>IF($C23="","",IFERROR(VLOOKUP(CONCATENATE(BG$3,"-",$C23),'FO-GC-012'!$D$20:$H$109,4,0),""))</f>
        <v/>
      </c>
      <c r="BJ23" s="68" t="str">
        <f>IF($C23="","",IFERROR(VLOOKUP(CONCATENATE(BG$3,"-",$C23),'FO-GC-012'!$D$20:$H$109,5,0),""))</f>
        <v/>
      </c>
      <c r="BK23" s="65" t="str">
        <f>IF($C23="","",IFERROR(VLOOKUP(CONCATENATE(BK$3,"-",$C23),'FO-GC-012'!$D$20:$H$109,2,0),""))</f>
        <v/>
      </c>
      <c r="BL23" s="66" t="str">
        <f>IF($C23="","",IFERROR(VLOOKUP(CONCATENATE(BK$3,"-",$C23),'FO-GC-012'!$D$20:$H$109,3,0),""))</f>
        <v/>
      </c>
      <c r="BM23" s="67" t="str">
        <f>IF($C23="","",IFERROR(VLOOKUP(CONCATENATE(BK$3,"-",$C23),'FO-GC-012'!$D$20:$H$109,4,0),""))</f>
        <v/>
      </c>
      <c r="BN23" s="68" t="str">
        <f>IF($C23="","",IFERROR(VLOOKUP(CONCATENATE(BK$3,"-",$C23),'FO-GC-012'!$D$20:$H$109,5,0),""))</f>
        <v/>
      </c>
      <c r="BO23" s="65" t="str">
        <f>IF($C23="","",IFERROR(VLOOKUP(CONCATENATE(BO$3,"-",$C23),'FO-GC-012'!$D$20:$H$109,2,0),""))</f>
        <v/>
      </c>
      <c r="BP23" s="66" t="str">
        <f>IF($C23="","",IFERROR(VLOOKUP(CONCATENATE(BO$3,"-",$C23),'FO-GC-012'!$D$20:$H$109,3,0),""))</f>
        <v/>
      </c>
      <c r="BQ23" s="67" t="str">
        <f>IF($C23="","",IFERROR(VLOOKUP(CONCATENATE(BO$3,"-",$C23),'FO-GC-012'!$D$20:$H$109,4,0),""))</f>
        <v/>
      </c>
      <c r="BR23" s="68" t="str">
        <f>IF($C23="","",IFERROR(VLOOKUP(CONCATENATE(BO$3,"-",$C23),'FO-GC-012'!$D$20:$H$109,5,0),""))</f>
        <v/>
      </c>
      <c r="BS23" s="65" t="str">
        <f>IF($C23="","",IFERROR(VLOOKUP(CONCATENATE(BS$3,"-",$C23),'FO-GC-012'!$D$20:$H$109,2,0),""))</f>
        <v/>
      </c>
      <c r="BT23" s="66" t="str">
        <f>IF($C23="","",IFERROR(VLOOKUP(CONCATENATE(BS$3,"-",$C23),'FO-GC-012'!$D$20:$H$109,3,0),""))</f>
        <v/>
      </c>
      <c r="BU23" s="67" t="str">
        <f>IF($C23="","",IFERROR(VLOOKUP(CONCATENATE(BS$3,"-",$C23),'FO-GC-012'!$D$20:$H$109,4,0),""))</f>
        <v/>
      </c>
      <c r="BV23" s="68" t="str">
        <f>IF($C23="","",IFERROR(VLOOKUP(CONCATENATE(BS$3,"-",$C23),'FO-GC-012'!$D$20:$H$109,5,0),""))</f>
        <v/>
      </c>
      <c r="BW23" s="65" t="str">
        <f>IF($C23="","",IFERROR(VLOOKUP(CONCATENATE(BW$3,"-",$C23),'FO-GC-012'!$D$20:$H$109,2,0),""))</f>
        <v/>
      </c>
      <c r="BX23" s="66" t="str">
        <f>IF($C23="","",IFERROR(VLOOKUP(CONCATENATE(BW$3,"-",$C23),'FO-GC-012'!$D$20:$H$109,3,0),""))</f>
        <v/>
      </c>
      <c r="BY23" s="67" t="str">
        <f>IF($C23="","",IFERROR(VLOOKUP(CONCATENATE(BW$3,"-",$C23),'FO-GC-012'!$D$20:$H$109,4,0),""))</f>
        <v/>
      </c>
      <c r="BZ23" s="68" t="str">
        <f>IF($C23="","",IFERROR(VLOOKUP(CONCATENATE(BW$3,"-",$C23),'FO-GC-012'!$D$20:$H$109,5,0),""))</f>
        <v/>
      </c>
      <c r="CA23" s="65" t="str">
        <f>IF($C23="","",IFERROR(VLOOKUP(CONCATENATE(CA$3,"-",$C23),'FO-GC-012'!$D$20:$H$109,2,0),""))</f>
        <v/>
      </c>
      <c r="CB23" s="66" t="str">
        <f>IF($C23="","",IFERROR(VLOOKUP(CONCATENATE(CA$3,"-",$C23),'FO-GC-012'!$D$20:$H$109,3,0),""))</f>
        <v/>
      </c>
      <c r="CC23" s="67" t="str">
        <f>IF($C23="","",IFERROR(VLOOKUP(CONCATENATE(CA$3,"-",$C23),'FO-GC-012'!$D$20:$H$109,4,0),""))</f>
        <v/>
      </c>
      <c r="CD23" s="68" t="str">
        <f>IF($C23="","",IFERROR(VLOOKUP(CONCATENATE(CA$3,"-",$C23),'FO-GC-012'!$D$20:$H$109,5,0),""))</f>
        <v/>
      </c>
      <c r="CE23" s="65" t="str">
        <f>IF($C23="","",IFERROR(VLOOKUP(CONCATENATE(CE$3,"-",$C23),'FO-GC-012'!$D$20:$H$109,2,0),""))</f>
        <v/>
      </c>
      <c r="CF23" s="66" t="str">
        <f>IF($C23="","",IFERROR(VLOOKUP(CONCATENATE(CE$3,"-",$C23),'FO-GC-012'!$D$20:$H$109,3,0),""))</f>
        <v/>
      </c>
      <c r="CG23" s="67" t="str">
        <f>IF($C23="","",IFERROR(VLOOKUP(CONCATENATE(CE$3,"-",$C23),'FO-GC-012'!$D$20:$H$109,4,0),""))</f>
        <v/>
      </c>
      <c r="CH23" s="68" t="str">
        <f>IF($C23="","",IFERROR(VLOOKUP(CONCATENATE(CE$3,"-",$C23),'FO-GC-012'!$D$20:$H$109,5,0),""))</f>
        <v/>
      </c>
    </row>
    <row r="24" spans="2:86" ht="33.75" customHeight="1" x14ac:dyDescent="0.35">
      <c r="B24" s="83">
        <f>IF(C24="","",COUNTA(C$4:C24))</f>
        <v>21</v>
      </c>
      <c r="C24" s="82" t="str">
        <f>'Eq. Auditor'!B23</f>
        <v>*Luisa Marcela Toro Medina</v>
      </c>
      <c r="D24" s="83">
        <f>IF(C24="","",COUNTIF('FO-GC-012'!A:A,CONCATENATE("P-",C24)))</f>
        <v>0</v>
      </c>
      <c r="E24" s="83">
        <f>IF(C24="","",COUNTIF('FO-GC-012'!A:A,CONCATENATE("A-",C24)))</f>
        <v>0</v>
      </c>
      <c r="F24" s="83">
        <f t="shared" si="3"/>
        <v>0</v>
      </c>
      <c r="G24" s="65" t="str">
        <f>IF($C24="","",IFERROR(VLOOKUP(CONCATENATE(G$3,"-",$C24),'FO-GC-012'!$D$20:$H$109,2,0),""))</f>
        <v/>
      </c>
      <c r="H24" s="66" t="str">
        <f>IF($C24="","",IFERROR(VLOOKUP(CONCATENATE(G$3,"-",$C24),'FO-GC-012'!$D$20:$H$109,3,0),""))</f>
        <v/>
      </c>
      <c r="I24" s="67" t="str">
        <f>IF($C24="","",IFERROR(VLOOKUP(CONCATENATE(G$3,"-",$C24),'FO-GC-012'!$D$20:$H$109,4,0),""))</f>
        <v/>
      </c>
      <c r="J24" s="68" t="str">
        <f>IF($C24="","",IFERROR(VLOOKUP(CONCATENATE(G$3,"-",$C24),'FO-GC-012'!$D$20:$H$109,5,0),""))</f>
        <v/>
      </c>
      <c r="K24" s="65" t="str">
        <f>IF($C24="","",IFERROR(VLOOKUP(CONCATENATE(K$3,"-",$C24),'FO-GC-012'!$D$20:$H$109,2,0),""))</f>
        <v/>
      </c>
      <c r="L24" s="66" t="str">
        <f>IF($C24="","",IFERROR(VLOOKUP(CONCATENATE(K$3,"-",$C24),'FO-GC-012'!$D$20:$H$109,3,0),""))</f>
        <v/>
      </c>
      <c r="M24" s="67" t="str">
        <f>IF($C24="","",IFERROR(VLOOKUP(CONCATENATE(K$3,"-",$C24),'FO-GC-012'!$D$20:$H$109,4,0),""))</f>
        <v/>
      </c>
      <c r="N24" s="68" t="str">
        <f>IF($C24="","",IFERROR(VLOOKUP(CONCATENATE(K$3,"-",$C24),'FO-GC-012'!$D$20:$H$109,5,0),""))</f>
        <v/>
      </c>
      <c r="O24" s="65" t="str">
        <f>IF($C24="","",IFERROR(VLOOKUP(CONCATENATE(O$3,"-",$C24),'FO-GC-012'!$D$20:$H$109,2,0),""))</f>
        <v/>
      </c>
      <c r="P24" s="66" t="str">
        <f>IF($C24="","",IFERROR(VLOOKUP(CONCATENATE(O$3,"-",$C24),'FO-GC-012'!$D$20:$H$109,3,0),""))</f>
        <v/>
      </c>
      <c r="Q24" s="67" t="str">
        <f>IF($C24="","",IFERROR(VLOOKUP(CONCATENATE(O$3,"-",$C24),'FO-GC-012'!$D$20:$H$109,4,0),""))</f>
        <v/>
      </c>
      <c r="R24" s="68" t="str">
        <f>IF($C24="","",IFERROR(VLOOKUP(CONCATENATE(O$3,"-",$C24),'FO-GC-012'!$D$20:$H$109,5,0),""))</f>
        <v/>
      </c>
      <c r="S24" s="65" t="str">
        <f>IF($C24="","",IFERROR(VLOOKUP(CONCATENATE(S$3,"-",$C24),'FO-GC-012'!$D$20:$H$109,2,0),""))</f>
        <v/>
      </c>
      <c r="T24" s="66" t="str">
        <f>IF($C24="","",IFERROR(VLOOKUP(CONCATENATE(S$3,"-",$C24),'FO-GC-012'!$D$20:$H$109,3,0),""))</f>
        <v/>
      </c>
      <c r="U24" s="67" t="str">
        <f>IF($C24="","",IFERROR(VLOOKUP(CONCATENATE(S$3,"-",$C24),'FO-GC-012'!$D$20:$H$109,4,0),""))</f>
        <v/>
      </c>
      <c r="V24" s="68" t="str">
        <f>IF($C24="","",IFERROR(VLOOKUP(CONCATENATE(S$3,"-",$C24),'FO-GC-012'!$D$20:$H$109,5,0),""))</f>
        <v/>
      </c>
      <c r="W24" s="65" t="str">
        <f>IF($C24="","",IFERROR(VLOOKUP(CONCATENATE(W$3,"-",$C24),'FO-GC-012'!$D$20:$H$109,2,0),""))</f>
        <v/>
      </c>
      <c r="X24" s="66" t="str">
        <f>IF($C24="","",IFERROR(VLOOKUP(CONCATENATE(W$3,"-",$C24),'FO-GC-012'!$D$20:$H$109,3,0),""))</f>
        <v/>
      </c>
      <c r="Y24" s="67" t="str">
        <f>IF($C24="","",IFERROR(VLOOKUP(CONCATENATE(W$3,"-",$C24),'FO-GC-012'!$D$20:$H$109,4,0),""))</f>
        <v/>
      </c>
      <c r="Z24" s="68" t="str">
        <f>IF($C24="","",IFERROR(VLOOKUP(CONCATENATE(W$3,"-",$C24),'FO-GC-012'!$D$20:$H$109,5,0),""))</f>
        <v/>
      </c>
      <c r="AA24" s="65" t="str">
        <f>IF($C24="","",IFERROR(VLOOKUP(CONCATENATE(AA$3,"-",$C24),'FO-GC-012'!$D$20:$H$109,2,0),""))</f>
        <v/>
      </c>
      <c r="AB24" s="66" t="str">
        <f>IF($C24="","",IFERROR(VLOOKUP(CONCATENATE(AA$3,"-",$C24),'FO-GC-012'!$D$20:$H$109,3,0),""))</f>
        <v/>
      </c>
      <c r="AC24" s="67" t="str">
        <f>IF($C24="","",IFERROR(VLOOKUP(CONCATENATE(AA$3,"-",$C24),'FO-GC-012'!$D$20:$H$109,4,0),""))</f>
        <v/>
      </c>
      <c r="AD24" s="68" t="str">
        <f>IF($C24="","",IFERROR(VLOOKUP(CONCATENATE(AA$3,"-",$C24),'FO-GC-012'!$D$20:$H$109,5,0),""))</f>
        <v/>
      </c>
      <c r="AE24" s="65" t="str">
        <f>IF($C24="","",IFERROR(VLOOKUP(CONCATENATE(AE$3,"-",$C24),'FO-GC-012'!$D$20:$H$109,2,0),""))</f>
        <v/>
      </c>
      <c r="AF24" s="66" t="str">
        <f>IF($C24="","",IFERROR(VLOOKUP(CONCATENATE(AE$3,"-",$C24),'FO-GC-012'!$D$20:$H$109,3,0),""))</f>
        <v/>
      </c>
      <c r="AG24" s="67" t="str">
        <f>IF($C24="","",IFERROR(VLOOKUP(CONCATENATE(AE$3,"-",$C24),'FO-GC-012'!$D$20:$H$109,4,0),""))</f>
        <v/>
      </c>
      <c r="AH24" s="68" t="str">
        <f>IF($C24="","",IFERROR(VLOOKUP(CONCATENATE(AE$3,"-",$C24),'FO-GC-012'!$D$20:$H$109,5,0),""))</f>
        <v/>
      </c>
      <c r="AI24" s="65" t="str">
        <f>IF($C24="","",IFERROR(VLOOKUP(CONCATENATE(AI$3,"-",$C24),'FO-GC-012'!$D$20:$H$109,2,0),""))</f>
        <v/>
      </c>
      <c r="AJ24" s="66" t="str">
        <f>IF($C24="","",IFERROR(VLOOKUP(CONCATENATE(AI$3,"-",$C24),'FO-GC-012'!$D$20:$H$109,3,0),""))</f>
        <v/>
      </c>
      <c r="AK24" s="67" t="str">
        <f>IF($C24="","",IFERROR(VLOOKUP(CONCATENATE(AI$3,"-",$C24),'FO-GC-012'!$D$20:$H$109,4,0),""))</f>
        <v/>
      </c>
      <c r="AL24" s="68" t="str">
        <f>IF($C24="","",IFERROR(VLOOKUP(CONCATENATE(AI$3,"-",$C24),'FO-GC-012'!$D$20:$H$109,5,0),""))</f>
        <v/>
      </c>
      <c r="AM24" s="65" t="str">
        <f>IF($C24="","",IFERROR(VLOOKUP(CONCATENATE(AM$3,"-",$C24),'FO-GC-012'!$D$20:$H$109,2,0),""))</f>
        <v/>
      </c>
      <c r="AN24" s="66" t="str">
        <f>IF($C24="","",IFERROR(VLOOKUP(CONCATENATE(AM$3,"-",$C24),'FO-GC-012'!$D$20:$H$109,3,0),""))</f>
        <v/>
      </c>
      <c r="AO24" s="67" t="str">
        <f>IF($C24="","",IFERROR(VLOOKUP(CONCATENATE(AM$3,"-",$C24),'FO-GC-012'!$D$20:$H$109,4,0),""))</f>
        <v/>
      </c>
      <c r="AP24" s="68" t="str">
        <f>IF($C24="","",IFERROR(VLOOKUP(CONCATENATE(AM$3,"-",$C24),'FO-GC-012'!$D$20:$H$109,5,0),""))</f>
        <v/>
      </c>
      <c r="AQ24" s="65" t="str">
        <f>IF($C24="","",IFERROR(VLOOKUP(CONCATENATE(AQ$3,"-",$C24),'FO-GC-012'!$D$20:$H$109,2,0),""))</f>
        <v/>
      </c>
      <c r="AR24" s="66" t="str">
        <f>IF($C24="","",IFERROR(VLOOKUP(CONCATENATE(AQ$3,"-",$C24),'FO-GC-012'!$D$20:$H$109,3,0),""))</f>
        <v/>
      </c>
      <c r="AS24" s="67" t="str">
        <f>IF($C24="","",IFERROR(VLOOKUP(CONCATENATE(AQ$3,"-",$C24),'FO-GC-012'!$D$20:$H$109,4,0),""))</f>
        <v/>
      </c>
      <c r="AT24" s="68" t="str">
        <f>IF($C24="","",IFERROR(VLOOKUP(CONCATENATE(AQ$3,"-",$C24),'FO-GC-012'!$D$20:$H$109,5,0),""))</f>
        <v/>
      </c>
      <c r="AU24" s="65" t="str">
        <f>IF($C24="","",IFERROR(VLOOKUP(CONCATENATE(AU$3,"-",$C24),'FO-GC-012'!$D$20:$H$109,2,0),""))</f>
        <v/>
      </c>
      <c r="AV24" s="66" t="str">
        <f>IF($C24="","",IFERROR(VLOOKUP(CONCATENATE(AU$3,"-",$C24),'FO-GC-012'!$D$20:$H$109,3,0),""))</f>
        <v/>
      </c>
      <c r="AW24" s="67" t="str">
        <f>IF($C24="","",IFERROR(VLOOKUP(CONCATENATE(AU$3,"-",$C24),'FO-GC-012'!$D$20:$H$109,4,0),""))</f>
        <v/>
      </c>
      <c r="AX24" s="68" t="str">
        <f>IF($C24="","",IFERROR(VLOOKUP(CONCATENATE(AU$3,"-",$C24),'FO-GC-012'!$D$20:$H$109,5,0),""))</f>
        <v/>
      </c>
      <c r="AY24" s="65" t="str">
        <f>IF($C24="","",IFERROR(VLOOKUP(CONCATENATE(AY$3,"-",$C24),'FO-GC-012'!$D$20:$H$109,2,0),""))</f>
        <v/>
      </c>
      <c r="AZ24" s="66" t="str">
        <f>IF($C24="","",IFERROR(VLOOKUP(CONCATENATE(AY$3,"-",$C24),'FO-GC-012'!$D$20:$H$109,3,0),""))</f>
        <v/>
      </c>
      <c r="BA24" s="67" t="str">
        <f>IF($C24="","",IFERROR(VLOOKUP(CONCATENATE(AY$3,"-",$C24),'FO-GC-012'!$D$20:$H$109,4,0),""))</f>
        <v/>
      </c>
      <c r="BB24" s="68" t="str">
        <f>IF($C24="","",IFERROR(VLOOKUP(CONCATENATE(AY$3,"-",$C24),'FO-GC-012'!$D$20:$H$109,5,0),""))</f>
        <v/>
      </c>
      <c r="BC24" s="65" t="str">
        <f>IF($C24="","",IFERROR(VLOOKUP(CONCATENATE(BC$3,"-",$C24),'FO-GC-012'!$D$20:$H$109,2,0),""))</f>
        <v/>
      </c>
      <c r="BD24" s="66" t="str">
        <f>IF($C24="","",IFERROR(VLOOKUP(CONCATENATE(BC$3,"-",$C24),'FO-GC-012'!$D$20:$H$109,3,0),""))</f>
        <v/>
      </c>
      <c r="BE24" s="67" t="str">
        <f>IF($C24="","",IFERROR(VLOOKUP(CONCATENATE(BC$3,"-",$C24),'FO-GC-012'!$D$20:$H$109,4,0),""))</f>
        <v/>
      </c>
      <c r="BF24" s="68" t="str">
        <f>IF($C24="","",IFERROR(VLOOKUP(CONCATENATE(BC$3,"-",$C24),'FO-GC-012'!$D$20:$H$109,5,0),""))</f>
        <v/>
      </c>
      <c r="BG24" s="65" t="str">
        <f>IF($C24="","",IFERROR(VLOOKUP(CONCATENATE(BG$3,"-",$C24),'FO-GC-012'!$D$20:$H$109,2,0),""))</f>
        <v/>
      </c>
      <c r="BH24" s="66" t="str">
        <f>IF($C24="","",IFERROR(VLOOKUP(CONCATENATE(BG$3,"-",$C24),'FO-GC-012'!$D$20:$H$109,3,0),""))</f>
        <v/>
      </c>
      <c r="BI24" s="67" t="str">
        <f>IF($C24="","",IFERROR(VLOOKUP(CONCATENATE(BG$3,"-",$C24),'FO-GC-012'!$D$20:$H$109,4,0),""))</f>
        <v/>
      </c>
      <c r="BJ24" s="68" t="str">
        <f>IF($C24="","",IFERROR(VLOOKUP(CONCATENATE(BG$3,"-",$C24),'FO-GC-012'!$D$20:$H$109,5,0),""))</f>
        <v/>
      </c>
      <c r="BK24" s="65" t="str">
        <f>IF($C24="","",IFERROR(VLOOKUP(CONCATENATE(BK$3,"-",$C24),'FO-GC-012'!$D$20:$H$109,2,0),""))</f>
        <v/>
      </c>
      <c r="BL24" s="66" t="str">
        <f>IF($C24="","",IFERROR(VLOOKUP(CONCATENATE(BK$3,"-",$C24),'FO-GC-012'!$D$20:$H$109,3,0),""))</f>
        <v/>
      </c>
      <c r="BM24" s="67" t="str">
        <f>IF($C24="","",IFERROR(VLOOKUP(CONCATENATE(BK$3,"-",$C24),'FO-GC-012'!$D$20:$H$109,4,0),""))</f>
        <v/>
      </c>
      <c r="BN24" s="68" t="str">
        <f>IF($C24="","",IFERROR(VLOOKUP(CONCATENATE(BK$3,"-",$C24),'FO-GC-012'!$D$20:$H$109,5,0),""))</f>
        <v/>
      </c>
      <c r="BO24" s="65" t="str">
        <f>IF($C24="","",IFERROR(VLOOKUP(CONCATENATE(BO$3,"-",$C24),'FO-GC-012'!$D$20:$H$109,2,0),""))</f>
        <v/>
      </c>
      <c r="BP24" s="66" t="str">
        <f>IF($C24="","",IFERROR(VLOOKUP(CONCATENATE(BO$3,"-",$C24),'FO-GC-012'!$D$20:$H$109,3,0),""))</f>
        <v/>
      </c>
      <c r="BQ24" s="67" t="str">
        <f>IF($C24="","",IFERROR(VLOOKUP(CONCATENATE(BO$3,"-",$C24),'FO-GC-012'!$D$20:$H$109,4,0),""))</f>
        <v/>
      </c>
      <c r="BR24" s="68" t="str">
        <f>IF($C24="","",IFERROR(VLOOKUP(CONCATENATE(BO$3,"-",$C24),'FO-GC-012'!$D$20:$H$109,5,0),""))</f>
        <v/>
      </c>
      <c r="BS24" s="65" t="str">
        <f>IF($C24="","",IFERROR(VLOOKUP(CONCATENATE(BS$3,"-",$C24),'FO-GC-012'!$D$20:$H$109,2,0),""))</f>
        <v/>
      </c>
      <c r="BT24" s="66" t="str">
        <f>IF($C24="","",IFERROR(VLOOKUP(CONCATENATE(BS$3,"-",$C24),'FO-GC-012'!$D$20:$H$109,3,0),""))</f>
        <v/>
      </c>
      <c r="BU24" s="67" t="str">
        <f>IF($C24="","",IFERROR(VLOOKUP(CONCATENATE(BS$3,"-",$C24),'FO-GC-012'!$D$20:$H$109,4,0),""))</f>
        <v/>
      </c>
      <c r="BV24" s="68" t="str">
        <f>IF($C24="","",IFERROR(VLOOKUP(CONCATENATE(BS$3,"-",$C24),'FO-GC-012'!$D$20:$H$109,5,0),""))</f>
        <v/>
      </c>
      <c r="BW24" s="65" t="str">
        <f>IF($C24="","",IFERROR(VLOOKUP(CONCATENATE(BW$3,"-",$C24),'FO-GC-012'!$D$20:$H$109,2,0),""))</f>
        <v/>
      </c>
      <c r="BX24" s="66" t="str">
        <f>IF($C24="","",IFERROR(VLOOKUP(CONCATENATE(BW$3,"-",$C24),'FO-GC-012'!$D$20:$H$109,3,0),""))</f>
        <v/>
      </c>
      <c r="BY24" s="67" t="str">
        <f>IF($C24="","",IFERROR(VLOOKUP(CONCATENATE(BW$3,"-",$C24),'FO-GC-012'!$D$20:$H$109,4,0),""))</f>
        <v/>
      </c>
      <c r="BZ24" s="68" t="str">
        <f>IF($C24="","",IFERROR(VLOOKUP(CONCATENATE(BW$3,"-",$C24),'FO-GC-012'!$D$20:$H$109,5,0),""))</f>
        <v/>
      </c>
      <c r="CA24" s="65" t="str">
        <f>IF($C24="","",IFERROR(VLOOKUP(CONCATENATE(CA$3,"-",$C24),'FO-GC-012'!$D$20:$H$109,2,0),""))</f>
        <v/>
      </c>
      <c r="CB24" s="66" t="str">
        <f>IF($C24="","",IFERROR(VLOOKUP(CONCATENATE(CA$3,"-",$C24),'FO-GC-012'!$D$20:$H$109,3,0),""))</f>
        <v/>
      </c>
      <c r="CC24" s="67" t="str">
        <f>IF($C24="","",IFERROR(VLOOKUP(CONCATENATE(CA$3,"-",$C24),'FO-GC-012'!$D$20:$H$109,4,0),""))</f>
        <v/>
      </c>
      <c r="CD24" s="68" t="str">
        <f>IF($C24="","",IFERROR(VLOOKUP(CONCATENATE(CA$3,"-",$C24),'FO-GC-012'!$D$20:$H$109,5,0),""))</f>
        <v/>
      </c>
      <c r="CE24" s="65" t="str">
        <f>IF($C24="","",IFERROR(VLOOKUP(CONCATENATE(CE$3,"-",$C24),'FO-GC-012'!$D$20:$H$109,2,0),""))</f>
        <v/>
      </c>
      <c r="CF24" s="66" t="str">
        <f>IF($C24="","",IFERROR(VLOOKUP(CONCATENATE(CE$3,"-",$C24),'FO-GC-012'!$D$20:$H$109,3,0),""))</f>
        <v/>
      </c>
      <c r="CG24" s="67" t="str">
        <f>IF($C24="","",IFERROR(VLOOKUP(CONCATENATE(CE$3,"-",$C24),'FO-GC-012'!$D$20:$H$109,4,0),""))</f>
        <v/>
      </c>
      <c r="CH24" s="68" t="str">
        <f>IF($C24="","",IFERROR(VLOOKUP(CONCATENATE(CE$3,"-",$C24),'FO-GC-012'!$D$20:$H$109,5,0),""))</f>
        <v/>
      </c>
    </row>
    <row r="25" spans="2:86" ht="33.75" customHeight="1" x14ac:dyDescent="0.35">
      <c r="B25" s="83">
        <f>IF(C25="","",COUNTA(C$4:C25))</f>
        <v>22</v>
      </c>
      <c r="C25" s="82" t="str">
        <f>'Eq. Auditor'!B24</f>
        <v>Jeferson Esteban Cordoba Molano</v>
      </c>
      <c r="D25" s="83">
        <f>IF(C25="","",COUNTIF('FO-GC-012'!A:A,CONCATENATE("P-",C25)))</f>
        <v>0</v>
      </c>
      <c r="E25" s="83">
        <f>IF(C25="","",COUNTIF('FO-GC-012'!A:A,CONCATENATE("A-",C25)))</f>
        <v>0</v>
      </c>
      <c r="F25" s="83">
        <f t="shared" si="3"/>
        <v>0</v>
      </c>
      <c r="G25" s="69" t="str">
        <f>IF($C25="","",IFERROR(VLOOKUP(CONCATENATE(G$3,"-",$C25),'FO-GC-012'!$D$20:$H$109,2,0),""))</f>
        <v/>
      </c>
      <c r="H25" s="70" t="str">
        <f>IF($C25="","",IFERROR(VLOOKUP(CONCATENATE(G$3,"-",$C25),'FO-GC-012'!$D$20:$H$109,3,0),""))</f>
        <v/>
      </c>
      <c r="I25" s="71" t="str">
        <f>IF($C25="","",IFERROR(VLOOKUP(CONCATENATE(G$3,"-",$C25),'FO-GC-012'!$D$20:$H$109,4,0),""))</f>
        <v/>
      </c>
      <c r="J25" s="72" t="str">
        <f>IF($C25="","",IFERROR(VLOOKUP(CONCATENATE(G$3,"-",$C25),'FO-GC-012'!$D$20:$H$109,5,0),""))</f>
        <v/>
      </c>
      <c r="K25" s="69" t="str">
        <f>IF($C25="","",IFERROR(VLOOKUP(CONCATENATE(K$3,"-",$C25),'FO-GC-012'!$D$20:$H$109,2,0),""))</f>
        <v/>
      </c>
      <c r="L25" s="70" t="str">
        <f>IF($C25="","",IFERROR(VLOOKUP(CONCATENATE(K$3,"-",$C25),'FO-GC-012'!$D$20:$H$109,3,0),""))</f>
        <v/>
      </c>
      <c r="M25" s="71" t="str">
        <f>IF($C25="","",IFERROR(VLOOKUP(CONCATENATE(K$3,"-",$C25),'FO-GC-012'!$D$20:$H$109,4,0),""))</f>
        <v/>
      </c>
      <c r="N25" s="72" t="str">
        <f>IF($C25="","",IFERROR(VLOOKUP(CONCATENATE(K$3,"-",$C25),'FO-GC-012'!$D$20:$H$109,5,0),""))</f>
        <v/>
      </c>
      <c r="O25" s="69" t="str">
        <f>IF($C25="","",IFERROR(VLOOKUP(CONCATENATE(O$3,"-",$C25),'FO-GC-012'!$D$20:$H$109,2,0),""))</f>
        <v/>
      </c>
      <c r="P25" s="70" t="str">
        <f>IF($C25="","",IFERROR(VLOOKUP(CONCATENATE(O$3,"-",$C25),'FO-GC-012'!$D$20:$H$109,3,0),""))</f>
        <v/>
      </c>
      <c r="Q25" s="71" t="str">
        <f>IF($C25="","",IFERROR(VLOOKUP(CONCATENATE(O$3,"-",$C25),'FO-GC-012'!$D$20:$H$109,4,0),""))</f>
        <v/>
      </c>
      <c r="R25" s="72" t="str">
        <f>IF($C25="","",IFERROR(VLOOKUP(CONCATENATE(O$3,"-",$C25),'FO-GC-012'!$D$20:$H$109,5,0),""))</f>
        <v/>
      </c>
      <c r="S25" s="69" t="str">
        <f>IF($C25="","",IFERROR(VLOOKUP(CONCATENATE(S$3,"-",$C25),'FO-GC-012'!$D$20:$H$109,2,0),""))</f>
        <v/>
      </c>
      <c r="T25" s="70" t="str">
        <f>IF($C25="","",IFERROR(VLOOKUP(CONCATENATE(S$3,"-",$C25),'FO-GC-012'!$D$20:$H$109,3,0),""))</f>
        <v/>
      </c>
      <c r="U25" s="71" t="str">
        <f>IF($C25="","",IFERROR(VLOOKUP(CONCATENATE(S$3,"-",$C25),'FO-GC-012'!$D$20:$H$109,4,0),""))</f>
        <v/>
      </c>
      <c r="V25" s="72" t="str">
        <f>IF($C25="","",IFERROR(VLOOKUP(CONCATENATE(S$3,"-",$C25),'FO-GC-012'!$D$20:$H$109,5,0),""))</f>
        <v/>
      </c>
      <c r="W25" s="69" t="str">
        <f>IF($C25="","",IFERROR(VLOOKUP(CONCATENATE(W$3,"-",$C25),'FO-GC-012'!$D$20:$H$109,2,0),""))</f>
        <v/>
      </c>
      <c r="X25" s="70" t="str">
        <f>IF($C25="","",IFERROR(VLOOKUP(CONCATENATE(W$3,"-",$C25),'FO-GC-012'!$D$20:$H$109,3,0),""))</f>
        <v/>
      </c>
      <c r="Y25" s="71" t="str">
        <f>IF($C25="","",IFERROR(VLOOKUP(CONCATENATE(W$3,"-",$C25),'FO-GC-012'!$D$20:$H$109,4,0),""))</f>
        <v/>
      </c>
      <c r="Z25" s="72" t="str">
        <f>IF($C25="","",IFERROR(VLOOKUP(CONCATENATE(W$3,"-",$C25),'FO-GC-012'!$D$20:$H$109,5,0),""))</f>
        <v/>
      </c>
      <c r="AA25" s="69" t="str">
        <f>IF($C25="","",IFERROR(VLOOKUP(CONCATENATE(AA$3,"-",$C25),'FO-GC-012'!$D$20:$H$109,2,0),""))</f>
        <v/>
      </c>
      <c r="AB25" s="70" t="str">
        <f>IF($C25="","",IFERROR(VLOOKUP(CONCATENATE(AA$3,"-",$C25),'FO-GC-012'!$D$20:$H$109,3,0),""))</f>
        <v/>
      </c>
      <c r="AC25" s="71" t="str">
        <f>IF($C25="","",IFERROR(VLOOKUP(CONCATENATE(AA$3,"-",$C25),'FO-GC-012'!$D$20:$H$109,4,0),""))</f>
        <v/>
      </c>
      <c r="AD25" s="72" t="str">
        <f>IF($C25="","",IFERROR(VLOOKUP(CONCATENATE(AA$3,"-",$C25),'FO-GC-012'!$D$20:$H$109,5,0),""))</f>
        <v/>
      </c>
      <c r="AE25" s="69" t="str">
        <f>IF($C25="","",IFERROR(VLOOKUP(CONCATENATE(AE$3,"-",$C25),'FO-GC-012'!$D$20:$H$109,2,0),""))</f>
        <v/>
      </c>
      <c r="AF25" s="70" t="str">
        <f>IF($C25="","",IFERROR(VLOOKUP(CONCATENATE(AE$3,"-",$C25),'FO-GC-012'!$D$20:$H$109,3,0),""))</f>
        <v/>
      </c>
      <c r="AG25" s="71" t="str">
        <f>IF($C25="","",IFERROR(VLOOKUP(CONCATENATE(AE$3,"-",$C25),'FO-GC-012'!$D$20:$H$109,4,0),""))</f>
        <v/>
      </c>
      <c r="AH25" s="72" t="str">
        <f>IF($C25="","",IFERROR(VLOOKUP(CONCATENATE(AE$3,"-",$C25),'FO-GC-012'!$D$20:$H$109,5,0),""))</f>
        <v/>
      </c>
      <c r="AI25" s="69" t="str">
        <f>IF($C25="","",IFERROR(VLOOKUP(CONCATENATE(AI$3,"-",$C25),'FO-GC-012'!$D$20:$H$109,2,0),""))</f>
        <v/>
      </c>
      <c r="AJ25" s="70" t="str">
        <f>IF($C25="","",IFERROR(VLOOKUP(CONCATENATE(AI$3,"-",$C25),'FO-GC-012'!$D$20:$H$109,3,0),""))</f>
        <v/>
      </c>
      <c r="AK25" s="71" t="str">
        <f>IF($C25="","",IFERROR(VLOOKUP(CONCATENATE(AI$3,"-",$C25),'FO-GC-012'!$D$20:$H$109,4,0),""))</f>
        <v/>
      </c>
      <c r="AL25" s="72" t="str">
        <f>IF($C25="","",IFERROR(VLOOKUP(CONCATENATE(AI$3,"-",$C25),'FO-GC-012'!$D$20:$H$109,5,0),""))</f>
        <v/>
      </c>
      <c r="AM25" s="69" t="str">
        <f>IF($C25="","",IFERROR(VLOOKUP(CONCATENATE(AM$3,"-",$C25),'FO-GC-012'!$D$20:$H$109,2,0),""))</f>
        <v/>
      </c>
      <c r="AN25" s="70" t="str">
        <f>IF($C25="","",IFERROR(VLOOKUP(CONCATENATE(AM$3,"-",$C25),'FO-GC-012'!$D$20:$H$109,3,0),""))</f>
        <v/>
      </c>
      <c r="AO25" s="71" t="str">
        <f>IF($C25="","",IFERROR(VLOOKUP(CONCATENATE(AM$3,"-",$C25),'FO-GC-012'!$D$20:$H$109,4,0),""))</f>
        <v/>
      </c>
      <c r="AP25" s="72" t="str">
        <f>IF($C25="","",IFERROR(VLOOKUP(CONCATENATE(AM$3,"-",$C25),'FO-GC-012'!$D$20:$H$109,5,0),""))</f>
        <v/>
      </c>
      <c r="AQ25" s="69" t="str">
        <f>IF($C25="","",IFERROR(VLOOKUP(CONCATENATE(AQ$3,"-",$C25),'FO-GC-012'!$D$20:$H$109,2,0),""))</f>
        <v/>
      </c>
      <c r="AR25" s="70" t="str">
        <f>IF($C25="","",IFERROR(VLOOKUP(CONCATENATE(AQ$3,"-",$C25),'FO-GC-012'!$D$20:$H$109,3,0),""))</f>
        <v/>
      </c>
      <c r="AS25" s="71" t="str">
        <f>IF($C25="","",IFERROR(VLOOKUP(CONCATENATE(AQ$3,"-",$C25),'FO-GC-012'!$D$20:$H$109,4,0),""))</f>
        <v/>
      </c>
      <c r="AT25" s="72" t="str">
        <f>IF($C25="","",IFERROR(VLOOKUP(CONCATENATE(AQ$3,"-",$C25),'FO-GC-012'!$D$20:$H$109,5,0),""))</f>
        <v/>
      </c>
      <c r="AU25" s="69" t="str">
        <f>IF($C25="","",IFERROR(VLOOKUP(CONCATENATE(AU$3,"-",$C25),'FO-GC-012'!$D$20:$H$109,2,0),""))</f>
        <v/>
      </c>
      <c r="AV25" s="70" t="str">
        <f>IF($C25="","",IFERROR(VLOOKUP(CONCATENATE(AU$3,"-",$C25),'FO-GC-012'!$D$20:$H$109,3,0),""))</f>
        <v/>
      </c>
      <c r="AW25" s="71" t="str">
        <f>IF($C25="","",IFERROR(VLOOKUP(CONCATENATE(AU$3,"-",$C25),'FO-GC-012'!$D$20:$H$109,4,0),""))</f>
        <v/>
      </c>
      <c r="AX25" s="72" t="str">
        <f>IF($C25="","",IFERROR(VLOOKUP(CONCATENATE(AU$3,"-",$C25),'FO-GC-012'!$D$20:$H$109,5,0),""))</f>
        <v/>
      </c>
      <c r="AY25" s="69" t="str">
        <f>IF($C25="","",IFERROR(VLOOKUP(CONCATENATE(AY$3,"-",$C25),'FO-GC-012'!$D$20:$H$109,2,0),""))</f>
        <v/>
      </c>
      <c r="AZ25" s="70" t="str">
        <f>IF($C25="","",IFERROR(VLOOKUP(CONCATENATE(AY$3,"-",$C25),'FO-GC-012'!$D$20:$H$109,3,0),""))</f>
        <v/>
      </c>
      <c r="BA25" s="71" t="str">
        <f>IF($C25="","",IFERROR(VLOOKUP(CONCATENATE(AY$3,"-",$C25),'FO-GC-012'!$D$20:$H$109,4,0),""))</f>
        <v/>
      </c>
      <c r="BB25" s="72" t="str">
        <f>IF($C25="","",IFERROR(VLOOKUP(CONCATENATE(AY$3,"-",$C25),'FO-GC-012'!$D$20:$H$109,5,0),""))</f>
        <v/>
      </c>
      <c r="BC25" s="69" t="str">
        <f>IF($C25="","",IFERROR(VLOOKUP(CONCATENATE(BC$3,"-",$C25),'FO-GC-012'!$D$20:$H$109,2,0),""))</f>
        <v/>
      </c>
      <c r="BD25" s="70" t="str">
        <f>IF($C25="","",IFERROR(VLOOKUP(CONCATENATE(BC$3,"-",$C25),'FO-GC-012'!$D$20:$H$109,3,0),""))</f>
        <v/>
      </c>
      <c r="BE25" s="71" t="str">
        <f>IF($C25="","",IFERROR(VLOOKUP(CONCATENATE(BC$3,"-",$C25),'FO-GC-012'!$D$20:$H$109,4,0),""))</f>
        <v/>
      </c>
      <c r="BF25" s="72" t="str">
        <f>IF($C25="","",IFERROR(VLOOKUP(CONCATENATE(BC$3,"-",$C25),'FO-GC-012'!$D$20:$H$109,5,0),""))</f>
        <v/>
      </c>
      <c r="BG25" s="69" t="str">
        <f>IF($C25="","",IFERROR(VLOOKUP(CONCATENATE(BG$3,"-",$C25),'FO-GC-012'!$D$20:$H$109,2,0),""))</f>
        <v/>
      </c>
      <c r="BH25" s="70" t="str">
        <f>IF($C25="","",IFERROR(VLOOKUP(CONCATENATE(BG$3,"-",$C25),'FO-GC-012'!$D$20:$H$109,3,0),""))</f>
        <v/>
      </c>
      <c r="BI25" s="71" t="str">
        <f>IF($C25="","",IFERROR(VLOOKUP(CONCATENATE(BG$3,"-",$C25),'FO-GC-012'!$D$20:$H$109,4,0),""))</f>
        <v/>
      </c>
      <c r="BJ25" s="72" t="str">
        <f>IF($C25="","",IFERROR(VLOOKUP(CONCATENATE(BG$3,"-",$C25),'FO-GC-012'!$D$20:$H$109,5,0),""))</f>
        <v/>
      </c>
      <c r="BK25" s="69" t="str">
        <f>IF($C25="","",IFERROR(VLOOKUP(CONCATENATE(BK$3,"-",$C25),'FO-GC-012'!$D$20:$H$109,2,0),""))</f>
        <v/>
      </c>
      <c r="BL25" s="70" t="str">
        <f>IF($C25="","",IFERROR(VLOOKUP(CONCATENATE(BK$3,"-",$C25),'FO-GC-012'!$D$20:$H$109,3,0),""))</f>
        <v/>
      </c>
      <c r="BM25" s="71" t="str">
        <f>IF($C25="","",IFERROR(VLOOKUP(CONCATENATE(BK$3,"-",$C25),'FO-GC-012'!$D$20:$H$109,4,0),""))</f>
        <v/>
      </c>
      <c r="BN25" s="72" t="str">
        <f>IF($C25="","",IFERROR(VLOOKUP(CONCATENATE(BK$3,"-",$C25),'FO-GC-012'!$D$20:$H$109,5,0),""))</f>
        <v/>
      </c>
      <c r="BO25" s="69" t="str">
        <f>IF($C25="","",IFERROR(VLOOKUP(CONCATENATE(BO$3,"-",$C25),'FO-GC-012'!$D$20:$H$109,2,0),""))</f>
        <v/>
      </c>
      <c r="BP25" s="70" t="str">
        <f>IF($C25="","",IFERROR(VLOOKUP(CONCATENATE(BO$3,"-",$C25),'FO-GC-012'!$D$20:$H$109,3,0),""))</f>
        <v/>
      </c>
      <c r="BQ25" s="71" t="str">
        <f>IF($C25="","",IFERROR(VLOOKUP(CONCATENATE(BO$3,"-",$C25),'FO-GC-012'!$D$20:$H$109,4,0),""))</f>
        <v/>
      </c>
      <c r="BR25" s="72" t="str">
        <f>IF($C25="","",IFERROR(VLOOKUP(CONCATENATE(BO$3,"-",$C25),'FO-GC-012'!$D$20:$H$109,5,0),""))</f>
        <v/>
      </c>
      <c r="BS25" s="69" t="str">
        <f>IF($C25="","",IFERROR(VLOOKUP(CONCATENATE(BS$3,"-",$C25),'FO-GC-012'!$D$20:$H$109,2,0),""))</f>
        <v/>
      </c>
      <c r="BT25" s="70" t="str">
        <f>IF($C25="","",IFERROR(VLOOKUP(CONCATENATE(BS$3,"-",$C25),'FO-GC-012'!$D$20:$H$109,3,0),""))</f>
        <v/>
      </c>
      <c r="BU25" s="71" t="str">
        <f>IF($C25="","",IFERROR(VLOOKUP(CONCATENATE(BS$3,"-",$C25),'FO-GC-012'!$D$20:$H$109,4,0),""))</f>
        <v/>
      </c>
      <c r="BV25" s="72" t="str">
        <f>IF($C25="","",IFERROR(VLOOKUP(CONCATENATE(BS$3,"-",$C25),'FO-GC-012'!$D$20:$H$109,5,0),""))</f>
        <v/>
      </c>
      <c r="BW25" s="69" t="str">
        <f>IF($C25="","",IFERROR(VLOOKUP(CONCATENATE(BW$3,"-",$C25),'FO-GC-012'!$D$20:$H$109,2,0),""))</f>
        <v/>
      </c>
      <c r="BX25" s="70" t="str">
        <f>IF($C25="","",IFERROR(VLOOKUP(CONCATENATE(BW$3,"-",$C25),'FO-GC-012'!$D$20:$H$109,3,0),""))</f>
        <v/>
      </c>
      <c r="BY25" s="71" t="str">
        <f>IF($C25="","",IFERROR(VLOOKUP(CONCATENATE(BW$3,"-",$C25),'FO-GC-012'!$D$20:$H$109,4,0),""))</f>
        <v/>
      </c>
      <c r="BZ25" s="72" t="str">
        <f>IF($C25="","",IFERROR(VLOOKUP(CONCATENATE(BW$3,"-",$C25),'FO-GC-012'!$D$20:$H$109,5,0),""))</f>
        <v/>
      </c>
      <c r="CA25" s="69" t="str">
        <f>IF($C25="","",IFERROR(VLOOKUP(CONCATENATE(CA$3,"-",$C25),'FO-GC-012'!$D$20:$H$109,2,0),""))</f>
        <v/>
      </c>
      <c r="CB25" s="70" t="str">
        <f>IF($C25="","",IFERROR(VLOOKUP(CONCATENATE(CA$3,"-",$C25),'FO-GC-012'!$D$20:$H$109,3,0),""))</f>
        <v/>
      </c>
      <c r="CC25" s="71" t="str">
        <f>IF($C25="","",IFERROR(VLOOKUP(CONCATENATE(CA$3,"-",$C25),'FO-GC-012'!$D$20:$H$109,4,0),""))</f>
        <v/>
      </c>
      <c r="CD25" s="72" t="str">
        <f>IF($C25="","",IFERROR(VLOOKUP(CONCATENATE(CA$3,"-",$C25),'FO-GC-012'!$D$20:$H$109,5,0),""))</f>
        <v/>
      </c>
      <c r="CE25" s="69" t="str">
        <f>IF($C25="","",IFERROR(VLOOKUP(CONCATENATE(CE$3,"-",$C25),'FO-GC-012'!$D$20:$H$109,2,0),""))</f>
        <v/>
      </c>
      <c r="CF25" s="70" t="str">
        <f>IF($C25="","",IFERROR(VLOOKUP(CONCATENATE(CE$3,"-",$C25),'FO-GC-012'!$D$20:$H$109,3,0),""))</f>
        <v/>
      </c>
      <c r="CG25" s="71" t="str">
        <f>IF($C25="","",IFERROR(VLOOKUP(CONCATENATE(CE$3,"-",$C25),'FO-GC-012'!$D$20:$H$109,4,0),""))</f>
        <v/>
      </c>
      <c r="CH25" s="72" t="str">
        <f>IF($C25="","",IFERROR(VLOOKUP(CONCATENATE(CE$3,"-",$C25),'FO-GC-012'!$D$20:$H$109,5,0),""))</f>
        <v/>
      </c>
    </row>
    <row r="26" spans="2:86" ht="33.75" customHeight="1" x14ac:dyDescent="0.35">
      <c r="B26" s="83">
        <f>IF(C26="","",COUNTA(C$4:C26))</f>
        <v>23</v>
      </c>
      <c r="C26" s="82" t="str">
        <f>'Eq. Auditor'!B25</f>
        <v>Yudi Andrea Acalo Higon</v>
      </c>
      <c r="D26" s="83">
        <f>IF(C26="","",COUNTIF('FO-GC-012'!A:A,CONCATENATE("P-",C26)))</f>
        <v>0</v>
      </c>
      <c r="E26" s="83">
        <f>IF(C26="","",COUNTIF('FO-GC-012'!A:A,CONCATENATE("A-",C26)))</f>
        <v>0</v>
      </c>
      <c r="F26" s="83">
        <f t="shared" si="3"/>
        <v>0</v>
      </c>
      <c r="G26" s="69" t="str">
        <f>IF($C26="","",IFERROR(VLOOKUP(CONCATENATE(G$3,"-",$C26),'FO-GC-012'!$D$20:$H$109,2,0),""))</f>
        <v/>
      </c>
      <c r="H26" s="70" t="str">
        <f>IF($C26="","",IFERROR(VLOOKUP(CONCATENATE(G$3,"-",$C26),'FO-GC-012'!$D$20:$H$109,3,0),""))</f>
        <v/>
      </c>
      <c r="I26" s="71" t="str">
        <f>IF($C26="","",IFERROR(VLOOKUP(CONCATENATE(G$3,"-",$C26),'FO-GC-012'!$D$20:$H$109,4,0),""))</f>
        <v/>
      </c>
      <c r="J26" s="72" t="str">
        <f>IF($C26="","",IFERROR(VLOOKUP(CONCATENATE(G$3,"-",$C26),'FO-GC-012'!$D$20:$H$109,5,0),""))</f>
        <v/>
      </c>
      <c r="K26" s="69" t="str">
        <f>IF($C26="","",IFERROR(VLOOKUP(CONCATENATE(K$3,"-",$C26),'FO-GC-012'!$D$20:$H$109,2,0),""))</f>
        <v/>
      </c>
      <c r="L26" s="70" t="str">
        <f>IF($C26="","",IFERROR(VLOOKUP(CONCATENATE(K$3,"-",$C26),'FO-GC-012'!$D$20:$H$109,3,0),""))</f>
        <v/>
      </c>
      <c r="M26" s="71" t="str">
        <f>IF($C26="","",IFERROR(VLOOKUP(CONCATENATE(K$3,"-",$C26),'FO-GC-012'!$D$20:$H$109,4,0),""))</f>
        <v/>
      </c>
      <c r="N26" s="72" t="str">
        <f>IF($C26="","",IFERROR(VLOOKUP(CONCATENATE(K$3,"-",$C26),'FO-GC-012'!$D$20:$H$109,5,0),""))</f>
        <v/>
      </c>
      <c r="O26" s="69" t="str">
        <f>IF($C26="","",IFERROR(VLOOKUP(CONCATENATE(O$3,"-",$C26),'FO-GC-012'!$D$20:$H$109,2,0),""))</f>
        <v/>
      </c>
      <c r="P26" s="70" t="str">
        <f>IF($C26="","",IFERROR(VLOOKUP(CONCATENATE(O$3,"-",$C26),'FO-GC-012'!$D$20:$H$109,3,0),""))</f>
        <v/>
      </c>
      <c r="Q26" s="71" t="str">
        <f>IF($C26="","",IFERROR(VLOOKUP(CONCATENATE(O$3,"-",$C26),'FO-GC-012'!$D$20:$H$109,4,0),""))</f>
        <v/>
      </c>
      <c r="R26" s="72" t="str">
        <f>IF($C26="","",IFERROR(VLOOKUP(CONCATENATE(O$3,"-",$C26),'FO-GC-012'!$D$20:$H$109,5,0),""))</f>
        <v/>
      </c>
      <c r="S26" s="69" t="str">
        <f>IF($C26="","",IFERROR(VLOOKUP(CONCATENATE(S$3,"-",$C26),'FO-GC-012'!$D$20:$H$109,2,0),""))</f>
        <v/>
      </c>
      <c r="T26" s="70" t="str">
        <f>IF($C26="","",IFERROR(VLOOKUP(CONCATENATE(S$3,"-",$C26),'FO-GC-012'!$D$20:$H$109,3,0),""))</f>
        <v/>
      </c>
      <c r="U26" s="71" t="str">
        <f>IF($C26="","",IFERROR(VLOOKUP(CONCATENATE(S$3,"-",$C26),'FO-GC-012'!$D$20:$H$109,4,0),""))</f>
        <v/>
      </c>
      <c r="V26" s="72" t="str">
        <f>IF($C26="","",IFERROR(VLOOKUP(CONCATENATE(S$3,"-",$C26),'FO-GC-012'!$D$20:$H$109,5,0),""))</f>
        <v/>
      </c>
      <c r="W26" s="69" t="str">
        <f>IF($C26="","",IFERROR(VLOOKUP(CONCATENATE(W$3,"-",$C26),'FO-GC-012'!$D$20:$H$109,2,0),""))</f>
        <v/>
      </c>
      <c r="X26" s="70" t="str">
        <f>IF($C26="","",IFERROR(VLOOKUP(CONCATENATE(W$3,"-",$C26),'FO-GC-012'!$D$20:$H$109,3,0),""))</f>
        <v/>
      </c>
      <c r="Y26" s="71" t="str">
        <f>IF($C26="","",IFERROR(VLOOKUP(CONCATENATE(W$3,"-",$C26),'FO-GC-012'!$D$20:$H$109,4,0),""))</f>
        <v/>
      </c>
      <c r="Z26" s="72" t="str">
        <f>IF($C26="","",IFERROR(VLOOKUP(CONCATENATE(W$3,"-",$C26),'FO-GC-012'!$D$20:$H$109,5,0),""))</f>
        <v/>
      </c>
      <c r="AA26" s="69" t="str">
        <f>IF($C26="","",IFERROR(VLOOKUP(CONCATENATE(AA$3,"-",$C26),'FO-GC-012'!$D$20:$H$109,2,0),""))</f>
        <v/>
      </c>
      <c r="AB26" s="70" t="str">
        <f>IF($C26="","",IFERROR(VLOOKUP(CONCATENATE(AA$3,"-",$C26),'FO-GC-012'!$D$20:$H$109,3,0),""))</f>
        <v/>
      </c>
      <c r="AC26" s="71" t="str">
        <f>IF($C26="","",IFERROR(VLOOKUP(CONCATENATE(AA$3,"-",$C26),'FO-GC-012'!$D$20:$H$109,4,0),""))</f>
        <v/>
      </c>
      <c r="AD26" s="72" t="str">
        <f>IF($C26="","",IFERROR(VLOOKUP(CONCATENATE(AA$3,"-",$C26),'FO-GC-012'!$D$20:$H$109,5,0),""))</f>
        <v/>
      </c>
      <c r="AE26" s="69" t="str">
        <f>IF($C26="","",IFERROR(VLOOKUP(CONCATENATE(AE$3,"-",$C26),'FO-GC-012'!$D$20:$H$109,2,0),""))</f>
        <v/>
      </c>
      <c r="AF26" s="70" t="str">
        <f>IF($C26="","",IFERROR(VLOOKUP(CONCATENATE(AE$3,"-",$C26),'FO-GC-012'!$D$20:$H$109,3,0),""))</f>
        <v/>
      </c>
      <c r="AG26" s="71" t="str">
        <f>IF($C26="","",IFERROR(VLOOKUP(CONCATENATE(AE$3,"-",$C26),'FO-GC-012'!$D$20:$H$109,4,0),""))</f>
        <v/>
      </c>
      <c r="AH26" s="72" t="str">
        <f>IF($C26="","",IFERROR(VLOOKUP(CONCATENATE(AE$3,"-",$C26),'FO-GC-012'!$D$20:$H$109,5,0),""))</f>
        <v/>
      </c>
      <c r="AI26" s="69" t="str">
        <f>IF($C26="","",IFERROR(VLOOKUP(CONCATENATE(AI$3,"-",$C26),'FO-GC-012'!$D$20:$H$109,2,0),""))</f>
        <v/>
      </c>
      <c r="AJ26" s="70" t="str">
        <f>IF($C26="","",IFERROR(VLOOKUP(CONCATENATE(AI$3,"-",$C26),'FO-GC-012'!$D$20:$H$109,3,0),""))</f>
        <v/>
      </c>
      <c r="AK26" s="71" t="str">
        <f>IF($C26="","",IFERROR(VLOOKUP(CONCATENATE(AI$3,"-",$C26),'FO-GC-012'!$D$20:$H$109,4,0),""))</f>
        <v/>
      </c>
      <c r="AL26" s="72" t="str">
        <f>IF($C26="","",IFERROR(VLOOKUP(CONCATENATE(AI$3,"-",$C26),'FO-GC-012'!$D$20:$H$109,5,0),""))</f>
        <v/>
      </c>
      <c r="AM26" s="69" t="str">
        <f>IF($C26="","",IFERROR(VLOOKUP(CONCATENATE(AM$3,"-",$C26),'FO-GC-012'!$D$20:$H$109,2,0),""))</f>
        <v/>
      </c>
      <c r="AN26" s="70" t="str">
        <f>IF($C26="","",IFERROR(VLOOKUP(CONCATENATE(AM$3,"-",$C26),'FO-GC-012'!$D$20:$H$109,3,0),""))</f>
        <v/>
      </c>
      <c r="AO26" s="71" t="str">
        <f>IF($C26="","",IFERROR(VLOOKUP(CONCATENATE(AM$3,"-",$C26),'FO-GC-012'!$D$20:$H$109,4,0),""))</f>
        <v/>
      </c>
      <c r="AP26" s="72" t="str">
        <f>IF($C26="","",IFERROR(VLOOKUP(CONCATENATE(AM$3,"-",$C26),'FO-GC-012'!$D$20:$H$109,5,0),""))</f>
        <v/>
      </c>
      <c r="AQ26" s="69" t="str">
        <f>IF($C26="","",IFERROR(VLOOKUP(CONCATENATE(AQ$3,"-",$C26),'FO-GC-012'!$D$20:$H$109,2,0),""))</f>
        <v/>
      </c>
      <c r="AR26" s="70" t="str">
        <f>IF($C26="","",IFERROR(VLOOKUP(CONCATENATE(AQ$3,"-",$C26),'FO-GC-012'!$D$20:$H$109,3,0),""))</f>
        <v/>
      </c>
      <c r="AS26" s="71" t="str">
        <f>IF($C26="","",IFERROR(VLOOKUP(CONCATENATE(AQ$3,"-",$C26),'FO-GC-012'!$D$20:$H$109,4,0),""))</f>
        <v/>
      </c>
      <c r="AT26" s="72" t="str">
        <f>IF($C26="","",IFERROR(VLOOKUP(CONCATENATE(AQ$3,"-",$C26),'FO-GC-012'!$D$20:$H$109,5,0),""))</f>
        <v/>
      </c>
      <c r="AU26" s="69" t="str">
        <f>IF($C26="","",IFERROR(VLOOKUP(CONCATENATE(AU$3,"-",$C26),'FO-GC-012'!$D$20:$H$109,2,0),""))</f>
        <v/>
      </c>
      <c r="AV26" s="70" t="str">
        <f>IF($C26="","",IFERROR(VLOOKUP(CONCATENATE(AU$3,"-",$C26),'FO-GC-012'!$D$20:$H$109,3,0),""))</f>
        <v/>
      </c>
      <c r="AW26" s="71" t="str">
        <f>IF($C26="","",IFERROR(VLOOKUP(CONCATENATE(AU$3,"-",$C26),'FO-GC-012'!$D$20:$H$109,4,0),""))</f>
        <v/>
      </c>
      <c r="AX26" s="72" t="str">
        <f>IF($C26="","",IFERROR(VLOOKUP(CONCATENATE(AU$3,"-",$C26),'FO-GC-012'!$D$20:$H$109,5,0),""))</f>
        <v/>
      </c>
      <c r="AY26" s="69" t="str">
        <f>IF($C26="","",IFERROR(VLOOKUP(CONCATENATE(AY$3,"-",$C26),'FO-GC-012'!$D$20:$H$109,2,0),""))</f>
        <v/>
      </c>
      <c r="AZ26" s="70" t="str">
        <f>IF($C26="","",IFERROR(VLOOKUP(CONCATENATE(AY$3,"-",$C26),'FO-GC-012'!$D$20:$H$109,3,0),""))</f>
        <v/>
      </c>
      <c r="BA26" s="71" t="str">
        <f>IF($C26="","",IFERROR(VLOOKUP(CONCATENATE(AY$3,"-",$C26),'FO-GC-012'!$D$20:$H$109,4,0),""))</f>
        <v/>
      </c>
      <c r="BB26" s="72" t="str">
        <f>IF($C26="","",IFERROR(VLOOKUP(CONCATENATE(AY$3,"-",$C26),'FO-GC-012'!$D$20:$H$109,5,0),""))</f>
        <v/>
      </c>
      <c r="BC26" s="69" t="str">
        <f>IF($C26="","",IFERROR(VLOOKUP(CONCATENATE(BC$3,"-",$C26),'FO-GC-012'!$D$20:$H$109,2,0),""))</f>
        <v/>
      </c>
      <c r="BD26" s="70" t="str">
        <f>IF($C26="","",IFERROR(VLOOKUP(CONCATENATE(BC$3,"-",$C26),'FO-GC-012'!$D$20:$H$109,3,0),""))</f>
        <v/>
      </c>
      <c r="BE26" s="71" t="str">
        <f>IF($C26="","",IFERROR(VLOOKUP(CONCATENATE(BC$3,"-",$C26),'FO-GC-012'!$D$20:$H$109,4,0),""))</f>
        <v/>
      </c>
      <c r="BF26" s="72" t="str">
        <f>IF($C26="","",IFERROR(VLOOKUP(CONCATENATE(BC$3,"-",$C26),'FO-GC-012'!$D$20:$H$109,5,0),""))</f>
        <v/>
      </c>
      <c r="BG26" s="69" t="str">
        <f>IF($C26="","",IFERROR(VLOOKUP(CONCATENATE(BG$3,"-",$C26),'FO-GC-012'!$D$20:$H$109,2,0),""))</f>
        <v/>
      </c>
      <c r="BH26" s="70" t="str">
        <f>IF($C26="","",IFERROR(VLOOKUP(CONCATENATE(BG$3,"-",$C26),'FO-GC-012'!$D$20:$H$109,3,0),""))</f>
        <v/>
      </c>
      <c r="BI26" s="71" t="str">
        <f>IF($C26="","",IFERROR(VLOOKUP(CONCATENATE(BG$3,"-",$C26),'FO-GC-012'!$D$20:$H$109,4,0),""))</f>
        <v/>
      </c>
      <c r="BJ26" s="72" t="str">
        <f>IF($C26="","",IFERROR(VLOOKUP(CONCATENATE(BG$3,"-",$C26),'FO-GC-012'!$D$20:$H$109,5,0),""))</f>
        <v/>
      </c>
      <c r="BK26" s="69" t="str">
        <f>IF($C26="","",IFERROR(VLOOKUP(CONCATENATE(BK$3,"-",$C26),'FO-GC-012'!$D$20:$H$109,2,0),""))</f>
        <v/>
      </c>
      <c r="BL26" s="70" t="str">
        <f>IF($C26="","",IFERROR(VLOOKUP(CONCATENATE(BK$3,"-",$C26),'FO-GC-012'!$D$20:$H$109,3,0),""))</f>
        <v/>
      </c>
      <c r="BM26" s="71" t="str">
        <f>IF($C26="","",IFERROR(VLOOKUP(CONCATENATE(BK$3,"-",$C26),'FO-GC-012'!$D$20:$H$109,4,0),""))</f>
        <v/>
      </c>
      <c r="BN26" s="72" t="str">
        <f>IF($C26="","",IFERROR(VLOOKUP(CONCATENATE(BK$3,"-",$C26),'FO-GC-012'!$D$20:$H$109,5,0),""))</f>
        <v/>
      </c>
      <c r="BO26" s="69" t="str">
        <f>IF($C26="","",IFERROR(VLOOKUP(CONCATENATE(BO$3,"-",$C26),'FO-GC-012'!$D$20:$H$109,2,0),""))</f>
        <v/>
      </c>
      <c r="BP26" s="70" t="str">
        <f>IF($C26="","",IFERROR(VLOOKUP(CONCATENATE(BO$3,"-",$C26),'FO-GC-012'!$D$20:$H$109,3,0),""))</f>
        <v/>
      </c>
      <c r="BQ26" s="71" t="str">
        <f>IF($C26="","",IFERROR(VLOOKUP(CONCATENATE(BO$3,"-",$C26),'FO-GC-012'!$D$20:$H$109,4,0),""))</f>
        <v/>
      </c>
      <c r="BR26" s="72" t="str">
        <f>IF($C26="","",IFERROR(VLOOKUP(CONCATENATE(BO$3,"-",$C26),'FO-GC-012'!$D$20:$H$109,5,0),""))</f>
        <v/>
      </c>
      <c r="BS26" s="69" t="str">
        <f>IF($C26="","",IFERROR(VLOOKUP(CONCATENATE(BS$3,"-",$C26),'FO-GC-012'!$D$20:$H$109,2,0),""))</f>
        <v/>
      </c>
      <c r="BT26" s="70" t="str">
        <f>IF($C26="","",IFERROR(VLOOKUP(CONCATENATE(BS$3,"-",$C26),'FO-GC-012'!$D$20:$H$109,3,0),""))</f>
        <v/>
      </c>
      <c r="BU26" s="71" t="str">
        <f>IF($C26="","",IFERROR(VLOOKUP(CONCATENATE(BS$3,"-",$C26),'FO-GC-012'!$D$20:$H$109,4,0),""))</f>
        <v/>
      </c>
      <c r="BV26" s="72" t="str">
        <f>IF($C26="","",IFERROR(VLOOKUP(CONCATENATE(BS$3,"-",$C26),'FO-GC-012'!$D$20:$H$109,5,0),""))</f>
        <v/>
      </c>
      <c r="BW26" s="69" t="str">
        <f>IF($C26="","",IFERROR(VLOOKUP(CONCATENATE(BW$3,"-",$C26),'FO-GC-012'!$D$20:$H$109,2,0),""))</f>
        <v/>
      </c>
      <c r="BX26" s="70" t="str">
        <f>IF($C26="","",IFERROR(VLOOKUP(CONCATENATE(BW$3,"-",$C26),'FO-GC-012'!$D$20:$H$109,3,0),""))</f>
        <v/>
      </c>
      <c r="BY26" s="71" t="str">
        <f>IF($C26="","",IFERROR(VLOOKUP(CONCATENATE(BW$3,"-",$C26),'FO-GC-012'!$D$20:$H$109,4,0),""))</f>
        <v/>
      </c>
      <c r="BZ26" s="72" t="str">
        <f>IF($C26="","",IFERROR(VLOOKUP(CONCATENATE(BW$3,"-",$C26),'FO-GC-012'!$D$20:$H$109,5,0),""))</f>
        <v/>
      </c>
      <c r="CA26" s="69" t="str">
        <f>IF($C26="","",IFERROR(VLOOKUP(CONCATENATE(CA$3,"-",$C26),'FO-GC-012'!$D$20:$H$109,2,0),""))</f>
        <v/>
      </c>
      <c r="CB26" s="70" t="str">
        <f>IF($C26="","",IFERROR(VLOOKUP(CONCATENATE(CA$3,"-",$C26),'FO-GC-012'!$D$20:$H$109,3,0),""))</f>
        <v/>
      </c>
      <c r="CC26" s="71" t="str">
        <f>IF($C26="","",IFERROR(VLOOKUP(CONCATENATE(CA$3,"-",$C26),'FO-GC-012'!$D$20:$H$109,4,0),""))</f>
        <v/>
      </c>
      <c r="CD26" s="72" t="str">
        <f>IF($C26="","",IFERROR(VLOOKUP(CONCATENATE(CA$3,"-",$C26),'FO-GC-012'!$D$20:$H$109,5,0),""))</f>
        <v/>
      </c>
      <c r="CE26" s="69" t="str">
        <f>IF($C26="","",IFERROR(VLOOKUP(CONCATENATE(CE$3,"-",$C26),'FO-GC-012'!$D$20:$H$109,2,0),""))</f>
        <v/>
      </c>
      <c r="CF26" s="70" t="str">
        <f>IF($C26="","",IFERROR(VLOOKUP(CONCATENATE(CE$3,"-",$C26),'FO-GC-012'!$D$20:$H$109,3,0),""))</f>
        <v/>
      </c>
      <c r="CG26" s="71" t="str">
        <f>IF($C26="","",IFERROR(VLOOKUP(CONCATENATE(CE$3,"-",$C26),'FO-GC-012'!$D$20:$H$109,4,0),""))</f>
        <v/>
      </c>
      <c r="CH26" s="72" t="str">
        <f>IF($C26="","",IFERROR(VLOOKUP(CONCATENATE(CE$3,"-",$C26),'FO-GC-012'!$D$20:$H$109,5,0),""))</f>
        <v/>
      </c>
    </row>
    <row r="27" spans="2:86" ht="33.75" customHeight="1" x14ac:dyDescent="0.35">
      <c r="B27" s="83">
        <f>IF(C27="","",COUNTA(C$4:C27))</f>
        <v>24</v>
      </c>
      <c r="C27" s="82" t="str">
        <f>'Eq. Auditor'!B26</f>
        <v>Jorge Eduardo Rengifo Lozada</v>
      </c>
      <c r="D27" s="83">
        <f>IF(C27="","",COUNTIF('FO-GC-012'!A:A,CONCATENATE("P-",C27)))</f>
        <v>0</v>
      </c>
      <c r="E27" s="83">
        <f>IF(C27="","",COUNTIF('FO-GC-012'!A:A,CONCATENATE("A-",C27)))</f>
        <v>0</v>
      </c>
      <c r="F27" s="83">
        <f t="shared" si="3"/>
        <v>0</v>
      </c>
      <c r="G27" s="65" t="str">
        <f>IF($C27="","",IFERROR(VLOOKUP(CONCATENATE(G$3,"-",$C27),'FO-GC-012'!$D$20:$H$109,2,0),""))</f>
        <v/>
      </c>
      <c r="H27" s="66" t="str">
        <f>IF($C27="","",IFERROR(VLOOKUP(CONCATENATE(G$3,"-",$C27),'FO-GC-012'!$D$20:$H$109,3,0),""))</f>
        <v/>
      </c>
      <c r="I27" s="67" t="str">
        <f>IF($C27="","",IFERROR(VLOOKUP(CONCATENATE(G$3,"-",$C27),'FO-GC-012'!$D$20:$H$109,4,0),""))</f>
        <v/>
      </c>
      <c r="J27" s="68" t="str">
        <f>IF($C27="","",IFERROR(VLOOKUP(CONCATENATE(G$3,"-",$C27),'FO-GC-012'!$D$20:$H$109,5,0),""))</f>
        <v/>
      </c>
      <c r="K27" s="65" t="str">
        <f>IF($C27="","",IFERROR(VLOOKUP(CONCATENATE(K$3,"-",$C27),'FO-GC-012'!$D$20:$H$109,2,0),""))</f>
        <v/>
      </c>
      <c r="L27" s="66" t="str">
        <f>IF($C27="","",IFERROR(VLOOKUP(CONCATENATE(K$3,"-",$C27),'FO-GC-012'!$D$20:$H$109,3,0),""))</f>
        <v/>
      </c>
      <c r="M27" s="67" t="str">
        <f>IF($C27="","",IFERROR(VLOOKUP(CONCATENATE(K$3,"-",$C27),'FO-GC-012'!$D$20:$H$109,4,0),""))</f>
        <v/>
      </c>
      <c r="N27" s="68" t="str">
        <f>IF($C27="","",IFERROR(VLOOKUP(CONCATENATE(K$3,"-",$C27),'FO-GC-012'!$D$20:$H$109,5,0),""))</f>
        <v/>
      </c>
      <c r="O27" s="65" t="str">
        <f>IF($C27="","",IFERROR(VLOOKUP(CONCATENATE(O$3,"-",$C27),'FO-GC-012'!$D$20:$H$109,2,0),""))</f>
        <v/>
      </c>
      <c r="P27" s="66" t="str">
        <f>IF($C27="","",IFERROR(VLOOKUP(CONCATENATE(O$3,"-",$C27),'FO-GC-012'!$D$20:$H$109,3,0),""))</f>
        <v/>
      </c>
      <c r="Q27" s="67" t="str">
        <f>IF($C27="","",IFERROR(VLOOKUP(CONCATENATE(O$3,"-",$C27),'FO-GC-012'!$D$20:$H$109,4,0),""))</f>
        <v/>
      </c>
      <c r="R27" s="68" t="str">
        <f>IF($C27="","",IFERROR(VLOOKUP(CONCATENATE(O$3,"-",$C27),'FO-GC-012'!$D$20:$H$109,5,0),""))</f>
        <v/>
      </c>
      <c r="S27" s="65" t="str">
        <f>IF($C27="","",IFERROR(VLOOKUP(CONCATENATE(S$3,"-",$C27),'FO-GC-012'!$D$20:$H$109,2,0),""))</f>
        <v/>
      </c>
      <c r="T27" s="66" t="str">
        <f>IF($C27="","",IFERROR(VLOOKUP(CONCATENATE(S$3,"-",$C27),'FO-GC-012'!$D$20:$H$109,3,0),""))</f>
        <v/>
      </c>
      <c r="U27" s="67" t="str">
        <f>IF($C27="","",IFERROR(VLOOKUP(CONCATENATE(S$3,"-",$C27),'FO-GC-012'!$D$20:$H$109,4,0),""))</f>
        <v/>
      </c>
      <c r="V27" s="68" t="str">
        <f>IF($C27="","",IFERROR(VLOOKUP(CONCATENATE(S$3,"-",$C27),'FO-GC-012'!$D$20:$H$109,5,0),""))</f>
        <v/>
      </c>
      <c r="W27" s="65" t="str">
        <f>IF($C27="","",IFERROR(VLOOKUP(CONCATENATE(W$3,"-",$C27),'FO-GC-012'!$D$20:$H$109,2,0),""))</f>
        <v/>
      </c>
      <c r="X27" s="66" t="str">
        <f>IF($C27="","",IFERROR(VLOOKUP(CONCATENATE(W$3,"-",$C27),'FO-GC-012'!$D$20:$H$109,3,0),""))</f>
        <v/>
      </c>
      <c r="Y27" s="67" t="str">
        <f>IF($C27="","",IFERROR(VLOOKUP(CONCATENATE(W$3,"-",$C27),'FO-GC-012'!$D$20:$H$109,4,0),""))</f>
        <v/>
      </c>
      <c r="Z27" s="68" t="str">
        <f>IF($C27="","",IFERROR(VLOOKUP(CONCATENATE(W$3,"-",$C27),'FO-GC-012'!$D$20:$H$109,5,0),""))</f>
        <v/>
      </c>
      <c r="AA27" s="65" t="str">
        <f>IF($C27="","",IFERROR(VLOOKUP(CONCATENATE(AA$3,"-",$C27),'FO-GC-012'!$D$20:$H$109,2,0),""))</f>
        <v/>
      </c>
      <c r="AB27" s="66" t="str">
        <f>IF($C27="","",IFERROR(VLOOKUP(CONCATENATE(AA$3,"-",$C27),'FO-GC-012'!$D$20:$H$109,3,0),""))</f>
        <v/>
      </c>
      <c r="AC27" s="67" t="str">
        <f>IF($C27="","",IFERROR(VLOOKUP(CONCATENATE(AA$3,"-",$C27),'FO-GC-012'!$D$20:$H$109,4,0),""))</f>
        <v/>
      </c>
      <c r="AD27" s="68" t="str">
        <f>IF($C27="","",IFERROR(VLOOKUP(CONCATENATE(AA$3,"-",$C27),'FO-GC-012'!$D$20:$H$109,5,0),""))</f>
        <v/>
      </c>
      <c r="AE27" s="65" t="str">
        <f>IF($C27="","",IFERROR(VLOOKUP(CONCATENATE(AE$3,"-",$C27),'FO-GC-012'!$D$20:$H$109,2,0),""))</f>
        <v/>
      </c>
      <c r="AF27" s="66" t="str">
        <f>IF($C27="","",IFERROR(VLOOKUP(CONCATENATE(AE$3,"-",$C27),'FO-GC-012'!$D$20:$H$109,3,0),""))</f>
        <v/>
      </c>
      <c r="AG27" s="67" t="str">
        <f>IF($C27="","",IFERROR(VLOOKUP(CONCATENATE(AE$3,"-",$C27),'FO-GC-012'!$D$20:$H$109,4,0),""))</f>
        <v/>
      </c>
      <c r="AH27" s="68" t="str">
        <f>IF($C27="","",IFERROR(VLOOKUP(CONCATENATE(AE$3,"-",$C27),'FO-GC-012'!$D$20:$H$109,5,0),""))</f>
        <v/>
      </c>
      <c r="AI27" s="65" t="str">
        <f>IF($C27="","",IFERROR(VLOOKUP(CONCATENATE(AI$3,"-",$C27),'FO-GC-012'!$D$20:$H$109,2,0),""))</f>
        <v/>
      </c>
      <c r="AJ27" s="66" t="str">
        <f>IF($C27="","",IFERROR(VLOOKUP(CONCATENATE(AI$3,"-",$C27),'FO-GC-012'!$D$20:$H$109,3,0),""))</f>
        <v/>
      </c>
      <c r="AK27" s="67" t="str">
        <f>IF($C27="","",IFERROR(VLOOKUP(CONCATENATE(AI$3,"-",$C27),'FO-GC-012'!$D$20:$H$109,4,0),""))</f>
        <v/>
      </c>
      <c r="AL27" s="68" t="str">
        <f>IF($C27="","",IFERROR(VLOOKUP(CONCATENATE(AI$3,"-",$C27),'FO-GC-012'!$D$20:$H$109,5,0),""))</f>
        <v/>
      </c>
      <c r="AM27" s="65" t="str">
        <f>IF($C27="","",IFERROR(VLOOKUP(CONCATENATE(AM$3,"-",$C27),'FO-GC-012'!$D$20:$H$109,2,0),""))</f>
        <v/>
      </c>
      <c r="AN27" s="66" t="str">
        <f>IF($C27="","",IFERROR(VLOOKUP(CONCATENATE(AM$3,"-",$C27),'FO-GC-012'!$D$20:$H$109,3,0),""))</f>
        <v/>
      </c>
      <c r="AO27" s="67" t="str">
        <f>IF($C27="","",IFERROR(VLOOKUP(CONCATENATE(AM$3,"-",$C27),'FO-GC-012'!$D$20:$H$109,4,0),""))</f>
        <v/>
      </c>
      <c r="AP27" s="68" t="str">
        <f>IF($C27="","",IFERROR(VLOOKUP(CONCATENATE(AM$3,"-",$C27),'FO-GC-012'!$D$20:$H$109,5,0),""))</f>
        <v/>
      </c>
      <c r="AQ27" s="65" t="str">
        <f>IF($C27="","",IFERROR(VLOOKUP(CONCATENATE(AQ$3,"-",$C27),'FO-GC-012'!$D$20:$H$109,2,0),""))</f>
        <v/>
      </c>
      <c r="AR27" s="66" t="str">
        <f>IF($C27="","",IFERROR(VLOOKUP(CONCATENATE(AQ$3,"-",$C27),'FO-GC-012'!$D$20:$H$109,3,0),""))</f>
        <v/>
      </c>
      <c r="AS27" s="67" t="str">
        <f>IF($C27="","",IFERROR(VLOOKUP(CONCATENATE(AQ$3,"-",$C27),'FO-GC-012'!$D$20:$H$109,4,0),""))</f>
        <v/>
      </c>
      <c r="AT27" s="68" t="str">
        <f>IF($C27="","",IFERROR(VLOOKUP(CONCATENATE(AQ$3,"-",$C27),'FO-GC-012'!$D$20:$H$109,5,0),""))</f>
        <v/>
      </c>
      <c r="AU27" s="65" t="str">
        <f>IF($C27="","",IFERROR(VLOOKUP(CONCATENATE(AU$3,"-",$C27),'FO-GC-012'!$D$20:$H$109,2,0),""))</f>
        <v/>
      </c>
      <c r="AV27" s="66" t="str">
        <f>IF($C27="","",IFERROR(VLOOKUP(CONCATENATE(AU$3,"-",$C27),'FO-GC-012'!$D$20:$H$109,3,0),""))</f>
        <v/>
      </c>
      <c r="AW27" s="67" t="str">
        <f>IF($C27="","",IFERROR(VLOOKUP(CONCATENATE(AU$3,"-",$C27),'FO-GC-012'!$D$20:$H$109,4,0),""))</f>
        <v/>
      </c>
      <c r="AX27" s="68" t="str">
        <f>IF($C27="","",IFERROR(VLOOKUP(CONCATENATE(AU$3,"-",$C27),'FO-GC-012'!$D$20:$H$109,5,0),""))</f>
        <v/>
      </c>
      <c r="AY27" s="65" t="str">
        <f>IF($C27="","",IFERROR(VLOOKUP(CONCATENATE(AY$3,"-",$C27),'FO-GC-012'!$D$20:$H$109,2,0),""))</f>
        <v/>
      </c>
      <c r="AZ27" s="66" t="str">
        <f>IF($C27="","",IFERROR(VLOOKUP(CONCATENATE(AY$3,"-",$C27),'FO-GC-012'!$D$20:$H$109,3,0),""))</f>
        <v/>
      </c>
      <c r="BA27" s="67" t="str">
        <f>IF($C27="","",IFERROR(VLOOKUP(CONCATENATE(AY$3,"-",$C27),'FO-GC-012'!$D$20:$H$109,4,0),""))</f>
        <v/>
      </c>
      <c r="BB27" s="68" t="str">
        <f>IF($C27="","",IFERROR(VLOOKUP(CONCATENATE(AY$3,"-",$C27),'FO-GC-012'!$D$20:$H$109,5,0),""))</f>
        <v/>
      </c>
      <c r="BC27" s="65" t="str">
        <f>IF($C27="","",IFERROR(VLOOKUP(CONCATENATE(BC$3,"-",$C27),'FO-GC-012'!$D$20:$H$109,2,0),""))</f>
        <v/>
      </c>
      <c r="BD27" s="66" t="str">
        <f>IF($C27="","",IFERROR(VLOOKUP(CONCATENATE(BC$3,"-",$C27),'FO-GC-012'!$D$20:$H$109,3,0),""))</f>
        <v/>
      </c>
      <c r="BE27" s="67" t="str">
        <f>IF($C27="","",IFERROR(VLOOKUP(CONCATENATE(BC$3,"-",$C27),'FO-GC-012'!$D$20:$H$109,4,0),""))</f>
        <v/>
      </c>
      <c r="BF27" s="68" t="str">
        <f>IF($C27="","",IFERROR(VLOOKUP(CONCATENATE(BC$3,"-",$C27),'FO-GC-012'!$D$20:$H$109,5,0),""))</f>
        <v/>
      </c>
      <c r="BG27" s="65" t="str">
        <f>IF($C27="","",IFERROR(VLOOKUP(CONCATENATE(BG$3,"-",$C27),'FO-GC-012'!$D$20:$H$109,2,0),""))</f>
        <v/>
      </c>
      <c r="BH27" s="66" t="str">
        <f>IF($C27="","",IFERROR(VLOOKUP(CONCATENATE(BG$3,"-",$C27),'FO-GC-012'!$D$20:$H$109,3,0),""))</f>
        <v/>
      </c>
      <c r="BI27" s="67" t="str">
        <f>IF($C27="","",IFERROR(VLOOKUP(CONCATENATE(BG$3,"-",$C27),'FO-GC-012'!$D$20:$H$109,4,0),""))</f>
        <v/>
      </c>
      <c r="BJ27" s="68" t="str">
        <f>IF($C27="","",IFERROR(VLOOKUP(CONCATENATE(BG$3,"-",$C27),'FO-GC-012'!$D$20:$H$109,5,0),""))</f>
        <v/>
      </c>
      <c r="BK27" s="65" t="str">
        <f>IF($C27="","",IFERROR(VLOOKUP(CONCATENATE(BK$3,"-",$C27),'FO-GC-012'!$D$20:$H$109,2,0),""))</f>
        <v/>
      </c>
      <c r="BL27" s="66" t="str">
        <f>IF($C27="","",IFERROR(VLOOKUP(CONCATENATE(BK$3,"-",$C27),'FO-GC-012'!$D$20:$H$109,3,0),""))</f>
        <v/>
      </c>
      <c r="BM27" s="67" t="str">
        <f>IF($C27="","",IFERROR(VLOOKUP(CONCATENATE(BK$3,"-",$C27),'FO-GC-012'!$D$20:$H$109,4,0),""))</f>
        <v/>
      </c>
      <c r="BN27" s="68" t="str">
        <f>IF($C27="","",IFERROR(VLOOKUP(CONCATENATE(BK$3,"-",$C27),'FO-GC-012'!$D$20:$H$109,5,0),""))</f>
        <v/>
      </c>
      <c r="BO27" s="65" t="str">
        <f>IF($C27="","",IFERROR(VLOOKUP(CONCATENATE(BO$3,"-",$C27),'FO-GC-012'!$D$20:$H$109,2,0),""))</f>
        <v/>
      </c>
      <c r="BP27" s="66" t="str">
        <f>IF($C27="","",IFERROR(VLOOKUP(CONCATENATE(BO$3,"-",$C27),'FO-GC-012'!$D$20:$H$109,3,0),""))</f>
        <v/>
      </c>
      <c r="BQ27" s="67" t="str">
        <f>IF($C27="","",IFERROR(VLOOKUP(CONCATENATE(BO$3,"-",$C27),'FO-GC-012'!$D$20:$H$109,4,0),""))</f>
        <v/>
      </c>
      <c r="BR27" s="68" t="str">
        <f>IF($C27="","",IFERROR(VLOOKUP(CONCATENATE(BO$3,"-",$C27),'FO-GC-012'!$D$20:$H$109,5,0),""))</f>
        <v/>
      </c>
      <c r="BS27" s="65" t="str">
        <f>IF($C27="","",IFERROR(VLOOKUP(CONCATENATE(BS$3,"-",$C27),'FO-GC-012'!$D$20:$H$109,2,0),""))</f>
        <v/>
      </c>
      <c r="BT27" s="66" t="str">
        <f>IF($C27="","",IFERROR(VLOOKUP(CONCATENATE(BS$3,"-",$C27),'FO-GC-012'!$D$20:$H$109,3,0),""))</f>
        <v/>
      </c>
      <c r="BU27" s="67" t="str">
        <f>IF($C27="","",IFERROR(VLOOKUP(CONCATENATE(BS$3,"-",$C27),'FO-GC-012'!$D$20:$H$109,4,0),""))</f>
        <v/>
      </c>
      <c r="BV27" s="68" t="str">
        <f>IF($C27="","",IFERROR(VLOOKUP(CONCATENATE(BS$3,"-",$C27),'FO-GC-012'!$D$20:$H$109,5,0),""))</f>
        <v/>
      </c>
      <c r="BW27" s="65" t="str">
        <f>IF($C27="","",IFERROR(VLOOKUP(CONCATENATE(BW$3,"-",$C27),'FO-GC-012'!$D$20:$H$109,2,0),""))</f>
        <v/>
      </c>
      <c r="BX27" s="66" t="str">
        <f>IF($C27="","",IFERROR(VLOOKUP(CONCATENATE(BW$3,"-",$C27),'FO-GC-012'!$D$20:$H$109,3,0),""))</f>
        <v/>
      </c>
      <c r="BY27" s="67" t="str">
        <f>IF($C27="","",IFERROR(VLOOKUP(CONCATENATE(BW$3,"-",$C27),'FO-GC-012'!$D$20:$H$109,4,0),""))</f>
        <v/>
      </c>
      <c r="BZ27" s="68" t="str">
        <f>IF($C27="","",IFERROR(VLOOKUP(CONCATENATE(BW$3,"-",$C27),'FO-GC-012'!$D$20:$H$109,5,0),""))</f>
        <v/>
      </c>
      <c r="CA27" s="65" t="str">
        <f>IF($C27="","",IFERROR(VLOOKUP(CONCATENATE(CA$3,"-",$C27),'FO-GC-012'!$D$20:$H$109,2,0),""))</f>
        <v/>
      </c>
      <c r="CB27" s="66" t="str">
        <f>IF($C27="","",IFERROR(VLOOKUP(CONCATENATE(CA$3,"-",$C27),'FO-GC-012'!$D$20:$H$109,3,0),""))</f>
        <v/>
      </c>
      <c r="CC27" s="67" t="str">
        <f>IF($C27="","",IFERROR(VLOOKUP(CONCATENATE(CA$3,"-",$C27),'FO-GC-012'!$D$20:$H$109,4,0),""))</f>
        <v/>
      </c>
      <c r="CD27" s="68" t="str">
        <f>IF($C27="","",IFERROR(VLOOKUP(CONCATENATE(CA$3,"-",$C27),'FO-GC-012'!$D$20:$H$109,5,0),""))</f>
        <v/>
      </c>
      <c r="CE27" s="65" t="str">
        <f>IF($C27="","",IFERROR(VLOOKUP(CONCATENATE(CE$3,"-",$C27),'FO-GC-012'!$D$20:$H$109,2,0),""))</f>
        <v/>
      </c>
      <c r="CF27" s="66" t="str">
        <f>IF($C27="","",IFERROR(VLOOKUP(CONCATENATE(CE$3,"-",$C27),'FO-GC-012'!$D$20:$H$109,3,0),""))</f>
        <v/>
      </c>
      <c r="CG27" s="67" t="str">
        <f>IF($C27="","",IFERROR(VLOOKUP(CONCATENATE(CE$3,"-",$C27),'FO-GC-012'!$D$20:$H$109,4,0),""))</f>
        <v/>
      </c>
      <c r="CH27" s="68" t="str">
        <f>IF($C27="","",IFERROR(VLOOKUP(CONCATENATE(CE$3,"-",$C27),'FO-GC-012'!$D$20:$H$109,5,0),""))</f>
        <v/>
      </c>
    </row>
    <row r="28" spans="2:86" ht="33.75" customHeight="1" x14ac:dyDescent="0.35">
      <c r="B28" s="83" t="str">
        <f>IF(C28="","",COUNTA(C$4:C28))</f>
        <v/>
      </c>
      <c r="C28" s="82" t="str">
        <f>'Eq. Auditor'!B27</f>
        <v/>
      </c>
      <c r="D28" s="83" t="str">
        <f>IF(C28="","",COUNTIF('FO-GC-012'!A:A,CONCATENATE("P-",C28)))</f>
        <v/>
      </c>
      <c r="E28" s="83" t="str">
        <f>IF(C28="","",COUNTIF('FO-GC-012'!A:A,CONCATENATE("A-",C28)))</f>
        <v/>
      </c>
      <c r="F28" s="83" t="str">
        <f t="shared" si="3"/>
        <v/>
      </c>
      <c r="G28" s="69" t="str">
        <f>IF($C28="","",IFERROR(VLOOKUP(CONCATENATE(G$3,"-",$C28),'FO-GC-012'!$D$20:$H$109,2,0),""))</f>
        <v/>
      </c>
      <c r="H28" s="70" t="str">
        <f>IF($C28="","",IFERROR(VLOOKUP(CONCATENATE(G$3,"-",$C28),'FO-GC-012'!$D$20:$H$109,3,0),""))</f>
        <v/>
      </c>
      <c r="I28" s="71" t="str">
        <f>IF($C28="","",IFERROR(VLOOKUP(CONCATENATE(G$3,"-",$C28),'FO-GC-012'!$D$20:$H$109,4,0),""))</f>
        <v/>
      </c>
      <c r="J28" s="72" t="str">
        <f>IF($C28="","",IFERROR(VLOOKUP(CONCATENATE(G$3,"-",$C28),'FO-GC-012'!$D$20:$H$109,5,0),""))</f>
        <v/>
      </c>
      <c r="K28" s="69" t="str">
        <f>IF($C28="","",IFERROR(VLOOKUP(CONCATENATE(K$3,"-",$C28),'FO-GC-012'!$D$20:$H$109,2,0),""))</f>
        <v/>
      </c>
      <c r="L28" s="70" t="str">
        <f>IF($C28="","",IFERROR(VLOOKUP(CONCATENATE(K$3,"-",$C28),'FO-GC-012'!$D$20:$H$109,3,0),""))</f>
        <v/>
      </c>
      <c r="M28" s="71" t="str">
        <f>IF($C28="","",IFERROR(VLOOKUP(CONCATENATE(K$3,"-",$C28),'FO-GC-012'!$D$20:$H$109,4,0),""))</f>
        <v/>
      </c>
      <c r="N28" s="72" t="str">
        <f>IF($C28="","",IFERROR(VLOOKUP(CONCATENATE(K$3,"-",$C28),'FO-GC-012'!$D$20:$H$109,5,0),""))</f>
        <v/>
      </c>
      <c r="O28" s="69" t="str">
        <f>IF($C28="","",IFERROR(VLOOKUP(CONCATENATE(O$3,"-",$C28),'FO-GC-012'!$D$20:$H$109,2,0),""))</f>
        <v/>
      </c>
      <c r="P28" s="70" t="str">
        <f>IF($C28="","",IFERROR(VLOOKUP(CONCATENATE(O$3,"-",$C28),'FO-GC-012'!$D$20:$H$109,3,0),""))</f>
        <v/>
      </c>
      <c r="Q28" s="71" t="str">
        <f>IF($C28="","",IFERROR(VLOOKUP(CONCATENATE(O$3,"-",$C28),'FO-GC-012'!$D$20:$H$109,4,0),""))</f>
        <v/>
      </c>
      <c r="R28" s="72" t="str">
        <f>IF($C28="","",IFERROR(VLOOKUP(CONCATENATE(O$3,"-",$C28),'FO-GC-012'!$D$20:$H$109,5,0),""))</f>
        <v/>
      </c>
      <c r="S28" s="69" t="str">
        <f>IF($C28="","",IFERROR(VLOOKUP(CONCATENATE(S$3,"-",$C28),'FO-GC-012'!$D$20:$H$109,2,0),""))</f>
        <v/>
      </c>
      <c r="T28" s="70" t="str">
        <f>IF($C28="","",IFERROR(VLOOKUP(CONCATENATE(S$3,"-",$C28),'FO-GC-012'!$D$20:$H$109,3,0),""))</f>
        <v/>
      </c>
      <c r="U28" s="71" t="str">
        <f>IF($C28="","",IFERROR(VLOOKUP(CONCATENATE(S$3,"-",$C28),'FO-GC-012'!$D$20:$H$109,4,0),""))</f>
        <v/>
      </c>
      <c r="V28" s="72" t="str">
        <f>IF($C28="","",IFERROR(VLOOKUP(CONCATENATE(S$3,"-",$C28),'FO-GC-012'!$D$20:$H$109,5,0),""))</f>
        <v/>
      </c>
      <c r="W28" s="69" t="str">
        <f>IF($C28="","",IFERROR(VLOOKUP(CONCATENATE(W$3,"-",$C28),'FO-GC-012'!$D$20:$H$109,2,0),""))</f>
        <v/>
      </c>
      <c r="X28" s="70" t="str">
        <f>IF($C28="","",IFERROR(VLOOKUP(CONCATENATE(W$3,"-",$C28),'FO-GC-012'!$D$20:$H$109,3,0),""))</f>
        <v/>
      </c>
      <c r="Y28" s="71" t="str">
        <f>IF($C28="","",IFERROR(VLOOKUP(CONCATENATE(W$3,"-",$C28),'FO-GC-012'!$D$20:$H$109,4,0),""))</f>
        <v/>
      </c>
      <c r="Z28" s="72" t="str">
        <f>IF($C28="","",IFERROR(VLOOKUP(CONCATENATE(W$3,"-",$C28),'FO-GC-012'!$D$20:$H$109,5,0),""))</f>
        <v/>
      </c>
      <c r="AA28" s="69" t="str">
        <f>IF($C28="","",IFERROR(VLOOKUP(CONCATENATE(AA$3,"-",$C28),'FO-GC-012'!$D$20:$H$109,2,0),""))</f>
        <v/>
      </c>
      <c r="AB28" s="70" t="str">
        <f>IF($C28="","",IFERROR(VLOOKUP(CONCATENATE(AA$3,"-",$C28),'FO-GC-012'!$D$20:$H$109,3,0),""))</f>
        <v/>
      </c>
      <c r="AC28" s="71" t="str">
        <f>IF($C28="","",IFERROR(VLOOKUP(CONCATENATE(AA$3,"-",$C28),'FO-GC-012'!$D$20:$H$109,4,0),""))</f>
        <v/>
      </c>
      <c r="AD28" s="72" t="str">
        <f>IF($C28="","",IFERROR(VLOOKUP(CONCATENATE(AA$3,"-",$C28),'FO-GC-012'!$D$20:$H$109,5,0),""))</f>
        <v/>
      </c>
      <c r="AE28" s="69" t="str">
        <f>IF($C28="","",IFERROR(VLOOKUP(CONCATENATE(AE$3,"-",$C28),'FO-GC-012'!$D$20:$H$109,2,0),""))</f>
        <v/>
      </c>
      <c r="AF28" s="70" t="str">
        <f>IF($C28="","",IFERROR(VLOOKUP(CONCATENATE(AE$3,"-",$C28),'FO-GC-012'!$D$20:$H$109,3,0),""))</f>
        <v/>
      </c>
      <c r="AG28" s="71" t="str">
        <f>IF($C28="","",IFERROR(VLOOKUP(CONCATENATE(AE$3,"-",$C28),'FO-GC-012'!$D$20:$H$109,4,0),""))</f>
        <v/>
      </c>
      <c r="AH28" s="72" t="str">
        <f>IF($C28="","",IFERROR(VLOOKUP(CONCATENATE(AE$3,"-",$C28),'FO-GC-012'!$D$20:$H$109,5,0),""))</f>
        <v/>
      </c>
      <c r="AI28" s="69" t="str">
        <f>IF($C28="","",IFERROR(VLOOKUP(CONCATENATE(AI$3,"-",$C28),'FO-GC-012'!$D$20:$H$109,2,0),""))</f>
        <v/>
      </c>
      <c r="AJ28" s="70" t="str">
        <f>IF($C28="","",IFERROR(VLOOKUP(CONCATENATE(AI$3,"-",$C28),'FO-GC-012'!$D$20:$H$109,3,0),""))</f>
        <v/>
      </c>
      <c r="AK28" s="71" t="str">
        <f>IF($C28="","",IFERROR(VLOOKUP(CONCATENATE(AI$3,"-",$C28),'FO-GC-012'!$D$20:$H$109,4,0),""))</f>
        <v/>
      </c>
      <c r="AL28" s="72" t="str">
        <f>IF($C28="","",IFERROR(VLOOKUP(CONCATENATE(AI$3,"-",$C28),'FO-GC-012'!$D$20:$H$109,5,0),""))</f>
        <v/>
      </c>
      <c r="AM28" s="69" t="str">
        <f>IF($C28="","",IFERROR(VLOOKUP(CONCATENATE(AM$3,"-",$C28),'FO-GC-012'!$D$20:$H$109,2,0),""))</f>
        <v/>
      </c>
      <c r="AN28" s="70" t="str">
        <f>IF($C28="","",IFERROR(VLOOKUP(CONCATENATE(AM$3,"-",$C28),'FO-GC-012'!$D$20:$H$109,3,0),""))</f>
        <v/>
      </c>
      <c r="AO28" s="71" t="str">
        <f>IF($C28="","",IFERROR(VLOOKUP(CONCATENATE(AM$3,"-",$C28),'FO-GC-012'!$D$20:$H$109,4,0),""))</f>
        <v/>
      </c>
      <c r="AP28" s="72" t="str">
        <f>IF($C28="","",IFERROR(VLOOKUP(CONCATENATE(AM$3,"-",$C28),'FO-GC-012'!$D$20:$H$109,5,0),""))</f>
        <v/>
      </c>
      <c r="AQ28" s="69" t="str">
        <f>IF($C28="","",IFERROR(VLOOKUP(CONCATENATE(AQ$3,"-",$C28),'FO-GC-012'!$D$20:$H$109,2,0),""))</f>
        <v/>
      </c>
      <c r="AR28" s="70" t="str">
        <f>IF($C28="","",IFERROR(VLOOKUP(CONCATENATE(AQ$3,"-",$C28),'FO-GC-012'!$D$20:$H$109,3,0),""))</f>
        <v/>
      </c>
      <c r="AS28" s="71" t="str">
        <f>IF($C28="","",IFERROR(VLOOKUP(CONCATENATE(AQ$3,"-",$C28),'FO-GC-012'!$D$20:$H$109,4,0),""))</f>
        <v/>
      </c>
      <c r="AT28" s="72" t="str">
        <f>IF($C28="","",IFERROR(VLOOKUP(CONCATENATE(AQ$3,"-",$C28),'FO-GC-012'!$D$20:$H$109,5,0),""))</f>
        <v/>
      </c>
      <c r="AU28" s="69" t="str">
        <f>IF($C28="","",IFERROR(VLOOKUP(CONCATENATE(AU$3,"-",$C28),'FO-GC-012'!$D$20:$H$109,2,0),""))</f>
        <v/>
      </c>
      <c r="AV28" s="70" t="str">
        <f>IF($C28="","",IFERROR(VLOOKUP(CONCATENATE(AU$3,"-",$C28),'FO-GC-012'!$D$20:$H$109,3,0),""))</f>
        <v/>
      </c>
      <c r="AW28" s="71" t="str">
        <f>IF($C28="","",IFERROR(VLOOKUP(CONCATENATE(AU$3,"-",$C28),'FO-GC-012'!$D$20:$H$109,4,0),""))</f>
        <v/>
      </c>
      <c r="AX28" s="72" t="str">
        <f>IF($C28="","",IFERROR(VLOOKUP(CONCATENATE(AU$3,"-",$C28),'FO-GC-012'!$D$20:$H$109,5,0),""))</f>
        <v/>
      </c>
      <c r="AY28" s="69" t="str">
        <f>IF($C28="","",IFERROR(VLOOKUP(CONCATENATE(AY$3,"-",$C28),'FO-GC-012'!$D$20:$H$109,2,0),""))</f>
        <v/>
      </c>
      <c r="AZ28" s="70" t="str">
        <f>IF($C28="","",IFERROR(VLOOKUP(CONCATENATE(AY$3,"-",$C28),'FO-GC-012'!$D$20:$H$109,3,0),""))</f>
        <v/>
      </c>
      <c r="BA28" s="71" t="str">
        <f>IF($C28="","",IFERROR(VLOOKUP(CONCATENATE(AY$3,"-",$C28),'FO-GC-012'!$D$20:$H$109,4,0),""))</f>
        <v/>
      </c>
      <c r="BB28" s="72" t="str">
        <f>IF($C28="","",IFERROR(VLOOKUP(CONCATENATE(AY$3,"-",$C28),'FO-GC-012'!$D$20:$H$109,5,0),""))</f>
        <v/>
      </c>
      <c r="BC28" s="69" t="str">
        <f>IF($C28="","",IFERROR(VLOOKUP(CONCATENATE(BC$3,"-",$C28),'FO-GC-012'!$D$20:$H$109,2,0),""))</f>
        <v/>
      </c>
      <c r="BD28" s="70" t="str">
        <f>IF($C28="","",IFERROR(VLOOKUP(CONCATENATE(BC$3,"-",$C28),'FO-GC-012'!$D$20:$H$109,3,0),""))</f>
        <v/>
      </c>
      <c r="BE28" s="71" t="str">
        <f>IF($C28="","",IFERROR(VLOOKUP(CONCATENATE(BC$3,"-",$C28),'FO-GC-012'!$D$20:$H$109,4,0),""))</f>
        <v/>
      </c>
      <c r="BF28" s="72" t="str">
        <f>IF($C28="","",IFERROR(VLOOKUP(CONCATENATE(BC$3,"-",$C28),'FO-GC-012'!$D$20:$H$109,5,0),""))</f>
        <v/>
      </c>
      <c r="BG28" s="69" t="str">
        <f>IF($C28="","",IFERROR(VLOOKUP(CONCATENATE(BG$3,"-",$C28),'FO-GC-012'!$D$20:$H$109,2,0),""))</f>
        <v/>
      </c>
      <c r="BH28" s="70" t="str">
        <f>IF($C28="","",IFERROR(VLOOKUP(CONCATENATE(BG$3,"-",$C28),'FO-GC-012'!$D$20:$H$109,3,0),""))</f>
        <v/>
      </c>
      <c r="BI28" s="71" t="str">
        <f>IF($C28="","",IFERROR(VLOOKUP(CONCATENATE(BG$3,"-",$C28),'FO-GC-012'!$D$20:$H$109,4,0),""))</f>
        <v/>
      </c>
      <c r="BJ28" s="72" t="str">
        <f>IF($C28="","",IFERROR(VLOOKUP(CONCATENATE(BG$3,"-",$C28),'FO-GC-012'!$D$20:$H$109,5,0),""))</f>
        <v/>
      </c>
      <c r="BK28" s="69" t="str">
        <f>IF($C28="","",IFERROR(VLOOKUP(CONCATENATE(BK$3,"-",$C28),'FO-GC-012'!$D$20:$H$109,2,0),""))</f>
        <v/>
      </c>
      <c r="BL28" s="70" t="str">
        <f>IF($C28="","",IFERROR(VLOOKUP(CONCATENATE(BK$3,"-",$C28),'FO-GC-012'!$D$20:$H$109,3,0),""))</f>
        <v/>
      </c>
      <c r="BM28" s="71" t="str">
        <f>IF($C28="","",IFERROR(VLOOKUP(CONCATENATE(BK$3,"-",$C28),'FO-GC-012'!$D$20:$H$109,4,0),""))</f>
        <v/>
      </c>
      <c r="BN28" s="72" t="str">
        <f>IF($C28="","",IFERROR(VLOOKUP(CONCATENATE(BK$3,"-",$C28),'FO-GC-012'!$D$20:$H$109,5,0),""))</f>
        <v/>
      </c>
      <c r="BO28" s="69" t="str">
        <f>IF($C28="","",IFERROR(VLOOKUP(CONCATENATE(BO$3,"-",$C28),'FO-GC-012'!$D$20:$H$109,2,0),""))</f>
        <v/>
      </c>
      <c r="BP28" s="70" t="str">
        <f>IF($C28="","",IFERROR(VLOOKUP(CONCATENATE(BO$3,"-",$C28),'FO-GC-012'!$D$20:$H$109,3,0),""))</f>
        <v/>
      </c>
      <c r="BQ28" s="71" t="str">
        <f>IF($C28="","",IFERROR(VLOOKUP(CONCATENATE(BO$3,"-",$C28),'FO-GC-012'!$D$20:$H$109,4,0),""))</f>
        <v/>
      </c>
      <c r="BR28" s="72" t="str">
        <f>IF($C28="","",IFERROR(VLOOKUP(CONCATENATE(BO$3,"-",$C28),'FO-GC-012'!$D$20:$H$109,5,0),""))</f>
        <v/>
      </c>
      <c r="BS28" s="69" t="str">
        <f>IF($C28="","",IFERROR(VLOOKUP(CONCATENATE(BS$3,"-",$C28),'FO-GC-012'!$D$20:$H$109,2,0),""))</f>
        <v/>
      </c>
      <c r="BT28" s="70" t="str">
        <f>IF($C28="","",IFERROR(VLOOKUP(CONCATENATE(BS$3,"-",$C28),'FO-GC-012'!$D$20:$H$109,3,0),""))</f>
        <v/>
      </c>
      <c r="BU28" s="71" t="str">
        <f>IF($C28="","",IFERROR(VLOOKUP(CONCATENATE(BS$3,"-",$C28),'FO-GC-012'!$D$20:$H$109,4,0),""))</f>
        <v/>
      </c>
      <c r="BV28" s="72" t="str">
        <f>IF($C28="","",IFERROR(VLOOKUP(CONCATENATE(BS$3,"-",$C28),'FO-GC-012'!$D$20:$H$109,5,0),""))</f>
        <v/>
      </c>
      <c r="BW28" s="69" t="str">
        <f>IF($C28="","",IFERROR(VLOOKUP(CONCATENATE(BW$3,"-",$C28),'FO-GC-012'!$D$20:$H$109,2,0),""))</f>
        <v/>
      </c>
      <c r="BX28" s="70" t="str">
        <f>IF($C28="","",IFERROR(VLOOKUP(CONCATENATE(BW$3,"-",$C28),'FO-GC-012'!$D$20:$H$109,3,0),""))</f>
        <v/>
      </c>
      <c r="BY28" s="71" t="str">
        <f>IF($C28="","",IFERROR(VLOOKUP(CONCATENATE(BW$3,"-",$C28),'FO-GC-012'!$D$20:$H$109,4,0),""))</f>
        <v/>
      </c>
      <c r="BZ28" s="72" t="str">
        <f>IF($C28="","",IFERROR(VLOOKUP(CONCATENATE(BW$3,"-",$C28),'FO-GC-012'!$D$20:$H$109,5,0),""))</f>
        <v/>
      </c>
      <c r="CA28" s="69" t="str">
        <f>IF($C28="","",IFERROR(VLOOKUP(CONCATENATE(CA$3,"-",$C28),'FO-GC-012'!$D$20:$H$109,2,0),""))</f>
        <v/>
      </c>
      <c r="CB28" s="70" t="str">
        <f>IF($C28="","",IFERROR(VLOOKUP(CONCATENATE(CA$3,"-",$C28),'FO-GC-012'!$D$20:$H$109,3,0),""))</f>
        <v/>
      </c>
      <c r="CC28" s="71" t="str">
        <f>IF($C28="","",IFERROR(VLOOKUP(CONCATENATE(CA$3,"-",$C28),'FO-GC-012'!$D$20:$H$109,4,0),""))</f>
        <v/>
      </c>
      <c r="CD28" s="72" t="str">
        <f>IF($C28="","",IFERROR(VLOOKUP(CONCATENATE(CA$3,"-",$C28),'FO-GC-012'!$D$20:$H$109,5,0),""))</f>
        <v/>
      </c>
      <c r="CE28" s="69" t="str">
        <f>IF($C28="","",IFERROR(VLOOKUP(CONCATENATE(CE$3,"-",$C28),'FO-GC-012'!$D$20:$H$109,2,0),""))</f>
        <v/>
      </c>
      <c r="CF28" s="70" t="str">
        <f>IF($C28="","",IFERROR(VLOOKUP(CONCATENATE(CE$3,"-",$C28),'FO-GC-012'!$D$20:$H$109,3,0),""))</f>
        <v/>
      </c>
      <c r="CG28" s="71" t="str">
        <f>IF($C28="","",IFERROR(VLOOKUP(CONCATENATE(CE$3,"-",$C28),'FO-GC-012'!$D$20:$H$109,4,0),""))</f>
        <v/>
      </c>
      <c r="CH28" s="72" t="str">
        <f>IF($C28="","",IFERROR(VLOOKUP(CONCATENATE(CE$3,"-",$C28),'FO-GC-012'!$D$20:$H$109,5,0),""))</f>
        <v/>
      </c>
    </row>
    <row r="29" spans="2:86" ht="33.75" customHeight="1" x14ac:dyDescent="0.35">
      <c r="B29" s="83">
        <f>IF(C29="","",COUNTA(C$4:C29))</f>
        <v>26</v>
      </c>
      <c r="C29" s="82" t="str">
        <f>'Eq. Auditor'!B28</f>
        <v>Sergio Andrés Lozano Niño</v>
      </c>
      <c r="D29" s="83">
        <f>IF(C29="","",COUNTIF('FO-GC-012'!A:A,CONCATENATE("P-",C29)))</f>
        <v>0</v>
      </c>
      <c r="E29" s="83">
        <f>IF(C29="","",COUNTIF('FO-GC-012'!A:A,CONCATENATE("A-",C29)))</f>
        <v>0</v>
      </c>
      <c r="F29" s="83">
        <f t="shared" si="3"/>
        <v>0</v>
      </c>
      <c r="G29" s="65" t="str">
        <f>IF($C29="","",IFERROR(VLOOKUP(CONCATENATE(G$3,"-",$C29),'FO-GC-012'!$D$20:$H$109,2,0),""))</f>
        <v/>
      </c>
      <c r="H29" s="66" t="str">
        <f>IF($C29="","",IFERROR(VLOOKUP(CONCATENATE(G$3,"-",$C29),'FO-GC-012'!$D$20:$H$109,3,0),""))</f>
        <v/>
      </c>
      <c r="I29" s="67" t="str">
        <f>IF($C29="","",IFERROR(VLOOKUP(CONCATENATE(G$3,"-",$C29),'FO-GC-012'!$D$20:$H$109,4,0),""))</f>
        <v/>
      </c>
      <c r="J29" s="68" t="str">
        <f>IF($C29="","",IFERROR(VLOOKUP(CONCATENATE(G$3,"-",$C29),'FO-GC-012'!$D$20:$H$109,5,0),""))</f>
        <v/>
      </c>
      <c r="K29" s="65" t="str">
        <f>IF($C29="","",IFERROR(VLOOKUP(CONCATENATE(K$3,"-",$C29),'FO-GC-012'!$D$20:$H$109,2,0),""))</f>
        <v/>
      </c>
      <c r="L29" s="66" t="str">
        <f>IF($C29="","",IFERROR(VLOOKUP(CONCATENATE(K$3,"-",$C29),'FO-GC-012'!$D$20:$H$109,3,0),""))</f>
        <v/>
      </c>
      <c r="M29" s="67" t="str">
        <f>IF($C29="","",IFERROR(VLOOKUP(CONCATENATE(K$3,"-",$C29),'FO-GC-012'!$D$20:$H$109,4,0),""))</f>
        <v/>
      </c>
      <c r="N29" s="68" t="str">
        <f>IF($C29="","",IFERROR(VLOOKUP(CONCATENATE(K$3,"-",$C29),'FO-GC-012'!$D$20:$H$109,5,0),""))</f>
        <v/>
      </c>
      <c r="O29" s="65" t="str">
        <f>IF($C29="","",IFERROR(VLOOKUP(CONCATENATE(O$3,"-",$C29),'FO-GC-012'!$D$20:$H$109,2,0),""))</f>
        <v/>
      </c>
      <c r="P29" s="66" t="str">
        <f>IF($C29="","",IFERROR(VLOOKUP(CONCATENATE(O$3,"-",$C29),'FO-GC-012'!$D$20:$H$109,3,0),""))</f>
        <v/>
      </c>
      <c r="Q29" s="67" t="str">
        <f>IF($C29="","",IFERROR(VLOOKUP(CONCATENATE(O$3,"-",$C29),'FO-GC-012'!$D$20:$H$109,4,0),""))</f>
        <v/>
      </c>
      <c r="R29" s="68" t="str">
        <f>IF($C29="","",IFERROR(VLOOKUP(CONCATENATE(O$3,"-",$C29),'FO-GC-012'!$D$20:$H$109,5,0),""))</f>
        <v/>
      </c>
      <c r="S29" s="65" t="str">
        <f>IF($C29="","",IFERROR(VLOOKUP(CONCATENATE(S$3,"-",$C29),'FO-GC-012'!$D$20:$H$109,2,0),""))</f>
        <v/>
      </c>
      <c r="T29" s="66" t="str">
        <f>IF($C29="","",IFERROR(VLOOKUP(CONCATENATE(S$3,"-",$C29),'FO-GC-012'!$D$20:$H$109,3,0),""))</f>
        <v/>
      </c>
      <c r="U29" s="67" t="str">
        <f>IF($C29="","",IFERROR(VLOOKUP(CONCATENATE(S$3,"-",$C29),'FO-GC-012'!$D$20:$H$109,4,0),""))</f>
        <v/>
      </c>
      <c r="V29" s="68" t="str">
        <f>IF($C29="","",IFERROR(VLOOKUP(CONCATENATE(S$3,"-",$C29),'FO-GC-012'!$D$20:$H$109,5,0),""))</f>
        <v/>
      </c>
      <c r="W29" s="65" t="str">
        <f>IF($C29="","",IFERROR(VLOOKUP(CONCATENATE(W$3,"-",$C29),'FO-GC-012'!$D$20:$H$109,2,0),""))</f>
        <v/>
      </c>
      <c r="X29" s="66" t="str">
        <f>IF($C29="","",IFERROR(VLOOKUP(CONCATENATE(W$3,"-",$C29),'FO-GC-012'!$D$20:$H$109,3,0),""))</f>
        <v/>
      </c>
      <c r="Y29" s="67" t="str">
        <f>IF($C29="","",IFERROR(VLOOKUP(CONCATENATE(W$3,"-",$C29),'FO-GC-012'!$D$20:$H$109,4,0),""))</f>
        <v/>
      </c>
      <c r="Z29" s="68" t="str">
        <f>IF($C29="","",IFERROR(VLOOKUP(CONCATENATE(W$3,"-",$C29),'FO-GC-012'!$D$20:$H$109,5,0),""))</f>
        <v/>
      </c>
      <c r="AA29" s="65" t="str">
        <f>IF($C29="","",IFERROR(VLOOKUP(CONCATENATE(AA$3,"-",$C29),'FO-GC-012'!$D$20:$H$109,2,0),""))</f>
        <v/>
      </c>
      <c r="AB29" s="66" t="str">
        <f>IF($C29="","",IFERROR(VLOOKUP(CONCATENATE(AA$3,"-",$C29),'FO-GC-012'!$D$20:$H$109,3,0),""))</f>
        <v/>
      </c>
      <c r="AC29" s="67" t="str">
        <f>IF($C29="","",IFERROR(VLOOKUP(CONCATENATE(AA$3,"-",$C29),'FO-GC-012'!$D$20:$H$109,4,0),""))</f>
        <v/>
      </c>
      <c r="AD29" s="68" t="str">
        <f>IF($C29="","",IFERROR(VLOOKUP(CONCATENATE(AA$3,"-",$C29),'FO-GC-012'!$D$20:$H$109,5,0),""))</f>
        <v/>
      </c>
      <c r="AE29" s="65" t="str">
        <f>IF($C29="","",IFERROR(VLOOKUP(CONCATENATE(AE$3,"-",$C29),'FO-GC-012'!$D$20:$H$109,2,0),""))</f>
        <v/>
      </c>
      <c r="AF29" s="66" t="str">
        <f>IF($C29="","",IFERROR(VLOOKUP(CONCATENATE(AE$3,"-",$C29),'FO-GC-012'!$D$20:$H$109,3,0),""))</f>
        <v/>
      </c>
      <c r="AG29" s="67" t="str">
        <f>IF($C29="","",IFERROR(VLOOKUP(CONCATENATE(AE$3,"-",$C29),'FO-GC-012'!$D$20:$H$109,4,0),""))</f>
        <v/>
      </c>
      <c r="AH29" s="68" t="str">
        <f>IF($C29="","",IFERROR(VLOOKUP(CONCATENATE(AE$3,"-",$C29),'FO-GC-012'!$D$20:$H$109,5,0),""))</f>
        <v/>
      </c>
      <c r="AI29" s="65" t="str">
        <f>IF($C29="","",IFERROR(VLOOKUP(CONCATENATE(AI$3,"-",$C29),'FO-GC-012'!$D$20:$H$109,2,0),""))</f>
        <v/>
      </c>
      <c r="AJ29" s="66" t="str">
        <f>IF($C29="","",IFERROR(VLOOKUP(CONCATENATE(AI$3,"-",$C29),'FO-GC-012'!$D$20:$H$109,3,0),""))</f>
        <v/>
      </c>
      <c r="AK29" s="67" t="str">
        <f>IF($C29="","",IFERROR(VLOOKUP(CONCATENATE(AI$3,"-",$C29),'FO-GC-012'!$D$20:$H$109,4,0),""))</f>
        <v/>
      </c>
      <c r="AL29" s="68" t="str">
        <f>IF($C29="","",IFERROR(VLOOKUP(CONCATENATE(AI$3,"-",$C29),'FO-GC-012'!$D$20:$H$109,5,0),""))</f>
        <v/>
      </c>
      <c r="AM29" s="65" t="str">
        <f>IF($C29="","",IFERROR(VLOOKUP(CONCATENATE(AM$3,"-",$C29),'FO-GC-012'!$D$20:$H$109,2,0),""))</f>
        <v/>
      </c>
      <c r="AN29" s="66" t="str">
        <f>IF($C29="","",IFERROR(VLOOKUP(CONCATENATE(AM$3,"-",$C29),'FO-GC-012'!$D$20:$H$109,3,0),""))</f>
        <v/>
      </c>
      <c r="AO29" s="67" t="str">
        <f>IF($C29="","",IFERROR(VLOOKUP(CONCATENATE(AM$3,"-",$C29),'FO-GC-012'!$D$20:$H$109,4,0),""))</f>
        <v/>
      </c>
      <c r="AP29" s="68" t="str">
        <f>IF($C29="","",IFERROR(VLOOKUP(CONCATENATE(AM$3,"-",$C29),'FO-GC-012'!$D$20:$H$109,5,0),""))</f>
        <v/>
      </c>
      <c r="AQ29" s="65" t="str">
        <f>IF($C29="","",IFERROR(VLOOKUP(CONCATENATE(AQ$3,"-",$C29),'FO-GC-012'!$D$20:$H$109,2,0),""))</f>
        <v/>
      </c>
      <c r="AR29" s="66" t="str">
        <f>IF($C29="","",IFERROR(VLOOKUP(CONCATENATE(AQ$3,"-",$C29),'FO-GC-012'!$D$20:$H$109,3,0),""))</f>
        <v/>
      </c>
      <c r="AS29" s="67" t="str">
        <f>IF($C29="","",IFERROR(VLOOKUP(CONCATENATE(AQ$3,"-",$C29),'FO-GC-012'!$D$20:$H$109,4,0),""))</f>
        <v/>
      </c>
      <c r="AT29" s="68" t="str">
        <f>IF($C29="","",IFERROR(VLOOKUP(CONCATENATE(AQ$3,"-",$C29),'FO-GC-012'!$D$20:$H$109,5,0),""))</f>
        <v/>
      </c>
      <c r="AU29" s="65" t="str">
        <f>IF($C29="","",IFERROR(VLOOKUP(CONCATENATE(AU$3,"-",$C29),'FO-GC-012'!$D$20:$H$109,2,0),""))</f>
        <v/>
      </c>
      <c r="AV29" s="66" t="str">
        <f>IF($C29="","",IFERROR(VLOOKUP(CONCATENATE(AU$3,"-",$C29),'FO-GC-012'!$D$20:$H$109,3,0),""))</f>
        <v/>
      </c>
      <c r="AW29" s="67" t="str">
        <f>IF($C29="","",IFERROR(VLOOKUP(CONCATENATE(AU$3,"-",$C29),'FO-GC-012'!$D$20:$H$109,4,0),""))</f>
        <v/>
      </c>
      <c r="AX29" s="68" t="str">
        <f>IF($C29="","",IFERROR(VLOOKUP(CONCATENATE(AU$3,"-",$C29),'FO-GC-012'!$D$20:$H$109,5,0),""))</f>
        <v/>
      </c>
      <c r="AY29" s="65" t="str">
        <f>IF($C29="","",IFERROR(VLOOKUP(CONCATENATE(AY$3,"-",$C29),'FO-GC-012'!$D$20:$H$109,2,0),""))</f>
        <v/>
      </c>
      <c r="AZ29" s="66" t="str">
        <f>IF($C29="","",IFERROR(VLOOKUP(CONCATENATE(AY$3,"-",$C29),'FO-GC-012'!$D$20:$H$109,3,0),""))</f>
        <v/>
      </c>
      <c r="BA29" s="67" t="str">
        <f>IF($C29="","",IFERROR(VLOOKUP(CONCATENATE(AY$3,"-",$C29),'FO-GC-012'!$D$20:$H$109,4,0),""))</f>
        <v/>
      </c>
      <c r="BB29" s="68" t="str">
        <f>IF($C29="","",IFERROR(VLOOKUP(CONCATENATE(AY$3,"-",$C29),'FO-GC-012'!$D$20:$H$109,5,0),""))</f>
        <v/>
      </c>
      <c r="BC29" s="65" t="str">
        <f>IF($C29="","",IFERROR(VLOOKUP(CONCATENATE(BC$3,"-",$C29),'FO-GC-012'!$D$20:$H$109,2,0),""))</f>
        <v/>
      </c>
      <c r="BD29" s="66" t="str">
        <f>IF($C29="","",IFERROR(VLOOKUP(CONCATENATE(BC$3,"-",$C29),'FO-GC-012'!$D$20:$H$109,3,0),""))</f>
        <v/>
      </c>
      <c r="BE29" s="67" t="str">
        <f>IF($C29="","",IFERROR(VLOOKUP(CONCATENATE(BC$3,"-",$C29),'FO-GC-012'!$D$20:$H$109,4,0),""))</f>
        <v/>
      </c>
      <c r="BF29" s="68" t="str">
        <f>IF($C29="","",IFERROR(VLOOKUP(CONCATENATE(BC$3,"-",$C29),'FO-GC-012'!$D$20:$H$109,5,0),""))</f>
        <v/>
      </c>
      <c r="BG29" s="65" t="str">
        <f>IF($C29="","",IFERROR(VLOOKUP(CONCATENATE(BG$3,"-",$C29),'FO-GC-012'!$D$20:$H$109,2,0),""))</f>
        <v/>
      </c>
      <c r="BH29" s="66" t="str">
        <f>IF($C29="","",IFERROR(VLOOKUP(CONCATENATE(BG$3,"-",$C29),'FO-GC-012'!$D$20:$H$109,3,0),""))</f>
        <v/>
      </c>
      <c r="BI29" s="67" t="str">
        <f>IF($C29="","",IFERROR(VLOOKUP(CONCATENATE(BG$3,"-",$C29),'FO-GC-012'!$D$20:$H$109,4,0),""))</f>
        <v/>
      </c>
      <c r="BJ29" s="68" t="str">
        <f>IF($C29="","",IFERROR(VLOOKUP(CONCATENATE(BG$3,"-",$C29),'FO-GC-012'!$D$20:$H$109,5,0),""))</f>
        <v/>
      </c>
      <c r="BK29" s="65" t="str">
        <f>IF($C29="","",IFERROR(VLOOKUP(CONCATENATE(BK$3,"-",$C29),'FO-GC-012'!$D$20:$H$109,2,0),""))</f>
        <v/>
      </c>
      <c r="BL29" s="66" t="str">
        <f>IF($C29="","",IFERROR(VLOOKUP(CONCATENATE(BK$3,"-",$C29),'FO-GC-012'!$D$20:$H$109,3,0),""))</f>
        <v/>
      </c>
      <c r="BM29" s="67" t="str">
        <f>IF($C29="","",IFERROR(VLOOKUP(CONCATENATE(BK$3,"-",$C29),'FO-GC-012'!$D$20:$H$109,4,0),""))</f>
        <v/>
      </c>
      <c r="BN29" s="68" t="str">
        <f>IF($C29="","",IFERROR(VLOOKUP(CONCATENATE(BK$3,"-",$C29),'FO-GC-012'!$D$20:$H$109,5,0),""))</f>
        <v/>
      </c>
      <c r="BO29" s="65" t="str">
        <f>IF($C29="","",IFERROR(VLOOKUP(CONCATENATE(BO$3,"-",$C29),'FO-GC-012'!$D$20:$H$109,2,0),""))</f>
        <v/>
      </c>
      <c r="BP29" s="66" t="str">
        <f>IF($C29="","",IFERROR(VLOOKUP(CONCATENATE(BO$3,"-",$C29),'FO-GC-012'!$D$20:$H$109,3,0),""))</f>
        <v/>
      </c>
      <c r="BQ29" s="67" t="str">
        <f>IF($C29="","",IFERROR(VLOOKUP(CONCATENATE(BO$3,"-",$C29),'FO-GC-012'!$D$20:$H$109,4,0),""))</f>
        <v/>
      </c>
      <c r="BR29" s="68" t="str">
        <f>IF($C29="","",IFERROR(VLOOKUP(CONCATENATE(BO$3,"-",$C29),'FO-GC-012'!$D$20:$H$109,5,0),""))</f>
        <v/>
      </c>
      <c r="BS29" s="65" t="str">
        <f>IF($C29="","",IFERROR(VLOOKUP(CONCATENATE(BS$3,"-",$C29),'FO-GC-012'!$D$20:$H$109,2,0),""))</f>
        <v/>
      </c>
      <c r="BT29" s="66" t="str">
        <f>IF($C29="","",IFERROR(VLOOKUP(CONCATENATE(BS$3,"-",$C29),'FO-GC-012'!$D$20:$H$109,3,0),""))</f>
        <v/>
      </c>
      <c r="BU29" s="67" t="str">
        <f>IF($C29="","",IFERROR(VLOOKUP(CONCATENATE(BS$3,"-",$C29),'FO-GC-012'!$D$20:$H$109,4,0),""))</f>
        <v/>
      </c>
      <c r="BV29" s="68" t="str">
        <f>IF($C29="","",IFERROR(VLOOKUP(CONCATENATE(BS$3,"-",$C29),'FO-GC-012'!$D$20:$H$109,5,0),""))</f>
        <v/>
      </c>
      <c r="BW29" s="65" t="str">
        <f>IF($C29="","",IFERROR(VLOOKUP(CONCATENATE(BW$3,"-",$C29),'FO-GC-012'!$D$20:$H$109,2,0),""))</f>
        <v/>
      </c>
      <c r="BX29" s="66" t="str">
        <f>IF($C29="","",IFERROR(VLOOKUP(CONCATENATE(BW$3,"-",$C29),'FO-GC-012'!$D$20:$H$109,3,0),""))</f>
        <v/>
      </c>
      <c r="BY29" s="67" t="str">
        <f>IF($C29="","",IFERROR(VLOOKUP(CONCATENATE(BW$3,"-",$C29),'FO-GC-012'!$D$20:$H$109,4,0),""))</f>
        <v/>
      </c>
      <c r="BZ29" s="68" t="str">
        <f>IF($C29="","",IFERROR(VLOOKUP(CONCATENATE(BW$3,"-",$C29),'FO-GC-012'!$D$20:$H$109,5,0),""))</f>
        <v/>
      </c>
      <c r="CA29" s="65" t="str">
        <f>IF($C29="","",IFERROR(VLOOKUP(CONCATENATE(CA$3,"-",$C29),'FO-GC-012'!$D$20:$H$109,2,0),""))</f>
        <v/>
      </c>
      <c r="CB29" s="66" t="str">
        <f>IF($C29="","",IFERROR(VLOOKUP(CONCATENATE(CA$3,"-",$C29),'FO-GC-012'!$D$20:$H$109,3,0),""))</f>
        <v/>
      </c>
      <c r="CC29" s="67" t="str">
        <f>IF($C29="","",IFERROR(VLOOKUP(CONCATENATE(CA$3,"-",$C29),'FO-GC-012'!$D$20:$H$109,4,0),""))</f>
        <v/>
      </c>
      <c r="CD29" s="68" t="str">
        <f>IF($C29="","",IFERROR(VLOOKUP(CONCATENATE(CA$3,"-",$C29),'FO-GC-012'!$D$20:$H$109,5,0),""))</f>
        <v/>
      </c>
      <c r="CE29" s="65" t="str">
        <f>IF($C29="","",IFERROR(VLOOKUP(CONCATENATE(CE$3,"-",$C29),'FO-GC-012'!$D$20:$H$109,2,0),""))</f>
        <v/>
      </c>
      <c r="CF29" s="66" t="str">
        <f>IF($C29="","",IFERROR(VLOOKUP(CONCATENATE(CE$3,"-",$C29),'FO-GC-012'!$D$20:$H$109,3,0),""))</f>
        <v/>
      </c>
      <c r="CG29" s="67" t="str">
        <f>IF($C29="","",IFERROR(VLOOKUP(CONCATENATE(CE$3,"-",$C29),'FO-GC-012'!$D$20:$H$109,4,0),""))</f>
        <v/>
      </c>
      <c r="CH29" s="68" t="str">
        <f>IF($C29="","",IFERROR(VLOOKUP(CONCATENATE(CE$3,"-",$C29),'FO-GC-012'!$D$20:$H$109,5,0),""))</f>
        <v/>
      </c>
    </row>
    <row r="30" spans="2:86" ht="33.75" customHeight="1" x14ac:dyDescent="0.35">
      <c r="B30" s="83">
        <f>IF(C30="","",COUNTA(C$4:C30))</f>
        <v>27</v>
      </c>
      <c r="C30" s="82" t="str">
        <f>'Eq. Auditor'!B29</f>
        <v xml:space="preserve">Lina Fernanda Gutiérrez Montoya   </v>
      </c>
      <c r="D30" s="83">
        <f>IF(C30="","",COUNTIF('FO-GC-012'!A:A,CONCATENATE("P-",C30)))</f>
        <v>0</v>
      </c>
      <c r="E30" s="83">
        <f>IF(C30="","",COUNTIF('FO-GC-012'!A:A,CONCATENATE("A-",C30)))</f>
        <v>0</v>
      </c>
      <c r="F30" s="83">
        <f t="shared" si="3"/>
        <v>0</v>
      </c>
      <c r="G30" s="69" t="str">
        <f>IF($C30="","",IFERROR(VLOOKUP(CONCATENATE(G$3,"-",$C30),'FO-GC-012'!$D$20:$H$109,2,0),""))</f>
        <v/>
      </c>
      <c r="H30" s="70" t="str">
        <f>IF($C30="","",IFERROR(VLOOKUP(CONCATENATE(G$3,"-",$C30),'FO-GC-012'!$D$20:$H$109,3,0),""))</f>
        <v/>
      </c>
      <c r="I30" s="71" t="str">
        <f>IF($C30="","",IFERROR(VLOOKUP(CONCATENATE(G$3,"-",$C30),'FO-GC-012'!$D$20:$H$109,4,0),""))</f>
        <v/>
      </c>
      <c r="J30" s="72" t="str">
        <f>IF($C30="","",IFERROR(VLOOKUP(CONCATENATE(G$3,"-",$C30),'FO-GC-012'!$D$20:$H$109,5,0),""))</f>
        <v/>
      </c>
      <c r="K30" s="69" t="str">
        <f>IF($C30="","",IFERROR(VLOOKUP(CONCATENATE(K$3,"-",$C30),'FO-GC-012'!$D$20:$H$109,2,0),""))</f>
        <v/>
      </c>
      <c r="L30" s="70" t="str">
        <f>IF($C30="","",IFERROR(VLOOKUP(CONCATENATE(K$3,"-",$C30),'FO-GC-012'!$D$20:$H$109,3,0),""))</f>
        <v/>
      </c>
      <c r="M30" s="71" t="str">
        <f>IF($C30="","",IFERROR(VLOOKUP(CONCATENATE(K$3,"-",$C30),'FO-GC-012'!$D$20:$H$109,4,0),""))</f>
        <v/>
      </c>
      <c r="N30" s="72" t="str">
        <f>IF($C30="","",IFERROR(VLOOKUP(CONCATENATE(K$3,"-",$C30),'FO-GC-012'!$D$20:$H$109,5,0),""))</f>
        <v/>
      </c>
      <c r="O30" s="69" t="str">
        <f>IF($C30="","",IFERROR(VLOOKUP(CONCATENATE(O$3,"-",$C30),'FO-GC-012'!$D$20:$H$109,2,0),""))</f>
        <v/>
      </c>
      <c r="P30" s="70" t="str">
        <f>IF($C30="","",IFERROR(VLOOKUP(CONCATENATE(O$3,"-",$C30),'FO-GC-012'!$D$20:$H$109,3,0),""))</f>
        <v/>
      </c>
      <c r="Q30" s="71" t="str">
        <f>IF($C30="","",IFERROR(VLOOKUP(CONCATENATE(O$3,"-",$C30),'FO-GC-012'!$D$20:$H$109,4,0),""))</f>
        <v/>
      </c>
      <c r="R30" s="72" t="str">
        <f>IF($C30="","",IFERROR(VLOOKUP(CONCATENATE(O$3,"-",$C30),'FO-GC-012'!$D$20:$H$109,5,0),""))</f>
        <v/>
      </c>
      <c r="S30" s="69" t="str">
        <f>IF($C30="","",IFERROR(VLOOKUP(CONCATENATE(S$3,"-",$C30),'FO-GC-012'!$D$20:$H$109,2,0),""))</f>
        <v/>
      </c>
      <c r="T30" s="70" t="str">
        <f>IF($C30="","",IFERROR(VLOOKUP(CONCATENATE(S$3,"-",$C30),'FO-GC-012'!$D$20:$H$109,3,0),""))</f>
        <v/>
      </c>
      <c r="U30" s="71" t="str">
        <f>IF($C30="","",IFERROR(VLOOKUP(CONCATENATE(S$3,"-",$C30),'FO-GC-012'!$D$20:$H$109,4,0),""))</f>
        <v/>
      </c>
      <c r="V30" s="72" t="str">
        <f>IF($C30="","",IFERROR(VLOOKUP(CONCATENATE(S$3,"-",$C30),'FO-GC-012'!$D$20:$H$109,5,0),""))</f>
        <v/>
      </c>
      <c r="W30" s="69" t="str">
        <f>IF($C30="","",IFERROR(VLOOKUP(CONCATENATE(W$3,"-",$C30),'FO-GC-012'!$D$20:$H$109,2,0),""))</f>
        <v/>
      </c>
      <c r="X30" s="70" t="str">
        <f>IF($C30="","",IFERROR(VLOOKUP(CONCATENATE(W$3,"-",$C30),'FO-GC-012'!$D$20:$H$109,3,0),""))</f>
        <v/>
      </c>
      <c r="Y30" s="71" t="str">
        <f>IF($C30="","",IFERROR(VLOOKUP(CONCATENATE(W$3,"-",$C30),'FO-GC-012'!$D$20:$H$109,4,0),""))</f>
        <v/>
      </c>
      <c r="Z30" s="72" t="str">
        <f>IF($C30="","",IFERROR(VLOOKUP(CONCATENATE(W$3,"-",$C30),'FO-GC-012'!$D$20:$H$109,5,0),""))</f>
        <v/>
      </c>
      <c r="AA30" s="69" t="str">
        <f>IF($C30="","",IFERROR(VLOOKUP(CONCATENATE(AA$3,"-",$C30),'FO-GC-012'!$D$20:$H$109,2,0),""))</f>
        <v/>
      </c>
      <c r="AB30" s="70" t="str">
        <f>IF($C30="","",IFERROR(VLOOKUP(CONCATENATE(AA$3,"-",$C30),'FO-GC-012'!$D$20:$H$109,3,0),""))</f>
        <v/>
      </c>
      <c r="AC30" s="71" t="str">
        <f>IF($C30="","",IFERROR(VLOOKUP(CONCATENATE(AA$3,"-",$C30),'FO-GC-012'!$D$20:$H$109,4,0),""))</f>
        <v/>
      </c>
      <c r="AD30" s="72" t="str">
        <f>IF($C30="","",IFERROR(VLOOKUP(CONCATENATE(AA$3,"-",$C30),'FO-GC-012'!$D$20:$H$109,5,0),""))</f>
        <v/>
      </c>
      <c r="AE30" s="69" t="str">
        <f>IF($C30="","",IFERROR(VLOOKUP(CONCATENATE(AE$3,"-",$C30),'FO-GC-012'!$D$20:$H$109,2,0),""))</f>
        <v/>
      </c>
      <c r="AF30" s="70" t="str">
        <f>IF($C30="","",IFERROR(VLOOKUP(CONCATENATE(AE$3,"-",$C30),'FO-GC-012'!$D$20:$H$109,3,0),""))</f>
        <v/>
      </c>
      <c r="AG30" s="71" t="str">
        <f>IF($C30="","",IFERROR(VLOOKUP(CONCATENATE(AE$3,"-",$C30),'FO-GC-012'!$D$20:$H$109,4,0),""))</f>
        <v/>
      </c>
      <c r="AH30" s="72" t="str">
        <f>IF($C30="","",IFERROR(VLOOKUP(CONCATENATE(AE$3,"-",$C30),'FO-GC-012'!$D$20:$H$109,5,0),""))</f>
        <v/>
      </c>
      <c r="AI30" s="69" t="str">
        <f>IF($C30="","",IFERROR(VLOOKUP(CONCATENATE(AI$3,"-",$C30),'FO-GC-012'!$D$20:$H$109,2,0),""))</f>
        <v/>
      </c>
      <c r="AJ30" s="70" t="str">
        <f>IF($C30="","",IFERROR(VLOOKUP(CONCATENATE(AI$3,"-",$C30),'FO-GC-012'!$D$20:$H$109,3,0),""))</f>
        <v/>
      </c>
      <c r="AK30" s="71" t="str">
        <f>IF($C30="","",IFERROR(VLOOKUP(CONCATENATE(AI$3,"-",$C30),'FO-GC-012'!$D$20:$H$109,4,0),""))</f>
        <v/>
      </c>
      <c r="AL30" s="72" t="str">
        <f>IF($C30="","",IFERROR(VLOOKUP(CONCATENATE(AI$3,"-",$C30),'FO-GC-012'!$D$20:$H$109,5,0),""))</f>
        <v/>
      </c>
      <c r="AM30" s="69" t="str">
        <f>IF($C30="","",IFERROR(VLOOKUP(CONCATENATE(AM$3,"-",$C30),'FO-GC-012'!$D$20:$H$109,2,0),""))</f>
        <v/>
      </c>
      <c r="AN30" s="70" t="str">
        <f>IF($C30="","",IFERROR(VLOOKUP(CONCATENATE(AM$3,"-",$C30),'FO-GC-012'!$D$20:$H$109,3,0),""))</f>
        <v/>
      </c>
      <c r="AO30" s="71" t="str">
        <f>IF($C30="","",IFERROR(VLOOKUP(CONCATENATE(AM$3,"-",$C30),'FO-GC-012'!$D$20:$H$109,4,0),""))</f>
        <v/>
      </c>
      <c r="AP30" s="72" t="str">
        <f>IF($C30="","",IFERROR(VLOOKUP(CONCATENATE(AM$3,"-",$C30),'FO-GC-012'!$D$20:$H$109,5,0),""))</f>
        <v/>
      </c>
      <c r="AQ30" s="69" t="str">
        <f>IF($C30="","",IFERROR(VLOOKUP(CONCATENATE(AQ$3,"-",$C30),'FO-GC-012'!$D$20:$H$109,2,0),""))</f>
        <v/>
      </c>
      <c r="AR30" s="70" t="str">
        <f>IF($C30="","",IFERROR(VLOOKUP(CONCATENATE(AQ$3,"-",$C30),'FO-GC-012'!$D$20:$H$109,3,0),""))</f>
        <v/>
      </c>
      <c r="AS30" s="71" t="str">
        <f>IF($C30="","",IFERROR(VLOOKUP(CONCATENATE(AQ$3,"-",$C30),'FO-GC-012'!$D$20:$H$109,4,0),""))</f>
        <v/>
      </c>
      <c r="AT30" s="72" t="str">
        <f>IF($C30="","",IFERROR(VLOOKUP(CONCATENATE(AQ$3,"-",$C30),'FO-GC-012'!$D$20:$H$109,5,0),""))</f>
        <v/>
      </c>
      <c r="AU30" s="69" t="str">
        <f>IF($C30="","",IFERROR(VLOOKUP(CONCATENATE(AU$3,"-",$C30),'FO-GC-012'!$D$20:$H$109,2,0),""))</f>
        <v/>
      </c>
      <c r="AV30" s="70" t="str">
        <f>IF($C30="","",IFERROR(VLOOKUP(CONCATENATE(AU$3,"-",$C30),'FO-GC-012'!$D$20:$H$109,3,0),""))</f>
        <v/>
      </c>
      <c r="AW30" s="71" t="str">
        <f>IF($C30="","",IFERROR(VLOOKUP(CONCATENATE(AU$3,"-",$C30),'FO-GC-012'!$D$20:$H$109,4,0),""))</f>
        <v/>
      </c>
      <c r="AX30" s="72" t="str">
        <f>IF($C30="","",IFERROR(VLOOKUP(CONCATENATE(AU$3,"-",$C30),'FO-GC-012'!$D$20:$H$109,5,0),""))</f>
        <v/>
      </c>
      <c r="AY30" s="69" t="str">
        <f>IF($C30="","",IFERROR(VLOOKUP(CONCATENATE(AY$3,"-",$C30),'FO-GC-012'!$D$20:$H$109,2,0),""))</f>
        <v/>
      </c>
      <c r="AZ30" s="70" t="str">
        <f>IF($C30="","",IFERROR(VLOOKUP(CONCATENATE(AY$3,"-",$C30),'FO-GC-012'!$D$20:$H$109,3,0),""))</f>
        <v/>
      </c>
      <c r="BA30" s="71" t="str">
        <f>IF($C30="","",IFERROR(VLOOKUP(CONCATENATE(AY$3,"-",$C30),'FO-GC-012'!$D$20:$H$109,4,0),""))</f>
        <v/>
      </c>
      <c r="BB30" s="72" t="str">
        <f>IF($C30="","",IFERROR(VLOOKUP(CONCATENATE(AY$3,"-",$C30),'FO-GC-012'!$D$20:$H$109,5,0),""))</f>
        <v/>
      </c>
      <c r="BC30" s="69" t="str">
        <f>IF($C30="","",IFERROR(VLOOKUP(CONCATENATE(BC$3,"-",$C30),'FO-GC-012'!$D$20:$H$109,2,0),""))</f>
        <v/>
      </c>
      <c r="BD30" s="70" t="str">
        <f>IF($C30="","",IFERROR(VLOOKUP(CONCATENATE(BC$3,"-",$C30),'FO-GC-012'!$D$20:$H$109,3,0),""))</f>
        <v/>
      </c>
      <c r="BE30" s="71" t="str">
        <f>IF($C30="","",IFERROR(VLOOKUP(CONCATENATE(BC$3,"-",$C30),'FO-GC-012'!$D$20:$H$109,4,0),""))</f>
        <v/>
      </c>
      <c r="BF30" s="72" t="str">
        <f>IF($C30="","",IFERROR(VLOOKUP(CONCATENATE(BC$3,"-",$C30),'FO-GC-012'!$D$20:$H$109,5,0),""))</f>
        <v/>
      </c>
      <c r="BG30" s="69" t="str">
        <f>IF($C30="","",IFERROR(VLOOKUP(CONCATENATE(BG$3,"-",$C30),'FO-GC-012'!$D$20:$H$109,2,0),""))</f>
        <v/>
      </c>
      <c r="BH30" s="70" t="str">
        <f>IF($C30="","",IFERROR(VLOOKUP(CONCATENATE(BG$3,"-",$C30),'FO-GC-012'!$D$20:$H$109,3,0),""))</f>
        <v/>
      </c>
      <c r="BI30" s="71" t="str">
        <f>IF($C30="","",IFERROR(VLOOKUP(CONCATENATE(BG$3,"-",$C30),'FO-GC-012'!$D$20:$H$109,4,0),""))</f>
        <v/>
      </c>
      <c r="BJ30" s="72" t="str">
        <f>IF($C30="","",IFERROR(VLOOKUP(CONCATENATE(BG$3,"-",$C30),'FO-GC-012'!$D$20:$H$109,5,0),""))</f>
        <v/>
      </c>
      <c r="BK30" s="69" t="str">
        <f>IF($C30="","",IFERROR(VLOOKUP(CONCATENATE(BK$3,"-",$C30),'FO-GC-012'!$D$20:$H$109,2,0),""))</f>
        <v/>
      </c>
      <c r="BL30" s="70" t="str">
        <f>IF($C30="","",IFERROR(VLOOKUP(CONCATENATE(BK$3,"-",$C30),'FO-GC-012'!$D$20:$H$109,3,0),""))</f>
        <v/>
      </c>
      <c r="BM30" s="71" t="str">
        <f>IF($C30="","",IFERROR(VLOOKUP(CONCATENATE(BK$3,"-",$C30),'FO-GC-012'!$D$20:$H$109,4,0),""))</f>
        <v/>
      </c>
      <c r="BN30" s="72" t="str">
        <f>IF($C30="","",IFERROR(VLOOKUP(CONCATENATE(BK$3,"-",$C30),'FO-GC-012'!$D$20:$H$109,5,0),""))</f>
        <v/>
      </c>
      <c r="BO30" s="69" t="str">
        <f>IF($C30="","",IFERROR(VLOOKUP(CONCATENATE(BO$3,"-",$C30),'FO-GC-012'!$D$20:$H$109,2,0),""))</f>
        <v/>
      </c>
      <c r="BP30" s="70" t="str">
        <f>IF($C30="","",IFERROR(VLOOKUP(CONCATENATE(BO$3,"-",$C30),'FO-GC-012'!$D$20:$H$109,3,0),""))</f>
        <v/>
      </c>
      <c r="BQ30" s="71" t="str">
        <f>IF($C30="","",IFERROR(VLOOKUP(CONCATENATE(BO$3,"-",$C30),'FO-GC-012'!$D$20:$H$109,4,0),""))</f>
        <v/>
      </c>
      <c r="BR30" s="72" t="str">
        <f>IF($C30="","",IFERROR(VLOOKUP(CONCATENATE(BO$3,"-",$C30),'FO-GC-012'!$D$20:$H$109,5,0),""))</f>
        <v/>
      </c>
      <c r="BS30" s="69" t="str">
        <f>IF($C30="","",IFERROR(VLOOKUP(CONCATENATE(BS$3,"-",$C30),'FO-GC-012'!$D$20:$H$109,2,0),""))</f>
        <v/>
      </c>
      <c r="BT30" s="70" t="str">
        <f>IF($C30="","",IFERROR(VLOOKUP(CONCATENATE(BS$3,"-",$C30),'FO-GC-012'!$D$20:$H$109,3,0),""))</f>
        <v/>
      </c>
      <c r="BU30" s="71" t="str">
        <f>IF($C30="","",IFERROR(VLOOKUP(CONCATENATE(BS$3,"-",$C30),'FO-GC-012'!$D$20:$H$109,4,0),""))</f>
        <v/>
      </c>
      <c r="BV30" s="72" t="str">
        <f>IF($C30="","",IFERROR(VLOOKUP(CONCATENATE(BS$3,"-",$C30),'FO-GC-012'!$D$20:$H$109,5,0),""))</f>
        <v/>
      </c>
      <c r="BW30" s="69" t="str">
        <f>IF($C30="","",IFERROR(VLOOKUP(CONCATENATE(BW$3,"-",$C30),'FO-GC-012'!$D$20:$H$109,2,0),""))</f>
        <v/>
      </c>
      <c r="BX30" s="70" t="str">
        <f>IF($C30="","",IFERROR(VLOOKUP(CONCATENATE(BW$3,"-",$C30),'FO-GC-012'!$D$20:$H$109,3,0),""))</f>
        <v/>
      </c>
      <c r="BY30" s="71" t="str">
        <f>IF($C30="","",IFERROR(VLOOKUP(CONCATENATE(BW$3,"-",$C30),'FO-GC-012'!$D$20:$H$109,4,0),""))</f>
        <v/>
      </c>
      <c r="BZ30" s="72" t="str">
        <f>IF($C30="","",IFERROR(VLOOKUP(CONCATENATE(BW$3,"-",$C30),'FO-GC-012'!$D$20:$H$109,5,0),""))</f>
        <v/>
      </c>
      <c r="CA30" s="69" t="str">
        <f>IF($C30="","",IFERROR(VLOOKUP(CONCATENATE(CA$3,"-",$C30),'FO-GC-012'!$D$20:$H$109,2,0),""))</f>
        <v/>
      </c>
      <c r="CB30" s="70" t="str">
        <f>IF($C30="","",IFERROR(VLOOKUP(CONCATENATE(CA$3,"-",$C30),'FO-GC-012'!$D$20:$H$109,3,0),""))</f>
        <v/>
      </c>
      <c r="CC30" s="71" t="str">
        <f>IF($C30="","",IFERROR(VLOOKUP(CONCATENATE(CA$3,"-",$C30),'FO-GC-012'!$D$20:$H$109,4,0),""))</f>
        <v/>
      </c>
      <c r="CD30" s="72" t="str">
        <f>IF($C30="","",IFERROR(VLOOKUP(CONCATENATE(CA$3,"-",$C30),'FO-GC-012'!$D$20:$H$109,5,0),""))</f>
        <v/>
      </c>
      <c r="CE30" s="69" t="str">
        <f>IF($C30="","",IFERROR(VLOOKUP(CONCATENATE(CE$3,"-",$C30),'FO-GC-012'!$D$20:$H$109,2,0),""))</f>
        <v/>
      </c>
      <c r="CF30" s="70" t="str">
        <f>IF($C30="","",IFERROR(VLOOKUP(CONCATENATE(CE$3,"-",$C30),'FO-GC-012'!$D$20:$H$109,3,0),""))</f>
        <v/>
      </c>
      <c r="CG30" s="71" t="str">
        <f>IF($C30="","",IFERROR(VLOOKUP(CONCATENATE(CE$3,"-",$C30),'FO-GC-012'!$D$20:$H$109,4,0),""))</f>
        <v/>
      </c>
      <c r="CH30" s="72" t="str">
        <f>IF($C30="","",IFERROR(VLOOKUP(CONCATENATE(CE$3,"-",$C30),'FO-GC-012'!$D$20:$H$109,5,0),""))</f>
        <v/>
      </c>
    </row>
    <row r="31" spans="2:86" ht="33.75" customHeight="1" x14ac:dyDescent="0.35">
      <c r="B31" s="83">
        <f>IF(C31="","",COUNTA(C$4:C31))</f>
        <v>28</v>
      </c>
      <c r="C31" s="82" t="str">
        <f>'Eq. Auditor'!B30</f>
        <v xml:space="preserve">Diego Fernando Ordoñez Trullo   </v>
      </c>
      <c r="D31" s="83">
        <f>IF(C31="","",COUNTIF('FO-GC-012'!A:A,CONCATENATE("P-",C31)))</f>
        <v>0</v>
      </c>
      <c r="E31" s="83">
        <f>IF(C31="","",COUNTIF('FO-GC-012'!A:A,CONCATENATE("A-",C31)))</f>
        <v>0</v>
      </c>
      <c r="F31" s="83">
        <f t="shared" si="3"/>
        <v>0</v>
      </c>
      <c r="G31" s="65" t="str">
        <f>IF($C31="","",IFERROR(VLOOKUP(CONCATENATE(G$3,"-",$C31),'FO-GC-012'!$D$20:$H$109,2,0),""))</f>
        <v/>
      </c>
      <c r="H31" s="66" t="str">
        <f>IF($C31="","",IFERROR(VLOOKUP(CONCATENATE(G$3,"-",$C31),'FO-GC-012'!$D$20:$H$109,3,0),""))</f>
        <v/>
      </c>
      <c r="I31" s="67" t="str">
        <f>IF($C31="","",IFERROR(VLOOKUP(CONCATENATE(G$3,"-",$C31),'FO-GC-012'!$D$20:$H$109,4,0),""))</f>
        <v/>
      </c>
      <c r="J31" s="68" t="str">
        <f>IF($C31="","",IFERROR(VLOOKUP(CONCATENATE(G$3,"-",$C31),'FO-GC-012'!$D$20:$H$109,5,0),""))</f>
        <v/>
      </c>
      <c r="K31" s="65" t="str">
        <f>IF($C31="","",IFERROR(VLOOKUP(CONCATENATE(K$3,"-",$C31),'FO-GC-012'!$D$20:$H$109,2,0),""))</f>
        <v/>
      </c>
      <c r="L31" s="66" t="str">
        <f>IF($C31="","",IFERROR(VLOOKUP(CONCATENATE(K$3,"-",$C31),'FO-GC-012'!$D$20:$H$109,3,0),""))</f>
        <v/>
      </c>
      <c r="M31" s="67" t="str">
        <f>IF($C31="","",IFERROR(VLOOKUP(CONCATENATE(K$3,"-",$C31),'FO-GC-012'!$D$20:$H$109,4,0),""))</f>
        <v/>
      </c>
      <c r="N31" s="68" t="str">
        <f>IF($C31="","",IFERROR(VLOOKUP(CONCATENATE(K$3,"-",$C31),'FO-GC-012'!$D$20:$H$109,5,0),""))</f>
        <v/>
      </c>
      <c r="O31" s="65" t="str">
        <f>IF($C31="","",IFERROR(VLOOKUP(CONCATENATE(O$3,"-",$C31),'FO-GC-012'!$D$20:$H$109,2,0),""))</f>
        <v/>
      </c>
      <c r="P31" s="66" t="str">
        <f>IF($C31="","",IFERROR(VLOOKUP(CONCATENATE(O$3,"-",$C31),'FO-GC-012'!$D$20:$H$109,3,0),""))</f>
        <v/>
      </c>
      <c r="Q31" s="67" t="str">
        <f>IF($C31="","",IFERROR(VLOOKUP(CONCATENATE(O$3,"-",$C31),'FO-GC-012'!$D$20:$H$109,4,0),""))</f>
        <v/>
      </c>
      <c r="R31" s="68" t="str">
        <f>IF($C31="","",IFERROR(VLOOKUP(CONCATENATE(O$3,"-",$C31),'FO-GC-012'!$D$20:$H$109,5,0),""))</f>
        <v/>
      </c>
      <c r="S31" s="65" t="str">
        <f>IF($C31="","",IFERROR(VLOOKUP(CONCATENATE(S$3,"-",$C31),'FO-GC-012'!$D$20:$H$109,2,0),""))</f>
        <v/>
      </c>
      <c r="T31" s="66" t="str">
        <f>IF($C31="","",IFERROR(VLOOKUP(CONCATENATE(S$3,"-",$C31),'FO-GC-012'!$D$20:$H$109,3,0),""))</f>
        <v/>
      </c>
      <c r="U31" s="67" t="str">
        <f>IF($C31="","",IFERROR(VLOOKUP(CONCATENATE(S$3,"-",$C31),'FO-GC-012'!$D$20:$H$109,4,0),""))</f>
        <v/>
      </c>
      <c r="V31" s="68" t="str">
        <f>IF($C31="","",IFERROR(VLOOKUP(CONCATENATE(S$3,"-",$C31),'FO-GC-012'!$D$20:$H$109,5,0),""))</f>
        <v/>
      </c>
      <c r="W31" s="65" t="str">
        <f>IF($C31="","",IFERROR(VLOOKUP(CONCATENATE(W$3,"-",$C31),'FO-GC-012'!$D$20:$H$109,2,0),""))</f>
        <v/>
      </c>
      <c r="X31" s="66" t="str">
        <f>IF($C31="","",IFERROR(VLOOKUP(CONCATENATE(W$3,"-",$C31),'FO-GC-012'!$D$20:$H$109,3,0),""))</f>
        <v/>
      </c>
      <c r="Y31" s="67" t="str">
        <f>IF($C31="","",IFERROR(VLOOKUP(CONCATENATE(W$3,"-",$C31),'FO-GC-012'!$D$20:$H$109,4,0),""))</f>
        <v/>
      </c>
      <c r="Z31" s="68" t="str">
        <f>IF($C31="","",IFERROR(VLOOKUP(CONCATENATE(W$3,"-",$C31),'FO-GC-012'!$D$20:$H$109,5,0),""))</f>
        <v/>
      </c>
      <c r="AA31" s="65" t="str">
        <f>IF($C31="","",IFERROR(VLOOKUP(CONCATENATE(AA$3,"-",$C31),'FO-GC-012'!$D$20:$H$109,2,0),""))</f>
        <v/>
      </c>
      <c r="AB31" s="66" t="str">
        <f>IF($C31="","",IFERROR(VLOOKUP(CONCATENATE(AA$3,"-",$C31),'FO-GC-012'!$D$20:$H$109,3,0),""))</f>
        <v/>
      </c>
      <c r="AC31" s="67" t="str">
        <f>IF($C31="","",IFERROR(VLOOKUP(CONCATENATE(AA$3,"-",$C31),'FO-GC-012'!$D$20:$H$109,4,0),""))</f>
        <v/>
      </c>
      <c r="AD31" s="68" t="str">
        <f>IF($C31="","",IFERROR(VLOOKUP(CONCATENATE(AA$3,"-",$C31),'FO-GC-012'!$D$20:$H$109,5,0),""))</f>
        <v/>
      </c>
      <c r="AE31" s="65" t="str">
        <f>IF($C31="","",IFERROR(VLOOKUP(CONCATENATE(AE$3,"-",$C31),'FO-GC-012'!$D$20:$H$109,2,0),""))</f>
        <v/>
      </c>
      <c r="AF31" s="66" t="str">
        <f>IF($C31="","",IFERROR(VLOOKUP(CONCATENATE(AE$3,"-",$C31),'FO-GC-012'!$D$20:$H$109,3,0),""))</f>
        <v/>
      </c>
      <c r="AG31" s="67" t="str">
        <f>IF($C31="","",IFERROR(VLOOKUP(CONCATENATE(AE$3,"-",$C31),'FO-GC-012'!$D$20:$H$109,4,0),""))</f>
        <v/>
      </c>
      <c r="AH31" s="68" t="str">
        <f>IF($C31="","",IFERROR(VLOOKUP(CONCATENATE(AE$3,"-",$C31),'FO-GC-012'!$D$20:$H$109,5,0),""))</f>
        <v/>
      </c>
      <c r="AI31" s="65" t="str">
        <f>IF($C31="","",IFERROR(VLOOKUP(CONCATENATE(AI$3,"-",$C31),'FO-GC-012'!$D$20:$H$109,2,0),""))</f>
        <v/>
      </c>
      <c r="AJ31" s="66" t="str">
        <f>IF($C31="","",IFERROR(VLOOKUP(CONCATENATE(AI$3,"-",$C31),'FO-GC-012'!$D$20:$H$109,3,0),""))</f>
        <v/>
      </c>
      <c r="AK31" s="67" t="str">
        <f>IF($C31="","",IFERROR(VLOOKUP(CONCATENATE(AI$3,"-",$C31),'FO-GC-012'!$D$20:$H$109,4,0),""))</f>
        <v/>
      </c>
      <c r="AL31" s="68" t="str">
        <f>IF($C31="","",IFERROR(VLOOKUP(CONCATENATE(AI$3,"-",$C31),'FO-GC-012'!$D$20:$H$109,5,0),""))</f>
        <v/>
      </c>
      <c r="AM31" s="65" t="str">
        <f>IF($C31="","",IFERROR(VLOOKUP(CONCATENATE(AM$3,"-",$C31),'FO-GC-012'!$D$20:$H$109,2,0),""))</f>
        <v/>
      </c>
      <c r="AN31" s="66" t="str">
        <f>IF($C31="","",IFERROR(VLOOKUP(CONCATENATE(AM$3,"-",$C31),'FO-GC-012'!$D$20:$H$109,3,0),""))</f>
        <v/>
      </c>
      <c r="AO31" s="67" t="str">
        <f>IF($C31="","",IFERROR(VLOOKUP(CONCATENATE(AM$3,"-",$C31),'FO-GC-012'!$D$20:$H$109,4,0),""))</f>
        <v/>
      </c>
      <c r="AP31" s="68" t="str">
        <f>IF($C31="","",IFERROR(VLOOKUP(CONCATENATE(AM$3,"-",$C31),'FO-GC-012'!$D$20:$H$109,5,0),""))</f>
        <v/>
      </c>
      <c r="AQ31" s="65" t="str">
        <f>IF($C31="","",IFERROR(VLOOKUP(CONCATENATE(AQ$3,"-",$C31),'FO-GC-012'!$D$20:$H$109,2,0),""))</f>
        <v/>
      </c>
      <c r="AR31" s="66" t="str">
        <f>IF($C31="","",IFERROR(VLOOKUP(CONCATENATE(AQ$3,"-",$C31),'FO-GC-012'!$D$20:$H$109,3,0),""))</f>
        <v/>
      </c>
      <c r="AS31" s="67" t="str">
        <f>IF($C31="","",IFERROR(VLOOKUP(CONCATENATE(AQ$3,"-",$C31),'FO-GC-012'!$D$20:$H$109,4,0),""))</f>
        <v/>
      </c>
      <c r="AT31" s="68" t="str">
        <f>IF($C31="","",IFERROR(VLOOKUP(CONCATENATE(AQ$3,"-",$C31),'FO-GC-012'!$D$20:$H$109,5,0),""))</f>
        <v/>
      </c>
      <c r="AU31" s="65" t="str">
        <f>IF($C31="","",IFERROR(VLOOKUP(CONCATENATE(AU$3,"-",$C31),'FO-GC-012'!$D$20:$H$109,2,0),""))</f>
        <v/>
      </c>
      <c r="AV31" s="66" t="str">
        <f>IF($C31="","",IFERROR(VLOOKUP(CONCATENATE(AU$3,"-",$C31),'FO-GC-012'!$D$20:$H$109,3,0),""))</f>
        <v/>
      </c>
      <c r="AW31" s="67" t="str">
        <f>IF($C31="","",IFERROR(VLOOKUP(CONCATENATE(AU$3,"-",$C31),'FO-GC-012'!$D$20:$H$109,4,0),""))</f>
        <v/>
      </c>
      <c r="AX31" s="68" t="str">
        <f>IF($C31="","",IFERROR(VLOOKUP(CONCATENATE(AU$3,"-",$C31),'FO-GC-012'!$D$20:$H$109,5,0),""))</f>
        <v/>
      </c>
      <c r="AY31" s="65" t="str">
        <f>IF($C31="","",IFERROR(VLOOKUP(CONCATENATE(AY$3,"-",$C31),'FO-GC-012'!$D$20:$H$109,2,0),""))</f>
        <v/>
      </c>
      <c r="AZ31" s="66" t="str">
        <f>IF($C31="","",IFERROR(VLOOKUP(CONCATENATE(AY$3,"-",$C31),'FO-GC-012'!$D$20:$H$109,3,0),""))</f>
        <v/>
      </c>
      <c r="BA31" s="67" t="str">
        <f>IF($C31="","",IFERROR(VLOOKUP(CONCATENATE(AY$3,"-",$C31),'FO-GC-012'!$D$20:$H$109,4,0),""))</f>
        <v/>
      </c>
      <c r="BB31" s="68" t="str">
        <f>IF($C31="","",IFERROR(VLOOKUP(CONCATENATE(AY$3,"-",$C31),'FO-GC-012'!$D$20:$H$109,5,0),""))</f>
        <v/>
      </c>
      <c r="BC31" s="65" t="str">
        <f>IF($C31="","",IFERROR(VLOOKUP(CONCATENATE(BC$3,"-",$C31),'FO-GC-012'!$D$20:$H$109,2,0),""))</f>
        <v/>
      </c>
      <c r="BD31" s="66" t="str">
        <f>IF($C31="","",IFERROR(VLOOKUP(CONCATENATE(BC$3,"-",$C31),'FO-GC-012'!$D$20:$H$109,3,0),""))</f>
        <v/>
      </c>
      <c r="BE31" s="67" t="str">
        <f>IF($C31="","",IFERROR(VLOOKUP(CONCATENATE(BC$3,"-",$C31),'FO-GC-012'!$D$20:$H$109,4,0),""))</f>
        <v/>
      </c>
      <c r="BF31" s="68" t="str">
        <f>IF($C31="","",IFERROR(VLOOKUP(CONCATENATE(BC$3,"-",$C31),'FO-GC-012'!$D$20:$H$109,5,0),""))</f>
        <v/>
      </c>
      <c r="BG31" s="65" t="str">
        <f>IF($C31="","",IFERROR(VLOOKUP(CONCATENATE(BG$3,"-",$C31),'FO-GC-012'!$D$20:$H$109,2,0),""))</f>
        <v/>
      </c>
      <c r="BH31" s="66" t="str">
        <f>IF($C31="","",IFERROR(VLOOKUP(CONCATENATE(BG$3,"-",$C31),'FO-GC-012'!$D$20:$H$109,3,0),""))</f>
        <v/>
      </c>
      <c r="BI31" s="67" t="str">
        <f>IF($C31="","",IFERROR(VLOOKUP(CONCATENATE(BG$3,"-",$C31),'FO-GC-012'!$D$20:$H$109,4,0),""))</f>
        <v/>
      </c>
      <c r="BJ31" s="68" t="str">
        <f>IF($C31="","",IFERROR(VLOOKUP(CONCATENATE(BG$3,"-",$C31),'FO-GC-012'!$D$20:$H$109,5,0),""))</f>
        <v/>
      </c>
      <c r="BK31" s="65" t="str">
        <f>IF($C31="","",IFERROR(VLOOKUP(CONCATENATE(BK$3,"-",$C31),'FO-GC-012'!$D$20:$H$109,2,0),""))</f>
        <v/>
      </c>
      <c r="BL31" s="66" t="str">
        <f>IF($C31="","",IFERROR(VLOOKUP(CONCATENATE(BK$3,"-",$C31),'FO-GC-012'!$D$20:$H$109,3,0),""))</f>
        <v/>
      </c>
      <c r="BM31" s="67" t="str">
        <f>IF($C31="","",IFERROR(VLOOKUP(CONCATENATE(BK$3,"-",$C31),'FO-GC-012'!$D$20:$H$109,4,0),""))</f>
        <v/>
      </c>
      <c r="BN31" s="68" t="str">
        <f>IF($C31="","",IFERROR(VLOOKUP(CONCATENATE(BK$3,"-",$C31),'FO-GC-012'!$D$20:$H$109,5,0),""))</f>
        <v/>
      </c>
      <c r="BO31" s="65" t="str">
        <f>IF($C31="","",IFERROR(VLOOKUP(CONCATENATE(BO$3,"-",$C31),'FO-GC-012'!$D$20:$H$109,2,0),""))</f>
        <v/>
      </c>
      <c r="BP31" s="66" t="str">
        <f>IF($C31="","",IFERROR(VLOOKUP(CONCATENATE(BO$3,"-",$C31),'FO-GC-012'!$D$20:$H$109,3,0),""))</f>
        <v/>
      </c>
      <c r="BQ31" s="67" t="str">
        <f>IF($C31="","",IFERROR(VLOOKUP(CONCATENATE(BO$3,"-",$C31),'FO-GC-012'!$D$20:$H$109,4,0),""))</f>
        <v/>
      </c>
      <c r="BR31" s="68" t="str">
        <f>IF($C31="","",IFERROR(VLOOKUP(CONCATENATE(BO$3,"-",$C31),'FO-GC-012'!$D$20:$H$109,5,0),""))</f>
        <v/>
      </c>
      <c r="BS31" s="65" t="str">
        <f>IF($C31="","",IFERROR(VLOOKUP(CONCATENATE(BS$3,"-",$C31),'FO-GC-012'!$D$20:$H$109,2,0),""))</f>
        <v/>
      </c>
      <c r="BT31" s="66" t="str">
        <f>IF($C31="","",IFERROR(VLOOKUP(CONCATENATE(BS$3,"-",$C31),'FO-GC-012'!$D$20:$H$109,3,0),""))</f>
        <v/>
      </c>
      <c r="BU31" s="67" t="str">
        <f>IF($C31="","",IFERROR(VLOOKUP(CONCATENATE(BS$3,"-",$C31),'FO-GC-012'!$D$20:$H$109,4,0),""))</f>
        <v/>
      </c>
      <c r="BV31" s="68" t="str">
        <f>IF($C31="","",IFERROR(VLOOKUP(CONCATENATE(BS$3,"-",$C31),'FO-GC-012'!$D$20:$H$109,5,0),""))</f>
        <v/>
      </c>
      <c r="BW31" s="65" t="str">
        <f>IF($C31="","",IFERROR(VLOOKUP(CONCATENATE(BW$3,"-",$C31),'FO-GC-012'!$D$20:$H$109,2,0),""))</f>
        <v/>
      </c>
      <c r="BX31" s="66" t="str">
        <f>IF($C31="","",IFERROR(VLOOKUP(CONCATENATE(BW$3,"-",$C31),'FO-GC-012'!$D$20:$H$109,3,0),""))</f>
        <v/>
      </c>
      <c r="BY31" s="67" t="str">
        <f>IF($C31="","",IFERROR(VLOOKUP(CONCATENATE(BW$3,"-",$C31),'FO-GC-012'!$D$20:$H$109,4,0),""))</f>
        <v/>
      </c>
      <c r="BZ31" s="68" t="str">
        <f>IF($C31="","",IFERROR(VLOOKUP(CONCATENATE(BW$3,"-",$C31),'FO-GC-012'!$D$20:$H$109,5,0),""))</f>
        <v/>
      </c>
      <c r="CA31" s="65" t="str">
        <f>IF($C31="","",IFERROR(VLOOKUP(CONCATENATE(CA$3,"-",$C31),'FO-GC-012'!$D$20:$H$109,2,0),""))</f>
        <v/>
      </c>
      <c r="CB31" s="66" t="str">
        <f>IF($C31="","",IFERROR(VLOOKUP(CONCATENATE(CA$3,"-",$C31),'FO-GC-012'!$D$20:$H$109,3,0),""))</f>
        <v/>
      </c>
      <c r="CC31" s="67" t="str">
        <f>IF($C31="","",IFERROR(VLOOKUP(CONCATENATE(CA$3,"-",$C31),'FO-GC-012'!$D$20:$H$109,4,0),""))</f>
        <v/>
      </c>
      <c r="CD31" s="68" t="str">
        <f>IF($C31="","",IFERROR(VLOOKUP(CONCATENATE(CA$3,"-",$C31),'FO-GC-012'!$D$20:$H$109,5,0),""))</f>
        <v/>
      </c>
      <c r="CE31" s="65" t="str">
        <f>IF($C31="","",IFERROR(VLOOKUP(CONCATENATE(CE$3,"-",$C31),'FO-GC-012'!$D$20:$H$109,2,0),""))</f>
        <v/>
      </c>
      <c r="CF31" s="66" t="str">
        <f>IF($C31="","",IFERROR(VLOOKUP(CONCATENATE(CE$3,"-",$C31),'FO-GC-012'!$D$20:$H$109,3,0),""))</f>
        <v/>
      </c>
      <c r="CG31" s="67" t="str">
        <f>IF($C31="","",IFERROR(VLOOKUP(CONCATENATE(CE$3,"-",$C31),'FO-GC-012'!$D$20:$H$109,4,0),""))</f>
        <v/>
      </c>
      <c r="CH31" s="68" t="str">
        <f>IF($C31="","",IFERROR(VLOOKUP(CONCATENATE(CE$3,"-",$C31),'FO-GC-012'!$D$20:$H$109,5,0),""))</f>
        <v/>
      </c>
    </row>
    <row r="32" spans="2:86" ht="33.75" customHeight="1" x14ac:dyDescent="0.35">
      <c r="B32" s="83">
        <f>IF(C32="","",COUNTA(C$4:C32))</f>
        <v>29</v>
      </c>
      <c r="C32" s="82" t="str">
        <f>'Eq. Auditor'!B31</f>
        <v xml:space="preserve">Angela Milena Velásquez Vargas      </v>
      </c>
      <c r="D32" s="83">
        <f>IF(C32="","",COUNTIF('FO-GC-012'!A:A,CONCATENATE("P-",C32)))</f>
        <v>0</v>
      </c>
      <c r="E32" s="83">
        <f>IF(C32="","",COUNTIF('FO-GC-012'!A:A,CONCATENATE("A-",C32)))</f>
        <v>0</v>
      </c>
      <c r="F32" s="83">
        <f t="shared" si="3"/>
        <v>0</v>
      </c>
      <c r="G32" s="69" t="str">
        <f>IF($C32="","",IFERROR(VLOOKUP(CONCATENATE(G$3,"-",$C32),'FO-GC-012'!$D$20:$H$109,2,0),""))</f>
        <v/>
      </c>
      <c r="H32" s="70" t="str">
        <f>IF($C32="","",IFERROR(VLOOKUP(CONCATENATE(G$3,"-",$C32),'FO-GC-012'!$D$20:$H$109,3,0),""))</f>
        <v/>
      </c>
      <c r="I32" s="71" t="str">
        <f>IF($C32="","",IFERROR(VLOOKUP(CONCATENATE(G$3,"-",$C32),'FO-GC-012'!$D$20:$H$109,4,0),""))</f>
        <v/>
      </c>
      <c r="J32" s="72" t="str">
        <f>IF($C32="","",IFERROR(VLOOKUP(CONCATENATE(G$3,"-",$C32),'FO-GC-012'!$D$20:$H$109,5,0),""))</f>
        <v/>
      </c>
      <c r="K32" s="69" t="str">
        <f>IF($C32="","",IFERROR(VLOOKUP(CONCATENATE(K$3,"-",$C32),'FO-GC-012'!$D$20:$H$109,2,0),""))</f>
        <v/>
      </c>
      <c r="L32" s="70" t="str">
        <f>IF($C32="","",IFERROR(VLOOKUP(CONCATENATE(K$3,"-",$C32),'FO-GC-012'!$D$20:$H$109,3,0),""))</f>
        <v/>
      </c>
      <c r="M32" s="71" t="str">
        <f>IF($C32="","",IFERROR(VLOOKUP(CONCATENATE(K$3,"-",$C32),'FO-GC-012'!$D$20:$H$109,4,0),""))</f>
        <v/>
      </c>
      <c r="N32" s="72" t="str">
        <f>IF($C32="","",IFERROR(VLOOKUP(CONCATENATE(K$3,"-",$C32),'FO-GC-012'!$D$20:$H$109,5,0),""))</f>
        <v/>
      </c>
      <c r="O32" s="69" t="str">
        <f>IF($C32="","",IFERROR(VLOOKUP(CONCATENATE(O$3,"-",$C32),'FO-GC-012'!$D$20:$H$109,2,0),""))</f>
        <v/>
      </c>
      <c r="P32" s="70" t="str">
        <f>IF($C32="","",IFERROR(VLOOKUP(CONCATENATE(O$3,"-",$C32),'FO-GC-012'!$D$20:$H$109,3,0),""))</f>
        <v/>
      </c>
      <c r="Q32" s="71" t="str">
        <f>IF($C32="","",IFERROR(VLOOKUP(CONCATENATE(O$3,"-",$C32),'FO-GC-012'!$D$20:$H$109,4,0),""))</f>
        <v/>
      </c>
      <c r="R32" s="72" t="str">
        <f>IF($C32="","",IFERROR(VLOOKUP(CONCATENATE(O$3,"-",$C32),'FO-GC-012'!$D$20:$H$109,5,0),""))</f>
        <v/>
      </c>
      <c r="S32" s="69" t="str">
        <f>IF($C32="","",IFERROR(VLOOKUP(CONCATENATE(S$3,"-",$C32),'FO-GC-012'!$D$20:$H$109,2,0),""))</f>
        <v/>
      </c>
      <c r="T32" s="70" t="str">
        <f>IF($C32="","",IFERROR(VLOOKUP(CONCATENATE(S$3,"-",$C32),'FO-GC-012'!$D$20:$H$109,3,0),""))</f>
        <v/>
      </c>
      <c r="U32" s="71" t="str">
        <f>IF($C32="","",IFERROR(VLOOKUP(CONCATENATE(S$3,"-",$C32),'FO-GC-012'!$D$20:$H$109,4,0),""))</f>
        <v/>
      </c>
      <c r="V32" s="72" t="str">
        <f>IF($C32="","",IFERROR(VLOOKUP(CONCATENATE(S$3,"-",$C32),'FO-GC-012'!$D$20:$H$109,5,0),""))</f>
        <v/>
      </c>
      <c r="W32" s="69" t="str">
        <f>IF($C32="","",IFERROR(VLOOKUP(CONCATENATE(W$3,"-",$C32),'FO-GC-012'!$D$20:$H$109,2,0),""))</f>
        <v/>
      </c>
      <c r="X32" s="70" t="str">
        <f>IF($C32="","",IFERROR(VLOOKUP(CONCATENATE(W$3,"-",$C32),'FO-GC-012'!$D$20:$H$109,3,0),""))</f>
        <v/>
      </c>
      <c r="Y32" s="71" t="str">
        <f>IF($C32="","",IFERROR(VLOOKUP(CONCATENATE(W$3,"-",$C32),'FO-GC-012'!$D$20:$H$109,4,0),""))</f>
        <v/>
      </c>
      <c r="Z32" s="72" t="str">
        <f>IF($C32="","",IFERROR(VLOOKUP(CONCATENATE(W$3,"-",$C32),'FO-GC-012'!$D$20:$H$109,5,0),""))</f>
        <v/>
      </c>
      <c r="AA32" s="69" t="str">
        <f>IF($C32="","",IFERROR(VLOOKUP(CONCATENATE(AA$3,"-",$C32),'FO-GC-012'!$D$20:$H$109,2,0),""))</f>
        <v/>
      </c>
      <c r="AB32" s="70" t="str">
        <f>IF($C32="","",IFERROR(VLOOKUP(CONCATENATE(AA$3,"-",$C32),'FO-GC-012'!$D$20:$H$109,3,0),""))</f>
        <v/>
      </c>
      <c r="AC32" s="71" t="str">
        <f>IF($C32="","",IFERROR(VLOOKUP(CONCATENATE(AA$3,"-",$C32),'FO-GC-012'!$D$20:$H$109,4,0),""))</f>
        <v/>
      </c>
      <c r="AD32" s="72" t="str">
        <f>IF($C32="","",IFERROR(VLOOKUP(CONCATENATE(AA$3,"-",$C32),'FO-GC-012'!$D$20:$H$109,5,0),""))</f>
        <v/>
      </c>
      <c r="AE32" s="69" t="str">
        <f>IF($C32="","",IFERROR(VLOOKUP(CONCATENATE(AE$3,"-",$C32),'FO-GC-012'!$D$20:$H$109,2,0),""))</f>
        <v/>
      </c>
      <c r="AF32" s="70" t="str">
        <f>IF($C32="","",IFERROR(VLOOKUP(CONCATENATE(AE$3,"-",$C32),'FO-GC-012'!$D$20:$H$109,3,0),""))</f>
        <v/>
      </c>
      <c r="AG32" s="71" t="str">
        <f>IF($C32="","",IFERROR(VLOOKUP(CONCATENATE(AE$3,"-",$C32),'FO-GC-012'!$D$20:$H$109,4,0),""))</f>
        <v/>
      </c>
      <c r="AH32" s="72" t="str">
        <f>IF($C32="","",IFERROR(VLOOKUP(CONCATENATE(AE$3,"-",$C32),'FO-GC-012'!$D$20:$H$109,5,0),""))</f>
        <v/>
      </c>
      <c r="AI32" s="69" t="str">
        <f>IF($C32="","",IFERROR(VLOOKUP(CONCATENATE(AI$3,"-",$C32),'FO-GC-012'!$D$20:$H$109,2,0),""))</f>
        <v/>
      </c>
      <c r="AJ32" s="70" t="str">
        <f>IF($C32="","",IFERROR(VLOOKUP(CONCATENATE(AI$3,"-",$C32),'FO-GC-012'!$D$20:$H$109,3,0),""))</f>
        <v/>
      </c>
      <c r="AK32" s="71" t="str">
        <f>IF($C32="","",IFERROR(VLOOKUP(CONCATENATE(AI$3,"-",$C32),'FO-GC-012'!$D$20:$H$109,4,0),""))</f>
        <v/>
      </c>
      <c r="AL32" s="72" t="str">
        <f>IF($C32="","",IFERROR(VLOOKUP(CONCATENATE(AI$3,"-",$C32),'FO-GC-012'!$D$20:$H$109,5,0),""))</f>
        <v/>
      </c>
      <c r="AM32" s="69" t="str">
        <f>IF($C32="","",IFERROR(VLOOKUP(CONCATENATE(AM$3,"-",$C32),'FO-GC-012'!$D$20:$H$109,2,0),""))</f>
        <v/>
      </c>
      <c r="AN32" s="70" t="str">
        <f>IF($C32="","",IFERROR(VLOOKUP(CONCATENATE(AM$3,"-",$C32),'FO-GC-012'!$D$20:$H$109,3,0),""))</f>
        <v/>
      </c>
      <c r="AO32" s="71" t="str">
        <f>IF($C32="","",IFERROR(VLOOKUP(CONCATENATE(AM$3,"-",$C32),'FO-GC-012'!$D$20:$H$109,4,0),""))</f>
        <v/>
      </c>
      <c r="AP32" s="72" t="str">
        <f>IF($C32="","",IFERROR(VLOOKUP(CONCATENATE(AM$3,"-",$C32),'FO-GC-012'!$D$20:$H$109,5,0),""))</f>
        <v/>
      </c>
      <c r="AQ32" s="69" t="str">
        <f>IF($C32="","",IFERROR(VLOOKUP(CONCATENATE(AQ$3,"-",$C32),'FO-GC-012'!$D$20:$H$109,2,0),""))</f>
        <v/>
      </c>
      <c r="AR32" s="70" t="str">
        <f>IF($C32="","",IFERROR(VLOOKUP(CONCATENATE(AQ$3,"-",$C32),'FO-GC-012'!$D$20:$H$109,3,0),""))</f>
        <v/>
      </c>
      <c r="AS32" s="71" t="str">
        <f>IF($C32="","",IFERROR(VLOOKUP(CONCATENATE(AQ$3,"-",$C32),'FO-GC-012'!$D$20:$H$109,4,0),""))</f>
        <v/>
      </c>
      <c r="AT32" s="72" t="str">
        <f>IF($C32="","",IFERROR(VLOOKUP(CONCATENATE(AQ$3,"-",$C32),'FO-GC-012'!$D$20:$H$109,5,0),""))</f>
        <v/>
      </c>
      <c r="AU32" s="69" t="str">
        <f>IF($C32="","",IFERROR(VLOOKUP(CONCATENATE(AU$3,"-",$C32),'FO-GC-012'!$D$20:$H$109,2,0),""))</f>
        <v/>
      </c>
      <c r="AV32" s="70" t="str">
        <f>IF($C32="","",IFERROR(VLOOKUP(CONCATENATE(AU$3,"-",$C32),'FO-GC-012'!$D$20:$H$109,3,0),""))</f>
        <v/>
      </c>
      <c r="AW32" s="71" t="str">
        <f>IF($C32="","",IFERROR(VLOOKUP(CONCATENATE(AU$3,"-",$C32),'FO-GC-012'!$D$20:$H$109,4,0),""))</f>
        <v/>
      </c>
      <c r="AX32" s="72" t="str">
        <f>IF($C32="","",IFERROR(VLOOKUP(CONCATENATE(AU$3,"-",$C32),'FO-GC-012'!$D$20:$H$109,5,0),""))</f>
        <v/>
      </c>
      <c r="AY32" s="69" t="str">
        <f>IF($C32="","",IFERROR(VLOOKUP(CONCATENATE(AY$3,"-",$C32),'FO-GC-012'!$D$20:$H$109,2,0),""))</f>
        <v/>
      </c>
      <c r="AZ32" s="70" t="str">
        <f>IF($C32="","",IFERROR(VLOOKUP(CONCATENATE(AY$3,"-",$C32),'FO-GC-012'!$D$20:$H$109,3,0),""))</f>
        <v/>
      </c>
      <c r="BA32" s="71" t="str">
        <f>IF($C32="","",IFERROR(VLOOKUP(CONCATENATE(AY$3,"-",$C32),'FO-GC-012'!$D$20:$H$109,4,0),""))</f>
        <v/>
      </c>
      <c r="BB32" s="72" t="str">
        <f>IF($C32="","",IFERROR(VLOOKUP(CONCATENATE(AY$3,"-",$C32),'FO-GC-012'!$D$20:$H$109,5,0),""))</f>
        <v/>
      </c>
      <c r="BC32" s="69" t="str">
        <f>IF($C32="","",IFERROR(VLOOKUP(CONCATENATE(BC$3,"-",$C32),'FO-GC-012'!$D$20:$H$109,2,0),""))</f>
        <v/>
      </c>
      <c r="BD32" s="70" t="str">
        <f>IF($C32="","",IFERROR(VLOOKUP(CONCATENATE(BC$3,"-",$C32),'FO-GC-012'!$D$20:$H$109,3,0),""))</f>
        <v/>
      </c>
      <c r="BE32" s="71" t="str">
        <f>IF($C32="","",IFERROR(VLOOKUP(CONCATENATE(BC$3,"-",$C32),'FO-GC-012'!$D$20:$H$109,4,0),""))</f>
        <v/>
      </c>
      <c r="BF32" s="72" t="str">
        <f>IF($C32="","",IFERROR(VLOOKUP(CONCATENATE(BC$3,"-",$C32),'FO-GC-012'!$D$20:$H$109,5,0),""))</f>
        <v/>
      </c>
      <c r="BG32" s="69" t="str">
        <f>IF($C32="","",IFERROR(VLOOKUP(CONCATENATE(BG$3,"-",$C32),'FO-GC-012'!$D$20:$H$109,2,0),""))</f>
        <v/>
      </c>
      <c r="BH32" s="70" t="str">
        <f>IF($C32="","",IFERROR(VLOOKUP(CONCATENATE(BG$3,"-",$C32),'FO-GC-012'!$D$20:$H$109,3,0),""))</f>
        <v/>
      </c>
      <c r="BI32" s="71" t="str">
        <f>IF($C32="","",IFERROR(VLOOKUP(CONCATENATE(BG$3,"-",$C32),'FO-GC-012'!$D$20:$H$109,4,0),""))</f>
        <v/>
      </c>
      <c r="BJ32" s="72" t="str">
        <f>IF($C32="","",IFERROR(VLOOKUP(CONCATENATE(BG$3,"-",$C32),'FO-GC-012'!$D$20:$H$109,5,0),""))</f>
        <v/>
      </c>
      <c r="BK32" s="69" t="str">
        <f>IF($C32="","",IFERROR(VLOOKUP(CONCATENATE(BK$3,"-",$C32),'FO-GC-012'!$D$20:$H$109,2,0),""))</f>
        <v/>
      </c>
      <c r="BL32" s="70" t="str">
        <f>IF($C32="","",IFERROR(VLOOKUP(CONCATENATE(BK$3,"-",$C32),'FO-GC-012'!$D$20:$H$109,3,0),""))</f>
        <v/>
      </c>
      <c r="BM32" s="71" t="str">
        <f>IF($C32="","",IFERROR(VLOOKUP(CONCATENATE(BK$3,"-",$C32),'FO-GC-012'!$D$20:$H$109,4,0),""))</f>
        <v/>
      </c>
      <c r="BN32" s="72" t="str">
        <f>IF($C32="","",IFERROR(VLOOKUP(CONCATENATE(BK$3,"-",$C32),'FO-GC-012'!$D$20:$H$109,5,0),""))</f>
        <v/>
      </c>
      <c r="BO32" s="69" t="str">
        <f>IF($C32="","",IFERROR(VLOOKUP(CONCATENATE(BO$3,"-",$C32),'FO-GC-012'!$D$20:$H$109,2,0),""))</f>
        <v/>
      </c>
      <c r="BP32" s="70" t="str">
        <f>IF($C32="","",IFERROR(VLOOKUP(CONCATENATE(BO$3,"-",$C32),'FO-GC-012'!$D$20:$H$109,3,0),""))</f>
        <v/>
      </c>
      <c r="BQ32" s="71" t="str">
        <f>IF($C32="","",IFERROR(VLOOKUP(CONCATENATE(BO$3,"-",$C32),'FO-GC-012'!$D$20:$H$109,4,0),""))</f>
        <v/>
      </c>
      <c r="BR32" s="72" t="str">
        <f>IF($C32="","",IFERROR(VLOOKUP(CONCATENATE(BO$3,"-",$C32),'FO-GC-012'!$D$20:$H$109,5,0),""))</f>
        <v/>
      </c>
      <c r="BS32" s="69" t="str">
        <f>IF($C32="","",IFERROR(VLOOKUP(CONCATENATE(BS$3,"-",$C32),'FO-GC-012'!$D$20:$H$109,2,0),""))</f>
        <v/>
      </c>
      <c r="BT32" s="70" t="str">
        <f>IF($C32="","",IFERROR(VLOOKUP(CONCATENATE(BS$3,"-",$C32),'FO-GC-012'!$D$20:$H$109,3,0),""))</f>
        <v/>
      </c>
      <c r="BU32" s="71" t="str">
        <f>IF($C32="","",IFERROR(VLOOKUP(CONCATENATE(BS$3,"-",$C32),'FO-GC-012'!$D$20:$H$109,4,0),""))</f>
        <v/>
      </c>
      <c r="BV32" s="72" t="str">
        <f>IF($C32="","",IFERROR(VLOOKUP(CONCATENATE(BS$3,"-",$C32),'FO-GC-012'!$D$20:$H$109,5,0),""))</f>
        <v/>
      </c>
      <c r="BW32" s="69" t="str">
        <f>IF($C32="","",IFERROR(VLOOKUP(CONCATENATE(BW$3,"-",$C32),'FO-GC-012'!$D$20:$H$109,2,0),""))</f>
        <v/>
      </c>
      <c r="BX32" s="70" t="str">
        <f>IF($C32="","",IFERROR(VLOOKUP(CONCATENATE(BW$3,"-",$C32),'FO-GC-012'!$D$20:$H$109,3,0),""))</f>
        <v/>
      </c>
      <c r="BY32" s="71" t="str">
        <f>IF($C32="","",IFERROR(VLOOKUP(CONCATENATE(BW$3,"-",$C32),'FO-GC-012'!$D$20:$H$109,4,0),""))</f>
        <v/>
      </c>
      <c r="BZ32" s="72" t="str">
        <f>IF($C32="","",IFERROR(VLOOKUP(CONCATENATE(BW$3,"-",$C32),'FO-GC-012'!$D$20:$H$109,5,0),""))</f>
        <v/>
      </c>
      <c r="CA32" s="69" t="str">
        <f>IF($C32="","",IFERROR(VLOOKUP(CONCATENATE(CA$3,"-",$C32),'FO-GC-012'!$D$20:$H$109,2,0),""))</f>
        <v/>
      </c>
      <c r="CB32" s="70" t="str">
        <f>IF($C32="","",IFERROR(VLOOKUP(CONCATENATE(CA$3,"-",$C32),'FO-GC-012'!$D$20:$H$109,3,0),""))</f>
        <v/>
      </c>
      <c r="CC32" s="71" t="str">
        <f>IF($C32="","",IFERROR(VLOOKUP(CONCATENATE(CA$3,"-",$C32),'FO-GC-012'!$D$20:$H$109,4,0),""))</f>
        <v/>
      </c>
      <c r="CD32" s="72" t="str">
        <f>IF($C32="","",IFERROR(VLOOKUP(CONCATENATE(CA$3,"-",$C32),'FO-GC-012'!$D$20:$H$109,5,0),""))</f>
        <v/>
      </c>
      <c r="CE32" s="69" t="str">
        <f>IF($C32="","",IFERROR(VLOOKUP(CONCATENATE(CE$3,"-",$C32),'FO-GC-012'!$D$20:$H$109,2,0),""))</f>
        <v/>
      </c>
      <c r="CF32" s="70" t="str">
        <f>IF($C32="","",IFERROR(VLOOKUP(CONCATENATE(CE$3,"-",$C32),'FO-GC-012'!$D$20:$H$109,3,0),""))</f>
        <v/>
      </c>
      <c r="CG32" s="71" t="str">
        <f>IF($C32="","",IFERROR(VLOOKUP(CONCATENATE(CE$3,"-",$C32),'FO-GC-012'!$D$20:$H$109,4,0),""))</f>
        <v/>
      </c>
      <c r="CH32" s="72" t="str">
        <f>IF($C32="","",IFERROR(VLOOKUP(CONCATENATE(CE$3,"-",$C32),'FO-GC-012'!$D$20:$H$109,5,0),""))</f>
        <v/>
      </c>
    </row>
    <row r="33" spans="1:86" ht="33.75" customHeight="1" x14ac:dyDescent="0.35">
      <c r="B33" s="83">
        <f>IF(C33="","",COUNTA(C$4:C33))</f>
        <v>30</v>
      </c>
      <c r="C33" s="82" t="str">
        <f>'Eq. Auditor'!B32</f>
        <v xml:space="preserve">Julieth Alexandra Chacón Paja
</v>
      </c>
      <c r="D33" s="83">
        <f>IF(C33="","",COUNTIF('FO-GC-012'!A:A,CONCATENATE("P-",C33)))</f>
        <v>0</v>
      </c>
      <c r="E33" s="83">
        <f>IF(C33="","",COUNTIF('FO-GC-012'!A:A,CONCATENATE("A-",C33)))</f>
        <v>0</v>
      </c>
      <c r="F33" s="83">
        <f t="shared" si="3"/>
        <v>0</v>
      </c>
      <c r="G33" s="65" t="str">
        <f>IF($C33="","",IFERROR(VLOOKUP(CONCATENATE(G$3,"-",$C33),'FO-GC-012'!$D$20:$H$109,2,0),""))</f>
        <v/>
      </c>
      <c r="H33" s="66" t="str">
        <f>IF($C33="","",IFERROR(VLOOKUP(CONCATENATE(G$3,"-",$C33),'FO-GC-012'!$D$20:$H$109,3,0),""))</f>
        <v/>
      </c>
      <c r="I33" s="67" t="str">
        <f>IF($C33="","",IFERROR(VLOOKUP(CONCATENATE(G$3,"-",$C33),'FO-GC-012'!$D$20:$H$109,4,0),""))</f>
        <v/>
      </c>
      <c r="J33" s="68" t="str">
        <f>IF($C33="","",IFERROR(VLOOKUP(CONCATENATE(G$3,"-",$C33),'FO-GC-012'!$D$20:$H$109,5,0),""))</f>
        <v/>
      </c>
      <c r="K33" s="65" t="str">
        <f>IF($C33="","",IFERROR(VLOOKUP(CONCATENATE(K$3,"-",$C33),'FO-GC-012'!$D$20:$H$109,2,0),""))</f>
        <v/>
      </c>
      <c r="L33" s="66" t="str">
        <f>IF($C33="","",IFERROR(VLOOKUP(CONCATENATE(K$3,"-",$C33),'FO-GC-012'!$D$20:$H$109,3,0),""))</f>
        <v/>
      </c>
      <c r="M33" s="67" t="str">
        <f>IF($C33="","",IFERROR(VLOOKUP(CONCATENATE(K$3,"-",$C33),'FO-GC-012'!$D$20:$H$109,4,0),""))</f>
        <v/>
      </c>
      <c r="N33" s="68" t="str">
        <f>IF($C33="","",IFERROR(VLOOKUP(CONCATENATE(K$3,"-",$C33),'FO-GC-012'!$D$20:$H$109,5,0),""))</f>
        <v/>
      </c>
      <c r="O33" s="65" t="str">
        <f>IF($C33="","",IFERROR(VLOOKUP(CONCATENATE(O$3,"-",$C33),'FO-GC-012'!$D$20:$H$109,2,0),""))</f>
        <v/>
      </c>
      <c r="P33" s="66" t="str">
        <f>IF($C33="","",IFERROR(VLOOKUP(CONCATENATE(O$3,"-",$C33),'FO-GC-012'!$D$20:$H$109,3,0),""))</f>
        <v/>
      </c>
      <c r="Q33" s="67" t="str">
        <f>IF($C33="","",IFERROR(VLOOKUP(CONCATENATE(O$3,"-",$C33),'FO-GC-012'!$D$20:$H$109,4,0),""))</f>
        <v/>
      </c>
      <c r="R33" s="68" t="str">
        <f>IF($C33="","",IFERROR(VLOOKUP(CONCATENATE(O$3,"-",$C33),'FO-GC-012'!$D$20:$H$109,5,0),""))</f>
        <v/>
      </c>
      <c r="S33" s="65" t="str">
        <f>IF($C33="","",IFERROR(VLOOKUP(CONCATENATE(S$3,"-",$C33),'FO-GC-012'!$D$20:$H$109,2,0),""))</f>
        <v/>
      </c>
      <c r="T33" s="66" t="str">
        <f>IF($C33="","",IFERROR(VLOOKUP(CONCATENATE(S$3,"-",$C33),'FO-GC-012'!$D$20:$H$109,3,0),""))</f>
        <v/>
      </c>
      <c r="U33" s="67" t="str">
        <f>IF($C33="","",IFERROR(VLOOKUP(CONCATENATE(S$3,"-",$C33),'FO-GC-012'!$D$20:$H$109,4,0),""))</f>
        <v/>
      </c>
      <c r="V33" s="68" t="str">
        <f>IF($C33="","",IFERROR(VLOOKUP(CONCATENATE(S$3,"-",$C33),'FO-GC-012'!$D$20:$H$109,5,0),""))</f>
        <v/>
      </c>
      <c r="W33" s="65" t="str">
        <f>IF($C33="","",IFERROR(VLOOKUP(CONCATENATE(W$3,"-",$C33),'FO-GC-012'!$D$20:$H$109,2,0),""))</f>
        <v/>
      </c>
      <c r="X33" s="66" t="str">
        <f>IF($C33="","",IFERROR(VLOOKUP(CONCATENATE(W$3,"-",$C33),'FO-GC-012'!$D$20:$H$109,3,0),""))</f>
        <v/>
      </c>
      <c r="Y33" s="67" t="str">
        <f>IF($C33="","",IFERROR(VLOOKUP(CONCATENATE(W$3,"-",$C33),'FO-GC-012'!$D$20:$H$109,4,0),""))</f>
        <v/>
      </c>
      <c r="Z33" s="68" t="str">
        <f>IF($C33="","",IFERROR(VLOOKUP(CONCATENATE(W$3,"-",$C33),'FO-GC-012'!$D$20:$H$109,5,0),""))</f>
        <v/>
      </c>
      <c r="AA33" s="65" t="str">
        <f>IF($C33="","",IFERROR(VLOOKUP(CONCATENATE(AA$3,"-",$C33),'FO-GC-012'!$D$20:$H$109,2,0),""))</f>
        <v/>
      </c>
      <c r="AB33" s="66" t="str">
        <f>IF($C33="","",IFERROR(VLOOKUP(CONCATENATE(AA$3,"-",$C33),'FO-GC-012'!$D$20:$H$109,3,0),""))</f>
        <v/>
      </c>
      <c r="AC33" s="67" t="str">
        <f>IF($C33="","",IFERROR(VLOOKUP(CONCATENATE(AA$3,"-",$C33),'FO-GC-012'!$D$20:$H$109,4,0),""))</f>
        <v/>
      </c>
      <c r="AD33" s="68" t="str">
        <f>IF($C33="","",IFERROR(VLOOKUP(CONCATENATE(AA$3,"-",$C33),'FO-GC-012'!$D$20:$H$109,5,0),""))</f>
        <v/>
      </c>
      <c r="AE33" s="65" t="str">
        <f>IF($C33="","",IFERROR(VLOOKUP(CONCATENATE(AE$3,"-",$C33),'FO-GC-012'!$D$20:$H$109,2,0),""))</f>
        <v/>
      </c>
      <c r="AF33" s="66" t="str">
        <f>IF($C33="","",IFERROR(VLOOKUP(CONCATENATE(AE$3,"-",$C33),'FO-GC-012'!$D$20:$H$109,3,0),""))</f>
        <v/>
      </c>
      <c r="AG33" s="67" t="str">
        <f>IF($C33="","",IFERROR(VLOOKUP(CONCATENATE(AE$3,"-",$C33),'FO-GC-012'!$D$20:$H$109,4,0),""))</f>
        <v/>
      </c>
      <c r="AH33" s="68" t="str">
        <f>IF($C33="","",IFERROR(VLOOKUP(CONCATENATE(AE$3,"-",$C33),'FO-GC-012'!$D$20:$H$109,5,0),""))</f>
        <v/>
      </c>
      <c r="AI33" s="65" t="str">
        <f>IF($C33="","",IFERROR(VLOOKUP(CONCATENATE(AI$3,"-",$C33),'FO-GC-012'!$D$20:$H$109,2,0),""))</f>
        <v/>
      </c>
      <c r="AJ33" s="66" t="str">
        <f>IF($C33="","",IFERROR(VLOOKUP(CONCATENATE(AI$3,"-",$C33),'FO-GC-012'!$D$20:$H$109,3,0),""))</f>
        <v/>
      </c>
      <c r="AK33" s="67" t="str">
        <f>IF($C33="","",IFERROR(VLOOKUP(CONCATENATE(AI$3,"-",$C33),'FO-GC-012'!$D$20:$H$109,4,0),""))</f>
        <v/>
      </c>
      <c r="AL33" s="68" t="str">
        <f>IF($C33="","",IFERROR(VLOOKUP(CONCATENATE(AI$3,"-",$C33),'FO-GC-012'!$D$20:$H$109,5,0),""))</f>
        <v/>
      </c>
      <c r="AM33" s="65" t="str">
        <f>IF($C33="","",IFERROR(VLOOKUP(CONCATENATE(AM$3,"-",$C33),'FO-GC-012'!$D$20:$H$109,2,0),""))</f>
        <v/>
      </c>
      <c r="AN33" s="66" t="str">
        <f>IF($C33="","",IFERROR(VLOOKUP(CONCATENATE(AM$3,"-",$C33),'FO-GC-012'!$D$20:$H$109,3,0),""))</f>
        <v/>
      </c>
      <c r="AO33" s="67" t="str">
        <f>IF($C33="","",IFERROR(VLOOKUP(CONCATENATE(AM$3,"-",$C33),'FO-GC-012'!$D$20:$H$109,4,0),""))</f>
        <v/>
      </c>
      <c r="AP33" s="68" t="str">
        <f>IF($C33="","",IFERROR(VLOOKUP(CONCATENATE(AM$3,"-",$C33),'FO-GC-012'!$D$20:$H$109,5,0),""))</f>
        <v/>
      </c>
      <c r="AQ33" s="65" t="str">
        <f>IF($C33="","",IFERROR(VLOOKUP(CONCATENATE(AQ$3,"-",$C33),'FO-GC-012'!$D$20:$H$109,2,0),""))</f>
        <v/>
      </c>
      <c r="AR33" s="66" t="str">
        <f>IF($C33="","",IFERROR(VLOOKUP(CONCATENATE(AQ$3,"-",$C33),'FO-GC-012'!$D$20:$H$109,3,0),""))</f>
        <v/>
      </c>
      <c r="AS33" s="67" t="str">
        <f>IF($C33="","",IFERROR(VLOOKUP(CONCATENATE(AQ$3,"-",$C33),'FO-GC-012'!$D$20:$H$109,4,0),""))</f>
        <v/>
      </c>
      <c r="AT33" s="68" t="str">
        <f>IF($C33="","",IFERROR(VLOOKUP(CONCATENATE(AQ$3,"-",$C33),'FO-GC-012'!$D$20:$H$109,5,0),""))</f>
        <v/>
      </c>
      <c r="AU33" s="65" t="str">
        <f>IF($C33="","",IFERROR(VLOOKUP(CONCATENATE(AU$3,"-",$C33),'FO-GC-012'!$D$20:$H$109,2,0),""))</f>
        <v/>
      </c>
      <c r="AV33" s="66" t="str">
        <f>IF($C33="","",IFERROR(VLOOKUP(CONCATENATE(AU$3,"-",$C33),'FO-GC-012'!$D$20:$H$109,3,0),""))</f>
        <v/>
      </c>
      <c r="AW33" s="67" t="str">
        <f>IF($C33="","",IFERROR(VLOOKUP(CONCATENATE(AU$3,"-",$C33),'FO-GC-012'!$D$20:$H$109,4,0),""))</f>
        <v/>
      </c>
      <c r="AX33" s="68" t="str">
        <f>IF($C33="","",IFERROR(VLOOKUP(CONCATENATE(AU$3,"-",$C33),'FO-GC-012'!$D$20:$H$109,5,0),""))</f>
        <v/>
      </c>
      <c r="AY33" s="65" t="str">
        <f>IF($C33="","",IFERROR(VLOOKUP(CONCATENATE(AY$3,"-",$C33),'FO-GC-012'!$D$20:$H$109,2,0),""))</f>
        <v/>
      </c>
      <c r="AZ33" s="66" t="str">
        <f>IF($C33="","",IFERROR(VLOOKUP(CONCATENATE(AY$3,"-",$C33),'FO-GC-012'!$D$20:$H$109,3,0),""))</f>
        <v/>
      </c>
      <c r="BA33" s="67" t="str">
        <f>IF($C33="","",IFERROR(VLOOKUP(CONCATENATE(AY$3,"-",$C33),'FO-GC-012'!$D$20:$H$109,4,0),""))</f>
        <v/>
      </c>
      <c r="BB33" s="68" t="str">
        <f>IF($C33="","",IFERROR(VLOOKUP(CONCATENATE(AY$3,"-",$C33),'FO-GC-012'!$D$20:$H$109,5,0),""))</f>
        <v/>
      </c>
      <c r="BC33" s="65" t="str">
        <f>IF($C33="","",IFERROR(VLOOKUP(CONCATENATE(BC$3,"-",$C33),'FO-GC-012'!$D$20:$H$109,2,0),""))</f>
        <v/>
      </c>
      <c r="BD33" s="66" t="str">
        <f>IF($C33="","",IFERROR(VLOOKUP(CONCATENATE(BC$3,"-",$C33),'FO-GC-012'!$D$20:$H$109,3,0),""))</f>
        <v/>
      </c>
      <c r="BE33" s="67" t="str">
        <f>IF($C33="","",IFERROR(VLOOKUP(CONCATENATE(BC$3,"-",$C33),'FO-GC-012'!$D$20:$H$109,4,0),""))</f>
        <v/>
      </c>
      <c r="BF33" s="68" t="str">
        <f>IF($C33="","",IFERROR(VLOOKUP(CONCATENATE(BC$3,"-",$C33),'FO-GC-012'!$D$20:$H$109,5,0),""))</f>
        <v/>
      </c>
      <c r="BG33" s="65" t="str">
        <f>IF($C33="","",IFERROR(VLOOKUP(CONCATENATE(BG$3,"-",$C33),'FO-GC-012'!$D$20:$H$109,2,0),""))</f>
        <v/>
      </c>
      <c r="BH33" s="66" t="str">
        <f>IF($C33="","",IFERROR(VLOOKUP(CONCATENATE(BG$3,"-",$C33),'FO-GC-012'!$D$20:$H$109,3,0),""))</f>
        <v/>
      </c>
      <c r="BI33" s="67" t="str">
        <f>IF($C33="","",IFERROR(VLOOKUP(CONCATENATE(BG$3,"-",$C33),'FO-GC-012'!$D$20:$H$109,4,0),""))</f>
        <v/>
      </c>
      <c r="BJ33" s="68" t="str">
        <f>IF($C33="","",IFERROR(VLOOKUP(CONCATENATE(BG$3,"-",$C33),'FO-GC-012'!$D$20:$H$109,5,0),""))</f>
        <v/>
      </c>
      <c r="BK33" s="65" t="str">
        <f>IF($C33="","",IFERROR(VLOOKUP(CONCATENATE(BK$3,"-",$C33),'FO-GC-012'!$D$20:$H$109,2,0),""))</f>
        <v/>
      </c>
      <c r="BL33" s="66" t="str">
        <f>IF($C33="","",IFERROR(VLOOKUP(CONCATENATE(BK$3,"-",$C33),'FO-GC-012'!$D$20:$H$109,3,0),""))</f>
        <v/>
      </c>
      <c r="BM33" s="67" t="str">
        <f>IF($C33="","",IFERROR(VLOOKUP(CONCATENATE(BK$3,"-",$C33),'FO-GC-012'!$D$20:$H$109,4,0),""))</f>
        <v/>
      </c>
      <c r="BN33" s="68" t="str">
        <f>IF($C33="","",IFERROR(VLOOKUP(CONCATENATE(BK$3,"-",$C33),'FO-GC-012'!$D$20:$H$109,5,0),""))</f>
        <v/>
      </c>
      <c r="BO33" s="65" t="str">
        <f>IF($C33="","",IFERROR(VLOOKUP(CONCATENATE(BO$3,"-",$C33),'FO-GC-012'!$D$20:$H$109,2,0),""))</f>
        <v/>
      </c>
      <c r="BP33" s="66" t="str">
        <f>IF($C33="","",IFERROR(VLOOKUP(CONCATENATE(BO$3,"-",$C33),'FO-GC-012'!$D$20:$H$109,3,0),""))</f>
        <v/>
      </c>
      <c r="BQ33" s="67" t="str">
        <f>IF($C33="","",IFERROR(VLOOKUP(CONCATENATE(BO$3,"-",$C33),'FO-GC-012'!$D$20:$H$109,4,0),""))</f>
        <v/>
      </c>
      <c r="BR33" s="68" t="str">
        <f>IF($C33="","",IFERROR(VLOOKUP(CONCATENATE(BO$3,"-",$C33),'FO-GC-012'!$D$20:$H$109,5,0),""))</f>
        <v/>
      </c>
      <c r="BS33" s="65" t="str">
        <f>IF($C33="","",IFERROR(VLOOKUP(CONCATENATE(BS$3,"-",$C33),'FO-GC-012'!$D$20:$H$109,2,0),""))</f>
        <v/>
      </c>
      <c r="BT33" s="66" t="str">
        <f>IF($C33="","",IFERROR(VLOOKUP(CONCATENATE(BS$3,"-",$C33),'FO-GC-012'!$D$20:$H$109,3,0),""))</f>
        <v/>
      </c>
      <c r="BU33" s="67" t="str">
        <f>IF($C33="","",IFERROR(VLOOKUP(CONCATENATE(BS$3,"-",$C33),'FO-GC-012'!$D$20:$H$109,4,0),""))</f>
        <v/>
      </c>
      <c r="BV33" s="68" t="str">
        <f>IF($C33="","",IFERROR(VLOOKUP(CONCATENATE(BS$3,"-",$C33),'FO-GC-012'!$D$20:$H$109,5,0),""))</f>
        <v/>
      </c>
      <c r="BW33" s="65" t="str">
        <f>IF($C33="","",IFERROR(VLOOKUP(CONCATENATE(BW$3,"-",$C33),'FO-GC-012'!$D$20:$H$109,2,0),""))</f>
        <v/>
      </c>
      <c r="BX33" s="66" t="str">
        <f>IF($C33="","",IFERROR(VLOOKUP(CONCATENATE(BW$3,"-",$C33),'FO-GC-012'!$D$20:$H$109,3,0),""))</f>
        <v/>
      </c>
      <c r="BY33" s="67" t="str">
        <f>IF($C33="","",IFERROR(VLOOKUP(CONCATENATE(BW$3,"-",$C33),'FO-GC-012'!$D$20:$H$109,4,0),""))</f>
        <v/>
      </c>
      <c r="BZ33" s="68" t="str">
        <f>IF($C33="","",IFERROR(VLOOKUP(CONCATENATE(BW$3,"-",$C33),'FO-GC-012'!$D$20:$H$109,5,0),""))</f>
        <v/>
      </c>
      <c r="CA33" s="65" t="str">
        <f>IF($C33="","",IFERROR(VLOOKUP(CONCATENATE(CA$3,"-",$C33),'FO-GC-012'!$D$20:$H$109,2,0),""))</f>
        <v/>
      </c>
      <c r="CB33" s="66" t="str">
        <f>IF($C33="","",IFERROR(VLOOKUP(CONCATENATE(CA$3,"-",$C33),'FO-GC-012'!$D$20:$H$109,3,0),""))</f>
        <v/>
      </c>
      <c r="CC33" s="67" t="str">
        <f>IF($C33="","",IFERROR(VLOOKUP(CONCATENATE(CA$3,"-",$C33),'FO-GC-012'!$D$20:$H$109,4,0),""))</f>
        <v/>
      </c>
      <c r="CD33" s="68" t="str">
        <f>IF($C33="","",IFERROR(VLOOKUP(CONCATENATE(CA$3,"-",$C33),'FO-GC-012'!$D$20:$H$109,5,0),""))</f>
        <v/>
      </c>
      <c r="CE33" s="65" t="str">
        <f>IF($C33="","",IFERROR(VLOOKUP(CONCATENATE(CE$3,"-",$C33),'FO-GC-012'!$D$20:$H$109,2,0),""))</f>
        <v/>
      </c>
      <c r="CF33" s="66" t="str">
        <f>IF($C33="","",IFERROR(VLOOKUP(CONCATENATE(CE$3,"-",$C33),'FO-GC-012'!$D$20:$H$109,3,0),""))</f>
        <v/>
      </c>
      <c r="CG33" s="67" t="str">
        <f>IF($C33="","",IFERROR(VLOOKUP(CONCATENATE(CE$3,"-",$C33),'FO-GC-012'!$D$20:$H$109,4,0),""))</f>
        <v/>
      </c>
      <c r="CH33" s="68" t="str">
        <f>IF($C33="","",IFERROR(VLOOKUP(CONCATENATE(CE$3,"-",$C33),'FO-GC-012'!$D$20:$H$109,5,0),""))</f>
        <v/>
      </c>
    </row>
    <row r="34" spans="1:86" ht="33.75" customHeight="1" x14ac:dyDescent="0.35">
      <c r="B34" s="83">
        <f>IF(C34="","",COUNTA(C$4:C34))</f>
        <v>31</v>
      </c>
      <c r="C34" s="82" t="str">
        <f>'Eq. Auditor'!B33</f>
        <v>Laura Maria Olarte Zuñiga</v>
      </c>
      <c r="D34" s="83">
        <f>IF(C34="","",COUNTIF('FO-GC-012'!A:A,CONCATENATE("P-",C34)))</f>
        <v>0</v>
      </c>
      <c r="E34" s="83">
        <f>IF(C34="","",COUNTIF('FO-GC-012'!A:A,CONCATENATE("A-",C34)))</f>
        <v>0</v>
      </c>
      <c r="F34" s="83">
        <f t="shared" si="3"/>
        <v>0</v>
      </c>
      <c r="G34" s="69" t="str">
        <f>IF($C34="","",IFERROR(VLOOKUP(CONCATENATE(G$3,"-",$C34),'FO-GC-012'!$D$20:$H$109,2,0),""))</f>
        <v/>
      </c>
      <c r="H34" s="70" t="str">
        <f>IF($C34="","",IFERROR(VLOOKUP(CONCATENATE(G$3,"-",$C34),'FO-GC-012'!$D$20:$H$109,3,0),""))</f>
        <v/>
      </c>
      <c r="I34" s="71" t="str">
        <f>IF($C34="","",IFERROR(VLOOKUP(CONCATENATE(G$3,"-",$C34),'FO-GC-012'!$D$20:$H$109,4,0),""))</f>
        <v/>
      </c>
      <c r="J34" s="72" t="str">
        <f>IF($C34="","",IFERROR(VLOOKUP(CONCATENATE(G$3,"-",$C34),'FO-GC-012'!$D$20:$H$109,5,0),""))</f>
        <v/>
      </c>
      <c r="K34" s="69" t="str">
        <f>IF($C34="","",IFERROR(VLOOKUP(CONCATENATE(K$3,"-",$C34),'FO-GC-012'!$D$20:$H$109,2,0),""))</f>
        <v/>
      </c>
      <c r="L34" s="70" t="str">
        <f>IF($C34="","",IFERROR(VLOOKUP(CONCATENATE(K$3,"-",$C34),'FO-GC-012'!$D$20:$H$109,3,0),""))</f>
        <v/>
      </c>
      <c r="M34" s="71" t="str">
        <f>IF($C34="","",IFERROR(VLOOKUP(CONCATENATE(K$3,"-",$C34),'FO-GC-012'!$D$20:$H$109,4,0),""))</f>
        <v/>
      </c>
      <c r="N34" s="72" t="str">
        <f>IF($C34="","",IFERROR(VLOOKUP(CONCATENATE(K$3,"-",$C34),'FO-GC-012'!$D$20:$H$109,5,0),""))</f>
        <v/>
      </c>
      <c r="O34" s="69" t="str">
        <f>IF($C34="","",IFERROR(VLOOKUP(CONCATENATE(O$3,"-",$C34),'FO-GC-012'!$D$20:$H$109,2,0),""))</f>
        <v/>
      </c>
      <c r="P34" s="70" t="str">
        <f>IF($C34="","",IFERROR(VLOOKUP(CONCATENATE(O$3,"-",$C34),'FO-GC-012'!$D$20:$H$109,3,0),""))</f>
        <v/>
      </c>
      <c r="Q34" s="71" t="str">
        <f>IF($C34="","",IFERROR(VLOOKUP(CONCATENATE(O$3,"-",$C34),'FO-GC-012'!$D$20:$H$109,4,0),""))</f>
        <v/>
      </c>
      <c r="R34" s="72" t="str">
        <f>IF($C34="","",IFERROR(VLOOKUP(CONCATENATE(O$3,"-",$C34),'FO-GC-012'!$D$20:$H$109,5,0),""))</f>
        <v/>
      </c>
      <c r="S34" s="69" t="str">
        <f>IF($C34="","",IFERROR(VLOOKUP(CONCATENATE(S$3,"-",$C34),'FO-GC-012'!$D$20:$H$109,2,0),""))</f>
        <v/>
      </c>
      <c r="T34" s="70" t="str">
        <f>IF($C34="","",IFERROR(VLOOKUP(CONCATENATE(S$3,"-",$C34),'FO-GC-012'!$D$20:$H$109,3,0),""))</f>
        <v/>
      </c>
      <c r="U34" s="71" t="str">
        <f>IF($C34="","",IFERROR(VLOOKUP(CONCATENATE(S$3,"-",$C34),'FO-GC-012'!$D$20:$H$109,4,0),""))</f>
        <v/>
      </c>
      <c r="V34" s="72" t="str">
        <f>IF($C34="","",IFERROR(VLOOKUP(CONCATENATE(S$3,"-",$C34),'FO-GC-012'!$D$20:$H$109,5,0),""))</f>
        <v/>
      </c>
      <c r="W34" s="69" t="str">
        <f>IF($C34="","",IFERROR(VLOOKUP(CONCATENATE(W$3,"-",$C34),'FO-GC-012'!$D$20:$H$109,2,0),""))</f>
        <v/>
      </c>
      <c r="X34" s="70" t="str">
        <f>IF($C34="","",IFERROR(VLOOKUP(CONCATENATE(W$3,"-",$C34),'FO-GC-012'!$D$20:$H$109,3,0),""))</f>
        <v/>
      </c>
      <c r="Y34" s="71" t="str">
        <f>IF($C34="","",IFERROR(VLOOKUP(CONCATENATE(W$3,"-",$C34),'FO-GC-012'!$D$20:$H$109,4,0),""))</f>
        <v/>
      </c>
      <c r="Z34" s="72" t="str">
        <f>IF($C34="","",IFERROR(VLOOKUP(CONCATENATE(W$3,"-",$C34),'FO-GC-012'!$D$20:$H$109,5,0),""))</f>
        <v/>
      </c>
      <c r="AA34" s="69" t="str">
        <f>IF($C34="","",IFERROR(VLOOKUP(CONCATENATE(AA$3,"-",$C34),'FO-GC-012'!$D$20:$H$109,2,0),""))</f>
        <v/>
      </c>
      <c r="AB34" s="70" t="str">
        <f>IF($C34="","",IFERROR(VLOOKUP(CONCATENATE(AA$3,"-",$C34),'FO-GC-012'!$D$20:$H$109,3,0),""))</f>
        <v/>
      </c>
      <c r="AC34" s="71" t="str">
        <f>IF($C34="","",IFERROR(VLOOKUP(CONCATENATE(AA$3,"-",$C34),'FO-GC-012'!$D$20:$H$109,4,0),""))</f>
        <v/>
      </c>
      <c r="AD34" s="72" t="str">
        <f>IF($C34="","",IFERROR(VLOOKUP(CONCATENATE(AA$3,"-",$C34),'FO-GC-012'!$D$20:$H$109,5,0),""))</f>
        <v/>
      </c>
      <c r="AE34" s="69" t="str">
        <f>IF($C34="","",IFERROR(VLOOKUP(CONCATENATE(AE$3,"-",$C34),'FO-GC-012'!$D$20:$H$109,2,0),""))</f>
        <v/>
      </c>
      <c r="AF34" s="70" t="str">
        <f>IF($C34="","",IFERROR(VLOOKUP(CONCATENATE(AE$3,"-",$C34),'FO-GC-012'!$D$20:$H$109,3,0),""))</f>
        <v/>
      </c>
      <c r="AG34" s="71" t="str">
        <f>IF($C34="","",IFERROR(VLOOKUP(CONCATENATE(AE$3,"-",$C34),'FO-GC-012'!$D$20:$H$109,4,0),""))</f>
        <v/>
      </c>
      <c r="AH34" s="72" t="str">
        <f>IF($C34="","",IFERROR(VLOOKUP(CONCATENATE(AE$3,"-",$C34),'FO-GC-012'!$D$20:$H$109,5,0),""))</f>
        <v/>
      </c>
      <c r="AI34" s="69" t="str">
        <f>IF($C34="","",IFERROR(VLOOKUP(CONCATENATE(AI$3,"-",$C34),'FO-GC-012'!$D$20:$H$109,2,0),""))</f>
        <v/>
      </c>
      <c r="AJ34" s="70" t="str">
        <f>IF($C34="","",IFERROR(VLOOKUP(CONCATENATE(AI$3,"-",$C34),'FO-GC-012'!$D$20:$H$109,3,0),""))</f>
        <v/>
      </c>
      <c r="AK34" s="71" t="str">
        <f>IF($C34="","",IFERROR(VLOOKUP(CONCATENATE(AI$3,"-",$C34),'FO-GC-012'!$D$20:$H$109,4,0),""))</f>
        <v/>
      </c>
      <c r="AL34" s="72" t="str">
        <f>IF($C34="","",IFERROR(VLOOKUP(CONCATENATE(AI$3,"-",$C34),'FO-GC-012'!$D$20:$H$109,5,0),""))</f>
        <v/>
      </c>
      <c r="AM34" s="69" t="str">
        <f>IF($C34="","",IFERROR(VLOOKUP(CONCATENATE(AM$3,"-",$C34),'FO-GC-012'!$D$20:$H$109,2,0),""))</f>
        <v/>
      </c>
      <c r="AN34" s="70" t="str">
        <f>IF($C34="","",IFERROR(VLOOKUP(CONCATENATE(AM$3,"-",$C34),'FO-GC-012'!$D$20:$H$109,3,0),""))</f>
        <v/>
      </c>
      <c r="AO34" s="71" t="str">
        <f>IF($C34="","",IFERROR(VLOOKUP(CONCATENATE(AM$3,"-",$C34),'FO-GC-012'!$D$20:$H$109,4,0),""))</f>
        <v/>
      </c>
      <c r="AP34" s="72" t="str">
        <f>IF($C34="","",IFERROR(VLOOKUP(CONCATENATE(AM$3,"-",$C34),'FO-GC-012'!$D$20:$H$109,5,0),""))</f>
        <v/>
      </c>
      <c r="AQ34" s="69" t="str">
        <f>IF($C34="","",IFERROR(VLOOKUP(CONCATENATE(AQ$3,"-",$C34),'FO-GC-012'!$D$20:$H$109,2,0),""))</f>
        <v/>
      </c>
      <c r="AR34" s="70" t="str">
        <f>IF($C34="","",IFERROR(VLOOKUP(CONCATENATE(AQ$3,"-",$C34),'FO-GC-012'!$D$20:$H$109,3,0),""))</f>
        <v/>
      </c>
      <c r="AS34" s="71" t="str">
        <f>IF($C34="","",IFERROR(VLOOKUP(CONCATENATE(AQ$3,"-",$C34),'FO-GC-012'!$D$20:$H$109,4,0),""))</f>
        <v/>
      </c>
      <c r="AT34" s="72" t="str">
        <f>IF($C34="","",IFERROR(VLOOKUP(CONCATENATE(AQ$3,"-",$C34),'FO-GC-012'!$D$20:$H$109,5,0),""))</f>
        <v/>
      </c>
      <c r="AU34" s="69" t="str">
        <f>IF($C34="","",IFERROR(VLOOKUP(CONCATENATE(AU$3,"-",$C34),'FO-GC-012'!$D$20:$H$109,2,0),""))</f>
        <v/>
      </c>
      <c r="AV34" s="70" t="str">
        <f>IF($C34="","",IFERROR(VLOOKUP(CONCATENATE(AU$3,"-",$C34),'FO-GC-012'!$D$20:$H$109,3,0),""))</f>
        <v/>
      </c>
      <c r="AW34" s="71" t="str">
        <f>IF($C34="","",IFERROR(VLOOKUP(CONCATENATE(AU$3,"-",$C34),'FO-GC-012'!$D$20:$H$109,4,0),""))</f>
        <v/>
      </c>
      <c r="AX34" s="72" t="str">
        <f>IF($C34="","",IFERROR(VLOOKUP(CONCATENATE(AU$3,"-",$C34),'FO-GC-012'!$D$20:$H$109,5,0),""))</f>
        <v/>
      </c>
      <c r="AY34" s="69" t="str">
        <f>IF($C34="","",IFERROR(VLOOKUP(CONCATENATE(AY$3,"-",$C34),'FO-GC-012'!$D$20:$H$109,2,0),""))</f>
        <v/>
      </c>
      <c r="AZ34" s="70" t="str">
        <f>IF($C34="","",IFERROR(VLOOKUP(CONCATENATE(AY$3,"-",$C34),'FO-GC-012'!$D$20:$H$109,3,0),""))</f>
        <v/>
      </c>
      <c r="BA34" s="71" t="str">
        <f>IF($C34="","",IFERROR(VLOOKUP(CONCATENATE(AY$3,"-",$C34),'FO-GC-012'!$D$20:$H$109,4,0),""))</f>
        <v/>
      </c>
      <c r="BB34" s="72" t="str">
        <f>IF($C34="","",IFERROR(VLOOKUP(CONCATENATE(AY$3,"-",$C34),'FO-GC-012'!$D$20:$H$109,5,0),""))</f>
        <v/>
      </c>
      <c r="BC34" s="69" t="str">
        <f>IF($C34="","",IFERROR(VLOOKUP(CONCATENATE(BC$3,"-",$C34),'FO-GC-012'!$D$20:$H$109,2,0),""))</f>
        <v/>
      </c>
      <c r="BD34" s="70" t="str">
        <f>IF($C34="","",IFERROR(VLOOKUP(CONCATENATE(BC$3,"-",$C34),'FO-GC-012'!$D$20:$H$109,3,0),""))</f>
        <v/>
      </c>
      <c r="BE34" s="71" t="str">
        <f>IF($C34="","",IFERROR(VLOOKUP(CONCATENATE(BC$3,"-",$C34),'FO-GC-012'!$D$20:$H$109,4,0),""))</f>
        <v/>
      </c>
      <c r="BF34" s="72" t="str">
        <f>IF($C34="","",IFERROR(VLOOKUP(CONCATENATE(BC$3,"-",$C34),'FO-GC-012'!$D$20:$H$109,5,0),""))</f>
        <v/>
      </c>
      <c r="BG34" s="69" t="str">
        <f>IF($C34="","",IFERROR(VLOOKUP(CONCATENATE(BG$3,"-",$C34),'FO-GC-012'!$D$20:$H$109,2,0),""))</f>
        <v/>
      </c>
      <c r="BH34" s="70" t="str">
        <f>IF($C34="","",IFERROR(VLOOKUP(CONCATENATE(BG$3,"-",$C34),'FO-GC-012'!$D$20:$H$109,3,0),""))</f>
        <v/>
      </c>
      <c r="BI34" s="71" t="str">
        <f>IF($C34="","",IFERROR(VLOOKUP(CONCATENATE(BG$3,"-",$C34),'FO-GC-012'!$D$20:$H$109,4,0),""))</f>
        <v/>
      </c>
      <c r="BJ34" s="72" t="str">
        <f>IF($C34="","",IFERROR(VLOOKUP(CONCATENATE(BG$3,"-",$C34),'FO-GC-012'!$D$20:$H$109,5,0),""))</f>
        <v/>
      </c>
      <c r="BK34" s="69" t="str">
        <f>IF($C34="","",IFERROR(VLOOKUP(CONCATENATE(BK$3,"-",$C34),'FO-GC-012'!$D$20:$H$109,2,0),""))</f>
        <v/>
      </c>
      <c r="BL34" s="70" t="str">
        <f>IF($C34="","",IFERROR(VLOOKUP(CONCATENATE(BK$3,"-",$C34),'FO-GC-012'!$D$20:$H$109,3,0),""))</f>
        <v/>
      </c>
      <c r="BM34" s="71" t="str">
        <f>IF($C34="","",IFERROR(VLOOKUP(CONCATENATE(BK$3,"-",$C34),'FO-GC-012'!$D$20:$H$109,4,0),""))</f>
        <v/>
      </c>
      <c r="BN34" s="72" t="str">
        <f>IF($C34="","",IFERROR(VLOOKUP(CONCATENATE(BK$3,"-",$C34),'FO-GC-012'!$D$20:$H$109,5,0),""))</f>
        <v/>
      </c>
      <c r="BO34" s="69" t="str">
        <f>IF($C34="","",IFERROR(VLOOKUP(CONCATENATE(BO$3,"-",$C34),'FO-GC-012'!$D$20:$H$109,2,0),""))</f>
        <v/>
      </c>
      <c r="BP34" s="70" t="str">
        <f>IF($C34="","",IFERROR(VLOOKUP(CONCATENATE(BO$3,"-",$C34),'FO-GC-012'!$D$20:$H$109,3,0),""))</f>
        <v/>
      </c>
      <c r="BQ34" s="71" t="str">
        <f>IF($C34="","",IFERROR(VLOOKUP(CONCATENATE(BO$3,"-",$C34),'FO-GC-012'!$D$20:$H$109,4,0),""))</f>
        <v/>
      </c>
      <c r="BR34" s="72" t="str">
        <f>IF($C34="","",IFERROR(VLOOKUP(CONCATENATE(BO$3,"-",$C34),'FO-GC-012'!$D$20:$H$109,5,0),""))</f>
        <v/>
      </c>
      <c r="BS34" s="69" t="str">
        <f>IF($C34="","",IFERROR(VLOOKUP(CONCATENATE(BS$3,"-",$C34),'FO-GC-012'!$D$20:$H$109,2,0),""))</f>
        <v/>
      </c>
      <c r="BT34" s="70" t="str">
        <f>IF($C34="","",IFERROR(VLOOKUP(CONCATENATE(BS$3,"-",$C34),'FO-GC-012'!$D$20:$H$109,3,0),""))</f>
        <v/>
      </c>
      <c r="BU34" s="71" t="str">
        <f>IF($C34="","",IFERROR(VLOOKUP(CONCATENATE(BS$3,"-",$C34),'FO-GC-012'!$D$20:$H$109,4,0),""))</f>
        <v/>
      </c>
      <c r="BV34" s="72" t="str">
        <f>IF($C34="","",IFERROR(VLOOKUP(CONCATENATE(BS$3,"-",$C34),'FO-GC-012'!$D$20:$H$109,5,0),""))</f>
        <v/>
      </c>
      <c r="BW34" s="69" t="str">
        <f>IF($C34="","",IFERROR(VLOOKUP(CONCATENATE(BW$3,"-",$C34),'FO-GC-012'!$D$20:$H$109,2,0),""))</f>
        <v/>
      </c>
      <c r="BX34" s="70" t="str">
        <f>IF($C34="","",IFERROR(VLOOKUP(CONCATENATE(BW$3,"-",$C34),'FO-GC-012'!$D$20:$H$109,3,0),""))</f>
        <v/>
      </c>
      <c r="BY34" s="71" t="str">
        <f>IF($C34="","",IFERROR(VLOOKUP(CONCATENATE(BW$3,"-",$C34),'FO-GC-012'!$D$20:$H$109,4,0),""))</f>
        <v/>
      </c>
      <c r="BZ34" s="72" t="str">
        <f>IF($C34="","",IFERROR(VLOOKUP(CONCATENATE(BW$3,"-",$C34),'FO-GC-012'!$D$20:$H$109,5,0),""))</f>
        <v/>
      </c>
      <c r="CA34" s="69" t="str">
        <f>IF($C34="","",IFERROR(VLOOKUP(CONCATENATE(CA$3,"-",$C34),'FO-GC-012'!$D$20:$H$109,2,0),""))</f>
        <v/>
      </c>
      <c r="CB34" s="70" t="str">
        <f>IF($C34="","",IFERROR(VLOOKUP(CONCATENATE(CA$3,"-",$C34),'FO-GC-012'!$D$20:$H$109,3,0),""))</f>
        <v/>
      </c>
      <c r="CC34" s="71" t="str">
        <f>IF($C34="","",IFERROR(VLOOKUP(CONCATENATE(CA$3,"-",$C34),'FO-GC-012'!$D$20:$H$109,4,0),""))</f>
        <v/>
      </c>
      <c r="CD34" s="72" t="str">
        <f>IF($C34="","",IFERROR(VLOOKUP(CONCATENATE(CA$3,"-",$C34),'FO-GC-012'!$D$20:$H$109,5,0),""))</f>
        <v/>
      </c>
      <c r="CE34" s="69" t="str">
        <f>IF($C34="","",IFERROR(VLOOKUP(CONCATENATE(CE$3,"-",$C34),'FO-GC-012'!$D$20:$H$109,2,0),""))</f>
        <v/>
      </c>
      <c r="CF34" s="70" t="str">
        <f>IF($C34="","",IFERROR(VLOOKUP(CONCATENATE(CE$3,"-",$C34),'FO-GC-012'!$D$20:$H$109,3,0),""))</f>
        <v/>
      </c>
      <c r="CG34" s="71" t="str">
        <f>IF($C34="","",IFERROR(VLOOKUP(CONCATENATE(CE$3,"-",$C34),'FO-GC-012'!$D$20:$H$109,4,0),""))</f>
        <v/>
      </c>
      <c r="CH34" s="72" t="str">
        <f>IF($C34="","",IFERROR(VLOOKUP(CONCATENATE(CE$3,"-",$C34),'FO-GC-012'!$D$20:$H$109,5,0),""))</f>
        <v/>
      </c>
    </row>
    <row r="35" spans="1:86" ht="33.75" customHeight="1" x14ac:dyDescent="0.35">
      <c r="B35" s="83">
        <f>IF(C35="","",COUNTA(C$4:C35))</f>
        <v>32</v>
      </c>
      <c r="C35" s="82" t="str">
        <f>'Eq. Auditor'!B34</f>
        <v>Lucy Marlady Lopez Perez</v>
      </c>
      <c r="D35" s="83">
        <f>IF(C35="","",COUNTIF('FO-GC-012'!A:A,CONCATENATE("P-",C35)))</f>
        <v>0</v>
      </c>
      <c r="E35" s="83">
        <f>IF(C35="","",COUNTIF('FO-GC-012'!A:A,CONCATENATE("A-",C35)))</f>
        <v>0</v>
      </c>
      <c r="F35" s="83">
        <f t="shared" si="3"/>
        <v>0</v>
      </c>
      <c r="G35" s="65" t="str">
        <f>IF($C35="","",IFERROR(VLOOKUP(CONCATENATE(G$3,"-",$C35),'FO-GC-012'!$D$20:$H$109,2,0),""))</f>
        <v/>
      </c>
      <c r="H35" s="66" t="str">
        <f>IF($C35="","",IFERROR(VLOOKUP(CONCATENATE(G$3,"-",$C35),'FO-GC-012'!$D$20:$H$109,3,0),""))</f>
        <v/>
      </c>
      <c r="I35" s="67" t="str">
        <f>IF($C35="","",IFERROR(VLOOKUP(CONCATENATE(G$3,"-",$C35),'FO-GC-012'!$D$20:$H$109,4,0),""))</f>
        <v/>
      </c>
      <c r="J35" s="68" t="str">
        <f>IF($C35="","",IFERROR(VLOOKUP(CONCATENATE(G$3,"-",$C35),'FO-GC-012'!$D$20:$H$109,5,0),""))</f>
        <v/>
      </c>
      <c r="K35" s="65" t="str">
        <f>IF($C35="","",IFERROR(VLOOKUP(CONCATENATE(K$3,"-",$C35),'FO-GC-012'!$D$20:$H$109,2,0),""))</f>
        <v/>
      </c>
      <c r="L35" s="66" t="str">
        <f>IF($C35="","",IFERROR(VLOOKUP(CONCATENATE(K$3,"-",$C35),'FO-GC-012'!$D$20:$H$109,3,0),""))</f>
        <v/>
      </c>
      <c r="M35" s="67" t="str">
        <f>IF($C35="","",IFERROR(VLOOKUP(CONCATENATE(K$3,"-",$C35),'FO-GC-012'!$D$20:$H$109,4,0),""))</f>
        <v/>
      </c>
      <c r="N35" s="68" t="str">
        <f>IF($C35="","",IFERROR(VLOOKUP(CONCATENATE(K$3,"-",$C35),'FO-GC-012'!$D$20:$H$109,5,0),""))</f>
        <v/>
      </c>
      <c r="O35" s="65" t="str">
        <f>IF($C35="","",IFERROR(VLOOKUP(CONCATENATE(O$3,"-",$C35),'FO-GC-012'!$D$20:$H$109,2,0),""))</f>
        <v/>
      </c>
      <c r="P35" s="66" t="str">
        <f>IF($C35="","",IFERROR(VLOOKUP(CONCATENATE(O$3,"-",$C35),'FO-GC-012'!$D$20:$H$109,3,0),""))</f>
        <v/>
      </c>
      <c r="Q35" s="67" t="str">
        <f>IF($C35="","",IFERROR(VLOOKUP(CONCATENATE(O$3,"-",$C35),'FO-GC-012'!$D$20:$H$109,4,0),""))</f>
        <v/>
      </c>
      <c r="R35" s="68" t="str">
        <f>IF($C35="","",IFERROR(VLOOKUP(CONCATENATE(O$3,"-",$C35),'FO-GC-012'!$D$20:$H$109,5,0),""))</f>
        <v/>
      </c>
      <c r="S35" s="65" t="str">
        <f>IF($C35="","",IFERROR(VLOOKUP(CONCATENATE(S$3,"-",$C35),'FO-GC-012'!$D$20:$H$109,2,0),""))</f>
        <v/>
      </c>
      <c r="T35" s="66" t="str">
        <f>IF($C35="","",IFERROR(VLOOKUP(CONCATENATE(S$3,"-",$C35),'FO-GC-012'!$D$20:$H$109,3,0),""))</f>
        <v/>
      </c>
      <c r="U35" s="67" t="str">
        <f>IF($C35="","",IFERROR(VLOOKUP(CONCATENATE(S$3,"-",$C35),'FO-GC-012'!$D$20:$H$109,4,0),""))</f>
        <v/>
      </c>
      <c r="V35" s="68" t="str">
        <f>IF($C35="","",IFERROR(VLOOKUP(CONCATENATE(S$3,"-",$C35),'FO-GC-012'!$D$20:$H$109,5,0),""))</f>
        <v/>
      </c>
      <c r="W35" s="65" t="str">
        <f>IF($C35="","",IFERROR(VLOOKUP(CONCATENATE(W$3,"-",$C35),'FO-GC-012'!$D$20:$H$109,2,0),""))</f>
        <v/>
      </c>
      <c r="X35" s="66" t="str">
        <f>IF($C35="","",IFERROR(VLOOKUP(CONCATENATE(W$3,"-",$C35),'FO-GC-012'!$D$20:$H$109,3,0),""))</f>
        <v/>
      </c>
      <c r="Y35" s="67" t="str">
        <f>IF($C35="","",IFERROR(VLOOKUP(CONCATENATE(W$3,"-",$C35),'FO-GC-012'!$D$20:$H$109,4,0),""))</f>
        <v/>
      </c>
      <c r="Z35" s="68" t="str">
        <f>IF($C35="","",IFERROR(VLOOKUP(CONCATENATE(W$3,"-",$C35),'FO-GC-012'!$D$20:$H$109,5,0),""))</f>
        <v/>
      </c>
      <c r="AA35" s="65" t="str">
        <f>IF($C35="","",IFERROR(VLOOKUP(CONCATENATE(AA$3,"-",$C35),'FO-GC-012'!$D$20:$H$109,2,0),""))</f>
        <v/>
      </c>
      <c r="AB35" s="66" t="str">
        <f>IF($C35="","",IFERROR(VLOOKUP(CONCATENATE(AA$3,"-",$C35),'FO-GC-012'!$D$20:$H$109,3,0),""))</f>
        <v/>
      </c>
      <c r="AC35" s="67" t="str">
        <f>IF($C35="","",IFERROR(VLOOKUP(CONCATENATE(AA$3,"-",$C35),'FO-GC-012'!$D$20:$H$109,4,0),""))</f>
        <v/>
      </c>
      <c r="AD35" s="68" t="str">
        <f>IF($C35="","",IFERROR(VLOOKUP(CONCATENATE(AA$3,"-",$C35),'FO-GC-012'!$D$20:$H$109,5,0),""))</f>
        <v/>
      </c>
      <c r="AE35" s="65" t="str">
        <f>IF($C35="","",IFERROR(VLOOKUP(CONCATENATE(AE$3,"-",$C35),'FO-GC-012'!$D$20:$H$109,2,0),""))</f>
        <v/>
      </c>
      <c r="AF35" s="66" t="str">
        <f>IF($C35="","",IFERROR(VLOOKUP(CONCATENATE(AE$3,"-",$C35),'FO-GC-012'!$D$20:$H$109,3,0),""))</f>
        <v/>
      </c>
      <c r="AG35" s="67" t="str">
        <f>IF($C35="","",IFERROR(VLOOKUP(CONCATENATE(AE$3,"-",$C35),'FO-GC-012'!$D$20:$H$109,4,0),""))</f>
        <v/>
      </c>
      <c r="AH35" s="68" t="str">
        <f>IF($C35="","",IFERROR(VLOOKUP(CONCATENATE(AE$3,"-",$C35),'FO-GC-012'!$D$20:$H$109,5,0),""))</f>
        <v/>
      </c>
      <c r="AI35" s="65" t="str">
        <f>IF($C35="","",IFERROR(VLOOKUP(CONCATENATE(AI$3,"-",$C35),'FO-GC-012'!$D$20:$H$109,2,0),""))</f>
        <v/>
      </c>
      <c r="AJ35" s="66" t="str">
        <f>IF($C35="","",IFERROR(VLOOKUP(CONCATENATE(AI$3,"-",$C35),'FO-GC-012'!$D$20:$H$109,3,0),""))</f>
        <v/>
      </c>
      <c r="AK35" s="67" t="str">
        <f>IF($C35="","",IFERROR(VLOOKUP(CONCATENATE(AI$3,"-",$C35),'FO-GC-012'!$D$20:$H$109,4,0),""))</f>
        <v/>
      </c>
      <c r="AL35" s="68" t="str">
        <f>IF($C35="","",IFERROR(VLOOKUP(CONCATENATE(AI$3,"-",$C35),'FO-GC-012'!$D$20:$H$109,5,0),""))</f>
        <v/>
      </c>
      <c r="AM35" s="65" t="str">
        <f>IF($C35="","",IFERROR(VLOOKUP(CONCATENATE(AM$3,"-",$C35),'FO-GC-012'!$D$20:$H$109,2,0),""))</f>
        <v/>
      </c>
      <c r="AN35" s="66" t="str">
        <f>IF($C35="","",IFERROR(VLOOKUP(CONCATENATE(AM$3,"-",$C35),'FO-GC-012'!$D$20:$H$109,3,0),""))</f>
        <v/>
      </c>
      <c r="AO35" s="67" t="str">
        <f>IF($C35="","",IFERROR(VLOOKUP(CONCATENATE(AM$3,"-",$C35),'FO-GC-012'!$D$20:$H$109,4,0),""))</f>
        <v/>
      </c>
      <c r="AP35" s="68" t="str">
        <f>IF($C35="","",IFERROR(VLOOKUP(CONCATENATE(AM$3,"-",$C35),'FO-GC-012'!$D$20:$H$109,5,0),""))</f>
        <v/>
      </c>
      <c r="AQ35" s="65" t="str">
        <f>IF($C35="","",IFERROR(VLOOKUP(CONCATENATE(AQ$3,"-",$C35),'FO-GC-012'!$D$20:$H$109,2,0),""))</f>
        <v/>
      </c>
      <c r="AR35" s="66" t="str">
        <f>IF($C35="","",IFERROR(VLOOKUP(CONCATENATE(AQ$3,"-",$C35),'FO-GC-012'!$D$20:$H$109,3,0),""))</f>
        <v/>
      </c>
      <c r="AS35" s="67" t="str">
        <f>IF($C35="","",IFERROR(VLOOKUP(CONCATENATE(AQ$3,"-",$C35),'FO-GC-012'!$D$20:$H$109,4,0),""))</f>
        <v/>
      </c>
      <c r="AT35" s="68" t="str">
        <f>IF($C35="","",IFERROR(VLOOKUP(CONCATENATE(AQ$3,"-",$C35),'FO-GC-012'!$D$20:$H$109,5,0),""))</f>
        <v/>
      </c>
      <c r="AU35" s="65" t="str">
        <f>IF($C35="","",IFERROR(VLOOKUP(CONCATENATE(AU$3,"-",$C35),'FO-GC-012'!$D$20:$H$109,2,0),""))</f>
        <v/>
      </c>
      <c r="AV35" s="66" t="str">
        <f>IF($C35="","",IFERROR(VLOOKUP(CONCATENATE(AU$3,"-",$C35),'FO-GC-012'!$D$20:$H$109,3,0),""))</f>
        <v/>
      </c>
      <c r="AW35" s="67" t="str">
        <f>IF($C35="","",IFERROR(VLOOKUP(CONCATENATE(AU$3,"-",$C35),'FO-GC-012'!$D$20:$H$109,4,0),""))</f>
        <v/>
      </c>
      <c r="AX35" s="68" t="str">
        <f>IF($C35="","",IFERROR(VLOOKUP(CONCATENATE(AU$3,"-",$C35),'FO-GC-012'!$D$20:$H$109,5,0),""))</f>
        <v/>
      </c>
      <c r="AY35" s="65" t="str">
        <f>IF($C35="","",IFERROR(VLOOKUP(CONCATENATE(AY$3,"-",$C35),'FO-GC-012'!$D$20:$H$109,2,0),""))</f>
        <v/>
      </c>
      <c r="AZ35" s="66" t="str">
        <f>IF($C35="","",IFERROR(VLOOKUP(CONCATENATE(AY$3,"-",$C35),'FO-GC-012'!$D$20:$H$109,3,0),""))</f>
        <v/>
      </c>
      <c r="BA35" s="67" t="str">
        <f>IF($C35="","",IFERROR(VLOOKUP(CONCATENATE(AY$3,"-",$C35),'FO-GC-012'!$D$20:$H$109,4,0),""))</f>
        <v/>
      </c>
      <c r="BB35" s="68" t="str">
        <f>IF($C35="","",IFERROR(VLOOKUP(CONCATENATE(AY$3,"-",$C35),'FO-GC-012'!$D$20:$H$109,5,0),""))</f>
        <v/>
      </c>
      <c r="BC35" s="65" t="str">
        <f>IF($C35="","",IFERROR(VLOOKUP(CONCATENATE(BC$3,"-",$C35),'FO-GC-012'!$D$20:$H$109,2,0),""))</f>
        <v/>
      </c>
      <c r="BD35" s="66" t="str">
        <f>IF($C35="","",IFERROR(VLOOKUP(CONCATENATE(BC$3,"-",$C35),'FO-GC-012'!$D$20:$H$109,3,0),""))</f>
        <v/>
      </c>
      <c r="BE35" s="67" t="str">
        <f>IF($C35="","",IFERROR(VLOOKUP(CONCATENATE(BC$3,"-",$C35),'FO-GC-012'!$D$20:$H$109,4,0),""))</f>
        <v/>
      </c>
      <c r="BF35" s="68" t="str">
        <f>IF($C35="","",IFERROR(VLOOKUP(CONCATENATE(BC$3,"-",$C35),'FO-GC-012'!$D$20:$H$109,5,0),""))</f>
        <v/>
      </c>
      <c r="BG35" s="65" t="str">
        <f>IF($C35="","",IFERROR(VLOOKUP(CONCATENATE(BG$3,"-",$C35),'FO-GC-012'!$D$20:$H$109,2,0),""))</f>
        <v/>
      </c>
      <c r="BH35" s="66" t="str">
        <f>IF($C35="","",IFERROR(VLOOKUP(CONCATENATE(BG$3,"-",$C35),'FO-GC-012'!$D$20:$H$109,3,0),""))</f>
        <v/>
      </c>
      <c r="BI35" s="67" t="str">
        <f>IF($C35="","",IFERROR(VLOOKUP(CONCATENATE(BG$3,"-",$C35),'FO-GC-012'!$D$20:$H$109,4,0),""))</f>
        <v/>
      </c>
      <c r="BJ35" s="68" t="str">
        <f>IF($C35="","",IFERROR(VLOOKUP(CONCATENATE(BG$3,"-",$C35),'FO-GC-012'!$D$20:$H$109,5,0),""))</f>
        <v/>
      </c>
      <c r="BK35" s="65" t="str">
        <f>IF($C35="","",IFERROR(VLOOKUP(CONCATENATE(BK$3,"-",$C35),'FO-GC-012'!$D$20:$H$109,2,0),""))</f>
        <v/>
      </c>
      <c r="BL35" s="66" t="str">
        <f>IF($C35="","",IFERROR(VLOOKUP(CONCATENATE(BK$3,"-",$C35),'FO-GC-012'!$D$20:$H$109,3,0),""))</f>
        <v/>
      </c>
      <c r="BM35" s="67" t="str">
        <f>IF($C35="","",IFERROR(VLOOKUP(CONCATENATE(BK$3,"-",$C35),'FO-GC-012'!$D$20:$H$109,4,0),""))</f>
        <v/>
      </c>
      <c r="BN35" s="68" t="str">
        <f>IF($C35="","",IFERROR(VLOOKUP(CONCATENATE(BK$3,"-",$C35),'FO-GC-012'!$D$20:$H$109,5,0),""))</f>
        <v/>
      </c>
      <c r="BO35" s="65" t="str">
        <f>IF($C35="","",IFERROR(VLOOKUP(CONCATENATE(BO$3,"-",$C35),'FO-GC-012'!$D$20:$H$109,2,0),""))</f>
        <v/>
      </c>
      <c r="BP35" s="66" t="str">
        <f>IF($C35="","",IFERROR(VLOOKUP(CONCATENATE(BO$3,"-",$C35),'FO-GC-012'!$D$20:$H$109,3,0),""))</f>
        <v/>
      </c>
      <c r="BQ35" s="67" t="str">
        <f>IF($C35="","",IFERROR(VLOOKUP(CONCATENATE(BO$3,"-",$C35),'FO-GC-012'!$D$20:$H$109,4,0),""))</f>
        <v/>
      </c>
      <c r="BR35" s="68" t="str">
        <f>IF($C35="","",IFERROR(VLOOKUP(CONCATENATE(BO$3,"-",$C35),'FO-GC-012'!$D$20:$H$109,5,0),""))</f>
        <v/>
      </c>
      <c r="BS35" s="65" t="str">
        <f>IF($C35="","",IFERROR(VLOOKUP(CONCATENATE(BS$3,"-",$C35),'FO-GC-012'!$D$20:$H$109,2,0),""))</f>
        <v/>
      </c>
      <c r="BT35" s="66" t="str">
        <f>IF($C35="","",IFERROR(VLOOKUP(CONCATENATE(BS$3,"-",$C35),'FO-GC-012'!$D$20:$H$109,3,0),""))</f>
        <v/>
      </c>
      <c r="BU35" s="67" t="str">
        <f>IF($C35="","",IFERROR(VLOOKUP(CONCATENATE(BS$3,"-",$C35),'FO-GC-012'!$D$20:$H$109,4,0),""))</f>
        <v/>
      </c>
      <c r="BV35" s="68" t="str">
        <f>IF($C35="","",IFERROR(VLOOKUP(CONCATENATE(BS$3,"-",$C35),'FO-GC-012'!$D$20:$H$109,5,0),""))</f>
        <v/>
      </c>
      <c r="BW35" s="65" t="str">
        <f>IF($C35="","",IFERROR(VLOOKUP(CONCATENATE(BW$3,"-",$C35),'FO-GC-012'!$D$20:$H$109,2,0),""))</f>
        <v/>
      </c>
      <c r="BX35" s="66" t="str">
        <f>IF($C35="","",IFERROR(VLOOKUP(CONCATENATE(BW$3,"-",$C35),'FO-GC-012'!$D$20:$H$109,3,0),""))</f>
        <v/>
      </c>
      <c r="BY35" s="67" t="str">
        <f>IF($C35="","",IFERROR(VLOOKUP(CONCATENATE(BW$3,"-",$C35),'FO-GC-012'!$D$20:$H$109,4,0),""))</f>
        <v/>
      </c>
      <c r="BZ35" s="68" t="str">
        <f>IF($C35="","",IFERROR(VLOOKUP(CONCATENATE(BW$3,"-",$C35),'FO-GC-012'!$D$20:$H$109,5,0),""))</f>
        <v/>
      </c>
      <c r="CA35" s="65" t="str">
        <f>IF($C35="","",IFERROR(VLOOKUP(CONCATENATE(CA$3,"-",$C35),'FO-GC-012'!$D$20:$H$109,2,0),""))</f>
        <v/>
      </c>
      <c r="CB35" s="66" t="str">
        <f>IF($C35="","",IFERROR(VLOOKUP(CONCATENATE(CA$3,"-",$C35),'FO-GC-012'!$D$20:$H$109,3,0),""))</f>
        <v/>
      </c>
      <c r="CC35" s="67" t="str">
        <f>IF($C35="","",IFERROR(VLOOKUP(CONCATENATE(CA$3,"-",$C35),'FO-GC-012'!$D$20:$H$109,4,0),""))</f>
        <v/>
      </c>
      <c r="CD35" s="68" t="str">
        <f>IF($C35="","",IFERROR(VLOOKUP(CONCATENATE(CA$3,"-",$C35),'FO-GC-012'!$D$20:$H$109,5,0),""))</f>
        <v/>
      </c>
      <c r="CE35" s="65" t="str">
        <f>IF($C35="","",IFERROR(VLOOKUP(CONCATENATE(CE$3,"-",$C35),'FO-GC-012'!$D$20:$H$109,2,0),""))</f>
        <v/>
      </c>
      <c r="CF35" s="66" t="str">
        <f>IF($C35="","",IFERROR(VLOOKUP(CONCATENATE(CE$3,"-",$C35),'FO-GC-012'!$D$20:$H$109,3,0),""))</f>
        <v/>
      </c>
      <c r="CG35" s="67" t="str">
        <f>IF($C35="","",IFERROR(VLOOKUP(CONCATENATE(CE$3,"-",$C35),'FO-GC-012'!$D$20:$H$109,4,0),""))</f>
        <v/>
      </c>
      <c r="CH35" s="68" t="str">
        <f>IF($C35="","",IFERROR(VLOOKUP(CONCATENATE(CE$3,"-",$C35),'FO-GC-012'!$D$20:$H$109,5,0),""))</f>
        <v/>
      </c>
    </row>
    <row r="36" spans="1:86" ht="33.75" customHeight="1" x14ac:dyDescent="0.35">
      <c r="B36" s="83">
        <f>IF(C36="","",COUNTA(C$4:C36))</f>
        <v>33</v>
      </c>
      <c r="C36" s="82" t="str">
        <f>'Eq. Auditor'!B35</f>
        <v>Maria Camila Toro Gonzalez</v>
      </c>
      <c r="D36" s="83">
        <f>IF(C36="","",COUNTIF('FO-GC-012'!A:A,CONCATENATE("P-",C36)))</f>
        <v>0</v>
      </c>
      <c r="E36" s="83">
        <f>IF(C36="","",COUNTIF('FO-GC-012'!A:A,CONCATENATE("A-",C36)))</f>
        <v>0</v>
      </c>
      <c r="F36" s="83">
        <f t="shared" si="3"/>
        <v>0</v>
      </c>
      <c r="G36" s="69" t="str">
        <f>IF($C36="","",IFERROR(VLOOKUP(CONCATENATE(G$3,"-",$C36),'FO-GC-012'!$D$20:$H$109,2,0),""))</f>
        <v/>
      </c>
      <c r="H36" s="70" t="str">
        <f>IF($C36="","",IFERROR(VLOOKUP(CONCATENATE(G$3,"-",$C36),'FO-GC-012'!$D$20:$H$109,3,0),""))</f>
        <v/>
      </c>
      <c r="I36" s="71" t="str">
        <f>IF($C36="","",IFERROR(VLOOKUP(CONCATENATE(G$3,"-",$C36),'FO-GC-012'!$D$20:$H$109,4,0),""))</f>
        <v/>
      </c>
      <c r="J36" s="72" t="str">
        <f>IF($C36="","",IFERROR(VLOOKUP(CONCATENATE(G$3,"-",$C36),'FO-GC-012'!$D$20:$H$109,5,0),""))</f>
        <v/>
      </c>
      <c r="K36" s="69" t="str">
        <f>IF($C36="","",IFERROR(VLOOKUP(CONCATENATE(K$3,"-",$C36),'FO-GC-012'!$D$20:$H$109,2,0),""))</f>
        <v/>
      </c>
      <c r="L36" s="70" t="str">
        <f>IF($C36="","",IFERROR(VLOOKUP(CONCATENATE(K$3,"-",$C36),'FO-GC-012'!$D$20:$H$109,3,0),""))</f>
        <v/>
      </c>
      <c r="M36" s="71" t="str">
        <f>IF($C36="","",IFERROR(VLOOKUP(CONCATENATE(K$3,"-",$C36),'FO-GC-012'!$D$20:$H$109,4,0),""))</f>
        <v/>
      </c>
      <c r="N36" s="72" t="str">
        <f>IF($C36="","",IFERROR(VLOOKUP(CONCATENATE(K$3,"-",$C36),'FO-GC-012'!$D$20:$H$109,5,0),""))</f>
        <v/>
      </c>
      <c r="O36" s="69" t="str">
        <f>IF($C36="","",IFERROR(VLOOKUP(CONCATENATE(O$3,"-",$C36),'FO-GC-012'!$D$20:$H$109,2,0),""))</f>
        <v/>
      </c>
      <c r="P36" s="70" t="str">
        <f>IF($C36="","",IFERROR(VLOOKUP(CONCATENATE(O$3,"-",$C36),'FO-GC-012'!$D$20:$H$109,3,0),""))</f>
        <v/>
      </c>
      <c r="Q36" s="71" t="str">
        <f>IF($C36="","",IFERROR(VLOOKUP(CONCATENATE(O$3,"-",$C36),'FO-GC-012'!$D$20:$H$109,4,0),""))</f>
        <v/>
      </c>
      <c r="R36" s="72" t="str">
        <f>IF($C36="","",IFERROR(VLOOKUP(CONCATENATE(O$3,"-",$C36),'FO-GC-012'!$D$20:$H$109,5,0),""))</f>
        <v/>
      </c>
      <c r="S36" s="69" t="str">
        <f>IF($C36="","",IFERROR(VLOOKUP(CONCATENATE(S$3,"-",$C36),'FO-GC-012'!$D$20:$H$109,2,0),""))</f>
        <v/>
      </c>
      <c r="T36" s="70" t="str">
        <f>IF($C36="","",IFERROR(VLOOKUP(CONCATENATE(S$3,"-",$C36),'FO-GC-012'!$D$20:$H$109,3,0),""))</f>
        <v/>
      </c>
      <c r="U36" s="71" t="str">
        <f>IF($C36="","",IFERROR(VLOOKUP(CONCATENATE(S$3,"-",$C36),'FO-GC-012'!$D$20:$H$109,4,0),""))</f>
        <v/>
      </c>
      <c r="V36" s="72" t="str">
        <f>IF($C36="","",IFERROR(VLOOKUP(CONCATENATE(S$3,"-",$C36),'FO-GC-012'!$D$20:$H$109,5,0),""))</f>
        <v/>
      </c>
      <c r="W36" s="69" t="str">
        <f>IF($C36="","",IFERROR(VLOOKUP(CONCATENATE(W$3,"-",$C36),'FO-GC-012'!$D$20:$H$109,2,0),""))</f>
        <v/>
      </c>
      <c r="X36" s="70" t="str">
        <f>IF($C36="","",IFERROR(VLOOKUP(CONCATENATE(W$3,"-",$C36),'FO-GC-012'!$D$20:$H$109,3,0),""))</f>
        <v/>
      </c>
      <c r="Y36" s="71" t="str">
        <f>IF($C36="","",IFERROR(VLOOKUP(CONCATENATE(W$3,"-",$C36),'FO-GC-012'!$D$20:$H$109,4,0),""))</f>
        <v/>
      </c>
      <c r="Z36" s="72" t="str">
        <f>IF($C36="","",IFERROR(VLOOKUP(CONCATENATE(W$3,"-",$C36),'FO-GC-012'!$D$20:$H$109,5,0),""))</f>
        <v/>
      </c>
      <c r="AA36" s="69" t="str">
        <f>IF($C36="","",IFERROR(VLOOKUP(CONCATENATE(AA$3,"-",$C36),'FO-GC-012'!$D$20:$H$109,2,0),""))</f>
        <v/>
      </c>
      <c r="AB36" s="70" t="str">
        <f>IF($C36="","",IFERROR(VLOOKUP(CONCATENATE(AA$3,"-",$C36),'FO-GC-012'!$D$20:$H$109,3,0),""))</f>
        <v/>
      </c>
      <c r="AC36" s="71" t="str">
        <f>IF($C36="","",IFERROR(VLOOKUP(CONCATENATE(AA$3,"-",$C36),'FO-GC-012'!$D$20:$H$109,4,0),""))</f>
        <v/>
      </c>
      <c r="AD36" s="72" t="str">
        <f>IF($C36="","",IFERROR(VLOOKUP(CONCATENATE(AA$3,"-",$C36),'FO-GC-012'!$D$20:$H$109,5,0),""))</f>
        <v/>
      </c>
      <c r="AE36" s="69" t="str">
        <f>IF($C36="","",IFERROR(VLOOKUP(CONCATENATE(AE$3,"-",$C36),'FO-GC-012'!$D$20:$H$109,2,0),""))</f>
        <v/>
      </c>
      <c r="AF36" s="70" t="str">
        <f>IF($C36="","",IFERROR(VLOOKUP(CONCATENATE(AE$3,"-",$C36),'FO-GC-012'!$D$20:$H$109,3,0),""))</f>
        <v/>
      </c>
      <c r="AG36" s="71" t="str">
        <f>IF($C36="","",IFERROR(VLOOKUP(CONCATENATE(AE$3,"-",$C36),'FO-GC-012'!$D$20:$H$109,4,0),""))</f>
        <v/>
      </c>
      <c r="AH36" s="72" t="str">
        <f>IF($C36="","",IFERROR(VLOOKUP(CONCATENATE(AE$3,"-",$C36),'FO-GC-012'!$D$20:$H$109,5,0),""))</f>
        <v/>
      </c>
      <c r="AI36" s="69" t="str">
        <f>IF($C36="","",IFERROR(VLOOKUP(CONCATENATE(AI$3,"-",$C36),'FO-GC-012'!$D$20:$H$109,2,0),""))</f>
        <v/>
      </c>
      <c r="AJ36" s="70" t="str">
        <f>IF($C36="","",IFERROR(VLOOKUP(CONCATENATE(AI$3,"-",$C36),'FO-GC-012'!$D$20:$H$109,3,0),""))</f>
        <v/>
      </c>
      <c r="AK36" s="71" t="str">
        <f>IF($C36="","",IFERROR(VLOOKUP(CONCATENATE(AI$3,"-",$C36),'FO-GC-012'!$D$20:$H$109,4,0),""))</f>
        <v/>
      </c>
      <c r="AL36" s="72" t="str">
        <f>IF($C36="","",IFERROR(VLOOKUP(CONCATENATE(AI$3,"-",$C36),'FO-GC-012'!$D$20:$H$109,5,0),""))</f>
        <v/>
      </c>
      <c r="AM36" s="69" t="str">
        <f>IF($C36="","",IFERROR(VLOOKUP(CONCATENATE(AM$3,"-",$C36),'FO-GC-012'!$D$20:$H$109,2,0),""))</f>
        <v/>
      </c>
      <c r="AN36" s="70" t="str">
        <f>IF($C36="","",IFERROR(VLOOKUP(CONCATENATE(AM$3,"-",$C36),'FO-GC-012'!$D$20:$H$109,3,0),""))</f>
        <v/>
      </c>
      <c r="AO36" s="71" t="str">
        <f>IF($C36="","",IFERROR(VLOOKUP(CONCATENATE(AM$3,"-",$C36),'FO-GC-012'!$D$20:$H$109,4,0),""))</f>
        <v/>
      </c>
      <c r="AP36" s="72" t="str">
        <f>IF($C36="","",IFERROR(VLOOKUP(CONCATENATE(AM$3,"-",$C36),'FO-GC-012'!$D$20:$H$109,5,0),""))</f>
        <v/>
      </c>
      <c r="AQ36" s="69" t="str">
        <f>IF($C36="","",IFERROR(VLOOKUP(CONCATENATE(AQ$3,"-",$C36),'FO-GC-012'!$D$20:$H$109,2,0),""))</f>
        <v/>
      </c>
      <c r="AR36" s="70" t="str">
        <f>IF($C36="","",IFERROR(VLOOKUP(CONCATENATE(AQ$3,"-",$C36),'FO-GC-012'!$D$20:$H$109,3,0),""))</f>
        <v/>
      </c>
      <c r="AS36" s="71" t="str">
        <f>IF($C36="","",IFERROR(VLOOKUP(CONCATENATE(AQ$3,"-",$C36),'FO-GC-012'!$D$20:$H$109,4,0),""))</f>
        <v/>
      </c>
      <c r="AT36" s="72" t="str">
        <f>IF($C36="","",IFERROR(VLOOKUP(CONCATENATE(AQ$3,"-",$C36),'FO-GC-012'!$D$20:$H$109,5,0),""))</f>
        <v/>
      </c>
      <c r="AU36" s="69" t="str">
        <f>IF($C36="","",IFERROR(VLOOKUP(CONCATENATE(AU$3,"-",$C36),'FO-GC-012'!$D$20:$H$109,2,0),""))</f>
        <v/>
      </c>
      <c r="AV36" s="70" t="str">
        <f>IF($C36="","",IFERROR(VLOOKUP(CONCATENATE(AU$3,"-",$C36),'FO-GC-012'!$D$20:$H$109,3,0),""))</f>
        <v/>
      </c>
      <c r="AW36" s="71" t="str">
        <f>IF($C36="","",IFERROR(VLOOKUP(CONCATENATE(AU$3,"-",$C36),'FO-GC-012'!$D$20:$H$109,4,0),""))</f>
        <v/>
      </c>
      <c r="AX36" s="72" t="str">
        <f>IF($C36="","",IFERROR(VLOOKUP(CONCATENATE(AU$3,"-",$C36),'FO-GC-012'!$D$20:$H$109,5,0),""))</f>
        <v/>
      </c>
      <c r="AY36" s="69" t="str">
        <f>IF($C36="","",IFERROR(VLOOKUP(CONCATENATE(AY$3,"-",$C36),'FO-GC-012'!$D$20:$H$109,2,0),""))</f>
        <v/>
      </c>
      <c r="AZ36" s="70" t="str">
        <f>IF($C36="","",IFERROR(VLOOKUP(CONCATENATE(AY$3,"-",$C36),'FO-GC-012'!$D$20:$H$109,3,0),""))</f>
        <v/>
      </c>
      <c r="BA36" s="71" t="str">
        <f>IF($C36="","",IFERROR(VLOOKUP(CONCATENATE(AY$3,"-",$C36),'FO-GC-012'!$D$20:$H$109,4,0),""))</f>
        <v/>
      </c>
      <c r="BB36" s="72" t="str">
        <f>IF($C36="","",IFERROR(VLOOKUP(CONCATENATE(AY$3,"-",$C36),'FO-GC-012'!$D$20:$H$109,5,0),""))</f>
        <v/>
      </c>
      <c r="BC36" s="69" t="str">
        <f>IF($C36="","",IFERROR(VLOOKUP(CONCATENATE(BC$3,"-",$C36),'FO-GC-012'!$D$20:$H$109,2,0),""))</f>
        <v/>
      </c>
      <c r="BD36" s="70" t="str">
        <f>IF($C36="","",IFERROR(VLOOKUP(CONCATENATE(BC$3,"-",$C36),'FO-GC-012'!$D$20:$H$109,3,0),""))</f>
        <v/>
      </c>
      <c r="BE36" s="71" t="str">
        <f>IF($C36="","",IFERROR(VLOOKUP(CONCATENATE(BC$3,"-",$C36),'FO-GC-012'!$D$20:$H$109,4,0),""))</f>
        <v/>
      </c>
      <c r="BF36" s="72" t="str">
        <f>IF($C36="","",IFERROR(VLOOKUP(CONCATENATE(BC$3,"-",$C36),'FO-GC-012'!$D$20:$H$109,5,0),""))</f>
        <v/>
      </c>
      <c r="BG36" s="69" t="str">
        <f>IF($C36="","",IFERROR(VLOOKUP(CONCATENATE(BG$3,"-",$C36),'FO-GC-012'!$D$20:$H$109,2,0),""))</f>
        <v/>
      </c>
      <c r="BH36" s="70" t="str">
        <f>IF($C36="","",IFERROR(VLOOKUP(CONCATENATE(BG$3,"-",$C36),'FO-GC-012'!$D$20:$H$109,3,0),""))</f>
        <v/>
      </c>
      <c r="BI36" s="71" t="str">
        <f>IF($C36="","",IFERROR(VLOOKUP(CONCATENATE(BG$3,"-",$C36),'FO-GC-012'!$D$20:$H$109,4,0),""))</f>
        <v/>
      </c>
      <c r="BJ36" s="72" t="str">
        <f>IF($C36="","",IFERROR(VLOOKUP(CONCATENATE(BG$3,"-",$C36),'FO-GC-012'!$D$20:$H$109,5,0),""))</f>
        <v/>
      </c>
      <c r="BK36" s="69" t="str">
        <f>IF($C36="","",IFERROR(VLOOKUP(CONCATENATE(BK$3,"-",$C36),'FO-GC-012'!$D$20:$H$109,2,0),""))</f>
        <v/>
      </c>
      <c r="BL36" s="70" t="str">
        <f>IF($C36="","",IFERROR(VLOOKUP(CONCATENATE(BK$3,"-",$C36),'FO-GC-012'!$D$20:$H$109,3,0),""))</f>
        <v/>
      </c>
      <c r="BM36" s="71" t="str">
        <f>IF($C36="","",IFERROR(VLOOKUP(CONCATENATE(BK$3,"-",$C36),'FO-GC-012'!$D$20:$H$109,4,0),""))</f>
        <v/>
      </c>
      <c r="BN36" s="72" t="str">
        <f>IF($C36="","",IFERROR(VLOOKUP(CONCATENATE(BK$3,"-",$C36),'FO-GC-012'!$D$20:$H$109,5,0),""))</f>
        <v/>
      </c>
      <c r="BO36" s="69" t="str">
        <f>IF($C36="","",IFERROR(VLOOKUP(CONCATENATE(BO$3,"-",$C36),'FO-GC-012'!$D$20:$H$109,2,0),""))</f>
        <v/>
      </c>
      <c r="BP36" s="70" t="str">
        <f>IF($C36="","",IFERROR(VLOOKUP(CONCATENATE(BO$3,"-",$C36),'FO-GC-012'!$D$20:$H$109,3,0),""))</f>
        <v/>
      </c>
      <c r="BQ36" s="71" t="str">
        <f>IF($C36="","",IFERROR(VLOOKUP(CONCATENATE(BO$3,"-",$C36),'FO-GC-012'!$D$20:$H$109,4,0),""))</f>
        <v/>
      </c>
      <c r="BR36" s="72" t="str">
        <f>IF($C36="","",IFERROR(VLOOKUP(CONCATENATE(BO$3,"-",$C36),'FO-GC-012'!$D$20:$H$109,5,0),""))</f>
        <v/>
      </c>
      <c r="BS36" s="69" t="str">
        <f>IF($C36="","",IFERROR(VLOOKUP(CONCATENATE(BS$3,"-",$C36),'FO-GC-012'!$D$20:$H$109,2,0),""))</f>
        <v/>
      </c>
      <c r="BT36" s="70" t="str">
        <f>IF($C36="","",IFERROR(VLOOKUP(CONCATENATE(BS$3,"-",$C36),'FO-GC-012'!$D$20:$H$109,3,0),""))</f>
        <v/>
      </c>
      <c r="BU36" s="71" t="str">
        <f>IF($C36="","",IFERROR(VLOOKUP(CONCATENATE(BS$3,"-",$C36),'FO-GC-012'!$D$20:$H$109,4,0),""))</f>
        <v/>
      </c>
      <c r="BV36" s="72" t="str">
        <f>IF($C36="","",IFERROR(VLOOKUP(CONCATENATE(BS$3,"-",$C36),'FO-GC-012'!$D$20:$H$109,5,0),""))</f>
        <v/>
      </c>
      <c r="BW36" s="69" t="str">
        <f>IF($C36="","",IFERROR(VLOOKUP(CONCATENATE(BW$3,"-",$C36),'FO-GC-012'!$D$20:$H$109,2,0),""))</f>
        <v/>
      </c>
      <c r="BX36" s="70" t="str">
        <f>IF($C36="","",IFERROR(VLOOKUP(CONCATENATE(BW$3,"-",$C36),'FO-GC-012'!$D$20:$H$109,3,0),""))</f>
        <v/>
      </c>
      <c r="BY36" s="71" t="str">
        <f>IF($C36="","",IFERROR(VLOOKUP(CONCATENATE(BW$3,"-",$C36),'FO-GC-012'!$D$20:$H$109,4,0),""))</f>
        <v/>
      </c>
      <c r="BZ36" s="72" t="str">
        <f>IF($C36="","",IFERROR(VLOOKUP(CONCATENATE(BW$3,"-",$C36),'FO-GC-012'!$D$20:$H$109,5,0),""))</f>
        <v/>
      </c>
      <c r="CA36" s="69" t="str">
        <f>IF($C36="","",IFERROR(VLOOKUP(CONCATENATE(CA$3,"-",$C36),'FO-GC-012'!$D$20:$H$109,2,0),""))</f>
        <v/>
      </c>
      <c r="CB36" s="70" t="str">
        <f>IF($C36="","",IFERROR(VLOOKUP(CONCATENATE(CA$3,"-",$C36),'FO-GC-012'!$D$20:$H$109,3,0),""))</f>
        <v/>
      </c>
      <c r="CC36" s="71" t="str">
        <f>IF($C36="","",IFERROR(VLOOKUP(CONCATENATE(CA$3,"-",$C36),'FO-GC-012'!$D$20:$H$109,4,0),""))</f>
        <v/>
      </c>
      <c r="CD36" s="72" t="str">
        <f>IF($C36="","",IFERROR(VLOOKUP(CONCATENATE(CA$3,"-",$C36),'FO-GC-012'!$D$20:$H$109,5,0),""))</f>
        <v/>
      </c>
      <c r="CE36" s="69" t="str">
        <f>IF($C36="","",IFERROR(VLOOKUP(CONCATENATE(CE$3,"-",$C36),'FO-GC-012'!$D$20:$H$109,2,0),""))</f>
        <v/>
      </c>
      <c r="CF36" s="70" t="str">
        <f>IF($C36="","",IFERROR(VLOOKUP(CONCATENATE(CE$3,"-",$C36),'FO-GC-012'!$D$20:$H$109,3,0),""))</f>
        <v/>
      </c>
      <c r="CG36" s="71" t="str">
        <f>IF($C36="","",IFERROR(VLOOKUP(CONCATENATE(CE$3,"-",$C36),'FO-GC-012'!$D$20:$H$109,4,0),""))</f>
        <v/>
      </c>
      <c r="CH36" s="72" t="str">
        <f>IF($C36="","",IFERROR(VLOOKUP(CONCATENATE(CE$3,"-",$C36),'FO-GC-012'!$D$20:$H$109,5,0),""))</f>
        <v/>
      </c>
    </row>
    <row r="37" spans="1:86" ht="33.75" customHeight="1" x14ac:dyDescent="0.35">
      <c r="B37" s="83" t="str">
        <f>IF(C37="","",COUNTA(C$4:C37))</f>
        <v/>
      </c>
      <c r="C37" s="82" t="str">
        <f>'Eq. Auditor'!B37</f>
        <v/>
      </c>
      <c r="D37" s="83" t="str">
        <f>IF(C37="","",COUNTIF('FO-GC-012'!A:A,CONCATENATE("P-",C37)))</f>
        <v/>
      </c>
      <c r="E37" s="83" t="str">
        <f>IF(C37="","",COUNTIF('FO-GC-012'!A:A,CONCATENATE("A-",C37)))</f>
        <v/>
      </c>
      <c r="F37" s="83" t="str">
        <f t="shared" si="3"/>
        <v/>
      </c>
      <c r="G37" s="65" t="str">
        <f>IF($C37="","",IFERROR(VLOOKUP(CONCATENATE(G$3,"-",$C37),'FO-GC-012'!$D$20:$H$109,2,0),""))</f>
        <v/>
      </c>
      <c r="H37" s="66" t="str">
        <f>IF($C37="","",IFERROR(VLOOKUP(CONCATENATE(G$3,"-",$C37),'FO-GC-012'!$D$20:$H$109,3,0),""))</f>
        <v/>
      </c>
      <c r="I37" s="67" t="str">
        <f>IF($C37="","",IFERROR(VLOOKUP(CONCATENATE(G$3,"-",$C37),'FO-GC-012'!$D$20:$H$109,4,0),""))</f>
        <v/>
      </c>
      <c r="J37" s="68" t="str">
        <f>IF($C37="","",IFERROR(VLOOKUP(CONCATENATE(G$3,"-",$C37),'FO-GC-012'!$D$20:$H$109,5,0),""))</f>
        <v/>
      </c>
      <c r="K37" s="65" t="str">
        <f>IF($C37="","",IFERROR(VLOOKUP(CONCATENATE(K$3,"-",$C37),'FO-GC-012'!$D$20:$H$109,2,0),""))</f>
        <v/>
      </c>
      <c r="L37" s="66" t="str">
        <f>IF($C37="","",IFERROR(VLOOKUP(CONCATENATE(K$3,"-",$C37),'FO-GC-012'!$D$20:$H$109,3,0),""))</f>
        <v/>
      </c>
      <c r="M37" s="67" t="str">
        <f>IF($C37="","",IFERROR(VLOOKUP(CONCATENATE(K$3,"-",$C37),'FO-GC-012'!$D$20:$H$109,4,0),""))</f>
        <v/>
      </c>
      <c r="N37" s="68" t="str">
        <f>IF($C37="","",IFERROR(VLOOKUP(CONCATENATE(K$3,"-",$C37),'FO-GC-012'!$D$20:$H$109,5,0),""))</f>
        <v/>
      </c>
      <c r="O37" s="65" t="str">
        <f>IF($C37="","",IFERROR(VLOOKUP(CONCATENATE(O$3,"-",$C37),'FO-GC-012'!$D$20:$H$109,2,0),""))</f>
        <v/>
      </c>
      <c r="P37" s="66" t="str">
        <f>IF($C37="","",IFERROR(VLOOKUP(CONCATENATE(O$3,"-",$C37),'FO-GC-012'!$D$20:$H$109,3,0),""))</f>
        <v/>
      </c>
      <c r="Q37" s="67" t="str">
        <f>IF($C37="","",IFERROR(VLOOKUP(CONCATENATE(O$3,"-",$C37),'FO-GC-012'!$D$20:$H$109,4,0),""))</f>
        <v/>
      </c>
      <c r="R37" s="68" t="str">
        <f>IF($C37="","",IFERROR(VLOOKUP(CONCATENATE(O$3,"-",$C37),'FO-GC-012'!$D$20:$H$109,5,0),""))</f>
        <v/>
      </c>
      <c r="S37" s="65" t="str">
        <f>IF($C37="","",IFERROR(VLOOKUP(CONCATENATE(S$3,"-",$C37),'FO-GC-012'!$D$20:$H$109,2,0),""))</f>
        <v/>
      </c>
      <c r="T37" s="66" t="str">
        <f>IF($C37="","",IFERROR(VLOOKUP(CONCATENATE(S$3,"-",$C37),'FO-GC-012'!$D$20:$H$109,3,0),""))</f>
        <v/>
      </c>
      <c r="U37" s="67" t="str">
        <f>IF($C37="","",IFERROR(VLOOKUP(CONCATENATE(S$3,"-",$C37),'FO-GC-012'!$D$20:$H$109,4,0),""))</f>
        <v/>
      </c>
      <c r="V37" s="68" t="str">
        <f>IF($C37="","",IFERROR(VLOOKUP(CONCATENATE(S$3,"-",$C37),'FO-GC-012'!$D$20:$H$109,5,0),""))</f>
        <v/>
      </c>
      <c r="W37" s="65" t="str">
        <f>IF($C37="","",IFERROR(VLOOKUP(CONCATENATE(W$3,"-",$C37),'FO-GC-012'!$D$20:$H$109,2,0),""))</f>
        <v/>
      </c>
      <c r="X37" s="66" t="str">
        <f>IF($C37="","",IFERROR(VLOOKUP(CONCATENATE(W$3,"-",$C37),'FO-GC-012'!$D$20:$H$109,3,0),""))</f>
        <v/>
      </c>
      <c r="Y37" s="67" t="str">
        <f>IF($C37="","",IFERROR(VLOOKUP(CONCATENATE(W$3,"-",$C37),'FO-GC-012'!$D$20:$H$109,4,0),""))</f>
        <v/>
      </c>
      <c r="Z37" s="68" t="str">
        <f>IF($C37="","",IFERROR(VLOOKUP(CONCATENATE(W$3,"-",$C37),'FO-GC-012'!$D$20:$H$109,5,0),""))</f>
        <v/>
      </c>
      <c r="AA37" s="65" t="str">
        <f>IF($C37="","",IFERROR(VLOOKUP(CONCATENATE(AA$3,"-",$C37),'FO-GC-012'!$D$20:$H$109,2,0),""))</f>
        <v/>
      </c>
      <c r="AB37" s="66" t="str">
        <f>IF($C37="","",IFERROR(VLOOKUP(CONCATENATE(AA$3,"-",$C37),'FO-GC-012'!$D$20:$H$109,3,0),""))</f>
        <v/>
      </c>
      <c r="AC37" s="67" t="str">
        <f>IF($C37="","",IFERROR(VLOOKUP(CONCATENATE(AA$3,"-",$C37),'FO-GC-012'!$D$20:$H$109,4,0),""))</f>
        <v/>
      </c>
      <c r="AD37" s="68" t="str">
        <f>IF($C37="","",IFERROR(VLOOKUP(CONCATENATE(AA$3,"-",$C37),'FO-GC-012'!$D$20:$H$109,5,0),""))</f>
        <v/>
      </c>
      <c r="AE37" s="65" t="str">
        <f>IF($C37="","",IFERROR(VLOOKUP(CONCATENATE(AE$3,"-",$C37),'FO-GC-012'!$D$20:$H$109,2,0),""))</f>
        <v/>
      </c>
      <c r="AF37" s="66" t="str">
        <f>IF($C37="","",IFERROR(VLOOKUP(CONCATENATE(AE$3,"-",$C37),'FO-GC-012'!$D$20:$H$109,3,0),""))</f>
        <v/>
      </c>
      <c r="AG37" s="67" t="str">
        <f>IF($C37="","",IFERROR(VLOOKUP(CONCATENATE(AE$3,"-",$C37),'FO-GC-012'!$D$20:$H$109,4,0),""))</f>
        <v/>
      </c>
      <c r="AH37" s="68" t="str">
        <f>IF($C37="","",IFERROR(VLOOKUP(CONCATENATE(AE$3,"-",$C37),'FO-GC-012'!$D$20:$H$109,5,0),""))</f>
        <v/>
      </c>
      <c r="AI37" s="65" t="str">
        <f>IF($C37="","",IFERROR(VLOOKUP(CONCATENATE(AI$3,"-",$C37),'FO-GC-012'!$D$20:$H$109,2,0),""))</f>
        <v/>
      </c>
      <c r="AJ37" s="66" t="str">
        <f>IF($C37="","",IFERROR(VLOOKUP(CONCATENATE(AI$3,"-",$C37),'FO-GC-012'!$D$20:$H$109,3,0),""))</f>
        <v/>
      </c>
      <c r="AK37" s="67" t="str">
        <f>IF($C37="","",IFERROR(VLOOKUP(CONCATENATE(AI$3,"-",$C37),'FO-GC-012'!$D$20:$H$109,4,0),""))</f>
        <v/>
      </c>
      <c r="AL37" s="68" t="str">
        <f>IF($C37="","",IFERROR(VLOOKUP(CONCATENATE(AI$3,"-",$C37),'FO-GC-012'!$D$20:$H$109,5,0),""))</f>
        <v/>
      </c>
      <c r="AM37" s="65" t="str">
        <f>IF($C37="","",IFERROR(VLOOKUP(CONCATENATE(AM$3,"-",$C37),'FO-GC-012'!$D$20:$H$109,2,0),""))</f>
        <v/>
      </c>
      <c r="AN37" s="66" t="str">
        <f>IF($C37="","",IFERROR(VLOOKUP(CONCATENATE(AM$3,"-",$C37),'FO-GC-012'!$D$20:$H$109,3,0),""))</f>
        <v/>
      </c>
      <c r="AO37" s="67" t="str">
        <f>IF($C37="","",IFERROR(VLOOKUP(CONCATENATE(AM$3,"-",$C37),'FO-GC-012'!$D$20:$H$109,4,0),""))</f>
        <v/>
      </c>
      <c r="AP37" s="68" t="str">
        <f>IF($C37="","",IFERROR(VLOOKUP(CONCATENATE(AM$3,"-",$C37),'FO-GC-012'!$D$20:$H$109,5,0),""))</f>
        <v/>
      </c>
      <c r="AQ37" s="65" t="str">
        <f>IF($C37="","",IFERROR(VLOOKUP(CONCATENATE(AQ$3,"-",$C37),'FO-GC-012'!$D$20:$H$109,2,0),""))</f>
        <v/>
      </c>
      <c r="AR37" s="66" t="str">
        <f>IF($C37="","",IFERROR(VLOOKUP(CONCATENATE(AQ$3,"-",$C37),'FO-GC-012'!$D$20:$H$109,3,0),""))</f>
        <v/>
      </c>
      <c r="AS37" s="67" t="str">
        <f>IF($C37="","",IFERROR(VLOOKUP(CONCATENATE(AQ$3,"-",$C37),'FO-GC-012'!$D$20:$H$109,4,0),""))</f>
        <v/>
      </c>
      <c r="AT37" s="68" t="str">
        <f>IF($C37="","",IFERROR(VLOOKUP(CONCATENATE(AQ$3,"-",$C37),'FO-GC-012'!$D$20:$H$109,5,0),""))</f>
        <v/>
      </c>
      <c r="AU37" s="65" t="str">
        <f>IF($C37="","",IFERROR(VLOOKUP(CONCATENATE(AU$3,"-",$C37),'FO-GC-012'!$D$20:$H$109,2,0),""))</f>
        <v/>
      </c>
      <c r="AV37" s="66" t="str">
        <f>IF($C37="","",IFERROR(VLOOKUP(CONCATENATE(AU$3,"-",$C37),'FO-GC-012'!$D$20:$H$109,3,0),""))</f>
        <v/>
      </c>
      <c r="AW37" s="67" t="str">
        <f>IF($C37="","",IFERROR(VLOOKUP(CONCATENATE(AU$3,"-",$C37),'FO-GC-012'!$D$20:$H$109,4,0),""))</f>
        <v/>
      </c>
      <c r="AX37" s="68" t="str">
        <f>IF($C37="","",IFERROR(VLOOKUP(CONCATENATE(AU$3,"-",$C37),'FO-GC-012'!$D$20:$H$109,5,0),""))</f>
        <v/>
      </c>
      <c r="AY37" s="65" t="str">
        <f>IF($C37="","",IFERROR(VLOOKUP(CONCATENATE(AY$3,"-",$C37),'FO-GC-012'!$D$20:$H$109,2,0),""))</f>
        <v/>
      </c>
      <c r="AZ37" s="66" t="str">
        <f>IF($C37="","",IFERROR(VLOOKUP(CONCATENATE(AY$3,"-",$C37),'FO-GC-012'!$D$20:$H$109,3,0),""))</f>
        <v/>
      </c>
      <c r="BA37" s="67" t="str">
        <f>IF($C37="","",IFERROR(VLOOKUP(CONCATENATE(AY$3,"-",$C37),'FO-GC-012'!$D$20:$H$109,4,0),""))</f>
        <v/>
      </c>
      <c r="BB37" s="68" t="str">
        <f>IF($C37="","",IFERROR(VLOOKUP(CONCATENATE(AY$3,"-",$C37),'FO-GC-012'!$D$20:$H$109,5,0),""))</f>
        <v/>
      </c>
      <c r="BC37" s="65" t="str">
        <f>IF($C37="","",IFERROR(VLOOKUP(CONCATENATE(BC$3,"-",$C37),'FO-GC-012'!$D$20:$H$109,2,0),""))</f>
        <v/>
      </c>
      <c r="BD37" s="66" t="str">
        <f>IF($C37="","",IFERROR(VLOOKUP(CONCATENATE(BC$3,"-",$C37),'FO-GC-012'!$D$20:$H$109,3,0),""))</f>
        <v/>
      </c>
      <c r="BE37" s="67" t="str">
        <f>IF($C37="","",IFERROR(VLOOKUP(CONCATENATE(BC$3,"-",$C37),'FO-GC-012'!$D$20:$H$109,4,0),""))</f>
        <v/>
      </c>
      <c r="BF37" s="68" t="str">
        <f>IF($C37="","",IFERROR(VLOOKUP(CONCATENATE(BC$3,"-",$C37),'FO-GC-012'!$D$20:$H$109,5,0),""))</f>
        <v/>
      </c>
      <c r="BG37" s="65" t="str">
        <f>IF($C37="","",IFERROR(VLOOKUP(CONCATENATE(BG$3,"-",$C37),'FO-GC-012'!$D$20:$H$109,2,0),""))</f>
        <v/>
      </c>
      <c r="BH37" s="66" t="str">
        <f>IF($C37="","",IFERROR(VLOOKUP(CONCATENATE(BG$3,"-",$C37),'FO-GC-012'!$D$20:$H$109,3,0),""))</f>
        <v/>
      </c>
      <c r="BI37" s="67" t="str">
        <f>IF($C37="","",IFERROR(VLOOKUP(CONCATENATE(BG$3,"-",$C37),'FO-GC-012'!$D$20:$H$109,4,0),""))</f>
        <v/>
      </c>
      <c r="BJ37" s="68" t="str">
        <f>IF($C37="","",IFERROR(VLOOKUP(CONCATENATE(BG$3,"-",$C37),'FO-GC-012'!$D$20:$H$109,5,0),""))</f>
        <v/>
      </c>
      <c r="BK37" s="65" t="str">
        <f>IF($C37="","",IFERROR(VLOOKUP(CONCATENATE(BK$3,"-",$C37),'FO-GC-012'!$D$20:$H$109,2,0),""))</f>
        <v/>
      </c>
      <c r="BL37" s="66" t="str">
        <f>IF($C37="","",IFERROR(VLOOKUP(CONCATENATE(BK$3,"-",$C37),'FO-GC-012'!$D$20:$H$109,3,0),""))</f>
        <v/>
      </c>
      <c r="BM37" s="67" t="str">
        <f>IF($C37="","",IFERROR(VLOOKUP(CONCATENATE(BK$3,"-",$C37),'FO-GC-012'!$D$20:$H$109,4,0),""))</f>
        <v/>
      </c>
      <c r="BN37" s="68" t="str">
        <f>IF($C37="","",IFERROR(VLOOKUP(CONCATENATE(BK$3,"-",$C37),'FO-GC-012'!$D$20:$H$109,5,0),""))</f>
        <v/>
      </c>
      <c r="BO37" s="65" t="str">
        <f>IF($C37="","",IFERROR(VLOOKUP(CONCATENATE(BO$3,"-",$C37),'FO-GC-012'!$D$20:$H$109,2,0),""))</f>
        <v/>
      </c>
      <c r="BP37" s="66" t="str">
        <f>IF($C37="","",IFERROR(VLOOKUP(CONCATENATE(BO$3,"-",$C37),'FO-GC-012'!$D$20:$H$109,3,0),""))</f>
        <v/>
      </c>
      <c r="BQ37" s="67" t="str">
        <f>IF($C37="","",IFERROR(VLOOKUP(CONCATENATE(BO$3,"-",$C37),'FO-GC-012'!$D$20:$H$109,4,0),""))</f>
        <v/>
      </c>
      <c r="BR37" s="68" t="str">
        <f>IF($C37="","",IFERROR(VLOOKUP(CONCATENATE(BO$3,"-",$C37),'FO-GC-012'!$D$20:$H$109,5,0),""))</f>
        <v/>
      </c>
      <c r="BS37" s="65" t="str">
        <f>IF($C37="","",IFERROR(VLOOKUP(CONCATENATE(BS$3,"-",$C37),'FO-GC-012'!$D$20:$H$109,2,0),""))</f>
        <v/>
      </c>
      <c r="BT37" s="66" t="str">
        <f>IF($C37="","",IFERROR(VLOOKUP(CONCATENATE(BS$3,"-",$C37),'FO-GC-012'!$D$20:$H$109,3,0),""))</f>
        <v/>
      </c>
      <c r="BU37" s="67" t="str">
        <f>IF($C37="","",IFERROR(VLOOKUP(CONCATENATE(BS$3,"-",$C37),'FO-GC-012'!$D$20:$H$109,4,0),""))</f>
        <v/>
      </c>
      <c r="BV37" s="68" t="str">
        <f>IF($C37="","",IFERROR(VLOOKUP(CONCATENATE(BS$3,"-",$C37),'FO-GC-012'!$D$20:$H$109,5,0),""))</f>
        <v/>
      </c>
      <c r="BW37" s="65" t="str">
        <f>IF($C37="","",IFERROR(VLOOKUP(CONCATENATE(BW$3,"-",$C37),'FO-GC-012'!$D$20:$H$109,2,0),""))</f>
        <v/>
      </c>
      <c r="BX37" s="66" t="str">
        <f>IF($C37="","",IFERROR(VLOOKUP(CONCATENATE(BW$3,"-",$C37),'FO-GC-012'!$D$20:$H$109,3,0),""))</f>
        <v/>
      </c>
      <c r="BY37" s="67" t="str">
        <f>IF($C37="","",IFERROR(VLOOKUP(CONCATENATE(BW$3,"-",$C37),'FO-GC-012'!$D$20:$H$109,4,0),""))</f>
        <v/>
      </c>
      <c r="BZ37" s="68" t="str">
        <f>IF($C37="","",IFERROR(VLOOKUP(CONCATENATE(BW$3,"-",$C37),'FO-GC-012'!$D$20:$H$109,5,0),""))</f>
        <v/>
      </c>
      <c r="CA37" s="65" t="str">
        <f>IF($C37="","",IFERROR(VLOOKUP(CONCATENATE(CA$3,"-",$C37),'FO-GC-012'!$D$20:$H$109,2,0),""))</f>
        <v/>
      </c>
      <c r="CB37" s="66" t="str">
        <f>IF($C37="","",IFERROR(VLOOKUP(CONCATENATE(CA$3,"-",$C37),'FO-GC-012'!$D$20:$H$109,3,0),""))</f>
        <v/>
      </c>
      <c r="CC37" s="67" t="str">
        <f>IF($C37="","",IFERROR(VLOOKUP(CONCATENATE(CA$3,"-",$C37),'FO-GC-012'!$D$20:$H$109,4,0),""))</f>
        <v/>
      </c>
      <c r="CD37" s="68" t="str">
        <f>IF($C37="","",IFERROR(VLOOKUP(CONCATENATE(CA$3,"-",$C37),'FO-GC-012'!$D$20:$H$109,5,0),""))</f>
        <v/>
      </c>
      <c r="CE37" s="65" t="str">
        <f>IF($C37="","",IFERROR(VLOOKUP(CONCATENATE(CE$3,"-",$C37),'FO-GC-012'!$D$20:$H$109,2,0),""))</f>
        <v/>
      </c>
      <c r="CF37" s="66" t="str">
        <f>IF($C37="","",IFERROR(VLOOKUP(CONCATENATE(CE$3,"-",$C37),'FO-GC-012'!$D$20:$H$109,3,0),""))</f>
        <v/>
      </c>
      <c r="CG37" s="67" t="str">
        <f>IF($C37="","",IFERROR(VLOOKUP(CONCATENATE(CE$3,"-",$C37),'FO-GC-012'!$D$20:$H$109,4,0),""))</f>
        <v/>
      </c>
      <c r="CH37" s="68" t="str">
        <f>IF($C37="","",IFERROR(VLOOKUP(CONCATENATE(CE$3,"-",$C37),'FO-GC-012'!$D$20:$H$109,5,0),""))</f>
        <v/>
      </c>
    </row>
    <row r="38" spans="1:86" ht="33.75" customHeight="1" x14ac:dyDescent="0.35">
      <c r="B38" s="83" t="str">
        <f>IF(C38="","",COUNTA(C$4:C38))</f>
        <v/>
      </c>
      <c r="C38" s="82" t="str">
        <f>'Eq. Auditor'!B38</f>
        <v/>
      </c>
      <c r="D38" s="83" t="str">
        <f>IF(C38="","",COUNTIF('FO-GC-012'!A:A,CONCATENATE("P-",C38)))</f>
        <v/>
      </c>
      <c r="E38" s="83" t="str">
        <f>IF(C38="","",COUNTIF('FO-GC-012'!A:A,CONCATENATE("A-",C38)))</f>
        <v/>
      </c>
      <c r="F38" s="83" t="str">
        <f t="shared" si="3"/>
        <v/>
      </c>
      <c r="G38" s="69" t="str">
        <f>IF($C38="","",IFERROR(VLOOKUP(CONCATENATE(G$3,"-",$C38),'FO-GC-012'!$D$20:$H$109,2,0),""))</f>
        <v/>
      </c>
      <c r="H38" s="70" t="str">
        <f>IF($C38="","",IFERROR(VLOOKUP(CONCATENATE(G$3,"-",$C38),'FO-GC-012'!$D$20:$H$109,3,0),""))</f>
        <v/>
      </c>
      <c r="I38" s="71" t="str">
        <f>IF($C38="","",IFERROR(VLOOKUP(CONCATENATE(G$3,"-",$C38),'FO-GC-012'!$D$20:$H$109,4,0),""))</f>
        <v/>
      </c>
      <c r="J38" s="72" t="str">
        <f>IF($C38="","",IFERROR(VLOOKUP(CONCATENATE(G$3,"-",$C38),'FO-GC-012'!$D$20:$H$109,5,0),""))</f>
        <v/>
      </c>
      <c r="K38" s="69" t="str">
        <f>IF($C38="","",IFERROR(VLOOKUP(CONCATENATE(K$3,"-",$C38),'FO-GC-012'!$D$20:$H$109,2,0),""))</f>
        <v/>
      </c>
      <c r="L38" s="70" t="str">
        <f>IF($C38="","",IFERROR(VLOOKUP(CONCATENATE(K$3,"-",$C38),'FO-GC-012'!$D$20:$H$109,3,0),""))</f>
        <v/>
      </c>
      <c r="M38" s="71" t="str">
        <f>IF($C38="","",IFERROR(VLOOKUP(CONCATENATE(K$3,"-",$C38),'FO-GC-012'!$D$20:$H$109,4,0),""))</f>
        <v/>
      </c>
      <c r="N38" s="72" t="str">
        <f>IF($C38="","",IFERROR(VLOOKUP(CONCATENATE(K$3,"-",$C38),'FO-GC-012'!$D$20:$H$109,5,0),""))</f>
        <v/>
      </c>
      <c r="O38" s="69" t="str">
        <f>IF($C38="","",IFERROR(VLOOKUP(CONCATENATE(O$3,"-",$C38),'FO-GC-012'!$D$20:$H$109,2,0),""))</f>
        <v/>
      </c>
      <c r="P38" s="70" t="str">
        <f>IF($C38="","",IFERROR(VLOOKUP(CONCATENATE(O$3,"-",$C38),'FO-GC-012'!$D$20:$H$109,3,0),""))</f>
        <v/>
      </c>
      <c r="Q38" s="71" t="str">
        <f>IF($C38="","",IFERROR(VLOOKUP(CONCATENATE(O$3,"-",$C38),'FO-GC-012'!$D$20:$H$109,4,0),""))</f>
        <v/>
      </c>
      <c r="R38" s="72" t="str">
        <f>IF($C38="","",IFERROR(VLOOKUP(CONCATENATE(O$3,"-",$C38),'FO-GC-012'!$D$20:$H$109,5,0),""))</f>
        <v/>
      </c>
      <c r="S38" s="69" t="str">
        <f>IF($C38="","",IFERROR(VLOOKUP(CONCATENATE(S$3,"-",$C38),'FO-GC-012'!$D$20:$H$109,2,0),""))</f>
        <v/>
      </c>
      <c r="T38" s="70" t="str">
        <f>IF($C38="","",IFERROR(VLOOKUP(CONCATENATE(S$3,"-",$C38),'FO-GC-012'!$D$20:$H$109,3,0),""))</f>
        <v/>
      </c>
      <c r="U38" s="71" t="str">
        <f>IF($C38="","",IFERROR(VLOOKUP(CONCATENATE(S$3,"-",$C38),'FO-GC-012'!$D$20:$H$109,4,0),""))</f>
        <v/>
      </c>
      <c r="V38" s="72" t="str">
        <f>IF($C38="","",IFERROR(VLOOKUP(CONCATENATE(S$3,"-",$C38),'FO-GC-012'!$D$20:$H$109,5,0),""))</f>
        <v/>
      </c>
      <c r="W38" s="69" t="str">
        <f>IF($C38="","",IFERROR(VLOOKUP(CONCATENATE(W$3,"-",$C38),'FO-GC-012'!$D$20:$H$109,2,0),""))</f>
        <v/>
      </c>
      <c r="X38" s="70" t="str">
        <f>IF($C38="","",IFERROR(VLOOKUP(CONCATENATE(W$3,"-",$C38),'FO-GC-012'!$D$20:$H$109,3,0),""))</f>
        <v/>
      </c>
      <c r="Y38" s="71" t="str">
        <f>IF($C38="","",IFERROR(VLOOKUP(CONCATENATE(W$3,"-",$C38),'FO-GC-012'!$D$20:$H$109,4,0),""))</f>
        <v/>
      </c>
      <c r="Z38" s="72" t="str">
        <f>IF($C38="","",IFERROR(VLOOKUP(CONCATENATE(W$3,"-",$C38),'FO-GC-012'!$D$20:$H$109,5,0),""))</f>
        <v/>
      </c>
      <c r="AA38" s="69" t="str">
        <f>IF($C38="","",IFERROR(VLOOKUP(CONCATENATE(AA$3,"-",$C38),'FO-GC-012'!$D$20:$H$109,2,0),""))</f>
        <v/>
      </c>
      <c r="AB38" s="70" t="str">
        <f>IF($C38="","",IFERROR(VLOOKUP(CONCATENATE(AA$3,"-",$C38),'FO-GC-012'!$D$20:$H$109,3,0),""))</f>
        <v/>
      </c>
      <c r="AC38" s="71" t="str">
        <f>IF($C38="","",IFERROR(VLOOKUP(CONCATENATE(AA$3,"-",$C38),'FO-GC-012'!$D$20:$H$109,4,0),""))</f>
        <v/>
      </c>
      <c r="AD38" s="72" t="str">
        <f>IF($C38="","",IFERROR(VLOOKUP(CONCATENATE(AA$3,"-",$C38),'FO-GC-012'!$D$20:$H$109,5,0),""))</f>
        <v/>
      </c>
      <c r="AE38" s="69" t="str">
        <f>IF($C38="","",IFERROR(VLOOKUP(CONCATENATE(AE$3,"-",$C38),'FO-GC-012'!$D$20:$H$109,2,0),""))</f>
        <v/>
      </c>
      <c r="AF38" s="70" t="str">
        <f>IF($C38="","",IFERROR(VLOOKUP(CONCATENATE(AE$3,"-",$C38),'FO-GC-012'!$D$20:$H$109,3,0),""))</f>
        <v/>
      </c>
      <c r="AG38" s="71" t="str">
        <f>IF($C38="","",IFERROR(VLOOKUP(CONCATENATE(AE$3,"-",$C38),'FO-GC-012'!$D$20:$H$109,4,0),""))</f>
        <v/>
      </c>
      <c r="AH38" s="72" t="str">
        <f>IF($C38="","",IFERROR(VLOOKUP(CONCATENATE(AE$3,"-",$C38),'FO-GC-012'!$D$20:$H$109,5,0),""))</f>
        <v/>
      </c>
      <c r="AI38" s="69" t="str">
        <f>IF($C38="","",IFERROR(VLOOKUP(CONCATENATE(AI$3,"-",$C38),'FO-GC-012'!$D$20:$H$109,2,0),""))</f>
        <v/>
      </c>
      <c r="AJ38" s="70" t="str">
        <f>IF($C38="","",IFERROR(VLOOKUP(CONCATENATE(AI$3,"-",$C38),'FO-GC-012'!$D$20:$H$109,3,0),""))</f>
        <v/>
      </c>
      <c r="AK38" s="71" t="str">
        <f>IF($C38="","",IFERROR(VLOOKUP(CONCATENATE(AI$3,"-",$C38),'FO-GC-012'!$D$20:$H$109,4,0),""))</f>
        <v/>
      </c>
      <c r="AL38" s="72" t="str">
        <f>IF($C38="","",IFERROR(VLOOKUP(CONCATENATE(AI$3,"-",$C38),'FO-GC-012'!$D$20:$H$109,5,0),""))</f>
        <v/>
      </c>
      <c r="AM38" s="69" t="str">
        <f>IF($C38="","",IFERROR(VLOOKUP(CONCATENATE(AM$3,"-",$C38),'FO-GC-012'!$D$20:$H$109,2,0),""))</f>
        <v/>
      </c>
      <c r="AN38" s="70" t="str">
        <f>IF($C38="","",IFERROR(VLOOKUP(CONCATENATE(AM$3,"-",$C38),'FO-GC-012'!$D$20:$H$109,3,0),""))</f>
        <v/>
      </c>
      <c r="AO38" s="71" t="str">
        <f>IF($C38="","",IFERROR(VLOOKUP(CONCATENATE(AM$3,"-",$C38),'FO-GC-012'!$D$20:$H$109,4,0),""))</f>
        <v/>
      </c>
      <c r="AP38" s="72" t="str">
        <f>IF($C38="","",IFERROR(VLOOKUP(CONCATENATE(AM$3,"-",$C38),'FO-GC-012'!$D$20:$H$109,5,0),""))</f>
        <v/>
      </c>
      <c r="AQ38" s="69" t="str">
        <f>IF($C38="","",IFERROR(VLOOKUP(CONCATENATE(AQ$3,"-",$C38),'FO-GC-012'!$D$20:$H$109,2,0),""))</f>
        <v/>
      </c>
      <c r="AR38" s="70" t="str">
        <f>IF($C38="","",IFERROR(VLOOKUP(CONCATENATE(AQ$3,"-",$C38),'FO-GC-012'!$D$20:$H$109,3,0),""))</f>
        <v/>
      </c>
      <c r="AS38" s="71" t="str">
        <f>IF($C38="","",IFERROR(VLOOKUP(CONCATENATE(AQ$3,"-",$C38),'FO-GC-012'!$D$20:$H$109,4,0),""))</f>
        <v/>
      </c>
      <c r="AT38" s="72" t="str">
        <f>IF($C38="","",IFERROR(VLOOKUP(CONCATENATE(AQ$3,"-",$C38),'FO-GC-012'!$D$20:$H$109,5,0),""))</f>
        <v/>
      </c>
      <c r="AU38" s="69" t="str">
        <f>IF($C38="","",IFERROR(VLOOKUP(CONCATENATE(AU$3,"-",$C38),'FO-GC-012'!$D$20:$H$109,2,0),""))</f>
        <v/>
      </c>
      <c r="AV38" s="70" t="str">
        <f>IF($C38="","",IFERROR(VLOOKUP(CONCATENATE(AU$3,"-",$C38),'FO-GC-012'!$D$20:$H$109,3,0),""))</f>
        <v/>
      </c>
      <c r="AW38" s="71" t="str">
        <f>IF($C38="","",IFERROR(VLOOKUP(CONCATENATE(AU$3,"-",$C38),'FO-GC-012'!$D$20:$H$109,4,0),""))</f>
        <v/>
      </c>
      <c r="AX38" s="72" t="str">
        <f>IF($C38="","",IFERROR(VLOOKUP(CONCATENATE(AU$3,"-",$C38),'FO-GC-012'!$D$20:$H$109,5,0),""))</f>
        <v/>
      </c>
      <c r="AY38" s="69" t="str">
        <f>IF($C38="","",IFERROR(VLOOKUP(CONCATENATE(AY$3,"-",$C38),'FO-GC-012'!$D$20:$H$109,2,0),""))</f>
        <v/>
      </c>
      <c r="AZ38" s="70" t="str">
        <f>IF($C38="","",IFERROR(VLOOKUP(CONCATENATE(AY$3,"-",$C38),'FO-GC-012'!$D$20:$H$109,3,0),""))</f>
        <v/>
      </c>
      <c r="BA38" s="71" t="str">
        <f>IF($C38="","",IFERROR(VLOOKUP(CONCATENATE(AY$3,"-",$C38),'FO-GC-012'!$D$20:$H$109,4,0),""))</f>
        <v/>
      </c>
      <c r="BB38" s="72" t="str">
        <f>IF($C38="","",IFERROR(VLOOKUP(CONCATENATE(AY$3,"-",$C38),'FO-GC-012'!$D$20:$H$109,5,0),""))</f>
        <v/>
      </c>
      <c r="BC38" s="69" t="str">
        <f>IF($C38="","",IFERROR(VLOOKUP(CONCATENATE(BC$3,"-",$C38),'FO-GC-012'!$D$20:$H$109,2,0),""))</f>
        <v/>
      </c>
      <c r="BD38" s="70" t="str">
        <f>IF($C38="","",IFERROR(VLOOKUP(CONCATENATE(BC$3,"-",$C38),'FO-GC-012'!$D$20:$H$109,3,0),""))</f>
        <v/>
      </c>
      <c r="BE38" s="71" t="str">
        <f>IF($C38="","",IFERROR(VLOOKUP(CONCATENATE(BC$3,"-",$C38),'FO-GC-012'!$D$20:$H$109,4,0),""))</f>
        <v/>
      </c>
      <c r="BF38" s="72" t="str">
        <f>IF($C38="","",IFERROR(VLOOKUP(CONCATENATE(BC$3,"-",$C38),'FO-GC-012'!$D$20:$H$109,5,0),""))</f>
        <v/>
      </c>
      <c r="BG38" s="69" t="str">
        <f>IF($C38="","",IFERROR(VLOOKUP(CONCATENATE(BG$3,"-",$C38),'FO-GC-012'!$D$20:$H$109,2,0),""))</f>
        <v/>
      </c>
      <c r="BH38" s="70" t="str">
        <f>IF($C38="","",IFERROR(VLOOKUP(CONCATENATE(BG$3,"-",$C38),'FO-GC-012'!$D$20:$H$109,3,0),""))</f>
        <v/>
      </c>
      <c r="BI38" s="71" t="str">
        <f>IF($C38="","",IFERROR(VLOOKUP(CONCATENATE(BG$3,"-",$C38),'FO-GC-012'!$D$20:$H$109,4,0),""))</f>
        <v/>
      </c>
      <c r="BJ38" s="72" t="str">
        <f>IF($C38="","",IFERROR(VLOOKUP(CONCATENATE(BG$3,"-",$C38),'FO-GC-012'!$D$20:$H$109,5,0),""))</f>
        <v/>
      </c>
      <c r="BK38" s="69" t="str">
        <f>IF($C38="","",IFERROR(VLOOKUP(CONCATENATE(BK$3,"-",$C38),'FO-GC-012'!$D$20:$H$109,2,0),""))</f>
        <v/>
      </c>
      <c r="BL38" s="70" t="str">
        <f>IF($C38="","",IFERROR(VLOOKUP(CONCATENATE(BK$3,"-",$C38),'FO-GC-012'!$D$20:$H$109,3,0),""))</f>
        <v/>
      </c>
      <c r="BM38" s="71" t="str">
        <f>IF($C38="","",IFERROR(VLOOKUP(CONCATENATE(BK$3,"-",$C38),'FO-GC-012'!$D$20:$H$109,4,0),""))</f>
        <v/>
      </c>
      <c r="BN38" s="72" t="str">
        <f>IF($C38="","",IFERROR(VLOOKUP(CONCATENATE(BK$3,"-",$C38),'FO-GC-012'!$D$20:$H$109,5,0),""))</f>
        <v/>
      </c>
      <c r="BO38" s="69" t="str">
        <f>IF($C38="","",IFERROR(VLOOKUP(CONCATENATE(BO$3,"-",$C38),'FO-GC-012'!$D$20:$H$109,2,0),""))</f>
        <v/>
      </c>
      <c r="BP38" s="70" t="str">
        <f>IF($C38="","",IFERROR(VLOOKUP(CONCATENATE(BO$3,"-",$C38),'FO-GC-012'!$D$20:$H$109,3,0),""))</f>
        <v/>
      </c>
      <c r="BQ38" s="71" t="str">
        <f>IF($C38="","",IFERROR(VLOOKUP(CONCATENATE(BO$3,"-",$C38),'FO-GC-012'!$D$20:$H$109,4,0),""))</f>
        <v/>
      </c>
      <c r="BR38" s="72" t="str">
        <f>IF($C38="","",IFERROR(VLOOKUP(CONCATENATE(BO$3,"-",$C38),'FO-GC-012'!$D$20:$H$109,5,0),""))</f>
        <v/>
      </c>
      <c r="BS38" s="69" t="str">
        <f>IF($C38="","",IFERROR(VLOOKUP(CONCATENATE(BS$3,"-",$C38),'FO-GC-012'!$D$20:$H$109,2,0),""))</f>
        <v/>
      </c>
      <c r="BT38" s="70" t="str">
        <f>IF($C38="","",IFERROR(VLOOKUP(CONCATENATE(BS$3,"-",$C38),'FO-GC-012'!$D$20:$H$109,3,0),""))</f>
        <v/>
      </c>
      <c r="BU38" s="71" t="str">
        <f>IF($C38="","",IFERROR(VLOOKUP(CONCATENATE(BS$3,"-",$C38),'FO-GC-012'!$D$20:$H$109,4,0),""))</f>
        <v/>
      </c>
      <c r="BV38" s="72" t="str">
        <f>IF($C38="","",IFERROR(VLOOKUP(CONCATENATE(BS$3,"-",$C38),'FO-GC-012'!$D$20:$H$109,5,0),""))</f>
        <v/>
      </c>
      <c r="BW38" s="69" t="str">
        <f>IF($C38="","",IFERROR(VLOOKUP(CONCATENATE(BW$3,"-",$C38),'FO-GC-012'!$D$20:$H$109,2,0),""))</f>
        <v/>
      </c>
      <c r="BX38" s="70" t="str">
        <f>IF($C38="","",IFERROR(VLOOKUP(CONCATENATE(BW$3,"-",$C38),'FO-GC-012'!$D$20:$H$109,3,0),""))</f>
        <v/>
      </c>
      <c r="BY38" s="71" t="str">
        <f>IF($C38="","",IFERROR(VLOOKUP(CONCATENATE(BW$3,"-",$C38),'FO-GC-012'!$D$20:$H$109,4,0),""))</f>
        <v/>
      </c>
      <c r="BZ38" s="72" t="str">
        <f>IF($C38="","",IFERROR(VLOOKUP(CONCATENATE(BW$3,"-",$C38),'FO-GC-012'!$D$20:$H$109,5,0),""))</f>
        <v/>
      </c>
      <c r="CA38" s="69" t="str">
        <f>IF($C38="","",IFERROR(VLOOKUP(CONCATENATE(CA$3,"-",$C38),'FO-GC-012'!$D$20:$H$109,2,0),""))</f>
        <v/>
      </c>
      <c r="CB38" s="70" t="str">
        <f>IF($C38="","",IFERROR(VLOOKUP(CONCATENATE(CA$3,"-",$C38),'FO-GC-012'!$D$20:$H$109,3,0),""))</f>
        <v/>
      </c>
      <c r="CC38" s="71" t="str">
        <f>IF($C38="","",IFERROR(VLOOKUP(CONCATENATE(CA$3,"-",$C38),'FO-GC-012'!$D$20:$H$109,4,0),""))</f>
        <v/>
      </c>
      <c r="CD38" s="72" t="str">
        <f>IF($C38="","",IFERROR(VLOOKUP(CONCATENATE(CA$3,"-",$C38),'FO-GC-012'!$D$20:$H$109,5,0),""))</f>
        <v/>
      </c>
      <c r="CE38" s="69" t="str">
        <f>IF($C38="","",IFERROR(VLOOKUP(CONCATENATE(CE$3,"-",$C38),'FO-GC-012'!$D$20:$H$109,2,0),""))</f>
        <v/>
      </c>
      <c r="CF38" s="70" t="str">
        <f>IF($C38="","",IFERROR(VLOOKUP(CONCATENATE(CE$3,"-",$C38),'FO-GC-012'!$D$20:$H$109,3,0),""))</f>
        <v/>
      </c>
      <c r="CG38" s="71" t="str">
        <f>IF($C38="","",IFERROR(VLOOKUP(CONCATENATE(CE$3,"-",$C38),'FO-GC-012'!$D$20:$H$109,4,0),""))</f>
        <v/>
      </c>
      <c r="CH38" s="72" t="str">
        <f>IF($C38="","",IFERROR(VLOOKUP(CONCATENATE(CE$3,"-",$C38),'FO-GC-012'!$D$20:$H$109,5,0),""))</f>
        <v/>
      </c>
    </row>
    <row r="39" spans="1:86" ht="33.75" customHeight="1" x14ac:dyDescent="0.35">
      <c r="B39" s="83" t="str">
        <f>IF(C39="","",COUNTA(C$4:C39))</f>
        <v/>
      </c>
      <c r="C39" s="82" t="str">
        <f>'Eq. Auditor'!B39</f>
        <v/>
      </c>
      <c r="D39" s="83" t="str">
        <f>IF(C39="","",COUNTIF('FO-GC-012'!A:A,CONCATENATE("P-",C39)))</f>
        <v/>
      </c>
      <c r="E39" s="83" t="str">
        <f>IF(C39="","",COUNTIF('FO-GC-012'!A:A,CONCATENATE("A-",C39)))</f>
        <v/>
      </c>
      <c r="F39" s="83" t="str">
        <f t="shared" si="3"/>
        <v/>
      </c>
      <c r="G39" s="65" t="str">
        <f>IF($C39="","",IFERROR(VLOOKUP(CONCATENATE(G$3,"-",$C39),'FO-GC-012'!$D$20:$H$109,2,0),""))</f>
        <v/>
      </c>
      <c r="H39" s="66" t="str">
        <f>IF($C39="","",IFERROR(VLOOKUP(CONCATENATE(G$3,"-",$C39),'FO-GC-012'!$D$20:$H$109,3,0),""))</f>
        <v/>
      </c>
      <c r="I39" s="67" t="str">
        <f>IF($C39="","",IFERROR(VLOOKUP(CONCATENATE(G$3,"-",$C39),'FO-GC-012'!$D$20:$H$109,4,0),""))</f>
        <v/>
      </c>
      <c r="J39" s="68" t="str">
        <f>IF($C39="","",IFERROR(VLOOKUP(CONCATENATE(G$3,"-",$C39),'FO-GC-012'!$D$20:$H$109,5,0),""))</f>
        <v/>
      </c>
      <c r="K39" s="65" t="str">
        <f>IF($C39="","",IFERROR(VLOOKUP(CONCATENATE(K$3,"-",$C39),'FO-GC-012'!$D$20:$H$109,2,0),""))</f>
        <v/>
      </c>
      <c r="L39" s="66" t="str">
        <f>IF($C39="","",IFERROR(VLOOKUP(CONCATENATE(K$3,"-",$C39),'FO-GC-012'!$D$20:$H$109,3,0),""))</f>
        <v/>
      </c>
      <c r="M39" s="67" t="str">
        <f>IF($C39="","",IFERROR(VLOOKUP(CONCATENATE(K$3,"-",$C39),'FO-GC-012'!$D$20:$H$109,4,0),""))</f>
        <v/>
      </c>
      <c r="N39" s="68" t="str">
        <f>IF($C39="","",IFERROR(VLOOKUP(CONCATENATE(K$3,"-",$C39),'FO-GC-012'!$D$20:$H$109,5,0),""))</f>
        <v/>
      </c>
      <c r="O39" s="65" t="str">
        <f>IF($C39="","",IFERROR(VLOOKUP(CONCATENATE(O$3,"-",$C39),'FO-GC-012'!$D$20:$H$109,2,0),""))</f>
        <v/>
      </c>
      <c r="P39" s="66" t="str">
        <f>IF($C39="","",IFERROR(VLOOKUP(CONCATENATE(O$3,"-",$C39),'FO-GC-012'!$D$20:$H$109,3,0),""))</f>
        <v/>
      </c>
      <c r="Q39" s="67" t="str">
        <f>IF($C39="","",IFERROR(VLOOKUP(CONCATENATE(O$3,"-",$C39),'FO-GC-012'!$D$20:$H$109,4,0),""))</f>
        <v/>
      </c>
      <c r="R39" s="68" t="str">
        <f>IF($C39="","",IFERROR(VLOOKUP(CONCATENATE(O$3,"-",$C39),'FO-GC-012'!$D$20:$H$109,5,0),""))</f>
        <v/>
      </c>
      <c r="S39" s="65" t="str">
        <f>IF($C39="","",IFERROR(VLOOKUP(CONCATENATE(S$3,"-",$C39),'FO-GC-012'!$D$20:$H$109,2,0),""))</f>
        <v/>
      </c>
      <c r="T39" s="66" t="str">
        <f>IF($C39="","",IFERROR(VLOOKUP(CONCATENATE(S$3,"-",$C39),'FO-GC-012'!$D$20:$H$109,3,0),""))</f>
        <v/>
      </c>
      <c r="U39" s="67" t="str">
        <f>IF($C39="","",IFERROR(VLOOKUP(CONCATENATE(S$3,"-",$C39),'FO-GC-012'!$D$20:$H$109,4,0),""))</f>
        <v/>
      </c>
      <c r="V39" s="68" t="str">
        <f>IF($C39="","",IFERROR(VLOOKUP(CONCATENATE(S$3,"-",$C39),'FO-GC-012'!$D$20:$H$109,5,0),""))</f>
        <v/>
      </c>
      <c r="W39" s="65" t="str">
        <f>IF($C39="","",IFERROR(VLOOKUP(CONCATENATE(W$3,"-",$C39),'FO-GC-012'!$D$20:$H$109,2,0),""))</f>
        <v/>
      </c>
      <c r="X39" s="66" t="str">
        <f>IF($C39="","",IFERROR(VLOOKUP(CONCATENATE(W$3,"-",$C39),'FO-GC-012'!$D$20:$H$109,3,0),""))</f>
        <v/>
      </c>
      <c r="Y39" s="67" t="str">
        <f>IF($C39="","",IFERROR(VLOOKUP(CONCATENATE(W$3,"-",$C39),'FO-GC-012'!$D$20:$H$109,4,0),""))</f>
        <v/>
      </c>
      <c r="Z39" s="68" t="str">
        <f>IF($C39="","",IFERROR(VLOOKUP(CONCATENATE(W$3,"-",$C39),'FO-GC-012'!$D$20:$H$109,5,0),""))</f>
        <v/>
      </c>
      <c r="AA39" s="65" t="str">
        <f>IF($C39="","",IFERROR(VLOOKUP(CONCATENATE(AA$3,"-",$C39),'FO-GC-012'!$D$20:$H$109,2,0),""))</f>
        <v/>
      </c>
      <c r="AB39" s="66" t="str">
        <f>IF($C39="","",IFERROR(VLOOKUP(CONCATENATE(AA$3,"-",$C39),'FO-GC-012'!$D$20:$H$109,3,0),""))</f>
        <v/>
      </c>
      <c r="AC39" s="67" t="str">
        <f>IF($C39="","",IFERROR(VLOOKUP(CONCATENATE(AA$3,"-",$C39),'FO-GC-012'!$D$20:$H$109,4,0),""))</f>
        <v/>
      </c>
      <c r="AD39" s="68" t="str">
        <f>IF($C39="","",IFERROR(VLOOKUP(CONCATENATE(AA$3,"-",$C39),'FO-GC-012'!$D$20:$H$109,5,0),""))</f>
        <v/>
      </c>
      <c r="AE39" s="65" t="str">
        <f>IF($C39="","",IFERROR(VLOOKUP(CONCATENATE(AE$3,"-",$C39),'FO-GC-012'!$D$20:$H$109,2,0),""))</f>
        <v/>
      </c>
      <c r="AF39" s="66" t="str">
        <f>IF($C39="","",IFERROR(VLOOKUP(CONCATENATE(AE$3,"-",$C39),'FO-GC-012'!$D$20:$H$109,3,0),""))</f>
        <v/>
      </c>
      <c r="AG39" s="67" t="str">
        <f>IF($C39="","",IFERROR(VLOOKUP(CONCATENATE(AE$3,"-",$C39),'FO-GC-012'!$D$20:$H$109,4,0),""))</f>
        <v/>
      </c>
      <c r="AH39" s="68" t="str">
        <f>IF($C39="","",IFERROR(VLOOKUP(CONCATENATE(AE$3,"-",$C39),'FO-GC-012'!$D$20:$H$109,5,0),""))</f>
        <v/>
      </c>
      <c r="AI39" s="65" t="str">
        <f>IF($C39="","",IFERROR(VLOOKUP(CONCATENATE(AI$3,"-",$C39),'FO-GC-012'!$D$20:$H$109,2,0),""))</f>
        <v/>
      </c>
      <c r="AJ39" s="66" t="str">
        <f>IF($C39="","",IFERROR(VLOOKUP(CONCATENATE(AI$3,"-",$C39),'FO-GC-012'!$D$20:$H$109,3,0),""))</f>
        <v/>
      </c>
      <c r="AK39" s="67" t="str">
        <f>IF($C39="","",IFERROR(VLOOKUP(CONCATENATE(AI$3,"-",$C39),'FO-GC-012'!$D$20:$H$109,4,0),""))</f>
        <v/>
      </c>
      <c r="AL39" s="68" t="str">
        <f>IF($C39="","",IFERROR(VLOOKUP(CONCATENATE(AI$3,"-",$C39),'FO-GC-012'!$D$20:$H$109,5,0),""))</f>
        <v/>
      </c>
      <c r="AM39" s="65" t="str">
        <f>IF($C39="","",IFERROR(VLOOKUP(CONCATENATE(AM$3,"-",$C39),'FO-GC-012'!$D$20:$H$109,2,0),""))</f>
        <v/>
      </c>
      <c r="AN39" s="66" t="str">
        <f>IF($C39="","",IFERROR(VLOOKUP(CONCATENATE(AM$3,"-",$C39),'FO-GC-012'!$D$20:$H$109,3,0),""))</f>
        <v/>
      </c>
      <c r="AO39" s="67" t="str">
        <f>IF($C39="","",IFERROR(VLOOKUP(CONCATENATE(AM$3,"-",$C39),'FO-GC-012'!$D$20:$H$109,4,0),""))</f>
        <v/>
      </c>
      <c r="AP39" s="68" t="str">
        <f>IF($C39="","",IFERROR(VLOOKUP(CONCATENATE(AM$3,"-",$C39),'FO-GC-012'!$D$20:$H$109,5,0),""))</f>
        <v/>
      </c>
      <c r="AQ39" s="65" t="str">
        <f>IF($C39="","",IFERROR(VLOOKUP(CONCATENATE(AQ$3,"-",$C39),'FO-GC-012'!$D$20:$H$109,2,0),""))</f>
        <v/>
      </c>
      <c r="AR39" s="66" t="str">
        <f>IF($C39="","",IFERROR(VLOOKUP(CONCATENATE(AQ$3,"-",$C39),'FO-GC-012'!$D$20:$H$109,3,0),""))</f>
        <v/>
      </c>
      <c r="AS39" s="67" t="str">
        <f>IF($C39="","",IFERROR(VLOOKUP(CONCATENATE(AQ$3,"-",$C39),'FO-GC-012'!$D$20:$H$109,4,0),""))</f>
        <v/>
      </c>
      <c r="AT39" s="68" t="str">
        <f>IF($C39="","",IFERROR(VLOOKUP(CONCATENATE(AQ$3,"-",$C39),'FO-GC-012'!$D$20:$H$109,5,0),""))</f>
        <v/>
      </c>
      <c r="AU39" s="65" t="str">
        <f>IF($C39="","",IFERROR(VLOOKUP(CONCATENATE(AU$3,"-",$C39),'FO-GC-012'!$D$20:$H$109,2,0),""))</f>
        <v/>
      </c>
      <c r="AV39" s="66" t="str">
        <f>IF($C39="","",IFERROR(VLOOKUP(CONCATENATE(AU$3,"-",$C39),'FO-GC-012'!$D$20:$H$109,3,0),""))</f>
        <v/>
      </c>
      <c r="AW39" s="67" t="str">
        <f>IF($C39="","",IFERROR(VLOOKUP(CONCATENATE(AU$3,"-",$C39),'FO-GC-012'!$D$20:$H$109,4,0),""))</f>
        <v/>
      </c>
      <c r="AX39" s="68" t="str">
        <f>IF($C39="","",IFERROR(VLOOKUP(CONCATENATE(AU$3,"-",$C39),'FO-GC-012'!$D$20:$H$109,5,0),""))</f>
        <v/>
      </c>
      <c r="AY39" s="65" t="str">
        <f>IF($C39="","",IFERROR(VLOOKUP(CONCATENATE(AY$3,"-",$C39),'FO-GC-012'!$D$20:$H$109,2,0),""))</f>
        <v/>
      </c>
      <c r="AZ39" s="66" t="str">
        <f>IF($C39="","",IFERROR(VLOOKUP(CONCATENATE(AY$3,"-",$C39),'FO-GC-012'!$D$20:$H$109,3,0),""))</f>
        <v/>
      </c>
      <c r="BA39" s="67" t="str">
        <f>IF($C39="","",IFERROR(VLOOKUP(CONCATENATE(AY$3,"-",$C39),'FO-GC-012'!$D$20:$H$109,4,0),""))</f>
        <v/>
      </c>
      <c r="BB39" s="68" t="str">
        <f>IF($C39="","",IFERROR(VLOOKUP(CONCATENATE(AY$3,"-",$C39),'FO-GC-012'!$D$20:$H$109,5,0),""))</f>
        <v/>
      </c>
      <c r="BC39" s="65" t="str">
        <f>IF($C39="","",IFERROR(VLOOKUP(CONCATENATE(BC$3,"-",$C39),'FO-GC-012'!$D$20:$H$109,2,0),""))</f>
        <v/>
      </c>
      <c r="BD39" s="66" t="str">
        <f>IF($C39="","",IFERROR(VLOOKUP(CONCATENATE(BC$3,"-",$C39),'FO-GC-012'!$D$20:$H$109,3,0),""))</f>
        <v/>
      </c>
      <c r="BE39" s="67" t="str">
        <f>IF($C39="","",IFERROR(VLOOKUP(CONCATENATE(BC$3,"-",$C39),'FO-GC-012'!$D$20:$H$109,4,0),""))</f>
        <v/>
      </c>
      <c r="BF39" s="68" t="str">
        <f>IF($C39="","",IFERROR(VLOOKUP(CONCATENATE(BC$3,"-",$C39),'FO-GC-012'!$D$20:$H$109,5,0),""))</f>
        <v/>
      </c>
      <c r="BG39" s="65" t="str">
        <f>IF($C39="","",IFERROR(VLOOKUP(CONCATENATE(BG$3,"-",$C39),'FO-GC-012'!$D$20:$H$109,2,0),""))</f>
        <v/>
      </c>
      <c r="BH39" s="66" t="str">
        <f>IF($C39="","",IFERROR(VLOOKUP(CONCATENATE(BG$3,"-",$C39),'FO-GC-012'!$D$20:$H$109,3,0),""))</f>
        <v/>
      </c>
      <c r="BI39" s="67" t="str">
        <f>IF($C39="","",IFERROR(VLOOKUP(CONCATENATE(BG$3,"-",$C39),'FO-GC-012'!$D$20:$H$109,4,0),""))</f>
        <v/>
      </c>
      <c r="BJ39" s="68" t="str">
        <f>IF($C39="","",IFERROR(VLOOKUP(CONCATENATE(BG$3,"-",$C39),'FO-GC-012'!$D$20:$H$109,5,0),""))</f>
        <v/>
      </c>
      <c r="BK39" s="65" t="str">
        <f>IF($C39="","",IFERROR(VLOOKUP(CONCATENATE(BK$3,"-",$C39),'FO-GC-012'!$D$20:$H$109,2,0),""))</f>
        <v/>
      </c>
      <c r="BL39" s="66" t="str">
        <f>IF($C39="","",IFERROR(VLOOKUP(CONCATENATE(BK$3,"-",$C39),'FO-GC-012'!$D$20:$H$109,3,0),""))</f>
        <v/>
      </c>
      <c r="BM39" s="67" t="str">
        <f>IF($C39="","",IFERROR(VLOOKUP(CONCATENATE(BK$3,"-",$C39),'FO-GC-012'!$D$20:$H$109,4,0),""))</f>
        <v/>
      </c>
      <c r="BN39" s="68" t="str">
        <f>IF($C39="","",IFERROR(VLOOKUP(CONCATENATE(BK$3,"-",$C39),'FO-GC-012'!$D$20:$H$109,5,0),""))</f>
        <v/>
      </c>
      <c r="BO39" s="65" t="str">
        <f>IF($C39="","",IFERROR(VLOOKUP(CONCATENATE(BO$3,"-",$C39),'FO-GC-012'!$D$20:$H$109,2,0),""))</f>
        <v/>
      </c>
      <c r="BP39" s="66" t="str">
        <f>IF($C39="","",IFERROR(VLOOKUP(CONCATENATE(BO$3,"-",$C39),'FO-GC-012'!$D$20:$H$109,3,0),""))</f>
        <v/>
      </c>
      <c r="BQ39" s="67" t="str">
        <f>IF($C39="","",IFERROR(VLOOKUP(CONCATENATE(BO$3,"-",$C39),'FO-GC-012'!$D$20:$H$109,4,0),""))</f>
        <v/>
      </c>
      <c r="BR39" s="68" t="str">
        <f>IF($C39="","",IFERROR(VLOOKUP(CONCATENATE(BO$3,"-",$C39),'FO-GC-012'!$D$20:$H$109,5,0),""))</f>
        <v/>
      </c>
      <c r="BS39" s="65" t="str">
        <f>IF($C39="","",IFERROR(VLOOKUP(CONCATENATE(BS$3,"-",$C39),'FO-GC-012'!$D$20:$H$109,2,0),""))</f>
        <v/>
      </c>
      <c r="BT39" s="66" t="str">
        <f>IF($C39="","",IFERROR(VLOOKUP(CONCATENATE(BS$3,"-",$C39),'FO-GC-012'!$D$20:$H$109,3,0),""))</f>
        <v/>
      </c>
      <c r="BU39" s="67" t="str">
        <f>IF($C39="","",IFERROR(VLOOKUP(CONCATENATE(BS$3,"-",$C39),'FO-GC-012'!$D$20:$H$109,4,0),""))</f>
        <v/>
      </c>
      <c r="BV39" s="68" t="str">
        <f>IF($C39="","",IFERROR(VLOOKUP(CONCATENATE(BS$3,"-",$C39),'FO-GC-012'!$D$20:$H$109,5,0),""))</f>
        <v/>
      </c>
      <c r="BW39" s="65" t="str">
        <f>IF($C39="","",IFERROR(VLOOKUP(CONCATENATE(BW$3,"-",$C39),'FO-GC-012'!$D$20:$H$109,2,0),""))</f>
        <v/>
      </c>
      <c r="BX39" s="66" t="str">
        <f>IF($C39="","",IFERROR(VLOOKUP(CONCATENATE(BW$3,"-",$C39),'FO-GC-012'!$D$20:$H$109,3,0),""))</f>
        <v/>
      </c>
      <c r="BY39" s="67" t="str">
        <f>IF($C39="","",IFERROR(VLOOKUP(CONCATENATE(BW$3,"-",$C39),'FO-GC-012'!$D$20:$H$109,4,0),""))</f>
        <v/>
      </c>
      <c r="BZ39" s="68" t="str">
        <f>IF($C39="","",IFERROR(VLOOKUP(CONCATENATE(BW$3,"-",$C39),'FO-GC-012'!$D$20:$H$109,5,0),""))</f>
        <v/>
      </c>
      <c r="CA39" s="65" t="str">
        <f>IF($C39="","",IFERROR(VLOOKUP(CONCATENATE(CA$3,"-",$C39),'FO-GC-012'!$D$20:$H$109,2,0),""))</f>
        <v/>
      </c>
      <c r="CB39" s="66" t="str">
        <f>IF($C39="","",IFERROR(VLOOKUP(CONCATENATE(CA$3,"-",$C39),'FO-GC-012'!$D$20:$H$109,3,0),""))</f>
        <v/>
      </c>
      <c r="CC39" s="67" t="str">
        <f>IF($C39="","",IFERROR(VLOOKUP(CONCATENATE(CA$3,"-",$C39),'FO-GC-012'!$D$20:$H$109,4,0),""))</f>
        <v/>
      </c>
      <c r="CD39" s="68" t="str">
        <f>IF($C39="","",IFERROR(VLOOKUP(CONCATENATE(CA$3,"-",$C39),'FO-GC-012'!$D$20:$H$109,5,0),""))</f>
        <v/>
      </c>
      <c r="CE39" s="65" t="str">
        <f>IF($C39="","",IFERROR(VLOOKUP(CONCATENATE(CE$3,"-",$C39),'FO-GC-012'!$D$20:$H$109,2,0),""))</f>
        <v/>
      </c>
      <c r="CF39" s="66" t="str">
        <f>IF($C39="","",IFERROR(VLOOKUP(CONCATENATE(CE$3,"-",$C39),'FO-GC-012'!$D$20:$H$109,3,0),""))</f>
        <v/>
      </c>
      <c r="CG39" s="67" t="str">
        <f>IF($C39="","",IFERROR(VLOOKUP(CONCATENATE(CE$3,"-",$C39),'FO-GC-012'!$D$20:$H$109,4,0),""))</f>
        <v/>
      </c>
      <c r="CH39" s="68" t="str">
        <f>IF($C39="","",IFERROR(VLOOKUP(CONCATENATE(CE$3,"-",$C39),'FO-GC-012'!$D$20:$H$109,5,0),""))</f>
        <v/>
      </c>
    </row>
    <row r="40" spans="1:86" ht="33.75" customHeight="1" x14ac:dyDescent="0.35">
      <c r="B40" s="83" t="str">
        <f>IF(C40="","",COUNTA(C$4:C40))</f>
        <v/>
      </c>
      <c r="C40" s="82" t="str">
        <f>'Eq. Auditor'!B40</f>
        <v/>
      </c>
      <c r="D40" s="83" t="str">
        <f>IF(C40="","",COUNTIF('FO-GC-012'!A:A,CONCATENATE("P-",C40)))</f>
        <v/>
      </c>
      <c r="E40" s="83" t="str">
        <f>IF(C40="","",COUNTIF('FO-GC-012'!A:A,CONCATENATE("A-",C40)))</f>
        <v/>
      </c>
      <c r="F40" s="83" t="str">
        <f t="shared" si="3"/>
        <v/>
      </c>
      <c r="G40" s="69" t="str">
        <f>IF($C40="","",IFERROR(VLOOKUP(CONCATENATE(G$3,"-",$C40),'FO-GC-012'!$D$20:$H$109,2,0),""))</f>
        <v/>
      </c>
      <c r="H40" s="70" t="str">
        <f>IF($C40="","",IFERROR(VLOOKUP(CONCATENATE(G$3,"-",$C40),'FO-GC-012'!$D$20:$H$109,3,0),""))</f>
        <v/>
      </c>
      <c r="I40" s="71" t="str">
        <f>IF($C40="","",IFERROR(VLOOKUP(CONCATENATE(G$3,"-",$C40),'FO-GC-012'!$D$20:$H$109,4,0),""))</f>
        <v/>
      </c>
      <c r="J40" s="72" t="str">
        <f>IF($C40="","",IFERROR(VLOOKUP(CONCATENATE(G$3,"-",$C40),'FO-GC-012'!$D$20:$H$109,5,0),""))</f>
        <v/>
      </c>
      <c r="K40" s="69" t="str">
        <f>IF($C40="","",IFERROR(VLOOKUP(CONCATENATE(K$3,"-",$C40),'FO-GC-012'!$D$20:$H$109,2,0),""))</f>
        <v/>
      </c>
      <c r="L40" s="70" t="str">
        <f>IF($C40="","",IFERROR(VLOOKUP(CONCATENATE(K$3,"-",$C40),'FO-GC-012'!$D$20:$H$109,3,0),""))</f>
        <v/>
      </c>
      <c r="M40" s="71" t="str">
        <f>IF($C40="","",IFERROR(VLOOKUP(CONCATENATE(K$3,"-",$C40),'FO-GC-012'!$D$20:$H$109,4,0),""))</f>
        <v/>
      </c>
      <c r="N40" s="72" t="str">
        <f>IF($C40="","",IFERROR(VLOOKUP(CONCATENATE(K$3,"-",$C40),'FO-GC-012'!$D$20:$H$109,5,0),""))</f>
        <v/>
      </c>
      <c r="O40" s="69" t="str">
        <f>IF($C40="","",IFERROR(VLOOKUP(CONCATENATE(O$3,"-",$C40),'FO-GC-012'!$D$20:$H$109,2,0),""))</f>
        <v/>
      </c>
      <c r="P40" s="70" t="str">
        <f>IF($C40="","",IFERROR(VLOOKUP(CONCATENATE(O$3,"-",$C40),'FO-GC-012'!$D$20:$H$109,3,0),""))</f>
        <v/>
      </c>
      <c r="Q40" s="71" t="str">
        <f>IF($C40="","",IFERROR(VLOOKUP(CONCATENATE(O$3,"-",$C40),'FO-GC-012'!$D$20:$H$109,4,0),""))</f>
        <v/>
      </c>
      <c r="R40" s="72" t="str">
        <f>IF($C40="","",IFERROR(VLOOKUP(CONCATENATE(O$3,"-",$C40),'FO-GC-012'!$D$20:$H$109,5,0),""))</f>
        <v/>
      </c>
      <c r="S40" s="69" t="str">
        <f>IF($C40="","",IFERROR(VLOOKUP(CONCATENATE(S$3,"-",$C40),'FO-GC-012'!$D$20:$H$109,2,0),""))</f>
        <v/>
      </c>
      <c r="T40" s="70" t="str">
        <f>IF($C40="","",IFERROR(VLOOKUP(CONCATENATE(S$3,"-",$C40),'FO-GC-012'!$D$20:$H$109,3,0),""))</f>
        <v/>
      </c>
      <c r="U40" s="71" t="str">
        <f>IF($C40="","",IFERROR(VLOOKUP(CONCATENATE(S$3,"-",$C40),'FO-GC-012'!$D$20:$H$109,4,0),""))</f>
        <v/>
      </c>
      <c r="V40" s="72" t="str">
        <f>IF($C40="","",IFERROR(VLOOKUP(CONCATENATE(S$3,"-",$C40),'FO-GC-012'!$D$20:$H$109,5,0),""))</f>
        <v/>
      </c>
      <c r="W40" s="69" t="str">
        <f>IF($C40="","",IFERROR(VLOOKUP(CONCATENATE(W$3,"-",$C40),'FO-GC-012'!$D$20:$H$109,2,0),""))</f>
        <v/>
      </c>
      <c r="X40" s="70" t="str">
        <f>IF($C40="","",IFERROR(VLOOKUP(CONCATENATE(W$3,"-",$C40),'FO-GC-012'!$D$20:$H$109,3,0),""))</f>
        <v/>
      </c>
      <c r="Y40" s="71" t="str">
        <f>IF($C40="","",IFERROR(VLOOKUP(CONCATENATE(W$3,"-",$C40),'FO-GC-012'!$D$20:$H$109,4,0),""))</f>
        <v/>
      </c>
      <c r="Z40" s="72" t="str">
        <f>IF($C40="","",IFERROR(VLOOKUP(CONCATENATE(W$3,"-",$C40),'FO-GC-012'!$D$20:$H$109,5,0),""))</f>
        <v/>
      </c>
      <c r="AA40" s="69" t="str">
        <f>IF($C40="","",IFERROR(VLOOKUP(CONCATENATE(AA$3,"-",$C40),'FO-GC-012'!$D$20:$H$109,2,0),""))</f>
        <v/>
      </c>
      <c r="AB40" s="70" t="str">
        <f>IF($C40="","",IFERROR(VLOOKUP(CONCATENATE(AA$3,"-",$C40),'FO-GC-012'!$D$20:$H$109,3,0),""))</f>
        <v/>
      </c>
      <c r="AC40" s="71" t="str">
        <f>IF($C40="","",IFERROR(VLOOKUP(CONCATENATE(AA$3,"-",$C40),'FO-GC-012'!$D$20:$H$109,4,0),""))</f>
        <v/>
      </c>
      <c r="AD40" s="72" t="str">
        <f>IF($C40="","",IFERROR(VLOOKUP(CONCATENATE(AA$3,"-",$C40),'FO-GC-012'!$D$20:$H$109,5,0),""))</f>
        <v/>
      </c>
      <c r="AE40" s="69" t="str">
        <f>IF($C40="","",IFERROR(VLOOKUP(CONCATENATE(AE$3,"-",$C40),'FO-GC-012'!$D$20:$H$109,2,0),""))</f>
        <v/>
      </c>
      <c r="AF40" s="70" t="str">
        <f>IF($C40="","",IFERROR(VLOOKUP(CONCATENATE(AE$3,"-",$C40),'FO-GC-012'!$D$20:$H$109,3,0),""))</f>
        <v/>
      </c>
      <c r="AG40" s="71" t="str">
        <f>IF($C40="","",IFERROR(VLOOKUP(CONCATENATE(AE$3,"-",$C40),'FO-GC-012'!$D$20:$H$109,4,0),""))</f>
        <v/>
      </c>
      <c r="AH40" s="72" t="str">
        <f>IF($C40="","",IFERROR(VLOOKUP(CONCATENATE(AE$3,"-",$C40),'FO-GC-012'!$D$20:$H$109,5,0),""))</f>
        <v/>
      </c>
      <c r="AI40" s="69" t="str">
        <f>IF($C40="","",IFERROR(VLOOKUP(CONCATENATE(AI$3,"-",$C40),'FO-GC-012'!$D$20:$H$109,2,0),""))</f>
        <v/>
      </c>
      <c r="AJ40" s="70" t="str">
        <f>IF($C40="","",IFERROR(VLOOKUP(CONCATENATE(AI$3,"-",$C40),'FO-GC-012'!$D$20:$H$109,3,0),""))</f>
        <v/>
      </c>
      <c r="AK40" s="71" t="str">
        <f>IF($C40="","",IFERROR(VLOOKUP(CONCATENATE(AI$3,"-",$C40),'FO-GC-012'!$D$20:$H$109,4,0),""))</f>
        <v/>
      </c>
      <c r="AL40" s="72" t="str">
        <f>IF($C40="","",IFERROR(VLOOKUP(CONCATENATE(AI$3,"-",$C40),'FO-GC-012'!$D$20:$H$109,5,0),""))</f>
        <v/>
      </c>
      <c r="AM40" s="69" t="str">
        <f>IF($C40="","",IFERROR(VLOOKUP(CONCATENATE(AM$3,"-",$C40),'FO-GC-012'!$D$20:$H$109,2,0),""))</f>
        <v/>
      </c>
      <c r="AN40" s="70" t="str">
        <f>IF($C40="","",IFERROR(VLOOKUP(CONCATENATE(AM$3,"-",$C40),'FO-GC-012'!$D$20:$H$109,3,0),""))</f>
        <v/>
      </c>
      <c r="AO40" s="71" t="str">
        <f>IF($C40="","",IFERROR(VLOOKUP(CONCATENATE(AM$3,"-",$C40),'FO-GC-012'!$D$20:$H$109,4,0),""))</f>
        <v/>
      </c>
      <c r="AP40" s="72" t="str">
        <f>IF($C40="","",IFERROR(VLOOKUP(CONCATENATE(AM$3,"-",$C40),'FO-GC-012'!$D$20:$H$109,5,0),""))</f>
        <v/>
      </c>
      <c r="AQ40" s="69" t="str">
        <f>IF($C40="","",IFERROR(VLOOKUP(CONCATENATE(AQ$3,"-",$C40),'FO-GC-012'!$D$20:$H$109,2,0),""))</f>
        <v/>
      </c>
      <c r="AR40" s="70" t="str">
        <f>IF($C40="","",IFERROR(VLOOKUP(CONCATENATE(AQ$3,"-",$C40),'FO-GC-012'!$D$20:$H$109,3,0),""))</f>
        <v/>
      </c>
      <c r="AS40" s="71" t="str">
        <f>IF($C40="","",IFERROR(VLOOKUP(CONCATENATE(AQ$3,"-",$C40),'FO-GC-012'!$D$20:$H$109,4,0),""))</f>
        <v/>
      </c>
      <c r="AT40" s="72" t="str">
        <f>IF($C40="","",IFERROR(VLOOKUP(CONCATENATE(AQ$3,"-",$C40),'FO-GC-012'!$D$20:$H$109,5,0),""))</f>
        <v/>
      </c>
      <c r="AU40" s="69" t="str">
        <f>IF($C40="","",IFERROR(VLOOKUP(CONCATENATE(AU$3,"-",$C40),'FO-GC-012'!$D$20:$H$109,2,0),""))</f>
        <v/>
      </c>
      <c r="AV40" s="70" t="str">
        <f>IF($C40="","",IFERROR(VLOOKUP(CONCATENATE(AU$3,"-",$C40),'FO-GC-012'!$D$20:$H$109,3,0),""))</f>
        <v/>
      </c>
      <c r="AW40" s="71" t="str">
        <f>IF($C40="","",IFERROR(VLOOKUP(CONCATENATE(AU$3,"-",$C40),'FO-GC-012'!$D$20:$H$109,4,0),""))</f>
        <v/>
      </c>
      <c r="AX40" s="72" t="str">
        <f>IF($C40="","",IFERROR(VLOOKUP(CONCATENATE(AU$3,"-",$C40),'FO-GC-012'!$D$20:$H$109,5,0),""))</f>
        <v/>
      </c>
      <c r="AY40" s="69" t="str">
        <f>IF($C40="","",IFERROR(VLOOKUP(CONCATENATE(AY$3,"-",$C40),'FO-GC-012'!$D$20:$H$109,2,0),""))</f>
        <v/>
      </c>
      <c r="AZ40" s="70" t="str">
        <f>IF($C40="","",IFERROR(VLOOKUP(CONCATENATE(AY$3,"-",$C40),'FO-GC-012'!$D$20:$H$109,3,0),""))</f>
        <v/>
      </c>
      <c r="BA40" s="71" t="str">
        <f>IF($C40="","",IFERROR(VLOOKUP(CONCATENATE(AY$3,"-",$C40),'FO-GC-012'!$D$20:$H$109,4,0),""))</f>
        <v/>
      </c>
      <c r="BB40" s="72" t="str">
        <f>IF($C40="","",IFERROR(VLOOKUP(CONCATENATE(AY$3,"-",$C40),'FO-GC-012'!$D$20:$H$109,5,0),""))</f>
        <v/>
      </c>
      <c r="BC40" s="69" t="str">
        <f>IF($C40="","",IFERROR(VLOOKUP(CONCATENATE(BC$3,"-",$C40),'FO-GC-012'!$D$20:$H$109,2,0),""))</f>
        <v/>
      </c>
      <c r="BD40" s="70" t="str">
        <f>IF($C40="","",IFERROR(VLOOKUP(CONCATENATE(BC$3,"-",$C40),'FO-GC-012'!$D$20:$H$109,3,0),""))</f>
        <v/>
      </c>
      <c r="BE40" s="71" t="str">
        <f>IF($C40="","",IFERROR(VLOOKUP(CONCATENATE(BC$3,"-",$C40),'FO-GC-012'!$D$20:$H$109,4,0),""))</f>
        <v/>
      </c>
      <c r="BF40" s="72" t="str">
        <f>IF($C40="","",IFERROR(VLOOKUP(CONCATENATE(BC$3,"-",$C40),'FO-GC-012'!$D$20:$H$109,5,0),""))</f>
        <v/>
      </c>
      <c r="BG40" s="69" t="str">
        <f>IF($C40="","",IFERROR(VLOOKUP(CONCATENATE(BG$3,"-",$C40),'FO-GC-012'!$D$20:$H$109,2,0),""))</f>
        <v/>
      </c>
      <c r="BH40" s="70" t="str">
        <f>IF($C40="","",IFERROR(VLOOKUP(CONCATENATE(BG$3,"-",$C40),'FO-GC-012'!$D$20:$H$109,3,0),""))</f>
        <v/>
      </c>
      <c r="BI40" s="71" t="str">
        <f>IF($C40="","",IFERROR(VLOOKUP(CONCATENATE(BG$3,"-",$C40),'FO-GC-012'!$D$20:$H$109,4,0),""))</f>
        <v/>
      </c>
      <c r="BJ40" s="72" t="str">
        <f>IF($C40="","",IFERROR(VLOOKUP(CONCATENATE(BG$3,"-",$C40),'FO-GC-012'!$D$20:$H$109,5,0),""))</f>
        <v/>
      </c>
      <c r="BK40" s="69" t="str">
        <f>IF($C40="","",IFERROR(VLOOKUP(CONCATENATE(BK$3,"-",$C40),'FO-GC-012'!$D$20:$H$109,2,0),""))</f>
        <v/>
      </c>
      <c r="BL40" s="70" t="str">
        <f>IF($C40="","",IFERROR(VLOOKUP(CONCATENATE(BK$3,"-",$C40),'FO-GC-012'!$D$20:$H$109,3,0),""))</f>
        <v/>
      </c>
      <c r="BM40" s="71" t="str">
        <f>IF($C40="","",IFERROR(VLOOKUP(CONCATENATE(BK$3,"-",$C40),'FO-GC-012'!$D$20:$H$109,4,0),""))</f>
        <v/>
      </c>
      <c r="BN40" s="72" t="str">
        <f>IF($C40="","",IFERROR(VLOOKUP(CONCATENATE(BK$3,"-",$C40),'FO-GC-012'!$D$20:$H$109,5,0),""))</f>
        <v/>
      </c>
      <c r="BO40" s="69" t="str">
        <f>IF($C40="","",IFERROR(VLOOKUP(CONCATENATE(BO$3,"-",$C40),'FO-GC-012'!$D$20:$H$109,2,0),""))</f>
        <v/>
      </c>
      <c r="BP40" s="70" t="str">
        <f>IF($C40="","",IFERROR(VLOOKUP(CONCATENATE(BO$3,"-",$C40),'FO-GC-012'!$D$20:$H$109,3,0),""))</f>
        <v/>
      </c>
      <c r="BQ40" s="71" t="str">
        <f>IF($C40="","",IFERROR(VLOOKUP(CONCATENATE(BO$3,"-",$C40),'FO-GC-012'!$D$20:$H$109,4,0),""))</f>
        <v/>
      </c>
      <c r="BR40" s="72" t="str">
        <f>IF($C40="","",IFERROR(VLOOKUP(CONCATENATE(BO$3,"-",$C40),'FO-GC-012'!$D$20:$H$109,5,0),""))</f>
        <v/>
      </c>
      <c r="BS40" s="69" t="str">
        <f>IF($C40="","",IFERROR(VLOOKUP(CONCATENATE(BS$3,"-",$C40),'FO-GC-012'!$D$20:$H$109,2,0),""))</f>
        <v/>
      </c>
      <c r="BT40" s="70" t="str">
        <f>IF($C40="","",IFERROR(VLOOKUP(CONCATENATE(BS$3,"-",$C40),'FO-GC-012'!$D$20:$H$109,3,0),""))</f>
        <v/>
      </c>
      <c r="BU40" s="71" t="str">
        <f>IF($C40="","",IFERROR(VLOOKUP(CONCATENATE(BS$3,"-",$C40),'FO-GC-012'!$D$20:$H$109,4,0),""))</f>
        <v/>
      </c>
      <c r="BV40" s="72" t="str">
        <f>IF($C40="","",IFERROR(VLOOKUP(CONCATENATE(BS$3,"-",$C40),'FO-GC-012'!$D$20:$H$109,5,0),""))</f>
        <v/>
      </c>
      <c r="BW40" s="69" t="str">
        <f>IF($C40="","",IFERROR(VLOOKUP(CONCATENATE(BW$3,"-",$C40),'FO-GC-012'!$D$20:$H$109,2,0),""))</f>
        <v/>
      </c>
      <c r="BX40" s="70" t="str">
        <f>IF($C40="","",IFERROR(VLOOKUP(CONCATENATE(BW$3,"-",$C40),'FO-GC-012'!$D$20:$H$109,3,0),""))</f>
        <v/>
      </c>
      <c r="BY40" s="71" t="str">
        <f>IF($C40="","",IFERROR(VLOOKUP(CONCATENATE(BW$3,"-",$C40),'FO-GC-012'!$D$20:$H$109,4,0),""))</f>
        <v/>
      </c>
      <c r="BZ40" s="72" t="str">
        <f>IF($C40="","",IFERROR(VLOOKUP(CONCATENATE(BW$3,"-",$C40),'FO-GC-012'!$D$20:$H$109,5,0),""))</f>
        <v/>
      </c>
      <c r="CA40" s="69" t="str">
        <f>IF($C40="","",IFERROR(VLOOKUP(CONCATENATE(CA$3,"-",$C40),'FO-GC-012'!$D$20:$H$109,2,0),""))</f>
        <v/>
      </c>
      <c r="CB40" s="70" t="str">
        <f>IF($C40="","",IFERROR(VLOOKUP(CONCATENATE(CA$3,"-",$C40),'FO-GC-012'!$D$20:$H$109,3,0),""))</f>
        <v/>
      </c>
      <c r="CC40" s="71" t="str">
        <f>IF($C40="","",IFERROR(VLOOKUP(CONCATENATE(CA$3,"-",$C40),'FO-GC-012'!$D$20:$H$109,4,0),""))</f>
        <v/>
      </c>
      <c r="CD40" s="72" t="str">
        <f>IF($C40="","",IFERROR(VLOOKUP(CONCATENATE(CA$3,"-",$C40),'FO-GC-012'!$D$20:$H$109,5,0),""))</f>
        <v/>
      </c>
      <c r="CE40" s="69" t="str">
        <f>IF($C40="","",IFERROR(VLOOKUP(CONCATENATE(CE$3,"-",$C40),'FO-GC-012'!$D$20:$H$109,2,0),""))</f>
        <v/>
      </c>
      <c r="CF40" s="70" t="str">
        <f>IF($C40="","",IFERROR(VLOOKUP(CONCATENATE(CE$3,"-",$C40),'FO-GC-012'!$D$20:$H$109,3,0),""))</f>
        <v/>
      </c>
      <c r="CG40" s="71" t="str">
        <f>IF($C40="","",IFERROR(VLOOKUP(CONCATENATE(CE$3,"-",$C40),'FO-GC-012'!$D$20:$H$109,4,0),""))</f>
        <v/>
      </c>
      <c r="CH40" s="72" t="str">
        <f>IF($C40="","",IFERROR(VLOOKUP(CONCATENATE(CE$3,"-",$C40),'FO-GC-012'!$D$20:$H$109,5,0),""))</f>
        <v/>
      </c>
    </row>
    <row r="41" spans="1:86" ht="33.75" customHeight="1" x14ac:dyDescent="0.35">
      <c r="B41" s="83">
        <f>IF(C41="","",COUNTA(C$4:C41))</f>
        <v>38</v>
      </c>
      <c r="C41" s="82">
        <f>'Eq. Auditor'!B41</f>
        <v>0</v>
      </c>
      <c r="D41" s="83">
        <f>IF(C41="","",COUNTIF('FO-GC-012'!A:A,CONCATENATE("P-",C41)))</f>
        <v>0</v>
      </c>
      <c r="E41" s="83">
        <f>IF(C41="","",COUNTIF('FO-GC-012'!A:A,CONCATENATE("A-",C41)))</f>
        <v>0</v>
      </c>
      <c r="F41" s="83">
        <f t="shared" ref="F41" si="4">IF(C41="","",SUM(D41:E41))</f>
        <v>0</v>
      </c>
      <c r="G41" s="65" t="str">
        <f>IF($C41="","",IFERROR(VLOOKUP(CONCATENATE(G$3,"-",$C41),'FO-GC-012'!$D$20:$H$109,2,0),""))</f>
        <v/>
      </c>
      <c r="H41" s="66" t="str">
        <f>IF($C41="","",IFERROR(VLOOKUP(CONCATENATE(G$3,"-",$C41),'FO-GC-012'!$D$20:$H$109,3,0),""))</f>
        <v/>
      </c>
      <c r="I41" s="67" t="str">
        <f>IF($C41="","",IFERROR(VLOOKUP(CONCATENATE(G$3,"-",$C41),'FO-GC-012'!$D$20:$H$109,4,0),""))</f>
        <v/>
      </c>
      <c r="J41" s="68" t="str">
        <f>IF($C41="","",IFERROR(VLOOKUP(CONCATENATE(G$3,"-",$C41),'FO-GC-012'!$D$20:$H$109,5,0),""))</f>
        <v/>
      </c>
      <c r="K41" s="65" t="str">
        <f>IF($C41="","",IFERROR(VLOOKUP(CONCATENATE(K$3,"-",$C41),'FO-GC-012'!$D$20:$H$109,2,0),""))</f>
        <v/>
      </c>
      <c r="L41" s="66" t="str">
        <f>IF($C41="","",IFERROR(VLOOKUP(CONCATENATE(K$3,"-",$C41),'FO-GC-012'!$D$20:$H$109,3,0),""))</f>
        <v/>
      </c>
      <c r="M41" s="67" t="str">
        <f>IF($C41="","",IFERROR(VLOOKUP(CONCATENATE(K$3,"-",$C41),'FO-GC-012'!$D$20:$H$109,4,0),""))</f>
        <v/>
      </c>
      <c r="N41" s="68" t="str">
        <f>IF($C41="","",IFERROR(VLOOKUP(CONCATENATE(K$3,"-",$C41),'FO-GC-012'!$D$20:$H$109,5,0),""))</f>
        <v/>
      </c>
      <c r="O41" s="65" t="str">
        <f>IF($C41="","",IFERROR(VLOOKUP(CONCATENATE(O$3,"-",$C41),'FO-GC-012'!$D$20:$H$109,2,0),""))</f>
        <v/>
      </c>
      <c r="P41" s="66" t="str">
        <f>IF($C41="","",IFERROR(VLOOKUP(CONCATENATE(O$3,"-",$C41),'FO-GC-012'!$D$20:$H$109,3,0),""))</f>
        <v/>
      </c>
      <c r="Q41" s="67" t="str">
        <f>IF($C41="","",IFERROR(VLOOKUP(CONCATENATE(O$3,"-",$C41),'FO-GC-012'!$D$20:$H$109,4,0),""))</f>
        <v/>
      </c>
      <c r="R41" s="68" t="str">
        <f>IF($C41="","",IFERROR(VLOOKUP(CONCATENATE(O$3,"-",$C41),'FO-GC-012'!$D$20:$H$109,5,0),""))</f>
        <v/>
      </c>
      <c r="S41" s="65" t="str">
        <f>IF($C41="","",IFERROR(VLOOKUP(CONCATENATE(S$3,"-",$C41),'FO-GC-012'!$D$20:$H$109,2,0),""))</f>
        <v/>
      </c>
      <c r="T41" s="66" t="str">
        <f>IF($C41="","",IFERROR(VLOOKUP(CONCATENATE(S$3,"-",$C41),'FO-GC-012'!$D$20:$H$109,3,0),""))</f>
        <v/>
      </c>
      <c r="U41" s="67" t="str">
        <f>IF($C41="","",IFERROR(VLOOKUP(CONCATENATE(S$3,"-",$C41),'FO-GC-012'!$D$20:$H$109,4,0),""))</f>
        <v/>
      </c>
      <c r="V41" s="68" t="str">
        <f>IF($C41="","",IFERROR(VLOOKUP(CONCATENATE(S$3,"-",$C41),'FO-GC-012'!$D$20:$H$109,5,0),""))</f>
        <v/>
      </c>
      <c r="W41" s="65" t="str">
        <f>IF($C41="","",IFERROR(VLOOKUP(CONCATENATE(W$3,"-",$C41),'FO-GC-012'!$D$20:$H$109,2,0),""))</f>
        <v/>
      </c>
      <c r="X41" s="66" t="str">
        <f>IF($C41="","",IFERROR(VLOOKUP(CONCATENATE(W$3,"-",$C41),'FO-GC-012'!$D$20:$H$109,3,0),""))</f>
        <v/>
      </c>
      <c r="Y41" s="67" t="str">
        <f>IF($C41="","",IFERROR(VLOOKUP(CONCATENATE(W$3,"-",$C41),'FO-GC-012'!$D$20:$H$109,4,0),""))</f>
        <v/>
      </c>
      <c r="Z41" s="68" t="str">
        <f>IF($C41="","",IFERROR(VLOOKUP(CONCATENATE(W$3,"-",$C41),'FO-GC-012'!$D$20:$H$109,5,0),""))</f>
        <v/>
      </c>
      <c r="AA41" s="65" t="str">
        <f>IF($C41="","",IFERROR(VLOOKUP(CONCATENATE(AA$3,"-",$C41),'FO-GC-012'!$D$20:$H$109,2,0),""))</f>
        <v/>
      </c>
      <c r="AB41" s="66" t="str">
        <f>IF($C41="","",IFERROR(VLOOKUP(CONCATENATE(AA$3,"-",$C41),'FO-GC-012'!$D$20:$H$109,3,0),""))</f>
        <v/>
      </c>
      <c r="AC41" s="67" t="str">
        <f>IF($C41="","",IFERROR(VLOOKUP(CONCATENATE(AA$3,"-",$C41),'FO-GC-012'!$D$20:$H$109,4,0),""))</f>
        <v/>
      </c>
      <c r="AD41" s="68" t="str">
        <f>IF($C41="","",IFERROR(VLOOKUP(CONCATENATE(AA$3,"-",$C41),'FO-GC-012'!$D$20:$H$109,5,0),""))</f>
        <v/>
      </c>
      <c r="AE41" s="65" t="str">
        <f>IF($C41="","",IFERROR(VLOOKUP(CONCATENATE(AE$3,"-",$C41),'FO-GC-012'!$D$20:$H$109,2,0),""))</f>
        <v/>
      </c>
      <c r="AF41" s="66" t="str">
        <f>IF($C41="","",IFERROR(VLOOKUP(CONCATENATE(AE$3,"-",$C41),'FO-GC-012'!$D$20:$H$109,3,0),""))</f>
        <v/>
      </c>
      <c r="AG41" s="67" t="str">
        <f>IF($C41="","",IFERROR(VLOOKUP(CONCATENATE(AE$3,"-",$C41),'FO-GC-012'!$D$20:$H$109,4,0),""))</f>
        <v/>
      </c>
      <c r="AH41" s="68" t="str">
        <f>IF($C41="","",IFERROR(VLOOKUP(CONCATENATE(AE$3,"-",$C41),'FO-GC-012'!$D$20:$H$109,5,0),""))</f>
        <v/>
      </c>
      <c r="AI41" s="65" t="str">
        <f>IF($C41="","",IFERROR(VLOOKUP(CONCATENATE(AI$3,"-",$C41),'FO-GC-012'!$D$20:$H$109,2,0),""))</f>
        <v/>
      </c>
      <c r="AJ41" s="66" t="str">
        <f>IF($C41="","",IFERROR(VLOOKUP(CONCATENATE(AI$3,"-",$C41),'FO-GC-012'!$D$20:$H$109,3,0),""))</f>
        <v/>
      </c>
      <c r="AK41" s="67" t="str">
        <f>IF($C41="","",IFERROR(VLOOKUP(CONCATENATE(AI$3,"-",$C41),'FO-GC-012'!$D$20:$H$109,4,0),""))</f>
        <v/>
      </c>
      <c r="AL41" s="68" t="str">
        <f>IF($C41="","",IFERROR(VLOOKUP(CONCATENATE(AI$3,"-",$C41),'FO-GC-012'!$D$20:$H$109,5,0),""))</f>
        <v/>
      </c>
      <c r="AM41" s="65" t="str">
        <f>IF($C41="","",IFERROR(VLOOKUP(CONCATENATE(AM$3,"-",$C41),'FO-GC-012'!$D$20:$H$109,2,0),""))</f>
        <v/>
      </c>
      <c r="AN41" s="66" t="str">
        <f>IF($C41="","",IFERROR(VLOOKUP(CONCATENATE(AM$3,"-",$C41),'FO-GC-012'!$D$20:$H$109,3,0),""))</f>
        <v/>
      </c>
      <c r="AO41" s="67" t="str">
        <f>IF($C41="","",IFERROR(VLOOKUP(CONCATENATE(AM$3,"-",$C41),'FO-GC-012'!$D$20:$H$109,4,0),""))</f>
        <v/>
      </c>
      <c r="AP41" s="68" t="str">
        <f>IF($C41="","",IFERROR(VLOOKUP(CONCATENATE(AM$3,"-",$C41),'FO-GC-012'!$D$20:$H$109,5,0),""))</f>
        <v/>
      </c>
      <c r="AQ41" s="65" t="str">
        <f>IF($C41="","",IFERROR(VLOOKUP(CONCATENATE(AQ$3,"-",$C41),'FO-GC-012'!$D$20:$H$109,2,0),""))</f>
        <v/>
      </c>
      <c r="AR41" s="66" t="str">
        <f>IF($C41="","",IFERROR(VLOOKUP(CONCATENATE(AQ$3,"-",$C41),'FO-GC-012'!$D$20:$H$109,3,0),""))</f>
        <v/>
      </c>
      <c r="AS41" s="67" t="str">
        <f>IF($C41="","",IFERROR(VLOOKUP(CONCATENATE(AQ$3,"-",$C41),'FO-GC-012'!$D$20:$H$109,4,0),""))</f>
        <v/>
      </c>
      <c r="AT41" s="68" t="str">
        <f>IF($C41="","",IFERROR(VLOOKUP(CONCATENATE(AQ$3,"-",$C41),'FO-GC-012'!$D$20:$H$109,5,0),""))</f>
        <v/>
      </c>
      <c r="AU41" s="65" t="str">
        <f>IF($C41="","",IFERROR(VLOOKUP(CONCATENATE(AU$3,"-",$C41),'FO-GC-012'!$D$20:$H$109,2,0),""))</f>
        <v/>
      </c>
      <c r="AV41" s="66" t="str">
        <f>IF($C41="","",IFERROR(VLOOKUP(CONCATENATE(AU$3,"-",$C41),'FO-GC-012'!$D$20:$H$109,3,0),""))</f>
        <v/>
      </c>
      <c r="AW41" s="67" t="str">
        <f>IF($C41="","",IFERROR(VLOOKUP(CONCATENATE(AU$3,"-",$C41),'FO-GC-012'!$D$20:$H$109,4,0),""))</f>
        <v/>
      </c>
      <c r="AX41" s="68" t="str">
        <f>IF($C41="","",IFERROR(VLOOKUP(CONCATENATE(AU$3,"-",$C41),'FO-GC-012'!$D$20:$H$109,5,0),""))</f>
        <v/>
      </c>
      <c r="AY41" s="65" t="str">
        <f>IF($C41="","",IFERROR(VLOOKUP(CONCATENATE(AY$3,"-",$C41),'FO-GC-012'!$D$20:$H$109,2,0),""))</f>
        <v/>
      </c>
      <c r="AZ41" s="66" t="str">
        <f>IF($C41="","",IFERROR(VLOOKUP(CONCATENATE(AY$3,"-",$C41),'FO-GC-012'!$D$20:$H$109,3,0),""))</f>
        <v/>
      </c>
      <c r="BA41" s="67" t="str">
        <f>IF($C41="","",IFERROR(VLOOKUP(CONCATENATE(AY$3,"-",$C41),'FO-GC-012'!$D$20:$H$109,4,0),""))</f>
        <v/>
      </c>
      <c r="BB41" s="68" t="str">
        <f>IF($C41="","",IFERROR(VLOOKUP(CONCATENATE(AY$3,"-",$C41),'FO-GC-012'!$D$20:$H$109,5,0),""))</f>
        <v/>
      </c>
      <c r="BC41" s="65" t="str">
        <f>IF($C41="","",IFERROR(VLOOKUP(CONCATENATE(BC$3,"-",$C41),'FO-GC-012'!$D$20:$H$109,2,0),""))</f>
        <v/>
      </c>
      <c r="BD41" s="66" t="str">
        <f>IF($C41="","",IFERROR(VLOOKUP(CONCATENATE(BC$3,"-",$C41),'FO-GC-012'!$D$20:$H$109,3,0),""))</f>
        <v/>
      </c>
      <c r="BE41" s="67" t="str">
        <f>IF($C41="","",IFERROR(VLOOKUP(CONCATENATE(BC$3,"-",$C41),'FO-GC-012'!$D$20:$H$109,4,0),""))</f>
        <v/>
      </c>
      <c r="BF41" s="68" t="str">
        <f>IF($C41="","",IFERROR(VLOOKUP(CONCATENATE(BC$3,"-",$C41),'FO-GC-012'!$D$20:$H$109,5,0),""))</f>
        <v/>
      </c>
      <c r="BG41" s="65" t="str">
        <f>IF($C41="","",IFERROR(VLOOKUP(CONCATENATE(BG$3,"-",$C41),'FO-GC-012'!$D$20:$H$109,2,0),""))</f>
        <v/>
      </c>
      <c r="BH41" s="66" t="str">
        <f>IF($C41="","",IFERROR(VLOOKUP(CONCATENATE(BG$3,"-",$C41),'FO-GC-012'!$D$20:$H$109,3,0),""))</f>
        <v/>
      </c>
      <c r="BI41" s="67" t="str">
        <f>IF($C41="","",IFERROR(VLOOKUP(CONCATENATE(BG$3,"-",$C41),'FO-GC-012'!$D$20:$H$109,4,0),""))</f>
        <v/>
      </c>
      <c r="BJ41" s="68" t="str">
        <f>IF($C41="","",IFERROR(VLOOKUP(CONCATENATE(BG$3,"-",$C41),'FO-GC-012'!$D$20:$H$109,5,0),""))</f>
        <v/>
      </c>
      <c r="BK41" s="65" t="str">
        <f>IF($C41="","",IFERROR(VLOOKUP(CONCATENATE(BK$3,"-",$C41),'FO-GC-012'!$D$20:$H$109,2,0),""))</f>
        <v/>
      </c>
      <c r="BL41" s="66" t="str">
        <f>IF($C41="","",IFERROR(VLOOKUP(CONCATENATE(BK$3,"-",$C41),'FO-GC-012'!$D$20:$H$109,3,0),""))</f>
        <v/>
      </c>
      <c r="BM41" s="67" t="str">
        <f>IF($C41="","",IFERROR(VLOOKUP(CONCATENATE(BK$3,"-",$C41),'FO-GC-012'!$D$20:$H$109,4,0),""))</f>
        <v/>
      </c>
      <c r="BN41" s="68" t="str">
        <f>IF($C41="","",IFERROR(VLOOKUP(CONCATENATE(BK$3,"-",$C41),'FO-GC-012'!$D$20:$H$109,5,0),""))</f>
        <v/>
      </c>
      <c r="BO41" s="65" t="str">
        <f>IF($C41="","",IFERROR(VLOOKUP(CONCATENATE(BO$3,"-",$C41),'FO-GC-012'!$D$20:$H$109,2,0),""))</f>
        <v/>
      </c>
      <c r="BP41" s="66" t="str">
        <f>IF($C41="","",IFERROR(VLOOKUP(CONCATENATE(BO$3,"-",$C41),'FO-GC-012'!$D$20:$H$109,3,0),""))</f>
        <v/>
      </c>
      <c r="BQ41" s="67" t="str">
        <f>IF($C41="","",IFERROR(VLOOKUP(CONCATENATE(BO$3,"-",$C41),'FO-GC-012'!$D$20:$H$109,4,0),""))</f>
        <v/>
      </c>
      <c r="BR41" s="68" t="str">
        <f>IF($C41="","",IFERROR(VLOOKUP(CONCATENATE(BO$3,"-",$C41),'FO-GC-012'!$D$20:$H$109,5,0),""))</f>
        <v/>
      </c>
      <c r="BS41" s="65" t="str">
        <f>IF($C41="","",IFERROR(VLOOKUP(CONCATENATE(BS$3,"-",$C41),'FO-GC-012'!$D$20:$H$109,2,0),""))</f>
        <v/>
      </c>
      <c r="BT41" s="66" t="str">
        <f>IF($C41="","",IFERROR(VLOOKUP(CONCATENATE(BS$3,"-",$C41),'FO-GC-012'!$D$20:$H$109,3,0),""))</f>
        <v/>
      </c>
      <c r="BU41" s="67" t="str">
        <f>IF($C41="","",IFERROR(VLOOKUP(CONCATENATE(BS$3,"-",$C41),'FO-GC-012'!$D$20:$H$109,4,0),""))</f>
        <v/>
      </c>
      <c r="BV41" s="68" t="str">
        <f>IF($C41="","",IFERROR(VLOOKUP(CONCATENATE(BS$3,"-",$C41),'FO-GC-012'!$D$20:$H$109,5,0),""))</f>
        <v/>
      </c>
      <c r="BW41" s="65" t="str">
        <f>IF($C41="","",IFERROR(VLOOKUP(CONCATENATE(BW$3,"-",$C41),'FO-GC-012'!$D$20:$H$109,2,0),""))</f>
        <v/>
      </c>
      <c r="BX41" s="66" t="str">
        <f>IF($C41="","",IFERROR(VLOOKUP(CONCATENATE(BW$3,"-",$C41),'FO-GC-012'!$D$20:$H$109,3,0),""))</f>
        <v/>
      </c>
      <c r="BY41" s="67" t="str">
        <f>IF($C41="","",IFERROR(VLOOKUP(CONCATENATE(BW$3,"-",$C41),'FO-GC-012'!$D$20:$H$109,4,0),""))</f>
        <v/>
      </c>
      <c r="BZ41" s="68" t="str">
        <f>IF($C41="","",IFERROR(VLOOKUP(CONCATENATE(BW$3,"-",$C41),'FO-GC-012'!$D$20:$H$109,5,0),""))</f>
        <v/>
      </c>
      <c r="CA41" s="65" t="str">
        <f>IF($C41="","",IFERROR(VLOOKUP(CONCATENATE(CA$3,"-",$C41),'FO-GC-012'!$D$20:$H$109,2,0),""))</f>
        <v/>
      </c>
      <c r="CB41" s="66" t="str">
        <f>IF($C41="","",IFERROR(VLOOKUP(CONCATENATE(CA$3,"-",$C41),'FO-GC-012'!$D$20:$H$109,3,0),""))</f>
        <v/>
      </c>
      <c r="CC41" s="67" t="str">
        <f>IF($C41="","",IFERROR(VLOOKUP(CONCATENATE(CA$3,"-",$C41),'FO-GC-012'!$D$20:$H$109,4,0),""))</f>
        <v/>
      </c>
      <c r="CD41" s="68" t="str">
        <f>IF($C41="","",IFERROR(VLOOKUP(CONCATENATE(CA$3,"-",$C41),'FO-GC-012'!$D$20:$H$109,5,0),""))</f>
        <v/>
      </c>
      <c r="CE41" s="65" t="str">
        <f>IF($C41="","",IFERROR(VLOOKUP(CONCATENATE(CE$3,"-",$C41),'FO-GC-012'!$D$20:$H$109,2,0),""))</f>
        <v/>
      </c>
      <c r="CF41" s="66" t="str">
        <f>IF($C41="","",IFERROR(VLOOKUP(CONCATENATE(CE$3,"-",$C41),'FO-GC-012'!$D$20:$H$109,3,0),""))</f>
        <v/>
      </c>
      <c r="CG41" s="67" t="str">
        <f>IF($C41="","",IFERROR(VLOOKUP(CONCATENATE(CE$3,"-",$C41),'FO-GC-012'!$D$20:$H$109,4,0),""))</f>
        <v/>
      </c>
      <c r="CH41" s="68" t="str">
        <f>IF($C41="","",IFERROR(VLOOKUP(CONCATENATE(CE$3,"-",$C41),'FO-GC-012'!$D$20:$H$109,5,0),""))</f>
        <v/>
      </c>
    </row>
    <row r="42" spans="1:86" ht="33.75" customHeight="1" x14ac:dyDescent="0.35">
      <c r="B42" s="83">
        <f>IF(C42="","",COUNTA(C$4:C42))</f>
        <v>39</v>
      </c>
      <c r="C42" s="82">
        <f>'Eq. Auditor'!B42</f>
        <v>0</v>
      </c>
      <c r="D42" s="83">
        <f>IF(C42="","",COUNTIF('FO-GC-012'!A:A,CONCATENATE("P-",C42)))</f>
        <v>0</v>
      </c>
      <c r="E42" s="83">
        <f>IF(C42="","",COUNTIF('FO-GC-012'!A:A,CONCATENATE("A-",C42)))</f>
        <v>0</v>
      </c>
      <c r="F42" s="83">
        <f t="shared" ref="F42" si="5">IF(C42="","",SUM(D42:E42))</f>
        <v>0</v>
      </c>
      <c r="G42" s="69" t="str">
        <f>IF($C42="","",IFERROR(VLOOKUP(CONCATENATE(G$3,"-",$C42),'FO-GC-012'!$D$20:$H$109,2,0),""))</f>
        <v/>
      </c>
      <c r="H42" s="70" t="str">
        <f>IF($C42="","",IFERROR(VLOOKUP(CONCATENATE(G$3,"-",$C42),'FO-GC-012'!$D$20:$H$109,3,0),""))</f>
        <v/>
      </c>
      <c r="I42" s="71" t="str">
        <f>IF($C42="","",IFERROR(VLOOKUP(CONCATENATE(G$3,"-",$C42),'FO-GC-012'!$D$20:$H$109,4,0),""))</f>
        <v/>
      </c>
      <c r="J42" s="72" t="str">
        <f>IF($C42="","",IFERROR(VLOOKUP(CONCATENATE(G$3,"-",$C42),'FO-GC-012'!$D$20:$H$109,5,0),""))</f>
        <v/>
      </c>
      <c r="K42" s="69" t="str">
        <f>IF($C42="","",IFERROR(VLOOKUP(CONCATENATE(K$3,"-",$C42),'FO-GC-012'!$D$20:$H$109,2,0),""))</f>
        <v/>
      </c>
      <c r="L42" s="70" t="str">
        <f>IF($C42="","",IFERROR(VLOOKUP(CONCATENATE(K$3,"-",$C42),'FO-GC-012'!$D$20:$H$109,3,0),""))</f>
        <v/>
      </c>
      <c r="M42" s="71" t="str">
        <f>IF($C42="","",IFERROR(VLOOKUP(CONCATENATE(K$3,"-",$C42),'FO-GC-012'!$D$20:$H$109,4,0),""))</f>
        <v/>
      </c>
      <c r="N42" s="72" t="str">
        <f>IF($C42="","",IFERROR(VLOOKUP(CONCATENATE(K$3,"-",$C42),'FO-GC-012'!$D$20:$H$109,5,0),""))</f>
        <v/>
      </c>
      <c r="O42" s="69" t="str">
        <f>IF($C42="","",IFERROR(VLOOKUP(CONCATENATE(O$3,"-",$C42),'FO-GC-012'!$D$20:$H$109,2,0),""))</f>
        <v/>
      </c>
      <c r="P42" s="70" t="str">
        <f>IF($C42="","",IFERROR(VLOOKUP(CONCATENATE(O$3,"-",$C42),'FO-GC-012'!$D$20:$H$109,3,0),""))</f>
        <v/>
      </c>
      <c r="Q42" s="71" t="str">
        <f>IF($C42="","",IFERROR(VLOOKUP(CONCATENATE(O$3,"-",$C42),'FO-GC-012'!$D$20:$H$109,4,0),""))</f>
        <v/>
      </c>
      <c r="R42" s="72" t="str">
        <f>IF($C42="","",IFERROR(VLOOKUP(CONCATENATE(O$3,"-",$C42),'FO-GC-012'!$D$20:$H$109,5,0),""))</f>
        <v/>
      </c>
      <c r="S42" s="69" t="str">
        <f>IF($C42="","",IFERROR(VLOOKUP(CONCATENATE(S$3,"-",$C42),'FO-GC-012'!$D$20:$H$109,2,0),""))</f>
        <v/>
      </c>
      <c r="T42" s="70" t="str">
        <f>IF($C42="","",IFERROR(VLOOKUP(CONCATENATE(S$3,"-",$C42),'FO-GC-012'!$D$20:$H$109,3,0),""))</f>
        <v/>
      </c>
      <c r="U42" s="71" t="str">
        <f>IF($C42="","",IFERROR(VLOOKUP(CONCATENATE(S$3,"-",$C42),'FO-GC-012'!$D$20:$H$109,4,0),""))</f>
        <v/>
      </c>
      <c r="V42" s="72" t="str">
        <f>IF($C42="","",IFERROR(VLOOKUP(CONCATENATE(S$3,"-",$C42),'FO-GC-012'!$D$20:$H$109,5,0),""))</f>
        <v/>
      </c>
      <c r="W42" s="69" t="str">
        <f>IF($C42="","",IFERROR(VLOOKUP(CONCATENATE(W$3,"-",$C42),'FO-GC-012'!$D$20:$H$109,2,0),""))</f>
        <v/>
      </c>
      <c r="X42" s="70" t="str">
        <f>IF($C42="","",IFERROR(VLOOKUP(CONCATENATE(W$3,"-",$C42),'FO-GC-012'!$D$20:$H$109,3,0),""))</f>
        <v/>
      </c>
      <c r="Y42" s="71" t="str">
        <f>IF($C42="","",IFERROR(VLOOKUP(CONCATENATE(W$3,"-",$C42),'FO-GC-012'!$D$20:$H$109,4,0),""))</f>
        <v/>
      </c>
      <c r="Z42" s="72" t="str">
        <f>IF($C42="","",IFERROR(VLOOKUP(CONCATENATE(W$3,"-",$C42),'FO-GC-012'!$D$20:$H$109,5,0),""))</f>
        <v/>
      </c>
      <c r="AA42" s="69" t="str">
        <f>IF($C42="","",IFERROR(VLOOKUP(CONCATENATE(AA$3,"-",$C42),'FO-GC-012'!$D$20:$H$109,2,0),""))</f>
        <v/>
      </c>
      <c r="AB42" s="70" t="str">
        <f>IF($C42="","",IFERROR(VLOOKUP(CONCATENATE(AA$3,"-",$C42),'FO-GC-012'!$D$20:$H$109,3,0),""))</f>
        <v/>
      </c>
      <c r="AC42" s="71" t="str">
        <f>IF($C42="","",IFERROR(VLOOKUP(CONCATENATE(AA$3,"-",$C42),'FO-GC-012'!$D$20:$H$109,4,0),""))</f>
        <v/>
      </c>
      <c r="AD42" s="72" t="str">
        <f>IF($C42="","",IFERROR(VLOOKUP(CONCATENATE(AA$3,"-",$C42),'FO-GC-012'!$D$20:$H$109,5,0),""))</f>
        <v/>
      </c>
      <c r="AE42" s="69" t="str">
        <f>IF($C42="","",IFERROR(VLOOKUP(CONCATENATE(AE$3,"-",$C42),'FO-GC-012'!$D$20:$H$109,2,0),""))</f>
        <v/>
      </c>
      <c r="AF42" s="70" t="str">
        <f>IF($C42="","",IFERROR(VLOOKUP(CONCATENATE(AE$3,"-",$C42),'FO-GC-012'!$D$20:$H$109,3,0),""))</f>
        <v/>
      </c>
      <c r="AG42" s="71" t="str">
        <f>IF($C42="","",IFERROR(VLOOKUP(CONCATENATE(AE$3,"-",$C42),'FO-GC-012'!$D$20:$H$109,4,0),""))</f>
        <v/>
      </c>
      <c r="AH42" s="72" t="str">
        <f>IF($C42="","",IFERROR(VLOOKUP(CONCATENATE(AE$3,"-",$C42),'FO-GC-012'!$D$20:$H$109,5,0),""))</f>
        <v/>
      </c>
      <c r="AI42" s="69" t="str">
        <f>IF($C42="","",IFERROR(VLOOKUP(CONCATENATE(AI$3,"-",$C42),'FO-GC-012'!$D$20:$H$109,2,0),""))</f>
        <v/>
      </c>
      <c r="AJ42" s="70" t="str">
        <f>IF($C42="","",IFERROR(VLOOKUP(CONCATENATE(AI$3,"-",$C42),'FO-GC-012'!$D$20:$H$109,3,0),""))</f>
        <v/>
      </c>
      <c r="AK42" s="71" t="str">
        <f>IF($C42="","",IFERROR(VLOOKUP(CONCATENATE(AI$3,"-",$C42),'FO-GC-012'!$D$20:$H$109,4,0),""))</f>
        <v/>
      </c>
      <c r="AL42" s="72" t="str">
        <f>IF($C42="","",IFERROR(VLOOKUP(CONCATENATE(AI$3,"-",$C42),'FO-GC-012'!$D$20:$H$109,5,0),""))</f>
        <v/>
      </c>
      <c r="AM42" s="69" t="str">
        <f>IF($C42="","",IFERROR(VLOOKUP(CONCATENATE(AM$3,"-",$C42),'FO-GC-012'!$D$20:$H$109,2,0),""))</f>
        <v/>
      </c>
      <c r="AN42" s="70" t="str">
        <f>IF($C42="","",IFERROR(VLOOKUP(CONCATENATE(AM$3,"-",$C42),'FO-GC-012'!$D$20:$H$109,3,0),""))</f>
        <v/>
      </c>
      <c r="AO42" s="71" t="str">
        <f>IF($C42="","",IFERROR(VLOOKUP(CONCATENATE(AM$3,"-",$C42),'FO-GC-012'!$D$20:$H$109,4,0),""))</f>
        <v/>
      </c>
      <c r="AP42" s="72" t="str">
        <f>IF($C42="","",IFERROR(VLOOKUP(CONCATENATE(AM$3,"-",$C42),'FO-GC-012'!$D$20:$H$109,5,0),""))</f>
        <v/>
      </c>
      <c r="AQ42" s="69" t="str">
        <f>IF($C42="","",IFERROR(VLOOKUP(CONCATENATE(AQ$3,"-",$C42),'FO-GC-012'!$D$20:$H$109,2,0),""))</f>
        <v/>
      </c>
      <c r="AR42" s="70" t="str">
        <f>IF($C42="","",IFERROR(VLOOKUP(CONCATENATE(AQ$3,"-",$C42),'FO-GC-012'!$D$20:$H$109,3,0),""))</f>
        <v/>
      </c>
      <c r="AS42" s="71" t="str">
        <f>IF($C42="","",IFERROR(VLOOKUP(CONCATENATE(AQ$3,"-",$C42),'FO-GC-012'!$D$20:$H$109,4,0),""))</f>
        <v/>
      </c>
      <c r="AT42" s="72" t="str">
        <f>IF($C42="","",IFERROR(VLOOKUP(CONCATENATE(AQ$3,"-",$C42),'FO-GC-012'!$D$20:$H$109,5,0),""))</f>
        <v/>
      </c>
      <c r="AU42" s="69" t="str">
        <f>IF($C42="","",IFERROR(VLOOKUP(CONCATENATE(AU$3,"-",$C42),'FO-GC-012'!$D$20:$H$109,2,0),""))</f>
        <v/>
      </c>
      <c r="AV42" s="70" t="str">
        <f>IF($C42="","",IFERROR(VLOOKUP(CONCATENATE(AU$3,"-",$C42),'FO-GC-012'!$D$20:$H$109,3,0),""))</f>
        <v/>
      </c>
      <c r="AW42" s="71" t="str">
        <f>IF($C42="","",IFERROR(VLOOKUP(CONCATENATE(AU$3,"-",$C42),'FO-GC-012'!$D$20:$H$109,4,0),""))</f>
        <v/>
      </c>
      <c r="AX42" s="72" t="str">
        <f>IF($C42="","",IFERROR(VLOOKUP(CONCATENATE(AU$3,"-",$C42),'FO-GC-012'!$D$20:$H$109,5,0),""))</f>
        <v/>
      </c>
      <c r="AY42" s="69" t="str">
        <f>IF($C42="","",IFERROR(VLOOKUP(CONCATENATE(AY$3,"-",$C42),'FO-GC-012'!$D$20:$H$109,2,0),""))</f>
        <v/>
      </c>
      <c r="AZ42" s="70" t="str">
        <f>IF($C42="","",IFERROR(VLOOKUP(CONCATENATE(AY$3,"-",$C42),'FO-GC-012'!$D$20:$H$109,3,0),""))</f>
        <v/>
      </c>
      <c r="BA42" s="71" t="str">
        <f>IF($C42="","",IFERROR(VLOOKUP(CONCATENATE(AY$3,"-",$C42),'FO-GC-012'!$D$20:$H$109,4,0),""))</f>
        <v/>
      </c>
      <c r="BB42" s="72" t="str">
        <f>IF($C42="","",IFERROR(VLOOKUP(CONCATENATE(AY$3,"-",$C42),'FO-GC-012'!$D$20:$H$109,5,0),""))</f>
        <v/>
      </c>
      <c r="BC42" s="69" t="str">
        <f>IF($C42="","",IFERROR(VLOOKUP(CONCATENATE(BC$3,"-",$C42),'FO-GC-012'!$D$20:$H$109,2,0),""))</f>
        <v/>
      </c>
      <c r="BD42" s="70" t="str">
        <f>IF($C42="","",IFERROR(VLOOKUP(CONCATENATE(BC$3,"-",$C42),'FO-GC-012'!$D$20:$H$109,3,0),""))</f>
        <v/>
      </c>
      <c r="BE42" s="71" t="str">
        <f>IF($C42="","",IFERROR(VLOOKUP(CONCATENATE(BC$3,"-",$C42),'FO-GC-012'!$D$20:$H$109,4,0),""))</f>
        <v/>
      </c>
      <c r="BF42" s="72" t="str">
        <f>IF($C42="","",IFERROR(VLOOKUP(CONCATENATE(BC$3,"-",$C42),'FO-GC-012'!$D$20:$H$109,5,0),""))</f>
        <v/>
      </c>
      <c r="BG42" s="69" t="str">
        <f>IF($C42="","",IFERROR(VLOOKUP(CONCATENATE(BG$3,"-",$C42),'FO-GC-012'!$D$20:$H$109,2,0),""))</f>
        <v/>
      </c>
      <c r="BH42" s="70" t="str">
        <f>IF($C42="","",IFERROR(VLOOKUP(CONCATENATE(BG$3,"-",$C42),'FO-GC-012'!$D$20:$H$109,3,0),""))</f>
        <v/>
      </c>
      <c r="BI42" s="71" t="str">
        <f>IF($C42="","",IFERROR(VLOOKUP(CONCATENATE(BG$3,"-",$C42),'FO-GC-012'!$D$20:$H$109,4,0),""))</f>
        <v/>
      </c>
      <c r="BJ42" s="72" t="str">
        <f>IF($C42="","",IFERROR(VLOOKUP(CONCATENATE(BG$3,"-",$C42),'FO-GC-012'!$D$20:$H$109,5,0),""))</f>
        <v/>
      </c>
      <c r="BK42" s="69" t="str">
        <f>IF($C42="","",IFERROR(VLOOKUP(CONCATENATE(BK$3,"-",$C42),'FO-GC-012'!$D$20:$H$109,2,0),""))</f>
        <v/>
      </c>
      <c r="BL42" s="70" t="str">
        <f>IF($C42="","",IFERROR(VLOOKUP(CONCATENATE(BK$3,"-",$C42),'FO-GC-012'!$D$20:$H$109,3,0),""))</f>
        <v/>
      </c>
      <c r="BM42" s="71" t="str">
        <f>IF($C42="","",IFERROR(VLOOKUP(CONCATENATE(BK$3,"-",$C42),'FO-GC-012'!$D$20:$H$109,4,0),""))</f>
        <v/>
      </c>
      <c r="BN42" s="72" t="str">
        <f>IF($C42="","",IFERROR(VLOOKUP(CONCATENATE(BK$3,"-",$C42),'FO-GC-012'!$D$20:$H$109,5,0),""))</f>
        <v/>
      </c>
      <c r="BO42" s="69" t="str">
        <f>IF($C42="","",IFERROR(VLOOKUP(CONCATENATE(BO$3,"-",$C42),'FO-GC-012'!$D$20:$H$109,2,0),""))</f>
        <v/>
      </c>
      <c r="BP42" s="70" t="str">
        <f>IF($C42="","",IFERROR(VLOOKUP(CONCATENATE(BO$3,"-",$C42),'FO-GC-012'!$D$20:$H$109,3,0),""))</f>
        <v/>
      </c>
      <c r="BQ42" s="71" t="str">
        <f>IF($C42="","",IFERROR(VLOOKUP(CONCATENATE(BO$3,"-",$C42),'FO-GC-012'!$D$20:$H$109,4,0),""))</f>
        <v/>
      </c>
      <c r="BR42" s="72" t="str">
        <f>IF($C42="","",IFERROR(VLOOKUP(CONCATENATE(BO$3,"-",$C42),'FO-GC-012'!$D$20:$H$109,5,0),""))</f>
        <v/>
      </c>
      <c r="BS42" s="69" t="str">
        <f>IF($C42="","",IFERROR(VLOOKUP(CONCATENATE(BS$3,"-",$C42),'FO-GC-012'!$D$20:$H$109,2,0),""))</f>
        <v/>
      </c>
      <c r="BT42" s="70" t="str">
        <f>IF($C42="","",IFERROR(VLOOKUP(CONCATENATE(BS$3,"-",$C42),'FO-GC-012'!$D$20:$H$109,3,0),""))</f>
        <v/>
      </c>
      <c r="BU42" s="71" t="str">
        <f>IF($C42="","",IFERROR(VLOOKUP(CONCATENATE(BS$3,"-",$C42),'FO-GC-012'!$D$20:$H$109,4,0),""))</f>
        <v/>
      </c>
      <c r="BV42" s="72" t="str">
        <f>IF($C42="","",IFERROR(VLOOKUP(CONCATENATE(BS$3,"-",$C42),'FO-GC-012'!$D$20:$H$109,5,0),""))</f>
        <v/>
      </c>
      <c r="BW42" s="69" t="str">
        <f>IF($C42="","",IFERROR(VLOOKUP(CONCATENATE(BW$3,"-",$C42),'FO-GC-012'!$D$20:$H$109,2,0),""))</f>
        <v/>
      </c>
      <c r="BX42" s="70" t="str">
        <f>IF($C42="","",IFERROR(VLOOKUP(CONCATENATE(BW$3,"-",$C42),'FO-GC-012'!$D$20:$H$109,3,0),""))</f>
        <v/>
      </c>
      <c r="BY42" s="71" t="str">
        <f>IF($C42="","",IFERROR(VLOOKUP(CONCATENATE(BW$3,"-",$C42),'FO-GC-012'!$D$20:$H$109,4,0),""))</f>
        <v/>
      </c>
      <c r="BZ42" s="72" t="str">
        <f>IF($C42="","",IFERROR(VLOOKUP(CONCATENATE(BW$3,"-",$C42),'FO-GC-012'!$D$20:$H$109,5,0),""))</f>
        <v/>
      </c>
      <c r="CA42" s="69" t="str">
        <f>IF($C42="","",IFERROR(VLOOKUP(CONCATENATE(CA$3,"-",$C42),'FO-GC-012'!$D$20:$H$109,2,0),""))</f>
        <v/>
      </c>
      <c r="CB42" s="70" t="str">
        <f>IF($C42="","",IFERROR(VLOOKUP(CONCATENATE(CA$3,"-",$C42),'FO-GC-012'!$D$20:$H$109,3,0),""))</f>
        <v/>
      </c>
      <c r="CC42" s="71" t="str">
        <f>IF($C42="","",IFERROR(VLOOKUP(CONCATENATE(CA$3,"-",$C42),'FO-GC-012'!$D$20:$H$109,4,0),""))</f>
        <v/>
      </c>
      <c r="CD42" s="72" t="str">
        <f>IF($C42="","",IFERROR(VLOOKUP(CONCATENATE(CA$3,"-",$C42),'FO-GC-012'!$D$20:$H$109,5,0),""))</f>
        <v/>
      </c>
      <c r="CE42" s="69" t="str">
        <f>IF($C42="","",IFERROR(VLOOKUP(CONCATENATE(CE$3,"-",$C42),'FO-GC-012'!$D$20:$H$109,2,0),""))</f>
        <v/>
      </c>
      <c r="CF42" s="70" t="str">
        <f>IF($C42="","",IFERROR(VLOOKUP(CONCATENATE(CE$3,"-",$C42),'FO-GC-012'!$D$20:$H$109,3,0),""))</f>
        <v/>
      </c>
      <c r="CG42" s="71" t="str">
        <f>IF($C42="","",IFERROR(VLOOKUP(CONCATENATE(CE$3,"-",$C42),'FO-GC-012'!$D$20:$H$109,4,0),""))</f>
        <v/>
      </c>
      <c r="CH42" s="72" t="str">
        <f>IF($C42="","",IFERROR(VLOOKUP(CONCATENATE(CE$3,"-",$C42),'FO-GC-012'!$D$20:$H$109,5,0),""))</f>
        <v/>
      </c>
    </row>
    <row r="43" spans="1:86" ht="33.75" customHeight="1" x14ac:dyDescent="0.35">
      <c r="B43" s="83">
        <f>IF(C43="","",COUNTA(C$4:C43))</f>
        <v>40</v>
      </c>
      <c r="C43" s="82">
        <f>'Eq. Auditor'!B43</f>
        <v>0</v>
      </c>
      <c r="D43" s="83">
        <f>IF(C43="","",COUNTIF('FO-GC-012'!A:A,CONCATENATE("P-",C43)))</f>
        <v>0</v>
      </c>
      <c r="E43" s="83">
        <f>IF(C43="","",COUNTIF('FO-GC-012'!A:A,CONCATENATE("A-",C43)))</f>
        <v>0</v>
      </c>
      <c r="F43" s="83">
        <f t="shared" si="3"/>
        <v>0</v>
      </c>
      <c r="G43" s="65" t="str">
        <f>IF($C43="","",IFERROR(VLOOKUP(CONCATENATE(G$3,"-",$C43),'FO-GC-012'!$D$20:$H$109,2,0),""))</f>
        <v/>
      </c>
      <c r="H43" s="66" t="str">
        <f>IF($C43="","",IFERROR(VLOOKUP(CONCATENATE(G$3,"-",$C43),'FO-GC-012'!$D$20:$H$109,3,0),""))</f>
        <v/>
      </c>
      <c r="I43" s="67" t="str">
        <f>IF($C43="","",IFERROR(VLOOKUP(CONCATENATE(G$3,"-",$C43),'FO-GC-012'!$D$20:$H$109,4,0),""))</f>
        <v/>
      </c>
      <c r="J43" s="68" t="str">
        <f>IF($C43="","",IFERROR(VLOOKUP(CONCATENATE(G$3,"-",$C43),'FO-GC-012'!$D$20:$H$109,5,0),""))</f>
        <v/>
      </c>
      <c r="K43" s="65" t="str">
        <f>IF($C43="","",IFERROR(VLOOKUP(CONCATENATE(K$3,"-",$C43),'FO-GC-012'!$D$20:$H$109,2,0),""))</f>
        <v/>
      </c>
      <c r="L43" s="66" t="str">
        <f>IF($C43="","",IFERROR(VLOOKUP(CONCATENATE(K$3,"-",$C43),'FO-GC-012'!$D$20:$H$109,3,0),""))</f>
        <v/>
      </c>
      <c r="M43" s="67" t="str">
        <f>IF($C43="","",IFERROR(VLOOKUP(CONCATENATE(K$3,"-",$C43),'FO-GC-012'!$D$20:$H$109,4,0),""))</f>
        <v/>
      </c>
      <c r="N43" s="68" t="str">
        <f>IF($C43="","",IFERROR(VLOOKUP(CONCATENATE(K$3,"-",$C43),'FO-GC-012'!$D$20:$H$109,5,0),""))</f>
        <v/>
      </c>
      <c r="O43" s="65" t="str">
        <f>IF($C43="","",IFERROR(VLOOKUP(CONCATENATE(O$3,"-",$C43),'FO-GC-012'!$D$20:$H$109,2,0),""))</f>
        <v/>
      </c>
      <c r="P43" s="66" t="str">
        <f>IF($C43="","",IFERROR(VLOOKUP(CONCATENATE(O$3,"-",$C43),'FO-GC-012'!$D$20:$H$109,3,0),""))</f>
        <v/>
      </c>
      <c r="Q43" s="67" t="str">
        <f>IF($C43="","",IFERROR(VLOOKUP(CONCATENATE(O$3,"-",$C43),'FO-GC-012'!$D$20:$H$109,4,0),""))</f>
        <v/>
      </c>
      <c r="R43" s="68" t="str">
        <f>IF($C43="","",IFERROR(VLOOKUP(CONCATENATE(O$3,"-",$C43),'FO-GC-012'!$D$20:$H$109,5,0),""))</f>
        <v/>
      </c>
      <c r="S43" s="65" t="str">
        <f>IF($C43="","",IFERROR(VLOOKUP(CONCATENATE(S$3,"-",$C43),'FO-GC-012'!$D$20:$H$109,2,0),""))</f>
        <v/>
      </c>
      <c r="T43" s="66" t="str">
        <f>IF($C43="","",IFERROR(VLOOKUP(CONCATENATE(S$3,"-",$C43),'FO-GC-012'!$D$20:$H$109,3,0),""))</f>
        <v/>
      </c>
      <c r="U43" s="67" t="str">
        <f>IF($C43="","",IFERROR(VLOOKUP(CONCATENATE(S$3,"-",$C43),'FO-GC-012'!$D$20:$H$109,4,0),""))</f>
        <v/>
      </c>
      <c r="V43" s="68" t="str">
        <f>IF($C43="","",IFERROR(VLOOKUP(CONCATENATE(S$3,"-",$C43),'FO-GC-012'!$D$20:$H$109,5,0),""))</f>
        <v/>
      </c>
      <c r="W43" s="65" t="str">
        <f>IF($C43="","",IFERROR(VLOOKUP(CONCATENATE(W$3,"-",$C43),'FO-GC-012'!$D$20:$H$109,2,0),""))</f>
        <v/>
      </c>
      <c r="X43" s="66" t="str">
        <f>IF($C43="","",IFERROR(VLOOKUP(CONCATENATE(W$3,"-",$C43),'FO-GC-012'!$D$20:$H$109,3,0),""))</f>
        <v/>
      </c>
      <c r="Y43" s="67" t="str">
        <f>IF($C43="","",IFERROR(VLOOKUP(CONCATENATE(W$3,"-",$C43),'FO-GC-012'!$D$20:$H$109,4,0),""))</f>
        <v/>
      </c>
      <c r="Z43" s="68" t="str">
        <f>IF($C43="","",IFERROR(VLOOKUP(CONCATENATE(W$3,"-",$C43),'FO-GC-012'!$D$20:$H$109,5,0),""))</f>
        <v/>
      </c>
      <c r="AA43" s="65" t="str">
        <f>IF($C43="","",IFERROR(VLOOKUP(CONCATENATE(AA$3,"-",$C43),'FO-GC-012'!$D$20:$H$109,2,0),""))</f>
        <v/>
      </c>
      <c r="AB43" s="66" t="str">
        <f>IF($C43="","",IFERROR(VLOOKUP(CONCATENATE(AA$3,"-",$C43),'FO-GC-012'!$D$20:$H$109,3,0),""))</f>
        <v/>
      </c>
      <c r="AC43" s="67" t="str">
        <f>IF($C43="","",IFERROR(VLOOKUP(CONCATENATE(AA$3,"-",$C43),'FO-GC-012'!$D$20:$H$109,4,0),""))</f>
        <v/>
      </c>
      <c r="AD43" s="68" t="str">
        <f>IF($C43="","",IFERROR(VLOOKUP(CONCATENATE(AA$3,"-",$C43),'FO-GC-012'!$D$20:$H$109,5,0),""))</f>
        <v/>
      </c>
      <c r="AE43" s="65" t="str">
        <f>IF($C43="","",IFERROR(VLOOKUP(CONCATENATE(AE$3,"-",$C43),'FO-GC-012'!$D$20:$H$109,2,0),""))</f>
        <v/>
      </c>
      <c r="AF43" s="66" t="str">
        <f>IF($C43="","",IFERROR(VLOOKUP(CONCATENATE(AE$3,"-",$C43),'FO-GC-012'!$D$20:$H$109,3,0),""))</f>
        <v/>
      </c>
      <c r="AG43" s="67" t="str">
        <f>IF($C43="","",IFERROR(VLOOKUP(CONCATENATE(AE$3,"-",$C43),'FO-GC-012'!$D$20:$H$109,4,0),""))</f>
        <v/>
      </c>
      <c r="AH43" s="68" t="str">
        <f>IF($C43="","",IFERROR(VLOOKUP(CONCATENATE(AE$3,"-",$C43),'FO-GC-012'!$D$20:$H$109,5,0),""))</f>
        <v/>
      </c>
      <c r="AI43" s="65" t="str">
        <f>IF($C43="","",IFERROR(VLOOKUP(CONCATENATE(AI$3,"-",$C43),'FO-GC-012'!$D$20:$H$109,2,0),""))</f>
        <v/>
      </c>
      <c r="AJ43" s="66" t="str">
        <f>IF($C43="","",IFERROR(VLOOKUP(CONCATENATE(AI$3,"-",$C43),'FO-GC-012'!$D$20:$H$109,3,0),""))</f>
        <v/>
      </c>
      <c r="AK43" s="67" t="str">
        <f>IF($C43="","",IFERROR(VLOOKUP(CONCATENATE(AI$3,"-",$C43),'FO-GC-012'!$D$20:$H$109,4,0),""))</f>
        <v/>
      </c>
      <c r="AL43" s="68" t="str">
        <f>IF($C43="","",IFERROR(VLOOKUP(CONCATENATE(AI$3,"-",$C43),'FO-GC-012'!$D$20:$H$109,5,0),""))</f>
        <v/>
      </c>
      <c r="AM43" s="65" t="str">
        <f>IF($C43="","",IFERROR(VLOOKUP(CONCATENATE(AM$3,"-",$C43),'FO-GC-012'!$D$20:$H$109,2,0),""))</f>
        <v/>
      </c>
      <c r="AN43" s="66" t="str">
        <f>IF($C43="","",IFERROR(VLOOKUP(CONCATENATE(AM$3,"-",$C43),'FO-GC-012'!$D$20:$H$109,3,0),""))</f>
        <v/>
      </c>
      <c r="AO43" s="67" t="str">
        <f>IF($C43="","",IFERROR(VLOOKUP(CONCATENATE(AM$3,"-",$C43),'FO-GC-012'!$D$20:$H$109,4,0),""))</f>
        <v/>
      </c>
      <c r="AP43" s="68" t="str">
        <f>IF($C43="","",IFERROR(VLOOKUP(CONCATENATE(AM$3,"-",$C43),'FO-GC-012'!$D$20:$H$109,5,0),""))</f>
        <v/>
      </c>
      <c r="AQ43" s="65" t="str">
        <f>IF($C43="","",IFERROR(VLOOKUP(CONCATENATE(AQ$3,"-",$C43),'FO-GC-012'!$D$20:$H$109,2,0),""))</f>
        <v/>
      </c>
      <c r="AR43" s="66" t="str">
        <f>IF($C43="","",IFERROR(VLOOKUP(CONCATENATE(AQ$3,"-",$C43),'FO-GC-012'!$D$20:$H$109,3,0),""))</f>
        <v/>
      </c>
      <c r="AS43" s="67" t="str">
        <f>IF($C43="","",IFERROR(VLOOKUP(CONCATENATE(AQ$3,"-",$C43),'FO-GC-012'!$D$20:$H$109,4,0),""))</f>
        <v/>
      </c>
      <c r="AT43" s="68" t="str">
        <f>IF($C43="","",IFERROR(VLOOKUP(CONCATENATE(AQ$3,"-",$C43),'FO-GC-012'!$D$20:$H$109,5,0),""))</f>
        <v/>
      </c>
      <c r="AU43" s="65" t="str">
        <f>IF($C43="","",IFERROR(VLOOKUP(CONCATENATE(AU$3,"-",$C43),'FO-GC-012'!$D$20:$H$109,2,0),""))</f>
        <v/>
      </c>
      <c r="AV43" s="66" t="str">
        <f>IF($C43="","",IFERROR(VLOOKUP(CONCATENATE(AU$3,"-",$C43),'FO-GC-012'!$D$20:$H$109,3,0),""))</f>
        <v/>
      </c>
      <c r="AW43" s="67" t="str">
        <f>IF($C43="","",IFERROR(VLOOKUP(CONCATENATE(AU$3,"-",$C43),'FO-GC-012'!$D$20:$H$109,4,0),""))</f>
        <v/>
      </c>
      <c r="AX43" s="68" t="str">
        <f>IF($C43="","",IFERROR(VLOOKUP(CONCATENATE(AU$3,"-",$C43),'FO-GC-012'!$D$20:$H$109,5,0),""))</f>
        <v/>
      </c>
      <c r="AY43" s="65" t="str">
        <f>IF($C43="","",IFERROR(VLOOKUP(CONCATENATE(AY$3,"-",$C43),'FO-GC-012'!$D$20:$H$109,2,0),""))</f>
        <v/>
      </c>
      <c r="AZ43" s="66" t="str">
        <f>IF($C43="","",IFERROR(VLOOKUP(CONCATENATE(AY$3,"-",$C43),'FO-GC-012'!$D$20:$H$109,3,0),""))</f>
        <v/>
      </c>
      <c r="BA43" s="67" t="str">
        <f>IF($C43="","",IFERROR(VLOOKUP(CONCATENATE(AY$3,"-",$C43),'FO-GC-012'!$D$20:$H$109,4,0),""))</f>
        <v/>
      </c>
      <c r="BB43" s="68" t="str">
        <f>IF($C43="","",IFERROR(VLOOKUP(CONCATENATE(AY$3,"-",$C43),'FO-GC-012'!$D$20:$H$109,5,0),""))</f>
        <v/>
      </c>
      <c r="BC43" s="65" t="str">
        <f>IF($C43="","",IFERROR(VLOOKUP(CONCATENATE(BC$3,"-",$C43),'FO-GC-012'!$D$20:$H$109,2,0),""))</f>
        <v/>
      </c>
      <c r="BD43" s="66" t="str">
        <f>IF($C43="","",IFERROR(VLOOKUP(CONCATENATE(BC$3,"-",$C43),'FO-GC-012'!$D$20:$H$109,3,0),""))</f>
        <v/>
      </c>
      <c r="BE43" s="67" t="str">
        <f>IF($C43="","",IFERROR(VLOOKUP(CONCATENATE(BC$3,"-",$C43),'FO-GC-012'!$D$20:$H$109,4,0),""))</f>
        <v/>
      </c>
      <c r="BF43" s="68" t="str">
        <f>IF($C43="","",IFERROR(VLOOKUP(CONCATENATE(BC$3,"-",$C43),'FO-GC-012'!$D$20:$H$109,5,0),""))</f>
        <v/>
      </c>
      <c r="BG43" s="65" t="str">
        <f>IF($C43="","",IFERROR(VLOOKUP(CONCATENATE(BG$3,"-",$C43),'FO-GC-012'!$D$20:$H$109,2,0),""))</f>
        <v/>
      </c>
      <c r="BH43" s="66" t="str">
        <f>IF($C43="","",IFERROR(VLOOKUP(CONCATENATE(BG$3,"-",$C43),'FO-GC-012'!$D$20:$H$109,3,0),""))</f>
        <v/>
      </c>
      <c r="BI43" s="67" t="str">
        <f>IF($C43="","",IFERROR(VLOOKUP(CONCATENATE(BG$3,"-",$C43),'FO-GC-012'!$D$20:$H$109,4,0),""))</f>
        <v/>
      </c>
      <c r="BJ43" s="68" t="str">
        <f>IF($C43="","",IFERROR(VLOOKUP(CONCATENATE(BG$3,"-",$C43),'FO-GC-012'!$D$20:$H$109,5,0),""))</f>
        <v/>
      </c>
      <c r="BK43" s="65" t="str">
        <f>IF($C43="","",IFERROR(VLOOKUP(CONCATENATE(BK$3,"-",$C43),'FO-GC-012'!$D$20:$H$109,2,0),""))</f>
        <v/>
      </c>
      <c r="BL43" s="66" t="str">
        <f>IF($C43="","",IFERROR(VLOOKUP(CONCATENATE(BK$3,"-",$C43),'FO-GC-012'!$D$20:$H$109,3,0),""))</f>
        <v/>
      </c>
      <c r="BM43" s="67" t="str">
        <f>IF($C43="","",IFERROR(VLOOKUP(CONCATENATE(BK$3,"-",$C43),'FO-GC-012'!$D$20:$H$109,4,0),""))</f>
        <v/>
      </c>
      <c r="BN43" s="68" t="str">
        <f>IF($C43="","",IFERROR(VLOOKUP(CONCATENATE(BK$3,"-",$C43),'FO-GC-012'!$D$20:$H$109,5,0),""))</f>
        <v/>
      </c>
      <c r="BO43" s="65" t="str">
        <f>IF($C43="","",IFERROR(VLOOKUP(CONCATENATE(BO$3,"-",$C43),'FO-GC-012'!$D$20:$H$109,2,0),""))</f>
        <v/>
      </c>
      <c r="BP43" s="66" t="str">
        <f>IF($C43="","",IFERROR(VLOOKUP(CONCATENATE(BO$3,"-",$C43),'FO-GC-012'!$D$20:$H$109,3,0),""))</f>
        <v/>
      </c>
      <c r="BQ43" s="67" t="str">
        <f>IF($C43="","",IFERROR(VLOOKUP(CONCATENATE(BO$3,"-",$C43),'FO-GC-012'!$D$20:$H$109,4,0),""))</f>
        <v/>
      </c>
      <c r="BR43" s="68" t="str">
        <f>IF($C43="","",IFERROR(VLOOKUP(CONCATENATE(BO$3,"-",$C43),'FO-GC-012'!$D$20:$H$109,5,0),""))</f>
        <v/>
      </c>
      <c r="BS43" s="65" t="str">
        <f>IF($C43="","",IFERROR(VLOOKUP(CONCATENATE(BS$3,"-",$C43),'FO-GC-012'!$D$20:$H$109,2,0),""))</f>
        <v/>
      </c>
      <c r="BT43" s="66" t="str">
        <f>IF($C43="","",IFERROR(VLOOKUP(CONCATENATE(BS$3,"-",$C43),'FO-GC-012'!$D$20:$H$109,3,0),""))</f>
        <v/>
      </c>
      <c r="BU43" s="67" t="str">
        <f>IF($C43="","",IFERROR(VLOOKUP(CONCATENATE(BS$3,"-",$C43),'FO-GC-012'!$D$20:$H$109,4,0),""))</f>
        <v/>
      </c>
      <c r="BV43" s="68" t="str">
        <f>IF($C43="","",IFERROR(VLOOKUP(CONCATENATE(BS$3,"-",$C43),'FO-GC-012'!$D$20:$H$109,5,0),""))</f>
        <v/>
      </c>
      <c r="BW43" s="65" t="str">
        <f>IF($C43="","",IFERROR(VLOOKUP(CONCATENATE(BW$3,"-",$C43),'FO-GC-012'!$D$20:$H$109,2,0),""))</f>
        <v/>
      </c>
      <c r="BX43" s="66" t="str">
        <f>IF($C43="","",IFERROR(VLOOKUP(CONCATENATE(BW$3,"-",$C43),'FO-GC-012'!$D$20:$H$109,3,0),""))</f>
        <v/>
      </c>
      <c r="BY43" s="67" t="str">
        <f>IF($C43="","",IFERROR(VLOOKUP(CONCATENATE(BW$3,"-",$C43),'FO-GC-012'!$D$20:$H$109,4,0),""))</f>
        <v/>
      </c>
      <c r="BZ43" s="68" t="str">
        <f>IF($C43="","",IFERROR(VLOOKUP(CONCATENATE(BW$3,"-",$C43),'FO-GC-012'!$D$20:$H$109,5,0),""))</f>
        <v/>
      </c>
      <c r="CA43" s="65" t="str">
        <f>IF($C43="","",IFERROR(VLOOKUP(CONCATENATE(CA$3,"-",$C43),'FO-GC-012'!$D$20:$H$109,2,0),""))</f>
        <v/>
      </c>
      <c r="CB43" s="66" t="str">
        <f>IF($C43="","",IFERROR(VLOOKUP(CONCATENATE(CA$3,"-",$C43),'FO-GC-012'!$D$20:$H$109,3,0),""))</f>
        <v/>
      </c>
      <c r="CC43" s="67" t="str">
        <f>IF($C43="","",IFERROR(VLOOKUP(CONCATENATE(CA$3,"-",$C43),'FO-GC-012'!$D$20:$H$109,4,0),""))</f>
        <v/>
      </c>
      <c r="CD43" s="68" t="str">
        <f>IF($C43="","",IFERROR(VLOOKUP(CONCATENATE(CA$3,"-",$C43),'FO-GC-012'!$D$20:$H$109,5,0),""))</f>
        <v/>
      </c>
      <c r="CE43" s="65" t="str">
        <f>IF($C43="","",IFERROR(VLOOKUP(CONCATENATE(CE$3,"-",$C43),'FO-GC-012'!$D$20:$H$109,2,0),""))</f>
        <v/>
      </c>
      <c r="CF43" s="66" t="str">
        <f>IF($C43="","",IFERROR(VLOOKUP(CONCATENATE(CE$3,"-",$C43),'FO-GC-012'!$D$20:$H$109,3,0),""))</f>
        <v/>
      </c>
      <c r="CG43" s="67" t="str">
        <f>IF($C43="","",IFERROR(VLOOKUP(CONCATENATE(CE$3,"-",$C43),'FO-GC-012'!$D$20:$H$109,4,0),""))</f>
        <v/>
      </c>
      <c r="CH43" s="68" t="str">
        <f>IF($C43="","",IFERROR(VLOOKUP(CONCATENATE(CE$3,"-",$C43),'FO-GC-012'!$D$20:$H$109,5,0),""))</f>
        <v/>
      </c>
    </row>
    <row r="44" spans="1:86" ht="33.75" customHeight="1" x14ac:dyDescent="0.35">
      <c r="B44" s="83">
        <f>IF(C44="","",COUNTA(C$4:C44))</f>
        <v>41</v>
      </c>
      <c r="C44" s="82">
        <f>'Eq. Auditor'!B44</f>
        <v>0</v>
      </c>
      <c r="D44" s="83">
        <f>IF(C44="","",COUNTIF('FO-GC-012'!A:A,CONCATENATE("P-",C44)))</f>
        <v>0</v>
      </c>
      <c r="E44" s="83">
        <f>IF(C44="","",COUNTIF('FO-GC-012'!A:A,CONCATENATE("A-",C44)))</f>
        <v>0</v>
      </c>
      <c r="F44" s="83">
        <f t="shared" si="3"/>
        <v>0</v>
      </c>
      <c r="G44" s="69" t="str">
        <f>IF($C44="","",IFERROR(VLOOKUP(CONCATENATE(G$3,"-",$C44),'FO-GC-012'!$D$20:$H$109,2,0),""))</f>
        <v/>
      </c>
      <c r="H44" s="70" t="str">
        <f>IF($C44="","",IFERROR(VLOOKUP(CONCATENATE(G$3,"-",$C44),'FO-GC-012'!$D$20:$H$109,3,0),""))</f>
        <v/>
      </c>
      <c r="I44" s="71" t="str">
        <f>IF($C44="","",IFERROR(VLOOKUP(CONCATENATE(G$3,"-",$C44),'FO-GC-012'!$D$20:$H$109,4,0),""))</f>
        <v/>
      </c>
      <c r="J44" s="72" t="str">
        <f>IF($C44="","",IFERROR(VLOOKUP(CONCATENATE(G$3,"-",$C44),'FO-GC-012'!$D$20:$H$109,5,0),""))</f>
        <v/>
      </c>
      <c r="K44" s="69" t="str">
        <f>IF($C44="","",IFERROR(VLOOKUP(CONCATENATE(K$3,"-",$C44),'FO-GC-012'!$D$20:$H$109,2,0),""))</f>
        <v/>
      </c>
      <c r="L44" s="70" t="str">
        <f>IF($C44="","",IFERROR(VLOOKUP(CONCATENATE(K$3,"-",$C44),'FO-GC-012'!$D$20:$H$109,3,0),""))</f>
        <v/>
      </c>
      <c r="M44" s="71" t="str">
        <f>IF($C44="","",IFERROR(VLOOKUP(CONCATENATE(K$3,"-",$C44),'FO-GC-012'!$D$20:$H$109,4,0),""))</f>
        <v/>
      </c>
      <c r="N44" s="72" t="str">
        <f>IF($C44="","",IFERROR(VLOOKUP(CONCATENATE(K$3,"-",$C44),'FO-GC-012'!$D$20:$H$109,5,0),""))</f>
        <v/>
      </c>
      <c r="O44" s="69" t="str">
        <f>IF($C44="","",IFERROR(VLOOKUP(CONCATENATE(O$3,"-",$C44),'FO-GC-012'!$D$20:$H$109,2,0),""))</f>
        <v/>
      </c>
      <c r="P44" s="70" t="str">
        <f>IF($C44="","",IFERROR(VLOOKUP(CONCATENATE(O$3,"-",$C44),'FO-GC-012'!$D$20:$H$109,3,0),""))</f>
        <v/>
      </c>
      <c r="Q44" s="71" t="str">
        <f>IF($C44="","",IFERROR(VLOOKUP(CONCATENATE(O$3,"-",$C44),'FO-GC-012'!$D$20:$H$109,4,0),""))</f>
        <v/>
      </c>
      <c r="R44" s="72" t="str">
        <f>IF($C44="","",IFERROR(VLOOKUP(CONCATENATE(O$3,"-",$C44),'FO-GC-012'!$D$20:$H$109,5,0),""))</f>
        <v/>
      </c>
      <c r="S44" s="69" t="str">
        <f>IF($C44="","",IFERROR(VLOOKUP(CONCATENATE(S$3,"-",$C44),'FO-GC-012'!$D$20:$H$109,2,0),""))</f>
        <v/>
      </c>
      <c r="T44" s="70" t="str">
        <f>IF($C44="","",IFERROR(VLOOKUP(CONCATENATE(S$3,"-",$C44),'FO-GC-012'!$D$20:$H$109,3,0),""))</f>
        <v/>
      </c>
      <c r="U44" s="71" t="str">
        <f>IF($C44="","",IFERROR(VLOOKUP(CONCATENATE(S$3,"-",$C44),'FO-GC-012'!$D$20:$H$109,4,0),""))</f>
        <v/>
      </c>
      <c r="V44" s="72" t="str">
        <f>IF($C44="","",IFERROR(VLOOKUP(CONCATENATE(S$3,"-",$C44),'FO-GC-012'!$D$20:$H$109,5,0),""))</f>
        <v/>
      </c>
      <c r="W44" s="69" t="str">
        <f>IF($C44="","",IFERROR(VLOOKUP(CONCATENATE(W$3,"-",$C44),'FO-GC-012'!$D$20:$H$109,2,0),""))</f>
        <v/>
      </c>
      <c r="X44" s="70" t="str">
        <f>IF($C44="","",IFERROR(VLOOKUP(CONCATENATE(W$3,"-",$C44),'FO-GC-012'!$D$20:$H$109,3,0),""))</f>
        <v/>
      </c>
      <c r="Y44" s="71" t="str">
        <f>IF($C44="","",IFERROR(VLOOKUP(CONCATENATE(W$3,"-",$C44),'FO-GC-012'!$D$20:$H$109,4,0),""))</f>
        <v/>
      </c>
      <c r="Z44" s="72" t="str">
        <f>IF($C44="","",IFERROR(VLOOKUP(CONCATENATE(W$3,"-",$C44),'FO-GC-012'!$D$20:$H$109,5,0),""))</f>
        <v/>
      </c>
      <c r="AA44" s="69" t="str">
        <f>IF($C44="","",IFERROR(VLOOKUP(CONCATENATE(AA$3,"-",$C44),'FO-GC-012'!$D$20:$H$109,2,0),""))</f>
        <v/>
      </c>
      <c r="AB44" s="70" t="str">
        <f>IF($C44="","",IFERROR(VLOOKUP(CONCATENATE(AA$3,"-",$C44),'FO-GC-012'!$D$20:$H$109,3,0),""))</f>
        <v/>
      </c>
      <c r="AC44" s="71" t="str">
        <f>IF($C44="","",IFERROR(VLOOKUP(CONCATENATE(AA$3,"-",$C44),'FO-GC-012'!$D$20:$H$109,4,0),""))</f>
        <v/>
      </c>
      <c r="AD44" s="72" t="str">
        <f>IF($C44="","",IFERROR(VLOOKUP(CONCATENATE(AA$3,"-",$C44),'FO-GC-012'!$D$20:$H$109,5,0),""))</f>
        <v/>
      </c>
      <c r="AE44" s="69" t="str">
        <f>IF($C44="","",IFERROR(VLOOKUP(CONCATENATE(AE$3,"-",$C44),'FO-GC-012'!$D$20:$H$109,2,0),""))</f>
        <v/>
      </c>
      <c r="AF44" s="70" t="str">
        <f>IF($C44="","",IFERROR(VLOOKUP(CONCATENATE(AE$3,"-",$C44),'FO-GC-012'!$D$20:$H$109,3,0),""))</f>
        <v/>
      </c>
      <c r="AG44" s="71" t="str">
        <f>IF($C44="","",IFERROR(VLOOKUP(CONCATENATE(AE$3,"-",$C44),'FO-GC-012'!$D$20:$H$109,4,0),""))</f>
        <v/>
      </c>
      <c r="AH44" s="72" t="str">
        <f>IF($C44="","",IFERROR(VLOOKUP(CONCATENATE(AE$3,"-",$C44),'FO-GC-012'!$D$20:$H$109,5,0),""))</f>
        <v/>
      </c>
      <c r="AI44" s="69" t="str">
        <f>IF($C44="","",IFERROR(VLOOKUP(CONCATENATE(AI$3,"-",$C44),'FO-GC-012'!$D$20:$H$109,2,0),""))</f>
        <v/>
      </c>
      <c r="AJ44" s="70" t="str">
        <f>IF($C44="","",IFERROR(VLOOKUP(CONCATENATE(AI$3,"-",$C44),'FO-GC-012'!$D$20:$H$109,3,0),""))</f>
        <v/>
      </c>
      <c r="AK44" s="71" t="str">
        <f>IF($C44="","",IFERROR(VLOOKUP(CONCATENATE(AI$3,"-",$C44),'FO-GC-012'!$D$20:$H$109,4,0),""))</f>
        <v/>
      </c>
      <c r="AL44" s="72" t="str">
        <f>IF($C44="","",IFERROR(VLOOKUP(CONCATENATE(AI$3,"-",$C44),'FO-GC-012'!$D$20:$H$109,5,0),""))</f>
        <v/>
      </c>
      <c r="AM44" s="69" t="str">
        <f>IF($C44="","",IFERROR(VLOOKUP(CONCATENATE(AM$3,"-",$C44),'FO-GC-012'!$D$20:$H$109,2,0),""))</f>
        <v/>
      </c>
      <c r="AN44" s="70" t="str">
        <f>IF($C44="","",IFERROR(VLOOKUP(CONCATENATE(AM$3,"-",$C44),'FO-GC-012'!$D$20:$H$109,3,0),""))</f>
        <v/>
      </c>
      <c r="AO44" s="71" t="str">
        <f>IF($C44="","",IFERROR(VLOOKUP(CONCATENATE(AM$3,"-",$C44),'FO-GC-012'!$D$20:$H$109,4,0),""))</f>
        <v/>
      </c>
      <c r="AP44" s="72" t="str">
        <f>IF($C44="","",IFERROR(VLOOKUP(CONCATENATE(AM$3,"-",$C44),'FO-GC-012'!$D$20:$H$109,5,0),""))</f>
        <v/>
      </c>
      <c r="AQ44" s="69" t="str">
        <f>IF($C44="","",IFERROR(VLOOKUP(CONCATENATE(AQ$3,"-",$C44),'FO-GC-012'!$D$20:$H$109,2,0),""))</f>
        <v/>
      </c>
      <c r="AR44" s="70" t="str">
        <f>IF($C44="","",IFERROR(VLOOKUP(CONCATENATE(AQ$3,"-",$C44),'FO-GC-012'!$D$20:$H$109,3,0),""))</f>
        <v/>
      </c>
      <c r="AS44" s="71" t="str">
        <f>IF($C44="","",IFERROR(VLOOKUP(CONCATENATE(AQ$3,"-",$C44),'FO-GC-012'!$D$20:$H$109,4,0),""))</f>
        <v/>
      </c>
      <c r="AT44" s="72" t="str">
        <f>IF($C44="","",IFERROR(VLOOKUP(CONCATENATE(AQ$3,"-",$C44),'FO-GC-012'!$D$20:$H$109,5,0),""))</f>
        <v/>
      </c>
      <c r="AU44" s="69" t="str">
        <f>IF($C44="","",IFERROR(VLOOKUP(CONCATENATE(AU$3,"-",$C44),'FO-GC-012'!$D$20:$H$109,2,0),""))</f>
        <v/>
      </c>
      <c r="AV44" s="70" t="str">
        <f>IF($C44="","",IFERROR(VLOOKUP(CONCATENATE(AU$3,"-",$C44),'FO-GC-012'!$D$20:$H$109,3,0),""))</f>
        <v/>
      </c>
      <c r="AW44" s="71" t="str">
        <f>IF($C44="","",IFERROR(VLOOKUP(CONCATENATE(AU$3,"-",$C44),'FO-GC-012'!$D$20:$H$109,4,0),""))</f>
        <v/>
      </c>
      <c r="AX44" s="72" t="str">
        <f>IF($C44="","",IFERROR(VLOOKUP(CONCATENATE(AU$3,"-",$C44),'FO-GC-012'!$D$20:$H$109,5,0),""))</f>
        <v/>
      </c>
      <c r="AY44" s="69" t="str">
        <f>IF($C44="","",IFERROR(VLOOKUP(CONCATENATE(AY$3,"-",$C44),'FO-GC-012'!$D$20:$H$109,2,0),""))</f>
        <v/>
      </c>
      <c r="AZ44" s="70" t="str">
        <f>IF($C44="","",IFERROR(VLOOKUP(CONCATENATE(AY$3,"-",$C44),'FO-GC-012'!$D$20:$H$109,3,0),""))</f>
        <v/>
      </c>
      <c r="BA44" s="71" t="str">
        <f>IF($C44="","",IFERROR(VLOOKUP(CONCATENATE(AY$3,"-",$C44),'FO-GC-012'!$D$20:$H$109,4,0),""))</f>
        <v/>
      </c>
      <c r="BB44" s="72" t="str">
        <f>IF($C44="","",IFERROR(VLOOKUP(CONCATENATE(AY$3,"-",$C44),'FO-GC-012'!$D$20:$H$109,5,0),""))</f>
        <v/>
      </c>
      <c r="BC44" s="69" t="str">
        <f>IF($C44="","",IFERROR(VLOOKUP(CONCATENATE(BC$3,"-",$C44),'FO-GC-012'!$D$20:$H$109,2,0),""))</f>
        <v/>
      </c>
      <c r="BD44" s="70" t="str">
        <f>IF($C44="","",IFERROR(VLOOKUP(CONCATENATE(BC$3,"-",$C44),'FO-GC-012'!$D$20:$H$109,3,0),""))</f>
        <v/>
      </c>
      <c r="BE44" s="71" t="str">
        <f>IF($C44="","",IFERROR(VLOOKUP(CONCATENATE(BC$3,"-",$C44),'FO-GC-012'!$D$20:$H$109,4,0),""))</f>
        <v/>
      </c>
      <c r="BF44" s="72" t="str">
        <f>IF($C44="","",IFERROR(VLOOKUP(CONCATENATE(BC$3,"-",$C44),'FO-GC-012'!$D$20:$H$109,5,0),""))</f>
        <v/>
      </c>
      <c r="BG44" s="69" t="str">
        <f>IF($C44="","",IFERROR(VLOOKUP(CONCATENATE(BG$3,"-",$C44),'FO-GC-012'!$D$20:$H$109,2,0),""))</f>
        <v/>
      </c>
      <c r="BH44" s="70" t="str">
        <f>IF($C44="","",IFERROR(VLOOKUP(CONCATENATE(BG$3,"-",$C44),'FO-GC-012'!$D$20:$H$109,3,0),""))</f>
        <v/>
      </c>
      <c r="BI44" s="71" t="str">
        <f>IF($C44="","",IFERROR(VLOOKUP(CONCATENATE(BG$3,"-",$C44),'FO-GC-012'!$D$20:$H$109,4,0),""))</f>
        <v/>
      </c>
      <c r="BJ44" s="72" t="str">
        <f>IF($C44="","",IFERROR(VLOOKUP(CONCATENATE(BG$3,"-",$C44),'FO-GC-012'!$D$20:$H$109,5,0),""))</f>
        <v/>
      </c>
      <c r="BK44" s="69" t="str">
        <f>IF($C44="","",IFERROR(VLOOKUP(CONCATENATE(BK$3,"-",$C44),'FO-GC-012'!$D$20:$H$109,2,0),""))</f>
        <v/>
      </c>
      <c r="BL44" s="70" t="str">
        <f>IF($C44="","",IFERROR(VLOOKUP(CONCATENATE(BK$3,"-",$C44),'FO-GC-012'!$D$20:$H$109,3,0),""))</f>
        <v/>
      </c>
      <c r="BM44" s="71" t="str">
        <f>IF($C44="","",IFERROR(VLOOKUP(CONCATENATE(BK$3,"-",$C44),'FO-GC-012'!$D$20:$H$109,4,0),""))</f>
        <v/>
      </c>
      <c r="BN44" s="72" t="str">
        <f>IF($C44="","",IFERROR(VLOOKUP(CONCATENATE(BK$3,"-",$C44),'FO-GC-012'!$D$20:$H$109,5,0),""))</f>
        <v/>
      </c>
      <c r="BO44" s="69" t="str">
        <f>IF($C44="","",IFERROR(VLOOKUP(CONCATENATE(BO$3,"-",$C44),'FO-GC-012'!$D$20:$H$109,2,0),""))</f>
        <v/>
      </c>
      <c r="BP44" s="70" t="str">
        <f>IF($C44="","",IFERROR(VLOOKUP(CONCATENATE(BO$3,"-",$C44),'FO-GC-012'!$D$20:$H$109,3,0),""))</f>
        <v/>
      </c>
      <c r="BQ44" s="71" t="str">
        <f>IF($C44="","",IFERROR(VLOOKUP(CONCATENATE(BO$3,"-",$C44),'FO-GC-012'!$D$20:$H$109,4,0),""))</f>
        <v/>
      </c>
      <c r="BR44" s="72" t="str">
        <f>IF($C44="","",IFERROR(VLOOKUP(CONCATENATE(BO$3,"-",$C44),'FO-GC-012'!$D$20:$H$109,5,0),""))</f>
        <v/>
      </c>
      <c r="BS44" s="69" t="str">
        <f>IF($C44="","",IFERROR(VLOOKUP(CONCATENATE(BS$3,"-",$C44),'FO-GC-012'!$D$20:$H$109,2,0),""))</f>
        <v/>
      </c>
      <c r="BT44" s="70" t="str">
        <f>IF($C44="","",IFERROR(VLOOKUP(CONCATENATE(BS$3,"-",$C44),'FO-GC-012'!$D$20:$H$109,3,0),""))</f>
        <v/>
      </c>
      <c r="BU44" s="71" t="str">
        <f>IF($C44="","",IFERROR(VLOOKUP(CONCATENATE(BS$3,"-",$C44),'FO-GC-012'!$D$20:$H$109,4,0),""))</f>
        <v/>
      </c>
      <c r="BV44" s="72" t="str">
        <f>IF($C44="","",IFERROR(VLOOKUP(CONCATENATE(BS$3,"-",$C44),'FO-GC-012'!$D$20:$H$109,5,0),""))</f>
        <v/>
      </c>
      <c r="BW44" s="69" t="str">
        <f>IF($C44="","",IFERROR(VLOOKUP(CONCATENATE(BW$3,"-",$C44),'FO-GC-012'!$D$20:$H$109,2,0),""))</f>
        <v/>
      </c>
      <c r="BX44" s="70" t="str">
        <f>IF($C44="","",IFERROR(VLOOKUP(CONCATENATE(BW$3,"-",$C44),'FO-GC-012'!$D$20:$H$109,3,0),""))</f>
        <v/>
      </c>
      <c r="BY44" s="71" t="str">
        <f>IF($C44="","",IFERROR(VLOOKUP(CONCATENATE(BW$3,"-",$C44),'FO-GC-012'!$D$20:$H$109,4,0),""))</f>
        <v/>
      </c>
      <c r="BZ44" s="72" t="str">
        <f>IF($C44="","",IFERROR(VLOOKUP(CONCATENATE(BW$3,"-",$C44),'FO-GC-012'!$D$20:$H$109,5,0),""))</f>
        <v/>
      </c>
      <c r="CA44" s="69" t="str">
        <f>IF($C44="","",IFERROR(VLOOKUP(CONCATENATE(CA$3,"-",$C44),'FO-GC-012'!$D$20:$H$109,2,0),""))</f>
        <v/>
      </c>
      <c r="CB44" s="70" t="str">
        <f>IF($C44="","",IFERROR(VLOOKUP(CONCATENATE(CA$3,"-",$C44),'FO-GC-012'!$D$20:$H$109,3,0),""))</f>
        <v/>
      </c>
      <c r="CC44" s="71" t="str">
        <f>IF($C44="","",IFERROR(VLOOKUP(CONCATENATE(CA$3,"-",$C44),'FO-GC-012'!$D$20:$H$109,4,0),""))</f>
        <v/>
      </c>
      <c r="CD44" s="72" t="str">
        <f>IF($C44="","",IFERROR(VLOOKUP(CONCATENATE(CA$3,"-",$C44),'FO-GC-012'!$D$20:$H$109,5,0),""))</f>
        <v/>
      </c>
      <c r="CE44" s="69" t="str">
        <f>IF($C44="","",IFERROR(VLOOKUP(CONCATENATE(CE$3,"-",$C44),'FO-GC-012'!$D$20:$H$109,2,0),""))</f>
        <v/>
      </c>
      <c r="CF44" s="70" t="str">
        <f>IF($C44="","",IFERROR(VLOOKUP(CONCATENATE(CE$3,"-",$C44),'FO-GC-012'!$D$20:$H$109,3,0),""))</f>
        <v/>
      </c>
      <c r="CG44" s="71" t="str">
        <f>IF($C44="","",IFERROR(VLOOKUP(CONCATENATE(CE$3,"-",$C44),'FO-GC-012'!$D$20:$H$109,4,0),""))</f>
        <v/>
      </c>
      <c r="CH44" s="72" t="str">
        <f>IF($C44="","",IFERROR(VLOOKUP(CONCATENATE(CE$3,"-",$C44),'FO-GC-012'!$D$20:$H$109,5,0),""))</f>
        <v/>
      </c>
    </row>
    <row r="45" spans="1:86" ht="33.75" customHeight="1" x14ac:dyDescent="0.35">
      <c r="B45" s="83">
        <f>IF(C45="","",COUNTA(C$4:C45))</f>
        <v>42</v>
      </c>
      <c r="C45" s="82">
        <f>'Eq. Auditor'!B45</f>
        <v>0</v>
      </c>
      <c r="D45" s="83">
        <f>IF(C45="","",COUNTIF('FO-GC-012'!A:A,CONCATENATE("P-",C45)))</f>
        <v>0</v>
      </c>
      <c r="E45" s="83">
        <f>IF(C45="","",COUNTIF('FO-GC-012'!A:A,CONCATENATE("A-",C45)))</f>
        <v>0</v>
      </c>
      <c r="F45" s="83">
        <f t="shared" si="3"/>
        <v>0</v>
      </c>
      <c r="G45" s="65" t="str">
        <f>IF($C45="","",IFERROR(VLOOKUP(CONCATENATE(G$3,"-",$C45),'FO-GC-012'!$D$20:$H$109,2,0),""))</f>
        <v/>
      </c>
      <c r="H45" s="66" t="str">
        <f>IF($C45="","",IFERROR(VLOOKUP(CONCATENATE(G$3,"-",$C45),'FO-GC-012'!$D$20:$H$109,3,0),""))</f>
        <v/>
      </c>
      <c r="I45" s="67" t="str">
        <f>IF($C45="","",IFERROR(VLOOKUP(CONCATENATE(G$3,"-",$C45),'FO-GC-012'!$D$20:$H$109,4,0),""))</f>
        <v/>
      </c>
      <c r="J45" s="68" t="str">
        <f>IF($C45="","",IFERROR(VLOOKUP(CONCATENATE(G$3,"-",$C45),'FO-GC-012'!$D$20:$H$109,5,0),""))</f>
        <v/>
      </c>
      <c r="K45" s="65" t="str">
        <f>IF($C45="","",IFERROR(VLOOKUP(CONCATENATE(K$3,"-",$C45),'FO-GC-012'!$D$20:$H$109,2,0),""))</f>
        <v/>
      </c>
      <c r="L45" s="66" t="str">
        <f>IF($C45="","",IFERROR(VLOOKUP(CONCATENATE(K$3,"-",$C45),'FO-GC-012'!$D$20:$H$109,3,0),""))</f>
        <v/>
      </c>
      <c r="M45" s="67" t="str">
        <f>IF($C45="","",IFERROR(VLOOKUP(CONCATENATE(K$3,"-",$C45),'FO-GC-012'!$D$20:$H$109,4,0),""))</f>
        <v/>
      </c>
      <c r="N45" s="68" t="str">
        <f>IF($C45="","",IFERROR(VLOOKUP(CONCATENATE(K$3,"-",$C45),'FO-GC-012'!$D$20:$H$109,5,0),""))</f>
        <v/>
      </c>
      <c r="O45" s="65" t="str">
        <f>IF($C45="","",IFERROR(VLOOKUP(CONCATENATE(O$3,"-",$C45),'FO-GC-012'!$D$20:$H$109,2,0),""))</f>
        <v/>
      </c>
      <c r="P45" s="66" t="str">
        <f>IF($C45="","",IFERROR(VLOOKUP(CONCATENATE(O$3,"-",$C45),'FO-GC-012'!$D$20:$H$109,3,0),""))</f>
        <v/>
      </c>
      <c r="Q45" s="67" t="str">
        <f>IF($C45="","",IFERROR(VLOOKUP(CONCATENATE(O$3,"-",$C45),'FO-GC-012'!$D$20:$H$109,4,0),""))</f>
        <v/>
      </c>
      <c r="R45" s="68" t="str">
        <f>IF($C45="","",IFERROR(VLOOKUP(CONCATENATE(O$3,"-",$C45),'FO-GC-012'!$D$20:$H$109,5,0),""))</f>
        <v/>
      </c>
      <c r="S45" s="65" t="str">
        <f>IF($C45="","",IFERROR(VLOOKUP(CONCATENATE(S$3,"-",$C45),'FO-GC-012'!$D$20:$H$109,2,0),""))</f>
        <v/>
      </c>
      <c r="T45" s="66" t="str">
        <f>IF($C45="","",IFERROR(VLOOKUP(CONCATENATE(S$3,"-",$C45),'FO-GC-012'!$D$20:$H$109,3,0),""))</f>
        <v/>
      </c>
      <c r="U45" s="67" t="str">
        <f>IF($C45="","",IFERROR(VLOOKUP(CONCATENATE(S$3,"-",$C45),'FO-GC-012'!$D$20:$H$109,4,0),""))</f>
        <v/>
      </c>
      <c r="V45" s="68" t="str">
        <f>IF($C45="","",IFERROR(VLOOKUP(CONCATENATE(S$3,"-",$C45),'FO-GC-012'!$D$20:$H$109,5,0),""))</f>
        <v/>
      </c>
      <c r="W45" s="65" t="str">
        <f>IF($C45="","",IFERROR(VLOOKUP(CONCATENATE(W$3,"-",$C45),'FO-GC-012'!$D$20:$H$109,2,0),""))</f>
        <v/>
      </c>
      <c r="X45" s="66" t="str">
        <f>IF($C45="","",IFERROR(VLOOKUP(CONCATENATE(W$3,"-",$C45),'FO-GC-012'!$D$20:$H$109,3,0),""))</f>
        <v/>
      </c>
      <c r="Y45" s="67" t="str">
        <f>IF($C45="","",IFERROR(VLOOKUP(CONCATENATE(W$3,"-",$C45),'FO-GC-012'!$D$20:$H$109,4,0),""))</f>
        <v/>
      </c>
      <c r="Z45" s="68" t="str">
        <f>IF($C45="","",IFERROR(VLOOKUP(CONCATENATE(W$3,"-",$C45),'FO-GC-012'!$D$20:$H$109,5,0),""))</f>
        <v/>
      </c>
      <c r="AA45" s="65" t="str">
        <f>IF($C45="","",IFERROR(VLOOKUP(CONCATENATE(AA$3,"-",$C45),'FO-GC-012'!$D$20:$H$109,2,0),""))</f>
        <v/>
      </c>
      <c r="AB45" s="66" t="str">
        <f>IF($C45="","",IFERROR(VLOOKUP(CONCATENATE(AA$3,"-",$C45),'FO-GC-012'!$D$20:$H$109,3,0),""))</f>
        <v/>
      </c>
      <c r="AC45" s="67" t="str">
        <f>IF($C45="","",IFERROR(VLOOKUP(CONCATENATE(AA$3,"-",$C45),'FO-GC-012'!$D$20:$H$109,4,0),""))</f>
        <v/>
      </c>
      <c r="AD45" s="68" t="str">
        <f>IF($C45="","",IFERROR(VLOOKUP(CONCATENATE(AA$3,"-",$C45),'FO-GC-012'!$D$20:$H$109,5,0),""))</f>
        <v/>
      </c>
      <c r="AE45" s="65" t="str">
        <f>IF($C45="","",IFERROR(VLOOKUP(CONCATENATE(AE$3,"-",$C45),'FO-GC-012'!$D$20:$H$109,2,0),""))</f>
        <v/>
      </c>
      <c r="AF45" s="66" t="str">
        <f>IF($C45="","",IFERROR(VLOOKUP(CONCATENATE(AE$3,"-",$C45),'FO-GC-012'!$D$20:$H$109,3,0),""))</f>
        <v/>
      </c>
      <c r="AG45" s="67" t="str">
        <f>IF($C45="","",IFERROR(VLOOKUP(CONCATENATE(AE$3,"-",$C45),'FO-GC-012'!$D$20:$H$109,4,0),""))</f>
        <v/>
      </c>
      <c r="AH45" s="68" t="str">
        <f>IF($C45="","",IFERROR(VLOOKUP(CONCATENATE(AE$3,"-",$C45),'FO-GC-012'!$D$20:$H$109,5,0),""))</f>
        <v/>
      </c>
      <c r="AI45" s="65" t="str">
        <f>IF($C45="","",IFERROR(VLOOKUP(CONCATENATE(AI$3,"-",$C45),'FO-GC-012'!$D$20:$H$109,2,0),""))</f>
        <v/>
      </c>
      <c r="AJ45" s="66" t="str">
        <f>IF($C45="","",IFERROR(VLOOKUP(CONCATENATE(AI$3,"-",$C45),'FO-GC-012'!$D$20:$H$109,3,0),""))</f>
        <v/>
      </c>
      <c r="AK45" s="67" t="str">
        <f>IF($C45="","",IFERROR(VLOOKUP(CONCATENATE(AI$3,"-",$C45),'FO-GC-012'!$D$20:$H$109,4,0),""))</f>
        <v/>
      </c>
      <c r="AL45" s="68" t="str">
        <f>IF($C45="","",IFERROR(VLOOKUP(CONCATENATE(AI$3,"-",$C45),'FO-GC-012'!$D$20:$H$109,5,0),""))</f>
        <v/>
      </c>
      <c r="AM45" s="65" t="str">
        <f>IF($C45="","",IFERROR(VLOOKUP(CONCATENATE(AM$3,"-",$C45),'FO-GC-012'!$D$20:$H$109,2,0),""))</f>
        <v/>
      </c>
      <c r="AN45" s="66" t="str">
        <f>IF($C45="","",IFERROR(VLOOKUP(CONCATENATE(AM$3,"-",$C45),'FO-GC-012'!$D$20:$H$109,3,0),""))</f>
        <v/>
      </c>
      <c r="AO45" s="67" t="str">
        <f>IF($C45="","",IFERROR(VLOOKUP(CONCATENATE(AM$3,"-",$C45),'FO-GC-012'!$D$20:$H$109,4,0),""))</f>
        <v/>
      </c>
      <c r="AP45" s="68" t="str">
        <f>IF($C45="","",IFERROR(VLOOKUP(CONCATENATE(AM$3,"-",$C45),'FO-GC-012'!$D$20:$H$109,5,0),""))</f>
        <v/>
      </c>
      <c r="AQ45" s="65" t="str">
        <f>IF($C45="","",IFERROR(VLOOKUP(CONCATENATE(AQ$3,"-",$C45),'FO-GC-012'!$D$20:$H$109,2,0),""))</f>
        <v/>
      </c>
      <c r="AR45" s="66" t="str">
        <f>IF($C45="","",IFERROR(VLOOKUP(CONCATENATE(AQ$3,"-",$C45),'FO-GC-012'!$D$20:$H$109,3,0),""))</f>
        <v/>
      </c>
      <c r="AS45" s="67" t="str">
        <f>IF($C45="","",IFERROR(VLOOKUP(CONCATENATE(AQ$3,"-",$C45),'FO-GC-012'!$D$20:$H$109,4,0),""))</f>
        <v/>
      </c>
      <c r="AT45" s="68" t="str">
        <f>IF($C45="","",IFERROR(VLOOKUP(CONCATENATE(AQ$3,"-",$C45),'FO-GC-012'!$D$20:$H$109,5,0),""))</f>
        <v/>
      </c>
      <c r="AU45" s="65" t="str">
        <f>IF($C45="","",IFERROR(VLOOKUP(CONCATENATE(AU$3,"-",$C45),'FO-GC-012'!$D$20:$H$109,2,0),""))</f>
        <v/>
      </c>
      <c r="AV45" s="66" t="str">
        <f>IF($C45="","",IFERROR(VLOOKUP(CONCATENATE(AU$3,"-",$C45),'FO-GC-012'!$D$20:$H$109,3,0),""))</f>
        <v/>
      </c>
      <c r="AW45" s="67" t="str">
        <f>IF($C45="","",IFERROR(VLOOKUP(CONCATENATE(AU$3,"-",$C45),'FO-GC-012'!$D$20:$H$109,4,0),""))</f>
        <v/>
      </c>
      <c r="AX45" s="68" t="str">
        <f>IF($C45="","",IFERROR(VLOOKUP(CONCATENATE(AU$3,"-",$C45),'FO-GC-012'!$D$20:$H$109,5,0),""))</f>
        <v/>
      </c>
      <c r="AY45" s="65" t="str">
        <f>IF($C45="","",IFERROR(VLOOKUP(CONCATENATE(AY$3,"-",$C45),'FO-GC-012'!$D$20:$H$109,2,0),""))</f>
        <v/>
      </c>
      <c r="AZ45" s="66" t="str">
        <f>IF($C45="","",IFERROR(VLOOKUP(CONCATENATE(AY$3,"-",$C45),'FO-GC-012'!$D$20:$H$109,3,0),""))</f>
        <v/>
      </c>
      <c r="BA45" s="67" t="str">
        <f>IF($C45="","",IFERROR(VLOOKUP(CONCATENATE(AY$3,"-",$C45),'FO-GC-012'!$D$20:$H$109,4,0),""))</f>
        <v/>
      </c>
      <c r="BB45" s="68" t="str">
        <f>IF($C45="","",IFERROR(VLOOKUP(CONCATENATE(AY$3,"-",$C45),'FO-GC-012'!$D$20:$H$109,5,0),""))</f>
        <v/>
      </c>
      <c r="BC45" s="65" t="str">
        <f>IF($C45="","",IFERROR(VLOOKUP(CONCATENATE(BC$3,"-",$C45),'FO-GC-012'!$D$20:$H$109,2,0),""))</f>
        <v/>
      </c>
      <c r="BD45" s="66" t="str">
        <f>IF($C45="","",IFERROR(VLOOKUP(CONCATENATE(BC$3,"-",$C45),'FO-GC-012'!$D$20:$H$109,3,0),""))</f>
        <v/>
      </c>
      <c r="BE45" s="67" t="str">
        <f>IF($C45="","",IFERROR(VLOOKUP(CONCATENATE(BC$3,"-",$C45),'FO-GC-012'!$D$20:$H$109,4,0),""))</f>
        <v/>
      </c>
      <c r="BF45" s="68" t="str">
        <f>IF($C45="","",IFERROR(VLOOKUP(CONCATENATE(BC$3,"-",$C45),'FO-GC-012'!$D$20:$H$109,5,0),""))</f>
        <v/>
      </c>
      <c r="BG45" s="65" t="str">
        <f>IF($C45="","",IFERROR(VLOOKUP(CONCATENATE(BG$3,"-",$C45),'FO-GC-012'!$D$20:$H$109,2,0),""))</f>
        <v/>
      </c>
      <c r="BH45" s="66" t="str">
        <f>IF($C45="","",IFERROR(VLOOKUP(CONCATENATE(BG$3,"-",$C45),'FO-GC-012'!$D$20:$H$109,3,0),""))</f>
        <v/>
      </c>
      <c r="BI45" s="67" t="str">
        <f>IF($C45="","",IFERROR(VLOOKUP(CONCATENATE(BG$3,"-",$C45),'FO-GC-012'!$D$20:$H$109,4,0),""))</f>
        <v/>
      </c>
      <c r="BJ45" s="68" t="str">
        <f>IF($C45="","",IFERROR(VLOOKUP(CONCATENATE(BG$3,"-",$C45),'FO-GC-012'!$D$20:$H$109,5,0),""))</f>
        <v/>
      </c>
      <c r="BK45" s="65" t="str">
        <f>IF($C45="","",IFERROR(VLOOKUP(CONCATENATE(BK$3,"-",$C45),'FO-GC-012'!$D$20:$H$109,2,0),""))</f>
        <v/>
      </c>
      <c r="BL45" s="66" t="str">
        <f>IF($C45="","",IFERROR(VLOOKUP(CONCATENATE(BK$3,"-",$C45),'FO-GC-012'!$D$20:$H$109,3,0),""))</f>
        <v/>
      </c>
      <c r="BM45" s="67" t="str">
        <f>IF($C45="","",IFERROR(VLOOKUP(CONCATENATE(BK$3,"-",$C45),'FO-GC-012'!$D$20:$H$109,4,0),""))</f>
        <v/>
      </c>
      <c r="BN45" s="68" t="str">
        <f>IF($C45="","",IFERROR(VLOOKUP(CONCATENATE(BK$3,"-",$C45),'FO-GC-012'!$D$20:$H$109,5,0),""))</f>
        <v/>
      </c>
      <c r="BO45" s="65" t="str">
        <f>IF($C45="","",IFERROR(VLOOKUP(CONCATENATE(BO$3,"-",$C45),'FO-GC-012'!$D$20:$H$109,2,0),""))</f>
        <v/>
      </c>
      <c r="BP45" s="66" t="str">
        <f>IF($C45="","",IFERROR(VLOOKUP(CONCATENATE(BO$3,"-",$C45),'FO-GC-012'!$D$20:$H$109,3,0),""))</f>
        <v/>
      </c>
      <c r="BQ45" s="67" t="str">
        <f>IF($C45="","",IFERROR(VLOOKUP(CONCATENATE(BO$3,"-",$C45),'FO-GC-012'!$D$20:$H$109,4,0),""))</f>
        <v/>
      </c>
      <c r="BR45" s="68" t="str">
        <f>IF($C45="","",IFERROR(VLOOKUP(CONCATENATE(BO$3,"-",$C45),'FO-GC-012'!$D$20:$H$109,5,0),""))</f>
        <v/>
      </c>
      <c r="BS45" s="65" t="str">
        <f>IF($C45="","",IFERROR(VLOOKUP(CONCATENATE(BS$3,"-",$C45),'FO-GC-012'!$D$20:$H$109,2,0),""))</f>
        <v/>
      </c>
      <c r="BT45" s="66" t="str">
        <f>IF($C45="","",IFERROR(VLOOKUP(CONCATENATE(BS$3,"-",$C45),'FO-GC-012'!$D$20:$H$109,3,0),""))</f>
        <v/>
      </c>
      <c r="BU45" s="67" t="str">
        <f>IF($C45="","",IFERROR(VLOOKUP(CONCATENATE(BS$3,"-",$C45),'FO-GC-012'!$D$20:$H$109,4,0),""))</f>
        <v/>
      </c>
      <c r="BV45" s="68" t="str">
        <f>IF($C45="","",IFERROR(VLOOKUP(CONCATENATE(BS$3,"-",$C45),'FO-GC-012'!$D$20:$H$109,5,0),""))</f>
        <v/>
      </c>
      <c r="BW45" s="65" t="str">
        <f>IF($C45="","",IFERROR(VLOOKUP(CONCATENATE(BW$3,"-",$C45),'FO-GC-012'!$D$20:$H$109,2,0),""))</f>
        <v/>
      </c>
      <c r="BX45" s="66" t="str">
        <f>IF($C45="","",IFERROR(VLOOKUP(CONCATENATE(BW$3,"-",$C45),'FO-GC-012'!$D$20:$H$109,3,0),""))</f>
        <v/>
      </c>
      <c r="BY45" s="67" t="str">
        <f>IF($C45="","",IFERROR(VLOOKUP(CONCATENATE(BW$3,"-",$C45),'FO-GC-012'!$D$20:$H$109,4,0),""))</f>
        <v/>
      </c>
      <c r="BZ45" s="68" t="str">
        <f>IF($C45="","",IFERROR(VLOOKUP(CONCATENATE(BW$3,"-",$C45),'FO-GC-012'!$D$20:$H$109,5,0),""))</f>
        <v/>
      </c>
      <c r="CA45" s="65" t="str">
        <f>IF($C45="","",IFERROR(VLOOKUP(CONCATENATE(CA$3,"-",$C45),'FO-GC-012'!$D$20:$H$109,2,0),""))</f>
        <v/>
      </c>
      <c r="CB45" s="66" t="str">
        <f>IF($C45="","",IFERROR(VLOOKUP(CONCATENATE(CA$3,"-",$C45),'FO-GC-012'!$D$20:$H$109,3,0),""))</f>
        <v/>
      </c>
      <c r="CC45" s="67" t="str">
        <f>IF($C45="","",IFERROR(VLOOKUP(CONCATENATE(CA$3,"-",$C45),'FO-GC-012'!$D$20:$H$109,4,0),""))</f>
        <v/>
      </c>
      <c r="CD45" s="68" t="str">
        <f>IF($C45="","",IFERROR(VLOOKUP(CONCATENATE(CA$3,"-",$C45),'FO-GC-012'!$D$20:$H$109,5,0),""))</f>
        <v/>
      </c>
      <c r="CE45" s="65" t="str">
        <f>IF($C45="","",IFERROR(VLOOKUP(CONCATENATE(CE$3,"-",$C45),'FO-GC-012'!$D$20:$H$109,2,0),""))</f>
        <v/>
      </c>
      <c r="CF45" s="66" t="str">
        <f>IF($C45="","",IFERROR(VLOOKUP(CONCATENATE(CE$3,"-",$C45),'FO-GC-012'!$D$20:$H$109,3,0),""))</f>
        <v/>
      </c>
      <c r="CG45" s="67" t="str">
        <f>IF($C45="","",IFERROR(VLOOKUP(CONCATENATE(CE$3,"-",$C45),'FO-GC-012'!$D$20:$H$109,4,0),""))</f>
        <v/>
      </c>
      <c r="CH45" s="68" t="str">
        <f>IF($C45="","",IFERROR(VLOOKUP(CONCATENATE(CE$3,"-",$C45),'FO-GC-012'!$D$20:$H$109,5,0),""))</f>
        <v/>
      </c>
    </row>
    <row r="46" spans="1:86" ht="33.75" customHeight="1" x14ac:dyDescent="0.35">
      <c r="B46" s="14"/>
      <c r="C46" s="14"/>
      <c r="D46" s="14"/>
      <c r="E46" s="14"/>
      <c r="F46" s="14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4"/>
      <c r="AY46" s="74"/>
      <c r="AZ46" s="73"/>
      <c r="BA46" s="73"/>
      <c r="BB46" s="74"/>
      <c r="BC46" s="74"/>
      <c r="BD46" s="73"/>
      <c r="BE46" s="73"/>
      <c r="BF46" s="74"/>
      <c r="BG46" s="74"/>
      <c r="BH46" s="73"/>
      <c r="BI46" s="73"/>
      <c r="BJ46" s="74"/>
      <c r="BK46" s="74"/>
      <c r="BL46" s="73"/>
      <c r="BM46" s="73"/>
      <c r="BN46" s="74"/>
      <c r="BO46" s="74"/>
      <c r="BP46" s="73"/>
      <c r="BQ46" s="73"/>
      <c r="BR46" s="74"/>
      <c r="BS46" s="74"/>
      <c r="BT46" s="73"/>
      <c r="BU46" s="73"/>
      <c r="BV46" s="74"/>
      <c r="BW46" s="74"/>
      <c r="BX46" s="73"/>
      <c r="BY46" s="73"/>
      <c r="BZ46" s="74"/>
      <c r="CA46" s="74"/>
      <c r="CB46" s="73"/>
      <c r="CC46" s="73"/>
      <c r="CD46" s="74"/>
      <c r="CE46" s="74"/>
      <c r="CF46" s="73"/>
      <c r="CG46" s="73"/>
      <c r="CH46" s="74"/>
    </row>
    <row r="47" spans="1:86" ht="33.75" customHeight="1" x14ac:dyDescent="0.35">
      <c r="B47" s="84"/>
      <c r="C47" s="84"/>
      <c r="D47" s="84"/>
      <c r="E47" s="84"/>
      <c r="F47" s="84"/>
      <c r="G47" s="74"/>
      <c r="H47" s="73"/>
      <c r="I47" s="73"/>
      <c r="J47" s="74"/>
      <c r="K47" s="74"/>
      <c r="L47" s="73"/>
      <c r="M47" s="73"/>
      <c r="N47" s="74"/>
      <c r="O47" s="74"/>
      <c r="P47" s="73"/>
      <c r="Q47" s="73"/>
      <c r="R47" s="74"/>
      <c r="S47" s="74"/>
      <c r="T47" s="73"/>
      <c r="U47" s="73"/>
      <c r="V47" s="74"/>
      <c r="W47" s="74"/>
      <c r="X47" s="73"/>
      <c r="Y47" s="73"/>
      <c r="Z47" s="74"/>
      <c r="AA47" s="74"/>
      <c r="AB47" s="73"/>
      <c r="AC47" s="73"/>
      <c r="AD47" s="74"/>
      <c r="AE47" s="74"/>
      <c r="AF47" s="73"/>
      <c r="AG47" s="73"/>
      <c r="AH47" s="74"/>
      <c r="AI47" s="74"/>
      <c r="AJ47" s="73"/>
      <c r="AK47" s="73"/>
      <c r="AL47" s="74"/>
      <c r="AM47" s="74"/>
      <c r="AN47" s="73"/>
      <c r="AO47" s="73"/>
      <c r="AP47" s="74"/>
      <c r="AQ47" s="74"/>
      <c r="AR47" s="73"/>
      <c r="AS47" s="73"/>
      <c r="AT47" s="74"/>
      <c r="AU47" s="74"/>
      <c r="AV47" s="73"/>
      <c r="AW47" s="73"/>
      <c r="AX47" s="74"/>
      <c r="AY47" s="74"/>
      <c r="AZ47" s="73"/>
      <c r="BA47" s="73"/>
      <c r="BB47" s="74"/>
      <c r="BC47" s="74"/>
      <c r="BD47" s="73"/>
      <c r="BE47" s="73"/>
      <c r="BF47" s="74"/>
      <c r="BG47" s="74"/>
      <c r="BH47" s="73"/>
      <c r="BI47" s="73"/>
      <c r="BJ47" s="74"/>
      <c r="BK47" s="74"/>
      <c r="BL47" s="73"/>
      <c r="BM47" s="73"/>
      <c r="BN47" s="74"/>
      <c r="BO47" s="74"/>
      <c r="BP47" s="73"/>
      <c r="BQ47" s="73"/>
      <c r="BR47" s="74"/>
      <c r="BS47" s="74"/>
      <c r="BT47" s="73"/>
      <c r="BU47" s="73"/>
      <c r="BV47" s="74"/>
      <c r="BW47" s="74"/>
      <c r="BX47" s="73"/>
      <c r="BY47" s="73"/>
      <c r="BZ47" s="74"/>
      <c r="CA47" s="74"/>
      <c r="CB47" s="73"/>
      <c r="CC47" s="73"/>
      <c r="CD47" s="74"/>
      <c r="CE47" s="74"/>
      <c r="CF47" s="73"/>
      <c r="CG47" s="73"/>
      <c r="CH47" s="74"/>
    </row>
    <row r="48" spans="1:86" s="75" customFormat="1" ht="33.75" customHeight="1" x14ac:dyDescent="0.35">
      <c r="A48" s="114"/>
      <c r="B48" s="84"/>
      <c r="C48" s="84"/>
      <c r="D48" s="84"/>
      <c r="E48" s="84"/>
      <c r="F48" s="84"/>
      <c r="H48" s="76"/>
      <c r="I48" s="76"/>
      <c r="L48" s="76"/>
      <c r="M48" s="76"/>
      <c r="P48" s="76"/>
      <c r="Q48" s="76"/>
      <c r="T48" s="76"/>
      <c r="U48" s="76"/>
      <c r="X48" s="76"/>
      <c r="Y48" s="76"/>
      <c r="AB48" s="76"/>
      <c r="AC48" s="76"/>
      <c r="AF48" s="76"/>
      <c r="AG48" s="76"/>
      <c r="AJ48" s="76"/>
      <c r="AK48" s="76"/>
      <c r="AN48" s="76"/>
      <c r="AO48" s="76"/>
      <c r="AR48" s="76"/>
      <c r="AS48" s="76"/>
      <c r="AV48" s="76"/>
      <c r="AW48" s="76"/>
      <c r="AZ48" s="76"/>
      <c r="BA48" s="76"/>
      <c r="BD48" s="76"/>
      <c r="BE48" s="76"/>
      <c r="BH48" s="76"/>
      <c r="BI48" s="76"/>
      <c r="BL48" s="76"/>
      <c r="BM48" s="76"/>
      <c r="BP48" s="76"/>
      <c r="BQ48" s="76"/>
      <c r="BT48" s="76"/>
      <c r="BU48" s="76"/>
      <c r="BX48" s="76"/>
      <c r="BY48" s="76"/>
      <c r="CB48" s="76"/>
      <c r="CC48" s="76"/>
      <c r="CF48" s="76"/>
      <c r="CG48" s="76"/>
    </row>
    <row r="49" spans="2:86" ht="33.75" customHeight="1" x14ac:dyDescent="0.35">
      <c r="B49" s="2"/>
      <c r="C49" s="84"/>
      <c r="D49" s="2"/>
      <c r="E49" s="2"/>
      <c r="F49" s="2"/>
      <c r="G49" s="63"/>
      <c r="H49" s="77"/>
      <c r="I49" s="77"/>
      <c r="J49" s="63"/>
      <c r="K49" s="63"/>
      <c r="L49" s="77"/>
      <c r="M49" s="77"/>
      <c r="N49" s="63"/>
      <c r="O49" s="63"/>
      <c r="P49" s="77"/>
      <c r="Q49" s="77"/>
      <c r="R49" s="63"/>
      <c r="S49" s="63"/>
      <c r="T49" s="77"/>
      <c r="U49" s="77"/>
      <c r="V49" s="63"/>
      <c r="W49" s="63"/>
      <c r="X49" s="77"/>
      <c r="Y49" s="77"/>
      <c r="Z49" s="63"/>
      <c r="AA49" s="63"/>
      <c r="AB49" s="77"/>
      <c r="AC49" s="77"/>
      <c r="AD49" s="63"/>
      <c r="AE49" s="63"/>
      <c r="AF49" s="77"/>
      <c r="AG49" s="77"/>
      <c r="AH49" s="63"/>
      <c r="AI49" s="63"/>
      <c r="AJ49" s="77"/>
      <c r="AK49" s="77"/>
      <c r="AL49" s="63"/>
      <c r="AM49" s="63"/>
      <c r="AN49" s="77"/>
      <c r="AO49" s="77"/>
      <c r="AP49" s="63"/>
      <c r="AQ49" s="63"/>
      <c r="AR49" s="77"/>
      <c r="AS49" s="77"/>
      <c r="AT49" s="63"/>
      <c r="AU49" s="63"/>
      <c r="AV49" s="77"/>
      <c r="AW49" s="77"/>
      <c r="AX49" s="63"/>
      <c r="AY49" s="63"/>
      <c r="AZ49" s="77"/>
      <c r="BA49" s="77"/>
      <c r="BB49" s="63"/>
      <c r="BC49" s="63"/>
      <c r="BD49" s="77"/>
      <c r="BE49" s="77"/>
      <c r="BF49" s="63"/>
      <c r="BG49" s="63"/>
      <c r="BH49" s="77"/>
      <c r="BI49" s="77"/>
      <c r="BJ49" s="63"/>
      <c r="BK49" s="63"/>
      <c r="BL49" s="77"/>
      <c r="BM49" s="77"/>
      <c r="BN49" s="63"/>
      <c r="BO49" s="63"/>
      <c r="BP49" s="77"/>
      <c r="BQ49" s="77"/>
      <c r="BR49" s="63"/>
      <c r="BS49" s="63"/>
      <c r="BT49" s="77"/>
      <c r="BU49" s="77"/>
      <c r="BV49" s="63"/>
      <c r="BW49" s="63"/>
      <c r="BX49" s="77"/>
      <c r="BY49" s="77"/>
      <c r="BZ49" s="63"/>
      <c r="CA49" s="63"/>
      <c r="CB49" s="77"/>
      <c r="CC49" s="77"/>
      <c r="CD49" s="63"/>
      <c r="CE49" s="63"/>
      <c r="CF49" s="77"/>
      <c r="CG49" s="77"/>
      <c r="CH49" s="63"/>
    </row>
    <row r="50" spans="2:86" ht="33.75" customHeight="1" x14ac:dyDescent="0.35">
      <c r="B50" s="2"/>
      <c r="C50" s="84"/>
      <c r="D50" s="2"/>
      <c r="E50" s="2"/>
      <c r="F50" s="2"/>
      <c r="G50" s="63"/>
      <c r="H50" s="77"/>
      <c r="I50" s="77"/>
      <c r="J50" s="63"/>
      <c r="K50" s="63"/>
      <c r="L50" s="77"/>
      <c r="M50" s="77"/>
      <c r="N50" s="63"/>
      <c r="O50" s="63"/>
      <c r="P50" s="77"/>
      <c r="Q50" s="77"/>
      <c r="R50" s="63"/>
      <c r="S50" s="63"/>
      <c r="T50" s="77"/>
      <c r="U50" s="77"/>
      <c r="V50" s="63"/>
      <c r="W50" s="63"/>
      <c r="X50" s="77"/>
      <c r="Y50" s="77"/>
      <c r="Z50" s="63"/>
      <c r="AA50" s="63"/>
      <c r="AB50" s="77"/>
      <c r="AC50" s="77"/>
      <c r="AD50" s="63"/>
      <c r="AE50" s="63"/>
      <c r="AF50" s="77"/>
      <c r="AG50" s="77"/>
      <c r="AH50" s="63"/>
      <c r="AI50" s="63"/>
      <c r="AJ50" s="77"/>
      <c r="AK50" s="77"/>
      <c r="AL50" s="63"/>
      <c r="AM50" s="63"/>
      <c r="AN50" s="77"/>
      <c r="AO50" s="77"/>
      <c r="AP50" s="63"/>
      <c r="AQ50" s="63"/>
      <c r="AR50" s="77"/>
      <c r="AS50" s="77"/>
      <c r="AT50" s="63"/>
      <c r="AU50" s="63"/>
      <c r="AV50" s="77"/>
      <c r="AW50" s="77"/>
      <c r="AX50" s="63"/>
      <c r="AY50" s="63"/>
      <c r="AZ50" s="77"/>
      <c r="BA50" s="77"/>
      <c r="BB50" s="63"/>
      <c r="BC50" s="63"/>
      <c r="BD50" s="77"/>
      <c r="BE50" s="77"/>
      <c r="BF50" s="63"/>
      <c r="BG50" s="63"/>
      <c r="BH50" s="77"/>
      <c r="BI50" s="77"/>
      <c r="BJ50" s="63"/>
      <c r="BK50" s="63"/>
      <c r="BL50" s="77"/>
      <c r="BM50" s="77"/>
      <c r="BN50" s="63"/>
      <c r="BO50" s="63"/>
      <c r="BP50" s="77"/>
      <c r="BQ50" s="77"/>
      <c r="BR50" s="63"/>
      <c r="BS50" s="63"/>
      <c r="BT50" s="77"/>
      <c r="BU50" s="77"/>
      <c r="BV50" s="63"/>
      <c r="BW50" s="63"/>
      <c r="BX50" s="77"/>
      <c r="BY50" s="77"/>
      <c r="BZ50" s="63"/>
      <c r="CA50" s="63"/>
      <c r="CB50" s="77"/>
      <c r="CC50" s="77"/>
      <c r="CD50" s="63"/>
      <c r="CE50" s="63"/>
      <c r="CF50" s="77"/>
      <c r="CG50" s="77"/>
      <c r="CH50" s="63"/>
    </row>
    <row r="51" spans="2:86" ht="33.75" customHeight="1" x14ac:dyDescent="0.35">
      <c r="B51" s="2"/>
      <c r="C51" s="84"/>
      <c r="D51" s="2"/>
      <c r="E51" s="2"/>
      <c r="F51" s="2"/>
      <c r="G51" s="63"/>
      <c r="H51" s="77"/>
      <c r="I51" s="77"/>
      <c r="J51" s="63"/>
      <c r="K51" s="63"/>
      <c r="L51" s="77"/>
      <c r="M51" s="77"/>
      <c r="N51" s="63"/>
      <c r="O51" s="63"/>
      <c r="P51" s="77"/>
      <c r="Q51" s="77"/>
      <c r="R51" s="63"/>
      <c r="S51" s="63"/>
      <c r="T51" s="77"/>
      <c r="U51" s="77"/>
      <c r="V51" s="63"/>
      <c r="W51" s="63"/>
      <c r="X51" s="77"/>
      <c r="Y51" s="77"/>
      <c r="Z51" s="63"/>
      <c r="AA51" s="63"/>
      <c r="AB51" s="77"/>
      <c r="AC51" s="77"/>
      <c r="AD51" s="63"/>
      <c r="AE51" s="63"/>
      <c r="AF51" s="77"/>
      <c r="AG51" s="77"/>
      <c r="AH51" s="63"/>
      <c r="AI51" s="63"/>
      <c r="AJ51" s="77"/>
      <c r="AK51" s="77"/>
      <c r="AL51" s="63"/>
      <c r="AM51" s="63"/>
      <c r="AN51" s="77"/>
      <c r="AO51" s="77"/>
      <c r="AP51" s="63"/>
      <c r="AQ51" s="63"/>
      <c r="AR51" s="77"/>
      <c r="AS51" s="77"/>
      <c r="AT51" s="63"/>
      <c r="AU51" s="63"/>
      <c r="AV51" s="77"/>
      <c r="AW51" s="77"/>
      <c r="AX51" s="63"/>
      <c r="AY51" s="63"/>
      <c r="AZ51" s="77"/>
      <c r="BA51" s="77"/>
      <c r="BB51" s="63"/>
      <c r="BC51" s="63"/>
      <c r="BD51" s="77"/>
      <c r="BE51" s="77"/>
      <c r="BF51" s="63"/>
      <c r="BG51" s="63"/>
      <c r="BH51" s="77"/>
      <c r="BI51" s="77"/>
      <c r="BJ51" s="63"/>
      <c r="BK51" s="63"/>
      <c r="BL51" s="77"/>
      <c r="BM51" s="77"/>
      <c r="BN51" s="63"/>
      <c r="BO51" s="63"/>
      <c r="BP51" s="77"/>
      <c r="BQ51" s="77"/>
      <c r="BR51" s="63"/>
      <c r="BS51" s="63"/>
      <c r="BT51" s="77"/>
      <c r="BU51" s="77"/>
      <c r="BV51" s="63"/>
      <c r="BW51" s="63"/>
      <c r="BX51" s="77"/>
      <c r="BY51" s="77"/>
      <c r="BZ51" s="63"/>
      <c r="CA51" s="63"/>
      <c r="CB51" s="77"/>
      <c r="CC51" s="77"/>
      <c r="CD51" s="63"/>
      <c r="CE51" s="63"/>
      <c r="CF51" s="77"/>
      <c r="CG51" s="77"/>
      <c r="CH51" s="63"/>
    </row>
    <row r="52" spans="2:86" ht="33.75" customHeight="1" x14ac:dyDescent="0.35">
      <c r="B52" s="2"/>
      <c r="C52" s="84"/>
      <c r="D52" s="2"/>
      <c r="E52" s="2"/>
      <c r="F52" s="2"/>
      <c r="G52" s="63"/>
      <c r="H52" s="77"/>
      <c r="I52" s="77"/>
      <c r="J52" s="63"/>
      <c r="K52" s="63"/>
      <c r="L52" s="77"/>
      <c r="M52" s="77"/>
      <c r="N52" s="63"/>
      <c r="O52" s="63"/>
      <c r="P52" s="77"/>
      <c r="Q52" s="77"/>
      <c r="R52" s="63"/>
      <c r="S52" s="63"/>
      <c r="T52" s="77"/>
      <c r="U52" s="77"/>
      <c r="V52" s="63"/>
      <c r="W52" s="63"/>
      <c r="X52" s="77"/>
      <c r="Y52" s="77"/>
      <c r="Z52" s="63"/>
      <c r="AA52" s="63"/>
      <c r="AB52" s="77"/>
      <c r="AC52" s="77"/>
      <c r="AD52" s="63"/>
      <c r="AE52" s="63"/>
      <c r="AF52" s="77"/>
      <c r="AG52" s="77"/>
      <c r="AH52" s="63"/>
      <c r="AI52" s="63"/>
      <c r="AJ52" s="77"/>
      <c r="AK52" s="77"/>
      <c r="AL52" s="63"/>
      <c r="AM52" s="63"/>
      <c r="AN52" s="77"/>
      <c r="AO52" s="77"/>
      <c r="AP52" s="63"/>
      <c r="AQ52" s="63"/>
      <c r="AR52" s="77"/>
      <c r="AS52" s="77"/>
      <c r="AT52" s="63"/>
      <c r="AU52" s="63"/>
      <c r="AV52" s="77"/>
      <c r="AW52" s="77"/>
      <c r="AX52" s="63"/>
      <c r="AY52" s="63"/>
      <c r="AZ52" s="77"/>
      <c r="BA52" s="77"/>
      <c r="BB52" s="63"/>
      <c r="BC52" s="63"/>
      <c r="BD52" s="77"/>
      <c r="BE52" s="77"/>
      <c r="BF52" s="63"/>
      <c r="BG52" s="63"/>
      <c r="BH52" s="77"/>
      <c r="BI52" s="77"/>
      <c r="BJ52" s="63"/>
      <c r="BK52" s="63"/>
      <c r="BL52" s="77"/>
      <c r="BM52" s="77"/>
      <c r="BN52" s="63"/>
      <c r="BO52" s="63"/>
      <c r="BP52" s="77"/>
      <c r="BQ52" s="77"/>
      <c r="BR52" s="63"/>
      <c r="BS52" s="63"/>
      <c r="BT52" s="77"/>
      <c r="BU52" s="77"/>
      <c r="BV52" s="63"/>
      <c r="BW52" s="63"/>
      <c r="BX52" s="77"/>
      <c r="BY52" s="77"/>
      <c r="BZ52" s="63"/>
      <c r="CA52" s="63"/>
      <c r="CB52" s="77"/>
      <c r="CC52" s="77"/>
      <c r="CD52" s="63"/>
      <c r="CE52" s="63"/>
      <c r="CF52" s="77"/>
      <c r="CG52" s="77"/>
      <c r="CH52" s="63"/>
    </row>
    <row r="53" spans="2:86" ht="33.75" customHeight="1" x14ac:dyDescent="0.35">
      <c r="B53" s="2"/>
      <c r="C53" s="84"/>
      <c r="D53" s="2"/>
      <c r="E53" s="2"/>
      <c r="F53" s="2"/>
      <c r="G53" s="63"/>
      <c r="H53" s="77"/>
      <c r="I53" s="77"/>
      <c r="J53" s="63"/>
      <c r="K53" s="63"/>
      <c r="L53" s="77"/>
      <c r="M53" s="77"/>
      <c r="N53" s="63"/>
      <c r="O53" s="63"/>
      <c r="P53" s="77"/>
      <c r="Q53" s="77"/>
      <c r="R53" s="63"/>
      <c r="S53" s="63"/>
      <c r="T53" s="77"/>
      <c r="U53" s="77"/>
      <c r="V53" s="63"/>
      <c r="W53" s="63"/>
      <c r="X53" s="77"/>
      <c r="Y53" s="77"/>
      <c r="Z53" s="63"/>
      <c r="AA53" s="63"/>
      <c r="AB53" s="77"/>
      <c r="AC53" s="77"/>
      <c r="AD53" s="63"/>
      <c r="AE53" s="63"/>
      <c r="AF53" s="77"/>
      <c r="AG53" s="77"/>
      <c r="AH53" s="63"/>
      <c r="AI53" s="63"/>
      <c r="AJ53" s="77"/>
      <c r="AK53" s="77"/>
      <c r="AL53" s="63"/>
      <c r="AM53" s="63"/>
      <c r="AN53" s="77"/>
      <c r="AO53" s="77"/>
      <c r="AP53" s="63"/>
      <c r="AQ53" s="63"/>
      <c r="AR53" s="77"/>
      <c r="AS53" s="77"/>
      <c r="AT53" s="63"/>
      <c r="AU53" s="63"/>
      <c r="AV53" s="77"/>
      <c r="AW53" s="77"/>
      <c r="AX53" s="63"/>
      <c r="AY53" s="63"/>
      <c r="AZ53" s="77"/>
      <c r="BA53" s="77"/>
      <c r="BB53" s="63"/>
      <c r="BC53" s="63"/>
      <c r="BD53" s="77"/>
      <c r="BE53" s="77"/>
      <c r="BF53" s="63"/>
      <c r="BG53" s="63"/>
      <c r="BH53" s="77"/>
      <c r="BI53" s="77"/>
      <c r="BJ53" s="63"/>
      <c r="BK53" s="63"/>
      <c r="BL53" s="77"/>
      <c r="BM53" s="77"/>
      <c r="BN53" s="63"/>
      <c r="BO53" s="63"/>
      <c r="BP53" s="77"/>
      <c r="BQ53" s="77"/>
      <c r="BR53" s="63"/>
      <c r="BS53" s="63"/>
      <c r="BT53" s="77"/>
      <c r="BU53" s="77"/>
      <c r="BV53" s="63"/>
      <c r="BW53" s="63"/>
      <c r="BX53" s="77"/>
      <c r="BY53" s="77"/>
      <c r="BZ53" s="63"/>
      <c r="CA53" s="63"/>
      <c r="CB53" s="77"/>
      <c r="CC53" s="77"/>
      <c r="CD53" s="63"/>
      <c r="CE53" s="63"/>
      <c r="CF53" s="77"/>
      <c r="CG53" s="77"/>
      <c r="CH53" s="63"/>
    </row>
    <row r="54" spans="2:86" ht="33.75" customHeight="1" x14ac:dyDescent="0.35">
      <c r="B54" s="2"/>
      <c r="C54" s="85"/>
      <c r="D54" s="2"/>
      <c r="E54" s="2"/>
      <c r="F54" s="2"/>
      <c r="G54" s="63"/>
      <c r="H54" s="77"/>
      <c r="I54" s="77"/>
      <c r="J54" s="63"/>
      <c r="K54" s="63"/>
      <c r="L54" s="77"/>
      <c r="M54" s="77"/>
      <c r="N54" s="63"/>
      <c r="O54" s="63"/>
      <c r="P54" s="77"/>
      <c r="Q54" s="77"/>
      <c r="R54" s="63"/>
      <c r="S54" s="63"/>
      <c r="T54" s="77"/>
      <c r="U54" s="77"/>
      <c r="V54" s="63"/>
      <c r="W54" s="63"/>
      <c r="X54" s="77"/>
      <c r="Y54" s="77"/>
      <c r="Z54" s="63"/>
      <c r="AA54" s="63"/>
      <c r="AB54" s="77"/>
      <c r="AC54" s="77"/>
      <c r="AD54" s="63"/>
      <c r="AE54" s="63"/>
      <c r="AF54" s="77"/>
      <c r="AG54" s="77"/>
      <c r="AH54" s="63"/>
      <c r="AI54" s="63"/>
      <c r="AJ54" s="77"/>
      <c r="AK54" s="77"/>
      <c r="AL54" s="63"/>
      <c r="AM54" s="63"/>
      <c r="AN54" s="77"/>
      <c r="AO54" s="77"/>
      <c r="AP54" s="63"/>
      <c r="AQ54" s="63"/>
      <c r="AR54" s="77"/>
      <c r="AS54" s="77"/>
      <c r="AT54" s="63"/>
      <c r="AU54" s="63"/>
      <c r="AV54" s="77"/>
      <c r="AW54" s="77"/>
      <c r="AX54" s="63"/>
      <c r="AY54" s="63"/>
      <c r="AZ54" s="77"/>
      <c r="BA54" s="77"/>
      <c r="BB54" s="63"/>
      <c r="BC54" s="63"/>
      <c r="BD54" s="77"/>
      <c r="BE54" s="77"/>
      <c r="BF54" s="63"/>
      <c r="BG54" s="63"/>
      <c r="BH54" s="77"/>
      <c r="BI54" s="77"/>
      <c r="BJ54" s="63"/>
      <c r="BK54" s="63"/>
      <c r="BL54" s="77"/>
      <c r="BM54" s="77"/>
      <c r="BN54" s="63"/>
      <c r="BO54" s="63"/>
      <c r="BP54" s="77"/>
      <c r="BQ54" s="77"/>
      <c r="BR54" s="63"/>
      <c r="BS54" s="63"/>
      <c r="BT54" s="77"/>
      <c r="BU54" s="77"/>
      <c r="BV54" s="63"/>
      <c r="BW54" s="63"/>
      <c r="BX54" s="77"/>
      <c r="BY54" s="77"/>
      <c r="BZ54" s="63"/>
      <c r="CA54" s="63"/>
      <c r="CB54" s="77"/>
      <c r="CC54" s="77"/>
      <c r="CD54" s="63"/>
      <c r="CE54" s="63"/>
      <c r="CF54" s="77"/>
      <c r="CG54" s="77"/>
      <c r="CH54" s="63"/>
    </row>
    <row r="55" spans="2:86" ht="33.75" customHeight="1" x14ac:dyDescent="0.35">
      <c r="B55" s="2"/>
      <c r="C55" s="85"/>
      <c r="D55" s="2"/>
      <c r="E55" s="2"/>
      <c r="F55" s="2"/>
      <c r="G55" s="63"/>
      <c r="H55" s="77"/>
      <c r="I55" s="77"/>
      <c r="J55" s="63"/>
      <c r="K55" s="63"/>
      <c r="L55" s="77"/>
      <c r="M55" s="77"/>
      <c r="N55" s="63"/>
      <c r="O55" s="63"/>
      <c r="P55" s="77"/>
      <c r="Q55" s="77"/>
      <c r="R55" s="63"/>
      <c r="S55" s="63"/>
      <c r="T55" s="77"/>
      <c r="U55" s="77"/>
      <c r="V55" s="63"/>
      <c r="W55" s="63"/>
      <c r="X55" s="77"/>
      <c r="Y55" s="77"/>
      <c r="Z55" s="63"/>
      <c r="AA55" s="63"/>
      <c r="AB55" s="77"/>
      <c r="AC55" s="77"/>
      <c r="AD55" s="63"/>
      <c r="AE55" s="63"/>
      <c r="AF55" s="77"/>
      <c r="AG55" s="77"/>
      <c r="AH55" s="63"/>
      <c r="AI55" s="63"/>
      <c r="AJ55" s="77"/>
      <c r="AK55" s="77"/>
      <c r="AL55" s="63"/>
      <c r="AM55" s="63"/>
      <c r="AN55" s="77"/>
      <c r="AO55" s="77"/>
      <c r="AP55" s="63"/>
      <c r="AQ55" s="63"/>
      <c r="AR55" s="77"/>
      <c r="AS55" s="77"/>
      <c r="AT55" s="63"/>
      <c r="AU55" s="63"/>
      <c r="AV55" s="77"/>
      <c r="AW55" s="77"/>
      <c r="AX55" s="63"/>
      <c r="AY55" s="63"/>
      <c r="AZ55" s="77"/>
      <c r="BA55" s="77"/>
      <c r="BB55" s="63"/>
      <c r="BC55" s="63"/>
      <c r="BD55" s="77"/>
      <c r="BE55" s="77"/>
      <c r="BF55" s="63"/>
      <c r="BG55" s="63"/>
      <c r="BH55" s="77"/>
      <c r="BI55" s="77"/>
      <c r="BJ55" s="63"/>
      <c r="BK55" s="63"/>
      <c r="BL55" s="77"/>
      <c r="BM55" s="77"/>
      <c r="BN55" s="63"/>
      <c r="BO55" s="63"/>
      <c r="BP55" s="77"/>
      <c r="BQ55" s="77"/>
      <c r="BR55" s="63"/>
      <c r="BS55" s="63"/>
      <c r="BT55" s="77"/>
      <c r="BU55" s="77"/>
      <c r="BV55" s="63"/>
      <c r="BW55" s="63"/>
      <c r="BX55" s="77"/>
      <c r="BY55" s="77"/>
      <c r="BZ55" s="63"/>
      <c r="CA55" s="63"/>
      <c r="CB55" s="77"/>
      <c r="CC55" s="77"/>
      <c r="CD55" s="63"/>
      <c r="CE55" s="63"/>
      <c r="CF55" s="77"/>
      <c r="CG55" s="77"/>
      <c r="CH55" s="63"/>
    </row>
    <row r="56" spans="2:86" ht="33.75" customHeight="1" x14ac:dyDescent="0.35">
      <c r="B56" s="2"/>
      <c r="C56" s="85"/>
      <c r="D56" s="2"/>
      <c r="E56" s="2"/>
      <c r="F56" s="2"/>
      <c r="G56" s="63"/>
      <c r="H56" s="77"/>
      <c r="I56" s="77"/>
      <c r="J56" s="63"/>
      <c r="K56" s="63"/>
      <c r="L56" s="77"/>
      <c r="M56" s="77"/>
      <c r="N56" s="63"/>
      <c r="O56" s="63"/>
      <c r="P56" s="77"/>
      <c r="Q56" s="77"/>
      <c r="R56" s="63"/>
      <c r="S56" s="63"/>
      <c r="T56" s="77"/>
      <c r="U56" s="77"/>
      <c r="V56" s="63"/>
      <c r="W56" s="63"/>
      <c r="X56" s="77"/>
      <c r="Y56" s="77"/>
      <c r="Z56" s="63"/>
      <c r="AA56" s="63"/>
      <c r="AB56" s="77"/>
      <c r="AC56" s="77"/>
      <c r="AD56" s="63"/>
      <c r="AE56" s="63"/>
      <c r="AF56" s="77"/>
      <c r="AG56" s="77"/>
      <c r="AH56" s="63"/>
      <c r="AI56" s="63"/>
      <c r="AJ56" s="77"/>
      <c r="AK56" s="77"/>
      <c r="AL56" s="63"/>
      <c r="AM56" s="63"/>
      <c r="AN56" s="77"/>
      <c r="AO56" s="77"/>
      <c r="AP56" s="63"/>
      <c r="AQ56" s="63"/>
      <c r="AR56" s="77"/>
      <c r="AS56" s="77"/>
      <c r="AT56" s="63"/>
      <c r="AU56" s="63"/>
      <c r="AV56" s="77"/>
      <c r="AW56" s="77"/>
      <c r="AX56" s="63"/>
      <c r="AY56" s="63"/>
      <c r="AZ56" s="77"/>
      <c r="BA56" s="77"/>
      <c r="BB56" s="63"/>
      <c r="BC56" s="63"/>
      <c r="BD56" s="77"/>
      <c r="BE56" s="77"/>
      <c r="BF56" s="63"/>
      <c r="BG56" s="63"/>
      <c r="BH56" s="77"/>
      <c r="BI56" s="77"/>
      <c r="BJ56" s="63"/>
      <c r="BK56" s="63"/>
      <c r="BL56" s="77"/>
      <c r="BM56" s="77"/>
      <c r="BN56" s="63"/>
      <c r="BO56" s="63"/>
      <c r="BP56" s="77"/>
      <c r="BQ56" s="77"/>
      <c r="BR56" s="63"/>
      <c r="BS56" s="63"/>
      <c r="BT56" s="77"/>
      <c r="BU56" s="77"/>
      <c r="BV56" s="63"/>
      <c r="BW56" s="63"/>
      <c r="BX56" s="77"/>
      <c r="BY56" s="77"/>
      <c r="BZ56" s="63"/>
      <c r="CA56" s="63"/>
      <c r="CB56" s="77"/>
      <c r="CC56" s="77"/>
      <c r="CD56" s="63"/>
      <c r="CE56" s="63"/>
      <c r="CF56" s="77"/>
      <c r="CG56" s="77"/>
      <c r="CH56" s="63"/>
    </row>
    <row r="57" spans="2:86" ht="33.75" customHeight="1" x14ac:dyDescent="0.35">
      <c r="B57" s="2"/>
      <c r="C57" s="85"/>
      <c r="D57" s="2"/>
      <c r="E57" s="2"/>
      <c r="F57" s="2"/>
      <c r="G57" s="63"/>
      <c r="H57" s="77"/>
      <c r="I57" s="77"/>
      <c r="J57" s="63"/>
      <c r="K57" s="63"/>
      <c r="L57" s="77"/>
      <c r="M57" s="77"/>
      <c r="N57" s="63"/>
      <c r="O57" s="63"/>
      <c r="P57" s="77"/>
      <c r="Q57" s="77"/>
      <c r="R57" s="63"/>
      <c r="S57" s="63"/>
      <c r="T57" s="77"/>
      <c r="U57" s="77"/>
      <c r="V57" s="63"/>
      <c r="W57" s="63"/>
      <c r="X57" s="77"/>
      <c r="Y57" s="77"/>
      <c r="Z57" s="63"/>
      <c r="AA57" s="63"/>
      <c r="AB57" s="77"/>
      <c r="AC57" s="77"/>
      <c r="AD57" s="63"/>
      <c r="AE57" s="63"/>
      <c r="AF57" s="77"/>
      <c r="AG57" s="77"/>
      <c r="AH57" s="63"/>
      <c r="AI57" s="63"/>
      <c r="AJ57" s="77"/>
      <c r="AK57" s="77"/>
      <c r="AL57" s="63"/>
      <c r="AM57" s="63"/>
      <c r="AN57" s="77"/>
      <c r="AO57" s="77"/>
      <c r="AP57" s="63"/>
      <c r="AQ57" s="63"/>
      <c r="AR57" s="77"/>
      <c r="AS57" s="77"/>
      <c r="AT57" s="63"/>
      <c r="AU57" s="63"/>
      <c r="AV57" s="77"/>
      <c r="AW57" s="77"/>
      <c r="AX57" s="63"/>
      <c r="AY57" s="63"/>
      <c r="AZ57" s="77"/>
      <c r="BA57" s="77"/>
      <c r="BB57" s="63"/>
      <c r="BC57" s="63"/>
      <c r="BD57" s="77"/>
      <c r="BE57" s="77"/>
      <c r="BF57" s="63"/>
      <c r="BG57" s="63"/>
      <c r="BH57" s="77"/>
      <c r="BI57" s="77"/>
      <c r="BJ57" s="63"/>
      <c r="BK57" s="63"/>
      <c r="BL57" s="77"/>
      <c r="BM57" s="77"/>
      <c r="BN57" s="63"/>
      <c r="BO57" s="63"/>
      <c r="BP57" s="77"/>
      <c r="BQ57" s="77"/>
      <c r="BR57" s="63"/>
      <c r="BS57" s="63"/>
      <c r="BT57" s="77"/>
      <c r="BU57" s="77"/>
      <c r="BV57" s="63"/>
      <c r="BW57" s="63"/>
      <c r="BX57" s="77"/>
      <c r="BY57" s="77"/>
      <c r="BZ57" s="63"/>
      <c r="CA57" s="63"/>
      <c r="CB57" s="77"/>
      <c r="CC57" s="77"/>
      <c r="CD57" s="63"/>
      <c r="CE57" s="63"/>
      <c r="CF57" s="77"/>
      <c r="CG57" s="77"/>
      <c r="CH57" s="63"/>
    </row>
    <row r="58" spans="2:86" ht="33.75" customHeight="1" x14ac:dyDescent="0.35">
      <c r="B58" s="2"/>
      <c r="C58" s="85"/>
      <c r="D58" s="2"/>
      <c r="E58" s="2"/>
      <c r="F58" s="2"/>
      <c r="G58" s="63"/>
      <c r="H58" s="77"/>
      <c r="I58" s="77"/>
      <c r="J58" s="63"/>
      <c r="K58" s="63"/>
      <c r="L58" s="77"/>
      <c r="M58" s="77"/>
      <c r="N58" s="63"/>
      <c r="O58" s="63"/>
      <c r="P58" s="77"/>
      <c r="Q58" s="77"/>
      <c r="R58" s="63"/>
      <c r="S58" s="63"/>
      <c r="T58" s="77"/>
      <c r="U58" s="77"/>
      <c r="V58" s="63"/>
      <c r="W58" s="63"/>
      <c r="X58" s="77"/>
      <c r="Y58" s="77"/>
      <c r="Z58" s="63"/>
      <c r="AA58" s="63"/>
      <c r="AB58" s="77"/>
      <c r="AC58" s="77"/>
      <c r="AD58" s="63"/>
      <c r="AE58" s="63"/>
      <c r="AF58" s="77"/>
      <c r="AG58" s="77"/>
      <c r="AH58" s="63"/>
      <c r="AI58" s="63"/>
      <c r="AJ58" s="77"/>
      <c r="AK58" s="77"/>
      <c r="AL58" s="63"/>
      <c r="AM58" s="63"/>
      <c r="AN58" s="77"/>
      <c r="AO58" s="77"/>
      <c r="AP58" s="63"/>
      <c r="AQ58" s="63"/>
      <c r="AR58" s="77"/>
      <c r="AS58" s="77"/>
      <c r="AT58" s="63"/>
      <c r="AU58" s="63"/>
      <c r="AV58" s="77"/>
      <c r="AW58" s="77"/>
      <c r="AX58" s="63"/>
      <c r="AY58" s="63"/>
      <c r="AZ58" s="77"/>
      <c r="BA58" s="77"/>
      <c r="BB58" s="63"/>
      <c r="BC58" s="63"/>
      <c r="BD58" s="77"/>
      <c r="BE58" s="77"/>
      <c r="BF58" s="63"/>
      <c r="BG58" s="63"/>
      <c r="BH58" s="77"/>
      <c r="BI58" s="77"/>
      <c r="BJ58" s="63"/>
      <c r="BK58" s="63"/>
      <c r="BL58" s="77"/>
      <c r="BM58" s="77"/>
      <c r="BN58" s="63"/>
      <c r="BO58" s="63"/>
      <c r="BP58" s="77"/>
      <c r="BQ58" s="77"/>
      <c r="BR58" s="63"/>
      <c r="BS58" s="63"/>
      <c r="BT58" s="77"/>
      <c r="BU58" s="77"/>
      <c r="BV58" s="63"/>
      <c r="BW58" s="63"/>
      <c r="BX58" s="77"/>
      <c r="BY58" s="77"/>
      <c r="BZ58" s="63"/>
      <c r="CA58" s="63"/>
      <c r="CB58" s="77"/>
      <c r="CC58" s="77"/>
      <c r="CD58" s="63"/>
      <c r="CE58" s="63"/>
      <c r="CF58" s="77"/>
      <c r="CG58" s="77"/>
      <c r="CH58" s="63"/>
    </row>
    <row r="59" spans="2:86" ht="33.75" customHeight="1" x14ac:dyDescent="0.35">
      <c r="B59" s="2"/>
      <c r="C59" s="85"/>
      <c r="D59" s="2"/>
      <c r="E59" s="2"/>
      <c r="F59" s="2"/>
      <c r="G59" s="63"/>
      <c r="H59" s="77"/>
      <c r="I59" s="77"/>
      <c r="J59" s="63"/>
      <c r="K59" s="63"/>
      <c r="L59" s="77"/>
      <c r="M59" s="77"/>
      <c r="N59" s="63"/>
      <c r="O59" s="63"/>
      <c r="P59" s="77"/>
      <c r="Q59" s="77"/>
      <c r="R59" s="63"/>
      <c r="S59" s="63"/>
      <c r="T59" s="77"/>
      <c r="U59" s="77"/>
      <c r="V59" s="63"/>
      <c r="W59" s="63"/>
      <c r="X59" s="77"/>
      <c r="Y59" s="77"/>
      <c r="Z59" s="63"/>
      <c r="AA59" s="63"/>
      <c r="AB59" s="77"/>
      <c r="AC59" s="77"/>
      <c r="AD59" s="63"/>
      <c r="AE59" s="63"/>
      <c r="AF59" s="77"/>
      <c r="AG59" s="77"/>
      <c r="AH59" s="63"/>
      <c r="AI59" s="63"/>
      <c r="AJ59" s="77"/>
      <c r="AK59" s="77"/>
      <c r="AL59" s="63"/>
      <c r="AM59" s="63"/>
      <c r="AN59" s="77"/>
      <c r="AO59" s="77"/>
      <c r="AP59" s="63"/>
      <c r="AQ59" s="63"/>
      <c r="AR59" s="77"/>
      <c r="AS59" s="77"/>
      <c r="AT59" s="63"/>
      <c r="AU59" s="63"/>
      <c r="AV59" s="77"/>
      <c r="AW59" s="77"/>
      <c r="AX59" s="63"/>
      <c r="AY59" s="63"/>
      <c r="AZ59" s="77"/>
      <c r="BA59" s="77"/>
      <c r="BB59" s="63"/>
      <c r="BC59" s="63"/>
      <c r="BD59" s="77"/>
      <c r="BE59" s="77"/>
      <c r="BF59" s="63"/>
      <c r="BG59" s="63"/>
      <c r="BH59" s="77"/>
      <c r="BI59" s="77"/>
      <c r="BJ59" s="63"/>
      <c r="BK59" s="63"/>
      <c r="BL59" s="77"/>
      <c r="BM59" s="77"/>
      <c r="BN59" s="63"/>
      <c r="BO59" s="63"/>
      <c r="BP59" s="77"/>
      <c r="BQ59" s="77"/>
      <c r="BR59" s="63"/>
      <c r="BS59" s="63"/>
      <c r="BT59" s="77"/>
      <c r="BU59" s="77"/>
      <c r="BV59" s="63"/>
      <c r="BW59" s="63"/>
      <c r="BX59" s="77"/>
      <c r="BY59" s="77"/>
      <c r="BZ59" s="63"/>
      <c r="CA59" s="63"/>
      <c r="CB59" s="77"/>
      <c r="CC59" s="77"/>
      <c r="CD59" s="63"/>
      <c r="CE59" s="63"/>
      <c r="CF59" s="77"/>
      <c r="CG59" s="77"/>
      <c r="CH59" s="63"/>
    </row>
    <row r="60" spans="2:86" ht="33.75" customHeight="1" x14ac:dyDescent="0.35">
      <c r="B60" s="2"/>
      <c r="C60" s="85"/>
      <c r="D60" s="2"/>
      <c r="E60" s="2"/>
      <c r="F60" s="2"/>
      <c r="G60" s="63"/>
      <c r="H60" s="77"/>
      <c r="I60" s="77"/>
      <c r="J60" s="63"/>
      <c r="K60" s="63"/>
      <c r="L60" s="77"/>
      <c r="M60" s="77"/>
      <c r="N60" s="63"/>
      <c r="O60" s="63"/>
      <c r="P60" s="77"/>
      <c r="Q60" s="77"/>
      <c r="R60" s="63"/>
      <c r="S60" s="63"/>
      <c r="T60" s="77"/>
      <c r="U60" s="77"/>
      <c r="V60" s="63"/>
      <c r="W60" s="63"/>
      <c r="X60" s="77"/>
      <c r="Y60" s="77"/>
      <c r="Z60" s="63"/>
      <c r="AA60" s="63"/>
      <c r="AB60" s="77"/>
      <c r="AC60" s="77"/>
      <c r="AD60" s="63"/>
      <c r="AE60" s="63"/>
      <c r="AF60" s="77"/>
      <c r="AG60" s="77"/>
      <c r="AH60" s="63"/>
      <c r="AI60" s="63"/>
      <c r="AJ60" s="77"/>
      <c r="AK60" s="77"/>
      <c r="AL60" s="63"/>
      <c r="AM60" s="63"/>
      <c r="AN60" s="77"/>
      <c r="AO60" s="77"/>
      <c r="AP60" s="63"/>
      <c r="AQ60" s="63"/>
      <c r="AR60" s="77"/>
      <c r="AS60" s="77"/>
      <c r="AT60" s="63"/>
      <c r="AU60" s="63"/>
      <c r="AV60" s="77"/>
      <c r="AW60" s="77"/>
      <c r="AX60" s="63"/>
      <c r="AY60" s="63"/>
      <c r="AZ60" s="77"/>
      <c r="BA60" s="77"/>
      <c r="BB60" s="63"/>
      <c r="BC60" s="63"/>
      <c r="BD60" s="77"/>
      <c r="BE60" s="77"/>
      <c r="BF60" s="63"/>
      <c r="BG60" s="63"/>
      <c r="BH60" s="77"/>
      <c r="BI60" s="77"/>
      <c r="BJ60" s="63"/>
      <c r="BK60" s="63"/>
      <c r="BL60" s="77"/>
      <c r="BM60" s="77"/>
      <c r="BN60" s="63"/>
      <c r="BO60" s="63"/>
      <c r="BP60" s="77"/>
      <c r="BQ60" s="77"/>
      <c r="BR60" s="63"/>
      <c r="BS60" s="63"/>
      <c r="BT60" s="77"/>
      <c r="BU60" s="77"/>
      <c r="BV60" s="63"/>
      <c r="BW60" s="63"/>
      <c r="BX60" s="77"/>
      <c r="BY60" s="77"/>
      <c r="BZ60" s="63"/>
      <c r="CA60" s="63"/>
      <c r="CB60" s="77"/>
      <c r="CC60" s="77"/>
      <c r="CD60" s="63"/>
      <c r="CE60" s="63"/>
      <c r="CF60" s="77"/>
      <c r="CG60" s="77"/>
      <c r="CH60" s="63"/>
    </row>
    <row r="61" spans="2:86" ht="33.75" customHeight="1" x14ac:dyDescent="0.35">
      <c r="B61" s="2"/>
      <c r="C61" s="85"/>
      <c r="D61" s="2"/>
      <c r="E61" s="2"/>
      <c r="F61" s="2"/>
      <c r="G61" s="63"/>
      <c r="H61" s="77"/>
      <c r="I61" s="77"/>
      <c r="J61" s="63"/>
      <c r="K61" s="63"/>
      <c r="L61" s="77"/>
      <c r="M61" s="77"/>
      <c r="N61" s="63"/>
      <c r="O61" s="63"/>
      <c r="P61" s="77"/>
      <c r="Q61" s="77"/>
      <c r="R61" s="63"/>
      <c r="S61" s="63"/>
      <c r="T61" s="77"/>
      <c r="U61" s="77"/>
      <c r="V61" s="63"/>
      <c r="W61" s="63"/>
      <c r="X61" s="77"/>
      <c r="Y61" s="77"/>
      <c r="Z61" s="63"/>
      <c r="AA61" s="63"/>
      <c r="AB61" s="77"/>
      <c r="AC61" s="77"/>
      <c r="AD61" s="63"/>
      <c r="AE61" s="63"/>
      <c r="AF61" s="77"/>
      <c r="AG61" s="77"/>
      <c r="AH61" s="63"/>
      <c r="AI61" s="63"/>
      <c r="AJ61" s="77"/>
      <c r="AK61" s="77"/>
      <c r="AL61" s="63"/>
      <c r="AM61" s="63"/>
      <c r="AN61" s="77"/>
      <c r="AO61" s="77"/>
      <c r="AP61" s="63"/>
      <c r="AQ61" s="63"/>
      <c r="AR61" s="77"/>
      <c r="AS61" s="77"/>
      <c r="AT61" s="63"/>
      <c r="AU61" s="63"/>
      <c r="AV61" s="77"/>
      <c r="AW61" s="77"/>
      <c r="AX61" s="63"/>
      <c r="AY61" s="63"/>
      <c r="AZ61" s="77"/>
      <c r="BA61" s="77"/>
      <c r="BB61" s="63"/>
      <c r="BC61" s="63"/>
      <c r="BD61" s="77"/>
      <c r="BE61" s="77"/>
      <c r="BF61" s="63"/>
      <c r="BG61" s="63"/>
      <c r="BH61" s="77"/>
      <c r="BI61" s="77"/>
      <c r="BJ61" s="63"/>
      <c r="BK61" s="63"/>
      <c r="BL61" s="77"/>
      <c r="BM61" s="77"/>
      <c r="BN61" s="63"/>
      <c r="BO61" s="63"/>
      <c r="BP61" s="77"/>
      <c r="BQ61" s="77"/>
      <c r="BR61" s="63"/>
      <c r="BS61" s="63"/>
      <c r="BT61" s="77"/>
      <c r="BU61" s="77"/>
      <c r="BV61" s="63"/>
      <c r="BW61" s="63"/>
      <c r="BX61" s="77"/>
      <c r="BY61" s="77"/>
      <c r="BZ61" s="63"/>
      <c r="CA61" s="63"/>
      <c r="CB61" s="77"/>
      <c r="CC61" s="77"/>
      <c r="CD61" s="63"/>
      <c r="CE61" s="63"/>
      <c r="CF61" s="77"/>
      <c r="CG61" s="77"/>
      <c r="CH61" s="63"/>
    </row>
    <row r="62" spans="2:86" ht="33.75" customHeight="1" x14ac:dyDescent="0.35">
      <c r="B62" s="2"/>
      <c r="C62" s="85"/>
      <c r="D62" s="2"/>
      <c r="E62" s="2"/>
      <c r="F62" s="2"/>
      <c r="G62" s="63"/>
      <c r="H62" s="77"/>
      <c r="I62" s="77"/>
      <c r="J62" s="63"/>
      <c r="K62" s="63"/>
      <c r="L62" s="77"/>
      <c r="M62" s="77"/>
      <c r="N62" s="63"/>
      <c r="O62" s="63"/>
      <c r="P62" s="77"/>
      <c r="Q62" s="77"/>
      <c r="R62" s="63"/>
      <c r="S62" s="63"/>
      <c r="T62" s="77"/>
      <c r="U62" s="77"/>
      <c r="V62" s="63"/>
      <c r="W62" s="63"/>
      <c r="X62" s="77"/>
      <c r="Y62" s="77"/>
      <c r="Z62" s="63"/>
      <c r="AA62" s="63"/>
      <c r="AB62" s="77"/>
      <c r="AC62" s="77"/>
      <c r="AD62" s="63"/>
      <c r="AE62" s="63"/>
      <c r="AF62" s="77"/>
      <c r="AG62" s="77"/>
      <c r="AH62" s="63"/>
      <c r="AI62" s="63"/>
      <c r="AJ62" s="77"/>
      <c r="AK62" s="77"/>
      <c r="AL62" s="63"/>
      <c r="AM62" s="63"/>
      <c r="AN62" s="77"/>
      <c r="AO62" s="77"/>
      <c r="AP62" s="63"/>
      <c r="AQ62" s="63"/>
      <c r="AR62" s="77"/>
      <c r="AS62" s="77"/>
      <c r="AT62" s="63"/>
      <c r="AU62" s="63"/>
      <c r="AV62" s="77"/>
      <c r="AW62" s="77"/>
      <c r="AX62" s="63"/>
      <c r="AY62" s="63"/>
      <c r="AZ62" s="77"/>
      <c r="BA62" s="77"/>
      <c r="BB62" s="63"/>
      <c r="BC62" s="63"/>
      <c r="BD62" s="77"/>
      <c r="BE62" s="77"/>
      <c r="BF62" s="63"/>
      <c r="BG62" s="63"/>
      <c r="BH62" s="77"/>
      <c r="BI62" s="77"/>
      <c r="BJ62" s="63"/>
      <c r="BK62" s="63"/>
      <c r="BL62" s="77"/>
      <c r="BM62" s="77"/>
      <c r="BN62" s="63"/>
      <c r="BO62" s="63"/>
      <c r="BP62" s="77"/>
      <c r="BQ62" s="77"/>
      <c r="BR62" s="63"/>
      <c r="BS62" s="63"/>
      <c r="BT62" s="77"/>
      <c r="BU62" s="77"/>
      <c r="BV62" s="63"/>
      <c r="BW62" s="63"/>
      <c r="BX62" s="77"/>
      <c r="BY62" s="77"/>
      <c r="BZ62" s="63"/>
      <c r="CA62" s="63"/>
      <c r="CB62" s="77"/>
      <c r="CC62" s="77"/>
      <c r="CD62" s="63"/>
      <c r="CE62" s="63"/>
      <c r="CF62" s="77"/>
      <c r="CG62" s="77"/>
      <c r="CH62" s="63"/>
    </row>
    <row r="63" spans="2:86" ht="33.75" customHeight="1" collapsed="1" x14ac:dyDescent="0.35">
      <c r="B63" s="2"/>
      <c r="C63" s="85"/>
      <c r="D63" s="2"/>
      <c r="E63" s="2"/>
      <c r="F63" s="2"/>
      <c r="G63" s="63"/>
      <c r="H63" s="77"/>
      <c r="I63" s="77"/>
      <c r="J63" s="63"/>
      <c r="K63" s="63"/>
      <c r="L63" s="77"/>
      <c r="M63" s="77"/>
      <c r="N63" s="63"/>
      <c r="O63" s="63"/>
      <c r="P63" s="77"/>
      <c r="Q63" s="77"/>
      <c r="R63" s="63"/>
      <c r="S63" s="63"/>
      <c r="T63" s="77"/>
      <c r="U63" s="77"/>
      <c r="V63" s="63"/>
      <c r="W63" s="63"/>
      <c r="X63" s="77"/>
      <c r="Y63" s="77"/>
      <c r="Z63" s="63"/>
      <c r="AA63" s="63"/>
      <c r="AB63" s="77"/>
      <c r="AC63" s="77"/>
      <c r="AD63" s="63"/>
      <c r="AE63" s="63"/>
      <c r="AF63" s="77"/>
      <c r="AG63" s="77"/>
      <c r="AH63" s="63"/>
      <c r="AI63" s="63"/>
      <c r="AJ63" s="77"/>
      <c r="AK63" s="77"/>
      <c r="AL63" s="63"/>
      <c r="AM63" s="63"/>
      <c r="AN63" s="77"/>
      <c r="AO63" s="77"/>
      <c r="AP63" s="63"/>
      <c r="AQ63" s="63"/>
      <c r="AR63" s="77"/>
      <c r="AS63" s="77"/>
      <c r="AT63" s="63"/>
      <c r="AU63" s="63"/>
      <c r="AV63" s="77"/>
      <c r="AW63" s="77"/>
      <c r="AX63" s="63"/>
      <c r="AY63" s="63"/>
      <c r="AZ63" s="77"/>
      <c r="BA63" s="77"/>
      <c r="BB63" s="63"/>
      <c r="BC63" s="63"/>
      <c r="BD63" s="77"/>
      <c r="BE63" s="77"/>
      <c r="BF63" s="63"/>
      <c r="BG63" s="63"/>
      <c r="BH63" s="77"/>
      <c r="BI63" s="77"/>
      <c r="BJ63" s="63"/>
      <c r="BK63" s="63"/>
      <c r="BL63" s="77"/>
      <c r="BM63" s="77"/>
      <c r="BN63" s="63"/>
      <c r="BO63" s="63"/>
      <c r="BP63" s="77"/>
      <c r="BQ63" s="77"/>
      <c r="BR63" s="63"/>
      <c r="BS63" s="63"/>
      <c r="BT63" s="77"/>
      <c r="BU63" s="77"/>
      <c r="BV63" s="63"/>
      <c r="BW63" s="63"/>
      <c r="BX63" s="77"/>
      <c r="BY63" s="77"/>
      <c r="BZ63" s="63"/>
      <c r="CA63" s="63"/>
      <c r="CB63" s="77"/>
      <c r="CC63" s="77"/>
      <c r="CD63" s="63"/>
      <c r="CE63" s="63"/>
      <c r="CF63" s="77"/>
      <c r="CG63" s="77"/>
      <c r="CH63" s="63"/>
    </row>
    <row r="64" spans="2:86" ht="33.75" customHeight="1" x14ac:dyDescent="0.35">
      <c r="C64" s="85"/>
      <c r="D64" s="6"/>
      <c r="E64" s="6"/>
      <c r="F64" s="6"/>
      <c r="G64" s="74"/>
      <c r="H64" s="73"/>
      <c r="I64" s="73"/>
      <c r="J64" s="74"/>
      <c r="K64" s="74"/>
      <c r="L64" s="73"/>
      <c r="M64" s="73"/>
      <c r="N64" s="74"/>
      <c r="O64" s="74"/>
      <c r="P64" s="73"/>
      <c r="Q64" s="73"/>
      <c r="R64" s="74"/>
      <c r="S64" s="74"/>
      <c r="T64" s="73"/>
      <c r="U64" s="73"/>
      <c r="V64" s="74"/>
      <c r="W64" s="74"/>
      <c r="X64" s="73"/>
      <c r="Y64" s="73"/>
      <c r="Z64" s="74"/>
      <c r="AA64" s="74"/>
      <c r="AB64" s="73"/>
      <c r="AC64" s="73"/>
      <c r="AD64" s="74"/>
      <c r="AE64" s="74"/>
      <c r="AF64" s="73"/>
      <c r="AG64" s="73"/>
      <c r="AH64" s="74"/>
      <c r="AI64" s="74"/>
      <c r="AJ64" s="73"/>
      <c r="AK64" s="73"/>
      <c r="AL64" s="74"/>
      <c r="AM64" s="74"/>
      <c r="AN64" s="73"/>
      <c r="AO64" s="73"/>
      <c r="AP64" s="74"/>
      <c r="AQ64" s="74"/>
      <c r="AR64" s="73"/>
      <c r="AS64" s="73"/>
      <c r="AT64" s="74"/>
      <c r="AU64" s="74"/>
      <c r="AV64" s="73"/>
      <c r="AW64" s="73"/>
      <c r="AX64" s="74"/>
      <c r="AY64" s="74"/>
      <c r="AZ64" s="73"/>
      <c r="BA64" s="73"/>
      <c r="BB64" s="74"/>
      <c r="BC64" s="74"/>
      <c r="BD64" s="73"/>
      <c r="BE64" s="73"/>
      <c r="BF64" s="74"/>
      <c r="BG64" s="74"/>
      <c r="BH64" s="73"/>
      <c r="BI64" s="73"/>
      <c r="BJ64" s="74"/>
      <c r="BK64" s="74"/>
      <c r="BL64" s="73"/>
      <c r="BM64" s="73"/>
      <c r="BN64" s="74"/>
      <c r="BO64" s="74"/>
      <c r="BP64" s="73"/>
      <c r="BQ64" s="73"/>
      <c r="BR64" s="74"/>
      <c r="BS64" s="74"/>
      <c r="BT64" s="73"/>
      <c r="BU64" s="73"/>
      <c r="BV64" s="74"/>
      <c r="BW64" s="74"/>
      <c r="BX64" s="73"/>
      <c r="BY64" s="73"/>
      <c r="BZ64" s="74"/>
      <c r="CA64" s="74"/>
      <c r="CB64" s="73"/>
      <c r="CC64" s="73"/>
      <c r="CD64" s="74"/>
      <c r="CE64" s="74"/>
      <c r="CF64" s="73"/>
      <c r="CG64" s="73"/>
      <c r="CH64" s="74"/>
    </row>
    <row r="65" spans="3:86" ht="33.75" customHeight="1" x14ac:dyDescent="0.35">
      <c r="C65" s="85"/>
      <c r="D65" s="6"/>
      <c r="E65" s="6"/>
      <c r="F65" s="6"/>
      <c r="G65" s="74"/>
      <c r="H65" s="73"/>
      <c r="I65" s="73"/>
      <c r="J65" s="74"/>
      <c r="K65" s="74"/>
      <c r="L65" s="73"/>
      <c r="M65" s="73"/>
      <c r="N65" s="74"/>
      <c r="O65" s="74"/>
      <c r="P65" s="73"/>
      <c r="Q65" s="73"/>
      <c r="R65" s="74"/>
      <c r="S65" s="74"/>
      <c r="T65" s="73"/>
      <c r="U65" s="73"/>
      <c r="V65" s="74"/>
      <c r="W65" s="74"/>
      <c r="X65" s="73"/>
      <c r="Y65" s="73"/>
      <c r="Z65" s="74"/>
      <c r="AA65" s="74"/>
      <c r="AB65" s="73"/>
      <c r="AC65" s="73"/>
      <c r="AD65" s="74"/>
      <c r="AE65" s="74"/>
      <c r="AF65" s="73"/>
      <c r="AG65" s="73"/>
      <c r="AH65" s="74"/>
      <c r="AI65" s="74"/>
      <c r="AJ65" s="73"/>
      <c r="AK65" s="73"/>
      <c r="AL65" s="74"/>
      <c r="AM65" s="74"/>
      <c r="AN65" s="73"/>
      <c r="AO65" s="73"/>
      <c r="AP65" s="74"/>
      <c r="AQ65" s="74"/>
      <c r="AR65" s="73"/>
      <c r="AS65" s="73"/>
      <c r="AT65" s="74"/>
      <c r="AU65" s="74"/>
      <c r="AV65" s="73"/>
      <c r="AW65" s="73"/>
      <c r="AX65" s="74"/>
      <c r="AY65" s="74"/>
      <c r="AZ65" s="73"/>
      <c r="BA65" s="73"/>
      <c r="BB65" s="74"/>
      <c r="BC65" s="74"/>
      <c r="BD65" s="73"/>
      <c r="BE65" s="73"/>
      <c r="BF65" s="74"/>
      <c r="BG65" s="74"/>
      <c r="BH65" s="73"/>
      <c r="BI65" s="73"/>
      <c r="BJ65" s="74"/>
      <c r="BK65" s="74"/>
      <c r="BL65" s="73"/>
      <c r="BM65" s="73"/>
      <c r="BN65" s="74"/>
      <c r="BO65" s="74"/>
      <c r="BP65" s="73"/>
      <c r="BQ65" s="73"/>
      <c r="BR65" s="74"/>
      <c r="BS65" s="74"/>
      <c r="BT65" s="73"/>
      <c r="BU65" s="73"/>
      <c r="BV65" s="74"/>
      <c r="BW65" s="74"/>
      <c r="BX65" s="73"/>
      <c r="BY65" s="73"/>
      <c r="BZ65" s="74"/>
      <c r="CA65" s="74"/>
      <c r="CB65" s="73"/>
      <c r="CC65" s="73"/>
      <c r="CD65" s="74"/>
      <c r="CE65" s="74"/>
      <c r="CF65" s="73"/>
      <c r="CG65" s="73"/>
      <c r="CH65" s="74"/>
    </row>
    <row r="66" spans="3:86" ht="33.75" customHeight="1" x14ac:dyDescent="0.35">
      <c r="C66" s="85"/>
      <c r="D66" s="6"/>
      <c r="E66" s="6"/>
      <c r="F66" s="6"/>
      <c r="G66" s="74"/>
      <c r="H66" s="73"/>
      <c r="I66" s="73"/>
      <c r="J66" s="74"/>
      <c r="K66" s="74"/>
      <c r="L66" s="73"/>
      <c r="M66" s="73"/>
      <c r="N66" s="74"/>
      <c r="O66" s="74"/>
      <c r="P66" s="73"/>
      <c r="Q66" s="73"/>
      <c r="R66" s="74"/>
      <c r="S66" s="74"/>
      <c r="T66" s="73"/>
      <c r="U66" s="73"/>
      <c r="V66" s="74"/>
      <c r="W66" s="74"/>
      <c r="X66" s="73"/>
      <c r="Y66" s="73"/>
      <c r="Z66" s="74"/>
      <c r="AA66" s="74"/>
      <c r="AB66" s="73"/>
      <c r="AC66" s="73"/>
      <c r="AD66" s="74"/>
      <c r="AE66" s="74"/>
      <c r="AF66" s="73"/>
      <c r="AG66" s="73"/>
      <c r="AH66" s="74"/>
      <c r="AI66" s="74"/>
      <c r="AJ66" s="73"/>
      <c r="AK66" s="73"/>
      <c r="AL66" s="74"/>
      <c r="AM66" s="74"/>
      <c r="AN66" s="73"/>
      <c r="AO66" s="73"/>
      <c r="AP66" s="74"/>
      <c r="AQ66" s="74"/>
      <c r="AR66" s="73"/>
      <c r="AS66" s="73"/>
      <c r="AT66" s="74"/>
      <c r="AU66" s="74"/>
      <c r="AV66" s="73"/>
      <c r="AW66" s="73"/>
      <c r="AX66" s="74"/>
      <c r="AY66" s="74"/>
      <c r="AZ66" s="73"/>
      <c r="BA66" s="73"/>
      <c r="BB66" s="74"/>
      <c r="BC66" s="74"/>
      <c r="BD66" s="73"/>
      <c r="BE66" s="73"/>
      <c r="BF66" s="74"/>
      <c r="BG66" s="74"/>
      <c r="BH66" s="73"/>
      <c r="BI66" s="73"/>
      <c r="BJ66" s="74"/>
      <c r="BK66" s="74"/>
      <c r="BL66" s="73"/>
      <c r="BM66" s="73"/>
      <c r="BN66" s="74"/>
      <c r="BO66" s="74"/>
      <c r="BP66" s="73"/>
      <c r="BQ66" s="73"/>
      <c r="BR66" s="74"/>
      <c r="BS66" s="74"/>
      <c r="BT66" s="73"/>
      <c r="BU66" s="73"/>
      <c r="BV66" s="74"/>
      <c r="BW66" s="74"/>
      <c r="BX66" s="73"/>
      <c r="BY66" s="73"/>
      <c r="BZ66" s="74"/>
      <c r="CA66" s="74"/>
      <c r="CB66" s="73"/>
      <c r="CC66" s="73"/>
      <c r="CD66" s="74"/>
      <c r="CE66" s="74"/>
      <c r="CF66" s="73"/>
      <c r="CG66" s="73"/>
      <c r="CH66" s="74"/>
    </row>
    <row r="67" spans="3:86" ht="33.75" customHeight="1" x14ac:dyDescent="0.35">
      <c r="C67" s="85"/>
      <c r="D67" s="6"/>
      <c r="E67" s="6"/>
      <c r="F67" s="6"/>
      <c r="G67" s="74"/>
      <c r="H67" s="73"/>
      <c r="I67" s="73"/>
      <c r="J67" s="74"/>
      <c r="K67" s="74"/>
      <c r="L67" s="73"/>
      <c r="M67" s="73"/>
      <c r="N67" s="74"/>
      <c r="O67" s="74"/>
      <c r="P67" s="73"/>
      <c r="Q67" s="73"/>
      <c r="R67" s="74"/>
      <c r="S67" s="74"/>
      <c r="T67" s="73"/>
      <c r="U67" s="73"/>
      <c r="V67" s="74"/>
      <c r="W67" s="74"/>
      <c r="X67" s="73"/>
      <c r="Y67" s="73"/>
      <c r="Z67" s="74"/>
      <c r="AA67" s="74"/>
      <c r="AB67" s="73"/>
      <c r="AC67" s="73"/>
      <c r="AD67" s="74"/>
      <c r="AE67" s="74"/>
      <c r="AF67" s="73"/>
      <c r="AG67" s="73"/>
      <c r="AH67" s="74"/>
      <c r="AI67" s="74"/>
      <c r="AJ67" s="73"/>
      <c r="AK67" s="73"/>
      <c r="AL67" s="74"/>
      <c r="AM67" s="74"/>
      <c r="AN67" s="73"/>
      <c r="AO67" s="73"/>
      <c r="AP67" s="74"/>
      <c r="AQ67" s="74"/>
      <c r="AR67" s="73"/>
      <c r="AS67" s="73"/>
      <c r="AT67" s="74"/>
      <c r="AU67" s="74"/>
      <c r="AV67" s="73"/>
      <c r="AW67" s="73"/>
      <c r="AX67" s="74"/>
      <c r="AY67" s="74"/>
      <c r="AZ67" s="73"/>
      <c r="BA67" s="73"/>
      <c r="BB67" s="74"/>
      <c r="BC67" s="74"/>
      <c r="BD67" s="73"/>
      <c r="BE67" s="73"/>
      <c r="BF67" s="74"/>
      <c r="BG67" s="74"/>
      <c r="BH67" s="73"/>
      <c r="BI67" s="73"/>
      <c r="BJ67" s="74"/>
      <c r="BK67" s="74"/>
      <c r="BL67" s="73"/>
      <c r="BM67" s="73"/>
      <c r="BN67" s="74"/>
      <c r="BO67" s="74"/>
      <c r="BP67" s="73"/>
      <c r="BQ67" s="73"/>
      <c r="BR67" s="74"/>
      <c r="BS67" s="74"/>
      <c r="BT67" s="73"/>
      <c r="BU67" s="73"/>
      <c r="BV67" s="74"/>
      <c r="BW67" s="74"/>
      <c r="BX67" s="73"/>
      <c r="BY67" s="73"/>
      <c r="BZ67" s="74"/>
      <c r="CA67" s="74"/>
      <c r="CB67" s="73"/>
      <c r="CC67" s="73"/>
      <c r="CD67" s="74"/>
      <c r="CE67" s="74"/>
      <c r="CF67" s="73"/>
      <c r="CG67" s="73"/>
      <c r="CH67" s="74"/>
    </row>
    <row r="68" spans="3:86" ht="33.75" customHeight="1" x14ac:dyDescent="0.35">
      <c r="C68" s="85"/>
      <c r="D68" s="6"/>
      <c r="E68" s="6"/>
      <c r="F68" s="6"/>
      <c r="G68" s="74"/>
      <c r="H68" s="73"/>
      <c r="I68" s="73"/>
      <c r="J68" s="74"/>
      <c r="K68" s="74"/>
      <c r="L68" s="73"/>
      <c r="M68" s="73"/>
      <c r="N68" s="74"/>
      <c r="O68" s="74"/>
      <c r="P68" s="73"/>
      <c r="Q68" s="73"/>
      <c r="R68" s="74"/>
      <c r="S68" s="74"/>
      <c r="T68" s="73"/>
      <c r="U68" s="73"/>
      <c r="V68" s="74"/>
      <c r="W68" s="74"/>
      <c r="X68" s="73"/>
      <c r="Y68" s="73"/>
      <c r="Z68" s="74"/>
      <c r="AA68" s="74"/>
      <c r="AB68" s="73"/>
      <c r="AC68" s="73"/>
      <c r="AD68" s="74"/>
      <c r="AE68" s="74"/>
      <c r="AF68" s="73"/>
      <c r="AG68" s="73"/>
      <c r="AH68" s="74"/>
      <c r="AI68" s="74"/>
      <c r="AJ68" s="73"/>
      <c r="AK68" s="73"/>
      <c r="AL68" s="74"/>
      <c r="AM68" s="74"/>
      <c r="AN68" s="73"/>
      <c r="AO68" s="73"/>
      <c r="AP68" s="74"/>
      <c r="AQ68" s="74"/>
      <c r="AR68" s="73"/>
      <c r="AS68" s="73"/>
      <c r="AT68" s="74"/>
      <c r="AU68" s="74"/>
      <c r="AV68" s="73"/>
      <c r="AW68" s="73"/>
      <c r="AX68" s="74"/>
      <c r="AY68" s="74"/>
      <c r="AZ68" s="73"/>
      <c r="BA68" s="73"/>
      <c r="BB68" s="74"/>
      <c r="BC68" s="74"/>
      <c r="BD68" s="73"/>
      <c r="BE68" s="73"/>
      <c r="BF68" s="74"/>
      <c r="BG68" s="74"/>
      <c r="BH68" s="73"/>
      <c r="BI68" s="73"/>
      <c r="BJ68" s="74"/>
      <c r="BK68" s="74"/>
      <c r="BL68" s="73"/>
      <c r="BM68" s="73"/>
      <c r="BN68" s="74"/>
      <c r="BO68" s="74"/>
      <c r="BP68" s="73"/>
      <c r="BQ68" s="73"/>
      <c r="BR68" s="74"/>
      <c r="BS68" s="74"/>
      <c r="BT68" s="73"/>
      <c r="BU68" s="73"/>
      <c r="BV68" s="74"/>
      <c r="BW68" s="74"/>
      <c r="BX68" s="73"/>
      <c r="BY68" s="73"/>
      <c r="BZ68" s="74"/>
      <c r="CA68" s="74"/>
      <c r="CB68" s="73"/>
      <c r="CC68" s="73"/>
      <c r="CD68" s="74"/>
      <c r="CE68" s="74"/>
      <c r="CF68" s="73"/>
      <c r="CG68" s="73"/>
      <c r="CH68" s="74"/>
    </row>
    <row r="69" spans="3:86" ht="33.75" customHeight="1" x14ac:dyDescent="0.35">
      <c r="C69" s="85"/>
      <c r="D69" s="6"/>
      <c r="E69" s="6"/>
      <c r="F69" s="6"/>
      <c r="G69" s="74"/>
      <c r="H69" s="73"/>
      <c r="I69" s="73"/>
      <c r="J69" s="74"/>
      <c r="K69" s="74"/>
      <c r="L69" s="73"/>
      <c r="M69" s="73"/>
      <c r="N69" s="74"/>
      <c r="O69" s="74"/>
      <c r="P69" s="73"/>
      <c r="Q69" s="73"/>
      <c r="R69" s="74"/>
      <c r="S69" s="74"/>
      <c r="T69" s="73"/>
      <c r="U69" s="73"/>
      <c r="V69" s="74"/>
      <c r="W69" s="74"/>
      <c r="X69" s="73"/>
      <c r="Y69" s="73"/>
      <c r="Z69" s="74"/>
      <c r="AA69" s="74"/>
      <c r="AB69" s="73"/>
      <c r="AC69" s="73"/>
      <c r="AD69" s="74"/>
      <c r="AE69" s="74"/>
      <c r="AF69" s="73"/>
      <c r="AG69" s="73"/>
      <c r="AH69" s="74"/>
      <c r="AI69" s="74"/>
      <c r="AJ69" s="73"/>
      <c r="AK69" s="73"/>
      <c r="AL69" s="74"/>
      <c r="AM69" s="74"/>
      <c r="AN69" s="73"/>
      <c r="AO69" s="73"/>
      <c r="AP69" s="74"/>
      <c r="AQ69" s="74"/>
      <c r="AR69" s="73"/>
      <c r="AS69" s="73"/>
      <c r="AT69" s="74"/>
      <c r="AU69" s="74"/>
      <c r="AV69" s="73"/>
      <c r="AW69" s="73"/>
      <c r="AX69" s="74"/>
      <c r="AY69" s="74"/>
      <c r="AZ69" s="73"/>
      <c r="BA69" s="73"/>
      <c r="BB69" s="74"/>
      <c r="BC69" s="74"/>
      <c r="BD69" s="73"/>
      <c r="BE69" s="73"/>
      <c r="BF69" s="74"/>
      <c r="BG69" s="74"/>
      <c r="BH69" s="73"/>
      <c r="BI69" s="73"/>
      <c r="BJ69" s="74"/>
      <c r="BK69" s="74"/>
      <c r="BL69" s="73"/>
      <c r="BM69" s="73"/>
      <c r="BN69" s="74"/>
      <c r="BO69" s="74"/>
      <c r="BP69" s="73"/>
      <c r="BQ69" s="73"/>
      <c r="BR69" s="74"/>
      <c r="BS69" s="74"/>
      <c r="BT69" s="73"/>
      <c r="BU69" s="73"/>
      <c r="BV69" s="74"/>
      <c r="BW69" s="74"/>
      <c r="BX69" s="73"/>
      <c r="BY69" s="73"/>
      <c r="BZ69" s="74"/>
      <c r="CA69" s="74"/>
      <c r="CB69" s="73"/>
      <c r="CC69" s="73"/>
      <c r="CD69" s="74"/>
      <c r="CE69" s="74"/>
      <c r="CF69" s="73"/>
      <c r="CG69" s="73"/>
      <c r="CH69" s="74"/>
    </row>
    <row r="70" spans="3:86" ht="33.75" customHeight="1" x14ac:dyDescent="0.35">
      <c r="C70" s="85"/>
      <c r="D70" s="6"/>
      <c r="E70" s="6"/>
      <c r="F70" s="6"/>
      <c r="G70" s="74"/>
      <c r="H70" s="73"/>
      <c r="I70" s="73"/>
      <c r="J70" s="74"/>
      <c r="K70" s="74"/>
      <c r="L70" s="73"/>
      <c r="M70" s="73"/>
      <c r="N70" s="74"/>
      <c r="O70" s="74"/>
      <c r="P70" s="73"/>
      <c r="Q70" s="73"/>
      <c r="R70" s="74"/>
      <c r="S70" s="74"/>
      <c r="T70" s="73"/>
      <c r="U70" s="73"/>
      <c r="V70" s="74"/>
      <c r="W70" s="74"/>
      <c r="X70" s="73"/>
      <c r="Y70" s="73"/>
      <c r="Z70" s="74"/>
      <c r="AA70" s="74"/>
      <c r="AB70" s="73"/>
      <c r="AC70" s="73"/>
      <c r="AD70" s="74"/>
      <c r="AE70" s="74"/>
      <c r="AF70" s="73"/>
      <c r="AG70" s="73"/>
      <c r="AH70" s="74"/>
      <c r="AI70" s="74"/>
      <c r="AJ70" s="73"/>
      <c r="AK70" s="73"/>
      <c r="AL70" s="74"/>
      <c r="AM70" s="74"/>
      <c r="AN70" s="73"/>
      <c r="AO70" s="73"/>
      <c r="AP70" s="74"/>
      <c r="AQ70" s="74"/>
      <c r="AR70" s="73"/>
      <c r="AS70" s="73"/>
      <c r="AT70" s="74"/>
      <c r="AU70" s="74"/>
      <c r="AV70" s="73"/>
      <c r="AW70" s="73"/>
      <c r="AX70" s="74"/>
      <c r="AY70" s="74"/>
      <c r="AZ70" s="73"/>
      <c r="BA70" s="73"/>
      <c r="BB70" s="74"/>
      <c r="BC70" s="74"/>
      <c r="BD70" s="73"/>
      <c r="BE70" s="73"/>
      <c r="BF70" s="74"/>
      <c r="BG70" s="74"/>
      <c r="BH70" s="73"/>
      <c r="BI70" s="73"/>
      <c r="BJ70" s="74"/>
      <c r="BK70" s="74"/>
      <c r="BL70" s="73"/>
      <c r="BM70" s="73"/>
      <c r="BN70" s="74"/>
      <c r="BO70" s="74"/>
      <c r="BP70" s="73"/>
      <c r="BQ70" s="73"/>
      <c r="BR70" s="74"/>
      <c r="BS70" s="74"/>
      <c r="BT70" s="73"/>
      <c r="BU70" s="73"/>
      <c r="BV70" s="74"/>
      <c r="BW70" s="74"/>
      <c r="BX70" s="73"/>
      <c r="BY70" s="73"/>
      <c r="BZ70" s="74"/>
      <c r="CA70" s="74"/>
      <c r="CB70" s="73"/>
      <c r="CC70" s="73"/>
      <c r="CD70" s="74"/>
      <c r="CE70" s="74"/>
      <c r="CF70" s="73"/>
      <c r="CG70" s="73"/>
      <c r="CH70" s="74"/>
    </row>
    <row r="71" spans="3:86" ht="33.75" customHeight="1" x14ac:dyDescent="0.35">
      <c r="C71" s="85"/>
      <c r="D71" s="6"/>
      <c r="E71" s="6"/>
      <c r="F71" s="6"/>
      <c r="G71" s="74"/>
      <c r="H71" s="73"/>
      <c r="I71" s="73"/>
      <c r="J71" s="74"/>
      <c r="K71" s="74"/>
      <c r="L71" s="73"/>
      <c r="M71" s="73"/>
      <c r="N71" s="74"/>
      <c r="O71" s="74"/>
      <c r="P71" s="73"/>
      <c r="Q71" s="73"/>
      <c r="R71" s="74"/>
      <c r="S71" s="74"/>
      <c r="T71" s="73"/>
      <c r="U71" s="73"/>
      <c r="V71" s="74"/>
      <c r="W71" s="74"/>
      <c r="X71" s="73"/>
      <c r="Y71" s="73"/>
      <c r="Z71" s="74"/>
      <c r="AA71" s="74"/>
      <c r="AB71" s="73"/>
      <c r="AC71" s="73"/>
      <c r="AD71" s="74"/>
      <c r="AE71" s="74"/>
      <c r="AF71" s="73"/>
      <c r="AG71" s="73"/>
      <c r="AH71" s="74"/>
      <c r="AI71" s="74"/>
      <c r="AJ71" s="73"/>
      <c r="AK71" s="73"/>
      <c r="AL71" s="74"/>
      <c r="AM71" s="74"/>
      <c r="AN71" s="73"/>
      <c r="AO71" s="73"/>
      <c r="AP71" s="74"/>
      <c r="AQ71" s="74"/>
      <c r="AR71" s="73"/>
      <c r="AS71" s="73"/>
      <c r="AT71" s="74"/>
      <c r="AU71" s="74"/>
      <c r="AV71" s="73"/>
      <c r="AW71" s="73"/>
      <c r="AX71" s="74"/>
      <c r="AY71" s="74"/>
      <c r="AZ71" s="73"/>
      <c r="BA71" s="73"/>
      <c r="BB71" s="74"/>
      <c r="BC71" s="74"/>
      <c r="BD71" s="73"/>
      <c r="BE71" s="73"/>
      <c r="BF71" s="74"/>
      <c r="BG71" s="74"/>
      <c r="BH71" s="73"/>
      <c r="BI71" s="73"/>
      <c r="BJ71" s="74"/>
      <c r="BK71" s="74"/>
      <c r="BL71" s="73"/>
      <c r="BM71" s="73"/>
      <c r="BN71" s="74"/>
      <c r="BO71" s="74"/>
      <c r="BP71" s="73"/>
      <c r="BQ71" s="73"/>
      <c r="BR71" s="74"/>
      <c r="BS71" s="74"/>
      <c r="BT71" s="73"/>
      <c r="BU71" s="73"/>
      <c r="BV71" s="74"/>
      <c r="BW71" s="74"/>
      <c r="BX71" s="73"/>
      <c r="BY71" s="73"/>
      <c r="BZ71" s="74"/>
      <c r="CA71" s="74"/>
      <c r="CB71" s="73"/>
      <c r="CC71" s="73"/>
      <c r="CD71" s="74"/>
      <c r="CE71" s="74"/>
      <c r="CF71" s="73"/>
      <c r="CG71" s="73"/>
      <c r="CH71" s="74"/>
    </row>
    <row r="72" spans="3:86" ht="33.75" customHeight="1" x14ac:dyDescent="0.35">
      <c r="C72" s="85"/>
      <c r="D72" s="6"/>
      <c r="E72" s="6"/>
      <c r="F72" s="6"/>
      <c r="G72" s="74"/>
      <c r="H72" s="73"/>
      <c r="I72" s="73"/>
      <c r="J72" s="74"/>
      <c r="K72" s="74"/>
      <c r="L72" s="73"/>
      <c r="M72" s="73"/>
      <c r="N72" s="74"/>
      <c r="O72" s="74"/>
      <c r="P72" s="73"/>
      <c r="Q72" s="73"/>
      <c r="R72" s="74"/>
      <c r="S72" s="74"/>
      <c r="T72" s="73"/>
      <c r="U72" s="73"/>
      <c r="V72" s="74"/>
      <c r="W72" s="74"/>
      <c r="X72" s="73"/>
      <c r="Y72" s="73"/>
      <c r="Z72" s="74"/>
      <c r="AA72" s="74"/>
      <c r="AB72" s="73"/>
      <c r="AC72" s="73"/>
      <c r="AD72" s="74"/>
      <c r="AE72" s="74"/>
      <c r="AF72" s="73"/>
      <c r="AG72" s="73"/>
      <c r="AH72" s="74"/>
      <c r="AI72" s="74"/>
      <c r="AJ72" s="73"/>
      <c r="AK72" s="73"/>
      <c r="AL72" s="74"/>
      <c r="AM72" s="74"/>
      <c r="AN72" s="73"/>
      <c r="AO72" s="73"/>
      <c r="AP72" s="74"/>
      <c r="AQ72" s="74"/>
      <c r="AR72" s="73"/>
      <c r="AS72" s="73"/>
      <c r="AT72" s="74"/>
      <c r="AU72" s="74"/>
      <c r="AV72" s="73"/>
      <c r="AW72" s="73"/>
      <c r="AX72" s="74"/>
      <c r="AY72" s="74"/>
      <c r="AZ72" s="73"/>
      <c r="BA72" s="73"/>
      <c r="BB72" s="74"/>
      <c r="BC72" s="74"/>
      <c r="BD72" s="73"/>
      <c r="BE72" s="73"/>
      <c r="BF72" s="74"/>
      <c r="BG72" s="74"/>
      <c r="BH72" s="73"/>
      <c r="BI72" s="73"/>
      <c r="BJ72" s="74"/>
      <c r="BK72" s="74"/>
      <c r="BL72" s="73"/>
      <c r="BM72" s="73"/>
      <c r="BN72" s="74"/>
      <c r="BO72" s="74"/>
      <c r="BP72" s="73"/>
      <c r="BQ72" s="73"/>
      <c r="BR72" s="74"/>
      <c r="BS72" s="74"/>
      <c r="BT72" s="73"/>
      <c r="BU72" s="73"/>
      <c r="BV72" s="74"/>
      <c r="BW72" s="74"/>
      <c r="BX72" s="73"/>
      <c r="BY72" s="73"/>
      <c r="BZ72" s="74"/>
      <c r="CA72" s="74"/>
      <c r="CB72" s="73"/>
      <c r="CC72" s="73"/>
      <c r="CD72" s="74"/>
      <c r="CE72" s="74"/>
      <c r="CF72" s="73"/>
      <c r="CG72" s="73"/>
      <c r="CH72" s="74"/>
    </row>
    <row r="73" spans="3:86" ht="33.75" customHeight="1" x14ac:dyDescent="0.35">
      <c r="C73" s="85"/>
      <c r="D73" s="6"/>
      <c r="E73" s="6"/>
      <c r="F73" s="6"/>
      <c r="G73" s="74"/>
      <c r="H73" s="73"/>
      <c r="I73" s="73"/>
      <c r="J73" s="74"/>
      <c r="K73" s="74"/>
      <c r="L73" s="73"/>
      <c r="M73" s="73"/>
      <c r="N73" s="74"/>
      <c r="O73" s="74"/>
      <c r="P73" s="73"/>
      <c r="Q73" s="73"/>
      <c r="R73" s="74"/>
      <c r="S73" s="74"/>
      <c r="T73" s="73"/>
      <c r="U73" s="73"/>
      <c r="V73" s="74"/>
      <c r="W73" s="74"/>
      <c r="X73" s="73"/>
      <c r="Y73" s="73"/>
      <c r="Z73" s="74"/>
      <c r="AA73" s="74"/>
      <c r="AB73" s="73"/>
      <c r="AC73" s="73"/>
      <c r="AD73" s="74"/>
      <c r="AE73" s="74"/>
      <c r="AF73" s="73"/>
      <c r="AG73" s="73"/>
      <c r="AH73" s="74"/>
      <c r="AI73" s="74"/>
      <c r="AJ73" s="73"/>
      <c r="AK73" s="73"/>
      <c r="AL73" s="74"/>
      <c r="AM73" s="74"/>
      <c r="AN73" s="73"/>
      <c r="AO73" s="73"/>
      <c r="AP73" s="74"/>
      <c r="AQ73" s="74"/>
      <c r="AR73" s="73"/>
      <c r="AS73" s="73"/>
      <c r="AT73" s="74"/>
      <c r="AU73" s="74"/>
      <c r="AV73" s="73"/>
      <c r="AW73" s="73"/>
      <c r="AX73" s="74"/>
      <c r="AY73" s="74"/>
      <c r="AZ73" s="73"/>
      <c r="BA73" s="73"/>
      <c r="BB73" s="74"/>
      <c r="BC73" s="74"/>
      <c r="BD73" s="73"/>
      <c r="BE73" s="73"/>
      <c r="BF73" s="74"/>
      <c r="BG73" s="74"/>
      <c r="BH73" s="73"/>
      <c r="BI73" s="73"/>
      <c r="BJ73" s="74"/>
      <c r="BK73" s="74"/>
      <c r="BL73" s="73"/>
      <c r="BM73" s="73"/>
      <c r="BN73" s="74"/>
      <c r="BO73" s="74"/>
      <c r="BP73" s="73"/>
      <c r="BQ73" s="73"/>
      <c r="BR73" s="74"/>
      <c r="BS73" s="74"/>
      <c r="BT73" s="73"/>
      <c r="BU73" s="73"/>
      <c r="BV73" s="74"/>
      <c r="BW73" s="74"/>
      <c r="BX73" s="73"/>
      <c r="BY73" s="73"/>
      <c r="BZ73" s="74"/>
      <c r="CA73" s="74"/>
      <c r="CB73" s="73"/>
      <c r="CC73" s="73"/>
      <c r="CD73" s="74"/>
      <c r="CE73" s="74"/>
      <c r="CF73" s="73"/>
      <c r="CG73" s="73"/>
      <c r="CH73" s="74"/>
    </row>
    <row r="74" spans="3:86" ht="33.75" customHeight="1" x14ac:dyDescent="0.35">
      <c r="C74" s="85"/>
      <c r="D74" s="6"/>
      <c r="E74" s="6"/>
      <c r="F74" s="6"/>
      <c r="G74" s="74"/>
      <c r="H74" s="73"/>
      <c r="I74" s="73"/>
      <c r="J74" s="74"/>
      <c r="K74" s="74"/>
      <c r="L74" s="73"/>
      <c r="M74" s="73"/>
      <c r="N74" s="74"/>
      <c r="O74" s="74"/>
      <c r="P74" s="73"/>
      <c r="Q74" s="73"/>
      <c r="R74" s="74"/>
      <c r="S74" s="74"/>
      <c r="T74" s="73"/>
      <c r="U74" s="73"/>
      <c r="V74" s="74"/>
      <c r="W74" s="74"/>
      <c r="X74" s="73"/>
      <c r="Y74" s="73"/>
      <c r="Z74" s="74"/>
      <c r="AA74" s="74"/>
      <c r="AB74" s="73"/>
      <c r="AC74" s="73"/>
      <c r="AD74" s="74"/>
      <c r="AE74" s="74"/>
      <c r="AF74" s="73"/>
      <c r="AG74" s="73"/>
      <c r="AH74" s="74"/>
      <c r="AI74" s="74"/>
      <c r="AJ74" s="73"/>
      <c r="AK74" s="73"/>
      <c r="AL74" s="74"/>
      <c r="AM74" s="74"/>
      <c r="AN74" s="73"/>
      <c r="AO74" s="73"/>
      <c r="AP74" s="74"/>
      <c r="AQ74" s="74"/>
      <c r="AR74" s="73"/>
      <c r="AS74" s="73"/>
      <c r="AT74" s="74"/>
      <c r="AU74" s="74"/>
      <c r="AV74" s="73"/>
      <c r="AW74" s="73"/>
      <c r="AX74" s="74"/>
      <c r="AY74" s="74"/>
      <c r="AZ74" s="73"/>
      <c r="BA74" s="73"/>
      <c r="BB74" s="74"/>
      <c r="BC74" s="74"/>
      <c r="BD74" s="73"/>
      <c r="BE74" s="73"/>
      <c r="BF74" s="74"/>
      <c r="BG74" s="74"/>
      <c r="BH74" s="73"/>
      <c r="BI74" s="73"/>
      <c r="BJ74" s="74"/>
      <c r="BK74" s="74"/>
      <c r="BL74" s="73"/>
      <c r="BM74" s="73"/>
      <c r="BN74" s="74"/>
      <c r="BO74" s="74"/>
      <c r="BP74" s="73"/>
      <c r="BQ74" s="73"/>
      <c r="BR74" s="74"/>
      <c r="BS74" s="74"/>
      <c r="BT74" s="73"/>
      <c r="BU74" s="73"/>
      <c r="BV74" s="74"/>
      <c r="BW74" s="74"/>
      <c r="BX74" s="73"/>
      <c r="BY74" s="73"/>
      <c r="BZ74" s="74"/>
      <c r="CA74" s="74"/>
      <c r="CB74" s="73"/>
      <c r="CC74" s="73"/>
      <c r="CD74" s="74"/>
      <c r="CE74" s="74"/>
      <c r="CF74" s="73"/>
      <c r="CG74" s="73"/>
      <c r="CH74" s="74"/>
    </row>
    <row r="75" spans="3:86" ht="33.75" customHeight="1" x14ac:dyDescent="0.35">
      <c r="C75" s="85"/>
      <c r="D75" s="6"/>
      <c r="E75" s="6"/>
      <c r="F75" s="6"/>
      <c r="G75" s="74"/>
      <c r="H75" s="73"/>
      <c r="I75" s="73"/>
      <c r="J75" s="74"/>
      <c r="K75" s="74"/>
      <c r="L75" s="73"/>
      <c r="M75" s="73"/>
      <c r="N75" s="74"/>
      <c r="O75" s="74"/>
      <c r="P75" s="73"/>
      <c r="Q75" s="73"/>
      <c r="R75" s="74"/>
      <c r="S75" s="74"/>
      <c r="T75" s="73"/>
      <c r="U75" s="73"/>
      <c r="V75" s="74"/>
      <c r="W75" s="74"/>
      <c r="X75" s="73"/>
      <c r="Y75" s="73"/>
      <c r="Z75" s="74"/>
      <c r="AA75" s="74"/>
      <c r="AB75" s="73"/>
      <c r="AC75" s="73"/>
      <c r="AD75" s="74"/>
      <c r="AE75" s="74"/>
      <c r="AF75" s="73"/>
      <c r="AG75" s="73"/>
      <c r="AH75" s="74"/>
      <c r="AI75" s="74"/>
      <c r="AJ75" s="73"/>
      <c r="AK75" s="73"/>
      <c r="AL75" s="74"/>
      <c r="AM75" s="74"/>
      <c r="AN75" s="73"/>
      <c r="AO75" s="73"/>
      <c r="AP75" s="74"/>
      <c r="AQ75" s="74"/>
      <c r="AR75" s="73"/>
      <c r="AS75" s="73"/>
      <c r="AT75" s="74"/>
      <c r="AU75" s="74"/>
      <c r="AV75" s="73"/>
      <c r="AW75" s="73"/>
      <c r="AX75" s="74"/>
      <c r="AY75" s="74"/>
      <c r="AZ75" s="73"/>
      <c r="BA75" s="73"/>
      <c r="BB75" s="74"/>
      <c r="BC75" s="74"/>
      <c r="BD75" s="73"/>
      <c r="BE75" s="73"/>
      <c r="BF75" s="74"/>
      <c r="BG75" s="74"/>
      <c r="BH75" s="73"/>
      <c r="BI75" s="73"/>
      <c r="BJ75" s="74"/>
      <c r="BK75" s="74"/>
      <c r="BL75" s="73"/>
      <c r="BM75" s="73"/>
      <c r="BN75" s="74"/>
      <c r="BO75" s="74"/>
      <c r="BP75" s="73"/>
      <c r="BQ75" s="73"/>
      <c r="BR75" s="74"/>
      <c r="BS75" s="74"/>
      <c r="BT75" s="73"/>
      <c r="BU75" s="73"/>
      <c r="BV75" s="74"/>
      <c r="BW75" s="74"/>
      <c r="BX75" s="73"/>
      <c r="BY75" s="73"/>
      <c r="BZ75" s="74"/>
      <c r="CA75" s="74"/>
      <c r="CB75" s="73"/>
      <c r="CC75" s="73"/>
      <c r="CD75" s="74"/>
      <c r="CE75" s="74"/>
      <c r="CF75" s="73"/>
      <c r="CG75" s="73"/>
      <c r="CH75" s="74"/>
    </row>
    <row r="76" spans="3:86" ht="33.75" customHeight="1" x14ac:dyDescent="0.35">
      <c r="C76" s="85"/>
      <c r="D76" s="6"/>
      <c r="E76" s="6"/>
      <c r="F76" s="6"/>
      <c r="G76" s="74"/>
      <c r="H76" s="73"/>
      <c r="I76" s="73"/>
      <c r="J76" s="74"/>
      <c r="K76" s="74"/>
      <c r="L76" s="73"/>
      <c r="M76" s="73"/>
      <c r="N76" s="74"/>
      <c r="O76" s="74"/>
      <c r="P76" s="73"/>
      <c r="Q76" s="73"/>
      <c r="R76" s="74"/>
      <c r="S76" s="74"/>
      <c r="T76" s="73"/>
      <c r="U76" s="73"/>
      <c r="V76" s="74"/>
      <c r="W76" s="74"/>
      <c r="X76" s="73"/>
      <c r="Y76" s="73"/>
      <c r="Z76" s="74"/>
      <c r="AA76" s="74"/>
      <c r="AB76" s="73"/>
      <c r="AC76" s="73"/>
      <c r="AD76" s="74"/>
      <c r="AE76" s="74"/>
      <c r="AF76" s="73"/>
      <c r="AG76" s="73"/>
      <c r="AH76" s="74"/>
      <c r="AI76" s="74"/>
      <c r="AJ76" s="73"/>
      <c r="AK76" s="73"/>
      <c r="AL76" s="74"/>
      <c r="AM76" s="74"/>
      <c r="AN76" s="73"/>
      <c r="AO76" s="73"/>
      <c r="AP76" s="74"/>
      <c r="AQ76" s="74"/>
      <c r="AR76" s="73"/>
      <c r="AS76" s="73"/>
      <c r="AT76" s="74"/>
      <c r="AU76" s="74"/>
      <c r="AV76" s="73"/>
      <c r="AW76" s="73"/>
      <c r="AX76" s="74"/>
      <c r="AY76" s="74"/>
      <c r="AZ76" s="73"/>
      <c r="BA76" s="73"/>
      <c r="BB76" s="74"/>
      <c r="BC76" s="74"/>
      <c r="BD76" s="73"/>
      <c r="BE76" s="73"/>
      <c r="BF76" s="74"/>
      <c r="BG76" s="74"/>
      <c r="BH76" s="73"/>
      <c r="BI76" s="73"/>
      <c r="BJ76" s="74"/>
      <c r="BK76" s="74"/>
      <c r="BL76" s="73"/>
      <c r="BM76" s="73"/>
      <c r="BN76" s="74"/>
      <c r="BO76" s="74"/>
      <c r="BP76" s="73"/>
      <c r="BQ76" s="73"/>
      <c r="BR76" s="74"/>
      <c r="BS76" s="74"/>
      <c r="BT76" s="73"/>
      <c r="BU76" s="73"/>
      <c r="BV76" s="74"/>
      <c r="BW76" s="74"/>
      <c r="BX76" s="73"/>
      <c r="BY76" s="73"/>
      <c r="BZ76" s="74"/>
      <c r="CA76" s="74"/>
      <c r="CB76" s="73"/>
      <c r="CC76" s="73"/>
      <c r="CD76" s="74"/>
      <c r="CE76" s="74"/>
      <c r="CF76" s="73"/>
      <c r="CG76" s="73"/>
      <c r="CH76" s="74"/>
    </row>
    <row r="77" spans="3:86" ht="33.75" customHeight="1" x14ac:dyDescent="0.35">
      <c r="C77" s="85"/>
      <c r="D77" s="6"/>
      <c r="E77" s="6"/>
      <c r="F77" s="6"/>
      <c r="G77" s="74"/>
      <c r="H77" s="73"/>
      <c r="I77" s="73"/>
      <c r="J77" s="74"/>
      <c r="K77" s="74"/>
      <c r="L77" s="73"/>
      <c r="M77" s="73"/>
      <c r="N77" s="74"/>
      <c r="O77" s="74"/>
      <c r="P77" s="73"/>
      <c r="Q77" s="73"/>
      <c r="R77" s="74"/>
      <c r="S77" s="74"/>
      <c r="T77" s="73"/>
      <c r="U77" s="73"/>
      <c r="V77" s="74"/>
      <c r="W77" s="74"/>
      <c r="X77" s="73"/>
      <c r="Y77" s="73"/>
      <c r="Z77" s="74"/>
      <c r="AA77" s="74"/>
      <c r="AB77" s="73"/>
      <c r="AC77" s="73"/>
      <c r="AD77" s="74"/>
      <c r="AE77" s="74"/>
      <c r="AF77" s="73"/>
      <c r="AG77" s="73"/>
      <c r="AH77" s="74"/>
      <c r="AI77" s="74"/>
      <c r="AJ77" s="73"/>
      <c r="AK77" s="73"/>
      <c r="AL77" s="74"/>
      <c r="AM77" s="74"/>
      <c r="AN77" s="73"/>
      <c r="AO77" s="73"/>
      <c r="AP77" s="74"/>
      <c r="AQ77" s="74"/>
      <c r="AR77" s="73"/>
      <c r="AS77" s="73"/>
      <c r="AT77" s="74"/>
      <c r="AU77" s="74"/>
      <c r="AV77" s="73"/>
      <c r="AW77" s="73"/>
      <c r="AX77" s="74"/>
      <c r="AY77" s="74"/>
      <c r="AZ77" s="73"/>
      <c r="BA77" s="73"/>
      <c r="BB77" s="74"/>
      <c r="BC77" s="74"/>
      <c r="BD77" s="73"/>
      <c r="BE77" s="73"/>
      <c r="BF77" s="74"/>
      <c r="BG77" s="74"/>
      <c r="BH77" s="73"/>
      <c r="BI77" s="73"/>
      <c r="BJ77" s="74"/>
      <c r="BK77" s="74"/>
      <c r="BL77" s="73"/>
      <c r="BM77" s="73"/>
      <c r="BN77" s="74"/>
      <c r="BO77" s="74"/>
      <c r="BP77" s="73"/>
      <c r="BQ77" s="73"/>
      <c r="BR77" s="74"/>
      <c r="BS77" s="74"/>
      <c r="BT77" s="73"/>
      <c r="BU77" s="73"/>
      <c r="BV77" s="74"/>
      <c r="BW77" s="74"/>
      <c r="BX77" s="73"/>
      <c r="BY77" s="73"/>
      <c r="BZ77" s="74"/>
      <c r="CA77" s="74"/>
      <c r="CB77" s="73"/>
      <c r="CC77" s="73"/>
      <c r="CD77" s="74"/>
      <c r="CE77" s="74"/>
      <c r="CF77" s="73"/>
      <c r="CG77" s="73"/>
      <c r="CH77" s="74"/>
    </row>
    <row r="78" spans="3:86" ht="33.75" customHeight="1" x14ac:dyDescent="0.35">
      <c r="C78" s="85"/>
      <c r="D78" s="6"/>
      <c r="E78" s="6"/>
      <c r="F78" s="6"/>
      <c r="G78" s="74"/>
      <c r="H78" s="73"/>
      <c r="I78" s="73"/>
      <c r="J78" s="74"/>
      <c r="K78" s="74"/>
      <c r="L78" s="73"/>
      <c r="M78" s="73"/>
      <c r="N78" s="74"/>
      <c r="O78" s="74"/>
      <c r="P78" s="73"/>
      <c r="Q78" s="73"/>
      <c r="R78" s="74"/>
      <c r="S78" s="74"/>
      <c r="T78" s="73"/>
      <c r="U78" s="73"/>
      <c r="V78" s="74"/>
      <c r="W78" s="74"/>
      <c r="X78" s="73"/>
      <c r="Y78" s="73"/>
      <c r="Z78" s="74"/>
      <c r="AA78" s="74"/>
      <c r="AB78" s="73"/>
      <c r="AC78" s="73"/>
      <c r="AD78" s="74"/>
      <c r="AE78" s="74"/>
      <c r="AF78" s="73"/>
      <c r="AG78" s="73"/>
      <c r="AH78" s="74"/>
      <c r="AI78" s="74"/>
      <c r="AJ78" s="73"/>
      <c r="AK78" s="73"/>
      <c r="AL78" s="74"/>
      <c r="AM78" s="74"/>
      <c r="AN78" s="73"/>
      <c r="AO78" s="73"/>
      <c r="AP78" s="74"/>
      <c r="AQ78" s="74"/>
      <c r="AR78" s="73"/>
      <c r="AS78" s="73"/>
      <c r="AT78" s="74"/>
      <c r="AU78" s="74"/>
      <c r="AV78" s="73"/>
      <c r="AW78" s="73"/>
      <c r="AX78" s="74"/>
      <c r="AY78" s="74"/>
      <c r="AZ78" s="73"/>
      <c r="BA78" s="73"/>
      <c r="BB78" s="74"/>
      <c r="BC78" s="74"/>
      <c r="BD78" s="73"/>
      <c r="BE78" s="73"/>
      <c r="BF78" s="74"/>
      <c r="BG78" s="74"/>
      <c r="BH78" s="73"/>
      <c r="BI78" s="73"/>
      <c r="BJ78" s="74"/>
      <c r="BK78" s="74"/>
      <c r="BL78" s="73"/>
      <c r="BM78" s="73"/>
      <c r="BN78" s="74"/>
      <c r="BO78" s="74"/>
      <c r="BP78" s="73"/>
      <c r="BQ78" s="73"/>
      <c r="BR78" s="74"/>
      <c r="BS78" s="74"/>
      <c r="BT78" s="73"/>
      <c r="BU78" s="73"/>
      <c r="BV78" s="74"/>
      <c r="BW78" s="74"/>
      <c r="BX78" s="73"/>
      <c r="BY78" s="73"/>
      <c r="BZ78" s="74"/>
      <c r="CA78" s="74"/>
      <c r="CB78" s="73"/>
      <c r="CC78" s="73"/>
      <c r="CD78" s="74"/>
      <c r="CE78" s="74"/>
      <c r="CF78" s="73"/>
      <c r="CG78" s="73"/>
      <c r="CH78" s="74"/>
    </row>
    <row r="79" spans="3:86" ht="33.75" customHeight="1" x14ac:dyDescent="0.35">
      <c r="C79" s="85"/>
      <c r="D79" s="6"/>
      <c r="E79" s="6"/>
      <c r="F79" s="6"/>
      <c r="G79" s="74"/>
      <c r="H79" s="73"/>
      <c r="I79" s="73"/>
      <c r="J79" s="74"/>
      <c r="K79" s="74"/>
      <c r="L79" s="73"/>
      <c r="M79" s="73"/>
      <c r="N79" s="74"/>
      <c r="O79" s="74"/>
      <c r="P79" s="73"/>
      <c r="Q79" s="73"/>
      <c r="R79" s="74"/>
      <c r="S79" s="74"/>
      <c r="T79" s="73"/>
      <c r="U79" s="73"/>
      <c r="V79" s="74"/>
      <c r="W79" s="74"/>
      <c r="X79" s="73"/>
      <c r="Y79" s="73"/>
      <c r="Z79" s="74"/>
      <c r="AA79" s="74"/>
      <c r="AB79" s="73"/>
      <c r="AC79" s="73"/>
      <c r="AD79" s="74"/>
      <c r="AE79" s="74"/>
      <c r="AF79" s="73"/>
      <c r="AG79" s="73"/>
      <c r="AH79" s="74"/>
      <c r="AI79" s="74"/>
      <c r="AJ79" s="73"/>
      <c r="AK79" s="73"/>
      <c r="AL79" s="74"/>
      <c r="AM79" s="74"/>
      <c r="AN79" s="73"/>
      <c r="AO79" s="73"/>
      <c r="AP79" s="74"/>
      <c r="AQ79" s="74"/>
      <c r="AR79" s="73"/>
      <c r="AS79" s="73"/>
      <c r="AT79" s="74"/>
      <c r="AU79" s="74"/>
      <c r="AV79" s="73"/>
      <c r="AW79" s="73"/>
      <c r="AX79" s="74"/>
      <c r="AY79" s="74"/>
      <c r="AZ79" s="73"/>
      <c r="BA79" s="73"/>
      <c r="BB79" s="74"/>
      <c r="BC79" s="74"/>
      <c r="BD79" s="73"/>
      <c r="BE79" s="73"/>
      <c r="BF79" s="74"/>
      <c r="BG79" s="74"/>
      <c r="BH79" s="73"/>
      <c r="BI79" s="73"/>
      <c r="BJ79" s="74"/>
      <c r="BK79" s="74"/>
      <c r="BL79" s="73"/>
      <c r="BM79" s="73"/>
      <c r="BN79" s="74"/>
      <c r="BO79" s="74"/>
      <c r="BP79" s="73"/>
      <c r="BQ79" s="73"/>
      <c r="BR79" s="74"/>
      <c r="BS79" s="74"/>
      <c r="BT79" s="73"/>
      <c r="BU79" s="73"/>
      <c r="BV79" s="74"/>
      <c r="BW79" s="74"/>
      <c r="BX79" s="73"/>
      <c r="BY79" s="73"/>
      <c r="BZ79" s="74"/>
      <c r="CA79" s="74"/>
      <c r="CB79" s="73"/>
      <c r="CC79" s="73"/>
      <c r="CD79" s="74"/>
      <c r="CE79" s="74"/>
      <c r="CF79" s="73"/>
      <c r="CG79" s="73"/>
      <c r="CH79" s="74"/>
    </row>
    <row r="80" spans="3:86" ht="33.75" customHeight="1" x14ac:dyDescent="0.35">
      <c r="C80" s="85"/>
      <c r="D80" s="6"/>
      <c r="E80" s="6"/>
      <c r="F80" s="6"/>
      <c r="G80" s="74"/>
      <c r="H80" s="73"/>
      <c r="I80" s="73"/>
      <c r="J80" s="74"/>
      <c r="K80" s="74"/>
      <c r="L80" s="73"/>
      <c r="M80" s="73"/>
      <c r="N80" s="74"/>
      <c r="O80" s="74"/>
      <c r="P80" s="73"/>
      <c r="Q80" s="73"/>
      <c r="R80" s="74"/>
      <c r="S80" s="74"/>
      <c r="T80" s="73"/>
      <c r="U80" s="73"/>
      <c r="V80" s="74"/>
      <c r="W80" s="74"/>
      <c r="X80" s="73"/>
      <c r="Y80" s="73"/>
      <c r="Z80" s="74"/>
      <c r="AA80" s="74"/>
      <c r="AB80" s="73"/>
      <c r="AC80" s="73"/>
      <c r="AD80" s="74"/>
      <c r="AE80" s="74"/>
      <c r="AF80" s="73"/>
      <c r="AG80" s="73"/>
      <c r="AH80" s="74"/>
      <c r="AI80" s="74"/>
      <c r="AJ80" s="73"/>
      <c r="AK80" s="73"/>
      <c r="AL80" s="74"/>
      <c r="AM80" s="74"/>
      <c r="AN80" s="73"/>
      <c r="AO80" s="73"/>
      <c r="AP80" s="74"/>
      <c r="AQ80" s="74"/>
      <c r="AR80" s="73"/>
      <c r="AS80" s="73"/>
      <c r="AT80" s="74"/>
      <c r="AU80" s="74"/>
      <c r="AV80" s="73"/>
      <c r="AW80" s="73"/>
      <c r="AX80" s="74"/>
      <c r="AY80" s="74"/>
      <c r="AZ80" s="73"/>
      <c r="BA80" s="73"/>
      <c r="BB80" s="74"/>
      <c r="BC80" s="74"/>
      <c r="BD80" s="73"/>
      <c r="BE80" s="73"/>
      <c r="BF80" s="74"/>
      <c r="BG80" s="74"/>
      <c r="BH80" s="73"/>
      <c r="BI80" s="73"/>
      <c r="BJ80" s="74"/>
      <c r="BK80" s="74"/>
      <c r="BL80" s="73"/>
      <c r="BM80" s="73"/>
      <c r="BN80" s="74"/>
      <c r="BO80" s="74"/>
      <c r="BP80" s="73"/>
      <c r="BQ80" s="73"/>
      <c r="BR80" s="74"/>
      <c r="BS80" s="74"/>
      <c r="BT80" s="73"/>
      <c r="BU80" s="73"/>
      <c r="BV80" s="74"/>
      <c r="BW80" s="74"/>
      <c r="BX80" s="73"/>
      <c r="BY80" s="73"/>
      <c r="BZ80" s="74"/>
      <c r="CA80" s="74"/>
      <c r="CB80" s="73"/>
      <c r="CC80" s="73"/>
      <c r="CD80" s="74"/>
      <c r="CE80" s="74"/>
      <c r="CF80" s="73"/>
      <c r="CG80" s="73"/>
      <c r="CH80" s="74"/>
    </row>
    <row r="81" spans="3:86" ht="33.75" customHeight="1" x14ac:dyDescent="0.35">
      <c r="C81" s="85"/>
      <c r="D81" s="6"/>
      <c r="E81" s="6"/>
      <c r="F81" s="6"/>
      <c r="G81" s="74"/>
      <c r="H81" s="73"/>
      <c r="I81" s="73"/>
      <c r="J81" s="74"/>
      <c r="K81" s="74"/>
      <c r="L81" s="73"/>
      <c r="M81" s="73"/>
      <c r="N81" s="74"/>
      <c r="O81" s="74"/>
      <c r="P81" s="73"/>
      <c r="Q81" s="73"/>
      <c r="R81" s="74"/>
      <c r="S81" s="74"/>
      <c r="T81" s="73"/>
      <c r="U81" s="73"/>
      <c r="V81" s="74"/>
      <c r="W81" s="74"/>
      <c r="X81" s="73"/>
      <c r="Y81" s="73"/>
      <c r="Z81" s="74"/>
      <c r="AA81" s="74"/>
      <c r="AB81" s="73"/>
      <c r="AC81" s="73"/>
      <c r="AD81" s="74"/>
      <c r="AE81" s="74"/>
      <c r="AF81" s="73"/>
      <c r="AG81" s="73"/>
      <c r="AH81" s="74"/>
      <c r="AI81" s="74"/>
      <c r="AJ81" s="73"/>
      <c r="AK81" s="73"/>
      <c r="AL81" s="74"/>
      <c r="AM81" s="74"/>
      <c r="AN81" s="73"/>
      <c r="AO81" s="73"/>
      <c r="AP81" s="74"/>
      <c r="AQ81" s="74"/>
      <c r="AR81" s="73"/>
      <c r="AS81" s="73"/>
      <c r="AT81" s="74"/>
      <c r="AU81" s="74"/>
      <c r="AV81" s="73"/>
      <c r="AW81" s="73"/>
      <c r="AX81" s="74"/>
      <c r="AY81" s="74"/>
      <c r="AZ81" s="73"/>
      <c r="BA81" s="73"/>
      <c r="BB81" s="74"/>
      <c r="BC81" s="74"/>
      <c r="BD81" s="73"/>
      <c r="BE81" s="73"/>
      <c r="BF81" s="74"/>
      <c r="BG81" s="74"/>
      <c r="BH81" s="73"/>
      <c r="BI81" s="73"/>
      <c r="BJ81" s="74"/>
      <c r="BK81" s="74"/>
      <c r="BL81" s="73"/>
      <c r="BM81" s="73"/>
      <c r="BN81" s="74"/>
      <c r="BO81" s="74"/>
      <c r="BP81" s="73"/>
      <c r="BQ81" s="73"/>
      <c r="BR81" s="74"/>
      <c r="BS81" s="74"/>
      <c r="BT81" s="73"/>
      <c r="BU81" s="73"/>
      <c r="BV81" s="74"/>
      <c r="BW81" s="74"/>
      <c r="BX81" s="73"/>
      <c r="BY81" s="73"/>
      <c r="BZ81" s="74"/>
      <c r="CA81" s="74"/>
      <c r="CB81" s="73"/>
      <c r="CC81" s="73"/>
      <c r="CD81" s="74"/>
      <c r="CE81" s="74"/>
      <c r="CF81" s="73"/>
      <c r="CG81" s="73"/>
      <c r="CH81" s="74"/>
    </row>
    <row r="82" spans="3:86" ht="33.75" customHeight="1" x14ac:dyDescent="0.35">
      <c r="C82" s="85"/>
      <c r="D82" s="6"/>
      <c r="E82" s="6"/>
      <c r="F82" s="6"/>
      <c r="G82" s="74"/>
      <c r="H82" s="73"/>
      <c r="I82" s="73"/>
      <c r="J82" s="74"/>
      <c r="K82" s="74"/>
      <c r="L82" s="73"/>
      <c r="M82" s="73"/>
      <c r="N82" s="74"/>
      <c r="O82" s="74"/>
      <c r="P82" s="73"/>
      <c r="Q82" s="73"/>
      <c r="R82" s="74"/>
      <c r="S82" s="74"/>
      <c r="T82" s="73"/>
      <c r="U82" s="73"/>
      <c r="V82" s="74"/>
      <c r="W82" s="74"/>
      <c r="X82" s="73"/>
      <c r="Y82" s="73"/>
      <c r="Z82" s="74"/>
      <c r="AA82" s="74"/>
      <c r="AB82" s="73"/>
      <c r="AC82" s="73"/>
      <c r="AD82" s="74"/>
      <c r="AE82" s="74"/>
      <c r="AF82" s="73"/>
      <c r="AG82" s="73"/>
      <c r="AH82" s="74"/>
      <c r="AI82" s="74"/>
      <c r="AJ82" s="73"/>
      <c r="AK82" s="73"/>
      <c r="AL82" s="74"/>
      <c r="AM82" s="74"/>
      <c r="AN82" s="73"/>
      <c r="AO82" s="73"/>
      <c r="AP82" s="74"/>
      <c r="AQ82" s="74"/>
      <c r="AR82" s="73"/>
      <c r="AS82" s="73"/>
      <c r="AT82" s="74"/>
      <c r="AU82" s="74"/>
      <c r="AV82" s="73"/>
      <c r="AW82" s="73"/>
      <c r="AX82" s="74"/>
      <c r="AY82" s="74"/>
      <c r="AZ82" s="73"/>
      <c r="BA82" s="73"/>
      <c r="BB82" s="74"/>
      <c r="BC82" s="74"/>
      <c r="BD82" s="73"/>
      <c r="BE82" s="73"/>
      <c r="BF82" s="74"/>
      <c r="BG82" s="74"/>
      <c r="BH82" s="73"/>
      <c r="BI82" s="73"/>
      <c r="BJ82" s="74"/>
      <c r="BK82" s="74"/>
      <c r="BL82" s="73"/>
      <c r="BM82" s="73"/>
      <c r="BN82" s="74"/>
      <c r="BO82" s="74"/>
      <c r="BP82" s="73"/>
      <c r="BQ82" s="73"/>
      <c r="BR82" s="74"/>
      <c r="BS82" s="74"/>
      <c r="BT82" s="73"/>
      <c r="BU82" s="73"/>
      <c r="BV82" s="74"/>
      <c r="BW82" s="74"/>
      <c r="BX82" s="73"/>
      <c r="BY82" s="73"/>
      <c r="BZ82" s="74"/>
      <c r="CA82" s="74"/>
      <c r="CB82" s="73"/>
      <c r="CC82" s="73"/>
      <c r="CD82" s="74"/>
      <c r="CE82" s="74"/>
      <c r="CF82" s="73"/>
      <c r="CG82" s="73"/>
      <c r="CH82" s="74"/>
    </row>
    <row r="83" spans="3:86" ht="33.75" customHeight="1" x14ac:dyDescent="0.35">
      <c r="C83" s="85"/>
      <c r="D83" s="6"/>
      <c r="E83" s="6"/>
      <c r="F83" s="6"/>
      <c r="G83" s="74"/>
      <c r="H83" s="73"/>
      <c r="I83" s="73"/>
      <c r="J83" s="74"/>
      <c r="K83" s="74"/>
      <c r="L83" s="73"/>
      <c r="M83" s="73"/>
      <c r="N83" s="74"/>
      <c r="O83" s="74"/>
      <c r="P83" s="73"/>
      <c r="Q83" s="73"/>
      <c r="R83" s="74"/>
      <c r="S83" s="74"/>
      <c r="T83" s="73"/>
      <c r="U83" s="73"/>
      <c r="V83" s="74"/>
      <c r="W83" s="74"/>
      <c r="X83" s="73"/>
      <c r="Y83" s="73"/>
      <c r="Z83" s="74"/>
      <c r="AA83" s="74"/>
      <c r="AB83" s="73"/>
      <c r="AC83" s="73"/>
      <c r="AD83" s="74"/>
      <c r="AE83" s="74"/>
      <c r="AF83" s="73"/>
      <c r="AG83" s="73"/>
      <c r="AH83" s="74"/>
      <c r="AI83" s="74"/>
      <c r="AJ83" s="73"/>
      <c r="AK83" s="73"/>
      <c r="AL83" s="74"/>
      <c r="AM83" s="74"/>
      <c r="AN83" s="73"/>
      <c r="AO83" s="73"/>
      <c r="AP83" s="74"/>
      <c r="AQ83" s="74"/>
      <c r="AR83" s="73"/>
      <c r="AS83" s="73"/>
      <c r="AT83" s="74"/>
      <c r="AU83" s="74"/>
      <c r="AV83" s="73"/>
      <c r="AW83" s="73"/>
      <c r="AX83" s="74"/>
      <c r="AY83" s="74"/>
      <c r="AZ83" s="73"/>
      <c r="BA83" s="73"/>
      <c r="BB83" s="74"/>
      <c r="BC83" s="74"/>
      <c r="BD83" s="73"/>
      <c r="BE83" s="73"/>
      <c r="BF83" s="74"/>
      <c r="BG83" s="74"/>
      <c r="BH83" s="73"/>
      <c r="BI83" s="73"/>
      <c r="BJ83" s="74"/>
      <c r="BK83" s="74"/>
      <c r="BL83" s="73"/>
      <c r="BM83" s="73"/>
      <c r="BN83" s="74"/>
      <c r="BO83" s="74"/>
      <c r="BP83" s="73"/>
      <c r="BQ83" s="73"/>
      <c r="BR83" s="74"/>
      <c r="BS83" s="74"/>
      <c r="BT83" s="73"/>
      <c r="BU83" s="73"/>
      <c r="BV83" s="74"/>
      <c r="BW83" s="74"/>
      <c r="BX83" s="73"/>
      <c r="BY83" s="73"/>
      <c r="BZ83" s="74"/>
      <c r="CA83" s="74"/>
      <c r="CB83" s="73"/>
      <c r="CC83" s="73"/>
      <c r="CD83" s="74"/>
      <c r="CE83" s="74"/>
      <c r="CF83" s="73"/>
      <c r="CG83" s="73"/>
      <c r="CH83" s="74"/>
    </row>
    <row r="84" spans="3:86" ht="33.75" customHeight="1" x14ac:dyDescent="0.35">
      <c r="C84" s="85"/>
      <c r="D84" s="6"/>
      <c r="E84" s="6"/>
      <c r="F84" s="6"/>
      <c r="G84" s="74"/>
      <c r="H84" s="73"/>
      <c r="I84" s="73"/>
      <c r="J84" s="74"/>
      <c r="K84" s="74"/>
      <c r="L84" s="73"/>
      <c r="M84" s="73"/>
      <c r="N84" s="74"/>
      <c r="O84" s="74"/>
      <c r="P84" s="73"/>
      <c r="Q84" s="73"/>
      <c r="R84" s="74"/>
      <c r="S84" s="74"/>
      <c r="T84" s="73"/>
      <c r="U84" s="73"/>
      <c r="V84" s="74"/>
      <c r="W84" s="74"/>
      <c r="X84" s="73"/>
      <c r="Y84" s="73"/>
      <c r="Z84" s="74"/>
      <c r="AA84" s="74"/>
      <c r="AB84" s="73"/>
      <c r="AC84" s="73"/>
      <c r="AD84" s="74"/>
      <c r="AE84" s="74"/>
      <c r="AF84" s="73"/>
      <c r="AG84" s="73"/>
      <c r="AH84" s="74"/>
      <c r="AI84" s="74"/>
      <c r="AJ84" s="73"/>
      <c r="AK84" s="73"/>
      <c r="AL84" s="74"/>
      <c r="AM84" s="74"/>
      <c r="AN84" s="73"/>
      <c r="AO84" s="73"/>
      <c r="AP84" s="74"/>
      <c r="AQ84" s="74"/>
      <c r="AR84" s="73"/>
      <c r="AS84" s="73"/>
      <c r="AT84" s="74"/>
      <c r="AU84" s="74"/>
      <c r="AV84" s="73"/>
      <c r="AW84" s="73"/>
      <c r="AX84" s="74"/>
      <c r="AY84" s="74"/>
      <c r="AZ84" s="73"/>
      <c r="BA84" s="73"/>
      <c r="BB84" s="74"/>
      <c r="BC84" s="74"/>
      <c r="BD84" s="73"/>
      <c r="BE84" s="73"/>
      <c r="BF84" s="74"/>
      <c r="BG84" s="74"/>
      <c r="BH84" s="73"/>
      <c r="BI84" s="73"/>
      <c r="BJ84" s="74"/>
      <c r="BK84" s="74"/>
      <c r="BL84" s="73"/>
      <c r="BM84" s="73"/>
      <c r="BN84" s="74"/>
      <c r="BO84" s="74"/>
      <c r="BP84" s="73"/>
      <c r="BQ84" s="73"/>
      <c r="BR84" s="74"/>
      <c r="BS84" s="74"/>
      <c r="BT84" s="73"/>
      <c r="BU84" s="73"/>
      <c r="BV84" s="74"/>
      <c r="BW84" s="74"/>
      <c r="BX84" s="73"/>
      <c r="BY84" s="73"/>
      <c r="BZ84" s="74"/>
      <c r="CA84" s="74"/>
      <c r="CB84" s="73"/>
      <c r="CC84" s="73"/>
      <c r="CD84" s="74"/>
      <c r="CE84" s="74"/>
      <c r="CF84" s="73"/>
      <c r="CG84" s="73"/>
      <c r="CH84" s="74"/>
    </row>
    <row r="85" spans="3:86" ht="33.75" customHeight="1" x14ac:dyDescent="0.35">
      <c r="C85" s="85"/>
      <c r="D85" s="6"/>
      <c r="E85" s="6"/>
      <c r="F85" s="6"/>
      <c r="G85" s="74"/>
      <c r="H85" s="73"/>
      <c r="I85" s="73"/>
      <c r="J85" s="74"/>
      <c r="K85" s="74"/>
      <c r="L85" s="73"/>
      <c r="M85" s="73"/>
      <c r="N85" s="74"/>
      <c r="O85" s="74"/>
      <c r="P85" s="73"/>
      <c r="Q85" s="73"/>
      <c r="R85" s="74"/>
      <c r="S85" s="74"/>
      <c r="T85" s="73"/>
      <c r="U85" s="73"/>
      <c r="V85" s="74"/>
      <c r="W85" s="74"/>
      <c r="X85" s="73"/>
      <c r="Y85" s="73"/>
      <c r="Z85" s="74"/>
      <c r="AA85" s="74"/>
      <c r="AB85" s="73"/>
      <c r="AC85" s="73"/>
      <c r="AD85" s="74"/>
      <c r="AE85" s="74"/>
      <c r="AF85" s="73"/>
      <c r="AG85" s="73"/>
      <c r="AH85" s="74"/>
      <c r="AI85" s="74"/>
      <c r="AJ85" s="73"/>
      <c r="AK85" s="73"/>
      <c r="AL85" s="74"/>
      <c r="AM85" s="74"/>
      <c r="AN85" s="73"/>
      <c r="AO85" s="73"/>
      <c r="AP85" s="74"/>
      <c r="AQ85" s="74"/>
      <c r="AR85" s="73"/>
      <c r="AS85" s="73"/>
      <c r="AT85" s="74"/>
      <c r="AU85" s="74"/>
      <c r="AV85" s="73"/>
      <c r="AW85" s="73"/>
      <c r="AX85" s="74"/>
      <c r="AY85" s="74"/>
      <c r="AZ85" s="73"/>
      <c r="BA85" s="73"/>
      <c r="BB85" s="74"/>
      <c r="BC85" s="74"/>
      <c r="BD85" s="73"/>
      <c r="BE85" s="73"/>
      <c r="BF85" s="74"/>
      <c r="BG85" s="74"/>
      <c r="BH85" s="73"/>
      <c r="BI85" s="73"/>
      <c r="BJ85" s="74"/>
      <c r="BK85" s="74"/>
      <c r="BL85" s="73"/>
      <c r="BM85" s="73"/>
      <c r="BN85" s="74"/>
      <c r="BO85" s="74"/>
      <c r="BP85" s="73"/>
      <c r="BQ85" s="73"/>
      <c r="BR85" s="74"/>
      <c r="BS85" s="74"/>
      <c r="BT85" s="73"/>
      <c r="BU85" s="73"/>
      <c r="BV85" s="74"/>
      <c r="BW85" s="74"/>
      <c r="BX85" s="73"/>
      <c r="BY85" s="73"/>
      <c r="BZ85" s="74"/>
      <c r="CA85" s="74"/>
      <c r="CB85" s="73"/>
      <c r="CC85" s="73"/>
      <c r="CD85" s="74"/>
      <c r="CE85" s="74"/>
      <c r="CF85" s="73"/>
      <c r="CG85" s="73"/>
      <c r="CH85" s="74"/>
    </row>
    <row r="86" spans="3:86" ht="33.75" customHeight="1" x14ac:dyDescent="0.35">
      <c r="C86" s="85"/>
      <c r="D86" s="6"/>
      <c r="E86" s="6"/>
      <c r="F86" s="6"/>
      <c r="G86" s="74"/>
      <c r="H86" s="73"/>
      <c r="I86" s="73"/>
      <c r="J86" s="74"/>
      <c r="K86" s="74"/>
      <c r="L86" s="73"/>
      <c r="M86" s="73"/>
      <c r="N86" s="74"/>
      <c r="O86" s="74"/>
      <c r="P86" s="73"/>
      <c r="Q86" s="73"/>
      <c r="R86" s="74"/>
      <c r="S86" s="74"/>
      <c r="T86" s="73"/>
      <c r="U86" s="73"/>
      <c r="V86" s="74"/>
      <c r="W86" s="74"/>
      <c r="X86" s="73"/>
      <c r="Y86" s="73"/>
      <c r="Z86" s="74"/>
      <c r="AA86" s="74"/>
      <c r="AB86" s="73"/>
      <c r="AC86" s="73"/>
      <c r="AD86" s="74"/>
      <c r="AE86" s="74"/>
      <c r="AF86" s="73"/>
      <c r="AG86" s="73"/>
      <c r="AH86" s="74"/>
      <c r="AI86" s="74"/>
      <c r="AJ86" s="73"/>
      <c r="AK86" s="73"/>
      <c r="AL86" s="74"/>
      <c r="AM86" s="74"/>
      <c r="AN86" s="73"/>
      <c r="AO86" s="73"/>
      <c r="AP86" s="74"/>
      <c r="AQ86" s="74"/>
      <c r="AR86" s="73"/>
      <c r="AS86" s="73"/>
      <c r="AT86" s="74"/>
      <c r="AU86" s="74"/>
      <c r="AV86" s="73"/>
      <c r="AW86" s="73"/>
      <c r="AX86" s="74"/>
      <c r="AY86" s="74"/>
      <c r="AZ86" s="73"/>
      <c r="BA86" s="73"/>
      <c r="BB86" s="74"/>
      <c r="BC86" s="74"/>
      <c r="BD86" s="73"/>
      <c r="BE86" s="73"/>
      <c r="BF86" s="74"/>
      <c r="BG86" s="74"/>
      <c r="BH86" s="73"/>
      <c r="BI86" s="73"/>
      <c r="BJ86" s="74"/>
      <c r="BK86" s="74"/>
      <c r="BL86" s="73"/>
      <c r="BM86" s="73"/>
      <c r="BN86" s="74"/>
      <c r="BO86" s="74"/>
      <c r="BP86" s="73"/>
      <c r="BQ86" s="73"/>
      <c r="BR86" s="74"/>
      <c r="BS86" s="74"/>
      <c r="BT86" s="73"/>
      <c r="BU86" s="73"/>
      <c r="BV86" s="74"/>
      <c r="BW86" s="74"/>
      <c r="BX86" s="73"/>
      <c r="BY86" s="73"/>
      <c r="BZ86" s="74"/>
      <c r="CA86" s="74"/>
      <c r="CB86" s="73"/>
      <c r="CC86" s="73"/>
      <c r="CD86" s="74"/>
      <c r="CE86" s="74"/>
      <c r="CF86" s="73"/>
      <c r="CG86" s="73"/>
      <c r="CH86" s="74"/>
    </row>
    <row r="87" spans="3:86" ht="33.75" customHeight="1" x14ac:dyDescent="0.35">
      <c r="C87" s="85"/>
      <c r="D87" s="6"/>
      <c r="E87" s="6"/>
      <c r="F87" s="6"/>
      <c r="G87" s="74"/>
      <c r="H87" s="73"/>
      <c r="I87" s="73"/>
      <c r="J87" s="74"/>
      <c r="K87" s="74"/>
      <c r="L87" s="73"/>
      <c r="M87" s="73"/>
      <c r="N87" s="74"/>
      <c r="O87" s="74"/>
      <c r="P87" s="73"/>
      <c r="Q87" s="73"/>
      <c r="R87" s="74"/>
      <c r="S87" s="74"/>
      <c r="T87" s="73"/>
      <c r="U87" s="73"/>
      <c r="V87" s="74"/>
      <c r="W87" s="74"/>
      <c r="X87" s="73"/>
      <c r="Y87" s="73"/>
      <c r="Z87" s="74"/>
      <c r="AA87" s="74"/>
      <c r="AB87" s="73"/>
      <c r="AC87" s="73"/>
      <c r="AD87" s="74"/>
      <c r="AE87" s="74"/>
      <c r="AF87" s="73"/>
      <c r="AG87" s="73"/>
      <c r="AH87" s="74"/>
      <c r="AI87" s="74"/>
      <c r="AJ87" s="73"/>
      <c r="AK87" s="73"/>
      <c r="AL87" s="74"/>
      <c r="AM87" s="74"/>
      <c r="AN87" s="73"/>
      <c r="AO87" s="73"/>
      <c r="AP87" s="74"/>
      <c r="AQ87" s="74"/>
      <c r="AR87" s="73"/>
      <c r="AS87" s="73"/>
      <c r="AT87" s="74"/>
      <c r="AU87" s="74"/>
      <c r="AV87" s="73"/>
      <c r="AW87" s="73"/>
      <c r="AX87" s="74"/>
      <c r="AY87" s="74"/>
      <c r="AZ87" s="73"/>
      <c r="BA87" s="73"/>
      <c r="BB87" s="74"/>
      <c r="BC87" s="74"/>
      <c r="BD87" s="73"/>
      <c r="BE87" s="73"/>
      <c r="BF87" s="74"/>
      <c r="BG87" s="74"/>
      <c r="BH87" s="73"/>
      <c r="BI87" s="73"/>
      <c r="BJ87" s="74"/>
      <c r="BK87" s="74"/>
      <c r="BL87" s="73"/>
      <c r="BM87" s="73"/>
      <c r="BN87" s="74"/>
      <c r="BO87" s="74"/>
      <c r="BP87" s="73"/>
      <c r="BQ87" s="73"/>
      <c r="BR87" s="74"/>
      <c r="BS87" s="74"/>
      <c r="BT87" s="73"/>
      <c r="BU87" s="73"/>
      <c r="BV87" s="74"/>
      <c r="BW87" s="74"/>
      <c r="BX87" s="73"/>
      <c r="BY87" s="73"/>
      <c r="BZ87" s="74"/>
      <c r="CA87" s="74"/>
      <c r="CB87" s="73"/>
      <c r="CC87" s="73"/>
      <c r="CD87" s="74"/>
      <c r="CE87" s="74"/>
      <c r="CF87" s="73"/>
      <c r="CG87" s="73"/>
      <c r="CH87" s="74"/>
    </row>
    <row r="88" spans="3:86" ht="33.75" customHeight="1" x14ac:dyDescent="0.35">
      <c r="C88" s="87"/>
      <c r="D88" s="6"/>
      <c r="E88" s="6"/>
      <c r="F88" s="6"/>
      <c r="G88" s="74"/>
      <c r="H88" s="73"/>
      <c r="I88" s="73"/>
      <c r="J88" s="74"/>
      <c r="K88" s="74"/>
      <c r="L88" s="73"/>
      <c r="M88" s="73"/>
      <c r="N88" s="74"/>
      <c r="O88" s="74"/>
      <c r="P88" s="73"/>
      <c r="Q88" s="73"/>
      <c r="R88" s="74"/>
      <c r="S88" s="74"/>
      <c r="T88" s="73"/>
      <c r="U88" s="73"/>
      <c r="V88" s="74"/>
      <c r="W88" s="74"/>
      <c r="X88" s="73"/>
      <c r="Y88" s="73"/>
      <c r="Z88" s="74"/>
      <c r="AA88" s="74"/>
      <c r="AB88" s="73"/>
      <c r="AC88" s="73"/>
      <c r="AD88" s="74"/>
      <c r="AE88" s="74"/>
      <c r="AF88" s="73"/>
      <c r="AG88" s="73"/>
      <c r="AH88" s="74"/>
      <c r="AI88" s="74"/>
      <c r="AJ88" s="73"/>
      <c r="AK88" s="73"/>
      <c r="AL88" s="74"/>
      <c r="AM88" s="74"/>
      <c r="AN88" s="73"/>
      <c r="AO88" s="73"/>
      <c r="AP88" s="74"/>
      <c r="AQ88" s="74"/>
      <c r="AR88" s="73"/>
      <c r="AS88" s="73"/>
      <c r="AT88" s="74"/>
      <c r="AU88" s="74"/>
      <c r="AV88" s="73"/>
      <c r="AW88" s="73"/>
      <c r="AX88" s="74"/>
      <c r="AY88" s="74"/>
      <c r="AZ88" s="73"/>
      <c r="BA88" s="73"/>
      <c r="BB88" s="74"/>
      <c r="BC88" s="74"/>
      <c r="BD88" s="73"/>
      <c r="BE88" s="73"/>
      <c r="BF88" s="74"/>
      <c r="BG88" s="74"/>
      <c r="BH88" s="73"/>
      <c r="BI88" s="73"/>
      <c r="BJ88" s="74"/>
      <c r="BK88" s="74"/>
      <c r="BL88" s="73"/>
      <c r="BM88" s="73"/>
      <c r="BN88" s="74"/>
      <c r="BO88" s="74"/>
      <c r="BP88" s="73"/>
      <c r="BQ88" s="73"/>
      <c r="BR88" s="74"/>
      <c r="BS88" s="74"/>
      <c r="BT88" s="73"/>
      <c r="BU88" s="73"/>
      <c r="BV88" s="74"/>
      <c r="BW88" s="74"/>
      <c r="BX88" s="73"/>
      <c r="BY88" s="73"/>
      <c r="BZ88" s="74"/>
      <c r="CA88" s="74"/>
      <c r="CB88" s="73"/>
      <c r="CC88" s="73"/>
      <c r="CD88" s="74"/>
      <c r="CE88" s="74"/>
      <c r="CF88" s="73"/>
      <c r="CG88" s="73"/>
      <c r="CH88" s="74"/>
    </row>
    <row r="89" spans="3:86" ht="33.75" customHeight="1" x14ac:dyDescent="0.35">
      <c r="C89" s="88"/>
      <c r="D89" s="89"/>
      <c r="E89" s="89"/>
      <c r="F89" s="89"/>
      <c r="G89" s="74"/>
      <c r="H89" s="73"/>
      <c r="I89" s="73"/>
      <c r="J89" s="74"/>
      <c r="K89" s="74"/>
      <c r="L89" s="73"/>
      <c r="M89" s="73"/>
      <c r="N89" s="74"/>
      <c r="O89" s="74"/>
      <c r="P89" s="73"/>
      <c r="Q89" s="73"/>
      <c r="R89" s="74"/>
      <c r="S89" s="74"/>
      <c r="T89" s="73"/>
      <c r="U89" s="73"/>
      <c r="V89" s="74"/>
      <c r="W89" s="74"/>
      <c r="X89" s="73"/>
      <c r="Y89" s="73"/>
      <c r="Z89" s="74"/>
      <c r="AA89" s="74"/>
      <c r="AB89" s="73"/>
      <c r="AC89" s="73"/>
      <c r="AD89" s="74"/>
      <c r="AE89" s="74"/>
      <c r="AF89" s="73"/>
      <c r="AG89" s="73"/>
      <c r="AH89" s="74"/>
      <c r="AI89" s="74"/>
      <c r="AJ89" s="73"/>
      <c r="AK89" s="73"/>
      <c r="AL89" s="74"/>
      <c r="AM89" s="74"/>
      <c r="AN89" s="73"/>
      <c r="AO89" s="73"/>
      <c r="AP89" s="74"/>
      <c r="AQ89" s="74"/>
      <c r="AR89" s="73"/>
      <c r="AS89" s="73"/>
      <c r="AT89" s="74"/>
      <c r="AU89" s="74"/>
      <c r="AV89" s="73"/>
      <c r="AW89" s="73"/>
      <c r="AX89" s="74"/>
      <c r="AY89" s="74"/>
      <c r="AZ89" s="73"/>
      <c r="BA89" s="73"/>
      <c r="BB89" s="74"/>
      <c r="BC89" s="74"/>
      <c r="BD89" s="73"/>
      <c r="BE89" s="73"/>
      <c r="BF89" s="74"/>
      <c r="BG89" s="74"/>
      <c r="BH89" s="73"/>
      <c r="BI89" s="73"/>
      <c r="BJ89" s="74"/>
      <c r="BK89" s="74"/>
      <c r="BL89" s="73"/>
      <c r="BM89" s="73"/>
      <c r="BN89" s="74"/>
      <c r="BO89" s="74"/>
      <c r="BP89" s="73"/>
      <c r="BQ89" s="73"/>
      <c r="BR89" s="74"/>
      <c r="BS89" s="74"/>
      <c r="BT89" s="73"/>
      <c r="BU89" s="73"/>
      <c r="BV89" s="74"/>
      <c r="BW89" s="74"/>
      <c r="BX89" s="73"/>
      <c r="BY89" s="73"/>
      <c r="BZ89" s="74"/>
      <c r="CA89" s="74"/>
      <c r="CB89" s="73"/>
      <c r="CC89" s="73"/>
      <c r="CD89" s="74"/>
      <c r="CE89" s="74"/>
      <c r="CF89" s="73"/>
      <c r="CG89" s="73"/>
      <c r="CH89" s="74"/>
    </row>
    <row r="90" spans="3:86" ht="33.75" customHeight="1" x14ac:dyDescent="0.35">
      <c r="C90" s="88"/>
      <c r="D90" s="89"/>
      <c r="E90" s="89"/>
      <c r="F90" s="89"/>
      <c r="G90" s="74"/>
      <c r="H90" s="73"/>
      <c r="I90" s="73"/>
      <c r="J90" s="74"/>
      <c r="K90" s="74"/>
      <c r="L90" s="73"/>
      <c r="M90" s="73"/>
      <c r="N90" s="74"/>
      <c r="O90" s="74"/>
      <c r="P90" s="73"/>
      <c r="Q90" s="73"/>
      <c r="R90" s="74"/>
      <c r="S90" s="74"/>
      <c r="T90" s="73"/>
      <c r="U90" s="73"/>
      <c r="V90" s="74"/>
      <c r="W90" s="74"/>
      <c r="X90" s="73"/>
      <c r="Y90" s="73"/>
      <c r="Z90" s="74"/>
      <c r="AA90" s="74"/>
      <c r="AB90" s="73"/>
      <c r="AC90" s="73"/>
      <c r="AD90" s="74"/>
      <c r="AE90" s="74"/>
      <c r="AF90" s="73"/>
      <c r="AG90" s="73"/>
      <c r="AH90" s="74"/>
      <c r="AI90" s="74"/>
      <c r="AJ90" s="73"/>
      <c r="AK90" s="73"/>
      <c r="AL90" s="74"/>
      <c r="AM90" s="74"/>
      <c r="AN90" s="73"/>
      <c r="AO90" s="73"/>
      <c r="AP90" s="74"/>
      <c r="AQ90" s="74"/>
      <c r="AR90" s="73"/>
      <c r="AS90" s="73"/>
      <c r="AT90" s="74"/>
      <c r="AU90" s="74"/>
      <c r="AV90" s="73"/>
      <c r="AW90" s="73"/>
      <c r="AX90" s="74"/>
      <c r="AY90" s="74"/>
      <c r="AZ90" s="73"/>
      <c r="BA90" s="73"/>
      <c r="BB90" s="74"/>
      <c r="BC90" s="74"/>
      <c r="BD90" s="73"/>
      <c r="BE90" s="73"/>
      <c r="BF90" s="74"/>
      <c r="BG90" s="74"/>
      <c r="BH90" s="73"/>
      <c r="BI90" s="73"/>
      <c r="BJ90" s="74"/>
      <c r="BK90" s="74"/>
      <c r="BL90" s="73"/>
      <c r="BM90" s="73"/>
      <c r="BN90" s="74"/>
      <c r="BO90" s="74"/>
      <c r="BP90" s="73"/>
      <c r="BQ90" s="73"/>
      <c r="BR90" s="74"/>
      <c r="BS90" s="74"/>
      <c r="BT90" s="73"/>
      <c r="BU90" s="73"/>
      <c r="BV90" s="74"/>
      <c r="BW90" s="74"/>
      <c r="BX90" s="73"/>
      <c r="BY90" s="73"/>
      <c r="BZ90" s="74"/>
      <c r="CA90" s="74"/>
      <c r="CB90" s="73"/>
      <c r="CC90" s="73"/>
      <c r="CD90" s="74"/>
      <c r="CE90" s="74"/>
      <c r="CF90" s="73"/>
      <c r="CG90" s="73"/>
      <c r="CH90" s="74"/>
    </row>
    <row r="91" spans="3:86" ht="33.75" customHeight="1" x14ac:dyDescent="0.35">
      <c r="C91" s="88"/>
      <c r="D91" s="89"/>
      <c r="E91" s="89"/>
      <c r="F91" s="89"/>
      <c r="G91" s="74"/>
      <c r="H91" s="73"/>
      <c r="I91" s="73"/>
      <c r="J91" s="74"/>
      <c r="K91" s="74"/>
      <c r="L91" s="73"/>
      <c r="M91" s="73"/>
      <c r="N91" s="74"/>
      <c r="O91" s="74"/>
      <c r="P91" s="73"/>
      <c r="Q91" s="73"/>
      <c r="R91" s="74"/>
      <c r="S91" s="74"/>
      <c r="T91" s="73"/>
      <c r="U91" s="73"/>
      <c r="V91" s="74"/>
      <c r="W91" s="74"/>
      <c r="X91" s="73"/>
      <c r="Y91" s="73"/>
      <c r="Z91" s="74"/>
      <c r="AA91" s="74"/>
      <c r="AB91" s="73"/>
      <c r="AC91" s="73"/>
      <c r="AD91" s="74"/>
      <c r="AE91" s="74"/>
      <c r="AF91" s="73"/>
      <c r="AG91" s="73"/>
      <c r="AH91" s="74"/>
      <c r="AI91" s="74"/>
      <c r="AJ91" s="73"/>
      <c r="AK91" s="73"/>
      <c r="AL91" s="74"/>
      <c r="AM91" s="74"/>
      <c r="AN91" s="73"/>
      <c r="AO91" s="73"/>
      <c r="AP91" s="74"/>
      <c r="AQ91" s="74"/>
      <c r="AR91" s="73"/>
      <c r="AS91" s="73"/>
      <c r="AT91" s="74"/>
      <c r="AU91" s="74"/>
      <c r="AV91" s="73"/>
      <c r="AW91" s="73"/>
      <c r="AX91" s="74"/>
      <c r="AY91" s="74"/>
      <c r="AZ91" s="73"/>
      <c r="BA91" s="73"/>
      <c r="BB91" s="74"/>
      <c r="BC91" s="74"/>
      <c r="BD91" s="73"/>
      <c r="BE91" s="73"/>
      <c r="BF91" s="74"/>
      <c r="BG91" s="74"/>
      <c r="BH91" s="73"/>
      <c r="BI91" s="73"/>
      <c r="BJ91" s="74"/>
      <c r="BK91" s="74"/>
      <c r="BL91" s="73"/>
      <c r="BM91" s="73"/>
      <c r="BN91" s="74"/>
      <c r="BO91" s="74"/>
      <c r="BP91" s="73"/>
      <c r="BQ91" s="73"/>
      <c r="BR91" s="74"/>
      <c r="BS91" s="74"/>
      <c r="BT91" s="73"/>
      <c r="BU91" s="73"/>
      <c r="BV91" s="74"/>
      <c r="BW91" s="74"/>
      <c r="BX91" s="73"/>
      <c r="BY91" s="73"/>
      <c r="BZ91" s="74"/>
      <c r="CA91" s="74"/>
      <c r="CB91" s="73"/>
      <c r="CC91" s="73"/>
      <c r="CD91" s="74"/>
      <c r="CE91" s="74"/>
      <c r="CF91" s="73"/>
      <c r="CG91" s="73"/>
      <c r="CH91" s="74"/>
    </row>
    <row r="92" spans="3:86" ht="33.75" customHeight="1" x14ac:dyDescent="0.35">
      <c r="C92" s="87"/>
      <c r="D92" s="6"/>
      <c r="E92" s="6"/>
      <c r="F92" s="6"/>
      <c r="G92" s="74"/>
      <c r="H92" s="73"/>
      <c r="I92" s="73"/>
      <c r="J92" s="74"/>
      <c r="K92" s="74"/>
      <c r="L92" s="73"/>
      <c r="M92" s="73"/>
      <c r="N92" s="74"/>
      <c r="O92" s="74"/>
      <c r="P92" s="73"/>
      <c r="Q92" s="73"/>
      <c r="R92" s="74"/>
      <c r="S92" s="74"/>
      <c r="T92" s="73"/>
      <c r="U92" s="73"/>
      <c r="V92" s="74"/>
      <c r="W92" s="74"/>
      <c r="X92" s="73"/>
      <c r="Y92" s="73"/>
      <c r="Z92" s="74"/>
      <c r="AA92" s="74"/>
      <c r="AB92" s="73"/>
      <c r="AC92" s="73"/>
      <c r="AD92" s="74"/>
      <c r="AE92" s="74"/>
      <c r="AF92" s="73"/>
      <c r="AG92" s="73"/>
      <c r="AH92" s="74"/>
      <c r="AI92" s="74"/>
      <c r="AJ92" s="73"/>
      <c r="AK92" s="73"/>
      <c r="AL92" s="74"/>
      <c r="AM92" s="74"/>
      <c r="AN92" s="73"/>
      <c r="AO92" s="73"/>
      <c r="AP92" s="74"/>
      <c r="AQ92" s="74"/>
      <c r="AR92" s="73"/>
      <c r="AS92" s="73"/>
      <c r="AT92" s="74"/>
      <c r="AU92" s="74"/>
      <c r="AV92" s="73"/>
      <c r="AW92" s="73"/>
      <c r="AX92" s="74"/>
      <c r="AY92" s="74"/>
      <c r="AZ92" s="73"/>
      <c r="BA92" s="73"/>
      <c r="BB92" s="74"/>
      <c r="BC92" s="74"/>
      <c r="BD92" s="73"/>
      <c r="BE92" s="73"/>
      <c r="BF92" s="74"/>
      <c r="BG92" s="74"/>
      <c r="BH92" s="73"/>
      <c r="BI92" s="73"/>
      <c r="BJ92" s="74"/>
      <c r="BK92" s="74"/>
      <c r="BL92" s="73"/>
      <c r="BM92" s="73"/>
      <c r="BN92" s="74"/>
      <c r="BO92" s="74"/>
      <c r="BP92" s="73"/>
      <c r="BQ92" s="73"/>
      <c r="BR92" s="74"/>
      <c r="BS92" s="74"/>
      <c r="BT92" s="73"/>
      <c r="BU92" s="73"/>
      <c r="BV92" s="74"/>
      <c r="BW92" s="74"/>
      <c r="BX92" s="73"/>
      <c r="BY92" s="73"/>
      <c r="BZ92" s="74"/>
      <c r="CA92" s="74"/>
      <c r="CB92" s="73"/>
      <c r="CC92" s="73"/>
      <c r="CD92" s="74"/>
      <c r="CE92" s="74"/>
      <c r="CF92" s="73"/>
      <c r="CG92" s="73"/>
      <c r="CH92" s="74"/>
    </row>
    <row r="93" spans="3:86" ht="33.75" customHeight="1" x14ac:dyDescent="0.35">
      <c r="C93" s="87"/>
      <c r="D93" s="6"/>
      <c r="E93" s="6"/>
      <c r="F93" s="6"/>
      <c r="G93" s="74"/>
      <c r="H93" s="73"/>
      <c r="I93" s="73"/>
      <c r="J93" s="74"/>
      <c r="K93" s="74"/>
      <c r="L93" s="73"/>
      <c r="M93" s="73"/>
      <c r="N93" s="74"/>
      <c r="O93" s="74"/>
      <c r="P93" s="73"/>
      <c r="Q93" s="73"/>
      <c r="R93" s="74"/>
      <c r="S93" s="74"/>
      <c r="T93" s="73"/>
      <c r="U93" s="73"/>
      <c r="V93" s="74"/>
      <c r="W93" s="74"/>
      <c r="X93" s="73"/>
      <c r="Y93" s="73"/>
      <c r="Z93" s="74"/>
      <c r="AA93" s="74"/>
      <c r="AB93" s="73"/>
      <c r="AC93" s="73"/>
      <c r="AD93" s="74"/>
      <c r="AE93" s="74"/>
      <c r="AF93" s="73"/>
      <c r="AG93" s="73"/>
      <c r="AH93" s="74"/>
      <c r="AI93" s="74"/>
      <c r="AJ93" s="73"/>
      <c r="AK93" s="73"/>
      <c r="AL93" s="74"/>
      <c r="AM93" s="74"/>
      <c r="AN93" s="73"/>
      <c r="AO93" s="73"/>
      <c r="AP93" s="74"/>
      <c r="AQ93" s="74"/>
      <c r="AR93" s="73"/>
      <c r="AS93" s="73"/>
      <c r="AT93" s="74"/>
      <c r="AU93" s="74"/>
      <c r="AV93" s="73"/>
      <c r="AW93" s="73"/>
      <c r="AX93" s="74"/>
      <c r="AY93" s="74"/>
      <c r="AZ93" s="73"/>
      <c r="BA93" s="73"/>
      <c r="BB93" s="74"/>
      <c r="BC93" s="74"/>
      <c r="BD93" s="73"/>
      <c r="BE93" s="73"/>
      <c r="BF93" s="74"/>
      <c r="BG93" s="74"/>
      <c r="BH93" s="73"/>
      <c r="BI93" s="73"/>
      <c r="BJ93" s="74"/>
      <c r="BK93" s="74"/>
      <c r="BL93" s="73"/>
      <c r="BM93" s="73"/>
      <c r="BN93" s="74"/>
      <c r="BO93" s="74"/>
      <c r="BP93" s="73"/>
      <c r="BQ93" s="73"/>
      <c r="BR93" s="74"/>
      <c r="BS93" s="74"/>
      <c r="BT93" s="73"/>
      <c r="BU93" s="73"/>
      <c r="BV93" s="74"/>
      <c r="BW93" s="74"/>
      <c r="BX93" s="73"/>
      <c r="BY93" s="73"/>
      <c r="BZ93" s="74"/>
      <c r="CA93" s="74"/>
      <c r="CB93" s="73"/>
      <c r="CC93" s="73"/>
      <c r="CD93" s="74"/>
      <c r="CE93" s="74"/>
      <c r="CF93" s="73"/>
      <c r="CG93" s="73"/>
      <c r="CH93" s="74"/>
    </row>
    <row r="94" spans="3:86" ht="33.75" customHeight="1" x14ac:dyDescent="0.35">
      <c r="C94" s="87"/>
      <c r="D94" s="6"/>
      <c r="E94" s="6"/>
      <c r="F94" s="6"/>
      <c r="G94" s="74"/>
      <c r="H94" s="73"/>
      <c r="I94" s="73"/>
      <c r="J94" s="74"/>
      <c r="K94" s="74"/>
      <c r="L94" s="73"/>
      <c r="M94" s="73"/>
      <c r="N94" s="74"/>
      <c r="O94" s="74"/>
      <c r="P94" s="73"/>
      <c r="Q94" s="73"/>
      <c r="R94" s="74"/>
      <c r="S94" s="74"/>
      <c r="T94" s="73"/>
      <c r="U94" s="73"/>
      <c r="V94" s="74"/>
      <c r="W94" s="74"/>
      <c r="X94" s="73"/>
      <c r="Y94" s="73"/>
      <c r="Z94" s="74"/>
      <c r="AA94" s="74"/>
      <c r="AB94" s="73"/>
      <c r="AC94" s="73"/>
      <c r="AD94" s="74"/>
      <c r="AE94" s="74"/>
      <c r="AF94" s="73"/>
      <c r="AG94" s="73"/>
      <c r="AH94" s="74"/>
      <c r="AI94" s="74"/>
      <c r="AJ94" s="73"/>
      <c r="AK94" s="73"/>
      <c r="AL94" s="74"/>
      <c r="AM94" s="74"/>
      <c r="AN94" s="73"/>
      <c r="AO94" s="73"/>
      <c r="AP94" s="74"/>
      <c r="AQ94" s="74"/>
      <c r="AR94" s="73"/>
      <c r="AS94" s="73"/>
      <c r="AT94" s="74"/>
      <c r="AU94" s="74"/>
      <c r="AV94" s="73"/>
      <c r="AW94" s="73"/>
      <c r="AX94" s="74"/>
      <c r="AY94" s="74"/>
      <c r="AZ94" s="73"/>
      <c r="BA94" s="73"/>
      <c r="BB94" s="74"/>
      <c r="BC94" s="74"/>
      <c r="BD94" s="73"/>
      <c r="BE94" s="73"/>
      <c r="BF94" s="74"/>
      <c r="BG94" s="74"/>
      <c r="BH94" s="73"/>
      <c r="BI94" s="73"/>
      <c r="BJ94" s="74"/>
      <c r="BK94" s="74"/>
      <c r="BL94" s="73"/>
      <c r="BM94" s="73"/>
      <c r="BN94" s="74"/>
      <c r="BO94" s="74"/>
      <c r="BP94" s="73"/>
      <c r="BQ94" s="73"/>
      <c r="BR94" s="74"/>
      <c r="BS94" s="74"/>
      <c r="BT94" s="73"/>
      <c r="BU94" s="73"/>
      <c r="BV94" s="74"/>
      <c r="BW94" s="74"/>
      <c r="BX94" s="73"/>
      <c r="BY94" s="73"/>
      <c r="BZ94" s="74"/>
      <c r="CA94" s="74"/>
      <c r="CB94" s="73"/>
      <c r="CC94" s="73"/>
      <c r="CD94" s="74"/>
      <c r="CE94" s="74"/>
      <c r="CF94" s="73"/>
      <c r="CG94" s="73"/>
      <c r="CH94" s="74"/>
    </row>
    <row r="95" spans="3:86" ht="33.75" customHeight="1" x14ac:dyDescent="0.35">
      <c r="C95" s="87"/>
      <c r="D95" s="6"/>
      <c r="E95" s="6"/>
      <c r="F95" s="6"/>
      <c r="G95" s="74"/>
      <c r="H95" s="73"/>
      <c r="I95" s="73"/>
      <c r="J95" s="74"/>
      <c r="K95" s="74"/>
      <c r="L95" s="73"/>
      <c r="M95" s="73"/>
      <c r="N95" s="74"/>
      <c r="O95" s="74"/>
      <c r="P95" s="73"/>
      <c r="Q95" s="73"/>
      <c r="R95" s="74"/>
      <c r="S95" s="74"/>
      <c r="T95" s="73"/>
      <c r="U95" s="73"/>
      <c r="V95" s="74"/>
      <c r="W95" s="74"/>
      <c r="X95" s="73"/>
      <c r="Y95" s="73"/>
      <c r="Z95" s="74"/>
      <c r="AA95" s="74"/>
      <c r="AB95" s="73"/>
      <c r="AC95" s="73"/>
      <c r="AD95" s="74"/>
      <c r="AE95" s="74"/>
      <c r="AF95" s="73"/>
      <c r="AG95" s="73"/>
      <c r="AH95" s="74"/>
      <c r="AI95" s="74"/>
      <c r="AJ95" s="73"/>
      <c r="AK95" s="73"/>
      <c r="AL95" s="74"/>
      <c r="AM95" s="74"/>
      <c r="AN95" s="73"/>
      <c r="AO95" s="73"/>
      <c r="AP95" s="74"/>
      <c r="AQ95" s="74"/>
      <c r="AR95" s="73"/>
      <c r="AS95" s="73"/>
      <c r="AT95" s="74"/>
      <c r="AU95" s="74"/>
      <c r="AV95" s="73"/>
      <c r="AW95" s="73"/>
      <c r="AX95" s="74"/>
      <c r="AY95" s="74"/>
      <c r="AZ95" s="73"/>
      <c r="BA95" s="73"/>
      <c r="BB95" s="74"/>
      <c r="BC95" s="74"/>
      <c r="BD95" s="73"/>
      <c r="BE95" s="73"/>
      <c r="BF95" s="74"/>
      <c r="BG95" s="74"/>
      <c r="BH95" s="73"/>
      <c r="BI95" s="73"/>
      <c r="BJ95" s="74"/>
      <c r="BK95" s="74"/>
      <c r="BL95" s="73"/>
      <c r="BM95" s="73"/>
      <c r="BN95" s="74"/>
      <c r="BO95" s="74"/>
      <c r="BP95" s="73"/>
      <c r="BQ95" s="73"/>
      <c r="BR95" s="74"/>
      <c r="BS95" s="74"/>
      <c r="BT95" s="73"/>
      <c r="BU95" s="73"/>
      <c r="BV95" s="74"/>
      <c r="BW95" s="74"/>
      <c r="BX95" s="73"/>
      <c r="BY95" s="73"/>
      <c r="BZ95" s="74"/>
      <c r="CA95" s="74"/>
      <c r="CB95" s="73"/>
      <c r="CC95" s="73"/>
      <c r="CD95" s="74"/>
      <c r="CE95" s="74"/>
      <c r="CF95" s="73"/>
      <c r="CG95" s="73"/>
      <c r="CH95" s="74"/>
    </row>
    <row r="96" spans="3:86" ht="33.75" customHeight="1" x14ac:dyDescent="0.35">
      <c r="C96" s="87"/>
      <c r="D96" s="6"/>
      <c r="E96" s="6"/>
      <c r="F96" s="6"/>
      <c r="G96" s="74"/>
      <c r="H96" s="73"/>
      <c r="I96" s="73"/>
      <c r="J96" s="74"/>
      <c r="K96" s="74"/>
      <c r="L96" s="73"/>
      <c r="M96" s="73"/>
      <c r="N96" s="74"/>
      <c r="O96" s="74"/>
      <c r="P96" s="73"/>
      <c r="Q96" s="73"/>
      <c r="R96" s="74"/>
      <c r="S96" s="74"/>
      <c r="T96" s="73"/>
      <c r="U96" s="73"/>
      <c r="V96" s="74"/>
      <c r="W96" s="74"/>
      <c r="X96" s="73"/>
      <c r="Y96" s="73"/>
      <c r="Z96" s="74"/>
      <c r="AA96" s="74"/>
      <c r="AB96" s="73"/>
      <c r="AC96" s="73"/>
      <c r="AD96" s="74"/>
      <c r="AE96" s="74"/>
      <c r="AF96" s="73"/>
      <c r="AG96" s="73"/>
      <c r="AH96" s="74"/>
      <c r="AI96" s="74"/>
      <c r="AJ96" s="73"/>
      <c r="AK96" s="73"/>
      <c r="AL96" s="74"/>
      <c r="AM96" s="74"/>
      <c r="AN96" s="73"/>
      <c r="AO96" s="73"/>
      <c r="AP96" s="74"/>
      <c r="AQ96" s="74"/>
      <c r="AR96" s="73"/>
      <c r="AS96" s="73"/>
      <c r="AT96" s="74"/>
      <c r="AU96" s="74"/>
      <c r="AV96" s="73"/>
      <c r="AW96" s="73"/>
      <c r="AX96" s="74"/>
      <c r="AY96" s="74"/>
      <c r="AZ96" s="73"/>
      <c r="BA96" s="73"/>
      <c r="BB96" s="74"/>
      <c r="BC96" s="74"/>
      <c r="BD96" s="73"/>
      <c r="BE96" s="73"/>
      <c r="BF96" s="74"/>
      <c r="BG96" s="74"/>
      <c r="BH96" s="73"/>
      <c r="BI96" s="73"/>
      <c r="BJ96" s="74"/>
      <c r="BK96" s="74"/>
      <c r="BL96" s="73"/>
      <c r="BM96" s="73"/>
      <c r="BN96" s="74"/>
      <c r="BO96" s="74"/>
      <c r="BP96" s="73"/>
      <c r="BQ96" s="73"/>
      <c r="BR96" s="74"/>
      <c r="BS96" s="74"/>
      <c r="BT96" s="73"/>
      <c r="BU96" s="73"/>
      <c r="BV96" s="74"/>
      <c r="BW96" s="74"/>
      <c r="BX96" s="73"/>
      <c r="BY96" s="73"/>
      <c r="BZ96" s="74"/>
      <c r="CA96" s="74"/>
      <c r="CB96" s="73"/>
      <c r="CC96" s="73"/>
      <c r="CD96" s="74"/>
      <c r="CE96" s="74"/>
      <c r="CF96" s="73"/>
      <c r="CG96" s="73"/>
      <c r="CH96" s="74"/>
    </row>
    <row r="97" spans="3:86" ht="33.75" customHeight="1" x14ac:dyDescent="0.35">
      <c r="C97" s="87"/>
      <c r="D97" s="6"/>
      <c r="E97" s="6"/>
      <c r="F97" s="6"/>
      <c r="G97" s="74"/>
      <c r="H97" s="73"/>
      <c r="I97" s="73"/>
      <c r="J97" s="74"/>
      <c r="K97" s="74"/>
      <c r="L97" s="73"/>
      <c r="M97" s="73"/>
      <c r="N97" s="74"/>
      <c r="O97" s="74"/>
      <c r="P97" s="73"/>
      <c r="Q97" s="73"/>
      <c r="R97" s="74"/>
      <c r="S97" s="74"/>
      <c r="T97" s="73"/>
      <c r="U97" s="73"/>
      <c r="V97" s="74"/>
      <c r="W97" s="74"/>
      <c r="X97" s="73"/>
      <c r="Y97" s="73"/>
      <c r="Z97" s="74"/>
      <c r="AA97" s="74"/>
      <c r="AB97" s="73"/>
      <c r="AC97" s="73"/>
      <c r="AD97" s="74"/>
      <c r="AE97" s="74"/>
      <c r="AF97" s="73"/>
      <c r="AG97" s="73"/>
      <c r="AH97" s="74"/>
      <c r="AI97" s="74"/>
      <c r="AJ97" s="73"/>
      <c r="AK97" s="73"/>
      <c r="AL97" s="74"/>
      <c r="AM97" s="74"/>
      <c r="AN97" s="73"/>
      <c r="AO97" s="73"/>
      <c r="AP97" s="74"/>
      <c r="AQ97" s="74"/>
      <c r="AR97" s="73"/>
      <c r="AS97" s="73"/>
      <c r="AT97" s="74"/>
      <c r="AU97" s="74"/>
      <c r="AV97" s="73"/>
      <c r="AW97" s="73"/>
      <c r="AX97" s="74"/>
      <c r="AY97" s="74"/>
      <c r="AZ97" s="73"/>
      <c r="BA97" s="73"/>
      <c r="BB97" s="74"/>
      <c r="BC97" s="74"/>
      <c r="BD97" s="73"/>
      <c r="BE97" s="73"/>
      <c r="BF97" s="74"/>
      <c r="BG97" s="74"/>
      <c r="BH97" s="73"/>
      <c r="BI97" s="73"/>
      <c r="BJ97" s="74"/>
      <c r="BK97" s="74"/>
      <c r="BL97" s="73"/>
      <c r="BM97" s="73"/>
      <c r="BN97" s="74"/>
      <c r="BO97" s="74"/>
      <c r="BP97" s="73"/>
      <c r="BQ97" s="73"/>
      <c r="BR97" s="74"/>
      <c r="BS97" s="74"/>
      <c r="BT97" s="73"/>
      <c r="BU97" s="73"/>
      <c r="BV97" s="74"/>
      <c r="BW97" s="74"/>
      <c r="BX97" s="73"/>
      <c r="BY97" s="73"/>
      <c r="BZ97" s="74"/>
      <c r="CA97" s="74"/>
      <c r="CB97" s="73"/>
      <c r="CC97" s="73"/>
      <c r="CD97" s="74"/>
      <c r="CE97" s="74"/>
      <c r="CF97" s="73"/>
      <c r="CG97" s="73"/>
      <c r="CH97" s="74"/>
    </row>
    <row r="98" spans="3:86" ht="33.75" customHeight="1" x14ac:dyDescent="0.35">
      <c r="C98" s="87"/>
      <c r="D98" s="6"/>
      <c r="E98" s="6"/>
      <c r="F98" s="6"/>
      <c r="G98" s="74"/>
      <c r="H98" s="73"/>
      <c r="I98" s="73"/>
      <c r="J98" s="74"/>
      <c r="K98" s="74"/>
      <c r="L98" s="73"/>
      <c r="M98" s="73"/>
      <c r="N98" s="74"/>
      <c r="O98" s="74"/>
      <c r="P98" s="73"/>
      <c r="Q98" s="73"/>
      <c r="R98" s="74"/>
      <c r="S98" s="74"/>
      <c r="T98" s="73"/>
      <c r="U98" s="73"/>
      <c r="V98" s="74"/>
      <c r="W98" s="74"/>
      <c r="X98" s="73"/>
      <c r="Y98" s="73"/>
      <c r="Z98" s="74"/>
      <c r="AA98" s="74"/>
      <c r="AB98" s="73"/>
      <c r="AC98" s="73"/>
      <c r="AD98" s="74"/>
      <c r="AE98" s="74"/>
      <c r="AF98" s="73"/>
      <c r="AG98" s="73"/>
      <c r="AH98" s="74"/>
      <c r="AI98" s="74"/>
      <c r="AJ98" s="73"/>
      <c r="AK98" s="73"/>
      <c r="AL98" s="74"/>
      <c r="AM98" s="74"/>
      <c r="AN98" s="73"/>
      <c r="AO98" s="73"/>
      <c r="AP98" s="74"/>
      <c r="AQ98" s="74"/>
      <c r="AR98" s="73"/>
      <c r="AS98" s="73"/>
      <c r="AT98" s="74"/>
      <c r="AU98" s="74"/>
      <c r="AV98" s="73"/>
      <c r="AW98" s="73"/>
      <c r="AX98" s="74"/>
      <c r="AY98" s="74"/>
      <c r="AZ98" s="73"/>
      <c r="BA98" s="73"/>
      <c r="BB98" s="74"/>
      <c r="BC98" s="74"/>
      <c r="BD98" s="73"/>
      <c r="BE98" s="73"/>
      <c r="BF98" s="74"/>
      <c r="BG98" s="74"/>
      <c r="BH98" s="73"/>
      <c r="BI98" s="73"/>
      <c r="BJ98" s="74"/>
      <c r="BK98" s="74"/>
      <c r="BL98" s="73"/>
      <c r="BM98" s="73"/>
      <c r="BN98" s="74"/>
      <c r="BO98" s="74"/>
      <c r="BP98" s="73"/>
      <c r="BQ98" s="73"/>
      <c r="BR98" s="74"/>
      <c r="BS98" s="74"/>
      <c r="BT98" s="73"/>
      <c r="BU98" s="73"/>
      <c r="BV98" s="74"/>
      <c r="BW98" s="74"/>
      <c r="BX98" s="73"/>
      <c r="BY98" s="73"/>
      <c r="BZ98" s="74"/>
      <c r="CA98" s="74"/>
      <c r="CB98" s="73"/>
      <c r="CC98" s="73"/>
      <c r="CD98" s="74"/>
      <c r="CE98" s="74"/>
      <c r="CF98" s="73"/>
      <c r="CG98" s="73"/>
      <c r="CH98" s="74"/>
    </row>
    <row r="99" spans="3:86" ht="33.75" customHeight="1" x14ac:dyDescent="0.35">
      <c r="C99" s="87"/>
      <c r="D99" s="6"/>
      <c r="E99" s="6"/>
      <c r="F99" s="6"/>
      <c r="G99" s="74"/>
      <c r="H99" s="73"/>
      <c r="I99" s="73"/>
      <c r="J99" s="74"/>
      <c r="K99" s="74"/>
      <c r="L99" s="73"/>
      <c r="M99" s="73"/>
      <c r="N99" s="74"/>
      <c r="O99" s="74"/>
      <c r="P99" s="73"/>
      <c r="Q99" s="73"/>
      <c r="R99" s="74"/>
      <c r="S99" s="74"/>
      <c r="T99" s="73"/>
      <c r="U99" s="73"/>
      <c r="V99" s="74"/>
      <c r="W99" s="74"/>
      <c r="X99" s="73"/>
      <c r="Y99" s="73"/>
      <c r="Z99" s="74"/>
      <c r="AA99" s="74"/>
      <c r="AB99" s="73"/>
      <c r="AC99" s="73"/>
      <c r="AD99" s="74"/>
      <c r="AE99" s="74"/>
      <c r="AF99" s="73"/>
      <c r="AG99" s="73"/>
      <c r="AH99" s="74"/>
      <c r="AI99" s="74"/>
      <c r="AJ99" s="73"/>
      <c r="AK99" s="73"/>
      <c r="AL99" s="74"/>
      <c r="AM99" s="74"/>
      <c r="AN99" s="73"/>
      <c r="AO99" s="73"/>
      <c r="AP99" s="74"/>
      <c r="AQ99" s="74"/>
      <c r="AR99" s="73"/>
      <c r="AS99" s="73"/>
      <c r="AT99" s="74"/>
      <c r="AU99" s="74"/>
      <c r="AV99" s="73"/>
      <c r="AW99" s="73"/>
      <c r="AX99" s="74"/>
      <c r="AY99" s="74"/>
      <c r="AZ99" s="73"/>
      <c r="BA99" s="73"/>
      <c r="BB99" s="74"/>
      <c r="BC99" s="74"/>
      <c r="BD99" s="73"/>
      <c r="BE99" s="73"/>
      <c r="BF99" s="74"/>
      <c r="BG99" s="74"/>
      <c r="BH99" s="73"/>
      <c r="BI99" s="73"/>
      <c r="BJ99" s="74"/>
      <c r="BK99" s="74"/>
      <c r="BL99" s="73"/>
      <c r="BM99" s="73"/>
      <c r="BN99" s="74"/>
      <c r="BO99" s="74"/>
      <c r="BP99" s="73"/>
      <c r="BQ99" s="73"/>
      <c r="BR99" s="74"/>
      <c r="BS99" s="74"/>
      <c r="BT99" s="73"/>
      <c r="BU99" s="73"/>
      <c r="BV99" s="74"/>
      <c r="BW99" s="74"/>
      <c r="BX99" s="73"/>
      <c r="BY99" s="73"/>
      <c r="BZ99" s="74"/>
      <c r="CA99" s="74"/>
      <c r="CB99" s="73"/>
      <c r="CC99" s="73"/>
      <c r="CD99" s="74"/>
      <c r="CE99" s="74"/>
      <c r="CF99" s="73"/>
      <c r="CG99" s="73"/>
      <c r="CH99" s="74"/>
    </row>
    <row r="100" spans="3:86" ht="33.75" customHeight="1" x14ac:dyDescent="0.35">
      <c r="C100" s="87"/>
      <c r="D100" s="6"/>
      <c r="E100" s="6"/>
      <c r="F100" s="6"/>
      <c r="G100" s="74"/>
      <c r="H100" s="73"/>
      <c r="I100" s="73"/>
      <c r="J100" s="74"/>
      <c r="K100" s="74"/>
      <c r="L100" s="73"/>
      <c r="M100" s="73"/>
      <c r="N100" s="74"/>
      <c r="O100" s="74"/>
      <c r="P100" s="73"/>
      <c r="Q100" s="73"/>
      <c r="R100" s="74"/>
      <c r="S100" s="74"/>
      <c r="T100" s="73"/>
      <c r="U100" s="73"/>
      <c r="V100" s="74"/>
      <c r="W100" s="74"/>
      <c r="X100" s="73"/>
      <c r="Y100" s="73"/>
      <c r="Z100" s="74"/>
      <c r="AA100" s="74"/>
      <c r="AB100" s="73"/>
      <c r="AC100" s="73"/>
      <c r="AD100" s="74"/>
      <c r="AE100" s="74"/>
      <c r="AF100" s="73"/>
      <c r="AG100" s="73"/>
      <c r="AH100" s="74"/>
      <c r="AI100" s="74"/>
      <c r="AJ100" s="73"/>
      <c r="AK100" s="73"/>
      <c r="AL100" s="74"/>
      <c r="AM100" s="74"/>
      <c r="AN100" s="73"/>
      <c r="AO100" s="73"/>
      <c r="AP100" s="74"/>
      <c r="AQ100" s="74"/>
      <c r="AR100" s="73"/>
      <c r="AS100" s="73"/>
      <c r="AT100" s="74"/>
      <c r="AU100" s="74"/>
      <c r="AV100" s="73"/>
      <c r="AW100" s="73"/>
      <c r="AX100" s="74"/>
      <c r="AY100" s="74"/>
      <c r="AZ100" s="73"/>
      <c r="BA100" s="73"/>
      <c r="BB100" s="74"/>
      <c r="BC100" s="74"/>
      <c r="BD100" s="73"/>
      <c r="BE100" s="73"/>
      <c r="BF100" s="74"/>
      <c r="BG100" s="74"/>
      <c r="BH100" s="73"/>
      <c r="BI100" s="73"/>
      <c r="BJ100" s="74"/>
      <c r="BK100" s="74"/>
      <c r="BL100" s="73"/>
      <c r="BM100" s="73"/>
      <c r="BN100" s="74"/>
      <c r="BO100" s="74"/>
      <c r="BP100" s="73"/>
      <c r="BQ100" s="73"/>
      <c r="BR100" s="74"/>
      <c r="BS100" s="74"/>
      <c r="BT100" s="73"/>
      <c r="BU100" s="73"/>
      <c r="BV100" s="74"/>
      <c r="BW100" s="74"/>
      <c r="BX100" s="73"/>
      <c r="BY100" s="73"/>
      <c r="BZ100" s="74"/>
      <c r="CA100" s="74"/>
      <c r="CB100" s="73"/>
      <c r="CC100" s="73"/>
      <c r="CD100" s="74"/>
      <c r="CE100" s="74"/>
      <c r="CF100" s="73"/>
      <c r="CG100" s="73"/>
      <c r="CH100" s="74"/>
    </row>
    <row r="101" spans="3:86" ht="33.75" customHeight="1" x14ac:dyDescent="0.35">
      <c r="C101" s="87"/>
      <c r="D101" s="6"/>
      <c r="E101" s="6"/>
      <c r="F101" s="6"/>
      <c r="G101" s="74"/>
      <c r="H101" s="73"/>
      <c r="I101" s="73"/>
      <c r="J101" s="74"/>
      <c r="K101" s="74"/>
      <c r="L101" s="73"/>
      <c r="M101" s="73"/>
      <c r="N101" s="74"/>
      <c r="O101" s="74"/>
      <c r="P101" s="73"/>
      <c r="Q101" s="73"/>
      <c r="R101" s="74"/>
      <c r="S101" s="74"/>
      <c r="T101" s="73"/>
      <c r="U101" s="73"/>
      <c r="V101" s="74"/>
      <c r="W101" s="74"/>
      <c r="X101" s="73"/>
      <c r="Y101" s="73"/>
      <c r="Z101" s="74"/>
      <c r="AA101" s="74"/>
      <c r="AB101" s="73"/>
      <c r="AC101" s="73"/>
      <c r="AD101" s="74"/>
      <c r="AE101" s="74"/>
      <c r="AF101" s="73"/>
      <c r="AG101" s="73"/>
      <c r="AH101" s="74"/>
      <c r="AI101" s="74"/>
      <c r="AJ101" s="73"/>
      <c r="AK101" s="73"/>
      <c r="AL101" s="74"/>
      <c r="AM101" s="74"/>
      <c r="AN101" s="73"/>
      <c r="AO101" s="73"/>
      <c r="AP101" s="74"/>
      <c r="AQ101" s="74"/>
      <c r="AR101" s="73"/>
      <c r="AS101" s="73"/>
      <c r="AT101" s="74"/>
      <c r="AU101" s="74"/>
      <c r="AV101" s="73"/>
      <c r="AW101" s="73"/>
      <c r="AX101" s="74"/>
      <c r="AY101" s="74"/>
      <c r="AZ101" s="73"/>
      <c r="BA101" s="73"/>
      <c r="BB101" s="74"/>
      <c r="BC101" s="74"/>
      <c r="BD101" s="73"/>
      <c r="BE101" s="73"/>
      <c r="BF101" s="74"/>
      <c r="BG101" s="74"/>
      <c r="BH101" s="73"/>
      <c r="BI101" s="73"/>
      <c r="BJ101" s="74"/>
      <c r="BK101" s="74"/>
      <c r="BL101" s="73"/>
      <c r="BM101" s="73"/>
      <c r="BN101" s="74"/>
      <c r="BO101" s="74"/>
      <c r="BP101" s="73"/>
      <c r="BQ101" s="73"/>
      <c r="BR101" s="74"/>
      <c r="BS101" s="74"/>
      <c r="BT101" s="73"/>
      <c r="BU101" s="73"/>
      <c r="BV101" s="74"/>
      <c r="BW101" s="74"/>
      <c r="BX101" s="73"/>
      <c r="BY101" s="73"/>
      <c r="BZ101" s="74"/>
      <c r="CA101" s="74"/>
      <c r="CB101" s="73"/>
      <c r="CC101" s="73"/>
      <c r="CD101" s="74"/>
      <c r="CE101" s="74"/>
      <c r="CF101" s="73"/>
      <c r="CG101" s="73"/>
      <c r="CH101" s="74"/>
    </row>
    <row r="102" spans="3:86" ht="33.75" customHeight="1" x14ac:dyDescent="0.35">
      <c r="C102" s="87"/>
      <c r="D102" s="6"/>
      <c r="E102" s="6"/>
      <c r="F102" s="6"/>
      <c r="G102" s="74"/>
      <c r="H102" s="73"/>
      <c r="I102" s="73"/>
      <c r="J102" s="74"/>
      <c r="K102" s="74"/>
      <c r="L102" s="73"/>
      <c r="M102" s="73"/>
      <c r="N102" s="74"/>
      <c r="O102" s="74"/>
      <c r="P102" s="73"/>
      <c r="Q102" s="73"/>
      <c r="R102" s="74"/>
      <c r="S102" s="74"/>
      <c r="T102" s="73"/>
      <c r="U102" s="73"/>
      <c r="V102" s="74"/>
      <c r="W102" s="74"/>
      <c r="X102" s="73"/>
      <c r="Y102" s="73"/>
      <c r="Z102" s="74"/>
      <c r="AA102" s="74"/>
      <c r="AB102" s="73"/>
      <c r="AC102" s="73"/>
      <c r="AD102" s="74"/>
      <c r="AE102" s="74"/>
      <c r="AF102" s="73"/>
      <c r="AG102" s="73"/>
      <c r="AH102" s="74"/>
      <c r="AI102" s="74"/>
      <c r="AJ102" s="73"/>
      <c r="AK102" s="73"/>
      <c r="AL102" s="74"/>
      <c r="AM102" s="74"/>
      <c r="AN102" s="73"/>
      <c r="AO102" s="73"/>
      <c r="AP102" s="74"/>
      <c r="AQ102" s="74"/>
      <c r="AR102" s="73"/>
      <c r="AS102" s="73"/>
      <c r="AT102" s="74"/>
      <c r="AU102" s="74"/>
      <c r="AV102" s="73"/>
      <c r="AW102" s="73"/>
      <c r="AX102" s="74"/>
      <c r="AY102" s="74"/>
      <c r="AZ102" s="73"/>
      <c r="BA102" s="73"/>
      <c r="BB102" s="74"/>
      <c r="BC102" s="74"/>
      <c r="BD102" s="73"/>
      <c r="BE102" s="73"/>
      <c r="BF102" s="74"/>
      <c r="BG102" s="74"/>
      <c r="BH102" s="73"/>
      <c r="BI102" s="73"/>
      <c r="BJ102" s="74"/>
      <c r="BK102" s="74"/>
      <c r="BL102" s="73"/>
      <c r="BM102" s="73"/>
      <c r="BN102" s="74"/>
      <c r="BO102" s="74"/>
      <c r="BP102" s="73"/>
      <c r="BQ102" s="73"/>
      <c r="BR102" s="74"/>
      <c r="BS102" s="74"/>
      <c r="BT102" s="73"/>
      <c r="BU102" s="73"/>
      <c r="BV102" s="74"/>
      <c r="BW102" s="74"/>
      <c r="BX102" s="73"/>
      <c r="BY102" s="73"/>
      <c r="BZ102" s="74"/>
      <c r="CA102" s="74"/>
      <c r="CB102" s="73"/>
      <c r="CC102" s="73"/>
      <c r="CD102" s="74"/>
      <c r="CE102" s="74"/>
      <c r="CF102" s="73"/>
      <c r="CG102" s="73"/>
      <c r="CH102" s="74"/>
    </row>
    <row r="103" spans="3:86" ht="33.75" customHeight="1" x14ac:dyDescent="0.35">
      <c r="C103" s="87"/>
      <c r="D103" s="6"/>
      <c r="E103" s="6"/>
      <c r="F103" s="6"/>
      <c r="G103" s="74"/>
      <c r="H103" s="73"/>
      <c r="I103" s="73"/>
      <c r="J103" s="74"/>
      <c r="K103" s="74"/>
      <c r="L103" s="73"/>
      <c r="M103" s="73"/>
      <c r="N103" s="74"/>
      <c r="O103" s="74"/>
      <c r="P103" s="73"/>
      <c r="Q103" s="73"/>
      <c r="R103" s="74"/>
      <c r="S103" s="74"/>
      <c r="T103" s="73"/>
      <c r="U103" s="73"/>
      <c r="V103" s="74"/>
      <c r="W103" s="74"/>
      <c r="X103" s="73"/>
      <c r="Y103" s="73"/>
      <c r="Z103" s="74"/>
      <c r="AA103" s="74"/>
      <c r="AB103" s="73"/>
      <c r="AC103" s="73"/>
      <c r="AD103" s="74"/>
      <c r="AE103" s="74"/>
      <c r="AF103" s="73"/>
      <c r="AG103" s="73"/>
      <c r="AH103" s="74"/>
      <c r="AI103" s="74"/>
      <c r="AJ103" s="73"/>
      <c r="AK103" s="73"/>
      <c r="AL103" s="74"/>
      <c r="AM103" s="74"/>
      <c r="AN103" s="73"/>
      <c r="AO103" s="73"/>
      <c r="AP103" s="74"/>
      <c r="AQ103" s="74"/>
      <c r="AR103" s="73"/>
      <c r="AS103" s="73"/>
      <c r="AT103" s="74"/>
      <c r="AU103" s="74"/>
      <c r="AV103" s="73"/>
      <c r="AW103" s="73"/>
      <c r="AX103" s="74"/>
      <c r="AY103" s="74"/>
      <c r="AZ103" s="73"/>
      <c r="BA103" s="73"/>
      <c r="BB103" s="74"/>
      <c r="BC103" s="74"/>
      <c r="BD103" s="73"/>
      <c r="BE103" s="73"/>
      <c r="BF103" s="74"/>
      <c r="BG103" s="74"/>
      <c r="BH103" s="73"/>
      <c r="BI103" s="73"/>
      <c r="BJ103" s="74"/>
      <c r="BK103" s="74"/>
      <c r="BL103" s="73"/>
      <c r="BM103" s="73"/>
      <c r="BN103" s="74"/>
      <c r="BO103" s="74"/>
      <c r="BP103" s="73"/>
      <c r="BQ103" s="73"/>
      <c r="BR103" s="74"/>
      <c r="BS103" s="74"/>
      <c r="BT103" s="73"/>
      <c r="BU103" s="73"/>
      <c r="BV103" s="74"/>
      <c r="BW103" s="74"/>
      <c r="BX103" s="73"/>
      <c r="BY103" s="73"/>
      <c r="BZ103" s="74"/>
      <c r="CA103" s="74"/>
      <c r="CB103" s="73"/>
      <c r="CC103" s="73"/>
      <c r="CD103" s="74"/>
      <c r="CE103" s="74"/>
      <c r="CF103" s="73"/>
      <c r="CG103" s="73"/>
      <c r="CH103" s="74"/>
    </row>
    <row r="104" spans="3:86" ht="33.75" customHeight="1" x14ac:dyDescent="0.35">
      <c r="C104" s="87"/>
      <c r="D104" s="6"/>
      <c r="E104" s="6"/>
      <c r="F104" s="6"/>
      <c r="G104" s="74"/>
      <c r="H104" s="73"/>
      <c r="I104" s="73"/>
      <c r="J104" s="74"/>
      <c r="K104" s="74"/>
      <c r="L104" s="73"/>
      <c r="M104" s="73"/>
      <c r="N104" s="74"/>
      <c r="O104" s="74"/>
      <c r="P104" s="73"/>
      <c r="Q104" s="73"/>
      <c r="R104" s="74"/>
      <c r="S104" s="74"/>
      <c r="T104" s="73"/>
      <c r="U104" s="73"/>
      <c r="V104" s="74"/>
      <c r="W104" s="74"/>
      <c r="X104" s="73"/>
      <c r="Y104" s="73"/>
      <c r="Z104" s="74"/>
      <c r="AA104" s="74"/>
      <c r="AB104" s="73"/>
      <c r="AC104" s="73"/>
      <c r="AD104" s="74"/>
      <c r="AE104" s="74"/>
      <c r="AF104" s="73"/>
      <c r="AG104" s="73"/>
      <c r="AH104" s="74"/>
      <c r="AI104" s="74"/>
      <c r="AJ104" s="73"/>
      <c r="AK104" s="73"/>
      <c r="AL104" s="74"/>
      <c r="AM104" s="74"/>
      <c r="AN104" s="73"/>
      <c r="AO104" s="73"/>
      <c r="AP104" s="74"/>
      <c r="AQ104" s="74"/>
      <c r="AR104" s="73"/>
      <c r="AS104" s="73"/>
      <c r="AT104" s="74"/>
      <c r="AU104" s="74"/>
      <c r="AV104" s="73"/>
      <c r="AW104" s="73"/>
      <c r="AX104" s="74"/>
      <c r="AY104" s="74"/>
      <c r="AZ104" s="73"/>
      <c r="BA104" s="73"/>
      <c r="BB104" s="74"/>
      <c r="BC104" s="74"/>
      <c r="BD104" s="73"/>
      <c r="BE104" s="73"/>
      <c r="BF104" s="74"/>
      <c r="BG104" s="74"/>
      <c r="BH104" s="73"/>
      <c r="BI104" s="73"/>
      <c r="BJ104" s="74"/>
      <c r="BK104" s="74"/>
      <c r="BL104" s="73"/>
      <c r="BM104" s="73"/>
      <c r="BN104" s="74"/>
      <c r="BO104" s="74"/>
      <c r="BP104" s="73"/>
      <c r="BQ104" s="73"/>
      <c r="BR104" s="74"/>
      <c r="BS104" s="74"/>
      <c r="BT104" s="73"/>
      <c r="BU104" s="73"/>
      <c r="BV104" s="74"/>
      <c r="BW104" s="74"/>
      <c r="BX104" s="73"/>
      <c r="BY104" s="73"/>
      <c r="BZ104" s="74"/>
      <c r="CA104" s="74"/>
      <c r="CB104" s="73"/>
      <c r="CC104" s="73"/>
      <c r="CD104" s="74"/>
      <c r="CE104" s="74"/>
      <c r="CF104" s="73"/>
      <c r="CG104" s="73"/>
      <c r="CH104" s="74"/>
    </row>
    <row r="105" spans="3:86" ht="33.75" customHeight="1" x14ac:dyDescent="0.35">
      <c r="C105" s="87"/>
      <c r="D105" s="6"/>
      <c r="E105" s="6"/>
      <c r="F105" s="6"/>
      <c r="G105" s="74"/>
      <c r="H105" s="73"/>
      <c r="I105" s="73"/>
      <c r="J105" s="74"/>
      <c r="K105" s="74"/>
      <c r="L105" s="73"/>
      <c r="M105" s="73"/>
      <c r="N105" s="74"/>
      <c r="O105" s="74"/>
      <c r="P105" s="73"/>
      <c r="Q105" s="73"/>
      <c r="R105" s="74"/>
      <c r="S105" s="74"/>
      <c r="T105" s="73"/>
      <c r="U105" s="73"/>
      <c r="V105" s="74"/>
      <c r="W105" s="74"/>
      <c r="X105" s="73"/>
      <c r="Y105" s="73"/>
      <c r="Z105" s="74"/>
      <c r="AA105" s="74"/>
      <c r="AB105" s="73"/>
      <c r="AC105" s="73"/>
      <c r="AD105" s="74"/>
      <c r="AE105" s="74"/>
      <c r="AF105" s="73"/>
      <c r="AG105" s="73"/>
      <c r="AH105" s="74"/>
      <c r="AI105" s="74"/>
      <c r="AJ105" s="73"/>
      <c r="AK105" s="73"/>
      <c r="AL105" s="74"/>
      <c r="AM105" s="74"/>
      <c r="AN105" s="73"/>
      <c r="AO105" s="73"/>
      <c r="AP105" s="74"/>
      <c r="AQ105" s="74"/>
      <c r="AR105" s="73"/>
      <c r="AS105" s="73"/>
      <c r="AT105" s="74"/>
      <c r="AU105" s="74"/>
      <c r="AV105" s="73"/>
      <c r="AW105" s="73"/>
      <c r="AX105" s="74"/>
      <c r="AY105" s="74"/>
      <c r="AZ105" s="73"/>
      <c r="BA105" s="73"/>
      <c r="BB105" s="74"/>
      <c r="BC105" s="74"/>
      <c r="BD105" s="73"/>
      <c r="BE105" s="73"/>
      <c r="BF105" s="74"/>
      <c r="BG105" s="74"/>
      <c r="BH105" s="73"/>
      <c r="BI105" s="73"/>
      <c r="BJ105" s="74"/>
      <c r="BK105" s="74"/>
      <c r="BL105" s="73"/>
      <c r="BM105" s="73"/>
      <c r="BN105" s="74"/>
      <c r="BO105" s="74"/>
      <c r="BP105" s="73"/>
      <c r="BQ105" s="73"/>
      <c r="BR105" s="74"/>
      <c r="BS105" s="74"/>
      <c r="BT105" s="73"/>
      <c r="BU105" s="73"/>
      <c r="BV105" s="74"/>
      <c r="BW105" s="74"/>
      <c r="BX105" s="73"/>
      <c r="BY105" s="73"/>
      <c r="BZ105" s="74"/>
      <c r="CA105" s="74"/>
      <c r="CB105" s="73"/>
      <c r="CC105" s="73"/>
      <c r="CD105" s="74"/>
      <c r="CE105" s="74"/>
      <c r="CF105" s="73"/>
      <c r="CG105" s="73"/>
      <c r="CH105" s="74"/>
    </row>
    <row r="106" spans="3:86" ht="33.75" customHeight="1" x14ac:dyDescent="0.35">
      <c r="C106" s="87"/>
      <c r="D106" s="6"/>
      <c r="E106" s="6"/>
      <c r="F106" s="6"/>
      <c r="G106" s="74"/>
      <c r="H106" s="73"/>
      <c r="I106" s="73"/>
      <c r="J106" s="74"/>
      <c r="K106" s="74"/>
      <c r="L106" s="73"/>
      <c r="M106" s="73"/>
      <c r="N106" s="74"/>
      <c r="O106" s="74"/>
      <c r="P106" s="73"/>
      <c r="Q106" s="73"/>
      <c r="R106" s="74"/>
      <c r="S106" s="74"/>
      <c r="T106" s="73"/>
      <c r="U106" s="73"/>
      <c r="V106" s="74"/>
      <c r="W106" s="74"/>
      <c r="X106" s="73"/>
      <c r="Y106" s="73"/>
      <c r="Z106" s="74"/>
      <c r="AA106" s="74"/>
      <c r="AB106" s="73"/>
      <c r="AC106" s="73"/>
      <c r="AD106" s="74"/>
      <c r="AE106" s="74"/>
      <c r="AF106" s="73"/>
      <c r="AG106" s="73"/>
      <c r="AH106" s="74"/>
      <c r="AI106" s="74"/>
      <c r="AJ106" s="73"/>
      <c r="AK106" s="73"/>
      <c r="AL106" s="74"/>
      <c r="AM106" s="74"/>
      <c r="AN106" s="73"/>
      <c r="AO106" s="73"/>
      <c r="AP106" s="74"/>
      <c r="AQ106" s="74"/>
      <c r="AR106" s="73"/>
      <c r="AS106" s="73"/>
      <c r="AT106" s="74"/>
      <c r="AU106" s="74"/>
      <c r="AV106" s="73"/>
      <c r="AW106" s="73"/>
      <c r="AX106" s="74"/>
      <c r="AY106" s="74"/>
      <c r="AZ106" s="73"/>
      <c r="BA106" s="73"/>
      <c r="BB106" s="74"/>
      <c r="BC106" s="74"/>
      <c r="BD106" s="73"/>
      <c r="BE106" s="73"/>
      <c r="BF106" s="74"/>
      <c r="BG106" s="74"/>
      <c r="BH106" s="73"/>
      <c r="BI106" s="73"/>
      <c r="BJ106" s="74"/>
      <c r="BK106" s="74"/>
      <c r="BL106" s="73"/>
      <c r="BM106" s="73"/>
      <c r="BN106" s="74"/>
      <c r="BO106" s="74"/>
      <c r="BP106" s="73"/>
      <c r="BQ106" s="73"/>
      <c r="BR106" s="74"/>
      <c r="BS106" s="74"/>
      <c r="BT106" s="73"/>
      <c r="BU106" s="73"/>
      <c r="BV106" s="74"/>
      <c r="BW106" s="74"/>
      <c r="BX106" s="73"/>
      <c r="BY106" s="73"/>
      <c r="BZ106" s="74"/>
      <c r="CA106" s="74"/>
      <c r="CB106" s="73"/>
      <c r="CC106" s="73"/>
      <c r="CD106" s="74"/>
      <c r="CE106" s="74"/>
      <c r="CF106" s="73"/>
      <c r="CG106" s="73"/>
      <c r="CH106" s="74"/>
    </row>
    <row r="107" spans="3:86" ht="33.75" customHeight="1" x14ac:dyDescent="0.35">
      <c r="C107" s="87"/>
      <c r="D107" s="6"/>
      <c r="E107" s="6"/>
      <c r="F107" s="6"/>
      <c r="G107" s="74"/>
      <c r="H107" s="73"/>
      <c r="I107" s="73"/>
      <c r="J107" s="74"/>
      <c r="K107" s="74"/>
      <c r="L107" s="73"/>
      <c r="M107" s="73"/>
      <c r="N107" s="74"/>
      <c r="O107" s="74"/>
      <c r="P107" s="73"/>
      <c r="Q107" s="73"/>
      <c r="R107" s="74"/>
      <c r="S107" s="74"/>
      <c r="T107" s="73"/>
      <c r="U107" s="73"/>
      <c r="V107" s="74"/>
      <c r="W107" s="74"/>
      <c r="X107" s="73"/>
      <c r="Y107" s="73"/>
      <c r="Z107" s="74"/>
      <c r="AA107" s="74"/>
      <c r="AB107" s="73"/>
      <c r="AC107" s="73"/>
      <c r="AD107" s="74"/>
      <c r="AE107" s="74"/>
      <c r="AF107" s="73"/>
      <c r="AG107" s="73"/>
      <c r="AH107" s="74"/>
      <c r="AI107" s="74"/>
      <c r="AJ107" s="73"/>
      <c r="AK107" s="73"/>
      <c r="AL107" s="74"/>
      <c r="AM107" s="74"/>
      <c r="AN107" s="73"/>
      <c r="AO107" s="73"/>
      <c r="AP107" s="74"/>
      <c r="AQ107" s="74"/>
      <c r="AR107" s="73"/>
      <c r="AS107" s="73"/>
      <c r="AT107" s="74"/>
      <c r="AU107" s="74"/>
      <c r="AV107" s="73"/>
      <c r="AW107" s="73"/>
      <c r="AX107" s="74"/>
      <c r="AY107" s="74"/>
      <c r="AZ107" s="73"/>
      <c r="BA107" s="73"/>
      <c r="BB107" s="74"/>
      <c r="BC107" s="74"/>
      <c r="BD107" s="73"/>
      <c r="BE107" s="73"/>
      <c r="BF107" s="74"/>
      <c r="BG107" s="74"/>
      <c r="BH107" s="73"/>
      <c r="BI107" s="73"/>
      <c r="BJ107" s="74"/>
      <c r="BK107" s="74"/>
      <c r="BL107" s="73"/>
      <c r="BM107" s="73"/>
      <c r="BN107" s="74"/>
      <c r="BO107" s="74"/>
      <c r="BP107" s="73"/>
      <c r="BQ107" s="73"/>
      <c r="BR107" s="74"/>
      <c r="BS107" s="74"/>
      <c r="BT107" s="73"/>
      <c r="BU107" s="73"/>
      <c r="BV107" s="74"/>
      <c r="BW107" s="74"/>
      <c r="BX107" s="73"/>
      <c r="BY107" s="73"/>
      <c r="BZ107" s="74"/>
      <c r="CA107" s="74"/>
      <c r="CB107" s="73"/>
      <c r="CC107" s="73"/>
      <c r="CD107" s="74"/>
      <c r="CE107" s="74"/>
      <c r="CF107" s="73"/>
      <c r="CG107" s="73"/>
      <c r="CH107" s="74"/>
    </row>
    <row r="108" spans="3:86" ht="33.75" customHeight="1" x14ac:dyDescent="0.35">
      <c r="C108" s="87"/>
      <c r="D108" s="6"/>
      <c r="E108" s="6"/>
      <c r="F108" s="6"/>
      <c r="G108" s="74"/>
      <c r="H108" s="73"/>
      <c r="I108" s="73"/>
      <c r="J108" s="74"/>
      <c r="K108" s="74"/>
      <c r="L108" s="73"/>
      <c r="M108" s="73"/>
      <c r="N108" s="74"/>
      <c r="O108" s="74"/>
      <c r="P108" s="73"/>
      <c r="Q108" s="73"/>
      <c r="R108" s="74"/>
      <c r="S108" s="74"/>
      <c r="T108" s="73"/>
      <c r="U108" s="73"/>
      <c r="V108" s="74"/>
      <c r="W108" s="74"/>
      <c r="X108" s="73"/>
      <c r="Y108" s="73"/>
      <c r="Z108" s="74"/>
      <c r="AA108" s="74"/>
      <c r="AB108" s="73"/>
      <c r="AC108" s="73"/>
      <c r="AD108" s="74"/>
      <c r="AE108" s="74"/>
      <c r="AF108" s="73"/>
      <c r="AG108" s="73"/>
      <c r="AH108" s="74"/>
      <c r="AI108" s="74"/>
      <c r="AJ108" s="73"/>
      <c r="AK108" s="73"/>
      <c r="AL108" s="74"/>
      <c r="AM108" s="74"/>
      <c r="AN108" s="73"/>
      <c r="AO108" s="73"/>
      <c r="AP108" s="74"/>
      <c r="AQ108" s="74"/>
      <c r="AR108" s="73"/>
      <c r="AS108" s="73"/>
      <c r="AT108" s="74"/>
      <c r="AU108" s="74"/>
      <c r="AV108" s="73"/>
      <c r="AW108" s="73"/>
      <c r="AX108" s="74"/>
      <c r="AY108" s="74"/>
      <c r="AZ108" s="73"/>
      <c r="BA108" s="73"/>
      <c r="BB108" s="74"/>
      <c r="BC108" s="74"/>
      <c r="BD108" s="73"/>
      <c r="BE108" s="73"/>
      <c r="BF108" s="74"/>
      <c r="BG108" s="74"/>
      <c r="BH108" s="73"/>
      <c r="BI108" s="73"/>
      <c r="BJ108" s="74"/>
      <c r="BK108" s="74"/>
      <c r="BL108" s="73"/>
      <c r="BM108" s="73"/>
      <c r="BN108" s="74"/>
      <c r="BO108" s="74"/>
      <c r="BP108" s="73"/>
      <c r="BQ108" s="73"/>
      <c r="BR108" s="74"/>
      <c r="BS108" s="74"/>
      <c r="BT108" s="73"/>
      <c r="BU108" s="73"/>
      <c r="BV108" s="74"/>
      <c r="BW108" s="74"/>
      <c r="BX108" s="73"/>
      <c r="BY108" s="73"/>
      <c r="BZ108" s="74"/>
      <c r="CA108" s="74"/>
      <c r="CB108" s="73"/>
      <c r="CC108" s="73"/>
      <c r="CD108" s="74"/>
      <c r="CE108" s="74"/>
      <c r="CF108" s="73"/>
      <c r="CG108" s="73"/>
      <c r="CH108" s="74"/>
    </row>
    <row r="109" spans="3:86" ht="33.75" customHeight="1" x14ac:dyDescent="0.35">
      <c r="C109" s="87"/>
      <c r="D109" s="6"/>
      <c r="E109" s="6"/>
      <c r="F109" s="6"/>
      <c r="G109" s="74"/>
      <c r="H109" s="73"/>
      <c r="I109" s="73"/>
      <c r="J109" s="74"/>
      <c r="K109" s="74"/>
      <c r="L109" s="73"/>
      <c r="M109" s="73"/>
      <c r="N109" s="74"/>
      <c r="O109" s="74"/>
      <c r="P109" s="73"/>
      <c r="Q109" s="73"/>
      <c r="R109" s="74"/>
      <c r="S109" s="74"/>
      <c r="T109" s="73"/>
      <c r="U109" s="73"/>
      <c r="V109" s="74"/>
      <c r="W109" s="74"/>
      <c r="X109" s="73"/>
      <c r="Y109" s="73"/>
      <c r="Z109" s="74"/>
      <c r="AA109" s="74"/>
      <c r="AB109" s="73"/>
      <c r="AC109" s="73"/>
      <c r="AD109" s="74"/>
      <c r="AE109" s="74"/>
      <c r="AF109" s="73"/>
      <c r="AG109" s="73"/>
      <c r="AH109" s="74"/>
      <c r="AI109" s="74"/>
      <c r="AJ109" s="73"/>
      <c r="AK109" s="73"/>
      <c r="AL109" s="74"/>
      <c r="AM109" s="74"/>
      <c r="AN109" s="73"/>
      <c r="AO109" s="73"/>
      <c r="AP109" s="74"/>
      <c r="AQ109" s="74"/>
      <c r="AR109" s="73"/>
      <c r="AS109" s="73"/>
      <c r="AT109" s="74"/>
      <c r="AU109" s="74"/>
      <c r="AV109" s="73"/>
      <c r="AW109" s="73"/>
      <c r="AX109" s="74"/>
      <c r="AY109" s="74"/>
      <c r="AZ109" s="73"/>
      <c r="BA109" s="73"/>
      <c r="BB109" s="74"/>
      <c r="BC109" s="74"/>
      <c r="BD109" s="73"/>
      <c r="BE109" s="73"/>
      <c r="BF109" s="74"/>
      <c r="BG109" s="74"/>
      <c r="BH109" s="73"/>
      <c r="BI109" s="73"/>
      <c r="BJ109" s="74"/>
      <c r="BK109" s="74"/>
      <c r="BL109" s="73"/>
      <c r="BM109" s="73"/>
      <c r="BN109" s="74"/>
      <c r="BO109" s="74"/>
      <c r="BP109" s="73"/>
      <c r="BQ109" s="73"/>
      <c r="BR109" s="74"/>
      <c r="BS109" s="74"/>
      <c r="BT109" s="73"/>
      <c r="BU109" s="73"/>
      <c r="BV109" s="74"/>
      <c r="BW109" s="74"/>
      <c r="BX109" s="73"/>
      <c r="BY109" s="73"/>
      <c r="BZ109" s="74"/>
      <c r="CA109" s="74"/>
      <c r="CB109" s="73"/>
      <c r="CC109" s="73"/>
      <c r="CD109" s="74"/>
      <c r="CE109" s="74"/>
      <c r="CF109" s="73"/>
      <c r="CG109" s="73"/>
      <c r="CH109" s="74"/>
    </row>
    <row r="110" spans="3:86" ht="33.75" customHeight="1" x14ac:dyDescent="0.35">
      <c r="C110" s="87"/>
      <c r="D110" s="6"/>
      <c r="E110" s="6"/>
      <c r="F110" s="6"/>
      <c r="G110" s="74"/>
      <c r="H110" s="73"/>
      <c r="I110" s="73"/>
      <c r="J110" s="74"/>
      <c r="K110" s="74"/>
      <c r="L110" s="73"/>
      <c r="M110" s="73"/>
      <c r="N110" s="74"/>
      <c r="O110" s="74"/>
      <c r="P110" s="73"/>
      <c r="Q110" s="73"/>
      <c r="R110" s="74"/>
      <c r="S110" s="74"/>
      <c r="T110" s="73"/>
      <c r="U110" s="73"/>
      <c r="V110" s="74"/>
      <c r="W110" s="74"/>
      <c r="X110" s="73"/>
      <c r="Y110" s="73"/>
      <c r="Z110" s="74"/>
      <c r="AA110" s="74"/>
      <c r="AB110" s="73"/>
      <c r="AC110" s="73"/>
      <c r="AD110" s="74"/>
      <c r="AE110" s="74"/>
      <c r="AF110" s="73"/>
      <c r="AG110" s="73"/>
      <c r="AH110" s="74"/>
      <c r="AI110" s="74"/>
      <c r="AJ110" s="73"/>
      <c r="AK110" s="73"/>
      <c r="AL110" s="74"/>
      <c r="AM110" s="74"/>
      <c r="AN110" s="73"/>
      <c r="AO110" s="73"/>
      <c r="AP110" s="74"/>
      <c r="AQ110" s="74"/>
      <c r="AR110" s="73"/>
      <c r="AS110" s="73"/>
      <c r="AT110" s="74"/>
      <c r="AU110" s="74"/>
      <c r="AV110" s="73"/>
      <c r="AW110" s="73"/>
      <c r="AX110" s="74"/>
      <c r="AY110" s="74"/>
      <c r="AZ110" s="73"/>
      <c r="BA110" s="73"/>
      <c r="BB110" s="74"/>
      <c r="BC110" s="74"/>
      <c r="BD110" s="73"/>
      <c r="BE110" s="73"/>
      <c r="BF110" s="74"/>
      <c r="BG110" s="74"/>
      <c r="BH110" s="73"/>
      <c r="BI110" s="73"/>
      <c r="BJ110" s="74"/>
      <c r="BK110" s="74"/>
      <c r="BL110" s="73"/>
      <c r="BM110" s="73"/>
      <c r="BN110" s="74"/>
      <c r="BO110" s="74"/>
      <c r="BP110" s="73"/>
      <c r="BQ110" s="73"/>
      <c r="BR110" s="74"/>
      <c r="BS110" s="74"/>
      <c r="BT110" s="73"/>
      <c r="BU110" s="73"/>
      <c r="BV110" s="74"/>
      <c r="BW110" s="74"/>
      <c r="BX110" s="73"/>
      <c r="BY110" s="73"/>
      <c r="BZ110" s="74"/>
      <c r="CA110" s="74"/>
      <c r="CB110" s="73"/>
      <c r="CC110" s="73"/>
      <c r="CD110" s="74"/>
      <c r="CE110" s="74"/>
      <c r="CF110" s="73"/>
      <c r="CG110" s="73"/>
      <c r="CH110" s="74"/>
    </row>
    <row r="111" spans="3:86" ht="33.75" customHeight="1" x14ac:dyDescent="0.35">
      <c r="C111" s="87"/>
      <c r="D111" s="6"/>
      <c r="E111" s="6"/>
      <c r="F111" s="6"/>
      <c r="G111" s="74"/>
      <c r="H111" s="73"/>
      <c r="I111" s="73"/>
      <c r="J111" s="74"/>
      <c r="K111" s="74"/>
      <c r="L111" s="73"/>
      <c r="M111" s="73"/>
      <c r="N111" s="74"/>
      <c r="O111" s="74"/>
      <c r="P111" s="73"/>
      <c r="Q111" s="73"/>
      <c r="R111" s="74"/>
      <c r="S111" s="74"/>
      <c r="T111" s="73"/>
      <c r="U111" s="73"/>
      <c r="V111" s="74"/>
      <c r="W111" s="74"/>
      <c r="X111" s="73"/>
      <c r="Y111" s="73"/>
      <c r="Z111" s="74"/>
      <c r="AA111" s="74"/>
      <c r="AB111" s="73"/>
      <c r="AC111" s="73"/>
      <c r="AD111" s="74"/>
      <c r="AE111" s="74"/>
      <c r="AF111" s="73"/>
      <c r="AG111" s="73"/>
      <c r="AH111" s="74"/>
      <c r="AI111" s="74"/>
      <c r="AJ111" s="73"/>
      <c r="AK111" s="73"/>
      <c r="AL111" s="74"/>
      <c r="AM111" s="74"/>
      <c r="AN111" s="73"/>
      <c r="AO111" s="73"/>
      <c r="AP111" s="74"/>
      <c r="AQ111" s="74"/>
      <c r="AR111" s="73"/>
      <c r="AS111" s="73"/>
      <c r="AT111" s="74"/>
      <c r="AU111" s="74"/>
      <c r="AV111" s="73"/>
      <c r="AW111" s="73"/>
      <c r="AX111" s="74"/>
      <c r="AY111" s="74"/>
      <c r="AZ111" s="73"/>
      <c r="BA111" s="73"/>
      <c r="BB111" s="74"/>
      <c r="BC111" s="74"/>
      <c r="BD111" s="73"/>
      <c r="BE111" s="73"/>
      <c r="BF111" s="74"/>
      <c r="BG111" s="74"/>
      <c r="BH111" s="73"/>
      <c r="BI111" s="73"/>
      <c r="BJ111" s="74"/>
      <c r="BK111" s="74"/>
      <c r="BL111" s="73"/>
      <c r="BM111" s="73"/>
      <c r="BN111" s="74"/>
      <c r="BO111" s="74"/>
      <c r="BP111" s="73"/>
      <c r="BQ111" s="73"/>
      <c r="BR111" s="74"/>
      <c r="BS111" s="74"/>
      <c r="BT111" s="73"/>
      <c r="BU111" s="73"/>
      <c r="BV111" s="74"/>
      <c r="BW111" s="74"/>
      <c r="BX111" s="73"/>
      <c r="BY111" s="73"/>
      <c r="BZ111" s="74"/>
      <c r="CA111" s="74"/>
      <c r="CB111" s="73"/>
      <c r="CC111" s="73"/>
      <c r="CD111" s="74"/>
      <c r="CE111" s="74"/>
      <c r="CF111" s="73"/>
      <c r="CG111" s="73"/>
      <c r="CH111" s="74"/>
    </row>
    <row r="112" spans="3:86" ht="33.75" customHeight="1" x14ac:dyDescent="0.35">
      <c r="C112" s="87"/>
      <c r="D112" s="6"/>
      <c r="E112" s="6"/>
      <c r="F112" s="6"/>
      <c r="G112" s="74"/>
      <c r="H112" s="73"/>
      <c r="I112" s="73"/>
      <c r="J112" s="74"/>
      <c r="K112" s="74"/>
      <c r="L112" s="73"/>
      <c r="M112" s="73"/>
      <c r="N112" s="74"/>
      <c r="O112" s="74"/>
      <c r="P112" s="73"/>
      <c r="Q112" s="73"/>
      <c r="R112" s="74"/>
      <c r="S112" s="74"/>
      <c r="T112" s="73"/>
      <c r="U112" s="73"/>
      <c r="V112" s="74"/>
      <c r="W112" s="74"/>
      <c r="X112" s="73"/>
      <c r="Y112" s="73"/>
      <c r="Z112" s="74"/>
      <c r="AA112" s="74"/>
      <c r="AB112" s="73"/>
      <c r="AC112" s="73"/>
      <c r="AD112" s="74"/>
      <c r="AE112" s="74"/>
      <c r="AF112" s="73"/>
      <c r="AG112" s="73"/>
      <c r="AH112" s="74"/>
      <c r="AI112" s="74"/>
      <c r="AJ112" s="73"/>
      <c r="AK112" s="73"/>
      <c r="AL112" s="74"/>
      <c r="AM112" s="74"/>
      <c r="AN112" s="73"/>
      <c r="AO112" s="73"/>
      <c r="AP112" s="74"/>
      <c r="AQ112" s="74"/>
      <c r="AR112" s="73"/>
      <c r="AS112" s="73"/>
      <c r="AT112" s="74"/>
      <c r="AU112" s="74"/>
      <c r="AV112" s="73"/>
      <c r="AW112" s="73"/>
      <c r="AX112" s="74"/>
      <c r="AY112" s="74"/>
      <c r="AZ112" s="73"/>
      <c r="BA112" s="73"/>
      <c r="BB112" s="74"/>
      <c r="BC112" s="74"/>
      <c r="BD112" s="73"/>
      <c r="BE112" s="73"/>
      <c r="BF112" s="74"/>
      <c r="BG112" s="74"/>
      <c r="BH112" s="73"/>
      <c r="BI112" s="73"/>
      <c r="BJ112" s="74"/>
      <c r="BK112" s="74"/>
      <c r="BL112" s="73"/>
      <c r="BM112" s="73"/>
      <c r="BN112" s="74"/>
      <c r="BO112" s="74"/>
      <c r="BP112" s="73"/>
      <c r="BQ112" s="73"/>
      <c r="BR112" s="74"/>
      <c r="BS112" s="74"/>
      <c r="BT112" s="73"/>
      <c r="BU112" s="73"/>
      <c r="BV112" s="74"/>
      <c r="BW112" s="74"/>
      <c r="BX112" s="73"/>
      <c r="BY112" s="73"/>
      <c r="BZ112" s="74"/>
      <c r="CA112" s="74"/>
      <c r="CB112" s="73"/>
      <c r="CC112" s="73"/>
      <c r="CD112" s="74"/>
      <c r="CE112" s="74"/>
      <c r="CF112" s="73"/>
      <c r="CG112" s="73"/>
      <c r="CH112" s="74"/>
    </row>
    <row r="113" spans="3:86" ht="33.75" customHeight="1" x14ac:dyDescent="0.35">
      <c r="C113" s="87"/>
      <c r="D113" s="6"/>
      <c r="E113" s="6"/>
      <c r="F113" s="6"/>
      <c r="G113" s="74"/>
      <c r="H113" s="73"/>
      <c r="I113" s="73"/>
      <c r="J113" s="74"/>
      <c r="K113" s="74"/>
      <c r="L113" s="73"/>
      <c r="M113" s="73"/>
      <c r="N113" s="74"/>
      <c r="O113" s="74"/>
      <c r="P113" s="73"/>
      <c r="Q113" s="73"/>
      <c r="R113" s="74"/>
      <c r="S113" s="74"/>
      <c r="T113" s="73"/>
      <c r="U113" s="73"/>
      <c r="V113" s="74"/>
      <c r="W113" s="74"/>
      <c r="X113" s="73"/>
      <c r="Y113" s="73"/>
      <c r="Z113" s="74"/>
      <c r="AA113" s="74"/>
      <c r="AB113" s="73"/>
      <c r="AC113" s="73"/>
      <c r="AD113" s="74"/>
      <c r="AE113" s="74"/>
      <c r="AF113" s="73"/>
      <c r="AG113" s="73"/>
      <c r="AH113" s="74"/>
      <c r="AI113" s="74"/>
      <c r="AJ113" s="73"/>
      <c r="AK113" s="73"/>
      <c r="AL113" s="74"/>
      <c r="AM113" s="74"/>
      <c r="AN113" s="73"/>
      <c r="AO113" s="73"/>
      <c r="AP113" s="74"/>
      <c r="AQ113" s="74"/>
      <c r="AR113" s="73"/>
      <c r="AS113" s="73"/>
      <c r="AT113" s="74"/>
      <c r="AU113" s="74"/>
      <c r="AV113" s="73"/>
      <c r="AW113" s="73"/>
      <c r="AX113" s="74"/>
      <c r="AY113" s="74"/>
      <c r="AZ113" s="73"/>
      <c r="BA113" s="73"/>
      <c r="BB113" s="74"/>
      <c r="BC113" s="74"/>
      <c r="BD113" s="73"/>
      <c r="BE113" s="73"/>
      <c r="BF113" s="74"/>
      <c r="BG113" s="74"/>
      <c r="BH113" s="73"/>
      <c r="BI113" s="73"/>
      <c r="BJ113" s="74"/>
      <c r="BK113" s="74"/>
      <c r="BL113" s="73"/>
      <c r="BM113" s="73"/>
      <c r="BN113" s="74"/>
      <c r="BO113" s="74"/>
      <c r="BP113" s="73"/>
      <c r="BQ113" s="73"/>
      <c r="BR113" s="74"/>
      <c r="BS113" s="74"/>
      <c r="BT113" s="73"/>
      <c r="BU113" s="73"/>
      <c r="BV113" s="74"/>
      <c r="BW113" s="74"/>
      <c r="BX113" s="73"/>
      <c r="BY113" s="73"/>
      <c r="BZ113" s="74"/>
      <c r="CA113" s="74"/>
      <c r="CB113" s="73"/>
      <c r="CC113" s="73"/>
      <c r="CD113" s="74"/>
      <c r="CE113" s="74"/>
      <c r="CF113" s="73"/>
      <c r="CG113" s="73"/>
      <c r="CH113" s="74"/>
    </row>
    <row r="114" spans="3:86" ht="33.75" customHeight="1" x14ac:dyDescent="0.35">
      <c r="C114" s="87"/>
      <c r="D114" s="6"/>
      <c r="E114" s="6"/>
      <c r="F114" s="6"/>
      <c r="G114" s="74"/>
      <c r="H114" s="73"/>
      <c r="I114" s="73"/>
      <c r="J114" s="74"/>
      <c r="K114" s="74"/>
      <c r="L114" s="73"/>
      <c r="M114" s="73"/>
      <c r="N114" s="74"/>
      <c r="O114" s="74"/>
      <c r="P114" s="73"/>
      <c r="Q114" s="73"/>
      <c r="R114" s="74"/>
      <c r="S114" s="74"/>
      <c r="T114" s="73"/>
      <c r="U114" s="73"/>
      <c r="V114" s="74"/>
      <c r="W114" s="74"/>
      <c r="X114" s="73"/>
      <c r="Y114" s="73"/>
      <c r="Z114" s="74"/>
      <c r="AA114" s="74"/>
      <c r="AB114" s="73"/>
      <c r="AC114" s="73"/>
      <c r="AD114" s="74"/>
      <c r="AE114" s="74"/>
      <c r="AF114" s="73"/>
      <c r="AG114" s="73"/>
      <c r="AH114" s="74"/>
      <c r="AI114" s="74"/>
      <c r="AJ114" s="73"/>
      <c r="AK114" s="73"/>
      <c r="AL114" s="74"/>
      <c r="AM114" s="74"/>
      <c r="AN114" s="73"/>
      <c r="AO114" s="73"/>
      <c r="AP114" s="74"/>
      <c r="AQ114" s="74"/>
      <c r="AR114" s="73"/>
      <c r="AS114" s="73"/>
      <c r="AT114" s="74"/>
      <c r="AU114" s="74"/>
      <c r="AV114" s="73"/>
      <c r="AW114" s="73"/>
      <c r="AX114" s="74"/>
      <c r="AY114" s="74"/>
      <c r="AZ114" s="73"/>
      <c r="BA114" s="73"/>
      <c r="BB114" s="74"/>
      <c r="BC114" s="74"/>
      <c r="BD114" s="73"/>
      <c r="BE114" s="73"/>
      <c r="BF114" s="74"/>
      <c r="BG114" s="74"/>
      <c r="BH114" s="73"/>
      <c r="BI114" s="73"/>
      <c r="BJ114" s="74"/>
      <c r="BK114" s="74"/>
      <c r="BL114" s="73"/>
      <c r="BM114" s="73"/>
      <c r="BN114" s="74"/>
      <c r="BO114" s="74"/>
      <c r="BP114" s="73"/>
      <c r="BQ114" s="73"/>
      <c r="BR114" s="74"/>
      <c r="BS114" s="74"/>
      <c r="BT114" s="73"/>
      <c r="BU114" s="73"/>
      <c r="BV114" s="74"/>
      <c r="BW114" s="74"/>
      <c r="BX114" s="73"/>
      <c r="BY114" s="73"/>
      <c r="BZ114" s="74"/>
      <c r="CA114" s="74"/>
      <c r="CB114" s="73"/>
      <c r="CC114" s="73"/>
      <c r="CD114" s="74"/>
      <c r="CE114" s="74"/>
      <c r="CF114" s="73"/>
      <c r="CG114" s="73"/>
      <c r="CH114" s="74"/>
    </row>
    <row r="115" spans="3:86" ht="33.75" customHeight="1" x14ac:dyDescent="0.35">
      <c r="C115" s="87"/>
      <c r="D115" s="6"/>
      <c r="E115" s="6"/>
      <c r="F115" s="6"/>
      <c r="G115" s="74"/>
      <c r="H115" s="73"/>
      <c r="I115" s="73"/>
      <c r="J115" s="74"/>
      <c r="K115" s="74"/>
      <c r="L115" s="73"/>
      <c r="M115" s="73"/>
      <c r="N115" s="74"/>
      <c r="O115" s="74"/>
      <c r="P115" s="73"/>
      <c r="Q115" s="73"/>
      <c r="R115" s="74"/>
      <c r="S115" s="74"/>
      <c r="T115" s="73"/>
      <c r="U115" s="73"/>
      <c r="V115" s="74"/>
      <c r="W115" s="74"/>
      <c r="X115" s="73"/>
      <c r="Y115" s="73"/>
      <c r="Z115" s="74"/>
      <c r="AA115" s="74"/>
      <c r="AB115" s="73"/>
      <c r="AC115" s="73"/>
      <c r="AD115" s="74"/>
      <c r="AE115" s="74"/>
      <c r="AF115" s="73"/>
      <c r="AG115" s="73"/>
      <c r="AH115" s="74"/>
      <c r="AI115" s="74"/>
      <c r="AJ115" s="73"/>
      <c r="AK115" s="73"/>
      <c r="AL115" s="74"/>
      <c r="AM115" s="74"/>
      <c r="AN115" s="73"/>
      <c r="AO115" s="73"/>
      <c r="AP115" s="74"/>
      <c r="AQ115" s="74"/>
      <c r="AR115" s="73"/>
      <c r="AS115" s="73"/>
      <c r="AT115" s="74"/>
      <c r="AU115" s="74"/>
      <c r="AV115" s="73"/>
      <c r="AW115" s="73"/>
      <c r="AX115" s="74"/>
      <c r="AY115" s="74"/>
      <c r="AZ115" s="73"/>
      <c r="BA115" s="73"/>
      <c r="BB115" s="74"/>
      <c r="BC115" s="74"/>
      <c r="BD115" s="73"/>
      <c r="BE115" s="73"/>
      <c r="BF115" s="74"/>
      <c r="BG115" s="74"/>
      <c r="BH115" s="73"/>
      <c r="BI115" s="73"/>
      <c r="BJ115" s="74"/>
      <c r="BK115" s="74"/>
      <c r="BL115" s="73"/>
      <c r="BM115" s="73"/>
      <c r="BN115" s="74"/>
      <c r="BO115" s="74"/>
      <c r="BP115" s="73"/>
      <c r="BQ115" s="73"/>
      <c r="BR115" s="74"/>
      <c r="BS115" s="74"/>
      <c r="BT115" s="73"/>
      <c r="BU115" s="73"/>
      <c r="BV115" s="74"/>
      <c r="BW115" s="74"/>
      <c r="BX115" s="73"/>
      <c r="BY115" s="73"/>
      <c r="BZ115" s="74"/>
      <c r="CA115" s="74"/>
      <c r="CB115" s="73"/>
      <c r="CC115" s="73"/>
      <c r="CD115" s="74"/>
      <c r="CE115" s="74"/>
      <c r="CF115" s="73"/>
      <c r="CG115" s="73"/>
      <c r="CH115" s="74"/>
    </row>
    <row r="116" spans="3:86" ht="33.75" customHeight="1" x14ac:dyDescent="0.35">
      <c r="C116" s="87"/>
      <c r="D116" s="6"/>
      <c r="E116" s="6"/>
      <c r="F116" s="6"/>
      <c r="G116" s="74"/>
      <c r="H116" s="73"/>
      <c r="I116" s="73"/>
      <c r="J116" s="74"/>
      <c r="K116" s="74"/>
      <c r="L116" s="73"/>
      <c r="M116" s="73"/>
      <c r="N116" s="74"/>
      <c r="O116" s="74"/>
      <c r="P116" s="73"/>
      <c r="Q116" s="73"/>
      <c r="R116" s="74"/>
      <c r="S116" s="74"/>
      <c r="T116" s="73"/>
      <c r="U116" s="73"/>
      <c r="V116" s="74"/>
      <c r="W116" s="74"/>
      <c r="X116" s="73"/>
      <c r="Y116" s="73"/>
      <c r="Z116" s="74"/>
      <c r="AA116" s="74"/>
      <c r="AB116" s="73"/>
      <c r="AC116" s="73"/>
      <c r="AD116" s="74"/>
      <c r="AE116" s="74"/>
      <c r="AF116" s="73"/>
      <c r="AG116" s="73"/>
      <c r="AH116" s="74"/>
      <c r="AI116" s="74"/>
      <c r="AJ116" s="73"/>
      <c r="AK116" s="73"/>
      <c r="AL116" s="74"/>
      <c r="AM116" s="74"/>
      <c r="AN116" s="73"/>
      <c r="AO116" s="73"/>
      <c r="AP116" s="74"/>
      <c r="AQ116" s="74"/>
      <c r="AR116" s="73"/>
      <c r="AS116" s="73"/>
      <c r="AT116" s="74"/>
      <c r="AU116" s="74"/>
      <c r="AV116" s="73"/>
      <c r="AW116" s="73"/>
      <c r="AX116" s="74"/>
      <c r="AY116" s="74"/>
      <c r="AZ116" s="73"/>
      <c r="BA116" s="73"/>
      <c r="BB116" s="74"/>
      <c r="BC116" s="74"/>
      <c r="BD116" s="73"/>
      <c r="BE116" s="73"/>
      <c r="BF116" s="74"/>
      <c r="BG116" s="74"/>
      <c r="BH116" s="73"/>
      <c r="BI116" s="73"/>
      <c r="BJ116" s="74"/>
      <c r="BK116" s="74"/>
      <c r="BL116" s="73"/>
      <c r="BM116" s="73"/>
      <c r="BN116" s="74"/>
      <c r="BO116" s="74"/>
      <c r="BP116" s="73"/>
      <c r="BQ116" s="73"/>
      <c r="BR116" s="74"/>
      <c r="BS116" s="74"/>
      <c r="BT116" s="73"/>
      <c r="BU116" s="73"/>
      <c r="BV116" s="74"/>
      <c r="BW116" s="74"/>
      <c r="BX116" s="73"/>
      <c r="BY116" s="73"/>
      <c r="BZ116" s="74"/>
      <c r="CA116" s="74"/>
      <c r="CB116" s="73"/>
      <c r="CC116" s="73"/>
      <c r="CD116" s="74"/>
      <c r="CE116" s="74"/>
      <c r="CF116" s="73"/>
      <c r="CG116" s="73"/>
      <c r="CH116" s="74"/>
    </row>
    <row r="117" spans="3:86" ht="33.75" customHeight="1" x14ac:dyDescent="0.35">
      <c r="C117" s="87"/>
      <c r="D117" s="6"/>
      <c r="E117" s="6"/>
      <c r="F117" s="6"/>
      <c r="G117" s="74"/>
      <c r="H117" s="73"/>
      <c r="I117" s="73"/>
      <c r="J117" s="74"/>
      <c r="K117" s="74"/>
      <c r="L117" s="73"/>
      <c r="M117" s="73"/>
      <c r="N117" s="74"/>
      <c r="O117" s="74"/>
      <c r="P117" s="73"/>
      <c r="Q117" s="73"/>
      <c r="R117" s="74"/>
      <c r="S117" s="74"/>
      <c r="T117" s="73"/>
      <c r="U117" s="73"/>
      <c r="V117" s="74"/>
      <c r="W117" s="74"/>
      <c r="X117" s="73"/>
      <c r="Y117" s="73"/>
      <c r="Z117" s="74"/>
      <c r="AA117" s="74"/>
      <c r="AB117" s="73"/>
      <c r="AC117" s="73"/>
      <c r="AD117" s="74"/>
      <c r="AE117" s="74"/>
      <c r="AF117" s="73"/>
      <c r="AG117" s="73"/>
      <c r="AH117" s="74"/>
      <c r="AI117" s="74"/>
      <c r="AJ117" s="73"/>
      <c r="AK117" s="73"/>
      <c r="AL117" s="74"/>
      <c r="AM117" s="74"/>
      <c r="AN117" s="73"/>
      <c r="AO117" s="73"/>
      <c r="AP117" s="74"/>
      <c r="AQ117" s="74"/>
      <c r="AR117" s="73"/>
      <c r="AS117" s="73"/>
      <c r="AT117" s="74"/>
      <c r="AU117" s="74"/>
      <c r="AV117" s="73"/>
      <c r="AW117" s="73"/>
      <c r="AX117" s="74"/>
      <c r="AY117" s="74"/>
      <c r="AZ117" s="73"/>
      <c r="BA117" s="73"/>
      <c r="BB117" s="74"/>
      <c r="BC117" s="74"/>
      <c r="BD117" s="73"/>
      <c r="BE117" s="73"/>
      <c r="BF117" s="74"/>
      <c r="BG117" s="74"/>
      <c r="BH117" s="73"/>
      <c r="BI117" s="73"/>
      <c r="BJ117" s="74"/>
      <c r="BK117" s="74"/>
      <c r="BL117" s="73"/>
      <c r="BM117" s="73"/>
      <c r="BN117" s="74"/>
      <c r="BO117" s="74"/>
      <c r="BP117" s="73"/>
      <c r="BQ117" s="73"/>
      <c r="BR117" s="74"/>
      <c r="BS117" s="74"/>
      <c r="BT117" s="73"/>
      <c r="BU117" s="73"/>
      <c r="BV117" s="74"/>
      <c r="BW117" s="74"/>
      <c r="BX117" s="73"/>
      <c r="BY117" s="73"/>
      <c r="BZ117" s="74"/>
      <c r="CA117" s="74"/>
      <c r="CB117" s="73"/>
      <c r="CC117" s="73"/>
      <c r="CD117" s="74"/>
      <c r="CE117" s="74"/>
      <c r="CF117" s="73"/>
      <c r="CG117" s="73"/>
      <c r="CH117" s="74"/>
    </row>
    <row r="118" spans="3:86" ht="33.75" customHeight="1" x14ac:dyDescent="0.35">
      <c r="C118" s="87"/>
      <c r="D118" s="6"/>
      <c r="E118" s="6"/>
      <c r="F118" s="6"/>
      <c r="G118" s="74"/>
      <c r="H118" s="73"/>
      <c r="I118" s="73"/>
      <c r="J118" s="74"/>
      <c r="K118" s="74"/>
      <c r="L118" s="73"/>
      <c r="M118" s="73"/>
      <c r="N118" s="74"/>
      <c r="O118" s="74"/>
      <c r="P118" s="73"/>
      <c r="Q118" s="73"/>
      <c r="R118" s="74"/>
      <c r="S118" s="74"/>
      <c r="T118" s="73"/>
      <c r="U118" s="73"/>
      <c r="V118" s="74"/>
      <c r="W118" s="74"/>
      <c r="X118" s="73"/>
      <c r="Y118" s="73"/>
      <c r="Z118" s="74"/>
      <c r="AA118" s="74"/>
      <c r="AB118" s="73"/>
      <c r="AC118" s="73"/>
      <c r="AD118" s="74"/>
      <c r="AE118" s="74"/>
      <c r="AF118" s="73"/>
      <c r="AG118" s="73"/>
      <c r="AH118" s="74"/>
      <c r="AI118" s="74"/>
      <c r="AJ118" s="73"/>
      <c r="AK118" s="73"/>
      <c r="AL118" s="74"/>
      <c r="AM118" s="74"/>
      <c r="AN118" s="73"/>
      <c r="AO118" s="73"/>
      <c r="AP118" s="74"/>
      <c r="AQ118" s="74"/>
      <c r="AR118" s="73"/>
      <c r="AS118" s="73"/>
      <c r="AT118" s="74"/>
      <c r="AU118" s="74"/>
      <c r="AV118" s="73"/>
      <c r="AW118" s="73"/>
      <c r="AX118" s="74"/>
      <c r="AY118" s="74"/>
      <c r="AZ118" s="73"/>
      <c r="BA118" s="73"/>
      <c r="BB118" s="74"/>
      <c r="BC118" s="74"/>
      <c r="BD118" s="73"/>
      <c r="BE118" s="73"/>
      <c r="BF118" s="74"/>
      <c r="BG118" s="74"/>
      <c r="BH118" s="73"/>
      <c r="BI118" s="73"/>
      <c r="BJ118" s="74"/>
      <c r="BK118" s="74"/>
      <c r="BL118" s="73"/>
      <c r="BM118" s="73"/>
      <c r="BN118" s="74"/>
      <c r="BO118" s="74"/>
      <c r="BP118" s="73"/>
      <c r="BQ118" s="73"/>
      <c r="BR118" s="74"/>
      <c r="BS118" s="74"/>
      <c r="BT118" s="73"/>
      <c r="BU118" s="73"/>
      <c r="BV118" s="74"/>
      <c r="BW118" s="74"/>
      <c r="BX118" s="73"/>
      <c r="BY118" s="73"/>
      <c r="BZ118" s="74"/>
      <c r="CA118" s="74"/>
      <c r="CB118" s="73"/>
      <c r="CC118" s="73"/>
      <c r="CD118" s="74"/>
      <c r="CE118" s="74"/>
      <c r="CF118" s="73"/>
      <c r="CG118" s="73"/>
      <c r="CH118" s="74"/>
    </row>
    <row r="119" spans="3:86" ht="33.75" customHeight="1" x14ac:dyDescent="0.35">
      <c r="C119" s="87"/>
      <c r="D119" s="6"/>
      <c r="E119" s="6"/>
      <c r="F119" s="6"/>
      <c r="G119" s="74"/>
      <c r="H119" s="73"/>
      <c r="I119" s="73"/>
      <c r="J119" s="74"/>
      <c r="K119" s="74"/>
      <c r="L119" s="73"/>
      <c r="M119" s="73"/>
      <c r="N119" s="74"/>
      <c r="O119" s="74"/>
      <c r="P119" s="73"/>
      <c r="Q119" s="73"/>
      <c r="R119" s="74"/>
      <c r="S119" s="74"/>
      <c r="T119" s="73"/>
      <c r="U119" s="73"/>
      <c r="V119" s="74"/>
      <c r="W119" s="74"/>
      <c r="X119" s="73"/>
      <c r="Y119" s="73"/>
      <c r="Z119" s="74"/>
      <c r="AA119" s="74"/>
      <c r="AB119" s="73"/>
      <c r="AC119" s="73"/>
      <c r="AD119" s="74"/>
      <c r="AE119" s="74"/>
      <c r="AF119" s="73"/>
      <c r="AG119" s="73"/>
      <c r="AH119" s="74"/>
      <c r="AI119" s="74"/>
      <c r="AJ119" s="73"/>
      <c r="AK119" s="73"/>
      <c r="AL119" s="74"/>
      <c r="AM119" s="74"/>
      <c r="AN119" s="73"/>
      <c r="AO119" s="73"/>
      <c r="AP119" s="74"/>
      <c r="AQ119" s="74"/>
      <c r="AR119" s="73"/>
      <c r="AS119" s="73"/>
      <c r="AT119" s="74"/>
      <c r="AU119" s="74"/>
      <c r="AV119" s="73"/>
      <c r="AW119" s="73"/>
      <c r="AX119" s="74"/>
      <c r="AY119" s="74"/>
      <c r="AZ119" s="73"/>
      <c r="BA119" s="73"/>
      <c r="BB119" s="74"/>
      <c r="BC119" s="74"/>
      <c r="BD119" s="73"/>
      <c r="BE119" s="73"/>
      <c r="BF119" s="74"/>
      <c r="BG119" s="74"/>
      <c r="BH119" s="73"/>
      <c r="BI119" s="73"/>
      <c r="BJ119" s="74"/>
      <c r="BK119" s="74"/>
      <c r="BL119" s="73"/>
      <c r="BM119" s="73"/>
      <c r="BN119" s="74"/>
      <c r="BO119" s="74"/>
      <c r="BP119" s="73"/>
      <c r="BQ119" s="73"/>
      <c r="BR119" s="74"/>
      <c r="BS119" s="74"/>
      <c r="BT119" s="73"/>
      <c r="BU119" s="73"/>
      <c r="BV119" s="74"/>
      <c r="BW119" s="74"/>
      <c r="BX119" s="73"/>
      <c r="BY119" s="73"/>
      <c r="BZ119" s="74"/>
      <c r="CA119" s="74"/>
      <c r="CB119" s="73"/>
      <c r="CC119" s="73"/>
      <c r="CD119" s="74"/>
      <c r="CE119" s="74"/>
      <c r="CF119" s="73"/>
      <c r="CG119" s="73"/>
      <c r="CH119" s="74"/>
    </row>
    <row r="120" spans="3:86" ht="33.75" customHeight="1" x14ac:dyDescent="0.35">
      <c r="C120" s="87"/>
      <c r="D120" s="6"/>
      <c r="E120" s="6"/>
      <c r="F120" s="6"/>
      <c r="G120" s="74"/>
      <c r="H120" s="73"/>
      <c r="I120" s="73"/>
      <c r="J120" s="74"/>
      <c r="K120" s="74"/>
      <c r="L120" s="73"/>
      <c r="M120" s="73"/>
      <c r="N120" s="74"/>
      <c r="O120" s="74"/>
      <c r="P120" s="73"/>
      <c r="Q120" s="73"/>
      <c r="R120" s="74"/>
      <c r="S120" s="74"/>
      <c r="T120" s="73"/>
      <c r="U120" s="73"/>
      <c r="V120" s="74"/>
      <c r="W120" s="74"/>
      <c r="X120" s="73"/>
      <c r="Y120" s="73"/>
      <c r="Z120" s="74"/>
      <c r="AA120" s="74"/>
      <c r="AB120" s="73"/>
      <c r="AC120" s="73"/>
      <c r="AD120" s="74"/>
      <c r="AE120" s="74"/>
      <c r="AF120" s="73"/>
      <c r="AG120" s="73"/>
      <c r="AH120" s="74"/>
      <c r="AI120" s="74"/>
      <c r="AJ120" s="73"/>
      <c r="AK120" s="73"/>
      <c r="AL120" s="74"/>
      <c r="AM120" s="74"/>
      <c r="AN120" s="73"/>
      <c r="AO120" s="73"/>
      <c r="AP120" s="74"/>
      <c r="AQ120" s="74"/>
      <c r="AR120" s="73"/>
      <c r="AS120" s="73"/>
      <c r="AT120" s="74"/>
      <c r="AU120" s="74"/>
      <c r="AV120" s="73"/>
      <c r="AW120" s="73"/>
      <c r="AX120" s="74"/>
      <c r="AY120" s="74"/>
      <c r="AZ120" s="73"/>
      <c r="BA120" s="73"/>
      <c r="BB120" s="74"/>
      <c r="BC120" s="74"/>
      <c r="BD120" s="73"/>
      <c r="BE120" s="73"/>
      <c r="BF120" s="74"/>
      <c r="BG120" s="74"/>
      <c r="BH120" s="73"/>
      <c r="BI120" s="73"/>
      <c r="BJ120" s="74"/>
      <c r="BK120" s="74"/>
      <c r="BL120" s="73"/>
      <c r="BM120" s="73"/>
      <c r="BN120" s="74"/>
      <c r="BO120" s="74"/>
      <c r="BP120" s="73"/>
      <c r="BQ120" s="73"/>
      <c r="BR120" s="74"/>
      <c r="BS120" s="74"/>
      <c r="BT120" s="73"/>
      <c r="BU120" s="73"/>
      <c r="BV120" s="74"/>
      <c r="BW120" s="74"/>
      <c r="BX120" s="73"/>
      <c r="BY120" s="73"/>
      <c r="BZ120" s="74"/>
      <c r="CA120" s="74"/>
      <c r="CB120" s="73"/>
      <c r="CC120" s="73"/>
      <c r="CD120" s="74"/>
      <c r="CE120" s="74"/>
      <c r="CF120" s="73"/>
      <c r="CG120" s="73"/>
      <c r="CH120" s="74"/>
    </row>
    <row r="121" spans="3:86" ht="33.75" customHeight="1" x14ac:dyDescent="0.35">
      <c r="C121" s="87"/>
      <c r="D121" s="6"/>
      <c r="E121" s="6"/>
      <c r="F121" s="6"/>
      <c r="G121" s="74"/>
      <c r="H121" s="73"/>
      <c r="I121" s="73"/>
      <c r="J121" s="74"/>
      <c r="K121" s="74"/>
      <c r="L121" s="73"/>
      <c r="M121" s="73"/>
      <c r="N121" s="74"/>
      <c r="O121" s="74"/>
      <c r="P121" s="73"/>
      <c r="Q121" s="73"/>
      <c r="R121" s="74"/>
      <c r="S121" s="74"/>
      <c r="T121" s="73"/>
      <c r="U121" s="73"/>
      <c r="V121" s="74"/>
      <c r="W121" s="74"/>
      <c r="X121" s="73"/>
      <c r="Y121" s="73"/>
      <c r="Z121" s="74"/>
      <c r="AA121" s="74"/>
      <c r="AB121" s="73"/>
      <c r="AC121" s="73"/>
      <c r="AD121" s="74"/>
      <c r="AE121" s="74"/>
      <c r="AF121" s="73"/>
      <c r="AG121" s="73"/>
      <c r="AH121" s="74"/>
      <c r="AI121" s="74"/>
      <c r="AJ121" s="73"/>
      <c r="AK121" s="73"/>
      <c r="AL121" s="74"/>
      <c r="AM121" s="74"/>
      <c r="AN121" s="73"/>
      <c r="AO121" s="73"/>
      <c r="AP121" s="74"/>
      <c r="AQ121" s="74"/>
      <c r="AR121" s="73"/>
      <c r="AS121" s="73"/>
      <c r="AT121" s="74"/>
      <c r="AU121" s="74"/>
      <c r="AV121" s="73"/>
      <c r="AW121" s="73"/>
      <c r="AX121" s="74"/>
      <c r="AY121" s="74"/>
      <c r="AZ121" s="73"/>
      <c r="BA121" s="73"/>
      <c r="BB121" s="74"/>
      <c r="BC121" s="74"/>
      <c r="BD121" s="73"/>
      <c r="BE121" s="73"/>
      <c r="BF121" s="74"/>
      <c r="BG121" s="74"/>
      <c r="BH121" s="73"/>
      <c r="BI121" s="73"/>
      <c r="BJ121" s="74"/>
      <c r="BK121" s="74"/>
      <c r="BL121" s="73"/>
      <c r="BM121" s="73"/>
      <c r="BN121" s="74"/>
      <c r="BO121" s="74"/>
      <c r="BP121" s="73"/>
      <c r="BQ121" s="73"/>
      <c r="BR121" s="74"/>
      <c r="BS121" s="74"/>
      <c r="BT121" s="73"/>
      <c r="BU121" s="73"/>
      <c r="BV121" s="74"/>
      <c r="BW121" s="74"/>
      <c r="BX121" s="73"/>
      <c r="BY121" s="73"/>
      <c r="BZ121" s="74"/>
      <c r="CA121" s="74"/>
      <c r="CB121" s="73"/>
      <c r="CC121" s="73"/>
      <c r="CD121" s="74"/>
      <c r="CE121" s="74"/>
      <c r="CF121" s="73"/>
      <c r="CG121" s="73"/>
      <c r="CH121" s="74"/>
    </row>
    <row r="122" spans="3:86" ht="33.75" customHeight="1" x14ac:dyDescent="0.35">
      <c r="C122" s="87"/>
      <c r="D122" s="6"/>
      <c r="E122" s="6"/>
      <c r="F122" s="6"/>
      <c r="G122" s="74"/>
      <c r="H122" s="73"/>
      <c r="I122" s="73"/>
      <c r="J122" s="74"/>
      <c r="K122" s="74"/>
      <c r="L122" s="73"/>
      <c r="M122" s="73"/>
      <c r="N122" s="74"/>
      <c r="O122" s="74"/>
      <c r="P122" s="73"/>
      <c r="Q122" s="73"/>
      <c r="R122" s="74"/>
      <c r="S122" s="74"/>
      <c r="T122" s="73"/>
      <c r="U122" s="73"/>
      <c r="V122" s="74"/>
      <c r="W122" s="74"/>
      <c r="X122" s="73"/>
      <c r="Y122" s="73"/>
      <c r="Z122" s="74"/>
      <c r="AA122" s="74"/>
      <c r="AB122" s="73"/>
      <c r="AC122" s="73"/>
      <c r="AD122" s="74"/>
      <c r="AE122" s="74"/>
      <c r="AF122" s="73"/>
      <c r="AG122" s="73"/>
      <c r="AH122" s="74"/>
      <c r="AI122" s="74"/>
      <c r="AJ122" s="73"/>
      <c r="AK122" s="73"/>
      <c r="AL122" s="74"/>
      <c r="AM122" s="74"/>
      <c r="AN122" s="73"/>
      <c r="AO122" s="73"/>
      <c r="AP122" s="74"/>
      <c r="AQ122" s="74"/>
      <c r="AR122" s="73"/>
      <c r="AS122" s="73"/>
      <c r="AT122" s="74"/>
      <c r="AU122" s="74"/>
      <c r="AV122" s="73"/>
      <c r="AW122" s="73"/>
      <c r="AX122" s="74"/>
      <c r="AY122" s="74"/>
      <c r="AZ122" s="73"/>
      <c r="BA122" s="73"/>
      <c r="BB122" s="74"/>
      <c r="BC122" s="74"/>
      <c r="BD122" s="73"/>
      <c r="BE122" s="73"/>
      <c r="BF122" s="74"/>
      <c r="BG122" s="74"/>
      <c r="BH122" s="73"/>
      <c r="BI122" s="73"/>
      <c r="BJ122" s="74"/>
      <c r="BK122" s="74"/>
      <c r="BL122" s="73"/>
      <c r="BM122" s="73"/>
      <c r="BN122" s="74"/>
      <c r="BO122" s="74"/>
      <c r="BP122" s="73"/>
      <c r="BQ122" s="73"/>
      <c r="BR122" s="74"/>
      <c r="BS122" s="74"/>
      <c r="BT122" s="73"/>
      <c r="BU122" s="73"/>
      <c r="BV122" s="74"/>
      <c r="BW122" s="74"/>
      <c r="BX122" s="73"/>
      <c r="BY122" s="73"/>
      <c r="BZ122" s="74"/>
      <c r="CA122" s="74"/>
      <c r="CB122" s="73"/>
      <c r="CC122" s="73"/>
      <c r="CD122" s="74"/>
      <c r="CE122" s="74"/>
      <c r="CF122" s="73"/>
      <c r="CG122" s="73"/>
      <c r="CH122" s="74"/>
    </row>
    <row r="123" spans="3:86" ht="33.75" customHeight="1" x14ac:dyDescent="0.35">
      <c r="C123" s="87"/>
      <c r="D123" s="6"/>
      <c r="E123" s="6"/>
      <c r="F123" s="6"/>
      <c r="G123" s="74"/>
      <c r="H123" s="73"/>
      <c r="I123" s="73"/>
      <c r="J123" s="74"/>
      <c r="K123" s="74"/>
      <c r="L123" s="73"/>
      <c r="M123" s="73"/>
      <c r="N123" s="74"/>
      <c r="O123" s="74"/>
      <c r="P123" s="73"/>
      <c r="Q123" s="73"/>
      <c r="R123" s="74"/>
      <c r="S123" s="74"/>
      <c r="T123" s="73"/>
      <c r="U123" s="73"/>
      <c r="V123" s="74"/>
      <c r="W123" s="74"/>
      <c r="X123" s="73"/>
      <c r="Y123" s="73"/>
      <c r="Z123" s="74"/>
      <c r="AA123" s="74"/>
      <c r="AB123" s="73"/>
      <c r="AC123" s="73"/>
      <c r="AD123" s="74"/>
      <c r="AE123" s="74"/>
      <c r="AF123" s="73"/>
      <c r="AG123" s="73"/>
      <c r="AH123" s="74"/>
      <c r="AI123" s="74"/>
      <c r="AJ123" s="73"/>
      <c r="AK123" s="73"/>
      <c r="AL123" s="74"/>
      <c r="AM123" s="74"/>
      <c r="AN123" s="73"/>
      <c r="AO123" s="73"/>
      <c r="AP123" s="74"/>
      <c r="AQ123" s="74"/>
      <c r="AR123" s="73"/>
      <c r="AS123" s="73"/>
      <c r="AT123" s="74"/>
      <c r="AU123" s="74"/>
      <c r="AV123" s="73"/>
      <c r="AW123" s="73"/>
      <c r="AX123" s="74"/>
      <c r="AY123" s="74"/>
      <c r="AZ123" s="73"/>
      <c r="BA123" s="73"/>
      <c r="BB123" s="74"/>
      <c r="BC123" s="74"/>
      <c r="BD123" s="73"/>
      <c r="BE123" s="73"/>
      <c r="BF123" s="74"/>
      <c r="BG123" s="74"/>
      <c r="BH123" s="73"/>
      <c r="BI123" s="73"/>
      <c r="BJ123" s="74"/>
      <c r="BK123" s="74"/>
      <c r="BL123" s="73"/>
      <c r="BM123" s="73"/>
      <c r="BN123" s="74"/>
      <c r="BO123" s="74"/>
      <c r="BP123" s="73"/>
      <c r="BQ123" s="73"/>
      <c r="BR123" s="74"/>
      <c r="BS123" s="74"/>
      <c r="BT123" s="73"/>
      <c r="BU123" s="73"/>
      <c r="BV123" s="74"/>
      <c r="BW123" s="74"/>
      <c r="BX123" s="73"/>
      <c r="BY123" s="73"/>
      <c r="BZ123" s="74"/>
      <c r="CA123" s="74"/>
      <c r="CB123" s="73"/>
      <c r="CC123" s="73"/>
      <c r="CD123" s="74"/>
      <c r="CE123" s="74"/>
      <c r="CF123" s="73"/>
      <c r="CG123" s="73"/>
      <c r="CH123" s="74"/>
    </row>
    <row r="124" spans="3:86" ht="33.75" customHeight="1" x14ac:dyDescent="0.35">
      <c r="C124" s="87"/>
      <c r="D124" s="6"/>
      <c r="E124" s="6"/>
      <c r="F124" s="6"/>
      <c r="G124" s="74"/>
      <c r="H124" s="73"/>
      <c r="I124" s="73"/>
      <c r="J124" s="74"/>
      <c r="K124" s="74"/>
      <c r="L124" s="73"/>
      <c r="M124" s="73"/>
      <c r="N124" s="74"/>
      <c r="O124" s="74"/>
      <c r="P124" s="73"/>
      <c r="Q124" s="73"/>
      <c r="R124" s="74"/>
      <c r="S124" s="74"/>
      <c r="T124" s="73"/>
      <c r="U124" s="73"/>
      <c r="V124" s="74"/>
      <c r="W124" s="74"/>
      <c r="X124" s="73"/>
      <c r="Y124" s="73"/>
      <c r="Z124" s="74"/>
      <c r="AA124" s="74"/>
      <c r="AB124" s="73"/>
      <c r="AC124" s="73"/>
      <c r="AD124" s="74"/>
      <c r="AE124" s="74"/>
      <c r="AF124" s="73"/>
      <c r="AG124" s="73"/>
      <c r="AH124" s="74"/>
      <c r="AI124" s="74"/>
      <c r="AJ124" s="73"/>
      <c r="AK124" s="73"/>
      <c r="AL124" s="74"/>
      <c r="AM124" s="74"/>
      <c r="AN124" s="73"/>
      <c r="AO124" s="73"/>
      <c r="AP124" s="74"/>
      <c r="AQ124" s="74"/>
      <c r="AR124" s="73"/>
      <c r="AS124" s="73"/>
      <c r="AT124" s="74"/>
      <c r="AU124" s="74"/>
      <c r="AV124" s="73"/>
      <c r="AW124" s="73"/>
      <c r="AX124" s="74"/>
      <c r="AY124" s="74"/>
      <c r="AZ124" s="73"/>
      <c r="BA124" s="73"/>
      <c r="BB124" s="74"/>
      <c r="BC124" s="74"/>
      <c r="BD124" s="73"/>
      <c r="BE124" s="73"/>
      <c r="BF124" s="74"/>
      <c r="BG124" s="74"/>
      <c r="BH124" s="73"/>
      <c r="BI124" s="73"/>
      <c r="BJ124" s="74"/>
      <c r="BK124" s="74"/>
      <c r="BL124" s="73"/>
      <c r="BM124" s="73"/>
      <c r="BN124" s="74"/>
      <c r="BO124" s="74"/>
      <c r="BP124" s="73"/>
      <c r="BQ124" s="73"/>
      <c r="BR124" s="74"/>
      <c r="BS124" s="74"/>
      <c r="BT124" s="73"/>
      <c r="BU124" s="73"/>
      <c r="BV124" s="74"/>
      <c r="BW124" s="74"/>
      <c r="BX124" s="73"/>
      <c r="BY124" s="73"/>
      <c r="BZ124" s="74"/>
      <c r="CA124" s="74"/>
      <c r="CB124" s="73"/>
      <c r="CC124" s="73"/>
      <c r="CD124" s="74"/>
      <c r="CE124" s="74"/>
      <c r="CF124" s="73"/>
      <c r="CG124" s="73"/>
      <c r="CH124" s="74"/>
    </row>
    <row r="125" spans="3:86" ht="33.75" customHeight="1" x14ac:dyDescent="0.35">
      <c r="C125" s="87"/>
      <c r="D125" s="6"/>
      <c r="E125" s="6"/>
      <c r="F125" s="6"/>
      <c r="G125" s="74"/>
      <c r="H125" s="73"/>
      <c r="I125" s="73"/>
      <c r="J125" s="74"/>
      <c r="K125" s="74"/>
      <c r="L125" s="73"/>
      <c r="M125" s="73"/>
      <c r="N125" s="74"/>
      <c r="O125" s="74"/>
      <c r="P125" s="73"/>
      <c r="Q125" s="73"/>
      <c r="R125" s="74"/>
      <c r="S125" s="74"/>
      <c r="T125" s="73"/>
      <c r="U125" s="73"/>
      <c r="V125" s="74"/>
      <c r="W125" s="74"/>
      <c r="X125" s="73"/>
      <c r="Y125" s="73"/>
      <c r="Z125" s="74"/>
      <c r="AA125" s="74"/>
      <c r="AB125" s="73"/>
      <c r="AC125" s="73"/>
      <c r="AD125" s="74"/>
      <c r="AE125" s="74"/>
      <c r="AF125" s="73"/>
      <c r="AG125" s="73"/>
      <c r="AH125" s="74"/>
      <c r="AI125" s="74"/>
      <c r="AJ125" s="73"/>
      <c r="AK125" s="73"/>
      <c r="AL125" s="74"/>
      <c r="AM125" s="74"/>
      <c r="AN125" s="73"/>
      <c r="AO125" s="73"/>
      <c r="AP125" s="74"/>
      <c r="AQ125" s="74"/>
      <c r="AR125" s="73"/>
      <c r="AS125" s="73"/>
      <c r="AT125" s="74"/>
      <c r="AU125" s="74"/>
      <c r="AV125" s="73"/>
      <c r="AW125" s="73"/>
      <c r="AX125" s="74"/>
      <c r="AY125" s="74"/>
      <c r="AZ125" s="73"/>
      <c r="BA125" s="73"/>
      <c r="BB125" s="74"/>
      <c r="BC125" s="74"/>
      <c r="BD125" s="73"/>
      <c r="BE125" s="73"/>
      <c r="BF125" s="74"/>
      <c r="BG125" s="74"/>
      <c r="BH125" s="73"/>
      <c r="BI125" s="73"/>
      <c r="BJ125" s="74"/>
      <c r="BK125" s="74"/>
      <c r="BL125" s="73"/>
      <c r="BM125" s="73"/>
      <c r="BN125" s="74"/>
      <c r="BO125" s="74"/>
      <c r="BP125" s="73"/>
      <c r="BQ125" s="73"/>
      <c r="BR125" s="74"/>
      <c r="BS125" s="74"/>
      <c r="BT125" s="73"/>
      <c r="BU125" s="73"/>
      <c r="BV125" s="74"/>
      <c r="BW125" s="74"/>
      <c r="BX125" s="73"/>
      <c r="BY125" s="73"/>
      <c r="BZ125" s="74"/>
      <c r="CA125" s="74"/>
      <c r="CB125" s="73"/>
      <c r="CC125" s="73"/>
      <c r="CD125" s="74"/>
      <c r="CE125" s="74"/>
      <c r="CF125" s="73"/>
      <c r="CG125" s="73"/>
      <c r="CH125" s="74"/>
    </row>
    <row r="126" spans="3:86" ht="33.75" customHeight="1" x14ac:dyDescent="0.35">
      <c r="C126" s="87"/>
      <c r="D126" s="6"/>
      <c r="E126" s="6"/>
      <c r="F126" s="6"/>
      <c r="G126" s="74"/>
      <c r="H126" s="73"/>
      <c r="I126" s="73"/>
      <c r="J126" s="74"/>
      <c r="K126" s="74"/>
      <c r="L126" s="73"/>
      <c r="M126" s="73"/>
      <c r="N126" s="74"/>
      <c r="O126" s="74"/>
      <c r="P126" s="73"/>
      <c r="Q126" s="73"/>
      <c r="R126" s="74"/>
      <c r="S126" s="74"/>
      <c r="T126" s="73"/>
      <c r="U126" s="73"/>
      <c r="V126" s="74"/>
      <c r="W126" s="74"/>
      <c r="X126" s="73"/>
      <c r="Y126" s="73"/>
      <c r="Z126" s="74"/>
      <c r="AA126" s="74"/>
      <c r="AB126" s="73"/>
      <c r="AC126" s="73"/>
      <c r="AD126" s="74"/>
      <c r="AE126" s="74"/>
      <c r="AF126" s="73"/>
      <c r="AG126" s="73"/>
      <c r="AH126" s="74"/>
      <c r="AI126" s="74"/>
      <c r="AJ126" s="73"/>
      <c r="AK126" s="73"/>
      <c r="AL126" s="74"/>
      <c r="AM126" s="74"/>
      <c r="AN126" s="73"/>
      <c r="AO126" s="73"/>
      <c r="AP126" s="74"/>
      <c r="AQ126" s="74"/>
      <c r="AR126" s="73"/>
      <c r="AS126" s="73"/>
      <c r="AT126" s="74"/>
      <c r="AU126" s="74"/>
      <c r="AV126" s="73"/>
      <c r="AW126" s="73"/>
      <c r="AX126" s="74"/>
      <c r="AY126" s="74"/>
      <c r="AZ126" s="73"/>
      <c r="BA126" s="73"/>
      <c r="BB126" s="74"/>
      <c r="BC126" s="74"/>
      <c r="BD126" s="73"/>
      <c r="BE126" s="73"/>
      <c r="BF126" s="74"/>
      <c r="BG126" s="74"/>
      <c r="BH126" s="73"/>
      <c r="BI126" s="73"/>
      <c r="BJ126" s="74"/>
      <c r="BK126" s="74"/>
      <c r="BL126" s="73"/>
      <c r="BM126" s="73"/>
      <c r="BN126" s="74"/>
      <c r="BO126" s="74"/>
      <c r="BP126" s="73"/>
      <c r="BQ126" s="73"/>
      <c r="BR126" s="74"/>
      <c r="BS126" s="74"/>
      <c r="BT126" s="73"/>
      <c r="BU126" s="73"/>
      <c r="BV126" s="74"/>
      <c r="BW126" s="74"/>
      <c r="BX126" s="73"/>
      <c r="BY126" s="73"/>
      <c r="BZ126" s="74"/>
      <c r="CA126" s="74"/>
      <c r="CB126" s="73"/>
      <c r="CC126" s="73"/>
      <c r="CD126" s="74"/>
      <c r="CE126" s="74"/>
      <c r="CF126" s="73"/>
      <c r="CG126" s="73"/>
      <c r="CH126" s="74"/>
    </row>
    <row r="127" spans="3:86" ht="33.75" customHeight="1" x14ac:dyDescent="0.35">
      <c r="C127" s="87"/>
      <c r="D127" s="6"/>
      <c r="E127" s="6"/>
      <c r="F127" s="6"/>
      <c r="G127" s="74"/>
      <c r="H127" s="73"/>
      <c r="I127" s="73"/>
      <c r="J127" s="74"/>
      <c r="K127" s="74"/>
      <c r="L127" s="73"/>
      <c r="M127" s="73"/>
      <c r="N127" s="74"/>
      <c r="O127" s="74"/>
      <c r="P127" s="73"/>
      <c r="Q127" s="73"/>
      <c r="R127" s="74"/>
      <c r="S127" s="74"/>
      <c r="T127" s="73"/>
      <c r="U127" s="73"/>
      <c r="V127" s="74"/>
      <c r="W127" s="74"/>
      <c r="X127" s="73"/>
      <c r="Y127" s="73"/>
      <c r="Z127" s="74"/>
      <c r="AA127" s="74"/>
      <c r="AB127" s="73"/>
      <c r="AC127" s="73"/>
      <c r="AD127" s="74"/>
      <c r="AE127" s="74"/>
      <c r="AF127" s="73"/>
      <c r="AG127" s="73"/>
      <c r="AH127" s="74"/>
      <c r="AI127" s="74"/>
      <c r="AJ127" s="73"/>
      <c r="AK127" s="73"/>
      <c r="AL127" s="74"/>
      <c r="AM127" s="74"/>
      <c r="AN127" s="73"/>
      <c r="AO127" s="73"/>
      <c r="AP127" s="74"/>
      <c r="AQ127" s="74"/>
      <c r="AR127" s="73"/>
      <c r="AS127" s="73"/>
      <c r="AT127" s="74"/>
      <c r="AU127" s="74"/>
      <c r="AV127" s="73"/>
      <c r="AW127" s="73"/>
      <c r="AX127" s="74"/>
      <c r="AY127" s="74"/>
      <c r="AZ127" s="73"/>
      <c r="BA127" s="73"/>
      <c r="BB127" s="74"/>
      <c r="BC127" s="74"/>
      <c r="BD127" s="73"/>
      <c r="BE127" s="73"/>
      <c r="BF127" s="74"/>
      <c r="BG127" s="74"/>
      <c r="BH127" s="73"/>
      <c r="BI127" s="73"/>
      <c r="BJ127" s="74"/>
      <c r="BK127" s="74"/>
      <c r="BL127" s="73"/>
      <c r="BM127" s="73"/>
      <c r="BN127" s="74"/>
      <c r="BO127" s="74"/>
      <c r="BP127" s="73"/>
      <c r="BQ127" s="73"/>
      <c r="BR127" s="74"/>
      <c r="BS127" s="74"/>
      <c r="BT127" s="73"/>
      <c r="BU127" s="73"/>
      <c r="BV127" s="74"/>
      <c r="BW127" s="74"/>
      <c r="BX127" s="73"/>
      <c r="BY127" s="73"/>
      <c r="BZ127" s="74"/>
      <c r="CA127" s="74"/>
      <c r="CB127" s="73"/>
      <c r="CC127" s="73"/>
      <c r="CD127" s="74"/>
      <c r="CE127" s="74"/>
      <c r="CF127" s="73"/>
      <c r="CG127" s="73"/>
      <c r="CH127" s="74"/>
    </row>
    <row r="128" spans="3:86" ht="33.75" customHeight="1" x14ac:dyDescent="0.35">
      <c r="C128" s="87"/>
      <c r="D128" s="6"/>
      <c r="E128" s="6"/>
      <c r="F128" s="6"/>
      <c r="G128" s="74"/>
      <c r="H128" s="73"/>
      <c r="I128" s="73"/>
      <c r="J128" s="74"/>
      <c r="K128" s="74"/>
      <c r="L128" s="73"/>
      <c r="M128" s="73"/>
      <c r="N128" s="74"/>
      <c r="O128" s="74"/>
      <c r="P128" s="73"/>
      <c r="Q128" s="73"/>
      <c r="R128" s="74"/>
      <c r="S128" s="74"/>
      <c r="T128" s="73"/>
      <c r="U128" s="73"/>
      <c r="V128" s="74"/>
      <c r="W128" s="74"/>
      <c r="X128" s="73"/>
      <c r="Y128" s="73"/>
      <c r="Z128" s="74"/>
      <c r="AA128" s="74"/>
      <c r="AB128" s="73"/>
      <c r="AC128" s="73"/>
      <c r="AD128" s="74"/>
      <c r="AE128" s="74"/>
      <c r="AF128" s="73"/>
      <c r="AG128" s="73"/>
      <c r="AH128" s="74"/>
      <c r="AI128" s="74"/>
      <c r="AJ128" s="73"/>
      <c r="AK128" s="73"/>
      <c r="AL128" s="74"/>
      <c r="AM128" s="74"/>
      <c r="AN128" s="73"/>
      <c r="AO128" s="73"/>
      <c r="AP128" s="74"/>
      <c r="AQ128" s="74"/>
      <c r="AR128" s="73"/>
      <c r="AS128" s="73"/>
      <c r="AT128" s="74"/>
      <c r="AU128" s="74"/>
      <c r="AV128" s="73"/>
      <c r="AW128" s="73"/>
      <c r="AX128" s="74"/>
      <c r="AY128" s="74"/>
      <c r="AZ128" s="73"/>
      <c r="BA128" s="73"/>
      <c r="BB128" s="74"/>
      <c r="BC128" s="74"/>
      <c r="BD128" s="73"/>
      <c r="BE128" s="73"/>
      <c r="BF128" s="74"/>
      <c r="BG128" s="74"/>
      <c r="BH128" s="73"/>
      <c r="BI128" s="73"/>
      <c r="BJ128" s="74"/>
      <c r="BK128" s="74"/>
      <c r="BL128" s="73"/>
      <c r="BM128" s="73"/>
      <c r="BN128" s="74"/>
      <c r="BO128" s="74"/>
      <c r="BP128" s="73"/>
      <c r="BQ128" s="73"/>
      <c r="BR128" s="74"/>
      <c r="BS128" s="74"/>
      <c r="BT128" s="73"/>
      <c r="BU128" s="73"/>
      <c r="BV128" s="74"/>
      <c r="BW128" s="74"/>
      <c r="BX128" s="73"/>
      <c r="BY128" s="73"/>
      <c r="BZ128" s="74"/>
      <c r="CA128" s="74"/>
      <c r="CB128" s="73"/>
      <c r="CC128" s="73"/>
      <c r="CD128" s="74"/>
      <c r="CE128" s="74"/>
      <c r="CF128" s="73"/>
      <c r="CG128" s="73"/>
      <c r="CH128" s="74"/>
    </row>
    <row r="129" spans="3:86" ht="33.75" customHeight="1" x14ac:dyDescent="0.35">
      <c r="C129" s="87"/>
      <c r="D129" s="6"/>
      <c r="E129" s="6"/>
      <c r="F129" s="6"/>
      <c r="G129" s="74"/>
      <c r="H129" s="73"/>
      <c r="I129" s="73"/>
      <c r="J129" s="74"/>
      <c r="K129" s="74"/>
      <c r="L129" s="73"/>
      <c r="M129" s="73"/>
      <c r="N129" s="74"/>
      <c r="O129" s="74"/>
      <c r="P129" s="73"/>
      <c r="Q129" s="73"/>
      <c r="R129" s="74"/>
      <c r="S129" s="74"/>
      <c r="T129" s="73"/>
      <c r="U129" s="73"/>
      <c r="V129" s="74"/>
      <c r="W129" s="74"/>
      <c r="X129" s="73"/>
      <c r="Y129" s="73"/>
      <c r="Z129" s="74"/>
      <c r="AA129" s="74"/>
      <c r="AB129" s="73"/>
      <c r="AC129" s="73"/>
      <c r="AD129" s="74"/>
      <c r="AE129" s="74"/>
      <c r="AF129" s="73"/>
      <c r="AG129" s="73"/>
      <c r="AH129" s="74"/>
      <c r="AI129" s="74"/>
      <c r="AJ129" s="73"/>
      <c r="AK129" s="73"/>
      <c r="AL129" s="74"/>
      <c r="AM129" s="74"/>
      <c r="AN129" s="73"/>
      <c r="AO129" s="73"/>
      <c r="AP129" s="74"/>
      <c r="AQ129" s="74"/>
      <c r="AR129" s="73"/>
      <c r="AS129" s="73"/>
      <c r="AT129" s="74"/>
      <c r="AU129" s="74"/>
      <c r="AV129" s="73"/>
      <c r="AW129" s="73"/>
      <c r="AX129" s="74"/>
      <c r="AY129" s="74"/>
      <c r="AZ129" s="73"/>
      <c r="BA129" s="73"/>
      <c r="BB129" s="74"/>
      <c r="BC129" s="74"/>
      <c r="BD129" s="73"/>
      <c r="BE129" s="73"/>
      <c r="BF129" s="74"/>
      <c r="BG129" s="74"/>
      <c r="BH129" s="73"/>
      <c r="BI129" s="73"/>
      <c r="BJ129" s="74"/>
      <c r="BK129" s="74"/>
      <c r="BL129" s="73"/>
      <c r="BM129" s="73"/>
      <c r="BN129" s="74"/>
      <c r="BO129" s="74"/>
      <c r="BP129" s="73"/>
      <c r="BQ129" s="73"/>
      <c r="BR129" s="74"/>
      <c r="BS129" s="74"/>
      <c r="BT129" s="73"/>
      <c r="BU129" s="73"/>
      <c r="BV129" s="74"/>
      <c r="BW129" s="74"/>
      <c r="BX129" s="73"/>
      <c r="BY129" s="73"/>
      <c r="BZ129" s="74"/>
      <c r="CA129" s="74"/>
      <c r="CB129" s="73"/>
      <c r="CC129" s="73"/>
      <c r="CD129" s="74"/>
      <c r="CE129" s="74"/>
      <c r="CF129" s="73"/>
      <c r="CG129" s="73"/>
      <c r="CH129" s="74"/>
    </row>
    <row r="130" spans="3:86" ht="33.75" customHeight="1" x14ac:dyDescent="0.35">
      <c r="C130" s="87"/>
      <c r="D130" s="6"/>
      <c r="E130" s="6"/>
      <c r="F130" s="6"/>
      <c r="G130" s="74"/>
      <c r="H130" s="73"/>
      <c r="I130" s="73"/>
      <c r="J130" s="74"/>
      <c r="K130" s="74"/>
      <c r="L130" s="73"/>
      <c r="M130" s="73"/>
      <c r="N130" s="74"/>
      <c r="O130" s="74"/>
      <c r="P130" s="73"/>
      <c r="Q130" s="73"/>
      <c r="R130" s="74"/>
      <c r="S130" s="74"/>
      <c r="T130" s="73"/>
      <c r="U130" s="73"/>
      <c r="V130" s="74"/>
      <c r="W130" s="74"/>
      <c r="X130" s="73"/>
      <c r="Y130" s="73"/>
      <c r="Z130" s="74"/>
      <c r="AA130" s="74"/>
      <c r="AB130" s="73"/>
      <c r="AC130" s="73"/>
      <c r="AD130" s="74"/>
      <c r="AE130" s="74"/>
      <c r="AF130" s="73"/>
      <c r="AG130" s="73"/>
      <c r="AH130" s="74"/>
      <c r="AI130" s="74"/>
      <c r="AJ130" s="73"/>
      <c r="AK130" s="73"/>
      <c r="AL130" s="74"/>
      <c r="AM130" s="74"/>
      <c r="AN130" s="73"/>
      <c r="AO130" s="73"/>
      <c r="AP130" s="74"/>
      <c r="AQ130" s="74"/>
      <c r="AR130" s="73"/>
      <c r="AS130" s="73"/>
      <c r="AT130" s="74"/>
      <c r="AU130" s="74"/>
      <c r="AV130" s="73"/>
      <c r="AW130" s="73"/>
      <c r="AX130" s="74"/>
      <c r="AY130" s="74"/>
      <c r="AZ130" s="73"/>
      <c r="BA130" s="73"/>
      <c r="BB130" s="74"/>
      <c r="BC130" s="74"/>
      <c r="BD130" s="73"/>
      <c r="BE130" s="73"/>
      <c r="BF130" s="74"/>
      <c r="BG130" s="74"/>
      <c r="BH130" s="73"/>
      <c r="BI130" s="73"/>
      <c r="BJ130" s="74"/>
      <c r="BK130" s="74"/>
      <c r="BL130" s="73"/>
      <c r="BM130" s="73"/>
      <c r="BN130" s="74"/>
      <c r="BO130" s="74"/>
      <c r="BP130" s="73"/>
      <c r="BQ130" s="73"/>
      <c r="BR130" s="74"/>
      <c r="BS130" s="74"/>
      <c r="BT130" s="73"/>
      <c r="BU130" s="73"/>
      <c r="BV130" s="74"/>
      <c r="BW130" s="74"/>
      <c r="BX130" s="73"/>
      <c r="BY130" s="73"/>
      <c r="BZ130" s="74"/>
      <c r="CA130" s="74"/>
      <c r="CB130" s="73"/>
      <c r="CC130" s="73"/>
      <c r="CD130" s="74"/>
      <c r="CE130" s="74"/>
      <c r="CF130" s="73"/>
      <c r="CG130" s="73"/>
      <c r="CH130" s="74"/>
    </row>
  </sheetData>
  <mergeCells count="24">
    <mergeCell ref="B2:C2"/>
    <mergeCell ref="AQ3:AS3"/>
    <mergeCell ref="O3:Q3"/>
    <mergeCell ref="S3:U3"/>
    <mergeCell ref="W3:Y3"/>
    <mergeCell ref="AA3:AC3"/>
    <mergeCell ref="AE3:AG3"/>
    <mergeCell ref="AI3:AK3"/>
    <mergeCell ref="AM3:AO3"/>
    <mergeCell ref="D2:F2"/>
    <mergeCell ref="G2:I2"/>
    <mergeCell ref="G3:I3"/>
    <mergeCell ref="K2:M2"/>
    <mergeCell ref="K3:M3"/>
    <mergeCell ref="CA3:CC3"/>
    <mergeCell ref="CE3:CG3"/>
    <mergeCell ref="AU3:AW3"/>
    <mergeCell ref="AY3:BA3"/>
    <mergeCell ref="BC3:BE3"/>
    <mergeCell ref="BG3:BI3"/>
    <mergeCell ref="BK3:BM3"/>
    <mergeCell ref="BO3:BQ3"/>
    <mergeCell ref="BS3:BU3"/>
    <mergeCell ref="BW3:BY3"/>
  </mergeCells>
  <conditionalFormatting sqref="O64:O1048576 S64:S1048576 W64:W1048576 AA64:AA1048576 AE64:AE1048576 AI64:AI1048576 AM64:AM1048576 AQ64:AQ1048576 J3 D64:K1048576 D4:J4 D3:G3 B46:AX46 G5:J36 K4:CH36 D5:F45">
    <cfRule type="cellIs" dxfId="1342" priority="791" operator="equal">
      <formula>0</formula>
    </cfRule>
  </conditionalFormatting>
  <conditionalFormatting sqref="D4:F45">
    <cfRule type="cellIs" dxfId="1341" priority="754" operator="greaterThan">
      <formula>2</formula>
    </cfRule>
  </conditionalFormatting>
  <conditionalFormatting sqref="B3">
    <cfRule type="cellIs" dxfId="1340" priority="715" operator="equal">
      <formula>0</formula>
    </cfRule>
  </conditionalFormatting>
  <conditionalFormatting sqref="B4:C45">
    <cfRule type="expression" dxfId="1339" priority="760">
      <formula>$F4&gt;2</formula>
    </cfRule>
  </conditionalFormatting>
  <conditionalFormatting sqref="G45:J45 G47:J47">
    <cfRule type="cellIs" dxfId="1338" priority="761" operator="equal">
      <formula>0</formula>
    </cfRule>
  </conditionalFormatting>
  <conditionalFormatting sqref="F4:F45">
    <cfRule type="expression" dxfId="1337" priority="755">
      <formula>$CY4&gt;2</formula>
    </cfRule>
  </conditionalFormatting>
  <conditionalFormatting sqref="C4:F45">
    <cfRule type="expression" dxfId="1336" priority="789">
      <formula>$F4&gt;0</formula>
    </cfRule>
  </conditionalFormatting>
  <conditionalFormatting sqref="G47:J47 G45:J45 B46:AX46 G4:CH36">
    <cfRule type="notContainsBlanks" dxfId="1335" priority="753">
      <formula>LEN(TRIM(B4))&gt;0</formula>
    </cfRule>
  </conditionalFormatting>
  <conditionalFormatting sqref="G2 J2:K2">
    <cfRule type="cellIs" dxfId="1334" priority="717" operator="equal">
      <formula>0</formula>
    </cfRule>
  </conditionalFormatting>
  <conditionalFormatting sqref="D2">
    <cfRule type="cellIs" dxfId="1333" priority="716" operator="equal">
      <formula>0</formula>
    </cfRule>
  </conditionalFormatting>
  <conditionalFormatting sqref="B4:B45">
    <cfRule type="expression" dxfId="1332" priority="712">
      <formula>$F4&gt;0</formula>
    </cfRule>
  </conditionalFormatting>
  <conditionalFormatting sqref="AU64:AU1048576 AY64:AY1048576 BC64:BC1048576 BG64:BG1048576 BK64:BK1048576 BO64:BO1048576 BS64:BS1048576 BW64:BW1048576 CA64:CA1048576 CE64:CE1048576">
    <cfRule type="cellIs" dxfId="1331" priority="710" operator="equal">
      <formula>0</formula>
    </cfRule>
  </conditionalFormatting>
  <conditionalFormatting sqref="G47:J47 G45:J45 G4:J36">
    <cfRule type="expression" dxfId="1330" priority="692">
      <formula>J4="R"</formula>
    </cfRule>
  </conditionalFormatting>
  <conditionalFormatting sqref="L64:N1048576">
    <cfRule type="cellIs" dxfId="1329" priority="691" operator="equal">
      <formula>0</formula>
    </cfRule>
  </conditionalFormatting>
  <conditionalFormatting sqref="N2">
    <cfRule type="cellIs" dxfId="1328" priority="686" operator="equal">
      <formula>0</formula>
    </cfRule>
  </conditionalFormatting>
  <conditionalFormatting sqref="K45:N45 K47:N47">
    <cfRule type="cellIs" dxfId="1327" priority="675" operator="equal">
      <formula>0</formula>
    </cfRule>
  </conditionalFormatting>
  <conditionalFormatting sqref="K47:N47 K45:N45">
    <cfRule type="notContainsBlanks" dxfId="1326" priority="674">
      <formula>LEN(TRIM(K45))&gt;0</formula>
    </cfRule>
  </conditionalFormatting>
  <conditionalFormatting sqref="K47:N47 K45:N45 K4:N36">
    <cfRule type="expression" dxfId="1325" priority="673">
      <formula>$N4="R"</formula>
    </cfRule>
  </conditionalFormatting>
  <conditionalFormatting sqref="N3">
    <cfRule type="cellIs" dxfId="1324" priority="672" operator="equal">
      <formula>0</formula>
    </cfRule>
  </conditionalFormatting>
  <conditionalFormatting sqref="P64:R1048576">
    <cfRule type="cellIs" dxfId="1323" priority="671" operator="equal">
      <formula>0</formula>
    </cfRule>
  </conditionalFormatting>
  <conditionalFormatting sqref="R3">
    <cfRule type="cellIs" dxfId="1322" priority="663" operator="equal">
      <formula>0</formula>
    </cfRule>
  </conditionalFormatting>
  <conditionalFormatting sqref="AT3">
    <cfRule type="cellIs" dxfId="1321" priority="600" operator="equal">
      <formula>0</formula>
    </cfRule>
  </conditionalFormatting>
  <conditionalFormatting sqref="O45:R45 O47:R47">
    <cfRule type="cellIs" dxfId="1320" priority="659" operator="equal">
      <formula>0</formula>
    </cfRule>
  </conditionalFormatting>
  <conditionalFormatting sqref="O47:R47 O45:R45">
    <cfRule type="notContainsBlanks" dxfId="1319" priority="658">
      <formula>LEN(TRIM(O45))&gt;0</formula>
    </cfRule>
  </conditionalFormatting>
  <conditionalFormatting sqref="O47:R47 O45:R45 O4:R36">
    <cfRule type="expression" dxfId="1318" priority="657">
      <formula>$R4="R"</formula>
    </cfRule>
  </conditionalFormatting>
  <conditionalFormatting sqref="T64:V1048576">
    <cfRule type="cellIs" dxfId="1317" priority="656" operator="equal">
      <formula>0</formula>
    </cfRule>
  </conditionalFormatting>
  <conditionalFormatting sqref="V3">
    <cfRule type="cellIs" dxfId="1316" priority="654" operator="equal">
      <formula>0</formula>
    </cfRule>
  </conditionalFormatting>
  <conditionalFormatting sqref="X64:Z1048576">
    <cfRule type="cellIs" dxfId="1315" priority="647" operator="equal">
      <formula>0</formula>
    </cfRule>
  </conditionalFormatting>
  <conditionalFormatting sqref="Z3">
    <cfRule type="cellIs" dxfId="1314" priority="645" operator="equal">
      <formula>0</formula>
    </cfRule>
  </conditionalFormatting>
  <conditionalFormatting sqref="AB64:AD1048576">
    <cfRule type="cellIs" dxfId="1313" priority="638" operator="equal">
      <formula>0</formula>
    </cfRule>
  </conditionalFormatting>
  <conditionalFormatting sqref="AD3">
    <cfRule type="cellIs" dxfId="1312" priority="636" operator="equal">
      <formula>0</formula>
    </cfRule>
  </conditionalFormatting>
  <conditionalFormatting sqref="AF64:AH1048576">
    <cfRule type="cellIs" dxfId="1311" priority="629" operator="equal">
      <formula>0</formula>
    </cfRule>
  </conditionalFormatting>
  <conditionalFormatting sqref="AH3">
    <cfRule type="cellIs" dxfId="1310" priority="627" operator="equal">
      <formula>0</formula>
    </cfRule>
  </conditionalFormatting>
  <conditionalFormatting sqref="AJ64:AL1048576">
    <cfRule type="cellIs" dxfId="1309" priority="620" operator="equal">
      <formula>0</formula>
    </cfRule>
  </conditionalFormatting>
  <conditionalFormatting sqref="AL3">
    <cfRule type="cellIs" dxfId="1308" priority="618" operator="equal">
      <formula>0</formula>
    </cfRule>
  </conditionalFormatting>
  <conditionalFormatting sqref="AN64:AP1048576">
    <cfRule type="cellIs" dxfId="1307" priority="611" operator="equal">
      <formula>0</formula>
    </cfRule>
  </conditionalFormatting>
  <conditionalFormatting sqref="AP3">
    <cfRule type="cellIs" dxfId="1306" priority="609" operator="equal">
      <formula>0</formula>
    </cfRule>
  </conditionalFormatting>
  <conditionalFormatting sqref="AR64:AT1048576">
    <cfRule type="cellIs" dxfId="1305" priority="602" operator="equal">
      <formula>0</formula>
    </cfRule>
  </conditionalFormatting>
  <conditionalFormatting sqref="AV64:AX1048576">
    <cfRule type="cellIs" dxfId="1304" priority="593" operator="equal">
      <formula>0</formula>
    </cfRule>
  </conditionalFormatting>
  <conditionalFormatting sqref="AX3">
    <cfRule type="cellIs" dxfId="1303" priority="591" operator="equal">
      <formula>0</formula>
    </cfRule>
  </conditionalFormatting>
  <conditionalFormatting sqref="AZ64:BB1048576">
    <cfRule type="cellIs" dxfId="1302" priority="584" operator="equal">
      <formula>0</formula>
    </cfRule>
  </conditionalFormatting>
  <conditionalFormatting sqref="BB3">
    <cfRule type="cellIs" dxfId="1301" priority="582" operator="equal">
      <formula>0</formula>
    </cfRule>
  </conditionalFormatting>
  <conditionalFormatting sqref="BD64:BF1048576">
    <cfRule type="cellIs" dxfId="1300" priority="575" operator="equal">
      <formula>0</formula>
    </cfRule>
  </conditionalFormatting>
  <conditionalFormatting sqref="BF3">
    <cfRule type="cellIs" dxfId="1299" priority="573" operator="equal">
      <formula>0</formula>
    </cfRule>
  </conditionalFormatting>
  <conditionalFormatting sqref="BH64:BJ1048576">
    <cfRule type="cellIs" dxfId="1298" priority="566" operator="equal">
      <formula>0</formula>
    </cfRule>
  </conditionalFormatting>
  <conditionalFormatting sqref="BJ3">
    <cfRule type="cellIs" dxfId="1297" priority="564" operator="equal">
      <formula>0</formula>
    </cfRule>
  </conditionalFormatting>
  <conditionalFormatting sqref="BL64:BN1048576">
    <cfRule type="cellIs" dxfId="1296" priority="557" operator="equal">
      <formula>0</formula>
    </cfRule>
  </conditionalFormatting>
  <conditionalFormatting sqref="BN3">
    <cfRule type="cellIs" dxfId="1295" priority="555" operator="equal">
      <formula>0</formula>
    </cfRule>
  </conditionalFormatting>
  <conditionalFormatting sqref="BP64:BR1048576">
    <cfRule type="cellIs" dxfId="1294" priority="548" operator="equal">
      <formula>0</formula>
    </cfRule>
  </conditionalFormatting>
  <conditionalFormatting sqref="BR3">
    <cfRule type="cellIs" dxfId="1293" priority="546" operator="equal">
      <formula>0</formula>
    </cfRule>
  </conditionalFormatting>
  <conditionalFormatting sqref="BT64:BV1048576">
    <cfRule type="cellIs" dxfId="1292" priority="539" operator="equal">
      <formula>0</formula>
    </cfRule>
  </conditionalFormatting>
  <conditionalFormatting sqref="BV3">
    <cfRule type="cellIs" dxfId="1291" priority="537" operator="equal">
      <formula>0</formula>
    </cfRule>
  </conditionalFormatting>
  <conditionalFormatting sqref="BX64:BZ1048576">
    <cfRule type="cellIs" dxfId="1290" priority="530" operator="equal">
      <formula>0</formula>
    </cfRule>
  </conditionalFormatting>
  <conditionalFormatting sqref="BZ3">
    <cfRule type="cellIs" dxfId="1289" priority="528" operator="equal">
      <formula>0</formula>
    </cfRule>
  </conditionalFormatting>
  <conditionalFormatting sqref="CB64:CD1048576">
    <cfRule type="cellIs" dxfId="1288" priority="521" operator="equal">
      <formula>0</formula>
    </cfRule>
  </conditionalFormatting>
  <conditionalFormatting sqref="CD3">
    <cfRule type="cellIs" dxfId="1287" priority="519" operator="equal">
      <formula>0</formula>
    </cfRule>
  </conditionalFormatting>
  <conditionalFormatting sqref="CF64:CH1048576">
    <cfRule type="cellIs" dxfId="1286" priority="512" operator="equal">
      <formula>0</formula>
    </cfRule>
  </conditionalFormatting>
  <conditionalFormatting sqref="S45:V45 S47:V47">
    <cfRule type="cellIs" dxfId="1285" priority="500" operator="equal">
      <formula>0</formula>
    </cfRule>
  </conditionalFormatting>
  <conditionalFormatting sqref="S47:V47 S45:V45">
    <cfRule type="notContainsBlanks" dxfId="1284" priority="499">
      <formula>LEN(TRIM(S45))&gt;0</formula>
    </cfRule>
  </conditionalFormatting>
  <conditionalFormatting sqref="S47:V47 S45:V45 S4:V36">
    <cfRule type="expression" dxfId="1283" priority="498">
      <formula>$V4="R"</formula>
    </cfRule>
  </conditionalFormatting>
  <conditionalFormatting sqref="W45:Z45 W47:Z47">
    <cfRule type="cellIs" dxfId="1282" priority="494" operator="equal">
      <formula>0</formula>
    </cfRule>
  </conditionalFormatting>
  <conditionalFormatting sqref="W47:Z47 W45:Z45">
    <cfRule type="notContainsBlanks" dxfId="1281" priority="493">
      <formula>LEN(TRIM(W45))&gt;0</formula>
    </cfRule>
  </conditionalFormatting>
  <conditionalFormatting sqref="W47:Z47 W45:Z45 W4:Z36">
    <cfRule type="expression" dxfId="1280" priority="492">
      <formula>$Z4="R"</formula>
    </cfRule>
  </conditionalFormatting>
  <conditionalFormatting sqref="AA45:AD45 AA47:AD47">
    <cfRule type="cellIs" dxfId="1279" priority="488" operator="equal">
      <formula>0</formula>
    </cfRule>
  </conditionalFormatting>
  <conditionalFormatting sqref="AA47:AD47 AA45:AD45">
    <cfRule type="notContainsBlanks" dxfId="1278" priority="487">
      <formula>LEN(TRIM(AA45))&gt;0</formula>
    </cfRule>
  </conditionalFormatting>
  <conditionalFormatting sqref="AA47:AD47 AA45:AD45 AA4:AD36">
    <cfRule type="expression" dxfId="1277" priority="486">
      <formula>$AD4="R"</formula>
    </cfRule>
  </conditionalFormatting>
  <conditionalFormatting sqref="AE45:AH45 AE47:AH47">
    <cfRule type="cellIs" dxfId="1276" priority="482" operator="equal">
      <formula>0</formula>
    </cfRule>
  </conditionalFormatting>
  <conditionalFormatting sqref="AE47:AH47 AE45:AH45">
    <cfRule type="notContainsBlanks" dxfId="1275" priority="481">
      <formula>LEN(TRIM(AE45))&gt;0</formula>
    </cfRule>
  </conditionalFormatting>
  <conditionalFormatting sqref="AE47:AH47 AE45:AH45 AE4:AH36">
    <cfRule type="expression" dxfId="1274" priority="480">
      <formula>$AH4="R"</formula>
    </cfRule>
  </conditionalFormatting>
  <conditionalFormatting sqref="AI45:AL45 AI47:AL47">
    <cfRule type="cellIs" dxfId="1273" priority="476" operator="equal">
      <formula>0</formula>
    </cfRule>
  </conditionalFormatting>
  <conditionalFormatting sqref="AI47:AL47 AI45:AL45">
    <cfRule type="notContainsBlanks" dxfId="1272" priority="475">
      <formula>LEN(TRIM(AI45))&gt;0</formula>
    </cfRule>
  </conditionalFormatting>
  <conditionalFormatting sqref="AI47:AL47 AI45:AL45 AI4:AL36">
    <cfRule type="expression" dxfId="1271" priority="474">
      <formula>$AL4="R"</formula>
    </cfRule>
  </conditionalFormatting>
  <conditionalFormatting sqref="AM45:AP45 AM47:AP47">
    <cfRule type="cellIs" dxfId="1270" priority="470" operator="equal">
      <formula>0</formula>
    </cfRule>
  </conditionalFormatting>
  <conditionalFormatting sqref="AM47:AP47 AM45:AP45">
    <cfRule type="notContainsBlanks" dxfId="1269" priority="469">
      <formula>LEN(TRIM(AM45))&gt;0</formula>
    </cfRule>
  </conditionalFormatting>
  <conditionalFormatting sqref="AM47:AP47 AM45:AP45 AM4:AP36">
    <cfRule type="expression" dxfId="1268" priority="468">
      <formula>$AP4="R"</formula>
    </cfRule>
  </conditionalFormatting>
  <conditionalFormatting sqref="AQ45:AT45 AQ47:AT47">
    <cfRule type="cellIs" dxfId="1267" priority="464" operator="equal">
      <formula>0</formula>
    </cfRule>
  </conditionalFormatting>
  <conditionalFormatting sqref="AQ47:AT47 AQ45:AT45">
    <cfRule type="notContainsBlanks" dxfId="1266" priority="463">
      <formula>LEN(TRIM(AQ45))&gt;0</formula>
    </cfRule>
  </conditionalFormatting>
  <conditionalFormatting sqref="AQ47:AT47 AQ45:AT45 AQ4:AT36">
    <cfRule type="expression" dxfId="1265" priority="462">
      <formula>$AT4="R"</formula>
    </cfRule>
  </conditionalFormatting>
  <conditionalFormatting sqref="AU45:AX45 AU47:AX47">
    <cfRule type="cellIs" dxfId="1264" priority="458" operator="equal">
      <formula>0</formula>
    </cfRule>
  </conditionalFormatting>
  <conditionalFormatting sqref="AU47:AX47 AU45:AX45">
    <cfRule type="notContainsBlanks" dxfId="1263" priority="457">
      <formula>LEN(TRIM(AU45))&gt;0</formula>
    </cfRule>
  </conditionalFormatting>
  <conditionalFormatting sqref="AU47:AX47 B46:AX46 AU45:AX45 AU4:AX36">
    <cfRule type="expression" dxfId="1262" priority="456">
      <formula>$AX4="R"</formula>
    </cfRule>
  </conditionalFormatting>
  <conditionalFormatting sqref="O3">
    <cfRule type="cellIs" dxfId="1261" priority="394" operator="equal">
      <formula>0</formula>
    </cfRule>
  </conditionalFormatting>
  <conditionalFormatting sqref="W3">
    <cfRule type="cellIs" dxfId="1260" priority="393" operator="equal">
      <formula>0</formula>
    </cfRule>
  </conditionalFormatting>
  <conditionalFormatting sqref="AY45:BB47">
    <cfRule type="cellIs" dxfId="1259" priority="452" operator="equal">
      <formula>0</formula>
    </cfRule>
  </conditionalFormatting>
  <conditionalFormatting sqref="AY45:BB47">
    <cfRule type="notContainsBlanks" dxfId="1258" priority="451">
      <formula>LEN(TRIM(AY45))&gt;0</formula>
    </cfRule>
  </conditionalFormatting>
  <conditionalFormatting sqref="AY45:BB47 AY4:BB36">
    <cfRule type="expression" dxfId="1257" priority="450">
      <formula>$BB4="R"</formula>
    </cfRule>
  </conditionalFormatting>
  <conditionalFormatting sqref="BK3">
    <cfRule type="cellIs" dxfId="1256" priority="388" operator="equal">
      <formula>0</formula>
    </cfRule>
  </conditionalFormatting>
  <conditionalFormatting sqref="BS3">
    <cfRule type="cellIs" dxfId="1255" priority="387" operator="equal">
      <formula>0</formula>
    </cfRule>
  </conditionalFormatting>
  <conditionalFormatting sqref="BC45:BF47">
    <cfRule type="cellIs" dxfId="1254" priority="446" operator="equal">
      <formula>0</formula>
    </cfRule>
  </conditionalFormatting>
  <conditionalFormatting sqref="BC45:BF47">
    <cfRule type="notContainsBlanks" dxfId="1253" priority="445">
      <formula>LEN(TRIM(BC45))&gt;0</formula>
    </cfRule>
  </conditionalFormatting>
  <conditionalFormatting sqref="BC45:BF47 BC4:BF36">
    <cfRule type="expression" dxfId="1252" priority="444">
      <formula>$BF4="R"</formula>
    </cfRule>
  </conditionalFormatting>
  <conditionalFormatting sqref="AQ3">
    <cfRule type="cellIs" dxfId="1251" priority="382" operator="equal">
      <formula>0</formula>
    </cfRule>
  </conditionalFormatting>
  <conditionalFormatting sqref="AY3">
    <cfRule type="cellIs" dxfId="1250" priority="381" operator="equal">
      <formula>0</formula>
    </cfRule>
  </conditionalFormatting>
  <conditionalFormatting sqref="BG45:BJ47">
    <cfRule type="cellIs" dxfId="1249" priority="440" operator="equal">
      <formula>0</formula>
    </cfRule>
  </conditionalFormatting>
  <conditionalFormatting sqref="BG45:BJ47">
    <cfRule type="notContainsBlanks" dxfId="1248" priority="439">
      <formula>LEN(TRIM(BG45))&gt;0</formula>
    </cfRule>
  </conditionalFormatting>
  <conditionalFormatting sqref="BG45:BJ47 BG4:BJ36">
    <cfRule type="expression" dxfId="1247" priority="438">
      <formula>$BJ4="R"</formula>
    </cfRule>
  </conditionalFormatting>
  <conditionalFormatting sqref="BK45:BN47">
    <cfRule type="cellIs" dxfId="1246" priority="434" operator="equal">
      <formula>0</formula>
    </cfRule>
  </conditionalFormatting>
  <conditionalFormatting sqref="BK45:BN47">
    <cfRule type="notContainsBlanks" dxfId="1245" priority="433">
      <formula>LEN(TRIM(BK45))&gt;0</formula>
    </cfRule>
  </conditionalFormatting>
  <conditionalFormatting sqref="BK45:BN47 BK4:BN36">
    <cfRule type="expression" dxfId="1244" priority="432">
      <formula>$BN4="R"</formula>
    </cfRule>
  </conditionalFormatting>
  <conditionalFormatting sqref="BO45:BR47">
    <cfRule type="cellIs" dxfId="1243" priority="428" operator="equal">
      <formula>0</formula>
    </cfRule>
  </conditionalFormatting>
  <conditionalFormatting sqref="BO45:BR47">
    <cfRule type="notContainsBlanks" dxfId="1242" priority="427">
      <formula>LEN(TRIM(BO45))&gt;0</formula>
    </cfRule>
  </conditionalFormatting>
  <conditionalFormatting sqref="BO45:BR47 BO4:BR36">
    <cfRule type="expression" dxfId="1241" priority="426">
      <formula>$BR4="R"</formula>
    </cfRule>
  </conditionalFormatting>
  <conditionalFormatting sqref="BS45:BV47">
    <cfRule type="cellIs" dxfId="1240" priority="422" operator="equal">
      <formula>0</formula>
    </cfRule>
  </conditionalFormatting>
  <conditionalFormatting sqref="BS45:BV47">
    <cfRule type="notContainsBlanks" dxfId="1239" priority="421">
      <formula>LEN(TRIM(BS45))&gt;0</formula>
    </cfRule>
  </conditionalFormatting>
  <conditionalFormatting sqref="BS45:BV47 BS4:BV36">
    <cfRule type="expression" dxfId="1238" priority="420">
      <formula>$BV4="R"</formula>
    </cfRule>
  </conditionalFormatting>
  <conditionalFormatting sqref="BW45:BZ47">
    <cfRule type="cellIs" dxfId="1237" priority="416" operator="equal">
      <formula>0</formula>
    </cfRule>
  </conditionalFormatting>
  <conditionalFormatting sqref="BW45:BZ47">
    <cfRule type="notContainsBlanks" dxfId="1236" priority="415">
      <formula>LEN(TRIM(BW45))&gt;0</formula>
    </cfRule>
  </conditionalFormatting>
  <conditionalFormatting sqref="BW45:BZ47 BW4:BZ36">
    <cfRule type="expression" dxfId="1235" priority="414">
      <formula>$BZ4="R"</formula>
    </cfRule>
  </conditionalFormatting>
  <conditionalFormatting sqref="CA45:CD47">
    <cfRule type="cellIs" dxfId="1234" priority="410" operator="equal">
      <formula>0</formula>
    </cfRule>
  </conditionalFormatting>
  <conditionalFormatting sqref="CA45:CD47">
    <cfRule type="notContainsBlanks" dxfId="1233" priority="409">
      <formula>LEN(TRIM(CA45))&gt;0</formula>
    </cfRule>
  </conditionalFormatting>
  <conditionalFormatting sqref="CA45:CD47 CA4:CD36 CH4:CH36">
    <cfRule type="expression" dxfId="1232" priority="408">
      <formula>$CD4="R"</formula>
    </cfRule>
  </conditionalFormatting>
  <conditionalFormatting sqref="CE46:CH47 CE45:CG45">
    <cfRule type="cellIs" dxfId="1231" priority="404" operator="equal">
      <formula>0</formula>
    </cfRule>
  </conditionalFormatting>
  <conditionalFormatting sqref="CE46:CH47 CE45:CG45">
    <cfRule type="notContainsBlanks" dxfId="1230" priority="403">
      <formula>LEN(TRIM(CE45))&gt;0</formula>
    </cfRule>
  </conditionalFormatting>
  <conditionalFormatting sqref="CE46:CH47 CE45:CG45 CE4:CG36">
    <cfRule type="expression" dxfId="1229" priority="402">
      <formula>$CH4="R"</formula>
    </cfRule>
  </conditionalFormatting>
  <conditionalFormatting sqref="A2:A45">
    <cfRule type="containsText" dxfId="1228" priority="397" operator="containsText" text="o">
      <formula>NOT(ISERROR(SEARCH("o",A2)))</formula>
    </cfRule>
    <cfRule type="containsText" dxfId="1227" priority="398" operator="containsText" text="x">
      <formula>NOT(ISERROR(SEARCH("x",A2)))</formula>
    </cfRule>
  </conditionalFormatting>
  <conditionalFormatting sqref="K3">
    <cfRule type="cellIs" dxfId="1226" priority="396" operator="equal">
      <formula>0</formula>
    </cfRule>
  </conditionalFormatting>
  <conditionalFormatting sqref="CA3">
    <cfRule type="cellIs" dxfId="1225" priority="386" operator="equal">
      <formula>0</formula>
    </cfRule>
  </conditionalFormatting>
  <conditionalFormatting sqref="AE3">
    <cfRule type="cellIs" dxfId="1224" priority="392" operator="equal">
      <formula>0</formula>
    </cfRule>
  </conditionalFormatting>
  <conditionalFormatting sqref="AM3">
    <cfRule type="cellIs" dxfId="1223" priority="391" operator="equal">
      <formula>0</formula>
    </cfRule>
  </conditionalFormatting>
  <conditionalFormatting sqref="AU3">
    <cfRule type="cellIs" dxfId="1222" priority="390" operator="equal">
      <formula>0</formula>
    </cfRule>
  </conditionalFormatting>
  <conditionalFormatting sqref="BC3">
    <cfRule type="cellIs" dxfId="1221" priority="389" operator="equal">
      <formula>0</formula>
    </cfRule>
  </conditionalFormatting>
  <conditionalFormatting sqref="S3">
    <cfRule type="cellIs" dxfId="1220" priority="385" operator="equal">
      <formula>0</formula>
    </cfRule>
  </conditionalFormatting>
  <conditionalFormatting sqref="AA3">
    <cfRule type="cellIs" dxfId="1219" priority="384" operator="equal">
      <formula>0</formula>
    </cfRule>
  </conditionalFormatting>
  <conditionalFormatting sqref="AI3">
    <cfRule type="cellIs" dxfId="1218" priority="383" operator="equal">
      <formula>0</formula>
    </cfRule>
  </conditionalFormatting>
  <conditionalFormatting sqref="BG3">
    <cfRule type="cellIs" dxfId="1217" priority="380" operator="equal">
      <formula>0</formula>
    </cfRule>
  </conditionalFormatting>
  <conditionalFormatting sqref="BO3">
    <cfRule type="cellIs" dxfId="1216" priority="379" operator="equal">
      <formula>0</formula>
    </cfRule>
  </conditionalFormatting>
  <conditionalFormatting sqref="BW3">
    <cfRule type="cellIs" dxfId="1215" priority="378" operator="equal">
      <formula>0</formula>
    </cfRule>
  </conditionalFormatting>
  <conditionalFormatting sqref="CE3">
    <cfRule type="cellIs" dxfId="1214" priority="377" operator="equal">
      <formula>0</formula>
    </cfRule>
  </conditionalFormatting>
  <conditionalFormatting sqref="AV1">
    <cfRule type="cellIs" dxfId="1213" priority="366" operator="greaterThan">
      <formula>0</formula>
    </cfRule>
  </conditionalFormatting>
  <conditionalFormatting sqref="AR1">
    <cfRule type="cellIs" dxfId="1212" priority="356" operator="greaterThan">
      <formula>0</formula>
    </cfRule>
  </conditionalFormatting>
  <conditionalFormatting sqref="AN1">
    <cfRule type="cellIs" dxfId="1211" priority="354" operator="greaterThan">
      <formula>0</formula>
    </cfRule>
  </conditionalFormatting>
  <conditionalFormatting sqref="AJ1">
    <cfRule type="cellIs" dxfId="1210" priority="353" operator="greaterThan">
      <formula>0</formula>
    </cfRule>
  </conditionalFormatting>
  <conditionalFormatting sqref="AF1">
    <cfRule type="cellIs" dxfId="1209" priority="352" operator="greaterThan">
      <formula>0</formula>
    </cfRule>
  </conditionalFormatting>
  <conditionalFormatting sqref="AB1">
    <cfRule type="cellIs" dxfId="1208" priority="351" operator="greaterThan">
      <formula>0</formula>
    </cfRule>
  </conditionalFormatting>
  <conditionalFormatting sqref="X1">
    <cfRule type="cellIs" dxfId="1207" priority="350" operator="greaterThan">
      <formula>0</formula>
    </cfRule>
  </conditionalFormatting>
  <conditionalFormatting sqref="T1">
    <cfRule type="cellIs" dxfId="1206" priority="349" operator="greaterThan">
      <formula>0</formula>
    </cfRule>
  </conditionalFormatting>
  <conditionalFormatting sqref="P1">
    <cfRule type="cellIs" dxfId="1205" priority="348" operator="greaterThan">
      <formula>0</formula>
    </cfRule>
  </conditionalFormatting>
  <conditionalFormatting sqref="L1">
    <cfRule type="cellIs" dxfId="1204" priority="347" operator="greaterThan">
      <formula>0</formula>
    </cfRule>
  </conditionalFormatting>
  <conditionalFormatting sqref="H1">
    <cfRule type="cellIs" dxfId="1203" priority="346" operator="greaterThan">
      <formula>0</formula>
    </cfRule>
  </conditionalFormatting>
  <conditionalFormatting sqref="AZ1">
    <cfRule type="cellIs" dxfId="1202" priority="345" operator="greaterThan">
      <formula>0</formula>
    </cfRule>
  </conditionalFormatting>
  <conditionalFormatting sqref="BD1">
    <cfRule type="cellIs" dxfId="1201" priority="344" operator="greaterThan">
      <formula>0</formula>
    </cfRule>
  </conditionalFormatting>
  <conditionalFormatting sqref="BH1">
    <cfRule type="cellIs" dxfId="1200" priority="343" operator="greaterThan">
      <formula>0</formula>
    </cfRule>
  </conditionalFormatting>
  <conditionalFormatting sqref="BL1">
    <cfRule type="cellIs" dxfId="1199" priority="342" operator="greaterThan">
      <formula>0</formula>
    </cfRule>
  </conditionalFormatting>
  <conditionalFormatting sqref="BP1">
    <cfRule type="cellIs" dxfId="1198" priority="341" operator="greaterThan">
      <formula>0</formula>
    </cfRule>
  </conditionalFormatting>
  <conditionalFormatting sqref="BT1">
    <cfRule type="cellIs" dxfId="1197" priority="340" operator="greaterThan">
      <formula>0</formula>
    </cfRule>
  </conditionalFormatting>
  <conditionalFormatting sqref="BX1">
    <cfRule type="cellIs" dxfId="1196" priority="339" operator="greaterThan">
      <formula>0</formula>
    </cfRule>
  </conditionalFormatting>
  <conditionalFormatting sqref="CB1">
    <cfRule type="cellIs" dxfId="1195" priority="338" operator="greaterThan">
      <formula>0</formula>
    </cfRule>
  </conditionalFormatting>
  <conditionalFormatting sqref="CF1">
    <cfRule type="cellIs" dxfId="1194" priority="337" operator="greaterThan">
      <formula>0</formula>
    </cfRule>
  </conditionalFormatting>
  <conditionalFormatting sqref="G37:J38">
    <cfRule type="cellIs" dxfId="1193" priority="320" operator="equal">
      <formula>0</formula>
    </cfRule>
  </conditionalFormatting>
  <conditionalFormatting sqref="G37:J38">
    <cfRule type="notContainsBlanks" dxfId="1192" priority="319">
      <formula>LEN(TRIM(G37))&gt;0</formula>
    </cfRule>
  </conditionalFormatting>
  <conditionalFormatting sqref="G37:J38">
    <cfRule type="expression" dxfId="1191" priority="318">
      <formula>J37="R"</formula>
    </cfRule>
  </conditionalFormatting>
  <conditionalFormatting sqref="K37:N38">
    <cfRule type="cellIs" dxfId="1190" priority="317" operator="equal">
      <formula>0</formula>
    </cfRule>
  </conditionalFormatting>
  <conditionalFormatting sqref="K37:N38">
    <cfRule type="notContainsBlanks" dxfId="1189" priority="316">
      <formula>LEN(TRIM(K37))&gt;0</formula>
    </cfRule>
  </conditionalFormatting>
  <conditionalFormatting sqref="K37:N38">
    <cfRule type="expression" dxfId="1188" priority="315">
      <formula>$N37="R"</formula>
    </cfRule>
  </conditionalFormatting>
  <conditionalFormatting sqref="O37:R38">
    <cfRule type="cellIs" dxfId="1187" priority="314" operator="equal">
      <formula>0</formula>
    </cfRule>
  </conditionalFormatting>
  <conditionalFormatting sqref="O37:R38">
    <cfRule type="notContainsBlanks" dxfId="1186" priority="313">
      <formula>LEN(TRIM(O37))&gt;0</formula>
    </cfRule>
  </conditionalFormatting>
  <conditionalFormatting sqref="O37:R38">
    <cfRule type="expression" dxfId="1185" priority="312">
      <formula>$R37="R"</formula>
    </cfRule>
  </conditionalFormatting>
  <conditionalFormatting sqref="S37:V38">
    <cfRule type="cellIs" dxfId="1184" priority="311" operator="equal">
      <formula>0</formula>
    </cfRule>
  </conditionalFormatting>
  <conditionalFormatting sqref="S37:V38">
    <cfRule type="notContainsBlanks" dxfId="1183" priority="310">
      <formula>LEN(TRIM(S37))&gt;0</formula>
    </cfRule>
  </conditionalFormatting>
  <conditionalFormatting sqref="S37:V38">
    <cfRule type="expression" dxfId="1182" priority="309">
      <formula>$V37="R"</formula>
    </cfRule>
  </conditionalFormatting>
  <conditionalFormatting sqref="W37:Z38">
    <cfRule type="cellIs" dxfId="1181" priority="308" operator="equal">
      <formula>0</formula>
    </cfRule>
  </conditionalFormatting>
  <conditionalFormatting sqref="W37:Z38">
    <cfRule type="notContainsBlanks" dxfId="1180" priority="307">
      <formula>LEN(TRIM(W37))&gt;0</formula>
    </cfRule>
  </conditionalFormatting>
  <conditionalFormatting sqref="W37:Z38">
    <cfRule type="expression" dxfId="1179" priority="306">
      <formula>$Z37="R"</formula>
    </cfRule>
  </conditionalFormatting>
  <conditionalFormatting sqref="AA37:AD38">
    <cfRule type="cellIs" dxfId="1178" priority="305" operator="equal">
      <formula>0</formula>
    </cfRule>
  </conditionalFormatting>
  <conditionalFormatting sqref="AA37:AD38">
    <cfRule type="notContainsBlanks" dxfId="1177" priority="304">
      <formula>LEN(TRIM(AA37))&gt;0</formula>
    </cfRule>
  </conditionalFormatting>
  <conditionalFormatting sqref="AA37:AD38">
    <cfRule type="expression" dxfId="1176" priority="303">
      <formula>$AD37="R"</formula>
    </cfRule>
  </conditionalFormatting>
  <conditionalFormatting sqref="AE37:AH38">
    <cfRule type="cellIs" dxfId="1175" priority="302" operator="equal">
      <formula>0</formula>
    </cfRule>
  </conditionalFormatting>
  <conditionalFormatting sqref="AE37:AH38">
    <cfRule type="notContainsBlanks" dxfId="1174" priority="301">
      <formula>LEN(TRIM(AE37))&gt;0</formula>
    </cfRule>
  </conditionalFormatting>
  <conditionalFormatting sqref="AE37:AH38">
    <cfRule type="expression" dxfId="1173" priority="300">
      <formula>$AH37="R"</formula>
    </cfRule>
  </conditionalFormatting>
  <conditionalFormatting sqref="AI37:AL38">
    <cfRule type="cellIs" dxfId="1172" priority="299" operator="equal">
      <formula>0</formula>
    </cfRule>
  </conditionalFormatting>
  <conditionalFormatting sqref="AI37:AL38">
    <cfRule type="notContainsBlanks" dxfId="1171" priority="298">
      <formula>LEN(TRIM(AI37))&gt;0</formula>
    </cfRule>
  </conditionalFormatting>
  <conditionalFormatting sqref="AI37:AL38">
    <cfRule type="expression" dxfId="1170" priority="297">
      <formula>$AL37="R"</formula>
    </cfRule>
  </conditionalFormatting>
  <conditionalFormatting sqref="AM37:AP38">
    <cfRule type="cellIs" dxfId="1169" priority="296" operator="equal">
      <formula>0</formula>
    </cfRule>
  </conditionalFormatting>
  <conditionalFormatting sqref="AM37:AP38">
    <cfRule type="notContainsBlanks" dxfId="1168" priority="295">
      <formula>LEN(TRIM(AM37))&gt;0</formula>
    </cfRule>
  </conditionalFormatting>
  <conditionalFormatting sqref="AM37:AP38">
    <cfRule type="expression" dxfId="1167" priority="294">
      <formula>$AP37="R"</formula>
    </cfRule>
  </conditionalFormatting>
  <conditionalFormatting sqref="AQ37:AT38">
    <cfRule type="cellIs" dxfId="1166" priority="293" operator="equal">
      <formula>0</formula>
    </cfRule>
  </conditionalFormatting>
  <conditionalFormatting sqref="AQ37:AT38">
    <cfRule type="notContainsBlanks" dxfId="1165" priority="292">
      <formula>LEN(TRIM(AQ37))&gt;0</formula>
    </cfRule>
  </conditionalFormatting>
  <conditionalFormatting sqref="AQ37:AT38">
    <cfRule type="expression" dxfId="1164" priority="291">
      <formula>$AT37="R"</formula>
    </cfRule>
  </conditionalFormatting>
  <conditionalFormatting sqref="AU37:AX38">
    <cfRule type="cellIs" dxfId="1163" priority="290" operator="equal">
      <formula>0</formula>
    </cfRule>
  </conditionalFormatting>
  <conditionalFormatting sqref="AU37:AX38">
    <cfRule type="notContainsBlanks" dxfId="1162" priority="289">
      <formula>LEN(TRIM(AU37))&gt;0</formula>
    </cfRule>
  </conditionalFormatting>
  <conditionalFormatting sqref="AU37:AX38">
    <cfRule type="expression" dxfId="1161" priority="288">
      <formula>$AX37="R"</formula>
    </cfRule>
  </conditionalFormatting>
  <conditionalFormatting sqref="AY37:BB38">
    <cfRule type="cellIs" dxfId="1160" priority="287" operator="equal">
      <formula>0</formula>
    </cfRule>
  </conditionalFormatting>
  <conditionalFormatting sqref="AY37:BB38">
    <cfRule type="notContainsBlanks" dxfId="1159" priority="286">
      <formula>LEN(TRIM(AY37))&gt;0</formula>
    </cfRule>
  </conditionalFormatting>
  <conditionalFormatting sqref="AY37:BB38">
    <cfRule type="expression" dxfId="1158" priority="285">
      <formula>$BB37="R"</formula>
    </cfRule>
  </conditionalFormatting>
  <conditionalFormatting sqref="BC37:BF38">
    <cfRule type="cellIs" dxfId="1157" priority="284" operator="equal">
      <formula>0</formula>
    </cfRule>
  </conditionalFormatting>
  <conditionalFormatting sqref="BC37:BF38">
    <cfRule type="notContainsBlanks" dxfId="1156" priority="283">
      <formula>LEN(TRIM(BC37))&gt;0</formula>
    </cfRule>
  </conditionalFormatting>
  <conditionalFormatting sqref="BC37:BF38">
    <cfRule type="expression" dxfId="1155" priority="282">
      <formula>$BF37="R"</formula>
    </cfRule>
  </conditionalFormatting>
  <conditionalFormatting sqref="BG37:BJ38">
    <cfRule type="cellIs" dxfId="1154" priority="281" operator="equal">
      <formula>0</formula>
    </cfRule>
  </conditionalFormatting>
  <conditionalFormatting sqref="BG37:BJ38">
    <cfRule type="notContainsBlanks" dxfId="1153" priority="280">
      <formula>LEN(TRIM(BG37))&gt;0</formula>
    </cfRule>
  </conditionalFormatting>
  <conditionalFormatting sqref="BG37:BJ38">
    <cfRule type="expression" dxfId="1152" priority="279">
      <formula>$BJ37="R"</formula>
    </cfRule>
  </conditionalFormatting>
  <conditionalFormatting sqref="BK37:BN38">
    <cfRule type="cellIs" dxfId="1151" priority="278" operator="equal">
      <formula>0</formula>
    </cfRule>
  </conditionalFormatting>
  <conditionalFormatting sqref="BK37:BN38">
    <cfRule type="notContainsBlanks" dxfId="1150" priority="277">
      <formula>LEN(TRIM(BK37))&gt;0</formula>
    </cfRule>
  </conditionalFormatting>
  <conditionalFormatting sqref="BK37:BN38">
    <cfRule type="expression" dxfId="1149" priority="276">
      <formula>$BN37="R"</formula>
    </cfRule>
  </conditionalFormatting>
  <conditionalFormatting sqref="BO37:BR38">
    <cfRule type="cellIs" dxfId="1148" priority="275" operator="equal">
      <formula>0</formula>
    </cfRule>
  </conditionalFormatting>
  <conditionalFormatting sqref="BO37:BR38">
    <cfRule type="notContainsBlanks" dxfId="1147" priority="274">
      <formula>LEN(TRIM(BO37))&gt;0</formula>
    </cfRule>
  </conditionalFormatting>
  <conditionalFormatting sqref="BO37:BR38">
    <cfRule type="expression" dxfId="1146" priority="273">
      <formula>$BR37="R"</formula>
    </cfRule>
  </conditionalFormatting>
  <conditionalFormatting sqref="BS37:BV38">
    <cfRule type="cellIs" dxfId="1145" priority="272" operator="equal">
      <formula>0</formula>
    </cfRule>
  </conditionalFormatting>
  <conditionalFormatting sqref="BS37:BV38">
    <cfRule type="notContainsBlanks" dxfId="1144" priority="271">
      <formula>LEN(TRIM(BS37))&gt;0</formula>
    </cfRule>
  </conditionalFormatting>
  <conditionalFormatting sqref="BS37:BV38">
    <cfRule type="expression" dxfId="1143" priority="270">
      <formula>$BV37="R"</formula>
    </cfRule>
  </conditionalFormatting>
  <conditionalFormatting sqref="BW37:BZ38">
    <cfRule type="cellIs" dxfId="1142" priority="269" operator="equal">
      <formula>0</formula>
    </cfRule>
  </conditionalFormatting>
  <conditionalFormatting sqref="BW37:BZ38">
    <cfRule type="notContainsBlanks" dxfId="1141" priority="268">
      <formula>LEN(TRIM(BW37))&gt;0</formula>
    </cfRule>
  </conditionalFormatting>
  <conditionalFormatting sqref="BW37:BZ38">
    <cfRule type="expression" dxfId="1140" priority="267">
      <formula>$BZ37="R"</formula>
    </cfRule>
  </conditionalFormatting>
  <conditionalFormatting sqref="CA37:CD38">
    <cfRule type="cellIs" dxfId="1139" priority="266" operator="equal">
      <formula>0</formula>
    </cfRule>
  </conditionalFormatting>
  <conditionalFormatting sqref="CA37:CD38">
    <cfRule type="notContainsBlanks" dxfId="1138" priority="265">
      <formula>LEN(TRIM(CA37))&gt;0</formula>
    </cfRule>
  </conditionalFormatting>
  <conditionalFormatting sqref="CA37:CD38">
    <cfRule type="expression" dxfId="1137" priority="264">
      <formula>$CD37="R"</formula>
    </cfRule>
  </conditionalFormatting>
  <conditionalFormatting sqref="CE37:CG38">
    <cfRule type="cellIs" dxfId="1136" priority="263" operator="equal">
      <formula>0</formula>
    </cfRule>
  </conditionalFormatting>
  <conditionalFormatting sqref="CE37:CG38">
    <cfRule type="notContainsBlanks" dxfId="1135" priority="262">
      <formula>LEN(TRIM(CE37))&gt;0</formula>
    </cfRule>
  </conditionalFormatting>
  <conditionalFormatting sqref="CE37:CG38">
    <cfRule type="expression" dxfId="1134" priority="261">
      <formula>$CH37="R"</formula>
    </cfRule>
  </conditionalFormatting>
  <conditionalFormatting sqref="G39:J40">
    <cfRule type="cellIs" dxfId="1133" priority="260" operator="equal">
      <formula>0</formula>
    </cfRule>
  </conditionalFormatting>
  <conditionalFormatting sqref="G39:J40">
    <cfRule type="notContainsBlanks" dxfId="1132" priority="259">
      <formula>LEN(TRIM(G39))&gt;0</formula>
    </cfRule>
  </conditionalFormatting>
  <conditionalFormatting sqref="G39:J40">
    <cfRule type="expression" dxfId="1131" priority="258">
      <formula>J39="R"</formula>
    </cfRule>
  </conditionalFormatting>
  <conditionalFormatting sqref="K39:N40">
    <cfRule type="cellIs" dxfId="1130" priority="257" operator="equal">
      <formula>0</formula>
    </cfRule>
  </conditionalFormatting>
  <conditionalFormatting sqref="K39:N40">
    <cfRule type="notContainsBlanks" dxfId="1129" priority="256">
      <formula>LEN(TRIM(K39))&gt;0</formula>
    </cfRule>
  </conditionalFormatting>
  <conditionalFormatting sqref="K39:N40">
    <cfRule type="expression" dxfId="1128" priority="255">
      <formula>$N39="R"</formula>
    </cfRule>
  </conditionalFormatting>
  <conditionalFormatting sqref="O39:R40">
    <cfRule type="cellIs" dxfId="1127" priority="254" operator="equal">
      <formula>0</formula>
    </cfRule>
  </conditionalFormatting>
  <conditionalFormatting sqref="O39:R40">
    <cfRule type="notContainsBlanks" dxfId="1126" priority="253">
      <formula>LEN(TRIM(O39))&gt;0</formula>
    </cfRule>
  </conditionalFormatting>
  <conditionalFormatting sqref="O39:R40">
    <cfRule type="expression" dxfId="1125" priority="252">
      <formula>$R39="R"</formula>
    </cfRule>
  </conditionalFormatting>
  <conditionalFormatting sqref="S39:V40">
    <cfRule type="cellIs" dxfId="1124" priority="251" operator="equal">
      <formula>0</formula>
    </cfRule>
  </conditionalFormatting>
  <conditionalFormatting sqref="S39:V40">
    <cfRule type="notContainsBlanks" dxfId="1123" priority="250">
      <formula>LEN(TRIM(S39))&gt;0</formula>
    </cfRule>
  </conditionalFormatting>
  <conditionalFormatting sqref="S39:V40">
    <cfRule type="expression" dxfId="1122" priority="249">
      <formula>$V39="R"</formula>
    </cfRule>
  </conditionalFormatting>
  <conditionalFormatting sqref="W39:Z40">
    <cfRule type="cellIs" dxfId="1121" priority="248" operator="equal">
      <formula>0</formula>
    </cfRule>
  </conditionalFormatting>
  <conditionalFormatting sqref="W39:Z40">
    <cfRule type="notContainsBlanks" dxfId="1120" priority="247">
      <formula>LEN(TRIM(W39))&gt;0</formula>
    </cfRule>
  </conditionalFormatting>
  <conditionalFormatting sqref="W39:Z40">
    <cfRule type="expression" dxfId="1119" priority="246">
      <formula>$Z39="R"</formula>
    </cfRule>
  </conditionalFormatting>
  <conditionalFormatting sqref="AA39:AD40">
    <cfRule type="cellIs" dxfId="1118" priority="245" operator="equal">
      <formula>0</formula>
    </cfRule>
  </conditionalFormatting>
  <conditionalFormatting sqref="AA39:AD40">
    <cfRule type="notContainsBlanks" dxfId="1117" priority="244">
      <formula>LEN(TRIM(AA39))&gt;0</formula>
    </cfRule>
  </conditionalFormatting>
  <conditionalFormatting sqref="AA39:AD40">
    <cfRule type="expression" dxfId="1116" priority="243">
      <formula>$AD39="R"</formula>
    </cfRule>
  </conditionalFormatting>
  <conditionalFormatting sqref="AE39:AH40">
    <cfRule type="cellIs" dxfId="1115" priority="242" operator="equal">
      <formula>0</formula>
    </cfRule>
  </conditionalFormatting>
  <conditionalFormatting sqref="AE39:AH40">
    <cfRule type="notContainsBlanks" dxfId="1114" priority="241">
      <formula>LEN(TRIM(AE39))&gt;0</formula>
    </cfRule>
  </conditionalFormatting>
  <conditionalFormatting sqref="AE39:AH40">
    <cfRule type="expression" dxfId="1113" priority="240">
      <formula>$AH39="R"</formula>
    </cfRule>
  </conditionalFormatting>
  <conditionalFormatting sqref="AI39:AL40">
    <cfRule type="cellIs" dxfId="1112" priority="239" operator="equal">
      <formula>0</formula>
    </cfRule>
  </conditionalFormatting>
  <conditionalFormatting sqref="AI39:AL40">
    <cfRule type="notContainsBlanks" dxfId="1111" priority="238">
      <formula>LEN(TRIM(AI39))&gt;0</formula>
    </cfRule>
  </conditionalFormatting>
  <conditionalFormatting sqref="AI39:AL40">
    <cfRule type="expression" dxfId="1110" priority="237">
      <formula>$AL39="R"</formula>
    </cfRule>
  </conditionalFormatting>
  <conditionalFormatting sqref="AM39:AP40">
    <cfRule type="cellIs" dxfId="1109" priority="236" operator="equal">
      <formula>0</formula>
    </cfRule>
  </conditionalFormatting>
  <conditionalFormatting sqref="AM39:AP40">
    <cfRule type="notContainsBlanks" dxfId="1108" priority="235">
      <formula>LEN(TRIM(AM39))&gt;0</formula>
    </cfRule>
  </conditionalFormatting>
  <conditionalFormatting sqref="AM39:AP40">
    <cfRule type="expression" dxfId="1107" priority="234">
      <formula>$AP39="R"</formula>
    </cfRule>
  </conditionalFormatting>
  <conditionalFormatting sqref="AQ39:AT40">
    <cfRule type="cellIs" dxfId="1106" priority="233" operator="equal">
      <formula>0</formula>
    </cfRule>
  </conditionalFormatting>
  <conditionalFormatting sqref="AQ39:AT40">
    <cfRule type="notContainsBlanks" dxfId="1105" priority="232">
      <formula>LEN(TRIM(AQ39))&gt;0</formula>
    </cfRule>
  </conditionalFormatting>
  <conditionalFormatting sqref="AQ39:AT40">
    <cfRule type="expression" dxfId="1104" priority="231">
      <formula>$AT39="R"</formula>
    </cfRule>
  </conditionalFormatting>
  <conditionalFormatting sqref="AU39:AX40">
    <cfRule type="cellIs" dxfId="1103" priority="230" operator="equal">
      <formula>0</formula>
    </cfRule>
  </conditionalFormatting>
  <conditionalFormatting sqref="AU39:AX40">
    <cfRule type="notContainsBlanks" dxfId="1102" priority="229">
      <formula>LEN(TRIM(AU39))&gt;0</formula>
    </cfRule>
  </conditionalFormatting>
  <conditionalFormatting sqref="AU39:AX40">
    <cfRule type="expression" dxfId="1101" priority="228">
      <formula>$AX39="R"</formula>
    </cfRule>
  </conditionalFormatting>
  <conditionalFormatting sqref="AY39:BB40">
    <cfRule type="cellIs" dxfId="1100" priority="227" operator="equal">
      <formula>0</formula>
    </cfRule>
  </conditionalFormatting>
  <conditionalFormatting sqref="AY39:BB40">
    <cfRule type="notContainsBlanks" dxfId="1099" priority="226">
      <formula>LEN(TRIM(AY39))&gt;0</formula>
    </cfRule>
  </conditionalFormatting>
  <conditionalFormatting sqref="AY39:BB40">
    <cfRule type="expression" dxfId="1098" priority="225">
      <formula>$BB39="R"</formula>
    </cfRule>
  </conditionalFormatting>
  <conditionalFormatting sqref="BC39:BF40">
    <cfRule type="cellIs" dxfId="1097" priority="224" operator="equal">
      <formula>0</formula>
    </cfRule>
  </conditionalFormatting>
  <conditionalFormatting sqref="BC39:BF40">
    <cfRule type="notContainsBlanks" dxfId="1096" priority="223">
      <formula>LEN(TRIM(BC39))&gt;0</formula>
    </cfRule>
  </conditionalFormatting>
  <conditionalFormatting sqref="BC39:BF40">
    <cfRule type="expression" dxfId="1095" priority="222">
      <formula>$BF39="R"</formula>
    </cfRule>
  </conditionalFormatting>
  <conditionalFormatting sqref="BG39:BJ40">
    <cfRule type="cellIs" dxfId="1094" priority="221" operator="equal">
      <formula>0</formula>
    </cfRule>
  </conditionalFormatting>
  <conditionalFormatting sqref="BG39:BJ40">
    <cfRule type="notContainsBlanks" dxfId="1093" priority="220">
      <formula>LEN(TRIM(BG39))&gt;0</formula>
    </cfRule>
  </conditionalFormatting>
  <conditionalFormatting sqref="BG39:BJ40">
    <cfRule type="expression" dxfId="1092" priority="219">
      <formula>$BJ39="R"</formula>
    </cfRule>
  </conditionalFormatting>
  <conditionalFormatting sqref="BK39:BN40">
    <cfRule type="cellIs" dxfId="1091" priority="218" operator="equal">
      <formula>0</formula>
    </cfRule>
  </conditionalFormatting>
  <conditionalFormatting sqref="BK39:BN40">
    <cfRule type="notContainsBlanks" dxfId="1090" priority="217">
      <formula>LEN(TRIM(BK39))&gt;0</formula>
    </cfRule>
  </conditionalFormatting>
  <conditionalFormatting sqref="BK39:BN40">
    <cfRule type="expression" dxfId="1089" priority="216">
      <formula>$BN39="R"</formula>
    </cfRule>
  </conditionalFormatting>
  <conditionalFormatting sqref="BO39:BR40">
    <cfRule type="cellIs" dxfId="1088" priority="215" operator="equal">
      <formula>0</formula>
    </cfRule>
  </conditionalFormatting>
  <conditionalFormatting sqref="BO39:BR40">
    <cfRule type="notContainsBlanks" dxfId="1087" priority="214">
      <formula>LEN(TRIM(BO39))&gt;0</formula>
    </cfRule>
  </conditionalFormatting>
  <conditionalFormatting sqref="BO39:BR40">
    <cfRule type="expression" dxfId="1086" priority="213">
      <formula>$BR39="R"</formula>
    </cfRule>
  </conditionalFormatting>
  <conditionalFormatting sqref="BS39:BV40">
    <cfRule type="cellIs" dxfId="1085" priority="212" operator="equal">
      <formula>0</formula>
    </cfRule>
  </conditionalFormatting>
  <conditionalFormatting sqref="BS39:BV40">
    <cfRule type="notContainsBlanks" dxfId="1084" priority="211">
      <formula>LEN(TRIM(BS39))&gt;0</formula>
    </cfRule>
  </conditionalFormatting>
  <conditionalFormatting sqref="BS39:BV40">
    <cfRule type="expression" dxfId="1083" priority="210">
      <formula>$BV39="R"</formula>
    </cfRule>
  </conditionalFormatting>
  <conditionalFormatting sqref="BW39:BZ40">
    <cfRule type="cellIs" dxfId="1082" priority="209" operator="equal">
      <formula>0</formula>
    </cfRule>
  </conditionalFormatting>
  <conditionalFormatting sqref="BW39:BZ40">
    <cfRule type="notContainsBlanks" dxfId="1081" priority="208">
      <formula>LEN(TRIM(BW39))&gt;0</formula>
    </cfRule>
  </conditionalFormatting>
  <conditionalFormatting sqref="BW39:BZ40">
    <cfRule type="expression" dxfId="1080" priority="207">
      <formula>$BZ39="R"</formula>
    </cfRule>
  </conditionalFormatting>
  <conditionalFormatting sqref="CA39:CD40">
    <cfRule type="cellIs" dxfId="1079" priority="206" operator="equal">
      <formula>0</formula>
    </cfRule>
  </conditionalFormatting>
  <conditionalFormatting sqref="CA39:CD40">
    <cfRule type="notContainsBlanks" dxfId="1078" priority="205">
      <formula>LEN(TRIM(CA39))&gt;0</formula>
    </cfRule>
  </conditionalFormatting>
  <conditionalFormatting sqref="CA39:CD40">
    <cfRule type="expression" dxfId="1077" priority="204">
      <formula>$CD39="R"</formula>
    </cfRule>
  </conditionalFormatting>
  <conditionalFormatting sqref="CE39:CG40">
    <cfRule type="cellIs" dxfId="1076" priority="203" operator="equal">
      <formula>0</formula>
    </cfRule>
  </conditionalFormatting>
  <conditionalFormatting sqref="CE39:CG40">
    <cfRule type="notContainsBlanks" dxfId="1075" priority="202">
      <formula>LEN(TRIM(CE39))&gt;0</formula>
    </cfRule>
  </conditionalFormatting>
  <conditionalFormatting sqref="CE39:CG40">
    <cfRule type="expression" dxfId="1074" priority="201">
      <formula>$CH39="R"</formula>
    </cfRule>
  </conditionalFormatting>
  <conditionalFormatting sqref="G41:J42">
    <cfRule type="cellIs" dxfId="1073" priority="200" operator="equal">
      <formula>0</formula>
    </cfRule>
  </conditionalFormatting>
  <conditionalFormatting sqref="G41:J42">
    <cfRule type="notContainsBlanks" dxfId="1072" priority="199">
      <formula>LEN(TRIM(G41))&gt;0</formula>
    </cfRule>
  </conditionalFormatting>
  <conditionalFormatting sqref="G41:J42">
    <cfRule type="expression" dxfId="1071" priority="198">
      <formula>J41="R"</formula>
    </cfRule>
  </conditionalFormatting>
  <conditionalFormatting sqref="K41:N42">
    <cfRule type="cellIs" dxfId="1070" priority="197" operator="equal">
      <formula>0</formula>
    </cfRule>
  </conditionalFormatting>
  <conditionalFormatting sqref="K41:N42">
    <cfRule type="notContainsBlanks" dxfId="1069" priority="196">
      <formula>LEN(TRIM(K41))&gt;0</formula>
    </cfRule>
  </conditionalFormatting>
  <conditionalFormatting sqref="K41:N42">
    <cfRule type="expression" dxfId="1068" priority="195">
      <formula>$N41="R"</formula>
    </cfRule>
  </conditionalFormatting>
  <conditionalFormatting sqref="O41:R42">
    <cfRule type="cellIs" dxfId="1067" priority="194" operator="equal">
      <formula>0</formula>
    </cfRule>
  </conditionalFormatting>
  <conditionalFormatting sqref="O41:R42">
    <cfRule type="notContainsBlanks" dxfId="1066" priority="193">
      <formula>LEN(TRIM(O41))&gt;0</formula>
    </cfRule>
  </conditionalFormatting>
  <conditionalFormatting sqref="O41:R42">
    <cfRule type="expression" dxfId="1065" priority="192">
      <formula>$R41="R"</formula>
    </cfRule>
  </conditionalFormatting>
  <conditionalFormatting sqref="S41:V42">
    <cfRule type="cellIs" dxfId="1064" priority="191" operator="equal">
      <formula>0</formula>
    </cfRule>
  </conditionalFormatting>
  <conditionalFormatting sqref="S41:V42">
    <cfRule type="notContainsBlanks" dxfId="1063" priority="190">
      <formula>LEN(TRIM(S41))&gt;0</formula>
    </cfRule>
  </conditionalFormatting>
  <conditionalFormatting sqref="S41:V42">
    <cfRule type="expression" dxfId="1062" priority="189">
      <formula>$V41="R"</formula>
    </cfRule>
  </conditionalFormatting>
  <conditionalFormatting sqref="W41:Z42">
    <cfRule type="cellIs" dxfId="1061" priority="188" operator="equal">
      <formula>0</formula>
    </cfRule>
  </conditionalFormatting>
  <conditionalFormatting sqref="W41:Z42">
    <cfRule type="notContainsBlanks" dxfId="1060" priority="187">
      <formula>LEN(TRIM(W41))&gt;0</formula>
    </cfRule>
  </conditionalFormatting>
  <conditionalFormatting sqref="W41:Z42">
    <cfRule type="expression" dxfId="1059" priority="186">
      <formula>$Z41="R"</formula>
    </cfRule>
  </conditionalFormatting>
  <conditionalFormatting sqref="AA41:AD42">
    <cfRule type="cellIs" dxfId="1058" priority="185" operator="equal">
      <formula>0</formula>
    </cfRule>
  </conditionalFormatting>
  <conditionalFormatting sqref="AA41:AD42">
    <cfRule type="notContainsBlanks" dxfId="1057" priority="184">
      <formula>LEN(TRIM(AA41))&gt;0</formula>
    </cfRule>
  </conditionalFormatting>
  <conditionalFormatting sqref="AA41:AD42">
    <cfRule type="expression" dxfId="1056" priority="183">
      <formula>$AD41="R"</formula>
    </cfRule>
  </conditionalFormatting>
  <conditionalFormatting sqref="AE41:AH42">
    <cfRule type="cellIs" dxfId="1055" priority="182" operator="equal">
      <formula>0</formula>
    </cfRule>
  </conditionalFormatting>
  <conditionalFormatting sqref="AE41:AH42">
    <cfRule type="notContainsBlanks" dxfId="1054" priority="181">
      <formula>LEN(TRIM(AE41))&gt;0</formula>
    </cfRule>
  </conditionalFormatting>
  <conditionalFormatting sqref="AE41:AH42">
    <cfRule type="expression" dxfId="1053" priority="180">
      <formula>$AH41="R"</formula>
    </cfRule>
  </conditionalFormatting>
  <conditionalFormatting sqref="AI41:AL42">
    <cfRule type="cellIs" dxfId="1052" priority="179" operator="equal">
      <formula>0</formula>
    </cfRule>
  </conditionalFormatting>
  <conditionalFormatting sqref="AI41:AL42">
    <cfRule type="notContainsBlanks" dxfId="1051" priority="178">
      <formula>LEN(TRIM(AI41))&gt;0</formula>
    </cfRule>
  </conditionalFormatting>
  <conditionalFormatting sqref="AI41:AL42">
    <cfRule type="expression" dxfId="1050" priority="177">
      <formula>$AL41="R"</formula>
    </cfRule>
  </conditionalFormatting>
  <conditionalFormatting sqref="AM41:AP42">
    <cfRule type="cellIs" dxfId="1049" priority="176" operator="equal">
      <formula>0</formula>
    </cfRule>
  </conditionalFormatting>
  <conditionalFormatting sqref="AM41:AP42">
    <cfRule type="notContainsBlanks" dxfId="1048" priority="175">
      <formula>LEN(TRIM(AM41))&gt;0</formula>
    </cfRule>
  </conditionalFormatting>
  <conditionalFormatting sqref="AM41:AP42">
    <cfRule type="expression" dxfId="1047" priority="174">
      <formula>$AP41="R"</formula>
    </cfRule>
  </conditionalFormatting>
  <conditionalFormatting sqref="AQ41:AT42">
    <cfRule type="cellIs" dxfId="1046" priority="173" operator="equal">
      <formula>0</formula>
    </cfRule>
  </conditionalFormatting>
  <conditionalFormatting sqref="AQ41:AT42">
    <cfRule type="notContainsBlanks" dxfId="1045" priority="172">
      <formula>LEN(TRIM(AQ41))&gt;0</formula>
    </cfRule>
  </conditionalFormatting>
  <conditionalFormatting sqref="AQ41:AT42">
    <cfRule type="expression" dxfId="1044" priority="171">
      <formula>$AT41="R"</formula>
    </cfRule>
  </conditionalFormatting>
  <conditionalFormatting sqref="AU41:AX42">
    <cfRule type="cellIs" dxfId="1043" priority="170" operator="equal">
      <formula>0</formula>
    </cfRule>
  </conditionalFormatting>
  <conditionalFormatting sqref="AU41:AX42">
    <cfRule type="notContainsBlanks" dxfId="1042" priority="169">
      <formula>LEN(TRIM(AU41))&gt;0</formula>
    </cfRule>
  </conditionalFormatting>
  <conditionalFormatting sqref="AU41:AX42">
    <cfRule type="expression" dxfId="1041" priority="168">
      <formula>$AX41="R"</formula>
    </cfRule>
  </conditionalFormatting>
  <conditionalFormatting sqref="AY41:BB42">
    <cfRule type="cellIs" dxfId="1040" priority="167" operator="equal">
      <formula>0</formula>
    </cfRule>
  </conditionalFormatting>
  <conditionalFormatting sqref="AY41:BB42">
    <cfRule type="notContainsBlanks" dxfId="1039" priority="166">
      <formula>LEN(TRIM(AY41))&gt;0</formula>
    </cfRule>
  </conditionalFormatting>
  <conditionalFormatting sqref="AY41:BB42">
    <cfRule type="expression" dxfId="1038" priority="165">
      <formula>$BB41="R"</formula>
    </cfRule>
  </conditionalFormatting>
  <conditionalFormatting sqref="BC41:BF42">
    <cfRule type="cellIs" dxfId="1037" priority="164" operator="equal">
      <formula>0</formula>
    </cfRule>
  </conditionalFormatting>
  <conditionalFormatting sqref="BC41:BF42">
    <cfRule type="notContainsBlanks" dxfId="1036" priority="163">
      <formula>LEN(TRIM(BC41))&gt;0</formula>
    </cfRule>
  </conditionalFormatting>
  <conditionalFormatting sqref="BC41:BF42">
    <cfRule type="expression" dxfId="1035" priority="162">
      <formula>$BF41="R"</formula>
    </cfRule>
  </conditionalFormatting>
  <conditionalFormatting sqref="BG41:BJ42">
    <cfRule type="cellIs" dxfId="1034" priority="161" operator="equal">
      <formula>0</formula>
    </cfRule>
  </conditionalFormatting>
  <conditionalFormatting sqref="BG41:BJ42">
    <cfRule type="notContainsBlanks" dxfId="1033" priority="160">
      <formula>LEN(TRIM(BG41))&gt;0</formula>
    </cfRule>
  </conditionalFormatting>
  <conditionalFormatting sqref="BG41:BJ42">
    <cfRule type="expression" dxfId="1032" priority="159">
      <formula>$BJ41="R"</formula>
    </cfRule>
  </conditionalFormatting>
  <conditionalFormatting sqref="BK41:BN42">
    <cfRule type="cellIs" dxfId="1031" priority="158" operator="equal">
      <formula>0</formula>
    </cfRule>
  </conditionalFormatting>
  <conditionalFormatting sqref="BK41:BN42">
    <cfRule type="notContainsBlanks" dxfId="1030" priority="157">
      <formula>LEN(TRIM(BK41))&gt;0</formula>
    </cfRule>
  </conditionalFormatting>
  <conditionalFormatting sqref="BK41:BN42">
    <cfRule type="expression" dxfId="1029" priority="156">
      <formula>$BN41="R"</formula>
    </cfRule>
  </conditionalFormatting>
  <conditionalFormatting sqref="BO41:BR42">
    <cfRule type="cellIs" dxfId="1028" priority="155" operator="equal">
      <formula>0</formula>
    </cfRule>
  </conditionalFormatting>
  <conditionalFormatting sqref="BO41:BR42">
    <cfRule type="notContainsBlanks" dxfId="1027" priority="154">
      <formula>LEN(TRIM(BO41))&gt;0</formula>
    </cfRule>
  </conditionalFormatting>
  <conditionalFormatting sqref="BO41:BR42">
    <cfRule type="expression" dxfId="1026" priority="153">
      <formula>$BR41="R"</formula>
    </cfRule>
  </conditionalFormatting>
  <conditionalFormatting sqref="BS41:BV42">
    <cfRule type="cellIs" dxfId="1025" priority="152" operator="equal">
      <formula>0</formula>
    </cfRule>
  </conditionalFormatting>
  <conditionalFormatting sqref="BS41:BV42">
    <cfRule type="notContainsBlanks" dxfId="1024" priority="151">
      <formula>LEN(TRIM(BS41))&gt;0</formula>
    </cfRule>
  </conditionalFormatting>
  <conditionalFormatting sqref="BS41:BV42">
    <cfRule type="expression" dxfId="1023" priority="150">
      <formula>$BV41="R"</formula>
    </cfRule>
  </conditionalFormatting>
  <conditionalFormatting sqref="BW41:BZ42">
    <cfRule type="cellIs" dxfId="1022" priority="149" operator="equal">
      <formula>0</formula>
    </cfRule>
  </conditionalFormatting>
  <conditionalFormatting sqref="BW41:BZ42">
    <cfRule type="notContainsBlanks" dxfId="1021" priority="148">
      <formula>LEN(TRIM(BW41))&gt;0</formula>
    </cfRule>
  </conditionalFormatting>
  <conditionalFormatting sqref="BW41:BZ42">
    <cfRule type="expression" dxfId="1020" priority="147">
      <formula>$BZ41="R"</formula>
    </cfRule>
  </conditionalFormatting>
  <conditionalFormatting sqref="CA41:CD42">
    <cfRule type="cellIs" dxfId="1019" priority="146" operator="equal">
      <formula>0</formula>
    </cfRule>
  </conditionalFormatting>
  <conditionalFormatting sqref="CA41:CD42">
    <cfRule type="notContainsBlanks" dxfId="1018" priority="145">
      <formula>LEN(TRIM(CA41))&gt;0</formula>
    </cfRule>
  </conditionalFormatting>
  <conditionalFormatting sqref="CA41:CD42">
    <cfRule type="expression" dxfId="1017" priority="144">
      <formula>$CD41="R"</formula>
    </cfRule>
  </conditionalFormatting>
  <conditionalFormatting sqref="CE41:CG42">
    <cfRule type="cellIs" dxfId="1016" priority="143" operator="equal">
      <formula>0</formula>
    </cfRule>
  </conditionalFormatting>
  <conditionalFormatting sqref="CE41:CG42">
    <cfRule type="notContainsBlanks" dxfId="1015" priority="142">
      <formula>LEN(TRIM(CE41))&gt;0</formula>
    </cfRule>
  </conditionalFormatting>
  <conditionalFormatting sqref="CE41:CG42">
    <cfRule type="expression" dxfId="1014" priority="141">
      <formula>$CH41="R"</formula>
    </cfRule>
  </conditionalFormatting>
  <conditionalFormatting sqref="G43:J44">
    <cfRule type="cellIs" dxfId="1013" priority="80" operator="equal">
      <formula>0</formula>
    </cfRule>
  </conditionalFormatting>
  <conditionalFormatting sqref="G43:J44">
    <cfRule type="notContainsBlanks" dxfId="1012" priority="79">
      <formula>LEN(TRIM(G43))&gt;0</formula>
    </cfRule>
  </conditionalFormatting>
  <conditionalFormatting sqref="G43:J44">
    <cfRule type="expression" dxfId="1011" priority="78">
      <formula>J43="R"</formula>
    </cfRule>
  </conditionalFormatting>
  <conditionalFormatting sqref="K43:N44">
    <cfRule type="cellIs" dxfId="1010" priority="77" operator="equal">
      <formula>0</formula>
    </cfRule>
  </conditionalFormatting>
  <conditionalFormatting sqref="K43:N44">
    <cfRule type="notContainsBlanks" dxfId="1009" priority="76">
      <formula>LEN(TRIM(K43))&gt;0</formula>
    </cfRule>
  </conditionalFormatting>
  <conditionalFormatting sqref="K43:N44">
    <cfRule type="expression" dxfId="1008" priority="75">
      <formula>$N43="R"</formula>
    </cfRule>
  </conditionalFormatting>
  <conditionalFormatting sqref="O43:R44">
    <cfRule type="cellIs" dxfId="1007" priority="74" operator="equal">
      <formula>0</formula>
    </cfRule>
  </conditionalFormatting>
  <conditionalFormatting sqref="O43:R44">
    <cfRule type="notContainsBlanks" dxfId="1006" priority="73">
      <formula>LEN(TRIM(O43))&gt;0</formula>
    </cfRule>
  </conditionalFormatting>
  <conditionalFormatting sqref="O43:R44">
    <cfRule type="expression" dxfId="1005" priority="72">
      <formula>$R43="R"</formula>
    </cfRule>
  </conditionalFormatting>
  <conditionalFormatting sqref="S43:V44">
    <cfRule type="cellIs" dxfId="1004" priority="71" operator="equal">
      <formula>0</formula>
    </cfRule>
  </conditionalFormatting>
  <conditionalFormatting sqref="S43:V44">
    <cfRule type="notContainsBlanks" dxfId="1003" priority="70">
      <formula>LEN(TRIM(S43))&gt;0</formula>
    </cfRule>
  </conditionalFormatting>
  <conditionalFormatting sqref="S43:V44">
    <cfRule type="expression" dxfId="1002" priority="69">
      <formula>$V43="R"</formula>
    </cfRule>
  </conditionalFormatting>
  <conditionalFormatting sqref="W43:Z44">
    <cfRule type="cellIs" dxfId="1001" priority="68" operator="equal">
      <formula>0</formula>
    </cfRule>
  </conditionalFormatting>
  <conditionalFormatting sqref="W43:Z44">
    <cfRule type="notContainsBlanks" dxfId="1000" priority="67">
      <formula>LEN(TRIM(W43))&gt;0</formula>
    </cfRule>
  </conditionalFormatting>
  <conditionalFormatting sqref="W43:Z44">
    <cfRule type="expression" dxfId="999" priority="66">
      <formula>$Z43="R"</formula>
    </cfRule>
  </conditionalFormatting>
  <conditionalFormatting sqref="AA43:AD44">
    <cfRule type="cellIs" dxfId="998" priority="65" operator="equal">
      <formula>0</formula>
    </cfRule>
  </conditionalFormatting>
  <conditionalFormatting sqref="AA43:AD44">
    <cfRule type="notContainsBlanks" dxfId="997" priority="64">
      <formula>LEN(TRIM(AA43))&gt;0</formula>
    </cfRule>
  </conditionalFormatting>
  <conditionalFormatting sqref="AA43:AD44">
    <cfRule type="expression" dxfId="996" priority="63">
      <formula>$AD43="R"</formula>
    </cfRule>
  </conditionalFormatting>
  <conditionalFormatting sqref="AE43:AH44">
    <cfRule type="cellIs" dxfId="995" priority="62" operator="equal">
      <formula>0</formula>
    </cfRule>
  </conditionalFormatting>
  <conditionalFormatting sqref="AE43:AH44">
    <cfRule type="notContainsBlanks" dxfId="994" priority="61">
      <formula>LEN(TRIM(AE43))&gt;0</formula>
    </cfRule>
  </conditionalFormatting>
  <conditionalFormatting sqref="AE43:AH44">
    <cfRule type="expression" dxfId="993" priority="60">
      <formula>$AH43="R"</formula>
    </cfRule>
  </conditionalFormatting>
  <conditionalFormatting sqref="AI43:AL44">
    <cfRule type="cellIs" dxfId="992" priority="59" operator="equal">
      <formula>0</formula>
    </cfRule>
  </conditionalFormatting>
  <conditionalFormatting sqref="AI43:AL44">
    <cfRule type="notContainsBlanks" dxfId="991" priority="58">
      <formula>LEN(TRIM(AI43))&gt;0</formula>
    </cfRule>
  </conditionalFormatting>
  <conditionalFormatting sqref="AI43:AL44">
    <cfRule type="expression" dxfId="990" priority="57">
      <formula>$AL43="R"</formula>
    </cfRule>
  </conditionalFormatting>
  <conditionalFormatting sqref="AM43:AP44">
    <cfRule type="cellIs" dxfId="989" priority="56" operator="equal">
      <formula>0</formula>
    </cfRule>
  </conditionalFormatting>
  <conditionalFormatting sqref="AM43:AP44">
    <cfRule type="notContainsBlanks" dxfId="988" priority="55">
      <formula>LEN(TRIM(AM43))&gt;0</formula>
    </cfRule>
  </conditionalFormatting>
  <conditionalFormatting sqref="AM43:AP44">
    <cfRule type="expression" dxfId="987" priority="54">
      <formula>$AP43="R"</formula>
    </cfRule>
  </conditionalFormatting>
  <conditionalFormatting sqref="AQ43:AT44">
    <cfRule type="cellIs" dxfId="986" priority="53" operator="equal">
      <formula>0</formula>
    </cfRule>
  </conditionalFormatting>
  <conditionalFormatting sqref="AQ43:AT44">
    <cfRule type="notContainsBlanks" dxfId="985" priority="52">
      <formula>LEN(TRIM(AQ43))&gt;0</formula>
    </cfRule>
  </conditionalFormatting>
  <conditionalFormatting sqref="AQ43:AT44">
    <cfRule type="expression" dxfId="984" priority="51">
      <formula>$AT43="R"</formula>
    </cfRule>
  </conditionalFormatting>
  <conditionalFormatting sqref="AU43:AX44">
    <cfRule type="cellIs" dxfId="983" priority="50" operator="equal">
      <formula>0</formula>
    </cfRule>
  </conditionalFormatting>
  <conditionalFormatting sqref="AU43:AX44">
    <cfRule type="notContainsBlanks" dxfId="982" priority="49">
      <formula>LEN(TRIM(AU43))&gt;0</formula>
    </cfRule>
  </conditionalFormatting>
  <conditionalFormatting sqref="AU43:AX44">
    <cfRule type="expression" dxfId="981" priority="48">
      <formula>$AX43="R"</formula>
    </cfRule>
  </conditionalFormatting>
  <conditionalFormatting sqref="AY43:BB44">
    <cfRule type="cellIs" dxfId="980" priority="47" operator="equal">
      <formula>0</formula>
    </cfRule>
  </conditionalFormatting>
  <conditionalFormatting sqref="AY43:BB44">
    <cfRule type="notContainsBlanks" dxfId="979" priority="46">
      <formula>LEN(TRIM(AY43))&gt;0</formula>
    </cfRule>
  </conditionalFormatting>
  <conditionalFormatting sqref="AY43:BB44">
    <cfRule type="expression" dxfId="978" priority="45">
      <formula>$BB43="R"</formula>
    </cfRule>
  </conditionalFormatting>
  <conditionalFormatting sqref="BC43:BF44">
    <cfRule type="cellIs" dxfId="977" priority="44" operator="equal">
      <formula>0</formula>
    </cfRule>
  </conditionalFormatting>
  <conditionalFormatting sqref="BC43:BF44">
    <cfRule type="notContainsBlanks" dxfId="976" priority="43">
      <formula>LEN(TRIM(BC43))&gt;0</formula>
    </cfRule>
  </conditionalFormatting>
  <conditionalFormatting sqref="BC43:BF44">
    <cfRule type="expression" dxfId="975" priority="42">
      <formula>$BF43="R"</formula>
    </cfRule>
  </conditionalFormatting>
  <conditionalFormatting sqref="BG43:BJ44">
    <cfRule type="cellIs" dxfId="974" priority="41" operator="equal">
      <formula>0</formula>
    </cfRule>
  </conditionalFormatting>
  <conditionalFormatting sqref="BG43:BJ44">
    <cfRule type="notContainsBlanks" dxfId="973" priority="40">
      <formula>LEN(TRIM(BG43))&gt;0</formula>
    </cfRule>
  </conditionalFormatting>
  <conditionalFormatting sqref="BG43:BJ44">
    <cfRule type="expression" dxfId="972" priority="39">
      <formula>$BJ43="R"</formula>
    </cfRule>
  </conditionalFormatting>
  <conditionalFormatting sqref="BK43:BN44">
    <cfRule type="cellIs" dxfId="971" priority="38" operator="equal">
      <formula>0</formula>
    </cfRule>
  </conditionalFormatting>
  <conditionalFormatting sqref="BK43:BN44">
    <cfRule type="notContainsBlanks" dxfId="970" priority="37">
      <formula>LEN(TRIM(BK43))&gt;0</formula>
    </cfRule>
  </conditionalFormatting>
  <conditionalFormatting sqref="BK43:BN44">
    <cfRule type="expression" dxfId="969" priority="36">
      <formula>$BN43="R"</formula>
    </cfRule>
  </conditionalFormatting>
  <conditionalFormatting sqref="BO43:BR44">
    <cfRule type="cellIs" dxfId="968" priority="35" operator="equal">
      <formula>0</formula>
    </cfRule>
  </conditionalFormatting>
  <conditionalFormatting sqref="BO43:BR44">
    <cfRule type="notContainsBlanks" dxfId="967" priority="34">
      <formula>LEN(TRIM(BO43))&gt;0</formula>
    </cfRule>
  </conditionalFormatting>
  <conditionalFormatting sqref="BO43:BR44">
    <cfRule type="expression" dxfId="966" priority="33">
      <formula>$BR43="R"</formula>
    </cfRule>
  </conditionalFormatting>
  <conditionalFormatting sqref="BS43:BV44">
    <cfRule type="cellIs" dxfId="965" priority="32" operator="equal">
      <formula>0</formula>
    </cfRule>
  </conditionalFormatting>
  <conditionalFormatting sqref="BS43:BV44">
    <cfRule type="notContainsBlanks" dxfId="964" priority="31">
      <formula>LEN(TRIM(BS43))&gt;0</formula>
    </cfRule>
  </conditionalFormatting>
  <conditionalFormatting sqref="BS43:BV44">
    <cfRule type="expression" dxfId="963" priority="30">
      <formula>$BV43="R"</formula>
    </cfRule>
  </conditionalFormatting>
  <conditionalFormatting sqref="BW43:BZ44">
    <cfRule type="cellIs" dxfId="962" priority="29" operator="equal">
      <formula>0</formula>
    </cfRule>
  </conditionalFormatting>
  <conditionalFormatting sqref="BW43:BZ44">
    <cfRule type="notContainsBlanks" dxfId="961" priority="28">
      <formula>LEN(TRIM(BW43))&gt;0</formula>
    </cfRule>
  </conditionalFormatting>
  <conditionalFormatting sqref="BW43:BZ44">
    <cfRule type="expression" dxfId="960" priority="27">
      <formula>$BZ43="R"</formula>
    </cfRule>
  </conditionalFormatting>
  <conditionalFormatting sqref="CA43:CD44">
    <cfRule type="cellIs" dxfId="959" priority="26" operator="equal">
      <formula>0</formula>
    </cfRule>
  </conditionalFormatting>
  <conditionalFormatting sqref="CA43:CD44">
    <cfRule type="notContainsBlanks" dxfId="958" priority="25">
      <formula>LEN(TRIM(CA43))&gt;0</formula>
    </cfRule>
  </conditionalFormatting>
  <conditionalFormatting sqref="CA43:CD44">
    <cfRule type="expression" dxfId="957" priority="24">
      <formula>$CD43="R"</formula>
    </cfRule>
  </conditionalFormatting>
  <conditionalFormatting sqref="CE43:CG44">
    <cfRule type="cellIs" dxfId="956" priority="23" operator="equal">
      <formula>0</formula>
    </cfRule>
  </conditionalFormatting>
  <conditionalFormatting sqref="CE43:CG44">
    <cfRule type="notContainsBlanks" dxfId="955" priority="22">
      <formula>LEN(TRIM(CE43))&gt;0</formula>
    </cfRule>
  </conditionalFormatting>
  <conditionalFormatting sqref="CE43:CG44">
    <cfRule type="expression" dxfId="954" priority="21">
      <formula>$CH43="R"</formula>
    </cfRule>
  </conditionalFormatting>
  <conditionalFormatting sqref="CH3">
    <cfRule type="cellIs" dxfId="953" priority="20" operator="equal">
      <formula>0</formula>
    </cfRule>
  </conditionalFormatting>
  <conditionalFormatting sqref="CH45">
    <cfRule type="cellIs" dxfId="952" priority="18" operator="equal">
      <formula>0</formula>
    </cfRule>
  </conditionalFormatting>
  <conditionalFormatting sqref="CH45">
    <cfRule type="notContainsBlanks" dxfId="951" priority="17">
      <formula>LEN(TRIM(CH45))&gt;0</formula>
    </cfRule>
  </conditionalFormatting>
  <conditionalFormatting sqref="CH45">
    <cfRule type="expression" dxfId="950" priority="16">
      <formula>$CD45="R"</formula>
    </cfRule>
  </conditionalFormatting>
  <conditionalFormatting sqref="CH37:CH38">
    <cfRule type="cellIs" dxfId="949" priority="15" operator="equal">
      <formula>0</formula>
    </cfRule>
  </conditionalFormatting>
  <conditionalFormatting sqref="CH37:CH38">
    <cfRule type="notContainsBlanks" dxfId="948" priority="14">
      <formula>LEN(TRIM(CH37))&gt;0</formula>
    </cfRule>
  </conditionalFormatting>
  <conditionalFormatting sqref="CH37:CH38">
    <cfRule type="expression" dxfId="947" priority="13">
      <formula>$CD37="R"</formula>
    </cfRule>
  </conditionalFormatting>
  <conditionalFormatting sqref="CH39:CH40">
    <cfRule type="cellIs" dxfId="946" priority="12" operator="equal">
      <formula>0</formula>
    </cfRule>
  </conditionalFormatting>
  <conditionalFormatting sqref="CH39:CH40">
    <cfRule type="notContainsBlanks" dxfId="945" priority="11">
      <formula>LEN(TRIM(CH39))&gt;0</formula>
    </cfRule>
  </conditionalFormatting>
  <conditionalFormatting sqref="CH39:CH40">
    <cfRule type="expression" dxfId="944" priority="10">
      <formula>$CD39="R"</formula>
    </cfRule>
  </conditionalFormatting>
  <conditionalFormatting sqref="CH41:CH42">
    <cfRule type="cellIs" dxfId="943" priority="9" operator="equal">
      <formula>0</formula>
    </cfRule>
  </conditionalFormatting>
  <conditionalFormatting sqref="CH41:CH42">
    <cfRule type="notContainsBlanks" dxfId="942" priority="8">
      <formula>LEN(TRIM(CH41))&gt;0</formula>
    </cfRule>
  </conditionalFormatting>
  <conditionalFormatting sqref="CH41:CH42">
    <cfRule type="expression" dxfId="941" priority="7">
      <formula>$CD41="R"</formula>
    </cfRule>
  </conditionalFormatting>
  <conditionalFormatting sqref="CH43:CH44">
    <cfRule type="cellIs" dxfId="940" priority="3" operator="equal">
      <formula>0</formula>
    </cfRule>
  </conditionalFormatting>
  <conditionalFormatting sqref="CH43:CH44">
    <cfRule type="notContainsBlanks" dxfId="939" priority="2">
      <formula>LEN(TRIM(CH43))&gt;0</formula>
    </cfRule>
  </conditionalFormatting>
  <conditionalFormatting sqref="CH43:CH44">
    <cfRule type="expression" dxfId="938" priority="1">
      <formula>$CD43="R"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scale="70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006600"/>
  </sheetPr>
  <dimension ref="A1:CD133"/>
  <sheetViews>
    <sheetView zoomScale="80" zoomScaleNormal="80" workbookViewId="0">
      <pane xSplit="2" ySplit="3" topLeftCell="C4" activePane="bottomRight" state="frozen"/>
      <selection pane="topRight" activeCell="E45" sqref="E45"/>
      <selection pane="bottomLeft" activeCell="E45" sqref="E45"/>
      <selection pane="bottomRight" activeCell="K35" sqref="K35"/>
    </sheetView>
  </sheetViews>
  <sheetFormatPr baseColWidth="10" defaultColWidth="11.453125" defaultRowHeight="0" customHeight="1" zeroHeight="1" x14ac:dyDescent="0.35"/>
  <cols>
    <col min="1" max="1" width="4.54296875" style="182" customWidth="1"/>
    <col min="2" max="2" width="42.7265625" style="19" customWidth="1"/>
    <col min="3" max="3" width="20" style="4" customWidth="1"/>
    <col min="4" max="5" width="8.7265625" style="11" customWidth="1"/>
    <col min="6" max="6" width="3.453125" style="4" hidden="1" customWidth="1"/>
    <col min="7" max="7" width="20" style="4" customWidth="1"/>
    <col min="8" max="9" width="8.7265625" style="11" customWidth="1"/>
    <col min="10" max="10" width="3.453125" style="4" hidden="1" customWidth="1"/>
    <col min="11" max="11" width="20" style="4" customWidth="1"/>
    <col min="12" max="13" width="8.7265625" style="11" customWidth="1"/>
    <col min="14" max="14" width="3.453125" style="4" hidden="1" customWidth="1"/>
    <col min="15" max="15" width="20" style="4" customWidth="1"/>
    <col min="16" max="17" width="8.7265625" style="11" customWidth="1"/>
    <col min="18" max="18" width="3.453125" style="4" hidden="1" customWidth="1"/>
    <col min="19" max="19" width="20" style="4" customWidth="1"/>
    <col min="20" max="21" width="8.7265625" style="11" customWidth="1"/>
    <col min="22" max="22" width="3.453125" style="4" hidden="1" customWidth="1"/>
    <col min="23" max="23" width="20" style="4" customWidth="1"/>
    <col min="24" max="25" width="8.7265625" style="11" customWidth="1"/>
    <col min="26" max="26" width="3.453125" style="4" hidden="1" customWidth="1"/>
    <col min="27" max="27" width="20" style="4" customWidth="1"/>
    <col min="28" max="29" width="8.7265625" style="11" customWidth="1"/>
    <col min="30" max="30" width="3.453125" style="4" hidden="1" customWidth="1"/>
    <col min="31" max="31" width="20" style="4" customWidth="1"/>
    <col min="32" max="33" width="8.7265625" style="11" customWidth="1"/>
    <col min="34" max="34" width="3.453125" style="4" hidden="1" customWidth="1"/>
    <col min="35" max="35" width="20" style="4" customWidth="1"/>
    <col min="36" max="37" width="8.7265625" style="11" customWidth="1"/>
    <col min="38" max="38" width="3.453125" style="4" hidden="1" customWidth="1"/>
    <col min="39" max="39" width="20" style="4" customWidth="1"/>
    <col min="40" max="41" width="8.7265625" style="11" customWidth="1"/>
    <col min="42" max="42" width="3.453125" style="4" hidden="1" customWidth="1"/>
    <col min="43" max="43" width="20" style="4" customWidth="1"/>
    <col min="44" max="45" width="8.7265625" style="11" customWidth="1"/>
    <col min="46" max="46" width="3.453125" style="4" hidden="1" customWidth="1"/>
    <col min="47" max="47" width="20" style="4" customWidth="1"/>
    <col min="48" max="49" width="8.7265625" style="11" customWidth="1"/>
    <col min="50" max="50" width="3.453125" style="4" hidden="1" customWidth="1"/>
    <col min="51" max="51" width="20" style="4" customWidth="1"/>
    <col min="52" max="53" width="8.7265625" style="11" customWidth="1"/>
    <col min="54" max="54" width="3.453125" style="4" hidden="1" customWidth="1"/>
    <col min="55" max="55" width="20" style="4" customWidth="1"/>
    <col min="56" max="57" width="8.7265625" style="11" customWidth="1"/>
    <col min="58" max="58" width="3.453125" style="4" hidden="1" customWidth="1"/>
    <col min="59" max="59" width="20" style="4" customWidth="1"/>
    <col min="60" max="61" width="8.7265625" style="11" customWidth="1"/>
    <col min="62" max="62" width="3.453125" style="4" hidden="1" customWidth="1"/>
    <col min="63" max="63" width="20" style="4" customWidth="1"/>
    <col min="64" max="65" width="8.7265625" style="11" customWidth="1"/>
    <col min="66" max="66" width="3.453125" style="4" hidden="1" customWidth="1"/>
    <col min="67" max="67" width="20" style="4" customWidth="1"/>
    <col min="68" max="69" width="8.7265625" style="11" customWidth="1"/>
    <col min="70" max="70" width="3.453125" style="4" hidden="1" customWidth="1"/>
    <col min="71" max="71" width="20" style="4" customWidth="1"/>
    <col min="72" max="73" width="8.7265625" style="11" customWidth="1"/>
    <col min="74" max="74" width="3.453125" style="4" hidden="1" customWidth="1"/>
    <col min="75" max="75" width="20" style="4" customWidth="1"/>
    <col min="76" max="77" width="8.7265625" style="11" customWidth="1"/>
    <col min="78" max="78" width="3.453125" style="4" hidden="1" customWidth="1"/>
    <col min="79" max="79" width="20" style="4" customWidth="1"/>
    <col min="80" max="81" width="8.7265625" style="11" customWidth="1"/>
    <col min="82" max="82" width="3.453125" style="4" hidden="1" customWidth="1"/>
    <col min="83" max="83" width="1.81640625" style="2" customWidth="1"/>
    <col min="84" max="16384" width="11.453125" style="2"/>
  </cols>
  <sheetData>
    <row r="1" spans="1:82" s="7" customFormat="1" ht="7.5" customHeight="1" x14ac:dyDescent="0.35">
      <c r="A1" s="182"/>
      <c r="B1" s="15"/>
      <c r="C1" s="35">
        <v>1</v>
      </c>
      <c r="D1" s="37">
        <f>COUNT(D4:D41)</f>
        <v>0</v>
      </c>
      <c r="E1" s="36"/>
      <c r="F1" s="8"/>
      <c r="G1" s="35">
        <f>C1+1</f>
        <v>2</v>
      </c>
      <c r="H1" s="37">
        <f>COUNT(H4:H41)</f>
        <v>0</v>
      </c>
      <c r="I1" s="36"/>
      <c r="J1" s="8"/>
      <c r="K1" s="35">
        <f>G1+1</f>
        <v>3</v>
      </c>
      <c r="L1" s="37">
        <f>COUNT(L4:L41)</f>
        <v>0</v>
      </c>
      <c r="M1" s="36"/>
      <c r="N1" s="8"/>
      <c r="O1" s="35">
        <f>K1+1</f>
        <v>4</v>
      </c>
      <c r="P1" s="37">
        <f>COUNT(P4:P41)</f>
        <v>0</v>
      </c>
      <c r="Q1" s="36"/>
      <c r="R1" s="8"/>
      <c r="S1" s="35">
        <f>O1+1</f>
        <v>5</v>
      </c>
      <c r="T1" s="37">
        <f>COUNT(T4:T41)</f>
        <v>0</v>
      </c>
      <c r="U1" s="36"/>
      <c r="V1" s="8"/>
      <c r="W1" s="35">
        <f>S1+1</f>
        <v>6</v>
      </c>
      <c r="X1" s="37">
        <f>COUNT(X4:X41)</f>
        <v>0</v>
      </c>
      <c r="Y1" s="36"/>
      <c r="Z1" s="8"/>
      <c r="AA1" s="35">
        <f>W1+1</f>
        <v>7</v>
      </c>
      <c r="AB1" s="37">
        <f>COUNT(AB4:AB41)</f>
        <v>0</v>
      </c>
      <c r="AC1" s="36"/>
      <c r="AD1" s="8"/>
      <c r="AE1" s="35">
        <f>AA1+1</f>
        <v>8</v>
      </c>
      <c r="AF1" s="37">
        <f>COUNT(AF4:AF41)</f>
        <v>0</v>
      </c>
      <c r="AG1" s="36"/>
      <c r="AH1" s="8"/>
      <c r="AI1" s="35">
        <f>AE1+1</f>
        <v>9</v>
      </c>
      <c r="AJ1" s="37">
        <f>COUNT(AJ4:AJ41)</f>
        <v>0</v>
      </c>
      <c r="AK1" s="36"/>
      <c r="AL1" s="8"/>
      <c r="AM1" s="35">
        <f t="shared" ref="AM1" si="0">AI1+1</f>
        <v>10</v>
      </c>
      <c r="AN1" s="37">
        <f>COUNT(AN4:AN41)</f>
        <v>0</v>
      </c>
      <c r="AO1" s="36"/>
      <c r="AP1" s="8"/>
      <c r="AQ1" s="35">
        <f>AM1+1</f>
        <v>11</v>
      </c>
      <c r="AR1" s="37">
        <f>COUNT(AR4:AR41)</f>
        <v>0</v>
      </c>
      <c r="AS1" s="36"/>
      <c r="AT1" s="8"/>
      <c r="AU1" s="35">
        <f>AQ1+1</f>
        <v>12</v>
      </c>
      <c r="AV1" s="37">
        <f>COUNT(AV4:AV41)</f>
        <v>0</v>
      </c>
      <c r="AW1" s="36"/>
      <c r="AX1" s="8"/>
      <c r="AY1" s="35">
        <f>AU1+1</f>
        <v>13</v>
      </c>
      <c r="AZ1" s="37">
        <f>COUNT(AZ4:AZ41)</f>
        <v>0</v>
      </c>
      <c r="BA1" s="36"/>
      <c r="BB1" s="8"/>
      <c r="BC1" s="35">
        <f>AY1+1</f>
        <v>14</v>
      </c>
      <c r="BD1" s="37">
        <f>COUNT(BD4:BD41)</f>
        <v>0</v>
      </c>
      <c r="BE1" s="36"/>
      <c r="BF1" s="8"/>
      <c r="BG1" s="35">
        <f>BC1+1</f>
        <v>15</v>
      </c>
      <c r="BH1" s="37">
        <f>COUNT(BH4:BH41)</f>
        <v>0</v>
      </c>
      <c r="BI1" s="36"/>
      <c r="BJ1" s="8"/>
      <c r="BK1" s="35">
        <f>BG1+1</f>
        <v>16</v>
      </c>
      <c r="BL1" s="37">
        <f>COUNT(BL4:BL41)</f>
        <v>0</v>
      </c>
      <c r="BM1" s="36"/>
      <c r="BN1" s="8"/>
      <c r="BO1" s="35">
        <f>BK1+1</f>
        <v>17</v>
      </c>
      <c r="BP1" s="37">
        <f>COUNT(BP4:BP41)</f>
        <v>0</v>
      </c>
      <c r="BQ1" s="36"/>
      <c r="BR1" s="8"/>
      <c r="BS1" s="35">
        <f>BO1+1</f>
        <v>18</v>
      </c>
      <c r="BT1" s="37">
        <f>COUNT(BT4:BT41)</f>
        <v>0</v>
      </c>
      <c r="BU1" s="36"/>
      <c r="BV1" s="8"/>
      <c r="BW1" s="35">
        <f>BS1+1</f>
        <v>19</v>
      </c>
      <c r="BX1" s="37">
        <f>COUNT(BX4:BX41)</f>
        <v>0</v>
      </c>
      <c r="BY1" s="36"/>
      <c r="BZ1" s="8"/>
      <c r="CA1" s="35">
        <f>BW1+1</f>
        <v>20</v>
      </c>
      <c r="CB1" s="37">
        <f>COUNT(CB4:CB41)</f>
        <v>0</v>
      </c>
      <c r="CC1" s="36"/>
      <c r="CD1" s="8"/>
    </row>
    <row r="2" spans="1:82" ht="14.5" x14ac:dyDescent="0.35">
      <c r="A2" s="484" t="s">
        <v>10</v>
      </c>
      <c r="B2" s="21" t="s">
        <v>97</v>
      </c>
      <c r="C2" s="491" t="s">
        <v>90</v>
      </c>
      <c r="D2" s="492"/>
      <c r="E2" s="493"/>
      <c r="F2" s="31"/>
      <c r="G2" s="494" t="s">
        <v>91</v>
      </c>
      <c r="H2" s="495"/>
      <c r="I2" s="496"/>
      <c r="J2" s="9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</row>
    <row r="3" spans="1:82" ht="14.5" x14ac:dyDescent="0.35">
      <c r="A3" s="484"/>
      <c r="B3" s="20" t="s">
        <v>98</v>
      </c>
      <c r="C3" s="488">
        <f>IFERROR(VLOOKUP(C1,'Listas Desplegables'!$G:$I,3,0),"")</f>
        <v>374010</v>
      </c>
      <c r="D3" s="489"/>
      <c r="E3" s="490"/>
      <c r="F3" s="12" t="s">
        <v>9</v>
      </c>
      <c r="G3" s="485">
        <f>IFERROR(VLOOKUP(G1,'Listas Desplegables'!$G:$I,3,0),"")</f>
        <v>374011</v>
      </c>
      <c r="H3" s="486"/>
      <c r="I3" s="487"/>
      <c r="J3" s="12" t="s">
        <v>9</v>
      </c>
      <c r="K3" s="488">
        <f>IFERROR(VLOOKUP(K1,'Listas Desplegables'!$G:$I,3,0),"")</f>
        <v>374012</v>
      </c>
      <c r="L3" s="489"/>
      <c r="M3" s="490"/>
      <c r="N3" s="30" t="s">
        <v>9</v>
      </c>
      <c r="O3" s="485">
        <f>IFERROR(VLOOKUP(O1,'Listas Desplegables'!$G:$I,3,0),"")</f>
        <v>374013</v>
      </c>
      <c r="P3" s="486"/>
      <c r="Q3" s="487"/>
      <c r="R3" s="30" t="s">
        <v>9</v>
      </c>
      <c r="S3" s="488">
        <f>IFERROR(VLOOKUP(S1,'Listas Desplegables'!$G:$I,3,0),"")</f>
        <v>374014</v>
      </c>
      <c r="T3" s="489"/>
      <c r="U3" s="490"/>
      <c r="V3" s="30" t="s">
        <v>9</v>
      </c>
      <c r="W3" s="485">
        <f>IFERROR(VLOOKUP(W1,'Listas Desplegables'!$G:$I,3,0),"")</f>
        <v>374015</v>
      </c>
      <c r="X3" s="486"/>
      <c r="Y3" s="487"/>
      <c r="Z3" s="30" t="s">
        <v>9</v>
      </c>
      <c r="AA3" s="488">
        <f>IFERROR(VLOOKUP(AA1,'Listas Desplegables'!$G:$I,3,0),"")</f>
        <v>374016</v>
      </c>
      <c r="AB3" s="489"/>
      <c r="AC3" s="490"/>
      <c r="AD3" s="30" t="s">
        <v>9</v>
      </c>
      <c r="AE3" s="485">
        <f>IFERROR(VLOOKUP(AE1,'Listas Desplegables'!$G:$I,3,0),"")</f>
        <v>374017</v>
      </c>
      <c r="AF3" s="486"/>
      <c r="AG3" s="487"/>
      <c r="AH3" s="30" t="s">
        <v>9</v>
      </c>
      <c r="AI3" s="488">
        <f>IFERROR(VLOOKUP(AI1,'Listas Desplegables'!$G:$I,3,0),"")</f>
        <v>374018</v>
      </c>
      <c r="AJ3" s="489"/>
      <c r="AK3" s="490"/>
      <c r="AL3" s="30" t="s">
        <v>9</v>
      </c>
      <c r="AM3" s="485">
        <f>IFERROR(VLOOKUP(AM1,'Listas Desplegables'!$G:$I,3,0),"")</f>
        <v>0</v>
      </c>
      <c r="AN3" s="486"/>
      <c r="AO3" s="487"/>
      <c r="AP3" s="30" t="s">
        <v>9</v>
      </c>
      <c r="AQ3" s="488">
        <f>IFERROR(VLOOKUP(AQ1,'Listas Desplegables'!$G:$I,3,0),"")</f>
        <v>0</v>
      </c>
      <c r="AR3" s="489"/>
      <c r="AS3" s="490"/>
      <c r="AT3" s="30" t="s">
        <v>9</v>
      </c>
      <c r="AU3" s="485">
        <f>IFERROR(VLOOKUP(AU1,'Listas Desplegables'!$G:$I,3,0),"")</f>
        <v>0</v>
      </c>
      <c r="AV3" s="486"/>
      <c r="AW3" s="487"/>
      <c r="AX3" s="30" t="s">
        <v>9</v>
      </c>
      <c r="AY3" s="488">
        <f>IFERROR(VLOOKUP(AY1,'Listas Desplegables'!$G:$I,3,0),"")</f>
        <v>0</v>
      </c>
      <c r="AZ3" s="489"/>
      <c r="BA3" s="490"/>
      <c r="BB3" s="30" t="s">
        <v>9</v>
      </c>
      <c r="BC3" s="485">
        <f>IFERROR(VLOOKUP(BC1,'Listas Desplegables'!$G:$I,3,0),"")</f>
        <v>0</v>
      </c>
      <c r="BD3" s="486"/>
      <c r="BE3" s="487"/>
      <c r="BF3" s="30" t="s">
        <v>9</v>
      </c>
      <c r="BG3" s="488">
        <f>IFERROR(VLOOKUP(BG1,'Listas Desplegables'!$G:$I,3,0),"")</f>
        <v>0</v>
      </c>
      <c r="BH3" s="489"/>
      <c r="BI3" s="490"/>
      <c r="BJ3" s="30" t="s">
        <v>9</v>
      </c>
      <c r="BK3" s="485">
        <f>IFERROR(VLOOKUP(BK1,'Listas Desplegables'!$G:$I,3,0),"")</f>
        <v>0</v>
      </c>
      <c r="BL3" s="486"/>
      <c r="BM3" s="487"/>
      <c r="BN3" s="30" t="s">
        <v>9</v>
      </c>
      <c r="BO3" s="488">
        <f>IFERROR(VLOOKUP(BO1,'Listas Desplegables'!$G:$I,3,0),"")</f>
        <v>0</v>
      </c>
      <c r="BP3" s="489"/>
      <c r="BQ3" s="490"/>
      <c r="BR3" s="30" t="s">
        <v>9</v>
      </c>
      <c r="BS3" s="485">
        <f>IFERROR(VLOOKUP(BS1,'Listas Desplegables'!$G:$I,3,0),"")</f>
        <v>0</v>
      </c>
      <c r="BT3" s="486"/>
      <c r="BU3" s="487"/>
      <c r="BV3" s="30" t="s">
        <v>9</v>
      </c>
      <c r="BW3" s="488">
        <f>IFERROR(VLOOKUP(BW1,'Listas Desplegables'!$G:$I,3,0),"")</f>
        <v>0</v>
      </c>
      <c r="BX3" s="489"/>
      <c r="BY3" s="490"/>
      <c r="BZ3" s="30" t="s">
        <v>9</v>
      </c>
      <c r="CA3" s="485">
        <f>IFERROR(VLOOKUP(CA1,'Listas Desplegables'!$G:$I,3,0),"")</f>
        <v>0</v>
      </c>
      <c r="CB3" s="486"/>
      <c r="CC3" s="487"/>
      <c r="CD3" s="12" t="s">
        <v>9</v>
      </c>
    </row>
    <row r="4" spans="1:82" ht="21" customHeight="1" x14ac:dyDescent="0.35">
      <c r="A4" s="183">
        <v>1</v>
      </c>
      <c r="B4" s="125" t="str">
        <f>'Listas Desplegables'!B25</f>
        <v>Registro Académico</v>
      </c>
      <c r="C4" s="22" t="str">
        <f>IFERROR(VLOOKUP(CONCATENATE(C$3,"-",$B4),'FO-GC-012'!$B$20:$H$109,2,0),"")</f>
        <v/>
      </c>
      <c r="D4" s="23" t="str">
        <f>IFERROR(VLOOKUP(CONCATENATE(C$3,"-",$B4),'FO-GC-012'!$B$20:$H$109,5,0),"")</f>
        <v/>
      </c>
      <c r="E4" s="24" t="str">
        <f>IFERROR(VLOOKUP(CONCATENATE(C$3,"-",$B4),'FO-GC-012'!$B$20:$H$109,6,0),"")</f>
        <v/>
      </c>
      <c r="F4" s="25" t="str">
        <f>IFERROR(VLOOKUP(CONCATENATE(C$3,"-",$B4),'FO-GC-012'!$D$20:$H$109,5,0),"")</f>
        <v/>
      </c>
      <c r="G4" s="22" t="str">
        <f>IFERROR(VLOOKUP(CONCATENATE(G$3,"-",$B4),'FO-GC-012'!$B$20:$H$109,2,0),"")</f>
        <v/>
      </c>
      <c r="H4" s="23" t="str">
        <f>IFERROR(VLOOKUP(CONCATENATE(G$3,"-",$B4),'FO-GC-012'!$B$20:$H$109,5,0),"")</f>
        <v/>
      </c>
      <c r="I4" s="24" t="str">
        <f>IFERROR(VLOOKUP(CONCATENATE(G$3,"-",$B4),'FO-GC-012'!$B$20:$H$109,6,0),"")</f>
        <v/>
      </c>
      <c r="J4" s="25" t="str">
        <f>IFERROR(VLOOKUP(CONCATENATE(G$3,"-",$B4),'FO-GC-012'!$D$20:$H$109,5,0),"")</f>
        <v/>
      </c>
      <c r="K4" s="22" t="str">
        <f>IFERROR(VLOOKUP(CONCATENATE(K$3,"-",$B4),'FO-GC-012'!$B$20:$H$109,2,0),"")</f>
        <v/>
      </c>
      <c r="L4" s="23" t="str">
        <f>IFERROR(VLOOKUP(CONCATENATE(K$3,"-",$B4),'FO-GC-012'!$B$20:$H$109,5,0),"")</f>
        <v/>
      </c>
      <c r="M4" s="24" t="str">
        <f>IFERROR(VLOOKUP(CONCATENATE(K$3,"-",$B4),'FO-GC-012'!$B$20:$H$109,6,0),"")</f>
        <v/>
      </c>
      <c r="N4" s="25" t="str">
        <f>IFERROR(VLOOKUP(CONCATENATE(K$3,"-",$B4),'FO-GC-012'!$D$20:$H$109,5,0),"")</f>
        <v/>
      </c>
      <c r="O4" s="22" t="str">
        <f>IFERROR(VLOOKUP(CONCATENATE(O$3,"-",$B4),'FO-GC-012'!$B$20:$H$109,2,0),"")</f>
        <v/>
      </c>
      <c r="P4" s="23" t="str">
        <f>IFERROR(VLOOKUP(CONCATENATE(O$3,"-",$B4),'FO-GC-012'!$B$20:$H$109,5,0),"")</f>
        <v/>
      </c>
      <c r="Q4" s="24" t="str">
        <f>IFERROR(VLOOKUP(CONCATENATE(O$3,"-",$B4),'FO-GC-012'!$B$20:$H$109,6,0),"")</f>
        <v/>
      </c>
      <c r="R4" s="25" t="str">
        <f>IFERROR(VLOOKUP(CONCATENATE(O$3,"-",$B4),'FO-GC-012'!$D$20:$H$109,5,0),"")</f>
        <v/>
      </c>
      <c r="S4" s="22" t="str">
        <f>IFERROR(VLOOKUP(CONCATENATE(S$3,"-",$B4),'FO-GC-012'!$B$20:$H$109,2,0),"")</f>
        <v/>
      </c>
      <c r="T4" s="23" t="str">
        <f>IFERROR(VLOOKUP(CONCATENATE(S$3,"-",$B4),'FO-GC-012'!$B$20:$H$109,5,0),"")</f>
        <v/>
      </c>
      <c r="U4" s="24" t="str">
        <f>IFERROR(VLOOKUP(CONCATENATE(S$3,"-",$B4),'FO-GC-012'!$B$20:$H$109,6,0),"")</f>
        <v/>
      </c>
      <c r="V4" s="25" t="str">
        <f>IFERROR(VLOOKUP(CONCATENATE(S$3,"-",$B4),'FO-GC-012'!$D$20:$H$109,5,0),"")</f>
        <v/>
      </c>
      <c r="W4" s="22" t="str">
        <f>IFERROR(VLOOKUP(CONCATENATE(W$3,"-",$B4),'FO-GC-012'!$B$20:$H$109,2,0),"")</f>
        <v/>
      </c>
      <c r="X4" s="23" t="str">
        <f>IFERROR(VLOOKUP(CONCATENATE(W$3,"-",$B4),'FO-GC-012'!$B$20:$H$109,5,0),"")</f>
        <v/>
      </c>
      <c r="Y4" s="24" t="str">
        <f>IFERROR(VLOOKUP(CONCATENATE(W$3,"-",$B4),'FO-GC-012'!$B$20:$H$109,6,0),"")</f>
        <v/>
      </c>
      <c r="Z4" s="25" t="str">
        <f>IFERROR(VLOOKUP(CONCATENATE(W$3,"-",$B4),'FO-GC-012'!$D$20:$H$109,5,0),"")</f>
        <v/>
      </c>
      <c r="AA4" s="22" t="str">
        <f>IFERROR(VLOOKUP(CONCATENATE(AA$3,"-",$B4),'FO-GC-012'!$B$20:$H$109,2,0),"")</f>
        <v/>
      </c>
      <c r="AB4" s="23" t="str">
        <f>IFERROR(VLOOKUP(CONCATENATE(AA$3,"-",$B4),'FO-GC-012'!$B$20:$H$109,5,0),"")</f>
        <v/>
      </c>
      <c r="AC4" s="24" t="str">
        <f>IFERROR(VLOOKUP(CONCATENATE(AA$3,"-",$B4),'FO-GC-012'!$B$20:$H$109,6,0),"")</f>
        <v/>
      </c>
      <c r="AD4" s="25" t="str">
        <f>IFERROR(VLOOKUP(CONCATENATE(AA$3,"-",$B4),'FO-GC-012'!$D$20:$H$109,5,0),"")</f>
        <v/>
      </c>
      <c r="AE4" s="22" t="str">
        <f>IFERROR(VLOOKUP(CONCATENATE(AE$3,"-",$B4),'FO-GC-012'!$B$20:$H$109,2,0),"")</f>
        <v/>
      </c>
      <c r="AF4" s="23" t="str">
        <f>IFERROR(VLOOKUP(CONCATENATE(AE$3,"-",$B4),'FO-GC-012'!$B$20:$H$109,5,0),"")</f>
        <v/>
      </c>
      <c r="AG4" s="24" t="str">
        <f>IFERROR(VLOOKUP(CONCATENATE(AE$3,"-",$B4),'FO-GC-012'!$B$20:$H$109,6,0),"")</f>
        <v/>
      </c>
      <c r="AH4" s="25" t="str">
        <f>IFERROR(VLOOKUP(CONCATENATE(AE$3,"-",$B4),'FO-GC-012'!$D$20:$H$109,5,0),"")</f>
        <v/>
      </c>
      <c r="AI4" s="22" t="str">
        <f>IFERROR(VLOOKUP(CONCATENATE(AI$3,"-",$B4),'FO-GC-012'!$B$20:$H$109,2,0),"")</f>
        <v/>
      </c>
      <c r="AJ4" s="23" t="str">
        <f>IFERROR(VLOOKUP(CONCATENATE(AI$3,"-",$B4),'FO-GC-012'!$B$20:$H$109,5,0),"")</f>
        <v/>
      </c>
      <c r="AK4" s="24" t="str">
        <f>IFERROR(VLOOKUP(CONCATENATE(AI$3,"-",$B4),'FO-GC-012'!$B$20:$H$109,6,0),"")</f>
        <v/>
      </c>
      <c r="AL4" s="25" t="str">
        <f>IFERROR(VLOOKUP(CONCATENATE(AI$3,"-",$B4),'FO-GC-012'!$D$20:$H$109,5,0),"")</f>
        <v/>
      </c>
      <c r="AM4" s="22" t="str">
        <f>IFERROR(VLOOKUP(CONCATENATE(AM$3,"-",$B4),'FO-GC-012'!$B$20:$H$109,2,0),"")</f>
        <v/>
      </c>
      <c r="AN4" s="23" t="str">
        <f>IFERROR(VLOOKUP(CONCATENATE(AM$3,"-",$B4),'FO-GC-012'!$B$20:$H$109,5,0),"")</f>
        <v/>
      </c>
      <c r="AO4" s="24" t="str">
        <f>IFERROR(VLOOKUP(CONCATENATE(AM$3,"-",$B4),'FO-GC-012'!$B$20:$H$109,6,0),"")</f>
        <v/>
      </c>
      <c r="AP4" s="25" t="str">
        <f>IFERROR(VLOOKUP(CONCATENATE(AM$3,"-",$B4),'FO-GC-012'!$D$20:$H$109,5,0),"")</f>
        <v/>
      </c>
      <c r="AQ4" s="22" t="str">
        <f>IFERROR(VLOOKUP(CONCATENATE(AQ$3,"-",$B4),'FO-GC-012'!$B$20:$H$109,2,0),"")</f>
        <v/>
      </c>
      <c r="AR4" s="23" t="str">
        <f>IFERROR(VLOOKUP(CONCATENATE(AQ$3,"-",$B4),'FO-GC-012'!$B$20:$H$109,5,0),"")</f>
        <v/>
      </c>
      <c r="AS4" s="24" t="str">
        <f>IFERROR(VLOOKUP(CONCATENATE(AQ$3,"-",$B4),'FO-GC-012'!$B$20:$H$109,6,0),"")</f>
        <v/>
      </c>
      <c r="AT4" s="25" t="str">
        <f>IFERROR(VLOOKUP(CONCATENATE(AQ$3,"-",$B4),'FO-GC-012'!$D$20:$H$109,5,0),"")</f>
        <v/>
      </c>
      <c r="AU4" s="22" t="str">
        <f>IFERROR(VLOOKUP(CONCATENATE(AU$3,"-",$B4),'FO-GC-012'!$B$20:$H$109,2,0),"")</f>
        <v/>
      </c>
      <c r="AV4" s="23" t="str">
        <f>IFERROR(VLOOKUP(CONCATENATE(AU$3,"-",$B4),'FO-GC-012'!$B$20:$H$109,5,0),"")</f>
        <v/>
      </c>
      <c r="AW4" s="24" t="str">
        <f>IFERROR(VLOOKUP(CONCATENATE(AU$3,"-",$B4),'FO-GC-012'!$B$20:$H$109,6,0),"")</f>
        <v/>
      </c>
      <c r="AX4" s="25" t="str">
        <f>IFERROR(VLOOKUP(CONCATENATE(AU$3,"-",$B4),'FO-GC-012'!$D$20:$H$109,5,0),"")</f>
        <v/>
      </c>
      <c r="AY4" s="22" t="str">
        <f>IFERROR(VLOOKUP(CONCATENATE(AY$3,"-",$B4),'FO-GC-012'!$B$20:$H$109,2,0),"")</f>
        <v/>
      </c>
      <c r="AZ4" s="23" t="str">
        <f>IFERROR(VLOOKUP(CONCATENATE(AY$3,"-",$B4),'FO-GC-012'!$B$20:$H$109,5,0),"")</f>
        <v/>
      </c>
      <c r="BA4" s="24" t="str">
        <f>IFERROR(VLOOKUP(CONCATENATE(AY$3,"-",$B4),'FO-GC-012'!$B$20:$H$109,6,0),"")</f>
        <v/>
      </c>
      <c r="BB4" s="25" t="str">
        <f>IFERROR(VLOOKUP(CONCATENATE(AY$3,"-",$B4),'FO-GC-012'!$D$20:$H$109,5,0),"")</f>
        <v/>
      </c>
      <c r="BC4" s="22" t="str">
        <f>IFERROR(VLOOKUP(CONCATENATE(BC$3,"-",$B4),'FO-GC-012'!$B$20:$H$109,2,0),"")</f>
        <v/>
      </c>
      <c r="BD4" s="23" t="str">
        <f>IFERROR(VLOOKUP(CONCATENATE(BC$3,"-",$B4),'FO-GC-012'!$B$20:$H$109,5,0),"")</f>
        <v/>
      </c>
      <c r="BE4" s="24" t="str">
        <f>IFERROR(VLOOKUP(CONCATENATE(BC$3,"-",$B4),'FO-GC-012'!$B$20:$H$109,6,0),"")</f>
        <v/>
      </c>
      <c r="BF4" s="25" t="str">
        <f>IFERROR(VLOOKUP(CONCATENATE(BC$3,"-",$B4),'FO-GC-012'!$D$20:$H$109,5,0),"")</f>
        <v/>
      </c>
      <c r="BG4" s="22" t="str">
        <f>IFERROR(VLOOKUP(CONCATENATE(BG$3,"-",$B4),'FO-GC-012'!$B$20:$H$109,2,0),"")</f>
        <v/>
      </c>
      <c r="BH4" s="23" t="str">
        <f>IFERROR(VLOOKUP(CONCATENATE(BG$3,"-",$B4),'FO-GC-012'!$B$20:$H$109,5,0),"")</f>
        <v/>
      </c>
      <c r="BI4" s="24" t="str">
        <f>IFERROR(VLOOKUP(CONCATENATE(BG$3,"-",$B4),'FO-GC-012'!$B$20:$H$109,6,0),"")</f>
        <v/>
      </c>
      <c r="BJ4" s="25" t="str">
        <f>IFERROR(VLOOKUP(CONCATENATE(BG$3,"-",$B4),'FO-GC-012'!$D$20:$H$109,5,0),"")</f>
        <v/>
      </c>
      <c r="BK4" s="22" t="str">
        <f>IFERROR(VLOOKUP(CONCATENATE(BK$3,"-",$B4),'FO-GC-012'!$B$20:$H$109,2,0),"")</f>
        <v/>
      </c>
      <c r="BL4" s="23" t="str">
        <f>IFERROR(VLOOKUP(CONCATENATE(BK$3,"-",$B4),'FO-GC-012'!$B$20:$H$109,5,0),"")</f>
        <v/>
      </c>
      <c r="BM4" s="24" t="str">
        <f>IFERROR(VLOOKUP(CONCATENATE(BK$3,"-",$B4),'FO-GC-012'!$B$20:$H$109,6,0),"")</f>
        <v/>
      </c>
      <c r="BN4" s="25" t="str">
        <f>IFERROR(VLOOKUP(CONCATENATE(BK$3,"-",$B4),'FO-GC-012'!$D$20:$H$109,5,0),"")</f>
        <v/>
      </c>
      <c r="BO4" s="22" t="str">
        <f>IFERROR(VLOOKUP(CONCATENATE(BO$3,"-",$B4),'FO-GC-012'!$B$20:$H$109,2,0),"")</f>
        <v/>
      </c>
      <c r="BP4" s="23" t="str">
        <f>IFERROR(VLOOKUP(CONCATENATE(BO$3,"-",$B4),'FO-GC-012'!$B$20:$H$109,5,0),"")</f>
        <v/>
      </c>
      <c r="BQ4" s="24" t="str">
        <f>IFERROR(VLOOKUP(CONCATENATE(BO$3,"-",$B4),'FO-GC-012'!$B$20:$H$109,6,0),"")</f>
        <v/>
      </c>
      <c r="BR4" s="25" t="str">
        <f>IFERROR(VLOOKUP(CONCATENATE(BO$3,"-",$B4),'FO-GC-012'!$D$20:$H$109,5,0),"")</f>
        <v/>
      </c>
      <c r="BS4" s="22" t="str">
        <f>IFERROR(VLOOKUP(CONCATENATE(BS$3,"-",$B4),'FO-GC-012'!$B$20:$H$109,2,0),"")</f>
        <v/>
      </c>
      <c r="BT4" s="23" t="str">
        <f>IFERROR(VLOOKUP(CONCATENATE(BS$3,"-",$B4),'FO-GC-012'!$B$20:$H$109,5,0),"")</f>
        <v/>
      </c>
      <c r="BU4" s="24" t="str">
        <f>IFERROR(VLOOKUP(CONCATENATE(BS$3,"-",$B4),'FO-GC-012'!$B$20:$H$109,6,0),"")</f>
        <v/>
      </c>
      <c r="BV4" s="25" t="str">
        <f>IFERROR(VLOOKUP(CONCATENATE(BS$3,"-",$B4),'FO-GC-012'!$D$20:$H$109,5,0),"")</f>
        <v/>
      </c>
      <c r="BW4" s="22" t="str">
        <f>IFERROR(VLOOKUP(CONCATENATE(BW$3,"-",$B4),'FO-GC-012'!$B$20:$H$109,2,0),"")</f>
        <v/>
      </c>
      <c r="BX4" s="23" t="str">
        <f>IFERROR(VLOOKUP(CONCATENATE(BW$3,"-",$B4),'FO-GC-012'!$B$20:$H$109,5,0),"")</f>
        <v/>
      </c>
      <c r="BY4" s="24" t="str">
        <f>IFERROR(VLOOKUP(CONCATENATE(BW$3,"-",$B4),'FO-GC-012'!$B$20:$H$109,6,0),"")</f>
        <v/>
      </c>
      <c r="BZ4" s="25" t="str">
        <f>IFERROR(VLOOKUP(CONCATENATE(BW$3,"-",$B4),'FO-GC-012'!$D$20:$H$109,5,0),"")</f>
        <v/>
      </c>
      <c r="CA4" s="22" t="str">
        <f>IFERROR(VLOOKUP(CONCATENATE(CA$3,"-",$B4),'FO-GC-012'!$B$20:$H$109,2,0),"")</f>
        <v/>
      </c>
      <c r="CB4" s="23" t="str">
        <f>IFERROR(VLOOKUP(CONCATENATE(CA$3,"-",$B4),'FO-GC-012'!$B$20:$H$109,5,0),"")</f>
        <v/>
      </c>
      <c r="CC4" s="24" t="str">
        <f>IFERROR(VLOOKUP(CONCATENATE(CA$3,"-",$B4),'FO-GC-012'!$B$20:$H$109,6,0),"")</f>
        <v/>
      </c>
      <c r="CD4" s="5" t="str">
        <f>IFERROR(VLOOKUP(CONCATENATE(CA$3,"-",$B4),'FO-GC-012'!$D$20:$H$109,5,0),"")</f>
        <v/>
      </c>
    </row>
    <row r="5" spans="1:82" ht="21" customHeight="1" x14ac:dyDescent="0.35">
      <c r="A5" s="184">
        <f>A4+1</f>
        <v>2</v>
      </c>
      <c r="B5" s="125" t="str">
        <f>'Listas Desplegables'!B26</f>
        <v>Gestión Curricular</v>
      </c>
      <c r="C5" s="26" t="str">
        <f>IFERROR(VLOOKUP(CONCATENATE(C$3,"-",$B5),'FO-GC-012'!$B$20:$H$109,2,0),"")</f>
        <v/>
      </c>
      <c r="D5" s="27" t="str">
        <f>IFERROR(VLOOKUP(CONCATENATE(C$3,"-",$B5),'FO-GC-012'!$B$20:$H$109,5,0),"")</f>
        <v/>
      </c>
      <c r="E5" s="28" t="str">
        <f>IFERROR(VLOOKUP(CONCATENATE(C$3,"-",$B5),'FO-GC-012'!$B$20:$H$109,6,0),"")</f>
        <v/>
      </c>
      <c r="F5" s="29" t="str">
        <f>IFERROR(VLOOKUP(CONCATENATE(C$3,"-",$B5),'FO-GC-012'!$D$20:$H$109,5,0),"")</f>
        <v/>
      </c>
      <c r="G5" s="26" t="str">
        <f>IFERROR(VLOOKUP(CONCATENATE(G$3,"-",$B5),'FO-GC-012'!$B$20:$H$109,2,0),"")</f>
        <v/>
      </c>
      <c r="H5" s="27" t="str">
        <f>IFERROR(VLOOKUP(CONCATENATE(G$3,"-",$B5),'FO-GC-012'!$B$20:$H$109,5,0),"")</f>
        <v/>
      </c>
      <c r="I5" s="28" t="str">
        <f>IFERROR(VLOOKUP(CONCATENATE(G$3,"-",$B5),'FO-GC-012'!$B$20:$H$109,6,0),"")</f>
        <v/>
      </c>
      <c r="J5" s="29" t="str">
        <f>IFERROR(VLOOKUP(CONCATENATE(G$3,"-",$B5),'FO-GC-012'!$D$20:$H$109,5,0),"")</f>
        <v/>
      </c>
      <c r="K5" s="26" t="str">
        <f>IFERROR(VLOOKUP(CONCATENATE(K$3,"-",$B5),'FO-GC-012'!$B$20:$H$109,2,0),"")</f>
        <v/>
      </c>
      <c r="L5" s="27" t="str">
        <f>IFERROR(VLOOKUP(CONCATENATE(K$3,"-",$B5),'FO-GC-012'!$B$20:$H$109,5,0),"")</f>
        <v/>
      </c>
      <c r="M5" s="28" t="str">
        <f>IFERROR(VLOOKUP(CONCATENATE(K$3,"-",$B5),'FO-GC-012'!$B$20:$H$109,6,0),"")</f>
        <v/>
      </c>
      <c r="N5" s="29" t="str">
        <f>IFERROR(VLOOKUP(CONCATENATE(K$3,"-",$B5),'FO-GC-012'!$D$20:$H$109,5,0),"")</f>
        <v/>
      </c>
      <c r="O5" s="26" t="str">
        <f>IFERROR(VLOOKUP(CONCATENATE(O$3,"-",$B5),'FO-GC-012'!$B$20:$H$109,2,0),"")</f>
        <v/>
      </c>
      <c r="P5" s="27" t="str">
        <f>IFERROR(VLOOKUP(CONCATENATE(O$3,"-",$B5),'FO-GC-012'!$B$20:$H$109,5,0),"")</f>
        <v/>
      </c>
      <c r="Q5" s="28" t="str">
        <f>IFERROR(VLOOKUP(CONCATENATE(O$3,"-",$B5),'FO-GC-012'!$B$20:$H$109,6,0),"")</f>
        <v/>
      </c>
      <c r="R5" s="29" t="str">
        <f>IFERROR(VLOOKUP(CONCATENATE(O$3,"-",$B5),'FO-GC-012'!$D$20:$H$109,5,0),"")</f>
        <v/>
      </c>
      <c r="S5" s="26" t="str">
        <f>IFERROR(VLOOKUP(CONCATENATE(S$3,"-",$B5),'FO-GC-012'!$B$20:$H$109,2,0),"")</f>
        <v/>
      </c>
      <c r="T5" s="27" t="str">
        <f>IFERROR(VLOOKUP(CONCATENATE(S$3,"-",$B5),'FO-GC-012'!$B$20:$H$109,5,0),"")</f>
        <v/>
      </c>
      <c r="U5" s="28" t="str">
        <f>IFERROR(VLOOKUP(CONCATENATE(S$3,"-",$B5),'FO-GC-012'!$B$20:$H$109,6,0),"")</f>
        <v/>
      </c>
      <c r="V5" s="29" t="str">
        <f>IFERROR(VLOOKUP(CONCATENATE(S$3,"-",$B5),'FO-GC-012'!$D$20:$H$109,5,0),"")</f>
        <v/>
      </c>
      <c r="W5" s="26" t="str">
        <f>IFERROR(VLOOKUP(CONCATENATE(W$3,"-",$B5),'FO-GC-012'!$B$20:$H$109,2,0),"")</f>
        <v/>
      </c>
      <c r="X5" s="27" t="str">
        <f>IFERROR(VLOOKUP(CONCATENATE(W$3,"-",$B5),'FO-GC-012'!$B$20:$H$109,5,0),"")</f>
        <v/>
      </c>
      <c r="Y5" s="28" t="str">
        <f>IFERROR(VLOOKUP(CONCATENATE(W$3,"-",$B5),'FO-GC-012'!$B$20:$H$109,6,0),"")</f>
        <v/>
      </c>
      <c r="Z5" s="29" t="str">
        <f>IFERROR(VLOOKUP(CONCATENATE(W$3,"-",$B5),'FO-GC-012'!$D$20:$H$109,5,0),"")</f>
        <v/>
      </c>
      <c r="AA5" s="26" t="str">
        <f>IFERROR(VLOOKUP(CONCATENATE(AA$3,"-",$B5),'FO-GC-012'!$B$20:$H$109,2,0),"")</f>
        <v/>
      </c>
      <c r="AB5" s="27" t="str">
        <f>IFERROR(VLOOKUP(CONCATENATE(AA$3,"-",$B5),'FO-GC-012'!$B$20:$H$109,5,0),"")</f>
        <v/>
      </c>
      <c r="AC5" s="28" t="str">
        <f>IFERROR(VLOOKUP(CONCATENATE(AA$3,"-",$B5),'FO-GC-012'!$B$20:$H$109,6,0),"")</f>
        <v/>
      </c>
      <c r="AD5" s="29" t="str">
        <f>IFERROR(VLOOKUP(CONCATENATE(AA$3,"-",$B5),'FO-GC-012'!$D$20:$H$109,5,0),"")</f>
        <v/>
      </c>
      <c r="AE5" s="26" t="str">
        <f>IFERROR(VLOOKUP(CONCATENATE(AE$3,"-",$B5),'FO-GC-012'!$B$20:$H$109,2,0),"")</f>
        <v/>
      </c>
      <c r="AF5" s="27" t="str">
        <f>IFERROR(VLOOKUP(CONCATENATE(AE$3,"-",$B5),'FO-GC-012'!$B$20:$H$109,5,0),"")</f>
        <v/>
      </c>
      <c r="AG5" s="28" t="str">
        <f>IFERROR(VLOOKUP(CONCATENATE(AE$3,"-",$B5),'FO-GC-012'!$B$20:$H$109,6,0),"")</f>
        <v/>
      </c>
      <c r="AH5" s="29" t="str">
        <f>IFERROR(VLOOKUP(CONCATENATE(AE$3,"-",$B5),'FO-GC-012'!$D$20:$H$109,5,0),"")</f>
        <v/>
      </c>
      <c r="AI5" s="26" t="str">
        <f>IFERROR(VLOOKUP(CONCATENATE(AI$3,"-",$B5),'FO-GC-012'!$B$20:$H$109,2,0),"")</f>
        <v/>
      </c>
      <c r="AJ5" s="27" t="str">
        <f>IFERROR(VLOOKUP(CONCATENATE(AI$3,"-",$B5),'FO-GC-012'!$B$20:$H$109,5,0),"")</f>
        <v/>
      </c>
      <c r="AK5" s="28" t="str">
        <f>IFERROR(VLOOKUP(CONCATENATE(AI$3,"-",$B5),'FO-GC-012'!$B$20:$H$109,6,0),"")</f>
        <v/>
      </c>
      <c r="AL5" s="29" t="str">
        <f>IFERROR(VLOOKUP(CONCATENATE(AI$3,"-",$B5),'FO-GC-012'!$D$20:$H$109,5,0),"")</f>
        <v/>
      </c>
      <c r="AM5" s="26" t="str">
        <f>IFERROR(VLOOKUP(CONCATENATE(AM$3,"-",$B5),'FO-GC-012'!$B$20:$H$109,2,0),"")</f>
        <v/>
      </c>
      <c r="AN5" s="27" t="str">
        <f>IFERROR(VLOOKUP(CONCATENATE(AM$3,"-",$B5),'FO-GC-012'!$B$20:$H$109,5,0),"")</f>
        <v/>
      </c>
      <c r="AO5" s="28" t="str">
        <f>IFERROR(VLOOKUP(CONCATENATE(AM$3,"-",$B5),'FO-GC-012'!$B$20:$H$109,6,0),"")</f>
        <v/>
      </c>
      <c r="AP5" s="29" t="str">
        <f>IFERROR(VLOOKUP(CONCATENATE(AM$3,"-",$B5),'FO-GC-012'!$D$20:$H$109,5,0),"")</f>
        <v/>
      </c>
      <c r="AQ5" s="26" t="str">
        <f>IFERROR(VLOOKUP(CONCATENATE(AQ$3,"-",$B5),'FO-GC-012'!$B$20:$H$109,2,0),"")</f>
        <v/>
      </c>
      <c r="AR5" s="27" t="str">
        <f>IFERROR(VLOOKUP(CONCATENATE(AQ$3,"-",$B5),'FO-GC-012'!$B$20:$H$109,5,0),"")</f>
        <v/>
      </c>
      <c r="AS5" s="28" t="str">
        <f>IFERROR(VLOOKUP(CONCATENATE(AQ$3,"-",$B5),'FO-GC-012'!$B$20:$H$109,6,0),"")</f>
        <v/>
      </c>
      <c r="AT5" s="29" t="str">
        <f>IFERROR(VLOOKUP(CONCATENATE(AQ$3,"-",$B5),'FO-GC-012'!$D$20:$H$109,5,0),"")</f>
        <v/>
      </c>
      <c r="AU5" s="26" t="str">
        <f>IFERROR(VLOOKUP(CONCATENATE(AU$3,"-",$B5),'FO-GC-012'!$B$20:$H$109,2,0),"")</f>
        <v/>
      </c>
      <c r="AV5" s="27" t="str">
        <f>IFERROR(VLOOKUP(CONCATENATE(AU$3,"-",$B5),'FO-GC-012'!$B$20:$H$109,5,0),"")</f>
        <v/>
      </c>
      <c r="AW5" s="28" t="str">
        <f>IFERROR(VLOOKUP(CONCATENATE(AU$3,"-",$B5),'FO-GC-012'!$B$20:$H$109,6,0),"")</f>
        <v/>
      </c>
      <c r="AX5" s="29" t="str">
        <f>IFERROR(VLOOKUP(CONCATENATE(AU$3,"-",$B5),'FO-GC-012'!$D$20:$H$109,5,0),"")</f>
        <v/>
      </c>
      <c r="AY5" s="26" t="str">
        <f>IFERROR(VLOOKUP(CONCATENATE(AY$3,"-",$B5),'FO-GC-012'!$B$20:$H$109,2,0),"")</f>
        <v/>
      </c>
      <c r="AZ5" s="27" t="str">
        <f>IFERROR(VLOOKUP(CONCATENATE(AY$3,"-",$B5),'FO-GC-012'!$B$20:$H$109,5,0),"")</f>
        <v/>
      </c>
      <c r="BA5" s="28" t="str">
        <f>IFERROR(VLOOKUP(CONCATENATE(AY$3,"-",$B5),'FO-GC-012'!$B$20:$H$109,6,0),"")</f>
        <v/>
      </c>
      <c r="BB5" s="29" t="str">
        <f>IFERROR(VLOOKUP(CONCATENATE(AY$3,"-",$B5),'FO-GC-012'!$D$20:$H$109,5,0),"")</f>
        <v/>
      </c>
      <c r="BC5" s="26" t="str">
        <f>IFERROR(VLOOKUP(CONCATENATE(BC$3,"-",$B5),'FO-GC-012'!$B$20:$H$109,2,0),"")</f>
        <v/>
      </c>
      <c r="BD5" s="27" t="str">
        <f>IFERROR(VLOOKUP(CONCATENATE(BC$3,"-",$B5),'FO-GC-012'!$B$20:$H$109,5,0),"")</f>
        <v/>
      </c>
      <c r="BE5" s="28" t="str">
        <f>IFERROR(VLOOKUP(CONCATENATE(BC$3,"-",$B5),'FO-GC-012'!$B$20:$H$109,6,0),"")</f>
        <v/>
      </c>
      <c r="BF5" s="29" t="str">
        <f>IFERROR(VLOOKUP(CONCATENATE(BC$3,"-",$B5),'FO-GC-012'!$D$20:$H$109,5,0),"")</f>
        <v/>
      </c>
      <c r="BG5" s="26" t="str">
        <f>IFERROR(VLOOKUP(CONCATENATE(BG$3,"-",$B5),'FO-GC-012'!$B$20:$H$109,2,0),"")</f>
        <v/>
      </c>
      <c r="BH5" s="27" t="str">
        <f>IFERROR(VLOOKUP(CONCATENATE(BG$3,"-",$B5),'FO-GC-012'!$B$20:$H$109,5,0),"")</f>
        <v/>
      </c>
      <c r="BI5" s="28" t="str">
        <f>IFERROR(VLOOKUP(CONCATENATE(BG$3,"-",$B5),'FO-GC-012'!$B$20:$H$109,6,0),"")</f>
        <v/>
      </c>
      <c r="BJ5" s="29" t="str">
        <f>IFERROR(VLOOKUP(CONCATENATE(BG$3,"-",$B5),'FO-GC-012'!$D$20:$H$109,5,0),"")</f>
        <v/>
      </c>
      <c r="BK5" s="26" t="str">
        <f>IFERROR(VLOOKUP(CONCATENATE(BK$3,"-",$B5),'FO-GC-012'!$B$20:$H$109,2,0),"")</f>
        <v/>
      </c>
      <c r="BL5" s="27" t="str">
        <f>IFERROR(VLOOKUP(CONCATENATE(BK$3,"-",$B5),'FO-GC-012'!$B$20:$H$109,5,0),"")</f>
        <v/>
      </c>
      <c r="BM5" s="28" t="str">
        <f>IFERROR(VLOOKUP(CONCATENATE(BK$3,"-",$B5),'FO-GC-012'!$B$20:$H$109,6,0),"")</f>
        <v/>
      </c>
      <c r="BN5" s="29" t="str">
        <f>IFERROR(VLOOKUP(CONCATENATE(BK$3,"-",$B5),'FO-GC-012'!$D$20:$H$109,5,0),"")</f>
        <v/>
      </c>
      <c r="BO5" s="26" t="str">
        <f>IFERROR(VLOOKUP(CONCATENATE(BO$3,"-",$B5),'FO-GC-012'!$B$20:$H$109,2,0),"")</f>
        <v/>
      </c>
      <c r="BP5" s="27" t="str">
        <f>IFERROR(VLOOKUP(CONCATENATE(BO$3,"-",$B5),'FO-GC-012'!$B$20:$H$109,5,0),"")</f>
        <v/>
      </c>
      <c r="BQ5" s="28" t="str">
        <f>IFERROR(VLOOKUP(CONCATENATE(BO$3,"-",$B5),'FO-GC-012'!$B$20:$H$109,6,0),"")</f>
        <v/>
      </c>
      <c r="BR5" s="29" t="str">
        <f>IFERROR(VLOOKUP(CONCATENATE(BO$3,"-",$B5),'FO-GC-012'!$D$20:$H$109,5,0),"")</f>
        <v/>
      </c>
      <c r="BS5" s="26" t="str">
        <f>IFERROR(VLOOKUP(CONCATENATE(BS$3,"-",$B5),'FO-GC-012'!$B$20:$H$109,2,0),"")</f>
        <v/>
      </c>
      <c r="BT5" s="27" t="str">
        <f>IFERROR(VLOOKUP(CONCATENATE(BS$3,"-",$B5),'FO-GC-012'!$B$20:$H$109,5,0),"")</f>
        <v/>
      </c>
      <c r="BU5" s="28" t="str">
        <f>IFERROR(VLOOKUP(CONCATENATE(BS$3,"-",$B5),'FO-GC-012'!$B$20:$H$109,6,0),"")</f>
        <v/>
      </c>
      <c r="BV5" s="29" t="str">
        <f>IFERROR(VLOOKUP(CONCATENATE(BS$3,"-",$B5),'FO-GC-012'!$D$20:$H$109,5,0),"")</f>
        <v/>
      </c>
      <c r="BW5" s="26" t="str">
        <f>IFERROR(VLOOKUP(CONCATENATE(BW$3,"-",$B5),'FO-GC-012'!$B$20:$H$109,2,0),"")</f>
        <v/>
      </c>
      <c r="BX5" s="27" t="str">
        <f>IFERROR(VLOOKUP(CONCATENATE(BW$3,"-",$B5),'FO-GC-012'!$B$20:$H$109,5,0),"")</f>
        <v/>
      </c>
      <c r="BY5" s="28" t="str">
        <f>IFERROR(VLOOKUP(CONCATENATE(BW$3,"-",$B5),'FO-GC-012'!$B$20:$H$109,6,0),"")</f>
        <v/>
      </c>
      <c r="BZ5" s="29" t="str">
        <f>IFERROR(VLOOKUP(CONCATENATE(BW$3,"-",$B5),'FO-GC-012'!$D$20:$H$109,5,0),"")</f>
        <v/>
      </c>
      <c r="CA5" s="26" t="str">
        <f>IFERROR(VLOOKUP(CONCATENATE(CA$3,"-",$B5),'FO-GC-012'!$B$20:$H$109,2,0),"")</f>
        <v/>
      </c>
      <c r="CB5" s="27" t="str">
        <f>IFERROR(VLOOKUP(CONCATENATE(CA$3,"-",$B5),'FO-GC-012'!$B$20:$H$109,5,0),"")</f>
        <v/>
      </c>
      <c r="CC5" s="28" t="str">
        <f>IFERROR(VLOOKUP(CONCATENATE(CA$3,"-",$B5),'FO-GC-012'!$B$20:$H$109,6,0),"")</f>
        <v/>
      </c>
      <c r="CD5" s="5" t="str">
        <f>IFERROR(VLOOKUP(CONCATENATE(CA$3,"-",$B5),'FO-GC-012'!$D$20:$H$109,5,0),"")</f>
        <v/>
      </c>
    </row>
    <row r="6" spans="1:82" ht="21" customHeight="1" x14ac:dyDescent="0.35">
      <c r="A6" s="183">
        <f t="shared" ref="A6:A37" si="1">A5+1</f>
        <v>3</v>
      </c>
      <c r="B6" s="125" t="str">
        <f>'Listas Desplegables'!B27</f>
        <v>Investigación, Desarrollo e Innovación</v>
      </c>
      <c r="C6" s="22" t="str">
        <f>IFERROR(VLOOKUP(CONCATENATE(C$3,"-",$B6),'FO-GC-012'!$B$20:$H$109,2,0),"")</f>
        <v/>
      </c>
      <c r="D6" s="23" t="str">
        <f>IFERROR(VLOOKUP(CONCATENATE(C$3,"-",$B6),'FO-GC-012'!$B$20:$H$109,5,0),"")</f>
        <v/>
      </c>
      <c r="E6" s="24" t="str">
        <f>IFERROR(VLOOKUP(CONCATENATE(C$3,"-",$B6),'FO-GC-012'!$B$20:$H$109,6,0),"")</f>
        <v/>
      </c>
      <c r="F6" s="25" t="str">
        <f>IFERROR(VLOOKUP(CONCATENATE(C$3,"-",$B6),'FO-GC-012'!$D$20:$H$109,5,0),"")</f>
        <v/>
      </c>
      <c r="G6" s="22" t="str">
        <f>IFERROR(VLOOKUP(CONCATENATE(G$3,"-",$B6),'FO-GC-012'!$B$20:$H$109,2,0),"")</f>
        <v/>
      </c>
      <c r="H6" s="23" t="str">
        <f>IFERROR(VLOOKUP(CONCATENATE(G$3,"-",$B6),'FO-GC-012'!$B$20:$H$109,5,0),"")</f>
        <v/>
      </c>
      <c r="I6" s="24" t="str">
        <f>IFERROR(VLOOKUP(CONCATENATE(G$3,"-",$B6),'FO-GC-012'!$B$20:$H$109,6,0),"")</f>
        <v/>
      </c>
      <c r="J6" s="25" t="str">
        <f>IFERROR(VLOOKUP(CONCATENATE(G$3,"-",$B6),'FO-GC-012'!$D$20:$H$109,5,0),"")</f>
        <v/>
      </c>
      <c r="K6" s="22" t="str">
        <f>IFERROR(VLOOKUP(CONCATENATE(K$3,"-",$B6),'FO-GC-012'!$B$20:$H$109,2,0),"")</f>
        <v/>
      </c>
      <c r="L6" s="23" t="str">
        <f>IFERROR(VLOOKUP(CONCATENATE(K$3,"-",$B6),'FO-GC-012'!$B$20:$H$109,5,0),"")</f>
        <v/>
      </c>
      <c r="M6" s="24" t="str">
        <f>IFERROR(VLOOKUP(CONCATENATE(K$3,"-",$B6),'FO-GC-012'!$B$20:$H$109,6,0),"")</f>
        <v/>
      </c>
      <c r="N6" s="25" t="str">
        <f>IFERROR(VLOOKUP(CONCATENATE(K$3,"-",$B6),'FO-GC-012'!$D$20:$H$109,5,0),"")</f>
        <v/>
      </c>
      <c r="O6" s="22" t="str">
        <f>IFERROR(VLOOKUP(CONCATENATE(O$3,"-",$B6),'FO-GC-012'!$B$20:$H$109,2,0),"")</f>
        <v/>
      </c>
      <c r="P6" s="23" t="str">
        <f>IFERROR(VLOOKUP(CONCATENATE(O$3,"-",$B6),'FO-GC-012'!$B$20:$H$109,5,0),"")</f>
        <v/>
      </c>
      <c r="Q6" s="24" t="str">
        <f>IFERROR(VLOOKUP(CONCATENATE(O$3,"-",$B6),'FO-GC-012'!$B$20:$H$109,6,0),"")</f>
        <v/>
      </c>
      <c r="R6" s="25" t="str">
        <f>IFERROR(VLOOKUP(CONCATENATE(O$3,"-",$B6),'FO-GC-012'!$D$20:$H$109,5,0),"")</f>
        <v/>
      </c>
      <c r="S6" s="22" t="str">
        <f>IFERROR(VLOOKUP(CONCATENATE(S$3,"-",$B6),'FO-GC-012'!$B$20:$H$109,2,0),"")</f>
        <v/>
      </c>
      <c r="T6" s="23" t="str">
        <f>IFERROR(VLOOKUP(CONCATENATE(S$3,"-",$B6),'FO-GC-012'!$B$20:$H$109,5,0),"")</f>
        <v/>
      </c>
      <c r="U6" s="24" t="str">
        <f>IFERROR(VLOOKUP(CONCATENATE(S$3,"-",$B6),'FO-GC-012'!$B$20:$H$109,6,0),"")</f>
        <v/>
      </c>
      <c r="V6" s="25" t="str">
        <f>IFERROR(VLOOKUP(CONCATENATE(S$3,"-",$B6),'FO-GC-012'!$D$20:$H$109,5,0),"")</f>
        <v/>
      </c>
      <c r="W6" s="22" t="str">
        <f>IFERROR(VLOOKUP(CONCATENATE(W$3,"-",$B6),'FO-GC-012'!$B$20:$H$109,2,0),"")</f>
        <v/>
      </c>
      <c r="X6" s="23" t="str">
        <f>IFERROR(VLOOKUP(CONCATENATE(W$3,"-",$B6),'FO-GC-012'!$B$20:$H$109,5,0),"")</f>
        <v/>
      </c>
      <c r="Y6" s="24" t="str">
        <f>IFERROR(VLOOKUP(CONCATENATE(W$3,"-",$B6),'FO-GC-012'!$B$20:$H$109,6,0),"")</f>
        <v/>
      </c>
      <c r="Z6" s="25" t="str">
        <f>IFERROR(VLOOKUP(CONCATENATE(W$3,"-",$B6),'FO-GC-012'!$D$20:$H$109,5,0),"")</f>
        <v/>
      </c>
      <c r="AA6" s="22" t="str">
        <f>IFERROR(VLOOKUP(CONCATENATE(AA$3,"-",$B6),'FO-GC-012'!$B$20:$H$109,2,0),"")</f>
        <v/>
      </c>
      <c r="AB6" s="23" t="str">
        <f>IFERROR(VLOOKUP(CONCATENATE(AA$3,"-",$B6),'FO-GC-012'!$B$20:$H$109,5,0),"")</f>
        <v/>
      </c>
      <c r="AC6" s="24" t="str">
        <f>IFERROR(VLOOKUP(CONCATENATE(AA$3,"-",$B6),'FO-GC-012'!$B$20:$H$109,6,0),"")</f>
        <v/>
      </c>
      <c r="AD6" s="25" t="str">
        <f>IFERROR(VLOOKUP(CONCATENATE(AA$3,"-",$B6),'FO-GC-012'!$D$20:$H$109,5,0),"")</f>
        <v/>
      </c>
      <c r="AE6" s="22" t="str">
        <f>IFERROR(VLOOKUP(CONCATENATE(AE$3,"-",$B6),'FO-GC-012'!$B$20:$H$109,2,0),"")</f>
        <v/>
      </c>
      <c r="AF6" s="23" t="str">
        <f>IFERROR(VLOOKUP(CONCATENATE(AE$3,"-",$B6),'FO-GC-012'!$B$20:$H$109,5,0),"")</f>
        <v/>
      </c>
      <c r="AG6" s="24" t="str">
        <f>IFERROR(VLOOKUP(CONCATENATE(AE$3,"-",$B6),'FO-GC-012'!$B$20:$H$109,6,0),"")</f>
        <v/>
      </c>
      <c r="AH6" s="25" t="str">
        <f>IFERROR(VLOOKUP(CONCATENATE(AE$3,"-",$B6),'FO-GC-012'!$D$20:$H$109,5,0),"")</f>
        <v/>
      </c>
      <c r="AI6" s="22" t="str">
        <f>IFERROR(VLOOKUP(CONCATENATE(AI$3,"-",$B6),'FO-GC-012'!$B$20:$H$109,2,0),"")</f>
        <v/>
      </c>
      <c r="AJ6" s="23" t="str">
        <f>IFERROR(VLOOKUP(CONCATENATE(AI$3,"-",$B6),'FO-GC-012'!$B$20:$H$109,5,0),"")</f>
        <v/>
      </c>
      <c r="AK6" s="24" t="str">
        <f>IFERROR(VLOOKUP(CONCATENATE(AI$3,"-",$B6),'FO-GC-012'!$B$20:$H$109,6,0),"")</f>
        <v/>
      </c>
      <c r="AL6" s="25" t="str">
        <f>IFERROR(VLOOKUP(CONCATENATE(AI$3,"-",$B6),'FO-GC-012'!$D$20:$H$109,5,0),"")</f>
        <v/>
      </c>
      <c r="AM6" s="22" t="str">
        <f>IFERROR(VLOOKUP(CONCATENATE(AM$3,"-",$B6),'FO-GC-012'!$B$20:$H$109,2,0),"")</f>
        <v/>
      </c>
      <c r="AN6" s="23" t="str">
        <f>IFERROR(VLOOKUP(CONCATENATE(AM$3,"-",$B6),'FO-GC-012'!$B$20:$H$109,5,0),"")</f>
        <v/>
      </c>
      <c r="AO6" s="24" t="str">
        <f>IFERROR(VLOOKUP(CONCATENATE(AM$3,"-",$B6),'FO-GC-012'!$B$20:$H$109,6,0),"")</f>
        <v/>
      </c>
      <c r="AP6" s="25" t="str">
        <f>IFERROR(VLOOKUP(CONCATENATE(AM$3,"-",$B6),'FO-GC-012'!$D$20:$H$109,5,0),"")</f>
        <v/>
      </c>
      <c r="AQ6" s="22" t="str">
        <f>IFERROR(VLOOKUP(CONCATENATE(AQ$3,"-",$B6),'FO-GC-012'!$B$20:$H$109,2,0),"")</f>
        <v/>
      </c>
      <c r="AR6" s="23" t="str">
        <f>IFERROR(VLOOKUP(CONCATENATE(AQ$3,"-",$B6),'FO-GC-012'!$B$20:$H$109,5,0),"")</f>
        <v/>
      </c>
      <c r="AS6" s="24" t="str">
        <f>IFERROR(VLOOKUP(CONCATENATE(AQ$3,"-",$B6),'FO-GC-012'!$B$20:$H$109,6,0),"")</f>
        <v/>
      </c>
      <c r="AT6" s="25" t="str">
        <f>IFERROR(VLOOKUP(CONCATENATE(AQ$3,"-",$B6),'FO-GC-012'!$D$20:$H$109,5,0),"")</f>
        <v/>
      </c>
      <c r="AU6" s="22" t="str">
        <f>IFERROR(VLOOKUP(CONCATENATE(AU$3,"-",$B6),'FO-GC-012'!$B$20:$H$109,2,0),"")</f>
        <v/>
      </c>
      <c r="AV6" s="23" t="str">
        <f>IFERROR(VLOOKUP(CONCATENATE(AU$3,"-",$B6),'FO-GC-012'!$B$20:$H$109,5,0),"")</f>
        <v/>
      </c>
      <c r="AW6" s="24" t="str">
        <f>IFERROR(VLOOKUP(CONCATENATE(AU$3,"-",$B6),'FO-GC-012'!$B$20:$H$109,6,0),"")</f>
        <v/>
      </c>
      <c r="AX6" s="25" t="str">
        <f>IFERROR(VLOOKUP(CONCATENATE(AU$3,"-",$B6),'FO-GC-012'!$D$20:$H$109,5,0),"")</f>
        <v/>
      </c>
      <c r="AY6" s="22" t="str">
        <f>IFERROR(VLOOKUP(CONCATENATE(AY$3,"-",$B6),'FO-GC-012'!$B$20:$H$109,2,0),"")</f>
        <v/>
      </c>
      <c r="AZ6" s="23" t="str">
        <f>IFERROR(VLOOKUP(CONCATENATE(AY$3,"-",$B6),'FO-GC-012'!$B$20:$H$109,5,0),"")</f>
        <v/>
      </c>
      <c r="BA6" s="24" t="str">
        <f>IFERROR(VLOOKUP(CONCATENATE(AY$3,"-",$B6),'FO-GC-012'!$B$20:$H$109,6,0),"")</f>
        <v/>
      </c>
      <c r="BB6" s="25" t="str">
        <f>IFERROR(VLOOKUP(CONCATENATE(AY$3,"-",$B6),'FO-GC-012'!$D$20:$H$109,5,0),"")</f>
        <v/>
      </c>
      <c r="BC6" s="22" t="str">
        <f>IFERROR(VLOOKUP(CONCATENATE(BC$3,"-",$B6),'FO-GC-012'!$B$20:$H$109,2,0),"")</f>
        <v/>
      </c>
      <c r="BD6" s="23" t="str">
        <f>IFERROR(VLOOKUP(CONCATENATE(BC$3,"-",$B6),'FO-GC-012'!$B$20:$H$109,5,0),"")</f>
        <v/>
      </c>
      <c r="BE6" s="24" t="str">
        <f>IFERROR(VLOOKUP(CONCATENATE(BC$3,"-",$B6),'FO-GC-012'!$B$20:$H$109,6,0),"")</f>
        <v/>
      </c>
      <c r="BF6" s="25" t="str">
        <f>IFERROR(VLOOKUP(CONCATENATE(BC$3,"-",$B6),'FO-GC-012'!$D$20:$H$109,5,0),"")</f>
        <v/>
      </c>
      <c r="BG6" s="22" t="str">
        <f>IFERROR(VLOOKUP(CONCATENATE(BG$3,"-",$B6),'FO-GC-012'!$B$20:$H$109,2,0),"")</f>
        <v/>
      </c>
      <c r="BH6" s="23" t="str">
        <f>IFERROR(VLOOKUP(CONCATENATE(BG$3,"-",$B6),'FO-GC-012'!$B$20:$H$109,5,0),"")</f>
        <v/>
      </c>
      <c r="BI6" s="24" t="str">
        <f>IFERROR(VLOOKUP(CONCATENATE(BG$3,"-",$B6),'FO-GC-012'!$B$20:$H$109,6,0),"")</f>
        <v/>
      </c>
      <c r="BJ6" s="25" t="str">
        <f>IFERROR(VLOOKUP(CONCATENATE(BG$3,"-",$B6),'FO-GC-012'!$D$20:$H$109,5,0),"")</f>
        <v/>
      </c>
      <c r="BK6" s="22" t="str">
        <f>IFERROR(VLOOKUP(CONCATENATE(BK$3,"-",$B6),'FO-GC-012'!$B$20:$H$109,2,0),"")</f>
        <v/>
      </c>
      <c r="BL6" s="23" t="str">
        <f>IFERROR(VLOOKUP(CONCATENATE(BK$3,"-",$B6),'FO-GC-012'!$B$20:$H$109,5,0),"")</f>
        <v/>
      </c>
      <c r="BM6" s="24" t="str">
        <f>IFERROR(VLOOKUP(CONCATENATE(BK$3,"-",$B6),'FO-GC-012'!$B$20:$H$109,6,0),"")</f>
        <v/>
      </c>
      <c r="BN6" s="25" t="str">
        <f>IFERROR(VLOOKUP(CONCATENATE(BK$3,"-",$B6),'FO-GC-012'!$D$20:$H$109,5,0),"")</f>
        <v/>
      </c>
      <c r="BO6" s="22" t="str">
        <f>IFERROR(VLOOKUP(CONCATENATE(BO$3,"-",$B6),'FO-GC-012'!$B$20:$H$109,2,0),"")</f>
        <v/>
      </c>
      <c r="BP6" s="23" t="str">
        <f>IFERROR(VLOOKUP(CONCATENATE(BO$3,"-",$B6),'FO-GC-012'!$B$20:$H$109,5,0),"")</f>
        <v/>
      </c>
      <c r="BQ6" s="24" t="str">
        <f>IFERROR(VLOOKUP(CONCATENATE(BO$3,"-",$B6),'FO-GC-012'!$B$20:$H$109,6,0),"")</f>
        <v/>
      </c>
      <c r="BR6" s="25" t="str">
        <f>IFERROR(VLOOKUP(CONCATENATE(BO$3,"-",$B6),'FO-GC-012'!$D$20:$H$109,5,0),"")</f>
        <v/>
      </c>
      <c r="BS6" s="22" t="str">
        <f>IFERROR(VLOOKUP(CONCATENATE(BS$3,"-",$B6),'FO-GC-012'!$B$20:$H$109,2,0),"")</f>
        <v/>
      </c>
      <c r="BT6" s="23" t="str">
        <f>IFERROR(VLOOKUP(CONCATENATE(BS$3,"-",$B6),'FO-GC-012'!$B$20:$H$109,5,0),"")</f>
        <v/>
      </c>
      <c r="BU6" s="24" t="str">
        <f>IFERROR(VLOOKUP(CONCATENATE(BS$3,"-",$B6),'FO-GC-012'!$B$20:$H$109,6,0),"")</f>
        <v/>
      </c>
      <c r="BV6" s="25" t="str">
        <f>IFERROR(VLOOKUP(CONCATENATE(BS$3,"-",$B6),'FO-GC-012'!$D$20:$H$109,5,0),"")</f>
        <v/>
      </c>
      <c r="BW6" s="22" t="str">
        <f>IFERROR(VLOOKUP(CONCATENATE(BW$3,"-",$B6),'FO-GC-012'!$B$20:$H$109,2,0),"")</f>
        <v/>
      </c>
      <c r="BX6" s="23" t="str">
        <f>IFERROR(VLOOKUP(CONCATENATE(BW$3,"-",$B6),'FO-GC-012'!$B$20:$H$109,5,0),"")</f>
        <v/>
      </c>
      <c r="BY6" s="24" t="str">
        <f>IFERROR(VLOOKUP(CONCATENATE(BW$3,"-",$B6),'FO-GC-012'!$B$20:$H$109,6,0),"")</f>
        <v/>
      </c>
      <c r="BZ6" s="25" t="str">
        <f>IFERROR(VLOOKUP(CONCATENATE(BW$3,"-",$B6),'FO-GC-012'!$D$20:$H$109,5,0),"")</f>
        <v/>
      </c>
      <c r="CA6" s="22" t="str">
        <f>IFERROR(VLOOKUP(CONCATENATE(CA$3,"-",$B6),'FO-GC-012'!$B$20:$H$109,2,0),"")</f>
        <v/>
      </c>
      <c r="CB6" s="23" t="str">
        <f>IFERROR(VLOOKUP(CONCATENATE(CA$3,"-",$B6),'FO-GC-012'!$B$20:$H$109,5,0),"")</f>
        <v/>
      </c>
      <c r="CC6" s="24" t="str">
        <f>IFERROR(VLOOKUP(CONCATENATE(CA$3,"-",$B6),'FO-GC-012'!$B$20:$H$109,6,0),"")</f>
        <v/>
      </c>
      <c r="CD6" s="5" t="str">
        <f>IFERROR(VLOOKUP(CONCATENATE(CA$3,"-",$B6),'FO-GC-012'!$D$20:$H$109,5,0),"")</f>
        <v/>
      </c>
    </row>
    <row r="7" spans="1:82" ht="21" customHeight="1" x14ac:dyDescent="0.35">
      <c r="A7" s="184">
        <f t="shared" si="1"/>
        <v>4</v>
      </c>
      <c r="B7" s="125" t="str">
        <f>'Listas Desplegables'!B28</f>
        <v>Extensión y Proyección Social</v>
      </c>
      <c r="C7" s="26" t="str">
        <f>IFERROR(VLOOKUP(CONCATENATE(C$3,"-",$B7),'FO-GC-012'!$B$20:$H$109,2,0),"")</f>
        <v/>
      </c>
      <c r="D7" s="27" t="str">
        <f>IFERROR(VLOOKUP(CONCATENATE(C$3,"-",$B7),'FO-GC-012'!$B$20:$H$109,5,0),"")</f>
        <v/>
      </c>
      <c r="E7" s="28" t="str">
        <f>IFERROR(VLOOKUP(CONCATENATE(C$3,"-",$B7),'FO-GC-012'!$B$20:$H$109,6,0),"")</f>
        <v/>
      </c>
      <c r="F7" s="29" t="str">
        <f>IFERROR(VLOOKUP(CONCATENATE(C$3,"-",$B7),'FO-GC-012'!$D$20:$H$109,5,0),"")</f>
        <v/>
      </c>
      <c r="G7" s="26" t="str">
        <f>IFERROR(VLOOKUP(CONCATENATE(G$3,"-",$B7),'FO-GC-012'!$B$20:$H$109,2,0),"")</f>
        <v/>
      </c>
      <c r="H7" s="27" t="str">
        <f>IFERROR(VLOOKUP(CONCATENATE(G$3,"-",$B7),'FO-GC-012'!$B$20:$H$109,5,0),"")</f>
        <v/>
      </c>
      <c r="I7" s="28" t="str">
        <f>IFERROR(VLOOKUP(CONCATENATE(G$3,"-",$B7),'FO-GC-012'!$B$20:$H$109,6,0),"")</f>
        <v/>
      </c>
      <c r="J7" s="29" t="str">
        <f>IFERROR(VLOOKUP(CONCATENATE(G$3,"-",$B7),'FO-GC-012'!$D$20:$H$109,5,0),"")</f>
        <v/>
      </c>
      <c r="K7" s="26" t="str">
        <f>IFERROR(VLOOKUP(CONCATENATE(K$3,"-",$B7),'FO-GC-012'!$B$20:$H$109,2,0),"")</f>
        <v/>
      </c>
      <c r="L7" s="27" t="str">
        <f>IFERROR(VLOOKUP(CONCATENATE(K$3,"-",$B7),'FO-GC-012'!$B$20:$H$109,5,0),"")</f>
        <v/>
      </c>
      <c r="M7" s="28" t="str">
        <f>IFERROR(VLOOKUP(CONCATENATE(K$3,"-",$B7),'FO-GC-012'!$B$20:$H$109,6,0),"")</f>
        <v/>
      </c>
      <c r="N7" s="29" t="str">
        <f>IFERROR(VLOOKUP(CONCATENATE(K$3,"-",$B7),'FO-GC-012'!$D$20:$H$109,5,0),"")</f>
        <v/>
      </c>
      <c r="O7" s="26" t="str">
        <f>IFERROR(VLOOKUP(CONCATENATE(O$3,"-",$B7),'FO-GC-012'!$B$20:$H$109,2,0),"")</f>
        <v/>
      </c>
      <c r="P7" s="27" t="str">
        <f>IFERROR(VLOOKUP(CONCATENATE(O$3,"-",$B7),'FO-GC-012'!$B$20:$H$109,5,0),"")</f>
        <v/>
      </c>
      <c r="Q7" s="28" t="str">
        <f>IFERROR(VLOOKUP(CONCATENATE(O$3,"-",$B7),'FO-GC-012'!$B$20:$H$109,6,0),"")</f>
        <v/>
      </c>
      <c r="R7" s="29" t="str">
        <f>IFERROR(VLOOKUP(CONCATENATE(O$3,"-",$B7),'FO-GC-012'!$D$20:$H$109,5,0),"")</f>
        <v/>
      </c>
      <c r="S7" s="26" t="str">
        <f>IFERROR(VLOOKUP(CONCATENATE(S$3,"-",$B7),'FO-GC-012'!$B$20:$H$109,2,0),"")</f>
        <v/>
      </c>
      <c r="T7" s="27" t="str">
        <f>IFERROR(VLOOKUP(CONCATENATE(S$3,"-",$B7),'FO-GC-012'!$B$20:$H$109,5,0),"")</f>
        <v/>
      </c>
      <c r="U7" s="28" t="str">
        <f>IFERROR(VLOOKUP(CONCATENATE(S$3,"-",$B7),'FO-GC-012'!$B$20:$H$109,6,0),"")</f>
        <v/>
      </c>
      <c r="V7" s="29" t="str">
        <f>IFERROR(VLOOKUP(CONCATENATE(S$3,"-",$B7),'FO-GC-012'!$D$20:$H$109,5,0),"")</f>
        <v/>
      </c>
      <c r="W7" s="26" t="str">
        <f>IFERROR(VLOOKUP(CONCATENATE(W$3,"-",$B7),'FO-GC-012'!$B$20:$H$109,2,0),"")</f>
        <v/>
      </c>
      <c r="X7" s="27" t="str">
        <f>IFERROR(VLOOKUP(CONCATENATE(W$3,"-",$B7),'FO-GC-012'!$B$20:$H$109,5,0),"")</f>
        <v/>
      </c>
      <c r="Y7" s="28" t="str">
        <f>IFERROR(VLOOKUP(CONCATENATE(W$3,"-",$B7),'FO-GC-012'!$B$20:$H$109,6,0),"")</f>
        <v/>
      </c>
      <c r="Z7" s="29" t="str">
        <f>IFERROR(VLOOKUP(CONCATENATE(W$3,"-",$B7),'FO-GC-012'!$D$20:$H$109,5,0),"")</f>
        <v/>
      </c>
      <c r="AA7" s="26" t="str">
        <f>IFERROR(VLOOKUP(CONCATENATE(AA$3,"-",$B7),'FO-GC-012'!$B$20:$H$109,2,0),"")</f>
        <v/>
      </c>
      <c r="AB7" s="27" t="str">
        <f>IFERROR(VLOOKUP(CONCATENATE(AA$3,"-",$B7),'FO-GC-012'!$B$20:$H$109,5,0),"")</f>
        <v/>
      </c>
      <c r="AC7" s="28" t="str">
        <f>IFERROR(VLOOKUP(CONCATENATE(AA$3,"-",$B7),'FO-GC-012'!$B$20:$H$109,6,0),"")</f>
        <v/>
      </c>
      <c r="AD7" s="29" t="str">
        <f>IFERROR(VLOOKUP(CONCATENATE(AA$3,"-",$B7),'FO-GC-012'!$D$20:$H$109,5,0),"")</f>
        <v/>
      </c>
      <c r="AE7" s="26" t="str">
        <f>IFERROR(VLOOKUP(CONCATENATE(AE$3,"-",$B7),'FO-GC-012'!$B$20:$H$109,2,0),"")</f>
        <v/>
      </c>
      <c r="AF7" s="27" t="str">
        <f>IFERROR(VLOOKUP(CONCATENATE(AE$3,"-",$B7),'FO-GC-012'!$B$20:$H$109,5,0),"")</f>
        <v/>
      </c>
      <c r="AG7" s="28" t="str">
        <f>IFERROR(VLOOKUP(CONCATENATE(AE$3,"-",$B7),'FO-GC-012'!$B$20:$H$109,6,0),"")</f>
        <v/>
      </c>
      <c r="AH7" s="29" t="str">
        <f>IFERROR(VLOOKUP(CONCATENATE(AE$3,"-",$B7),'FO-GC-012'!$D$20:$H$109,5,0),"")</f>
        <v/>
      </c>
      <c r="AI7" s="26" t="str">
        <f>IFERROR(VLOOKUP(CONCATENATE(AI$3,"-",$B7),'FO-GC-012'!$B$20:$H$109,2,0),"")</f>
        <v/>
      </c>
      <c r="AJ7" s="27" t="str">
        <f>IFERROR(VLOOKUP(CONCATENATE(AI$3,"-",$B7),'FO-GC-012'!$B$20:$H$109,5,0),"")</f>
        <v/>
      </c>
      <c r="AK7" s="28" t="str">
        <f>IFERROR(VLOOKUP(CONCATENATE(AI$3,"-",$B7),'FO-GC-012'!$B$20:$H$109,6,0),"")</f>
        <v/>
      </c>
      <c r="AL7" s="29" t="str">
        <f>IFERROR(VLOOKUP(CONCATENATE(AI$3,"-",$B7),'FO-GC-012'!$D$20:$H$109,5,0),"")</f>
        <v/>
      </c>
      <c r="AM7" s="26" t="str">
        <f>IFERROR(VLOOKUP(CONCATENATE(AM$3,"-",$B7),'FO-GC-012'!$B$20:$H$109,2,0),"")</f>
        <v/>
      </c>
      <c r="AN7" s="27" t="str">
        <f>IFERROR(VLOOKUP(CONCATENATE(AM$3,"-",$B7),'FO-GC-012'!$B$20:$H$109,5,0),"")</f>
        <v/>
      </c>
      <c r="AO7" s="28" t="str">
        <f>IFERROR(VLOOKUP(CONCATENATE(AM$3,"-",$B7),'FO-GC-012'!$B$20:$H$109,6,0),"")</f>
        <v/>
      </c>
      <c r="AP7" s="29" t="str">
        <f>IFERROR(VLOOKUP(CONCATENATE(AM$3,"-",$B7),'FO-GC-012'!$D$20:$H$109,5,0),"")</f>
        <v/>
      </c>
      <c r="AQ7" s="26" t="str">
        <f>IFERROR(VLOOKUP(CONCATENATE(AQ$3,"-",$B7),'FO-GC-012'!$B$20:$H$109,2,0),"")</f>
        <v/>
      </c>
      <c r="AR7" s="27" t="str">
        <f>IFERROR(VLOOKUP(CONCATENATE(AQ$3,"-",$B7),'FO-GC-012'!$B$20:$H$109,5,0),"")</f>
        <v/>
      </c>
      <c r="AS7" s="28" t="str">
        <f>IFERROR(VLOOKUP(CONCATENATE(AQ$3,"-",$B7),'FO-GC-012'!$B$20:$H$109,6,0),"")</f>
        <v/>
      </c>
      <c r="AT7" s="29" t="str">
        <f>IFERROR(VLOOKUP(CONCATENATE(AQ$3,"-",$B7),'FO-GC-012'!$D$20:$H$109,5,0),"")</f>
        <v/>
      </c>
      <c r="AU7" s="26" t="str">
        <f>IFERROR(VLOOKUP(CONCATENATE(AU$3,"-",$B7),'FO-GC-012'!$B$20:$H$109,2,0),"")</f>
        <v/>
      </c>
      <c r="AV7" s="27" t="str">
        <f>IFERROR(VLOOKUP(CONCATENATE(AU$3,"-",$B7),'FO-GC-012'!$B$20:$H$109,5,0),"")</f>
        <v/>
      </c>
      <c r="AW7" s="28" t="str">
        <f>IFERROR(VLOOKUP(CONCATENATE(AU$3,"-",$B7),'FO-GC-012'!$B$20:$H$109,6,0),"")</f>
        <v/>
      </c>
      <c r="AX7" s="29" t="str">
        <f>IFERROR(VLOOKUP(CONCATENATE(AU$3,"-",$B7),'FO-GC-012'!$D$20:$H$109,5,0),"")</f>
        <v/>
      </c>
      <c r="AY7" s="26" t="str">
        <f>IFERROR(VLOOKUP(CONCATENATE(AY$3,"-",$B7),'FO-GC-012'!$B$20:$H$109,2,0),"")</f>
        <v/>
      </c>
      <c r="AZ7" s="27" t="str">
        <f>IFERROR(VLOOKUP(CONCATENATE(AY$3,"-",$B7),'FO-GC-012'!$B$20:$H$109,5,0),"")</f>
        <v/>
      </c>
      <c r="BA7" s="28" t="str">
        <f>IFERROR(VLOOKUP(CONCATENATE(AY$3,"-",$B7),'FO-GC-012'!$B$20:$H$109,6,0),"")</f>
        <v/>
      </c>
      <c r="BB7" s="29" t="str">
        <f>IFERROR(VLOOKUP(CONCATENATE(AY$3,"-",$B7),'FO-GC-012'!$D$20:$H$109,5,0),"")</f>
        <v/>
      </c>
      <c r="BC7" s="26" t="str">
        <f>IFERROR(VLOOKUP(CONCATENATE(BC$3,"-",$B7),'FO-GC-012'!$B$20:$H$109,2,0),"")</f>
        <v/>
      </c>
      <c r="BD7" s="27" t="str">
        <f>IFERROR(VLOOKUP(CONCATENATE(BC$3,"-",$B7),'FO-GC-012'!$B$20:$H$109,5,0),"")</f>
        <v/>
      </c>
      <c r="BE7" s="28" t="str">
        <f>IFERROR(VLOOKUP(CONCATENATE(BC$3,"-",$B7),'FO-GC-012'!$B$20:$H$109,6,0),"")</f>
        <v/>
      </c>
      <c r="BF7" s="29" t="str">
        <f>IFERROR(VLOOKUP(CONCATENATE(BC$3,"-",$B7),'FO-GC-012'!$D$20:$H$109,5,0),"")</f>
        <v/>
      </c>
      <c r="BG7" s="26" t="str">
        <f>IFERROR(VLOOKUP(CONCATENATE(BG$3,"-",$B7),'FO-GC-012'!$B$20:$H$109,2,0),"")</f>
        <v/>
      </c>
      <c r="BH7" s="27" t="str">
        <f>IFERROR(VLOOKUP(CONCATENATE(BG$3,"-",$B7),'FO-GC-012'!$B$20:$H$109,5,0),"")</f>
        <v/>
      </c>
      <c r="BI7" s="28" t="str">
        <f>IFERROR(VLOOKUP(CONCATENATE(BG$3,"-",$B7),'FO-GC-012'!$B$20:$H$109,6,0),"")</f>
        <v/>
      </c>
      <c r="BJ7" s="29" t="str">
        <f>IFERROR(VLOOKUP(CONCATENATE(BG$3,"-",$B7),'FO-GC-012'!$D$20:$H$109,5,0),"")</f>
        <v/>
      </c>
      <c r="BK7" s="26" t="str">
        <f>IFERROR(VLOOKUP(CONCATENATE(BK$3,"-",$B7),'FO-GC-012'!$B$20:$H$109,2,0),"")</f>
        <v/>
      </c>
      <c r="BL7" s="27" t="str">
        <f>IFERROR(VLOOKUP(CONCATENATE(BK$3,"-",$B7),'FO-GC-012'!$B$20:$H$109,5,0),"")</f>
        <v/>
      </c>
      <c r="BM7" s="28" t="str">
        <f>IFERROR(VLOOKUP(CONCATENATE(BK$3,"-",$B7),'FO-GC-012'!$B$20:$H$109,6,0),"")</f>
        <v/>
      </c>
      <c r="BN7" s="29" t="str">
        <f>IFERROR(VLOOKUP(CONCATENATE(BK$3,"-",$B7),'FO-GC-012'!$D$20:$H$109,5,0),"")</f>
        <v/>
      </c>
      <c r="BO7" s="26" t="str">
        <f>IFERROR(VLOOKUP(CONCATENATE(BO$3,"-",$B7),'FO-GC-012'!$B$20:$H$109,2,0),"")</f>
        <v/>
      </c>
      <c r="BP7" s="27" t="str">
        <f>IFERROR(VLOOKUP(CONCATENATE(BO$3,"-",$B7),'FO-GC-012'!$B$20:$H$109,5,0),"")</f>
        <v/>
      </c>
      <c r="BQ7" s="28" t="str">
        <f>IFERROR(VLOOKUP(CONCATENATE(BO$3,"-",$B7),'FO-GC-012'!$B$20:$H$109,6,0),"")</f>
        <v/>
      </c>
      <c r="BR7" s="29" t="str">
        <f>IFERROR(VLOOKUP(CONCATENATE(BO$3,"-",$B7),'FO-GC-012'!$D$20:$H$109,5,0),"")</f>
        <v/>
      </c>
      <c r="BS7" s="26" t="str">
        <f>IFERROR(VLOOKUP(CONCATENATE(BS$3,"-",$B7),'FO-GC-012'!$B$20:$H$109,2,0),"")</f>
        <v/>
      </c>
      <c r="BT7" s="27" t="str">
        <f>IFERROR(VLOOKUP(CONCATENATE(BS$3,"-",$B7),'FO-GC-012'!$B$20:$H$109,5,0),"")</f>
        <v/>
      </c>
      <c r="BU7" s="28" t="str">
        <f>IFERROR(VLOOKUP(CONCATENATE(BS$3,"-",$B7),'FO-GC-012'!$B$20:$H$109,6,0),"")</f>
        <v/>
      </c>
      <c r="BV7" s="29" t="str">
        <f>IFERROR(VLOOKUP(CONCATENATE(BS$3,"-",$B7),'FO-GC-012'!$D$20:$H$109,5,0),"")</f>
        <v/>
      </c>
      <c r="BW7" s="26" t="str">
        <f>IFERROR(VLOOKUP(CONCATENATE(BW$3,"-",$B7),'FO-GC-012'!$B$20:$H$109,2,0),"")</f>
        <v/>
      </c>
      <c r="BX7" s="27" t="str">
        <f>IFERROR(VLOOKUP(CONCATENATE(BW$3,"-",$B7),'FO-GC-012'!$B$20:$H$109,5,0),"")</f>
        <v/>
      </c>
      <c r="BY7" s="28" t="str">
        <f>IFERROR(VLOOKUP(CONCATENATE(BW$3,"-",$B7),'FO-GC-012'!$B$20:$H$109,6,0),"")</f>
        <v/>
      </c>
      <c r="BZ7" s="29" t="str">
        <f>IFERROR(VLOOKUP(CONCATENATE(BW$3,"-",$B7),'FO-GC-012'!$D$20:$H$109,5,0),"")</f>
        <v/>
      </c>
      <c r="CA7" s="26" t="str">
        <f>IFERROR(VLOOKUP(CONCATENATE(CA$3,"-",$B7),'FO-GC-012'!$B$20:$H$109,2,0),"")</f>
        <v/>
      </c>
      <c r="CB7" s="27" t="str">
        <f>IFERROR(VLOOKUP(CONCATENATE(CA$3,"-",$B7),'FO-GC-012'!$B$20:$H$109,5,0),"")</f>
        <v/>
      </c>
      <c r="CC7" s="28" t="str">
        <f>IFERROR(VLOOKUP(CONCATENATE(CA$3,"-",$B7),'FO-GC-012'!$B$20:$H$109,6,0),"")</f>
        <v/>
      </c>
      <c r="CD7" s="5" t="str">
        <f>IFERROR(VLOOKUP(CONCATENATE(CA$3,"-",$B7),'FO-GC-012'!$D$20:$H$109,5,0),"")</f>
        <v/>
      </c>
    </row>
    <row r="8" spans="1:82" ht="21" customHeight="1" x14ac:dyDescent="0.35">
      <c r="A8" s="183">
        <f t="shared" si="1"/>
        <v>5</v>
      </c>
      <c r="B8" s="125" t="str">
        <f>'Listas Desplegables'!B29</f>
        <v xml:space="preserve">Emprendimiento </v>
      </c>
      <c r="C8" s="22" t="str">
        <f>IFERROR(VLOOKUP(CONCATENATE(C$3,"-",$B8),'FO-GC-012'!$B$20:$H$109,2,0),"")</f>
        <v/>
      </c>
      <c r="D8" s="23" t="str">
        <f>IFERROR(VLOOKUP(CONCATENATE(C$3,"-",$B8),'FO-GC-012'!$B$20:$H$109,5,0),"")</f>
        <v/>
      </c>
      <c r="E8" s="24" t="str">
        <f>IFERROR(VLOOKUP(CONCATENATE(C$3,"-",$B8),'FO-GC-012'!$B$20:$H$109,6,0),"")</f>
        <v/>
      </c>
      <c r="F8" s="25" t="str">
        <f>IFERROR(VLOOKUP(CONCATENATE(C$3,"-",$B8),'FO-GC-012'!$D$20:$H$109,5,0),"")</f>
        <v/>
      </c>
      <c r="G8" s="22" t="str">
        <f>IFERROR(VLOOKUP(CONCATENATE(G$3,"-",$B8),'FO-GC-012'!$B$20:$H$109,2,0),"")</f>
        <v/>
      </c>
      <c r="H8" s="23" t="str">
        <f>IFERROR(VLOOKUP(CONCATENATE(G$3,"-",$B8),'FO-GC-012'!$B$20:$H$109,5,0),"")</f>
        <v/>
      </c>
      <c r="I8" s="24" t="str">
        <f>IFERROR(VLOOKUP(CONCATENATE(G$3,"-",$B8),'FO-GC-012'!$B$20:$H$109,6,0),"")</f>
        <v/>
      </c>
      <c r="J8" s="25" t="str">
        <f>IFERROR(VLOOKUP(CONCATENATE(G$3,"-",$B8),'FO-GC-012'!$D$20:$H$109,5,0),"")</f>
        <v/>
      </c>
      <c r="K8" s="22" t="str">
        <f>IFERROR(VLOOKUP(CONCATENATE(K$3,"-",$B8),'FO-GC-012'!$B$20:$H$109,2,0),"")</f>
        <v/>
      </c>
      <c r="L8" s="23" t="str">
        <f>IFERROR(VLOOKUP(CONCATENATE(K$3,"-",$B8),'FO-GC-012'!$B$20:$H$109,5,0),"")</f>
        <v/>
      </c>
      <c r="M8" s="24" t="str">
        <f>IFERROR(VLOOKUP(CONCATENATE(K$3,"-",$B8),'FO-GC-012'!$B$20:$H$109,6,0),"")</f>
        <v/>
      </c>
      <c r="N8" s="25" t="str">
        <f>IFERROR(VLOOKUP(CONCATENATE(K$3,"-",$B8),'FO-GC-012'!$D$20:$H$109,5,0),"")</f>
        <v/>
      </c>
      <c r="O8" s="22" t="str">
        <f>IFERROR(VLOOKUP(CONCATENATE(O$3,"-",$B8),'FO-GC-012'!$B$20:$H$109,2,0),"")</f>
        <v/>
      </c>
      <c r="P8" s="23" t="str">
        <f>IFERROR(VLOOKUP(CONCATENATE(O$3,"-",$B8),'FO-GC-012'!$B$20:$H$109,5,0),"")</f>
        <v/>
      </c>
      <c r="Q8" s="24" t="str">
        <f>IFERROR(VLOOKUP(CONCATENATE(O$3,"-",$B8),'FO-GC-012'!$B$20:$H$109,6,0),"")</f>
        <v/>
      </c>
      <c r="R8" s="25" t="str">
        <f>IFERROR(VLOOKUP(CONCATENATE(O$3,"-",$B8),'FO-GC-012'!$D$20:$H$109,5,0),"")</f>
        <v/>
      </c>
      <c r="S8" s="22" t="str">
        <f>IFERROR(VLOOKUP(CONCATENATE(S$3,"-",$B8),'FO-GC-012'!$B$20:$H$109,2,0),"")</f>
        <v/>
      </c>
      <c r="T8" s="23" t="str">
        <f>IFERROR(VLOOKUP(CONCATENATE(S$3,"-",$B8),'FO-GC-012'!$B$20:$H$109,5,0),"")</f>
        <v/>
      </c>
      <c r="U8" s="24" t="str">
        <f>IFERROR(VLOOKUP(CONCATENATE(S$3,"-",$B8),'FO-GC-012'!$B$20:$H$109,6,0),"")</f>
        <v/>
      </c>
      <c r="V8" s="25" t="str">
        <f>IFERROR(VLOOKUP(CONCATENATE(S$3,"-",$B8),'FO-GC-012'!$D$20:$H$109,5,0),"")</f>
        <v/>
      </c>
      <c r="W8" s="22" t="str">
        <f>IFERROR(VLOOKUP(CONCATENATE(W$3,"-",$B8),'FO-GC-012'!$B$20:$H$109,2,0),"")</f>
        <v/>
      </c>
      <c r="X8" s="23" t="str">
        <f>IFERROR(VLOOKUP(CONCATENATE(W$3,"-",$B8),'FO-GC-012'!$B$20:$H$109,5,0),"")</f>
        <v/>
      </c>
      <c r="Y8" s="24" t="str">
        <f>IFERROR(VLOOKUP(CONCATENATE(W$3,"-",$B8),'FO-GC-012'!$B$20:$H$109,6,0),"")</f>
        <v/>
      </c>
      <c r="Z8" s="25" t="str">
        <f>IFERROR(VLOOKUP(CONCATENATE(W$3,"-",$B8),'FO-GC-012'!$D$20:$H$109,5,0),"")</f>
        <v/>
      </c>
      <c r="AA8" s="22" t="str">
        <f>IFERROR(VLOOKUP(CONCATENATE(AA$3,"-",$B8),'FO-GC-012'!$B$20:$H$109,2,0),"")</f>
        <v/>
      </c>
      <c r="AB8" s="23" t="str">
        <f>IFERROR(VLOOKUP(CONCATENATE(AA$3,"-",$B8),'FO-GC-012'!$B$20:$H$109,5,0),"")</f>
        <v/>
      </c>
      <c r="AC8" s="24" t="str">
        <f>IFERROR(VLOOKUP(CONCATENATE(AA$3,"-",$B8),'FO-GC-012'!$B$20:$H$109,6,0),"")</f>
        <v/>
      </c>
      <c r="AD8" s="25" t="str">
        <f>IFERROR(VLOOKUP(CONCATENATE(AA$3,"-",$B8),'FO-GC-012'!$D$20:$H$109,5,0),"")</f>
        <v/>
      </c>
      <c r="AE8" s="22" t="str">
        <f>IFERROR(VLOOKUP(CONCATENATE(AE$3,"-",$B8),'FO-GC-012'!$B$20:$H$109,2,0),"")</f>
        <v/>
      </c>
      <c r="AF8" s="23" t="str">
        <f>IFERROR(VLOOKUP(CONCATENATE(AE$3,"-",$B8),'FO-GC-012'!$B$20:$H$109,5,0),"")</f>
        <v/>
      </c>
      <c r="AG8" s="24" t="str">
        <f>IFERROR(VLOOKUP(CONCATENATE(AE$3,"-",$B8),'FO-GC-012'!$B$20:$H$109,6,0),"")</f>
        <v/>
      </c>
      <c r="AH8" s="25" t="str">
        <f>IFERROR(VLOOKUP(CONCATENATE(AE$3,"-",$B8),'FO-GC-012'!$D$20:$H$109,5,0),"")</f>
        <v/>
      </c>
      <c r="AI8" s="22" t="str">
        <f>IFERROR(VLOOKUP(CONCATENATE(AI$3,"-",$B8),'FO-GC-012'!$B$20:$H$109,2,0),"")</f>
        <v/>
      </c>
      <c r="AJ8" s="23" t="str">
        <f>IFERROR(VLOOKUP(CONCATENATE(AI$3,"-",$B8),'FO-GC-012'!$B$20:$H$109,5,0),"")</f>
        <v/>
      </c>
      <c r="AK8" s="24" t="str">
        <f>IFERROR(VLOOKUP(CONCATENATE(AI$3,"-",$B8),'FO-GC-012'!$B$20:$H$109,6,0),"")</f>
        <v/>
      </c>
      <c r="AL8" s="25" t="str">
        <f>IFERROR(VLOOKUP(CONCATENATE(AI$3,"-",$B8),'FO-GC-012'!$D$20:$H$109,5,0),"")</f>
        <v/>
      </c>
      <c r="AM8" s="22" t="str">
        <f>IFERROR(VLOOKUP(CONCATENATE(AM$3,"-",$B8),'FO-GC-012'!$B$20:$H$109,2,0),"")</f>
        <v/>
      </c>
      <c r="AN8" s="23" t="str">
        <f>IFERROR(VLOOKUP(CONCATENATE(AM$3,"-",$B8),'FO-GC-012'!$B$20:$H$109,5,0),"")</f>
        <v/>
      </c>
      <c r="AO8" s="24" t="str">
        <f>IFERROR(VLOOKUP(CONCATENATE(AM$3,"-",$B8),'FO-GC-012'!$B$20:$H$109,6,0),"")</f>
        <v/>
      </c>
      <c r="AP8" s="25" t="str">
        <f>IFERROR(VLOOKUP(CONCATENATE(AM$3,"-",$B8),'FO-GC-012'!$D$20:$H$109,5,0),"")</f>
        <v/>
      </c>
      <c r="AQ8" s="22" t="str">
        <f>IFERROR(VLOOKUP(CONCATENATE(AQ$3,"-",$B8),'FO-GC-012'!$B$20:$H$109,2,0),"")</f>
        <v/>
      </c>
      <c r="AR8" s="23" t="str">
        <f>IFERROR(VLOOKUP(CONCATENATE(AQ$3,"-",$B8),'FO-GC-012'!$B$20:$H$109,5,0),"")</f>
        <v/>
      </c>
      <c r="AS8" s="24" t="str">
        <f>IFERROR(VLOOKUP(CONCATENATE(AQ$3,"-",$B8),'FO-GC-012'!$B$20:$H$109,6,0),"")</f>
        <v/>
      </c>
      <c r="AT8" s="25" t="str">
        <f>IFERROR(VLOOKUP(CONCATENATE(AQ$3,"-",$B8),'FO-GC-012'!$D$20:$H$109,5,0),"")</f>
        <v/>
      </c>
      <c r="AU8" s="22" t="str">
        <f>IFERROR(VLOOKUP(CONCATENATE(AU$3,"-",$B8),'FO-GC-012'!$B$20:$H$109,2,0),"")</f>
        <v/>
      </c>
      <c r="AV8" s="23" t="str">
        <f>IFERROR(VLOOKUP(CONCATENATE(AU$3,"-",$B8),'FO-GC-012'!$B$20:$H$109,5,0),"")</f>
        <v/>
      </c>
      <c r="AW8" s="24" t="str">
        <f>IFERROR(VLOOKUP(CONCATENATE(AU$3,"-",$B8),'FO-GC-012'!$B$20:$H$109,6,0),"")</f>
        <v/>
      </c>
      <c r="AX8" s="25" t="str">
        <f>IFERROR(VLOOKUP(CONCATENATE(AU$3,"-",$B8),'FO-GC-012'!$D$20:$H$109,5,0),"")</f>
        <v/>
      </c>
      <c r="AY8" s="22" t="str">
        <f>IFERROR(VLOOKUP(CONCATENATE(AY$3,"-",$B8),'FO-GC-012'!$B$20:$H$109,2,0),"")</f>
        <v/>
      </c>
      <c r="AZ8" s="23" t="str">
        <f>IFERROR(VLOOKUP(CONCATENATE(AY$3,"-",$B8),'FO-GC-012'!$B$20:$H$109,5,0),"")</f>
        <v/>
      </c>
      <c r="BA8" s="24" t="str">
        <f>IFERROR(VLOOKUP(CONCATENATE(AY$3,"-",$B8),'FO-GC-012'!$B$20:$H$109,6,0),"")</f>
        <v/>
      </c>
      <c r="BB8" s="25" t="str">
        <f>IFERROR(VLOOKUP(CONCATENATE(AY$3,"-",$B8),'FO-GC-012'!$D$20:$H$109,5,0),"")</f>
        <v/>
      </c>
      <c r="BC8" s="22" t="str">
        <f>IFERROR(VLOOKUP(CONCATENATE(BC$3,"-",$B8),'FO-GC-012'!$B$20:$H$109,2,0),"")</f>
        <v/>
      </c>
      <c r="BD8" s="23" t="str">
        <f>IFERROR(VLOOKUP(CONCATENATE(BC$3,"-",$B8),'FO-GC-012'!$B$20:$H$109,5,0),"")</f>
        <v/>
      </c>
      <c r="BE8" s="24" t="str">
        <f>IFERROR(VLOOKUP(CONCATENATE(BC$3,"-",$B8),'FO-GC-012'!$B$20:$H$109,6,0),"")</f>
        <v/>
      </c>
      <c r="BF8" s="25" t="str">
        <f>IFERROR(VLOOKUP(CONCATENATE(BC$3,"-",$B8),'FO-GC-012'!$D$20:$H$109,5,0),"")</f>
        <v/>
      </c>
      <c r="BG8" s="22" t="str">
        <f>IFERROR(VLOOKUP(CONCATENATE(BG$3,"-",$B8),'FO-GC-012'!$B$20:$H$109,2,0),"")</f>
        <v/>
      </c>
      <c r="BH8" s="23" t="str">
        <f>IFERROR(VLOOKUP(CONCATENATE(BG$3,"-",$B8),'FO-GC-012'!$B$20:$H$109,5,0),"")</f>
        <v/>
      </c>
      <c r="BI8" s="24" t="str">
        <f>IFERROR(VLOOKUP(CONCATENATE(BG$3,"-",$B8),'FO-GC-012'!$B$20:$H$109,6,0),"")</f>
        <v/>
      </c>
      <c r="BJ8" s="25" t="str">
        <f>IFERROR(VLOOKUP(CONCATENATE(BG$3,"-",$B8),'FO-GC-012'!$D$20:$H$109,5,0),"")</f>
        <v/>
      </c>
      <c r="BK8" s="22" t="str">
        <f>IFERROR(VLOOKUP(CONCATENATE(BK$3,"-",$B8),'FO-GC-012'!$B$20:$H$109,2,0),"")</f>
        <v/>
      </c>
      <c r="BL8" s="23" t="str">
        <f>IFERROR(VLOOKUP(CONCATENATE(BK$3,"-",$B8),'FO-GC-012'!$B$20:$H$109,5,0),"")</f>
        <v/>
      </c>
      <c r="BM8" s="24" t="str">
        <f>IFERROR(VLOOKUP(CONCATENATE(BK$3,"-",$B8),'FO-GC-012'!$B$20:$H$109,6,0),"")</f>
        <v/>
      </c>
      <c r="BN8" s="25" t="str">
        <f>IFERROR(VLOOKUP(CONCATENATE(BK$3,"-",$B8),'FO-GC-012'!$D$20:$H$109,5,0),"")</f>
        <v/>
      </c>
      <c r="BO8" s="22" t="str">
        <f>IFERROR(VLOOKUP(CONCATENATE(BO$3,"-",$B8),'FO-GC-012'!$B$20:$H$109,2,0),"")</f>
        <v/>
      </c>
      <c r="BP8" s="23" t="str">
        <f>IFERROR(VLOOKUP(CONCATENATE(BO$3,"-",$B8),'FO-GC-012'!$B$20:$H$109,5,0),"")</f>
        <v/>
      </c>
      <c r="BQ8" s="24" t="str">
        <f>IFERROR(VLOOKUP(CONCATENATE(BO$3,"-",$B8),'FO-GC-012'!$B$20:$H$109,6,0),"")</f>
        <v/>
      </c>
      <c r="BR8" s="25" t="str">
        <f>IFERROR(VLOOKUP(CONCATENATE(BO$3,"-",$B8),'FO-GC-012'!$D$20:$H$109,5,0),"")</f>
        <v/>
      </c>
      <c r="BS8" s="22" t="str">
        <f>IFERROR(VLOOKUP(CONCATENATE(BS$3,"-",$B8),'FO-GC-012'!$B$20:$H$109,2,0),"")</f>
        <v/>
      </c>
      <c r="BT8" s="23" t="str">
        <f>IFERROR(VLOOKUP(CONCATENATE(BS$3,"-",$B8),'FO-GC-012'!$B$20:$H$109,5,0),"")</f>
        <v/>
      </c>
      <c r="BU8" s="24" t="str">
        <f>IFERROR(VLOOKUP(CONCATENATE(BS$3,"-",$B8),'FO-GC-012'!$B$20:$H$109,6,0),"")</f>
        <v/>
      </c>
      <c r="BV8" s="25" t="str">
        <f>IFERROR(VLOOKUP(CONCATENATE(BS$3,"-",$B8),'FO-GC-012'!$D$20:$H$109,5,0),"")</f>
        <v/>
      </c>
      <c r="BW8" s="22" t="str">
        <f>IFERROR(VLOOKUP(CONCATENATE(BW$3,"-",$B8),'FO-GC-012'!$B$20:$H$109,2,0),"")</f>
        <v/>
      </c>
      <c r="BX8" s="23" t="str">
        <f>IFERROR(VLOOKUP(CONCATENATE(BW$3,"-",$B8),'FO-GC-012'!$B$20:$H$109,5,0),"")</f>
        <v/>
      </c>
      <c r="BY8" s="24" t="str">
        <f>IFERROR(VLOOKUP(CONCATENATE(BW$3,"-",$B8),'FO-GC-012'!$B$20:$H$109,6,0),"")</f>
        <v/>
      </c>
      <c r="BZ8" s="25" t="str">
        <f>IFERROR(VLOOKUP(CONCATENATE(BW$3,"-",$B8),'FO-GC-012'!$D$20:$H$109,5,0),"")</f>
        <v/>
      </c>
      <c r="CA8" s="22" t="str">
        <f>IFERROR(VLOOKUP(CONCATENATE(CA$3,"-",$B8),'FO-GC-012'!$B$20:$H$109,2,0),"")</f>
        <v/>
      </c>
      <c r="CB8" s="23" t="str">
        <f>IFERROR(VLOOKUP(CONCATENATE(CA$3,"-",$B8),'FO-GC-012'!$B$20:$H$109,5,0),"")</f>
        <v/>
      </c>
      <c r="CC8" s="24" t="str">
        <f>IFERROR(VLOOKUP(CONCATENATE(CA$3,"-",$B8),'FO-GC-012'!$B$20:$H$109,6,0),"")</f>
        <v/>
      </c>
      <c r="CD8" s="5" t="str">
        <f>IFERROR(VLOOKUP(CONCATENATE(CA$3,"-",$B8),'FO-GC-012'!$D$20:$H$109,5,0),"")</f>
        <v/>
      </c>
    </row>
    <row r="9" spans="1:82" ht="21" customHeight="1" x14ac:dyDescent="0.35">
      <c r="A9" s="184">
        <f t="shared" si="1"/>
        <v>6</v>
      </c>
      <c r="B9" s="125" t="str">
        <f>'Listas Desplegables'!B30</f>
        <v xml:space="preserve">Gestión de Egresados </v>
      </c>
      <c r="C9" s="26" t="str">
        <f>IFERROR(VLOOKUP(CONCATENATE(C$3,"-",$B9),'FO-GC-012'!$B$20:$H$109,2,0),"")</f>
        <v/>
      </c>
      <c r="D9" s="27" t="str">
        <f>IFERROR(VLOOKUP(CONCATENATE(C$3,"-",$B9),'FO-GC-012'!$B$20:$H$109,5,0),"")</f>
        <v/>
      </c>
      <c r="E9" s="28" t="str">
        <f>IFERROR(VLOOKUP(CONCATENATE(C$3,"-",$B9),'FO-GC-012'!$B$20:$H$109,6,0),"")</f>
        <v/>
      </c>
      <c r="F9" s="29" t="str">
        <f>IFERROR(VLOOKUP(CONCATENATE(C$3,"-",$B9),'FO-GC-012'!$D$20:$H$109,5,0),"")</f>
        <v/>
      </c>
      <c r="G9" s="26" t="str">
        <f>IFERROR(VLOOKUP(CONCATENATE(G$3,"-",$B9),'FO-GC-012'!$B$20:$H$109,2,0),"")</f>
        <v/>
      </c>
      <c r="H9" s="27" t="str">
        <f>IFERROR(VLOOKUP(CONCATENATE(G$3,"-",$B9),'FO-GC-012'!$B$20:$H$109,5,0),"")</f>
        <v/>
      </c>
      <c r="I9" s="28" t="str">
        <f>IFERROR(VLOOKUP(CONCATENATE(G$3,"-",$B9),'FO-GC-012'!$B$20:$H$109,6,0),"")</f>
        <v/>
      </c>
      <c r="J9" s="29" t="str">
        <f>IFERROR(VLOOKUP(CONCATENATE(G$3,"-",$B9),'FO-GC-012'!$D$20:$H$109,5,0),"")</f>
        <v/>
      </c>
      <c r="K9" s="26" t="str">
        <f>IFERROR(VLOOKUP(CONCATENATE(K$3,"-",$B9),'FO-GC-012'!$B$20:$H$109,2,0),"")</f>
        <v/>
      </c>
      <c r="L9" s="27" t="str">
        <f>IFERROR(VLOOKUP(CONCATENATE(K$3,"-",$B9),'FO-GC-012'!$B$20:$H$109,5,0),"")</f>
        <v/>
      </c>
      <c r="M9" s="28" t="str">
        <f>IFERROR(VLOOKUP(CONCATENATE(K$3,"-",$B9),'FO-GC-012'!$B$20:$H$109,6,0),"")</f>
        <v/>
      </c>
      <c r="N9" s="29" t="str">
        <f>IFERROR(VLOOKUP(CONCATENATE(K$3,"-",$B9),'FO-GC-012'!$D$20:$H$109,5,0),"")</f>
        <v/>
      </c>
      <c r="O9" s="26" t="str">
        <f>IFERROR(VLOOKUP(CONCATENATE(O$3,"-",$B9),'FO-GC-012'!$B$20:$H$109,2,0),"")</f>
        <v/>
      </c>
      <c r="P9" s="27" t="str">
        <f>IFERROR(VLOOKUP(CONCATENATE(O$3,"-",$B9),'FO-GC-012'!$B$20:$H$109,5,0),"")</f>
        <v/>
      </c>
      <c r="Q9" s="28" t="str">
        <f>IFERROR(VLOOKUP(CONCATENATE(O$3,"-",$B9),'FO-GC-012'!$B$20:$H$109,6,0),"")</f>
        <v/>
      </c>
      <c r="R9" s="29" t="str">
        <f>IFERROR(VLOOKUP(CONCATENATE(O$3,"-",$B9),'FO-GC-012'!$D$20:$H$109,5,0),"")</f>
        <v/>
      </c>
      <c r="S9" s="26" t="str">
        <f>IFERROR(VLOOKUP(CONCATENATE(S$3,"-",$B9),'FO-GC-012'!$B$20:$H$109,2,0),"")</f>
        <v/>
      </c>
      <c r="T9" s="27" t="str">
        <f>IFERROR(VLOOKUP(CONCATENATE(S$3,"-",$B9),'FO-GC-012'!$B$20:$H$109,5,0),"")</f>
        <v/>
      </c>
      <c r="U9" s="28" t="str">
        <f>IFERROR(VLOOKUP(CONCATENATE(S$3,"-",$B9),'FO-GC-012'!$B$20:$H$109,6,0),"")</f>
        <v/>
      </c>
      <c r="V9" s="29" t="str">
        <f>IFERROR(VLOOKUP(CONCATENATE(S$3,"-",$B9),'FO-GC-012'!$D$20:$H$109,5,0),"")</f>
        <v/>
      </c>
      <c r="W9" s="26" t="str">
        <f>IFERROR(VLOOKUP(CONCATENATE(W$3,"-",$B9),'FO-GC-012'!$B$20:$H$109,2,0),"")</f>
        <v/>
      </c>
      <c r="X9" s="27" t="str">
        <f>IFERROR(VLOOKUP(CONCATENATE(W$3,"-",$B9),'FO-GC-012'!$B$20:$H$109,5,0),"")</f>
        <v/>
      </c>
      <c r="Y9" s="28" t="str">
        <f>IFERROR(VLOOKUP(CONCATENATE(W$3,"-",$B9),'FO-GC-012'!$B$20:$H$109,6,0),"")</f>
        <v/>
      </c>
      <c r="Z9" s="29" t="str">
        <f>IFERROR(VLOOKUP(CONCATENATE(W$3,"-",$B9),'FO-GC-012'!$D$20:$H$109,5,0),"")</f>
        <v/>
      </c>
      <c r="AA9" s="26" t="str">
        <f>IFERROR(VLOOKUP(CONCATENATE(AA$3,"-",$B9),'FO-GC-012'!$B$20:$H$109,2,0),"")</f>
        <v/>
      </c>
      <c r="AB9" s="27" t="str">
        <f>IFERROR(VLOOKUP(CONCATENATE(AA$3,"-",$B9),'FO-GC-012'!$B$20:$H$109,5,0),"")</f>
        <v/>
      </c>
      <c r="AC9" s="28" t="str">
        <f>IFERROR(VLOOKUP(CONCATENATE(AA$3,"-",$B9),'FO-GC-012'!$B$20:$H$109,6,0),"")</f>
        <v/>
      </c>
      <c r="AD9" s="29" t="str">
        <f>IFERROR(VLOOKUP(CONCATENATE(AA$3,"-",$B9),'FO-GC-012'!$D$20:$H$109,5,0),"")</f>
        <v/>
      </c>
      <c r="AE9" s="26" t="str">
        <f>IFERROR(VLOOKUP(CONCATENATE(AE$3,"-",$B9),'FO-GC-012'!$B$20:$H$109,2,0),"")</f>
        <v/>
      </c>
      <c r="AF9" s="27" t="str">
        <f>IFERROR(VLOOKUP(CONCATENATE(AE$3,"-",$B9),'FO-GC-012'!$B$20:$H$109,5,0),"")</f>
        <v/>
      </c>
      <c r="AG9" s="28" t="str">
        <f>IFERROR(VLOOKUP(CONCATENATE(AE$3,"-",$B9),'FO-GC-012'!$B$20:$H$109,6,0),"")</f>
        <v/>
      </c>
      <c r="AH9" s="29" t="str">
        <f>IFERROR(VLOOKUP(CONCATENATE(AE$3,"-",$B9),'FO-GC-012'!$D$20:$H$109,5,0),"")</f>
        <v/>
      </c>
      <c r="AI9" s="26" t="str">
        <f>IFERROR(VLOOKUP(CONCATENATE(AI$3,"-",$B9),'FO-GC-012'!$B$20:$H$109,2,0),"")</f>
        <v/>
      </c>
      <c r="AJ9" s="27" t="str">
        <f>IFERROR(VLOOKUP(CONCATENATE(AI$3,"-",$B9),'FO-GC-012'!$B$20:$H$109,5,0),"")</f>
        <v/>
      </c>
      <c r="AK9" s="28" t="str">
        <f>IFERROR(VLOOKUP(CONCATENATE(AI$3,"-",$B9),'FO-GC-012'!$B$20:$H$109,6,0),"")</f>
        <v/>
      </c>
      <c r="AL9" s="29" t="str">
        <f>IFERROR(VLOOKUP(CONCATENATE(AI$3,"-",$B9),'FO-GC-012'!$D$20:$H$109,5,0),"")</f>
        <v/>
      </c>
      <c r="AM9" s="26" t="str">
        <f>IFERROR(VLOOKUP(CONCATENATE(AM$3,"-",$B9),'FO-GC-012'!$B$20:$H$109,2,0),"")</f>
        <v/>
      </c>
      <c r="AN9" s="27" t="str">
        <f>IFERROR(VLOOKUP(CONCATENATE(AM$3,"-",$B9),'FO-GC-012'!$B$20:$H$109,5,0),"")</f>
        <v/>
      </c>
      <c r="AO9" s="28" t="str">
        <f>IFERROR(VLOOKUP(CONCATENATE(AM$3,"-",$B9),'FO-GC-012'!$B$20:$H$109,6,0),"")</f>
        <v/>
      </c>
      <c r="AP9" s="29" t="str">
        <f>IFERROR(VLOOKUP(CONCATENATE(AM$3,"-",$B9),'FO-GC-012'!$D$20:$H$109,5,0),"")</f>
        <v/>
      </c>
      <c r="AQ9" s="26" t="str">
        <f>IFERROR(VLOOKUP(CONCATENATE(AQ$3,"-",$B9),'FO-GC-012'!$B$20:$H$109,2,0),"")</f>
        <v/>
      </c>
      <c r="AR9" s="27" t="str">
        <f>IFERROR(VLOOKUP(CONCATENATE(AQ$3,"-",$B9),'FO-GC-012'!$B$20:$H$109,5,0),"")</f>
        <v/>
      </c>
      <c r="AS9" s="28" t="str">
        <f>IFERROR(VLOOKUP(CONCATENATE(AQ$3,"-",$B9),'FO-GC-012'!$B$20:$H$109,6,0),"")</f>
        <v/>
      </c>
      <c r="AT9" s="29" t="str">
        <f>IFERROR(VLOOKUP(CONCATENATE(AQ$3,"-",$B9),'FO-GC-012'!$D$20:$H$109,5,0),"")</f>
        <v/>
      </c>
      <c r="AU9" s="26" t="str">
        <f>IFERROR(VLOOKUP(CONCATENATE(AU$3,"-",$B9),'FO-GC-012'!$B$20:$H$109,2,0),"")</f>
        <v/>
      </c>
      <c r="AV9" s="27" t="str">
        <f>IFERROR(VLOOKUP(CONCATENATE(AU$3,"-",$B9),'FO-GC-012'!$B$20:$H$109,5,0),"")</f>
        <v/>
      </c>
      <c r="AW9" s="28" t="str">
        <f>IFERROR(VLOOKUP(CONCATENATE(AU$3,"-",$B9),'FO-GC-012'!$B$20:$H$109,6,0),"")</f>
        <v/>
      </c>
      <c r="AX9" s="29" t="str">
        <f>IFERROR(VLOOKUP(CONCATENATE(AU$3,"-",$B9),'FO-GC-012'!$D$20:$H$109,5,0),"")</f>
        <v/>
      </c>
      <c r="AY9" s="26" t="str">
        <f>IFERROR(VLOOKUP(CONCATENATE(AY$3,"-",$B9),'FO-GC-012'!$B$20:$H$109,2,0),"")</f>
        <v/>
      </c>
      <c r="AZ9" s="27" t="str">
        <f>IFERROR(VLOOKUP(CONCATENATE(AY$3,"-",$B9),'FO-GC-012'!$B$20:$H$109,5,0),"")</f>
        <v/>
      </c>
      <c r="BA9" s="28" t="str">
        <f>IFERROR(VLOOKUP(CONCATENATE(AY$3,"-",$B9),'FO-GC-012'!$B$20:$H$109,6,0),"")</f>
        <v/>
      </c>
      <c r="BB9" s="29" t="str">
        <f>IFERROR(VLOOKUP(CONCATENATE(AY$3,"-",$B9),'FO-GC-012'!$D$20:$H$109,5,0),"")</f>
        <v/>
      </c>
      <c r="BC9" s="26" t="str">
        <f>IFERROR(VLOOKUP(CONCATENATE(BC$3,"-",$B9),'FO-GC-012'!$B$20:$H$109,2,0),"")</f>
        <v/>
      </c>
      <c r="BD9" s="27" t="str">
        <f>IFERROR(VLOOKUP(CONCATENATE(BC$3,"-",$B9),'FO-GC-012'!$B$20:$H$109,5,0),"")</f>
        <v/>
      </c>
      <c r="BE9" s="28" t="str">
        <f>IFERROR(VLOOKUP(CONCATENATE(BC$3,"-",$B9),'FO-GC-012'!$B$20:$H$109,6,0),"")</f>
        <v/>
      </c>
      <c r="BF9" s="29" t="str">
        <f>IFERROR(VLOOKUP(CONCATENATE(BC$3,"-",$B9),'FO-GC-012'!$D$20:$H$109,5,0),"")</f>
        <v/>
      </c>
      <c r="BG9" s="26" t="str">
        <f>IFERROR(VLOOKUP(CONCATENATE(BG$3,"-",$B9),'FO-GC-012'!$B$20:$H$109,2,0),"")</f>
        <v/>
      </c>
      <c r="BH9" s="27" t="str">
        <f>IFERROR(VLOOKUP(CONCATENATE(BG$3,"-",$B9),'FO-GC-012'!$B$20:$H$109,5,0),"")</f>
        <v/>
      </c>
      <c r="BI9" s="28" t="str">
        <f>IFERROR(VLOOKUP(CONCATENATE(BG$3,"-",$B9),'FO-GC-012'!$B$20:$H$109,6,0),"")</f>
        <v/>
      </c>
      <c r="BJ9" s="29" t="str">
        <f>IFERROR(VLOOKUP(CONCATENATE(BG$3,"-",$B9),'FO-GC-012'!$D$20:$H$109,5,0),"")</f>
        <v/>
      </c>
      <c r="BK9" s="26" t="str">
        <f>IFERROR(VLOOKUP(CONCATENATE(BK$3,"-",$B9),'FO-GC-012'!$B$20:$H$109,2,0),"")</f>
        <v/>
      </c>
      <c r="BL9" s="27" t="str">
        <f>IFERROR(VLOOKUP(CONCATENATE(BK$3,"-",$B9),'FO-GC-012'!$B$20:$H$109,5,0),"")</f>
        <v/>
      </c>
      <c r="BM9" s="28" t="str">
        <f>IFERROR(VLOOKUP(CONCATENATE(BK$3,"-",$B9),'FO-GC-012'!$B$20:$H$109,6,0),"")</f>
        <v/>
      </c>
      <c r="BN9" s="29" t="str">
        <f>IFERROR(VLOOKUP(CONCATENATE(BK$3,"-",$B9),'FO-GC-012'!$D$20:$H$109,5,0),"")</f>
        <v/>
      </c>
      <c r="BO9" s="26" t="str">
        <f>IFERROR(VLOOKUP(CONCATENATE(BO$3,"-",$B9),'FO-GC-012'!$B$20:$H$109,2,0),"")</f>
        <v/>
      </c>
      <c r="BP9" s="27" t="str">
        <f>IFERROR(VLOOKUP(CONCATENATE(BO$3,"-",$B9),'FO-GC-012'!$B$20:$H$109,5,0),"")</f>
        <v/>
      </c>
      <c r="BQ9" s="28" t="str">
        <f>IFERROR(VLOOKUP(CONCATENATE(BO$3,"-",$B9),'FO-GC-012'!$B$20:$H$109,6,0),"")</f>
        <v/>
      </c>
      <c r="BR9" s="29" t="str">
        <f>IFERROR(VLOOKUP(CONCATENATE(BO$3,"-",$B9),'FO-GC-012'!$D$20:$H$109,5,0),"")</f>
        <v/>
      </c>
      <c r="BS9" s="26" t="str">
        <f>IFERROR(VLOOKUP(CONCATENATE(BS$3,"-",$B9),'FO-GC-012'!$B$20:$H$109,2,0),"")</f>
        <v/>
      </c>
      <c r="BT9" s="27" t="str">
        <f>IFERROR(VLOOKUP(CONCATENATE(BS$3,"-",$B9),'FO-GC-012'!$B$20:$H$109,5,0),"")</f>
        <v/>
      </c>
      <c r="BU9" s="28" t="str">
        <f>IFERROR(VLOOKUP(CONCATENATE(BS$3,"-",$B9),'FO-GC-012'!$B$20:$H$109,6,0),"")</f>
        <v/>
      </c>
      <c r="BV9" s="29" t="str">
        <f>IFERROR(VLOOKUP(CONCATENATE(BS$3,"-",$B9),'FO-GC-012'!$D$20:$H$109,5,0),"")</f>
        <v/>
      </c>
      <c r="BW9" s="26" t="str">
        <f>IFERROR(VLOOKUP(CONCATENATE(BW$3,"-",$B9),'FO-GC-012'!$B$20:$H$109,2,0),"")</f>
        <v/>
      </c>
      <c r="BX9" s="27" t="str">
        <f>IFERROR(VLOOKUP(CONCATENATE(BW$3,"-",$B9),'FO-GC-012'!$B$20:$H$109,5,0),"")</f>
        <v/>
      </c>
      <c r="BY9" s="28" t="str">
        <f>IFERROR(VLOOKUP(CONCATENATE(BW$3,"-",$B9),'FO-GC-012'!$B$20:$H$109,6,0),"")</f>
        <v/>
      </c>
      <c r="BZ9" s="29" t="str">
        <f>IFERROR(VLOOKUP(CONCATENATE(BW$3,"-",$B9),'FO-GC-012'!$D$20:$H$109,5,0),"")</f>
        <v/>
      </c>
      <c r="CA9" s="26" t="str">
        <f>IFERROR(VLOOKUP(CONCATENATE(CA$3,"-",$B9),'FO-GC-012'!$B$20:$H$109,2,0),"")</f>
        <v/>
      </c>
      <c r="CB9" s="27" t="str">
        <f>IFERROR(VLOOKUP(CONCATENATE(CA$3,"-",$B9),'FO-GC-012'!$B$20:$H$109,5,0),"")</f>
        <v/>
      </c>
      <c r="CC9" s="28" t="str">
        <f>IFERROR(VLOOKUP(CONCATENATE(CA$3,"-",$B9),'FO-GC-012'!$B$20:$H$109,6,0),"")</f>
        <v/>
      </c>
      <c r="CD9" s="5" t="str">
        <f>IFERROR(VLOOKUP(CONCATENATE(CA$3,"-",$B9),'FO-GC-012'!$D$20:$H$109,5,0),"")</f>
        <v/>
      </c>
    </row>
    <row r="10" spans="1:82" ht="21" customHeight="1" x14ac:dyDescent="0.35">
      <c r="A10" s="183">
        <f t="shared" si="1"/>
        <v>7</v>
      </c>
      <c r="B10" s="125" t="str">
        <f>'Listas Desplegables'!B31</f>
        <v>Educación Continuada</v>
      </c>
      <c r="C10" s="22" t="str">
        <f>IFERROR(VLOOKUP(CONCATENATE(C$3,"-",$B10),'FO-GC-012'!$B$20:$H$109,2,0),"")</f>
        <v/>
      </c>
      <c r="D10" s="23" t="str">
        <f>IFERROR(VLOOKUP(CONCATENATE(C$3,"-",$B10),'FO-GC-012'!$B$20:$H$109,5,0),"")</f>
        <v/>
      </c>
      <c r="E10" s="24" t="str">
        <f>IFERROR(VLOOKUP(CONCATENATE(C$3,"-",$B10),'FO-GC-012'!$B$20:$H$109,6,0),"")</f>
        <v/>
      </c>
      <c r="F10" s="25" t="str">
        <f>IFERROR(VLOOKUP(CONCATENATE(C$3,"-",$B10),'FO-GC-012'!$D$20:$H$109,5,0),"")</f>
        <v/>
      </c>
      <c r="G10" s="22" t="str">
        <f>IFERROR(VLOOKUP(CONCATENATE(G$3,"-",$B10),'FO-GC-012'!$B$20:$H$109,2,0),"")</f>
        <v/>
      </c>
      <c r="H10" s="23" t="str">
        <f>IFERROR(VLOOKUP(CONCATENATE(G$3,"-",$B10),'FO-GC-012'!$B$20:$H$109,5,0),"")</f>
        <v/>
      </c>
      <c r="I10" s="24" t="str">
        <f>IFERROR(VLOOKUP(CONCATENATE(G$3,"-",$B10),'FO-GC-012'!$B$20:$H$109,6,0),"")</f>
        <v/>
      </c>
      <c r="J10" s="25" t="str">
        <f>IFERROR(VLOOKUP(CONCATENATE(G$3,"-",$B10),'FO-GC-012'!$D$20:$H$109,5,0),"")</f>
        <v/>
      </c>
      <c r="K10" s="22" t="str">
        <f>IFERROR(VLOOKUP(CONCATENATE(K$3,"-",$B10),'FO-GC-012'!$B$20:$H$109,2,0),"")</f>
        <v/>
      </c>
      <c r="L10" s="23" t="str">
        <f>IFERROR(VLOOKUP(CONCATENATE(K$3,"-",$B10),'FO-GC-012'!$B$20:$H$109,5,0),"")</f>
        <v/>
      </c>
      <c r="M10" s="24" t="str">
        <f>IFERROR(VLOOKUP(CONCATENATE(K$3,"-",$B10),'FO-GC-012'!$B$20:$H$109,6,0),"")</f>
        <v/>
      </c>
      <c r="N10" s="25" t="str">
        <f>IFERROR(VLOOKUP(CONCATENATE(K$3,"-",$B10),'FO-GC-012'!$D$20:$H$109,5,0),"")</f>
        <v/>
      </c>
      <c r="O10" s="22" t="str">
        <f>IFERROR(VLOOKUP(CONCATENATE(O$3,"-",$B10),'FO-GC-012'!$B$20:$H$109,2,0),"")</f>
        <v/>
      </c>
      <c r="P10" s="23" t="str">
        <f>IFERROR(VLOOKUP(CONCATENATE(O$3,"-",$B10),'FO-GC-012'!$B$20:$H$109,5,0),"")</f>
        <v/>
      </c>
      <c r="Q10" s="24" t="str">
        <f>IFERROR(VLOOKUP(CONCATENATE(O$3,"-",$B10),'FO-GC-012'!$B$20:$H$109,6,0),"")</f>
        <v/>
      </c>
      <c r="R10" s="25" t="str">
        <f>IFERROR(VLOOKUP(CONCATENATE(O$3,"-",$B10),'FO-GC-012'!$D$20:$H$109,5,0),"")</f>
        <v/>
      </c>
      <c r="S10" s="22" t="str">
        <f>IFERROR(VLOOKUP(CONCATENATE(S$3,"-",$B10),'FO-GC-012'!$B$20:$H$109,2,0),"")</f>
        <v/>
      </c>
      <c r="T10" s="23" t="str">
        <f>IFERROR(VLOOKUP(CONCATENATE(S$3,"-",$B10),'FO-GC-012'!$B$20:$H$109,5,0),"")</f>
        <v/>
      </c>
      <c r="U10" s="24" t="str">
        <f>IFERROR(VLOOKUP(CONCATENATE(S$3,"-",$B10),'FO-GC-012'!$B$20:$H$109,6,0),"")</f>
        <v/>
      </c>
      <c r="V10" s="25" t="str">
        <f>IFERROR(VLOOKUP(CONCATENATE(S$3,"-",$B10),'FO-GC-012'!$D$20:$H$109,5,0),"")</f>
        <v/>
      </c>
      <c r="W10" s="22" t="str">
        <f>IFERROR(VLOOKUP(CONCATENATE(W$3,"-",$B10),'FO-GC-012'!$B$20:$H$109,2,0),"")</f>
        <v/>
      </c>
      <c r="X10" s="23" t="str">
        <f>IFERROR(VLOOKUP(CONCATENATE(W$3,"-",$B10),'FO-GC-012'!$B$20:$H$109,5,0),"")</f>
        <v/>
      </c>
      <c r="Y10" s="24" t="str">
        <f>IFERROR(VLOOKUP(CONCATENATE(W$3,"-",$B10),'FO-GC-012'!$B$20:$H$109,6,0),"")</f>
        <v/>
      </c>
      <c r="Z10" s="25" t="str">
        <f>IFERROR(VLOOKUP(CONCATENATE(W$3,"-",$B10),'FO-GC-012'!$D$20:$H$109,5,0),"")</f>
        <v/>
      </c>
      <c r="AA10" s="22" t="str">
        <f>IFERROR(VLOOKUP(CONCATENATE(AA$3,"-",$B10),'FO-GC-012'!$B$20:$H$109,2,0),"")</f>
        <v/>
      </c>
      <c r="AB10" s="23" t="str">
        <f>IFERROR(VLOOKUP(CONCATENATE(AA$3,"-",$B10),'FO-GC-012'!$B$20:$H$109,5,0),"")</f>
        <v/>
      </c>
      <c r="AC10" s="24" t="str">
        <f>IFERROR(VLOOKUP(CONCATENATE(AA$3,"-",$B10),'FO-GC-012'!$B$20:$H$109,6,0),"")</f>
        <v/>
      </c>
      <c r="AD10" s="25" t="str">
        <f>IFERROR(VLOOKUP(CONCATENATE(AA$3,"-",$B10),'FO-GC-012'!$D$20:$H$109,5,0),"")</f>
        <v/>
      </c>
      <c r="AE10" s="22" t="str">
        <f>IFERROR(VLOOKUP(CONCATENATE(AE$3,"-",$B10),'FO-GC-012'!$B$20:$H$109,2,0),"")</f>
        <v/>
      </c>
      <c r="AF10" s="23" t="str">
        <f>IFERROR(VLOOKUP(CONCATENATE(AE$3,"-",$B10),'FO-GC-012'!$B$20:$H$109,5,0),"")</f>
        <v/>
      </c>
      <c r="AG10" s="24" t="str">
        <f>IFERROR(VLOOKUP(CONCATENATE(AE$3,"-",$B10),'FO-GC-012'!$B$20:$H$109,6,0),"")</f>
        <v/>
      </c>
      <c r="AH10" s="25" t="str">
        <f>IFERROR(VLOOKUP(CONCATENATE(AE$3,"-",$B10),'FO-GC-012'!$D$20:$H$109,5,0),"")</f>
        <v/>
      </c>
      <c r="AI10" s="22" t="str">
        <f>IFERROR(VLOOKUP(CONCATENATE(AI$3,"-",$B10),'FO-GC-012'!$B$20:$H$109,2,0),"")</f>
        <v/>
      </c>
      <c r="AJ10" s="23" t="str">
        <f>IFERROR(VLOOKUP(CONCATENATE(AI$3,"-",$B10),'FO-GC-012'!$B$20:$H$109,5,0),"")</f>
        <v/>
      </c>
      <c r="AK10" s="24" t="str">
        <f>IFERROR(VLOOKUP(CONCATENATE(AI$3,"-",$B10),'FO-GC-012'!$B$20:$H$109,6,0),"")</f>
        <v/>
      </c>
      <c r="AL10" s="25" t="str">
        <f>IFERROR(VLOOKUP(CONCATENATE(AI$3,"-",$B10),'FO-GC-012'!$D$20:$H$109,5,0),"")</f>
        <v/>
      </c>
      <c r="AM10" s="22" t="str">
        <f>IFERROR(VLOOKUP(CONCATENATE(AM$3,"-",$B10),'FO-GC-012'!$B$20:$H$109,2,0),"")</f>
        <v/>
      </c>
      <c r="AN10" s="23" t="str">
        <f>IFERROR(VLOOKUP(CONCATENATE(AM$3,"-",$B10),'FO-GC-012'!$B$20:$H$109,5,0),"")</f>
        <v/>
      </c>
      <c r="AO10" s="24" t="str">
        <f>IFERROR(VLOOKUP(CONCATENATE(AM$3,"-",$B10),'FO-GC-012'!$B$20:$H$109,6,0),"")</f>
        <v/>
      </c>
      <c r="AP10" s="25" t="str">
        <f>IFERROR(VLOOKUP(CONCATENATE(AM$3,"-",$B10),'FO-GC-012'!$D$20:$H$109,5,0),"")</f>
        <v/>
      </c>
      <c r="AQ10" s="22" t="str">
        <f>IFERROR(VLOOKUP(CONCATENATE(AQ$3,"-",$B10),'FO-GC-012'!$B$20:$H$109,2,0),"")</f>
        <v/>
      </c>
      <c r="AR10" s="23" t="str">
        <f>IFERROR(VLOOKUP(CONCATENATE(AQ$3,"-",$B10),'FO-GC-012'!$B$20:$H$109,5,0),"")</f>
        <v/>
      </c>
      <c r="AS10" s="24" t="str">
        <f>IFERROR(VLOOKUP(CONCATENATE(AQ$3,"-",$B10),'FO-GC-012'!$B$20:$H$109,6,0),"")</f>
        <v/>
      </c>
      <c r="AT10" s="25" t="str">
        <f>IFERROR(VLOOKUP(CONCATENATE(AQ$3,"-",$B10),'FO-GC-012'!$D$20:$H$109,5,0),"")</f>
        <v/>
      </c>
      <c r="AU10" s="22" t="str">
        <f>IFERROR(VLOOKUP(CONCATENATE(AU$3,"-",$B10),'FO-GC-012'!$B$20:$H$109,2,0),"")</f>
        <v/>
      </c>
      <c r="AV10" s="23" t="str">
        <f>IFERROR(VLOOKUP(CONCATENATE(AU$3,"-",$B10),'FO-GC-012'!$B$20:$H$109,5,0),"")</f>
        <v/>
      </c>
      <c r="AW10" s="24" t="str">
        <f>IFERROR(VLOOKUP(CONCATENATE(AU$3,"-",$B10),'FO-GC-012'!$B$20:$H$109,6,0),"")</f>
        <v/>
      </c>
      <c r="AX10" s="25" t="str">
        <f>IFERROR(VLOOKUP(CONCATENATE(AU$3,"-",$B10),'FO-GC-012'!$D$20:$H$109,5,0),"")</f>
        <v/>
      </c>
      <c r="AY10" s="22" t="str">
        <f>IFERROR(VLOOKUP(CONCATENATE(AY$3,"-",$B10),'FO-GC-012'!$B$20:$H$109,2,0),"")</f>
        <v/>
      </c>
      <c r="AZ10" s="23" t="str">
        <f>IFERROR(VLOOKUP(CONCATENATE(AY$3,"-",$B10),'FO-GC-012'!$B$20:$H$109,5,0),"")</f>
        <v/>
      </c>
      <c r="BA10" s="24" t="str">
        <f>IFERROR(VLOOKUP(CONCATENATE(AY$3,"-",$B10),'FO-GC-012'!$B$20:$H$109,6,0),"")</f>
        <v/>
      </c>
      <c r="BB10" s="25" t="str">
        <f>IFERROR(VLOOKUP(CONCATENATE(AY$3,"-",$B10),'FO-GC-012'!$D$20:$H$109,5,0),"")</f>
        <v/>
      </c>
      <c r="BC10" s="22" t="str">
        <f>IFERROR(VLOOKUP(CONCATENATE(BC$3,"-",$B10),'FO-GC-012'!$B$20:$H$109,2,0),"")</f>
        <v/>
      </c>
      <c r="BD10" s="23" t="str">
        <f>IFERROR(VLOOKUP(CONCATENATE(BC$3,"-",$B10),'FO-GC-012'!$B$20:$H$109,5,0),"")</f>
        <v/>
      </c>
      <c r="BE10" s="24" t="str">
        <f>IFERROR(VLOOKUP(CONCATENATE(BC$3,"-",$B10),'FO-GC-012'!$B$20:$H$109,6,0),"")</f>
        <v/>
      </c>
      <c r="BF10" s="25" t="str">
        <f>IFERROR(VLOOKUP(CONCATENATE(BC$3,"-",$B10),'FO-GC-012'!$D$20:$H$109,5,0),"")</f>
        <v/>
      </c>
      <c r="BG10" s="22" t="str">
        <f>IFERROR(VLOOKUP(CONCATENATE(BG$3,"-",$B10),'FO-GC-012'!$B$20:$H$109,2,0),"")</f>
        <v/>
      </c>
      <c r="BH10" s="23" t="str">
        <f>IFERROR(VLOOKUP(CONCATENATE(BG$3,"-",$B10),'FO-GC-012'!$B$20:$H$109,5,0),"")</f>
        <v/>
      </c>
      <c r="BI10" s="24" t="str">
        <f>IFERROR(VLOOKUP(CONCATENATE(BG$3,"-",$B10),'FO-GC-012'!$B$20:$H$109,6,0),"")</f>
        <v/>
      </c>
      <c r="BJ10" s="25" t="str">
        <f>IFERROR(VLOOKUP(CONCATENATE(BG$3,"-",$B10),'FO-GC-012'!$D$20:$H$109,5,0),"")</f>
        <v/>
      </c>
      <c r="BK10" s="22" t="str">
        <f>IFERROR(VLOOKUP(CONCATENATE(BK$3,"-",$B10),'FO-GC-012'!$B$20:$H$109,2,0),"")</f>
        <v/>
      </c>
      <c r="BL10" s="23" t="str">
        <f>IFERROR(VLOOKUP(CONCATENATE(BK$3,"-",$B10),'FO-GC-012'!$B$20:$H$109,5,0),"")</f>
        <v/>
      </c>
      <c r="BM10" s="24" t="str">
        <f>IFERROR(VLOOKUP(CONCATENATE(BK$3,"-",$B10),'FO-GC-012'!$B$20:$H$109,6,0),"")</f>
        <v/>
      </c>
      <c r="BN10" s="25" t="str">
        <f>IFERROR(VLOOKUP(CONCATENATE(BK$3,"-",$B10),'FO-GC-012'!$D$20:$H$109,5,0),"")</f>
        <v/>
      </c>
      <c r="BO10" s="22" t="str">
        <f>IFERROR(VLOOKUP(CONCATENATE(BO$3,"-",$B10),'FO-GC-012'!$B$20:$H$109,2,0),"")</f>
        <v/>
      </c>
      <c r="BP10" s="23" t="str">
        <f>IFERROR(VLOOKUP(CONCATENATE(BO$3,"-",$B10),'FO-GC-012'!$B$20:$H$109,5,0),"")</f>
        <v/>
      </c>
      <c r="BQ10" s="24" t="str">
        <f>IFERROR(VLOOKUP(CONCATENATE(BO$3,"-",$B10),'FO-GC-012'!$B$20:$H$109,6,0),"")</f>
        <v/>
      </c>
      <c r="BR10" s="25" t="str">
        <f>IFERROR(VLOOKUP(CONCATENATE(BO$3,"-",$B10),'FO-GC-012'!$D$20:$H$109,5,0),"")</f>
        <v/>
      </c>
      <c r="BS10" s="22" t="str">
        <f>IFERROR(VLOOKUP(CONCATENATE(BS$3,"-",$B10),'FO-GC-012'!$B$20:$H$109,2,0),"")</f>
        <v/>
      </c>
      <c r="BT10" s="23" t="str">
        <f>IFERROR(VLOOKUP(CONCATENATE(BS$3,"-",$B10),'FO-GC-012'!$B$20:$H$109,5,0),"")</f>
        <v/>
      </c>
      <c r="BU10" s="24" t="str">
        <f>IFERROR(VLOOKUP(CONCATENATE(BS$3,"-",$B10),'FO-GC-012'!$B$20:$H$109,6,0),"")</f>
        <v/>
      </c>
      <c r="BV10" s="25" t="str">
        <f>IFERROR(VLOOKUP(CONCATENATE(BS$3,"-",$B10),'FO-GC-012'!$D$20:$H$109,5,0),"")</f>
        <v/>
      </c>
      <c r="BW10" s="22" t="str">
        <f>IFERROR(VLOOKUP(CONCATENATE(BW$3,"-",$B10),'FO-GC-012'!$B$20:$H$109,2,0),"")</f>
        <v/>
      </c>
      <c r="BX10" s="23" t="str">
        <f>IFERROR(VLOOKUP(CONCATENATE(BW$3,"-",$B10),'FO-GC-012'!$B$20:$H$109,5,0),"")</f>
        <v/>
      </c>
      <c r="BY10" s="24" t="str">
        <f>IFERROR(VLOOKUP(CONCATENATE(BW$3,"-",$B10),'FO-GC-012'!$B$20:$H$109,6,0),"")</f>
        <v/>
      </c>
      <c r="BZ10" s="25" t="str">
        <f>IFERROR(VLOOKUP(CONCATENATE(BW$3,"-",$B10),'FO-GC-012'!$D$20:$H$109,5,0),"")</f>
        <v/>
      </c>
      <c r="CA10" s="22" t="str">
        <f>IFERROR(VLOOKUP(CONCATENATE(CA$3,"-",$B10),'FO-GC-012'!$B$20:$H$109,2,0),"")</f>
        <v/>
      </c>
      <c r="CB10" s="23" t="str">
        <f>IFERROR(VLOOKUP(CONCATENATE(CA$3,"-",$B10),'FO-GC-012'!$B$20:$H$109,5,0),"")</f>
        <v/>
      </c>
      <c r="CC10" s="24" t="str">
        <f>IFERROR(VLOOKUP(CONCATENATE(CA$3,"-",$B10),'FO-GC-012'!$B$20:$H$109,6,0),"")</f>
        <v/>
      </c>
      <c r="CD10" s="5" t="str">
        <f>IFERROR(VLOOKUP(CONCATENATE(CA$3,"-",$B10),'FO-GC-012'!$D$20:$H$109,5,0),"")</f>
        <v/>
      </c>
    </row>
    <row r="11" spans="1:82" ht="21" customHeight="1" x14ac:dyDescent="0.35">
      <c r="A11" s="184">
        <f t="shared" si="1"/>
        <v>8</v>
      </c>
      <c r="B11" s="125" t="str">
        <f>'Listas Desplegables'!B32</f>
        <v>Escuela de Formación Para el TDH</v>
      </c>
      <c r="C11" s="26" t="str">
        <f>IFERROR(VLOOKUP(CONCATENATE(C$3,"-",$B11),'FO-GC-012'!$B$20:$H$109,2,0),"")</f>
        <v/>
      </c>
      <c r="D11" s="27" t="str">
        <f>IFERROR(VLOOKUP(CONCATENATE(C$3,"-",$B11),'FO-GC-012'!$B$20:$H$109,5,0),"")</f>
        <v/>
      </c>
      <c r="E11" s="28" t="str">
        <f>IFERROR(VLOOKUP(CONCATENATE(C$3,"-",$B11),'FO-GC-012'!$B$20:$H$109,6,0),"")</f>
        <v/>
      </c>
      <c r="F11" s="29" t="str">
        <f>IFERROR(VLOOKUP(CONCATENATE(C$3,"-",$B11),'FO-GC-012'!$D$20:$H$109,5,0),"")</f>
        <v/>
      </c>
      <c r="G11" s="26" t="str">
        <f>IFERROR(VLOOKUP(CONCATENATE(G$3,"-",$B11),'FO-GC-012'!$B$20:$H$109,2,0),"")</f>
        <v/>
      </c>
      <c r="H11" s="27" t="str">
        <f>IFERROR(VLOOKUP(CONCATENATE(G$3,"-",$B11),'FO-GC-012'!$B$20:$H$109,5,0),"")</f>
        <v/>
      </c>
      <c r="I11" s="28" t="str">
        <f>IFERROR(VLOOKUP(CONCATENATE(G$3,"-",$B11),'FO-GC-012'!$B$20:$H$109,6,0),"")</f>
        <v/>
      </c>
      <c r="J11" s="29" t="str">
        <f>IFERROR(VLOOKUP(CONCATENATE(G$3,"-",$B11),'FO-GC-012'!$D$20:$H$109,5,0),"")</f>
        <v/>
      </c>
      <c r="K11" s="26" t="str">
        <f>IFERROR(VLOOKUP(CONCATENATE(K$3,"-",$B11),'FO-GC-012'!$B$20:$H$109,2,0),"")</f>
        <v/>
      </c>
      <c r="L11" s="27" t="str">
        <f>IFERROR(VLOOKUP(CONCATENATE(K$3,"-",$B11),'FO-GC-012'!$B$20:$H$109,5,0),"")</f>
        <v/>
      </c>
      <c r="M11" s="28" t="str">
        <f>IFERROR(VLOOKUP(CONCATENATE(K$3,"-",$B11),'FO-GC-012'!$B$20:$H$109,6,0),"")</f>
        <v/>
      </c>
      <c r="N11" s="29" t="str">
        <f>IFERROR(VLOOKUP(CONCATENATE(K$3,"-",$B11),'FO-GC-012'!$D$20:$H$109,5,0),"")</f>
        <v/>
      </c>
      <c r="O11" s="26" t="str">
        <f>IFERROR(VLOOKUP(CONCATENATE(O$3,"-",$B11),'FO-GC-012'!$B$20:$H$109,2,0),"")</f>
        <v/>
      </c>
      <c r="P11" s="27" t="str">
        <f>IFERROR(VLOOKUP(CONCATENATE(O$3,"-",$B11),'FO-GC-012'!$B$20:$H$109,5,0),"")</f>
        <v/>
      </c>
      <c r="Q11" s="28" t="str">
        <f>IFERROR(VLOOKUP(CONCATENATE(O$3,"-",$B11),'FO-GC-012'!$B$20:$H$109,6,0),"")</f>
        <v/>
      </c>
      <c r="R11" s="29" t="str">
        <f>IFERROR(VLOOKUP(CONCATENATE(O$3,"-",$B11),'FO-GC-012'!$D$20:$H$109,5,0),"")</f>
        <v/>
      </c>
      <c r="S11" s="26" t="str">
        <f>IFERROR(VLOOKUP(CONCATENATE(S$3,"-",$B11),'FO-GC-012'!$B$20:$H$109,2,0),"")</f>
        <v/>
      </c>
      <c r="T11" s="27" t="str">
        <f>IFERROR(VLOOKUP(CONCATENATE(S$3,"-",$B11),'FO-GC-012'!$B$20:$H$109,5,0),"")</f>
        <v/>
      </c>
      <c r="U11" s="28" t="str">
        <f>IFERROR(VLOOKUP(CONCATENATE(S$3,"-",$B11),'FO-GC-012'!$B$20:$H$109,6,0),"")</f>
        <v/>
      </c>
      <c r="V11" s="29" t="str">
        <f>IFERROR(VLOOKUP(CONCATENATE(S$3,"-",$B11),'FO-GC-012'!$D$20:$H$109,5,0),"")</f>
        <v/>
      </c>
      <c r="W11" s="26" t="str">
        <f>IFERROR(VLOOKUP(CONCATENATE(W$3,"-",$B11),'FO-GC-012'!$B$20:$H$109,2,0),"")</f>
        <v/>
      </c>
      <c r="X11" s="27" t="str">
        <f>IFERROR(VLOOKUP(CONCATENATE(W$3,"-",$B11),'FO-GC-012'!$B$20:$H$109,5,0),"")</f>
        <v/>
      </c>
      <c r="Y11" s="28" t="str">
        <f>IFERROR(VLOOKUP(CONCATENATE(W$3,"-",$B11),'FO-GC-012'!$B$20:$H$109,6,0),"")</f>
        <v/>
      </c>
      <c r="Z11" s="29" t="str">
        <f>IFERROR(VLOOKUP(CONCATENATE(W$3,"-",$B11),'FO-GC-012'!$D$20:$H$109,5,0),"")</f>
        <v/>
      </c>
      <c r="AA11" s="26" t="str">
        <f>IFERROR(VLOOKUP(CONCATENATE(AA$3,"-",$B11),'FO-GC-012'!$B$20:$H$109,2,0),"")</f>
        <v/>
      </c>
      <c r="AB11" s="27" t="str">
        <f>IFERROR(VLOOKUP(CONCATENATE(AA$3,"-",$B11),'FO-GC-012'!$B$20:$H$109,5,0),"")</f>
        <v/>
      </c>
      <c r="AC11" s="28" t="str">
        <f>IFERROR(VLOOKUP(CONCATENATE(AA$3,"-",$B11),'FO-GC-012'!$B$20:$H$109,6,0),"")</f>
        <v/>
      </c>
      <c r="AD11" s="29" t="str">
        <f>IFERROR(VLOOKUP(CONCATENATE(AA$3,"-",$B11),'FO-GC-012'!$D$20:$H$109,5,0),"")</f>
        <v/>
      </c>
      <c r="AE11" s="26" t="str">
        <f>IFERROR(VLOOKUP(CONCATENATE(AE$3,"-",$B11),'FO-GC-012'!$B$20:$H$109,2,0),"")</f>
        <v/>
      </c>
      <c r="AF11" s="27" t="str">
        <f>IFERROR(VLOOKUP(CONCATENATE(AE$3,"-",$B11),'FO-GC-012'!$B$20:$H$109,5,0),"")</f>
        <v/>
      </c>
      <c r="AG11" s="28" t="str">
        <f>IFERROR(VLOOKUP(CONCATENATE(AE$3,"-",$B11),'FO-GC-012'!$B$20:$H$109,6,0),"")</f>
        <v/>
      </c>
      <c r="AH11" s="29" t="str">
        <f>IFERROR(VLOOKUP(CONCATENATE(AE$3,"-",$B11),'FO-GC-012'!$D$20:$H$109,5,0),"")</f>
        <v/>
      </c>
      <c r="AI11" s="26" t="str">
        <f>IFERROR(VLOOKUP(CONCATENATE(AI$3,"-",$B11),'FO-GC-012'!$B$20:$H$109,2,0),"")</f>
        <v/>
      </c>
      <c r="AJ11" s="27" t="str">
        <f>IFERROR(VLOOKUP(CONCATENATE(AI$3,"-",$B11),'FO-GC-012'!$B$20:$H$109,5,0),"")</f>
        <v/>
      </c>
      <c r="AK11" s="28" t="str">
        <f>IFERROR(VLOOKUP(CONCATENATE(AI$3,"-",$B11),'FO-GC-012'!$B$20:$H$109,6,0),"")</f>
        <v/>
      </c>
      <c r="AL11" s="29" t="str">
        <f>IFERROR(VLOOKUP(CONCATENATE(AI$3,"-",$B11),'FO-GC-012'!$D$20:$H$109,5,0),"")</f>
        <v/>
      </c>
      <c r="AM11" s="26" t="str">
        <f>IFERROR(VLOOKUP(CONCATENATE(AM$3,"-",$B11),'FO-GC-012'!$B$20:$H$109,2,0),"")</f>
        <v/>
      </c>
      <c r="AN11" s="27" t="str">
        <f>IFERROR(VLOOKUP(CONCATENATE(AM$3,"-",$B11),'FO-GC-012'!$B$20:$H$109,5,0),"")</f>
        <v/>
      </c>
      <c r="AO11" s="28" t="str">
        <f>IFERROR(VLOOKUP(CONCATENATE(AM$3,"-",$B11),'FO-GC-012'!$B$20:$H$109,6,0),"")</f>
        <v/>
      </c>
      <c r="AP11" s="29" t="str">
        <f>IFERROR(VLOOKUP(CONCATENATE(AM$3,"-",$B11),'FO-GC-012'!$D$20:$H$109,5,0),"")</f>
        <v/>
      </c>
      <c r="AQ11" s="26" t="str">
        <f>IFERROR(VLOOKUP(CONCATENATE(AQ$3,"-",$B11),'FO-GC-012'!$B$20:$H$109,2,0),"")</f>
        <v/>
      </c>
      <c r="AR11" s="27" t="str">
        <f>IFERROR(VLOOKUP(CONCATENATE(AQ$3,"-",$B11),'FO-GC-012'!$B$20:$H$109,5,0),"")</f>
        <v/>
      </c>
      <c r="AS11" s="28" t="str">
        <f>IFERROR(VLOOKUP(CONCATENATE(AQ$3,"-",$B11),'FO-GC-012'!$B$20:$H$109,6,0),"")</f>
        <v/>
      </c>
      <c r="AT11" s="29" t="str">
        <f>IFERROR(VLOOKUP(CONCATENATE(AQ$3,"-",$B11),'FO-GC-012'!$D$20:$H$109,5,0),"")</f>
        <v/>
      </c>
      <c r="AU11" s="26" t="str">
        <f>IFERROR(VLOOKUP(CONCATENATE(AU$3,"-",$B11),'FO-GC-012'!$B$20:$H$109,2,0),"")</f>
        <v/>
      </c>
      <c r="AV11" s="27" t="str">
        <f>IFERROR(VLOOKUP(CONCATENATE(AU$3,"-",$B11),'FO-GC-012'!$B$20:$H$109,5,0),"")</f>
        <v/>
      </c>
      <c r="AW11" s="28" t="str">
        <f>IFERROR(VLOOKUP(CONCATENATE(AU$3,"-",$B11),'FO-GC-012'!$B$20:$H$109,6,0),"")</f>
        <v/>
      </c>
      <c r="AX11" s="29" t="str">
        <f>IFERROR(VLOOKUP(CONCATENATE(AU$3,"-",$B11),'FO-GC-012'!$D$20:$H$109,5,0),"")</f>
        <v/>
      </c>
      <c r="AY11" s="26" t="str">
        <f>IFERROR(VLOOKUP(CONCATENATE(AY$3,"-",$B11),'FO-GC-012'!$B$20:$H$109,2,0),"")</f>
        <v/>
      </c>
      <c r="AZ11" s="27" t="str">
        <f>IFERROR(VLOOKUP(CONCATENATE(AY$3,"-",$B11),'FO-GC-012'!$B$20:$H$109,5,0),"")</f>
        <v/>
      </c>
      <c r="BA11" s="28" t="str">
        <f>IFERROR(VLOOKUP(CONCATENATE(AY$3,"-",$B11),'FO-GC-012'!$B$20:$H$109,6,0),"")</f>
        <v/>
      </c>
      <c r="BB11" s="29" t="str">
        <f>IFERROR(VLOOKUP(CONCATENATE(AY$3,"-",$B11),'FO-GC-012'!$D$20:$H$109,5,0),"")</f>
        <v/>
      </c>
      <c r="BC11" s="26" t="str">
        <f>IFERROR(VLOOKUP(CONCATENATE(BC$3,"-",$B11),'FO-GC-012'!$B$20:$H$109,2,0),"")</f>
        <v/>
      </c>
      <c r="BD11" s="27" t="str">
        <f>IFERROR(VLOOKUP(CONCATENATE(BC$3,"-",$B11),'FO-GC-012'!$B$20:$H$109,5,0),"")</f>
        <v/>
      </c>
      <c r="BE11" s="28" t="str">
        <f>IFERROR(VLOOKUP(CONCATENATE(BC$3,"-",$B11),'FO-GC-012'!$B$20:$H$109,6,0),"")</f>
        <v/>
      </c>
      <c r="BF11" s="29" t="str">
        <f>IFERROR(VLOOKUP(CONCATENATE(BC$3,"-",$B11),'FO-GC-012'!$D$20:$H$109,5,0),"")</f>
        <v/>
      </c>
      <c r="BG11" s="26" t="str">
        <f>IFERROR(VLOOKUP(CONCATENATE(BG$3,"-",$B11),'FO-GC-012'!$B$20:$H$109,2,0),"")</f>
        <v/>
      </c>
      <c r="BH11" s="27" t="str">
        <f>IFERROR(VLOOKUP(CONCATENATE(BG$3,"-",$B11),'FO-GC-012'!$B$20:$H$109,5,0),"")</f>
        <v/>
      </c>
      <c r="BI11" s="28" t="str">
        <f>IFERROR(VLOOKUP(CONCATENATE(BG$3,"-",$B11),'FO-GC-012'!$B$20:$H$109,6,0),"")</f>
        <v/>
      </c>
      <c r="BJ11" s="29" t="str">
        <f>IFERROR(VLOOKUP(CONCATENATE(BG$3,"-",$B11),'FO-GC-012'!$D$20:$H$109,5,0),"")</f>
        <v/>
      </c>
      <c r="BK11" s="26" t="str">
        <f>IFERROR(VLOOKUP(CONCATENATE(BK$3,"-",$B11),'FO-GC-012'!$B$20:$H$109,2,0),"")</f>
        <v/>
      </c>
      <c r="BL11" s="27" t="str">
        <f>IFERROR(VLOOKUP(CONCATENATE(BK$3,"-",$B11),'FO-GC-012'!$B$20:$H$109,5,0),"")</f>
        <v/>
      </c>
      <c r="BM11" s="28" t="str">
        <f>IFERROR(VLOOKUP(CONCATENATE(BK$3,"-",$B11),'FO-GC-012'!$B$20:$H$109,6,0),"")</f>
        <v/>
      </c>
      <c r="BN11" s="29" t="str">
        <f>IFERROR(VLOOKUP(CONCATENATE(BK$3,"-",$B11),'FO-GC-012'!$D$20:$H$109,5,0),"")</f>
        <v/>
      </c>
      <c r="BO11" s="26" t="str">
        <f>IFERROR(VLOOKUP(CONCATENATE(BO$3,"-",$B11),'FO-GC-012'!$B$20:$H$109,2,0),"")</f>
        <v/>
      </c>
      <c r="BP11" s="27" t="str">
        <f>IFERROR(VLOOKUP(CONCATENATE(BO$3,"-",$B11),'FO-GC-012'!$B$20:$H$109,5,0),"")</f>
        <v/>
      </c>
      <c r="BQ11" s="28" t="str">
        <f>IFERROR(VLOOKUP(CONCATENATE(BO$3,"-",$B11),'FO-GC-012'!$B$20:$H$109,6,0),"")</f>
        <v/>
      </c>
      <c r="BR11" s="29" t="str">
        <f>IFERROR(VLOOKUP(CONCATENATE(BO$3,"-",$B11),'FO-GC-012'!$D$20:$H$109,5,0),"")</f>
        <v/>
      </c>
      <c r="BS11" s="26" t="str">
        <f>IFERROR(VLOOKUP(CONCATENATE(BS$3,"-",$B11),'FO-GC-012'!$B$20:$H$109,2,0),"")</f>
        <v/>
      </c>
      <c r="BT11" s="27" t="str">
        <f>IFERROR(VLOOKUP(CONCATENATE(BS$3,"-",$B11),'FO-GC-012'!$B$20:$H$109,5,0),"")</f>
        <v/>
      </c>
      <c r="BU11" s="28" t="str">
        <f>IFERROR(VLOOKUP(CONCATENATE(BS$3,"-",$B11),'FO-GC-012'!$B$20:$H$109,6,0),"")</f>
        <v/>
      </c>
      <c r="BV11" s="29" t="str">
        <f>IFERROR(VLOOKUP(CONCATENATE(BS$3,"-",$B11),'FO-GC-012'!$D$20:$H$109,5,0),"")</f>
        <v/>
      </c>
      <c r="BW11" s="26" t="str">
        <f>IFERROR(VLOOKUP(CONCATENATE(BW$3,"-",$B11),'FO-GC-012'!$B$20:$H$109,2,0),"")</f>
        <v/>
      </c>
      <c r="BX11" s="27" t="str">
        <f>IFERROR(VLOOKUP(CONCATENATE(BW$3,"-",$B11),'FO-GC-012'!$B$20:$H$109,5,0),"")</f>
        <v/>
      </c>
      <c r="BY11" s="28" t="str">
        <f>IFERROR(VLOOKUP(CONCATENATE(BW$3,"-",$B11),'FO-GC-012'!$B$20:$H$109,6,0),"")</f>
        <v/>
      </c>
      <c r="BZ11" s="29" t="str">
        <f>IFERROR(VLOOKUP(CONCATENATE(BW$3,"-",$B11),'FO-GC-012'!$D$20:$H$109,5,0),"")</f>
        <v/>
      </c>
      <c r="CA11" s="26" t="str">
        <f>IFERROR(VLOOKUP(CONCATENATE(CA$3,"-",$B11),'FO-GC-012'!$B$20:$H$109,2,0),"")</f>
        <v/>
      </c>
      <c r="CB11" s="27" t="str">
        <f>IFERROR(VLOOKUP(CONCATENATE(CA$3,"-",$B11),'FO-GC-012'!$B$20:$H$109,5,0),"")</f>
        <v/>
      </c>
      <c r="CC11" s="28" t="str">
        <f>IFERROR(VLOOKUP(CONCATENATE(CA$3,"-",$B11),'FO-GC-012'!$B$20:$H$109,6,0),"")</f>
        <v/>
      </c>
      <c r="CD11" s="5" t="str">
        <f>IFERROR(VLOOKUP(CONCATENATE(CA$3,"-",$B11),'FO-GC-012'!$D$20:$H$109,5,0),"")</f>
        <v/>
      </c>
    </row>
    <row r="12" spans="1:82" ht="21" customHeight="1" x14ac:dyDescent="0.35">
      <c r="A12" s="183">
        <f t="shared" si="1"/>
        <v>9</v>
      </c>
      <c r="B12" s="125" t="str">
        <f>'Listas Desplegables'!B33</f>
        <v>Direccionamiento Estratégico</v>
      </c>
      <c r="C12" s="22" t="str">
        <f>IFERROR(VLOOKUP(CONCATENATE(C$3,"-",$B12),'FO-GC-012'!$B$20:$H$109,2,0),"")</f>
        <v/>
      </c>
      <c r="D12" s="23" t="str">
        <f>IFERROR(VLOOKUP(CONCATENATE(C$3,"-",$B12),'FO-GC-012'!$B$20:$H$109,5,0),"")</f>
        <v/>
      </c>
      <c r="E12" s="24" t="str">
        <f>IFERROR(VLOOKUP(CONCATENATE(C$3,"-",$B12),'FO-GC-012'!$B$20:$H$109,6,0),"")</f>
        <v/>
      </c>
      <c r="F12" s="25" t="str">
        <f>IFERROR(VLOOKUP(CONCATENATE(C$3,"-",$B12),'FO-GC-012'!$D$20:$H$109,5,0),"")</f>
        <v/>
      </c>
      <c r="G12" s="22" t="str">
        <f>IFERROR(VLOOKUP(CONCATENATE(G$3,"-",$B12),'FO-GC-012'!$B$20:$H$109,2,0),"")</f>
        <v/>
      </c>
      <c r="H12" s="23" t="str">
        <f>IFERROR(VLOOKUP(CONCATENATE(G$3,"-",$B12),'FO-GC-012'!$B$20:$H$109,5,0),"")</f>
        <v/>
      </c>
      <c r="I12" s="24" t="str">
        <f>IFERROR(VLOOKUP(CONCATENATE(G$3,"-",$B12),'FO-GC-012'!$B$20:$H$109,6,0),"")</f>
        <v/>
      </c>
      <c r="J12" s="25" t="str">
        <f>IFERROR(VLOOKUP(CONCATENATE(G$3,"-",$B12),'FO-GC-012'!$D$20:$H$109,5,0),"")</f>
        <v/>
      </c>
      <c r="K12" s="22" t="str">
        <f>IFERROR(VLOOKUP(CONCATENATE(K$3,"-",$B12),'FO-GC-012'!$B$20:$H$109,2,0),"")</f>
        <v/>
      </c>
      <c r="L12" s="23" t="str">
        <f>IFERROR(VLOOKUP(CONCATENATE(K$3,"-",$B12),'FO-GC-012'!$B$20:$H$109,5,0),"")</f>
        <v/>
      </c>
      <c r="M12" s="24" t="str">
        <f>IFERROR(VLOOKUP(CONCATENATE(K$3,"-",$B12),'FO-GC-012'!$B$20:$H$109,6,0),"")</f>
        <v/>
      </c>
      <c r="N12" s="25" t="str">
        <f>IFERROR(VLOOKUP(CONCATENATE(K$3,"-",$B12),'FO-GC-012'!$D$20:$H$109,5,0),"")</f>
        <v/>
      </c>
      <c r="O12" s="22" t="str">
        <f>IFERROR(VLOOKUP(CONCATENATE(O$3,"-",$B12),'FO-GC-012'!$B$20:$H$109,2,0),"")</f>
        <v/>
      </c>
      <c r="P12" s="23" t="str">
        <f>IFERROR(VLOOKUP(CONCATENATE(O$3,"-",$B12),'FO-GC-012'!$B$20:$H$109,5,0),"")</f>
        <v/>
      </c>
      <c r="Q12" s="24" t="str">
        <f>IFERROR(VLOOKUP(CONCATENATE(O$3,"-",$B12),'FO-GC-012'!$B$20:$H$109,6,0),"")</f>
        <v/>
      </c>
      <c r="R12" s="25" t="str">
        <f>IFERROR(VLOOKUP(CONCATENATE(O$3,"-",$B12),'FO-GC-012'!$D$20:$H$109,5,0),"")</f>
        <v/>
      </c>
      <c r="S12" s="22" t="str">
        <f>IFERROR(VLOOKUP(CONCATENATE(S$3,"-",$B12),'FO-GC-012'!$B$20:$H$109,2,0),"")</f>
        <v/>
      </c>
      <c r="T12" s="23" t="str">
        <f>IFERROR(VLOOKUP(CONCATENATE(S$3,"-",$B12),'FO-GC-012'!$B$20:$H$109,5,0),"")</f>
        <v/>
      </c>
      <c r="U12" s="24" t="str">
        <f>IFERROR(VLOOKUP(CONCATENATE(S$3,"-",$B12),'FO-GC-012'!$B$20:$H$109,6,0),"")</f>
        <v/>
      </c>
      <c r="V12" s="25" t="str">
        <f>IFERROR(VLOOKUP(CONCATENATE(S$3,"-",$B12),'FO-GC-012'!$D$20:$H$109,5,0),"")</f>
        <v/>
      </c>
      <c r="W12" s="22" t="str">
        <f>IFERROR(VLOOKUP(CONCATENATE(W$3,"-",$B12),'FO-GC-012'!$B$20:$H$109,2,0),"")</f>
        <v/>
      </c>
      <c r="X12" s="23" t="str">
        <f>IFERROR(VLOOKUP(CONCATENATE(W$3,"-",$B12),'FO-GC-012'!$B$20:$H$109,5,0),"")</f>
        <v/>
      </c>
      <c r="Y12" s="24" t="str">
        <f>IFERROR(VLOOKUP(CONCATENATE(W$3,"-",$B12),'FO-GC-012'!$B$20:$H$109,6,0),"")</f>
        <v/>
      </c>
      <c r="Z12" s="25" t="str">
        <f>IFERROR(VLOOKUP(CONCATENATE(W$3,"-",$B12),'FO-GC-012'!$D$20:$H$109,5,0),"")</f>
        <v/>
      </c>
      <c r="AA12" s="22" t="str">
        <f>IFERROR(VLOOKUP(CONCATENATE(AA$3,"-",$B12),'FO-GC-012'!$B$20:$H$109,2,0),"")</f>
        <v/>
      </c>
      <c r="AB12" s="23" t="str">
        <f>IFERROR(VLOOKUP(CONCATENATE(AA$3,"-",$B12),'FO-GC-012'!$B$20:$H$109,5,0),"")</f>
        <v/>
      </c>
      <c r="AC12" s="24" t="str">
        <f>IFERROR(VLOOKUP(CONCATENATE(AA$3,"-",$B12),'FO-GC-012'!$B$20:$H$109,6,0),"")</f>
        <v/>
      </c>
      <c r="AD12" s="25" t="str">
        <f>IFERROR(VLOOKUP(CONCATENATE(AA$3,"-",$B12),'FO-GC-012'!$D$20:$H$109,5,0),"")</f>
        <v/>
      </c>
      <c r="AE12" s="22" t="str">
        <f>IFERROR(VLOOKUP(CONCATENATE(AE$3,"-",$B12),'FO-GC-012'!$B$20:$H$109,2,0),"")</f>
        <v/>
      </c>
      <c r="AF12" s="23" t="str">
        <f>IFERROR(VLOOKUP(CONCATENATE(AE$3,"-",$B12),'FO-GC-012'!$B$20:$H$109,5,0),"")</f>
        <v/>
      </c>
      <c r="AG12" s="24" t="str">
        <f>IFERROR(VLOOKUP(CONCATENATE(AE$3,"-",$B12),'FO-GC-012'!$B$20:$H$109,6,0),"")</f>
        <v/>
      </c>
      <c r="AH12" s="25" t="str">
        <f>IFERROR(VLOOKUP(CONCATENATE(AE$3,"-",$B12),'FO-GC-012'!$D$20:$H$109,5,0),"")</f>
        <v/>
      </c>
      <c r="AI12" s="22" t="str">
        <f>IFERROR(VLOOKUP(CONCATENATE(AI$3,"-",$B12),'FO-GC-012'!$B$20:$H$109,2,0),"")</f>
        <v/>
      </c>
      <c r="AJ12" s="23" t="str">
        <f>IFERROR(VLOOKUP(CONCATENATE(AI$3,"-",$B12),'FO-GC-012'!$B$20:$H$109,5,0),"")</f>
        <v/>
      </c>
      <c r="AK12" s="24" t="str">
        <f>IFERROR(VLOOKUP(CONCATENATE(AI$3,"-",$B12),'FO-GC-012'!$B$20:$H$109,6,0),"")</f>
        <v/>
      </c>
      <c r="AL12" s="25" t="str">
        <f>IFERROR(VLOOKUP(CONCATENATE(AI$3,"-",$B12),'FO-GC-012'!$D$20:$H$109,5,0),"")</f>
        <v/>
      </c>
      <c r="AM12" s="22" t="str">
        <f>IFERROR(VLOOKUP(CONCATENATE(AM$3,"-",$B12),'FO-GC-012'!$B$20:$H$109,2,0),"")</f>
        <v/>
      </c>
      <c r="AN12" s="23" t="str">
        <f>IFERROR(VLOOKUP(CONCATENATE(AM$3,"-",$B12),'FO-GC-012'!$B$20:$H$109,5,0),"")</f>
        <v/>
      </c>
      <c r="AO12" s="24" t="str">
        <f>IFERROR(VLOOKUP(CONCATENATE(AM$3,"-",$B12),'FO-GC-012'!$B$20:$H$109,6,0),"")</f>
        <v/>
      </c>
      <c r="AP12" s="25" t="str">
        <f>IFERROR(VLOOKUP(CONCATENATE(AM$3,"-",$B12),'FO-GC-012'!$D$20:$H$109,5,0),"")</f>
        <v/>
      </c>
      <c r="AQ12" s="22" t="str">
        <f>IFERROR(VLOOKUP(CONCATENATE(AQ$3,"-",$B12),'FO-GC-012'!$B$20:$H$109,2,0),"")</f>
        <v/>
      </c>
      <c r="AR12" s="23" t="str">
        <f>IFERROR(VLOOKUP(CONCATENATE(AQ$3,"-",$B12),'FO-GC-012'!$B$20:$H$109,5,0),"")</f>
        <v/>
      </c>
      <c r="AS12" s="24" t="str">
        <f>IFERROR(VLOOKUP(CONCATENATE(AQ$3,"-",$B12),'FO-GC-012'!$B$20:$H$109,6,0),"")</f>
        <v/>
      </c>
      <c r="AT12" s="25" t="str">
        <f>IFERROR(VLOOKUP(CONCATENATE(AQ$3,"-",$B12),'FO-GC-012'!$D$20:$H$109,5,0),"")</f>
        <v/>
      </c>
      <c r="AU12" s="22" t="str">
        <f>IFERROR(VLOOKUP(CONCATENATE(AU$3,"-",$B12),'FO-GC-012'!$B$20:$H$109,2,0),"")</f>
        <v/>
      </c>
      <c r="AV12" s="23" t="str">
        <f>IFERROR(VLOOKUP(CONCATENATE(AU$3,"-",$B12),'FO-GC-012'!$B$20:$H$109,5,0),"")</f>
        <v/>
      </c>
      <c r="AW12" s="24" t="str">
        <f>IFERROR(VLOOKUP(CONCATENATE(AU$3,"-",$B12),'FO-GC-012'!$B$20:$H$109,6,0),"")</f>
        <v/>
      </c>
      <c r="AX12" s="25" t="str">
        <f>IFERROR(VLOOKUP(CONCATENATE(AU$3,"-",$B12),'FO-GC-012'!$D$20:$H$109,5,0),"")</f>
        <v/>
      </c>
      <c r="AY12" s="22" t="str">
        <f>IFERROR(VLOOKUP(CONCATENATE(AY$3,"-",$B12),'FO-GC-012'!$B$20:$H$109,2,0),"")</f>
        <v/>
      </c>
      <c r="AZ12" s="23" t="str">
        <f>IFERROR(VLOOKUP(CONCATENATE(AY$3,"-",$B12),'FO-GC-012'!$B$20:$H$109,5,0),"")</f>
        <v/>
      </c>
      <c r="BA12" s="24" t="str">
        <f>IFERROR(VLOOKUP(CONCATENATE(AY$3,"-",$B12),'FO-GC-012'!$B$20:$H$109,6,0),"")</f>
        <v/>
      </c>
      <c r="BB12" s="25" t="str">
        <f>IFERROR(VLOOKUP(CONCATENATE(AY$3,"-",$B12),'FO-GC-012'!$D$20:$H$109,5,0),"")</f>
        <v/>
      </c>
      <c r="BC12" s="22" t="str">
        <f>IFERROR(VLOOKUP(CONCATENATE(BC$3,"-",$B12),'FO-GC-012'!$B$20:$H$109,2,0),"")</f>
        <v/>
      </c>
      <c r="BD12" s="23" t="str">
        <f>IFERROR(VLOOKUP(CONCATENATE(BC$3,"-",$B12),'FO-GC-012'!$B$20:$H$109,5,0),"")</f>
        <v/>
      </c>
      <c r="BE12" s="24" t="str">
        <f>IFERROR(VLOOKUP(CONCATENATE(BC$3,"-",$B12),'FO-GC-012'!$B$20:$H$109,6,0),"")</f>
        <v/>
      </c>
      <c r="BF12" s="25" t="str">
        <f>IFERROR(VLOOKUP(CONCATENATE(BC$3,"-",$B12),'FO-GC-012'!$D$20:$H$109,5,0),"")</f>
        <v/>
      </c>
      <c r="BG12" s="22" t="str">
        <f>IFERROR(VLOOKUP(CONCATENATE(BG$3,"-",$B12),'FO-GC-012'!$B$20:$H$109,2,0),"")</f>
        <v/>
      </c>
      <c r="BH12" s="23" t="str">
        <f>IFERROR(VLOOKUP(CONCATENATE(BG$3,"-",$B12),'FO-GC-012'!$B$20:$H$109,5,0),"")</f>
        <v/>
      </c>
      <c r="BI12" s="24" t="str">
        <f>IFERROR(VLOOKUP(CONCATENATE(BG$3,"-",$B12),'FO-GC-012'!$B$20:$H$109,6,0),"")</f>
        <v/>
      </c>
      <c r="BJ12" s="25" t="str">
        <f>IFERROR(VLOOKUP(CONCATENATE(BG$3,"-",$B12),'FO-GC-012'!$D$20:$H$109,5,0),"")</f>
        <v/>
      </c>
      <c r="BK12" s="22" t="str">
        <f>IFERROR(VLOOKUP(CONCATENATE(BK$3,"-",$B12),'FO-GC-012'!$B$20:$H$109,2,0),"")</f>
        <v/>
      </c>
      <c r="BL12" s="23" t="str">
        <f>IFERROR(VLOOKUP(CONCATENATE(BK$3,"-",$B12),'FO-GC-012'!$B$20:$H$109,5,0),"")</f>
        <v/>
      </c>
      <c r="BM12" s="24" t="str">
        <f>IFERROR(VLOOKUP(CONCATENATE(BK$3,"-",$B12),'FO-GC-012'!$B$20:$H$109,6,0),"")</f>
        <v/>
      </c>
      <c r="BN12" s="25" t="str">
        <f>IFERROR(VLOOKUP(CONCATENATE(BK$3,"-",$B12),'FO-GC-012'!$D$20:$H$109,5,0),"")</f>
        <v/>
      </c>
      <c r="BO12" s="22" t="str">
        <f>IFERROR(VLOOKUP(CONCATENATE(BO$3,"-",$B12),'FO-GC-012'!$B$20:$H$109,2,0),"")</f>
        <v/>
      </c>
      <c r="BP12" s="23" t="str">
        <f>IFERROR(VLOOKUP(CONCATENATE(BO$3,"-",$B12),'FO-GC-012'!$B$20:$H$109,5,0),"")</f>
        <v/>
      </c>
      <c r="BQ12" s="24" t="str">
        <f>IFERROR(VLOOKUP(CONCATENATE(BO$3,"-",$B12),'FO-GC-012'!$B$20:$H$109,6,0),"")</f>
        <v/>
      </c>
      <c r="BR12" s="25" t="str">
        <f>IFERROR(VLOOKUP(CONCATENATE(BO$3,"-",$B12),'FO-GC-012'!$D$20:$H$109,5,0),"")</f>
        <v/>
      </c>
      <c r="BS12" s="22" t="str">
        <f>IFERROR(VLOOKUP(CONCATENATE(BS$3,"-",$B12),'FO-GC-012'!$B$20:$H$109,2,0),"")</f>
        <v/>
      </c>
      <c r="BT12" s="23" t="str">
        <f>IFERROR(VLOOKUP(CONCATENATE(BS$3,"-",$B12),'FO-GC-012'!$B$20:$H$109,5,0),"")</f>
        <v/>
      </c>
      <c r="BU12" s="24" t="str">
        <f>IFERROR(VLOOKUP(CONCATENATE(BS$3,"-",$B12),'FO-GC-012'!$B$20:$H$109,6,0),"")</f>
        <v/>
      </c>
      <c r="BV12" s="25" t="str">
        <f>IFERROR(VLOOKUP(CONCATENATE(BS$3,"-",$B12),'FO-GC-012'!$D$20:$H$109,5,0),"")</f>
        <v/>
      </c>
      <c r="BW12" s="22" t="str">
        <f>IFERROR(VLOOKUP(CONCATENATE(BW$3,"-",$B12),'FO-GC-012'!$B$20:$H$109,2,0),"")</f>
        <v/>
      </c>
      <c r="BX12" s="23" t="str">
        <f>IFERROR(VLOOKUP(CONCATENATE(BW$3,"-",$B12),'FO-GC-012'!$B$20:$H$109,5,0),"")</f>
        <v/>
      </c>
      <c r="BY12" s="24" t="str">
        <f>IFERROR(VLOOKUP(CONCATENATE(BW$3,"-",$B12),'FO-GC-012'!$B$20:$H$109,6,0),"")</f>
        <v/>
      </c>
      <c r="BZ12" s="25" t="str">
        <f>IFERROR(VLOOKUP(CONCATENATE(BW$3,"-",$B12),'FO-GC-012'!$D$20:$H$109,5,0),"")</f>
        <v/>
      </c>
      <c r="CA12" s="22" t="str">
        <f>IFERROR(VLOOKUP(CONCATENATE(CA$3,"-",$B12),'FO-GC-012'!$B$20:$H$109,2,0),"")</f>
        <v/>
      </c>
      <c r="CB12" s="23" t="str">
        <f>IFERROR(VLOOKUP(CONCATENATE(CA$3,"-",$B12),'FO-GC-012'!$B$20:$H$109,5,0),"")</f>
        <v/>
      </c>
      <c r="CC12" s="24" t="str">
        <f>IFERROR(VLOOKUP(CONCATENATE(CA$3,"-",$B12),'FO-GC-012'!$B$20:$H$109,6,0),"")</f>
        <v/>
      </c>
      <c r="CD12" s="5" t="str">
        <f>IFERROR(VLOOKUP(CONCATENATE(CA$3,"-",$B12),'FO-GC-012'!$D$20:$H$109,5,0),"")</f>
        <v/>
      </c>
    </row>
    <row r="13" spans="1:82" ht="21" customHeight="1" x14ac:dyDescent="0.35">
      <c r="A13" s="184">
        <f t="shared" si="1"/>
        <v>10</v>
      </c>
      <c r="B13" s="125" t="str">
        <f>'Listas Desplegables'!B34</f>
        <v>Planeación Institucional</v>
      </c>
      <c r="C13" s="26" t="str">
        <f>IFERROR(VLOOKUP(CONCATENATE(C$3,"-",$B13),'FO-GC-012'!$B$20:$H$109,2,0),"")</f>
        <v/>
      </c>
      <c r="D13" s="27" t="str">
        <f>IFERROR(VLOOKUP(CONCATENATE(C$3,"-",$B13),'FO-GC-012'!$B$20:$H$109,5,0),"")</f>
        <v/>
      </c>
      <c r="E13" s="28" t="str">
        <f>IFERROR(VLOOKUP(CONCATENATE(C$3,"-",$B13),'FO-GC-012'!$B$20:$H$109,6,0),"")</f>
        <v/>
      </c>
      <c r="F13" s="29" t="str">
        <f>IFERROR(VLOOKUP(CONCATENATE(C$3,"-",$B13),'FO-GC-012'!$D$20:$H$109,5,0),"")</f>
        <v/>
      </c>
      <c r="G13" s="26" t="str">
        <f>IFERROR(VLOOKUP(CONCATENATE(G$3,"-",$B13),'FO-GC-012'!$B$20:$H$109,2,0),"")</f>
        <v/>
      </c>
      <c r="H13" s="27" t="str">
        <f>IFERROR(VLOOKUP(CONCATENATE(G$3,"-",$B13),'FO-GC-012'!$B$20:$H$109,5,0),"")</f>
        <v/>
      </c>
      <c r="I13" s="28" t="str">
        <f>IFERROR(VLOOKUP(CONCATENATE(G$3,"-",$B13),'FO-GC-012'!$B$20:$H$109,6,0),"")</f>
        <v/>
      </c>
      <c r="J13" s="29" t="str">
        <f>IFERROR(VLOOKUP(CONCATENATE(G$3,"-",$B13),'FO-GC-012'!$D$20:$H$109,5,0),"")</f>
        <v/>
      </c>
      <c r="K13" s="26" t="str">
        <f>IFERROR(VLOOKUP(CONCATENATE(K$3,"-",$B13),'FO-GC-012'!$B$20:$H$109,2,0),"")</f>
        <v/>
      </c>
      <c r="L13" s="27" t="str">
        <f>IFERROR(VLOOKUP(CONCATENATE(K$3,"-",$B13),'FO-GC-012'!$B$20:$H$109,5,0),"")</f>
        <v/>
      </c>
      <c r="M13" s="28" t="str">
        <f>IFERROR(VLOOKUP(CONCATENATE(K$3,"-",$B13),'FO-GC-012'!$B$20:$H$109,6,0),"")</f>
        <v/>
      </c>
      <c r="N13" s="29" t="str">
        <f>IFERROR(VLOOKUP(CONCATENATE(K$3,"-",$B13),'FO-GC-012'!$D$20:$H$109,5,0),"")</f>
        <v/>
      </c>
      <c r="O13" s="26" t="str">
        <f>IFERROR(VLOOKUP(CONCATENATE(O$3,"-",$B13),'FO-GC-012'!$B$20:$H$109,2,0),"")</f>
        <v/>
      </c>
      <c r="P13" s="27" t="str">
        <f>IFERROR(VLOOKUP(CONCATENATE(O$3,"-",$B13),'FO-GC-012'!$B$20:$H$109,5,0),"")</f>
        <v/>
      </c>
      <c r="Q13" s="28" t="str">
        <f>IFERROR(VLOOKUP(CONCATENATE(O$3,"-",$B13),'FO-GC-012'!$B$20:$H$109,6,0),"")</f>
        <v/>
      </c>
      <c r="R13" s="29" t="str">
        <f>IFERROR(VLOOKUP(CONCATENATE(O$3,"-",$B13),'FO-GC-012'!$D$20:$H$109,5,0),"")</f>
        <v/>
      </c>
      <c r="S13" s="26" t="str">
        <f>IFERROR(VLOOKUP(CONCATENATE(S$3,"-",$B13),'FO-GC-012'!$B$20:$H$109,2,0),"")</f>
        <v/>
      </c>
      <c r="T13" s="27" t="str">
        <f>IFERROR(VLOOKUP(CONCATENATE(S$3,"-",$B13),'FO-GC-012'!$B$20:$H$109,5,0),"")</f>
        <v/>
      </c>
      <c r="U13" s="28" t="str">
        <f>IFERROR(VLOOKUP(CONCATENATE(S$3,"-",$B13),'FO-GC-012'!$B$20:$H$109,6,0),"")</f>
        <v/>
      </c>
      <c r="V13" s="29" t="str">
        <f>IFERROR(VLOOKUP(CONCATENATE(S$3,"-",$B13),'FO-GC-012'!$D$20:$H$109,5,0),"")</f>
        <v/>
      </c>
      <c r="W13" s="26" t="str">
        <f>IFERROR(VLOOKUP(CONCATENATE(W$3,"-",$B13),'FO-GC-012'!$B$20:$H$109,2,0),"")</f>
        <v/>
      </c>
      <c r="X13" s="27" t="str">
        <f>IFERROR(VLOOKUP(CONCATENATE(W$3,"-",$B13),'FO-GC-012'!$B$20:$H$109,5,0),"")</f>
        <v/>
      </c>
      <c r="Y13" s="28" t="str">
        <f>IFERROR(VLOOKUP(CONCATENATE(W$3,"-",$B13),'FO-GC-012'!$B$20:$H$109,6,0),"")</f>
        <v/>
      </c>
      <c r="Z13" s="29" t="str">
        <f>IFERROR(VLOOKUP(CONCATENATE(W$3,"-",$B13),'FO-GC-012'!$D$20:$H$109,5,0),"")</f>
        <v/>
      </c>
      <c r="AA13" s="26" t="str">
        <f>IFERROR(VLOOKUP(CONCATENATE(AA$3,"-",$B13),'FO-GC-012'!$B$20:$H$109,2,0),"")</f>
        <v/>
      </c>
      <c r="AB13" s="27" t="str">
        <f>IFERROR(VLOOKUP(CONCATENATE(AA$3,"-",$B13),'FO-GC-012'!$B$20:$H$109,5,0),"")</f>
        <v/>
      </c>
      <c r="AC13" s="28" t="str">
        <f>IFERROR(VLOOKUP(CONCATENATE(AA$3,"-",$B13),'FO-GC-012'!$B$20:$H$109,6,0),"")</f>
        <v/>
      </c>
      <c r="AD13" s="29" t="str">
        <f>IFERROR(VLOOKUP(CONCATENATE(AA$3,"-",$B13),'FO-GC-012'!$D$20:$H$109,5,0),"")</f>
        <v/>
      </c>
      <c r="AE13" s="26" t="str">
        <f>IFERROR(VLOOKUP(CONCATENATE(AE$3,"-",$B13),'FO-GC-012'!$B$20:$H$109,2,0),"")</f>
        <v/>
      </c>
      <c r="AF13" s="27" t="str">
        <f>IFERROR(VLOOKUP(CONCATENATE(AE$3,"-",$B13),'FO-GC-012'!$B$20:$H$109,5,0),"")</f>
        <v/>
      </c>
      <c r="AG13" s="28" t="str">
        <f>IFERROR(VLOOKUP(CONCATENATE(AE$3,"-",$B13),'FO-GC-012'!$B$20:$H$109,6,0),"")</f>
        <v/>
      </c>
      <c r="AH13" s="29" t="str">
        <f>IFERROR(VLOOKUP(CONCATENATE(AE$3,"-",$B13),'FO-GC-012'!$D$20:$H$109,5,0),"")</f>
        <v/>
      </c>
      <c r="AI13" s="26" t="str">
        <f>IFERROR(VLOOKUP(CONCATENATE(AI$3,"-",$B13),'FO-GC-012'!$B$20:$H$109,2,0),"")</f>
        <v/>
      </c>
      <c r="AJ13" s="27" t="str">
        <f>IFERROR(VLOOKUP(CONCATENATE(AI$3,"-",$B13),'FO-GC-012'!$B$20:$H$109,5,0),"")</f>
        <v/>
      </c>
      <c r="AK13" s="28" t="str">
        <f>IFERROR(VLOOKUP(CONCATENATE(AI$3,"-",$B13),'FO-GC-012'!$B$20:$H$109,6,0),"")</f>
        <v/>
      </c>
      <c r="AL13" s="29" t="str">
        <f>IFERROR(VLOOKUP(CONCATENATE(AI$3,"-",$B13),'FO-GC-012'!$D$20:$H$109,5,0),"")</f>
        <v/>
      </c>
      <c r="AM13" s="26" t="str">
        <f>IFERROR(VLOOKUP(CONCATENATE(AM$3,"-",$B13),'FO-GC-012'!$B$20:$H$109,2,0),"")</f>
        <v/>
      </c>
      <c r="AN13" s="27" t="str">
        <f>IFERROR(VLOOKUP(CONCATENATE(AM$3,"-",$B13),'FO-GC-012'!$B$20:$H$109,5,0),"")</f>
        <v/>
      </c>
      <c r="AO13" s="28" t="str">
        <f>IFERROR(VLOOKUP(CONCATENATE(AM$3,"-",$B13),'FO-GC-012'!$B$20:$H$109,6,0),"")</f>
        <v/>
      </c>
      <c r="AP13" s="29" t="str">
        <f>IFERROR(VLOOKUP(CONCATENATE(AM$3,"-",$B13),'FO-GC-012'!$D$20:$H$109,5,0),"")</f>
        <v/>
      </c>
      <c r="AQ13" s="26" t="str">
        <f>IFERROR(VLOOKUP(CONCATENATE(AQ$3,"-",$B13),'FO-GC-012'!$B$20:$H$109,2,0),"")</f>
        <v/>
      </c>
      <c r="AR13" s="27" t="str">
        <f>IFERROR(VLOOKUP(CONCATENATE(AQ$3,"-",$B13),'FO-GC-012'!$B$20:$H$109,5,0),"")</f>
        <v/>
      </c>
      <c r="AS13" s="28" t="str">
        <f>IFERROR(VLOOKUP(CONCATENATE(AQ$3,"-",$B13),'FO-GC-012'!$B$20:$H$109,6,0),"")</f>
        <v/>
      </c>
      <c r="AT13" s="29" t="str">
        <f>IFERROR(VLOOKUP(CONCATENATE(AQ$3,"-",$B13),'FO-GC-012'!$D$20:$H$109,5,0),"")</f>
        <v/>
      </c>
      <c r="AU13" s="26" t="str">
        <f>IFERROR(VLOOKUP(CONCATENATE(AU$3,"-",$B13),'FO-GC-012'!$B$20:$H$109,2,0),"")</f>
        <v/>
      </c>
      <c r="AV13" s="27" t="str">
        <f>IFERROR(VLOOKUP(CONCATENATE(AU$3,"-",$B13),'FO-GC-012'!$B$20:$H$109,5,0),"")</f>
        <v/>
      </c>
      <c r="AW13" s="28" t="str">
        <f>IFERROR(VLOOKUP(CONCATENATE(AU$3,"-",$B13),'FO-GC-012'!$B$20:$H$109,6,0),"")</f>
        <v/>
      </c>
      <c r="AX13" s="29" t="str">
        <f>IFERROR(VLOOKUP(CONCATENATE(AU$3,"-",$B13),'FO-GC-012'!$D$20:$H$109,5,0),"")</f>
        <v/>
      </c>
      <c r="AY13" s="26" t="str">
        <f>IFERROR(VLOOKUP(CONCATENATE(AY$3,"-",$B13),'FO-GC-012'!$B$20:$H$109,2,0),"")</f>
        <v/>
      </c>
      <c r="AZ13" s="27" t="str">
        <f>IFERROR(VLOOKUP(CONCATENATE(AY$3,"-",$B13),'FO-GC-012'!$B$20:$H$109,5,0),"")</f>
        <v/>
      </c>
      <c r="BA13" s="28" t="str">
        <f>IFERROR(VLOOKUP(CONCATENATE(AY$3,"-",$B13),'FO-GC-012'!$B$20:$H$109,6,0),"")</f>
        <v/>
      </c>
      <c r="BB13" s="29" t="str">
        <f>IFERROR(VLOOKUP(CONCATENATE(AY$3,"-",$B13),'FO-GC-012'!$D$20:$H$109,5,0),"")</f>
        <v/>
      </c>
      <c r="BC13" s="26" t="str">
        <f>IFERROR(VLOOKUP(CONCATENATE(BC$3,"-",$B13),'FO-GC-012'!$B$20:$H$109,2,0),"")</f>
        <v/>
      </c>
      <c r="BD13" s="27" t="str">
        <f>IFERROR(VLOOKUP(CONCATENATE(BC$3,"-",$B13),'FO-GC-012'!$B$20:$H$109,5,0),"")</f>
        <v/>
      </c>
      <c r="BE13" s="28" t="str">
        <f>IFERROR(VLOOKUP(CONCATENATE(BC$3,"-",$B13),'FO-GC-012'!$B$20:$H$109,6,0),"")</f>
        <v/>
      </c>
      <c r="BF13" s="29" t="str">
        <f>IFERROR(VLOOKUP(CONCATENATE(BC$3,"-",$B13),'FO-GC-012'!$D$20:$H$109,5,0),"")</f>
        <v/>
      </c>
      <c r="BG13" s="26" t="str">
        <f>IFERROR(VLOOKUP(CONCATENATE(BG$3,"-",$B13),'FO-GC-012'!$B$20:$H$109,2,0),"")</f>
        <v/>
      </c>
      <c r="BH13" s="27" t="str">
        <f>IFERROR(VLOOKUP(CONCATENATE(BG$3,"-",$B13),'FO-GC-012'!$B$20:$H$109,5,0),"")</f>
        <v/>
      </c>
      <c r="BI13" s="28" t="str">
        <f>IFERROR(VLOOKUP(CONCATENATE(BG$3,"-",$B13),'FO-GC-012'!$B$20:$H$109,6,0),"")</f>
        <v/>
      </c>
      <c r="BJ13" s="29" t="str">
        <f>IFERROR(VLOOKUP(CONCATENATE(BG$3,"-",$B13),'FO-GC-012'!$D$20:$H$109,5,0),"")</f>
        <v/>
      </c>
      <c r="BK13" s="26" t="str">
        <f>IFERROR(VLOOKUP(CONCATENATE(BK$3,"-",$B13),'FO-GC-012'!$B$20:$H$109,2,0),"")</f>
        <v/>
      </c>
      <c r="BL13" s="27" t="str">
        <f>IFERROR(VLOOKUP(CONCATENATE(BK$3,"-",$B13),'FO-GC-012'!$B$20:$H$109,5,0),"")</f>
        <v/>
      </c>
      <c r="BM13" s="28" t="str">
        <f>IFERROR(VLOOKUP(CONCATENATE(BK$3,"-",$B13),'FO-GC-012'!$B$20:$H$109,6,0),"")</f>
        <v/>
      </c>
      <c r="BN13" s="29" t="str">
        <f>IFERROR(VLOOKUP(CONCATENATE(BK$3,"-",$B13),'FO-GC-012'!$D$20:$H$109,5,0),"")</f>
        <v/>
      </c>
      <c r="BO13" s="26" t="str">
        <f>IFERROR(VLOOKUP(CONCATENATE(BO$3,"-",$B13),'FO-GC-012'!$B$20:$H$109,2,0),"")</f>
        <v/>
      </c>
      <c r="BP13" s="27" t="str">
        <f>IFERROR(VLOOKUP(CONCATENATE(BO$3,"-",$B13),'FO-GC-012'!$B$20:$H$109,5,0),"")</f>
        <v/>
      </c>
      <c r="BQ13" s="28" t="str">
        <f>IFERROR(VLOOKUP(CONCATENATE(BO$3,"-",$B13),'FO-GC-012'!$B$20:$H$109,6,0),"")</f>
        <v/>
      </c>
      <c r="BR13" s="29" t="str">
        <f>IFERROR(VLOOKUP(CONCATENATE(BO$3,"-",$B13),'FO-GC-012'!$D$20:$H$109,5,0),"")</f>
        <v/>
      </c>
      <c r="BS13" s="26" t="str">
        <f>IFERROR(VLOOKUP(CONCATENATE(BS$3,"-",$B13),'FO-GC-012'!$B$20:$H$109,2,0),"")</f>
        <v/>
      </c>
      <c r="BT13" s="27" t="str">
        <f>IFERROR(VLOOKUP(CONCATENATE(BS$3,"-",$B13),'FO-GC-012'!$B$20:$H$109,5,0),"")</f>
        <v/>
      </c>
      <c r="BU13" s="28" t="str">
        <f>IFERROR(VLOOKUP(CONCATENATE(BS$3,"-",$B13),'FO-GC-012'!$B$20:$H$109,6,0),"")</f>
        <v/>
      </c>
      <c r="BV13" s="29" t="str">
        <f>IFERROR(VLOOKUP(CONCATENATE(BS$3,"-",$B13),'FO-GC-012'!$D$20:$H$109,5,0),"")</f>
        <v/>
      </c>
      <c r="BW13" s="26" t="str">
        <f>IFERROR(VLOOKUP(CONCATENATE(BW$3,"-",$B13),'FO-GC-012'!$B$20:$H$109,2,0),"")</f>
        <v/>
      </c>
      <c r="BX13" s="27" t="str">
        <f>IFERROR(VLOOKUP(CONCATENATE(BW$3,"-",$B13),'FO-GC-012'!$B$20:$H$109,5,0),"")</f>
        <v/>
      </c>
      <c r="BY13" s="28" t="str">
        <f>IFERROR(VLOOKUP(CONCATENATE(BW$3,"-",$B13),'FO-GC-012'!$B$20:$H$109,6,0),"")</f>
        <v/>
      </c>
      <c r="BZ13" s="29" t="str">
        <f>IFERROR(VLOOKUP(CONCATENATE(BW$3,"-",$B13),'FO-GC-012'!$D$20:$H$109,5,0),"")</f>
        <v/>
      </c>
      <c r="CA13" s="26" t="str">
        <f>IFERROR(VLOOKUP(CONCATENATE(CA$3,"-",$B13),'FO-GC-012'!$B$20:$H$109,2,0),"")</f>
        <v/>
      </c>
      <c r="CB13" s="27" t="str">
        <f>IFERROR(VLOOKUP(CONCATENATE(CA$3,"-",$B13),'FO-GC-012'!$B$20:$H$109,5,0),"")</f>
        <v/>
      </c>
      <c r="CC13" s="28" t="str">
        <f>IFERROR(VLOOKUP(CONCATENATE(CA$3,"-",$B13),'FO-GC-012'!$B$20:$H$109,6,0),"")</f>
        <v/>
      </c>
      <c r="CD13" s="5" t="str">
        <f>IFERROR(VLOOKUP(CONCATENATE(CA$3,"-",$B13),'FO-GC-012'!$D$20:$H$109,5,0),"")</f>
        <v/>
      </c>
    </row>
    <row r="14" spans="1:82" ht="21" customHeight="1" x14ac:dyDescent="0.35">
      <c r="A14" s="183">
        <f t="shared" si="1"/>
        <v>11</v>
      </c>
      <c r="B14" s="125" t="str">
        <f>'Listas Desplegables'!B35</f>
        <v xml:space="preserve">Gestión de Sistemas de Información </v>
      </c>
      <c r="C14" s="22" t="str">
        <f>IFERROR(VLOOKUP(CONCATENATE(C$3,"-",$B14),'FO-GC-012'!$B$20:$H$109,2,0),"")</f>
        <v/>
      </c>
      <c r="D14" s="23" t="str">
        <f>IFERROR(VLOOKUP(CONCATENATE(C$3,"-",$B14),'FO-GC-012'!$B$20:$H$109,5,0),"")</f>
        <v/>
      </c>
      <c r="E14" s="24" t="str">
        <f>IFERROR(VLOOKUP(CONCATENATE(C$3,"-",$B14),'FO-GC-012'!$B$20:$H$109,6,0),"")</f>
        <v/>
      </c>
      <c r="F14" s="25" t="str">
        <f>IFERROR(VLOOKUP(CONCATENATE(C$3,"-",$B14),'FO-GC-012'!$D$20:$H$109,5,0),"")</f>
        <v/>
      </c>
      <c r="G14" s="22" t="str">
        <f>IFERROR(VLOOKUP(CONCATENATE(G$3,"-",$B14),'FO-GC-012'!$B$20:$H$109,2,0),"")</f>
        <v/>
      </c>
      <c r="H14" s="23" t="str">
        <f>IFERROR(VLOOKUP(CONCATENATE(G$3,"-",$B14),'FO-GC-012'!$B$20:$H$109,5,0),"")</f>
        <v/>
      </c>
      <c r="I14" s="24" t="str">
        <f>IFERROR(VLOOKUP(CONCATENATE(G$3,"-",$B14),'FO-GC-012'!$B$20:$H$109,6,0),"")</f>
        <v/>
      </c>
      <c r="J14" s="25" t="str">
        <f>IFERROR(VLOOKUP(CONCATENATE(G$3,"-",$B14),'FO-GC-012'!$D$20:$H$109,5,0),"")</f>
        <v/>
      </c>
      <c r="K14" s="22" t="str">
        <f>IFERROR(VLOOKUP(CONCATENATE(K$3,"-",$B14),'FO-GC-012'!$B$20:$H$109,2,0),"")</f>
        <v/>
      </c>
      <c r="L14" s="23" t="str">
        <f>IFERROR(VLOOKUP(CONCATENATE(K$3,"-",$B14),'FO-GC-012'!$B$20:$H$109,5,0),"")</f>
        <v/>
      </c>
      <c r="M14" s="24" t="str">
        <f>IFERROR(VLOOKUP(CONCATENATE(K$3,"-",$B14),'FO-GC-012'!$B$20:$H$109,6,0),"")</f>
        <v/>
      </c>
      <c r="N14" s="25" t="str">
        <f>IFERROR(VLOOKUP(CONCATENATE(K$3,"-",$B14),'FO-GC-012'!$D$20:$H$109,5,0),"")</f>
        <v/>
      </c>
      <c r="O14" s="22" t="str">
        <f>IFERROR(VLOOKUP(CONCATENATE(O$3,"-",$B14),'FO-GC-012'!$B$20:$H$109,2,0),"")</f>
        <v/>
      </c>
      <c r="P14" s="23" t="str">
        <f>IFERROR(VLOOKUP(CONCATENATE(O$3,"-",$B14),'FO-GC-012'!$B$20:$H$109,5,0),"")</f>
        <v/>
      </c>
      <c r="Q14" s="24" t="str">
        <f>IFERROR(VLOOKUP(CONCATENATE(O$3,"-",$B14),'FO-GC-012'!$B$20:$H$109,6,0),"")</f>
        <v/>
      </c>
      <c r="R14" s="25" t="str">
        <f>IFERROR(VLOOKUP(CONCATENATE(O$3,"-",$B14),'FO-GC-012'!$D$20:$H$109,5,0),"")</f>
        <v/>
      </c>
      <c r="S14" s="22" t="str">
        <f>IFERROR(VLOOKUP(CONCATENATE(S$3,"-",$B14),'FO-GC-012'!$B$20:$H$109,2,0),"")</f>
        <v/>
      </c>
      <c r="T14" s="23" t="str">
        <f>IFERROR(VLOOKUP(CONCATENATE(S$3,"-",$B14),'FO-GC-012'!$B$20:$H$109,5,0),"")</f>
        <v/>
      </c>
      <c r="U14" s="24" t="str">
        <f>IFERROR(VLOOKUP(CONCATENATE(S$3,"-",$B14),'FO-GC-012'!$B$20:$H$109,6,0),"")</f>
        <v/>
      </c>
      <c r="V14" s="25" t="str">
        <f>IFERROR(VLOOKUP(CONCATENATE(S$3,"-",$B14),'FO-GC-012'!$D$20:$H$109,5,0),"")</f>
        <v/>
      </c>
      <c r="W14" s="22" t="str">
        <f>IFERROR(VLOOKUP(CONCATENATE(W$3,"-",$B14),'FO-GC-012'!$B$20:$H$109,2,0),"")</f>
        <v/>
      </c>
      <c r="X14" s="23" t="str">
        <f>IFERROR(VLOOKUP(CONCATENATE(W$3,"-",$B14),'FO-GC-012'!$B$20:$H$109,5,0),"")</f>
        <v/>
      </c>
      <c r="Y14" s="24" t="str">
        <f>IFERROR(VLOOKUP(CONCATENATE(W$3,"-",$B14),'FO-GC-012'!$B$20:$H$109,6,0),"")</f>
        <v/>
      </c>
      <c r="Z14" s="25" t="str">
        <f>IFERROR(VLOOKUP(CONCATENATE(W$3,"-",$B14),'FO-GC-012'!$D$20:$H$109,5,0),"")</f>
        <v/>
      </c>
      <c r="AA14" s="22" t="str">
        <f>IFERROR(VLOOKUP(CONCATENATE(AA$3,"-",$B14),'FO-GC-012'!$B$20:$H$109,2,0),"")</f>
        <v/>
      </c>
      <c r="AB14" s="23" t="str">
        <f>IFERROR(VLOOKUP(CONCATENATE(AA$3,"-",$B14),'FO-GC-012'!$B$20:$H$109,5,0),"")</f>
        <v/>
      </c>
      <c r="AC14" s="24" t="str">
        <f>IFERROR(VLOOKUP(CONCATENATE(AA$3,"-",$B14),'FO-GC-012'!$B$20:$H$109,6,0),"")</f>
        <v/>
      </c>
      <c r="AD14" s="25" t="str">
        <f>IFERROR(VLOOKUP(CONCATENATE(AA$3,"-",$B14),'FO-GC-012'!$D$20:$H$109,5,0),"")</f>
        <v/>
      </c>
      <c r="AE14" s="22" t="str">
        <f>IFERROR(VLOOKUP(CONCATENATE(AE$3,"-",$B14),'FO-GC-012'!$B$20:$H$109,2,0),"")</f>
        <v/>
      </c>
      <c r="AF14" s="23" t="str">
        <f>IFERROR(VLOOKUP(CONCATENATE(AE$3,"-",$B14),'FO-GC-012'!$B$20:$H$109,5,0),"")</f>
        <v/>
      </c>
      <c r="AG14" s="24" t="str">
        <f>IFERROR(VLOOKUP(CONCATENATE(AE$3,"-",$B14),'FO-GC-012'!$B$20:$H$109,6,0),"")</f>
        <v/>
      </c>
      <c r="AH14" s="25" t="str">
        <f>IFERROR(VLOOKUP(CONCATENATE(AE$3,"-",$B14),'FO-GC-012'!$D$20:$H$109,5,0),"")</f>
        <v/>
      </c>
      <c r="AI14" s="22" t="str">
        <f>IFERROR(VLOOKUP(CONCATENATE(AI$3,"-",$B14),'FO-GC-012'!$B$20:$H$109,2,0),"")</f>
        <v/>
      </c>
      <c r="AJ14" s="23" t="str">
        <f>IFERROR(VLOOKUP(CONCATENATE(AI$3,"-",$B14),'FO-GC-012'!$B$20:$H$109,5,0),"")</f>
        <v/>
      </c>
      <c r="AK14" s="24" t="str">
        <f>IFERROR(VLOOKUP(CONCATENATE(AI$3,"-",$B14),'FO-GC-012'!$B$20:$H$109,6,0),"")</f>
        <v/>
      </c>
      <c r="AL14" s="25" t="str">
        <f>IFERROR(VLOOKUP(CONCATENATE(AI$3,"-",$B14),'FO-GC-012'!$D$20:$H$109,5,0),"")</f>
        <v/>
      </c>
      <c r="AM14" s="22" t="str">
        <f>IFERROR(VLOOKUP(CONCATENATE(AM$3,"-",$B14),'FO-GC-012'!$B$20:$H$109,2,0),"")</f>
        <v/>
      </c>
      <c r="AN14" s="23" t="str">
        <f>IFERROR(VLOOKUP(CONCATENATE(AM$3,"-",$B14),'FO-GC-012'!$B$20:$H$109,5,0),"")</f>
        <v/>
      </c>
      <c r="AO14" s="24" t="str">
        <f>IFERROR(VLOOKUP(CONCATENATE(AM$3,"-",$B14),'FO-GC-012'!$B$20:$H$109,6,0),"")</f>
        <v/>
      </c>
      <c r="AP14" s="25" t="str">
        <f>IFERROR(VLOOKUP(CONCATENATE(AM$3,"-",$B14),'FO-GC-012'!$D$20:$H$109,5,0),"")</f>
        <v/>
      </c>
      <c r="AQ14" s="22" t="str">
        <f>IFERROR(VLOOKUP(CONCATENATE(AQ$3,"-",$B14),'FO-GC-012'!$B$20:$H$109,2,0),"")</f>
        <v/>
      </c>
      <c r="AR14" s="23" t="str">
        <f>IFERROR(VLOOKUP(CONCATENATE(AQ$3,"-",$B14),'FO-GC-012'!$B$20:$H$109,5,0),"")</f>
        <v/>
      </c>
      <c r="AS14" s="24" t="str">
        <f>IFERROR(VLOOKUP(CONCATENATE(AQ$3,"-",$B14),'FO-GC-012'!$B$20:$H$109,6,0),"")</f>
        <v/>
      </c>
      <c r="AT14" s="25" t="str">
        <f>IFERROR(VLOOKUP(CONCATENATE(AQ$3,"-",$B14),'FO-GC-012'!$D$20:$H$109,5,0),"")</f>
        <v/>
      </c>
      <c r="AU14" s="22" t="str">
        <f>IFERROR(VLOOKUP(CONCATENATE(AU$3,"-",$B14),'FO-GC-012'!$B$20:$H$109,2,0),"")</f>
        <v/>
      </c>
      <c r="AV14" s="23" t="str">
        <f>IFERROR(VLOOKUP(CONCATENATE(AU$3,"-",$B14),'FO-GC-012'!$B$20:$H$109,5,0),"")</f>
        <v/>
      </c>
      <c r="AW14" s="24" t="str">
        <f>IFERROR(VLOOKUP(CONCATENATE(AU$3,"-",$B14),'FO-GC-012'!$B$20:$H$109,6,0),"")</f>
        <v/>
      </c>
      <c r="AX14" s="25" t="str">
        <f>IFERROR(VLOOKUP(CONCATENATE(AU$3,"-",$B14),'FO-GC-012'!$D$20:$H$109,5,0),"")</f>
        <v/>
      </c>
      <c r="AY14" s="22" t="str">
        <f>IFERROR(VLOOKUP(CONCATENATE(AY$3,"-",$B14),'FO-GC-012'!$B$20:$H$109,2,0),"")</f>
        <v/>
      </c>
      <c r="AZ14" s="23" t="str">
        <f>IFERROR(VLOOKUP(CONCATENATE(AY$3,"-",$B14),'FO-GC-012'!$B$20:$H$109,5,0),"")</f>
        <v/>
      </c>
      <c r="BA14" s="24" t="str">
        <f>IFERROR(VLOOKUP(CONCATENATE(AY$3,"-",$B14),'FO-GC-012'!$B$20:$H$109,6,0),"")</f>
        <v/>
      </c>
      <c r="BB14" s="25" t="str">
        <f>IFERROR(VLOOKUP(CONCATENATE(AY$3,"-",$B14),'FO-GC-012'!$D$20:$H$109,5,0),"")</f>
        <v/>
      </c>
      <c r="BC14" s="22" t="str">
        <f>IFERROR(VLOOKUP(CONCATENATE(BC$3,"-",$B14),'FO-GC-012'!$B$20:$H$109,2,0),"")</f>
        <v/>
      </c>
      <c r="BD14" s="23" t="str">
        <f>IFERROR(VLOOKUP(CONCATENATE(BC$3,"-",$B14),'FO-GC-012'!$B$20:$H$109,5,0),"")</f>
        <v/>
      </c>
      <c r="BE14" s="24" t="str">
        <f>IFERROR(VLOOKUP(CONCATENATE(BC$3,"-",$B14),'FO-GC-012'!$B$20:$H$109,6,0),"")</f>
        <v/>
      </c>
      <c r="BF14" s="25" t="str">
        <f>IFERROR(VLOOKUP(CONCATENATE(BC$3,"-",$B14),'FO-GC-012'!$D$20:$H$109,5,0),"")</f>
        <v/>
      </c>
      <c r="BG14" s="22" t="str">
        <f>IFERROR(VLOOKUP(CONCATENATE(BG$3,"-",$B14),'FO-GC-012'!$B$20:$H$109,2,0),"")</f>
        <v/>
      </c>
      <c r="BH14" s="23" t="str">
        <f>IFERROR(VLOOKUP(CONCATENATE(BG$3,"-",$B14),'FO-GC-012'!$B$20:$H$109,5,0),"")</f>
        <v/>
      </c>
      <c r="BI14" s="24" t="str">
        <f>IFERROR(VLOOKUP(CONCATENATE(BG$3,"-",$B14),'FO-GC-012'!$B$20:$H$109,6,0),"")</f>
        <v/>
      </c>
      <c r="BJ14" s="25" t="str">
        <f>IFERROR(VLOOKUP(CONCATENATE(BG$3,"-",$B14),'FO-GC-012'!$D$20:$H$109,5,0),"")</f>
        <v/>
      </c>
      <c r="BK14" s="22" t="str">
        <f>IFERROR(VLOOKUP(CONCATENATE(BK$3,"-",$B14),'FO-GC-012'!$B$20:$H$109,2,0),"")</f>
        <v/>
      </c>
      <c r="BL14" s="23" t="str">
        <f>IFERROR(VLOOKUP(CONCATENATE(BK$3,"-",$B14),'FO-GC-012'!$B$20:$H$109,5,0),"")</f>
        <v/>
      </c>
      <c r="BM14" s="24" t="str">
        <f>IFERROR(VLOOKUP(CONCATENATE(BK$3,"-",$B14),'FO-GC-012'!$B$20:$H$109,6,0),"")</f>
        <v/>
      </c>
      <c r="BN14" s="25" t="str">
        <f>IFERROR(VLOOKUP(CONCATENATE(BK$3,"-",$B14),'FO-GC-012'!$D$20:$H$109,5,0),"")</f>
        <v/>
      </c>
      <c r="BO14" s="22" t="str">
        <f>IFERROR(VLOOKUP(CONCATENATE(BO$3,"-",$B14),'FO-GC-012'!$B$20:$H$109,2,0),"")</f>
        <v/>
      </c>
      <c r="BP14" s="23" t="str">
        <f>IFERROR(VLOOKUP(CONCATENATE(BO$3,"-",$B14),'FO-GC-012'!$B$20:$H$109,5,0),"")</f>
        <v/>
      </c>
      <c r="BQ14" s="24" t="str">
        <f>IFERROR(VLOOKUP(CONCATENATE(BO$3,"-",$B14),'FO-GC-012'!$B$20:$H$109,6,0),"")</f>
        <v/>
      </c>
      <c r="BR14" s="25" t="str">
        <f>IFERROR(VLOOKUP(CONCATENATE(BO$3,"-",$B14),'FO-GC-012'!$D$20:$H$109,5,0),"")</f>
        <v/>
      </c>
      <c r="BS14" s="22" t="str">
        <f>IFERROR(VLOOKUP(CONCATENATE(BS$3,"-",$B14),'FO-GC-012'!$B$20:$H$109,2,0),"")</f>
        <v/>
      </c>
      <c r="BT14" s="23" t="str">
        <f>IFERROR(VLOOKUP(CONCATENATE(BS$3,"-",$B14),'FO-GC-012'!$B$20:$H$109,5,0),"")</f>
        <v/>
      </c>
      <c r="BU14" s="24" t="str">
        <f>IFERROR(VLOOKUP(CONCATENATE(BS$3,"-",$B14),'FO-GC-012'!$B$20:$H$109,6,0),"")</f>
        <v/>
      </c>
      <c r="BV14" s="25" t="str">
        <f>IFERROR(VLOOKUP(CONCATENATE(BS$3,"-",$B14),'FO-GC-012'!$D$20:$H$109,5,0),"")</f>
        <v/>
      </c>
      <c r="BW14" s="22" t="str">
        <f>IFERROR(VLOOKUP(CONCATENATE(BW$3,"-",$B14),'FO-GC-012'!$B$20:$H$109,2,0),"")</f>
        <v/>
      </c>
      <c r="BX14" s="23" t="str">
        <f>IFERROR(VLOOKUP(CONCATENATE(BW$3,"-",$B14),'FO-GC-012'!$B$20:$H$109,5,0),"")</f>
        <v/>
      </c>
      <c r="BY14" s="24" t="str">
        <f>IFERROR(VLOOKUP(CONCATENATE(BW$3,"-",$B14),'FO-GC-012'!$B$20:$H$109,6,0),"")</f>
        <v/>
      </c>
      <c r="BZ14" s="25" t="str">
        <f>IFERROR(VLOOKUP(CONCATENATE(BW$3,"-",$B14),'FO-GC-012'!$D$20:$H$109,5,0),"")</f>
        <v/>
      </c>
      <c r="CA14" s="22" t="str">
        <f>IFERROR(VLOOKUP(CONCATENATE(CA$3,"-",$B14),'FO-GC-012'!$B$20:$H$109,2,0),"")</f>
        <v/>
      </c>
      <c r="CB14" s="23" t="str">
        <f>IFERROR(VLOOKUP(CONCATENATE(CA$3,"-",$B14),'FO-GC-012'!$B$20:$H$109,5,0),"")</f>
        <v/>
      </c>
      <c r="CC14" s="24" t="str">
        <f>IFERROR(VLOOKUP(CONCATENATE(CA$3,"-",$B14),'FO-GC-012'!$B$20:$H$109,6,0),"")</f>
        <v/>
      </c>
      <c r="CD14" s="5" t="str">
        <f>IFERROR(VLOOKUP(CONCATENATE(CA$3,"-",$B14),'FO-GC-012'!$D$20:$H$109,5,0),"")</f>
        <v/>
      </c>
    </row>
    <row r="15" spans="1:82" ht="21" customHeight="1" x14ac:dyDescent="0.35">
      <c r="A15" s="184">
        <f t="shared" si="1"/>
        <v>12</v>
      </c>
      <c r="B15" s="125" t="str">
        <f>'Listas Desplegables'!B36</f>
        <v>Gestión de Proyectos Institucionales</v>
      </c>
      <c r="C15" s="26" t="str">
        <f>IFERROR(VLOOKUP(CONCATENATE(C$3,"-",$B15),'FO-GC-012'!$B$20:$H$109,2,0),"")</f>
        <v/>
      </c>
      <c r="D15" s="27" t="str">
        <f>IFERROR(VLOOKUP(CONCATENATE(C$3,"-",$B15),'FO-GC-012'!$B$20:$H$109,5,0),"")</f>
        <v/>
      </c>
      <c r="E15" s="28" t="str">
        <f>IFERROR(VLOOKUP(CONCATENATE(C$3,"-",$B15),'FO-GC-012'!$B$20:$H$109,6,0),"")</f>
        <v/>
      </c>
      <c r="F15" s="29" t="str">
        <f>IFERROR(VLOOKUP(CONCATENATE(C$3,"-",$B15),'FO-GC-012'!$D$20:$H$109,5,0),"")</f>
        <v/>
      </c>
      <c r="G15" s="26" t="str">
        <f>IFERROR(VLOOKUP(CONCATENATE(G$3,"-",$B15),'FO-GC-012'!$B$20:$H$109,2,0),"")</f>
        <v/>
      </c>
      <c r="H15" s="27" t="str">
        <f>IFERROR(VLOOKUP(CONCATENATE(G$3,"-",$B15),'FO-GC-012'!$B$20:$H$109,5,0),"")</f>
        <v/>
      </c>
      <c r="I15" s="28" t="str">
        <f>IFERROR(VLOOKUP(CONCATENATE(G$3,"-",$B15),'FO-GC-012'!$B$20:$H$109,6,0),"")</f>
        <v/>
      </c>
      <c r="J15" s="29" t="str">
        <f>IFERROR(VLOOKUP(CONCATENATE(G$3,"-",$B15),'FO-GC-012'!$D$20:$H$109,5,0),"")</f>
        <v/>
      </c>
      <c r="K15" s="26" t="str">
        <f>IFERROR(VLOOKUP(CONCATENATE(K$3,"-",$B15),'FO-GC-012'!$B$20:$H$109,2,0),"")</f>
        <v/>
      </c>
      <c r="L15" s="27" t="str">
        <f>IFERROR(VLOOKUP(CONCATENATE(K$3,"-",$B15),'FO-GC-012'!$B$20:$H$109,5,0),"")</f>
        <v/>
      </c>
      <c r="M15" s="28" t="str">
        <f>IFERROR(VLOOKUP(CONCATENATE(K$3,"-",$B15),'FO-GC-012'!$B$20:$H$109,6,0),"")</f>
        <v/>
      </c>
      <c r="N15" s="29" t="str">
        <f>IFERROR(VLOOKUP(CONCATENATE(K$3,"-",$B15),'FO-GC-012'!$D$20:$H$109,5,0),"")</f>
        <v/>
      </c>
      <c r="O15" s="26" t="str">
        <f>IFERROR(VLOOKUP(CONCATENATE(O$3,"-",$B15),'FO-GC-012'!$B$20:$H$109,2,0),"")</f>
        <v/>
      </c>
      <c r="P15" s="27" t="str">
        <f>IFERROR(VLOOKUP(CONCATENATE(O$3,"-",$B15),'FO-GC-012'!$B$20:$H$109,5,0),"")</f>
        <v/>
      </c>
      <c r="Q15" s="28" t="str">
        <f>IFERROR(VLOOKUP(CONCATENATE(O$3,"-",$B15),'FO-GC-012'!$B$20:$H$109,6,0),"")</f>
        <v/>
      </c>
      <c r="R15" s="29" t="str">
        <f>IFERROR(VLOOKUP(CONCATENATE(O$3,"-",$B15),'FO-GC-012'!$D$20:$H$109,5,0),"")</f>
        <v/>
      </c>
      <c r="S15" s="26" t="str">
        <f>IFERROR(VLOOKUP(CONCATENATE(S$3,"-",$B15),'FO-GC-012'!$B$20:$H$109,2,0),"")</f>
        <v/>
      </c>
      <c r="T15" s="27" t="str">
        <f>IFERROR(VLOOKUP(CONCATENATE(S$3,"-",$B15),'FO-GC-012'!$B$20:$H$109,5,0),"")</f>
        <v/>
      </c>
      <c r="U15" s="28" t="str">
        <f>IFERROR(VLOOKUP(CONCATENATE(S$3,"-",$B15),'FO-GC-012'!$B$20:$H$109,6,0),"")</f>
        <v/>
      </c>
      <c r="V15" s="29" t="str">
        <f>IFERROR(VLOOKUP(CONCATENATE(S$3,"-",$B15),'FO-GC-012'!$D$20:$H$109,5,0),"")</f>
        <v/>
      </c>
      <c r="W15" s="26" t="str">
        <f>IFERROR(VLOOKUP(CONCATENATE(W$3,"-",$B15),'FO-GC-012'!$B$20:$H$109,2,0),"")</f>
        <v/>
      </c>
      <c r="X15" s="27" t="str">
        <f>IFERROR(VLOOKUP(CONCATENATE(W$3,"-",$B15),'FO-GC-012'!$B$20:$H$109,5,0),"")</f>
        <v/>
      </c>
      <c r="Y15" s="28" t="str">
        <f>IFERROR(VLOOKUP(CONCATENATE(W$3,"-",$B15),'FO-GC-012'!$B$20:$H$109,6,0),"")</f>
        <v/>
      </c>
      <c r="Z15" s="29" t="str">
        <f>IFERROR(VLOOKUP(CONCATENATE(W$3,"-",$B15),'FO-GC-012'!$D$20:$H$109,5,0),"")</f>
        <v/>
      </c>
      <c r="AA15" s="26" t="str">
        <f>IFERROR(VLOOKUP(CONCATENATE(AA$3,"-",$B15),'FO-GC-012'!$B$20:$H$109,2,0),"")</f>
        <v/>
      </c>
      <c r="AB15" s="27" t="str">
        <f>IFERROR(VLOOKUP(CONCATENATE(AA$3,"-",$B15),'FO-GC-012'!$B$20:$H$109,5,0),"")</f>
        <v/>
      </c>
      <c r="AC15" s="28" t="str">
        <f>IFERROR(VLOOKUP(CONCATENATE(AA$3,"-",$B15),'FO-GC-012'!$B$20:$H$109,6,0),"")</f>
        <v/>
      </c>
      <c r="AD15" s="29" t="str">
        <f>IFERROR(VLOOKUP(CONCATENATE(AA$3,"-",$B15),'FO-GC-012'!$D$20:$H$109,5,0),"")</f>
        <v/>
      </c>
      <c r="AE15" s="26" t="str">
        <f>IFERROR(VLOOKUP(CONCATENATE(AE$3,"-",$B15),'FO-GC-012'!$B$20:$H$109,2,0),"")</f>
        <v/>
      </c>
      <c r="AF15" s="27" t="str">
        <f>IFERROR(VLOOKUP(CONCATENATE(AE$3,"-",$B15),'FO-GC-012'!$B$20:$H$109,5,0),"")</f>
        <v/>
      </c>
      <c r="AG15" s="28" t="str">
        <f>IFERROR(VLOOKUP(CONCATENATE(AE$3,"-",$B15),'FO-GC-012'!$B$20:$H$109,6,0),"")</f>
        <v/>
      </c>
      <c r="AH15" s="29" t="str">
        <f>IFERROR(VLOOKUP(CONCATENATE(AE$3,"-",$B15),'FO-GC-012'!$D$20:$H$109,5,0),"")</f>
        <v/>
      </c>
      <c r="AI15" s="26" t="str">
        <f>IFERROR(VLOOKUP(CONCATENATE(AI$3,"-",$B15),'FO-GC-012'!$B$20:$H$109,2,0),"")</f>
        <v/>
      </c>
      <c r="AJ15" s="27" t="str">
        <f>IFERROR(VLOOKUP(CONCATENATE(AI$3,"-",$B15),'FO-GC-012'!$B$20:$H$109,5,0),"")</f>
        <v/>
      </c>
      <c r="AK15" s="28" t="str">
        <f>IFERROR(VLOOKUP(CONCATENATE(AI$3,"-",$B15),'FO-GC-012'!$B$20:$H$109,6,0),"")</f>
        <v/>
      </c>
      <c r="AL15" s="29" t="str">
        <f>IFERROR(VLOOKUP(CONCATENATE(AI$3,"-",$B15),'FO-GC-012'!$D$20:$H$109,5,0),"")</f>
        <v/>
      </c>
      <c r="AM15" s="26" t="str">
        <f>IFERROR(VLOOKUP(CONCATENATE(AM$3,"-",$B15),'FO-GC-012'!$B$20:$H$109,2,0),"")</f>
        <v/>
      </c>
      <c r="AN15" s="27" t="str">
        <f>IFERROR(VLOOKUP(CONCATENATE(AM$3,"-",$B15),'FO-GC-012'!$B$20:$H$109,5,0),"")</f>
        <v/>
      </c>
      <c r="AO15" s="28" t="str">
        <f>IFERROR(VLOOKUP(CONCATENATE(AM$3,"-",$B15),'FO-GC-012'!$B$20:$H$109,6,0),"")</f>
        <v/>
      </c>
      <c r="AP15" s="29" t="str">
        <f>IFERROR(VLOOKUP(CONCATENATE(AM$3,"-",$B15),'FO-GC-012'!$D$20:$H$109,5,0),"")</f>
        <v/>
      </c>
      <c r="AQ15" s="26" t="str">
        <f>IFERROR(VLOOKUP(CONCATENATE(AQ$3,"-",$B15),'FO-GC-012'!$B$20:$H$109,2,0),"")</f>
        <v/>
      </c>
      <c r="AR15" s="27" t="str">
        <f>IFERROR(VLOOKUP(CONCATENATE(AQ$3,"-",$B15),'FO-GC-012'!$B$20:$H$109,5,0),"")</f>
        <v/>
      </c>
      <c r="AS15" s="28" t="str">
        <f>IFERROR(VLOOKUP(CONCATENATE(AQ$3,"-",$B15),'FO-GC-012'!$B$20:$H$109,6,0),"")</f>
        <v/>
      </c>
      <c r="AT15" s="29" t="str">
        <f>IFERROR(VLOOKUP(CONCATENATE(AQ$3,"-",$B15),'FO-GC-012'!$D$20:$H$109,5,0),"")</f>
        <v/>
      </c>
      <c r="AU15" s="26" t="str">
        <f>IFERROR(VLOOKUP(CONCATENATE(AU$3,"-",$B15),'FO-GC-012'!$B$20:$H$109,2,0),"")</f>
        <v/>
      </c>
      <c r="AV15" s="27" t="str">
        <f>IFERROR(VLOOKUP(CONCATENATE(AU$3,"-",$B15),'FO-GC-012'!$B$20:$H$109,5,0),"")</f>
        <v/>
      </c>
      <c r="AW15" s="28" t="str">
        <f>IFERROR(VLOOKUP(CONCATENATE(AU$3,"-",$B15),'FO-GC-012'!$B$20:$H$109,6,0),"")</f>
        <v/>
      </c>
      <c r="AX15" s="29" t="str">
        <f>IFERROR(VLOOKUP(CONCATENATE(AU$3,"-",$B15),'FO-GC-012'!$D$20:$H$109,5,0),"")</f>
        <v/>
      </c>
      <c r="AY15" s="26" t="str">
        <f>IFERROR(VLOOKUP(CONCATENATE(AY$3,"-",$B15),'FO-GC-012'!$B$20:$H$109,2,0),"")</f>
        <v/>
      </c>
      <c r="AZ15" s="27" t="str">
        <f>IFERROR(VLOOKUP(CONCATENATE(AY$3,"-",$B15),'FO-GC-012'!$B$20:$H$109,5,0),"")</f>
        <v/>
      </c>
      <c r="BA15" s="28" t="str">
        <f>IFERROR(VLOOKUP(CONCATENATE(AY$3,"-",$B15),'FO-GC-012'!$B$20:$H$109,6,0),"")</f>
        <v/>
      </c>
      <c r="BB15" s="29" t="str">
        <f>IFERROR(VLOOKUP(CONCATENATE(AY$3,"-",$B15),'FO-GC-012'!$D$20:$H$109,5,0),"")</f>
        <v/>
      </c>
      <c r="BC15" s="26" t="str">
        <f>IFERROR(VLOOKUP(CONCATENATE(BC$3,"-",$B15),'FO-GC-012'!$B$20:$H$109,2,0),"")</f>
        <v/>
      </c>
      <c r="BD15" s="27" t="str">
        <f>IFERROR(VLOOKUP(CONCATENATE(BC$3,"-",$B15),'FO-GC-012'!$B$20:$H$109,5,0),"")</f>
        <v/>
      </c>
      <c r="BE15" s="28" t="str">
        <f>IFERROR(VLOOKUP(CONCATENATE(BC$3,"-",$B15),'FO-GC-012'!$B$20:$H$109,6,0),"")</f>
        <v/>
      </c>
      <c r="BF15" s="29" t="str">
        <f>IFERROR(VLOOKUP(CONCATENATE(BC$3,"-",$B15),'FO-GC-012'!$D$20:$H$109,5,0),"")</f>
        <v/>
      </c>
      <c r="BG15" s="26" t="str">
        <f>IFERROR(VLOOKUP(CONCATENATE(BG$3,"-",$B15),'FO-GC-012'!$B$20:$H$109,2,0),"")</f>
        <v/>
      </c>
      <c r="BH15" s="27" t="str">
        <f>IFERROR(VLOOKUP(CONCATENATE(BG$3,"-",$B15),'FO-GC-012'!$B$20:$H$109,5,0),"")</f>
        <v/>
      </c>
      <c r="BI15" s="28" t="str">
        <f>IFERROR(VLOOKUP(CONCATENATE(BG$3,"-",$B15),'FO-GC-012'!$B$20:$H$109,6,0),"")</f>
        <v/>
      </c>
      <c r="BJ15" s="29" t="str">
        <f>IFERROR(VLOOKUP(CONCATENATE(BG$3,"-",$B15),'FO-GC-012'!$D$20:$H$109,5,0),"")</f>
        <v/>
      </c>
      <c r="BK15" s="26" t="str">
        <f>IFERROR(VLOOKUP(CONCATENATE(BK$3,"-",$B15),'FO-GC-012'!$B$20:$H$109,2,0),"")</f>
        <v/>
      </c>
      <c r="BL15" s="27" t="str">
        <f>IFERROR(VLOOKUP(CONCATENATE(BK$3,"-",$B15),'FO-GC-012'!$B$20:$H$109,5,0),"")</f>
        <v/>
      </c>
      <c r="BM15" s="28" t="str">
        <f>IFERROR(VLOOKUP(CONCATENATE(BK$3,"-",$B15),'FO-GC-012'!$B$20:$H$109,6,0),"")</f>
        <v/>
      </c>
      <c r="BN15" s="29" t="str">
        <f>IFERROR(VLOOKUP(CONCATENATE(BK$3,"-",$B15),'FO-GC-012'!$D$20:$H$109,5,0),"")</f>
        <v/>
      </c>
      <c r="BO15" s="26" t="str">
        <f>IFERROR(VLOOKUP(CONCATENATE(BO$3,"-",$B15),'FO-GC-012'!$B$20:$H$109,2,0),"")</f>
        <v/>
      </c>
      <c r="BP15" s="27" t="str">
        <f>IFERROR(VLOOKUP(CONCATENATE(BO$3,"-",$B15),'FO-GC-012'!$B$20:$H$109,5,0),"")</f>
        <v/>
      </c>
      <c r="BQ15" s="28" t="str">
        <f>IFERROR(VLOOKUP(CONCATENATE(BO$3,"-",$B15),'FO-GC-012'!$B$20:$H$109,6,0),"")</f>
        <v/>
      </c>
      <c r="BR15" s="29" t="str">
        <f>IFERROR(VLOOKUP(CONCATENATE(BO$3,"-",$B15),'FO-GC-012'!$D$20:$H$109,5,0),"")</f>
        <v/>
      </c>
      <c r="BS15" s="26" t="str">
        <f>IFERROR(VLOOKUP(CONCATENATE(BS$3,"-",$B15),'FO-GC-012'!$B$20:$H$109,2,0),"")</f>
        <v/>
      </c>
      <c r="BT15" s="27" t="str">
        <f>IFERROR(VLOOKUP(CONCATENATE(BS$3,"-",$B15),'FO-GC-012'!$B$20:$H$109,5,0),"")</f>
        <v/>
      </c>
      <c r="BU15" s="28" t="str">
        <f>IFERROR(VLOOKUP(CONCATENATE(BS$3,"-",$B15),'FO-GC-012'!$B$20:$H$109,6,0),"")</f>
        <v/>
      </c>
      <c r="BV15" s="29" t="str">
        <f>IFERROR(VLOOKUP(CONCATENATE(BS$3,"-",$B15),'FO-GC-012'!$D$20:$H$109,5,0),"")</f>
        <v/>
      </c>
      <c r="BW15" s="26" t="str">
        <f>IFERROR(VLOOKUP(CONCATENATE(BW$3,"-",$B15),'FO-GC-012'!$B$20:$H$109,2,0),"")</f>
        <v/>
      </c>
      <c r="BX15" s="27" t="str">
        <f>IFERROR(VLOOKUP(CONCATENATE(BW$3,"-",$B15),'FO-GC-012'!$B$20:$H$109,5,0),"")</f>
        <v/>
      </c>
      <c r="BY15" s="28" t="str">
        <f>IFERROR(VLOOKUP(CONCATENATE(BW$3,"-",$B15),'FO-GC-012'!$B$20:$H$109,6,0),"")</f>
        <v/>
      </c>
      <c r="BZ15" s="29" t="str">
        <f>IFERROR(VLOOKUP(CONCATENATE(BW$3,"-",$B15),'FO-GC-012'!$D$20:$H$109,5,0),"")</f>
        <v/>
      </c>
      <c r="CA15" s="26" t="str">
        <f>IFERROR(VLOOKUP(CONCATENATE(CA$3,"-",$B15),'FO-GC-012'!$B$20:$H$109,2,0),"")</f>
        <v/>
      </c>
      <c r="CB15" s="27" t="str">
        <f>IFERROR(VLOOKUP(CONCATENATE(CA$3,"-",$B15),'FO-GC-012'!$B$20:$H$109,5,0),"")</f>
        <v/>
      </c>
      <c r="CC15" s="28" t="str">
        <f>IFERROR(VLOOKUP(CONCATENATE(CA$3,"-",$B15),'FO-GC-012'!$B$20:$H$109,6,0),"")</f>
        <v/>
      </c>
      <c r="CD15" s="5" t="str">
        <f>IFERROR(VLOOKUP(CONCATENATE(CA$3,"-",$B15),'FO-GC-012'!$D$20:$H$109,5,0),"")</f>
        <v/>
      </c>
    </row>
    <row r="16" spans="1:82" ht="21" customHeight="1" x14ac:dyDescent="0.35">
      <c r="A16" s="183">
        <f t="shared" si="1"/>
        <v>13</v>
      </c>
      <c r="B16" s="125" t="str">
        <f>'Listas Desplegables'!B37</f>
        <v>Calidad Institucional</v>
      </c>
      <c r="C16" s="22" t="str">
        <f>IFERROR(VLOOKUP(CONCATENATE(C$3,"-",$B16),'FO-GC-012'!$B$20:$H$109,2,0),"")</f>
        <v/>
      </c>
      <c r="D16" s="23" t="str">
        <f>IFERROR(VLOOKUP(CONCATENATE(C$3,"-",$B16),'FO-GC-012'!$B$20:$H$109,5,0),"")</f>
        <v/>
      </c>
      <c r="E16" s="24" t="str">
        <f>IFERROR(VLOOKUP(CONCATENATE(C$3,"-",$B16),'FO-GC-012'!$B$20:$H$109,6,0),"")</f>
        <v/>
      </c>
      <c r="F16" s="25" t="str">
        <f>IFERROR(VLOOKUP(CONCATENATE(C$3,"-",$B16),'FO-GC-012'!$D$20:$H$109,5,0),"")</f>
        <v/>
      </c>
      <c r="G16" s="22" t="str">
        <f>IFERROR(VLOOKUP(CONCATENATE(G$3,"-",$B16),'FO-GC-012'!$B$20:$H$109,2,0),"")</f>
        <v/>
      </c>
      <c r="H16" s="23" t="str">
        <f>IFERROR(VLOOKUP(CONCATENATE(G$3,"-",$B16),'FO-GC-012'!$B$20:$H$109,5,0),"")</f>
        <v/>
      </c>
      <c r="I16" s="24" t="str">
        <f>IFERROR(VLOOKUP(CONCATENATE(G$3,"-",$B16),'FO-GC-012'!$B$20:$H$109,6,0),"")</f>
        <v/>
      </c>
      <c r="J16" s="25" t="str">
        <f>IFERROR(VLOOKUP(CONCATENATE(G$3,"-",$B16),'FO-GC-012'!$D$20:$H$109,5,0),"")</f>
        <v/>
      </c>
      <c r="K16" s="22" t="str">
        <f>IFERROR(VLOOKUP(CONCATENATE(K$3,"-",$B16),'FO-GC-012'!$B$20:$H$109,2,0),"")</f>
        <v/>
      </c>
      <c r="L16" s="23" t="str">
        <f>IFERROR(VLOOKUP(CONCATENATE(K$3,"-",$B16),'FO-GC-012'!$B$20:$H$109,5,0),"")</f>
        <v/>
      </c>
      <c r="M16" s="24" t="str">
        <f>IFERROR(VLOOKUP(CONCATENATE(K$3,"-",$B16),'FO-GC-012'!$B$20:$H$109,6,0),"")</f>
        <v/>
      </c>
      <c r="N16" s="25" t="str">
        <f>IFERROR(VLOOKUP(CONCATENATE(K$3,"-",$B16),'FO-GC-012'!$D$20:$H$109,5,0),"")</f>
        <v/>
      </c>
      <c r="O16" s="22" t="str">
        <f>IFERROR(VLOOKUP(CONCATENATE(O$3,"-",$B16),'FO-GC-012'!$B$20:$H$109,2,0),"")</f>
        <v/>
      </c>
      <c r="P16" s="23" t="str">
        <f>IFERROR(VLOOKUP(CONCATENATE(O$3,"-",$B16),'FO-GC-012'!$B$20:$H$109,5,0),"")</f>
        <v/>
      </c>
      <c r="Q16" s="24" t="str">
        <f>IFERROR(VLOOKUP(CONCATENATE(O$3,"-",$B16),'FO-GC-012'!$B$20:$H$109,6,0),"")</f>
        <v/>
      </c>
      <c r="R16" s="25" t="str">
        <f>IFERROR(VLOOKUP(CONCATENATE(O$3,"-",$B16),'FO-GC-012'!$D$20:$H$109,5,0),"")</f>
        <v/>
      </c>
      <c r="S16" s="22" t="str">
        <f>IFERROR(VLOOKUP(CONCATENATE(S$3,"-",$B16),'FO-GC-012'!$B$20:$H$109,2,0),"")</f>
        <v/>
      </c>
      <c r="T16" s="23" t="str">
        <f>IFERROR(VLOOKUP(CONCATENATE(S$3,"-",$B16),'FO-GC-012'!$B$20:$H$109,5,0),"")</f>
        <v/>
      </c>
      <c r="U16" s="24" t="str">
        <f>IFERROR(VLOOKUP(CONCATENATE(S$3,"-",$B16),'FO-GC-012'!$B$20:$H$109,6,0),"")</f>
        <v/>
      </c>
      <c r="V16" s="25" t="str">
        <f>IFERROR(VLOOKUP(CONCATENATE(S$3,"-",$B16),'FO-GC-012'!$D$20:$H$109,5,0),"")</f>
        <v/>
      </c>
      <c r="W16" s="22" t="str">
        <f>IFERROR(VLOOKUP(CONCATENATE(W$3,"-",$B16),'FO-GC-012'!$B$20:$H$109,2,0),"")</f>
        <v/>
      </c>
      <c r="X16" s="23" t="str">
        <f>IFERROR(VLOOKUP(CONCATENATE(W$3,"-",$B16),'FO-GC-012'!$B$20:$H$109,5,0),"")</f>
        <v/>
      </c>
      <c r="Y16" s="24" t="str">
        <f>IFERROR(VLOOKUP(CONCATENATE(W$3,"-",$B16),'FO-GC-012'!$B$20:$H$109,6,0),"")</f>
        <v/>
      </c>
      <c r="Z16" s="25" t="str">
        <f>IFERROR(VLOOKUP(CONCATENATE(W$3,"-",$B16),'FO-GC-012'!$D$20:$H$109,5,0),"")</f>
        <v/>
      </c>
      <c r="AA16" s="22" t="str">
        <f>IFERROR(VLOOKUP(CONCATENATE(AA$3,"-",$B16),'FO-GC-012'!$B$20:$H$109,2,0),"")</f>
        <v/>
      </c>
      <c r="AB16" s="23" t="str">
        <f>IFERROR(VLOOKUP(CONCATENATE(AA$3,"-",$B16),'FO-GC-012'!$B$20:$H$109,5,0),"")</f>
        <v/>
      </c>
      <c r="AC16" s="24" t="str">
        <f>IFERROR(VLOOKUP(CONCATENATE(AA$3,"-",$B16),'FO-GC-012'!$B$20:$H$109,6,0),"")</f>
        <v/>
      </c>
      <c r="AD16" s="25" t="str">
        <f>IFERROR(VLOOKUP(CONCATENATE(AA$3,"-",$B16),'FO-GC-012'!$D$20:$H$109,5,0),"")</f>
        <v/>
      </c>
      <c r="AE16" s="22" t="str">
        <f>IFERROR(VLOOKUP(CONCATENATE(AE$3,"-",$B16),'FO-GC-012'!$B$20:$H$109,2,0),"")</f>
        <v/>
      </c>
      <c r="AF16" s="23" t="str">
        <f>IFERROR(VLOOKUP(CONCATENATE(AE$3,"-",$B16),'FO-GC-012'!$B$20:$H$109,5,0),"")</f>
        <v/>
      </c>
      <c r="AG16" s="24" t="str">
        <f>IFERROR(VLOOKUP(CONCATENATE(AE$3,"-",$B16),'FO-GC-012'!$B$20:$H$109,6,0),"")</f>
        <v/>
      </c>
      <c r="AH16" s="25" t="str">
        <f>IFERROR(VLOOKUP(CONCATENATE(AE$3,"-",$B16),'FO-GC-012'!$D$20:$H$109,5,0),"")</f>
        <v/>
      </c>
      <c r="AI16" s="22" t="str">
        <f>IFERROR(VLOOKUP(CONCATENATE(AI$3,"-",$B16),'FO-GC-012'!$B$20:$H$109,2,0),"")</f>
        <v/>
      </c>
      <c r="AJ16" s="23" t="str">
        <f>IFERROR(VLOOKUP(CONCATENATE(AI$3,"-",$B16),'FO-GC-012'!$B$20:$H$109,5,0),"")</f>
        <v/>
      </c>
      <c r="AK16" s="24" t="str">
        <f>IFERROR(VLOOKUP(CONCATENATE(AI$3,"-",$B16),'FO-GC-012'!$B$20:$H$109,6,0),"")</f>
        <v/>
      </c>
      <c r="AL16" s="25" t="str">
        <f>IFERROR(VLOOKUP(CONCATENATE(AI$3,"-",$B16),'FO-GC-012'!$D$20:$H$109,5,0),"")</f>
        <v/>
      </c>
      <c r="AM16" s="22" t="str">
        <f>IFERROR(VLOOKUP(CONCATENATE(AM$3,"-",$B16),'FO-GC-012'!$B$20:$H$109,2,0),"")</f>
        <v/>
      </c>
      <c r="AN16" s="23" t="str">
        <f>IFERROR(VLOOKUP(CONCATENATE(AM$3,"-",$B16),'FO-GC-012'!$B$20:$H$109,5,0),"")</f>
        <v/>
      </c>
      <c r="AO16" s="24" t="str">
        <f>IFERROR(VLOOKUP(CONCATENATE(AM$3,"-",$B16),'FO-GC-012'!$B$20:$H$109,6,0),"")</f>
        <v/>
      </c>
      <c r="AP16" s="25" t="str">
        <f>IFERROR(VLOOKUP(CONCATENATE(AM$3,"-",$B16),'FO-GC-012'!$D$20:$H$109,5,0),"")</f>
        <v/>
      </c>
      <c r="AQ16" s="22" t="str">
        <f>IFERROR(VLOOKUP(CONCATENATE(AQ$3,"-",$B16),'FO-GC-012'!$B$20:$H$109,2,0),"")</f>
        <v/>
      </c>
      <c r="AR16" s="23" t="str">
        <f>IFERROR(VLOOKUP(CONCATENATE(AQ$3,"-",$B16),'FO-GC-012'!$B$20:$H$109,5,0),"")</f>
        <v/>
      </c>
      <c r="AS16" s="24" t="str">
        <f>IFERROR(VLOOKUP(CONCATENATE(AQ$3,"-",$B16),'FO-GC-012'!$B$20:$H$109,6,0),"")</f>
        <v/>
      </c>
      <c r="AT16" s="25" t="str">
        <f>IFERROR(VLOOKUP(CONCATENATE(AQ$3,"-",$B16),'FO-GC-012'!$D$20:$H$109,5,0),"")</f>
        <v/>
      </c>
      <c r="AU16" s="22" t="str">
        <f>IFERROR(VLOOKUP(CONCATENATE(AU$3,"-",$B16),'FO-GC-012'!$B$20:$H$109,2,0),"")</f>
        <v/>
      </c>
      <c r="AV16" s="23" t="str">
        <f>IFERROR(VLOOKUP(CONCATENATE(AU$3,"-",$B16),'FO-GC-012'!$B$20:$H$109,5,0),"")</f>
        <v/>
      </c>
      <c r="AW16" s="24" t="str">
        <f>IFERROR(VLOOKUP(CONCATENATE(AU$3,"-",$B16),'FO-GC-012'!$B$20:$H$109,6,0),"")</f>
        <v/>
      </c>
      <c r="AX16" s="25" t="str">
        <f>IFERROR(VLOOKUP(CONCATENATE(AU$3,"-",$B16),'FO-GC-012'!$D$20:$H$109,5,0),"")</f>
        <v/>
      </c>
      <c r="AY16" s="22" t="str">
        <f>IFERROR(VLOOKUP(CONCATENATE(AY$3,"-",$B16),'FO-GC-012'!$B$20:$H$109,2,0),"")</f>
        <v/>
      </c>
      <c r="AZ16" s="23" t="str">
        <f>IFERROR(VLOOKUP(CONCATENATE(AY$3,"-",$B16),'FO-GC-012'!$B$20:$H$109,5,0),"")</f>
        <v/>
      </c>
      <c r="BA16" s="24" t="str">
        <f>IFERROR(VLOOKUP(CONCATENATE(AY$3,"-",$B16),'FO-GC-012'!$B$20:$H$109,6,0),"")</f>
        <v/>
      </c>
      <c r="BB16" s="25" t="str">
        <f>IFERROR(VLOOKUP(CONCATENATE(AY$3,"-",$B16),'FO-GC-012'!$D$20:$H$109,5,0),"")</f>
        <v/>
      </c>
      <c r="BC16" s="22" t="str">
        <f>IFERROR(VLOOKUP(CONCATENATE(BC$3,"-",$B16),'FO-GC-012'!$B$20:$H$109,2,0),"")</f>
        <v/>
      </c>
      <c r="BD16" s="23" t="str">
        <f>IFERROR(VLOOKUP(CONCATENATE(BC$3,"-",$B16),'FO-GC-012'!$B$20:$H$109,5,0),"")</f>
        <v/>
      </c>
      <c r="BE16" s="24" t="str">
        <f>IFERROR(VLOOKUP(CONCATENATE(BC$3,"-",$B16),'FO-GC-012'!$B$20:$H$109,6,0),"")</f>
        <v/>
      </c>
      <c r="BF16" s="25" t="str">
        <f>IFERROR(VLOOKUP(CONCATENATE(BC$3,"-",$B16),'FO-GC-012'!$D$20:$H$109,5,0),"")</f>
        <v/>
      </c>
      <c r="BG16" s="22" t="str">
        <f>IFERROR(VLOOKUP(CONCATENATE(BG$3,"-",$B16),'FO-GC-012'!$B$20:$H$109,2,0),"")</f>
        <v/>
      </c>
      <c r="BH16" s="23" t="str">
        <f>IFERROR(VLOOKUP(CONCATENATE(BG$3,"-",$B16),'FO-GC-012'!$B$20:$H$109,5,0),"")</f>
        <v/>
      </c>
      <c r="BI16" s="24" t="str">
        <f>IFERROR(VLOOKUP(CONCATENATE(BG$3,"-",$B16),'FO-GC-012'!$B$20:$H$109,6,0),"")</f>
        <v/>
      </c>
      <c r="BJ16" s="25" t="str">
        <f>IFERROR(VLOOKUP(CONCATENATE(BG$3,"-",$B16),'FO-GC-012'!$D$20:$H$109,5,0),"")</f>
        <v/>
      </c>
      <c r="BK16" s="22" t="str">
        <f>IFERROR(VLOOKUP(CONCATENATE(BK$3,"-",$B16),'FO-GC-012'!$B$20:$H$109,2,0),"")</f>
        <v/>
      </c>
      <c r="BL16" s="23" t="str">
        <f>IFERROR(VLOOKUP(CONCATENATE(BK$3,"-",$B16),'FO-GC-012'!$B$20:$H$109,5,0),"")</f>
        <v/>
      </c>
      <c r="BM16" s="24" t="str">
        <f>IFERROR(VLOOKUP(CONCATENATE(BK$3,"-",$B16),'FO-GC-012'!$B$20:$H$109,6,0),"")</f>
        <v/>
      </c>
      <c r="BN16" s="25" t="str">
        <f>IFERROR(VLOOKUP(CONCATENATE(BK$3,"-",$B16),'FO-GC-012'!$D$20:$H$109,5,0),"")</f>
        <v/>
      </c>
      <c r="BO16" s="22" t="str">
        <f>IFERROR(VLOOKUP(CONCATENATE(BO$3,"-",$B16),'FO-GC-012'!$B$20:$H$109,2,0),"")</f>
        <v/>
      </c>
      <c r="BP16" s="23" t="str">
        <f>IFERROR(VLOOKUP(CONCATENATE(BO$3,"-",$B16),'FO-GC-012'!$B$20:$H$109,5,0),"")</f>
        <v/>
      </c>
      <c r="BQ16" s="24" t="str">
        <f>IFERROR(VLOOKUP(CONCATENATE(BO$3,"-",$B16),'FO-GC-012'!$B$20:$H$109,6,0),"")</f>
        <v/>
      </c>
      <c r="BR16" s="25" t="str">
        <f>IFERROR(VLOOKUP(CONCATENATE(BO$3,"-",$B16),'FO-GC-012'!$D$20:$H$109,5,0),"")</f>
        <v/>
      </c>
      <c r="BS16" s="22" t="str">
        <f>IFERROR(VLOOKUP(CONCATENATE(BS$3,"-",$B16),'FO-GC-012'!$B$20:$H$109,2,0),"")</f>
        <v/>
      </c>
      <c r="BT16" s="23" t="str">
        <f>IFERROR(VLOOKUP(CONCATENATE(BS$3,"-",$B16),'FO-GC-012'!$B$20:$H$109,5,0),"")</f>
        <v/>
      </c>
      <c r="BU16" s="24" t="str">
        <f>IFERROR(VLOOKUP(CONCATENATE(BS$3,"-",$B16),'FO-GC-012'!$B$20:$H$109,6,0),"")</f>
        <v/>
      </c>
      <c r="BV16" s="25" t="str">
        <f>IFERROR(VLOOKUP(CONCATENATE(BS$3,"-",$B16),'FO-GC-012'!$D$20:$H$109,5,0),"")</f>
        <v/>
      </c>
      <c r="BW16" s="22" t="str">
        <f>IFERROR(VLOOKUP(CONCATENATE(BW$3,"-",$B16),'FO-GC-012'!$B$20:$H$109,2,0),"")</f>
        <v/>
      </c>
      <c r="BX16" s="23" t="str">
        <f>IFERROR(VLOOKUP(CONCATENATE(BW$3,"-",$B16),'FO-GC-012'!$B$20:$H$109,5,0),"")</f>
        <v/>
      </c>
      <c r="BY16" s="24" t="str">
        <f>IFERROR(VLOOKUP(CONCATENATE(BW$3,"-",$B16),'FO-GC-012'!$B$20:$H$109,6,0),"")</f>
        <v/>
      </c>
      <c r="BZ16" s="25" t="str">
        <f>IFERROR(VLOOKUP(CONCATENATE(BW$3,"-",$B16),'FO-GC-012'!$D$20:$H$109,5,0),"")</f>
        <v/>
      </c>
      <c r="CA16" s="22" t="str">
        <f>IFERROR(VLOOKUP(CONCATENATE(CA$3,"-",$B16),'FO-GC-012'!$B$20:$H$109,2,0),"")</f>
        <v/>
      </c>
      <c r="CB16" s="23" t="str">
        <f>IFERROR(VLOOKUP(CONCATENATE(CA$3,"-",$B16),'FO-GC-012'!$B$20:$H$109,5,0),"")</f>
        <v/>
      </c>
      <c r="CC16" s="24" t="str">
        <f>IFERROR(VLOOKUP(CONCATENATE(CA$3,"-",$B16),'FO-GC-012'!$B$20:$H$109,6,0),"")</f>
        <v/>
      </c>
      <c r="CD16" s="5" t="str">
        <f>IFERROR(VLOOKUP(CONCATENATE(CA$3,"-",$B16),'FO-GC-012'!$D$20:$H$109,5,0),"")</f>
        <v/>
      </c>
    </row>
    <row r="17" spans="1:82" ht="21" customHeight="1" x14ac:dyDescent="0.35">
      <c r="A17" s="184">
        <f t="shared" si="1"/>
        <v>14</v>
      </c>
      <c r="B17" s="125" t="str">
        <f>'Listas Desplegables'!B38</f>
        <v>Autoevaluación Institucional</v>
      </c>
      <c r="C17" s="26" t="str">
        <f>IFERROR(VLOOKUP(CONCATENATE(C$3,"-",$B17),'FO-GC-012'!$B$20:$H$109,2,0),"")</f>
        <v/>
      </c>
      <c r="D17" s="27" t="str">
        <f>IFERROR(VLOOKUP(CONCATENATE(C$3,"-",$B17),'FO-GC-012'!$B$20:$H$109,5,0),"")</f>
        <v/>
      </c>
      <c r="E17" s="28" t="str">
        <f>IFERROR(VLOOKUP(CONCATENATE(C$3,"-",$B17),'FO-GC-012'!$B$20:$H$109,6,0),"")</f>
        <v/>
      </c>
      <c r="F17" s="29" t="str">
        <f>IFERROR(VLOOKUP(CONCATENATE(C$3,"-",$B17),'FO-GC-012'!$D$20:$H$109,5,0),"")</f>
        <v/>
      </c>
      <c r="G17" s="26" t="str">
        <f>IFERROR(VLOOKUP(CONCATENATE(G$3,"-",$B17),'FO-GC-012'!$B$20:$H$109,2,0),"")</f>
        <v/>
      </c>
      <c r="H17" s="27" t="str">
        <f>IFERROR(VLOOKUP(CONCATENATE(G$3,"-",$B17),'FO-GC-012'!$B$20:$H$109,5,0),"")</f>
        <v/>
      </c>
      <c r="I17" s="28" t="str">
        <f>IFERROR(VLOOKUP(CONCATENATE(G$3,"-",$B17),'FO-GC-012'!$B$20:$H$109,6,0),"")</f>
        <v/>
      </c>
      <c r="J17" s="29" t="str">
        <f>IFERROR(VLOOKUP(CONCATENATE(G$3,"-",$B17),'FO-GC-012'!$D$20:$H$109,5,0),"")</f>
        <v/>
      </c>
      <c r="K17" s="26" t="str">
        <f>IFERROR(VLOOKUP(CONCATENATE(K$3,"-",$B17),'FO-GC-012'!$B$20:$H$109,2,0),"")</f>
        <v/>
      </c>
      <c r="L17" s="27" t="str">
        <f>IFERROR(VLOOKUP(CONCATENATE(K$3,"-",$B17),'FO-GC-012'!$B$20:$H$109,5,0),"")</f>
        <v/>
      </c>
      <c r="M17" s="28" t="str">
        <f>IFERROR(VLOOKUP(CONCATENATE(K$3,"-",$B17),'FO-GC-012'!$B$20:$H$109,6,0),"")</f>
        <v/>
      </c>
      <c r="N17" s="29" t="str">
        <f>IFERROR(VLOOKUP(CONCATENATE(K$3,"-",$B17),'FO-GC-012'!$D$20:$H$109,5,0),"")</f>
        <v/>
      </c>
      <c r="O17" s="26" t="str">
        <f>IFERROR(VLOOKUP(CONCATENATE(O$3,"-",$B17),'FO-GC-012'!$B$20:$H$109,2,0),"")</f>
        <v/>
      </c>
      <c r="P17" s="27" t="str">
        <f>IFERROR(VLOOKUP(CONCATENATE(O$3,"-",$B17),'FO-GC-012'!$B$20:$H$109,5,0),"")</f>
        <v/>
      </c>
      <c r="Q17" s="28" t="str">
        <f>IFERROR(VLOOKUP(CONCATENATE(O$3,"-",$B17),'FO-GC-012'!$B$20:$H$109,6,0),"")</f>
        <v/>
      </c>
      <c r="R17" s="29" t="str">
        <f>IFERROR(VLOOKUP(CONCATENATE(O$3,"-",$B17),'FO-GC-012'!$D$20:$H$109,5,0),"")</f>
        <v/>
      </c>
      <c r="S17" s="26" t="str">
        <f>IFERROR(VLOOKUP(CONCATENATE(S$3,"-",$B17),'FO-GC-012'!$B$20:$H$109,2,0),"")</f>
        <v/>
      </c>
      <c r="T17" s="27" t="str">
        <f>IFERROR(VLOOKUP(CONCATENATE(S$3,"-",$B17),'FO-GC-012'!$B$20:$H$109,5,0),"")</f>
        <v/>
      </c>
      <c r="U17" s="28" t="str">
        <f>IFERROR(VLOOKUP(CONCATENATE(S$3,"-",$B17),'FO-GC-012'!$B$20:$H$109,6,0),"")</f>
        <v/>
      </c>
      <c r="V17" s="29" t="str">
        <f>IFERROR(VLOOKUP(CONCATENATE(S$3,"-",$B17),'FO-GC-012'!$D$20:$H$109,5,0),"")</f>
        <v/>
      </c>
      <c r="W17" s="26" t="str">
        <f>IFERROR(VLOOKUP(CONCATENATE(W$3,"-",$B17),'FO-GC-012'!$B$20:$H$109,2,0),"")</f>
        <v/>
      </c>
      <c r="X17" s="27" t="str">
        <f>IFERROR(VLOOKUP(CONCATENATE(W$3,"-",$B17),'FO-GC-012'!$B$20:$H$109,5,0),"")</f>
        <v/>
      </c>
      <c r="Y17" s="28" t="str">
        <f>IFERROR(VLOOKUP(CONCATENATE(W$3,"-",$B17),'FO-GC-012'!$B$20:$H$109,6,0),"")</f>
        <v/>
      </c>
      <c r="Z17" s="29" t="str">
        <f>IFERROR(VLOOKUP(CONCATENATE(W$3,"-",$B17),'FO-GC-012'!$D$20:$H$109,5,0),"")</f>
        <v/>
      </c>
      <c r="AA17" s="26" t="str">
        <f>IFERROR(VLOOKUP(CONCATENATE(AA$3,"-",$B17),'FO-GC-012'!$B$20:$H$109,2,0),"")</f>
        <v/>
      </c>
      <c r="AB17" s="27" t="str">
        <f>IFERROR(VLOOKUP(CONCATENATE(AA$3,"-",$B17),'FO-GC-012'!$B$20:$H$109,5,0),"")</f>
        <v/>
      </c>
      <c r="AC17" s="28" t="str">
        <f>IFERROR(VLOOKUP(CONCATENATE(AA$3,"-",$B17),'FO-GC-012'!$B$20:$H$109,6,0),"")</f>
        <v/>
      </c>
      <c r="AD17" s="29" t="str">
        <f>IFERROR(VLOOKUP(CONCATENATE(AA$3,"-",$B17),'FO-GC-012'!$D$20:$H$109,5,0),"")</f>
        <v/>
      </c>
      <c r="AE17" s="26" t="str">
        <f>IFERROR(VLOOKUP(CONCATENATE(AE$3,"-",$B17),'FO-GC-012'!$B$20:$H$109,2,0),"")</f>
        <v/>
      </c>
      <c r="AF17" s="27" t="str">
        <f>IFERROR(VLOOKUP(CONCATENATE(AE$3,"-",$B17),'FO-GC-012'!$B$20:$H$109,5,0),"")</f>
        <v/>
      </c>
      <c r="AG17" s="28" t="str">
        <f>IFERROR(VLOOKUP(CONCATENATE(AE$3,"-",$B17),'FO-GC-012'!$B$20:$H$109,6,0),"")</f>
        <v/>
      </c>
      <c r="AH17" s="29" t="str">
        <f>IFERROR(VLOOKUP(CONCATENATE(AE$3,"-",$B17),'FO-GC-012'!$D$20:$H$109,5,0),"")</f>
        <v/>
      </c>
      <c r="AI17" s="26" t="str">
        <f>IFERROR(VLOOKUP(CONCATENATE(AI$3,"-",$B17),'FO-GC-012'!$B$20:$H$109,2,0),"")</f>
        <v/>
      </c>
      <c r="AJ17" s="27" t="str">
        <f>IFERROR(VLOOKUP(CONCATENATE(AI$3,"-",$B17),'FO-GC-012'!$B$20:$H$109,5,0),"")</f>
        <v/>
      </c>
      <c r="AK17" s="28" t="str">
        <f>IFERROR(VLOOKUP(CONCATENATE(AI$3,"-",$B17),'FO-GC-012'!$B$20:$H$109,6,0),"")</f>
        <v/>
      </c>
      <c r="AL17" s="29" t="str">
        <f>IFERROR(VLOOKUP(CONCATENATE(AI$3,"-",$B17),'FO-GC-012'!$D$20:$H$109,5,0),"")</f>
        <v/>
      </c>
      <c r="AM17" s="26" t="str">
        <f>IFERROR(VLOOKUP(CONCATENATE(AM$3,"-",$B17),'FO-GC-012'!$B$20:$H$109,2,0),"")</f>
        <v/>
      </c>
      <c r="AN17" s="27" t="str">
        <f>IFERROR(VLOOKUP(CONCATENATE(AM$3,"-",$B17),'FO-GC-012'!$B$20:$H$109,5,0),"")</f>
        <v/>
      </c>
      <c r="AO17" s="28" t="str">
        <f>IFERROR(VLOOKUP(CONCATENATE(AM$3,"-",$B17),'FO-GC-012'!$B$20:$H$109,6,0),"")</f>
        <v/>
      </c>
      <c r="AP17" s="29" t="str">
        <f>IFERROR(VLOOKUP(CONCATENATE(AM$3,"-",$B17),'FO-GC-012'!$D$20:$H$109,5,0),"")</f>
        <v/>
      </c>
      <c r="AQ17" s="26" t="str">
        <f>IFERROR(VLOOKUP(CONCATENATE(AQ$3,"-",$B17),'FO-GC-012'!$B$20:$H$109,2,0),"")</f>
        <v/>
      </c>
      <c r="AR17" s="27" t="str">
        <f>IFERROR(VLOOKUP(CONCATENATE(AQ$3,"-",$B17),'FO-GC-012'!$B$20:$H$109,5,0),"")</f>
        <v/>
      </c>
      <c r="AS17" s="28" t="str">
        <f>IFERROR(VLOOKUP(CONCATENATE(AQ$3,"-",$B17),'FO-GC-012'!$B$20:$H$109,6,0),"")</f>
        <v/>
      </c>
      <c r="AT17" s="29" t="str">
        <f>IFERROR(VLOOKUP(CONCATENATE(AQ$3,"-",$B17),'FO-GC-012'!$D$20:$H$109,5,0),"")</f>
        <v/>
      </c>
      <c r="AU17" s="26" t="str">
        <f>IFERROR(VLOOKUP(CONCATENATE(AU$3,"-",$B17),'FO-GC-012'!$B$20:$H$109,2,0),"")</f>
        <v/>
      </c>
      <c r="AV17" s="27" t="str">
        <f>IFERROR(VLOOKUP(CONCATENATE(AU$3,"-",$B17),'FO-GC-012'!$B$20:$H$109,5,0),"")</f>
        <v/>
      </c>
      <c r="AW17" s="28" t="str">
        <f>IFERROR(VLOOKUP(CONCATENATE(AU$3,"-",$B17),'FO-GC-012'!$B$20:$H$109,6,0),"")</f>
        <v/>
      </c>
      <c r="AX17" s="29" t="str">
        <f>IFERROR(VLOOKUP(CONCATENATE(AU$3,"-",$B17),'FO-GC-012'!$D$20:$H$109,5,0),"")</f>
        <v/>
      </c>
      <c r="AY17" s="26" t="str">
        <f>IFERROR(VLOOKUP(CONCATENATE(AY$3,"-",$B17),'FO-GC-012'!$B$20:$H$109,2,0),"")</f>
        <v/>
      </c>
      <c r="AZ17" s="27" t="str">
        <f>IFERROR(VLOOKUP(CONCATENATE(AY$3,"-",$B17),'FO-GC-012'!$B$20:$H$109,5,0),"")</f>
        <v/>
      </c>
      <c r="BA17" s="28" t="str">
        <f>IFERROR(VLOOKUP(CONCATENATE(AY$3,"-",$B17),'FO-GC-012'!$B$20:$H$109,6,0),"")</f>
        <v/>
      </c>
      <c r="BB17" s="29" t="str">
        <f>IFERROR(VLOOKUP(CONCATENATE(AY$3,"-",$B17),'FO-GC-012'!$D$20:$H$109,5,0),"")</f>
        <v/>
      </c>
      <c r="BC17" s="26" t="str">
        <f>IFERROR(VLOOKUP(CONCATENATE(BC$3,"-",$B17),'FO-GC-012'!$B$20:$H$109,2,0),"")</f>
        <v/>
      </c>
      <c r="BD17" s="27" t="str">
        <f>IFERROR(VLOOKUP(CONCATENATE(BC$3,"-",$B17),'FO-GC-012'!$B$20:$H$109,5,0),"")</f>
        <v/>
      </c>
      <c r="BE17" s="28" t="str">
        <f>IFERROR(VLOOKUP(CONCATENATE(BC$3,"-",$B17),'FO-GC-012'!$B$20:$H$109,6,0),"")</f>
        <v/>
      </c>
      <c r="BF17" s="29" t="str">
        <f>IFERROR(VLOOKUP(CONCATENATE(BC$3,"-",$B17),'FO-GC-012'!$D$20:$H$109,5,0),"")</f>
        <v/>
      </c>
      <c r="BG17" s="26" t="str">
        <f>IFERROR(VLOOKUP(CONCATENATE(BG$3,"-",$B17),'FO-GC-012'!$B$20:$H$109,2,0),"")</f>
        <v/>
      </c>
      <c r="BH17" s="27" t="str">
        <f>IFERROR(VLOOKUP(CONCATENATE(BG$3,"-",$B17),'FO-GC-012'!$B$20:$H$109,5,0),"")</f>
        <v/>
      </c>
      <c r="BI17" s="28" t="str">
        <f>IFERROR(VLOOKUP(CONCATENATE(BG$3,"-",$B17),'FO-GC-012'!$B$20:$H$109,6,0),"")</f>
        <v/>
      </c>
      <c r="BJ17" s="29" t="str">
        <f>IFERROR(VLOOKUP(CONCATENATE(BG$3,"-",$B17),'FO-GC-012'!$D$20:$H$109,5,0),"")</f>
        <v/>
      </c>
      <c r="BK17" s="26" t="str">
        <f>IFERROR(VLOOKUP(CONCATENATE(BK$3,"-",$B17),'FO-GC-012'!$B$20:$H$109,2,0),"")</f>
        <v/>
      </c>
      <c r="BL17" s="27" t="str">
        <f>IFERROR(VLOOKUP(CONCATENATE(BK$3,"-",$B17),'FO-GC-012'!$B$20:$H$109,5,0),"")</f>
        <v/>
      </c>
      <c r="BM17" s="28" t="str">
        <f>IFERROR(VLOOKUP(CONCATENATE(BK$3,"-",$B17),'FO-GC-012'!$B$20:$H$109,6,0),"")</f>
        <v/>
      </c>
      <c r="BN17" s="29" t="str">
        <f>IFERROR(VLOOKUP(CONCATENATE(BK$3,"-",$B17),'FO-GC-012'!$D$20:$H$109,5,0),"")</f>
        <v/>
      </c>
      <c r="BO17" s="26" t="str">
        <f>IFERROR(VLOOKUP(CONCATENATE(BO$3,"-",$B17),'FO-GC-012'!$B$20:$H$109,2,0),"")</f>
        <v/>
      </c>
      <c r="BP17" s="27" t="str">
        <f>IFERROR(VLOOKUP(CONCATENATE(BO$3,"-",$B17),'FO-GC-012'!$B$20:$H$109,5,0),"")</f>
        <v/>
      </c>
      <c r="BQ17" s="28" t="str">
        <f>IFERROR(VLOOKUP(CONCATENATE(BO$3,"-",$B17),'FO-GC-012'!$B$20:$H$109,6,0),"")</f>
        <v/>
      </c>
      <c r="BR17" s="29" t="str">
        <f>IFERROR(VLOOKUP(CONCATENATE(BO$3,"-",$B17),'FO-GC-012'!$D$20:$H$109,5,0),"")</f>
        <v/>
      </c>
      <c r="BS17" s="26" t="str">
        <f>IFERROR(VLOOKUP(CONCATENATE(BS$3,"-",$B17),'FO-GC-012'!$B$20:$H$109,2,0),"")</f>
        <v/>
      </c>
      <c r="BT17" s="27" t="str">
        <f>IFERROR(VLOOKUP(CONCATENATE(BS$3,"-",$B17),'FO-GC-012'!$B$20:$H$109,5,0),"")</f>
        <v/>
      </c>
      <c r="BU17" s="28" t="str">
        <f>IFERROR(VLOOKUP(CONCATENATE(BS$3,"-",$B17),'FO-GC-012'!$B$20:$H$109,6,0),"")</f>
        <v/>
      </c>
      <c r="BV17" s="29" t="str">
        <f>IFERROR(VLOOKUP(CONCATENATE(BS$3,"-",$B17),'FO-GC-012'!$D$20:$H$109,5,0),"")</f>
        <v/>
      </c>
      <c r="BW17" s="26" t="str">
        <f>IFERROR(VLOOKUP(CONCATENATE(BW$3,"-",$B17),'FO-GC-012'!$B$20:$H$109,2,0),"")</f>
        <v/>
      </c>
      <c r="BX17" s="27" t="str">
        <f>IFERROR(VLOOKUP(CONCATENATE(BW$3,"-",$B17),'FO-GC-012'!$B$20:$H$109,5,0),"")</f>
        <v/>
      </c>
      <c r="BY17" s="28" t="str">
        <f>IFERROR(VLOOKUP(CONCATENATE(BW$3,"-",$B17),'FO-GC-012'!$B$20:$H$109,6,0),"")</f>
        <v/>
      </c>
      <c r="BZ17" s="29" t="str">
        <f>IFERROR(VLOOKUP(CONCATENATE(BW$3,"-",$B17),'FO-GC-012'!$D$20:$H$109,5,0),"")</f>
        <v/>
      </c>
      <c r="CA17" s="26" t="str">
        <f>IFERROR(VLOOKUP(CONCATENATE(CA$3,"-",$B17),'FO-GC-012'!$B$20:$H$109,2,0),"")</f>
        <v/>
      </c>
      <c r="CB17" s="27" t="str">
        <f>IFERROR(VLOOKUP(CONCATENATE(CA$3,"-",$B17),'FO-GC-012'!$B$20:$H$109,5,0),"")</f>
        <v/>
      </c>
      <c r="CC17" s="28" t="str">
        <f>IFERROR(VLOOKUP(CONCATENATE(CA$3,"-",$B17),'FO-GC-012'!$B$20:$H$109,6,0),"")</f>
        <v/>
      </c>
      <c r="CD17" s="5" t="str">
        <f>IFERROR(VLOOKUP(CONCATENATE(CA$3,"-",$B17),'FO-GC-012'!$D$20:$H$109,5,0),"")</f>
        <v/>
      </c>
    </row>
    <row r="18" spans="1:82" ht="21" customHeight="1" x14ac:dyDescent="0.35">
      <c r="A18" s="183">
        <f t="shared" si="1"/>
        <v>15</v>
      </c>
      <c r="B18" s="125" t="str">
        <f>'Listas Desplegables'!B39</f>
        <v xml:space="preserve">Registro Calificado </v>
      </c>
      <c r="C18" s="22" t="str">
        <f>IFERROR(VLOOKUP(CONCATENATE(C$3,"-",$B18),'FO-GC-012'!$B$20:$H$109,2,0),"")</f>
        <v/>
      </c>
      <c r="D18" s="23" t="str">
        <f>IFERROR(VLOOKUP(CONCATENATE(C$3,"-",$B18),'FO-GC-012'!$B$20:$H$109,5,0),"")</f>
        <v/>
      </c>
      <c r="E18" s="24" t="str">
        <f>IFERROR(VLOOKUP(CONCATENATE(C$3,"-",$B18),'FO-GC-012'!$B$20:$H$109,6,0),"")</f>
        <v/>
      </c>
      <c r="F18" s="25" t="str">
        <f>IFERROR(VLOOKUP(CONCATENATE(C$3,"-",$B18),'FO-GC-012'!$D$20:$H$109,5,0),"")</f>
        <v/>
      </c>
      <c r="G18" s="22" t="str">
        <f>IFERROR(VLOOKUP(CONCATENATE(G$3,"-",$B18),'FO-GC-012'!$B$20:$H$109,2,0),"")</f>
        <v/>
      </c>
      <c r="H18" s="23" t="str">
        <f>IFERROR(VLOOKUP(CONCATENATE(G$3,"-",$B18),'FO-GC-012'!$B$20:$H$109,5,0),"")</f>
        <v/>
      </c>
      <c r="I18" s="24" t="str">
        <f>IFERROR(VLOOKUP(CONCATENATE(G$3,"-",$B18),'FO-GC-012'!$B$20:$H$109,6,0),"")</f>
        <v/>
      </c>
      <c r="J18" s="25" t="str">
        <f>IFERROR(VLOOKUP(CONCATENATE(G$3,"-",$B18),'FO-GC-012'!$D$20:$H$109,5,0),"")</f>
        <v/>
      </c>
      <c r="K18" s="22" t="str">
        <f>IFERROR(VLOOKUP(CONCATENATE(K$3,"-",$B18),'FO-GC-012'!$B$20:$H$109,2,0),"")</f>
        <v/>
      </c>
      <c r="L18" s="23" t="str">
        <f>IFERROR(VLOOKUP(CONCATENATE(K$3,"-",$B18),'FO-GC-012'!$B$20:$H$109,5,0),"")</f>
        <v/>
      </c>
      <c r="M18" s="24" t="str">
        <f>IFERROR(VLOOKUP(CONCATENATE(K$3,"-",$B18),'FO-GC-012'!$B$20:$H$109,6,0),"")</f>
        <v/>
      </c>
      <c r="N18" s="25" t="str">
        <f>IFERROR(VLOOKUP(CONCATENATE(K$3,"-",$B18),'FO-GC-012'!$D$20:$H$109,5,0),"")</f>
        <v/>
      </c>
      <c r="O18" s="22" t="str">
        <f>IFERROR(VLOOKUP(CONCATENATE(O$3,"-",$B18),'FO-GC-012'!$B$20:$H$109,2,0),"")</f>
        <v/>
      </c>
      <c r="P18" s="23" t="str">
        <f>IFERROR(VLOOKUP(CONCATENATE(O$3,"-",$B18),'FO-GC-012'!$B$20:$H$109,5,0),"")</f>
        <v/>
      </c>
      <c r="Q18" s="24" t="str">
        <f>IFERROR(VLOOKUP(CONCATENATE(O$3,"-",$B18),'FO-GC-012'!$B$20:$H$109,6,0),"")</f>
        <v/>
      </c>
      <c r="R18" s="25" t="str">
        <f>IFERROR(VLOOKUP(CONCATENATE(O$3,"-",$B18),'FO-GC-012'!$D$20:$H$109,5,0),"")</f>
        <v/>
      </c>
      <c r="S18" s="22" t="str">
        <f>IFERROR(VLOOKUP(CONCATENATE(S$3,"-",$B18),'FO-GC-012'!$B$20:$H$109,2,0),"")</f>
        <v/>
      </c>
      <c r="T18" s="23" t="str">
        <f>IFERROR(VLOOKUP(CONCATENATE(S$3,"-",$B18),'FO-GC-012'!$B$20:$H$109,5,0),"")</f>
        <v/>
      </c>
      <c r="U18" s="24" t="str">
        <f>IFERROR(VLOOKUP(CONCATENATE(S$3,"-",$B18),'FO-GC-012'!$B$20:$H$109,6,0),"")</f>
        <v/>
      </c>
      <c r="V18" s="25" t="str">
        <f>IFERROR(VLOOKUP(CONCATENATE(S$3,"-",$B18),'FO-GC-012'!$D$20:$H$109,5,0),"")</f>
        <v/>
      </c>
      <c r="W18" s="22" t="str">
        <f>IFERROR(VLOOKUP(CONCATENATE(W$3,"-",$B18),'FO-GC-012'!$B$20:$H$109,2,0),"")</f>
        <v/>
      </c>
      <c r="X18" s="23" t="str">
        <f>IFERROR(VLOOKUP(CONCATENATE(W$3,"-",$B18),'FO-GC-012'!$B$20:$H$109,5,0),"")</f>
        <v/>
      </c>
      <c r="Y18" s="24" t="str">
        <f>IFERROR(VLOOKUP(CONCATENATE(W$3,"-",$B18),'FO-GC-012'!$B$20:$H$109,6,0),"")</f>
        <v/>
      </c>
      <c r="Z18" s="25" t="str">
        <f>IFERROR(VLOOKUP(CONCATENATE(W$3,"-",$B18),'FO-GC-012'!$D$20:$H$109,5,0),"")</f>
        <v/>
      </c>
      <c r="AA18" s="22" t="str">
        <f>IFERROR(VLOOKUP(CONCATENATE(AA$3,"-",$B18),'FO-GC-012'!$B$20:$H$109,2,0),"")</f>
        <v/>
      </c>
      <c r="AB18" s="23" t="str">
        <f>IFERROR(VLOOKUP(CONCATENATE(AA$3,"-",$B18),'FO-GC-012'!$B$20:$H$109,5,0),"")</f>
        <v/>
      </c>
      <c r="AC18" s="24" t="str">
        <f>IFERROR(VLOOKUP(CONCATENATE(AA$3,"-",$B18),'FO-GC-012'!$B$20:$H$109,6,0),"")</f>
        <v/>
      </c>
      <c r="AD18" s="25" t="str">
        <f>IFERROR(VLOOKUP(CONCATENATE(AA$3,"-",$B18),'FO-GC-012'!$D$20:$H$109,5,0),"")</f>
        <v/>
      </c>
      <c r="AE18" s="22" t="str">
        <f>IFERROR(VLOOKUP(CONCATENATE(AE$3,"-",$B18),'FO-GC-012'!$B$20:$H$109,2,0),"")</f>
        <v/>
      </c>
      <c r="AF18" s="23" t="str">
        <f>IFERROR(VLOOKUP(CONCATENATE(AE$3,"-",$B18),'FO-GC-012'!$B$20:$H$109,5,0),"")</f>
        <v/>
      </c>
      <c r="AG18" s="24" t="str">
        <f>IFERROR(VLOOKUP(CONCATENATE(AE$3,"-",$B18),'FO-GC-012'!$B$20:$H$109,6,0),"")</f>
        <v/>
      </c>
      <c r="AH18" s="25" t="str">
        <f>IFERROR(VLOOKUP(CONCATENATE(AE$3,"-",$B18),'FO-GC-012'!$D$20:$H$109,5,0),"")</f>
        <v/>
      </c>
      <c r="AI18" s="22" t="str">
        <f>IFERROR(VLOOKUP(CONCATENATE(AI$3,"-",$B18),'FO-GC-012'!$B$20:$H$109,2,0),"")</f>
        <v/>
      </c>
      <c r="AJ18" s="23" t="str">
        <f>IFERROR(VLOOKUP(CONCATENATE(AI$3,"-",$B18),'FO-GC-012'!$B$20:$H$109,5,0),"")</f>
        <v/>
      </c>
      <c r="AK18" s="24" t="str">
        <f>IFERROR(VLOOKUP(CONCATENATE(AI$3,"-",$B18),'FO-GC-012'!$B$20:$H$109,6,0),"")</f>
        <v/>
      </c>
      <c r="AL18" s="25" t="str">
        <f>IFERROR(VLOOKUP(CONCATENATE(AI$3,"-",$B18),'FO-GC-012'!$D$20:$H$109,5,0),"")</f>
        <v/>
      </c>
      <c r="AM18" s="22" t="str">
        <f>IFERROR(VLOOKUP(CONCATENATE(AM$3,"-",$B18),'FO-GC-012'!$B$20:$H$109,2,0),"")</f>
        <v/>
      </c>
      <c r="AN18" s="23" t="str">
        <f>IFERROR(VLOOKUP(CONCATENATE(AM$3,"-",$B18),'FO-GC-012'!$B$20:$H$109,5,0),"")</f>
        <v/>
      </c>
      <c r="AO18" s="24" t="str">
        <f>IFERROR(VLOOKUP(CONCATENATE(AM$3,"-",$B18),'FO-GC-012'!$B$20:$H$109,6,0),"")</f>
        <v/>
      </c>
      <c r="AP18" s="25" t="str">
        <f>IFERROR(VLOOKUP(CONCATENATE(AM$3,"-",$B18),'FO-GC-012'!$D$20:$H$109,5,0),"")</f>
        <v/>
      </c>
      <c r="AQ18" s="22" t="str">
        <f>IFERROR(VLOOKUP(CONCATENATE(AQ$3,"-",$B18),'FO-GC-012'!$B$20:$H$109,2,0),"")</f>
        <v/>
      </c>
      <c r="AR18" s="23" t="str">
        <f>IFERROR(VLOOKUP(CONCATENATE(AQ$3,"-",$B18),'FO-GC-012'!$B$20:$H$109,5,0),"")</f>
        <v/>
      </c>
      <c r="AS18" s="24" t="str">
        <f>IFERROR(VLOOKUP(CONCATENATE(AQ$3,"-",$B18),'FO-GC-012'!$B$20:$H$109,6,0),"")</f>
        <v/>
      </c>
      <c r="AT18" s="25" t="str">
        <f>IFERROR(VLOOKUP(CONCATENATE(AQ$3,"-",$B18),'FO-GC-012'!$D$20:$H$109,5,0),"")</f>
        <v/>
      </c>
      <c r="AU18" s="22" t="str">
        <f>IFERROR(VLOOKUP(CONCATENATE(AU$3,"-",$B18),'FO-GC-012'!$B$20:$H$109,2,0),"")</f>
        <v/>
      </c>
      <c r="AV18" s="23" t="str">
        <f>IFERROR(VLOOKUP(CONCATENATE(AU$3,"-",$B18),'FO-GC-012'!$B$20:$H$109,5,0),"")</f>
        <v/>
      </c>
      <c r="AW18" s="24" t="str">
        <f>IFERROR(VLOOKUP(CONCATENATE(AU$3,"-",$B18),'FO-GC-012'!$B$20:$H$109,6,0),"")</f>
        <v/>
      </c>
      <c r="AX18" s="25" t="str">
        <f>IFERROR(VLOOKUP(CONCATENATE(AU$3,"-",$B18),'FO-GC-012'!$D$20:$H$109,5,0),"")</f>
        <v/>
      </c>
      <c r="AY18" s="22" t="str">
        <f>IFERROR(VLOOKUP(CONCATENATE(AY$3,"-",$B18),'FO-GC-012'!$B$20:$H$109,2,0),"")</f>
        <v/>
      </c>
      <c r="AZ18" s="23" t="str">
        <f>IFERROR(VLOOKUP(CONCATENATE(AY$3,"-",$B18),'FO-GC-012'!$B$20:$H$109,5,0),"")</f>
        <v/>
      </c>
      <c r="BA18" s="24" t="str">
        <f>IFERROR(VLOOKUP(CONCATENATE(AY$3,"-",$B18),'FO-GC-012'!$B$20:$H$109,6,0),"")</f>
        <v/>
      </c>
      <c r="BB18" s="25" t="str">
        <f>IFERROR(VLOOKUP(CONCATENATE(AY$3,"-",$B18),'FO-GC-012'!$D$20:$H$109,5,0),"")</f>
        <v/>
      </c>
      <c r="BC18" s="22" t="str">
        <f>IFERROR(VLOOKUP(CONCATENATE(BC$3,"-",$B18),'FO-GC-012'!$B$20:$H$109,2,0),"")</f>
        <v/>
      </c>
      <c r="BD18" s="23" t="str">
        <f>IFERROR(VLOOKUP(CONCATENATE(BC$3,"-",$B18),'FO-GC-012'!$B$20:$H$109,5,0),"")</f>
        <v/>
      </c>
      <c r="BE18" s="24" t="str">
        <f>IFERROR(VLOOKUP(CONCATENATE(BC$3,"-",$B18),'FO-GC-012'!$B$20:$H$109,6,0),"")</f>
        <v/>
      </c>
      <c r="BF18" s="25" t="str">
        <f>IFERROR(VLOOKUP(CONCATENATE(BC$3,"-",$B18),'FO-GC-012'!$D$20:$H$109,5,0),"")</f>
        <v/>
      </c>
      <c r="BG18" s="22" t="str">
        <f>IFERROR(VLOOKUP(CONCATENATE(BG$3,"-",$B18),'FO-GC-012'!$B$20:$H$109,2,0),"")</f>
        <v/>
      </c>
      <c r="BH18" s="23" t="str">
        <f>IFERROR(VLOOKUP(CONCATENATE(BG$3,"-",$B18),'FO-GC-012'!$B$20:$H$109,5,0),"")</f>
        <v/>
      </c>
      <c r="BI18" s="24" t="str">
        <f>IFERROR(VLOOKUP(CONCATENATE(BG$3,"-",$B18),'FO-GC-012'!$B$20:$H$109,6,0),"")</f>
        <v/>
      </c>
      <c r="BJ18" s="25" t="str">
        <f>IFERROR(VLOOKUP(CONCATENATE(BG$3,"-",$B18),'FO-GC-012'!$D$20:$H$109,5,0),"")</f>
        <v/>
      </c>
      <c r="BK18" s="22" t="str">
        <f>IFERROR(VLOOKUP(CONCATENATE(BK$3,"-",$B18),'FO-GC-012'!$B$20:$H$109,2,0),"")</f>
        <v/>
      </c>
      <c r="BL18" s="23" t="str">
        <f>IFERROR(VLOOKUP(CONCATENATE(BK$3,"-",$B18),'FO-GC-012'!$B$20:$H$109,5,0),"")</f>
        <v/>
      </c>
      <c r="BM18" s="24" t="str">
        <f>IFERROR(VLOOKUP(CONCATENATE(BK$3,"-",$B18),'FO-GC-012'!$B$20:$H$109,6,0),"")</f>
        <v/>
      </c>
      <c r="BN18" s="25" t="str">
        <f>IFERROR(VLOOKUP(CONCATENATE(BK$3,"-",$B18),'FO-GC-012'!$D$20:$H$109,5,0),"")</f>
        <v/>
      </c>
      <c r="BO18" s="22" t="str">
        <f>IFERROR(VLOOKUP(CONCATENATE(BO$3,"-",$B18),'FO-GC-012'!$B$20:$H$109,2,0),"")</f>
        <v/>
      </c>
      <c r="BP18" s="23" t="str">
        <f>IFERROR(VLOOKUP(CONCATENATE(BO$3,"-",$B18),'FO-GC-012'!$B$20:$H$109,5,0),"")</f>
        <v/>
      </c>
      <c r="BQ18" s="24" t="str">
        <f>IFERROR(VLOOKUP(CONCATENATE(BO$3,"-",$B18),'FO-GC-012'!$B$20:$H$109,6,0),"")</f>
        <v/>
      </c>
      <c r="BR18" s="25" t="str">
        <f>IFERROR(VLOOKUP(CONCATENATE(BO$3,"-",$B18),'FO-GC-012'!$D$20:$H$109,5,0),"")</f>
        <v/>
      </c>
      <c r="BS18" s="22" t="str">
        <f>IFERROR(VLOOKUP(CONCATENATE(BS$3,"-",$B18),'FO-GC-012'!$B$20:$H$109,2,0),"")</f>
        <v/>
      </c>
      <c r="BT18" s="23" t="str">
        <f>IFERROR(VLOOKUP(CONCATENATE(BS$3,"-",$B18),'FO-GC-012'!$B$20:$H$109,5,0),"")</f>
        <v/>
      </c>
      <c r="BU18" s="24" t="str">
        <f>IFERROR(VLOOKUP(CONCATENATE(BS$3,"-",$B18),'FO-GC-012'!$B$20:$H$109,6,0),"")</f>
        <v/>
      </c>
      <c r="BV18" s="25" t="str">
        <f>IFERROR(VLOOKUP(CONCATENATE(BS$3,"-",$B18),'FO-GC-012'!$D$20:$H$109,5,0),"")</f>
        <v/>
      </c>
      <c r="BW18" s="22" t="str">
        <f>IFERROR(VLOOKUP(CONCATENATE(BW$3,"-",$B18),'FO-GC-012'!$B$20:$H$109,2,0),"")</f>
        <v/>
      </c>
      <c r="BX18" s="23" t="str">
        <f>IFERROR(VLOOKUP(CONCATENATE(BW$3,"-",$B18),'FO-GC-012'!$B$20:$H$109,5,0),"")</f>
        <v/>
      </c>
      <c r="BY18" s="24" t="str">
        <f>IFERROR(VLOOKUP(CONCATENATE(BW$3,"-",$B18),'FO-GC-012'!$B$20:$H$109,6,0),"")</f>
        <v/>
      </c>
      <c r="BZ18" s="25" t="str">
        <f>IFERROR(VLOOKUP(CONCATENATE(BW$3,"-",$B18),'FO-GC-012'!$D$20:$H$109,5,0),"")</f>
        <v/>
      </c>
      <c r="CA18" s="22" t="str">
        <f>IFERROR(VLOOKUP(CONCATENATE(CA$3,"-",$B18),'FO-GC-012'!$B$20:$H$109,2,0),"")</f>
        <v/>
      </c>
      <c r="CB18" s="23" t="str">
        <f>IFERROR(VLOOKUP(CONCATENATE(CA$3,"-",$B18),'FO-GC-012'!$B$20:$H$109,5,0),"")</f>
        <v/>
      </c>
      <c r="CC18" s="24" t="str">
        <f>IFERROR(VLOOKUP(CONCATENATE(CA$3,"-",$B18),'FO-GC-012'!$B$20:$H$109,6,0),"")</f>
        <v/>
      </c>
      <c r="CD18" s="5" t="str">
        <f>IFERROR(VLOOKUP(CONCATENATE(CA$3,"-",$B18),'FO-GC-012'!$D$20:$H$109,5,0),"")</f>
        <v/>
      </c>
    </row>
    <row r="19" spans="1:82" ht="21" customHeight="1" x14ac:dyDescent="0.35">
      <c r="A19" s="184">
        <f t="shared" si="1"/>
        <v>16</v>
      </c>
      <c r="B19" s="125" t="str">
        <f>'Listas Desplegables'!B40</f>
        <v>Relaciones Interinstitucionales-ORI</v>
      </c>
      <c r="C19" s="26" t="str">
        <f>IFERROR(VLOOKUP(CONCATENATE(C$3,"-",$B19),'FO-GC-012'!$B$20:$H$109,2,0),"")</f>
        <v/>
      </c>
      <c r="D19" s="27" t="str">
        <f>IFERROR(VLOOKUP(CONCATENATE(C$3,"-",$B19),'FO-GC-012'!$B$20:$H$109,5,0),"")</f>
        <v/>
      </c>
      <c r="E19" s="28" t="str">
        <f>IFERROR(VLOOKUP(CONCATENATE(C$3,"-",$B19),'FO-GC-012'!$B$20:$H$109,6,0),"")</f>
        <v/>
      </c>
      <c r="F19" s="29" t="str">
        <f>IFERROR(VLOOKUP(CONCATENATE(C$3,"-",$B19),'FO-GC-012'!$D$20:$H$109,5,0),"")</f>
        <v/>
      </c>
      <c r="G19" s="26" t="str">
        <f>IFERROR(VLOOKUP(CONCATENATE(G$3,"-",$B19),'FO-GC-012'!$B$20:$H$109,2,0),"")</f>
        <v/>
      </c>
      <c r="H19" s="27" t="str">
        <f>IFERROR(VLOOKUP(CONCATENATE(G$3,"-",$B19),'FO-GC-012'!$B$20:$H$109,5,0),"")</f>
        <v/>
      </c>
      <c r="I19" s="28" t="str">
        <f>IFERROR(VLOOKUP(CONCATENATE(G$3,"-",$B19),'FO-GC-012'!$B$20:$H$109,6,0),"")</f>
        <v/>
      </c>
      <c r="J19" s="29" t="str">
        <f>IFERROR(VLOOKUP(CONCATENATE(G$3,"-",$B19),'FO-GC-012'!$D$20:$H$109,5,0),"")</f>
        <v/>
      </c>
      <c r="K19" s="26" t="str">
        <f>IFERROR(VLOOKUP(CONCATENATE(K$3,"-",$B19),'FO-GC-012'!$B$20:$H$109,2,0),"")</f>
        <v/>
      </c>
      <c r="L19" s="27" t="str">
        <f>IFERROR(VLOOKUP(CONCATENATE(K$3,"-",$B19),'FO-GC-012'!$B$20:$H$109,5,0),"")</f>
        <v/>
      </c>
      <c r="M19" s="28" t="str">
        <f>IFERROR(VLOOKUP(CONCATENATE(K$3,"-",$B19),'FO-GC-012'!$B$20:$H$109,6,0),"")</f>
        <v/>
      </c>
      <c r="N19" s="29" t="str">
        <f>IFERROR(VLOOKUP(CONCATENATE(K$3,"-",$B19),'FO-GC-012'!$D$20:$H$109,5,0),"")</f>
        <v/>
      </c>
      <c r="O19" s="26" t="str">
        <f>IFERROR(VLOOKUP(CONCATENATE(O$3,"-",$B19),'FO-GC-012'!$B$20:$H$109,2,0),"")</f>
        <v/>
      </c>
      <c r="P19" s="27" t="str">
        <f>IFERROR(VLOOKUP(CONCATENATE(O$3,"-",$B19),'FO-GC-012'!$B$20:$H$109,5,0),"")</f>
        <v/>
      </c>
      <c r="Q19" s="28" t="str">
        <f>IFERROR(VLOOKUP(CONCATENATE(O$3,"-",$B19),'FO-GC-012'!$B$20:$H$109,6,0),"")</f>
        <v/>
      </c>
      <c r="R19" s="29" t="str">
        <f>IFERROR(VLOOKUP(CONCATENATE(O$3,"-",$B19),'FO-GC-012'!$D$20:$H$109,5,0),"")</f>
        <v/>
      </c>
      <c r="S19" s="26" t="str">
        <f>IFERROR(VLOOKUP(CONCATENATE(S$3,"-",$B19),'FO-GC-012'!$B$20:$H$109,2,0),"")</f>
        <v/>
      </c>
      <c r="T19" s="27" t="str">
        <f>IFERROR(VLOOKUP(CONCATENATE(S$3,"-",$B19),'FO-GC-012'!$B$20:$H$109,5,0),"")</f>
        <v/>
      </c>
      <c r="U19" s="28" t="str">
        <f>IFERROR(VLOOKUP(CONCATENATE(S$3,"-",$B19),'FO-GC-012'!$B$20:$H$109,6,0),"")</f>
        <v/>
      </c>
      <c r="V19" s="29" t="str">
        <f>IFERROR(VLOOKUP(CONCATENATE(S$3,"-",$B19),'FO-GC-012'!$D$20:$H$109,5,0),"")</f>
        <v/>
      </c>
      <c r="W19" s="26" t="str">
        <f>IFERROR(VLOOKUP(CONCATENATE(W$3,"-",$B19),'FO-GC-012'!$B$20:$H$109,2,0),"")</f>
        <v/>
      </c>
      <c r="X19" s="27" t="str">
        <f>IFERROR(VLOOKUP(CONCATENATE(W$3,"-",$B19),'FO-GC-012'!$B$20:$H$109,5,0),"")</f>
        <v/>
      </c>
      <c r="Y19" s="28" t="str">
        <f>IFERROR(VLOOKUP(CONCATENATE(W$3,"-",$B19),'FO-GC-012'!$B$20:$H$109,6,0),"")</f>
        <v/>
      </c>
      <c r="Z19" s="29" t="str">
        <f>IFERROR(VLOOKUP(CONCATENATE(W$3,"-",$B19),'FO-GC-012'!$D$20:$H$109,5,0),"")</f>
        <v/>
      </c>
      <c r="AA19" s="26" t="str">
        <f>IFERROR(VLOOKUP(CONCATENATE(AA$3,"-",$B19),'FO-GC-012'!$B$20:$H$109,2,0),"")</f>
        <v/>
      </c>
      <c r="AB19" s="27" t="str">
        <f>IFERROR(VLOOKUP(CONCATENATE(AA$3,"-",$B19),'FO-GC-012'!$B$20:$H$109,5,0),"")</f>
        <v/>
      </c>
      <c r="AC19" s="28" t="str">
        <f>IFERROR(VLOOKUP(CONCATENATE(AA$3,"-",$B19),'FO-GC-012'!$B$20:$H$109,6,0),"")</f>
        <v/>
      </c>
      <c r="AD19" s="29" t="str">
        <f>IFERROR(VLOOKUP(CONCATENATE(AA$3,"-",$B19),'FO-GC-012'!$D$20:$H$109,5,0),"")</f>
        <v/>
      </c>
      <c r="AE19" s="26" t="str">
        <f>IFERROR(VLOOKUP(CONCATENATE(AE$3,"-",$B19),'FO-GC-012'!$B$20:$H$109,2,0),"")</f>
        <v/>
      </c>
      <c r="AF19" s="27" t="str">
        <f>IFERROR(VLOOKUP(CONCATENATE(AE$3,"-",$B19),'FO-GC-012'!$B$20:$H$109,5,0),"")</f>
        <v/>
      </c>
      <c r="AG19" s="28" t="str">
        <f>IFERROR(VLOOKUP(CONCATENATE(AE$3,"-",$B19),'FO-GC-012'!$B$20:$H$109,6,0),"")</f>
        <v/>
      </c>
      <c r="AH19" s="29" t="str">
        <f>IFERROR(VLOOKUP(CONCATENATE(AE$3,"-",$B19),'FO-GC-012'!$D$20:$H$109,5,0),"")</f>
        <v/>
      </c>
      <c r="AI19" s="26" t="str">
        <f>IFERROR(VLOOKUP(CONCATENATE(AI$3,"-",$B19),'FO-GC-012'!$B$20:$H$109,2,0),"")</f>
        <v/>
      </c>
      <c r="AJ19" s="27" t="str">
        <f>IFERROR(VLOOKUP(CONCATENATE(AI$3,"-",$B19),'FO-GC-012'!$B$20:$H$109,5,0),"")</f>
        <v/>
      </c>
      <c r="AK19" s="28" t="str">
        <f>IFERROR(VLOOKUP(CONCATENATE(AI$3,"-",$B19),'FO-GC-012'!$B$20:$H$109,6,0),"")</f>
        <v/>
      </c>
      <c r="AL19" s="29" t="str">
        <f>IFERROR(VLOOKUP(CONCATENATE(AI$3,"-",$B19),'FO-GC-012'!$D$20:$H$109,5,0),"")</f>
        <v/>
      </c>
      <c r="AM19" s="26" t="str">
        <f>IFERROR(VLOOKUP(CONCATENATE(AM$3,"-",$B19),'FO-GC-012'!$B$20:$H$109,2,0),"")</f>
        <v/>
      </c>
      <c r="AN19" s="27" t="str">
        <f>IFERROR(VLOOKUP(CONCATENATE(AM$3,"-",$B19),'FO-GC-012'!$B$20:$H$109,5,0),"")</f>
        <v/>
      </c>
      <c r="AO19" s="28" t="str">
        <f>IFERROR(VLOOKUP(CONCATENATE(AM$3,"-",$B19),'FO-GC-012'!$B$20:$H$109,6,0),"")</f>
        <v/>
      </c>
      <c r="AP19" s="29" t="str">
        <f>IFERROR(VLOOKUP(CONCATENATE(AM$3,"-",$B19),'FO-GC-012'!$D$20:$H$109,5,0),"")</f>
        <v/>
      </c>
      <c r="AQ19" s="26" t="str">
        <f>IFERROR(VLOOKUP(CONCATENATE(AQ$3,"-",$B19),'FO-GC-012'!$B$20:$H$109,2,0),"")</f>
        <v/>
      </c>
      <c r="AR19" s="27" t="str">
        <f>IFERROR(VLOOKUP(CONCATENATE(AQ$3,"-",$B19),'FO-GC-012'!$B$20:$H$109,5,0),"")</f>
        <v/>
      </c>
      <c r="AS19" s="28" t="str">
        <f>IFERROR(VLOOKUP(CONCATENATE(AQ$3,"-",$B19),'FO-GC-012'!$B$20:$H$109,6,0),"")</f>
        <v/>
      </c>
      <c r="AT19" s="29" t="str">
        <f>IFERROR(VLOOKUP(CONCATENATE(AQ$3,"-",$B19),'FO-GC-012'!$D$20:$H$109,5,0),"")</f>
        <v/>
      </c>
      <c r="AU19" s="26" t="str">
        <f>IFERROR(VLOOKUP(CONCATENATE(AU$3,"-",$B19),'FO-GC-012'!$B$20:$H$109,2,0),"")</f>
        <v/>
      </c>
      <c r="AV19" s="27" t="str">
        <f>IFERROR(VLOOKUP(CONCATENATE(AU$3,"-",$B19),'FO-GC-012'!$B$20:$H$109,5,0),"")</f>
        <v/>
      </c>
      <c r="AW19" s="28" t="str">
        <f>IFERROR(VLOOKUP(CONCATENATE(AU$3,"-",$B19),'FO-GC-012'!$B$20:$H$109,6,0),"")</f>
        <v/>
      </c>
      <c r="AX19" s="29" t="str">
        <f>IFERROR(VLOOKUP(CONCATENATE(AU$3,"-",$B19),'FO-GC-012'!$D$20:$H$109,5,0),"")</f>
        <v/>
      </c>
      <c r="AY19" s="26" t="str">
        <f>IFERROR(VLOOKUP(CONCATENATE(AY$3,"-",$B19),'FO-GC-012'!$B$20:$H$109,2,0),"")</f>
        <v/>
      </c>
      <c r="AZ19" s="27" t="str">
        <f>IFERROR(VLOOKUP(CONCATENATE(AY$3,"-",$B19),'FO-GC-012'!$B$20:$H$109,5,0),"")</f>
        <v/>
      </c>
      <c r="BA19" s="28" t="str">
        <f>IFERROR(VLOOKUP(CONCATENATE(AY$3,"-",$B19),'FO-GC-012'!$B$20:$H$109,6,0),"")</f>
        <v/>
      </c>
      <c r="BB19" s="29" t="str">
        <f>IFERROR(VLOOKUP(CONCATENATE(AY$3,"-",$B19),'FO-GC-012'!$D$20:$H$109,5,0),"")</f>
        <v/>
      </c>
      <c r="BC19" s="26" t="str">
        <f>IFERROR(VLOOKUP(CONCATENATE(BC$3,"-",$B19),'FO-GC-012'!$B$20:$H$109,2,0),"")</f>
        <v/>
      </c>
      <c r="BD19" s="27" t="str">
        <f>IFERROR(VLOOKUP(CONCATENATE(BC$3,"-",$B19),'FO-GC-012'!$B$20:$H$109,5,0),"")</f>
        <v/>
      </c>
      <c r="BE19" s="28" t="str">
        <f>IFERROR(VLOOKUP(CONCATENATE(BC$3,"-",$B19),'FO-GC-012'!$B$20:$H$109,6,0),"")</f>
        <v/>
      </c>
      <c r="BF19" s="29" t="str">
        <f>IFERROR(VLOOKUP(CONCATENATE(BC$3,"-",$B19),'FO-GC-012'!$D$20:$H$109,5,0),"")</f>
        <v/>
      </c>
      <c r="BG19" s="26" t="str">
        <f>IFERROR(VLOOKUP(CONCATENATE(BG$3,"-",$B19),'FO-GC-012'!$B$20:$H$109,2,0),"")</f>
        <v/>
      </c>
      <c r="BH19" s="27" t="str">
        <f>IFERROR(VLOOKUP(CONCATENATE(BG$3,"-",$B19),'FO-GC-012'!$B$20:$H$109,5,0),"")</f>
        <v/>
      </c>
      <c r="BI19" s="28" t="str">
        <f>IFERROR(VLOOKUP(CONCATENATE(BG$3,"-",$B19),'FO-GC-012'!$B$20:$H$109,6,0),"")</f>
        <v/>
      </c>
      <c r="BJ19" s="29" t="str">
        <f>IFERROR(VLOOKUP(CONCATENATE(BG$3,"-",$B19),'FO-GC-012'!$D$20:$H$109,5,0),"")</f>
        <v/>
      </c>
      <c r="BK19" s="26" t="str">
        <f>IFERROR(VLOOKUP(CONCATENATE(BK$3,"-",$B19),'FO-GC-012'!$B$20:$H$109,2,0),"")</f>
        <v/>
      </c>
      <c r="BL19" s="27" t="str">
        <f>IFERROR(VLOOKUP(CONCATENATE(BK$3,"-",$B19),'FO-GC-012'!$B$20:$H$109,5,0),"")</f>
        <v/>
      </c>
      <c r="BM19" s="28" t="str">
        <f>IFERROR(VLOOKUP(CONCATENATE(BK$3,"-",$B19),'FO-GC-012'!$B$20:$H$109,6,0),"")</f>
        <v/>
      </c>
      <c r="BN19" s="29" t="str">
        <f>IFERROR(VLOOKUP(CONCATENATE(BK$3,"-",$B19),'FO-GC-012'!$D$20:$H$109,5,0),"")</f>
        <v/>
      </c>
      <c r="BO19" s="26" t="str">
        <f>IFERROR(VLOOKUP(CONCATENATE(BO$3,"-",$B19),'FO-GC-012'!$B$20:$H$109,2,0),"")</f>
        <v/>
      </c>
      <c r="BP19" s="27" t="str">
        <f>IFERROR(VLOOKUP(CONCATENATE(BO$3,"-",$B19),'FO-GC-012'!$B$20:$H$109,5,0),"")</f>
        <v/>
      </c>
      <c r="BQ19" s="28" t="str">
        <f>IFERROR(VLOOKUP(CONCATENATE(BO$3,"-",$B19),'FO-GC-012'!$B$20:$H$109,6,0),"")</f>
        <v/>
      </c>
      <c r="BR19" s="29" t="str">
        <f>IFERROR(VLOOKUP(CONCATENATE(BO$3,"-",$B19),'FO-GC-012'!$D$20:$H$109,5,0),"")</f>
        <v/>
      </c>
      <c r="BS19" s="26" t="str">
        <f>IFERROR(VLOOKUP(CONCATENATE(BS$3,"-",$B19),'FO-GC-012'!$B$20:$H$109,2,0),"")</f>
        <v/>
      </c>
      <c r="BT19" s="27" t="str">
        <f>IFERROR(VLOOKUP(CONCATENATE(BS$3,"-",$B19),'FO-GC-012'!$B$20:$H$109,5,0),"")</f>
        <v/>
      </c>
      <c r="BU19" s="28" t="str">
        <f>IFERROR(VLOOKUP(CONCATENATE(BS$3,"-",$B19),'FO-GC-012'!$B$20:$H$109,6,0),"")</f>
        <v/>
      </c>
      <c r="BV19" s="29" t="str">
        <f>IFERROR(VLOOKUP(CONCATENATE(BS$3,"-",$B19),'FO-GC-012'!$D$20:$H$109,5,0),"")</f>
        <v/>
      </c>
      <c r="BW19" s="26" t="str">
        <f>IFERROR(VLOOKUP(CONCATENATE(BW$3,"-",$B19),'FO-GC-012'!$B$20:$H$109,2,0),"")</f>
        <v/>
      </c>
      <c r="BX19" s="27" t="str">
        <f>IFERROR(VLOOKUP(CONCATENATE(BW$3,"-",$B19),'FO-GC-012'!$B$20:$H$109,5,0),"")</f>
        <v/>
      </c>
      <c r="BY19" s="28" t="str">
        <f>IFERROR(VLOOKUP(CONCATENATE(BW$3,"-",$B19),'FO-GC-012'!$B$20:$H$109,6,0),"")</f>
        <v/>
      </c>
      <c r="BZ19" s="29" t="str">
        <f>IFERROR(VLOOKUP(CONCATENATE(BW$3,"-",$B19),'FO-GC-012'!$D$20:$H$109,5,0),"")</f>
        <v/>
      </c>
      <c r="CA19" s="26" t="str">
        <f>IFERROR(VLOOKUP(CONCATENATE(CA$3,"-",$B19),'FO-GC-012'!$B$20:$H$109,2,0),"")</f>
        <v/>
      </c>
      <c r="CB19" s="27" t="str">
        <f>IFERROR(VLOOKUP(CONCATENATE(CA$3,"-",$B19),'FO-GC-012'!$B$20:$H$109,5,0),"")</f>
        <v/>
      </c>
      <c r="CC19" s="28" t="str">
        <f>IFERROR(VLOOKUP(CONCATENATE(CA$3,"-",$B19),'FO-GC-012'!$B$20:$H$109,6,0),"")</f>
        <v/>
      </c>
      <c r="CD19" s="5" t="str">
        <f>IFERROR(VLOOKUP(CONCATENATE(CA$3,"-",$B19),'FO-GC-012'!$D$20:$H$109,5,0),"")</f>
        <v/>
      </c>
    </row>
    <row r="20" spans="1:82" ht="21" customHeight="1" x14ac:dyDescent="0.35">
      <c r="A20" s="183">
        <f t="shared" si="1"/>
        <v>17</v>
      </c>
      <c r="B20" s="125" t="str">
        <f>'Listas Desplegables'!B41</f>
        <v>Mercadeo-Admisiones</v>
      </c>
      <c r="C20" s="22" t="str">
        <f>IFERROR(VLOOKUP(CONCATENATE(C$3,"-",$B20),'FO-GC-012'!$B$20:$H$109,2,0),"")</f>
        <v/>
      </c>
      <c r="D20" s="23" t="str">
        <f>IFERROR(VLOOKUP(CONCATENATE(C$3,"-",$B20),'FO-GC-012'!$B$20:$H$109,5,0),"")</f>
        <v/>
      </c>
      <c r="E20" s="24" t="str">
        <f>IFERROR(VLOOKUP(CONCATENATE(C$3,"-",$B20),'FO-GC-012'!$B$20:$H$109,6,0),"")</f>
        <v/>
      </c>
      <c r="F20" s="25" t="str">
        <f>IFERROR(VLOOKUP(CONCATENATE(C$3,"-",$B20),'FO-GC-012'!$D$20:$H$109,5,0),"")</f>
        <v/>
      </c>
      <c r="G20" s="22" t="str">
        <f>IFERROR(VLOOKUP(CONCATENATE(G$3,"-",$B20),'FO-GC-012'!$B$20:$H$109,2,0),"")</f>
        <v/>
      </c>
      <c r="H20" s="23" t="str">
        <f>IFERROR(VLOOKUP(CONCATENATE(G$3,"-",$B20),'FO-GC-012'!$B$20:$H$109,5,0),"")</f>
        <v/>
      </c>
      <c r="I20" s="24" t="str">
        <f>IFERROR(VLOOKUP(CONCATENATE(G$3,"-",$B20),'FO-GC-012'!$B$20:$H$109,6,0),"")</f>
        <v/>
      </c>
      <c r="J20" s="25" t="str">
        <f>IFERROR(VLOOKUP(CONCATENATE(G$3,"-",$B20),'FO-GC-012'!$D$20:$H$109,5,0),"")</f>
        <v/>
      </c>
      <c r="K20" s="22" t="str">
        <f>IFERROR(VLOOKUP(CONCATENATE(K$3,"-",$B20),'FO-GC-012'!$B$20:$H$109,2,0),"")</f>
        <v/>
      </c>
      <c r="L20" s="23" t="str">
        <f>IFERROR(VLOOKUP(CONCATENATE(K$3,"-",$B20),'FO-GC-012'!$B$20:$H$109,5,0),"")</f>
        <v/>
      </c>
      <c r="M20" s="24" t="str">
        <f>IFERROR(VLOOKUP(CONCATENATE(K$3,"-",$B20),'FO-GC-012'!$B$20:$H$109,6,0),"")</f>
        <v/>
      </c>
      <c r="N20" s="25" t="str">
        <f>IFERROR(VLOOKUP(CONCATENATE(K$3,"-",$B20),'FO-GC-012'!$D$20:$H$109,5,0),"")</f>
        <v/>
      </c>
      <c r="O20" s="22" t="str">
        <f>IFERROR(VLOOKUP(CONCATENATE(O$3,"-",$B20),'FO-GC-012'!$B$20:$H$109,2,0),"")</f>
        <v/>
      </c>
      <c r="P20" s="23" t="str">
        <f>IFERROR(VLOOKUP(CONCATENATE(O$3,"-",$B20),'FO-GC-012'!$B$20:$H$109,5,0),"")</f>
        <v/>
      </c>
      <c r="Q20" s="24" t="str">
        <f>IFERROR(VLOOKUP(CONCATENATE(O$3,"-",$B20),'FO-GC-012'!$B$20:$H$109,6,0),"")</f>
        <v/>
      </c>
      <c r="R20" s="25" t="str">
        <f>IFERROR(VLOOKUP(CONCATENATE(O$3,"-",$B20),'FO-GC-012'!$D$20:$H$109,5,0),"")</f>
        <v/>
      </c>
      <c r="S20" s="22" t="str">
        <f>IFERROR(VLOOKUP(CONCATENATE(S$3,"-",$B20),'FO-GC-012'!$B$20:$H$109,2,0),"")</f>
        <v/>
      </c>
      <c r="T20" s="23" t="str">
        <f>IFERROR(VLOOKUP(CONCATENATE(S$3,"-",$B20),'FO-GC-012'!$B$20:$H$109,5,0),"")</f>
        <v/>
      </c>
      <c r="U20" s="24" t="str">
        <f>IFERROR(VLOOKUP(CONCATENATE(S$3,"-",$B20),'FO-GC-012'!$B$20:$H$109,6,0),"")</f>
        <v/>
      </c>
      <c r="V20" s="25" t="str">
        <f>IFERROR(VLOOKUP(CONCATENATE(S$3,"-",$B20),'FO-GC-012'!$D$20:$H$109,5,0),"")</f>
        <v/>
      </c>
      <c r="W20" s="22" t="str">
        <f>IFERROR(VLOOKUP(CONCATENATE(W$3,"-",$B20),'FO-GC-012'!$B$20:$H$109,2,0),"")</f>
        <v/>
      </c>
      <c r="X20" s="23" t="str">
        <f>IFERROR(VLOOKUP(CONCATENATE(W$3,"-",$B20),'FO-GC-012'!$B$20:$H$109,5,0),"")</f>
        <v/>
      </c>
      <c r="Y20" s="24" t="str">
        <f>IFERROR(VLOOKUP(CONCATENATE(W$3,"-",$B20),'FO-GC-012'!$B$20:$H$109,6,0),"")</f>
        <v/>
      </c>
      <c r="Z20" s="25" t="str">
        <f>IFERROR(VLOOKUP(CONCATENATE(W$3,"-",$B20),'FO-GC-012'!$D$20:$H$109,5,0),"")</f>
        <v/>
      </c>
      <c r="AA20" s="22" t="str">
        <f>IFERROR(VLOOKUP(CONCATENATE(AA$3,"-",$B20),'FO-GC-012'!$B$20:$H$109,2,0),"")</f>
        <v/>
      </c>
      <c r="AB20" s="23" t="str">
        <f>IFERROR(VLOOKUP(CONCATENATE(AA$3,"-",$B20),'FO-GC-012'!$B$20:$H$109,5,0),"")</f>
        <v/>
      </c>
      <c r="AC20" s="24" t="str">
        <f>IFERROR(VLOOKUP(CONCATENATE(AA$3,"-",$B20),'FO-GC-012'!$B$20:$H$109,6,0),"")</f>
        <v/>
      </c>
      <c r="AD20" s="25" t="str">
        <f>IFERROR(VLOOKUP(CONCATENATE(AA$3,"-",$B20),'FO-GC-012'!$D$20:$H$109,5,0),"")</f>
        <v/>
      </c>
      <c r="AE20" s="22" t="str">
        <f>IFERROR(VLOOKUP(CONCATENATE(AE$3,"-",$B20),'FO-GC-012'!$B$20:$H$109,2,0),"")</f>
        <v/>
      </c>
      <c r="AF20" s="23" t="str">
        <f>IFERROR(VLOOKUP(CONCATENATE(AE$3,"-",$B20),'FO-GC-012'!$B$20:$H$109,5,0),"")</f>
        <v/>
      </c>
      <c r="AG20" s="24" t="str">
        <f>IFERROR(VLOOKUP(CONCATENATE(AE$3,"-",$B20),'FO-GC-012'!$B$20:$H$109,6,0),"")</f>
        <v/>
      </c>
      <c r="AH20" s="25" t="str">
        <f>IFERROR(VLOOKUP(CONCATENATE(AE$3,"-",$B20),'FO-GC-012'!$D$20:$H$109,5,0),"")</f>
        <v/>
      </c>
      <c r="AI20" s="22" t="str">
        <f>IFERROR(VLOOKUP(CONCATENATE(AI$3,"-",$B20),'FO-GC-012'!$B$20:$H$109,2,0),"")</f>
        <v/>
      </c>
      <c r="AJ20" s="23" t="str">
        <f>IFERROR(VLOOKUP(CONCATENATE(AI$3,"-",$B20),'FO-GC-012'!$B$20:$H$109,5,0),"")</f>
        <v/>
      </c>
      <c r="AK20" s="24" t="str">
        <f>IFERROR(VLOOKUP(CONCATENATE(AI$3,"-",$B20),'FO-GC-012'!$B$20:$H$109,6,0),"")</f>
        <v/>
      </c>
      <c r="AL20" s="25" t="str">
        <f>IFERROR(VLOOKUP(CONCATENATE(AI$3,"-",$B20),'FO-GC-012'!$D$20:$H$109,5,0),"")</f>
        <v/>
      </c>
      <c r="AM20" s="22" t="str">
        <f>IFERROR(VLOOKUP(CONCATENATE(AM$3,"-",$B20),'FO-GC-012'!$B$20:$H$109,2,0),"")</f>
        <v/>
      </c>
      <c r="AN20" s="23" t="str">
        <f>IFERROR(VLOOKUP(CONCATENATE(AM$3,"-",$B20),'FO-GC-012'!$B$20:$H$109,5,0),"")</f>
        <v/>
      </c>
      <c r="AO20" s="24" t="str">
        <f>IFERROR(VLOOKUP(CONCATENATE(AM$3,"-",$B20),'FO-GC-012'!$B$20:$H$109,6,0),"")</f>
        <v/>
      </c>
      <c r="AP20" s="25" t="str">
        <f>IFERROR(VLOOKUP(CONCATENATE(AM$3,"-",$B20),'FO-GC-012'!$D$20:$H$109,5,0),"")</f>
        <v/>
      </c>
      <c r="AQ20" s="22" t="str">
        <f>IFERROR(VLOOKUP(CONCATENATE(AQ$3,"-",$B20),'FO-GC-012'!$B$20:$H$109,2,0),"")</f>
        <v/>
      </c>
      <c r="AR20" s="23" t="str">
        <f>IFERROR(VLOOKUP(CONCATENATE(AQ$3,"-",$B20),'FO-GC-012'!$B$20:$H$109,5,0),"")</f>
        <v/>
      </c>
      <c r="AS20" s="24" t="str">
        <f>IFERROR(VLOOKUP(CONCATENATE(AQ$3,"-",$B20),'FO-GC-012'!$B$20:$H$109,6,0),"")</f>
        <v/>
      </c>
      <c r="AT20" s="25" t="str">
        <f>IFERROR(VLOOKUP(CONCATENATE(AQ$3,"-",$B20),'FO-GC-012'!$D$20:$H$109,5,0),"")</f>
        <v/>
      </c>
      <c r="AU20" s="22" t="str">
        <f>IFERROR(VLOOKUP(CONCATENATE(AU$3,"-",$B20),'FO-GC-012'!$B$20:$H$109,2,0),"")</f>
        <v/>
      </c>
      <c r="AV20" s="23" t="str">
        <f>IFERROR(VLOOKUP(CONCATENATE(AU$3,"-",$B20),'FO-GC-012'!$B$20:$H$109,5,0),"")</f>
        <v/>
      </c>
      <c r="AW20" s="24" t="str">
        <f>IFERROR(VLOOKUP(CONCATENATE(AU$3,"-",$B20),'FO-GC-012'!$B$20:$H$109,6,0),"")</f>
        <v/>
      </c>
      <c r="AX20" s="25" t="str">
        <f>IFERROR(VLOOKUP(CONCATENATE(AU$3,"-",$B20),'FO-GC-012'!$D$20:$H$109,5,0),"")</f>
        <v/>
      </c>
      <c r="AY20" s="22" t="str">
        <f>IFERROR(VLOOKUP(CONCATENATE(AY$3,"-",$B20),'FO-GC-012'!$B$20:$H$109,2,0),"")</f>
        <v/>
      </c>
      <c r="AZ20" s="23" t="str">
        <f>IFERROR(VLOOKUP(CONCATENATE(AY$3,"-",$B20),'FO-GC-012'!$B$20:$H$109,5,0),"")</f>
        <v/>
      </c>
      <c r="BA20" s="24" t="str">
        <f>IFERROR(VLOOKUP(CONCATENATE(AY$3,"-",$B20),'FO-GC-012'!$B$20:$H$109,6,0),"")</f>
        <v/>
      </c>
      <c r="BB20" s="25" t="str">
        <f>IFERROR(VLOOKUP(CONCATENATE(AY$3,"-",$B20),'FO-GC-012'!$D$20:$H$109,5,0),"")</f>
        <v/>
      </c>
      <c r="BC20" s="22" t="str">
        <f>IFERROR(VLOOKUP(CONCATENATE(BC$3,"-",$B20),'FO-GC-012'!$B$20:$H$109,2,0),"")</f>
        <v/>
      </c>
      <c r="BD20" s="23" t="str">
        <f>IFERROR(VLOOKUP(CONCATENATE(BC$3,"-",$B20),'FO-GC-012'!$B$20:$H$109,5,0),"")</f>
        <v/>
      </c>
      <c r="BE20" s="24" t="str">
        <f>IFERROR(VLOOKUP(CONCATENATE(BC$3,"-",$B20),'FO-GC-012'!$B$20:$H$109,6,0),"")</f>
        <v/>
      </c>
      <c r="BF20" s="25" t="str">
        <f>IFERROR(VLOOKUP(CONCATENATE(BC$3,"-",$B20),'FO-GC-012'!$D$20:$H$109,5,0),"")</f>
        <v/>
      </c>
      <c r="BG20" s="22" t="str">
        <f>IFERROR(VLOOKUP(CONCATENATE(BG$3,"-",$B20),'FO-GC-012'!$B$20:$H$109,2,0),"")</f>
        <v/>
      </c>
      <c r="BH20" s="23" t="str">
        <f>IFERROR(VLOOKUP(CONCATENATE(BG$3,"-",$B20),'FO-GC-012'!$B$20:$H$109,5,0),"")</f>
        <v/>
      </c>
      <c r="BI20" s="24" t="str">
        <f>IFERROR(VLOOKUP(CONCATENATE(BG$3,"-",$B20),'FO-GC-012'!$B$20:$H$109,6,0),"")</f>
        <v/>
      </c>
      <c r="BJ20" s="25" t="str">
        <f>IFERROR(VLOOKUP(CONCATENATE(BG$3,"-",$B20),'FO-GC-012'!$D$20:$H$109,5,0),"")</f>
        <v/>
      </c>
      <c r="BK20" s="22" t="str">
        <f>IFERROR(VLOOKUP(CONCATENATE(BK$3,"-",$B20),'FO-GC-012'!$B$20:$H$109,2,0),"")</f>
        <v/>
      </c>
      <c r="BL20" s="23" t="str">
        <f>IFERROR(VLOOKUP(CONCATENATE(BK$3,"-",$B20),'FO-GC-012'!$B$20:$H$109,5,0),"")</f>
        <v/>
      </c>
      <c r="BM20" s="24" t="str">
        <f>IFERROR(VLOOKUP(CONCATENATE(BK$3,"-",$B20),'FO-GC-012'!$B$20:$H$109,6,0),"")</f>
        <v/>
      </c>
      <c r="BN20" s="25" t="str">
        <f>IFERROR(VLOOKUP(CONCATENATE(BK$3,"-",$B20),'FO-GC-012'!$D$20:$H$109,5,0),"")</f>
        <v/>
      </c>
      <c r="BO20" s="22" t="str">
        <f>IFERROR(VLOOKUP(CONCATENATE(BO$3,"-",$B20),'FO-GC-012'!$B$20:$H$109,2,0),"")</f>
        <v/>
      </c>
      <c r="BP20" s="23" t="str">
        <f>IFERROR(VLOOKUP(CONCATENATE(BO$3,"-",$B20),'FO-GC-012'!$B$20:$H$109,5,0),"")</f>
        <v/>
      </c>
      <c r="BQ20" s="24" t="str">
        <f>IFERROR(VLOOKUP(CONCATENATE(BO$3,"-",$B20),'FO-GC-012'!$B$20:$H$109,6,0),"")</f>
        <v/>
      </c>
      <c r="BR20" s="25" t="str">
        <f>IFERROR(VLOOKUP(CONCATENATE(BO$3,"-",$B20),'FO-GC-012'!$D$20:$H$109,5,0),"")</f>
        <v/>
      </c>
      <c r="BS20" s="22" t="str">
        <f>IFERROR(VLOOKUP(CONCATENATE(BS$3,"-",$B20),'FO-GC-012'!$B$20:$H$109,2,0),"")</f>
        <v/>
      </c>
      <c r="BT20" s="23" t="str">
        <f>IFERROR(VLOOKUP(CONCATENATE(BS$3,"-",$B20),'FO-GC-012'!$B$20:$H$109,5,0),"")</f>
        <v/>
      </c>
      <c r="BU20" s="24" t="str">
        <f>IFERROR(VLOOKUP(CONCATENATE(BS$3,"-",$B20),'FO-GC-012'!$B$20:$H$109,6,0),"")</f>
        <v/>
      </c>
      <c r="BV20" s="25" t="str">
        <f>IFERROR(VLOOKUP(CONCATENATE(BS$3,"-",$B20),'FO-GC-012'!$D$20:$H$109,5,0),"")</f>
        <v/>
      </c>
      <c r="BW20" s="22" t="str">
        <f>IFERROR(VLOOKUP(CONCATENATE(BW$3,"-",$B20),'FO-GC-012'!$B$20:$H$109,2,0),"")</f>
        <v/>
      </c>
      <c r="BX20" s="23" t="str">
        <f>IFERROR(VLOOKUP(CONCATENATE(BW$3,"-",$B20),'FO-GC-012'!$B$20:$H$109,5,0),"")</f>
        <v/>
      </c>
      <c r="BY20" s="24" t="str">
        <f>IFERROR(VLOOKUP(CONCATENATE(BW$3,"-",$B20),'FO-GC-012'!$B$20:$H$109,6,0),"")</f>
        <v/>
      </c>
      <c r="BZ20" s="25" t="str">
        <f>IFERROR(VLOOKUP(CONCATENATE(BW$3,"-",$B20),'FO-GC-012'!$D$20:$H$109,5,0),"")</f>
        <v/>
      </c>
      <c r="CA20" s="22" t="str">
        <f>IFERROR(VLOOKUP(CONCATENATE(CA$3,"-",$B20),'FO-GC-012'!$B$20:$H$109,2,0),"")</f>
        <v/>
      </c>
      <c r="CB20" s="23" t="str">
        <f>IFERROR(VLOOKUP(CONCATENATE(CA$3,"-",$B20),'FO-GC-012'!$B$20:$H$109,5,0),"")</f>
        <v/>
      </c>
      <c r="CC20" s="24" t="str">
        <f>IFERROR(VLOOKUP(CONCATENATE(CA$3,"-",$B20),'FO-GC-012'!$B$20:$H$109,6,0),"")</f>
        <v/>
      </c>
      <c r="CD20" s="5" t="str">
        <f>IFERROR(VLOOKUP(CONCATENATE(CA$3,"-",$B20),'FO-GC-012'!$D$20:$H$109,5,0),"")</f>
        <v/>
      </c>
    </row>
    <row r="21" spans="1:82" ht="21" customHeight="1" x14ac:dyDescent="0.35">
      <c r="A21" s="184">
        <f t="shared" si="1"/>
        <v>18</v>
      </c>
      <c r="B21" s="125" t="str">
        <f>'Listas Desplegables'!B42</f>
        <v>Comunicaciones Institucional</v>
      </c>
      <c r="C21" s="26" t="str">
        <f>IFERROR(VLOOKUP(CONCATENATE(C$3,"-",$B21),'FO-GC-012'!$B$20:$H$109,2,0),"")</f>
        <v/>
      </c>
      <c r="D21" s="27" t="str">
        <f>IFERROR(VLOOKUP(CONCATENATE(C$3,"-",$B21),'FO-GC-012'!$B$20:$H$109,5,0),"")</f>
        <v/>
      </c>
      <c r="E21" s="28" t="str">
        <f>IFERROR(VLOOKUP(CONCATENATE(C$3,"-",$B21),'FO-GC-012'!$B$20:$H$109,6,0),"")</f>
        <v/>
      </c>
      <c r="F21" s="29" t="str">
        <f>IFERROR(VLOOKUP(CONCATENATE(C$3,"-",$B21),'FO-GC-012'!$D$20:$H$109,5,0),"")</f>
        <v/>
      </c>
      <c r="G21" s="26" t="str">
        <f>IFERROR(VLOOKUP(CONCATENATE(G$3,"-",$B21),'FO-GC-012'!$B$20:$H$109,2,0),"")</f>
        <v/>
      </c>
      <c r="H21" s="27" t="str">
        <f>IFERROR(VLOOKUP(CONCATENATE(G$3,"-",$B21),'FO-GC-012'!$B$20:$H$109,5,0),"")</f>
        <v/>
      </c>
      <c r="I21" s="28" t="str">
        <f>IFERROR(VLOOKUP(CONCATENATE(G$3,"-",$B21),'FO-GC-012'!$B$20:$H$109,6,0),"")</f>
        <v/>
      </c>
      <c r="J21" s="29" t="str">
        <f>IFERROR(VLOOKUP(CONCATENATE(G$3,"-",$B21),'FO-GC-012'!$D$20:$H$109,5,0),"")</f>
        <v/>
      </c>
      <c r="K21" s="26" t="str">
        <f>IFERROR(VLOOKUP(CONCATENATE(K$3,"-",$B21),'FO-GC-012'!$B$20:$H$109,2,0),"")</f>
        <v/>
      </c>
      <c r="L21" s="27" t="str">
        <f>IFERROR(VLOOKUP(CONCATENATE(K$3,"-",$B21),'FO-GC-012'!$B$20:$H$109,5,0),"")</f>
        <v/>
      </c>
      <c r="M21" s="28" t="str">
        <f>IFERROR(VLOOKUP(CONCATENATE(K$3,"-",$B21),'FO-GC-012'!$B$20:$H$109,6,0),"")</f>
        <v/>
      </c>
      <c r="N21" s="29" t="str">
        <f>IFERROR(VLOOKUP(CONCATENATE(K$3,"-",$B21),'FO-GC-012'!$D$20:$H$109,5,0),"")</f>
        <v/>
      </c>
      <c r="O21" s="26" t="str">
        <f>IFERROR(VLOOKUP(CONCATENATE(O$3,"-",$B21),'FO-GC-012'!$B$20:$H$109,2,0),"")</f>
        <v/>
      </c>
      <c r="P21" s="27" t="str">
        <f>IFERROR(VLOOKUP(CONCATENATE(O$3,"-",$B21),'FO-GC-012'!$B$20:$H$109,5,0),"")</f>
        <v/>
      </c>
      <c r="Q21" s="28" t="str">
        <f>IFERROR(VLOOKUP(CONCATENATE(O$3,"-",$B21),'FO-GC-012'!$B$20:$H$109,6,0),"")</f>
        <v/>
      </c>
      <c r="R21" s="29" t="str">
        <f>IFERROR(VLOOKUP(CONCATENATE(O$3,"-",$B21),'FO-GC-012'!$D$20:$H$109,5,0),"")</f>
        <v/>
      </c>
      <c r="S21" s="26" t="str">
        <f>IFERROR(VLOOKUP(CONCATENATE(S$3,"-",$B21),'FO-GC-012'!$B$20:$H$109,2,0),"")</f>
        <v/>
      </c>
      <c r="T21" s="27" t="str">
        <f>IFERROR(VLOOKUP(CONCATENATE(S$3,"-",$B21),'FO-GC-012'!$B$20:$H$109,5,0),"")</f>
        <v/>
      </c>
      <c r="U21" s="28" t="str">
        <f>IFERROR(VLOOKUP(CONCATENATE(S$3,"-",$B21),'FO-GC-012'!$B$20:$H$109,6,0),"")</f>
        <v/>
      </c>
      <c r="V21" s="29" t="str">
        <f>IFERROR(VLOOKUP(CONCATENATE(S$3,"-",$B21),'FO-GC-012'!$D$20:$H$109,5,0),"")</f>
        <v/>
      </c>
      <c r="W21" s="26" t="str">
        <f>IFERROR(VLOOKUP(CONCATENATE(W$3,"-",$B21),'FO-GC-012'!$B$20:$H$109,2,0),"")</f>
        <v/>
      </c>
      <c r="X21" s="27" t="str">
        <f>IFERROR(VLOOKUP(CONCATENATE(W$3,"-",$B21),'FO-GC-012'!$B$20:$H$109,5,0),"")</f>
        <v/>
      </c>
      <c r="Y21" s="28" t="str">
        <f>IFERROR(VLOOKUP(CONCATENATE(W$3,"-",$B21),'FO-GC-012'!$B$20:$H$109,6,0),"")</f>
        <v/>
      </c>
      <c r="Z21" s="29" t="str">
        <f>IFERROR(VLOOKUP(CONCATENATE(W$3,"-",$B21),'FO-GC-012'!$D$20:$H$109,5,0),"")</f>
        <v/>
      </c>
      <c r="AA21" s="26" t="str">
        <f>IFERROR(VLOOKUP(CONCATENATE(AA$3,"-",$B21),'FO-GC-012'!$B$20:$H$109,2,0),"")</f>
        <v/>
      </c>
      <c r="AB21" s="27" t="str">
        <f>IFERROR(VLOOKUP(CONCATENATE(AA$3,"-",$B21),'FO-GC-012'!$B$20:$H$109,5,0),"")</f>
        <v/>
      </c>
      <c r="AC21" s="28" t="str">
        <f>IFERROR(VLOOKUP(CONCATENATE(AA$3,"-",$B21),'FO-GC-012'!$B$20:$H$109,6,0),"")</f>
        <v/>
      </c>
      <c r="AD21" s="29" t="str">
        <f>IFERROR(VLOOKUP(CONCATENATE(AA$3,"-",$B21),'FO-GC-012'!$D$20:$H$109,5,0),"")</f>
        <v/>
      </c>
      <c r="AE21" s="26" t="str">
        <f>IFERROR(VLOOKUP(CONCATENATE(AE$3,"-",$B21),'FO-GC-012'!$B$20:$H$109,2,0),"")</f>
        <v/>
      </c>
      <c r="AF21" s="27" t="str">
        <f>IFERROR(VLOOKUP(CONCATENATE(AE$3,"-",$B21),'FO-GC-012'!$B$20:$H$109,5,0),"")</f>
        <v/>
      </c>
      <c r="AG21" s="28" t="str">
        <f>IFERROR(VLOOKUP(CONCATENATE(AE$3,"-",$B21),'FO-GC-012'!$B$20:$H$109,6,0),"")</f>
        <v/>
      </c>
      <c r="AH21" s="29" t="str">
        <f>IFERROR(VLOOKUP(CONCATENATE(AE$3,"-",$B21),'FO-GC-012'!$D$20:$H$109,5,0),"")</f>
        <v/>
      </c>
      <c r="AI21" s="26" t="str">
        <f>IFERROR(VLOOKUP(CONCATENATE(AI$3,"-",$B21),'FO-GC-012'!$B$20:$H$109,2,0),"")</f>
        <v/>
      </c>
      <c r="AJ21" s="27" t="str">
        <f>IFERROR(VLOOKUP(CONCATENATE(AI$3,"-",$B21),'FO-GC-012'!$B$20:$H$109,5,0),"")</f>
        <v/>
      </c>
      <c r="AK21" s="28" t="str">
        <f>IFERROR(VLOOKUP(CONCATENATE(AI$3,"-",$B21),'FO-GC-012'!$B$20:$H$109,6,0),"")</f>
        <v/>
      </c>
      <c r="AL21" s="29" t="str">
        <f>IFERROR(VLOOKUP(CONCATENATE(AI$3,"-",$B21),'FO-GC-012'!$D$20:$H$109,5,0),"")</f>
        <v/>
      </c>
      <c r="AM21" s="26" t="str">
        <f>IFERROR(VLOOKUP(CONCATENATE(AM$3,"-",$B21),'FO-GC-012'!$B$20:$H$109,2,0),"")</f>
        <v/>
      </c>
      <c r="AN21" s="27" t="str">
        <f>IFERROR(VLOOKUP(CONCATENATE(AM$3,"-",$B21),'FO-GC-012'!$B$20:$H$109,5,0),"")</f>
        <v/>
      </c>
      <c r="AO21" s="28" t="str">
        <f>IFERROR(VLOOKUP(CONCATENATE(AM$3,"-",$B21),'FO-GC-012'!$B$20:$H$109,6,0),"")</f>
        <v/>
      </c>
      <c r="AP21" s="29" t="str">
        <f>IFERROR(VLOOKUP(CONCATENATE(AM$3,"-",$B21),'FO-GC-012'!$D$20:$H$109,5,0),"")</f>
        <v/>
      </c>
      <c r="AQ21" s="26" t="str">
        <f>IFERROR(VLOOKUP(CONCATENATE(AQ$3,"-",$B21),'FO-GC-012'!$B$20:$H$109,2,0),"")</f>
        <v/>
      </c>
      <c r="AR21" s="27" t="str">
        <f>IFERROR(VLOOKUP(CONCATENATE(AQ$3,"-",$B21),'FO-GC-012'!$B$20:$H$109,5,0),"")</f>
        <v/>
      </c>
      <c r="AS21" s="28" t="str">
        <f>IFERROR(VLOOKUP(CONCATENATE(AQ$3,"-",$B21),'FO-GC-012'!$B$20:$H$109,6,0),"")</f>
        <v/>
      </c>
      <c r="AT21" s="29" t="str">
        <f>IFERROR(VLOOKUP(CONCATENATE(AQ$3,"-",$B21),'FO-GC-012'!$D$20:$H$109,5,0),"")</f>
        <v/>
      </c>
      <c r="AU21" s="26" t="str">
        <f>IFERROR(VLOOKUP(CONCATENATE(AU$3,"-",$B21),'FO-GC-012'!$B$20:$H$109,2,0),"")</f>
        <v/>
      </c>
      <c r="AV21" s="27" t="str">
        <f>IFERROR(VLOOKUP(CONCATENATE(AU$3,"-",$B21),'FO-GC-012'!$B$20:$H$109,5,0),"")</f>
        <v/>
      </c>
      <c r="AW21" s="28" t="str">
        <f>IFERROR(VLOOKUP(CONCATENATE(AU$3,"-",$B21),'FO-GC-012'!$B$20:$H$109,6,0),"")</f>
        <v/>
      </c>
      <c r="AX21" s="29" t="str">
        <f>IFERROR(VLOOKUP(CONCATENATE(AU$3,"-",$B21),'FO-GC-012'!$D$20:$H$109,5,0),"")</f>
        <v/>
      </c>
      <c r="AY21" s="26" t="str">
        <f>IFERROR(VLOOKUP(CONCATENATE(AY$3,"-",$B21),'FO-GC-012'!$B$20:$H$109,2,0),"")</f>
        <v/>
      </c>
      <c r="AZ21" s="27" t="str">
        <f>IFERROR(VLOOKUP(CONCATENATE(AY$3,"-",$B21),'FO-GC-012'!$B$20:$H$109,5,0),"")</f>
        <v/>
      </c>
      <c r="BA21" s="28" t="str">
        <f>IFERROR(VLOOKUP(CONCATENATE(AY$3,"-",$B21),'FO-GC-012'!$B$20:$H$109,6,0),"")</f>
        <v/>
      </c>
      <c r="BB21" s="29" t="str">
        <f>IFERROR(VLOOKUP(CONCATENATE(AY$3,"-",$B21),'FO-GC-012'!$D$20:$H$109,5,0),"")</f>
        <v/>
      </c>
      <c r="BC21" s="26" t="str">
        <f>IFERROR(VLOOKUP(CONCATENATE(BC$3,"-",$B21),'FO-GC-012'!$B$20:$H$109,2,0),"")</f>
        <v/>
      </c>
      <c r="BD21" s="27" t="str">
        <f>IFERROR(VLOOKUP(CONCATENATE(BC$3,"-",$B21),'FO-GC-012'!$B$20:$H$109,5,0),"")</f>
        <v/>
      </c>
      <c r="BE21" s="28" t="str">
        <f>IFERROR(VLOOKUP(CONCATENATE(BC$3,"-",$B21),'FO-GC-012'!$B$20:$H$109,6,0),"")</f>
        <v/>
      </c>
      <c r="BF21" s="29" t="str">
        <f>IFERROR(VLOOKUP(CONCATENATE(BC$3,"-",$B21),'FO-GC-012'!$D$20:$H$109,5,0),"")</f>
        <v/>
      </c>
      <c r="BG21" s="26" t="str">
        <f>IFERROR(VLOOKUP(CONCATENATE(BG$3,"-",$B21),'FO-GC-012'!$B$20:$H$109,2,0),"")</f>
        <v/>
      </c>
      <c r="BH21" s="27" t="str">
        <f>IFERROR(VLOOKUP(CONCATENATE(BG$3,"-",$B21),'FO-GC-012'!$B$20:$H$109,5,0),"")</f>
        <v/>
      </c>
      <c r="BI21" s="28" t="str">
        <f>IFERROR(VLOOKUP(CONCATENATE(BG$3,"-",$B21),'FO-GC-012'!$B$20:$H$109,6,0),"")</f>
        <v/>
      </c>
      <c r="BJ21" s="29" t="str">
        <f>IFERROR(VLOOKUP(CONCATENATE(BG$3,"-",$B21),'FO-GC-012'!$D$20:$H$109,5,0),"")</f>
        <v/>
      </c>
      <c r="BK21" s="26" t="str">
        <f>IFERROR(VLOOKUP(CONCATENATE(BK$3,"-",$B21),'FO-GC-012'!$B$20:$H$109,2,0),"")</f>
        <v/>
      </c>
      <c r="BL21" s="27" t="str">
        <f>IFERROR(VLOOKUP(CONCATENATE(BK$3,"-",$B21),'FO-GC-012'!$B$20:$H$109,5,0),"")</f>
        <v/>
      </c>
      <c r="BM21" s="28" t="str">
        <f>IFERROR(VLOOKUP(CONCATENATE(BK$3,"-",$B21),'FO-GC-012'!$B$20:$H$109,6,0),"")</f>
        <v/>
      </c>
      <c r="BN21" s="29" t="str">
        <f>IFERROR(VLOOKUP(CONCATENATE(BK$3,"-",$B21),'FO-GC-012'!$D$20:$H$109,5,0),"")</f>
        <v/>
      </c>
      <c r="BO21" s="26" t="str">
        <f>IFERROR(VLOOKUP(CONCATENATE(BO$3,"-",$B21),'FO-GC-012'!$B$20:$H$109,2,0),"")</f>
        <v/>
      </c>
      <c r="BP21" s="27" t="str">
        <f>IFERROR(VLOOKUP(CONCATENATE(BO$3,"-",$B21),'FO-GC-012'!$B$20:$H$109,5,0),"")</f>
        <v/>
      </c>
      <c r="BQ21" s="28" t="str">
        <f>IFERROR(VLOOKUP(CONCATENATE(BO$3,"-",$B21),'FO-GC-012'!$B$20:$H$109,6,0),"")</f>
        <v/>
      </c>
      <c r="BR21" s="29" t="str">
        <f>IFERROR(VLOOKUP(CONCATENATE(BO$3,"-",$B21),'FO-GC-012'!$D$20:$H$109,5,0),"")</f>
        <v/>
      </c>
      <c r="BS21" s="26" t="str">
        <f>IFERROR(VLOOKUP(CONCATENATE(BS$3,"-",$B21),'FO-GC-012'!$B$20:$H$109,2,0),"")</f>
        <v/>
      </c>
      <c r="BT21" s="27" t="str">
        <f>IFERROR(VLOOKUP(CONCATENATE(BS$3,"-",$B21),'FO-GC-012'!$B$20:$H$109,5,0),"")</f>
        <v/>
      </c>
      <c r="BU21" s="28" t="str">
        <f>IFERROR(VLOOKUP(CONCATENATE(BS$3,"-",$B21),'FO-GC-012'!$B$20:$H$109,6,0),"")</f>
        <v/>
      </c>
      <c r="BV21" s="29" t="str">
        <f>IFERROR(VLOOKUP(CONCATENATE(BS$3,"-",$B21),'FO-GC-012'!$D$20:$H$109,5,0),"")</f>
        <v/>
      </c>
      <c r="BW21" s="26" t="str">
        <f>IFERROR(VLOOKUP(CONCATENATE(BW$3,"-",$B21),'FO-GC-012'!$B$20:$H$109,2,0),"")</f>
        <v/>
      </c>
      <c r="BX21" s="27" t="str">
        <f>IFERROR(VLOOKUP(CONCATENATE(BW$3,"-",$B21),'FO-GC-012'!$B$20:$H$109,5,0),"")</f>
        <v/>
      </c>
      <c r="BY21" s="28" t="str">
        <f>IFERROR(VLOOKUP(CONCATENATE(BW$3,"-",$B21),'FO-GC-012'!$B$20:$H$109,6,0),"")</f>
        <v/>
      </c>
      <c r="BZ21" s="29" t="str">
        <f>IFERROR(VLOOKUP(CONCATENATE(BW$3,"-",$B21),'FO-GC-012'!$D$20:$H$109,5,0),"")</f>
        <v/>
      </c>
      <c r="CA21" s="26" t="str">
        <f>IFERROR(VLOOKUP(CONCATENATE(CA$3,"-",$B21),'FO-GC-012'!$B$20:$H$109,2,0),"")</f>
        <v/>
      </c>
      <c r="CB21" s="27" t="str">
        <f>IFERROR(VLOOKUP(CONCATENATE(CA$3,"-",$B21),'FO-GC-012'!$B$20:$H$109,5,0),"")</f>
        <v/>
      </c>
      <c r="CC21" s="28" t="str">
        <f>IFERROR(VLOOKUP(CONCATENATE(CA$3,"-",$B21),'FO-GC-012'!$B$20:$H$109,6,0),"")</f>
        <v/>
      </c>
      <c r="CD21" s="5" t="str">
        <f>IFERROR(VLOOKUP(CONCATENATE(CA$3,"-",$B21),'FO-GC-012'!$D$20:$H$109,5,0),"")</f>
        <v/>
      </c>
    </row>
    <row r="22" spans="1:82" ht="21" customHeight="1" x14ac:dyDescent="0.35">
      <c r="A22" s="183">
        <f t="shared" si="1"/>
        <v>19</v>
      </c>
      <c r="B22" s="125" t="str">
        <f>'Listas Desplegables'!B43</f>
        <v>Bienestar Institucional</v>
      </c>
      <c r="C22" s="22" t="str">
        <f>IFERROR(VLOOKUP(CONCATENATE(C$3,"-",$B22),'FO-GC-012'!$B$20:$H$109,2,0),"")</f>
        <v/>
      </c>
      <c r="D22" s="23" t="str">
        <f>IFERROR(VLOOKUP(CONCATENATE(C$3,"-",$B22),'FO-GC-012'!$B$20:$H$109,5,0),"")</f>
        <v/>
      </c>
      <c r="E22" s="24" t="str">
        <f>IFERROR(VLOOKUP(CONCATENATE(C$3,"-",$B22),'FO-GC-012'!$B$20:$H$109,6,0),"")</f>
        <v/>
      </c>
      <c r="F22" s="25" t="str">
        <f>IFERROR(VLOOKUP(CONCATENATE(C$3,"-",$B22),'FO-GC-012'!$D$20:$H$109,5,0),"")</f>
        <v/>
      </c>
      <c r="G22" s="22" t="str">
        <f>IFERROR(VLOOKUP(CONCATENATE(G$3,"-",$B22),'FO-GC-012'!$B$20:$H$109,2,0),"")</f>
        <v/>
      </c>
      <c r="H22" s="23" t="str">
        <f>IFERROR(VLOOKUP(CONCATENATE(G$3,"-",$B22),'FO-GC-012'!$B$20:$H$109,5,0),"")</f>
        <v/>
      </c>
      <c r="I22" s="24" t="str">
        <f>IFERROR(VLOOKUP(CONCATENATE(G$3,"-",$B22),'FO-GC-012'!$B$20:$H$109,6,0),"")</f>
        <v/>
      </c>
      <c r="J22" s="25" t="str">
        <f>IFERROR(VLOOKUP(CONCATENATE(G$3,"-",$B22),'FO-GC-012'!$D$20:$H$109,5,0),"")</f>
        <v/>
      </c>
      <c r="K22" s="22" t="str">
        <f>IFERROR(VLOOKUP(CONCATENATE(K$3,"-",$B22),'FO-GC-012'!$B$20:$H$109,2,0),"")</f>
        <v/>
      </c>
      <c r="L22" s="23" t="str">
        <f>IFERROR(VLOOKUP(CONCATENATE(K$3,"-",$B22),'FO-GC-012'!$B$20:$H$109,5,0),"")</f>
        <v/>
      </c>
      <c r="M22" s="24" t="str">
        <f>IFERROR(VLOOKUP(CONCATENATE(K$3,"-",$B22),'FO-GC-012'!$B$20:$H$109,6,0),"")</f>
        <v/>
      </c>
      <c r="N22" s="25" t="str">
        <f>IFERROR(VLOOKUP(CONCATENATE(K$3,"-",$B22),'FO-GC-012'!$D$20:$H$109,5,0),"")</f>
        <v/>
      </c>
      <c r="O22" s="22" t="str">
        <f>IFERROR(VLOOKUP(CONCATENATE(O$3,"-",$B22),'FO-GC-012'!$B$20:$H$109,2,0),"")</f>
        <v/>
      </c>
      <c r="P22" s="23" t="str">
        <f>IFERROR(VLOOKUP(CONCATENATE(O$3,"-",$B22),'FO-GC-012'!$B$20:$H$109,5,0),"")</f>
        <v/>
      </c>
      <c r="Q22" s="24" t="str">
        <f>IFERROR(VLOOKUP(CONCATENATE(O$3,"-",$B22),'FO-GC-012'!$B$20:$H$109,6,0),"")</f>
        <v/>
      </c>
      <c r="R22" s="25" t="str">
        <f>IFERROR(VLOOKUP(CONCATENATE(O$3,"-",$B22),'FO-GC-012'!$D$20:$H$109,5,0),"")</f>
        <v/>
      </c>
      <c r="S22" s="22" t="str">
        <f>IFERROR(VLOOKUP(CONCATENATE(S$3,"-",$B22),'FO-GC-012'!$B$20:$H$109,2,0),"")</f>
        <v/>
      </c>
      <c r="T22" s="23" t="str">
        <f>IFERROR(VLOOKUP(CONCATENATE(S$3,"-",$B22),'FO-GC-012'!$B$20:$H$109,5,0),"")</f>
        <v/>
      </c>
      <c r="U22" s="24" t="str">
        <f>IFERROR(VLOOKUP(CONCATENATE(S$3,"-",$B22),'FO-GC-012'!$B$20:$H$109,6,0),"")</f>
        <v/>
      </c>
      <c r="V22" s="25" t="str">
        <f>IFERROR(VLOOKUP(CONCATENATE(S$3,"-",$B22),'FO-GC-012'!$D$20:$H$109,5,0),"")</f>
        <v/>
      </c>
      <c r="W22" s="22" t="str">
        <f>IFERROR(VLOOKUP(CONCATENATE(W$3,"-",$B22),'FO-GC-012'!$B$20:$H$109,2,0),"")</f>
        <v/>
      </c>
      <c r="X22" s="23" t="str">
        <f>IFERROR(VLOOKUP(CONCATENATE(W$3,"-",$B22),'FO-GC-012'!$B$20:$H$109,5,0),"")</f>
        <v/>
      </c>
      <c r="Y22" s="24" t="str">
        <f>IFERROR(VLOOKUP(CONCATENATE(W$3,"-",$B22),'FO-GC-012'!$B$20:$H$109,6,0),"")</f>
        <v/>
      </c>
      <c r="Z22" s="25" t="str">
        <f>IFERROR(VLOOKUP(CONCATENATE(W$3,"-",$B22),'FO-GC-012'!$D$20:$H$109,5,0),"")</f>
        <v/>
      </c>
      <c r="AA22" s="22" t="str">
        <f>IFERROR(VLOOKUP(CONCATENATE(AA$3,"-",$B22),'FO-GC-012'!$B$20:$H$109,2,0),"")</f>
        <v/>
      </c>
      <c r="AB22" s="23" t="str">
        <f>IFERROR(VLOOKUP(CONCATENATE(AA$3,"-",$B22),'FO-GC-012'!$B$20:$H$109,5,0),"")</f>
        <v/>
      </c>
      <c r="AC22" s="24" t="str">
        <f>IFERROR(VLOOKUP(CONCATENATE(AA$3,"-",$B22),'FO-GC-012'!$B$20:$H$109,6,0),"")</f>
        <v/>
      </c>
      <c r="AD22" s="25" t="str">
        <f>IFERROR(VLOOKUP(CONCATENATE(AA$3,"-",$B22),'FO-GC-012'!$D$20:$H$109,5,0),"")</f>
        <v/>
      </c>
      <c r="AE22" s="22" t="str">
        <f>IFERROR(VLOOKUP(CONCATENATE(AE$3,"-",$B22),'FO-GC-012'!$B$20:$H$109,2,0),"")</f>
        <v/>
      </c>
      <c r="AF22" s="23" t="str">
        <f>IFERROR(VLOOKUP(CONCATENATE(AE$3,"-",$B22),'FO-GC-012'!$B$20:$H$109,5,0),"")</f>
        <v/>
      </c>
      <c r="AG22" s="24" t="str">
        <f>IFERROR(VLOOKUP(CONCATENATE(AE$3,"-",$B22),'FO-GC-012'!$B$20:$H$109,6,0),"")</f>
        <v/>
      </c>
      <c r="AH22" s="25" t="str">
        <f>IFERROR(VLOOKUP(CONCATENATE(AE$3,"-",$B22),'FO-GC-012'!$D$20:$H$109,5,0),"")</f>
        <v/>
      </c>
      <c r="AI22" s="22" t="str">
        <f>IFERROR(VLOOKUP(CONCATENATE(AI$3,"-",$B22),'FO-GC-012'!$B$20:$H$109,2,0),"")</f>
        <v/>
      </c>
      <c r="AJ22" s="23" t="str">
        <f>IFERROR(VLOOKUP(CONCATENATE(AI$3,"-",$B22),'FO-GC-012'!$B$20:$H$109,5,0),"")</f>
        <v/>
      </c>
      <c r="AK22" s="24" t="str">
        <f>IFERROR(VLOOKUP(CONCATENATE(AI$3,"-",$B22),'FO-GC-012'!$B$20:$H$109,6,0),"")</f>
        <v/>
      </c>
      <c r="AL22" s="25" t="str">
        <f>IFERROR(VLOOKUP(CONCATENATE(AI$3,"-",$B22),'FO-GC-012'!$D$20:$H$109,5,0),"")</f>
        <v/>
      </c>
      <c r="AM22" s="22" t="str">
        <f>IFERROR(VLOOKUP(CONCATENATE(AM$3,"-",$B22),'FO-GC-012'!$B$20:$H$109,2,0),"")</f>
        <v/>
      </c>
      <c r="AN22" s="23" t="str">
        <f>IFERROR(VLOOKUP(CONCATENATE(AM$3,"-",$B22),'FO-GC-012'!$B$20:$H$109,5,0),"")</f>
        <v/>
      </c>
      <c r="AO22" s="24" t="str">
        <f>IFERROR(VLOOKUP(CONCATENATE(AM$3,"-",$B22),'FO-GC-012'!$B$20:$H$109,6,0),"")</f>
        <v/>
      </c>
      <c r="AP22" s="25" t="str">
        <f>IFERROR(VLOOKUP(CONCATENATE(AM$3,"-",$B22),'FO-GC-012'!$D$20:$H$109,5,0),"")</f>
        <v/>
      </c>
      <c r="AQ22" s="22" t="str">
        <f>IFERROR(VLOOKUP(CONCATENATE(AQ$3,"-",$B22),'FO-GC-012'!$B$20:$H$109,2,0),"")</f>
        <v/>
      </c>
      <c r="AR22" s="23" t="str">
        <f>IFERROR(VLOOKUP(CONCATENATE(AQ$3,"-",$B22),'FO-GC-012'!$B$20:$H$109,5,0),"")</f>
        <v/>
      </c>
      <c r="AS22" s="24" t="str">
        <f>IFERROR(VLOOKUP(CONCATENATE(AQ$3,"-",$B22),'FO-GC-012'!$B$20:$H$109,6,0),"")</f>
        <v/>
      </c>
      <c r="AT22" s="25" t="str">
        <f>IFERROR(VLOOKUP(CONCATENATE(AQ$3,"-",$B22),'FO-GC-012'!$D$20:$H$109,5,0),"")</f>
        <v/>
      </c>
      <c r="AU22" s="22" t="str">
        <f>IFERROR(VLOOKUP(CONCATENATE(AU$3,"-",$B22),'FO-GC-012'!$B$20:$H$109,2,0),"")</f>
        <v/>
      </c>
      <c r="AV22" s="23" t="str">
        <f>IFERROR(VLOOKUP(CONCATENATE(AU$3,"-",$B22),'FO-GC-012'!$B$20:$H$109,5,0),"")</f>
        <v/>
      </c>
      <c r="AW22" s="24" t="str">
        <f>IFERROR(VLOOKUP(CONCATENATE(AU$3,"-",$B22),'FO-GC-012'!$B$20:$H$109,6,0),"")</f>
        <v/>
      </c>
      <c r="AX22" s="25" t="str">
        <f>IFERROR(VLOOKUP(CONCATENATE(AU$3,"-",$B22),'FO-GC-012'!$D$20:$H$109,5,0),"")</f>
        <v/>
      </c>
      <c r="AY22" s="22" t="str">
        <f>IFERROR(VLOOKUP(CONCATENATE(AY$3,"-",$B22),'FO-GC-012'!$B$20:$H$109,2,0),"")</f>
        <v/>
      </c>
      <c r="AZ22" s="23" t="str">
        <f>IFERROR(VLOOKUP(CONCATENATE(AY$3,"-",$B22),'FO-GC-012'!$B$20:$H$109,5,0),"")</f>
        <v/>
      </c>
      <c r="BA22" s="24" t="str">
        <f>IFERROR(VLOOKUP(CONCATENATE(AY$3,"-",$B22),'FO-GC-012'!$B$20:$H$109,6,0),"")</f>
        <v/>
      </c>
      <c r="BB22" s="25" t="str">
        <f>IFERROR(VLOOKUP(CONCATENATE(AY$3,"-",$B22),'FO-GC-012'!$D$20:$H$109,5,0),"")</f>
        <v/>
      </c>
      <c r="BC22" s="22" t="str">
        <f>IFERROR(VLOOKUP(CONCATENATE(BC$3,"-",$B22),'FO-GC-012'!$B$20:$H$109,2,0),"")</f>
        <v/>
      </c>
      <c r="BD22" s="23" t="str">
        <f>IFERROR(VLOOKUP(CONCATENATE(BC$3,"-",$B22),'FO-GC-012'!$B$20:$H$109,5,0),"")</f>
        <v/>
      </c>
      <c r="BE22" s="24" t="str">
        <f>IFERROR(VLOOKUP(CONCATENATE(BC$3,"-",$B22),'FO-GC-012'!$B$20:$H$109,6,0),"")</f>
        <v/>
      </c>
      <c r="BF22" s="25" t="str">
        <f>IFERROR(VLOOKUP(CONCATENATE(BC$3,"-",$B22),'FO-GC-012'!$D$20:$H$109,5,0),"")</f>
        <v/>
      </c>
      <c r="BG22" s="22" t="str">
        <f>IFERROR(VLOOKUP(CONCATENATE(BG$3,"-",$B22),'FO-GC-012'!$B$20:$H$109,2,0),"")</f>
        <v/>
      </c>
      <c r="BH22" s="23" t="str">
        <f>IFERROR(VLOOKUP(CONCATENATE(BG$3,"-",$B22),'FO-GC-012'!$B$20:$H$109,5,0),"")</f>
        <v/>
      </c>
      <c r="BI22" s="24" t="str">
        <f>IFERROR(VLOOKUP(CONCATENATE(BG$3,"-",$B22),'FO-GC-012'!$B$20:$H$109,6,0),"")</f>
        <v/>
      </c>
      <c r="BJ22" s="25" t="str">
        <f>IFERROR(VLOOKUP(CONCATENATE(BG$3,"-",$B22),'FO-GC-012'!$D$20:$H$109,5,0),"")</f>
        <v/>
      </c>
      <c r="BK22" s="22" t="str">
        <f>IFERROR(VLOOKUP(CONCATENATE(BK$3,"-",$B22),'FO-GC-012'!$B$20:$H$109,2,0),"")</f>
        <v/>
      </c>
      <c r="BL22" s="23" t="str">
        <f>IFERROR(VLOOKUP(CONCATENATE(BK$3,"-",$B22),'FO-GC-012'!$B$20:$H$109,5,0),"")</f>
        <v/>
      </c>
      <c r="BM22" s="24" t="str">
        <f>IFERROR(VLOOKUP(CONCATENATE(BK$3,"-",$B22),'FO-GC-012'!$B$20:$H$109,6,0),"")</f>
        <v/>
      </c>
      <c r="BN22" s="25" t="str">
        <f>IFERROR(VLOOKUP(CONCATENATE(BK$3,"-",$B22),'FO-GC-012'!$D$20:$H$109,5,0),"")</f>
        <v/>
      </c>
      <c r="BO22" s="22" t="str">
        <f>IFERROR(VLOOKUP(CONCATENATE(BO$3,"-",$B22),'FO-GC-012'!$B$20:$H$109,2,0),"")</f>
        <v/>
      </c>
      <c r="BP22" s="23" t="str">
        <f>IFERROR(VLOOKUP(CONCATENATE(BO$3,"-",$B22),'FO-GC-012'!$B$20:$H$109,5,0),"")</f>
        <v/>
      </c>
      <c r="BQ22" s="24" t="str">
        <f>IFERROR(VLOOKUP(CONCATENATE(BO$3,"-",$B22),'FO-GC-012'!$B$20:$H$109,6,0),"")</f>
        <v/>
      </c>
      <c r="BR22" s="25" t="str">
        <f>IFERROR(VLOOKUP(CONCATENATE(BO$3,"-",$B22),'FO-GC-012'!$D$20:$H$109,5,0),"")</f>
        <v/>
      </c>
      <c r="BS22" s="22" t="str">
        <f>IFERROR(VLOOKUP(CONCATENATE(BS$3,"-",$B22),'FO-GC-012'!$B$20:$H$109,2,0),"")</f>
        <v/>
      </c>
      <c r="BT22" s="23" t="str">
        <f>IFERROR(VLOOKUP(CONCATENATE(BS$3,"-",$B22),'FO-GC-012'!$B$20:$H$109,5,0),"")</f>
        <v/>
      </c>
      <c r="BU22" s="24" t="str">
        <f>IFERROR(VLOOKUP(CONCATENATE(BS$3,"-",$B22),'FO-GC-012'!$B$20:$H$109,6,0),"")</f>
        <v/>
      </c>
      <c r="BV22" s="25" t="str">
        <f>IFERROR(VLOOKUP(CONCATENATE(BS$3,"-",$B22),'FO-GC-012'!$D$20:$H$109,5,0),"")</f>
        <v/>
      </c>
      <c r="BW22" s="22" t="str">
        <f>IFERROR(VLOOKUP(CONCATENATE(BW$3,"-",$B22),'FO-GC-012'!$B$20:$H$109,2,0),"")</f>
        <v/>
      </c>
      <c r="BX22" s="23" t="str">
        <f>IFERROR(VLOOKUP(CONCATENATE(BW$3,"-",$B22),'FO-GC-012'!$B$20:$H$109,5,0),"")</f>
        <v/>
      </c>
      <c r="BY22" s="24" t="str">
        <f>IFERROR(VLOOKUP(CONCATENATE(BW$3,"-",$B22),'FO-GC-012'!$B$20:$H$109,6,0),"")</f>
        <v/>
      </c>
      <c r="BZ22" s="25" t="str">
        <f>IFERROR(VLOOKUP(CONCATENATE(BW$3,"-",$B22),'FO-GC-012'!$D$20:$H$109,5,0),"")</f>
        <v/>
      </c>
      <c r="CA22" s="22" t="str">
        <f>IFERROR(VLOOKUP(CONCATENATE(CA$3,"-",$B22),'FO-GC-012'!$B$20:$H$109,2,0),"")</f>
        <v/>
      </c>
      <c r="CB22" s="23" t="str">
        <f>IFERROR(VLOOKUP(CONCATENATE(CA$3,"-",$B22),'FO-GC-012'!$B$20:$H$109,5,0),"")</f>
        <v/>
      </c>
      <c r="CC22" s="24" t="str">
        <f>IFERROR(VLOOKUP(CONCATENATE(CA$3,"-",$B22),'FO-GC-012'!$B$20:$H$109,6,0),"")</f>
        <v/>
      </c>
      <c r="CD22" s="5" t="str">
        <f>IFERROR(VLOOKUP(CONCATENATE(CA$3,"-",$B22),'FO-GC-012'!$D$20:$H$109,5,0),"")</f>
        <v/>
      </c>
    </row>
    <row r="23" spans="1:82" ht="21" customHeight="1" x14ac:dyDescent="0.35">
      <c r="A23" s="184">
        <f t="shared" si="1"/>
        <v>20</v>
      </c>
      <c r="B23" s="125" t="str">
        <f>'Listas Desplegables'!B44</f>
        <v>Gestión del Talento Humano</v>
      </c>
      <c r="C23" s="26" t="str">
        <f>IFERROR(VLOOKUP(CONCATENATE(C$3,"-",$B23),'FO-GC-012'!$B$20:$H$109,2,0),"")</f>
        <v/>
      </c>
      <c r="D23" s="27" t="str">
        <f>IFERROR(VLOOKUP(CONCATENATE(C$3,"-",$B23),'FO-GC-012'!$B$20:$H$109,5,0),"")</f>
        <v/>
      </c>
      <c r="E23" s="28" t="str">
        <f>IFERROR(VLOOKUP(CONCATENATE(C$3,"-",$B23),'FO-GC-012'!$B$20:$H$109,6,0),"")</f>
        <v/>
      </c>
      <c r="F23" s="29" t="str">
        <f>IFERROR(VLOOKUP(CONCATENATE(C$3,"-",$B23),'FO-GC-012'!$D$20:$H$109,5,0),"")</f>
        <v/>
      </c>
      <c r="G23" s="26" t="str">
        <f>IFERROR(VLOOKUP(CONCATENATE(G$3,"-",$B23),'FO-GC-012'!$B$20:$H$109,2,0),"")</f>
        <v/>
      </c>
      <c r="H23" s="27" t="str">
        <f>IFERROR(VLOOKUP(CONCATENATE(G$3,"-",$B23),'FO-GC-012'!$B$20:$H$109,5,0),"")</f>
        <v/>
      </c>
      <c r="I23" s="28" t="str">
        <f>IFERROR(VLOOKUP(CONCATENATE(G$3,"-",$B23),'FO-GC-012'!$B$20:$H$109,6,0),"")</f>
        <v/>
      </c>
      <c r="J23" s="29" t="str">
        <f>IFERROR(VLOOKUP(CONCATENATE(G$3,"-",$B23),'FO-GC-012'!$D$20:$H$109,5,0),"")</f>
        <v/>
      </c>
      <c r="K23" s="26" t="str">
        <f>IFERROR(VLOOKUP(CONCATENATE(K$3,"-",$B23),'FO-GC-012'!$B$20:$H$109,2,0),"")</f>
        <v/>
      </c>
      <c r="L23" s="27" t="str">
        <f>IFERROR(VLOOKUP(CONCATENATE(K$3,"-",$B23),'FO-GC-012'!$B$20:$H$109,5,0),"")</f>
        <v/>
      </c>
      <c r="M23" s="28" t="str">
        <f>IFERROR(VLOOKUP(CONCATENATE(K$3,"-",$B23),'FO-GC-012'!$B$20:$H$109,6,0),"")</f>
        <v/>
      </c>
      <c r="N23" s="29" t="str">
        <f>IFERROR(VLOOKUP(CONCATENATE(K$3,"-",$B23),'FO-GC-012'!$D$20:$H$109,5,0),"")</f>
        <v/>
      </c>
      <c r="O23" s="26" t="str">
        <f>IFERROR(VLOOKUP(CONCATENATE(O$3,"-",$B23),'FO-GC-012'!$B$20:$H$109,2,0),"")</f>
        <v/>
      </c>
      <c r="P23" s="27" t="str">
        <f>IFERROR(VLOOKUP(CONCATENATE(O$3,"-",$B23),'FO-GC-012'!$B$20:$H$109,5,0),"")</f>
        <v/>
      </c>
      <c r="Q23" s="28" t="str">
        <f>IFERROR(VLOOKUP(CONCATENATE(O$3,"-",$B23),'FO-GC-012'!$B$20:$H$109,6,0),"")</f>
        <v/>
      </c>
      <c r="R23" s="29" t="str">
        <f>IFERROR(VLOOKUP(CONCATENATE(O$3,"-",$B23),'FO-GC-012'!$D$20:$H$109,5,0),"")</f>
        <v/>
      </c>
      <c r="S23" s="26" t="str">
        <f>IFERROR(VLOOKUP(CONCATENATE(S$3,"-",$B23),'FO-GC-012'!$B$20:$H$109,2,0),"")</f>
        <v/>
      </c>
      <c r="T23" s="27" t="str">
        <f>IFERROR(VLOOKUP(CONCATENATE(S$3,"-",$B23),'FO-GC-012'!$B$20:$H$109,5,0),"")</f>
        <v/>
      </c>
      <c r="U23" s="28" t="str">
        <f>IFERROR(VLOOKUP(CONCATENATE(S$3,"-",$B23),'FO-GC-012'!$B$20:$H$109,6,0),"")</f>
        <v/>
      </c>
      <c r="V23" s="29" t="str">
        <f>IFERROR(VLOOKUP(CONCATENATE(S$3,"-",$B23),'FO-GC-012'!$D$20:$H$109,5,0),"")</f>
        <v/>
      </c>
      <c r="W23" s="26" t="str">
        <f>IFERROR(VLOOKUP(CONCATENATE(W$3,"-",$B23),'FO-GC-012'!$B$20:$H$109,2,0),"")</f>
        <v/>
      </c>
      <c r="X23" s="27" t="str">
        <f>IFERROR(VLOOKUP(CONCATENATE(W$3,"-",$B23),'FO-GC-012'!$B$20:$H$109,5,0),"")</f>
        <v/>
      </c>
      <c r="Y23" s="28" t="str">
        <f>IFERROR(VLOOKUP(CONCATENATE(W$3,"-",$B23),'FO-GC-012'!$B$20:$H$109,6,0),"")</f>
        <v/>
      </c>
      <c r="Z23" s="29" t="str">
        <f>IFERROR(VLOOKUP(CONCATENATE(W$3,"-",$B23),'FO-GC-012'!$D$20:$H$109,5,0),"")</f>
        <v/>
      </c>
      <c r="AA23" s="26" t="str">
        <f>IFERROR(VLOOKUP(CONCATENATE(AA$3,"-",$B23),'FO-GC-012'!$B$20:$H$109,2,0),"")</f>
        <v/>
      </c>
      <c r="AB23" s="27" t="str">
        <f>IFERROR(VLOOKUP(CONCATENATE(AA$3,"-",$B23),'FO-GC-012'!$B$20:$H$109,5,0),"")</f>
        <v/>
      </c>
      <c r="AC23" s="28" t="str">
        <f>IFERROR(VLOOKUP(CONCATENATE(AA$3,"-",$B23),'FO-GC-012'!$B$20:$H$109,6,0),"")</f>
        <v/>
      </c>
      <c r="AD23" s="29" t="str">
        <f>IFERROR(VLOOKUP(CONCATENATE(AA$3,"-",$B23),'FO-GC-012'!$D$20:$H$109,5,0),"")</f>
        <v/>
      </c>
      <c r="AE23" s="26" t="str">
        <f>IFERROR(VLOOKUP(CONCATENATE(AE$3,"-",$B23),'FO-GC-012'!$B$20:$H$109,2,0),"")</f>
        <v/>
      </c>
      <c r="AF23" s="27" t="str">
        <f>IFERROR(VLOOKUP(CONCATENATE(AE$3,"-",$B23),'FO-GC-012'!$B$20:$H$109,5,0),"")</f>
        <v/>
      </c>
      <c r="AG23" s="28" t="str">
        <f>IFERROR(VLOOKUP(CONCATENATE(AE$3,"-",$B23),'FO-GC-012'!$B$20:$H$109,6,0),"")</f>
        <v/>
      </c>
      <c r="AH23" s="29" t="str">
        <f>IFERROR(VLOOKUP(CONCATENATE(AE$3,"-",$B23),'FO-GC-012'!$D$20:$H$109,5,0),"")</f>
        <v/>
      </c>
      <c r="AI23" s="26" t="str">
        <f>IFERROR(VLOOKUP(CONCATENATE(AI$3,"-",$B23),'FO-GC-012'!$B$20:$H$109,2,0),"")</f>
        <v/>
      </c>
      <c r="AJ23" s="27" t="str">
        <f>IFERROR(VLOOKUP(CONCATENATE(AI$3,"-",$B23),'FO-GC-012'!$B$20:$H$109,5,0),"")</f>
        <v/>
      </c>
      <c r="AK23" s="28" t="str">
        <f>IFERROR(VLOOKUP(CONCATENATE(AI$3,"-",$B23),'FO-GC-012'!$B$20:$H$109,6,0),"")</f>
        <v/>
      </c>
      <c r="AL23" s="29" t="str">
        <f>IFERROR(VLOOKUP(CONCATENATE(AI$3,"-",$B23),'FO-GC-012'!$D$20:$H$109,5,0),"")</f>
        <v/>
      </c>
      <c r="AM23" s="26" t="str">
        <f>IFERROR(VLOOKUP(CONCATENATE(AM$3,"-",$B23),'FO-GC-012'!$B$20:$H$109,2,0),"")</f>
        <v/>
      </c>
      <c r="AN23" s="27" t="str">
        <f>IFERROR(VLOOKUP(CONCATENATE(AM$3,"-",$B23),'FO-GC-012'!$B$20:$H$109,5,0),"")</f>
        <v/>
      </c>
      <c r="AO23" s="28" t="str">
        <f>IFERROR(VLOOKUP(CONCATENATE(AM$3,"-",$B23),'FO-GC-012'!$B$20:$H$109,6,0),"")</f>
        <v/>
      </c>
      <c r="AP23" s="29" t="str">
        <f>IFERROR(VLOOKUP(CONCATENATE(AM$3,"-",$B23),'FO-GC-012'!$D$20:$H$109,5,0),"")</f>
        <v/>
      </c>
      <c r="AQ23" s="26" t="str">
        <f>IFERROR(VLOOKUP(CONCATENATE(AQ$3,"-",$B23),'FO-GC-012'!$B$20:$H$109,2,0),"")</f>
        <v/>
      </c>
      <c r="AR23" s="27" t="str">
        <f>IFERROR(VLOOKUP(CONCATENATE(AQ$3,"-",$B23),'FO-GC-012'!$B$20:$H$109,5,0),"")</f>
        <v/>
      </c>
      <c r="AS23" s="28" t="str">
        <f>IFERROR(VLOOKUP(CONCATENATE(AQ$3,"-",$B23),'FO-GC-012'!$B$20:$H$109,6,0),"")</f>
        <v/>
      </c>
      <c r="AT23" s="29" t="str">
        <f>IFERROR(VLOOKUP(CONCATENATE(AQ$3,"-",$B23),'FO-GC-012'!$D$20:$H$109,5,0),"")</f>
        <v/>
      </c>
      <c r="AU23" s="26" t="str">
        <f>IFERROR(VLOOKUP(CONCATENATE(AU$3,"-",$B23),'FO-GC-012'!$B$20:$H$109,2,0),"")</f>
        <v/>
      </c>
      <c r="AV23" s="27" t="str">
        <f>IFERROR(VLOOKUP(CONCATENATE(AU$3,"-",$B23),'FO-GC-012'!$B$20:$H$109,5,0),"")</f>
        <v/>
      </c>
      <c r="AW23" s="28" t="str">
        <f>IFERROR(VLOOKUP(CONCATENATE(AU$3,"-",$B23),'FO-GC-012'!$B$20:$H$109,6,0),"")</f>
        <v/>
      </c>
      <c r="AX23" s="29" t="str">
        <f>IFERROR(VLOOKUP(CONCATENATE(AU$3,"-",$B23),'FO-GC-012'!$D$20:$H$109,5,0),"")</f>
        <v/>
      </c>
      <c r="AY23" s="26" t="str">
        <f>IFERROR(VLOOKUP(CONCATENATE(AY$3,"-",$B23),'FO-GC-012'!$B$20:$H$109,2,0),"")</f>
        <v/>
      </c>
      <c r="AZ23" s="27" t="str">
        <f>IFERROR(VLOOKUP(CONCATENATE(AY$3,"-",$B23),'FO-GC-012'!$B$20:$H$109,5,0),"")</f>
        <v/>
      </c>
      <c r="BA23" s="28" t="str">
        <f>IFERROR(VLOOKUP(CONCATENATE(AY$3,"-",$B23),'FO-GC-012'!$B$20:$H$109,6,0),"")</f>
        <v/>
      </c>
      <c r="BB23" s="29" t="str">
        <f>IFERROR(VLOOKUP(CONCATENATE(AY$3,"-",$B23),'FO-GC-012'!$D$20:$H$109,5,0),"")</f>
        <v/>
      </c>
      <c r="BC23" s="26" t="str">
        <f>IFERROR(VLOOKUP(CONCATENATE(BC$3,"-",$B23),'FO-GC-012'!$B$20:$H$109,2,0),"")</f>
        <v/>
      </c>
      <c r="BD23" s="27" t="str">
        <f>IFERROR(VLOOKUP(CONCATENATE(BC$3,"-",$B23),'FO-GC-012'!$B$20:$H$109,5,0),"")</f>
        <v/>
      </c>
      <c r="BE23" s="28" t="str">
        <f>IFERROR(VLOOKUP(CONCATENATE(BC$3,"-",$B23),'FO-GC-012'!$B$20:$H$109,6,0),"")</f>
        <v/>
      </c>
      <c r="BF23" s="29" t="str">
        <f>IFERROR(VLOOKUP(CONCATENATE(BC$3,"-",$B23),'FO-GC-012'!$D$20:$H$109,5,0),"")</f>
        <v/>
      </c>
      <c r="BG23" s="26" t="str">
        <f>IFERROR(VLOOKUP(CONCATENATE(BG$3,"-",$B23),'FO-GC-012'!$B$20:$H$109,2,0),"")</f>
        <v/>
      </c>
      <c r="BH23" s="27" t="str">
        <f>IFERROR(VLOOKUP(CONCATENATE(BG$3,"-",$B23),'FO-GC-012'!$B$20:$H$109,5,0),"")</f>
        <v/>
      </c>
      <c r="BI23" s="28" t="str">
        <f>IFERROR(VLOOKUP(CONCATENATE(BG$3,"-",$B23),'FO-GC-012'!$B$20:$H$109,6,0),"")</f>
        <v/>
      </c>
      <c r="BJ23" s="29" t="str">
        <f>IFERROR(VLOOKUP(CONCATENATE(BG$3,"-",$B23),'FO-GC-012'!$D$20:$H$109,5,0),"")</f>
        <v/>
      </c>
      <c r="BK23" s="26" t="str">
        <f>IFERROR(VLOOKUP(CONCATENATE(BK$3,"-",$B23),'FO-GC-012'!$B$20:$H$109,2,0),"")</f>
        <v/>
      </c>
      <c r="BL23" s="27" t="str">
        <f>IFERROR(VLOOKUP(CONCATENATE(BK$3,"-",$B23),'FO-GC-012'!$B$20:$H$109,5,0),"")</f>
        <v/>
      </c>
      <c r="BM23" s="28" t="str">
        <f>IFERROR(VLOOKUP(CONCATENATE(BK$3,"-",$B23),'FO-GC-012'!$B$20:$H$109,6,0),"")</f>
        <v/>
      </c>
      <c r="BN23" s="29" t="str">
        <f>IFERROR(VLOOKUP(CONCATENATE(BK$3,"-",$B23),'FO-GC-012'!$D$20:$H$109,5,0),"")</f>
        <v/>
      </c>
      <c r="BO23" s="26" t="str">
        <f>IFERROR(VLOOKUP(CONCATENATE(BO$3,"-",$B23),'FO-GC-012'!$B$20:$H$109,2,0),"")</f>
        <v/>
      </c>
      <c r="BP23" s="27" t="str">
        <f>IFERROR(VLOOKUP(CONCATENATE(BO$3,"-",$B23),'FO-GC-012'!$B$20:$H$109,5,0),"")</f>
        <v/>
      </c>
      <c r="BQ23" s="28" t="str">
        <f>IFERROR(VLOOKUP(CONCATENATE(BO$3,"-",$B23),'FO-GC-012'!$B$20:$H$109,6,0),"")</f>
        <v/>
      </c>
      <c r="BR23" s="29" t="str">
        <f>IFERROR(VLOOKUP(CONCATENATE(BO$3,"-",$B23),'FO-GC-012'!$D$20:$H$109,5,0),"")</f>
        <v/>
      </c>
      <c r="BS23" s="26" t="str">
        <f>IFERROR(VLOOKUP(CONCATENATE(BS$3,"-",$B23),'FO-GC-012'!$B$20:$H$109,2,0),"")</f>
        <v/>
      </c>
      <c r="BT23" s="27" t="str">
        <f>IFERROR(VLOOKUP(CONCATENATE(BS$3,"-",$B23),'FO-GC-012'!$B$20:$H$109,5,0),"")</f>
        <v/>
      </c>
      <c r="BU23" s="28" t="str">
        <f>IFERROR(VLOOKUP(CONCATENATE(BS$3,"-",$B23),'FO-GC-012'!$B$20:$H$109,6,0),"")</f>
        <v/>
      </c>
      <c r="BV23" s="29" t="str">
        <f>IFERROR(VLOOKUP(CONCATENATE(BS$3,"-",$B23),'FO-GC-012'!$D$20:$H$109,5,0),"")</f>
        <v/>
      </c>
      <c r="BW23" s="26" t="str">
        <f>IFERROR(VLOOKUP(CONCATENATE(BW$3,"-",$B23),'FO-GC-012'!$B$20:$H$109,2,0),"")</f>
        <v/>
      </c>
      <c r="BX23" s="27" t="str">
        <f>IFERROR(VLOOKUP(CONCATENATE(BW$3,"-",$B23),'FO-GC-012'!$B$20:$H$109,5,0),"")</f>
        <v/>
      </c>
      <c r="BY23" s="28" t="str">
        <f>IFERROR(VLOOKUP(CONCATENATE(BW$3,"-",$B23),'FO-GC-012'!$B$20:$H$109,6,0),"")</f>
        <v/>
      </c>
      <c r="BZ23" s="29" t="str">
        <f>IFERROR(VLOOKUP(CONCATENATE(BW$3,"-",$B23),'FO-GC-012'!$D$20:$H$109,5,0),"")</f>
        <v/>
      </c>
      <c r="CA23" s="26" t="str">
        <f>IFERROR(VLOOKUP(CONCATENATE(CA$3,"-",$B23),'FO-GC-012'!$B$20:$H$109,2,0),"")</f>
        <v/>
      </c>
      <c r="CB23" s="27" t="str">
        <f>IFERROR(VLOOKUP(CONCATENATE(CA$3,"-",$B23),'FO-GC-012'!$B$20:$H$109,5,0),"")</f>
        <v/>
      </c>
      <c r="CC23" s="28" t="str">
        <f>IFERROR(VLOOKUP(CONCATENATE(CA$3,"-",$B23),'FO-GC-012'!$B$20:$H$109,6,0),"")</f>
        <v/>
      </c>
      <c r="CD23" s="5" t="str">
        <f>IFERROR(VLOOKUP(CONCATENATE(CA$3,"-",$B23),'FO-GC-012'!$D$20:$H$109,5,0),"")</f>
        <v/>
      </c>
    </row>
    <row r="24" spans="1:82" ht="21" customHeight="1" x14ac:dyDescent="0.35">
      <c r="A24" s="183">
        <f t="shared" si="1"/>
        <v>21</v>
      </c>
      <c r="B24" s="125" t="str">
        <f>'Listas Desplegables'!B45</f>
        <v>Gestión de SST</v>
      </c>
      <c r="C24" s="22" t="str">
        <f>IFERROR(VLOOKUP(CONCATENATE(C$3,"-",$B24),'FO-GC-012'!$B$20:$H$109,2,0),"")</f>
        <v/>
      </c>
      <c r="D24" s="23" t="str">
        <f>IFERROR(VLOOKUP(CONCATENATE(C$3,"-",$B24),'FO-GC-012'!$B$20:$H$109,5,0),"")</f>
        <v/>
      </c>
      <c r="E24" s="24" t="str">
        <f>IFERROR(VLOOKUP(CONCATENATE(C$3,"-",$B24),'FO-GC-012'!$B$20:$H$109,6,0),"")</f>
        <v/>
      </c>
      <c r="F24" s="25" t="str">
        <f>IFERROR(VLOOKUP(CONCATENATE(C$3,"-",$B24),'FO-GC-012'!$D$20:$H$109,5,0),"")</f>
        <v/>
      </c>
      <c r="G24" s="22" t="str">
        <f>IFERROR(VLOOKUP(CONCATENATE(G$3,"-",$B24),'FO-GC-012'!$B$20:$H$109,2,0),"")</f>
        <v/>
      </c>
      <c r="H24" s="23" t="str">
        <f>IFERROR(VLOOKUP(CONCATENATE(G$3,"-",$B24),'FO-GC-012'!$B$20:$H$109,5,0),"")</f>
        <v/>
      </c>
      <c r="I24" s="24" t="str">
        <f>IFERROR(VLOOKUP(CONCATENATE(G$3,"-",$B24),'FO-GC-012'!$B$20:$H$109,6,0),"")</f>
        <v/>
      </c>
      <c r="J24" s="25" t="str">
        <f>IFERROR(VLOOKUP(CONCATENATE(G$3,"-",$B24),'FO-GC-012'!$D$20:$H$109,5,0),"")</f>
        <v/>
      </c>
      <c r="K24" s="22" t="str">
        <f>IFERROR(VLOOKUP(CONCATENATE(K$3,"-",$B24),'FO-GC-012'!$B$20:$H$109,2,0),"")</f>
        <v/>
      </c>
      <c r="L24" s="23" t="str">
        <f>IFERROR(VLOOKUP(CONCATENATE(K$3,"-",$B24),'FO-GC-012'!$B$20:$H$109,5,0),"")</f>
        <v/>
      </c>
      <c r="M24" s="24" t="str">
        <f>IFERROR(VLOOKUP(CONCATENATE(K$3,"-",$B24),'FO-GC-012'!$B$20:$H$109,6,0),"")</f>
        <v/>
      </c>
      <c r="N24" s="25" t="str">
        <f>IFERROR(VLOOKUP(CONCATENATE(K$3,"-",$B24),'FO-GC-012'!$D$20:$H$109,5,0),"")</f>
        <v/>
      </c>
      <c r="O24" s="22" t="str">
        <f>IFERROR(VLOOKUP(CONCATENATE(O$3,"-",$B24),'FO-GC-012'!$B$20:$H$109,2,0),"")</f>
        <v/>
      </c>
      <c r="P24" s="23" t="str">
        <f>IFERROR(VLOOKUP(CONCATENATE(O$3,"-",$B24),'FO-GC-012'!$B$20:$H$109,5,0),"")</f>
        <v/>
      </c>
      <c r="Q24" s="24" t="str">
        <f>IFERROR(VLOOKUP(CONCATENATE(O$3,"-",$B24),'FO-GC-012'!$B$20:$H$109,6,0),"")</f>
        <v/>
      </c>
      <c r="R24" s="25" t="str">
        <f>IFERROR(VLOOKUP(CONCATENATE(O$3,"-",$B24),'FO-GC-012'!$D$20:$H$109,5,0),"")</f>
        <v/>
      </c>
      <c r="S24" s="22" t="str">
        <f>IFERROR(VLOOKUP(CONCATENATE(S$3,"-",$B24),'FO-GC-012'!$B$20:$H$109,2,0),"")</f>
        <v/>
      </c>
      <c r="T24" s="23" t="str">
        <f>IFERROR(VLOOKUP(CONCATENATE(S$3,"-",$B24),'FO-GC-012'!$B$20:$H$109,5,0),"")</f>
        <v/>
      </c>
      <c r="U24" s="24" t="str">
        <f>IFERROR(VLOOKUP(CONCATENATE(S$3,"-",$B24),'FO-GC-012'!$B$20:$H$109,6,0),"")</f>
        <v/>
      </c>
      <c r="V24" s="25" t="str">
        <f>IFERROR(VLOOKUP(CONCATENATE(S$3,"-",$B24),'FO-GC-012'!$D$20:$H$109,5,0),"")</f>
        <v/>
      </c>
      <c r="W24" s="22" t="str">
        <f>IFERROR(VLOOKUP(CONCATENATE(W$3,"-",$B24),'FO-GC-012'!$B$20:$H$109,2,0),"")</f>
        <v/>
      </c>
      <c r="X24" s="23" t="str">
        <f>IFERROR(VLOOKUP(CONCATENATE(W$3,"-",$B24),'FO-GC-012'!$B$20:$H$109,5,0),"")</f>
        <v/>
      </c>
      <c r="Y24" s="24" t="str">
        <f>IFERROR(VLOOKUP(CONCATENATE(W$3,"-",$B24),'FO-GC-012'!$B$20:$H$109,6,0),"")</f>
        <v/>
      </c>
      <c r="Z24" s="25" t="str">
        <f>IFERROR(VLOOKUP(CONCATENATE(W$3,"-",$B24),'FO-GC-012'!$D$20:$H$109,5,0),"")</f>
        <v/>
      </c>
      <c r="AA24" s="22" t="str">
        <f>IFERROR(VLOOKUP(CONCATENATE(AA$3,"-",$B24),'FO-GC-012'!$B$20:$H$109,2,0),"")</f>
        <v/>
      </c>
      <c r="AB24" s="23" t="str">
        <f>IFERROR(VLOOKUP(CONCATENATE(AA$3,"-",$B24),'FO-GC-012'!$B$20:$H$109,5,0),"")</f>
        <v/>
      </c>
      <c r="AC24" s="24" t="str">
        <f>IFERROR(VLOOKUP(CONCATENATE(AA$3,"-",$B24),'FO-GC-012'!$B$20:$H$109,6,0),"")</f>
        <v/>
      </c>
      <c r="AD24" s="25" t="str">
        <f>IFERROR(VLOOKUP(CONCATENATE(AA$3,"-",$B24),'FO-GC-012'!$D$20:$H$109,5,0),"")</f>
        <v/>
      </c>
      <c r="AE24" s="22" t="str">
        <f>IFERROR(VLOOKUP(CONCATENATE(AE$3,"-",$B24),'FO-GC-012'!$B$20:$H$109,2,0),"")</f>
        <v/>
      </c>
      <c r="AF24" s="23" t="str">
        <f>IFERROR(VLOOKUP(CONCATENATE(AE$3,"-",$B24),'FO-GC-012'!$B$20:$H$109,5,0),"")</f>
        <v/>
      </c>
      <c r="AG24" s="24" t="str">
        <f>IFERROR(VLOOKUP(CONCATENATE(AE$3,"-",$B24),'FO-GC-012'!$B$20:$H$109,6,0),"")</f>
        <v/>
      </c>
      <c r="AH24" s="25" t="str">
        <f>IFERROR(VLOOKUP(CONCATENATE(AE$3,"-",$B24),'FO-GC-012'!$D$20:$H$109,5,0),"")</f>
        <v/>
      </c>
      <c r="AI24" s="22" t="str">
        <f>IFERROR(VLOOKUP(CONCATENATE(AI$3,"-",$B24),'FO-GC-012'!$B$20:$H$109,2,0),"")</f>
        <v/>
      </c>
      <c r="AJ24" s="23" t="str">
        <f>IFERROR(VLOOKUP(CONCATENATE(AI$3,"-",$B24),'FO-GC-012'!$B$20:$H$109,5,0),"")</f>
        <v/>
      </c>
      <c r="AK24" s="24" t="str">
        <f>IFERROR(VLOOKUP(CONCATENATE(AI$3,"-",$B24),'FO-GC-012'!$B$20:$H$109,6,0),"")</f>
        <v/>
      </c>
      <c r="AL24" s="25" t="str">
        <f>IFERROR(VLOOKUP(CONCATENATE(AI$3,"-",$B24),'FO-GC-012'!$D$20:$H$109,5,0),"")</f>
        <v/>
      </c>
      <c r="AM24" s="22" t="str">
        <f>IFERROR(VLOOKUP(CONCATENATE(AM$3,"-",$B24),'FO-GC-012'!$B$20:$H$109,2,0),"")</f>
        <v/>
      </c>
      <c r="AN24" s="23" t="str">
        <f>IFERROR(VLOOKUP(CONCATENATE(AM$3,"-",$B24),'FO-GC-012'!$B$20:$H$109,5,0),"")</f>
        <v/>
      </c>
      <c r="AO24" s="24" t="str">
        <f>IFERROR(VLOOKUP(CONCATENATE(AM$3,"-",$B24),'FO-GC-012'!$B$20:$H$109,6,0),"")</f>
        <v/>
      </c>
      <c r="AP24" s="25" t="str">
        <f>IFERROR(VLOOKUP(CONCATENATE(AM$3,"-",$B24),'FO-GC-012'!$D$20:$H$109,5,0),"")</f>
        <v/>
      </c>
      <c r="AQ24" s="22" t="str">
        <f>IFERROR(VLOOKUP(CONCATENATE(AQ$3,"-",$B24),'FO-GC-012'!$B$20:$H$109,2,0),"")</f>
        <v/>
      </c>
      <c r="AR24" s="23" t="str">
        <f>IFERROR(VLOOKUP(CONCATENATE(AQ$3,"-",$B24),'FO-GC-012'!$B$20:$H$109,5,0),"")</f>
        <v/>
      </c>
      <c r="AS24" s="24" t="str">
        <f>IFERROR(VLOOKUP(CONCATENATE(AQ$3,"-",$B24),'FO-GC-012'!$B$20:$H$109,6,0),"")</f>
        <v/>
      </c>
      <c r="AT24" s="25" t="str">
        <f>IFERROR(VLOOKUP(CONCATENATE(AQ$3,"-",$B24),'FO-GC-012'!$D$20:$H$109,5,0),"")</f>
        <v/>
      </c>
      <c r="AU24" s="22" t="str">
        <f>IFERROR(VLOOKUP(CONCATENATE(AU$3,"-",$B24),'FO-GC-012'!$B$20:$H$109,2,0),"")</f>
        <v/>
      </c>
      <c r="AV24" s="23" t="str">
        <f>IFERROR(VLOOKUP(CONCATENATE(AU$3,"-",$B24),'FO-GC-012'!$B$20:$H$109,5,0),"")</f>
        <v/>
      </c>
      <c r="AW24" s="24" t="str">
        <f>IFERROR(VLOOKUP(CONCATENATE(AU$3,"-",$B24),'FO-GC-012'!$B$20:$H$109,6,0),"")</f>
        <v/>
      </c>
      <c r="AX24" s="25" t="str">
        <f>IFERROR(VLOOKUP(CONCATENATE(AU$3,"-",$B24),'FO-GC-012'!$D$20:$H$109,5,0),"")</f>
        <v/>
      </c>
      <c r="AY24" s="22" t="str">
        <f>IFERROR(VLOOKUP(CONCATENATE(AY$3,"-",$B24),'FO-GC-012'!$B$20:$H$109,2,0),"")</f>
        <v/>
      </c>
      <c r="AZ24" s="23" t="str">
        <f>IFERROR(VLOOKUP(CONCATENATE(AY$3,"-",$B24),'FO-GC-012'!$B$20:$H$109,5,0),"")</f>
        <v/>
      </c>
      <c r="BA24" s="24" t="str">
        <f>IFERROR(VLOOKUP(CONCATENATE(AY$3,"-",$B24),'FO-GC-012'!$B$20:$H$109,6,0),"")</f>
        <v/>
      </c>
      <c r="BB24" s="25" t="str">
        <f>IFERROR(VLOOKUP(CONCATENATE(AY$3,"-",$B24),'FO-GC-012'!$D$20:$H$109,5,0),"")</f>
        <v/>
      </c>
      <c r="BC24" s="22" t="str">
        <f>IFERROR(VLOOKUP(CONCATENATE(BC$3,"-",$B24),'FO-GC-012'!$B$20:$H$109,2,0),"")</f>
        <v/>
      </c>
      <c r="BD24" s="23" t="str">
        <f>IFERROR(VLOOKUP(CONCATENATE(BC$3,"-",$B24),'FO-GC-012'!$B$20:$H$109,5,0),"")</f>
        <v/>
      </c>
      <c r="BE24" s="24" t="str">
        <f>IFERROR(VLOOKUP(CONCATENATE(BC$3,"-",$B24),'FO-GC-012'!$B$20:$H$109,6,0),"")</f>
        <v/>
      </c>
      <c r="BF24" s="25" t="str">
        <f>IFERROR(VLOOKUP(CONCATENATE(BC$3,"-",$B24),'FO-GC-012'!$D$20:$H$109,5,0),"")</f>
        <v/>
      </c>
      <c r="BG24" s="22" t="str">
        <f>IFERROR(VLOOKUP(CONCATENATE(BG$3,"-",$B24),'FO-GC-012'!$B$20:$H$109,2,0),"")</f>
        <v/>
      </c>
      <c r="BH24" s="23" t="str">
        <f>IFERROR(VLOOKUP(CONCATENATE(BG$3,"-",$B24),'FO-GC-012'!$B$20:$H$109,5,0),"")</f>
        <v/>
      </c>
      <c r="BI24" s="24" t="str">
        <f>IFERROR(VLOOKUP(CONCATENATE(BG$3,"-",$B24),'FO-GC-012'!$B$20:$H$109,6,0),"")</f>
        <v/>
      </c>
      <c r="BJ24" s="25" t="str">
        <f>IFERROR(VLOOKUP(CONCATENATE(BG$3,"-",$B24),'FO-GC-012'!$D$20:$H$109,5,0),"")</f>
        <v/>
      </c>
      <c r="BK24" s="22" t="str">
        <f>IFERROR(VLOOKUP(CONCATENATE(BK$3,"-",$B24),'FO-GC-012'!$B$20:$H$109,2,0),"")</f>
        <v/>
      </c>
      <c r="BL24" s="23" t="str">
        <f>IFERROR(VLOOKUP(CONCATENATE(BK$3,"-",$B24),'FO-GC-012'!$B$20:$H$109,5,0),"")</f>
        <v/>
      </c>
      <c r="BM24" s="24" t="str">
        <f>IFERROR(VLOOKUP(CONCATENATE(BK$3,"-",$B24),'FO-GC-012'!$B$20:$H$109,6,0),"")</f>
        <v/>
      </c>
      <c r="BN24" s="25" t="str">
        <f>IFERROR(VLOOKUP(CONCATENATE(BK$3,"-",$B24),'FO-GC-012'!$D$20:$H$109,5,0),"")</f>
        <v/>
      </c>
      <c r="BO24" s="22" t="str">
        <f>IFERROR(VLOOKUP(CONCATENATE(BO$3,"-",$B24),'FO-GC-012'!$B$20:$H$109,2,0),"")</f>
        <v/>
      </c>
      <c r="BP24" s="23" t="str">
        <f>IFERROR(VLOOKUP(CONCATENATE(BO$3,"-",$B24),'FO-GC-012'!$B$20:$H$109,5,0),"")</f>
        <v/>
      </c>
      <c r="BQ24" s="24" t="str">
        <f>IFERROR(VLOOKUP(CONCATENATE(BO$3,"-",$B24),'FO-GC-012'!$B$20:$H$109,6,0),"")</f>
        <v/>
      </c>
      <c r="BR24" s="25" t="str">
        <f>IFERROR(VLOOKUP(CONCATENATE(BO$3,"-",$B24),'FO-GC-012'!$D$20:$H$109,5,0),"")</f>
        <v/>
      </c>
      <c r="BS24" s="22" t="str">
        <f>IFERROR(VLOOKUP(CONCATENATE(BS$3,"-",$B24),'FO-GC-012'!$B$20:$H$109,2,0),"")</f>
        <v/>
      </c>
      <c r="BT24" s="23" t="str">
        <f>IFERROR(VLOOKUP(CONCATENATE(BS$3,"-",$B24),'FO-GC-012'!$B$20:$H$109,5,0),"")</f>
        <v/>
      </c>
      <c r="BU24" s="24" t="str">
        <f>IFERROR(VLOOKUP(CONCATENATE(BS$3,"-",$B24),'FO-GC-012'!$B$20:$H$109,6,0),"")</f>
        <v/>
      </c>
      <c r="BV24" s="25" t="str">
        <f>IFERROR(VLOOKUP(CONCATENATE(BS$3,"-",$B24),'FO-GC-012'!$D$20:$H$109,5,0),"")</f>
        <v/>
      </c>
      <c r="BW24" s="22" t="str">
        <f>IFERROR(VLOOKUP(CONCATENATE(BW$3,"-",$B24),'FO-GC-012'!$B$20:$H$109,2,0),"")</f>
        <v/>
      </c>
      <c r="BX24" s="23" t="str">
        <f>IFERROR(VLOOKUP(CONCATENATE(BW$3,"-",$B24),'FO-GC-012'!$B$20:$H$109,5,0),"")</f>
        <v/>
      </c>
      <c r="BY24" s="24" t="str">
        <f>IFERROR(VLOOKUP(CONCATENATE(BW$3,"-",$B24),'FO-GC-012'!$B$20:$H$109,6,0),"")</f>
        <v/>
      </c>
      <c r="BZ24" s="25" t="str">
        <f>IFERROR(VLOOKUP(CONCATENATE(BW$3,"-",$B24),'FO-GC-012'!$D$20:$H$109,5,0),"")</f>
        <v/>
      </c>
      <c r="CA24" s="22" t="str">
        <f>IFERROR(VLOOKUP(CONCATENATE(CA$3,"-",$B24),'FO-GC-012'!$B$20:$H$109,2,0),"")</f>
        <v/>
      </c>
      <c r="CB24" s="23" t="str">
        <f>IFERROR(VLOOKUP(CONCATENATE(CA$3,"-",$B24),'FO-GC-012'!$B$20:$H$109,5,0),"")</f>
        <v/>
      </c>
      <c r="CC24" s="24" t="str">
        <f>IFERROR(VLOOKUP(CONCATENATE(CA$3,"-",$B24),'FO-GC-012'!$B$20:$H$109,6,0),"")</f>
        <v/>
      </c>
      <c r="CD24" s="5" t="str">
        <f>IFERROR(VLOOKUP(CONCATENATE(CA$3,"-",$B24),'FO-GC-012'!$D$20:$H$109,5,0),"")</f>
        <v/>
      </c>
    </row>
    <row r="25" spans="1:82" ht="21" customHeight="1" x14ac:dyDescent="0.35">
      <c r="A25" s="184">
        <f t="shared" si="1"/>
        <v>22</v>
      </c>
      <c r="B25" s="125" t="str">
        <f>'Listas Desplegables'!B46</f>
        <v>Gestión Financiera</v>
      </c>
      <c r="C25" s="26" t="str">
        <f>IFERROR(VLOOKUP(CONCATENATE(C$3,"-",$B25),'FO-GC-012'!$B$20:$H$109,2,0),"")</f>
        <v/>
      </c>
      <c r="D25" s="27" t="str">
        <f>IFERROR(VLOOKUP(CONCATENATE(C$3,"-",$B25),'FO-GC-012'!$B$20:$H$109,5,0),"")</f>
        <v/>
      </c>
      <c r="E25" s="28" t="str">
        <f>IFERROR(VLOOKUP(CONCATENATE(C$3,"-",$B25),'FO-GC-012'!$B$20:$H$109,6,0),"")</f>
        <v/>
      </c>
      <c r="F25" s="29" t="str">
        <f>IFERROR(VLOOKUP(CONCATENATE(C$3,"-",$B25),'FO-GC-012'!$D$20:$H$109,5,0),"")</f>
        <v/>
      </c>
      <c r="G25" s="26" t="str">
        <f>IFERROR(VLOOKUP(CONCATENATE(G$3,"-",$B25),'FO-GC-012'!$B$20:$H$109,2,0),"")</f>
        <v/>
      </c>
      <c r="H25" s="27" t="str">
        <f>IFERROR(VLOOKUP(CONCATENATE(G$3,"-",$B25),'FO-GC-012'!$B$20:$H$109,5,0),"")</f>
        <v/>
      </c>
      <c r="I25" s="28" t="str">
        <f>IFERROR(VLOOKUP(CONCATENATE(G$3,"-",$B25),'FO-GC-012'!$B$20:$H$109,6,0),"")</f>
        <v/>
      </c>
      <c r="J25" s="29" t="str">
        <f>IFERROR(VLOOKUP(CONCATENATE(G$3,"-",$B25),'FO-GC-012'!$D$20:$H$109,5,0),"")</f>
        <v/>
      </c>
      <c r="K25" s="26" t="str">
        <f>IFERROR(VLOOKUP(CONCATENATE(K$3,"-",$B25),'FO-GC-012'!$B$20:$H$109,2,0),"")</f>
        <v/>
      </c>
      <c r="L25" s="27" t="str">
        <f>IFERROR(VLOOKUP(CONCATENATE(K$3,"-",$B25),'FO-GC-012'!$B$20:$H$109,5,0),"")</f>
        <v/>
      </c>
      <c r="M25" s="28" t="str">
        <f>IFERROR(VLOOKUP(CONCATENATE(K$3,"-",$B25),'FO-GC-012'!$B$20:$H$109,6,0),"")</f>
        <v/>
      </c>
      <c r="N25" s="29" t="str">
        <f>IFERROR(VLOOKUP(CONCATENATE(K$3,"-",$B25),'FO-GC-012'!$D$20:$H$109,5,0),"")</f>
        <v/>
      </c>
      <c r="O25" s="26" t="str">
        <f>IFERROR(VLOOKUP(CONCATENATE(O$3,"-",$B25),'FO-GC-012'!$B$20:$H$109,2,0),"")</f>
        <v/>
      </c>
      <c r="P25" s="27" t="str">
        <f>IFERROR(VLOOKUP(CONCATENATE(O$3,"-",$B25),'FO-GC-012'!$B$20:$H$109,5,0),"")</f>
        <v/>
      </c>
      <c r="Q25" s="28" t="str">
        <f>IFERROR(VLOOKUP(CONCATENATE(O$3,"-",$B25),'FO-GC-012'!$B$20:$H$109,6,0),"")</f>
        <v/>
      </c>
      <c r="R25" s="29" t="str">
        <f>IFERROR(VLOOKUP(CONCATENATE(O$3,"-",$B25),'FO-GC-012'!$D$20:$H$109,5,0),"")</f>
        <v/>
      </c>
      <c r="S25" s="26" t="str">
        <f>IFERROR(VLOOKUP(CONCATENATE(S$3,"-",$B25),'FO-GC-012'!$B$20:$H$109,2,0),"")</f>
        <v/>
      </c>
      <c r="T25" s="27" t="str">
        <f>IFERROR(VLOOKUP(CONCATENATE(S$3,"-",$B25),'FO-GC-012'!$B$20:$H$109,5,0),"")</f>
        <v/>
      </c>
      <c r="U25" s="28" t="str">
        <f>IFERROR(VLOOKUP(CONCATENATE(S$3,"-",$B25),'FO-GC-012'!$B$20:$H$109,6,0),"")</f>
        <v/>
      </c>
      <c r="V25" s="29" t="str">
        <f>IFERROR(VLOOKUP(CONCATENATE(S$3,"-",$B25),'FO-GC-012'!$D$20:$H$109,5,0),"")</f>
        <v/>
      </c>
      <c r="W25" s="26" t="str">
        <f>IFERROR(VLOOKUP(CONCATENATE(W$3,"-",$B25),'FO-GC-012'!$B$20:$H$109,2,0),"")</f>
        <v/>
      </c>
      <c r="X25" s="27" t="str">
        <f>IFERROR(VLOOKUP(CONCATENATE(W$3,"-",$B25),'FO-GC-012'!$B$20:$H$109,5,0),"")</f>
        <v/>
      </c>
      <c r="Y25" s="28" t="str">
        <f>IFERROR(VLOOKUP(CONCATENATE(W$3,"-",$B25),'FO-GC-012'!$B$20:$H$109,6,0),"")</f>
        <v/>
      </c>
      <c r="Z25" s="29" t="str">
        <f>IFERROR(VLOOKUP(CONCATENATE(W$3,"-",$B25),'FO-GC-012'!$D$20:$H$109,5,0),"")</f>
        <v/>
      </c>
      <c r="AA25" s="26" t="str">
        <f>IFERROR(VLOOKUP(CONCATENATE(AA$3,"-",$B25),'FO-GC-012'!$B$20:$H$109,2,0),"")</f>
        <v/>
      </c>
      <c r="AB25" s="27" t="str">
        <f>IFERROR(VLOOKUP(CONCATENATE(AA$3,"-",$B25),'FO-GC-012'!$B$20:$H$109,5,0),"")</f>
        <v/>
      </c>
      <c r="AC25" s="28" t="str">
        <f>IFERROR(VLOOKUP(CONCATENATE(AA$3,"-",$B25),'FO-GC-012'!$B$20:$H$109,6,0),"")</f>
        <v/>
      </c>
      <c r="AD25" s="29" t="str">
        <f>IFERROR(VLOOKUP(CONCATENATE(AA$3,"-",$B25),'FO-GC-012'!$D$20:$H$109,5,0),"")</f>
        <v/>
      </c>
      <c r="AE25" s="26" t="str">
        <f>IFERROR(VLOOKUP(CONCATENATE(AE$3,"-",$B25),'FO-GC-012'!$B$20:$H$109,2,0),"")</f>
        <v/>
      </c>
      <c r="AF25" s="27" t="str">
        <f>IFERROR(VLOOKUP(CONCATENATE(AE$3,"-",$B25),'FO-GC-012'!$B$20:$H$109,5,0),"")</f>
        <v/>
      </c>
      <c r="AG25" s="28" t="str">
        <f>IFERROR(VLOOKUP(CONCATENATE(AE$3,"-",$B25),'FO-GC-012'!$B$20:$H$109,6,0),"")</f>
        <v/>
      </c>
      <c r="AH25" s="29" t="str">
        <f>IFERROR(VLOOKUP(CONCATENATE(AE$3,"-",$B25),'FO-GC-012'!$D$20:$H$109,5,0),"")</f>
        <v/>
      </c>
      <c r="AI25" s="26" t="str">
        <f>IFERROR(VLOOKUP(CONCATENATE(AI$3,"-",$B25),'FO-GC-012'!$B$20:$H$109,2,0),"")</f>
        <v/>
      </c>
      <c r="AJ25" s="27" t="str">
        <f>IFERROR(VLOOKUP(CONCATENATE(AI$3,"-",$B25),'FO-GC-012'!$B$20:$H$109,5,0),"")</f>
        <v/>
      </c>
      <c r="AK25" s="28" t="str">
        <f>IFERROR(VLOOKUP(CONCATENATE(AI$3,"-",$B25),'FO-GC-012'!$B$20:$H$109,6,0),"")</f>
        <v/>
      </c>
      <c r="AL25" s="29" t="str">
        <f>IFERROR(VLOOKUP(CONCATENATE(AI$3,"-",$B25),'FO-GC-012'!$D$20:$H$109,5,0),"")</f>
        <v/>
      </c>
      <c r="AM25" s="26" t="str">
        <f>IFERROR(VLOOKUP(CONCATENATE(AM$3,"-",$B25),'FO-GC-012'!$B$20:$H$109,2,0),"")</f>
        <v/>
      </c>
      <c r="AN25" s="27" t="str">
        <f>IFERROR(VLOOKUP(CONCATENATE(AM$3,"-",$B25),'FO-GC-012'!$B$20:$H$109,5,0),"")</f>
        <v/>
      </c>
      <c r="AO25" s="28" t="str">
        <f>IFERROR(VLOOKUP(CONCATENATE(AM$3,"-",$B25),'FO-GC-012'!$B$20:$H$109,6,0),"")</f>
        <v/>
      </c>
      <c r="AP25" s="29" t="str">
        <f>IFERROR(VLOOKUP(CONCATENATE(AM$3,"-",$B25),'FO-GC-012'!$D$20:$H$109,5,0),"")</f>
        <v/>
      </c>
      <c r="AQ25" s="26" t="str">
        <f>IFERROR(VLOOKUP(CONCATENATE(AQ$3,"-",$B25),'FO-GC-012'!$B$20:$H$109,2,0),"")</f>
        <v/>
      </c>
      <c r="AR25" s="27" t="str">
        <f>IFERROR(VLOOKUP(CONCATENATE(AQ$3,"-",$B25),'FO-GC-012'!$B$20:$H$109,5,0),"")</f>
        <v/>
      </c>
      <c r="AS25" s="28" t="str">
        <f>IFERROR(VLOOKUP(CONCATENATE(AQ$3,"-",$B25),'FO-GC-012'!$B$20:$H$109,6,0),"")</f>
        <v/>
      </c>
      <c r="AT25" s="29" t="str">
        <f>IFERROR(VLOOKUP(CONCATENATE(AQ$3,"-",$B25),'FO-GC-012'!$D$20:$H$109,5,0),"")</f>
        <v/>
      </c>
      <c r="AU25" s="26" t="str">
        <f>IFERROR(VLOOKUP(CONCATENATE(AU$3,"-",$B25),'FO-GC-012'!$B$20:$H$109,2,0),"")</f>
        <v/>
      </c>
      <c r="AV25" s="27" t="str">
        <f>IFERROR(VLOOKUP(CONCATENATE(AU$3,"-",$B25),'FO-GC-012'!$B$20:$H$109,5,0),"")</f>
        <v/>
      </c>
      <c r="AW25" s="28" t="str">
        <f>IFERROR(VLOOKUP(CONCATENATE(AU$3,"-",$B25),'FO-GC-012'!$B$20:$H$109,6,0),"")</f>
        <v/>
      </c>
      <c r="AX25" s="29" t="str">
        <f>IFERROR(VLOOKUP(CONCATENATE(AU$3,"-",$B25),'FO-GC-012'!$D$20:$H$109,5,0),"")</f>
        <v/>
      </c>
      <c r="AY25" s="26" t="str">
        <f>IFERROR(VLOOKUP(CONCATENATE(AY$3,"-",$B25),'FO-GC-012'!$B$20:$H$109,2,0),"")</f>
        <v/>
      </c>
      <c r="AZ25" s="27" t="str">
        <f>IFERROR(VLOOKUP(CONCATENATE(AY$3,"-",$B25),'FO-GC-012'!$B$20:$H$109,5,0),"")</f>
        <v/>
      </c>
      <c r="BA25" s="28" t="str">
        <f>IFERROR(VLOOKUP(CONCATENATE(AY$3,"-",$B25),'FO-GC-012'!$B$20:$H$109,6,0),"")</f>
        <v/>
      </c>
      <c r="BB25" s="29" t="str">
        <f>IFERROR(VLOOKUP(CONCATENATE(AY$3,"-",$B25),'FO-GC-012'!$D$20:$H$109,5,0),"")</f>
        <v/>
      </c>
      <c r="BC25" s="26" t="str">
        <f>IFERROR(VLOOKUP(CONCATENATE(BC$3,"-",$B25),'FO-GC-012'!$B$20:$H$109,2,0),"")</f>
        <v/>
      </c>
      <c r="BD25" s="27" t="str">
        <f>IFERROR(VLOOKUP(CONCATENATE(BC$3,"-",$B25),'FO-GC-012'!$B$20:$H$109,5,0),"")</f>
        <v/>
      </c>
      <c r="BE25" s="28" t="str">
        <f>IFERROR(VLOOKUP(CONCATENATE(BC$3,"-",$B25),'FO-GC-012'!$B$20:$H$109,6,0),"")</f>
        <v/>
      </c>
      <c r="BF25" s="29" t="str">
        <f>IFERROR(VLOOKUP(CONCATENATE(BC$3,"-",$B25),'FO-GC-012'!$D$20:$H$109,5,0),"")</f>
        <v/>
      </c>
      <c r="BG25" s="26" t="str">
        <f>IFERROR(VLOOKUP(CONCATENATE(BG$3,"-",$B25),'FO-GC-012'!$B$20:$H$109,2,0),"")</f>
        <v/>
      </c>
      <c r="BH25" s="27" t="str">
        <f>IFERROR(VLOOKUP(CONCATENATE(BG$3,"-",$B25),'FO-GC-012'!$B$20:$H$109,5,0),"")</f>
        <v/>
      </c>
      <c r="BI25" s="28" t="str">
        <f>IFERROR(VLOOKUP(CONCATENATE(BG$3,"-",$B25),'FO-GC-012'!$B$20:$H$109,6,0),"")</f>
        <v/>
      </c>
      <c r="BJ25" s="29" t="str">
        <f>IFERROR(VLOOKUP(CONCATENATE(BG$3,"-",$B25),'FO-GC-012'!$D$20:$H$109,5,0),"")</f>
        <v/>
      </c>
      <c r="BK25" s="26" t="str">
        <f>IFERROR(VLOOKUP(CONCATENATE(BK$3,"-",$B25),'FO-GC-012'!$B$20:$H$109,2,0),"")</f>
        <v/>
      </c>
      <c r="BL25" s="27" t="str">
        <f>IFERROR(VLOOKUP(CONCATENATE(BK$3,"-",$B25),'FO-GC-012'!$B$20:$H$109,5,0),"")</f>
        <v/>
      </c>
      <c r="BM25" s="28" t="str">
        <f>IFERROR(VLOOKUP(CONCATENATE(BK$3,"-",$B25),'FO-GC-012'!$B$20:$H$109,6,0),"")</f>
        <v/>
      </c>
      <c r="BN25" s="29" t="str">
        <f>IFERROR(VLOOKUP(CONCATENATE(BK$3,"-",$B25),'FO-GC-012'!$D$20:$H$109,5,0),"")</f>
        <v/>
      </c>
      <c r="BO25" s="26" t="str">
        <f>IFERROR(VLOOKUP(CONCATENATE(BO$3,"-",$B25),'FO-GC-012'!$B$20:$H$109,2,0),"")</f>
        <v/>
      </c>
      <c r="BP25" s="27" t="str">
        <f>IFERROR(VLOOKUP(CONCATENATE(BO$3,"-",$B25),'FO-GC-012'!$B$20:$H$109,5,0),"")</f>
        <v/>
      </c>
      <c r="BQ25" s="28" t="str">
        <f>IFERROR(VLOOKUP(CONCATENATE(BO$3,"-",$B25),'FO-GC-012'!$B$20:$H$109,6,0),"")</f>
        <v/>
      </c>
      <c r="BR25" s="29" t="str">
        <f>IFERROR(VLOOKUP(CONCATENATE(BO$3,"-",$B25),'FO-GC-012'!$D$20:$H$109,5,0),"")</f>
        <v/>
      </c>
      <c r="BS25" s="26" t="str">
        <f>IFERROR(VLOOKUP(CONCATENATE(BS$3,"-",$B25),'FO-GC-012'!$B$20:$H$109,2,0),"")</f>
        <v/>
      </c>
      <c r="BT25" s="27" t="str">
        <f>IFERROR(VLOOKUP(CONCATENATE(BS$3,"-",$B25),'FO-GC-012'!$B$20:$H$109,5,0),"")</f>
        <v/>
      </c>
      <c r="BU25" s="28" t="str">
        <f>IFERROR(VLOOKUP(CONCATENATE(BS$3,"-",$B25),'FO-GC-012'!$B$20:$H$109,6,0),"")</f>
        <v/>
      </c>
      <c r="BV25" s="29" t="str">
        <f>IFERROR(VLOOKUP(CONCATENATE(BS$3,"-",$B25),'FO-GC-012'!$D$20:$H$109,5,0),"")</f>
        <v/>
      </c>
      <c r="BW25" s="26" t="str">
        <f>IFERROR(VLOOKUP(CONCATENATE(BW$3,"-",$B25),'FO-GC-012'!$B$20:$H$109,2,0),"")</f>
        <v/>
      </c>
      <c r="BX25" s="27" t="str">
        <f>IFERROR(VLOOKUP(CONCATENATE(BW$3,"-",$B25),'FO-GC-012'!$B$20:$H$109,5,0),"")</f>
        <v/>
      </c>
      <c r="BY25" s="28" t="str">
        <f>IFERROR(VLOOKUP(CONCATENATE(BW$3,"-",$B25),'FO-GC-012'!$B$20:$H$109,6,0),"")</f>
        <v/>
      </c>
      <c r="BZ25" s="29" t="str">
        <f>IFERROR(VLOOKUP(CONCATENATE(BW$3,"-",$B25),'FO-GC-012'!$D$20:$H$109,5,0),"")</f>
        <v/>
      </c>
      <c r="CA25" s="26" t="str">
        <f>IFERROR(VLOOKUP(CONCATENATE(CA$3,"-",$B25),'FO-GC-012'!$B$20:$H$109,2,0),"")</f>
        <v/>
      </c>
      <c r="CB25" s="27" t="str">
        <f>IFERROR(VLOOKUP(CONCATENATE(CA$3,"-",$B25),'FO-GC-012'!$B$20:$H$109,5,0),"")</f>
        <v/>
      </c>
      <c r="CC25" s="28" t="str">
        <f>IFERROR(VLOOKUP(CONCATENATE(CA$3,"-",$B25),'FO-GC-012'!$B$20:$H$109,6,0),"")</f>
        <v/>
      </c>
      <c r="CD25" s="5" t="str">
        <f>IFERROR(VLOOKUP(CONCATENATE(CA$3,"-",$B25),'FO-GC-012'!$D$20:$H$109,5,0),"")</f>
        <v/>
      </c>
    </row>
    <row r="26" spans="1:82" ht="21" customHeight="1" x14ac:dyDescent="0.35">
      <c r="A26" s="183">
        <f t="shared" si="1"/>
        <v>23</v>
      </c>
      <c r="B26" s="125" t="str">
        <f>'Listas Desplegables'!B47</f>
        <v xml:space="preserve">Gestión Administratva </v>
      </c>
      <c r="C26" s="22" t="str">
        <f>IFERROR(VLOOKUP(CONCATENATE(C$3,"-",$B26),'FO-GC-012'!$B$20:$H$109,2,0),"")</f>
        <v/>
      </c>
      <c r="D26" s="23" t="str">
        <f>IFERROR(VLOOKUP(CONCATENATE(C$3,"-",$B26),'FO-GC-012'!$B$20:$H$109,5,0),"")</f>
        <v/>
      </c>
      <c r="E26" s="24" t="str">
        <f>IFERROR(VLOOKUP(CONCATENATE(C$3,"-",$B26),'FO-GC-012'!$B$20:$H$109,6,0),"")</f>
        <v/>
      </c>
      <c r="F26" s="25" t="str">
        <f>IFERROR(VLOOKUP(CONCATENATE(C$3,"-",$B26),'FO-GC-012'!$D$20:$H$109,5,0),"")</f>
        <v/>
      </c>
      <c r="G26" s="22" t="str">
        <f>IFERROR(VLOOKUP(CONCATENATE(G$3,"-",$B26),'FO-GC-012'!$B$20:$H$109,2,0),"")</f>
        <v/>
      </c>
      <c r="H26" s="23" t="str">
        <f>IFERROR(VLOOKUP(CONCATENATE(G$3,"-",$B26),'FO-GC-012'!$B$20:$H$109,5,0),"")</f>
        <v/>
      </c>
      <c r="I26" s="24" t="str">
        <f>IFERROR(VLOOKUP(CONCATENATE(G$3,"-",$B26),'FO-GC-012'!$B$20:$H$109,6,0),"")</f>
        <v/>
      </c>
      <c r="J26" s="25" t="str">
        <f>IFERROR(VLOOKUP(CONCATENATE(G$3,"-",$B26),'FO-GC-012'!$D$20:$H$109,5,0),"")</f>
        <v/>
      </c>
      <c r="K26" s="22" t="str">
        <f>IFERROR(VLOOKUP(CONCATENATE(K$3,"-",$B26),'FO-GC-012'!$B$20:$H$109,2,0),"")</f>
        <v/>
      </c>
      <c r="L26" s="23" t="str">
        <f>IFERROR(VLOOKUP(CONCATENATE(K$3,"-",$B26),'FO-GC-012'!$B$20:$H$109,5,0),"")</f>
        <v/>
      </c>
      <c r="M26" s="24" t="str">
        <f>IFERROR(VLOOKUP(CONCATENATE(K$3,"-",$B26),'FO-GC-012'!$B$20:$H$109,6,0),"")</f>
        <v/>
      </c>
      <c r="N26" s="25" t="str">
        <f>IFERROR(VLOOKUP(CONCATENATE(K$3,"-",$B26),'FO-GC-012'!$D$20:$H$109,5,0),"")</f>
        <v/>
      </c>
      <c r="O26" s="22" t="str">
        <f>IFERROR(VLOOKUP(CONCATENATE(O$3,"-",$B26),'FO-GC-012'!$B$20:$H$109,2,0),"")</f>
        <v/>
      </c>
      <c r="P26" s="23" t="str">
        <f>IFERROR(VLOOKUP(CONCATENATE(O$3,"-",$B26),'FO-GC-012'!$B$20:$H$109,5,0),"")</f>
        <v/>
      </c>
      <c r="Q26" s="24" t="str">
        <f>IFERROR(VLOOKUP(CONCATENATE(O$3,"-",$B26),'FO-GC-012'!$B$20:$H$109,6,0),"")</f>
        <v/>
      </c>
      <c r="R26" s="25" t="str">
        <f>IFERROR(VLOOKUP(CONCATENATE(O$3,"-",$B26),'FO-GC-012'!$D$20:$H$109,5,0),"")</f>
        <v/>
      </c>
      <c r="S26" s="22" t="str">
        <f>IFERROR(VLOOKUP(CONCATENATE(S$3,"-",$B26),'FO-GC-012'!$B$20:$H$109,2,0),"")</f>
        <v/>
      </c>
      <c r="T26" s="23" t="str">
        <f>IFERROR(VLOOKUP(CONCATENATE(S$3,"-",$B26),'FO-GC-012'!$B$20:$H$109,5,0),"")</f>
        <v/>
      </c>
      <c r="U26" s="24" t="str">
        <f>IFERROR(VLOOKUP(CONCATENATE(S$3,"-",$B26),'FO-GC-012'!$B$20:$H$109,6,0),"")</f>
        <v/>
      </c>
      <c r="V26" s="25" t="str">
        <f>IFERROR(VLOOKUP(CONCATENATE(S$3,"-",$B26),'FO-GC-012'!$D$20:$H$109,5,0),"")</f>
        <v/>
      </c>
      <c r="W26" s="22" t="str">
        <f>IFERROR(VLOOKUP(CONCATENATE(W$3,"-",$B26),'FO-GC-012'!$B$20:$H$109,2,0),"")</f>
        <v/>
      </c>
      <c r="X26" s="23" t="str">
        <f>IFERROR(VLOOKUP(CONCATENATE(W$3,"-",$B26),'FO-GC-012'!$B$20:$H$109,5,0),"")</f>
        <v/>
      </c>
      <c r="Y26" s="24" t="str">
        <f>IFERROR(VLOOKUP(CONCATENATE(W$3,"-",$B26),'FO-GC-012'!$B$20:$H$109,6,0),"")</f>
        <v/>
      </c>
      <c r="Z26" s="25" t="str">
        <f>IFERROR(VLOOKUP(CONCATENATE(W$3,"-",$B26),'FO-GC-012'!$D$20:$H$109,5,0),"")</f>
        <v/>
      </c>
      <c r="AA26" s="22" t="str">
        <f>IFERROR(VLOOKUP(CONCATENATE(AA$3,"-",$B26),'FO-GC-012'!$B$20:$H$109,2,0),"")</f>
        <v/>
      </c>
      <c r="AB26" s="23" t="str">
        <f>IFERROR(VLOOKUP(CONCATENATE(AA$3,"-",$B26),'FO-GC-012'!$B$20:$H$109,5,0),"")</f>
        <v/>
      </c>
      <c r="AC26" s="24" t="str">
        <f>IFERROR(VLOOKUP(CONCATENATE(AA$3,"-",$B26),'FO-GC-012'!$B$20:$H$109,6,0),"")</f>
        <v/>
      </c>
      <c r="AD26" s="25" t="str">
        <f>IFERROR(VLOOKUP(CONCATENATE(AA$3,"-",$B26),'FO-GC-012'!$D$20:$H$109,5,0),"")</f>
        <v/>
      </c>
      <c r="AE26" s="22" t="str">
        <f>IFERROR(VLOOKUP(CONCATENATE(AE$3,"-",$B26),'FO-GC-012'!$B$20:$H$109,2,0),"")</f>
        <v/>
      </c>
      <c r="AF26" s="23" t="str">
        <f>IFERROR(VLOOKUP(CONCATENATE(AE$3,"-",$B26),'FO-GC-012'!$B$20:$H$109,5,0),"")</f>
        <v/>
      </c>
      <c r="AG26" s="24" t="str">
        <f>IFERROR(VLOOKUP(CONCATENATE(AE$3,"-",$B26),'FO-GC-012'!$B$20:$H$109,6,0),"")</f>
        <v/>
      </c>
      <c r="AH26" s="25" t="str">
        <f>IFERROR(VLOOKUP(CONCATENATE(AE$3,"-",$B26),'FO-GC-012'!$D$20:$H$109,5,0),"")</f>
        <v/>
      </c>
      <c r="AI26" s="22" t="str">
        <f>IFERROR(VLOOKUP(CONCATENATE(AI$3,"-",$B26),'FO-GC-012'!$B$20:$H$109,2,0),"")</f>
        <v/>
      </c>
      <c r="AJ26" s="23" t="str">
        <f>IFERROR(VLOOKUP(CONCATENATE(AI$3,"-",$B26),'FO-GC-012'!$B$20:$H$109,5,0),"")</f>
        <v/>
      </c>
      <c r="AK26" s="24" t="str">
        <f>IFERROR(VLOOKUP(CONCATENATE(AI$3,"-",$B26),'FO-GC-012'!$B$20:$H$109,6,0),"")</f>
        <v/>
      </c>
      <c r="AL26" s="25" t="str">
        <f>IFERROR(VLOOKUP(CONCATENATE(AI$3,"-",$B26),'FO-GC-012'!$D$20:$H$109,5,0),"")</f>
        <v/>
      </c>
      <c r="AM26" s="22" t="str">
        <f>IFERROR(VLOOKUP(CONCATENATE(AM$3,"-",$B26),'FO-GC-012'!$B$20:$H$109,2,0),"")</f>
        <v/>
      </c>
      <c r="AN26" s="23" t="str">
        <f>IFERROR(VLOOKUP(CONCATENATE(AM$3,"-",$B26),'FO-GC-012'!$B$20:$H$109,5,0),"")</f>
        <v/>
      </c>
      <c r="AO26" s="24" t="str">
        <f>IFERROR(VLOOKUP(CONCATENATE(AM$3,"-",$B26),'FO-GC-012'!$B$20:$H$109,6,0),"")</f>
        <v/>
      </c>
      <c r="AP26" s="25" t="str">
        <f>IFERROR(VLOOKUP(CONCATENATE(AM$3,"-",$B26),'FO-GC-012'!$D$20:$H$109,5,0),"")</f>
        <v/>
      </c>
      <c r="AQ26" s="22" t="str">
        <f>IFERROR(VLOOKUP(CONCATENATE(AQ$3,"-",$B26),'FO-GC-012'!$B$20:$H$109,2,0),"")</f>
        <v/>
      </c>
      <c r="AR26" s="23" t="str">
        <f>IFERROR(VLOOKUP(CONCATENATE(AQ$3,"-",$B26),'FO-GC-012'!$B$20:$H$109,5,0),"")</f>
        <v/>
      </c>
      <c r="AS26" s="24" t="str">
        <f>IFERROR(VLOOKUP(CONCATENATE(AQ$3,"-",$B26),'FO-GC-012'!$B$20:$H$109,6,0),"")</f>
        <v/>
      </c>
      <c r="AT26" s="25" t="str">
        <f>IFERROR(VLOOKUP(CONCATENATE(AQ$3,"-",$B26),'FO-GC-012'!$D$20:$H$109,5,0),"")</f>
        <v/>
      </c>
      <c r="AU26" s="22" t="str">
        <f>IFERROR(VLOOKUP(CONCATENATE(AU$3,"-",$B26),'FO-GC-012'!$B$20:$H$109,2,0),"")</f>
        <v/>
      </c>
      <c r="AV26" s="23" t="str">
        <f>IFERROR(VLOOKUP(CONCATENATE(AU$3,"-",$B26),'FO-GC-012'!$B$20:$H$109,5,0),"")</f>
        <v/>
      </c>
      <c r="AW26" s="24" t="str">
        <f>IFERROR(VLOOKUP(CONCATENATE(AU$3,"-",$B26),'FO-GC-012'!$B$20:$H$109,6,0),"")</f>
        <v/>
      </c>
      <c r="AX26" s="25" t="str">
        <f>IFERROR(VLOOKUP(CONCATENATE(AU$3,"-",$B26),'FO-GC-012'!$D$20:$H$109,5,0),"")</f>
        <v/>
      </c>
      <c r="AY26" s="22" t="str">
        <f>IFERROR(VLOOKUP(CONCATENATE(AY$3,"-",$B26),'FO-GC-012'!$B$20:$H$109,2,0),"")</f>
        <v/>
      </c>
      <c r="AZ26" s="23" t="str">
        <f>IFERROR(VLOOKUP(CONCATENATE(AY$3,"-",$B26),'FO-GC-012'!$B$20:$H$109,5,0),"")</f>
        <v/>
      </c>
      <c r="BA26" s="24" t="str">
        <f>IFERROR(VLOOKUP(CONCATENATE(AY$3,"-",$B26),'FO-GC-012'!$B$20:$H$109,6,0),"")</f>
        <v/>
      </c>
      <c r="BB26" s="25" t="str">
        <f>IFERROR(VLOOKUP(CONCATENATE(AY$3,"-",$B26),'FO-GC-012'!$D$20:$H$109,5,0),"")</f>
        <v/>
      </c>
      <c r="BC26" s="22" t="str">
        <f>IFERROR(VLOOKUP(CONCATENATE(BC$3,"-",$B26),'FO-GC-012'!$B$20:$H$109,2,0),"")</f>
        <v/>
      </c>
      <c r="BD26" s="23" t="str">
        <f>IFERROR(VLOOKUP(CONCATENATE(BC$3,"-",$B26),'FO-GC-012'!$B$20:$H$109,5,0),"")</f>
        <v/>
      </c>
      <c r="BE26" s="24" t="str">
        <f>IFERROR(VLOOKUP(CONCATENATE(BC$3,"-",$B26),'FO-GC-012'!$B$20:$H$109,6,0),"")</f>
        <v/>
      </c>
      <c r="BF26" s="25" t="str">
        <f>IFERROR(VLOOKUP(CONCATENATE(BC$3,"-",$B26),'FO-GC-012'!$D$20:$H$109,5,0),"")</f>
        <v/>
      </c>
      <c r="BG26" s="22" t="str">
        <f>IFERROR(VLOOKUP(CONCATENATE(BG$3,"-",$B26),'FO-GC-012'!$B$20:$H$109,2,0),"")</f>
        <v/>
      </c>
      <c r="BH26" s="23" t="str">
        <f>IFERROR(VLOOKUP(CONCATENATE(BG$3,"-",$B26),'FO-GC-012'!$B$20:$H$109,5,0),"")</f>
        <v/>
      </c>
      <c r="BI26" s="24" t="str">
        <f>IFERROR(VLOOKUP(CONCATENATE(BG$3,"-",$B26),'FO-GC-012'!$B$20:$H$109,6,0),"")</f>
        <v/>
      </c>
      <c r="BJ26" s="25" t="str">
        <f>IFERROR(VLOOKUP(CONCATENATE(BG$3,"-",$B26),'FO-GC-012'!$D$20:$H$109,5,0),"")</f>
        <v/>
      </c>
      <c r="BK26" s="22" t="str">
        <f>IFERROR(VLOOKUP(CONCATENATE(BK$3,"-",$B26),'FO-GC-012'!$B$20:$H$109,2,0),"")</f>
        <v/>
      </c>
      <c r="BL26" s="23" t="str">
        <f>IFERROR(VLOOKUP(CONCATENATE(BK$3,"-",$B26),'FO-GC-012'!$B$20:$H$109,5,0),"")</f>
        <v/>
      </c>
      <c r="BM26" s="24" t="str">
        <f>IFERROR(VLOOKUP(CONCATENATE(BK$3,"-",$B26),'FO-GC-012'!$B$20:$H$109,6,0),"")</f>
        <v/>
      </c>
      <c r="BN26" s="25" t="str">
        <f>IFERROR(VLOOKUP(CONCATENATE(BK$3,"-",$B26),'FO-GC-012'!$D$20:$H$109,5,0),"")</f>
        <v/>
      </c>
      <c r="BO26" s="22" t="str">
        <f>IFERROR(VLOOKUP(CONCATENATE(BO$3,"-",$B26),'FO-GC-012'!$B$20:$H$109,2,0),"")</f>
        <v/>
      </c>
      <c r="BP26" s="23" t="str">
        <f>IFERROR(VLOOKUP(CONCATENATE(BO$3,"-",$B26),'FO-GC-012'!$B$20:$H$109,5,0),"")</f>
        <v/>
      </c>
      <c r="BQ26" s="24" t="str">
        <f>IFERROR(VLOOKUP(CONCATENATE(BO$3,"-",$B26),'FO-GC-012'!$B$20:$H$109,6,0),"")</f>
        <v/>
      </c>
      <c r="BR26" s="25" t="str">
        <f>IFERROR(VLOOKUP(CONCATENATE(BO$3,"-",$B26),'FO-GC-012'!$D$20:$H$109,5,0),"")</f>
        <v/>
      </c>
      <c r="BS26" s="22" t="str">
        <f>IFERROR(VLOOKUP(CONCATENATE(BS$3,"-",$B26),'FO-GC-012'!$B$20:$H$109,2,0),"")</f>
        <v/>
      </c>
      <c r="BT26" s="23" t="str">
        <f>IFERROR(VLOOKUP(CONCATENATE(BS$3,"-",$B26),'FO-GC-012'!$B$20:$H$109,5,0),"")</f>
        <v/>
      </c>
      <c r="BU26" s="24" t="str">
        <f>IFERROR(VLOOKUP(CONCATENATE(BS$3,"-",$B26),'FO-GC-012'!$B$20:$H$109,6,0),"")</f>
        <v/>
      </c>
      <c r="BV26" s="25" t="str">
        <f>IFERROR(VLOOKUP(CONCATENATE(BS$3,"-",$B26),'FO-GC-012'!$D$20:$H$109,5,0),"")</f>
        <v/>
      </c>
      <c r="BW26" s="22" t="str">
        <f>IFERROR(VLOOKUP(CONCATENATE(BW$3,"-",$B26),'FO-GC-012'!$B$20:$H$109,2,0),"")</f>
        <v/>
      </c>
      <c r="BX26" s="23" t="str">
        <f>IFERROR(VLOOKUP(CONCATENATE(BW$3,"-",$B26),'FO-GC-012'!$B$20:$H$109,5,0),"")</f>
        <v/>
      </c>
      <c r="BY26" s="24" t="str">
        <f>IFERROR(VLOOKUP(CONCATENATE(BW$3,"-",$B26),'FO-GC-012'!$B$20:$H$109,6,0),"")</f>
        <v/>
      </c>
      <c r="BZ26" s="25" t="str">
        <f>IFERROR(VLOOKUP(CONCATENATE(BW$3,"-",$B26),'FO-GC-012'!$D$20:$H$109,5,0),"")</f>
        <v/>
      </c>
      <c r="CA26" s="22" t="str">
        <f>IFERROR(VLOOKUP(CONCATENATE(CA$3,"-",$B26),'FO-GC-012'!$B$20:$H$109,2,0),"")</f>
        <v/>
      </c>
      <c r="CB26" s="23" t="str">
        <f>IFERROR(VLOOKUP(CONCATENATE(CA$3,"-",$B26),'FO-GC-012'!$B$20:$H$109,5,0),"")</f>
        <v/>
      </c>
      <c r="CC26" s="24" t="str">
        <f>IFERROR(VLOOKUP(CONCATENATE(CA$3,"-",$B26),'FO-GC-012'!$B$20:$H$109,6,0),"")</f>
        <v/>
      </c>
      <c r="CD26" s="5" t="str">
        <f>IFERROR(VLOOKUP(CONCATENATE(CA$3,"-",$B26),'FO-GC-012'!$D$20:$H$109,5,0),"")</f>
        <v/>
      </c>
    </row>
    <row r="27" spans="1:82" ht="21" customHeight="1" x14ac:dyDescent="0.35">
      <c r="A27" s="184">
        <f t="shared" si="1"/>
        <v>24</v>
      </c>
      <c r="B27" s="125" t="str">
        <f>'Listas Desplegables'!B48</f>
        <v xml:space="preserve">Gestión Contable y Tesoreria </v>
      </c>
      <c r="C27" s="26" t="str">
        <f>IFERROR(VLOOKUP(CONCATENATE(C$3,"-",$B27),'FO-GC-012'!$B$20:$H$109,2,0),"")</f>
        <v/>
      </c>
      <c r="D27" s="27" t="str">
        <f>IFERROR(VLOOKUP(CONCATENATE(C$3,"-",$B27),'FO-GC-012'!$B$20:$H$109,5,0),"")</f>
        <v/>
      </c>
      <c r="E27" s="28" t="str">
        <f>IFERROR(VLOOKUP(CONCATENATE(C$3,"-",$B27),'FO-GC-012'!$B$20:$H$109,6,0),"")</f>
        <v/>
      </c>
      <c r="F27" s="29" t="str">
        <f>IFERROR(VLOOKUP(CONCATENATE(C$3,"-",$B27),'FO-GC-012'!$D$20:$H$109,5,0),"")</f>
        <v/>
      </c>
      <c r="G27" s="26" t="str">
        <f>IFERROR(VLOOKUP(CONCATENATE(G$3,"-",$B27),'FO-GC-012'!$B$20:$H$109,2,0),"")</f>
        <v/>
      </c>
      <c r="H27" s="27" t="str">
        <f>IFERROR(VLOOKUP(CONCATENATE(G$3,"-",$B27),'FO-GC-012'!$B$20:$H$109,5,0),"")</f>
        <v/>
      </c>
      <c r="I27" s="28" t="str">
        <f>IFERROR(VLOOKUP(CONCATENATE(G$3,"-",$B27),'FO-GC-012'!$B$20:$H$109,6,0),"")</f>
        <v/>
      </c>
      <c r="J27" s="29" t="str">
        <f>IFERROR(VLOOKUP(CONCATENATE(G$3,"-",$B27),'FO-GC-012'!$D$20:$H$109,5,0),"")</f>
        <v/>
      </c>
      <c r="K27" s="26" t="str">
        <f>IFERROR(VLOOKUP(CONCATENATE(K$3,"-",$B27),'FO-GC-012'!$B$20:$H$109,2,0),"")</f>
        <v/>
      </c>
      <c r="L27" s="27" t="str">
        <f>IFERROR(VLOOKUP(CONCATENATE(K$3,"-",$B27),'FO-GC-012'!$B$20:$H$109,5,0),"")</f>
        <v/>
      </c>
      <c r="M27" s="28" t="str">
        <f>IFERROR(VLOOKUP(CONCATENATE(K$3,"-",$B27),'FO-GC-012'!$B$20:$H$109,6,0),"")</f>
        <v/>
      </c>
      <c r="N27" s="29" t="str">
        <f>IFERROR(VLOOKUP(CONCATENATE(K$3,"-",$B27),'FO-GC-012'!$D$20:$H$109,5,0),"")</f>
        <v/>
      </c>
      <c r="O27" s="26" t="str">
        <f>IFERROR(VLOOKUP(CONCATENATE(O$3,"-",$B27),'FO-GC-012'!$B$20:$H$109,2,0),"")</f>
        <v/>
      </c>
      <c r="P27" s="27" t="str">
        <f>IFERROR(VLOOKUP(CONCATENATE(O$3,"-",$B27),'FO-GC-012'!$B$20:$H$109,5,0),"")</f>
        <v/>
      </c>
      <c r="Q27" s="28" t="str">
        <f>IFERROR(VLOOKUP(CONCATENATE(O$3,"-",$B27),'FO-GC-012'!$B$20:$H$109,6,0),"")</f>
        <v/>
      </c>
      <c r="R27" s="29" t="str">
        <f>IFERROR(VLOOKUP(CONCATENATE(O$3,"-",$B27),'FO-GC-012'!$D$20:$H$109,5,0),"")</f>
        <v/>
      </c>
      <c r="S27" s="26" t="str">
        <f>IFERROR(VLOOKUP(CONCATENATE(S$3,"-",$B27),'FO-GC-012'!$B$20:$H$109,2,0),"")</f>
        <v/>
      </c>
      <c r="T27" s="27" t="str">
        <f>IFERROR(VLOOKUP(CONCATENATE(S$3,"-",$B27),'FO-GC-012'!$B$20:$H$109,5,0),"")</f>
        <v/>
      </c>
      <c r="U27" s="28" t="str">
        <f>IFERROR(VLOOKUP(CONCATENATE(S$3,"-",$B27),'FO-GC-012'!$B$20:$H$109,6,0),"")</f>
        <v/>
      </c>
      <c r="V27" s="29" t="str">
        <f>IFERROR(VLOOKUP(CONCATENATE(S$3,"-",$B27),'FO-GC-012'!$D$20:$H$109,5,0),"")</f>
        <v/>
      </c>
      <c r="W27" s="26" t="str">
        <f>IFERROR(VLOOKUP(CONCATENATE(W$3,"-",$B27),'FO-GC-012'!$B$20:$H$109,2,0),"")</f>
        <v/>
      </c>
      <c r="X27" s="27" t="str">
        <f>IFERROR(VLOOKUP(CONCATENATE(W$3,"-",$B27),'FO-GC-012'!$B$20:$H$109,5,0),"")</f>
        <v/>
      </c>
      <c r="Y27" s="28" t="str">
        <f>IFERROR(VLOOKUP(CONCATENATE(W$3,"-",$B27),'FO-GC-012'!$B$20:$H$109,6,0),"")</f>
        <v/>
      </c>
      <c r="Z27" s="29" t="str">
        <f>IFERROR(VLOOKUP(CONCATENATE(W$3,"-",$B27),'FO-GC-012'!$D$20:$H$109,5,0),"")</f>
        <v/>
      </c>
      <c r="AA27" s="26" t="str">
        <f>IFERROR(VLOOKUP(CONCATENATE(AA$3,"-",$B27),'FO-GC-012'!$B$20:$H$109,2,0),"")</f>
        <v/>
      </c>
      <c r="AB27" s="27" t="str">
        <f>IFERROR(VLOOKUP(CONCATENATE(AA$3,"-",$B27),'FO-GC-012'!$B$20:$H$109,5,0),"")</f>
        <v/>
      </c>
      <c r="AC27" s="28" t="str">
        <f>IFERROR(VLOOKUP(CONCATENATE(AA$3,"-",$B27),'FO-GC-012'!$B$20:$H$109,6,0),"")</f>
        <v/>
      </c>
      <c r="AD27" s="29" t="str">
        <f>IFERROR(VLOOKUP(CONCATENATE(AA$3,"-",$B27),'FO-GC-012'!$D$20:$H$109,5,0),"")</f>
        <v/>
      </c>
      <c r="AE27" s="26" t="str">
        <f>IFERROR(VLOOKUP(CONCATENATE(AE$3,"-",$B27),'FO-GC-012'!$B$20:$H$109,2,0),"")</f>
        <v/>
      </c>
      <c r="AF27" s="27" t="str">
        <f>IFERROR(VLOOKUP(CONCATENATE(AE$3,"-",$B27),'FO-GC-012'!$B$20:$H$109,5,0),"")</f>
        <v/>
      </c>
      <c r="AG27" s="28" t="str">
        <f>IFERROR(VLOOKUP(CONCATENATE(AE$3,"-",$B27),'FO-GC-012'!$B$20:$H$109,6,0),"")</f>
        <v/>
      </c>
      <c r="AH27" s="29" t="str">
        <f>IFERROR(VLOOKUP(CONCATENATE(AE$3,"-",$B27),'FO-GC-012'!$D$20:$H$109,5,0),"")</f>
        <v/>
      </c>
      <c r="AI27" s="26" t="str">
        <f>IFERROR(VLOOKUP(CONCATENATE(AI$3,"-",$B27),'FO-GC-012'!$B$20:$H$109,2,0),"")</f>
        <v/>
      </c>
      <c r="AJ27" s="27" t="str">
        <f>IFERROR(VLOOKUP(CONCATENATE(AI$3,"-",$B27),'FO-GC-012'!$B$20:$H$109,5,0),"")</f>
        <v/>
      </c>
      <c r="AK27" s="28" t="str">
        <f>IFERROR(VLOOKUP(CONCATENATE(AI$3,"-",$B27),'FO-GC-012'!$B$20:$H$109,6,0),"")</f>
        <v/>
      </c>
      <c r="AL27" s="29" t="str">
        <f>IFERROR(VLOOKUP(CONCATENATE(AI$3,"-",$B27),'FO-GC-012'!$D$20:$H$109,5,0),"")</f>
        <v/>
      </c>
      <c r="AM27" s="26" t="str">
        <f>IFERROR(VLOOKUP(CONCATENATE(AM$3,"-",$B27),'FO-GC-012'!$B$20:$H$109,2,0),"")</f>
        <v/>
      </c>
      <c r="AN27" s="27" t="str">
        <f>IFERROR(VLOOKUP(CONCATENATE(AM$3,"-",$B27),'FO-GC-012'!$B$20:$H$109,5,0),"")</f>
        <v/>
      </c>
      <c r="AO27" s="28" t="str">
        <f>IFERROR(VLOOKUP(CONCATENATE(AM$3,"-",$B27),'FO-GC-012'!$B$20:$H$109,6,0),"")</f>
        <v/>
      </c>
      <c r="AP27" s="29" t="str">
        <f>IFERROR(VLOOKUP(CONCATENATE(AM$3,"-",$B27),'FO-GC-012'!$D$20:$H$109,5,0),"")</f>
        <v/>
      </c>
      <c r="AQ27" s="26" t="str">
        <f>IFERROR(VLOOKUP(CONCATENATE(AQ$3,"-",$B27),'FO-GC-012'!$B$20:$H$109,2,0),"")</f>
        <v/>
      </c>
      <c r="AR27" s="27" t="str">
        <f>IFERROR(VLOOKUP(CONCATENATE(AQ$3,"-",$B27),'FO-GC-012'!$B$20:$H$109,5,0),"")</f>
        <v/>
      </c>
      <c r="AS27" s="28" t="str">
        <f>IFERROR(VLOOKUP(CONCATENATE(AQ$3,"-",$B27),'FO-GC-012'!$B$20:$H$109,6,0),"")</f>
        <v/>
      </c>
      <c r="AT27" s="29" t="str">
        <f>IFERROR(VLOOKUP(CONCATENATE(AQ$3,"-",$B27),'FO-GC-012'!$D$20:$H$109,5,0),"")</f>
        <v/>
      </c>
      <c r="AU27" s="26" t="str">
        <f>IFERROR(VLOOKUP(CONCATENATE(AU$3,"-",$B27),'FO-GC-012'!$B$20:$H$109,2,0),"")</f>
        <v/>
      </c>
      <c r="AV27" s="27" t="str">
        <f>IFERROR(VLOOKUP(CONCATENATE(AU$3,"-",$B27),'FO-GC-012'!$B$20:$H$109,5,0),"")</f>
        <v/>
      </c>
      <c r="AW27" s="28" t="str">
        <f>IFERROR(VLOOKUP(CONCATENATE(AU$3,"-",$B27),'FO-GC-012'!$B$20:$H$109,6,0),"")</f>
        <v/>
      </c>
      <c r="AX27" s="29" t="str">
        <f>IFERROR(VLOOKUP(CONCATENATE(AU$3,"-",$B27),'FO-GC-012'!$D$20:$H$109,5,0),"")</f>
        <v/>
      </c>
      <c r="AY27" s="26" t="str">
        <f>IFERROR(VLOOKUP(CONCATENATE(AY$3,"-",$B27),'FO-GC-012'!$B$20:$H$109,2,0),"")</f>
        <v/>
      </c>
      <c r="AZ27" s="27" t="str">
        <f>IFERROR(VLOOKUP(CONCATENATE(AY$3,"-",$B27),'FO-GC-012'!$B$20:$H$109,5,0),"")</f>
        <v/>
      </c>
      <c r="BA27" s="28" t="str">
        <f>IFERROR(VLOOKUP(CONCATENATE(AY$3,"-",$B27),'FO-GC-012'!$B$20:$H$109,6,0),"")</f>
        <v/>
      </c>
      <c r="BB27" s="29" t="str">
        <f>IFERROR(VLOOKUP(CONCATENATE(AY$3,"-",$B27),'FO-GC-012'!$D$20:$H$109,5,0),"")</f>
        <v/>
      </c>
      <c r="BC27" s="26" t="str">
        <f>IFERROR(VLOOKUP(CONCATENATE(BC$3,"-",$B27),'FO-GC-012'!$B$20:$H$109,2,0),"")</f>
        <v/>
      </c>
      <c r="BD27" s="27" t="str">
        <f>IFERROR(VLOOKUP(CONCATENATE(BC$3,"-",$B27),'FO-GC-012'!$B$20:$H$109,5,0),"")</f>
        <v/>
      </c>
      <c r="BE27" s="28" t="str">
        <f>IFERROR(VLOOKUP(CONCATENATE(BC$3,"-",$B27),'FO-GC-012'!$B$20:$H$109,6,0),"")</f>
        <v/>
      </c>
      <c r="BF27" s="29" t="str">
        <f>IFERROR(VLOOKUP(CONCATENATE(BC$3,"-",$B27),'FO-GC-012'!$D$20:$H$109,5,0),"")</f>
        <v/>
      </c>
      <c r="BG27" s="26" t="str">
        <f>IFERROR(VLOOKUP(CONCATENATE(BG$3,"-",$B27),'FO-GC-012'!$B$20:$H$109,2,0),"")</f>
        <v/>
      </c>
      <c r="BH27" s="27" t="str">
        <f>IFERROR(VLOOKUP(CONCATENATE(BG$3,"-",$B27),'FO-GC-012'!$B$20:$H$109,5,0),"")</f>
        <v/>
      </c>
      <c r="BI27" s="28" t="str">
        <f>IFERROR(VLOOKUP(CONCATENATE(BG$3,"-",$B27),'FO-GC-012'!$B$20:$H$109,6,0),"")</f>
        <v/>
      </c>
      <c r="BJ27" s="29" t="str">
        <f>IFERROR(VLOOKUP(CONCATENATE(BG$3,"-",$B27),'FO-GC-012'!$D$20:$H$109,5,0),"")</f>
        <v/>
      </c>
      <c r="BK27" s="26" t="str">
        <f>IFERROR(VLOOKUP(CONCATENATE(BK$3,"-",$B27),'FO-GC-012'!$B$20:$H$109,2,0),"")</f>
        <v/>
      </c>
      <c r="BL27" s="27" t="str">
        <f>IFERROR(VLOOKUP(CONCATENATE(BK$3,"-",$B27),'FO-GC-012'!$B$20:$H$109,5,0),"")</f>
        <v/>
      </c>
      <c r="BM27" s="28" t="str">
        <f>IFERROR(VLOOKUP(CONCATENATE(BK$3,"-",$B27),'FO-GC-012'!$B$20:$H$109,6,0),"")</f>
        <v/>
      </c>
      <c r="BN27" s="29" t="str">
        <f>IFERROR(VLOOKUP(CONCATENATE(BK$3,"-",$B27),'FO-GC-012'!$D$20:$H$109,5,0),"")</f>
        <v/>
      </c>
      <c r="BO27" s="26" t="str">
        <f>IFERROR(VLOOKUP(CONCATENATE(BO$3,"-",$B27),'FO-GC-012'!$B$20:$H$109,2,0),"")</f>
        <v/>
      </c>
      <c r="BP27" s="27" t="str">
        <f>IFERROR(VLOOKUP(CONCATENATE(BO$3,"-",$B27),'FO-GC-012'!$B$20:$H$109,5,0),"")</f>
        <v/>
      </c>
      <c r="BQ27" s="28" t="str">
        <f>IFERROR(VLOOKUP(CONCATENATE(BO$3,"-",$B27),'FO-GC-012'!$B$20:$H$109,6,0),"")</f>
        <v/>
      </c>
      <c r="BR27" s="29" t="str">
        <f>IFERROR(VLOOKUP(CONCATENATE(BO$3,"-",$B27),'FO-GC-012'!$D$20:$H$109,5,0),"")</f>
        <v/>
      </c>
      <c r="BS27" s="26" t="str">
        <f>IFERROR(VLOOKUP(CONCATENATE(BS$3,"-",$B27),'FO-GC-012'!$B$20:$H$109,2,0),"")</f>
        <v/>
      </c>
      <c r="BT27" s="27" t="str">
        <f>IFERROR(VLOOKUP(CONCATENATE(BS$3,"-",$B27),'FO-GC-012'!$B$20:$H$109,5,0),"")</f>
        <v/>
      </c>
      <c r="BU27" s="28" t="str">
        <f>IFERROR(VLOOKUP(CONCATENATE(BS$3,"-",$B27),'FO-GC-012'!$B$20:$H$109,6,0),"")</f>
        <v/>
      </c>
      <c r="BV27" s="29" t="str">
        <f>IFERROR(VLOOKUP(CONCATENATE(BS$3,"-",$B27),'FO-GC-012'!$D$20:$H$109,5,0),"")</f>
        <v/>
      </c>
      <c r="BW27" s="26" t="str">
        <f>IFERROR(VLOOKUP(CONCATENATE(BW$3,"-",$B27),'FO-GC-012'!$B$20:$H$109,2,0),"")</f>
        <v/>
      </c>
      <c r="BX27" s="27" t="str">
        <f>IFERROR(VLOOKUP(CONCATENATE(BW$3,"-",$B27),'FO-GC-012'!$B$20:$H$109,5,0),"")</f>
        <v/>
      </c>
      <c r="BY27" s="28" t="str">
        <f>IFERROR(VLOOKUP(CONCATENATE(BW$3,"-",$B27),'FO-GC-012'!$B$20:$H$109,6,0),"")</f>
        <v/>
      </c>
      <c r="BZ27" s="29" t="str">
        <f>IFERROR(VLOOKUP(CONCATENATE(BW$3,"-",$B27),'FO-GC-012'!$D$20:$H$109,5,0),"")</f>
        <v/>
      </c>
      <c r="CA27" s="26" t="str">
        <f>IFERROR(VLOOKUP(CONCATENATE(CA$3,"-",$B27),'FO-GC-012'!$B$20:$H$109,2,0),"")</f>
        <v/>
      </c>
      <c r="CB27" s="27" t="str">
        <f>IFERROR(VLOOKUP(CONCATENATE(CA$3,"-",$B27),'FO-GC-012'!$B$20:$H$109,5,0),"")</f>
        <v/>
      </c>
      <c r="CC27" s="28" t="str">
        <f>IFERROR(VLOOKUP(CONCATENATE(CA$3,"-",$B27),'FO-GC-012'!$B$20:$H$109,6,0),"")</f>
        <v/>
      </c>
      <c r="CD27" s="5" t="str">
        <f>IFERROR(VLOOKUP(CONCATENATE(CA$3,"-",$B27),'FO-GC-012'!$D$20:$H$109,5,0),"")</f>
        <v/>
      </c>
    </row>
    <row r="28" spans="1:82" ht="21" customHeight="1" x14ac:dyDescent="0.35">
      <c r="A28" s="183">
        <f t="shared" si="1"/>
        <v>25</v>
      </c>
      <c r="B28" s="125" t="str">
        <f>'Listas Desplegables'!B49</f>
        <v xml:space="preserve">Gestión Legal </v>
      </c>
      <c r="C28" s="22" t="str">
        <f>IFERROR(VLOOKUP(CONCATENATE(C$3,"-",$B28),'FO-GC-012'!$B$20:$H$109,2,0),"")</f>
        <v/>
      </c>
      <c r="D28" s="23" t="str">
        <f>IFERROR(VLOOKUP(CONCATENATE(C$3,"-",$B28),'FO-GC-012'!$B$20:$H$109,5,0),"")</f>
        <v/>
      </c>
      <c r="E28" s="24" t="str">
        <f>IFERROR(VLOOKUP(CONCATENATE(C$3,"-",$B28),'FO-GC-012'!$B$20:$H$109,6,0),"")</f>
        <v/>
      </c>
      <c r="F28" s="25" t="str">
        <f>IFERROR(VLOOKUP(CONCATENATE(C$3,"-",$B28),'FO-GC-012'!$D$20:$H$109,5,0),"")</f>
        <v/>
      </c>
      <c r="G28" s="22" t="str">
        <f>IFERROR(VLOOKUP(CONCATENATE(G$3,"-",$B28),'FO-GC-012'!$B$20:$H$109,2,0),"")</f>
        <v/>
      </c>
      <c r="H28" s="23" t="str">
        <f>IFERROR(VLOOKUP(CONCATENATE(G$3,"-",$B28),'FO-GC-012'!$B$20:$H$109,5,0),"")</f>
        <v/>
      </c>
      <c r="I28" s="24" t="str">
        <f>IFERROR(VLOOKUP(CONCATENATE(G$3,"-",$B28),'FO-GC-012'!$B$20:$H$109,6,0),"")</f>
        <v/>
      </c>
      <c r="J28" s="25" t="str">
        <f>IFERROR(VLOOKUP(CONCATENATE(G$3,"-",$B28),'FO-GC-012'!$D$20:$H$109,5,0),"")</f>
        <v/>
      </c>
      <c r="K28" s="22" t="str">
        <f>IFERROR(VLOOKUP(CONCATENATE(K$3,"-",$B28),'FO-GC-012'!$B$20:$H$109,2,0),"")</f>
        <v/>
      </c>
      <c r="L28" s="23" t="str">
        <f>IFERROR(VLOOKUP(CONCATENATE(K$3,"-",$B28),'FO-GC-012'!$B$20:$H$109,5,0),"")</f>
        <v/>
      </c>
      <c r="M28" s="24" t="str">
        <f>IFERROR(VLOOKUP(CONCATENATE(K$3,"-",$B28),'FO-GC-012'!$B$20:$H$109,6,0),"")</f>
        <v/>
      </c>
      <c r="N28" s="25" t="str">
        <f>IFERROR(VLOOKUP(CONCATENATE(K$3,"-",$B28),'FO-GC-012'!$D$20:$H$109,5,0),"")</f>
        <v/>
      </c>
      <c r="O28" s="22" t="str">
        <f>IFERROR(VLOOKUP(CONCATENATE(O$3,"-",$B28),'FO-GC-012'!$B$20:$H$109,2,0),"")</f>
        <v/>
      </c>
      <c r="P28" s="23" t="str">
        <f>IFERROR(VLOOKUP(CONCATENATE(O$3,"-",$B28),'FO-GC-012'!$B$20:$H$109,5,0),"")</f>
        <v/>
      </c>
      <c r="Q28" s="24" t="str">
        <f>IFERROR(VLOOKUP(CONCATENATE(O$3,"-",$B28),'FO-GC-012'!$B$20:$H$109,6,0),"")</f>
        <v/>
      </c>
      <c r="R28" s="25" t="str">
        <f>IFERROR(VLOOKUP(CONCATENATE(O$3,"-",$B28),'FO-GC-012'!$D$20:$H$109,5,0),"")</f>
        <v/>
      </c>
      <c r="S28" s="22" t="str">
        <f>IFERROR(VLOOKUP(CONCATENATE(S$3,"-",$B28),'FO-GC-012'!$B$20:$H$109,2,0),"")</f>
        <v/>
      </c>
      <c r="T28" s="23" t="str">
        <f>IFERROR(VLOOKUP(CONCATENATE(S$3,"-",$B28),'FO-GC-012'!$B$20:$H$109,5,0),"")</f>
        <v/>
      </c>
      <c r="U28" s="24" t="str">
        <f>IFERROR(VLOOKUP(CONCATENATE(S$3,"-",$B28),'FO-GC-012'!$B$20:$H$109,6,0),"")</f>
        <v/>
      </c>
      <c r="V28" s="25" t="str">
        <f>IFERROR(VLOOKUP(CONCATENATE(S$3,"-",$B28),'FO-GC-012'!$D$20:$H$109,5,0),"")</f>
        <v/>
      </c>
      <c r="W28" s="22" t="str">
        <f>IFERROR(VLOOKUP(CONCATENATE(W$3,"-",$B28),'FO-GC-012'!$B$20:$H$109,2,0),"")</f>
        <v/>
      </c>
      <c r="X28" s="23" t="str">
        <f>IFERROR(VLOOKUP(CONCATENATE(W$3,"-",$B28),'FO-GC-012'!$B$20:$H$109,5,0),"")</f>
        <v/>
      </c>
      <c r="Y28" s="24" t="str">
        <f>IFERROR(VLOOKUP(CONCATENATE(W$3,"-",$B28),'FO-GC-012'!$B$20:$H$109,6,0),"")</f>
        <v/>
      </c>
      <c r="Z28" s="25" t="str">
        <f>IFERROR(VLOOKUP(CONCATENATE(W$3,"-",$B28),'FO-GC-012'!$D$20:$H$109,5,0),"")</f>
        <v/>
      </c>
      <c r="AA28" s="22" t="str">
        <f>IFERROR(VLOOKUP(CONCATENATE(AA$3,"-",$B28),'FO-GC-012'!$B$20:$H$109,2,0),"")</f>
        <v/>
      </c>
      <c r="AB28" s="23" t="str">
        <f>IFERROR(VLOOKUP(CONCATENATE(AA$3,"-",$B28),'FO-GC-012'!$B$20:$H$109,5,0),"")</f>
        <v/>
      </c>
      <c r="AC28" s="24" t="str">
        <f>IFERROR(VLOOKUP(CONCATENATE(AA$3,"-",$B28),'FO-GC-012'!$B$20:$H$109,6,0),"")</f>
        <v/>
      </c>
      <c r="AD28" s="25" t="str">
        <f>IFERROR(VLOOKUP(CONCATENATE(AA$3,"-",$B28),'FO-GC-012'!$D$20:$H$109,5,0),"")</f>
        <v/>
      </c>
      <c r="AE28" s="22" t="str">
        <f>IFERROR(VLOOKUP(CONCATENATE(AE$3,"-",$B28),'FO-GC-012'!$B$20:$H$109,2,0),"")</f>
        <v/>
      </c>
      <c r="AF28" s="23" t="str">
        <f>IFERROR(VLOOKUP(CONCATENATE(AE$3,"-",$B28),'FO-GC-012'!$B$20:$H$109,5,0),"")</f>
        <v/>
      </c>
      <c r="AG28" s="24" t="str">
        <f>IFERROR(VLOOKUP(CONCATENATE(AE$3,"-",$B28),'FO-GC-012'!$B$20:$H$109,6,0),"")</f>
        <v/>
      </c>
      <c r="AH28" s="25" t="str">
        <f>IFERROR(VLOOKUP(CONCATENATE(AE$3,"-",$B28),'FO-GC-012'!$D$20:$H$109,5,0),"")</f>
        <v/>
      </c>
      <c r="AI28" s="22" t="str">
        <f>IFERROR(VLOOKUP(CONCATENATE(AI$3,"-",$B28),'FO-GC-012'!$B$20:$H$109,2,0),"")</f>
        <v/>
      </c>
      <c r="AJ28" s="23" t="str">
        <f>IFERROR(VLOOKUP(CONCATENATE(AI$3,"-",$B28),'FO-GC-012'!$B$20:$H$109,5,0),"")</f>
        <v/>
      </c>
      <c r="AK28" s="24" t="str">
        <f>IFERROR(VLOOKUP(CONCATENATE(AI$3,"-",$B28),'FO-GC-012'!$B$20:$H$109,6,0),"")</f>
        <v/>
      </c>
      <c r="AL28" s="25" t="str">
        <f>IFERROR(VLOOKUP(CONCATENATE(AI$3,"-",$B28),'FO-GC-012'!$D$20:$H$109,5,0),"")</f>
        <v/>
      </c>
      <c r="AM28" s="22" t="str">
        <f>IFERROR(VLOOKUP(CONCATENATE(AM$3,"-",$B28),'FO-GC-012'!$B$20:$H$109,2,0),"")</f>
        <v/>
      </c>
      <c r="AN28" s="23" t="str">
        <f>IFERROR(VLOOKUP(CONCATENATE(AM$3,"-",$B28),'FO-GC-012'!$B$20:$H$109,5,0),"")</f>
        <v/>
      </c>
      <c r="AO28" s="24" t="str">
        <f>IFERROR(VLOOKUP(CONCATENATE(AM$3,"-",$B28),'FO-GC-012'!$B$20:$H$109,6,0),"")</f>
        <v/>
      </c>
      <c r="AP28" s="25" t="str">
        <f>IFERROR(VLOOKUP(CONCATENATE(AM$3,"-",$B28),'FO-GC-012'!$D$20:$H$109,5,0),"")</f>
        <v/>
      </c>
      <c r="AQ28" s="22" t="str">
        <f>IFERROR(VLOOKUP(CONCATENATE(AQ$3,"-",$B28),'FO-GC-012'!$B$20:$H$109,2,0),"")</f>
        <v/>
      </c>
      <c r="AR28" s="23" t="str">
        <f>IFERROR(VLOOKUP(CONCATENATE(AQ$3,"-",$B28),'FO-GC-012'!$B$20:$H$109,5,0),"")</f>
        <v/>
      </c>
      <c r="AS28" s="24" t="str">
        <f>IFERROR(VLOOKUP(CONCATENATE(AQ$3,"-",$B28),'FO-GC-012'!$B$20:$H$109,6,0),"")</f>
        <v/>
      </c>
      <c r="AT28" s="25" t="str">
        <f>IFERROR(VLOOKUP(CONCATENATE(AQ$3,"-",$B28),'FO-GC-012'!$D$20:$H$109,5,0),"")</f>
        <v/>
      </c>
      <c r="AU28" s="22" t="str">
        <f>IFERROR(VLOOKUP(CONCATENATE(AU$3,"-",$B28),'FO-GC-012'!$B$20:$H$109,2,0),"")</f>
        <v/>
      </c>
      <c r="AV28" s="23" t="str">
        <f>IFERROR(VLOOKUP(CONCATENATE(AU$3,"-",$B28),'FO-GC-012'!$B$20:$H$109,5,0),"")</f>
        <v/>
      </c>
      <c r="AW28" s="24" t="str">
        <f>IFERROR(VLOOKUP(CONCATENATE(AU$3,"-",$B28),'FO-GC-012'!$B$20:$H$109,6,0),"")</f>
        <v/>
      </c>
      <c r="AX28" s="25" t="str">
        <f>IFERROR(VLOOKUP(CONCATENATE(AU$3,"-",$B28),'FO-GC-012'!$D$20:$H$109,5,0),"")</f>
        <v/>
      </c>
      <c r="AY28" s="22" t="str">
        <f>IFERROR(VLOOKUP(CONCATENATE(AY$3,"-",$B28),'FO-GC-012'!$B$20:$H$109,2,0),"")</f>
        <v/>
      </c>
      <c r="AZ28" s="23" t="str">
        <f>IFERROR(VLOOKUP(CONCATENATE(AY$3,"-",$B28),'FO-GC-012'!$B$20:$H$109,5,0),"")</f>
        <v/>
      </c>
      <c r="BA28" s="24" t="str">
        <f>IFERROR(VLOOKUP(CONCATENATE(AY$3,"-",$B28),'FO-GC-012'!$B$20:$H$109,6,0),"")</f>
        <v/>
      </c>
      <c r="BB28" s="25" t="str">
        <f>IFERROR(VLOOKUP(CONCATENATE(AY$3,"-",$B28),'FO-GC-012'!$D$20:$H$109,5,0),"")</f>
        <v/>
      </c>
      <c r="BC28" s="22" t="str">
        <f>IFERROR(VLOOKUP(CONCATENATE(BC$3,"-",$B28),'FO-GC-012'!$B$20:$H$109,2,0),"")</f>
        <v/>
      </c>
      <c r="BD28" s="23" t="str">
        <f>IFERROR(VLOOKUP(CONCATENATE(BC$3,"-",$B28),'FO-GC-012'!$B$20:$H$109,5,0),"")</f>
        <v/>
      </c>
      <c r="BE28" s="24" t="str">
        <f>IFERROR(VLOOKUP(CONCATENATE(BC$3,"-",$B28),'FO-GC-012'!$B$20:$H$109,6,0),"")</f>
        <v/>
      </c>
      <c r="BF28" s="25" t="str">
        <f>IFERROR(VLOOKUP(CONCATENATE(BC$3,"-",$B28),'FO-GC-012'!$D$20:$H$109,5,0),"")</f>
        <v/>
      </c>
      <c r="BG28" s="22" t="str">
        <f>IFERROR(VLOOKUP(CONCATENATE(BG$3,"-",$B28),'FO-GC-012'!$B$20:$H$109,2,0),"")</f>
        <v/>
      </c>
      <c r="BH28" s="23" t="str">
        <f>IFERROR(VLOOKUP(CONCATENATE(BG$3,"-",$B28),'FO-GC-012'!$B$20:$H$109,5,0),"")</f>
        <v/>
      </c>
      <c r="BI28" s="24" t="str">
        <f>IFERROR(VLOOKUP(CONCATENATE(BG$3,"-",$B28),'FO-GC-012'!$B$20:$H$109,6,0),"")</f>
        <v/>
      </c>
      <c r="BJ28" s="25" t="str">
        <f>IFERROR(VLOOKUP(CONCATENATE(BG$3,"-",$B28),'FO-GC-012'!$D$20:$H$109,5,0),"")</f>
        <v/>
      </c>
      <c r="BK28" s="22" t="str">
        <f>IFERROR(VLOOKUP(CONCATENATE(BK$3,"-",$B28),'FO-GC-012'!$B$20:$H$109,2,0),"")</f>
        <v/>
      </c>
      <c r="BL28" s="23" t="str">
        <f>IFERROR(VLOOKUP(CONCATENATE(BK$3,"-",$B28),'FO-GC-012'!$B$20:$H$109,5,0),"")</f>
        <v/>
      </c>
      <c r="BM28" s="24" t="str">
        <f>IFERROR(VLOOKUP(CONCATENATE(BK$3,"-",$B28),'FO-GC-012'!$B$20:$H$109,6,0),"")</f>
        <v/>
      </c>
      <c r="BN28" s="25" t="str">
        <f>IFERROR(VLOOKUP(CONCATENATE(BK$3,"-",$B28),'FO-GC-012'!$D$20:$H$109,5,0),"")</f>
        <v/>
      </c>
      <c r="BO28" s="22" t="str">
        <f>IFERROR(VLOOKUP(CONCATENATE(BO$3,"-",$B28),'FO-GC-012'!$B$20:$H$109,2,0),"")</f>
        <v/>
      </c>
      <c r="BP28" s="23" t="str">
        <f>IFERROR(VLOOKUP(CONCATENATE(BO$3,"-",$B28),'FO-GC-012'!$B$20:$H$109,5,0),"")</f>
        <v/>
      </c>
      <c r="BQ28" s="24" t="str">
        <f>IFERROR(VLOOKUP(CONCATENATE(BO$3,"-",$B28),'FO-GC-012'!$B$20:$H$109,6,0),"")</f>
        <v/>
      </c>
      <c r="BR28" s="25" t="str">
        <f>IFERROR(VLOOKUP(CONCATENATE(BO$3,"-",$B28),'FO-GC-012'!$D$20:$H$109,5,0),"")</f>
        <v/>
      </c>
      <c r="BS28" s="22" t="str">
        <f>IFERROR(VLOOKUP(CONCATENATE(BS$3,"-",$B28),'FO-GC-012'!$B$20:$H$109,2,0),"")</f>
        <v/>
      </c>
      <c r="BT28" s="23" t="str">
        <f>IFERROR(VLOOKUP(CONCATENATE(BS$3,"-",$B28),'FO-GC-012'!$B$20:$H$109,5,0),"")</f>
        <v/>
      </c>
      <c r="BU28" s="24" t="str">
        <f>IFERROR(VLOOKUP(CONCATENATE(BS$3,"-",$B28),'FO-GC-012'!$B$20:$H$109,6,0),"")</f>
        <v/>
      </c>
      <c r="BV28" s="25" t="str">
        <f>IFERROR(VLOOKUP(CONCATENATE(BS$3,"-",$B28),'FO-GC-012'!$D$20:$H$109,5,0),"")</f>
        <v/>
      </c>
      <c r="BW28" s="22" t="str">
        <f>IFERROR(VLOOKUP(CONCATENATE(BW$3,"-",$B28),'FO-GC-012'!$B$20:$H$109,2,0),"")</f>
        <v/>
      </c>
      <c r="BX28" s="23" t="str">
        <f>IFERROR(VLOOKUP(CONCATENATE(BW$3,"-",$B28),'FO-GC-012'!$B$20:$H$109,5,0),"")</f>
        <v/>
      </c>
      <c r="BY28" s="24" t="str">
        <f>IFERROR(VLOOKUP(CONCATENATE(BW$3,"-",$B28),'FO-GC-012'!$B$20:$H$109,6,0),"")</f>
        <v/>
      </c>
      <c r="BZ28" s="25" t="str">
        <f>IFERROR(VLOOKUP(CONCATENATE(BW$3,"-",$B28),'FO-GC-012'!$D$20:$H$109,5,0),"")</f>
        <v/>
      </c>
      <c r="CA28" s="22" t="str">
        <f>IFERROR(VLOOKUP(CONCATENATE(CA$3,"-",$B28),'FO-GC-012'!$B$20:$H$109,2,0),"")</f>
        <v/>
      </c>
      <c r="CB28" s="23" t="str">
        <f>IFERROR(VLOOKUP(CONCATENATE(CA$3,"-",$B28),'FO-GC-012'!$B$20:$H$109,5,0),"")</f>
        <v/>
      </c>
      <c r="CC28" s="24" t="str">
        <f>IFERROR(VLOOKUP(CONCATENATE(CA$3,"-",$B28),'FO-GC-012'!$B$20:$H$109,6,0),"")</f>
        <v/>
      </c>
      <c r="CD28" s="5" t="str">
        <f>IFERROR(VLOOKUP(CONCATENATE(CA$3,"-",$B28),'FO-GC-012'!$D$20:$H$109,5,0),"")</f>
        <v/>
      </c>
    </row>
    <row r="29" spans="1:82" ht="21" customHeight="1" x14ac:dyDescent="0.35">
      <c r="A29" s="184">
        <f t="shared" si="1"/>
        <v>26</v>
      </c>
      <c r="B29" s="125" t="str">
        <f>'Listas Desplegables'!B50</f>
        <v xml:space="preserve">Gestión Documental </v>
      </c>
      <c r="C29" s="26" t="str">
        <f>IFERROR(VLOOKUP(CONCATENATE(C$3,"-",$B29),'FO-GC-012'!$B$20:$H$109,2,0),"")</f>
        <v/>
      </c>
      <c r="D29" s="27" t="str">
        <f>IFERROR(VLOOKUP(CONCATENATE(C$3,"-",$B29),'FO-GC-012'!$B$20:$H$109,5,0),"")</f>
        <v/>
      </c>
      <c r="E29" s="28" t="str">
        <f>IFERROR(VLOOKUP(CONCATENATE(C$3,"-",$B29),'FO-GC-012'!$B$20:$H$109,6,0),"")</f>
        <v/>
      </c>
      <c r="F29" s="29" t="str">
        <f>IFERROR(VLOOKUP(CONCATENATE(C$3,"-",$B29),'FO-GC-012'!$D$20:$H$109,5,0),"")</f>
        <v/>
      </c>
      <c r="G29" s="26" t="str">
        <f>IFERROR(VLOOKUP(CONCATENATE(G$3,"-",$B29),'FO-GC-012'!$B$20:$H$109,2,0),"")</f>
        <v/>
      </c>
      <c r="H29" s="27" t="str">
        <f>IFERROR(VLOOKUP(CONCATENATE(G$3,"-",$B29),'FO-GC-012'!$B$20:$H$109,5,0),"")</f>
        <v/>
      </c>
      <c r="I29" s="28" t="str">
        <f>IFERROR(VLOOKUP(CONCATENATE(G$3,"-",$B29),'FO-GC-012'!$B$20:$H$109,6,0),"")</f>
        <v/>
      </c>
      <c r="J29" s="29" t="str">
        <f>IFERROR(VLOOKUP(CONCATENATE(G$3,"-",$B29),'FO-GC-012'!$D$20:$H$109,5,0),"")</f>
        <v/>
      </c>
      <c r="K29" s="26" t="str">
        <f>IFERROR(VLOOKUP(CONCATENATE(K$3,"-",$B29),'FO-GC-012'!$B$20:$H$109,2,0),"")</f>
        <v/>
      </c>
      <c r="L29" s="27" t="str">
        <f>IFERROR(VLOOKUP(CONCATENATE(K$3,"-",$B29),'FO-GC-012'!$B$20:$H$109,5,0),"")</f>
        <v/>
      </c>
      <c r="M29" s="28" t="str">
        <f>IFERROR(VLOOKUP(CONCATENATE(K$3,"-",$B29),'FO-GC-012'!$B$20:$H$109,6,0),"")</f>
        <v/>
      </c>
      <c r="N29" s="29" t="str">
        <f>IFERROR(VLOOKUP(CONCATENATE(K$3,"-",$B29),'FO-GC-012'!$D$20:$H$109,5,0),"")</f>
        <v/>
      </c>
      <c r="O29" s="26" t="str">
        <f>IFERROR(VLOOKUP(CONCATENATE(O$3,"-",$B29),'FO-GC-012'!$B$20:$H$109,2,0),"")</f>
        <v/>
      </c>
      <c r="P29" s="27" t="str">
        <f>IFERROR(VLOOKUP(CONCATENATE(O$3,"-",$B29),'FO-GC-012'!$B$20:$H$109,5,0),"")</f>
        <v/>
      </c>
      <c r="Q29" s="28" t="str">
        <f>IFERROR(VLOOKUP(CONCATENATE(O$3,"-",$B29),'FO-GC-012'!$B$20:$H$109,6,0),"")</f>
        <v/>
      </c>
      <c r="R29" s="29" t="str">
        <f>IFERROR(VLOOKUP(CONCATENATE(O$3,"-",$B29),'FO-GC-012'!$D$20:$H$109,5,0),"")</f>
        <v/>
      </c>
      <c r="S29" s="26" t="str">
        <f>IFERROR(VLOOKUP(CONCATENATE(S$3,"-",$B29),'FO-GC-012'!$B$20:$H$109,2,0),"")</f>
        <v/>
      </c>
      <c r="T29" s="27" t="str">
        <f>IFERROR(VLOOKUP(CONCATENATE(S$3,"-",$B29),'FO-GC-012'!$B$20:$H$109,5,0),"")</f>
        <v/>
      </c>
      <c r="U29" s="28" t="str">
        <f>IFERROR(VLOOKUP(CONCATENATE(S$3,"-",$B29),'FO-GC-012'!$B$20:$H$109,6,0),"")</f>
        <v/>
      </c>
      <c r="V29" s="29" t="str">
        <f>IFERROR(VLOOKUP(CONCATENATE(S$3,"-",$B29),'FO-GC-012'!$D$20:$H$109,5,0),"")</f>
        <v/>
      </c>
      <c r="W29" s="26" t="str">
        <f>IFERROR(VLOOKUP(CONCATENATE(W$3,"-",$B29),'FO-GC-012'!$B$20:$H$109,2,0),"")</f>
        <v/>
      </c>
      <c r="X29" s="27" t="str">
        <f>IFERROR(VLOOKUP(CONCATENATE(W$3,"-",$B29),'FO-GC-012'!$B$20:$H$109,5,0),"")</f>
        <v/>
      </c>
      <c r="Y29" s="28" t="str">
        <f>IFERROR(VLOOKUP(CONCATENATE(W$3,"-",$B29),'FO-GC-012'!$B$20:$H$109,6,0),"")</f>
        <v/>
      </c>
      <c r="Z29" s="29" t="str">
        <f>IFERROR(VLOOKUP(CONCATENATE(W$3,"-",$B29),'FO-GC-012'!$D$20:$H$109,5,0),"")</f>
        <v/>
      </c>
      <c r="AA29" s="26" t="str">
        <f>IFERROR(VLOOKUP(CONCATENATE(AA$3,"-",$B29),'FO-GC-012'!$B$20:$H$109,2,0),"")</f>
        <v/>
      </c>
      <c r="AB29" s="27" t="str">
        <f>IFERROR(VLOOKUP(CONCATENATE(AA$3,"-",$B29),'FO-GC-012'!$B$20:$H$109,5,0),"")</f>
        <v/>
      </c>
      <c r="AC29" s="28" t="str">
        <f>IFERROR(VLOOKUP(CONCATENATE(AA$3,"-",$B29),'FO-GC-012'!$B$20:$H$109,6,0),"")</f>
        <v/>
      </c>
      <c r="AD29" s="29" t="str">
        <f>IFERROR(VLOOKUP(CONCATENATE(AA$3,"-",$B29),'FO-GC-012'!$D$20:$H$109,5,0),"")</f>
        <v/>
      </c>
      <c r="AE29" s="26" t="str">
        <f>IFERROR(VLOOKUP(CONCATENATE(AE$3,"-",$B29),'FO-GC-012'!$B$20:$H$109,2,0),"")</f>
        <v/>
      </c>
      <c r="AF29" s="27" t="str">
        <f>IFERROR(VLOOKUP(CONCATENATE(AE$3,"-",$B29),'FO-GC-012'!$B$20:$H$109,5,0),"")</f>
        <v/>
      </c>
      <c r="AG29" s="28" t="str">
        <f>IFERROR(VLOOKUP(CONCATENATE(AE$3,"-",$B29),'FO-GC-012'!$B$20:$H$109,6,0),"")</f>
        <v/>
      </c>
      <c r="AH29" s="29" t="str">
        <f>IFERROR(VLOOKUP(CONCATENATE(AE$3,"-",$B29),'FO-GC-012'!$D$20:$H$109,5,0),"")</f>
        <v/>
      </c>
      <c r="AI29" s="26" t="str">
        <f>IFERROR(VLOOKUP(CONCATENATE(AI$3,"-",$B29),'FO-GC-012'!$B$20:$H$109,2,0),"")</f>
        <v/>
      </c>
      <c r="AJ29" s="27" t="str">
        <f>IFERROR(VLOOKUP(CONCATENATE(AI$3,"-",$B29),'FO-GC-012'!$B$20:$H$109,5,0),"")</f>
        <v/>
      </c>
      <c r="AK29" s="28" t="str">
        <f>IFERROR(VLOOKUP(CONCATENATE(AI$3,"-",$B29),'FO-GC-012'!$B$20:$H$109,6,0),"")</f>
        <v/>
      </c>
      <c r="AL29" s="29" t="str">
        <f>IFERROR(VLOOKUP(CONCATENATE(AI$3,"-",$B29),'FO-GC-012'!$D$20:$H$109,5,0),"")</f>
        <v/>
      </c>
      <c r="AM29" s="26" t="str">
        <f>IFERROR(VLOOKUP(CONCATENATE(AM$3,"-",$B29),'FO-GC-012'!$B$20:$H$109,2,0),"")</f>
        <v/>
      </c>
      <c r="AN29" s="27" t="str">
        <f>IFERROR(VLOOKUP(CONCATENATE(AM$3,"-",$B29),'FO-GC-012'!$B$20:$H$109,5,0),"")</f>
        <v/>
      </c>
      <c r="AO29" s="28" t="str">
        <f>IFERROR(VLOOKUP(CONCATENATE(AM$3,"-",$B29),'FO-GC-012'!$B$20:$H$109,6,0),"")</f>
        <v/>
      </c>
      <c r="AP29" s="29" t="str">
        <f>IFERROR(VLOOKUP(CONCATENATE(AM$3,"-",$B29),'FO-GC-012'!$D$20:$H$109,5,0),"")</f>
        <v/>
      </c>
      <c r="AQ29" s="26" t="str">
        <f>IFERROR(VLOOKUP(CONCATENATE(AQ$3,"-",$B29),'FO-GC-012'!$B$20:$H$109,2,0),"")</f>
        <v/>
      </c>
      <c r="AR29" s="27" t="str">
        <f>IFERROR(VLOOKUP(CONCATENATE(AQ$3,"-",$B29),'FO-GC-012'!$B$20:$H$109,5,0),"")</f>
        <v/>
      </c>
      <c r="AS29" s="28" t="str">
        <f>IFERROR(VLOOKUP(CONCATENATE(AQ$3,"-",$B29),'FO-GC-012'!$B$20:$H$109,6,0),"")</f>
        <v/>
      </c>
      <c r="AT29" s="29" t="str">
        <f>IFERROR(VLOOKUP(CONCATENATE(AQ$3,"-",$B29),'FO-GC-012'!$D$20:$H$109,5,0),"")</f>
        <v/>
      </c>
      <c r="AU29" s="26" t="str">
        <f>IFERROR(VLOOKUP(CONCATENATE(AU$3,"-",$B29),'FO-GC-012'!$B$20:$H$109,2,0),"")</f>
        <v/>
      </c>
      <c r="AV29" s="27" t="str">
        <f>IFERROR(VLOOKUP(CONCATENATE(AU$3,"-",$B29),'FO-GC-012'!$B$20:$H$109,5,0),"")</f>
        <v/>
      </c>
      <c r="AW29" s="28" t="str">
        <f>IFERROR(VLOOKUP(CONCATENATE(AU$3,"-",$B29),'FO-GC-012'!$B$20:$H$109,6,0),"")</f>
        <v/>
      </c>
      <c r="AX29" s="29" t="str">
        <f>IFERROR(VLOOKUP(CONCATENATE(AU$3,"-",$B29),'FO-GC-012'!$D$20:$H$109,5,0),"")</f>
        <v/>
      </c>
      <c r="AY29" s="26" t="str">
        <f>IFERROR(VLOOKUP(CONCATENATE(AY$3,"-",$B29),'FO-GC-012'!$B$20:$H$109,2,0),"")</f>
        <v/>
      </c>
      <c r="AZ29" s="27" t="str">
        <f>IFERROR(VLOOKUP(CONCATENATE(AY$3,"-",$B29),'FO-GC-012'!$B$20:$H$109,5,0),"")</f>
        <v/>
      </c>
      <c r="BA29" s="28" t="str">
        <f>IFERROR(VLOOKUP(CONCATENATE(AY$3,"-",$B29),'FO-GC-012'!$B$20:$H$109,6,0),"")</f>
        <v/>
      </c>
      <c r="BB29" s="29" t="str">
        <f>IFERROR(VLOOKUP(CONCATENATE(AY$3,"-",$B29),'FO-GC-012'!$D$20:$H$109,5,0),"")</f>
        <v/>
      </c>
      <c r="BC29" s="26" t="str">
        <f>IFERROR(VLOOKUP(CONCATENATE(BC$3,"-",$B29),'FO-GC-012'!$B$20:$H$109,2,0),"")</f>
        <v/>
      </c>
      <c r="BD29" s="27" t="str">
        <f>IFERROR(VLOOKUP(CONCATENATE(BC$3,"-",$B29),'FO-GC-012'!$B$20:$H$109,5,0),"")</f>
        <v/>
      </c>
      <c r="BE29" s="28" t="str">
        <f>IFERROR(VLOOKUP(CONCATENATE(BC$3,"-",$B29),'FO-GC-012'!$B$20:$H$109,6,0),"")</f>
        <v/>
      </c>
      <c r="BF29" s="29" t="str">
        <f>IFERROR(VLOOKUP(CONCATENATE(BC$3,"-",$B29),'FO-GC-012'!$D$20:$H$109,5,0),"")</f>
        <v/>
      </c>
      <c r="BG29" s="26" t="str">
        <f>IFERROR(VLOOKUP(CONCATENATE(BG$3,"-",$B29),'FO-GC-012'!$B$20:$H$109,2,0),"")</f>
        <v/>
      </c>
      <c r="BH29" s="27" t="str">
        <f>IFERROR(VLOOKUP(CONCATENATE(BG$3,"-",$B29),'FO-GC-012'!$B$20:$H$109,5,0),"")</f>
        <v/>
      </c>
      <c r="BI29" s="28" t="str">
        <f>IFERROR(VLOOKUP(CONCATENATE(BG$3,"-",$B29),'FO-GC-012'!$B$20:$H$109,6,0),"")</f>
        <v/>
      </c>
      <c r="BJ29" s="29" t="str">
        <f>IFERROR(VLOOKUP(CONCATENATE(BG$3,"-",$B29),'FO-GC-012'!$D$20:$H$109,5,0),"")</f>
        <v/>
      </c>
      <c r="BK29" s="26" t="str">
        <f>IFERROR(VLOOKUP(CONCATENATE(BK$3,"-",$B29),'FO-GC-012'!$B$20:$H$109,2,0),"")</f>
        <v/>
      </c>
      <c r="BL29" s="27" t="str">
        <f>IFERROR(VLOOKUP(CONCATENATE(BK$3,"-",$B29),'FO-GC-012'!$B$20:$H$109,5,0),"")</f>
        <v/>
      </c>
      <c r="BM29" s="28" t="str">
        <f>IFERROR(VLOOKUP(CONCATENATE(BK$3,"-",$B29),'FO-GC-012'!$B$20:$H$109,6,0),"")</f>
        <v/>
      </c>
      <c r="BN29" s="29" t="str">
        <f>IFERROR(VLOOKUP(CONCATENATE(BK$3,"-",$B29),'FO-GC-012'!$D$20:$H$109,5,0),"")</f>
        <v/>
      </c>
      <c r="BO29" s="26" t="str">
        <f>IFERROR(VLOOKUP(CONCATENATE(BO$3,"-",$B29),'FO-GC-012'!$B$20:$H$109,2,0),"")</f>
        <v/>
      </c>
      <c r="BP29" s="27" t="str">
        <f>IFERROR(VLOOKUP(CONCATENATE(BO$3,"-",$B29),'FO-GC-012'!$B$20:$H$109,5,0),"")</f>
        <v/>
      </c>
      <c r="BQ29" s="28" t="str">
        <f>IFERROR(VLOOKUP(CONCATENATE(BO$3,"-",$B29),'FO-GC-012'!$B$20:$H$109,6,0),"")</f>
        <v/>
      </c>
      <c r="BR29" s="29" t="str">
        <f>IFERROR(VLOOKUP(CONCATENATE(BO$3,"-",$B29),'FO-GC-012'!$D$20:$H$109,5,0),"")</f>
        <v/>
      </c>
      <c r="BS29" s="26" t="str">
        <f>IFERROR(VLOOKUP(CONCATENATE(BS$3,"-",$B29),'FO-GC-012'!$B$20:$H$109,2,0),"")</f>
        <v/>
      </c>
      <c r="BT29" s="27" t="str">
        <f>IFERROR(VLOOKUP(CONCATENATE(BS$3,"-",$B29),'FO-GC-012'!$B$20:$H$109,5,0),"")</f>
        <v/>
      </c>
      <c r="BU29" s="28" t="str">
        <f>IFERROR(VLOOKUP(CONCATENATE(BS$3,"-",$B29),'FO-GC-012'!$B$20:$H$109,6,0),"")</f>
        <v/>
      </c>
      <c r="BV29" s="29" t="str">
        <f>IFERROR(VLOOKUP(CONCATENATE(BS$3,"-",$B29),'FO-GC-012'!$D$20:$H$109,5,0),"")</f>
        <v/>
      </c>
      <c r="BW29" s="26" t="str">
        <f>IFERROR(VLOOKUP(CONCATENATE(BW$3,"-",$B29),'FO-GC-012'!$B$20:$H$109,2,0),"")</f>
        <v/>
      </c>
      <c r="BX29" s="27" t="str">
        <f>IFERROR(VLOOKUP(CONCATENATE(BW$3,"-",$B29),'FO-GC-012'!$B$20:$H$109,5,0),"")</f>
        <v/>
      </c>
      <c r="BY29" s="28" t="str">
        <f>IFERROR(VLOOKUP(CONCATENATE(BW$3,"-",$B29),'FO-GC-012'!$B$20:$H$109,6,0),"")</f>
        <v/>
      </c>
      <c r="BZ29" s="29" t="str">
        <f>IFERROR(VLOOKUP(CONCATENATE(BW$3,"-",$B29),'FO-GC-012'!$D$20:$H$109,5,0),"")</f>
        <v/>
      </c>
      <c r="CA29" s="26" t="str">
        <f>IFERROR(VLOOKUP(CONCATENATE(CA$3,"-",$B29),'FO-GC-012'!$B$20:$H$109,2,0),"")</f>
        <v/>
      </c>
      <c r="CB29" s="27" t="str">
        <f>IFERROR(VLOOKUP(CONCATENATE(CA$3,"-",$B29),'FO-GC-012'!$B$20:$H$109,5,0),"")</f>
        <v/>
      </c>
      <c r="CC29" s="28" t="str">
        <f>IFERROR(VLOOKUP(CONCATENATE(CA$3,"-",$B29),'FO-GC-012'!$B$20:$H$109,6,0),"")</f>
        <v/>
      </c>
      <c r="CD29" s="5" t="str">
        <f>IFERROR(VLOOKUP(CONCATENATE(CA$3,"-",$B29),'FO-GC-012'!$D$20:$H$109,5,0),"")</f>
        <v/>
      </c>
    </row>
    <row r="30" spans="1:82" ht="21" customHeight="1" x14ac:dyDescent="0.35">
      <c r="A30" s="183">
        <f t="shared" si="1"/>
        <v>27</v>
      </c>
      <c r="B30" s="125" t="str">
        <f>'Listas Desplegables'!B51</f>
        <v>Recursos Educativos</v>
      </c>
      <c r="C30" s="22" t="str">
        <f>IFERROR(VLOOKUP(CONCATENATE(C$3,"-",$B30),'FO-GC-012'!$B$20:$H$109,2,0),"")</f>
        <v/>
      </c>
      <c r="D30" s="23" t="str">
        <f>IFERROR(VLOOKUP(CONCATENATE(C$3,"-",$B30),'FO-GC-012'!$B$20:$H$109,5,0),"")</f>
        <v/>
      </c>
      <c r="E30" s="24" t="str">
        <f>IFERROR(VLOOKUP(CONCATENATE(C$3,"-",$B30),'FO-GC-012'!$B$20:$H$109,6,0),"")</f>
        <v/>
      </c>
      <c r="F30" s="25" t="str">
        <f>IFERROR(VLOOKUP(CONCATENATE(C$3,"-",$B30),'FO-GC-012'!$D$20:$H$109,5,0),"")</f>
        <v/>
      </c>
      <c r="G30" s="22" t="str">
        <f>IFERROR(VLOOKUP(CONCATENATE(G$3,"-",$B30),'FO-GC-012'!$B$20:$H$109,2,0),"")</f>
        <v/>
      </c>
      <c r="H30" s="23" t="str">
        <f>IFERROR(VLOOKUP(CONCATENATE(G$3,"-",$B30),'FO-GC-012'!$B$20:$H$109,5,0),"")</f>
        <v/>
      </c>
      <c r="I30" s="24" t="str">
        <f>IFERROR(VLOOKUP(CONCATENATE(G$3,"-",$B30),'FO-GC-012'!$B$20:$H$109,6,0),"")</f>
        <v/>
      </c>
      <c r="J30" s="25" t="str">
        <f>IFERROR(VLOOKUP(CONCATENATE(G$3,"-",$B30),'FO-GC-012'!$D$20:$H$109,5,0),"")</f>
        <v/>
      </c>
      <c r="K30" s="22" t="str">
        <f>IFERROR(VLOOKUP(CONCATENATE(K$3,"-",$B30),'FO-GC-012'!$B$20:$H$109,2,0),"")</f>
        <v/>
      </c>
      <c r="L30" s="23" t="str">
        <f>IFERROR(VLOOKUP(CONCATENATE(K$3,"-",$B30),'FO-GC-012'!$B$20:$H$109,5,0),"")</f>
        <v/>
      </c>
      <c r="M30" s="24" t="str">
        <f>IFERROR(VLOOKUP(CONCATENATE(K$3,"-",$B30),'FO-GC-012'!$B$20:$H$109,6,0),"")</f>
        <v/>
      </c>
      <c r="N30" s="25" t="str">
        <f>IFERROR(VLOOKUP(CONCATENATE(K$3,"-",$B30),'FO-GC-012'!$D$20:$H$109,5,0),"")</f>
        <v/>
      </c>
      <c r="O30" s="22" t="str">
        <f>IFERROR(VLOOKUP(CONCATENATE(O$3,"-",$B30),'FO-GC-012'!$B$20:$H$109,2,0),"")</f>
        <v/>
      </c>
      <c r="P30" s="23" t="str">
        <f>IFERROR(VLOOKUP(CONCATENATE(O$3,"-",$B30),'FO-GC-012'!$B$20:$H$109,5,0),"")</f>
        <v/>
      </c>
      <c r="Q30" s="24" t="str">
        <f>IFERROR(VLOOKUP(CONCATENATE(O$3,"-",$B30),'FO-GC-012'!$B$20:$H$109,6,0),"")</f>
        <v/>
      </c>
      <c r="R30" s="25" t="str">
        <f>IFERROR(VLOOKUP(CONCATENATE(O$3,"-",$B30),'FO-GC-012'!$D$20:$H$109,5,0),"")</f>
        <v/>
      </c>
      <c r="S30" s="22" t="str">
        <f>IFERROR(VLOOKUP(CONCATENATE(S$3,"-",$B30),'FO-GC-012'!$B$20:$H$109,2,0),"")</f>
        <v/>
      </c>
      <c r="T30" s="23" t="str">
        <f>IFERROR(VLOOKUP(CONCATENATE(S$3,"-",$B30),'FO-GC-012'!$B$20:$H$109,5,0),"")</f>
        <v/>
      </c>
      <c r="U30" s="24" t="str">
        <f>IFERROR(VLOOKUP(CONCATENATE(S$3,"-",$B30),'FO-GC-012'!$B$20:$H$109,6,0),"")</f>
        <v/>
      </c>
      <c r="V30" s="25" t="str">
        <f>IFERROR(VLOOKUP(CONCATENATE(S$3,"-",$B30),'FO-GC-012'!$D$20:$H$109,5,0),"")</f>
        <v/>
      </c>
      <c r="W30" s="22" t="str">
        <f>IFERROR(VLOOKUP(CONCATENATE(W$3,"-",$B30),'FO-GC-012'!$B$20:$H$109,2,0),"")</f>
        <v/>
      </c>
      <c r="X30" s="23" t="str">
        <f>IFERROR(VLOOKUP(CONCATENATE(W$3,"-",$B30),'FO-GC-012'!$B$20:$H$109,5,0),"")</f>
        <v/>
      </c>
      <c r="Y30" s="24" t="str">
        <f>IFERROR(VLOOKUP(CONCATENATE(W$3,"-",$B30),'FO-GC-012'!$B$20:$H$109,6,0),"")</f>
        <v/>
      </c>
      <c r="Z30" s="25" t="str">
        <f>IFERROR(VLOOKUP(CONCATENATE(W$3,"-",$B30),'FO-GC-012'!$D$20:$H$109,5,0),"")</f>
        <v/>
      </c>
      <c r="AA30" s="22" t="str">
        <f>IFERROR(VLOOKUP(CONCATENATE(AA$3,"-",$B30),'FO-GC-012'!$B$20:$H$109,2,0),"")</f>
        <v/>
      </c>
      <c r="AB30" s="23" t="str">
        <f>IFERROR(VLOOKUP(CONCATENATE(AA$3,"-",$B30),'FO-GC-012'!$B$20:$H$109,5,0),"")</f>
        <v/>
      </c>
      <c r="AC30" s="24" t="str">
        <f>IFERROR(VLOOKUP(CONCATENATE(AA$3,"-",$B30),'FO-GC-012'!$B$20:$H$109,6,0),"")</f>
        <v/>
      </c>
      <c r="AD30" s="25" t="str">
        <f>IFERROR(VLOOKUP(CONCATENATE(AA$3,"-",$B30),'FO-GC-012'!$D$20:$H$109,5,0),"")</f>
        <v/>
      </c>
      <c r="AE30" s="22" t="str">
        <f>IFERROR(VLOOKUP(CONCATENATE(AE$3,"-",$B30),'FO-GC-012'!$B$20:$H$109,2,0),"")</f>
        <v/>
      </c>
      <c r="AF30" s="23" t="str">
        <f>IFERROR(VLOOKUP(CONCATENATE(AE$3,"-",$B30),'FO-GC-012'!$B$20:$H$109,5,0),"")</f>
        <v/>
      </c>
      <c r="AG30" s="24" t="str">
        <f>IFERROR(VLOOKUP(CONCATENATE(AE$3,"-",$B30),'FO-GC-012'!$B$20:$H$109,6,0),"")</f>
        <v/>
      </c>
      <c r="AH30" s="25" t="str">
        <f>IFERROR(VLOOKUP(CONCATENATE(AE$3,"-",$B30),'FO-GC-012'!$D$20:$H$109,5,0),"")</f>
        <v/>
      </c>
      <c r="AI30" s="22" t="str">
        <f>IFERROR(VLOOKUP(CONCATENATE(AI$3,"-",$B30),'FO-GC-012'!$B$20:$H$109,2,0),"")</f>
        <v/>
      </c>
      <c r="AJ30" s="23" t="str">
        <f>IFERROR(VLOOKUP(CONCATENATE(AI$3,"-",$B30),'FO-GC-012'!$B$20:$H$109,5,0),"")</f>
        <v/>
      </c>
      <c r="AK30" s="24" t="str">
        <f>IFERROR(VLOOKUP(CONCATENATE(AI$3,"-",$B30),'FO-GC-012'!$B$20:$H$109,6,0),"")</f>
        <v/>
      </c>
      <c r="AL30" s="25" t="str">
        <f>IFERROR(VLOOKUP(CONCATENATE(AI$3,"-",$B30),'FO-GC-012'!$D$20:$H$109,5,0),"")</f>
        <v/>
      </c>
      <c r="AM30" s="22" t="str">
        <f>IFERROR(VLOOKUP(CONCATENATE(AM$3,"-",$B30),'FO-GC-012'!$B$20:$H$109,2,0),"")</f>
        <v/>
      </c>
      <c r="AN30" s="23" t="str">
        <f>IFERROR(VLOOKUP(CONCATENATE(AM$3,"-",$B30),'FO-GC-012'!$B$20:$H$109,5,0),"")</f>
        <v/>
      </c>
      <c r="AO30" s="24" t="str">
        <f>IFERROR(VLOOKUP(CONCATENATE(AM$3,"-",$B30),'FO-GC-012'!$B$20:$H$109,6,0),"")</f>
        <v/>
      </c>
      <c r="AP30" s="25" t="str">
        <f>IFERROR(VLOOKUP(CONCATENATE(AM$3,"-",$B30),'FO-GC-012'!$D$20:$H$109,5,0),"")</f>
        <v/>
      </c>
      <c r="AQ30" s="22" t="str">
        <f>IFERROR(VLOOKUP(CONCATENATE(AQ$3,"-",$B30),'FO-GC-012'!$B$20:$H$109,2,0),"")</f>
        <v/>
      </c>
      <c r="AR30" s="23" t="str">
        <f>IFERROR(VLOOKUP(CONCATENATE(AQ$3,"-",$B30),'FO-GC-012'!$B$20:$H$109,5,0),"")</f>
        <v/>
      </c>
      <c r="AS30" s="24" t="str">
        <f>IFERROR(VLOOKUP(CONCATENATE(AQ$3,"-",$B30),'FO-GC-012'!$B$20:$H$109,6,0),"")</f>
        <v/>
      </c>
      <c r="AT30" s="25" t="str">
        <f>IFERROR(VLOOKUP(CONCATENATE(AQ$3,"-",$B30),'FO-GC-012'!$D$20:$H$109,5,0),"")</f>
        <v/>
      </c>
      <c r="AU30" s="22" t="str">
        <f>IFERROR(VLOOKUP(CONCATENATE(AU$3,"-",$B30),'FO-GC-012'!$B$20:$H$109,2,0),"")</f>
        <v/>
      </c>
      <c r="AV30" s="23" t="str">
        <f>IFERROR(VLOOKUP(CONCATENATE(AU$3,"-",$B30),'FO-GC-012'!$B$20:$H$109,5,0),"")</f>
        <v/>
      </c>
      <c r="AW30" s="24" t="str">
        <f>IFERROR(VLOOKUP(CONCATENATE(AU$3,"-",$B30),'FO-GC-012'!$B$20:$H$109,6,0),"")</f>
        <v/>
      </c>
      <c r="AX30" s="25" t="str">
        <f>IFERROR(VLOOKUP(CONCATENATE(AU$3,"-",$B30),'FO-GC-012'!$D$20:$H$109,5,0),"")</f>
        <v/>
      </c>
      <c r="AY30" s="22" t="str">
        <f>IFERROR(VLOOKUP(CONCATENATE(AY$3,"-",$B30),'FO-GC-012'!$B$20:$H$109,2,0),"")</f>
        <v/>
      </c>
      <c r="AZ30" s="23" t="str">
        <f>IFERROR(VLOOKUP(CONCATENATE(AY$3,"-",$B30),'FO-GC-012'!$B$20:$H$109,5,0),"")</f>
        <v/>
      </c>
      <c r="BA30" s="24" t="str">
        <f>IFERROR(VLOOKUP(CONCATENATE(AY$3,"-",$B30),'FO-GC-012'!$B$20:$H$109,6,0),"")</f>
        <v/>
      </c>
      <c r="BB30" s="25" t="str">
        <f>IFERROR(VLOOKUP(CONCATENATE(AY$3,"-",$B30),'FO-GC-012'!$D$20:$H$109,5,0),"")</f>
        <v/>
      </c>
      <c r="BC30" s="22" t="str">
        <f>IFERROR(VLOOKUP(CONCATENATE(BC$3,"-",$B30),'FO-GC-012'!$B$20:$H$109,2,0),"")</f>
        <v/>
      </c>
      <c r="BD30" s="23" t="str">
        <f>IFERROR(VLOOKUP(CONCATENATE(BC$3,"-",$B30),'FO-GC-012'!$B$20:$H$109,5,0),"")</f>
        <v/>
      </c>
      <c r="BE30" s="24" t="str">
        <f>IFERROR(VLOOKUP(CONCATENATE(BC$3,"-",$B30),'FO-GC-012'!$B$20:$H$109,6,0),"")</f>
        <v/>
      </c>
      <c r="BF30" s="25" t="str">
        <f>IFERROR(VLOOKUP(CONCATENATE(BC$3,"-",$B30),'FO-GC-012'!$D$20:$H$109,5,0),"")</f>
        <v/>
      </c>
      <c r="BG30" s="22" t="str">
        <f>IFERROR(VLOOKUP(CONCATENATE(BG$3,"-",$B30),'FO-GC-012'!$B$20:$H$109,2,0),"")</f>
        <v/>
      </c>
      <c r="BH30" s="23" t="str">
        <f>IFERROR(VLOOKUP(CONCATENATE(BG$3,"-",$B30),'FO-GC-012'!$B$20:$H$109,5,0),"")</f>
        <v/>
      </c>
      <c r="BI30" s="24" t="str">
        <f>IFERROR(VLOOKUP(CONCATENATE(BG$3,"-",$B30),'FO-GC-012'!$B$20:$H$109,6,0),"")</f>
        <v/>
      </c>
      <c r="BJ30" s="25" t="str">
        <f>IFERROR(VLOOKUP(CONCATENATE(BG$3,"-",$B30),'FO-GC-012'!$D$20:$H$109,5,0),"")</f>
        <v/>
      </c>
      <c r="BK30" s="22" t="str">
        <f>IFERROR(VLOOKUP(CONCATENATE(BK$3,"-",$B30),'FO-GC-012'!$B$20:$H$109,2,0),"")</f>
        <v/>
      </c>
      <c r="BL30" s="23" t="str">
        <f>IFERROR(VLOOKUP(CONCATENATE(BK$3,"-",$B30),'FO-GC-012'!$B$20:$H$109,5,0),"")</f>
        <v/>
      </c>
      <c r="BM30" s="24" t="str">
        <f>IFERROR(VLOOKUP(CONCATENATE(BK$3,"-",$B30),'FO-GC-012'!$B$20:$H$109,6,0),"")</f>
        <v/>
      </c>
      <c r="BN30" s="25" t="str">
        <f>IFERROR(VLOOKUP(CONCATENATE(BK$3,"-",$B30),'FO-GC-012'!$D$20:$H$109,5,0),"")</f>
        <v/>
      </c>
      <c r="BO30" s="22" t="str">
        <f>IFERROR(VLOOKUP(CONCATENATE(BO$3,"-",$B30),'FO-GC-012'!$B$20:$H$109,2,0),"")</f>
        <v/>
      </c>
      <c r="BP30" s="23" t="str">
        <f>IFERROR(VLOOKUP(CONCATENATE(BO$3,"-",$B30),'FO-GC-012'!$B$20:$H$109,5,0),"")</f>
        <v/>
      </c>
      <c r="BQ30" s="24" t="str">
        <f>IFERROR(VLOOKUP(CONCATENATE(BO$3,"-",$B30),'FO-GC-012'!$B$20:$H$109,6,0),"")</f>
        <v/>
      </c>
      <c r="BR30" s="25" t="str">
        <f>IFERROR(VLOOKUP(CONCATENATE(BO$3,"-",$B30),'FO-GC-012'!$D$20:$H$109,5,0),"")</f>
        <v/>
      </c>
      <c r="BS30" s="22" t="str">
        <f>IFERROR(VLOOKUP(CONCATENATE(BS$3,"-",$B30),'FO-GC-012'!$B$20:$H$109,2,0),"")</f>
        <v/>
      </c>
      <c r="BT30" s="23" t="str">
        <f>IFERROR(VLOOKUP(CONCATENATE(BS$3,"-",$B30),'FO-GC-012'!$B$20:$H$109,5,0),"")</f>
        <v/>
      </c>
      <c r="BU30" s="24" t="str">
        <f>IFERROR(VLOOKUP(CONCATENATE(BS$3,"-",$B30),'FO-GC-012'!$B$20:$H$109,6,0),"")</f>
        <v/>
      </c>
      <c r="BV30" s="25" t="str">
        <f>IFERROR(VLOOKUP(CONCATENATE(BS$3,"-",$B30),'FO-GC-012'!$D$20:$H$109,5,0),"")</f>
        <v/>
      </c>
      <c r="BW30" s="22" t="str">
        <f>IFERROR(VLOOKUP(CONCATENATE(BW$3,"-",$B30),'FO-GC-012'!$B$20:$H$109,2,0),"")</f>
        <v/>
      </c>
      <c r="BX30" s="23" t="str">
        <f>IFERROR(VLOOKUP(CONCATENATE(BW$3,"-",$B30),'FO-GC-012'!$B$20:$H$109,5,0),"")</f>
        <v/>
      </c>
      <c r="BY30" s="24" t="str">
        <f>IFERROR(VLOOKUP(CONCATENATE(BW$3,"-",$B30),'FO-GC-012'!$B$20:$H$109,6,0),"")</f>
        <v/>
      </c>
      <c r="BZ30" s="25" t="str">
        <f>IFERROR(VLOOKUP(CONCATENATE(BW$3,"-",$B30),'FO-GC-012'!$D$20:$H$109,5,0),"")</f>
        <v/>
      </c>
      <c r="CA30" s="22" t="str">
        <f>IFERROR(VLOOKUP(CONCATENATE(CA$3,"-",$B30),'FO-GC-012'!$B$20:$H$109,2,0),"")</f>
        <v/>
      </c>
      <c r="CB30" s="23" t="str">
        <f>IFERROR(VLOOKUP(CONCATENATE(CA$3,"-",$B30),'FO-GC-012'!$B$20:$H$109,5,0),"")</f>
        <v/>
      </c>
      <c r="CC30" s="24" t="str">
        <f>IFERROR(VLOOKUP(CONCATENATE(CA$3,"-",$B30),'FO-GC-012'!$B$20:$H$109,6,0),"")</f>
        <v/>
      </c>
      <c r="CD30" s="5" t="str">
        <f>IFERROR(VLOOKUP(CONCATENATE(CA$3,"-",$B30),'FO-GC-012'!$D$20:$H$109,5,0),"")</f>
        <v/>
      </c>
    </row>
    <row r="31" spans="1:82" ht="21" customHeight="1" x14ac:dyDescent="0.35">
      <c r="A31" s="184">
        <f t="shared" si="1"/>
        <v>28</v>
      </c>
      <c r="B31" s="125" t="str">
        <f>'Listas Desplegables'!B52</f>
        <v>Recursos tecnológicos</v>
      </c>
      <c r="C31" s="26" t="str">
        <f>IFERROR(VLOOKUP(CONCATENATE(C$3,"-",$B31),'FO-GC-012'!$B$20:$H$109,2,0),"")</f>
        <v/>
      </c>
      <c r="D31" s="27" t="str">
        <f>IFERROR(VLOOKUP(CONCATENATE(C$3,"-",$B31),'FO-GC-012'!$B$20:$H$109,5,0),"")</f>
        <v/>
      </c>
      <c r="E31" s="28" t="str">
        <f>IFERROR(VLOOKUP(CONCATENATE(C$3,"-",$B31),'FO-GC-012'!$B$20:$H$109,6,0),"")</f>
        <v/>
      </c>
      <c r="F31" s="29" t="str">
        <f>IFERROR(VLOOKUP(CONCATENATE(C$3,"-",$B31),'FO-GC-012'!$D$20:$H$109,5,0),"")</f>
        <v/>
      </c>
      <c r="G31" s="26" t="str">
        <f>IFERROR(VLOOKUP(CONCATENATE(G$3,"-",$B31),'FO-GC-012'!$B$20:$H$109,2,0),"")</f>
        <v/>
      </c>
      <c r="H31" s="27" t="str">
        <f>IFERROR(VLOOKUP(CONCATENATE(G$3,"-",$B31),'FO-GC-012'!$B$20:$H$109,5,0),"")</f>
        <v/>
      </c>
      <c r="I31" s="28" t="str">
        <f>IFERROR(VLOOKUP(CONCATENATE(G$3,"-",$B31),'FO-GC-012'!$B$20:$H$109,6,0),"")</f>
        <v/>
      </c>
      <c r="J31" s="29" t="str">
        <f>IFERROR(VLOOKUP(CONCATENATE(G$3,"-",$B31),'FO-GC-012'!$D$20:$H$109,5,0),"")</f>
        <v/>
      </c>
      <c r="K31" s="26" t="str">
        <f>IFERROR(VLOOKUP(CONCATENATE(K$3,"-",$B31),'FO-GC-012'!$B$20:$H$109,2,0),"")</f>
        <v/>
      </c>
      <c r="L31" s="27" t="str">
        <f>IFERROR(VLOOKUP(CONCATENATE(K$3,"-",$B31),'FO-GC-012'!$B$20:$H$109,5,0),"")</f>
        <v/>
      </c>
      <c r="M31" s="28" t="str">
        <f>IFERROR(VLOOKUP(CONCATENATE(K$3,"-",$B31),'FO-GC-012'!$B$20:$H$109,6,0),"")</f>
        <v/>
      </c>
      <c r="N31" s="29" t="str">
        <f>IFERROR(VLOOKUP(CONCATENATE(K$3,"-",$B31),'FO-GC-012'!$D$20:$H$109,5,0),"")</f>
        <v/>
      </c>
      <c r="O31" s="26" t="str">
        <f>IFERROR(VLOOKUP(CONCATENATE(O$3,"-",$B31),'FO-GC-012'!$B$20:$H$109,2,0),"")</f>
        <v/>
      </c>
      <c r="P31" s="27" t="str">
        <f>IFERROR(VLOOKUP(CONCATENATE(O$3,"-",$B31),'FO-GC-012'!$B$20:$H$109,5,0),"")</f>
        <v/>
      </c>
      <c r="Q31" s="28" t="str">
        <f>IFERROR(VLOOKUP(CONCATENATE(O$3,"-",$B31),'FO-GC-012'!$B$20:$H$109,6,0),"")</f>
        <v/>
      </c>
      <c r="R31" s="29" t="str">
        <f>IFERROR(VLOOKUP(CONCATENATE(O$3,"-",$B31),'FO-GC-012'!$D$20:$H$109,5,0),"")</f>
        <v/>
      </c>
      <c r="S31" s="26" t="str">
        <f>IFERROR(VLOOKUP(CONCATENATE(S$3,"-",$B31),'FO-GC-012'!$B$20:$H$109,2,0),"")</f>
        <v/>
      </c>
      <c r="T31" s="27" t="str">
        <f>IFERROR(VLOOKUP(CONCATENATE(S$3,"-",$B31),'FO-GC-012'!$B$20:$H$109,5,0),"")</f>
        <v/>
      </c>
      <c r="U31" s="28" t="str">
        <f>IFERROR(VLOOKUP(CONCATENATE(S$3,"-",$B31),'FO-GC-012'!$B$20:$H$109,6,0),"")</f>
        <v/>
      </c>
      <c r="V31" s="29" t="str">
        <f>IFERROR(VLOOKUP(CONCATENATE(S$3,"-",$B31),'FO-GC-012'!$D$20:$H$109,5,0),"")</f>
        <v/>
      </c>
      <c r="W31" s="26" t="str">
        <f>IFERROR(VLOOKUP(CONCATENATE(W$3,"-",$B31),'FO-GC-012'!$B$20:$H$109,2,0),"")</f>
        <v/>
      </c>
      <c r="X31" s="27" t="str">
        <f>IFERROR(VLOOKUP(CONCATENATE(W$3,"-",$B31),'FO-GC-012'!$B$20:$H$109,5,0),"")</f>
        <v/>
      </c>
      <c r="Y31" s="28" t="str">
        <f>IFERROR(VLOOKUP(CONCATENATE(W$3,"-",$B31),'FO-GC-012'!$B$20:$H$109,6,0),"")</f>
        <v/>
      </c>
      <c r="Z31" s="29" t="str">
        <f>IFERROR(VLOOKUP(CONCATENATE(W$3,"-",$B31),'FO-GC-012'!$D$20:$H$109,5,0),"")</f>
        <v/>
      </c>
      <c r="AA31" s="26" t="str">
        <f>IFERROR(VLOOKUP(CONCATENATE(AA$3,"-",$B31),'FO-GC-012'!$B$20:$H$109,2,0),"")</f>
        <v/>
      </c>
      <c r="AB31" s="27" t="str">
        <f>IFERROR(VLOOKUP(CONCATENATE(AA$3,"-",$B31),'FO-GC-012'!$B$20:$H$109,5,0),"")</f>
        <v/>
      </c>
      <c r="AC31" s="28" t="str">
        <f>IFERROR(VLOOKUP(CONCATENATE(AA$3,"-",$B31),'FO-GC-012'!$B$20:$H$109,6,0),"")</f>
        <v/>
      </c>
      <c r="AD31" s="29" t="str">
        <f>IFERROR(VLOOKUP(CONCATENATE(AA$3,"-",$B31),'FO-GC-012'!$D$20:$H$109,5,0),"")</f>
        <v/>
      </c>
      <c r="AE31" s="26" t="str">
        <f>IFERROR(VLOOKUP(CONCATENATE(AE$3,"-",$B31),'FO-GC-012'!$B$20:$H$109,2,0),"")</f>
        <v/>
      </c>
      <c r="AF31" s="27" t="str">
        <f>IFERROR(VLOOKUP(CONCATENATE(AE$3,"-",$B31),'FO-GC-012'!$B$20:$H$109,5,0),"")</f>
        <v/>
      </c>
      <c r="AG31" s="28" t="str">
        <f>IFERROR(VLOOKUP(CONCATENATE(AE$3,"-",$B31),'FO-GC-012'!$B$20:$H$109,6,0),"")</f>
        <v/>
      </c>
      <c r="AH31" s="29" t="str">
        <f>IFERROR(VLOOKUP(CONCATENATE(AE$3,"-",$B31),'FO-GC-012'!$D$20:$H$109,5,0),"")</f>
        <v/>
      </c>
      <c r="AI31" s="26" t="str">
        <f>IFERROR(VLOOKUP(CONCATENATE(AI$3,"-",$B31),'FO-GC-012'!$B$20:$H$109,2,0),"")</f>
        <v/>
      </c>
      <c r="AJ31" s="27" t="str">
        <f>IFERROR(VLOOKUP(CONCATENATE(AI$3,"-",$B31),'FO-GC-012'!$B$20:$H$109,5,0),"")</f>
        <v/>
      </c>
      <c r="AK31" s="28" t="str">
        <f>IFERROR(VLOOKUP(CONCATENATE(AI$3,"-",$B31),'FO-GC-012'!$B$20:$H$109,6,0),"")</f>
        <v/>
      </c>
      <c r="AL31" s="29" t="str">
        <f>IFERROR(VLOOKUP(CONCATENATE(AI$3,"-",$B31),'FO-GC-012'!$D$20:$H$109,5,0),"")</f>
        <v/>
      </c>
      <c r="AM31" s="26" t="str">
        <f>IFERROR(VLOOKUP(CONCATENATE(AM$3,"-",$B31),'FO-GC-012'!$B$20:$H$109,2,0),"")</f>
        <v/>
      </c>
      <c r="AN31" s="27" t="str">
        <f>IFERROR(VLOOKUP(CONCATENATE(AM$3,"-",$B31),'FO-GC-012'!$B$20:$H$109,5,0),"")</f>
        <v/>
      </c>
      <c r="AO31" s="28" t="str">
        <f>IFERROR(VLOOKUP(CONCATENATE(AM$3,"-",$B31),'FO-GC-012'!$B$20:$H$109,6,0),"")</f>
        <v/>
      </c>
      <c r="AP31" s="29" t="str">
        <f>IFERROR(VLOOKUP(CONCATENATE(AM$3,"-",$B31),'FO-GC-012'!$D$20:$H$109,5,0),"")</f>
        <v/>
      </c>
      <c r="AQ31" s="26" t="str">
        <f>IFERROR(VLOOKUP(CONCATENATE(AQ$3,"-",$B31),'FO-GC-012'!$B$20:$H$109,2,0),"")</f>
        <v/>
      </c>
      <c r="AR31" s="27" t="str">
        <f>IFERROR(VLOOKUP(CONCATENATE(AQ$3,"-",$B31),'FO-GC-012'!$B$20:$H$109,5,0),"")</f>
        <v/>
      </c>
      <c r="AS31" s="28" t="str">
        <f>IFERROR(VLOOKUP(CONCATENATE(AQ$3,"-",$B31),'FO-GC-012'!$B$20:$H$109,6,0),"")</f>
        <v/>
      </c>
      <c r="AT31" s="29" t="str">
        <f>IFERROR(VLOOKUP(CONCATENATE(AQ$3,"-",$B31),'FO-GC-012'!$D$20:$H$109,5,0),"")</f>
        <v/>
      </c>
      <c r="AU31" s="26" t="str">
        <f>IFERROR(VLOOKUP(CONCATENATE(AU$3,"-",$B31),'FO-GC-012'!$B$20:$H$109,2,0),"")</f>
        <v/>
      </c>
      <c r="AV31" s="27" t="str">
        <f>IFERROR(VLOOKUP(CONCATENATE(AU$3,"-",$B31),'FO-GC-012'!$B$20:$H$109,5,0),"")</f>
        <v/>
      </c>
      <c r="AW31" s="28" t="str">
        <f>IFERROR(VLOOKUP(CONCATENATE(AU$3,"-",$B31),'FO-GC-012'!$B$20:$H$109,6,0),"")</f>
        <v/>
      </c>
      <c r="AX31" s="29" t="str">
        <f>IFERROR(VLOOKUP(CONCATENATE(AU$3,"-",$B31),'FO-GC-012'!$D$20:$H$109,5,0),"")</f>
        <v/>
      </c>
      <c r="AY31" s="26" t="str">
        <f>IFERROR(VLOOKUP(CONCATENATE(AY$3,"-",$B31),'FO-GC-012'!$B$20:$H$109,2,0),"")</f>
        <v/>
      </c>
      <c r="AZ31" s="27" t="str">
        <f>IFERROR(VLOOKUP(CONCATENATE(AY$3,"-",$B31),'FO-GC-012'!$B$20:$H$109,5,0),"")</f>
        <v/>
      </c>
      <c r="BA31" s="28" t="str">
        <f>IFERROR(VLOOKUP(CONCATENATE(AY$3,"-",$B31),'FO-GC-012'!$B$20:$H$109,6,0),"")</f>
        <v/>
      </c>
      <c r="BB31" s="29" t="str">
        <f>IFERROR(VLOOKUP(CONCATENATE(AY$3,"-",$B31),'FO-GC-012'!$D$20:$H$109,5,0),"")</f>
        <v/>
      </c>
      <c r="BC31" s="26" t="str">
        <f>IFERROR(VLOOKUP(CONCATENATE(BC$3,"-",$B31),'FO-GC-012'!$B$20:$H$109,2,0),"")</f>
        <v/>
      </c>
      <c r="BD31" s="27" t="str">
        <f>IFERROR(VLOOKUP(CONCATENATE(BC$3,"-",$B31),'FO-GC-012'!$B$20:$H$109,5,0),"")</f>
        <v/>
      </c>
      <c r="BE31" s="28" t="str">
        <f>IFERROR(VLOOKUP(CONCATENATE(BC$3,"-",$B31),'FO-GC-012'!$B$20:$H$109,6,0),"")</f>
        <v/>
      </c>
      <c r="BF31" s="29" t="str">
        <f>IFERROR(VLOOKUP(CONCATENATE(BC$3,"-",$B31),'FO-GC-012'!$D$20:$H$109,5,0),"")</f>
        <v/>
      </c>
      <c r="BG31" s="26" t="str">
        <f>IFERROR(VLOOKUP(CONCATENATE(BG$3,"-",$B31),'FO-GC-012'!$B$20:$H$109,2,0),"")</f>
        <v/>
      </c>
      <c r="BH31" s="27" t="str">
        <f>IFERROR(VLOOKUP(CONCATENATE(BG$3,"-",$B31),'FO-GC-012'!$B$20:$H$109,5,0),"")</f>
        <v/>
      </c>
      <c r="BI31" s="28" t="str">
        <f>IFERROR(VLOOKUP(CONCATENATE(BG$3,"-",$B31),'FO-GC-012'!$B$20:$H$109,6,0),"")</f>
        <v/>
      </c>
      <c r="BJ31" s="29" t="str">
        <f>IFERROR(VLOOKUP(CONCATENATE(BG$3,"-",$B31),'FO-GC-012'!$D$20:$H$109,5,0),"")</f>
        <v/>
      </c>
      <c r="BK31" s="26" t="str">
        <f>IFERROR(VLOOKUP(CONCATENATE(BK$3,"-",$B31),'FO-GC-012'!$B$20:$H$109,2,0),"")</f>
        <v/>
      </c>
      <c r="BL31" s="27" t="str">
        <f>IFERROR(VLOOKUP(CONCATENATE(BK$3,"-",$B31),'FO-GC-012'!$B$20:$H$109,5,0),"")</f>
        <v/>
      </c>
      <c r="BM31" s="28" t="str">
        <f>IFERROR(VLOOKUP(CONCATENATE(BK$3,"-",$B31),'FO-GC-012'!$B$20:$H$109,6,0),"")</f>
        <v/>
      </c>
      <c r="BN31" s="29" t="str">
        <f>IFERROR(VLOOKUP(CONCATENATE(BK$3,"-",$B31),'FO-GC-012'!$D$20:$H$109,5,0),"")</f>
        <v/>
      </c>
      <c r="BO31" s="26" t="str">
        <f>IFERROR(VLOOKUP(CONCATENATE(BO$3,"-",$B31),'FO-GC-012'!$B$20:$H$109,2,0),"")</f>
        <v/>
      </c>
      <c r="BP31" s="27" t="str">
        <f>IFERROR(VLOOKUP(CONCATENATE(BO$3,"-",$B31),'FO-GC-012'!$B$20:$H$109,5,0),"")</f>
        <v/>
      </c>
      <c r="BQ31" s="28" t="str">
        <f>IFERROR(VLOOKUP(CONCATENATE(BO$3,"-",$B31),'FO-GC-012'!$B$20:$H$109,6,0),"")</f>
        <v/>
      </c>
      <c r="BR31" s="29" t="str">
        <f>IFERROR(VLOOKUP(CONCATENATE(BO$3,"-",$B31),'FO-GC-012'!$D$20:$H$109,5,0),"")</f>
        <v/>
      </c>
      <c r="BS31" s="26" t="str">
        <f>IFERROR(VLOOKUP(CONCATENATE(BS$3,"-",$B31),'FO-GC-012'!$B$20:$H$109,2,0),"")</f>
        <v/>
      </c>
      <c r="BT31" s="27" t="str">
        <f>IFERROR(VLOOKUP(CONCATENATE(BS$3,"-",$B31),'FO-GC-012'!$B$20:$H$109,5,0),"")</f>
        <v/>
      </c>
      <c r="BU31" s="28" t="str">
        <f>IFERROR(VLOOKUP(CONCATENATE(BS$3,"-",$B31),'FO-GC-012'!$B$20:$H$109,6,0),"")</f>
        <v/>
      </c>
      <c r="BV31" s="29" t="str">
        <f>IFERROR(VLOOKUP(CONCATENATE(BS$3,"-",$B31),'FO-GC-012'!$D$20:$H$109,5,0),"")</f>
        <v/>
      </c>
      <c r="BW31" s="26" t="str">
        <f>IFERROR(VLOOKUP(CONCATENATE(BW$3,"-",$B31),'FO-GC-012'!$B$20:$H$109,2,0),"")</f>
        <v/>
      </c>
      <c r="BX31" s="27" t="str">
        <f>IFERROR(VLOOKUP(CONCATENATE(BW$3,"-",$B31),'FO-GC-012'!$B$20:$H$109,5,0),"")</f>
        <v/>
      </c>
      <c r="BY31" s="28" t="str">
        <f>IFERROR(VLOOKUP(CONCATENATE(BW$3,"-",$B31),'FO-GC-012'!$B$20:$H$109,6,0),"")</f>
        <v/>
      </c>
      <c r="BZ31" s="29" t="str">
        <f>IFERROR(VLOOKUP(CONCATENATE(BW$3,"-",$B31),'FO-GC-012'!$D$20:$H$109,5,0),"")</f>
        <v/>
      </c>
      <c r="CA31" s="26" t="str">
        <f>IFERROR(VLOOKUP(CONCATENATE(CA$3,"-",$B31),'FO-GC-012'!$B$20:$H$109,2,0),"")</f>
        <v/>
      </c>
      <c r="CB31" s="27" t="str">
        <f>IFERROR(VLOOKUP(CONCATENATE(CA$3,"-",$B31),'FO-GC-012'!$B$20:$H$109,5,0),"")</f>
        <v/>
      </c>
      <c r="CC31" s="28" t="str">
        <f>IFERROR(VLOOKUP(CONCATENATE(CA$3,"-",$B31),'FO-GC-012'!$B$20:$H$109,6,0),"")</f>
        <v/>
      </c>
      <c r="CD31" s="5" t="str">
        <f>IFERROR(VLOOKUP(CONCATENATE(CA$3,"-",$B31),'FO-GC-012'!$D$20:$H$109,5,0),"")</f>
        <v/>
      </c>
    </row>
    <row r="32" spans="1:82" ht="21" customHeight="1" x14ac:dyDescent="0.35">
      <c r="A32" s="183">
        <f t="shared" si="1"/>
        <v>29</v>
      </c>
      <c r="B32" s="125" t="str">
        <f>'Listas Desplegables'!B53</f>
        <v>Recursos Físicos</v>
      </c>
      <c r="C32" s="22" t="str">
        <f>IFERROR(VLOOKUP(CONCATENATE(C$3,"-",$B32),'FO-GC-012'!$B$20:$H$109,2,0),"")</f>
        <v/>
      </c>
      <c r="D32" s="23" t="str">
        <f>IFERROR(VLOOKUP(CONCATENATE(C$3,"-",$B32),'FO-GC-012'!$B$20:$H$109,5,0),"")</f>
        <v/>
      </c>
      <c r="E32" s="24" t="str">
        <f>IFERROR(VLOOKUP(CONCATENATE(C$3,"-",$B32),'FO-GC-012'!$B$20:$H$109,6,0),"")</f>
        <v/>
      </c>
      <c r="F32" s="25" t="str">
        <f>IFERROR(VLOOKUP(CONCATENATE(C$3,"-",$B32),'FO-GC-012'!$D$20:$H$109,5,0),"")</f>
        <v/>
      </c>
      <c r="G32" s="22" t="str">
        <f>IFERROR(VLOOKUP(CONCATENATE(G$3,"-",$B32),'FO-GC-012'!$B$20:$H$109,2,0),"")</f>
        <v/>
      </c>
      <c r="H32" s="23" t="str">
        <f>IFERROR(VLOOKUP(CONCATENATE(G$3,"-",$B32),'FO-GC-012'!$B$20:$H$109,5,0),"")</f>
        <v/>
      </c>
      <c r="I32" s="24" t="str">
        <f>IFERROR(VLOOKUP(CONCATENATE(G$3,"-",$B32),'FO-GC-012'!$B$20:$H$109,6,0),"")</f>
        <v/>
      </c>
      <c r="J32" s="25" t="str">
        <f>IFERROR(VLOOKUP(CONCATENATE(G$3,"-",$B32),'FO-GC-012'!$D$20:$H$109,5,0),"")</f>
        <v/>
      </c>
      <c r="K32" s="22" t="str">
        <f>IFERROR(VLOOKUP(CONCATENATE(K$3,"-",$B32),'FO-GC-012'!$B$20:$H$109,2,0),"")</f>
        <v/>
      </c>
      <c r="L32" s="23" t="str">
        <f>IFERROR(VLOOKUP(CONCATENATE(K$3,"-",$B32),'FO-GC-012'!$B$20:$H$109,5,0),"")</f>
        <v/>
      </c>
      <c r="M32" s="24" t="str">
        <f>IFERROR(VLOOKUP(CONCATENATE(K$3,"-",$B32),'FO-GC-012'!$B$20:$H$109,6,0),"")</f>
        <v/>
      </c>
      <c r="N32" s="25" t="str">
        <f>IFERROR(VLOOKUP(CONCATENATE(K$3,"-",$B32),'FO-GC-012'!$D$20:$H$109,5,0),"")</f>
        <v/>
      </c>
      <c r="O32" s="22" t="str">
        <f>IFERROR(VLOOKUP(CONCATENATE(O$3,"-",$B32),'FO-GC-012'!$B$20:$H$109,2,0),"")</f>
        <v/>
      </c>
      <c r="P32" s="23" t="str">
        <f>IFERROR(VLOOKUP(CONCATENATE(O$3,"-",$B32),'FO-GC-012'!$B$20:$H$109,5,0),"")</f>
        <v/>
      </c>
      <c r="Q32" s="24" t="str">
        <f>IFERROR(VLOOKUP(CONCATENATE(O$3,"-",$B32),'FO-GC-012'!$B$20:$H$109,6,0),"")</f>
        <v/>
      </c>
      <c r="R32" s="25" t="str">
        <f>IFERROR(VLOOKUP(CONCATENATE(O$3,"-",$B32),'FO-GC-012'!$D$20:$H$109,5,0),"")</f>
        <v/>
      </c>
      <c r="S32" s="22" t="str">
        <f>IFERROR(VLOOKUP(CONCATENATE(S$3,"-",$B32),'FO-GC-012'!$B$20:$H$109,2,0),"")</f>
        <v/>
      </c>
      <c r="T32" s="23" t="str">
        <f>IFERROR(VLOOKUP(CONCATENATE(S$3,"-",$B32),'FO-GC-012'!$B$20:$H$109,5,0),"")</f>
        <v/>
      </c>
      <c r="U32" s="24" t="str">
        <f>IFERROR(VLOOKUP(CONCATENATE(S$3,"-",$B32),'FO-GC-012'!$B$20:$H$109,6,0),"")</f>
        <v/>
      </c>
      <c r="V32" s="25" t="str">
        <f>IFERROR(VLOOKUP(CONCATENATE(S$3,"-",$B32),'FO-GC-012'!$D$20:$H$109,5,0),"")</f>
        <v/>
      </c>
      <c r="W32" s="22" t="str">
        <f>IFERROR(VLOOKUP(CONCATENATE(W$3,"-",$B32),'FO-GC-012'!$B$20:$H$109,2,0),"")</f>
        <v/>
      </c>
      <c r="X32" s="23" t="str">
        <f>IFERROR(VLOOKUP(CONCATENATE(W$3,"-",$B32),'FO-GC-012'!$B$20:$H$109,5,0),"")</f>
        <v/>
      </c>
      <c r="Y32" s="24" t="str">
        <f>IFERROR(VLOOKUP(CONCATENATE(W$3,"-",$B32),'FO-GC-012'!$B$20:$H$109,6,0),"")</f>
        <v/>
      </c>
      <c r="Z32" s="25" t="str">
        <f>IFERROR(VLOOKUP(CONCATENATE(W$3,"-",$B32),'FO-GC-012'!$D$20:$H$109,5,0),"")</f>
        <v/>
      </c>
      <c r="AA32" s="22" t="str">
        <f>IFERROR(VLOOKUP(CONCATENATE(AA$3,"-",$B32),'FO-GC-012'!$B$20:$H$109,2,0),"")</f>
        <v/>
      </c>
      <c r="AB32" s="23" t="str">
        <f>IFERROR(VLOOKUP(CONCATENATE(AA$3,"-",$B32),'FO-GC-012'!$B$20:$H$109,5,0),"")</f>
        <v/>
      </c>
      <c r="AC32" s="24" t="str">
        <f>IFERROR(VLOOKUP(CONCATENATE(AA$3,"-",$B32),'FO-GC-012'!$B$20:$H$109,6,0),"")</f>
        <v/>
      </c>
      <c r="AD32" s="25" t="str">
        <f>IFERROR(VLOOKUP(CONCATENATE(AA$3,"-",$B32),'FO-GC-012'!$D$20:$H$109,5,0),"")</f>
        <v/>
      </c>
      <c r="AE32" s="22" t="str">
        <f>IFERROR(VLOOKUP(CONCATENATE(AE$3,"-",$B32),'FO-GC-012'!$B$20:$H$109,2,0),"")</f>
        <v/>
      </c>
      <c r="AF32" s="23" t="str">
        <f>IFERROR(VLOOKUP(CONCATENATE(AE$3,"-",$B32),'FO-GC-012'!$B$20:$H$109,5,0),"")</f>
        <v/>
      </c>
      <c r="AG32" s="24" t="str">
        <f>IFERROR(VLOOKUP(CONCATENATE(AE$3,"-",$B32),'FO-GC-012'!$B$20:$H$109,6,0),"")</f>
        <v/>
      </c>
      <c r="AH32" s="25" t="str">
        <f>IFERROR(VLOOKUP(CONCATENATE(AE$3,"-",$B32),'FO-GC-012'!$D$20:$H$109,5,0),"")</f>
        <v/>
      </c>
      <c r="AI32" s="22" t="str">
        <f>IFERROR(VLOOKUP(CONCATENATE(AI$3,"-",$B32),'FO-GC-012'!$B$20:$H$109,2,0),"")</f>
        <v/>
      </c>
      <c r="AJ32" s="23" t="str">
        <f>IFERROR(VLOOKUP(CONCATENATE(AI$3,"-",$B32),'FO-GC-012'!$B$20:$H$109,5,0),"")</f>
        <v/>
      </c>
      <c r="AK32" s="24" t="str">
        <f>IFERROR(VLOOKUP(CONCATENATE(AI$3,"-",$B32),'FO-GC-012'!$B$20:$H$109,6,0),"")</f>
        <v/>
      </c>
      <c r="AL32" s="25" t="str">
        <f>IFERROR(VLOOKUP(CONCATENATE(AI$3,"-",$B32),'FO-GC-012'!$D$20:$H$109,5,0),"")</f>
        <v/>
      </c>
      <c r="AM32" s="22" t="str">
        <f>IFERROR(VLOOKUP(CONCATENATE(AM$3,"-",$B32),'FO-GC-012'!$B$20:$H$109,2,0),"")</f>
        <v/>
      </c>
      <c r="AN32" s="23" t="str">
        <f>IFERROR(VLOOKUP(CONCATENATE(AM$3,"-",$B32),'FO-GC-012'!$B$20:$H$109,5,0),"")</f>
        <v/>
      </c>
      <c r="AO32" s="24" t="str">
        <f>IFERROR(VLOOKUP(CONCATENATE(AM$3,"-",$B32),'FO-GC-012'!$B$20:$H$109,6,0),"")</f>
        <v/>
      </c>
      <c r="AP32" s="25" t="str">
        <f>IFERROR(VLOOKUP(CONCATENATE(AM$3,"-",$B32),'FO-GC-012'!$D$20:$H$109,5,0),"")</f>
        <v/>
      </c>
      <c r="AQ32" s="22" t="str">
        <f>IFERROR(VLOOKUP(CONCATENATE(AQ$3,"-",$B32),'FO-GC-012'!$B$20:$H$109,2,0),"")</f>
        <v/>
      </c>
      <c r="AR32" s="23" t="str">
        <f>IFERROR(VLOOKUP(CONCATENATE(AQ$3,"-",$B32),'FO-GC-012'!$B$20:$H$109,5,0),"")</f>
        <v/>
      </c>
      <c r="AS32" s="24" t="str">
        <f>IFERROR(VLOOKUP(CONCATENATE(AQ$3,"-",$B32),'FO-GC-012'!$B$20:$H$109,6,0),"")</f>
        <v/>
      </c>
      <c r="AT32" s="25" t="str">
        <f>IFERROR(VLOOKUP(CONCATENATE(AQ$3,"-",$B32),'FO-GC-012'!$D$20:$H$109,5,0),"")</f>
        <v/>
      </c>
      <c r="AU32" s="22" t="str">
        <f>IFERROR(VLOOKUP(CONCATENATE(AU$3,"-",$B32),'FO-GC-012'!$B$20:$H$109,2,0),"")</f>
        <v/>
      </c>
      <c r="AV32" s="23" t="str">
        <f>IFERROR(VLOOKUP(CONCATENATE(AU$3,"-",$B32),'FO-GC-012'!$B$20:$H$109,5,0),"")</f>
        <v/>
      </c>
      <c r="AW32" s="24" t="str">
        <f>IFERROR(VLOOKUP(CONCATENATE(AU$3,"-",$B32),'FO-GC-012'!$B$20:$H$109,6,0),"")</f>
        <v/>
      </c>
      <c r="AX32" s="25" t="str">
        <f>IFERROR(VLOOKUP(CONCATENATE(AU$3,"-",$B32),'FO-GC-012'!$D$20:$H$109,5,0),"")</f>
        <v/>
      </c>
      <c r="AY32" s="22" t="str">
        <f>IFERROR(VLOOKUP(CONCATENATE(AY$3,"-",$B32),'FO-GC-012'!$B$20:$H$109,2,0),"")</f>
        <v/>
      </c>
      <c r="AZ32" s="23" t="str">
        <f>IFERROR(VLOOKUP(CONCATENATE(AY$3,"-",$B32),'FO-GC-012'!$B$20:$H$109,5,0),"")</f>
        <v/>
      </c>
      <c r="BA32" s="24" t="str">
        <f>IFERROR(VLOOKUP(CONCATENATE(AY$3,"-",$B32),'FO-GC-012'!$B$20:$H$109,6,0),"")</f>
        <v/>
      </c>
      <c r="BB32" s="25" t="str">
        <f>IFERROR(VLOOKUP(CONCATENATE(AY$3,"-",$B32),'FO-GC-012'!$D$20:$H$109,5,0),"")</f>
        <v/>
      </c>
      <c r="BC32" s="22" t="str">
        <f>IFERROR(VLOOKUP(CONCATENATE(BC$3,"-",$B32),'FO-GC-012'!$B$20:$H$109,2,0),"")</f>
        <v/>
      </c>
      <c r="BD32" s="23" t="str">
        <f>IFERROR(VLOOKUP(CONCATENATE(BC$3,"-",$B32),'FO-GC-012'!$B$20:$H$109,5,0),"")</f>
        <v/>
      </c>
      <c r="BE32" s="24" t="str">
        <f>IFERROR(VLOOKUP(CONCATENATE(BC$3,"-",$B32),'FO-GC-012'!$B$20:$H$109,6,0),"")</f>
        <v/>
      </c>
      <c r="BF32" s="25" t="str">
        <f>IFERROR(VLOOKUP(CONCATENATE(BC$3,"-",$B32),'FO-GC-012'!$D$20:$H$109,5,0),"")</f>
        <v/>
      </c>
      <c r="BG32" s="22" t="str">
        <f>IFERROR(VLOOKUP(CONCATENATE(BG$3,"-",$B32),'FO-GC-012'!$B$20:$H$109,2,0),"")</f>
        <v/>
      </c>
      <c r="BH32" s="23" t="str">
        <f>IFERROR(VLOOKUP(CONCATENATE(BG$3,"-",$B32),'FO-GC-012'!$B$20:$H$109,5,0),"")</f>
        <v/>
      </c>
      <c r="BI32" s="24" t="str">
        <f>IFERROR(VLOOKUP(CONCATENATE(BG$3,"-",$B32),'FO-GC-012'!$B$20:$H$109,6,0),"")</f>
        <v/>
      </c>
      <c r="BJ32" s="25" t="str">
        <f>IFERROR(VLOOKUP(CONCATENATE(BG$3,"-",$B32),'FO-GC-012'!$D$20:$H$109,5,0),"")</f>
        <v/>
      </c>
      <c r="BK32" s="22" t="str">
        <f>IFERROR(VLOOKUP(CONCATENATE(BK$3,"-",$B32),'FO-GC-012'!$B$20:$H$109,2,0),"")</f>
        <v/>
      </c>
      <c r="BL32" s="23" t="str">
        <f>IFERROR(VLOOKUP(CONCATENATE(BK$3,"-",$B32),'FO-GC-012'!$B$20:$H$109,5,0),"")</f>
        <v/>
      </c>
      <c r="BM32" s="24" t="str">
        <f>IFERROR(VLOOKUP(CONCATENATE(BK$3,"-",$B32),'FO-GC-012'!$B$20:$H$109,6,0),"")</f>
        <v/>
      </c>
      <c r="BN32" s="25" t="str">
        <f>IFERROR(VLOOKUP(CONCATENATE(BK$3,"-",$B32),'FO-GC-012'!$D$20:$H$109,5,0),"")</f>
        <v/>
      </c>
      <c r="BO32" s="22" t="str">
        <f>IFERROR(VLOOKUP(CONCATENATE(BO$3,"-",$B32),'FO-GC-012'!$B$20:$H$109,2,0),"")</f>
        <v/>
      </c>
      <c r="BP32" s="23" t="str">
        <f>IFERROR(VLOOKUP(CONCATENATE(BO$3,"-",$B32),'FO-GC-012'!$B$20:$H$109,5,0),"")</f>
        <v/>
      </c>
      <c r="BQ32" s="24" t="str">
        <f>IFERROR(VLOOKUP(CONCATENATE(BO$3,"-",$B32),'FO-GC-012'!$B$20:$H$109,6,0),"")</f>
        <v/>
      </c>
      <c r="BR32" s="25" t="str">
        <f>IFERROR(VLOOKUP(CONCATENATE(BO$3,"-",$B32),'FO-GC-012'!$D$20:$H$109,5,0),"")</f>
        <v/>
      </c>
      <c r="BS32" s="22" t="str">
        <f>IFERROR(VLOOKUP(CONCATENATE(BS$3,"-",$B32),'FO-GC-012'!$B$20:$H$109,2,0),"")</f>
        <v/>
      </c>
      <c r="BT32" s="23" t="str">
        <f>IFERROR(VLOOKUP(CONCATENATE(BS$3,"-",$B32),'FO-GC-012'!$B$20:$H$109,5,0),"")</f>
        <v/>
      </c>
      <c r="BU32" s="24" t="str">
        <f>IFERROR(VLOOKUP(CONCATENATE(BS$3,"-",$B32),'FO-GC-012'!$B$20:$H$109,6,0),"")</f>
        <v/>
      </c>
      <c r="BV32" s="25" t="str">
        <f>IFERROR(VLOOKUP(CONCATENATE(BS$3,"-",$B32),'FO-GC-012'!$D$20:$H$109,5,0),"")</f>
        <v/>
      </c>
      <c r="BW32" s="22" t="str">
        <f>IFERROR(VLOOKUP(CONCATENATE(BW$3,"-",$B32),'FO-GC-012'!$B$20:$H$109,2,0),"")</f>
        <v/>
      </c>
      <c r="BX32" s="23" t="str">
        <f>IFERROR(VLOOKUP(CONCATENATE(BW$3,"-",$B32),'FO-GC-012'!$B$20:$H$109,5,0),"")</f>
        <v/>
      </c>
      <c r="BY32" s="24" t="str">
        <f>IFERROR(VLOOKUP(CONCATENATE(BW$3,"-",$B32),'FO-GC-012'!$B$20:$H$109,6,0),"")</f>
        <v/>
      </c>
      <c r="BZ32" s="25" t="str">
        <f>IFERROR(VLOOKUP(CONCATENATE(BW$3,"-",$B32),'FO-GC-012'!$D$20:$H$109,5,0),"")</f>
        <v/>
      </c>
      <c r="CA32" s="22" t="str">
        <f>IFERROR(VLOOKUP(CONCATENATE(CA$3,"-",$B32),'FO-GC-012'!$B$20:$H$109,2,0),"")</f>
        <v/>
      </c>
      <c r="CB32" s="23" t="str">
        <f>IFERROR(VLOOKUP(CONCATENATE(CA$3,"-",$B32),'FO-GC-012'!$B$20:$H$109,5,0),"")</f>
        <v/>
      </c>
      <c r="CC32" s="24" t="str">
        <f>IFERROR(VLOOKUP(CONCATENATE(CA$3,"-",$B32),'FO-GC-012'!$B$20:$H$109,6,0),"")</f>
        <v/>
      </c>
      <c r="CD32" s="5" t="str">
        <f>IFERROR(VLOOKUP(CONCATENATE(CA$3,"-",$B32),'FO-GC-012'!$D$20:$H$109,5,0),"")</f>
        <v/>
      </c>
    </row>
    <row r="33" spans="1:82" ht="21" customHeight="1" x14ac:dyDescent="0.35">
      <c r="A33" s="184">
        <f t="shared" si="1"/>
        <v>30</v>
      </c>
      <c r="B33" s="125"/>
      <c r="C33" s="26" t="str">
        <f>IFERROR(VLOOKUP(CONCATENATE(C$3,"-",$B33),'FO-GC-012'!$B$20:$H$109,2,0),"")</f>
        <v/>
      </c>
      <c r="D33" s="27" t="str">
        <f>IFERROR(VLOOKUP(CONCATENATE(C$3,"-",$B33),'FO-GC-012'!$B$20:$H$109,5,0),"")</f>
        <v/>
      </c>
      <c r="E33" s="28" t="str">
        <f>IFERROR(VLOOKUP(CONCATENATE(C$3,"-",$B33),'FO-GC-012'!$B$20:$H$109,6,0),"")</f>
        <v/>
      </c>
      <c r="F33" s="29" t="str">
        <f>IFERROR(VLOOKUP(CONCATENATE(C$3,"-",$B33),'FO-GC-012'!$D$20:$H$109,5,0),"")</f>
        <v/>
      </c>
      <c r="G33" s="26" t="str">
        <f>IFERROR(VLOOKUP(CONCATENATE(G$3,"-",$B33),'FO-GC-012'!$B$20:$H$109,2,0),"")</f>
        <v/>
      </c>
      <c r="H33" s="27" t="str">
        <f>IFERROR(VLOOKUP(CONCATENATE(G$3,"-",$B33),'FO-GC-012'!$B$20:$H$109,5,0),"")</f>
        <v/>
      </c>
      <c r="I33" s="28" t="str">
        <f>IFERROR(VLOOKUP(CONCATENATE(G$3,"-",$B33),'FO-GC-012'!$B$20:$H$109,6,0),"")</f>
        <v/>
      </c>
      <c r="J33" s="29" t="str">
        <f>IFERROR(VLOOKUP(CONCATENATE(G$3,"-",$B33),'FO-GC-012'!$D$20:$H$109,5,0),"")</f>
        <v/>
      </c>
      <c r="K33" s="26" t="str">
        <f>IFERROR(VLOOKUP(CONCATENATE(K$3,"-",$B33),'FO-GC-012'!$B$20:$H$109,2,0),"")</f>
        <v/>
      </c>
      <c r="L33" s="27" t="str">
        <f>IFERROR(VLOOKUP(CONCATENATE(K$3,"-",$B33),'FO-GC-012'!$B$20:$H$109,5,0),"")</f>
        <v/>
      </c>
      <c r="M33" s="28" t="str">
        <f>IFERROR(VLOOKUP(CONCATENATE(K$3,"-",$B33),'FO-GC-012'!$B$20:$H$109,6,0),"")</f>
        <v/>
      </c>
      <c r="N33" s="29" t="str">
        <f>IFERROR(VLOOKUP(CONCATENATE(K$3,"-",$B33),'FO-GC-012'!$D$20:$H$109,5,0),"")</f>
        <v/>
      </c>
      <c r="O33" s="26" t="str">
        <f>IFERROR(VLOOKUP(CONCATENATE(O$3,"-",$B33),'FO-GC-012'!$B$20:$H$109,2,0),"")</f>
        <v/>
      </c>
      <c r="P33" s="27" t="str">
        <f>IFERROR(VLOOKUP(CONCATENATE(O$3,"-",$B33),'FO-GC-012'!$B$20:$H$109,5,0),"")</f>
        <v/>
      </c>
      <c r="Q33" s="28" t="str">
        <f>IFERROR(VLOOKUP(CONCATENATE(O$3,"-",$B33),'FO-GC-012'!$B$20:$H$109,6,0),"")</f>
        <v/>
      </c>
      <c r="R33" s="29" t="str">
        <f>IFERROR(VLOOKUP(CONCATENATE(O$3,"-",$B33),'FO-GC-012'!$D$20:$H$109,5,0),"")</f>
        <v/>
      </c>
      <c r="S33" s="26" t="str">
        <f>IFERROR(VLOOKUP(CONCATENATE(S$3,"-",$B33),'FO-GC-012'!$B$20:$H$109,2,0),"")</f>
        <v/>
      </c>
      <c r="T33" s="27" t="str">
        <f>IFERROR(VLOOKUP(CONCATENATE(S$3,"-",$B33),'FO-GC-012'!$B$20:$H$109,5,0),"")</f>
        <v/>
      </c>
      <c r="U33" s="28" t="str">
        <f>IFERROR(VLOOKUP(CONCATENATE(S$3,"-",$B33),'FO-GC-012'!$B$20:$H$109,6,0),"")</f>
        <v/>
      </c>
      <c r="V33" s="29" t="str">
        <f>IFERROR(VLOOKUP(CONCATENATE(S$3,"-",$B33),'FO-GC-012'!$D$20:$H$109,5,0),"")</f>
        <v/>
      </c>
      <c r="W33" s="26" t="str">
        <f>IFERROR(VLOOKUP(CONCATENATE(W$3,"-",$B33),'FO-GC-012'!$B$20:$H$109,2,0),"")</f>
        <v/>
      </c>
      <c r="X33" s="27" t="str">
        <f>IFERROR(VLOOKUP(CONCATENATE(W$3,"-",$B33),'FO-GC-012'!$B$20:$H$109,5,0),"")</f>
        <v/>
      </c>
      <c r="Y33" s="28" t="str">
        <f>IFERROR(VLOOKUP(CONCATENATE(W$3,"-",$B33),'FO-GC-012'!$B$20:$H$109,6,0),"")</f>
        <v/>
      </c>
      <c r="Z33" s="29" t="str">
        <f>IFERROR(VLOOKUP(CONCATENATE(W$3,"-",$B33),'FO-GC-012'!$D$20:$H$109,5,0),"")</f>
        <v/>
      </c>
      <c r="AA33" s="26" t="str">
        <f>IFERROR(VLOOKUP(CONCATENATE(AA$3,"-",$B33),'FO-GC-012'!$B$20:$H$109,2,0),"")</f>
        <v/>
      </c>
      <c r="AB33" s="27" t="str">
        <f>IFERROR(VLOOKUP(CONCATENATE(AA$3,"-",$B33),'FO-GC-012'!$B$20:$H$109,5,0),"")</f>
        <v/>
      </c>
      <c r="AC33" s="28" t="str">
        <f>IFERROR(VLOOKUP(CONCATENATE(AA$3,"-",$B33),'FO-GC-012'!$B$20:$H$109,6,0),"")</f>
        <v/>
      </c>
      <c r="AD33" s="29" t="str">
        <f>IFERROR(VLOOKUP(CONCATENATE(AA$3,"-",$B33),'FO-GC-012'!$D$20:$H$109,5,0),"")</f>
        <v/>
      </c>
      <c r="AE33" s="26" t="str">
        <f>IFERROR(VLOOKUP(CONCATENATE(AE$3,"-",$B33),'FO-GC-012'!$B$20:$H$109,2,0),"")</f>
        <v/>
      </c>
      <c r="AF33" s="27" t="str">
        <f>IFERROR(VLOOKUP(CONCATENATE(AE$3,"-",$B33),'FO-GC-012'!$B$20:$H$109,5,0),"")</f>
        <v/>
      </c>
      <c r="AG33" s="28" t="str">
        <f>IFERROR(VLOOKUP(CONCATENATE(AE$3,"-",$B33),'FO-GC-012'!$B$20:$H$109,6,0),"")</f>
        <v/>
      </c>
      <c r="AH33" s="29" t="str">
        <f>IFERROR(VLOOKUP(CONCATENATE(AE$3,"-",$B33),'FO-GC-012'!$D$20:$H$109,5,0),"")</f>
        <v/>
      </c>
      <c r="AI33" s="26" t="str">
        <f>IFERROR(VLOOKUP(CONCATENATE(AI$3,"-",$B33),'FO-GC-012'!$B$20:$H$109,2,0),"")</f>
        <v/>
      </c>
      <c r="AJ33" s="27" t="str">
        <f>IFERROR(VLOOKUP(CONCATENATE(AI$3,"-",$B33),'FO-GC-012'!$B$20:$H$109,5,0),"")</f>
        <v/>
      </c>
      <c r="AK33" s="28" t="str">
        <f>IFERROR(VLOOKUP(CONCATENATE(AI$3,"-",$B33),'FO-GC-012'!$B$20:$H$109,6,0),"")</f>
        <v/>
      </c>
      <c r="AL33" s="29" t="str">
        <f>IFERROR(VLOOKUP(CONCATENATE(AI$3,"-",$B33),'FO-GC-012'!$D$20:$H$109,5,0),"")</f>
        <v/>
      </c>
      <c r="AM33" s="26" t="str">
        <f>IFERROR(VLOOKUP(CONCATENATE(AM$3,"-",$B33),'FO-GC-012'!$B$20:$H$109,2,0),"")</f>
        <v/>
      </c>
      <c r="AN33" s="27" t="str">
        <f>IFERROR(VLOOKUP(CONCATENATE(AM$3,"-",$B33),'FO-GC-012'!$B$20:$H$109,5,0),"")</f>
        <v/>
      </c>
      <c r="AO33" s="28" t="str">
        <f>IFERROR(VLOOKUP(CONCATENATE(AM$3,"-",$B33),'FO-GC-012'!$B$20:$H$109,6,0),"")</f>
        <v/>
      </c>
      <c r="AP33" s="29" t="str">
        <f>IFERROR(VLOOKUP(CONCATENATE(AM$3,"-",$B33),'FO-GC-012'!$D$20:$H$109,5,0),"")</f>
        <v/>
      </c>
      <c r="AQ33" s="26" t="str">
        <f>IFERROR(VLOOKUP(CONCATENATE(AQ$3,"-",$B33),'FO-GC-012'!$B$20:$H$109,2,0),"")</f>
        <v/>
      </c>
      <c r="AR33" s="27" t="str">
        <f>IFERROR(VLOOKUP(CONCATENATE(AQ$3,"-",$B33),'FO-GC-012'!$B$20:$H$109,5,0),"")</f>
        <v/>
      </c>
      <c r="AS33" s="28" t="str">
        <f>IFERROR(VLOOKUP(CONCATENATE(AQ$3,"-",$B33),'FO-GC-012'!$B$20:$H$109,6,0),"")</f>
        <v/>
      </c>
      <c r="AT33" s="29" t="str">
        <f>IFERROR(VLOOKUP(CONCATENATE(AQ$3,"-",$B33),'FO-GC-012'!$D$20:$H$109,5,0),"")</f>
        <v/>
      </c>
      <c r="AU33" s="26" t="str">
        <f>IFERROR(VLOOKUP(CONCATENATE(AU$3,"-",$B33),'FO-GC-012'!$B$20:$H$109,2,0),"")</f>
        <v/>
      </c>
      <c r="AV33" s="27" t="str">
        <f>IFERROR(VLOOKUP(CONCATENATE(AU$3,"-",$B33),'FO-GC-012'!$B$20:$H$109,5,0),"")</f>
        <v/>
      </c>
      <c r="AW33" s="28" t="str">
        <f>IFERROR(VLOOKUP(CONCATENATE(AU$3,"-",$B33),'FO-GC-012'!$B$20:$H$109,6,0),"")</f>
        <v/>
      </c>
      <c r="AX33" s="29" t="str">
        <f>IFERROR(VLOOKUP(CONCATENATE(AU$3,"-",$B33),'FO-GC-012'!$D$20:$H$109,5,0),"")</f>
        <v/>
      </c>
      <c r="AY33" s="26" t="str">
        <f>IFERROR(VLOOKUP(CONCATENATE(AY$3,"-",$B33),'FO-GC-012'!$B$20:$H$109,2,0),"")</f>
        <v/>
      </c>
      <c r="AZ33" s="27" t="str">
        <f>IFERROR(VLOOKUP(CONCATENATE(AY$3,"-",$B33),'FO-GC-012'!$B$20:$H$109,5,0),"")</f>
        <v/>
      </c>
      <c r="BA33" s="28" t="str">
        <f>IFERROR(VLOOKUP(CONCATENATE(AY$3,"-",$B33),'FO-GC-012'!$B$20:$H$109,6,0),"")</f>
        <v/>
      </c>
      <c r="BB33" s="29" t="str">
        <f>IFERROR(VLOOKUP(CONCATENATE(AY$3,"-",$B33),'FO-GC-012'!$D$20:$H$109,5,0),"")</f>
        <v/>
      </c>
      <c r="BC33" s="26" t="str">
        <f>IFERROR(VLOOKUP(CONCATENATE(BC$3,"-",$B33),'FO-GC-012'!$B$20:$H$109,2,0),"")</f>
        <v/>
      </c>
      <c r="BD33" s="27" t="str">
        <f>IFERROR(VLOOKUP(CONCATENATE(BC$3,"-",$B33),'FO-GC-012'!$B$20:$H$109,5,0),"")</f>
        <v/>
      </c>
      <c r="BE33" s="28" t="str">
        <f>IFERROR(VLOOKUP(CONCATENATE(BC$3,"-",$B33),'FO-GC-012'!$B$20:$H$109,6,0),"")</f>
        <v/>
      </c>
      <c r="BF33" s="29" t="str">
        <f>IFERROR(VLOOKUP(CONCATENATE(BC$3,"-",$B33),'FO-GC-012'!$D$20:$H$109,5,0),"")</f>
        <v/>
      </c>
      <c r="BG33" s="26" t="str">
        <f>IFERROR(VLOOKUP(CONCATENATE(BG$3,"-",$B33),'FO-GC-012'!$B$20:$H$109,2,0),"")</f>
        <v/>
      </c>
      <c r="BH33" s="27" t="str">
        <f>IFERROR(VLOOKUP(CONCATENATE(BG$3,"-",$B33),'FO-GC-012'!$B$20:$H$109,5,0),"")</f>
        <v/>
      </c>
      <c r="BI33" s="28" t="str">
        <f>IFERROR(VLOOKUP(CONCATENATE(BG$3,"-",$B33),'FO-GC-012'!$B$20:$H$109,6,0),"")</f>
        <v/>
      </c>
      <c r="BJ33" s="29" t="str">
        <f>IFERROR(VLOOKUP(CONCATENATE(BG$3,"-",$B33),'FO-GC-012'!$D$20:$H$109,5,0),"")</f>
        <v/>
      </c>
      <c r="BK33" s="26" t="str">
        <f>IFERROR(VLOOKUP(CONCATENATE(BK$3,"-",$B33),'FO-GC-012'!$B$20:$H$109,2,0),"")</f>
        <v/>
      </c>
      <c r="BL33" s="27" t="str">
        <f>IFERROR(VLOOKUP(CONCATENATE(BK$3,"-",$B33),'FO-GC-012'!$B$20:$H$109,5,0),"")</f>
        <v/>
      </c>
      <c r="BM33" s="28" t="str">
        <f>IFERROR(VLOOKUP(CONCATENATE(BK$3,"-",$B33),'FO-GC-012'!$B$20:$H$109,6,0),"")</f>
        <v/>
      </c>
      <c r="BN33" s="29" t="str">
        <f>IFERROR(VLOOKUP(CONCATENATE(BK$3,"-",$B33),'FO-GC-012'!$D$20:$H$109,5,0),"")</f>
        <v/>
      </c>
      <c r="BO33" s="26" t="str">
        <f>IFERROR(VLOOKUP(CONCATENATE(BO$3,"-",$B33),'FO-GC-012'!$B$20:$H$109,2,0),"")</f>
        <v/>
      </c>
      <c r="BP33" s="27" t="str">
        <f>IFERROR(VLOOKUP(CONCATENATE(BO$3,"-",$B33),'FO-GC-012'!$B$20:$H$109,5,0),"")</f>
        <v/>
      </c>
      <c r="BQ33" s="28" t="str">
        <f>IFERROR(VLOOKUP(CONCATENATE(BO$3,"-",$B33),'FO-GC-012'!$B$20:$H$109,6,0),"")</f>
        <v/>
      </c>
      <c r="BR33" s="29" t="str">
        <f>IFERROR(VLOOKUP(CONCATENATE(BO$3,"-",$B33),'FO-GC-012'!$D$20:$H$109,5,0),"")</f>
        <v/>
      </c>
      <c r="BS33" s="26" t="str">
        <f>IFERROR(VLOOKUP(CONCATENATE(BS$3,"-",$B33),'FO-GC-012'!$B$20:$H$109,2,0),"")</f>
        <v/>
      </c>
      <c r="BT33" s="27" t="str">
        <f>IFERROR(VLOOKUP(CONCATENATE(BS$3,"-",$B33),'FO-GC-012'!$B$20:$H$109,5,0),"")</f>
        <v/>
      </c>
      <c r="BU33" s="28" t="str">
        <f>IFERROR(VLOOKUP(CONCATENATE(BS$3,"-",$B33),'FO-GC-012'!$B$20:$H$109,6,0),"")</f>
        <v/>
      </c>
      <c r="BV33" s="29" t="str">
        <f>IFERROR(VLOOKUP(CONCATENATE(BS$3,"-",$B33),'FO-GC-012'!$D$20:$H$109,5,0),"")</f>
        <v/>
      </c>
      <c r="BW33" s="26" t="str">
        <f>IFERROR(VLOOKUP(CONCATENATE(BW$3,"-",$B33),'FO-GC-012'!$B$20:$H$109,2,0),"")</f>
        <v/>
      </c>
      <c r="BX33" s="27" t="str">
        <f>IFERROR(VLOOKUP(CONCATENATE(BW$3,"-",$B33),'FO-GC-012'!$B$20:$H$109,5,0),"")</f>
        <v/>
      </c>
      <c r="BY33" s="28" t="str">
        <f>IFERROR(VLOOKUP(CONCATENATE(BW$3,"-",$B33),'FO-GC-012'!$B$20:$H$109,6,0),"")</f>
        <v/>
      </c>
      <c r="BZ33" s="29" t="str">
        <f>IFERROR(VLOOKUP(CONCATENATE(BW$3,"-",$B33),'FO-GC-012'!$D$20:$H$109,5,0),"")</f>
        <v/>
      </c>
      <c r="CA33" s="26" t="str">
        <f>IFERROR(VLOOKUP(CONCATENATE(CA$3,"-",$B33),'FO-GC-012'!$B$20:$H$109,2,0),"")</f>
        <v/>
      </c>
      <c r="CB33" s="27" t="str">
        <f>IFERROR(VLOOKUP(CONCATENATE(CA$3,"-",$B33),'FO-GC-012'!$B$20:$H$109,5,0),"")</f>
        <v/>
      </c>
      <c r="CC33" s="28" t="str">
        <f>IFERROR(VLOOKUP(CONCATENATE(CA$3,"-",$B33),'FO-GC-012'!$B$20:$H$109,6,0),"")</f>
        <v/>
      </c>
      <c r="CD33" s="5" t="str">
        <f>IFERROR(VLOOKUP(CONCATENATE(CA$3,"-",$B33),'FO-GC-012'!$D$20:$H$109,5,0),"")</f>
        <v/>
      </c>
    </row>
    <row r="34" spans="1:82" ht="21" customHeight="1" x14ac:dyDescent="0.35">
      <c r="A34" s="183">
        <f t="shared" si="1"/>
        <v>31</v>
      </c>
      <c r="B34" s="125"/>
      <c r="C34" s="22" t="str">
        <f>IFERROR(VLOOKUP(CONCATENATE(C$3,"-",$B34),'FO-GC-012'!$B$20:$H$109,2,0),"")</f>
        <v/>
      </c>
      <c r="D34" s="23" t="str">
        <f>IFERROR(VLOOKUP(CONCATENATE(C$3,"-",$B34),'FO-GC-012'!$B$20:$H$109,5,0),"")</f>
        <v/>
      </c>
      <c r="E34" s="24" t="str">
        <f>IFERROR(VLOOKUP(CONCATENATE(C$3,"-",$B34),'FO-GC-012'!$B$20:$H$109,6,0),"")</f>
        <v/>
      </c>
      <c r="F34" s="25" t="str">
        <f>IFERROR(VLOOKUP(CONCATENATE(C$3,"-",$B34),'FO-GC-012'!$D$20:$H$109,5,0),"")</f>
        <v/>
      </c>
      <c r="G34" s="22" t="str">
        <f>IFERROR(VLOOKUP(CONCATENATE(G$3,"-",$B34),'FO-GC-012'!$B$20:$H$109,2,0),"")</f>
        <v/>
      </c>
      <c r="H34" s="23" t="str">
        <f>IFERROR(VLOOKUP(CONCATENATE(G$3,"-",$B34),'FO-GC-012'!$B$20:$H$109,5,0),"")</f>
        <v/>
      </c>
      <c r="I34" s="24" t="str">
        <f>IFERROR(VLOOKUP(CONCATENATE(G$3,"-",$B34),'FO-GC-012'!$B$20:$H$109,6,0),"")</f>
        <v/>
      </c>
      <c r="J34" s="25" t="str">
        <f>IFERROR(VLOOKUP(CONCATENATE(G$3,"-",$B34),'FO-GC-012'!$D$20:$H$109,5,0),"")</f>
        <v/>
      </c>
      <c r="K34" s="22" t="str">
        <f>IFERROR(VLOOKUP(CONCATENATE(K$3,"-",$B34),'FO-GC-012'!$B$20:$H$109,2,0),"")</f>
        <v/>
      </c>
      <c r="L34" s="23" t="str">
        <f>IFERROR(VLOOKUP(CONCATENATE(K$3,"-",$B34),'FO-GC-012'!$B$20:$H$109,5,0),"")</f>
        <v/>
      </c>
      <c r="M34" s="24" t="str">
        <f>IFERROR(VLOOKUP(CONCATENATE(K$3,"-",$B34),'FO-GC-012'!$B$20:$H$109,6,0),"")</f>
        <v/>
      </c>
      <c r="N34" s="25" t="str">
        <f>IFERROR(VLOOKUP(CONCATENATE(K$3,"-",$B34),'FO-GC-012'!$D$20:$H$109,5,0),"")</f>
        <v/>
      </c>
      <c r="O34" s="22" t="str">
        <f>IFERROR(VLOOKUP(CONCATENATE(O$3,"-",$B34),'FO-GC-012'!$B$20:$H$109,2,0),"")</f>
        <v/>
      </c>
      <c r="P34" s="23" t="str">
        <f>IFERROR(VLOOKUP(CONCATENATE(O$3,"-",$B34),'FO-GC-012'!$B$20:$H$109,5,0),"")</f>
        <v/>
      </c>
      <c r="Q34" s="24" t="str">
        <f>IFERROR(VLOOKUP(CONCATENATE(O$3,"-",$B34),'FO-GC-012'!$B$20:$H$109,6,0),"")</f>
        <v/>
      </c>
      <c r="R34" s="25" t="str">
        <f>IFERROR(VLOOKUP(CONCATENATE(O$3,"-",$B34),'FO-GC-012'!$D$20:$H$109,5,0),"")</f>
        <v/>
      </c>
      <c r="S34" s="22" t="str">
        <f>IFERROR(VLOOKUP(CONCATENATE(S$3,"-",$B34),'FO-GC-012'!$B$20:$H$109,2,0),"")</f>
        <v/>
      </c>
      <c r="T34" s="23" t="str">
        <f>IFERROR(VLOOKUP(CONCATENATE(S$3,"-",$B34),'FO-GC-012'!$B$20:$H$109,5,0),"")</f>
        <v/>
      </c>
      <c r="U34" s="24" t="str">
        <f>IFERROR(VLOOKUP(CONCATENATE(S$3,"-",$B34),'FO-GC-012'!$B$20:$H$109,6,0),"")</f>
        <v/>
      </c>
      <c r="V34" s="25" t="str">
        <f>IFERROR(VLOOKUP(CONCATENATE(S$3,"-",$B34),'FO-GC-012'!$D$20:$H$109,5,0),"")</f>
        <v/>
      </c>
      <c r="W34" s="22" t="str">
        <f>IFERROR(VLOOKUP(CONCATENATE(W$3,"-",$B34),'FO-GC-012'!$B$20:$H$109,2,0),"")</f>
        <v/>
      </c>
      <c r="X34" s="23" t="str">
        <f>IFERROR(VLOOKUP(CONCATENATE(W$3,"-",$B34),'FO-GC-012'!$B$20:$H$109,5,0),"")</f>
        <v/>
      </c>
      <c r="Y34" s="24" t="str">
        <f>IFERROR(VLOOKUP(CONCATENATE(W$3,"-",$B34),'FO-GC-012'!$B$20:$H$109,6,0),"")</f>
        <v/>
      </c>
      <c r="Z34" s="25" t="str">
        <f>IFERROR(VLOOKUP(CONCATENATE(W$3,"-",$B34),'FO-GC-012'!$D$20:$H$109,5,0),"")</f>
        <v/>
      </c>
      <c r="AA34" s="22" t="str">
        <f>IFERROR(VLOOKUP(CONCATENATE(AA$3,"-",$B34),'FO-GC-012'!$B$20:$H$109,2,0),"")</f>
        <v/>
      </c>
      <c r="AB34" s="23" t="str">
        <f>IFERROR(VLOOKUP(CONCATENATE(AA$3,"-",$B34),'FO-GC-012'!$B$20:$H$109,5,0),"")</f>
        <v/>
      </c>
      <c r="AC34" s="24" t="str">
        <f>IFERROR(VLOOKUP(CONCATENATE(AA$3,"-",$B34),'FO-GC-012'!$B$20:$H$109,6,0),"")</f>
        <v/>
      </c>
      <c r="AD34" s="25" t="str">
        <f>IFERROR(VLOOKUP(CONCATENATE(AA$3,"-",$B34),'FO-GC-012'!$D$20:$H$109,5,0),"")</f>
        <v/>
      </c>
      <c r="AE34" s="22" t="str">
        <f>IFERROR(VLOOKUP(CONCATENATE(AE$3,"-",$B34),'FO-GC-012'!$B$20:$H$109,2,0),"")</f>
        <v/>
      </c>
      <c r="AF34" s="23" t="str">
        <f>IFERROR(VLOOKUP(CONCATENATE(AE$3,"-",$B34),'FO-GC-012'!$B$20:$H$109,5,0),"")</f>
        <v/>
      </c>
      <c r="AG34" s="24" t="str">
        <f>IFERROR(VLOOKUP(CONCATENATE(AE$3,"-",$B34),'FO-GC-012'!$B$20:$H$109,6,0),"")</f>
        <v/>
      </c>
      <c r="AH34" s="25" t="str">
        <f>IFERROR(VLOOKUP(CONCATENATE(AE$3,"-",$B34),'FO-GC-012'!$D$20:$H$109,5,0),"")</f>
        <v/>
      </c>
      <c r="AI34" s="22" t="str">
        <f>IFERROR(VLOOKUP(CONCATENATE(AI$3,"-",$B34),'FO-GC-012'!$B$20:$H$109,2,0),"")</f>
        <v/>
      </c>
      <c r="AJ34" s="23" t="str">
        <f>IFERROR(VLOOKUP(CONCATENATE(AI$3,"-",$B34),'FO-GC-012'!$B$20:$H$109,5,0),"")</f>
        <v/>
      </c>
      <c r="AK34" s="24" t="str">
        <f>IFERROR(VLOOKUP(CONCATENATE(AI$3,"-",$B34),'FO-GC-012'!$B$20:$H$109,6,0),"")</f>
        <v/>
      </c>
      <c r="AL34" s="25" t="str">
        <f>IFERROR(VLOOKUP(CONCATENATE(AI$3,"-",$B34),'FO-GC-012'!$D$20:$H$109,5,0),"")</f>
        <v/>
      </c>
      <c r="AM34" s="22" t="str">
        <f>IFERROR(VLOOKUP(CONCATENATE(AM$3,"-",$B34),'FO-GC-012'!$B$20:$H$109,2,0),"")</f>
        <v/>
      </c>
      <c r="AN34" s="23" t="str">
        <f>IFERROR(VLOOKUP(CONCATENATE(AM$3,"-",$B34),'FO-GC-012'!$B$20:$H$109,5,0),"")</f>
        <v/>
      </c>
      <c r="AO34" s="24" t="str">
        <f>IFERROR(VLOOKUP(CONCATENATE(AM$3,"-",$B34),'FO-GC-012'!$B$20:$H$109,6,0),"")</f>
        <v/>
      </c>
      <c r="AP34" s="25" t="str">
        <f>IFERROR(VLOOKUP(CONCATENATE(AM$3,"-",$B34),'FO-GC-012'!$D$20:$H$109,5,0),"")</f>
        <v/>
      </c>
      <c r="AQ34" s="22" t="str">
        <f>IFERROR(VLOOKUP(CONCATENATE(AQ$3,"-",$B34),'FO-GC-012'!$B$20:$H$109,2,0),"")</f>
        <v/>
      </c>
      <c r="AR34" s="23" t="str">
        <f>IFERROR(VLOOKUP(CONCATENATE(AQ$3,"-",$B34),'FO-GC-012'!$B$20:$H$109,5,0),"")</f>
        <v/>
      </c>
      <c r="AS34" s="24" t="str">
        <f>IFERROR(VLOOKUP(CONCATENATE(AQ$3,"-",$B34),'FO-GC-012'!$B$20:$H$109,6,0),"")</f>
        <v/>
      </c>
      <c r="AT34" s="25" t="str">
        <f>IFERROR(VLOOKUP(CONCATENATE(AQ$3,"-",$B34),'FO-GC-012'!$D$20:$H$109,5,0),"")</f>
        <v/>
      </c>
      <c r="AU34" s="22" t="str">
        <f>IFERROR(VLOOKUP(CONCATENATE(AU$3,"-",$B34),'FO-GC-012'!$B$20:$H$109,2,0),"")</f>
        <v/>
      </c>
      <c r="AV34" s="23" t="str">
        <f>IFERROR(VLOOKUP(CONCATENATE(AU$3,"-",$B34),'FO-GC-012'!$B$20:$H$109,5,0),"")</f>
        <v/>
      </c>
      <c r="AW34" s="24" t="str">
        <f>IFERROR(VLOOKUP(CONCATENATE(AU$3,"-",$B34),'FO-GC-012'!$B$20:$H$109,6,0),"")</f>
        <v/>
      </c>
      <c r="AX34" s="25" t="str">
        <f>IFERROR(VLOOKUP(CONCATENATE(AU$3,"-",$B34),'FO-GC-012'!$D$20:$H$109,5,0),"")</f>
        <v/>
      </c>
      <c r="AY34" s="22" t="str">
        <f>IFERROR(VLOOKUP(CONCATENATE(AY$3,"-",$B34),'FO-GC-012'!$B$20:$H$109,2,0),"")</f>
        <v/>
      </c>
      <c r="AZ34" s="23" t="str">
        <f>IFERROR(VLOOKUP(CONCATENATE(AY$3,"-",$B34),'FO-GC-012'!$B$20:$H$109,5,0),"")</f>
        <v/>
      </c>
      <c r="BA34" s="24" t="str">
        <f>IFERROR(VLOOKUP(CONCATENATE(AY$3,"-",$B34),'FO-GC-012'!$B$20:$H$109,6,0),"")</f>
        <v/>
      </c>
      <c r="BB34" s="25" t="str">
        <f>IFERROR(VLOOKUP(CONCATENATE(AY$3,"-",$B34),'FO-GC-012'!$D$20:$H$109,5,0),"")</f>
        <v/>
      </c>
      <c r="BC34" s="22" t="str">
        <f>IFERROR(VLOOKUP(CONCATENATE(BC$3,"-",$B34),'FO-GC-012'!$B$20:$H$109,2,0),"")</f>
        <v/>
      </c>
      <c r="BD34" s="23" t="str">
        <f>IFERROR(VLOOKUP(CONCATENATE(BC$3,"-",$B34),'FO-GC-012'!$B$20:$H$109,5,0),"")</f>
        <v/>
      </c>
      <c r="BE34" s="24" t="str">
        <f>IFERROR(VLOOKUP(CONCATENATE(BC$3,"-",$B34),'FO-GC-012'!$B$20:$H$109,6,0),"")</f>
        <v/>
      </c>
      <c r="BF34" s="25" t="str">
        <f>IFERROR(VLOOKUP(CONCATENATE(BC$3,"-",$B34),'FO-GC-012'!$D$20:$H$109,5,0),"")</f>
        <v/>
      </c>
      <c r="BG34" s="22" t="str">
        <f>IFERROR(VLOOKUP(CONCATENATE(BG$3,"-",$B34),'FO-GC-012'!$B$20:$H$109,2,0),"")</f>
        <v/>
      </c>
      <c r="BH34" s="23" t="str">
        <f>IFERROR(VLOOKUP(CONCATENATE(BG$3,"-",$B34),'FO-GC-012'!$B$20:$H$109,5,0),"")</f>
        <v/>
      </c>
      <c r="BI34" s="24" t="str">
        <f>IFERROR(VLOOKUP(CONCATENATE(BG$3,"-",$B34),'FO-GC-012'!$B$20:$H$109,6,0),"")</f>
        <v/>
      </c>
      <c r="BJ34" s="25" t="str">
        <f>IFERROR(VLOOKUP(CONCATENATE(BG$3,"-",$B34),'FO-GC-012'!$D$20:$H$109,5,0),"")</f>
        <v/>
      </c>
      <c r="BK34" s="22" t="str">
        <f>IFERROR(VLOOKUP(CONCATENATE(BK$3,"-",$B34),'FO-GC-012'!$B$20:$H$109,2,0),"")</f>
        <v/>
      </c>
      <c r="BL34" s="23" t="str">
        <f>IFERROR(VLOOKUP(CONCATENATE(BK$3,"-",$B34),'FO-GC-012'!$B$20:$H$109,5,0),"")</f>
        <v/>
      </c>
      <c r="BM34" s="24" t="str">
        <f>IFERROR(VLOOKUP(CONCATENATE(BK$3,"-",$B34),'FO-GC-012'!$B$20:$H$109,6,0),"")</f>
        <v/>
      </c>
      <c r="BN34" s="25" t="str">
        <f>IFERROR(VLOOKUP(CONCATENATE(BK$3,"-",$B34),'FO-GC-012'!$D$20:$H$109,5,0),"")</f>
        <v/>
      </c>
      <c r="BO34" s="22" t="str">
        <f>IFERROR(VLOOKUP(CONCATENATE(BO$3,"-",$B34),'FO-GC-012'!$B$20:$H$109,2,0),"")</f>
        <v/>
      </c>
      <c r="BP34" s="23" t="str">
        <f>IFERROR(VLOOKUP(CONCATENATE(BO$3,"-",$B34),'FO-GC-012'!$B$20:$H$109,5,0),"")</f>
        <v/>
      </c>
      <c r="BQ34" s="24" t="str">
        <f>IFERROR(VLOOKUP(CONCATENATE(BO$3,"-",$B34),'FO-GC-012'!$B$20:$H$109,6,0),"")</f>
        <v/>
      </c>
      <c r="BR34" s="25" t="str">
        <f>IFERROR(VLOOKUP(CONCATENATE(BO$3,"-",$B34),'FO-GC-012'!$D$20:$H$109,5,0),"")</f>
        <v/>
      </c>
      <c r="BS34" s="22" t="str">
        <f>IFERROR(VLOOKUP(CONCATENATE(BS$3,"-",$B34),'FO-GC-012'!$B$20:$H$109,2,0),"")</f>
        <v/>
      </c>
      <c r="BT34" s="23" t="str">
        <f>IFERROR(VLOOKUP(CONCATENATE(BS$3,"-",$B34),'FO-GC-012'!$B$20:$H$109,5,0),"")</f>
        <v/>
      </c>
      <c r="BU34" s="24" t="str">
        <f>IFERROR(VLOOKUP(CONCATENATE(BS$3,"-",$B34),'FO-GC-012'!$B$20:$H$109,6,0),"")</f>
        <v/>
      </c>
      <c r="BV34" s="25" t="str">
        <f>IFERROR(VLOOKUP(CONCATENATE(BS$3,"-",$B34),'FO-GC-012'!$D$20:$H$109,5,0),"")</f>
        <v/>
      </c>
      <c r="BW34" s="22" t="str">
        <f>IFERROR(VLOOKUP(CONCATENATE(BW$3,"-",$B34),'FO-GC-012'!$B$20:$H$109,2,0),"")</f>
        <v/>
      </c>
      <c r="BX34" s="23" t="str">
        <f>IFERROR(VLOOKUP(CONCATENATE(BW$3,"-",$B34),'FO-GC-012'!$B$20:$H$109,5,0),"")</f>
        <v/>
      </c>
      <c r="BY34" s="24" t="str">
        <f>IFERROR(VLOOKUP(CONCATENATE(BW$3,"-",$B34),'FO-GC-012'!$B$20:$H$109,6,0),"")</f>
        <v/>
      </c>
      <c r="BZ34" s="25" t="str">
        <f>IFERROR(VLOOKUP(CONCATENATE(BW$3,"-",$B34),'FO-GC-012'!$D$20:$H$109,5,0),"")</f>
        <v/>
      </c>
      <c r="CA34" s="22" t="str">
        <f>IFERROR(VLOOKUP(CONCATENATE(CA$3,"-",$B34),'FO-GC-012'!$B$20:$H$109,2,0),"")</f>
        <v/>
      </c>
      <c r="CB34" s="23" t="str">
        <f>IFERROR(VLOOKUP(CONCATENATE(CA$3,"-",$B34),'FO-GC-012'!$B$20:$H$109,5,0),"")</f>
        <v/>
      </c>
      <c r="CC34" s="24" t="str">
        <f>IFERROR(VLOOKUP(CONCATENATE(CA$3,"-",$B34),'FO-GC-012'!$B$20:$H$109,6,0),"")</f>
        <v/>
      </c>
      <c r="CD34" s="5" t="str">
        <f>IFERROR(VLOOKUP(CONCATENATE(CA$3,"-",$B34),'FO-GC-012'!$D$20:$H$109,5,0),"")</f>
        <v/>
      </c>
    </row>
    <row r="35" spans="1:82" ht="21" customHeight="1" x14ac:dyDescent="0.35">
      <c r="A35" s="184">
        <f t="shared" si="1"/>
        <v>32</v>
      </c>
      <c r="B35" s="125"/>
      <c r="C35" s="26" t="str">
        <f>IFERROR(VLOOKUP(CONCATENATE(C$3,"-",$B35),'FO-GC-012'!$B$20:$H$109,2,0),"")</f>
        <v/>
      </c>
      <c r="D35" s="27" t="str">
        <f>IFERROR(VLOOKUP(CONCATENATE(C$3,"-",$B35),'FO-GC-012'!$B$20:$H$109,5,0),"")</f>
        <v/>
      </c>
      <c r="E35" s="28" t="str">
        <f>IFERROR(VLOOKUP(CONCATENATE(C$3,"-",$B35),'FO-GC-012'!$B$20:$H$109,6,0),"")</f>
        <v/>
      </c>
      <c r="F35" s="29" t="str">
        <f>IFERROR(VLOOKUP(CONCATENATE(C$3,"-",$B35),'FO-GC-012'!$D$20:$H$109,5,0),"")</f>
        <v/>
      </c>
      <c r="G35" s="26" t="str">
        <f>IFERROR(VLOOKUP(CONCATENATE(G$3,"-",$B35),'FO-GC-012'!$B$20:$H$109,2,0),"")</f>
        <v/>
      </c>
      <c r="H35" s="27" t="str">
        <f>IFERROR(VLOOKUP(CONCATENATE(G$3,"-",$B35),'FO-GC-012'!$B$20:$H$109,5,0),"")</f>
        <v/>
      </c>
      <c r="I35" s="28" t="str">
        <f>IFERROR(VLOOKUP(CONCATENATE(G$3,"-",$B35),'FO-GC-012'!$B$20:$H$109,6,0),"")</f>
        <v/>
      </c>
      <c r="J35" s="29" t="str">
        <f>IFERROR(VLOOKUP(CONCATENATE(G$3,"-",$B35),'FO-GC-012'!$D$20:$H$109,5,0),"")</f>
        <v/>
      </c>
      <c r="K35" s="26" t="str">
        <f>IFERROR(VLOOKUP(CONCATENATE(K$3,"-",$B35),'FO-GC-012'!$B$20:$H$109,2,0),"")</f>
        <v/>
      </c>
      <c r="L35" s="27" t="str">
        <f>IFERROR(VLOOKUP(CONCATENATE(K$3,"-",$B35),'FO-GC-012'!$B$20:$H$109,5,0),"")</f>
        <v/>
      </c>
      <c r="M35" s="28" t="str">
        <f>IFERROR(VLOOKUP(CONCATENATE(K$3,"-",$B35),'FO-GC-012'!$B$20:$H$109,6,0),"")</f>
        <v/>
      </c>
      <c r="N35" s="29" t="str">
        <f>IFERROR(VLOOKUP(CONCATENATE(K$3,"-",$B35),'FO-GC-012'!$D$20:$H$109,5,0),"")</f>
        <v/>
      </c>
      <c r="O35" s="26" t="str">
        <f>IFERROR(VLOOKUP(CONCATENATE(O$3,"-",$B35),'FO-GC-012'!$B$20:$H$109,2,0),"")</f>
        <v/>
      </c>
      <c r="P35" s="27" t="str">
        <f>IFERROR(VLOOKUP(CONCATENATE(O$3,"-",$B35),'FO-GC-012'!$B$20:$H$109,5,0),"")</f>
        <v/>
      </c>
      <c r="Q35" s="28" t="str">
        <f>IFERROR(VLOOKUP(CONCATENATE(O$3,"-",$B35),'FO-GC-012'!$B$20:$H$109,6,0),"")</f>
        <v/>
      </c>
      <c r="R35" s="29" t="str">
        <f>IFERROR(VLOOKUP(CONCATENATE(O$3,"-",$B35),'FO-GC-012'!$D$20:$H$109,5,0),"")</f>
        <v/>
      </c>
      <c r="S35" s="26" t="str">
        <f>IFERROR(VLOOKUP(CONCATENATE(S$3,"-",$B35),'FO-GC-012'!$B$20:$H$109,2,0),"")</f>
        <v/>
      </c>
      <c r="T35" s="27" t="str">
        <f>IFERROR(VLOOKUP(CONCATENATE(S$3,"-",$B35),'FO-GC-012'!$B$20:$H$109,5,0),"")</f>
        <v/>
      </c>
      <c r="U35" s="28" t="str">
        <f>IFERROR(VLOOKUP(CONCATENATE(S$3,"-",$B35),'FO-GC-012'!$B$20:$H$109,6,0),"")</f>
        <v/>
      </c>
      <c r="V35" s="29" t="str">
        <f>IFERROR(VLOOKUP(CONCATENATE(S$3,"-",$B35),'FO-GC-012'!$D$20:$H$109,5,0),"")</f>
        <v/>
      </c>
      <c r="W35" s="26" t="str">
        <f>IFERROR(VLOOKUP(CONCATENATE(W$3,"-",$B35),'FO-GC-012'!$B$20:$H$109,2,0),"")</f>
        <v/>
      </c>
      <c r="X35" s="27" t="str">
        <f>IFERROR(VLOOKUP(CONCATENATE(W$3,"-",$B35),'FO-GC-012'!$B$20:$H$109,5,0),"")</f>
        <v/>
      </c>
      <c r="Y35" s="28" t="str">
        <f>IFERROR(VLOOKUP(CONCATENATE(W$3,"-",$B35),'FO-GC-012'!$B$20:$H$109,6,0),"")</f>
        <v/>
      </c>
      <c r="Z35" s="29" t="str">
        <f>IFERROR(VLOOKUP(CONCATENATE(W$3,"-",$B35),'FO-GC-012'!$D$20:$H$109,5,0),"")</f>
        <v/>
      </c>
      <c r="AA35" s="26" t="str">
        <f>IFERROR(VLOOKUP(CONCATENATE(AA$3,"-",$B35),'FO-GC-012'!$B$20:$H$109,2,0),"")</f>
        <v/>
      </c>
      <c r="AB35" s="27" t="str">
        <f>IFERROR(VLOOKUP(CONCATENATE(AA$3,"-",$B35),'FO-GC-012'!$B$20:$H$109,5,0),"")</f>
        <v/>
      </c>
      <c r="AC35" s="28" t="str">
        <f>IFERROR(VLOOKUP(CONCATENATE(AA$3,"-",$B35),'FO-GC-012'!$B$20:$H$109,6,0),"")</f>
        <v/>
      </c>
      <c r="AD35" s="29" t="str">
        <f>IFERROR(VLOOKUP(CONCATENATE(AA$3,"-",$B35),'FO-GC-012'!$D$20:$H$109,5,0),"")</f>
        <v/>
      </c>
      <c r="AE35" s="26" t="str">
        <f>IFERROR(VLOOKUP(CONCATENATE(AE$3,"-",$B35),'FO-GC-012'!$B$20:$H$109,2,0),"")</f>
        <v/>
      </c>
      <c r="AF35" s="27" t="str">
        <f>IFERROR(VLOOKUP(CONCATENATE(AE$3,"-",$B35),'FO-GC-012'!$B$20:$H$109,5,0),"")</f>
        <v/>
      </c>
      <c r="AG35" s="28" t="str">
        <f>IFERROR(VLOOKUP(CONCATENATE(AE$3,"-",$B35),'FO-GC-012'!$B$20:$H$109,6,0),"")</f>
        <v/>
      </c>
      <c r="AH35" s="29" t="str">
        <f>IFERROR(VLOOKUP(CONCATENATE(AE$3,"-",$B35),'FO-GC-012'!$D$20:$H$109,5,0),"")</f>
        <v/>
      </c>
      <c r="AI35" s="26" t="str">
        <f>IFERROR(VLOOKUP(CONCATENATE(AI$3,"-",$B35),'FO-GC-012'!$B$20:$H$109,2,0),"")</f>
        <v/>
      </c>
      <c r="AJ35" s="27" t="str">
        <f>IFERROR(VLOOKUP(CONCATENATE(AI$3,"-",$B35),'FO-GC-012'!$B$20:$H$109,5,0),"")</f>
        <v/>
      </c>
      <c r="AK35" s="28" t="str">
        <f>IFERROR(VLOOKUP(CONCATENATE(AI$3,"-",$B35),'FO-GC-012'!$B$20:$H$109,6,0),"")</f>
        <v/>
      </c>
      <c r="AL35" s="29" t="str">
        <f>IFERROR(VLOOKUP(CONCATENATE(AI$3,"-",$B35),'FO-GC-012'!$D$20:$H$109,5,0),"")</f>
        <v/>
      </c>
      <c r="AM35" s="26" t="str">
        <f>IFERROR(VLOOKUP(CONCATENATE(AM$3,"-",$B35),'FO-GC-012'!$B$20:$H$109,2,0),"")</f>
        <v/>
      </c>
      <c r="AN35" s="27" t="str">
        <f>IFERROR(VLOOKUP(CONCATENATE(AM$3,"-",$B35),'FO-GC-012'!$B$20:$H$109,5,0),"")</f>
        <v/>
      </c>
      <c r="AO35" s="28" t="str">
        <f>IFERROR(VLOOKUP(CONCATENATE(AM$3,"-",$B35),'FO-GC-012'!$B$20:$H$109,6,0),"")</f>
        <v/>
      </c>
      <c r="AP35" s="29" t="str">
        <f>IFERROR(VLOOKUP(CONCATENATE(AM$3,"-",$B35),'FO-GC-012'!$D$20:$H$109,5,0),"")</f>
        <v/>
      </c>
      <c r="AQ35" s="26" t="str">
        <f>IFERROR(VLOOKUP(CONCATENATE(AQ$3,"-",$B35),'FO-GC-012'!$B$20:$H$109,2,0),"")</f>
        <v/>
      </c>
      <c r="AR35" s="27" t="str">
        <f>IFERROR(VLOOKUP(CONCATENATE(AQ$3,"-",$B35),'FO-GC-012'!$B$20:$H$109,5,0),"")</f>
        <v/>
      </c>
      <c r="AS35" s="28" t="str">
        <f>IFERROR(VLOOKUP(CONCATENATE(AQ$3,"-",$B35),'FO-GC-012'!$B$20:$H$109,6,0),"")</f>
        <v/>
      </c>
      <c r="AT35" s="29" t="str">
        <f>IFERROR(VLOOKUP(CONCATENATE(AQ$3,"-",$B35),'FO-GC-012'!$D$20:$H$109,5,0),"")</f>
        <v/>
      </c>
      <c r="AU35" s="26" t="str">
        <f>IFERROR(VLOOKUP(CONCATENATE(AU$3,"-",$B35),'FO-GC-012'!$B$20:$H$109,2,0),"")</f>
        <v/>
      </c>
      <c r="AV35" s="27" t="str">
        <f>IFERROR(VLOOKUP(CONCATENATE(AU$3,"-",$B35),'FO-GC-012'!$B$20:$H$109,5,0),"")</f>
        <v/>
      </c>
      <c r="AW35" s="28" t="str">
        <f>IFERROR(VLOOKUP(CONCATENATE(AU$3,"-",$B35),'FO-GC-012'!$B$20:$H$109,6,0),"")</f>
        <v/>
      </c>
      <c r="AX35" s="29" t="str">
        <f>IFERROR(VLOOKUP(CONCATENATE(AU$3,"-",$B35),'FO-GC-012'!$D$20:$H$109,5,0),"")</f>
        <v/>
      </c>
      <c r="AY35" s="26" t="str">
        <f>IFERROR(VLOOKUP(CONCATENATE(AY$3,"-",$B35),'FO-GC-012'!$B$20:$H$109,2,0),"")</f>
        <v/>
      </c>
      <c r="AZ35" s="27" t="str">
        <f>IFERROR(VLOOKUP(CONCATENATE(AY$3,"-",$B35),'FO-GC-012'!$B$20:$H$109,5,0),"")</f>
        <v/>
      </c>
      <c r="BA35" s="28" t="str">
        <f>IFERROR(VLOOKUP(CONCATENATE(AY$3,"-",$B35),'FO-GC-012'!$B$20:$H$109,6,0),"")</f>
        <v/>
      </c>
      <c r="BB35" s="29" t="str">
        <f>IFERROR(VLOOKUP(CONCATENATE(AY$3,"-",$B35),'FO-GC-012'!$D$20:$H$109,5,0),"")</f>
        <v/>
      </c>
      <c r="BC35" s="26" t="str">
        <f>IFERROR(VLOOKUP(CONCATENATE(BC$3,"-",$B35),'FO-GC-012'!$B$20:$H$109,2,0),"")</f>
        <v/>
      </c>
      <c r="BD35" s="27" t="str">
        <f>IFERROR(VLOOKUP(CONCATENATE(BC$3,"-",$B35),'FO-GC-012'!$B$20:$H$109,5,0),"")</f>
        <v/>
      </c>
      <c r="BE35" s="28" t="str">
        <f>IFERROR(VLOOKUP(CONCATENATE(BC$3,"-",$B35),'FO-GC-012'!$B$20:$H$109,6,0),"")</f>
        <v/>
      </c>
      <c r="BF35" s="29" t="str">
        <f>IFERROR(VLOOKUP(CONCATENATE(BC$3,"-",$B35),'FO-GC-012'!$D$20:$H$109,5,0),"")</f>
        <v/>
      </c>
      <c r="BG35" s="26" t="str">
        <f>IFERROR(VLOOKUP(CONCATENATE(BG$3,"-",$B35),'FO-GC-012'!$B$20:$H$109,2,0),"")</f>
        <v/>
      </c>
      <c r="BH35" s="27" t="str">
        <f>IFERROR(VLOOKUP(CONCATENATE(BG$3,"-",$B35),'FO-GC-012'!$B$20:$H$109,5,0),"")</f>
        <v/>
      </c>
      <c r="BI35" s="28" t="str">
        <f>IFERROR(VLOOKUP(CONCATENATE(BG$3,"-",$B35),'FO-GC-012'!$B$20:$H$109,6,0),"")</f>
        <v/>
      </c>
      <c r="BJ35" s="29" t="str">
        <f>IFERROR(VLOOKUP(CONCATENATE(BG$3,"-",$B35),'FO-GC-012'!$D$20:$H$109,5,0),"")</f>
        <v/>
      </c>
      <c r="BK35" s="26" t="str">
        <f>IFERROR(VLOOKUP(CONCATENATE(BK$3,"-",$B35),'FO-GC-012'!$B$20:$H$109,2,0),"")</f>
        <v/>
      </c>
      <c r="BL35" s="27" t="str">
        <f>IFERROR(VLOOKUP(CONCATENATE(BK$3,"-",$B35),'FO-GC-012'!$B$20:$H$109,5,0),"")</f>
        <v/>
      </c>
      <c r="BM35" s="28" t="str">
        <f>IFERROR(VLOOKUP(CONCATENATE(BK$3,"-",$B35),'FO-GC-012'!$B$20:$H$109,6,0),"")</f>
        <v/>
      </c>
      <c r="BN35" s="29" t="str">
        <f>IFERROR(VLOOKUP(CONCATENATE(BK$3,"-",$B35),'FO-GC-012'!$D$20:$H$109,5,0),"")</f>
        <v/>
      </c>
      <c r="BO35" s="26" t="str">
        <f>IFERROR(VLOOKUP(CONCATENATE(BO$3,"-",$B35),'FO-GC-012'!$B$20:$H$109,2,0),"")</f>
        <v/>
      </c>
      <c r="BP35" s="27" t="str">
        <f>IFERROR(VLOOKUP(CONCATENATE(BO$3,"-",$B35),'FO-GC-012'!$B$20:$H$109,5,0),"")</f>
        <v/>
      </c>
      <c r="BQ35" s="28" t="str">
        <f>IFERROR(VLOOKUP(CONCATENATE(BO$3,"-",$B35),'FO-GC-012'!$B$20:$H$109,6,0),"")</f>
        <v/>
      </c>
      <c r="BR35" s="29" t="str">
        <f>IFERROR(VLOOKUP(CONCATENATE(BO$3,"-",$B35),'FO-GC-012'!$D$20:$H$109,5,0),"")</f>
        <v/>
      </c>
      <c r="BS35" s="26" t="str">
        <f>IFERROR(VLOOKUP(CONCATENATE(BS$3,"-",$B35),'FO-GC-012'!$B$20:$H$109,2,0),"")</f>
        <v/>
      </c>
      <c r="BT35" s="27" t="str">
        <f>IFERROR(VLOOKUP(CONCATENATE(BS$3,"-",$B35),'FO-GC-012'!$B$20:$H$109,5,0),"")</f>
        <v/>
      </c>
      <c r="BU35" s="28" t="str">
        <f>IFERROR(VLOOKUP(CONCATENATE(BS$3,"-",$B35),'FO-GC-012'!$B$20:$H$109,6,0),"")</f>
        <v/>
      </c>
      <c r="BV35" s="29" t="str">
        <f>IFERROR(VLOOKUP(CONCATENATE(BS$3,"-",$B35),'FO-GC-012'!$D$20:$H$109,5,0),"")</f>
        <v/>
      </c>
      <c r="BW35" s="26" t="str">
        <f>IFERROR(VLOOKUP(CONCATENATE(BW$3,"-",$B35),'FO-GC-012'!$B$20:$H$109,2,0),"")</f>
        <v/>
      </c>
      <c r="BX35" s="27" t="str">
        <f>IFERROR(VLOOKUP(CONCATENATE(BW$3,"-",$B35),'FO-GC-012'!$B$20:$H$109,5,0),"")</f>
        <v/>
      </c>
      <c r="BY35" s="28" t="str">
        <f>IFERROR(VLOOKUP(CONCATENATE(BW$3,"-",$B35),'FO-GC-012'!$B$20:$H$109,6,0),"")</f>
        <v/>
      </c>
      <c r="BZ35" s="29" t="str">
        <f>IFERROR(VLOOKUP(CONCATENATE(BW$3,"-",$B35),'FO-GC-012'!$D$20:$H$109,5,0),"")</f>
        <v/>
      </c>
      <c r="CA35" s="26" t="str">
        <f>IFERROR(VLOOKUP(CONCATENATE(CA$3,"-",$B35),'FO-GC-012'!$B$20:$H$109,2,0),"")</f>
        <v/>
      </c>
      <c r="CB35" s="27" t="str">
        <f>IFERROR(VLOOKUP(CONCATENATE(CA$3,"-",$B35),'FO-GC-012'!$B$20:$H$109,5,0),"")</f>
        <v/>
      </c>
      <c r="CC35" s="28" t="str">
        <f>IFERROR(VLOOKUP(CONCATENATE(CA$3,"-",$B35),'FO-GC-012'!$B$20:$H$109,6,0),"")</f>
        <v/>
      </c>
      <c r="CD35" s="5" t="str">
        <f>IFERROR(VLOOKUP(CONCATENATE(CA$3,"-",$B35),'FO-GC-012'!$D$20:$H$109,5,0),"")</f>
        <v/>
      </c>
    </row>
    <row r="36" spans="1:82" ht="21" customHeight="1" x14ac:dyDescent="0.35">
      <c r="A36" s="183">
        <f t="shared" si="1"/>
        <v>33</v>
      </c>
      <c r="B36" s="125"/>
      <c r="C36" s="22" t="str">
        <f>IFERROR(VLOOKUP(CONCATENATE(C$3,"-",$B36),'FO-GC-012'!$B$20:$H$109,2,0),"")</f>
        <v/>
      </c>
      <c r="D36" s="23" t="str">
        <f>IFERROR(VLOOKUP(CONCATENATE(C$3,"-",$B36),'FO-GC-012'!$B$20:$H$109,5,0),"")</f>
        <v/>
      </c>
      <c r="E36" s="24" t="str">
        <f>IFERROR(VLOOKUP(CONCATENATE(C$3,"-",$B36),'FO-GC-012'!$B$20:$H$109,6,0),"")</f>
        <v/>
      </c>
      <c r="F36" s="25" t="str">
        <f>IFERROR(VLOOKUP(CONCATENATE(C$3,"-",$B36),'FO-GC-012'!$D$20:$H$109,5,0),"")</f>
        <v/>
      </c>
      <c r="G36" s="22" t="str">
        <f>IFERROR(VLOOKUP(CONCATENATE(G$3,"-",$B36),'FO-GC-012'!$B$20:$H$109,2,0),"")</f>
        <v/>
      </c>
      <c r="H36" s="23" t="str">
        <f>IFERROR(VLOOKUP(CONCATENATE(G$3,"-",$B36),'FO-GC-012'!$B$20:$H$109,5,0),"")</f>
        <v/>
      </c>
      <c r="I36" s="24" t="str">
        <f>IFERROR(VLOOKUP(CONCATENATE(G$3,"-",$B36),'FO-GC-012'!$B$20:$H$109,6,0),"")</f>
        <v/>
      </c>
      <c r="J36" s="25" t="str">
        <f>IFERROR(VLOOKUP(CONCATENATE(G$3,"-",$B36),'FO-GC-012'!$D$20:$H$109,5,0),"")</f>
        <v/>
      </c>
      <c r="K36" s="22" t="str">
        <f>IFERROR(VLOOKUP(CONCATENATE(K$3,"-",$B36),'FO-GC-012'!$B$20:$H$109,2,0),"")</f>
        <v/>
      </c>
      <c r="L36" s="23" t="str">
        <f>IFERROR(VLOOKUP(CONCATENATE(K$3,"-",$B36),'FO-GC-012'!$B$20:$H$109,5,0),"")</f>
        <v/>
      </c>
      <c r="M36" s="24" t="str">
        <f>IFERROR(VLOOKUP(CONCATENATE(K$3,"-",$B36),'FO-GC-012'!$B$20:$H$109,6,0),"")</f>
        <v/>
      </c>
      <c r="N36" s="25" t="str">
        <f>IFERROR(VLOOKUP(CONCATENATE(K$3,"-",$B36),'FO-GC-012'!$D$20:$H$109,5,0),"")</f>
        <v/>
      </c>
      <c r="O36" s="22" t="str">
        <f>IFERROR(VLOOKUP(CONCATENATE(O$3,"-",$B36),'FO-GC-012'!$B$20:$H$109,2,0),"")</f>
        <v/>
      </c>
      <c r="P36" s="23" t="str">
        <f>IFERROR(VLOOKUP(CONCATENATE(O$3,"-",$B36),'FO-GC-012'!$B$20:$H$109,5,0),"")</f>
        <v/>
      </c>
      <c r="Q36" s="24" t="str">
        <f>IFERROR(VLOOKUP(CONCATENATE(O$3,"-",$B36),'FO-GC-012'!$B$20:$H$109,6,0),"")</f>
        <v/>
      </c>
      <c r="R36" s="25" t="str">
        <f>IFERROR(VLOOKUP(CONCATENATE(O$3,"-",$B36),'FO-GC-012'!$D$20:$H$109,5,0),"")</f>
        <v/>
      </c>
      <c r="S36" s="22" t="str">
        <f>IFERROR(VLOOKUP(CONCATENATE(S$3,"-",$B36),'FO-GC-012'!$B$20:$H$109,2,0),"")</f>
        <v/>
      </c>
      <c r="T36" s="23" t="str">
        <f>IFERROR(VLOOKUP(CONCATENATE(S$3,"-",$B36),'FO-GC-012'!$B$20:$H$109,5,0),"")</f>
        <v/>
      </c>
      <c r="U36" s="24" t="str">
        <f>IFERROR(VLOOKUP(CONCATENATE(S$3,"-",$B36),'FO-GC-012'!$B$20:$H$109,6,0),"")</f>
        <v/>
      </c>
      <c r="V36" s="25" t="str">
        <f>IFERROR(VLOOKUP(CONCATENATE(S$3,"-",$B36),'FO-GC-012'!$D$20:$H$109,5,0),"")</f>
        <v/>
      </c>
      <c r="W36" s="22" t="str">
        <f>IFERROR(VLOOKUP(CONCATENATE(W$3,"-",$B36),'FO-GC-012'!$B$20:$H$109,2,0),"")</f>
        <v/>
      </c>
      <c r="X36" s="23" t="str">
        <f>IFERROR(VLOOKUP(CONCATENATE(W$3,"-",$B36),'FO-GC-012'!$B$20:$H$109,5,0),"")</f>
        <v/>
      </c>
      <c r="Y36" s="24" t="str">
        <f>IFERROR(VLOOKUP(CONCATENATE(W$3,"-",$B36),'FO-GC-012'!$B$20:$H$109,6,0),"")</f>
        <v/>
      </c>
      <c r="Z36" s="25" t="str">
        <f>IFERROR(VLOOKUP(CONCATENATE(W$3,"-",$B36),'FO-GC-012'!$D$20:$H$109,5,0),"")</f>
        <v/>
      </c>
      <c r="AA36" s="22" t="str">
        <f>IFERROR(VLOOKUP(CONCATENATE(AA$3,"-",$B36),'FO-GC-012'!$B$20:$H$109,2,0),"")</f>
        <v/>
      </c>
      <c r="AB36" s="23" t="str">
        <f>IFERROR(VLOOKUP(CONCATENATE(AA$3,"-",$B36),'FO-GC-012'!$B$20:$H$109,5,0),"")</f>
        <v/>
      </c>
      <c r="AC36" s="24" t="str">
        <f>IFERROR(VLOOKUP(CONCATENATE(AA$3,"-",$B36),'FO-GC-012'!$B$20:$H$109,6,0),"")</f>
        <v/>
      </c>
      <c r="AD36" s="25" t="str">
        <f>IFERROR(VLOOKUP(CONCATENATE(AA$3,"-",$B36),'FO-GC-012'!$D$20:$H$109,5,0),"")</f>
        <v/>
      </c>
      <c r="AE36" s="22" t="str">
        <f>IFERROR(VLOOKUP(CONCATENATE(AE$3,"-",$B36),'FO-GC-012'!$B$20:$H$109,2,0),"")</f>
        <v/>
      </c>
      <c r="AF36" s="23" t="str">
        <f>IFERROR(VLOOKUP(CONCATENATE(AE$3,"-",$B36),'FO-GC-012'!$B$20:$H$109,5,0),"")</f>
        <v/>
      </c>
      <c r="AG36" s="24" t="str">
        <f>IFERROR(VLOOKUP(CONCATENATE(AE$3,"-",$B36),'FO-GC-012'!$B$20:$H$109,6,0),"")</f>
        <v/>
      </c>
      <c r="AH36" s="25" t="str">
        <f>IFERROR(VLOOKUP(CONCATENATE(AE$3,"-",$B36),'FO-GC-012'!$D$20:$H$109,5,0),"")</f>
        <v/>
      </c>
      <c r="AI36" s="22" t="str">
        <f>IFERROR(VLOOKUP(CONCATENATE(AI$3,"-",$B36),'FO-GC-012'!$B$20:$H$109,2,0),"")</f>
        <v/>
      </c>
      <c r="AJ36" s="23" t="str">
        <f>IFERROR(VLOOKUP(CONCATENATE(AI$3,"-",$B36),'FO-GC-012'!$B$20:$H$109,5,0),"")</f>
        <v/>
      </c>
      <c r="AK36" s="24" t="str">
        <f>IFERROR(VLOOKUP(CONCATENATE(AI$3,"-",$B36),'FO-GC-012'!$B$20:$H$109,6,0),"")</f>
        <v/>
      </c>
      <c r="AL36" s="25" t="str">
        <f>IFERROR(VLOOKUP(CONCATENATE(AI$3,"-",$B36),'FO-GC-012'!$D$20:$H$109,5,0),"")</f>
        <v/>
      </c>
      <c r="AM36" s="22" t="str">
        <f>IFERROR(VLOOKUP(CONCATENATE(AM$3,"-",$B36),'FO-GC-012'!$B$20:$H$109,2,0),"")</f>
        <v/>
      </c>
      <c r="AN36" s="23" t="str">
        <f>IFERROR(VLOOKUP(CONCATENATE(AM$3,"-",$B36),'FO-GC-012'!$B$20:$H$109,5,0),"")</f>
        <v/>
      </c>
      <c r="AO36" s="24" t="str">
        <f>IFERROR(VLOOKUP(CONCATENATE(AM$3,"-",$B36),'FO-GC-012'!$B$20:$H$109,6,0),"")</f>
        <v/>
      </c>
      <c r="AP36" s="25" t="str">
        <f>IFERROR(VLOOKUP(CONCATENATE(AM$3,"-",$B36),'FO-GC-012'!$D$20:$H$109,5,0),"")</f>
        <v/>
      </c>
      <c r="AQ36" s="22" t="str">
        <f>IFERROR(VLOOKUP(CONCATENATE(AQ$3,"-",$B36),'FO-GC-012'!$B$20:$H$109,2,0),"")</f>
        <v/>
      </c>
      <c r="AR36" s="23" t="str">
        <f>IFERROR(VLOOKUP(CONCATENATE(AQ$3,"-",$B36),'FO-GC-012'!$B$20:$H$109,5,0),"")</f>
        <v/>
      </c>
      <c r="AS36" s="24" t="str">
        <f>IFERROR(VLOOKUP(CONCATENATE(AQ$3,"-",$B36),'FO-GC-012'!$B$20:$H$109,6,0),"")</f>
        <v/>
      </c>
      <c r="AT36" s="25" t="str">
        <f>IFERROR(VLOOKUP(CONCATENATE(AQ$3,"-",$B36),'FO-GC-012'!$D$20:$H$109,5,0),"")</f>
        <v/>
      </c>
      <c r="AU36" s="22" t="str">
        <f>IFERROR(VLOOKUP(CONCATENATE(AU$3,"-",$B36),'FO-GC-012'!$B$20:$H$109,2,0),"")</f>
        <v/>
      </c>
      <c r="AV36" s="23" t="str">
        <f>IFERROR(VLOOKUP(CONCATENATE(AU$3,"-",$B36),'FO-GC-012'!$B$20:$H$109,5,0),"")</f>
        <v/>
      </c>
      <c r="AW36" s="24" t="str">
        <f>IFERROR(VLOOKUP(CONCATENATE(AU$3,"-",$B36),'FO-GC-012'!$B$20:$H$109,6,0),"")</f>
        <v/>
      </c>
      <c r="AX36" s="25" t="str">
        <f>IFERROR(VLOOKUP(CONCATENATE(AU$3,"-",$B36),'FO-GC-012'!$D$20:$H$109,5,0),"")</f>
        <v/>
      </c>
      <c r="AY36" s="22" t="str">
        <f>IFERROR(VLOOKUP(CONCATENATE(AY$3,"-",$B36),'FO-GC-012'!$B$20:$H$109,2,0),"")</f>
        <v/>
      </c>
      <c r="AZ36" s="23" t="str">
        <f>IFERROR(VLOOKUP(CONCATENATE(AY$3,"-",$B36),'FO-GC-012'!$B$20:$H$109,5,0),"")</f>
        <v/>
      </c>
      <c r="BA36" s="24" t="str">
        <f>IFERROR(VLOOKUP(CONCATENATE(AY$3,"-",$B36),'FO-GC-012'!$B$20:$H$109,6,0),"")</f>
        <v/>
      </c>
      <c r="BB36" s="25" t="str">
        <f>IFERROR(VLOOKUP(CONCATENATE(AY$3,"-",$B36),'FO-GC-012'!$D$20:$H$109,5,0),"")</f>
        <v/>
      </c>
      <c r="BC36" s="22" t="str">
        <f>IFERROR(VLOOKUP(CONCATENATE(BC$3,"-",$B36),'FO-GC-012'!$B$20:$H$109,2,0),"")</f>
        <v/>
      </c>
      <c r="BD36" s="23" t="str">
        <f>IFERROR(VLOOKUP(CONCATENATE(BC$3,"-",$B36),'FO-GC-012'!$B$20:$H$109,5,0),"")</f>
        <v/>
      </c>
      <c r="BE36" s="24" t="str">
        <f>IFERROR(VLOOKUP(CONCATENATE(BC$3,"-",$B36),'FO-GC-012'!$B$20:$H$109,6,0),"")</f>
        <v/>
      </c>
      <c r="BF36" s="25" t="str">
        <f>IFERROR(VLOOKUP(CONCATENATE(BC$3,"-",$B36),'FO-GC-012'!$D$20:$H$109,5,0),"")</f>
        <v/>
      </c>
      <c r="BG36" s="22" t="str">
        <f>IFERROR(VLOOKUP(CONCATENATE(BG$3,"-",$B36),'FO-GC-012'!$B$20:$H$109,2,0),"")</f>
        <v/>
      </c>
      <c r="BH36" s="23" t="str">
        <f>IFERROR(VLOOKUP(CONCATENATE(BG$3,"-",$B36),'FO-GC-012'!$B$20:$H$109,5,0),"")</f>
        <v/>
      </c>
      <c r="BI36" s="24" t="str">
        <f>IFERROR(VLOOKUP(CONCATENATE(BG$3,"-",$B36),'FO-GC-012'!$B$20:$H$109,6,0),"")</f>
        <v/>
      </c>
      <c r="BJ36" s="25" t="str">
        <f>IFERROR(VLOOKUP(CONCATENATE(BG$3,"-",$B36),'FO-GC-012'!$D$20:$H$109,5,0),"")</f>
        <v/>
      </c>
      <c r="BK36" s="22" t="str">
        <f>IFERROR(VLOOKUP(CONCATENATE(BK$3,"-",$B36),'FO-GC-012'!$B$20:$H$109,2,0),"")</f>
        <v/>
      </c>
      <c r="BL36" s="23" t="str">
        <f>IFERROR(VLOOKUP(CONCATENATE(BK$3,"-",$B36),'FO-GC-012'!$B$20:$H$109,5,0),"")</f>
        <v/>
      </c>
      <c r="BM36" s="24" t="str">
        <f>IFERROR(VLOOKUP(CONCATENATE(BK$3,"-",$B36),'FO-GC-012'!$B$20:$H$109,6,0),"")</f>
        <v/>
      </c>
      <c r="BN36" s="25" t="str">
        <f>IFERROR(VLOOKUP(CONCATENATE(BK$3,"-",$B36),'FO-GC-012'!$D$20:$H$109,5,0),"")</f>
        <v/>
      </c>
      <c r="BO36" s="22" t="str">
        <f>IFERROR(VLOOKUP(CONCATENATE(BO$3,"-",$B36),'FO-GC-012'!$B$20:$H$109,2,0),"")</f>
        <v/>
      </c>
      <c r="BP36" s="23" t="str">
        <f>IFERROR(VLOOKUP(CONCATENATE(BO$3,"-",$B36),'FO-GC-012'!$B$20:$H$109,5,0),"")</f>
        <v/>
      </c>
      <c r="BQ36" s="24" t="str">
        <f>IFERROR(VLOOKUP(CONCATENATE(BO$3,"-",$B36),'FO-GC-012'!$B$20:$H$109,6,0),"")</f>
        <v/>
      </c>
      <c r="BR36" s="25" t="str">
        <f>IFERROR(VLOOKUP(CONCATENATE(BO$3,"-",$B36),'FO-GC-012'!$D$20:$H$109,5,0),"")</f>
        <v/>
      </c>
      <c r="BS36" s="22" t="str">
        <f>IFERROR(VLOOKUP(CONCATENATE(BS$3,"-",$B36),'FO-GC-012'!$B$20:$H$109,2,0),"")</f>
        <v/>
      </c>
      <c r="BT36" s="23" t="str">
        <f>IFERROR(VLOOKUP(CONCATENATE(BS$3,"-",$B36),'FO-GC-012'!$B$20:$H$109,5,0),"")</f>
        <v/>
      </c>
      <c r="BU36" s="24" t="str">
        <f>IFERROR(VLOOKUP(CONCATENATE(BS$3,"-",$B36),'FO-GC-012'!$B$20:$H$109,6,0),"")</f>
        <v/>
      </c>
      <c r="BV36" s="25" t="str">
        <f>IFERROR(VLOOKUP(CONCATENATE(BS$3,"-",$B36),'FO-GC-012'!$D$20:$H$109,5,0),"")</f>
        <v/>
      </c>
      <c r="BW36" s="22" t="str">
        <f>IFERROR(VLOOKUP(CONCATENATE(BW$3,"-",$B36),'FO-GC-012'!$B$20:$H$109,2,0),"")</f>
        <v/>
      </c>
      <c r="BX36" s="23" t="str">
        <f>IFERROR(VLOOKUP(CONCATENATE(BW$3,"-",$B36),'FO-GC-012'!$B$20:$H$109,5,0),"")</f>
        <v/>
      </c>
      <c r="BY36" s="24" t="str">
        <f>IFERROR(VLOOKUP(CONCATENATE(BW$3,"-",$B36),'FO-GC-012'!$B$20:$H$109,6,0),"")</f>
        <v/>
      </c>
      <c r="BZ36" s="25" t="str">
        <f>IFERROR(VLOOKUP(CONCATENATE(BW$3,"-",$B36),'FO-GC-012'!$D$20:$H$109,5,0),"")</f>
        <v/>
      </c>
      <c r="CA36" s="22" t="str">
        <f>IFERROR(VLOOKUP(CONCATENATE(CA$3,"-",$B36),'FO-GC-012'!$B$20:$H$109,2,0),"")</f>
        <v/>
      </c>
      <c r="CB36" s="23" t="str">
        <f>IFERROR(VLOOKUP(CONCATENATE(CA$3,"-",$B36),'FO-GC-012'!$B$20:$H$109,5,0),"")</f>
        <v/>
      </c>
      <c r="CC36" s="24" t="str">
        <f>IFERROR(VLOOKUP(CONCATENATE(CA$3,"-",$B36),'FO-GC-012'!$B$20:$H$109,6,0),"")</f>
        <v/>
      </c>
      <c r="CD36" s="5" t="str">
        <f>IFERROR(VLOOKUP(CONCATENATE(CA$3,"-",$B36),'FO-GC-012'!$D$20:$H$109,5,0),"")</f>
        <v/>
      </c>
    </row>
    <row r="37" spans="1:82" ht="21" customHeight="1" x14ac:dyDescent="0.35">
      <c r="A37" s="184">
        <f t="shared" si="1"/>
        <v>34</v>
      </c>
      <c r="B37" s="125"/>
      <c r="C37" s="26" t="str">
        <f>IFERROR(VLOOKUP(CONCATENATE(C$3,"-",$B37),'FO-GC-012'!$B$20:$H$109,2,0),"")</f>
        <v/>
      </c>
      <c r="D37" s="27" t="str">
        <f>IFERROR(VLOOKUP(CONCATENATE(C$3,"-",$B37),'FO-GC-012'!$B$20:$H$109,5,0),"")</f>
        <v/>
      </c>
      <c r="E37" s="28" t="str">
        <f>IFERROR(VLOOKUP(CONCATENATE(C$3,"-",$B37),'FO-GC-012'!$B$20:$H$109,6,0),"")</f>
        <v/>
      </c>
      <c r="F37" s="29" t="str">
        <f>IFERROR(VLOOKUP(CONCATENATE(C$3,"-",$B37),'FO-GC-012'!$D$20:$H$109,5,0),"")</f>
        <v/>
      </c>
      <c r="G37" s="26" t="str">
        <f>IFERROR(VLOOKUP(CONCATENATE(G$3,"-",$B37),'FO-GC-012'!$B$20:$H$109,2,0),"")</f>
        <v/>
      </c>
      <c r="H37" s="27" t="str">
        <f>IFERROR(VLOOKUP(CONCATENATE(G$3,"-",$B37),'FO-GC-012'!$B$20:$H$109,5,0),"")</f>
        <v/>
      </c>
      <c r="I37" s="28" t="str">
        <f>IFERROR(VLOOKUP(CONCATENATE(G$3,"-",$B37),'FO-GC-012'!$B$20:$H$109,6,0),"")</f>
        <v/>
      </c>
      <c r="J37" s="29" t="str">
        <f>IFERROR(VLOOKUP(CONCATENATE(G$3,"-",$B37),'FO-GC-012'!$D$20:$H$109,5,0),"")</f>
        <v/>
      </c>
      <c r="K37" s="26" t="str">
        <f>IFERROR(VLOOKUP(CONCATENATE(K$3,"-",$B37),'FO-GC-012'!$B$20:$H$109,2,0),"")</f>
        <v/>
      </c>
      <c r="L37" s="27" t="str">
        <f>IFERROR(VLOOKUP(CONCATENATE(K$3,"-",$B37),'FO-GC-012'!$B$20:$H$109,5,0),"")</f>
        <v/>
      </c>
      <c r="M37" s="28" t="str">
        <f>IFERROR(VLOOKUP(CONCATENATE(K$3,"-",$B37),'FO-GC-012'!$B$20:$H$109,6,0),"")</f>
        <v/>
      </c>
      <c r="N37" s="29" t="str">
        <f>IFERROR(VLOOKUP(CONCATENATE(K$3,"-",$B37),'FO-GC-012'!$D$20:$H$109,5,0),"")</f>
        <v/>
      </c>
      <c r="O37" s="26" t="str">
        <f>IFERROR(VLOOKUP(CONCATENATE(O$3,"-",$B37),'FO-GC-012'!$B$20:$H$109,2,0),"")</f>
        <v/>
      </c>
      <c r="P37" s="27" t="str">
        <f>IFERROR(VLOOKUP(CONCATENATE(O$3,"-",$B37),'FO-GC-012'!$B$20:$H$109,5,0),"")</f>
        <v/>
      </c>
      <c r="Q37" s="28" t="str">
        <f>IFERROR(VLOOKUP(CONCATENATE(O$3,"-",$B37),'FO-GC-012'!$B$20:$H$109,6,0),"")</f>
        <v/>
      </c>
      <c r="R37" s="29" t="str">
        <f>IFERROR(VLOOKUP(CONCATENATE(O$3,"-",$B37),'FO-GC-012'!$D$20:$H$109,5,0),"")</f>
        <v/>
      </c>
      <c r="S37" s="26" t="str">
        <f>IFERROR(VLOOKUP(CONCATENATE(S$3,"-",$B37),'FO-GC-012'!$B$20:$H$109,2,0),"")</f>
        <v/>
      </c>
      <c r="T37" s="27" t="str">
        <f>IFERROR(VLOOKUP(CONCATENATE(S$3,"-",$B37),'FO-GC-012'!$B$20:$H$109,5,0),"")</f>
        <v/>
      </c>
      <c r="U37" s="28" t="str">
        <f>IFERROR(VLOOKUP(CONCATENATE(S$3,"-",$B37),'FO-GC-012'!$B$20:$H$109,6,0),"")</f>
        <v/>
      </c>
      <c r="V37" s="29" t="str">
        <f>IFERROR(VLOOKUP(CONCATENATE(S$3,"-",$B37),'FO-GC-012'!$D$20:$H$109,5,0),"")</f>
        <v/>
      </c>
      <c r="W37" s="26" t="str">
        <f>IFERROR(VLOOKUP(CONCATENATE(W$3,"-",$B37),'FO-GC-012'!$B$20:$H$109,2,0),"")</f>
        <v/>
      </c>
      <c r="X37" s="27" t="str">
        <f>IFERROR(VLOOKUP(CONCATENATE(W$3,"-",$B37),'FO-GC-012'!$B$20:$H$109,5,0),"")</f>
        <v/>
      </c>
      <c r="Y37" s="28" t="str">
        <f>IFERROR(VLOOKUP(CONCATENATE(W$3,"-",$B37),'FO-GC-012'!$B$20:$H$109,6,0),"")</f>
        <v/>
      </c>
      <c r="Z37" s="29" t="str">
        <f>IFERROR(VLOOKUP(CONCATENATE(W$3,"-",$B37),'FO-GC-012'!$D$20:$H$109,5,0),"")</f>
        <v/>
      </c>
      <c r="AA37" s="26" t="str">
        <f>IFERROR(VLOOKUP(CONCATENATE(AA$3,"-",$B37),'FO-GC-012'!$B$20:$H$109,2,0),"")</f>
        <v/>
      </c>
      <c r="AB37" s="27" t="str">
        <f>IFERROR(VLOOKUP(CONCATENATE(AA$3,"-",$B37),'FO-GC-012'!$B$20:$H$109,5,0),"")</f>
        <v/>
      </c>
      <c r="AC37" s="28" t="str">
        <f>IFERROR(VLOOKUP(CONCATENATE(AA$3,"-",$B37),'FO-GC-012'!$B$20:$H$109,6,0),"")</f>
        <v/>
      </c>
      <c r="AD37" s="29" t="str">
        <f>IFERROR(VLOOKUP(CONCATENATE(AA$3,"-",$B37),'FO-GC-012'!$D$20:$H$109,5,0),"")</f>
        <v/>
      </c>
      <c r="AE37" s="26" t="str">
        <f>IFERROR(VLOOKUP(CONCATENATE(AE$3,"-",$B37),'FO-GC-012'!$B$20:$H$109,2,0),"")</f>
        <v/>
      </c>
      <c r="AF37" s="27" t="str">
        <f>IFERROR(VLOOKUP(CONCATENATE(AE$3,"-",$B37),'FO-GC-012'!$B$20:$H$109,5,0),"")</f>
        <v/>
      </c>
      <c r="AG37" s="28" t="str">
        <f>IFERROR(VLOOKUP(CONCATENATE(AE$3,"-",$B37),'FO-GC-012'!$B$20:$H$109,6,0),"")</f>
        <v/>
      </c>
      <c r="AH37" s="29" t="str">
        <f>IFERROR(VLOOKUP(CONCATENATE(AE$3,"-",$B37),'FO-GC-012'!$D$20:$H$109,5,0),"")</f>
        <v/>
      </c>
      <c r="AI37" s="26" t="str">
        <f>IFERROR(VLOOKUP(CONCATENATE(AI$3,"-",$B37),'FO-GC-012'!$B$20:$H$109,2,0),"")</f>
        <v/>
      </c>
      <c r="AJ37" s="27" t="str">
        <f>IFERROR(VLOOKUP(CONCATENATE(AI$3,"-",$B37),'FO-GC-012'!$B$20:$H$109,5,0),"")</f>
        <v/>
      </c>
      <c r="AK37" s="28" t="str">
        <f>IFERROR(VLOOKUP(CONCATENATE(AI$3,"-",$B37),'FO-GC-012'!$B$20:$H$109,6,0),"")</f>
        <v/>
      </c>
      <c r="AL37" s="29" t="str">
        <f>IFERROR(VLOOKUP(CONCATENATE(AI$3,"-",$B37),'FO-GC-012'!$D$20:$H$109,5,0),"")</f>
        <v/>
      </c>
      <c r="AM37" s="26" t="str">
        <f>IFERROR(VLOOKUP(CONCATENATE(AM$3,"-",$B37),'FO-GC-012'!$B$20:$H$109,2,0),"")</f>
        <v/>
      </c>
      <c r="AN37" s="27" t="str">
        <f>IFERROR(VLOOKUP(CONCATENATE(AM$3,"-",$B37),'FO-GC-012'!$B$20:$H$109,5,0),"")</f>
        <v/>
      </c>
      <c r="AO37" s="28" t="str">
        <f>IFERROR(VLOOKUP(CONCATENATE(AM$3,"-",$B37),'FO-GC-012'!$B$20:$H$109,6,0),"")</f>
        <v/>
      </c>
      <c r="AP37" s="29" t="str">
        <f>IFERROR(VLOOKUP(CONCATENATE(AM$3,"-",$B37),'FO-GC-012'!$D$20:$H$109,5,0),"")</f>
        <v/>
      </c>
      <c r="AQ37" s="26" t="str">
        <f>IFERROR(VLOOKUP(CONCATENATE(AQ$3,"-",$B37),'FO-GC-012'!$B$20:$H$109,2,0),"")</f>
        <v/>
      </c>
      <c r="AR37" s="27" t="str">
        <f>IFERROR(VLOOKUP(CONCATENATE(AQ$3,"-",$B37),'FO-GC-012'!$B$20:$H$109,5,0),"")</f>
        <v/>
      </c>
      <c r="AS37" s="28" t="str">
        <f>IFERROR(VLOOKUP(CONCATENATE(AQ$3,"-",$B37),'FO-GC-012'!$B$20:$H$109,6,0),"")</f>
        <v/>
      </c>
      <c r="AT37" s="29" t="str">
        <f>IFERROR(VLOOKUP(CONCATENATE(AQ$3,"-",$B37),'FO-GC-012'!$D$20:$H$109,5,0),"")</f>
        <v/>
      </c>
      <c r="AU37" s="26" t="str">
        <f>IFERROR(VLOOKUP(CONCATENATE(AU$3,"-",$B37),'FO-GC-012'!$B$20:$H$109,2,0),"")</f>
        <v/>
      </c>
      <c r="AV37" s="27" t="str">
        <f>IFERROR(VLOOKUP(CONCATENATE(AU$3,"-",$B37),'FO-GC-012'!$B$20:$H$109,5,0),"")</f>
        <v/>
      </c>
      <c r="AW37" s="28" t="str">
        <f>IFERROR(VLOOKUP(CONCATENATE(AU$3,"-",$B37),'FO-GC-012'!$B$20:$H$109,6,0),"")</f>
        <v/>
      </c>
      <c r="AX37" s="29" t="str">
        <f>IFERROR(VLOOKUP(CONCATENATE(AU$3,"-",$B37),'FO-GC-012'!$D$20:$H$109,5,0),"")</f>
        <v/>
      </c>
      <c r="AY37" s="26" t="str">
        <f>IFERROR(VLOOKUP(CONCATENATE(AY$3,"-",$B37),'FO-GC-012'!$B$20:$H$109,2,0),"")</f>
        <v/>
      </c>
      <c r="AZ37" s="27" t="str">
        <f>IFERROR(VLOOKUP(CONCATENATE(AY$3,"-",$B37),'FO-GC-012'!$B$20:$H$109,5,0),"")</f>
        <v/>
      </c>
      <c r="BA37" s="28" t="str">
        <f>IFERROR(VLOOKUP(CONCATENATE(AY$3,"-",$B37),'FO-GC-012'!$B$20:$H$109,6,0),"")</f>
        <v/>
      </c>
      <c r="BB37" s="29" t="str">
        <f>IFERROR(VLOOKUP(CONCATENATE(AY$3,"-",$B37),'FO-GC-012'!$D$20:$H$109,5,0),"")</f>
        <v/>
      </c>
      <c r="BC37" s="26" t="str">
        <f>IFERROR(VLOOKUP(CONCATENATE(BC$3,"-",$B37),'FO-GC-012'!$B$20:$H$109,2,0),"")</f>
        <v/>
      </c>
      <c r="BD37" s="27" t="str">
        <f>IFERROR(VLOOKUP(CONCATENATE(BC$3,"-",$B37),'FO-GC-012'!$B$20:$H$109,5,0),"")</f>
        <v/>
      </c>
      <c r="BE37" s="28" t="str">
        <f>IFERROR(VLOOKUP(CONCATENATE(BC$3,"-",$B37),'FO-GC-012'!$B$20:$H$109,6,0),"")</f>
        <v/>
      </c>
      <c r="BF37" s="29" t="str">
        <f>IFERROR(VLOOKUP(CONCATENATE(BC$3,"-",$B37),'FO-GC-012'!$D$20:$H$109,5,0),"")</f>
        <v/>
      </c>
      <c r="BG37" s="26" t="str">
        <f>IFERROR(VLOOKUP(CONCATENATE(BG$3,"-",$B37),'FO-GC-012'!$B$20:$H$109,2,0),"")</f>
        <v/>
      </c>
      <c r="BH37" s="27" t="str">
        <f>IFERROR(VLOOKUP(CONCATENATE(BG$3,"-",$B37),'FO-GC-012'!$B$20:$H$109,5,0),"")</f>
        <v/>
      </c>
      <c r="BI37" s="28" t="str">
        <f>IFERROR(VLOOKUP(CONCATENATE(BG$3,"-",$B37),'FO-GC-012'!$B$20:$H$109,6,0),"")</f>
        <v/>
      </c>
      <c r="BJ37" s="29" t="str">
        <f>IFERROR(VLOOKUP(CONCATENATE(BG$3,"-",$B37),'FO-GC-012'!$D$20:$H$109,5,0),"")</f>
        <v/>
      </c>
      <c r="BK37" s="26" t="str">
        <f>IFERROR(VLOOKUP(CONCATENATE(BK$3,"-",$B37),'FO-GC-012'!$B$20:$H$109,2,0),"")</f>
        <v/>
      </c>
      <c r="BL37" s="27" t="str">
        <f>IFERROR(VLOOKUP(CONCATENATE(BK$3,"-",$B37),'FO-GC-012'!$B$20:$H$109,5,0),"")</f>
        <v/>
      </c>
      <c r="BM37" s="28" t="str">
        <f>IFERROR(VLOOKUP(CONCATENATE(BK$3,"-",$B37),'FO-GC-012'!$B$20:$H$109,6,0),"")</f>
        <v/>
      </c>
      <c r="BN37" s="29" t="str">
        <f>IFERROR(VLOOKUP(CONCATENATE(BK$3,"-",$B37),'FO-GC-012'!$D$20:$H$109,5,0),"")</f>
        <v/>
      </c>
      <c r="BO37" s="26" t="str">
        <f>IFERROR(VLOOKUP(CONCATENATE(BO$3,"-",$B37),'FO-GC-012'!$B$20:$H$109,2,0),"")</f>
        <v/>
      </c>
      <c r="BP37" s="27" t="str">
        <f>IFERROR(VLOOKUP(CONCATENATE(BO$3,"-",$B37),'FO-GC-012'!$B$20:$H$109,5,0),"")</f>
        <v/>
      </c>
      <c r="BQ37" s="28" t="str">
        <f>IFERROR(VLOOKUP(CONCATENATE(BO$3,"-",$B37),'FO-GC-012'!$B$20:$H$109,6,0),"")</f>
        <v/>
      </c>
      <c r="BR37" s="29" t="str">
        <f>IFERROR(VLOOKUP(CONCATENATE(BO$3,"-",$B37),'FO-GC-012'!$D$20:$H$109,5,0),"")</f>
        <v/>
      </c>
      <c r="BS37" s="26" t="str">
        <f>IFERROR(VLOOKUP(CONCATENATE(BS$3,"-",$B37),'FO-GC-012'!$B$20:$H$109,2,0),"")</f>
        <v/>
      </c>
      <c r="BT37" s="27" t="str">
        <f>IFERROR(VLOOKUP(CONCATENATE(BS$3,"-",$B37),'FO-GC-012'!$B$20:$H$109,5,0),"")</f>
        <v/>
      </c>
      <c r="BU37" s="28" t="str">
        <f>IFERROR(VLOOKUP(CONCATENATE(BS$3,"-",$B37),'FO-GC-012'!$B$20:$H$109,6,0),"")</f>
        <v/>
      </c>
      <c r="BV37" s="29" t="str">
        <f>IFERROR(VLOOKUP(CONCATENATE(BS$3,"-",$B37),'FO-GC-012'!$D$20:$H$109,5,0),"")</f>
        <v/>
      </c>
      <c r="BW37" s="26" t="str">
        <f>IFERROR(VLOOKUP(CONCATENATE(BW$3,"-",$B37),'FO-GC-012'!$B$20:$H$109,2,0),"")</f>
        <v/>
      </c>
      <c r="BX37" s="27" t="str">
        <f>IFERROR(VLOOKUP(CONCATENATE(BW$3,"-",$B37),'FO-GC-012'!$B$20:$H$109,5,0),"")</f>
        <v/>
      </c>
      <c r="BY37" s="28" t="str">
        <f>IFERROR(VLOOKUP(CONCATENATE(BW$3,"-",$B37),'FO-GC-012'!$B$20:$H$109,6,0),"")</f>
        <v/>
      </c>
      <c r="BZ37" s="29" t="str">
        <f>IFERROR(VLOOKUP(CONCATENATE(BW$3,"-",$B37),'FO-GC-012'!$D$20:$H$109,5,0),"")</f>
        <v/>
      </c>
      <c r="CA37" s="26" t="str">
        <f>IFERROR(VLOOKUP(CONCATENATE(CA$3,"-",$B37),'FO-GC-012'!$B$20:$H$109,2,0),"")</f>
        <v/>
      </c>
      <c r="CB37" s="27" t="str">
        <f>IFERROR(VLOOKUP(CONCATENATE(CA$3,"-",$B37),'FO-GC-012'!$B$20:$H$109,5,0),"")</f>
        <v/>
      </c>
      <c r="CC37" s="28" t="str">
        <f>IFERROR(VLOOKUP(CONCATENATE(CA$3,"-",$B37),'FO-GC-012'!$B$20:$H$109,6,0),"")</f>
        <v/>
      </c>
      <c r="CD37" s="5" t="str">
        <f>IFERROR(VLOOKUP(CONCATENATE(CA$3,"-",$B37),'FO-GC-012'!$D$20:$H$109,5,0),"")</f>
        <v/>
      </c>
    </row>
    <row r="38" spans="1:82" ht="21" customHeight="1" x14ac:dyDescent="0.35">
      <c r="B38" s="125"/>
      <c r="C38" s="22" t="str">
        <f>IFERROR(VLOOKUP(CONCATENATE(C$3,"-",$B38),'FO-GC-012'!$B$20:$H$109,2,0),"")</f>
        <v/>
      </c>
      <c r="D38" s="23" t="str">
        <f>IFERROR(VLOOKUP(CONCATENATE(C$3,"-",$B38),'FO-GC-012'!$B$20:$H$109,5,0),"")</f>
        <v/>
      </c>
      <c r="E38" s="24" t="str">
        <f>IFERROR(VLOOKUP(CONCATENATE(C$3,"-",$B38),'FO-GC-012'!$B$20:$H$109,6,0),"")</f>
        <v/>
      </c>
      <c r="F38" s="25" t="str">
        <f>IFERROR(VLOOKUP(CONCATENATE(C$3,"-",$B38),'FO-GC-012'!$D$20:$H$109,5,0),"")</f>
        <v/>
      </c>
      <c r="G38" s="22" t="str">
        <f>IFERROR(VLOOKUP(CONCATENATE(G$3,"-",$B38),'FO-GC-012'!$B$20:$H$109,2,0),"")</f>
        <v/>
      </c>
      <c r="H38" s="23" t="str">
        <f>IFERROR(VLOOKUP(CONCATENATE(G$3,"-",$B38),'FO-GC-012'!$B$20:$H$109,5,0),"")</f>
        <v/>
      </c>
      <c r="I38" s="24" t="str">
        <f>IFERROR(VLOOKUP(CONCATENATE(G$3,"-",$B38),'FO-GC-012'!$B$20:$H$109,6,0),"")</f>
        <v/>
      </c>
      <c r="J38" s="25" t="str">
        <f>IFERROR(VLOOKUP(CONCATENATE(G$3,"-",$B38),'FO-GC-012'!$D$20:$H$109,5,0),"")</f>
        <v/>
      </c>
      <c r="K38" s="22" t="str">
        <f>IFERROR(VLOOKUP(CONCATENATE(K$3,"-",$B38),'FO-GC-012'!$B$20:$H$109,2,0),"")</f>
        <v/>
      </c>
      <c r="L38" s="23" t="str">
        <f>IFERROR(VLOOKUP(CONCATENATE(K$3,"-",$B38),'FO-GC-012'!$B$20:$H$109,5,0),"")</f>
        <v/>
      </c>
      <c r="M38" s="24" t="str">
        <f>IFERROR(VLOOKUP(CONCATENATE(K$3,"-",$B38),'FO-GC-012'!$B$20:$H$109,6,0),"")</f>
        <v/>
      </c>
      <c r="N38" s="25" t="str">
        <f>IFERROR(VLOOKUP(CONCATENATE(K$3,"-",$B38),'FO-GC-012'!$D$20:$H$109,5,0),"")</f>
        <v/>
      </c>
      <c r="O38" s="22" t="str">
        <f>IFERROR(VLOOKUP(CONCATENATE(O$3,"-",$B38),'FO-GC-012'!$B$20:$H$109,2,0),"")</f>
        <v/>
      </c>
      <c r="P38" s="23" t="str">
        <f>IFERROR(VLOOKUP(CONCATENATE(O$3,"-",$B38),'FO-GC-012'!$B$20:$H$109,5,0),"")</f>
        <v/>
      </c>
      <c r="Q38" s="24" t="str">
        <f>IFERROR(VLOOKUP(CONCATENATE(O$3,"-",$B38),'FO-GC-012'!$B$20:$H$109,6,0),"")</f>
        <v/>
      </c>
      <c r="R38" s="25" t="str">
        <f>IFERROR(VLOOKUP(CONCATENATE(O$3,"-",$B38),'FO-GC-012'!$D$20:$H$109,5,0),"")</f>
        <v/>
      </c>
      <c r="S38" s="22" t="str">
        <f>IFERROR(VLOOKUP(CONCATENATE(S$3,"-",$B38),'FO-GC-012'!$B$20:$H$109,2,0),"")</f>
        <v/>
      </c>
      <c r="T38" s="23" t="str">
        <f>IFERROR(VLOOKUP(CONCATENATE(S$3,"-",$B38),'FO-GC-012'!$B$20:$H$109,5,0),"")</f>
        <v/>
      </c>
      <c r="U38" s="24" t="str">
        <f>IFERROR(VLOOKUP(CONCATENATE(S$3,"-",$B38),'FO-GC-012'!$B$20:$H$109,6,0),"")</f>
        <v/>
      </c>
      <c r="V38" s="25" t="str">
        <f>IFERROR(VLOOKUP(CONCATENATE(S$3,"-",$B38),'FO-GC-012'!$D$20:$H$109,5,0),"")</f>
        <v/>
      </c>
      <c r="W38" s="22" t="str">
        <f>IFERROR(VLOOKUP(CONCATENATE(W$3,"-",$B38),'FO-GC-012'!$B$20:$H$109,2,0),"")</f>
        <v/>
      </c>
      <c r="X38" s="23" t="str">
        <f>IFERROR(VLOOKUP(CONCATENATE(W$3,"-",$B38),'FO-GC-012'!$B$20:$H$109,5,0),"")</f>
        <v/>
      </c>
      <c r="Y38" s="24" t="str">
        <f>IFERROR(VLOOKUP(CONCATENATE(W$3,"-",$B38),'FO-GC-012'!$B$20:$H$109,6,0),"")</f>
        <v/>
      </c>
      <c r="Z38" s="25" t="str">
        <f>IFERROR(VLOOKUP(CONCATENATE(W$3,"-",$B38),'FO-GC-012'!$D$20:$H$109,5,0),"")</f>
        <v/>
      </c>
      <c r="AA38" s="22" t="str">
        <f>IFERROR(VLOOKUP(CONCATENATE(AA$3,"-",$B38),'FO-GC-012'!$B$20:$H$109,2,0),"")</f>
        <v/>
      </c>
      <c r="AB38" s="23" t="str">
        <f>IFERROR(VLOOKUP(CONCATENATE(AA$3,"-",$B38),'FO-GC-012'!$B$20:$H$109,5,0),"")</f>
        <v/>
      </c>
      <c r="AC38" s="24" t="str">
        <f>IFERROR(VLOOKUP(CONCATENATE(AA$3,"-",$B38),'FO-GC-012'!$B$20:$H$109,6,0),"")</f>
        <v/>
      </c>
      <c r="AD38" s="25" t="str">
        <f>IFERROR(VLOOKUP(CONCATENATE(AA$3,"-",$B38),'FO-GC-012'!$D$20:$H$109,5,0),"")</f>
        <v/>
      </c>
      <c r="AE38" s="22" t="str">
        <f>IFERROR(VLOOKUP(CONCATENATE(AE$3,"-",$B38),'FO-GC-012'!$B$20:$H$109,2,0),"")</f>
        <v/>
      </c>
      <c r="AF38" s="23" t="str">
        <f>IFERROR(VLOOKUP(CONCATENATE(AE$3,"-",$B38),'FO-GC-012'!$B$20:$H$109,5,0),"")</f>
        <v/>
      </c>
      <c r="AG38" s="24" t="str">
        <f>IFERROR(VLOOKUP(CONCATENATE(AE$3,"-",$B38),'FO-GC-012'!$B$20:$H$109,6,0),"")</f>
        <v/>
      </c>
      <c r="AH38" s="25" t="str">
        <f>IFERROR(VLOOKUP(CONCATENATE(AE$3,"-",$B38),'FO-GC-012'!$D$20:$H$109,5,0),"")</f>
        <v/>
      </c>
      <c r="AI38" s="22" t="str">
        <f>IFERROR(VLOOKUP(CONCATENATE(AI$3,"-",$B38),'FO-GC-012'!$B$20:$H$109,2,0),"")</f>
        <v/>
      </c>
      <c r="AJ38" s="23" t="str">
        <f>IFERROR(VLOOKUP(CONCATENATE(AI$3,"-",$B38),'FO-GC-012'!$B$20:$H$109,5,0),"")</f>
        <v/>
      </c>
      <c r="AK38" s="24" t="str">
        <f>IFERROR(VLOOKUP(CONCATENATE(AI$3,"-",$B38),'FO-GC-012'!$B$20:$H$109,6,0),"")</f>
        <v/>
      </c>
      <c r="AL38" s="25" t="str">
        <f>IFERROR(VLOOKUP(CONCATENATE(AI$3,"-",$B38),'FO-GC-012'!$D$20:$H$109,5,0),"")</f>
        <v/>
      </c>
      <c r="AM38" s="22" t="str">
        <f>IFERROR(VLOOKUP(CONCATENATE(AM$3,"-",$B38),'FO-GC-012'!$B$20:$H$109,2,0),"")</f>
        <v/>
      </c>
      <c r="AN38" s="23" t="str">
        <f>IFERROR(VLOOKUP(CONCATENATE(AM$3,"-",$B38),'FO-GC-012'!$B$20:$H$109,5,0),"")</f>
        <v/>
      </c>
      <c r="AO38" s="24" t="str">
        <f>IFERROR(VLOOKUP(CONCATENATE(AM$3,"-",$B38),'FO-GC-012'!$B$20:$H$109,6,0),"")</f>
        <v/>
      </c>
      <c r="AP38" s="25" t="str">
        <f>IFERROR(VLOOKUP(CONCATENATE(AM$3,"-",$B38),'FO-GC-012'!$D$20:$H$109,5,0),"")</f>
        <v/>
      </c>
      <c r="AQ38" s="22" t="str">
        <f>IFERROR(VLOOKUP(CONCATENATE(AQ$3,"-",$B38),'FO-GC-012'!$B$20:$H$109,2,0),"")</f>
        <v/>
      </c>
      <c r="AR38" s="23" t="str">
        <f>IFERROR(VLOOKUP(CONCATENATE(AQ$3,"-",$B38),'FO-GC-012'!$B$20:$H$109,5,0),"")</f>
        <v/>
      </c>
      <c r="AS38" s="24" t="str">
        <f>IFERROR(VLOOKUP(CONCATENATE(AQ$3,"-",$B38),'FO-GC-012'!$B$20:$H$109,6,0),"")</f>
        <v/>
      </c>
      <c r="AT38" s="25" t="str">
        <f>IFERROR(VLOOKUP(CONCATENATE(AQ$3,"-",$B38),'FO-GC-012'!$D$20:$H$109,5,0),"")</f>
        <v/>
      </c>
      <c r="AU38" s="22" t="str">
        <f>IFERROR(VLOOKUP(CONCATENATE(AU$3,"-",$B38),'FO-GC-012'!$B$20:$H$109,2,0),"")</f>
        <v/>
      </c>
      <c r="AV38" s="23" t="str">
        <f>IFERROR(VLOOKUP(CONCATENATE(AU$3,"-",$B38),'FO-GC-012'!$B$20:$H$109,5,0),"")</f>
        <v/>
      </c>
      <c r="AW38" s="24" t="str">
        <f>IFERROR(VLOOKUP(CONCATENATE(AU$3,"-",$B38),'FO-GC-012'!$B$20:$H$109,6,0),"")</f>
        <v/>
      </c>
      <c r="AX38" s="25" t="str">
        <f>IFERROR(VLOOKUP(CONCATENATE(AU$3,"-",$B38),'FO-GC-012'!$D$20:$H$109,5,0),"")</f>
        <v/>
      </c>
      <c r="AY38" s="22" t="str">
        <f>IFERROR(VLOOKUP(CONCATENATE(AY$3,"-",$B38),'FO-GC-012'!$B$20:$H$109,2,0),"")</f>
        <v/>
      </c>
      <c r="AZ38" s="23" t="str">
        <f>IFERROR(VLOOKUP(CONCATENATE(AY$3,"-",$B38),'FO-GC-012'!$B$20:$H$109,5,0),"")</f>
        <v/>
      </c>
      <c r="BA38" s="24" t="str">
        <f>IFERROR(VLOOKUP(CONCATENATE(AY$3,"-",$B38),'FO-GC-012'!$B$20:$H$109,6,0),"")</f>
        <v/>
      </c>
      <c r="BB38" s="25" t="str">
        <f>IFERROR(VLOOKUP(CONCATENATE(AY$3,"-",$B38),'FO-GC-012'!$D$20:$H$109,5,0),"")</f>
        <v/>
      </c>
      <c r="BC38" s="22" t="str">
        <f>IFERROR(VLOOKUP(CONCATENATE(BC$3,"-",$B38),'FO-GC-012'!$B$20:$H$109,2,0),"")</f>
        <v/>
      </c>
      <c r="BD38" s="23" t="str">
        <f>IFERROR(VLOOKUP(CONCATENATE(BC$3,"-",$B38),'FO-GC-012'!$B$20:$H$109,5,0),"")</f>
        <v/>
      </c>
      <c r="BE38" s="24" t="str">
        <f>IFERROR(VLOOKUP(CONCATENATE(BC$3,"-",$B38),'FO-GC-012'!$B$20:$H$109,6,0),"")</f>
        <v/>
      </c>
      <c r="BF38" s="25" t="str">
        <f>IFERROR(VLOOKUP(CONCATENATE(BC$3,"-",$B38),'FO-GC-012'!$D$20:$H$109,5,0),"")</f>
        <v/>
      </c>
      <c r="BG38" s="22" t="str">
        <f>IFERROR(VLOOKUP(CONCATENATE(BG$3,"-",$B38),'FO-GC-012'!$B$20:$H$109,2,0),"")</f>
        <v/>
      </c>
      <c r="BH38" s="23" t="str">
        <f>IFERROR(VLOOKUP(CONCATENATE(BG$3,"-",$B38),'FO-GC-012'!$B$20:$H$109,5,0),"")</f>
        <v/>
      </c>
      <c r="BI38" s="24" t="str">
        <f>IFERROR(VLOOKUP(CONCATENATE(BG$3,"-",$B38),'FO-GC-012'!$B$20:$H$109,6,0),"")</f>
        <v/>
      </c>
      <c r="BJ38" s="25" t="str">
        <f>IFERROR(VLOOKUP(CONCATENATE(BG$3,"-",$B38),'FO-GC-012'!$D$20:$H$109,5,0),"")</f>
        <v/>
      </c>
      <c r="BK38" s="22" t="str">
        <f>IFERROR(VLOOKUP(CONCATENATE(BK$3,"-",$B38),'FO-GC-012'!$B$20:$H$109,2,0),"")</f>
        <v/>
      </c>
      <c r="BL38" s="23" t="str">
        <f>IFERROR(VLOOKUP(CONCATENATE(BK$3,"-",$B38),'FO-GC-012'!$B$20:$H$109,5,0),"")</f>
        <v/>
      </c>
      <c r="BM38" s="24" t="str">
        <f>IFERROR(VLOOKUP(CONCATENATE(BK$3,"-",$B38),'FO-GC-012'!$B$20:$H$109,6,0),"")</f>
        <v/>
      </c>
      <c r="BN38" s="25" t="str">
        <f>IFERROR(VLOOKUP(CONCATENATE(BK$3,"-",$B38),'FO-GC-012'!$D$20:$H$109,5,0),"")</f>
        <v/>
      </c>
      <c r="BO38" s="22" t="str">
        <f>IFERROR(VLOOKUP(CONCATENATE(BO$3,"-",$B38),'FO-GC-012'!$B$20:$H$109,2,0),"")</f>
        <v/>
      </c>
      <c r="BP38" s="23" t="str">
        <f>IFERROR(VLOOKUP(CONCATENATE(BO$3,"-",$B38),'FO-GC-012'!$B$20:$H$109,5,0),"")</f>
        <v/>
      </c>
      <c r="BQ38" s="24" t="str">
        <f>IFERROR(VLOOKUP(CONCATENATE(BO$3,"-",$B38),'FO-GC-012'!$B$20:$H$109,6,0),"")</f>
        <v/>
      </c>
      <c r="BR38" s="25" t="str">
        <f>IFERROR(VLOOKUP(CONCATENATE(BO$3,"-",$B38),'FO-GC-012'!$D$20:$H$109,5,0),"")</f>
        <v/>
      </c>
      <c r="BS38" s="22" t="str">
        <f>IFERROR(VLOOKUP(CONCATENATE(BS$3,"-",$B38),'FO-GC-012'!$B$20:$H$109,2,0),"")</f>
        <v/>
      </c>
      <c r="BT38" s="23" t="str">
        <f>IFERROR(VLOOKUP(CONCATENATE(BS$3,"-",$B38),'FO-GC-012'!$B$20:$H$109,5,0),"")</f>
        <v/>
      </c>
      <c r="BU38" s="24" t="str">
        <f>IFERROR(VLOOKUP(CONCATENATE(BS$3,"-",$B38),'FO-GC-012'!$B$20:$H$109,6,0),"")</f>
        <v/>
      </c>
      <c r="BV38" s="25" t="str">
        <f>IFERROR(VLOOKUP(CONCATENATE(BS$3,"-",$B38),'FO-GC-012'!$D$20:$H$109,5,0),"")</f>
        <v/>
      </c>
      <c r="BW38" s="22" t="str">
        <f>IFERROR(VLOOKUP(CONCATENATE(BW$3,"-",$B38),'FO-GC-012'!$B$20:$H$109,2,0),"")</f>
        <v/>
      </c>
      <c r="BX38" s="23" t="str">
        <f>IFERROR(VLOOKUP(CONCATENATE(BW$3,"-",$B38),'FO-GC-012'!$B$20:$H$109,5,0),"")</f>
        <v/>
      </c>
      <c r="BY38" s="24" t="str">
        <f>IFERROR(VLOOKUP(CONCATENATE(BW$3,"-",$B38),'FO-GC-012'!$B$20:$H$109,6,0),"")</f>
        <v/>
      </c>
      <c r="BZ38" s="25" t="str">
        <f>IFERROR(VLOOKUP(CONCATENATE(BW$3,"-",$B38),'FO-GC-012'!$D$20:$H$109,5,0),"")</f>
        <v/>
      </c>
      <c r="CA38" s="22" t="str">
        <f>IFERROR(VLOOKUP(CONCATENATE(CA$3,"-",$B38),'FO-GC-012'!$B$20:$H$109,2,0),"")</f>
        <v/>
      </c>
      <c r="CB38" s="23" t="str">
        <f>IFERROR(VLOOKUP(CONCATENATE(CA$3,"-",$B38),'FO-GC-012'!$B$20:$H$109,5,0),"")</f>
        <v/>
      </c>
      <c r="CC38" s="24" t="str">
        <f>IFERROR(VLOOKUP(CONCATENATE(CA$3,"-",$B38),'FO-GC-012'!$B$20:$H$109,6,0),"")</f>
        <v/>
      </c>
      <c r="CD38" s="5" t="str">
        <f>IFERROR(VLOOKUP(CONCATENATE(CA$3,"-",$B38),'FO-GC-012'!$D$20:$H$109,5,0),"")</f>
        <v/>
      </c>
    </row>
    <row r="39" spans="1:82" ht="21" customHeight="1" x14ac:dyDescent="0.35">
      <c r="B39" s="126"/>
      <c r="C39" s="26" t="str">
        <f>IFERROR(VLOOKUP(CONCATENATE(C$3,"-",$B39),'FO-GC-012'!$B$20:$H$109,2,0),"")</f>
        <v/>
      </c>
      <c r="D39" s="27" t="str">
        <f>IFERROR(VLOOKUP(CONCATENATE(C$3,"-",$B39),'FO-GC-012'!$B$20:$H$109,5,0),"")</f>
        <v/>
      </c>
      <c r="E39" s="28" t="str">
        <f>IFERROR(VLOOKUP(CONCATENATE(C$3,"-",$B39),'FO-GC-012'!$B$20:$H$109,6,0),"")</f>
        <v/>
      </c>
      <c r="F39" s="29" t="str">
        <f>IFERROR(VLOOKUP(CONCATENATE(C$3,"-",$B39),'FO-GC-012'!$D$20:$H$109,5,0),"")</f>
        <v/>
      </c>
      <c r="G39" s="26" t="str">
        <f>IFERROR(VLOOKUP(CONCATENATE(G$3,"-",$B39),'FO-GC-012'!$B$20:$H$109,2,0),"")</f>
        <v/>
      </c>
      <c r="H39" s="27" t="str">
        <f>IFERROR(VLOOKUP(CONCATENATE(G$3,"-",$B39),'FO-GC-012'!$B$20:$H$109,5,0),"")</f>
        <v/>
      </c>
      <c r="I39" s="28" t="str">
        <f>IFERROR(VLOOKUP(CONCATENATE(G$3,"-",$B39),'FO-GC-012'!$B$20:$H$109,6,0),"")</f>
        <v/>
      </c>
      <c r="J39" s="29" t="str">
        <f>IFERROR(VLOOKUP(CONCATENATE(G$3,"-",$B39),'FO-GC-012'!$D$20:$H$109,5,0),"")</f>
        <v/>
      </c>
      <c r="K39" s="26" t="str">
        <f>IFERROR(VLOOKUP(CONCATENATE(K$3,"-",$B39),'FO-GC-012'!$B$20:$H$109,2,0),"")</f>
        <v/>
      </c>
      <c r="L39" s="27" t="str">
        <f>IFERROR(VLOOKUP(CONCATENATE(K$3,"-",$B39),'FO-GC-012'!$B$20:$H$109,5,0),"")</f>
        <v/>
      </c>
      <c r="M39" s="28" t="str">
        <f>IFERROR(VLOOKUP(CONCATENATE(K$3,"-",$B39),'FO-GC-012'!$B$20:$H$109,6,0),"")</f>
        <v/>
      </c>
      <c r="N39" s="29" t="str">
        <f>IFERROR(VLOOKUP(CONCATENATE(K$3,"-",$B39),'FO-GC-012'!$D$20:$H$109,5,0),"")</f>
        <v/>
      </c>
      <c r="O39" s="26" t="str">
        <f>IFERROR(VLOOKUP(CONCATENATE(O$3,"-",$B39),'FO-GC-012'!$B$20:$H$109,2,0),"")</f>
        <v/>
      </c>
      <c r="P39" s="27" t="str">
        <f>IFERROR(VLOOKUP(CONCATENATE(O$3,"-",$B39),'FO-GC-012'!$B$20:$H$109,5,0),"")</f>
        <v/>
      </c>
      <c r="Q39" s="28" t="str">
        <f>IFERROR(VLOOKUP(CONCATENATE(O$3,"-",$B39),'FO-GC-012'!$B$20:$H$109,6,0),"")</f>
        <v/>
      </c>
      <c r="R39" s="29" t="str">
        <f>IFERROR(VLOOKUP(CONCATENATE(O$3,"-",$B39),'FO-GC-012'!$D$20:$H$109,5,0),"")</f>
        <v/>
      </c>
      <c r="S39" s="26" t="str">
        <f>IFERROR(VLOOKUP(CONCATENATE(S$3,"-",$B39),'FO-GC-012'!$B$20:$H$109,2,0),"")</f>
        <v/>
      </c>
      <c r="T39" s="27" t="str">
        <f>IFERROR(VLOOKUP(CONCATENATE(S$3,"-",$B39),'FO-GC-012'!$B$20:$H$109,5,0),"")</f>
        <v/>
      </c>
      <c r="U39" s="28" t="str">
        <f>IFERROR(VLOOKUP(CONCATENATE(S$3,"-",$B39),'FO-GC-012'!$B$20:$H$109,6,0),"")</f>
        <v/>
      </c>
      <c r="V39" s="29" t="str">
        <f>IFERROR(VLOOKUP(CONCATENATE(S$3,"-",$B39),'FO-GC-012'!$D$20:$H$109,5,0),"")</f>
        <v/>
      </c>
      <c r="W39" s="26" t="str">
        <f>IFERROR(VLOOKUP(CONCATENATE(W$3,"-",$B39),'FO-GC-012'!$B$20:$H$109,2,0),"")</f>
        <v/>
      </c>
      <c r="X39" s="27" t="str">
        <f>IFERROR(VLOOKUP(CONCATENATE(W$3,"-",$B39),'FO-GC-012'!$B$20:$H$109,5,0),"")</f>
        <v/>
      </c>
      <c r="Y39" s="28" t="str">
        <f>IFERROR(VLOOKUP(CONCATENATE(W$3,"-",$B39),'FO-GC-012'!$B$20:$H$109,6,0),"")</f>
        <v/>
      </c>
      <c r="Z39" s="29" t="str">
        <f>IFERROR(VLOOKUP(CONCATENATE(W$3,"-",$B39),'FO-GC-012'!$D$20:$H$109,5,0),"")</f>
        <v/>
      </c>
      <c r="AA39" s="26" t="str">
        <f>IFERROR(VLOOKUP(CONCATENATE(AA$3,"-",$B39),'FO-GC-012'!$B$20:$H$109,2,0),"")</f>
        <v/>
      </c>
      <c r="AB39" s="27" t="str">
        <f>IFERROR(VLOOKUP(CONCATENATE(AA$3,"-",$B39),'FO-GC-012'!$B$20:$H$109,5,0),"")</f>
        <v/>
      </c>
      <c r="AC39" s="28" t="str">
        <f>IFERROR(VLOOKUP(CONCATENATE(AA$3,"-",$B39),'FO-GC-012'!$B$20:$H$109,6,0),"")</f>
        <v/>
      </c>
      <c r="AD39" s="29" t="str">
        <f>IFERROR(VLOOKUP(CONCATENATE(AA$3,"-",$B39),'FO-GC-012'!$D$20:$H$109,5,0),"")</f>
        <v/>
      </c>
      <c r="AE39" s="26" t="str">
        <f>IFERROR(VLOOKUP(CONCATENATE(AE$3,"-",$B39),'FO-GC-012'!$B$20:$H$109,2,0),"")</f>
        <v/>
      </c>
      <c r="AF39" s="27" t="str">
        <f>IFERROR(VLOOKUP(CONCATENATE(AE$3,"-",$B39),'FO-GC-012'!$B$20:$H$109,5,0),"")</f>
        <v/>
      </c>
      <c r="AG39" s="28" t="str">
        <f>IFERROR(VLOOKUP(CONCATENATE(AE$3,"-",$B39),'FO-GC-012'!$B$20:$H$109,6,0),"")</f>
        <v/>
      </c>
      <c r="AH39" s="29" t="str">
        <f>IFERROR(VLOOKUP(CONCATENATE(AE$3,"-",$B39),'FO-GC-012'!$D$20:$H$109,5,0),"")</f>
        <v/>
      </c>
      <c r="AI39" s="26" t="str">
        <f>IFERROR(VLOOKUP(CONCATENATE(AI$3,"-",$B39),'FO-GC-012'!$B$20:$H$109,2,0),"")</f>
        <v/>
      </c>
      <c r="AJ39" s="27" t="str">
        <f>IFERROR(VLOOKUP(CONCATENATE(AI$3,"-",$B39),'FO-GC-012'!$B$20:$H$109,5,0),"")</f>
        <v/>
      </c>
      <c r="AK39" s="28" t="str">
        <f>IFERROR(VLOOKUP(CONCATENATE(AI$3,"-",$B39),'FO-GC-012'!$B$20:$H$109,6,0),"")</f>
        <v/>
      </c>
      <c r="AL39" s="29" t="str">
        <f>IFERROR(VLOOKUP(CONCATENATE(AI$3,"-",$B39),'FO-GC-012'!$D$20:$H$109,5,0),"")</f>
        <v/>
      </c>
      <c r="AM39" s="26" t="str">
        <f>IFERROR(VLOOKUP(CONCATENATE(AM$3,"-",$B39),'FO-GC-012'!$B$20:$H$109,2,0),"")</f>
        <v/>
      </c>
      <c r="AN39" s="27" t="str">
        <f>IFERROR(VLOOKUP(CONCATENATE(AM$3,"-",$B39),'FO-GC-012'!$B$20:$H$109,5,0),"")</f>
        <v/>
      </c>
      <c r="AO39" s="28" t="str">
        <f>IFERROR(VLOOKUP(CONCATENATE(AM$3,"-",$B39),'FO-GC-012'!$B$20:$H$109,6,0),"")</f>
        <v/>
      </c>
      <c r="AP39" s="29" t="str">
        <f>IFERROR(VLOOKUP(CONCATENATE(AM$3,"-",$B39),'FO-GC-012'!$D$20:$H$109,5,0),"")</f>
        <v/>
      </c>
      <c r="AQ39" s="26" t="str">
        <f>IFERROR(VLOOKUP(CONCATENATE(AQ$3,"-",$B39),'FO-GC-012'!$B$20:$H$109,2,0),"")</f>
        <v/>
      </c>
      <c r="AR39" s="27" t="str">
        <f>IFERROR(VLOOKUP(CONCATENATE(AQ$3,"-",$B39),'FO-GC-012'!$B$20:$H$109,5,0),"")</f>
        <v/>
      </c>
      <c r="AS39" s="28" t="str">
        <f>IFERROR(VLOOKUP(CONCATENATE(AQ$3,"-",$B39),'FO-GC-012'!$B$20:$H$109,6,0),"")</f>
        <v/>
      </c>
      <c r="AT39" s="29" t="str">
        <f>IFERROR(VLOOKUP(CONCATENATE(AQ$3,"-",$B39),'FO-GC-012'!$D$20:$H$109,5,0),"")</f>
        <v/>
      </c>
      <c r="AU39" s="26" t="str">
        <f>IFERROR(VLOOKUP(CONCATENATE(AU$3,"-",$B39),'FO-GC-012'!$B$20:$H$109,2,0),"")</f>
        <v/>
      </c>
      <c r="AV39" s="27" t="str">
        <f>IFERROR(VLOOKUP(CONCATENATE(AU$3,"-",$B39),'FO-GC-012'!$B$20:$H$109,5,0),"")</f>
        <v/>
      </c>
      <c r="AW39" s="28" t="str">
        <f>IFERROR(VLOOKUP(CONCATENATE(AU$3,"-",$B39),'FO-GC-012'!$B$20:$H$109,6,0),"")</f>
        <v/>
      </c>
      <c r="AX39" s="29" t="str">
        <f>IFERROR(VLOOKUP(CONCATENATE(AU$3,"-",$B39),'FO-GC-012'!$D$20:$H$109,5,0),"")</f>
        <v/>
      </c>
      <c r="AY39" s="26" t="str">
        <f>IFERROR(VLOOKUP(CONCATENATE(AY$3,"-",$B39),'FO-GC-012'!$B$20:$H$109,2,0),"")</f>
        <v/>
      </c>
      <c r="AZ39" s="27" t="str">
        <f>IFERROR(VLOOKUP(CONCATENATE(AY$3,"-",$B39),'FO-GC-012'!$B$20:$H$109,5,0),"")</f>
        <v/>
      </c>
      <c r="BA39" s="28" t="str">
        <f>IFERROR(VLOOKUP(CONCATENATE(AY$3,"-",$B39),'FO-GC-012'!$B$20:$H$109,6,0),"")</f>
        <v/>
      </c>
      <c r="BB39" s="29" t="str">
        <f>IFERROR(VLOOKUP(CONCATENATE(AY$3,"-",$B39),'FO-GC-012'!$D$20:$H$109,5,0),"")</f>
        <v/>
      </c>
      <c r="BC39" s="26" t="str">
        <f>IFERROR(VLOOKUP(CONCATENATE(BC$3,"-",$B39),'FO-GC-012'!$B$20:$H$109,2,0),"")</f>
        <v/>
      </c>
      <c r="BD39" s="27" t="str">
        <f>IFERROR(VLOOKUP(CONCATENATE(BC$3,"-",$B39),'FO-GC-012'!$B$20:$H$109,5,0),"")</f>
        <v/>
      </c>
      <c r="BE39" s="28" t="str">
        <f>IFERROR(VLOOKUP(CONCATENATE(BC$3,"-",$B39),'FO-GC-012'!$B$20:$H$109,6,0),"")</f>
        <v/>
      </c>
      <c r="BF39" s="29" t="str">
        <f>IFERROR(VLOOKUP(CONCATENATE(BC$3,"-",$B39),'FO-GC-012'!$D$20:$H$109,5,0),"")</f>
        <v/>
      </c>
      <c r="BG39" s="26" t="str">
        <f>IFERROR(VLOOKUP(CONCATENATE(BG$3,"-",$B39),'FO-GC-012'!$B$20:$H$109,2,0),"")</f>
        <v/>
      </c>
      <c r="BH39" s="27" t="str">
        <f>IFERROR(VLOOKUP(CONCATENATE(BG$3,"-",$B39),'FO-GC-012'!$B$20:$H$109,5,0),"")</f>
        <v/>
      </c>
      <c r="BI39" s="28" t="str">
        <f>IFERROR(VLOOKUP(CONCATENATE(BG$3,"-",$B39),'FO-GC-012'!$B$20:$H$109,6,0),"")</f>
        <v/>
      </c>
      <c r="BJ39" s="29" t="str">
        <f>IFERROR(VLOOKUP(CONCATENATE(BG$3,"-",$B39),'FO-GC-012'!$D$20:$H$109,5,0),"")</f>
        <v/>
      </c>
      <c r="BK39" s="26" t="str">
        <f>IFERROR(VLOOKUP(CONCATENATE(BK$3,"-",$B39),'FO-GC-012'!$B$20:$H$109,2,0),"")</f>
        <v/>
      </c>
      <c r="BL39" s="27" t="str">
        <f>IFERROR(VLOOKUP(CONCATENATE(BK$3,"-",$B39),'FO-GC-012'!$B$20:$H$109,5,0),"")</f>
        <v/>
      </c>
      <c r="BM39" s="28" t="str">
        <f>IFERROR(VLOOKUP(CONCATENATE(BK$3,"-",$B39),'FO-GC-012'!$B$20:$H$109,6,0),"")</f>
        <v/>
      </c>
      <c r="BN39" s="29" t="str">
        <f>IFERROR(VLOOKUP(CONCATENATE(BK$3,"-",$B39),'FO-GC-012'!$D$20:$H$109,5,0),"")</f>
        <v/>
      </c>
      <c r="BO39" s="26" t="str">
        <f>IFERROR(VLOOKUP(CONCATENATE(BO$3,"-",$B39),'FO-GC-012'!$B$20:$H$109,2,0),"")</f>
        <v/>
      </c>
      <c r="BP39" s="27" t="str">
        <f>IFERROR(VLOOKUP(CONCATENATE(BO$3,"-",$B39),'FO-GC-012'!$B$20:$H$109,5,0),"")</f>
        <v/>
      </c>
      <c r="BQ39" s="28" t="str">
        <f>IFERROR(VLOOKUP(CONCATENATE(BO$3,"-",$B39),'FO-GC-012'!$B$20:$H$109,6,0),"")</f>
        <v/>
      </c>
      <c r="BR39" s="29" t="str">
        <f>IFERROR(VLOOKUP(CONCATENATE(BO$3,"-",$B39),'FO-GC-012'!$D$20:$H$109,5,0),"")</f>
        <v/>
      </c>
      <c r="BS39" s="26" t="str">
        <f>IFERROR(VLOOKUP(CONCATENATE(BS$3,"-",$B39),'FO-GC-012'!$B$20:$H$109,2,0),"")</f>
        <v/>
      </c>
      <c r="BT39" s="27" t="str">
        <f>IFERROR(VLOOKUP(CONCATENATE(BS$3,"-",$B39),'FO-GC-012'!$B$20:$H$109,5,0),"")</f>
        <v/>
      </c>
      <c r="BU39" s="28" t="str">
        <f>IFERROR(VLOOKUP(CONCATENATE(BS$3,"-",$B39),'FO-GC-012'!$B$20:$H$109,6,0),"")</f>
        <v/>
      </c>
      <c r="BV39" s="29" t="str">
        <f>IFERROR(VLOOKUP(CONCATENATE(BS$3,"-",$B39),'FO-GC-012'!$D$20:$H$109,5,0),"")</f>
        <v/>
      </c>
      <c r="BW39" s="26" t="str">
        <f>IFERROR(VLOOKUP(CONCATENATE(BW$3,"-",$B39),'FO-GC-012'!$B$20:$H$109,2,0),"")</f>
        <v/>
      </c>
      <c r="BX39" s="27" t="str">
        <f>IFERROR(VLOOKUP(CONCATENATE(BW$3,"-",$B39),'FO-GC-012'!$B$20:$H$109,5,0),"")</f>
        <v/>
      </c>
      <c r="BY39" s="28" t="str">
        <f>IFERROR(VLOOKUP(CONCATENATE(BW$3,"-",$B39),'FO-GC-012'!$B$20:$H$109,6,0),"")</f>
        <v/>
      </c>
      <c r="BZ39" s="29" t="str">
        <f>IFERROR(VLOOKUP(CONCATENATE(BW$3,"-",$B39),'FO-GC-012'!$D$20:$H$109,5,0),"")</f>
        <v/>
      </c>
      <c r="CA39" s="26" t="str">
        <f>IFERROR(VLOOKUP(CONCATENATE(CA$3,"-",$B39),'FO-GC-012'!$B$20:$H$109,2,0),"")</f>
        <v/>
      </c>
      <c r="CB39" s="27" t="str">
        <f>IFERROR(VLOOKUP(CONCATENATE(CA$3,"-",$B39),'FO-GC-012'!$B$20:$H$109,5,0),"")</f>
        <v/>
      </c>
      <c r="CC39" s="28" t="str">
        <f>IFERROR(VLOOKUP(CONCATENATE(CA$3,"-",$B39),'FO-GC-012'!$B$20:$H$109,6,0),"")</f>
        <v/>
      </c>
      <c r="CD39" s="5" t="str">
        <f>IFERROR(VLOOKUP(CONCATENATE(CA$3,"-",$B39),'FO-GC-012'!$D$20:$H$109,5,0),"")</f>
        <v/>
      </c>
    </row>
    <row r="40" spans="1:82" ht="21" customHeight="1" x14ac:dyDescent="0.35">
      <c r="B40" s="125"/>
      <c r="C40" s="22" t="str">
        <f>IFERROR(VLOOKUP(CONCATENATE(C$3,"-",$B40),'FO-GC-012'!$B$20:$H$109,2,0),"")</f>
        <v/>
      </c>
      <c r="D40" s="23" t="str">
        <f>IFERROR(VLOOKUP(CONCATENATE(C$3,"-",$B40),'FO-GC-012'!$B$20:$H$109,5,0),"")</f>
        <v/>
      </c>
      <c r="E40" s="24" t="str">
        <f>IFERROR(VLOOKUP(CONCATENATE(C$3,"-",$B40),'FO-GC-012'!$B$20:$H$109,6,0),"")</f>
        <v/>
      </c>
      <c r="F40" s="25" t="str">
        <f>IFERROR(VLOOKUP(CONCATENATE(C$3,"-",$B40),'FO-GC-012'!$D$20:$H$109,5,0),"")</f>
        <v/>
      </c>
      <c r="G40" s="22" t="str">
        <f>IFERROR(VLOOKUP(CONCATENATE(G$3,"-",$B40),'FO-GC-012'!$B$20:$H$109,2,0),"")</f>
        <v/>
      </c>
      <c r="H40" s="23" t="str">
        <f>IFERROR(VLOOKUP(CONCATENATE(G$3,"-",$B40),'FO-GC-012'!$B$20:$H$109,5,0),"")</f>
        <v/>
      </c>
      <c r="I40" s="24" t="str">
        <f>IFERROR(VLOOKUP(CONCATENATE(G$3,"-",$B40),'FO-GC-012'!$B$20:$H$109,6,0),"")</f>
        <v/>
      </c>
      <c r="J40" s="25" t="str">
        <f>IFERROR(VLOOKUP(CONCATENATE(G$3,"-",$B40),'FO-GC-012'!$D$20:$H$109,5,0),"")</f>
        <v/>
      </c>
      <c r="K40" s="22" t="str">
        <f>IFERROR(VLOOKUP(CONCATENATE(K$3,"-",$B40),'FO-GC-012'!$B$20:$H$109,2,0),"")</f>
        <v/>
      </c>
      <c r="L40" s="23" t="str">
        <f>IFERROR(VLOOKUP(CONCATENATE(K$3,"-",$B40),'FO-GC-012'!$B$20:$H$109,5,0),"")</f>
        <v/>
      </c>
      <c r="M40" s="24" t="str">
        <f>IFERROR(VLOOKUP(CONCATENATE(K$3,"-",$B40),'FO-GC-012'!$B$20:$H$109,6,0),"")</f>
        <v/>
      </c>
      <c r="N40" s="25" t="str">
        <f>IFERROR(VLOOKUP(CONCATENATE(K$3,"-",$B40),'FO-GC-012'!$D$20:$H$109,5,0),"")</f>
        <v/>
      </c>
      <c r="O40" s="22" t="str">
        <f>IFERROR(VLOOKUP(CONCATENATE(O$3,"-",$B40),'FO-GC-012'!$B$20:$H$109,2,0),"")</f>
        <v/>
      </c>
      <c r="P40" s="23" t="str">
        <f>IFERROR(VLOOKUP(CONCATENATE(O$3,"-",$B40),'FO-GC-012'!$B$20:$H$109,5,0),"")</f>
        <v/>
      </c>
      <c r="Q40" s="24" t="str">
        <f>IFERROR(VLOOKUP(CONCATENATE(O$3,"-",$B40),'FO-GC-012'!$B$20:$H$109,6,0),"")</f>
        <v/>
      </c>
      <c r="R40" s="25" t="str">
        <f>IFERROR(VLOOKUP(CONCATENATE(O$3,"-",$B40),'FO-GC-012'!$D$20:$H$109,5,0),"")</f>
        <v/>
      </c>
      <c r="S40" s="22" t="str">
        <f>IFERROR(VLOOKUP(CONCATENATE(S$3,"-",$B40),'FO-GC-012'!$B$20:$H$109,2,0),"")</f>
        <v/>
      </c>
      <c r="T40" s="23" t="str">
        <f>IFERROR(VLOOKUP(CONCATENATE(S$3,"-",$B40),'FO-GC-012'!$B$20:$H$109,5,0),"")</f>
        <v/>
      </c>
      <c r="U40" s="24" t="str">
        <f>IFERROR(VLOOKUP(CONCATENATE(S$3,"-",$B40),'FO-GC-012'!$B$20:$H$109,6,0),"")</f>
        <v/>
      </c>
      <c r="V40" s="25" t="str">
        <f>IFERROR(VLOOKUP(CONCATENATE(S$3,"-",$B40),'FO-GC-012'!$D$20:$H$109,5,0),"")</f>
        <v/>
      </c>
      <c r="W40" s="22" t="str">
        <f>IFERROR(VLOOKUP(CONCATENATE(W$3,"-",$B40),'FO-GC-012'!$B$20:$H$109,2,0),"")</f>
        <v/>
      </c>
      <c r="X40" s="23" t="str">
        <f>IFERROR(VLOOKUP(CONCATENATE(W$3,"-",$B40),'FO-GC-012'!$B$20:$H$109,5,0),"")</f>
        <v/>
      </c>
      <c r="Y40" s="24" t="str">
        <f>IFERROR(VLOOKUP(CONCATENATE(W$3,"-",$B40),'FO-GC-012'!$B$20:$H$109,6,0),"")</f>
        <v/>
      </c>
      <c r="Z40" s="25" t="str">
        <f>IFERROR(VLOOKUP(CONCATENATE(W$3,"-",$B40),'FO-GC-012'!$D$20:$H$109,5,0),"")</f>
        <v/>
      </c>
      <c r="AA40" s="22" t="str">
        <f>IFERROR(VLOOKUP(CONCATENATE(AA$3,"-",$B40),'FO-GC-012'!$B$20:$H$109,2,0),"")</f>
        <v/>
      </c>
      <c r="AB40" s="23" t="str">
        <f>IFERROR(VLOOKUP(CONCATENATE(AA$3,"-",$B40),'FO-GC-012'!$B$20:$H$109,5,0),"")</f>
        <v/>
      </c>
      <c r="AC40" s="24" t="str">
        <f>IFERROR(VLOOKUP(CONCATENATE(AA$3,"-",$B40),'FO-GC-012'!$B$20:$H$109,6,0),"")</f>
        <v/>
      </c>
      <c r="AD40" s="25" t="str">
        <f>IFERROR(VLOOKUP(CONCATENATE(AA$3,"-",$B40),'FO-GC-012'!$D$20:$H$109,5,0),"")</f>
        <v/>
      </c>
      <c r="AE40" s="22" t="str">
        <f>IFERROR(VLOOKUP(CONCATENATE(AE$3,"-",$B40),'FO-GC-012'!$B$20:$H$109,2,0),"")</f>
        <v/>
      </c>
      <c r="AF40" s="23" t="str">
        <f>IFERROR(VLOOKUP(CONCATENATE(AE$3,"-",$B40),'FO-GC-012'!$B$20:$H$109,5,0),"")</f>
        <v/>
      </c>
      <c r="AG40" s="24" t="str">
        <f>IFERROR(VLOOKUP(CONCATENATE(AE$3,"-",$B40),'FO-GC-012'!$B$20:$H$109,6,0),"")</f>
        <v/>
      </c>
      <c r="AH40" s="25" t="str">
        <f>IFERROR(VLOOKUP(CONCATENATE(AE$3,"-",$B40),'FO-GC-012'!$D$20:$H$109,5,0),"")</f>
        <v/>
      </c>
      <c r="AI40" s="22" t="str">
        <f>IFERROR(VLOOKUP(CONCATENATE(AI$3,"-",$B40),'FO-GC-012'!$B$20:$H$109,2,0),"")</f>
        <v/>
      </c>
      <c r="AJ40" s="23" t="str">
        <f>IFERROR(VLOOKUP(CONCATENATE(AI$3,"-",$B40),'FO-GC-012'!$B$20:$H$109,5,0),"")</f>
        <v/>
      </c>
      <c r="AK40" s="24" t="str">
        <f>IFERROR(VLOOKUP(CONCATENATE(AI$3,"-",$B40),'FO-GC-012'!$B$20:$H$109,6,0),"")</f>
        <v/>
      </c>
      <c r="AL40" s="25" t="str">
        <f>IFERROR(VLOOKUP(CONCATENATE(AI$3,"-",$B40),'FO-GC-012'!$D$20:$H$109,5,0),"")</f>
        <v/>
      </c>
      <c r="AM40" s="22" t="str">
        <f>IFERROR(VLOOKUP(CONCATENATE(AM$3,"-",$B40),'FO-GC-012'!$B$20:$H$109,2,0),"")</f>
        <v/>
      </c>
      <c r="AN40" s="23" t="str">
        <f>IFERROR(VLOOKUP(CONCATENATE(AM$3,"-",$B40),'FO-GC-012'!$B$20:$H$109,5,0),"")</f>
        <v/>
      </c>
      <c r="AO40" s="24" t="str">
        <f>IFERROR(VLOOKUP(CONCATENATE(AM$3,"-",$B40),'FO-GC-012'!$B$20:$H$109,6,0),"")</f>
        <v/>
      </c>
      <c r="AP40" s="25" t="str">
        <f>IFERROR(VLOOKUP(CONCATENATE(AM$3,"-",$B40),'FO-GC-012'!$D$20:$H$109,5,0),"")</f>
        <v/>
      </c>
      <c r="AQ40" s="22" t="str">
        <f>IFERROR(VLOOKUP(CONCATENATE(AQ$3,"-",$B40),'FO-GC-012'!$B$20:$H$109,2,0),"")</f>
        <v/>
      </c>
      <c r="AR40" s="23" t="str">
        <f>IFERROR(VLOOKUP(CONCATENATE(AQ$3,"-",$B40),'FO-GC-012'!$B$20:$H$109,5,0),"")</f>
        <v/>
      </c>
      <c r="AS40" s="24" t="str">
        <f>IFERROR(VLOOKUP(CONCATENATE(AQ$3,"-",$B40),'FO-GC-012'!$B$20:$H$109,6,0),"")</f>
        <v/>
      </c>
      <c r="AT40" s="25" t="str">
        <f>IFERROR(VLOOKUP(CONCATENATE(AQ$3,"-",$B40),'FO-GC-012'!$D$20:$H$109,5,0),"")</f>
        <v/>
      </c>
      <c r="AU40" s="22" t="str">
        <f>IFERROR(VLOOKUP(CONCATENATE(AU$3,"-",$B40),'FO-GC-012'!$B$20:$H$109,2,0),"")</f>
        <v/>
      </c>
      <c r="AV40" s="23" t="str">
        <f>IFERROR(VLOOKUP(CONCATENATE(AU$3,"-",$B40),'FO-GC-012'!$B$20:$H$109,5,0),"")</f>
        <v/>
      </c>
      <c r="AW40" s="24" t="str">
        <f>IFERROR(VLOOKUP(CONCATENATE(AU$3,"-",$B40),'FO-GC-012'!$B$20:$H$109,6,0),"")</f>
        <v/>
      </c>
      <c r="AX40" s="25" t="str">
        <f>IFERROR(VLOOKUP(CONCATENATE(AU$3,"-",$B40),'FO-GC-012'!$D$20:$H$109,5,0),"")</f>
        <v/>
      </c>
      <c r="AY40" s="22" t="str">
        <f>IFERROR(VLOOKUP(CONCATENATE(AY$3,"-",$B40),'FO-GC-012'!$B$20:$H$109,2,0),"")</f>
        <v/>
      </c>
      <c r="AZ40" s="23" t="str">
        <f>IFERROR(VLOOKUP(CONCATENATE(AY$3,"-",$B40),'FO-GC-012'!$B$20:$H$109,5,0),"")</f>
        <v/>
      </c>
      <c r="BA40" s="24" t="str">
        <f>IFERROR(VLOOKUP(CONCATENATE(AY$3,"-",$B40),'FO-GC-012'!$B$20:$H$109,6,0),"")</f>
        <v/>
      </c>
      <c r="BB40" s="25" t="str">
        <f>IFERROR(VLOOKUP(CONCATENATE(AY$3,"-",$B40),'FO-GC-012'!$D$20:$H$109,5,0),"")</f>
        <v/>
      </c>
      <c r="BC40" s="22" t="str">
        <f>IFERROR(VLOOKUP(CONCATENATE(BC$3,"-",$B40),'FO-GC-012'!$B$20:$H$109,2,0),"")</f>
        <v/>
      </c>
      <c r="BD40" s="23" t="str">
        <f>IFERROR(VLOOKUP(CONCATENATE(BC$3,"-",$B40),'FO-GC-012'!$B$20:$H$109,5,0),"")</f>
        <v/>
      </c>
      <c r="BE40" s="24" t="str">
        <f>IFERROR(VLOOKUP(CONCATENATE(BC$3,"-",$B40),'FO-GC-012'!$B$20:$H$109,6,0),"")</f>
        <v/>
      </c>
      <c r="BF40" s="25" t="str">
        <f>IFERROR(VLOOKUP(CONCATENATE(BC$3,"-",$B40),'FO-GC-012'!$D$20:$H$109,5,0),"")</f>
        <v/>
      </c>
      <c r="BG40" s="22" t="str">
        <f>IFERROR(VLOOKUP(CONCATENATE(BG$3,"-",$B40),'FO-GC-012'!$B$20:$H$109,2,0),"")</f>
        <v/>
      </c>
      <c r="BH40" s="23" t="str">
        <f>IFERROR(VLOOKUP(CONCATENATE(BG$3,"-",$B40),'FO-GC-012'!$B$20:$H$109,5,0),"")</f>
        <v/>
      </c>
      <c r="BI40" s="24" t="str">
        <f>IFERROR(VLOOKUP(CONCATENATE(BG$3,"-",$B40),'FO-GC-012'!$B$20:$H$109,6,0),"")</f>
        <v/>
      </c>
      <c r="BJ40" s="25" t="str">
        <f>IFERROR(VLOOKUP(CONCATENATE(BG$3,"-",$B40),'FO-GC-012'!$D$20:$H$109,5,0),"")</f>
        <v/>
      </c>
      <c r="BK40" s="22" t="str">
        <f>IFERROR(VLOOKUP(CONCATENATE(BK$3,"-",$B40),'FO-GC-012'!$B$20:$H$109,2,0),"")</f>
        <v/>
      </c>
      <c r="BL40" s="23" t="str">
        <f>IFERROR(VLOOKUP(CONCATENATE(BK$3,"-",$B40),'FO-GC-012'!$B$20:$H$109,5,0),"")</f>
        <v/>
      </c>
      <c r="BM40" s="24" t="str">
        <f>IFERROR(VLOOKUP(CONCATENATE(BK$3,"-",$B40),'FO-GC-012'!$B$20:$H$109,6,0),"")</f>
        <v/>
      </c>
      <c r="BN40" s="25" t="str">
        <f>IFERROR(VLOOKUP(CONCATENATE(BK$3,"-",$B40),'FO-GC-012'!$D$20:$H$109,5,0),"")</f>
        <v/>
      </c>
      <c r="BO40" s="22" t="str">
        <f>IFERROR(VLOOKUP(CONCATENATE(BO$3,"-",$B40),'FO-GC-012'!$B$20:$H$109,2,0),"")</f>
        <v/>
      </c>
      <c r="BP40" s="23" t="str">
        <f>IFERROR(VLOOKUP(CONCATENATE(BO$3,"-",$B40),'FO-GC-012'!$B$20:$H$109,5,0),"")</f>
        <v/>
      </c>
      <c r="BQ40" s="24" t="str">
        <f>IFERROR(VLOOKUP(CONCATENATE(BO$3,"-",$B40),'FO-GC-012'!$B$20:$H$109,6,0),"")</f>
        <v/>
      </c>
      <c r="BR40" s="25" t="str">
        <f>IFERROR(VLOOKUP(CONCATENATE(BO$3,"-",$B40),'FO-GC-012'!$D$20:$H$109,5,0),"")</f>
        <v/>
      </c>
      <c r="BS40" s="22" t="str">
        <f>IFERROR(VLOOKUP(CONCATENATE(BS$3,"-",$B40),'FO-GC-012'!$B$20:$H$109,2,0),"")</f>
        <v/>
      </c>
      <c r="BT40" s="23" t="str">
        <f>IFERROR(VLOOKUP(CONCATENATE(BS$3,"-",$B40),'FO-GC-012'!$B$20:$H$109,5,0),"")</f>
        <v/>
      </c>
      <c r="BU40" s="24" t="str">
        <f>IFERROR(VLOOKUP(CONCATENATE(BS$3,"-",$B40),'FO-GC-012'!$B$20:$H$109,6,0),"")</f>
        <v/>
      </c>
      <c r="BV40" s="25" t="str">
        <f>IFERROR(VLOOKUP(CONCATENATE(BS$3,"-",$B40),'FO-GC-012'!$D$20:$H$109,5,0),"")</f>
        <v/>
      </c>
      <c r="BW40" s="22" t="str">
        <f>IFERROR(VLOOKUP(CONCATENATE(BW$3,"-",$B40),'FO-GC-012'!$B$20:$H$109,2,0),"")</f>
        <v/>
      </c>
      <c r="BX40" s="23" t="str">
        <f>IFERROR(VLOOKUP(CONCATENATE(BW$3,"-",$B40),'FO-GC-012'!$B$20:$H$109,5,0),"")</f>
        <v/>
      </c>
      <c r="BY40" s="24" t="str">
        <f>IFERROR(VLOOKUP(CONCATENATE(BW$3,"-",$B40),'FO-GC-012'!$B$20:$H$109,6,0),"")</f>
        <v/>
      </c>
      <c r="BZ40" s="25" t="str">
        <f>IFERROR(VLOOKUP(CONCATENATE(BW$3,"-",$B40),'FO-GC-012'!$D$20:$H$109,5,0),"")</f>
        <v/>
      </c>
      <c r="CA40" s="22" t="str">
        <f>IFERROR(VLOOKUP(CONCATENATE(CA$3,"-",$B40),'FO-GC-012'!$B$20:$H$109,2,0),"")</f>
        <v/>
      </c>
      <c r="CB40" s="23" t="str">
        <f>IFERROR(VLOOKUP(CONCATENATE(CA$3,"-",$B40),'FO-GC-012'!$B$20:$H$109,5,0),"")</f>
        <v/>
      </c>
      <c r="CC40" s="24" t="str">
        <f>IFERROR(VLOOKUP(CONCATENATE(CA$3,"-",$B40),'FO-GC-012'!$B$20:$H$109,6,0),"")</f>
        <v/>
      </c>
      <c r="CD40" s="5" t="str">
        <f>IFERROR(VLOOKUP(CONCATENATE(CA$3,"-",$B40),'FO-GC-012'!$D$20:$H$109,5,0),"")</f>
        <v/>
      </c>
    </row>
    <row r="41" spans="1:82" ht="21" customHeight="1" x14ac:dyDescent="0.35">
      <c r="B41" s="126"/>
      <c r="C41" s="26" t="str">
        <f>IFERROR(VLOOKUP(CONCATENATE(C$3,"-",$B41),'FO-GC-012'!$B$20:$H$109,2,0),"")</f>
        <v/>
      </c>
      <c r="D41" s="27" t="str">
        <f>IFERROR(VLOOKUP(CONCATENATE(C$3,"-",$B41),'FO-GC-012'!$B$20:$H$109,5,0),"")</f>
        <v/>
      </c>
      <c r="E41" s="28" t="str">
        <f>IFERROR(VLOOKUP(CONCATENATE(C$3,"-",$B41),'FO-GC-012'!$B$20:$H$109,6,0),"")</f>
        <v/>
      </c>
      <c r="F41" s="29" t="str">
        <f>IFERROR(VLOOKUP(CONCATENATE(C$3,"-",$B41),'FO-GC-012'!$D$20:$H$109,5,0),"")</f>
        <v/>
      </c>
      <c r="G41" s="26" t="str">
        <f>IFERROR(VLOOKUP(CONCATENATE(G$3,"-",$B41),'FO-GC-012'!$B$20:$H$109,2,0),"")</f>
        <v/>
      </c>
      <c r="H41" s="27" t="str">
        <f>IFERROR(VLOOKUP(CONCATENATE(G$3,"-",$B41),'FO-GC-012'!$B$20:$H$109,5,0),"")</f>
        <v/>
      </c>
      <c r="I41" s="28" t="str">
        <f>IFERROR(VLOOKUP(CONCATENATE(G$3,"-",$B41),'FO-GC-012'!$B$20:$H$109,6,0),"")</f>
        <v/>
      </c>
      <c r="J41" s="29" t="str">
        <f>IFERROR(VLOOKUP(CONCATENATE(G$3,"-",$B41),'FO-GC-012'!$D$20:$H$109,5,0),"")</f>
        <v/>
      </c>
      <c r="K41" s="26" t="str">
        <f>IFERROR(VLOOKUP(CONCATENATE(K$3,"-",$B41),'FO-GC-012'!$B$20:$H$109,2,0),"")</f>
        <v/>
      </c>
      <c r="L41" s="27" t="str">
        <f>IFERROR(VLOOKUP(CONCATENATE(K$3,"-",$B41),'FO-GC-012'!$B$20:$H$109,5,0),"")</f>
        <v/>
      </c>
      <c r="M41" s="28" t="str">
        <f>IFERROR(VLOOKUP(CONCATENATE(K$3,"-",$B41),'FO-GC-012'!$B$20:$H$109,6,0),"")</f>
        <v/>
      </c>
      <c r="N41" s="29" t="str">
        <f>IFERROR(VLOOKUP(CONCATENATE(K$3,"-",$B41),'FO-GC-012'!$D$20:$H$109,5,0),"")</f>
        <v/>
      </c>
      <c r="O41" s="26" t="str">
        <f>IFERROR(VLOOKUP(CONCATENATE(O$3,"-",$B41),'FO-GC-012'!$B$20:$H$109,2,0),"")</f>
        <v/>
      </c>
      <c r="P41" s="27" t="str">
        <f>IFERROR(VLOOKUP(CONCATENATE(O$3,"-",$B41),'FO-GC-012'!$B$20:$H$109,5,0),"")</f>
        <v/>
      </c>
      <c r="Q41" s="28" t="str">
        <f>IFERROR(VLOOKUP(CONCATENATE(O$3,"-",$B41),'FO-GC-012'!$B$20:$H$109,6,0),"")</f>
        <v/>
      </c>
      <c r="R41" s="29" t="str">
        <f>IFERROR(VLOOKUP(CONCATENATE(O$3,"-",$B41),'FO-GC-012'!$D$20:$H$109,5,0),"")</f>
        <v/>
      </c>
      <c r="S41" s="26" t="str">
        <f>IFERROR(VLOOKUP(CONCATENATE(S$3,"-",$B41),'FO-GC-012'!$B$20:$H$109,2,0),"")</f>
        <v/>
      </c>
      <c r="T41" s="27" t="str">
        <f>IFERROR(VLOOKUP(CONCATENATE(S$3,"-",$B41),'FO-GC-012'!$B$20:$H$109,5,0),"")</f>
        <v/>
      </c>
      <c r="U41" s="28" t="str">
        <f>IFERROR(VLOOKUP(CONCATENATE(S$3,"-",$B41),'FO-GC-012'!$B$20:$H$109,6,0),"")</f>
        <v/>
      </c>
      <c r="V41" s="29" t="str">
        <f>IFERROR(VLOOKUP(CONCATENATE(S$3,"-",$B41),'FO-GC-012'!$D$20:$H$109,5,0),"")</f>
        <v/>
      </c>
      <c r="W41" s="26" t="str">
        <f>IFERROR(VLOOKUP(CONCATENATE(W$3,"-",$B41),'FO-GC-012'!$B$20:$H$109,2,0),"")</f>
        <v/>
      </c>
      <c r="X41" s="27" t="str">
        <f>IFERROR(VLOOKUP(CONCATENATE(W$3,"-",$B41),'FO-GC-012'!$B$20:$H$109,5,0),"")</f>
        <v/>
      </c>
      <c r="Y41" s="28" t="str">
        <f>IFERROR(VLOOKUP(CONCATENATE(W$3,"-",$B41),'FO-GC-012'!$B$20:$H$109,6,0),"")</f>
        <v/>
      </c>
      <c r="Z41" s="29" t="str">
        <f>IFERROR(VLOOKUP(CONCATENATE(W$3,"-",$B41),'FO-GC-012'!$D$20:$H$109,5,0),"")</f>
        <v/>
      </c>
      <c r="AA41" s="26" t="str">
        <f>IFERROR(VLOOKUP(CONCATENATE(AA$3,"-",$B41),'FO-GC-012'!$B$20:$H$109,2,0),"")</f>
        <v/>
      </c>
      <c r="AB41" s="27" t="str">
        <f>IFERROR(VLOOKUP(CONCATENATE(AA$3,"-",$B41),'FO-GC-012'!$B$20:$H$109,5,0),"")</f>
        <v/>
      </c>
      <c r="AC41" s="28" t="str">
        <f>IFERROR(VLOOKUP(CONCATENATE(AA$3,"-",$B41),'FO-GC-012'!$B$20:$H$109,6,0),"")</f>
        <v/>
      </c>
      <c r="AD41" s="29" t="str">
        <f>IFERROR(VLOOKUP(CONCATENATE(AA$3,"-",$B41),'FO-GC-012'!$D$20:$H$109,5,0),"")</f>
        <v/>
      </c>
      <c r="AE41" s="26" t="str">
        <f>IFERROR(VLOOKUP(CONCATENATE(AE$3,"-",$B41),'FO-GC-012'!$B$20:$H$109,2,0),"")</f>
        <v/>
      </c>
      <c r="AF41" s="27" t="str">
        <f>IFERROR(VLOOKUP(CONCATENATE(AE$3,"-",$B41),'FO-GC-012'!$B$20:$H$109,5,0),"")</f>
        <v/>
      </c>
      <c r="AG41" s="28" t="str">
        <f>IFERROR(VLOOKUP(CONCATENATE(AE$3,"-",$B41),'FO-GC-012'!$B$20:$H$109,6,0),"")</f>
        <v/>
      </c>
      <c r="AH41" s="29" t="str">
        <f>IFERROR(VLOOKUP(CONCATENATE(AE$3,"-",$B41),'FO-GC-012'!$D$20:$H$109,5,0),"")</f>
        <v/>
      </c>
      <c r="AI41" s="26" t="str">
        <f>IFERROR(VLOOKUP(CONCATENATE(AI$3,"-",$B41),'FO-GC-012'!$B$20:$H$109,2,0),"")</f>
        <v/>
      </c>
      <c r="AJ41" s="27" t="str">
        <f>IFERROR(VLOOKUP(CONCATENATE(AI$3,"-",$B41),'FO-GC-012'!$B$20:$H$109,5,0),"")</f>
        <v/>
      </c>
      <c r="AK41" s="28" t="str">
        <f>IFERROR(VLOOKUP(CONCATENATE(AI$3,"-",$B41),'FO-GC-012'!$B$20:$H$109,6,0),"")</f>
        <v/>
      </c>
      <c r="AL41" s="29" t="str">
        <f>IFERROR(VLOOKUP(CONCATENATE(AI$3,"-",$B41),'FO-GC-012'!$D$20:$H$109,5,0),"")</f>
        <v/>
      </c>
      <c r="AM41" s="26" t="str">
        <f>IFERROR(VLOOKUP(CONCATENATE(AM$3,"-",$B41),'FO-GC-012'!$B$20:$H$109,2,0),"")</f>
        <v/>
      </c>
      <c r="AN41" s="27" t="str">
        <f>IFERROR(VLOOKUP(CONCATENATE(AM$3,"-",$B41),'FO-GC-012'!$B$20:$H$109,5,0),"")</f>
        <v/>
      </c>
      <c r="AO41" s="28" t="str">
        <f>IFERROR(VLOOKUP(CONCATENATE(AM$3,"-",$B41),'FO-GC-012'!$B$20:$H$109,6,0),"")</f>
        <v/>
      </c>
      <c r="AP41" s="29" t="str">
        <f>IFERROR(VLOOKUP(CONCATENATE(AM$3,"-",$B41),'FO-GC-012'!$D$20:$H$109,5,0),"")</f>
        <v/>
      </c>
      <c r="AQ41" s="26" t="str">
        <f>IFERROR(VLOOKUP(CONCATENATE(AQ$3,"-",$B41),'FO-GC-012'!$B$20:$H$109,2,0),"")</f>
        <v/>
      </c>
      <c r="AR41" s="27" t="str">
        <f>IFERROR(VLOOKUP(CONCATENATE(AQ$3,"-",$B41),'FO-GC-012'!$B$20:$H$109,5,0),"")</f>
        <v/>
      </c>
      <c r="AS41" s="28" t="str">
        <f>IFERROR(VLOOKUP(CONCATENATE(AQ$3,"-",$B41),'FO-GC-012'!$B$20:$H$109,6,0),"")</f>
        <v/>
      </c>
      <c r="AT41" s="29" t="str">
        <f>IFERROR(VLOOKUP(CONCATENATE(AQ$3,"-",$B41),'FO-GC-012'!$D$20:$H$109,5,0),"")</f>
        <v/>
      </c>
      <c r="AU41" s="26" t="str">
        <f>IFERROR(VLOOKUP(CONCATENATE(AU$3,"-",$B41),'FO-GC-012'!$B$20:$H$109,2,0),"")</f>
        <v/>
      </c>
      <c r="AV41" s="27" t="str">
        <f>IFERROR(VLOOKUP(CONCATENATE(AU$3,"-",$B41),'FO-GC-012'!$B$20:$H$109,5,0),"")</f>
        <v/>
      </c>
      <c r="AW41" s="28" t="str">
        <f>IFERROR(VLOOKUP(CONCATENATE(AU$3,"-",$B41),'FO-GC-012'!$B$20:$H$109,6,0),"")</f>
        <v/>
      </c>
      <c r="AX41" s="29" t="str">
        <f>IFERROR(VLOOKUP(CONCATENATE(AU$3,"-",$B41),'FO-GC-012'!$D$20:$H$109,5,0),"")</f>
        <v/>
      </c>
      <c r="AY41" s="26" t="str">
        <f>IFERROR(VLOOKUP(CONCATENATE(AY$3,"-",$B41),'FO-GC-012'!$B$20:$H$109,2,0),"")</f>
        <v/>
      </c>
      <c r="AZ41" s="27" t="str">
        <f>IFERROR(VLOOKUP(CONCATENATE(AY$3,"-",$B41),'FO-GC-012'!$B$20:$H$109,5,0),"")</f>
        <v/>
      </c>
      <c r="BA41" s="28" t="str">
        <f>IFERROR(VLOOKUP(CONCATENATE(AY$3,"-",$B41),'FO-GC-012'!$B$20:$H$109,6,0),"")</f>
        <v/>
      </c>
      <c r="BB41" s="29" t="str">
        <f>IFERROR(VLOOKUP(CONCATENATE(AY$3,"-",$B41),'FO-GC-012'!$D$20:$H$109,5,0),"")</f>
        <v/>
      </c>
      <c r="BC41" s="26" t="str">
        <f>IFERROR(VLOOKUP(CONCATENATE(BC$3,"-",$B41),'FO-GC-012'!$B$20:$H$109,2,0),"")</f>
        <v/>
      </c>
      <c r="BD41" s="27" t="str">
        <f>IFERROR(VLOOKUP(CONCATENATE(BC$3,"-",$B41),'FO-GC-012'!$B$20:$H$109,5,0),"")</f>
        <v/>
      </c>
      <c r="BE41" s="28" t="str">
        <f>IFERROR(VLOOKUP(CONCATENATE(BC$3,"-",$B41),'FO-GC-012'!$B$20:$H$109,6,0),"")</f>
        <v/>
      </c>
      <c r="BF41" s="29" t="str">
        <f>IFERROR(VLOOKUP(CONCATENATE(BC$3,"-",$B41),'FO-GC-012'!$D$20:$H$109,5,0),"")</f>
        <v/>
      </c>
      <c r="BG41" s="26" t="str">
        <f>IFERROR(VLOOKUP(CONCATENATE(BG$3,"-",$B41),'FO-GC-012'!$B$20:$H$109,2,0),"")</f>
        <v/>
      </c>
      <c r="BH41" s="27" t="str">
        <f>IFERROR(VLOOKUP(CONCATENATE(BG$3,"-",$B41),'FO-GC-012'!$B$20:$H$109,5,0),"")</f>
        <v/>
      </c>
      <c r="BI41" s="28" t="str">
        <f>IFERROR(VLOOKUP(CONCATENATE(BG$3,"-",$B41),'FO-GC-012'!$B$20:$H$109,6,0),"")</f>
        <v/>
      </c>
      <c r="BJ41" s="29" t="str">
        <f>IFERROR(VLOOKUP(CONCATENATE(BG$3,"-",$B41),'FO-GC-012'!$D$20:$H$109,5,0),"")</f>
        <v/>
      </c>
      <c r="BK41" s="26" t="str">
        <f>IFERROR(VLOOKUP(CONCATENATE(BK$3,"-",$B41),'FO-GC-012'!$B$20:$H$109,2,0),"")</f>
        <v/>
      </c>
      <c r="BL41" s="27" t="str">
        <f>IFERROR(VLOOKUP(CONCATENATE(BK$3,"-",$B41),'FO-GC-012'!$B$20:$H$109,5,0),"")</f>
        <v/>
      </c>
      <c r="BM41" s="28" t="str">
        <f>IFERROR(VLOOKUP(CONCATENATE(BK$3,"-",$B41),'FO-GC-012'!$B$20:$H$109,6,0),"")</f>
        <v/>
      </c>
      <c r="BN41" s="29" t="str">
        <f>IFERROR(VLOOKUP(CONCATENATE(BK$3,"-",$B41),'FO-GC-012'!$D$20:$H$109,5,0),"")</f>
        <v/>
      </c>
      <c r="BO41" s="26" t="str">
        <f>IFERROR(VLOOKUP(CONCATENATE(BO$3,"-",$B41),'FO-GC-012'!$B$20:$H$109,2,0),"")</f>
        <v/>
      </c>
      <c r="BP41" s="27" t="str">
        <f>IFERROR(VLOOKUP(CONCATENATE(BO$3,"-",$B41),'FO-GC-012'!$B$20:$H$109,5,0),"")</f>
        <v/>
      </c>
      <c r="BQ41" s="28" t="str">
        <f>IFERROR(VLOOKUP(CONCATENATE(BO$3,"-",$B41),'FO-GC-012'!$B$20:$H$109,6,0),"")</f>
        <v/>
      </c>
      <c r="BR41" s="29" t="str">
        <f>IFERROR(VLOOKUP(CONCATENATE(BO$3,"-",$B41),'FO-GC-012'!$D$20:$H$109,5,0),"")</f>
        <v/>
      </c>
      <c r="BS41" s="26" t="str">
        <f>IFERROR(VLOOKUP(CONCATENATE(BS$3,"-",$B41),'FO-GC-012'!$B$20:$H$109,2,0),"")</f>
        <v/>
      </c>
      <c r="BT41" s="27" t="str">
        <f>IFERROR(VLOOKUP(CONCATENATE(BS$3,"-",$B41),'FO-GC-012'!$B$20:$H$109,5,0),"")</f>
        <v/>
      </c>
      <c r="BU41" s="28" t="str">
        <f>IFERROR(VLOOKUP(CONCATENATE(BS$3,"-",$B41),'FO-GC-012'!$B$20:$H$109,6,0),"")</f>
        <v/>
      </c>
      <c r="BV41" s="29" t="str">
        <f>IFERROR(VLOOKUP(CONCATENATE(BS$3,"-",$B41),'FO-GC-012'!$D$20:$H$109,5,0),"")</f>
        <v/>
      </c>
      <c r="BW41" s="26" t="str">
        <f>IFERROR(VLOOKUP(CONCATENATE(BW$3,"-",$B41),'FO-GC-012'!$B$20:$H$109,2,0),"")</f>
        <v/>
      </c>
      <c r="BX41" s="27" t="str">
        <f>IFERROR(VLOOKUP(CONCATENATE(BW$3,"-",$B41),'FO-GC-012'!$B$20:$H$109,5,0),"")</f>
        <v/>
      </c>
      <c r="BY41" s="28" t="str">
        <f>IFERROR(VLOOKUP(CONCATENATE(BW$3,"-",$B41),'FO-GC-012'!$B$20:$H$109,6,0),"")</f>
        <v/>
      </c>
      <c r="BZ41" s="29" t="str">
        <f>IFERROR(VLOOKUP(CONCATENATE(BW$3,"-",$B41),'FO-GC-012'!$D$20:$H$109,5,0),"")</f>
        <v/>
      </c>
      <c r="CA41" s="26" t="str">
        <f>IFERROR(VLOOKUP(CONCATENATE(CA$3,"-",$B41),'FO-GC-012'!$B$20:$H$109,2,0),"")</f>
        <v/>
      </c>
      <c r="CB41" s="27" t="str">
        <f>IFERROR(VLOOKUP(CONCATENATE(CA$3,"-",$B41),'FO-GC-012'!$B$20:$H$109,5,0),"")</f>
        <v/>
      </c>
      <c r="CC41" s="28" t="str">
        <f>IFERROR(VLOOKUP(CONCATENATE(CA$3,"-",$B41),'FO-GC-012'!$B$20:$H$109,6,0),"")</f>
        <v/>
      </c>
      <c r="CD41" s="5" t="str">
        <f>IFERROR(VLOOKUP(CONCATENATE(CA$3,"-",$B41),'FO-GC-012'!$D$20:$H$109,5,0),"")</f>
        <v/>
      </c>
    </row>
    <row r="42" spans="1:82" ht="21" customHeight="1" x14ac:dyDescent="0.35">
      <c r="B42" s="125"/>
      <c r="C42" s="22" t="str">
        <f>IFERROR(VLOOKUP(CONCATENATE(C$3,"-",$B42),'FO-GC-012'!$B$20:$H$109,2,0),"")</f>
        <v/>
      </c>
      <c r="D42" s="23" t="str">
        <f>IFERROR(VLOOKUP(CONCATENATE(C$3,"-",$B42),'FO-GC-012'!$B$20:$H$109,5,0),"")</f>
        <v/>
      </c>
      <c r="E42" s="24" t="str">
        <f>IFERROR(VLOOKUP(CONCATENATE(C$3,"-",$B42),'FO-GC-012'!$B$20:$H$109,6,0),"")</f>
        <v/>
      </c>
      <c r="F42" s="25" t="str">
        <f>IFERROR(VLOOKUP(CONCATENATE(C$3,"-",$B42),'FO-GC-012'!$D$20:$H$109,5,0),"")</f>
        <v/>
      </c>
      <c r="G42" s="22" t="str">
        <f>IFERROR(VLOOKUP(CONCATENATE(G$3,"-",$B42),'FO-GC-012'!$B$20:$H$109,2,0),"")</f>
        <v/>
      </c>
      <c r="H42" s="23" t="str">
        <f>IFERROR(VLOOKUP(CONCATENATE(G$3,"-",$B42),'FO-GC-012'!$B$20:$H$109,5,0),"")</f>
        <v/>
      </c>
      <c r="I42" s="24" t="str">
        <f>IFERROR(VLOOKUP(CONCATENATE(G$3,"-",$B42),'FO-GC-012'!$B$20:$H$109,6,0),"")</f>
        <v/>
      </c>
      <c r="J42" s="25" t="str">
        <f>IFERROR(VLOOKUP(CONCATENATE(G$3,"-",$B42),'FO-GC-012'!$D$20:$H$109,5,0),"")</f>
        <v/>
      </c>
      <c r="K42" s="22" t="str">
        <f>IFERROR(VLOOKUP(CONCATENATE(K$3,"-",$B42),'FO-GC-012'!$B$20:$H$109,2,0),"")</f>
        <v/>
      </c>
      <c r="L42" s="23" t="str">
        <f>IFERROR(VLOOKUP(CONCATENATE(K$3,"-",$B42),'FO-GC-012'!$B$20:$H$109,5,0),"")</f>
        <v/>
      </c>
      <c r="M42" s="24" t="str">
        <f>IFERROR(VLOOKUP(CONCATENATE(K$3,"-",$B42),'FO-GC-012'!$B$20:$H$109,6,0),"")</f>
        <v/>
      </c>
      <c r="N42" s="25" t="str">
        <f>IFERROR(VLOOKUP(CONCATENATE(K$3,"-",$B42),'FO-GC-012'!$D$20:$H$109,5,0),"")</f>
        <v/>
      </c>
      <c r="O42" s="22" t="str">
        <f>IFERROR(VLOOKUP(CONCATENATE(O$3,"-",$B42),'FO-GC-012'!$B$20:$H$109,2,0),"")</f>
        <v/>
      </c>
      <c r="P42" s="23" t="str">
        <f>IFERROR(VLOOKUP(CONCATENATE(O$3,"-",$B42),'FO-GC-012'!$B$20:$H$109,5,0),"")</f>
        <v/>
      </c>
      <c r="Q42" s="24" t="str">
        <f>IFERROR(VLOOKUP(CONCATENATE(O$3,"-",$B42),'FO-GC-012'!$B$20:$H$109,6,0),"")</f>
        <v/>
      </c>
      <c r="R42" s="25" t="str">
        <f>IFERROR(VLOOKUP(CONCATENATE(O$3,"-",$B42),'FO-GC-012'!$D$20:$H$109,5,0),"")</f>
        <v/>
      </c>
      <c r="S42" s="22" t="str">
        <f>IFERROR(VLOOKUP(CONCATENATE(S$3,"-",$B42),'FO-GC-012'!$B$20:$H$109,2,0),"")</f>
        <v/>
      </c>
      <c r="T42" s="23" t="str">
        <f>IFERROR(VLOOKUP(CONCATENATE(S$3,"-",$B42),'FO-GC-012'!$B$20:$H$109,5,0),"")</f>
        <v/>
      </c>
      <c r="U42" s="24" t="str">
        <f>IFERROR(VLOOKUP(CONCATENATE(S$3,"-",$B42),'FO-GC-012'!$B$20:$H$109,6,0),"")</f>
        <v/>
      </c>
      <c r="V42" s="25" t="str">
        <f>IFERROR(VLOOKUP(CONCATENATE(S$3,"-",$B42),'FO-GC-012'!$D$20:$H$109,5,0),"")</f>
        <v/>
      </c>
      <c r="W42" s="22" t="str">
        <f>IFERROR(VLOOKUP(CONCATENATE(W$3,"-",$B42),'FO-GC-012'!$B$20:$H$109,2,0),"")</f>
        <v/>
      </c>
      <c r="X42" s="23" t="str">
        <f>IFERROR(VLOOKUP(CONCATENATE(W$3,"-",$B42),'FO-GC-012'!$B$20:$H$109,5,0),"")</f>
        <v/>
      </c>
      <c r="Y42" s="24" t="str">
        <f>IFERROR(VLOOKUP(CONCATENATE(W$3,"-",$B42),'FO-GC-012'!$B$20:$H$109,6,0),"")</f>
        <v/>
      </c>
      <c r="Z42" s="25" t="str">
        <f>IFERROR(VLOOKUP(CONCATENATE(W$3,"-",$B42),'FO-GC-012'!$D$20:$H$109,5,0),"")</f>
        <v/>
      </c>
      <c r="AA42" s="22" t="str">
        <f>IFERROR(VLOOKUP(CONCATENATE(AA$3,"-",$B42),'FO-GC-012'!$B$20:$H$109,2,0),"")</f>
        <v/>
      </c>
      <c r="AB42" s="23" t="str">
        <f>IFERROR(VLOOKUP(CONCATENATE(AA$3,"-",$B42),'FO-GC-012'!$B$20:$H$109,5,0),"")</f>
        <v/>
      </c>
      <c r="AC42" s="24" t="str">
        <f>IFERROR(VLOOKUP(CONCATENATE(AA$3,"-",$B42),'FO-GC-012'!$B$20:$H$109,6,0),"")</f>
        <v/>
      </c>
      <c r="AD42" s="25" t="str">
        <f>IFERROR(VLOOKUP(CONCATENATE(AA$3,"-",$B42),'FO-GC-012'!$D$20:$H$109,5,0),"")</f>
        <v/>
      </c>
      <c r="AE42" s="22" t="str">
        <f>IFERROR(VLOOKUP(CONCATENATE(AE$3,"-",$B42),'FO-GC-012'!$B$20:$H$109,2,0),"")</f>
        <v/>
      </c>
      <c r="AF42" s="23" t="str">
        <f>IFERROR(VLOOKUP(CONCATENATE(AE$3,"-",$B42),'FO-GC-012'!$B$20:$H$109,5,0),"")</f>
        <v/>
      </c>
      <c r="AG42" s="24" t="str">
        <f>IFERROR(VLOOKUP(CONCATENATE(AE$3,"-",$B42),'FO-GC-012'!$B$20:$H$109,6,0),"")</f>
        <v/>
      </c>
      <c r="AH42" s="25" t="str">
        <f>IFERROR(VLOOKUP(CONCATENATE(AE$3,"-",$B42),'FO-GC-012'!$D$20:$H$109,5,0),"")</f>
        <v/>
      </c>
      <c r="AI42" s="22" t="str">
        <f>IFERROR(VLOOKUP(CONCATENATE(AI$3,"-",$B42),'FO-GC-012'!$B$20:$H$109,2,0),"")</f>
        <v/>
      </c>
      <c r="AJ42" s="23" t="str">
        <f>IFERROR(VLOOKUP(CONCATENATE(AI$3,"-",$B42),'FO-GC-012'!$B$20:$H$109,5,0),"")</f>
        <v/>
      </c>
      <c r="AK42" s="24" t="str">
        <f>IFERROR(VLOOKUP(CONCATENATE(AI$3,"-",$B42),'FO-GC-012'!$B$20:$H$109,6,0),"")</f>
        <v/>
      </c>
      <c r="AL42" s="25" t="str">
        <f>IFERROR(VLOOKUP(CONCATENATE(AI$3,"-",$B42),'FO-GC-012'!$D$20:$H$109,5,0),"")</f>
        <v/>
      </c>
      <c r="AM42" s="22" t="str">
        <f>IFERROR(VLOOKUP(CONCATENATE(AM$3,"-",$B42),'FO-GC-012'!$B$20:$H$109,2,0),"")</f>
        <v/>
      </c>
      <c r="AN42" s="23" t="str">
        <f>IFERROR(VLOOKUP(CONCATENATE(AM$3,"-",$B42),'FO-GC-012'!$B$20:$H$109,5,0),"")</f>
        <v/>
      </c>
      <c r="AO42" s="24" t="str">
        <f>IFERROR(VLOOKUP(CONCATENATE(AM$3,"-",$B42),'FO-GC-012'!$B$20:$H$109,6,0),"")</f>
        <v/>
      </c>
      <c r="AP42" s="25" t="str">
        <f>IFERROR(VLOOKUP(CONCATENATE(AM$3,"-",$B42),'FO-GC-012'!$D$20:$H$109,5,0),"")</f>
        <v/>
      </c>
      <c r="AQ42" s="22" t="str">
        <f>IFERROR(VLOOKUP(CONCATENATE(AQ$3,"-",$B42),'FO-GC-012'!$B$20:$H$109,2,0),"")</f>
        <v/>
      </c>
      <c r="AR42" s="23" t="str">
        <f>IFERROR(VLOOKUP(CONCATENATE(AQ$3,"-",$B42),'FO-GC-012'!$B$20:$H$109,5,0),"")</f>
        <v/>
      </c>
      <c r="AS42" s="24" t="str">
        <f>IFERROR(VLOOKUP(CONCATENATE(AQ$3,"-",$B42),'FO-GC-012'!$B$20:$H$109,6,0),"")</f>
        <v/>
      </c>
      <c r="AT42" s="25" t="str">
        <f>IFERROR(VLOOKUP(CONCATENATE(AQ$3,"-",$B42),'FO-GC-012'!$D$20:$H$109,5,0),"")</f>
        <v/>
      </c>
      <c r="AU42" s="22" t="str">
        <f>IFERROR(VLOOKUP(CONCATENATE(AU$3,"-",$B42),'FO-GC-012'!$B$20:$H$109,2,0),"")</f>
        <v/>
      </c>
      <c r="AV42" s="23" t="str">
        <f>IFERROR(VLOOKUP(CONCATENATE(AU$3,"-",$B42),'FO-GC-012'!$B$20:$H$109,5,0),"")</f>
        <v/>
      </c>
      <c r="AW42" s="24" t="str">
        <f>IFERROR(VLOOKUP(CONCATENATE(AU$3,"-",$B42),'FO-GC-012'!$B$20:$H$109,6,0),"")</f>
        <v/>
      </c>
      <c r="AX42" s="25" t="str">
        <f>IFERROR(VLOOKUP(CONCATENATE(AU$3,"-",$B42),'FO-GC-012'!$D$20:$H$109,5,0),"")</f>
        <v/>
      </c>
      <c r="AY42" s="22" t="str">
        <f>IFERROR(VLOOKUP(CONCATENATE(AY$3,"-",$B42),'FO-GC-012'!$B$20:$H$109,2,0),"")</f>
        <v/>
      </c>
      <c r="AZ42" s="23" t="str">
        <f>IFERROR(VLOOKUP(CONCATENATE(AY$3,"-",$B42),'FO-GC-012'!$B$20:$H$109,5,0),"")</f>
        <v/>
      </c>
      <c r="BA42" s="24" t="str">
        <f>IFERROR(VLOOKUP(CONCATENATE(AY$3,"-",$B42),'FO-GC-012'!$B$20:$H$109,6,0),"")</f>
        <v/>
      </c>
      <c r="BB42" s="25" t="str">
        <f>IFERROR(VLOOKUP(CONCATENATE(AY$3,"-",$B42),'FO-GC-012'!$D$20:$H$109,5,0),"")</f>
        <v/>
      </c>
      <c r="BC42" s="22" t="str">
        <f>IFERROR(VLOOKUP(CONCATENATE(BC$3,"-",$B42),'FO-GC-012'!$B$20:$H$109,2,0),"")</f>
        <v/>
      </c>
      <c r="BD42" s="23" t="str">
        <f>IFERROR(VLOOKUP(CONCATENATE(BC$3,"-",$B42),'FO-GC-012'!$B$20:$H$109,5,0),"")</f>
        <v/>
      </c>
      <c r="BE42" s="24" t="str">
        <f>IFERROR(VLOOKUP(CONCATENATE(BC$3,"-",$B42),'FO-GC-012'!$B$20:$H$109,6,0),"")</f>
        <v/>
      </c>
      <c r="BF42" s="25" t="str">
        <f>IFERROR(VLOOKUP(CONCATENATE(BC$3,"-",$B42),'FO-GC-012'!$D$20:$H$109,5,0),"")</f>
        <v/>
      </c>
      <c r="BG42" s="22" t="str">
        <f>IFERROR(VLOOKUP(CONCATENATE(BG$3,"-",$B42),'FO-GC-012'!$B$20:$H$109,2,0),"")</f>
        <v/>
      </c>
      <c r="BH42" s="23" t="str">
        <f>IFERROR(VLOOKUP(CONCATENATE(BG$3,"-",$B42),'FO-GC-012'!$B$20:$H$109,5,0),"")</f>
        <v/>
      </c>
      <c r="BI42" s="24" t="str">
        <f>IFERROR(VLOOKUP(CONCATENATE(BG$3,"-",$B42),'FO-GC-012'!$B$20:$H$109,6,0),"")</f>
        <v/>
      </c>
      <c r="BJ42" s="25" t="str">
        <f>IFERROR(VLOOKUP(CONCATENATE(BG$3,"-",$B42),'FO-GC-012'!$D$20:$H$109,5,0),"")</f>
        <v/>
      </c>
      <c r="BK42" s="22" t="str">
        <f>IFERROR(VLOOKUP(CONCATENATE(BK$3,"-",$B42),'FO-GC-012'!$B$20:$H$109,2,0),"")</f>
        <v/>
      </c>
      <c r="BL42" s="23" t="str">
        <f>IFERROR(VLOOKUP(CONCATENATE(BK$3,"-",$B42),'FO-GC-012'!$B$20:$H$109,5,0),"")</f>
        <v/>
      </c>
      <c r="BM42" s="24" t="str">
        <f>IFERROR(VLOOKUP(CONCATENATE(BK$3,"-",$B42),'FO-GC-012'!$B$20:$H$109,6,0),"")</f>
        <v/>
      </c>
      <c r="BN42" s="25" t="str">
        <f>IFERROR(VLOOKUP(CONCATENATE(BK$3,"-",$B42),'FO-GC-012'!$D$20:$H$109,5,0),"")</f>
        <v/>
      </c>
      <c r="BO42" s="22" t="str">
        <f>IFERROR(VLOOKUP(CONCATENATE(BO$3,"-",$B42),'FO-GC-012'!$B$20:$H$109,2,0),"")</f>
        <v/>
      </c>
      <c r="BP42" s="23" t="str">
        <f>IFERROR(VLOOKUP(CONCATENATE(BO$3,"-",$B42),'FO-GC-012'!$B$20:$H$109,5,0),"")</f>
        <v/>
      </c>
      <c r="BQ42" s="24" t="str">
        <f>IFERROR(VLOOKUP(CONCATENATE(BO$3,"-",$B42),'FO-GC-012'!$B$20:$H$109,6,0),"")</f>
        <v/>
      </c>
      <c r="BR42" s="25" t="str">
        <f>IFERROR(VLOOKUP(CONCATENATE(BO$3,"-",$B42),'FO-GC-012'!$D$20:$H$109,5,0),"")</f>
        <v/>
      </c>
      <c r="BS42" s="22" t="str">
        <f>IFERROR(VLOOKUP(CONCATENATE(BS$3,"-",$B42),'FO-GC-012'!$B$20:$H$109,2,0),"")</f>
        <v/>
      </c>
      <c r="BT42" s="23" t="str">
        <f>IFERROR(VLOOKUP(CONCATENATE(BS$3,"-",$B42),'FO-GC-012'!$B$20:$H$109,5,0),"")</f>
        <v/>
      </c>
      <c r="BU42" s="24" t="str">
        <f>IFERROR(VLOOKUP(CONCATENATE(BS$3,"-",$B42),'FO-GC-012'!$B$20:$H$109,6,0),"")</f>
        <v/>
      </c>
      <c r="BV42" s="25" t="str">
        <f>IFERROR(VLOOKUP(CONCATENATE(BS$3,"-",$B42),'FO-GC-012'!$D$20:$H$109,5,0),"")</f>
        <v/>
      </c>
      <c r="BW42" s="22" t="str">
        <f>IFERROR(VLOOKUP(CONCATENATE(BW$3,"-",$B42),'FO-GC-012'!$B$20:$H$109,2,0),"")</f>
        <v/>
      </c>
      <c r="BX42" s="23" t="str">
        <f>IFERROR(VLOOKUP(CONCATENATE(BW$3,"-",$B42),'FO-GC-012'!$B$20:$H$109,5,0),"")</f>
        <v/>
      </c>
      <c r="BY42" s="24" t="str">
        <f>IFERROR(VLOOKUP(CONCATENATE(BW$3,"-",$B42),'FO-GC-012'!$B$20:$H$109,6,0),"")</f>
        <v/>
      </c>
      <c r="BZ42" s="25" t="str">
        <f>IFERROR(VLOOKUP(CONCATENATE(BW$3,"-",$B42),'FO-GC-012'!$D$20:$H$109,5,0),"")</f>
        <v/>
      </c>
      <c r="CA42" s="22" t="str">
        <f>IFERROR(VLOOKUP(CONCATENATE(CA$3,"-",$B42),'FO-GC-012'!$B$20:$H$109,2,0),"")</f>
        <v/>
      </c>
      <c r="CB42" s="23" t="str">
        <f>IFERROR(VLOOKUP(CONCATENATE(CA$3,"-",$B42),'FO-GC-012'!$B$20:$H$109,5,0),"")</f>
        <v/>
      </c>
      <c r="CC42" s="24" t="str">
        <f>IFERROR(VLOOKUP(CONCATENATE(CA$3,"-",$B42),'FO-GC-012'!$B$20:$H$109,6,0),"")</f>
        <v/>
      </c>
      <c r="CD42" s="5" t="str">
        <f>IFERROR(VLOOKUP(CONCATENATE(CA$3,"-",$B42),'FO-GC-012'!$D$20:$H$109,5,0),"")</f>
        <v/>
      </c>
    </row>
    <row r="43" spans="1:82" ht="21" customHeight="1" x14ac:dyDescent="0.35">
      <c r="B43" s="126"/>
      <c r="C43" s="26" t="str">
        <f>IFERROR(VLOOKUP(CONCATENATE(C$3,"-",$B43),'FO-GC-012'!$B$20:$H$109,2,0),"")</f>
        <v/>
      </c>
      <c r="D43" s="27" t="str">
        <f>IFERROR(VLOOKUP(CONCATENATE(C$3,"-",$B43),'FO-GC-012'!$B$20:$H$109,5,0),"")</f>
        <v/>
      </c>
      <c r="E43" s="28" t="str">
        <f>IFERROR(VLOOKUP(CONCATENATE(C$3,"-",$B43),'FO-GC-012'!$B$20:$H$109,6,0),"")</f>
        <v/>
      </c>
      <c r="F43" s="29" t="str">
        <f>IFERROR(VLOOKUP(CONCATENATE(C$3,"-",$B43),'FO-GC-012'!$D$20:$H$109,5,0),"")</f>
        <v/>
      </c>
      <c r="G43" s="26" t="str">
        <f>IFERROR(VLOOKUP(CONCATENATE(G$3,"-",$B43),'FO-GC-012'!$B$20:$H$109,2,0),"")</f>
        <v/>
      </c>
      <c r="H43" s="27" t="str">
        <f>IFERROR(VLOOKUP(CONCATENATE(G$3,"-",$B43),'FO-GC-012'!$B$20:$H$109,5,0),"")</f>
        <v/>
      </c>
      <c r="I43" s="28" t="str">
        <f>IFERROR(VLOOKUP(CONCATENATE(G$3,"-",$B43),'FO-GC-012'!$B$20:$H$109,6,0),"")</f>
        <v/>
      </c>
      <c r="J43" s="29" t="str">
        <f>IFERROR(VLOOKUP(CONCATENATE(G$3,"-",$B43),'FO-GC-012'!$D$20:$H$109,5,0),"")</f>
        <v/>
      </c>
      <c r="K43" s="26" t="str">
        <f>IFERROR(VLOOKUP(CONCATENATE(K$3,"-",$B43),'FO-GC-012'!$B$20:$H$109,2,0),"")</f>
        <v/>
      </c>
      <c r="L43" s="27" t="str">
        <f>IFERROR(VLOOKUP(CONCATENATE(K$3,"-",$B43),'FO-GC-012'!$B$20:$H$109,5,0),"")</f>
        <v/>
      </c>
      <c r="M43" s="28" t="str">
        <f>IFERROR(VLOOKUP(CONCATENATE(K$3,"-",$B43),'FO-GC-012'!$B$20:$H$109,6,0),"")</f>
        <v/>
      </c>
      <c r="N43" s="29" t="str">
        <f>IFERROR(VLOOKUP(CONCATENATE(K$3,"-",$B43),'FO-GC-012'!$D$20:$H$109,5,0),"")</f>
        <v/>
      </c>
      <c r="O43" s="26" t="str">
        <f>IFERROR(VLOOKUP(CONCATENATE(O$3,"-",$B43),'FO-GC-012'!$B$20:$H$109,2,0),"")</f>
        <v/>
      </c>
      <c r="P43" s="27" t="str">
        <f>IFERROR(VLOOKUP(CONCATENATE(O$3,"-",$B43),'FO-GC-012'!$B$20:$H$109,5,0),"")</f>
        <v/>
      </c>
      <c r="Q43" s="28" t="str">
        <f>IFERROR(VLOOKUP(CONCATENATE(O$3,"-",$B43),'FO-GC-012'!$B$20:$H$109,6,0),"")</f>
        <v/>
      </c>
      <c r="R43" s="29" t="str">
        <f>IFERROR(VLOOKUP(CONCATENATE(O$3,"-",$B43),'FO-GC-012'!$D$20:$H$109,5,0),"")</f>
        <v/>
      </c>
      <c r="S43" s="26" t="str">
        <f>IFERROR(VLOOKUP(CONCATENATE(S$3,"-",$B43),'FO-GC-012'!$B$20:$H$109,2,0),"")</f>
        <v/>
      </c>
      <c r="T43" s="27" t="str">
        <f>IFERROR(VLOOKUP(CONCATENATE(S$3,"-",$B43),'FO-GC-012'!$B$20:$H$109,5,0),"")</f>
        <v/>
      </c>
      <c r="U43" s="28" t="str">
        <f>IFERROR(VLOOKUP(CONCATENATE(S$3,"-",$B43),'FO-GC-012'!$B$20:$H$109,6,0),"")</f>
        <v/>
      </c>
      <c r="V43" s="29" t="str">
        <f>IFERROR(VLOOKUP(CONCATENATE(S$3,"-",$B43),'FO-GC-012'!$D$20:$H$109,5,0),"")</f>
        <v/>
      </c>
      <c r="W43" s="26" t="str">
        <f>IFERROR(VLOOKUP(CONCATENATE(W$3,"-",$B43),'FO-GC-012'!$B$20:$H$109,2,0),"")</f>
        <v/>
      </c>
      <c r="X43" s="27" t="str">
        <f>IFERROR(VLOOKUP(CONCATENATE(W$3,"-",$B43),'FO-GC-012'!$B$20:$H$109,5,0),"")</f>
        <v/>
      </c>
      <c r="Y43" s="28" t="str">
        <f>IFERROR(VLOOKUP(CONCATENATE(W$3,"-",$B43),'FO-GC-012'!$B$20:$H$109,6,0),"")</f>
        <v/>
      </c>
      <c r="Z43" s="29" t="str">
        <f>IFERROR(VLOOKUP(CONCATENATE(W$3,"-",$B43),'FO-GC-012'!$D$20:$H$109,5,0),"")</f>
        <v/>
      </c>
      <c r="AA43" s="26" t="str">
        <f>IFERROR(VLOOKUP(CONCATENATE(AA$3,"-",$B43),'FO-GC-012'!$B$20:$H$109,2,0),"")</f>
        <v/>
      </c>
      <c r="AB43" s="27" t="str">
        <f>IFERROR(VLOOKUP(CONCATENATE(AA$3,"-",$B43),'FO-GC-012'!$B$20:$H$109,5,0),"")</f>
        <v/>
      </c>
      <c r="AC43" s="28" t="str">
        <f>IFERROR(VLOOKUP(CONCATENATE(AA$3,"-",$B43),'FO-GC-012'!$B$20:$H$109,6,0),"")</f>
        <v/>
      </c>
      <c r="AD43" s="29" t="str">
        <f>IFERROR(VLOOKUP(CONCATENATE(AA$3,"-",$B43),'FO-GC-012'!$D$20:$H$109,5,0),"")</f>
        <v/>
      </c>
      <c r="AE43" s="26" t="str">
        <f>IFERROR(VLOOKUP(CONCATENATE(AE$3,"-",$B43),'FO-GC-012'!$B$20:$H$109,2,0),"")</f>
        <v/>
      </c>
      <c r="AF43" s="27" t="str">
        <f>IFERROR(VLOOKUP(CONCATENATE(AE$3,"-",$B43),'FO-GC-012'!$B$20:$H$109,5,0),"")</f>
        <v/>
      </c>
      <c r="AG43" s="28" t="str">
        <f>IFERROR(VLOOKUP(CONCATENATE(AE$3,"-",$B43),'FO-GC-012'!$B$20:$H$109,6,0),"")</f>
        <v/>
      </c>
      <c r="AH43" s="29" t="str">
        <f>IFERROR(VLOOKUP(CONCATENATE(AE$3,"-",$B43),'FO-GC-012'!$D$20:$H$109,5,0),"")</f>
        <v/>
      </c>
      <c r="AI43" s="26" t="str">
        <f>IFERROR(VLOOKUP(CONCATENATE(AI$3,"-",$B43),'FO-GC-012'!$B$20:$H$109,2,0),"")</f>
        <v/>
      </c>
      <c r="AJ43" s="27" t="str">
        <f>IFERROR(VLOOKUP(CONCATENATE(AI$3,"-",$B43),'FO-GC-012'!$B$20:$H$109,5,0),"")</f>
        <v/>
      </c>
      <c r="AK43" s="28" t="str">
        <f>IFERROR(VLOOKUP(CONCATENATE(AI$3,"-",$B43),'FO-GC-012'!$B$20:$H$109,6,0),"")</f>
        <v/>
      </c>
      <c r="AL43" s="29" t="str">
        <f>IFERROR(VLOOKUP(CONCATENATE(AI$3,"-",$B43),'FO-GC-012'!$D$20:$H$109,5,0),"")</f>
        <v/>
      </c>
      <c r="AM43" s="26" t="str">
        <f>IFERROR(VLOOKUP(CONCATENATE(AM$3,"-",$B43),'FO-GC-012'!$B$20:$H$109,2,0),"")</f>
        <v/>
      </c>
      <c r="AN43" s="27" t="str">
        <f>IFERROR(VLOOKUP(CONCATENATE(AM$3,"-",$B43),'FO-GC-012'!$B$20:$H$109,5,0),"")</f>
        <v/>
      </c>
      <c r="AO43" s="28" t="str">
        <f>IFERROR(VLOOKUP(CONCATENATE(AM$3,"-",$B43),'FO-GC-012'!$B$20:$H$109,6,0),"")</f>
        <v/>
      </c>
      <c r="AP43" s="29" t="str">
        <f>IFERROR(VLOOKUP(CONCATENATE(AM$3,"-",$B43),'FO-GC-012'!$D$20:$H$109,5,0),"")</f>
        <v/>
      </c>
      <c r="AQ43" s="26" t="str">
        <f>IFERROR(VLOOKUP(CONCATENATE(AQ$3,"-",$B43),'FO-GC-012'!$B$20:$H$109,2,0),"")</f>
        <v/>
      </c>
      <c r="AR43" s="27" t="str">
        <f>IFERROR(VLOOKUP(CONCATENATE(AQ$3,"-",$B43),'FO-GC-012'!$B$20:$H$109,5,0),"")</f>
        <v/>
      </c>
      <c r="AS43" s="28" t="str">
        <f>IFERROR(VLOOKUP(CONCATENATE(AQ$3,"-",$B43),'FO-GC-012'!$B$20:$H$109,6,0),"")</f>
        <v/>
      </c>
      <c r="AT43" s="29" t="str">
        <f>IFERROR(VLOOKUP(CONCATENATE(AQ$3,"-",$B43),'FO-GC-012'!$D$20:$H$109,5,0),"")</f>
        <v/>
      </c>
      <c r="AU43" s="26" t="str">
        <f>IFERROR(VLOOKUP(CONCATENATE(AU$3,"-",$B43),'FO-GC-012'!$B$20:$H$109,2,0),"")</f>
        <v/>
      </c>
      <c r="AV43" s="27" t="str">
        <f>IFERROR(VLOOKUP(CONCATENATE(AU$3,"-",$B43),'FO-GC-012'!$B$20:$H$109,5,0),"")</f>
        <v/>
      </c>
      <c r="AW43" s="28" t="str">
        <f>IFERROR(VLOOKUP(CONCATENATE(AU$3,"-",$B43),'FO-GC-012'!$B$20:$H$109,6,0),"")</f>
        <v/>
      </c>
      <c r="AX43" s="29" t="str">
        <f>IFERROR(VLOOKUP(CONCATENATE(AU$3,"-",$B43),'FO-GC-012'!$D$20:$H$109,5,0),"")</f>
        <v/>
      </c>
      <c r="AY43" s="26" t="str">
        <f>IFERROR(VLOOKUP(CONCATENATE(AY$3,"-",$B43),'FO-GC-012'!$B$20:$H$109,2,0),"")</f>
        <v/>
      </c>
      <c r="AZ43" s="27" t="str">
        <f>IFERROR(VLOOKUP(CONCATENATE(AY$3,"-",$B43),'FO-GC-012'!$B$20:$H$109,5,0),"")</f>
        <v/>
      </c>
      <c r="BA43" s="28" t="str">
        <f>IFERROR(VLOOKUP(CONCATENATE(AY$3,"-",$B43),'FO-GC-012'!$B$20:$H$109,6,0),"")</f>
        <v/>
      </c>
      <c r="BB43" s="29" t="str">
        <f>IFERROR(VLOOKUP(CONCATENATE(AY$3,"-",$B43),'FO-GC-012'!$D$20:$H$109,5,0),"")</f>
        <v/>
      </c>
      <c r="BC43" s="26" t="str">
        <f>IFERROR(VLOOKUP(CONCATENATE(BC$3,"-",$B43),'FO-GC-012'!$B$20:$H$109,2,0),"")</f>
        <v/>
      </c>
      <c r="BD43" s="27" t="str">
        <f>IFERROR(VLOOKUP(CONCATENATE(BC$3,"-",$B43),'FO-GC-012'!$B$20:$H$109,5,0),"")</f>
        <v/>
      </c>
      <c r="BE43" s="28" t="str">
        <f>IFERROR(VLOOKUP(CONCATENATE(BC$3,"-",$B43),'FO-GC-012'!$B$20:$H$109,6,0),"")</f>
        <v/>
      </c>
      <c r="BF43" s="29" t="str">
        <f>IFERROR(VLOOKUP(CONCATENATE(BC$3,"-",$B43),'FO-GC-012'!$D$20:$H$109,5,0),"")</f>
        <v/>
      </c>
      <c r="BG43" s="26" t="str">
        <f>IFERROR(VLOOKUP(CONCATENATE(BG$3,"-",$B43),'FO-GC-012'!$B$20:$H$109,2,0),"")</f>
        <v/>
      </c>
      <c r="BH43" s="27" t="str">
        <f>IFERROR(VLOOKUP(CONCATENATE(BG$3,"-",$B43),'FO-GC-012'!$B$20:$H$109,5,0),"")</f>
        <v/>
      </c>
      <c r="BI43" s="28" t="str">
        <f>IFERROR(VLOOKUP(CONCATENATE(BG$3,"-",$B43),'FO-GC-012'!$B$20:$H$109,6,0),"")</f>
        <v/>
      </c>
      <c r="BJ43" s="29" t="str">
        <f>IFERROR(VLOOKUP(CONCATENATE(BG$3,"-",$B43),'FO-GC-012'!$D$20:$H$109,5,0),"")</f>
        <v/>
      </c>
      <c r="BK43" s="26" t="str">
        <f>IFERROR(VLOOKUP(CONCATENATE(BK$3,"-",$B43),'FO-GC-012'!$B$20:$H$109,2,0),"")</f>
        <v/>
      </c>
      <c r="BL43" s="27" t="str">
        <f>IFERROR(VLOOKUP(CONCATENATE(BK$3,"-",$B43),'FO-GC-012'!$B$20:$H$109,5,0),"")</f>
        <v/>
      </c>
      <c r="BM43" s="28" t="str">
        <f>IFERROR(VLOOKUP(CONCATENATE(BK$3,"-",$B43),'FO-GC-012'!$B$20:$H$109,6,0),"")</f>
        <v/>
      </c>
      <c r="BN43" s="29" t="str">
        <f>IFERROR(VLOOKUP(CONCATENATE(BK$3,"-",$B43),'FO-GC-012'!$D$20:$H$109,5,0),"")</f>
        <v/>
      </c>
      <c r="BO43" s="26" t="str">
        <f>IFERROR(VLOOKUP(CONCATENATE(BO$3,"-",$B43),'FO-GC-012'!$B$20:$H$109,2,0),"")</f>
        <v/>
      </c>
      <c r="BP43" s="27" t="str">
        <f>IFERROR(VLOOKUP(CONCATENATE(BO$3,"-",$B43),'FO-GC-012'!$B$20:$H$109,5,0),"")</f>
        <v/>
      </c>
      <c r="BQ43" s="28" t="str">
        <f>IFERROR(VLOOKUP(CONCATENATE(BO$3,"-",$B43),'FO-GC-012'!$B$20:$H$109,6,0),"")</f>
        <v/>
      </c>
      <c r="BR43" s="29" t="str">
        <f>IFERROR(VLOOKUP(CONCATENATE(BO$3,"-",$B43),'FO-GC-012'!$D$20:$H$109,5,0),"")</f>
        <v/>
      </c>
      <c r="BS43" s="26" t="str">
        <f>IFERROR(VLOOKUP(CONCATENATE(BS$3,"-",$B43),'FO-GC-012'!$B$20:$H$109,2,0),"")</f>
        <v/>
      </c>
      <c r="BT43" s="27" t="str">
        <f>IFERROR(VLOOKUP(CONCATENATE(BS$3,"-",$B43),'FO-GC-012'!$B$20:$H$109,5,0),"")</f>
        <v/>
      </c>
      <c r="BU43" s="28" t="str">
        <f>IFERROR(VLOOKUP(CONCATENATE(BS$3,"-",$B43),'FO-GC-012'!$B$20:$H$109,6,0),"")</f>
        <v/>
      </c>
      <c r="BV43" s="29" t="str">
        <f>IFERROR(VLOOKUP(CONCATENATE(BS$3,"-",$B43),'FO-GC-012'!$D$20:$H$109,5,0),"")</f>
        <v/>
      </c>
      <c r="BW43" s="26" t="str">
        <f>IFERROR(VLOOKUP(CONCATENATE(BW$3,"-",$B43),'FO-GC-012'!$B$20:$H$109,2,0),"")</f>
        <v/>
      </c>
      <c r="BX43" s="27" t="str">
        <f>IFERROR(VLOOKUP(CONCATENATE(BW$3,"-",$B43),'FO-GC-012'!$B$20:$H$109,5,0),"")</f>
        <v/>
      </c>
      <c r="BY43" s="28" t="str">
        <f>IFERROR(VLOOKUP(CONCATENATE(BW$3,"-",$B43),'FO-GC-012'!$B$20:$H$109,6,0),"")</f>
        <v/>
      </c>
      <c r="BZ43" s="29" t="str">
        <f>IFERROR(VLOOKUP(CONCATENATE(BW$3,"-",$B43),'FO-GC-012'!$D$20:$H$109,5,0),"")</f>
        <v/>
      </c>
      <c r="CA43" s="26" t="str">
        <f>IFERROR(VLOOKUP(CONCATENATE(CA$3,"-",$B43),'FO-GC-012'!$B$20:$H$109,2,0),"")</f>
        <v/>
      </c>
      <c r="CB43" s="27" t="str">
        <f>IFERROR(VLOOKUP(CONCATENATE(CA$3,"-",$B43),'FO-GC-012'!$B$20:$H$109,5,0),"")</f>
        <v/>
      </c>
      <c r="CC43" s="28" t="str">
        <f>IFERROR(VLOOKUP(CONCATENATE(CA$3,"-",$B43),'FO-GC-012'!$B$20:$H$109,6,0),"")</f>
        <v/>
      </c>
      <c r="CD43" s="5" t="str">
        <f>IFERROR(VLOOKUP(CONCATENATE(CA$3,"-",$B43),'FO-GC-012'!$D$20:$H$109,5,0),"")</f>
        <v/>
      </c>
    </row>
    <row r="44" spans="1:82" ht="21" customHeight="1" x14ac:dyDescent="0.35">
      <c r="B44" s="125"/>
      <c r="C44" s="22" t="str">
        <f>IFERROR(VLOOKUP(CONCATENATE(C$3,"-",$B44),'FO-GC-012'!$B$20:$H$109,2,0),"")</f>
        <v/>
      </c>
      <c r="D44" s="23" t="str">
        <f>IFERROR(VLOOKUP(CONCATENATE(C$3,"-",$B44),'FO-GC-012'!$B$20:$H$109,5,0),"")</f>
        <v/>
      </c>
      <c r="E44" s="24" t="str">
        <f>IFERROR(VLOOKUP(CONCATENATE(C$3,"-",$B44),'FO-GC-012'!$B$20:$H$109,6,0),"")</f>
        <v/>
      </c>
      <c r="F44" s="25" t="str">
        <f>IFERROR(VLOOKUP(CONCATENATE(C$3,"-",$B44),'FO-GC-012'!$D$20:$H$109,5,0),"")</f>
        <v/>
      </c>
      <c r="G44" s="22" t="str">
        <f>IFERROR(VLOOKUP(CONCATENATE(G$3,"-",$B44),'FO-GC-012'!$B$20:$H$109,2,0),"")</f>
        <v/>
      </c>
      <c r="H44" s="23" t="str">
        <f>IFERROR(VLOOKUP(CONCATENATE(G$3,"-",$B44),'FO-GC-012'!$B$20:$H$109,5,0),"")</f>
        <v/>
      </c>
      <c r="I44" s="24" t="str">
        <f>IFERROR(VLOOKUP(CONCATENATE(G$3,"-",$B44),'FO-GC-012'!$B$20:$H$109,6,0),"")</f>
        <v/>
      </c>
      <c r="J44" s="25" t="str">
        <f>IFERROR(VLOOKUP(CONCATENATE(G$3,"-",$B44),'FO-GC-012'!$D$20:$H$109,5,0),"")</f>
        <v/>
      </c>
      <c r="K44" s="22" t="str">
        <f>IFERROR(VLOOKUP(CONCATENATE(K$3,"-",$B44),'FO-GC-012'!$B$20:$H$109,2,0),"")</f>
        <v/>
      </c>
      <c r="L44" s="23" t="str">
        <f>IFERROR(VLOOKUP(CONCATENATE(K$3,"-",$B44),'FO-GC-012'!$B$20:$H$109,5,0),"")</f>
        <v/>
      </c>
      <c r="M44" s="24" t="str">
        <f>IFERROR(VLOOKUP(CONCATENATE(K$3,"-",$B44),'FO-GC-012'!$B$20:$H$109,6,0),"")</f>
        <v/>
      </c>
      <c r="N44" s="25" t="str">
        <f>IFERROR(VLOOKUP(CONCATENATE(K$3,"-",$B44),'FO-GC-012'!$D$20:$H$109,5,0),"")</f>
        <v/>
      </c>
      <c r="O44" s="22" t="str">
        <f>IFERROR(VLOOKUP(CONCATENATE(O$3,"-",$B44),'FO-GC-012'!$B$20:$H$109,2,0),"")</f>
        <v/>
      </c>
      <c r="P44" s="23" t="str">
        <f>IFERROR(VLOOKUP(CONCATENATE(O$3,"-",$B44),'FO-GC-012'!$B$20:$H$109,5,0),"")</f>
        <v/>
      </c>
      <c r="Q44" s="24" t="str">
        <f>IFERROR(VLOOKUP(CONCATENATE(O$3,"-",$B44),'FO-GC-012'!$B$20:$H$109,6,0),"")</f>
        <v/>
      </c>
      <c r="R44" s="25" t="str">
        <f>IFERROR(VLOOKUP(CONCATENATE(O$3,"-",$B44),'FO-GC-012'!$D$20:$H$109,5,0),"")</f>
        <v/>
      </c>
      <c r="S44" s="22" t="str">
        <f>IFERROR(VLOOKUP(CONCATENATE(S$3,"-",$B44),'FO-GC-012'!$B$20:$H$109,2,0),"")</f>
        <v/>
      </c>
      <c r="T44" s="23" t="str">
        <f>IFERROR(VLOOKUP(CONCATENATE(S$3,"-",$B44),'FO-GC-012'!$B$20:$H$109,5,0),"")</f>
        <v/>
      </c>
      <c r="U44" s="24" t="str">
        <f>IFERROR(VLOOKUP(CONCATENATE(S$3,"-",$B44),'FO-GC-012'!$B$20:$H$109,6,0),"")</f>
        <v/>
      </c>
      <c r="V44" s="25" t="str">
        <f>IFERROR(VLOOKUP(CONCATENATE(S$3,"-",$B44),'FO-GC-012'!$D$20:$H$109,5,0),"")</f>
        <v/>
      </c>
      <c r="W44" s="22" t="str">
        <f>IFERROR(VLOOKUP(CONCATENATE(W$3,"-",$B44),'FO-GC-012'!$B$20:$H$109,2,0),"")</f>
        <v/>
      </c>
      <c r="X44" s="23" t="str">
        <f>IFERROR(VLOOKUP(CONCATENATE(W$3,"-",$B44),'FO-GC-012'!$B$20:$H$109,5,0),"")</f>
        <v/>
      </c>
      <c r="Y44" s="24" t="str">
        <f>IFERROR(VLOOKUP(CONCATENATE(W$3,"-",$B44),'FO-GC-012'!$B$20:$H$109,6,0),"")</f>
        <v/>
      </c>
      <c r="Z44" s="25" t="str">
        <f>IFERROR(VLOOKUP(CONCATENATE(W$3,"-",$B44),'FO-GC-012'!$D$20:$H$109,5,0),"")</f>
        <v/>
      </c>
      <c r="AA44" s="22" t="str">
        <f>IFERROR(VLOOKUP(CONCATENATE(AA$3,"-",$B44),'FO-GC-012'!$B$20:$H$109,2,0),"")</f>
        <v/>
      </c>
      <c r="AB44" s="23" t="str">
        <f>IFERROR(VLOOKUP(CONCATENATE(AA$3,"-",$B44),'FO-GC-012'!$B$20:$H$109,5,0),"")</f>
        <v/>
      </c>
      <c r="AC44" s="24" t="str">
        <f>IFERROR(VLOOKUP(CONCATENATE(AA$3,"-",$B44),'FO-GC-012'!$B$20:$H$109,6,0),"")</f>
        <v/>
      </c>
      <c r="AD44" s="25" t="str">
        <f>IFERROR(VLOOKUP(CONCATENATE(AA$3,"-",$B44),'FO-GC-012'!$D$20:$H$109,5,0),"")</f>
        <v/>
      </c>
      <c r="AE44" s="22" t="str">
        <f>IFERROR(VLOOKUP(CONCATENATE(AE$3,"-",$B44),'FO-GC-012'!$B$20:$H$109,2,0),"")</f>
        <v/>
      </c>
      <c r="AF44" s="23" t="str">
        <f>IFERROR(VLOOKUP(CONCATENATE(AE$3,"-",$B44),'FO-GC-012'!$B$20:$H$109,5,0),"")</f>
        <v/>
      </c>
      <c r="AG44" s="24" t="str">
        <f>IFERROR(VLOOKUP(CONCATENATE(AE$3,"-",$B44),'FO-GC-012'!$B$20:$H$109,6,0),"")</f>
        <v/>
      </c>
      <c r="AH44" s="25" t="str">
        <f>IFERROR(VLOOKUP(CONCATENATE(AE$3,"-",$B44),'FO-GC-012'!$D$20:$H$109,5,0),"")</f>
        <v/>
      </c>
      <c r="AI44" s="22" t="str">
        <f>IFERROR(VLOOKUP(CONCATENATE(AI$3,"-",$B44),'FO-GC-012'!$B$20:$H$109,2,0),"")</f>
        <v/>
      </c>
      <c r="AJ44" s="23" t="str">
        <f>IFERROR(VLOOKUP(CONCATENATE(AI$3,"-",$B44),'FO-GC-012'!$B$20:$H$109,5,0),"")</f>
        <v/>
      </c>
      <c r="AK44" s="24" t="str">
        <f>IFERROR(VLOOKUP(CONCATENATE(AI$3,"-",$B44),'FO-GC-012'!$B$20:$H$109,6,0),"")</f>
        <v/>
      </c>
      <c r="AL44" s="25" t="str">
        <f>IFERROR(VLOOKUP(CONCATENATE(AI$3,"-",$B44),'FO-GC-012'!$D$20:$H$109,5,0),"")</f>
        <v/>
      </c>
      <c r="AM44" s="22" t="str">
        <f>IFERROR(VLOOKUP(CONCATENATE(AM$3,"-",$B44),'FO-GC-012'!$B$20:$H$109,2,0),"")</f>
        <v/>
      </c>
      <c r="AN44" s="23" t="str">
        <f>IFERROR(VLOOKUP(CONCATENATE(AM$3,"-",$B44),'FO-GC-012'!$B$20:$H$109,5,0),"")</f>
        <v/>
      </c>
      <c r="AO44" s="24" t="str">
        <f>IFERROR(VLOOKUP(CONCATENATE(AM$3,"-",$B44),'FO-GC-012'!$B$20:$H$109,6,0),"")</f>
        <v/>
      </c>
      <c r="AP44" s="25" t="str">
        <f>IFERROR(VLOOKUP(CONCATENATE(AM$3,"-",$B44),'FO-GC-012'!$D$20:$H$109,5,0),"")</f>
        <v/>
      </c>
      <c r="AQ44" s="22" t="str">
        <f>IFERROR(VLOOKUP(CONCATENATE(AQ$3,"-",$B44),'FO-GC-012'!$B$20:$H$109,2,0),"")</f>
        <v/>
      </c>
      <c r="AR44" s="23" t="str">
        <f>IFERROR(VLOOKUP(CONCATENATE(AQ$3,"-",$B44),'FO-GC-012'!$B$20:$H$109,5,0),"")</f>
        <v/>
      </c>
      <c r="AS44" s="24" t="str">
        <f>IFERROR(VLOOKUP(CONCATENATE(AQ$3,"-",$B44),'FO-GC-012'!$B$20:$H$109,6,0),"")</f>
        <v/>
      </c>
      <c r="AT44" s="25" t="str">
        <f>IFERROR(VLOOKUP(CONCATENATE(AQ$3,"-",$B44),'FO-GC-012'!$D$20:$H$109,5,0),"")</f>
        <v/>
      </c>
      <c r="AU44" s="22" t="str">
        <f>IFERROR(VLOOKUP(CONCATENATE(AU$3,"-",$B44),'FO-GC-012'!$B$20:$H$109,2,0),"")</f>
        <v/>
      </c>
      <c r="AV44" s="23" t="str">
        <f>IFERROR(VLOOKUP(CONCATENATE(AU$3,"-",$B44),'FO-GC-012'!$B$20:$H$109,5,0),"")</f>
        <v/>
      </c>
      <c r="AW44" s="24" t="str">
        <f>IFERROR(VLOOKUP(CONCATENATE(AU$3,"-",$B44),'FO-GC-012'!$B$20:$H$109,6,0),"")</f>
        <v/>
      </c>
      <c r="AX44" s="25" t="str">
        <f>IFERROR(VLOOKUP(CONCATENATE(AU$3,"-",$B44),'FO-GC-012'!$D$20:$H$109,5,0),"")</f>
        <v/>
      </c>
      <c r="AY44" s="22" t="str">
        <f>IFERROR(VLOOKUP(CONCATENATE(AY$3,"-",$B44),'FO-GC-012'!$B$20:$H$109,2,0),"")</f>
        <v/>
      </c>
      <c r="AZ44" s="23" t="str">
        <f>IFERROR(VLOOKUP(CONCATENATE(AY$3,"-",$B44),'FO-GC-012'!$B$20:$H$109,5,0),"")</f>
        <v/>
      </c>
      <c r="BA44" s="24" t="str">
        <f>IFERROR(VLOOKUP(CONCATENATE(AY$3,"-",$B44),'FO-GC-012'!$B$20:$H$109,6,0),"")</f>
        <v/>
      </c>
      <c r="BB44" s="25" t="str">
        <f>IFERROR(VLOOKUP(CONCATENATE(AY$3,"-",$B44),'FO-GC-012'!$D$20:$H$109,5,0),"")</f>
        <v/>
      </c>
      <c r="BC44" s="22" t="str">
        <f>IFERROR(VLOOKUP(CONCATENATE(BC$3,"-",$B44),'FO-GC-012'!$B$20:$H$109,2,0),"")</f>
        <v/>
      </c>
      <c r="BD44" s="23" t="str">
        <f>IFERROR(VLOOKUP(CONCATENATE(BC$3,"-",$B44),'FO-GC-012'!$B$20:$H$109,5,0),"")</f>
        <v/>
      </c>
      <c r="BE44" s="24" t="str">
        <f>IFERROR(VLOOKUP(CONCATENATE(BC$3,"-",$B44),'FO-GC-012'!$B$20:$H$109,6,0),"")</f>
        <v/>
      </c>
      <c r="BF44" s="25" t="str">
        <f>IFERROR(VLOOKUP(CONCATENATE(BC$3,"-",$B44),'FO-GC-012'!$D$20:$H$109,5,0),"")</f>
        <v/>
      </c>
      <c r="BG44" s="22" t="str">
        <f>IFERROR(VLOOKUP(CONCATENATE(BG$3,"-",$B44),'FO-GC-012'!$B$20:$H$109,2,0),"")</f>
        <v/>
      </c>
      <c r="BH44" s="23" t="str">
        <f>IFERROR(VLOOKUP(CONCATENATE(BG$3,"-",$B44),'FO-GC-012'!$B$20:$H$109,5,0),"")</f>
        <v/>
      </c>
      <c r="BI44" s="24" t="str">
        <f>IFERROR(VLOOKUP(CONCATENATE(BG$3,"-",$B44),'FO-GC-012'!$B$20:$H$109,6,0),"")</f>
        <v/>
      </c>
      <c r="BJ44" s="25" t="str">
        <f>IFERROR(VLOOKUP(CONCATENATE(BG$3,"-",$B44),'FO-GC-012'!$D$20:$H$109,5,0),"")</f>
        <v/>
      </c>
      <c r="BK44" s="22" t="str">
        <f>IFERROR(VLOOKUP(CONCATENATE(BK$3,"-",$B44),'FO-GC-012'!$B$20:$H$109,2,0),"")</f>
        <v/>
      </c>
      <c r="BL44" s="23" t="str">
        <f>IFERROR(VLOOKUP(CONCATENATE(BK$3,"-",$B44),'FO-GC-012'!$B$20:$H$109,5,0),"")</f>
        <v/>
      </c>
      <c r="BM44" s="24" t="str">
        <f>IFERROR(VLOOKUP(CONCATENATE(BK$3,"-",$B44),'FO-GC-012'!$B$20:$H$109,6,0),"")</f>
        <v/>
      </c>
      <c r="BN44" s="25" t="str">
        <f>IFERROR(VLOOKUP(CONCATENATE(BK$3,"-",$B44),'FO-GC-012'!$D$20:$H$109,5,0),"")</f>
        <v/>
      </c>
      <c r="BO44" s="22" t="str">
        <f>IFERROR(VLOOKUP(CONCATENATE(BO$3,"-",$B44),'FO-GC-012'!$B$20:$H$109,2,0),"")</f>
        <v/>
      </c>
      <c r="BP44" s="23" t="str">
        <f>IFERROR(VLOOKUP(CONCATENATE(BO$3,"-",$B44),'FO-GC-012'!$B$20:$H$109,5,0),"")</f>
        <v/>
      </c>
      <c r="BQ44" s="24" t="str">
        <f>IFERROR(VLOOKUP(CONCATENATE(BO$3,"-",$B44),'FO-GC-012'!$B$20:$H$109,6,0),"")</f>
        <v/>
      </c>
      <c r="BR44" s="25" t="str">
        <f>IFERROR(VLOOKUP(CONCATENATE(BO$3,"-",$B44),'FO-GC-012'!$D$20:$H$109,5,0),"")</f>
        <v/>
      </c>
      <c r="BS44" s="22" t="str">
        <f>IFERROR(VLOOKUP(CONCATENATE(BS$3,"-",$B44),'FO-GC-012'!$B$20:$H$109,2,0),"")</f>
        <v/>
      </c>
      <c r="BT44" s="23" t="str">
        <f>IFERROR(VLOOKUP(CONCATENATE(BS$3,"-",$B44),'FO-GC-012'!$B$20:$H$109,5,0),"")</f>
        <v/>
      </c>
      <c r="BU44" s="24" t="str">
        <f>IFERROR(VLOOKUP(CONCATENATE(BS$3,"-",$B44),'FO-GC-012'!$B$20:$H$109,6,0),"")</f>
        <v/>
      </c>
      <c r="BV44" s="25" t="str">
        <f>IFERROR(VLOOKUP(CONCATENATE(BS$3,"-",$B44),'FO-GC-012'!$D$20:$H$109,5,0),"")</f>
        <v/>
      </c>
      <c r="BW44" s="22" t="str">
        <f>IFERROR(VLOOKUP(CONCATENATE(BW$3,"-",$B44),'FO-GC-012'!$B$20:$H$109,2,0),"")</f>
        <v/>
      </c>
      <c r="BX44" s="23" t="str">
        <f>IFERROR(VLOOKUP(CONCATENATE(BW$3,"-",$B44),'FO-GC-012'!$B$20:$H$109,5,0),"")</f>
        <v/>
      </c>
      <c r="BY44" s="24" t="str">
        <f>IFERROR(VLOOKUP(CONCATENATE(BW$3,"-",$B44),'FO-GC-012'!$B$20:$H$109,6,0),"")</f>
        <v/>
      </c>
      <c r="BZ44" s="25" t="str">
        <f>IFERROR(VLOOKUP(CONCATENATE(BW$3,"-",$B44),'FO-GC-012'!$D$20:$H$109,5,0),"")</f>
        <v/>
      </c>
      <c r="CA44" s="22" t="str">
        <f>IFERROR(VLOOKUP(CONCATENATE(CA$3,"-",$B44),'FO-GC-012'!$B$20:$H$109,2,0),"")</f>
        <v/>
      </c>
      <c r="CB44" s="23" t="str">
        <f>IFERROR(VLOOKUP(CONCATENATE(CA$3,"-",$B44),'FO-GC-012'!$B$20:$H$109,5,0),"")</f>
        <v/>
      </c>
      <c r="CC44" s="24" t="str">
        <f>IFERROR(VLOOKUP(CONCATENATE(CA$3,"-",$B44),'FO-GC-012'!$B$20:$H$109,6,0),"")</f>
        <v/>
      </c>
      <c r="CD44" s="5" t="str">
        <f>IFERROR(VLOOKUP(CONCATENATE(CA$3,"-",$B44),'FO-GC-012'!$D$20:$H$109,5,0),"")</f>
        <v/>
      </c>
    </row>
    <row r="45" spans="1:82" ht="21" customHeight="1" x14ac:dyDescent="0.35">
      <c r="B45" s="126"/>
      <c r="C45" s="26" t="str">
        <f>IFERROR(VLOOKUP(CONCATENATE(C$3,"-",$B45),'FO-GC-012'!$B$20:$H$109,2,0),"")</f>
        <v/>
      </c>
      <c r="D45" s="27" t="str">
        <f>IFERROR(VLOOKUP(CONCATENATE(C$3,"-",$B45),'FO-GC-012'!$B$20:$H$109,5,0),"")</f>
        <v/>
      </c>
      <c r="E45" s="28" t="str">
        <f>IFERROR(VLOOKUP(CONCATENATE(C$3,"-",$B45),'FO-GC-012'!$B$20:$H$109,6,0),"")</f>
        <v/>
      </c>
      <c r="F45" s="29" t="str">
        <f>IFERROR(VLOOKUP(CONCATENATE(C$3,"-",$B45),'FO-GC-012'!$D$20:$H$109,5,0),"")</f>
        <v/>
      </c>
      <c r="G45" s="26" t="str">
        <f>IFERROR(VLOOKUP(CONCATENATE(G$3,"-",$B45),'FO-GC-012'!$B$20:$H$109,2,0),"")</f>
        <v/>
      </c>
      <c r="H45" s="27" t="str">
        <f>IFERROR(VLOOKUP(CONCATENATE(G$3,"-",$B45),'FO-GC-012'!$B$20:$H$109,5,0),"")</f>
        <v/>
      </c>
      <c r="I45" s="28" t="str">
        <f>IFERROR(VLOOKUP(CONCATENATE(G$3,"-",$B45),'FO-GC-012'!$B$20:$H$109,6,0),"")</f>
        <v/>
      </c>
      <c r="J45" s="29" t="str">
        <f>IFERROR(VLOOKUP(CONCATENATE(G$3,"-",$B45),'FO-GC-012'!$D$20:$H$109,5,0),"")</f>
        <v/>
      </c>
      <c r="K45" s="26" t="str">
        <f>IFERROR(VLOOKUP(CONCATENATE(K$3,"-",$B45),'FO-GC-012'!$B$20:$H$109,2,0),"")</f>
        <v/>
      </c>
      <c r="L45" s="27" t="str">
        <f>IFERROR(VLOOKUP(CONCATENATE(K$3,"-",$B45),'FO-GC-012'!$B$20:$H$109,5,0),"")</f>
        <v/>
      </c>
      <c r="M45" s="28" t="str">
        <f>IFERROR(VLOOKUP(CONCATENATE(K$3,"-",$B45),'FO-GC-012'!$B$20:$H$109,6,0),"")</f>
        <v/>
      </c>
      <c r="N45" s="29" t="str">
        <f>IFERROR(VLOOKUP(CONCATENATE(K$3,"-",$B45),'FO-GC-012'!$D$20:$H$109,5,0),"")</f>
        <v/>
      </c>
      <c r="O45" s="26" t="str">
        <f>IFERROR(VLOOKUP(CONCATENATE(O$3,"-",$B45),'FO-GC-012'!$B$20:$H$109,2,0),"")</f>
        <v/>
      </c>
      <c r="P45" s="27" t="str">
        <f>IFERROR(VLOOKUP(CONCATENATE(O$3,"-",$B45),'FO-GC-012'!$B$20:$H$109,5,0),"")</f>
        <v/>
      </c>
      <c r="Q45" s="28" t="str">
        <f>IFERROR(VLOOKUP(CONCATENATE(O$3,"-",$B45),'FO-GC-012'!$B$20:$H$109,6,0),"")</f>
        <v/>
      </c>
      <c r="R45" s="29" t="str">
        <f>IFERROR(VLOOKUP(CONCATENATE(O$3,"-",$B45),'FO-GC-012'!$D$20:$H$109,5,0),"")</f>
        <v/>
      </c>
      <c r="S45" s="26" t="str">
        <f>IFERROR(VLOOKUP(CONCATENATE(S$3,"-",$B45),'FO-GC-012'!$B$20:$H$109,2,0),"")</f>
        <v/>
      </c>
      <c r="T45" s="27" t="str">
        <f>IFERROR(VLOOKUP(CONCATENATE(S$3,"-",$B45),'FO-GC-012'!$B$20:$H$109,5,0),"")</f>
        <v/>
      </c>
      <c r="U45" s="28" t="str">
        <f>IFERROR(VLOOKUP(CONCATENATE(S$3,"-",$B45),'FO-GC-012'!$B$20:$H$109,6,0),"")</f>
        <v/>
      </c>
      <c r="V45" s="29" t="str">
        <f>IFERROR(VLOOKUP(CONCATENATE(S$3,"-",$B45),'FO-GC-012'!$D$20:$H$109,5,0),"")</f>
        <v/>
      </c>
      <c r="W45" s="26" t="str">
        <f>IFERROR(VLOOKUP(CONCATENATE(W$3,"-",$B45),'FO-GC-012'!$B$20:$H$109,2,0),"")</f>
        <v/>
      </c>
      <c r="X45" s="27" t="str">
        <f>IFERROR(VLOOKUP(CONCATENATE(W$3,"-",$B45),'FO-GC-012'!$B$20:$H$109,5,0),"")</f>
        <v/>
      </c>
      <c r="Y45" s="28" t="str">
        <f>IFERROR(VLOOKUP(CONCATENATE(W$3,"-",$B45),'FO-GC-012'!$B$20:$H$109,6,0),"")</f>
        <v/>
      </c>
      <c r="Z45" s="29" t="str">
        <f>IFERROR(VLOOKUP(CONCATENATE(W$3,"-",$B45),'FO-GC-012'!$D$20:$H$109,5,0),"")</f>
        <v/>
      </c>
      <c r="AA45" s="26" t="str">
        <f>IFERROR(VLOOKUP(CONCATENATE(AA$3,"-",$B45),'FO-GC-012'!$B$20:$H$109,2,0),"")</f>
        <v/>
      </c>
      <c r="AB45" s="27" t="str">
        <f>IFERROR(VLOOKUP(CONCATENATE(AA$3,"-",$B45),'FO-GC-012'!$B$20:$H$109,5,0),"")</f>
        <v/>
      </c>
      <c r="AC45" s="28" t="str">
        <f>IFERROR(VLOOKUP(CONCATENATE(AA$3,"-",$B45),'FO-GC-012'!$B$20:$H$109,6,0),"")</f>
        <v/>
      </c>
      <c r="AD45" s="29" t="str">
        <f>IFERROR(VLOOKUP(CONCATENATE(AA$3,"-",$B45),'FO-GC-012'!$D$20:$H$109,5,0),"")</f>
        <v/>
      </c>
      <c r="AE45" s="26" t="str">
        <f>IFERROR(VLOOKUP(CONCATENATE(AE$3,"-",$B45),'FO-GC-012'!$B$20:$H$109,2,0),"")</f>
        <v/>
      </c>
      <c r="AF45" s="27" t="str">
        <f>IFERROR(VLOOKUP(CONCATENATE(AE$3,"-",$B45),'FO-GC-012'!$B$20:$H$109,5,0),"")</f>
        <v/>
      </c>
      <c r="AG45" s="28" t="str">
        <f>IFERROR(VLOOKUP(CONCATENATE(AE$3,"-",$B45),'FO-GC-012'!$B$20:$H$109,6,0),"")</f>
        <v/>
      </c>
      <c r="AH45" s="29" t="str">
        <f>IFERROR(VLOOKUP(CONCATENATE(AE$3,"-",$B45),'FO-GC-012'!$D$20:$H$109,5,0),"")</f>
        <v/>
      </c>
      <c r="AI45" s="26" t="str">
        <f>IFERROR(VLOOKUP(CONCATENATE(AI$3,"-",$B45),'FO-GC-012'!$B$20:$H$109,2,0),"")</f>
        <v/>
      </c>
      <c r="AJ45" s="27" t="str">
        <f>IFERROR(VLOOKUP(CONCATENATE(AI$3,"-",$B45),'FO-GC-012'!$B$20:$H$109,5,0),"")</f>
        <v/>
      </c>
      <c r="AK45" s="28" t="str">
        <f>IFERROR(VLOOKUP(CONCATENATE(AI$3,"-",$B45),'FO-GC-012'!$B$20:$H$109,6,0),"")</f>
        <v/>
      </c>
      <c r="AL45" s="29" t="str">
        <f>IFERROR(VLOOKUP(CONCATENATE(AI$3,"-",$B45),'FO-GC-012'!$D$20:$H$109,5,0),"")</f>
        <v/>
      </c>
      <c r="AM45" s="26" t="str">
        <f>IFERROR(VLOOKUP(CONCATENATE(AM$3,"-",$B45),'FO-GC-012'!$B$20:$H$109,2,0),"")</f>
        <v/>
      </c>
      <c r="AN45" s="27" t="str">
        <f>IFERROR(VLOOKUP(CONCATENATE(AM$3,"-",$B45),'FO-GC-012'!$B$20:$H$109,5,0),"")</f>
        <v/>
      </c>
      <c r="AO45" s="28" t="str">
        <f>IFERROR(VLOOKUP(CONCATENATE(AM$3,"-",$B45),'FO-GC-012'!$B$20:$H$109,6,0),"")</f>
        <v/>
      </c>
      <c r="AP45" s="29" t="str">
        <f>IFERROR(VLOOKUP(CONCATENATE(AM$3,"-",$B45),'FO-GC-012'!$D$20:$H$109,5,0),"")</f>
        <v/>
      </c>
      <c r="AQ45" s="26" t="str">
        <f>IFERROR(VLOOKUP(CONCATENATE(AQ$3,"-",$B45),'FO-GC-012'!$B$20:$H$109,2,0),"")</f>
        <v/>
      </c>
      <c r="AR45" s="27" t="str">
        <f>IFERROR(VLOOKUP(CONCATENATE(AQ$3,"-",$B45),'FO-GC-012'!$B$20:$H$109,5,0),"")</f>
        <v/>
      </c>
      <c r="AS45" s="28" t="str">
        <f>IFERROR(VLOOKUP(CONCATENATE(AQ$3,"-",$B45),'FO-GC-012'!$B$20:$H$109,6,0),"")</f>
        <v/>
      </c>
      <c r="AT45" s="29" t="str">
        <f>IFERROR(VLOOKUP(CONCATENATE(AQ$3,"-",$B45),'FO-GC-012'!$D$20:$H$109,5,0),"")</f>
        <v/>
      </c>
      <c r="AU45" s="26" t="str">
        <f>IFERROR(VLOOKUP(CONCATENATE(AU$3,"-",$B45),'FO-GC-012'!$B$20:$H$109,2,0),"")</f>
        <v/>
      </c>
      <c r="AV45" s="27" t="str">
        <f>IFERROR(VLOOKUP(CONCATENATE(AU$3,"-",$B45),'FO-GC-012'!$B$20:$H$109,5,0),"")</f>
        <v/>
      </c>
      <c r="AW45" s="28" t="str">
        <f>IFERROR(VLOOKUP(CONCATENATE(AU$3,"-",$B45),'FO-GC-012'!$B$20:$H$109,6,0),"")</f>
        <v/>
      </c>
      <c r="AX45" s="29" t="str">
        <f>IFERROR(VLOOKUP(CONCATENATE(AU$3,"-",$B45),'FO-GC-012'!$D$20:$H$109,5,0),"")</f>
        <v/>
      </c>
      <c r="AY45" s="26" t="str">
        <f>IFERROR(VLOOKUP(CONCATENATE(AY$3,"-",$B45),'FO-GC-012'!$B$20:$H$109,2,0),"")</f>
        <v/>
      </c>
      <c r="AZ45" s="27" t="str">
        <f>IFERROR(VLOOKUP(CONCATENATE(AY$3,"-",$B45),'FO-GC-012'!$B$20:$H$109,5,0),"")</f>
        <v/>
      </c>
      <c r="BA45" s="28" t="str">
        <f>IFERROR(VLOOKUP(CONCATENATE(AY$3,"-",$B45),'FO-GC-012'!$B$20:$H$109,6,0),"")</f>
        <v/>
      </c>
      <c r="BB45" s="29" t="str">
        <f>IFERROR(VLOOKUP(CONCATENATE(AY$3,"-",$B45),'FO-GC-012'!$D$20:$H$109,5,0),"")</f>
        <v/>
      </c>
      <c r="BC45" s="26" t="str">
        <f>IFERROR(VLOOKUP(CONCATENATE(BC$3,"-",$B45),'FO-GC-012'!$B$20:$H$109,2,0),"")</f>
        <v/>
      </c>
      <c r="BD45" s="27" t="str">
        <f>IFERROR(VLOOKUP(CONCATENATE(BC$3,"-",$B45),'FO-GC-012'!$B$20:$H$109,5,0),"")</f>
        <v/>
      </c>
      <c r="BE45" s="28" t="str">
        <f>IFERROR(VLOOKUP(CONCATENATE(BC$3,"-",$B45),'FO-GC-012'!$B$20:$H$109,6,0),"")</f>
        <v/>
      </c>
      <c r="BF45" s="29" t="str">
        <f>IFERROR(VLOOKUP(CONCATENATE(BC$3,"-",$B45),'FO-GC-012'!$D$20:$H$109,5,0),"")</f>
        <v/>
      </c>
      <c r="BG45" s="26" t="str">
        <f>IFERROR(VLOOKUP(CONCATENATE(BG$3,"-",$B45),'FO-GC-012'!$B$20:$H$109,2,0),"")</f>
        <v/>
      </c>
      <c r="BH45" s="27" t="str">
        <f>IFERROR(VLOOKUP(CONCATENATE(BG$3,"-",$B45),'FO-GC-012'!$B$20:$H$109,5,0),"")</f>
        <v/>
      </c>
      <c r="BI45" s="28" t="str">
        <f>IFERROR(VLOOKUP(CONCATENATE(BG$3,"-",$B45),'FO-GC-012'!$B$20:$H$109,6,0),"")</f>
        <v/>
      </c>
      <c r="BJ45" s="29" t="str">
        <f>IFERROR(VLOOKUP(CONCATENATE(BG$3,"-",$B45),'FO-GC-012'!$D$20:$H$109,5,0),"")</f>
        <v/>
      </c>
      <c r="BK45" s="26" t="str">
        <f>IFERROR(VLOOKUP(CONCATENATE(BK$3,"-",$B45),'FO-GC-012'!$B$20:$H$109,2,0),"")</f>
        <v/>
      </c>
      <c r="BL45" s="27" t="str">
        <f>IFERROR(VLOOKUP(CONCATENATE(BK$3,"-",$B45),'FO-GC-012'!$B$20:$H$109,5,0),"")</f>
        <v/>
      </c>
      <c r="BM45" s="28" t="str">
        <f>IFERROR(VLOOKUP(CONCATENATE(BK$3,"-",$B45),'FO-GC-012'!$B$20:$H$109,6,0),"")</f>
        <v/>
      </c>
      <c r="BN45" s="29" t="str">
        <f>IFERROR(VLOOKUP(CONCATENATE(BK$3,"-",$B45),'FO-GC-012'!$D$20:$H$109,5,0),"")</f>
        <v/>
      </c>
      <c r="BO45" s="26" t="str">
        <f>IFERROR(VLOOKUP(CONCATENATE(BO$3,"-",$B45),'FO-GC-012'!$B$20:$H$109,2,0),"")</f>
        <v/>
      </c>
      <c r="BP45" s="27" t="str">
        <f>IFERROR(VLOOKUP(CONCATENATE(BO$3,"-",$B45),'FO-GC-012'!$B$20:$H$109,5,0),"")</f>
        <v/>
      </c>
      <c r="BQ45" s="28" t="str">
        <f>IFERROR(VLOOKUP(CONCATENATE(BO$3,"-",$B45),'FO-GC-012'!$B$20:$H$109,6,0),"")</f>
        <v/>
      </c>
      <c r="BR45" s="29" t="str">
        <f>IFERROR(VLOOKUP(CONCATENATE(BO$3,"-",$B45),'FO-GC-012'!$D$20:$H$109,5,0),"")</f>
        <v/>
      </c>
      <c r="BS45" s="26" t="str">
        <f>IFERROR(VLOOKUP(CONCATENATE(BS$3,"-",$B45),'FO-GC-012'!$B$20:$H$109,2,0),"")</f>
        <v/>
      </c>
      <c r="BT45" s="27" t="str">
        <f>IFERROR(VLOOKUP(CONCATENATE(BS$3,"-",$B45),'FO-GC-012'!$B$20:$H$109,5,0),"")</f>
        <v/>
      </c>
      <c r="BU45" s="28" t="str">
        <f>IFERROR(VLOOKUP(CONCATENATE(BS$3,"-",$B45),'FO-GC-012'!$B$20:$H$109,6,0),"")</f>
        <v/>
      </c>
      <c r="BV45" s="29" t="str">
        <f>IFERROR(VLOOKUP(CONCATENATE(BS$3,"-",$B45),'FO-GC-012'!$D$20:$H$109,5,0),"")</f>
        <v/>
      </c>
      <c r="BW45" s="26" t="str">
        <f>IFERROR(VLOOKUP(CONCATENATE(BW$3,"-",$B45),'FO-GC-012'!$B$20:$H$109,2,0),"")</f>
        <v/>
      </c>
      <c r="BX45" s="27" t="str">
        <f>IFERROR(VLOOKUP(CONCATENATE(BW$3,"-",$B45),'FO-GC-012'!$B$20:$H$109,5,0),"")</f>
        <v/>
      </c>
      <c r="BY45" s="28" t="str">
        <f>IFERROR(VLOOKUP(CONCATENATE(BW$3,"-",$B45),'FO-GC-012'!$B$20:$H$109,6,0),"")</f>
        <v/>
      </c>
      <c r="BZ45" s="29" t="str">
        <f>IFERROR(VLOOKUP(CONCATENATE(BW$3,"-",$B45),'FO-GC-012'!$D$20:$H$109,5,0),"")</f>
        <v/>
      </c>
      <c r="CA45" s="26" t="str">
        <f>IFERROR(VLOOKUP(CONCATENATE(CA$3,"-",$B45),'FO-GC-012'!$B$20:$H$109,2,0),"")</f>
        <v/>
      </c>
      <c r="CB45" s="27" t="str">
        <f>IFERROR(VLOOKUP(CONCATENATE(CA$3,"-",$B45),'FO-GC-012'!$B$20:$H$109,5,0),"")</f>
        <v/>
      </c>
      <c r="CC45" s="28" t="str">
        <f>IFERROR(VLOOKUP(CONCATENATE(CA$3,"-",$B45),'FO-GC-012'!$B$20:$H$109,6,0),"")</f>
        <v/>
      </c>
      <c r="CD45" s="5" t="str">
        <f>IFERROR(VLOOKUP(CONCATENATE(CA$3,"-",$B45),'FO-GC-012'!$D$20:$H$109,5,0),"")</f>
        <v/>
      </c>
    </row>
    <row r="46" spans="1:82" ht="21" customHeight="1" x14ac:dyDescent="0.35">
      <c r="B46" s="125"/>
      <c r="C46" s="22" t="str">
        <f>IFERROR(VLOOKUP(CONCATENATE(C$3,"-",$B46),'FO-GC-012'!$B$20:$H$109,2,0),"")</f>
        <v/>
      </c>
      <c r="D46" s="23" t="str">
        <f>IFERROR(VLOOKUP(CONCATENATE(C$3,"-",$B46),'FO-GC-012'!$B$20:$H$109,5,0),"")</f>
        <v/>
      </c>
      <c r="E46" s="24" t="str">
        <f>IFERROR(VLOOKUP(CONCATENATE(C$3,"-",$B46),'FO-GC-012'!$B$20:$H$109,6,0),"")</f>
        <v/>
      </c>
      <c r="F46" s="25" t="str">
        <f>IFERROR(VLOOKUP(CONCATENATE(C$3,"-",$B46),'FO-GC-012'!$D$20:$H$109,5,0),"")</f>
        <v/>
      </c>
      <c r="G46" s="22" t="str">
        <f>IFERROR(VLOOKUP(CONCATENATE(G$3,"-",$B46),'FO-GC-012'!$B$20:$H$109,2,0),"")</f>
        <v/>
      </c>
      <c r="H46" s="23" t="str">
        <f>IFERROR(VLOOKUP(CONCATENATE(G$3,"-",$B46),'FO-GC-012'!$B$20:$H$109,5,0),"")</f>
        <v/>
      </c>
      <c r="I46" s="24" t="str">
        <f>IFERROR(VLOOKUP(CONCATENATE(G$3,"-",$B46),'FO-GC-012'!$B$20:$H$109,6,0),"")</f>
        <v/>
      </c>
      <c r="J46" s="25" t="str">
        <f>IFERROR(VLOOKUP(CONCATENATE(G$3,"-",$B46),'FO-GC-012'!$D$20:$H$109,5,0),"")</f>
        <v/>
      </c>
      <c r="K46" s="22" t="str">
        <f>IFERROR(VLOOKUP(CONCATENATE(K$3,"-",$B46),'FO-GC-012'!$B$20:$H$109,2,0),"")</f>
        <v/>
      </c>
      <c r="L46" s="23" t="str">
        <f>IFERROR(VLOOKUP(CONCATENATE(K$3,"-",$B46),'FO-GC-012'!$B$20:$H$109,5,0),"")</f>
        <v/>
      </c>
      <c r="M46" s="24" t="str">
        <f>IFERROR(VLOOKUP(CONCATENATE(K$3,"-",$B46),'FO-GC-012'!$B$20:$H$109,6,0),"")</f>
        <v/>
      </c>
      <c r="N46" s="25" t="str">
        <f>IFERROR(VLOOKUP(CONCATENATE(K$3,"-",$B46),'FO-GC-012'!$D$20:$H$109,5,0),"")</f>
        <v/>
      </c>
      <c r="O46" s="22" t="str">
        <f>IFERROR(VLOOKUP(CONCATENATE(O$3,"-",$B46),'FO-GC-012'!$B$20:$H$109,2,0),"")</f>
        <v/>
      </c>
      <c r="P46" s="23" t="str">
        <f>IFERROR(VLOOKUP(CONCATENATE(O$3,"-",$B46),'FO-GC-012'!$B$20:$H$109,5,0),"")</f>
        <v/>
      </c>
      <c r="Q46" s="24" t="str">
        <f>IFERROR(VLOOKUP(CONCATENATE(O$3,"-",$B46),'FO-GC-012'!$B$20:$H$109,6,0),"")</f>
        <v/>
      </c>
      <c r="R46" s="25" t="str">
        <f>IFERROR(VLOOKUP(CONCATENATE(O$3,"-",$B46),'FO-GC-012'!$D$20:$H$109,5,0),"")</f>
        <v/>
      </c>
      <c r="S46" s="22" t="str">
        <f>IFERROR(VLOOKUP(CONCATENATE(S$3,"-",$B46),'FO-GC-012'!$B$20:$H$109,2,0),"")</f>
        <v/>
      </c>
      <c r="T46" s="23" t="str">
        <f>IFERROR(VLOOKUP(CONCATENATE(S$3,"-",$B46),'FO-GC-012'!$B$20:$H$109,5,0),"")</f>
        <v/>
      </c>
      <c r="U46" s="24" t="str">
        <f>IFERROR(VLOOKUP(CONCATENATE(S$3,"-",$B46),'FO-GC-012'!$B$20:$H$109,6,0),"")</f>
        <v/>
      </c>
      <c r="V46" s="25" t="str">
        <f>IFERROR(VLOOKUP(CONCATENATE(S$3,"-",$B46),'FO-GC-012'!$D$20:$H$109,5,0),"")</f>
        <v/>
      </c>
      <c r="W46" s="22" t="str">
        <f>IFERROR(VLOOKUP(CONCATENATE(W$3,"-",$B46),'FO-GC-012'!$B$20:$H$109,2,0),"")</f>
        <v/>
      </c>
      <c r="X46" s="23" t="str">
        <f>IFERROR(VLOOKUP(CONCATENATE(W$3,"-",$B46),'FO-GC-012'!$B$20:$H$109,5,0),"")</f>
        <v/>
      </c>
      <c r="Y46" s="24" t="str">
        <f>IFERROR(VLOOKUP(CONCATENATE(W$3,"-",$B46),'FO-GC-012'!$B$20:$H$109,6,0),"")</f>
        <v/>
      </c>
      <c r="Z46" s="25" t="str">
        <f>IFERROR(VLOOKUP(CONCATENATE(W$3,"-",$B46),'FO-GC-012'!$D$20:$H$109,5,0),"")</f>
        <v/>
      </c>
      <c r="AA46" s="22" t="str">
        <f>IFERROR(VLOOKUP(CONCATENATE(AA$3,"-",$B46),'FO-GC-012'!$B$20:$H$109,2,0),"")</f>
        <v/>
      </c>
      <c r="AB46" s="23" t="str">
        <f>IFERROR(VLOOKUP(CONCATENATE(AA$3,"-",$B46),'FO-GC-012'!$B$20:$H$109,5,0),"")</f>
        <v/>
      </c>
      <c r="AC46" s="24" t="str">
        <f>IFERROR(VLOOKUP(CONCATENATE(AA$3,"-",$B46),'FO-GC-012'!$B$20:$H$109,6,0),"")</f>
        <v/>
      </c>
      <c r="AD46" s="25" t="str">
        <f>IFERROR(VLOOKUP(CONCATENATE(AA$3,"-",$B46),'FO-GC-012'!$D$20:$H$109,5,0),"")</f>
        <v/>
      </c>
      <c r="AE46" s="22" t="str">
        <f>IFERROR(VLOOKUP(CONCATENATE(AE$3,"-",$B46),'FO-GC-012'!$B$20:$H$109,2,0),"")</f>
        <v/>
      </c>
      <c r="AF46" s="23" t="str">
        <f>IFERROR(VLOOKUP(CONCATENATE(AE$3,"-",$B46),'FO-GC-012'!$B$20:$H$109,5,0),"")</f>
        <v/>
      </c>
      <c r="AG46" s="24" t="str">
        <f>IFERROR(VLOOKUP(CONCATENATE(AE$3,"-",$B46),'FO-GC-012'!$B$20:$H$109,6,0),"")</f>
        <v/>
      </c>
      <c r="AH46" s="25" t="str">
        <f>IFERROR(VLOOKUP(CONCATENATE(AE$3,"-",$B46),'FO-GC-012'!$D$20:$H$109,5,0),"")</f>
        <v/>
      </c>
      <c r="AI46" s="22" t="str">
        <f>IFERROR(VLOOKUP(CONCATENATE(AI$3,"-",$B46),'FO-GC-012'!$B$20:$H$109,2,0),"")</f>
        <v/>
      </c>
      <c r="AJ46" s="23" t="str">
        <f>IFERROR(VLOOKUP(CONCATENATE(AI$3,"-",$B46),'FO-GC-012'!$B$20:$H$109,5,0),"")</f>
        <v/>
      </c>
      <c r="AK46" s="24" t="str">
        <f>IFERROR(VLOOKUP(CONCATENATE(AI$3,"-",$B46),'FO-GC-012'!$B$20:$H$109,6,0),"")</f>
        <v/>
      </c>
      <c r="AL46" s="25" t="str">
        <f>IFERROR(VLOOKUP(CONCATENATE(AI$3,"-",$B46),'FO-GC-012'!$D$20:$H$109,5,0),"")</f>
        <v/>
      </c>
      <c r="AM46" s="22" t="str">
        <f>IFERROR(VLOOKUP(CONCATENATE(AM$3,"-",$B46),'FO-GC-012'!$B$20:$H$109,2,0),"")</f>
        <v/>
      </c>
      <c r="AN46" s="23" t="str">
        <f>IFERROR(VLOOKUP(CONCATENATE(AM$3,"-",$B46),'FO-GC-012'!$B$20:$H$109,5,0),"")</f>
        <v/>
      </c>
      <c r="AO46" s="24" t="str">
        <f>IFERROR(VLOOKUP(CONCATENATE(AM$3,"-",$B46),'FO-GC-012'!$B$20:$H$109,6,0),"")</f>
        <v/>
      </c>
      <c r="AP46" s="25" t="str">
        <f>IFERROR(VLOOKUP(CONCATENATE(AM$3,"-",$B46),'FO-GC-012'!$D$20:$H$109,5,0),"")</f>
        <v/>
      </c>
      <c r="AQ46" s="22" t="str">
        <f>IFERROR(VLOOKUP(CONCATENATE(AQ$3,"-",$B46),'FO-GC-012'!$B$20:$H$109,2,0),"")</f>
        <v/>
      </c>
      <c r="AR46" s="23" t="str">
        <f>IFERROR(VLOOKUP(CONCATENATE(AQ$3,"-",$B46),'FO-GC-012'!$B$20:$H$109,5,0),"")</f>
        <v/>
      </c>
      <c r="AS46" s="24" t="str">
        <f>IFERROR(VLOOKUP(CONCATENATE(AQ$3,"-",$B46),'FO-GC-012'!$B$20:$H$109,6,0),"")</f>
        <v/>
      </c>
      <c r="AT46" s="25" t="str">
        <f>IFERROR(VLOOKUP(CONCATENATE(AQ$3,"-",$B46),'FO-GC-012'!$D$20:$H$109,5,0),"")</f>
        <v/>
      </c>
      <c r="AU46" s="22" t="str">
        <f>IFERROR(VLOOKUP(CONCATENATE(AU$3,"-",$B46),'FO-GC-012'!$B$20:$H$109,2,0),"")</f>
        <v/>
      </c>
      <c r="AV46" s="23" t="str">
        <f>IFERROR(VLOOKUP(CONCATENATE(AU$3,"-",$B46),'FO-GC-012'!$B$20:$H$109,5,0),"")</f>
        <v/>
      </c>
      <c r="AW46" s="24" t="str">
        <f>IFERROR(VLOOKUP(CONCATENATE(AU$3,"-",$B46),'FO-GC-012'!$B$20:$H$109,6,0),"")</f>
        <v/>
      </c>
      <c r="AX46" s="25" t="str">
        <f>IFERROR(VLOOKUP(CONCATENATE(AU$3,"-",$B46),'FO-GC-012'!$D$20:$H$109,5,0),"")</f>
        <v/>
      </c>
      <c r="AY46" s="22" t="str">
        <f>IFERROR(VLOOKUP(CONCATENATE(AY$3,"-",$B46),'FO-GC-012'!$B$20:$H$109,2,0),"")</f>
        <v/>
      </c>
      <c r="AZ46" s="23" t="str">
        <f>IFERROR(VLOOKUP(CONCATENATE(AY$3,"-",$B46),'FO-GC-012'!$B$20:$H$109,5,0),"")</f>
        <v/>
      </c>
      <c r="BA46" s="24" t="str">
        <f>IFERROR(VLOOKUP(CONCATENATE(AY$3,"-",$B46),'FO-GC-012'!$B$20:$H$109,6,0),"")</f>
        <v/>
      </c>
      <c r="BB46" s="25" t="str">
        <f>IFERROR(VLOOKUP(CONCATENATE(AY$3,"-",$B46),'FO-GC-012'!$D$20:$H$109,5,0),"")</f>
        <v/>
      </c>
      <c r="BC46" s="22" t="str">
        <f>IFERROR(VLOOKUP(CONCATENATE(BC$3,"-",$B46),'FO-GC-012'!$B$20:$H$109,2,0),"")</f>
        <v/>
      </c>
      <c r="BD46" s="23" t="str">
        <f>IFERROR(VLOOKUP(CONCATENATE(BC$3,"-",$B46),'FO-GC-012'!$B$20:$H$109,5,0),"")</f>
        <v/>
      </c>
      <c r="BE46" s="24" t="str">
        <f>IFERROR(VLOOKUP(CONCATENATE(BC$3,"-",$B46),'FO-GC-012'!$B$20:$H$109,6,0),"")</f>
        <v/>
      </c>
      <c r="BF46" s="25" t="str">
        <f>IFERROR(VLOOKUP(CONCATENATE(BC$3,"-",$B46),'FO-GC-012'!$D$20:$H$109,5,0),"")</f>
        <v/>
      </c>
      <c r="BG46" s="22" t="str">
        <f>IFERROR(VLOOKUP(CONCATENATE(BG$3,"-",$B46),'FO-GC-012'!$B$20:$H$109,2,0),"")</f>
        <v/>
      </c>
      <c r="BH46" s="23" t="str">
        <f>IFERROR(VLOOKUP(CONCATENATE(BG$3,"-",$B46),'FO-GC-012'!$B$20:$H$109,5,0),"")</f>
        <v/>
      </c>
      <c r="BI46" s="24" t="str">
        <f>IFERROR(VLOOKUP(CONCATENATE(BG$3,"-",$B46),'FO-GC-012'!$B$20:$H$109,6,0),"")</f>
        <v/>
      </c>
      <c r="BJ46" s="25" t="str">
        <f>IFERROR(VLOOKUP(CONCATENATE(BG$3,"-",$B46),'FO-GC-012'!$D$20:$H$109,5,0),"")</f>
        <v/>
      </c>
      <c r="BK46" s="22" t="str">
        <f>IFERROR(VLOOKUP(CONCATENATE(BK$3,"-",$B46),'FO-GC-012'!$B$20:$H$109,2,0),"")</f>
        <v/>
      </c>
      <c r="BL46" s="23" t="str">
        <f>IFERROR(VLOOKUP(CONCATENATE(BK$3,"-",$B46),'FO-GC-012'!$B$20:$H$109,5,0),"")</f>
        <v/>
      </c>
      <c r="BM46" s="24" t="str">
        <f>IFERROR(VLOOKUP(CONCATENATE(BK$3,"-",$B46),'FO-GC-012'!$B$20:$H$109,6,0),"")</f>
        <v/>
      </c>
      <c r="BN46" s="25" t="str">
        <f>IFERROR(VLOOKUP(CONCATENATE(BK$3,"-",$B46),'FO-GC-012'!$D$20:$H$109,5,0),"")</f>
        <v/>
      </c>
      <c r="BO46" s="22" t="str">
        <f>IFERROR(VLOOKUP(CONCATENATE(BO$3,"-",$B46),'FO-GC-012'!$B$20:$H$109,2,0),"")</f>
        <v/>
      </c>
      <c r="BP46" s="23" t="str">
        <f>IFERROR(VLOOKUP(CONCATENATE(BO$3,"-",$B46),'FO-GC-012'!$B$20:$H$109,5,0),"")</f>
        <v/>
      </c>
      <c r="BQ46" s="24" t="str">
        <f>IFERROR(VLOOKUP(CONCATENATE(BO$3,"-",$B46),'FO-GC-012'!$B$20:$H$109,6,0),"")</f>
        <v/>
      </c>
      <c r="BR46" s="25" t="str">
        <f>IFERROR(VLOOKUP(CONCATENATE(BO$3,"-",$B46),'FO-GC-012'!$D$20:$H$109,5,0),"")</f>
        <v/>
      </c>
      <c r="BS46" s="22" t="str">
        <f>IFERROR(VLOOKUP(CONCATENATE(BS$3,"-",$B46),'FO-GC-012'!$B$20:$H$109,2,0),"")</f>
        <v/>
      </c>
      <c r="BT46" s="23" t="str">
        <f>IFERROR(VLOOKUP(CONCATENATE(BS$3,"-",$B46),'FO-GC-012'!$B$20:$H$109,5,0),"")</f>
        <v/>
      </c>
      <c r="BU46" s="24" t="str">
        <f>IFERROR(VLOOKUP(CONCATENATE(BS$3,"-",$B46),'FO-GC-012'!$B$20:$H$109,6,0),"")</f>
        <v/>
      </c>
      <c r="BV46" s="25" t="str">
        <f>IFERROR(VLOOKUP(CONCATENATE(BS$3,"-",$B46),'FO-GC-012'!$D$20:$H$109,5,0),"")</f>
        <v/>
      </c>
      <c r="BW46" s="22" t="str">
        <f>IFERROR(VLOOKUP(CONCATENATE(BW$3,"-",$B46),'FO-GC-012'!$B$20:$H$109,2,0),"")</f>
        <v/>
      </c>
      <c r="BX46" s="23" t="str">
        <f>IFERROR(VLOOKUP(CONCATENATE(BW$3,"-",$B46),'FO-GC-012'!$B$20:$H$109,5,0),"")</f>
        <v/>
      </c>
      <c r="BY46" s="24" t="str">
        <f>IFERROR(VLOOKUP(CONCATENATE(BW$3,"-",$B46),'FO-GC-012'!$B$20:$H$109,6,0),"")</f>
        <v/>
      </c>
      <c r="BZ46" s="25" t="str">
        <f>IFERROR(VLOOKUP(CONCATENATE(BW$3,"-",$B46),'FO-GC-012'!$D$20:$H$109,5,0),"")</f>
        <v/>
      </c>
      <c r="CA46" s="22" t="str">
        <f>IFERROR(VLOOKUP(CONCATENATE(CA$3,"-",$B46),'FO-GC-012'!$B$20:$H$109,2,0),"")</f>
        <v/>
      </c>
      <c r="CB46" s="23" t="str">
        <f>IFERROR(VLOOKUP(CONCATENATE(CA$3,"-",$B46),'FO-GC-012'!$B$20:$H$109,5,0),"")</f>
        <v/>
      </c>
      <c r="CC46" s="24" t="str">
        <f>IFERROR(VLOOKUP(CONCATENATE(CA$3,"-",$B46),'FO-GC-012'!$B$20:$H$109,6,0),"")</f>
        <v/>
      </c>
      <c r="CD46" s="5" t="str">
        <f>IFERROR(VLOOKUP(CONCATENATE(CA$3,"-",$B46),'FO-GC-012'!$D$20:$H$109,5,0),"")</f>
        <v/>
      </c>
    </row>
    <row r="47" spans="1:82" ht="21" customHeight="1" x14ac:dyDescent="0.35">
      <c r="B47" s="126"/>
      <c r="C47" s="26" t="str">
        <f>IFERROR(VLOOKUP(CONCATENATE(C$3,"-",$B47),'FO-GC-012'!$B$20:$H$109,2,0),"")</f>
        <v/>
      </c>
      <c r="D47" s="27" t="str">
        <f>IFERROR(VLOOKUP(CONCATENATE(C$3,"-",$B47),'FO-GC-012'!$B$20:$H$109,5,0),"")</f>
        <v/>
      </c>
      <c r="E47" s="28" t="str">
        <f>IFERROR(VLOOKUP(CONCATENATE(C$3,"-",$B47),'FO-GC-012'!$B$20:$H$109,6,0),"")</f>
        <v/>
      </c>
      <c r="F47" s="29" t="str">
        <f>IFERROR(VLOOKUP(CONCATENATE(C$3,"-",$B47),'FO-GC-012'!$D$20:$H$109,5,0),"")</f>
        <v/>
      </c>
      <c r="G47" s="26" t="str">
        <f>IFERROR(VLOOKUP(CONCATENATE(G$3,"-",$B47),'FO-GC-012'!$B$20:$H$109,2,0),"")</f>
        <v/>
      </c>
      <c r="H47" s="27" t="str">
        <f>IFERROR(VLOOKUP(CONCATENATE(G$3,"-",$B47),'FO-GC-012'!$B$20:$H$109,5,0),"")</f>
        <v/>
      </c>
      <c r="I47" s="28" t="str">
        <f>IFERROR(VLOOKUP(CONCATENATE(G$3,"-",$B47),'FO-GC-012'!$B$20:$H$109,6,0),"")</f>
        <v/>
      </c>
      <c r="J47" s="29" t="str">
        <f>IFERROR(VLOOKUP(CONCATENATE(G$3,"-",$B47),'FO-GC-012'!$D$20:$H$109,5,0),"")</f>
        <v/>
      </c>
      <c r="K47" s="26" t="str">
        <f>IFERROR(VLOOKUP(CONCATENATE(K$3,"-",$B47),'FO-GC-012'!$B$20:$H$109,2,0),"")</f>
        <v/>
      </c>
      <c r="L47" s="27" t="str">
        <f>IFERROR(VLOOKUP(CONCATENATE(K$3,"-",$B47),'FO-GC-012'!$B$20:$H$109,5,0),"")</f>
        <v/>
      </c>
      <c r="M47" s="28" t="str">
        <f>IFERROR(VLOOKUP(CONCATENATE(K$3,"-",$B47),'FO-GC-012'!$B$20:$H$109,6,0),"")</f>
        <v/>
      </c>
      <c r="N47" s="29" t="str">
        <f>IFERROR(VLOOKUP(CONCATENATE(K$3,"-",$B47),'FO-GC-012'!$D$20:$H$109,5,0),"")</f>
        <v/>
      </c>
      <c r="O47" s="26" t="str">
        <f>IFERROR(VLOOKUP(CONCATENATE(O$3,"-",$B47),'FO-GC-012'!$B$20:$H$109,2,0),"")</f>
        <v/>
      </c>
      <c r="P47" s="27" t="str">
        <f>IFERROR(VLOOKUP(CONCATENATE(O$3,"-",$B47),'FO-GC-012'!$B$20:$H$109,5,0),"")</f>
        <v/>
      </c>
      <c r="Q47" s="28" t="str">
        <f>IFERROR(VLOOKUP(CONCATENATE(O$3,"-",$B47),'FO-GC-012'!$B$20:$H$109,6,0),"")</f>
        <v/>
      </c>
      <c r="R47" s="29" t="str">
        <f>IFERROR(VLOOKUP(CONCATENATE(O$3,"-",$B47),'FO-GC-012'!$D$20:$H$109,5,0),"")</f>
        <v/>
      </c>
      <c r="S47" s="26" t="str">
        <f>IFERROR(VLOOKUP(CONCATENATE(S$3,"-",$B47),'FO-GC-012'!$B$20:$H$109,2,0),"")</f>
        <v/>
      </c>
      <c r="T47" s="27" t="str">
        <f>IFERROR(VLOOKUP(CONCATENATE(S$3,"-",$B47),'FO-GC-012'!$B$20:$H$109,5,0),"")</f>
        <v/>
      </c>
      <c r="U47" s="28" t="str">
        <f>IFERROR(VLOOKUP(CONCATENATE(S$3,"-",$B47),'FO-GC-012'!$B$20:$H$109,6,0),"")</f>
        <v/>
      </c>
      <c r="V47" s="29" t="str">
        <f>IFERROR(VLOOKUP(CONCATENATE(S$3,"-",$B47),'FO-GC-012'!$D$20:$H$109,5,0),"")</f>
        <v/>
      </c>
      <c r="W47" s="26" t="str">
        <f>IFERROR(VLOOKUP(CONCATENATE(W$3,"-",$B47),'FO-GC-012'!$B$20:$H$109,2,0),"")</f>
        <v/>
      </c>
      <c r="X47" s="27" t="str">
        <f>IFERROR(VLOOKUP(CONCATENATE(W$3,"-",$B47),'FO-GC-012'!$B$20:$H$109,5,0),"")</f>
        <v/>
      </c>
      <c r="Y47" s="28" t="str">
        <f>IFERROR(VLOOKUP(CONCATENATE(W$3,"-",$B47),'FO-GC-012'!$B$20:$H$109,6,0),"")</f>
        <v/>
      </c>
      <c r="Z47" s="29" t="str">
        <f>IFERROR(VLOOKUP(CONCATENATE(W$3,"-",$B47),'FO-GC-012'!$D$20:$H$109,5,0),"")</f>
        <v/>
      </c>
      <c r="AA47" s="26" t="str">
        <f>IFERROR(VLOOKUP(CONCATENATE(AA$3,"-",$B47),'FO-GC-012'!$B$20:$H$109,2,0),"")</f>
        <v/>
      </c>
      <c r="AB47" s="27" t="str">
        <f>IFERROR(VLOOKUP(CONCATENATE(AA$3,"-",$B47),'FO-GC-012'!$B$20:$H$109,5,0),"")</f>
        <v/>
      </c>
      <c r="AC47" s="28" t="str">
        <f>IFERROR(VLOOKUP(CONCATENATE(AA$3,"-",$B47),'FO-GC-012'!$B$20:$H$109,6,0),"")</f>
        <v/>
      </c>
      <c r="AD47" s="29" t="str">
        <f>IFERROR(VLOOKUP(CONCATENATE(AA$3,"-",$B47),'FO-GC-012'!$D$20:$H$109,5,0),"")</f>
        <v/>
      </c>
      <c r="AE47" s="26" t="str">
        <f>IFERROR(VLOOKUP(CONCATENATE(AE$3,"-",$B47),'FO-GC-012'!$B$20:$H$109,2,0),"")</f>
        <v/>
      </c>
      <c r="AF47" s="27" t="str">
        <f>IFERROR(VLOOKUP(CONCATENATE(AE$3,"-",$B47),'FO-GC-012'!$B$20:$H$109,5,0),"")</f>
        <v/>
      </c>
      <c r="AG47" s="28" t="str">
        <f>IFERROR(VLOOKUP(CONCATENATE(AE$3,"-",$B47),'FO-GC-012'!$B$20:$H$109,6,0),"")</f>
        <v/>
      </c>
      <c r="AH47" s="29" t="str">
        <f>IFERROR(VLOOKUP(CONCATENATE(AE$3,"-",$B47),'FO-GC-012'!$D$20:$H$109,5,0),"")</f>
        <v/>
      </c>
      <c r="AI47" s="26" t="str">
        <f>IFERROR(VLOOKUP(CONCATENATE(AI$3,"-",$B47),'FO-GC-012'!$B$20:$H$109,2,0),"")</f>
        <v/>
      </c>
      <c r="AJ47" s="27" t="str">
        <f>IFERROR(VLOOKUP(CONCATENATE(AI$3,"-",$B47),'FO-GC-012'!$B$20:$H$109,5,0),"")</f>
        <v/>
      </c>
      <c r="AK47" s="28" t="str">
        <f>IFERROR(VLOOKUP(CONCATENATE(AI$3,"-",$B47),'FO-GC-012'!$B$20:$H$109,6,0),"")</f>
        <v/>
      </c>
      <c r="AL47" s="29" t="str">
        <f>IFERROR(VLOOKUP(CONCATENATE(AI$3,"-",$B47),'FO-GC-012'!$D$20:$H$109,5,0),"")</f>
        <v/>
      </c>
      <c r="AM47" s="26" t="str">
        <f>IFERROR(VLOOKUP(CONCATENATE(AM$3,"-",$B47),'FO-GC-012'!$B$20:$H$109,2,0),"")</f>
        <v/>
      </c>
      <c r="AN47" s="27" t="str">
        <f>IFERROR(VLOOKUP(CONCATENATE(AM$3,"-",$B47),'FO-GC-012'!$B$20:$H$109,5,0),"")</f>
        <v/>
      </c>
      <c r="AO47" s="28" t="str">
        <f>IFERROR(VLOOKUP(CONCATENATE(AM$3,"-",$B47),'FO-GC-012'!$B$20:$H$109,6,0),"")</f>
        <v/>
      </c>
      <c r="AP47" s="29" t="str">
        <f>IFERROR(VLOOKUP(CONCATENATE(AM$3,"-",$B47),'FO-GC-012'!$D$20:$H$109,5,0),"")</f>
        <v/>
      </c>
      <c r="AQ47" s="26" t="str">
        <f>IFERROR(VLOOKUP(CONCATENATE(AQ$3,"-",$B47),'FO-GC-012'!$B$20:$H$109,2,0),"")</f>
        <v/>
      </c>
      <c r="AR47" s="27" t="str">
        <f>IFERROR(VLOOKUP(CONCATENATE(AQ$3,"-",$B47),'FO-GC-012'!$B$20:$H$109,5,0),"")</f>
        <v/>
      </c>
      <c r="AS47" s="28" t="str">
        <f>IFERROR(VLOOKUP(CONCATENATE(AQ$3,"-",$B47),'FO-GC-012'!$B$20:$H$109,6,0),"")</f>
        <v/>
      </c>
      <c r="AT47" s="29" t="str">
        <f>IFERROR(VLOOKUP(CONCATENATE(AQ$3,"-",$B47),'FO-GC-012'!$D$20:$H$109,5,0),"")</f>
        <v/>
      </c>
      <c r="AU47" s="26" t="str">
        <f>IFERROR(VLOOKUP(CONCATENATE(AU$3,"-",$B47),'FO-GC-012'!$B$20:$H$109,2,0),"")</f>
        <v/>
      </c>
      <c r="AV47" s="27" t="str">
        <f>IFERROR(VLOOKUP(CONCATENATE(AU$3,"-",$B47),'FO-GC-012'!$B$20:$H$109,5,0),"")</f>
        <v/>
      </c>
      <c r="AW47" s="28" t="str">
        <f>IFERROR(VLOOKUP(CONCATENATE(AU$3,"-",$B47),'FO-GC-012'!$B$20:$H$109,6,0),"")</f>
        <v/>
      </c>
      <c r="AX47" s="29" t="str">
        <f>IFERROR(VLOOKUP(CONCATENATE(AU$3,"-",$B47),'FO-GC-012'!$D$20:$H$109,5,0),"")</f>
        <v/>
      </c>
      <c r="AY47" s="26" t="str">
        <f>IFERROR(VLOOKUP(CONCATENATE(AY$3,"-",$B47),'FO-GC-012'!$B$20:$H$109,2,0),"")</f>
        <v/>
      </c>
      <c r="AZ47" s="27" t="str">
        <f>IFERROR(VLOOKUP(CONCATENATE(AY$3,"-",$B47),'FO-GC-012'!$B$20:$H$109,5,0),"")</f>
        <v/>
      </c>
      <c r="BA47" s="28" t="str">
        <f>IFERROR(VLOOKUP(CONCATENATE(AY$3,"-",$B47),'FO-GC-012'!$B$20:$H$109,6,0),"")</f>
        <v/>
      </c>
      <c r="BB47" s="29" t="str">
        <f>IFERROR(VLOOKUP(CONCATENATE(AY$3,"-",$B47),'FO-GC-012'!$D$20:$H$109,5,0),"")</f>
        <v/>
      </c>
      <c r="BC47" s="26" t="str">
        <f>IFERROR(VLOOKUP(CONCATENATE(BC$3,"-",$B47),'FO-GC-012'!$B$20:$H$109,2,0),"")</f>
        <v/>
      </c>
      <c r="BD47" s="27" t="str">
        <f>IFERROR(VLOOKUP(CONCATENATE(BC$3,"-",$B47),'FO-GC-012'!$B$20:$H$109,5,0),"")</f>
        <v/>
      </c>
      <c r="BE47" s="28" t="str">
        <f>IFERROR(VLOOKUP(CONCATENATE(BC$3,"-",$B47),'FO-GC-012'!$B$20:$H$109,6,0),"")</f>
        <v/>
      </c>
      <c r="BF47" s="29" t="str">
        <f>IFERROR(VLOOKUP(CONCATENATE(BC$3,"-",$B47),'FO-GC-012'!$D$20:$H$109,5,0),"")</f>
        <v/>
      </c>
      <c r="BG47" s="26" t="str">
        <f>IFERROR(VLOOKUP(CONCATENATE(BG$3,"-",$B47),'FO-GC-012'!$B$20:$H$109,2,0),"")</f>
        <v/>
      </c>
      <c r="BH47" s="27" t="str">
        <f>IFERROR(VLOOKUP(CONCATENATE(BG$3,"-",$B47),'FO-GC-012'!$B$20:$H$109,5,0),"")</f>
        <v/>
      </c>
      <c r="BI47" s="28" t="str">
        <f>IFERROR(VLOOKUP(CONCATENATE(BG$3,"-",$B47),'FO-GC-012'!$B$20:$H$109,6,0),"")</f>
        <v/>
      </c>
      <c r="BJ47" s="29" t="str">
        <f>IFERROR(VLOOKUP(CONCATENATE(BG$3,"-",$B47),'FO-GC-012'!$D$20:$H$109,5,0),"")</f>
        <v/>
      </c>
      <c r="BK47" s="26" t="str">
        <f>IFERROR(VLOOKUP(CONCATENATE(BK$3,"-",$B47),'FO-GC-012'!$B$20:$H$109,2,0),"")</f>
        <v/>
      </c>
      <c r="BL47" s="27" t="str">
        <f>IFERROR(VLOOKUP(CONCATENATE(BK$3,"-",$B47),'FO-GC-012'!$B$20:$H$109,5,0),"")</f>
        <v/>
      </c>
      <c r="BM47" s="28" t="str">
        <f>IFERROR(VLOOKUP(CONCATENATE(BK$3,"-",$B47),'FO-GC-012'!$B$20:$H$109,6,0),"")</f>
        <v/>
      </c>
      <c r="BN47" s="29" t="str">
        <f>IFERROR(VLOOKUP(CONCATENATE(BK$3,"-",$B47),'FO-GC-012'!$D$20:$H$109,5,0),"")</f>
        <v/>
      </c>
      <c r="BO47" s="26" t="str">
        <f>IFERROR(VLOOKUP(CONCATENATE(BO$3,"-",$B47),'FO-GC-012'!$B$20:$H$109,2,0),"")</f>
        <v/>
      </c>
      <c r="BP47" s="27" t="str">
        <f>IFERROR(VLOOKUP(CONCATENATE(BO$3,"-",$B47),'FO-GC-012'!$B$20:$H$109,5,0),"")</f>
        <v/>
      </c>
      <c r="BQ47" s="28" t="str">
        <f>IFERROR(VLOOKUP(CONCATENATE(BO$3,"-",$B47),'FO-GC-012'!$B$20:$H$109,6,0),"")</f>
        <v/>
      </c>
      <c r="BR47" s="29" t="str">
        <f>IFERROR(VLOOKUP(CONCATENATE(BO$3,"-",$B47),'FO-GC-012'!$D$20:$H$109,5,0),"")</f>
        <v/>
      </c>
      <c r="BS47" s="26" t="str">
        <f>IFERROR(VLOOKUP(CONCATENATE(BS$3,"-",$B47),'FO-GC-012'!$B$20:$H$109,2,0),"")</f>
        <v/>
      </c>
      <c r="BT47" s="27" t="str">
        <f>IFERROR(VLOOKUP(CONCATENATE(BS$3,"-",$B47),'FO-GC-012'!$B$20:$H$109,5,0),"")</f>
        <v/>
      </c>
      <c r="BU47" s="28" t="str">
        <f>IFERROR(VLOOKUP(CONCATENATE(BS$3,"-",$B47),'FO-GC-012'!$B$20:$H$109,6,0),"")</f>
        <v/>
      </c>
      <c r="BV47" s="29" t="str">
        <f>IFERROR(VLOOKUP(CONCATENATE(BS$3,"-",$B47),'FO-GC-012'!$D$20:$H$109,5,0),"")</f>
        <v/>
      </c>
      <c r="BW47" s="26" t="str">
        <f>IFERROR(VLOOKUP(CONCATENATE(BW$3,"-",$B47),'FO-GC-012'!$B$20:$H$109,2,0),"")</f>
        <v/>
      </c>
      <c r="BX47" s="27" t="str">
        <f>IFERROR(VLOOKUP(CONCATENATE(BW$3,"-",$B47),'FO-GC-012'!$B$20:$H$109,5,0),"")</f>
        <v/>
      </c>
      <c r="BY47" s="28" t="str">
        <f>IFERROR(VLOOKUP(CONCATENATE(BW$3,"-",$B47),'FO-GC-012'!$B$20:$H$109,6,0),"")</f>
        <v/>
      </c>
      <c r="BZ47" s="29" t="str">
        <f>IFERROR(VLOOKUP(CONCATENATE(BW$3,"-",$B47),'FO-GC-012'!$D$20:$H$109,5,0),"")</f>
        <v/>
      </c>
      <c r="CA47" s="26" t="str">
        <f>IFERROR(VLOOKUP(CONCATENATE(CA$3,"-",$B47),'FO-GC-012'!$B$20:$H$109,2,0),"")</f>
        <v/>
      </c>
      <c r="CB47" s="27" t="str">
        <f>IFERROR(VLOOKUP(CONCATENATE(CA$3,"-",$B47),'FO-GC-012'!$B$20:$H$109,5,0),"")</f>
        <v/>
      </c>
      <c r="CC47" s="28" t="str">
        <f>IFERROR(VLOOKUP(CONCATENATE(CA$3,"-",$B47),'FO-GC-012'!$B$20:$H$109,6,0),"")</f>
        <v/>
      </c>
      <c r="CD47" s="5" t="str">
        <f>IFERROR(VLOOKUP(CONCATENATE(CA$3,"-",$B47),'FO-GC-012'!$D$20:$H$109,5,0),"")</f>
        <v/>
      </c>
    </row>
    <row r="48" spans="1:82" ht="21" customHeight="1" x14ac:dyDescent="0.35">
      <c r="B48" s="125"/>
      <c r="C48" s="22" t="str">
        <f>IFERROR(VLOOKUP(CONCATENATE(C$3,"-",$B48),'FO-GC-012'!$B$20:$H$109,2,0),"")</f>
        <v/>
      </c>
      <c r="D48" s="23" t="str">
        <f>IFERROR(VLOOKUP(CONCATENATE(C$3,"-",$B48),'FO-GC-012'!$B$20:$H$109,5,0),"")</f>
        <v/>
      </c>
      <c r="E48" s="24" t="str">
        <f>IFERROR(VLOOKUP(CONCATENATE(C$3,"-",$B48),'FO-GC-012'!$B$20:$H$109,6,0),"")</f>
        <v/>
      </c>
      <c r="F48" s="25" t="str">
        <f>IFERROR(VLOOKUP(CONCATENATE(C$3,"-",$B48),'FO-GC-012'!$D$20:$H$109,5,0),"")</f>
        <v/>
      </c>
      <c r="G48" s="22" t="str">
        <f>IFERROR(VLOOKUP(CONCATENATE(G$3,"-",$B48),'FO-GC-012'!$B$20:$H$109,2,0),"")</f>
        <v/>
      </c>
      <c r="H48" s="23" t="str">
        <f>IFERROR(VLOOKUP(CONCATENATE(G$3,"-",$B48),'FO-GC-012'!$B$20:$H$109,5,0),"")</f>
        <v/>
      </c>
      <c r="I48" s="24" t="str">
        <f>IFERROR(VLOOKUP(CONCATENATE(G$3,"-",$B48),'FO-GC-012'!$B$20:$H$109,6,0),"")</f>
        <v/>
      </c>
      <c r="J48" s="25" t="str">
        <f>IFERROR(VLOOKUP(CONCATENATE(G$3,"-",$B48),'FO-GC-012'!$D$20:$H$109,5,0),"")</f>
        <v/>
      </c>
      <c r="K48" s="22" t="str">
        <f>IFERROR(VLOOKUP(CONCATENATE(K$3,"-",$B48),'FO-GC-012'!$B$20:$H$109,2,0),"")</f>
        <v/>
      </c>
      <c r="L48" s="23" t="str">
        <f>IFERROR(VLOOKUP(CONCATENATE(K$3,"-",$B48),'FO-GC-012'!$B$20:$H$109,5,0),"")</f>
        <v/>
      </c>
      <c r="M48" s="24" t="str">
        <f>IFERROR(VLOOKUP(CONCATENATE(K$3,"-",$B48),'FO-GC-012'!$B$20:$H$109,6,0),"")</f>
        <v/>
      </c>
      <c r="N48" s="25" t="str">
        <f>IFERROR(VLOOKUP(CONCATENATE(K$3,"-",$B48),'FO-GC-012'!$D$20:$H$109,5,0),"")</f>
        <v/>
      </c>
      <c r="O48" s="22" t="str">
        <f>IFERROR(VLOOKUP(CONCATENATE(O$3,"-",$B48),'FO-GC-012'!$B$20:$H$109,2,0),"")</f>
        <v/>
      </c>
      <c r="P48" s="23" t="str">
        <f>IFERROR(VLOOKUP(CONCATENATE(O$3,"-",$B48),'FO-GC-012'!$B$20:$H$109,5,0),"")</f>
        <v/>
      </c>
      <c r="Q48" s="24" t="str">
        <f>IFERROR(VLOOKUP(CONCATENATE(O$3,"-",$B48),'FO-GC-012'!$B$20:$H$109,6,0),"")</f>
        <v/>
      </c>
      <c r="R48" s="25" t="str">
        <f>IFERROR(VLOOKUP(CONCATENATE(O$3,"-",$B48),'FO-GC-012'!$D$20:$H$109,5,0),"")</f>
        <v/>
      </c>
      <c r="S48" s="22" t="str">
        <f>IFERROR(VLOOKUP(CONCATENATE(S$3,"-",$B48),'FO-GC-012'!$B$20:$H$109,2,0),"")</f>
        <v/>
      </c>
      <c r="T48" s="23" t="str">
        <f>IFERROR(VLOOKUP(CONCATENATE(S$3,"-",$B48),'FO-GC-012'!$B$20:$H$109,5,0),"")</f>
        <v/>
      </c>
      <c r="U48" s="24" t="str">
        <f>IFERROR(VLOOKUP(CONCATENATE(S$3,"-",$B48),'FO-GC-012'!$B$20:$H$109,6,0),"")</f>
        <v/>
      </c>
      <c r="V48" s="25" t="str">
        <f>IFERROR(VLOOKUP(CONCATENATE(S$3,"-",$B48),'FO-GC-012'!$D$20:$H$109,5,0),"")</f>
        <v/>
      </c>
      <c r="W48" s="22" t="str">
        <f>IFERROR(VLOOKUP(CONCATENATE(W$3,"-",$B48),'FO-GC-012'!$B$20:$H$109,2,0),"")</f>
        <v/>
      </c>
      <c r="X48" s="23" t="str">
        <f>IFERROR(VLOOKUP(CONCATENATE(W$3,"-",$B48),'FO-GC-012'!$B$20:$H$109,5,0),"")</f>
        <v/>
      </c>
      <c r="Y48" s="24" t="str">
        <f>IFERROR(VLOOKUP(CONCATENATE(W$3,"-",$B48),'FO-GC-012'!$B$20:$H$109,6,0),"")</f>
        <v/>
      </c>
      <c r="Z48" s="25" t="str">
        <f>IFERROR(VLOOKUP(CONCATENATE(W$3,"-",$B48),'FO-GC-012'!$D$20:$H$109,5,0),"")</f>
        <v/>
      </c>
      <c r="AA48" s="22" t="str">
        <f>IFERROR(VLOOKUP(CONCATENATE(AA$3,"-",$B48),'FO-GC-012'!$B$20:$H$109,2,0),"")</f>
        <v/>
      </c>
      <c r="AB48" s="23" t="str">
        <f>IFERROR(VLOOKUP(CONCATENATE(AA$3,"-",$B48),'FO-GC-012'!$B$20:$H$109,5,0),"")</f>
        <v/>
      </c>
      <c r="AC48" s="24" t="str">
        <f>IFERROR(VLOOKUP(CONCATENATE(AA$3,"-",$B48),'FO-GC-012'!$B$20:$H$109,6,0),"")</f>
        <v/>
      </c>
      <c r="AD48" s="25" t="str">
        <f>IFERROR(VLOOKUP(CONCATENATE(AA$3,"-",$B48),'FO-GC-012'!$D$20:$H$109,5,0),"")</f>
        <v/>
      </c>
      <c r="AE48" s="22" t="str">
        <f>IFERROR(VLOOKUP(CONCATENATE(AE$3,"-",$B48),'FO-GC-012'!$B$20:$H$109,2,0),"")</f>
        <v/>
      </c>
      <c r="AF48" s="23" t="str">
        <f>IFERROR(VLOOKUP(CONCATENATE(AE$3,"-",$B48),'FO-GC-012'!$B$20:$H$109,5,0),"")</f>
        <v/>
      </c>
      <c r="AG48" s="24" t="str">
        <f>IFERROR(VLOOKUP(CONCATENATE(AE$3,"-",$B48),'FO-GC-012'!$B$20:$H$109,6,0),"")</f>
        <v/>
      </c>
      <c r="AH48" s="25" t="str">
        <f>IFERROR(VLOOKUP(CONCATENATE(AE$3,"-",$B48),'FO-GC-012'!$D$20:$H$109,5,0),"")</f>
        <v/>
      </c>
      <c r="AI48" s="22" t="str">
        <f>IFERROR(VLOOKUP(CONCATENATE(AI$3,"-",$B48),'FO-GC-012'!$B$20:$H$109,2,0),"")</f>
        <v/>
      </c>
      <c r="AJ48" s="23" t="str">
        <f>IFERROR(VLOOKUP(CONCATENATE(AI$3,"-",$B48),'FO-GC-012'!$B$20:$H$109,5,0),"")</f>
        <v/>
      </c>
      <c r="AK48" s="24" t="str">
        <f>IFERROR(VLOOKUP(CONCATENATE(AI$3,"-",$B48),'FO-GC-012'!$B$20:$H$109,6,0),"")</f>
        <v/>
      </c>
      <c r="AL48" s="25" t="str">
        <f>IFERROR(VLOOKUP(CONCATENATE(AI$3,"-",$B48),'FO-GC-012'!$D$20:$H$109,5,0),"")</f>
        <v/>
      </c>
      <c r="AM48" s="22" t="str">
        <f>IFERROR(VLOOKUP(CONCATENATE(AM$3,"-",$B48),'FO-GC-012'!$B$20:$H$109,2,0),"")</f>
        <v/>
      </c>
      <c r="AN48" s="23" t="str">
        <f>IFERROR(VLOOKUP(CONCATENATE(AM$3,"-",$B48),'FO-GC-012'!$B$20:$H$109,5,0),"")</f>
        <v/>
      </c>
      <c r="AO48" s="24" t="str">
        <f>IFERROR(VLOOKUP(CONCATENATE(AM$3,"-",$B48),'FO-GC-012'!$B$20:$H$109,6,0),"")</f>
        <v/>
      </c>
      <c r="AP48" s="25" t="str">
        <f>IFERROR(VLOOKUP(CONCATENATE(AM$3,"-",$B48),'FO-GC-012'!$D$20:$H$109,5,0),"")</f>
        <v/>
      </c>
      <c r="AQ48" s="22" t="str">
        <f>IFERROR(VLOOKUP(CONCATENATE(AQ$3,"-",$B48),'FO-GC-012'!$B$20:$H$109,2,0),"")</f>
        <v/>
      </c>
      <c r="AR48" s="23" t="str">
        <f>IFERROR(VLOOKUP(CONCATENATE(AQ$3,"-",$B48),'FO-GC-012'!$B$20:$H$109,5,0),"")</f>
        <v/>
      </c>
      <c r="AS48" s="24" t="str">
        <f>IFERROR(VLOOKUP(CONCATENATE(AQ$3,"-",$B48),'FO-GC-012'!$B$20:$H$109,6,0),"")</f>
        <v/>
      </c>
      <c r="AT48" s="25" t="str">
        <f>IFERROR(VLOOKUP(CONCATENATE(AQ$3,"-",$B48),'FO-GC-012'!$D$20:$H$109,5,0),"")</f>
        <v/>
      </c>
      <c r="AU48" s="22" t="str">
        <f>IFERROR(VLOOKUP(CONCATENATE(AU$3,"-",$B48),'FO-GC-012'!$B$20:$H$109,2,0),"")</f>
        <v/>
      </c>
      <c r="AV48" s="23" t="str">
        <f>IFERROR(VLOOKUP(CONCATENATE(AU$3,"-",$B48),'FO-GC-012'!$B$20:$H$109,5,0),"")</f>
        <v/>
      </c>
      <c r="AW48" s="24" t="str">
        <f>IFERROR(VLOOKUP(CONCATENATE(AU$3,"-",$B48),'FO-GC-012'!$B$20:$H$109,6,0),"")</f>
        <v/>
      </c>
      <c r="AX48" s="25" t="str">
        <f>IFERROR(VLOOKUP(CONCATENATE(AU$3,"-",$B48),'FO-GC-012'!$D$20:$H$109,5,0),"")</f>
        <v/>
      </c>
      <c r="AY48" s="22" t="str">
        <f>IFERROR(VLOOKUP(CONCATENATE(AY$3,"-",$B48),'FO-GC-012'!$B$20:$H$109,2,0),"")</f>
        <v/>
      </c>
      <c r="AZ48" s="23" t="str">
        <f>IFERROR(VLOOKUP(CONCATENATE(AY$3,"-",$B48),'FO-GC-012'!$B$20:$H$109,5,0),"")</f>
        <v/>
      </c>
      <c r="BA48" s="24" t="str">
        <f>IFERROR(VLOOKUP(CONCATENATE(AY$3,"-",$B48),'FO-GC-012'!$B$20:$H$109,6,0),"")</f>
        <v/>
      </c>
      <c r="BB48" s="25" t="str">
        <f>IFERROR(VLOOKUP(CONCATENATE(AY$3,"-",$B48),'FO-GC-012'!$D$20:$H$109,5,0),"")</f>
        <v/>
      </c>
      <c r="BC48" s="22" t="str">
        <f>IFERROR(VLOOKUP(CONCATENATE(BC$3,"-",$B48),'FO-GC-012'!$B$20:$H$109,2,0),"")</f>
        <v/>
      </c>
      <c r="BD48" s="23" t="str">
        <f>IFERROR(VLOOKUP(CONCATENATE(BC$3,"-",$B48),'FO-GC-012'!$B$20:$H$109,5,0),"")</f>
        <v/>
      </c>
      <c r="BE48" s="24" t="str">
        <f>IFERROR(VLOOKUP(CONCATENATE(BC$3,"-",$B48),'FO-GC-012'!$B$20:$H$109,6,0),"")</f>
        <v/>
      </c>
      <c r="BF48" s="25" t="str">
        <f>IFERROR(VLOOKUP(CONCATENATE(BC$3,"-",$B48),'FO-GC-012'!$D$20:$H$109,5,0),"")</f>
        <v/>
      </c>
      <c r="BG48" s="22" t="str">
        <f>IFERROR(VLOOKUP(CONCATENATE(BG$3,"-",$B48),'FO-GC-012'!$B$20:$H$109,2,0),"")</f>
        <v/>
      </c>
      <c r="BH48" s="23" t="str">
        <f>IFERROR(VLOOKUP(CONCATENATE(BG$3,"-",$B48),'FO-GC-012'!$B$20:$H$109,5,0),"")</f>
        <v/>
      </c>
      <c r="BI48" s="24" t="str">
        <f>IFERROR(VLOOKUP(CONCATENATE(BG$3,"-",$B48),'FO-GC-012'!$B$20:$H$109,6,0),"")</f>
        <v/>
      </c>
      <c r="BJ48" s="25" t="str">
        <f>IFERROR(VLOOKUP(CONCATENATE(BG$3,"-",$B48),'FO-GC-012'!$D$20:$H$109,5,0),"")</f>
        <v/>
      </c>
      <c r="BK48" s="22" t="str">
        <f>IFERROR(VLOOKUP(CONCATENATE(BK$3,"-",$B48),'FO-GC-012'!$B$20:$H$109,2,0),"")</f>
        <v/>
      </c>
      <c r="BL48" s="23" t="str">
        <f>IFERROR(VLOOKUP(CONCATENATE(BK$3,"-",$B48),'FO-GC-012'!$B$20:$H$109,5,0),"")</f>
        <v/>
      </c>
      <c r="BM48" s="24" t="str">
        <f>IFERROR(VLOOKUP(CONCATENATE(BK$3,"-",$B48),'FO-GC-012'!$B$20:$H$109,6,0),"")</f>
        <v/>
      </c>
      <c r="BN48" s="25" t="str">
        <f>IFERROR(VLOOKUP(CONCATENATE(BK$3,"-",$B48),'FO-GC-012'!$D$20:$H$109,5,0),"")</f>
        <v/>
      </c>
      <c r="BO48" s="22" t="str">
        <f>IFERROR(VLOOKUP(CONCATENATE(BO$3,"-",$B48),'FO-GC-012'!$B$20:$H$109,2,0),"")</f>
        <v/>
      </c>
      <c r="BP48" s="23" t="str">
        <f>IFERROR(VLOOKUP(CONCATENATE(BO$3,"-",$B48),'FO-GC-012'!$B$20:$H$109,5,0),"")</f>
        <v/>
      </c>
      <c r="BQ48" s="24" t="str">
        <f>IFERROR(VLOOKUP(CONCATENATE(BO$3,"-",$B48),'FO-GC-012'!$B$20:$H$109,6,0),"")</f>
        <v/>
      </c>
      <c r="BR48" s="25" t="str">
        <f>IFERROR(VLOOKUP(CONCATENATE(BO$3,"-",$B48),'FO-GC-012'!$D$20:$H$109,5,0),"")</f>
        <v/>
      </c>
      <c r="BS48" s="22" t="str">
        <f>IFERROR(VLOOKUP(CONCATENATE(BS$3,"-",$B48),'FO-GC-012'!$B$20:$H$109,2,0),"")</f>
        <v/>
      </c>
      <c r="BT48" s="23" t="str">
        <f>IFERROR(VLOOKUP(CONCATENATE(BS$3,"-",$B48),'FO-GC-012'!$B$20:$H$109,5,0),"")</f>
        <v/>
      </c>
      <c r="BU48" s="24" t="str">
        <f>IFERROR(VLOOKUP(CONCATENATE(BS$3,"-",$B48),'FO-GC-012'!$B$20:$H$109,6,0),"")</f>
        <v/>
      </c>
      <c r="BV48" s="25" t="str">
        <f>IFERROR(VLOOKUP(CONCATENATE(BS$3,"-",$B48),'FO-GC-012'!$D$20:$H$109,5,0),"")</f>
        <v/>
      </c>
      <c r="BW48" s="22" t="str">
        <f>IFERROR(VLOOKUP(CONCATENATE(BW$3,"-",$B48),'FO-GC-012'!$B$20:$H$109,2,0),"")</f>
        <v/>
      </c>
      <c r="BX48" s="23" t="str">
        <f>IFERROR(VLOOKUP(CONCATENATE(BW$3,"-",$B48),'FO-GC-012'!$B$20:$H$109,5,0),"")</f>
        <v/>
      </c>
      <c r="BY48" s="24" t="str">
        <f>IFERROR(VLOOKUP(CONCATENATE(BW$3,"-",$B48),'FO-GC-012'!$B$20:$H$109,6,0),"")</f>
        <v/>
      </c>
      <c r="BZ48" s="25" t="str">
        <f>IFERROR(VLOOKUP(CONCATENATE(BW$3,"-",$B48),'FO-GC-012'!$D$20:$H$109,5,0),"")</f>
        <v/>
      </c>
      <c r="CA48" s="22" t="str">
        <f>IFERROR(VLOOKUP(CONCATENATE(CA$3,"-",$B48),'FO-GC-012'!$B$20:$H$109,2,0),"")</f>
        <v/>
      </c>
      <c r="CB48" s="23" t="str">
        <f>IFERROR(VLOOKUP(CONCATENATE(CA$3,"-",$B48),'FO-GC-012'!$B$20:$H$109,5,0),"")</f>
        <v/>
      </c>
      <c r="CC48" s="24" t="str">
        <f>IFERROR(VLOOKUP(CONCATENATE(CA$3,"-",$B48),'FO-GC-012'!$B$20:$H$109,6,0),"")</f>
        <v/>
      </c>
      <c r="CD48" s="5" t="str">
        <f>IFERROR(VLOOKUP(CONCATENATE(CA$3,"-",$B48),'FO-GC-012'!$D$20:$H$109,5,0),"")</f>
        <v/>
      </c>
    </row>
    <row r="49" spans="2:82" ht="21" customHeight="1" x14ac:dyDescent="0.35">
      <c r="B49" s="126"/>
      <c r="C49" s="26" t="str">
        <f>IFERROR(VLOOKUP(CONCATENATE(C$3,"-",$B49),'FO-GC-012'!$B$20:$H$109,2,0),"")</f>
        <v/>
      </c>
      <c r="D49" s="27" t="str">
        <f>IFERROR(VLOOKUP(CONCATENATE(C$3,"-",$B49),'FO-GC-012'!$B$20:$H$109,5,0),"")</f>
        <v/>
      </c>
      <c r="E49" s="28" t="str">
        <f>IFERROR(VLOOKUP(CONCATENATE(C$3,"-",$B49),'FO-GC-012'!$B$20:$H$109,6,0),"")</f>
        <v/>
      </c>
      <c r="F49" s="29" t="str">
        <f>IFERROR(VLOOKUP(CONCATENATE(C$3,"-",$B49),'FO-GC-012'!$D$20:$H$109,5,0),"")</f>
        <v/>
      </c>
      <c r="G49" s="26" t="str">
        <f>IFERROR(VLOOKUP(CONCATENATE(G$3,"-",$B49),'FO-GC-012'!$B$20:$H$109,2,0),"")</f>
        <v/>
      </c>
      <c r="H49" s="27" t="str">
        <f>IFERROR(VLOOKUP(CONCATENATE(G$3,"-",$B49),'FO-GC-012'!$B$20:$H$109,5,0),"")</f>
        <v/>
      </c>
      <c r="I49" s="28" t="str">
        <f>IFERROR(VLOOKUP(CONCATENATE(G$3,"-",$B49),'FO-GC-012'!$B$20:$H$109,6,0),"")</f>
        <v/>
      </c>
      <c r="J49" s="29" t="str">
        <f>IFERROR(VLOOKUP(CONCATENATE(G$3,"-",$B49),'FO-GC-012'!$D$20:$H$109,5,0),"")</f>
        <v/>
      </c>
      <c r="K49" s="26" t="str">
        <f>IFERROR(VLOOKUP(CONCATENATE(K$3,"-",$B49),'FO-GC-012'!$B$20:$H$109,2,0),"")</f>
        <v/>
      </c>
      <c r="L49" s="27" t="str">
        <f>IFERROR(VLOOKUP(CONCATENATE(K$3,"-",$B49),'FO-GC-012'!$B$20:$H$109,5,0),"")</f>
        <v/>
      </c>
      <c r="M49" s="28" t="str">
        <f>IFERROR(VLOOKUP(CONCATENATE(K$3,"-",$B49),'FO-GC-012'!$B$20:$H$109,6,0),"")</f>
        <v/>
      </c>
      <c r="N49" s="29" t="str">
        <f>IFERROR(VLOOKUP(CONCATENATE(K$3,"-",$B49),'FO-GC-012'!$D$20:$H$109,5,0),"")</f>
        <v/>
      </c>
      <c r="O49" s="26" t="str">
        <f>IFERROR(VLOOKUP(CONCATENATE(O$3,"-",$B49),'FO-GC-012'!$B$20:$H$109,2,0),"")</f>
        <v/>
      </c>
      <c r="P49" s="27" t="str">
        <f>IFERROR(VLOOKUP(CONCATENATE(O$3,"-",$B49),'FO-GC-012'!$B$20:$H$109,5,0),"")</f>
        <v/>
      </c>
      <c r="Q49" s="28" t="str">
        <f>IFERROR(VLOOKUP(CONCATENATE(O$3,"-",$B49),'FO-GC-012'!$B$20:$H$109,6,0),"")</f>
        <v/>
      </c>
      <c r="R49" s="29" t="str">
        <f>IFERROR(VLOOKUP(CONCATENATE(O$3,"-",$B49),'FO-GC-012'!$D$20:$H$109,5,0),"")</f>
        <v/>
      </c>
      <c r="S49" s="26" t="str">
        <f>IFERROR(VLOOKUP(CONCATENATE(S$3,"-",$B49),'FO-GC-012'!$B$20:$H$109,2,0),"")</f>
        <v/>
      </c>
      <c r="T49" s="27" t="str">
        <f>IFERROR(VLOOKUP(CONCATENATE(S$3,"-",$B49),'FO-GC-012'!$B$20:$H$109,5,0),"")</f>
        <v/>
      </c>
      <c r="U49" s="28" t="str">
        <f>IFERROR(VLOOKUP(CONCATENATE(S$3,"-",$B49),'FO-GC-012'!$B$20:$H$109,6,0),"")</f>
        <v/>
      </c>
      <c r="V49" s="29" t="str">
        <f>IFERROR(VLOOKUP(CONCATENATE(S$3,"-",$B49),'FO-GC-012'!$D$20:$H$109,5,0),"")</f>
        <v/>
      </c>
      <c r="W49" s="26" t="str">
        <f>IFERROR(VLOOKUP(CONCATENATE(W$3,"-",$B49),'FO-GC-012'!$B$20:$H$109,2,0),"")</f>
        <v/>
      </c>
      <c r="X49" s="27" t="str">
        <f>IFERROR(VLOOKUP(CONCATENATE(W$3,"-",$B49),'FO-GC-012'!$B$20:$H$109,5,0),"")</f>
        <v/>
      </c>
      <c r="Y49" s="28" t="str">
        <f>IFERROR(VLOOKUP(CONCATENATE(W$3,"-",$B49),'FO-GC-012'!$B$20:$H$109,6,0),"")</f>
        <v/>
      </c>
      <c r="Z49" s="29" t="str">
        <f>IFERROR(VLOOKUP(CONCATENATE(W$3,"-",$B49),'FO-GC-012'!$D$20:$H$109,5,0),"")</f>
        <v/>
      </c>
      <c r="AA49" s="26" t="str">
        <f>IFERROR(VLOOKUP(CONCATENATE(AA$3,"-",$B49),'FO-GC-012'!$B$20:$H$109,2,0),"")</f>
        <v/>
      </c>
      <c r="AB49" s="27" t="str">
        <f>IFERROR(VLOOKUP(CONCATENATE(AA$3,"-",$B49),'FO-GC-012'!$B$20:$H$109,5,0),"")</f>
        <v/>
      </c>
      <c r="AC49" s="28" t="str">
        <f>IFERROR(VLOOKUP(CONCATENATE(AA$3,"-",$B49),'FO-GC-012'!$B$20:$H$109,6,0),"")</f>
        <v/>
      </c>
      <c r="AD49" s="29" t="str">
        <f>IFERROR(VLOOKUP(CONCATENATE(AA$3,"-",$B49),'FO-GC-012'!$D$20:$H$109,5,0),"")</f>
        <v/>
      </c>
      <c r="AE49" s="26" t="str">
        <f>IFERROR(VLOOKUP(CONCATENATE(AE$3,"-",$B49),'FO-GC-012'!$B$20:$H$109,2,0),"")</f>
        <v/>
      </c>
      <c r="AF49" s="27" t="str">
        <f>IFERROR(VLOOKUP(CONCATENATE(AE$3,"-",$B49),'FO-GC-012'!$B$20:$H$109,5,0),"")</f>
        <v/>
      </c>
      <c r="AG49" s="28" t="str">
        <f>IFERROR(VLOOKUP(CONCATENATE(AE$3,"-",$B49),'FO-GC-012'!$B$20:$H$109,6,0),"")</f>
        <v/>
      </c>
      <c r="AH49" s="29" t="str">
        <f>IFERROR(VLOOKUP(CONCATENATE(AE$3,"-",$B49),'FO-GC-012'!$D$20:$H$109,5,0),"")</f>
        <v/>
      </c>
      <c r="AI49" s="26" t="str">
        <f>IFERROR(VLOOKUP(CONCATENATE(AI$3,"-",$B49),'FO-GC-012'!$B$20:$H$109,2,0),"")</f>
        <v/>
      </c>
      <c r="AJ49" s="27" t="str">
        <f>IFERROR(VLOOKUP(CONCATENATE(AI$3,"-",$B49),'FO-GC-012'!$B$20:$H$109,5,0),"")</f>
        <v/>
      </c>
      <c r="AK49" s="28" t="str">
        <f>IFERROR(VLOOKUP(CONCATENATE(AI$3,"-",$B49),'FO-GC-012'!$B$20:$H$109,6,0),"")</f>
        <v/>
      </c>
      <c r="AL49" s="29" t="str">
        <f>IFERROR(VLOOKUP(CONCATENATE(AI$3,"-",$B49),'FO-GC-012'!$D$20:$H$109,5,0),"")</f>
        <v/>
      </c>
      <c r="AM49" s="26" t="str">
        <f>IFERROR(VLOOKUP(CONCATENATE(AM$3,"-",$B49),'FO-GC-012'!$B$20:$H$109,2,0),"")</f>
        <v/>
      </c>
      <c r="AN49" s="27" t="str">
        <f>IFERROR(VLOOKUP(CONCATENATE(AM$3,"-",$B49),'FO-GC-012'!$B$20:$H$109,5,0),"")</f>
        <v/>
      </c>
      <c r="AO49" s="28" t="str">
        <f>IFERROR(VLOOKUP(CONCATENATE(AM$3,"-",$B49),'FO-GC-012'!$B$20:$H$109,6,0),"")</f>
        <v/>
      </c>
      <c r="AP49" s="29" t="str">
        <f>IFERROR(VLOOKUP(CONCATENATE(AM$3,"-",$B49),'FO-GC-012'!$D$20:$H$109,5,0),"")</f>
        <v/>
      </c>
      <c r="AQ49" s="26" t="str">
        <f>IFERROR(VLOOKUP(CONCATENATE(AQ$3,"-",$B49),'FO-GC-012'!$B$20:$H$109,2,0),"")</f>
        <v/>
      </c>
      <c r="AR49" s="27" t="str">
        <f>IFERROR(VLOOKUP(CONCATENATE(AQ$3,"-",$B49),'FO-GC-012'!$B$20:$H$109,5,0),"")</f>
        <v/>
      </c>
      <c r="AS49" s="28" t="str">
        <f>IFERROR(VLOOKUP(CONCATENATE(AQ$3,"-",$B49),'FO-GC-012'!$B$20:$H$109,6,0),"")</f>
        <v/>
      </c>
      <c r="AT49" s="29" t="str">
        <f>IFERROR(VLOOKUP(CONCATENATE(AQ$3,"-",$B49),'FO-GC-012'!$D$20:$H$109,5,0),"")</f>
        <v/>
      </c>
      <c r="AU49" s="26" t="str">
        <f>IFERROR(VLOOKUP(CONCATENATE(AU$3,"-",$B49),'FO-GC-012'!$B$20:$H$109,2,0),"")</f>
        <v/>
      </c>
      <c r="AV49" s="27" t="str">
        <f>IFERROR(VLOOKUP(CONCATENATE(AU$3,"-",$B49),'FO-GC-012'!$B$20:$H$109,5,0),"")</f>
        <v/>
      </c>
      <c r="AW49" s="28" t="str">
        <f>IFERROR(VLOOKUP(CONCATENATE(AU$3,"-",$B49),'FO-GC-012'!$B$20:$H$109,6,0),"")</f>
        <v/>
      </c>
      <c r="AX49" s="29" t="str">
        <f>IFERROR(VLOOKUP(CONCATENATE(AU$3,"-",$B49),'FO-GC-012'!$D$20:$H$109,5,0),"")</f>
        <v/>
      </c>
      <c r="AY49" s="26" t="str">
        <f>IFERROR(VLOOKUP(CONCATENATE(AY$3,"-",$B49),'FO-GC-012'!$B$20:$H$109,2,0),"")</f>
        <v/>
      </c>
      <c r="AZ49" s="27" t="str">
        <f>IFERROR(VLOOKUP(CONCATENATE(AY$3,"-",$B49),'FO-GC-012'!$B$20:$H$109,5,0),"")</f>
        <v/>
      </c>
      <c r="BA49" s="28" t="str">
        <f>IFERROR(VLOOKUP(CONCATENATE(AY$3,"-",$B49),'FO-GC-012'!$B$20:$H$109,6,0),"")</f>
        <v/>
      </c>
      <c r="BB49" s="29" t="str">
        <f>IFERROR(VLOOKUP(CONCATENATE(AY$3,"-",$B49),'FO-GC-012'!$D$20:$H$109,5,0),"")</f>
        <v/>
      </c>
      <c r="BC49" s="26" t="str">
        <f>IFERROR(VLOOKUP(CONCATENATE(BC$3,"-",$B49),'FO-GC-012'!$B$20:$H$109,2,0),"")</f>
        <v/>
      </c>
      <c r="BD49" s="27" t="str">
        <f>IFERROR(VLOOKUP(CONCATENATE(BC$3,"-",$B49),'FO-GC-012'!$B$20:$H$109,5,0),"")</f>
        <v/>
      </c>
      <c r="BE49" s="28" t="str">
        <f>IFERROR(VLOOKUP(CONCATENATE(BC$3,"-",$B49),'FO-GC-012'!$B$20:$H$109,6,0),"")</f>
        <v/>
      </c>
      <c r="BF49" s="29" t="str">
        <f>IFERROR(VLOOKUP(CONCATENATE(BC$3,"-",$B49),'FO-GC-012'!$D$20:$H$109,5,0),"")</f>
        <v/>
      </c>
      <c r="BG49" s="26" t="str">
        <f>IFERROR(VLOOKUP(CONCATENATE(BG$3,"-",$B49),'FO-GC-012'!$B$20:$H$109,2,0),"")</f>
        <v/>
      </c>
      <c r="BH49" s="27" t="str">
        <f>IFERROR(VLOOKUP(CONCATENATE(BG$3,"-",$B49),'FO-GC-012'!$B$20:$H$109,5,0),"")</f>
        <v/>
      </c>
      <c r="BI49" s="28" t="str">
        <f>IFERROR(VLOOKUP(CONCATENATE(BG$3,"-",$B49),'FO-GC-012'!$B$20:$H$109,6,0),"")</f>
        <v/>
      </c>
      <c r="BJ49" s="29" t="str">
        <f>IFERROR(VLOOKUP(CONCATENATE(BG$3,"-",$B49),'FO-GC-012'!$D$20:$H$109,5,0),"")</f>
        <v/>
      </c>
      <c r="BK49" s="26" t="str">
        <f>IFERROR(VLOOKUP(CONCATENATE(BK$3,"-",$B49),'FO-GC-012'!$B$20:$H$109,2,0),"")</f>
        <v/>
      </c>
      <c r="BL49" s="27" t="str">
        <f>IFERROR(VLOOKUP(CONCATENATE(BK$3,"-",$B49),'FO-GC-012'!$B$20:$H$109,5,0),"")</f>
        <v/>
      </c>
      <c r="BM49" s="28" t="str">
        <f>IFERROR(VLOOKUP(CONCATENATE(BK$3,"-",$B49),'FO-GC-012'!$B$20:$H$109,6,0),"")</f>
        <v/>
      </c>
      <c r="BN49" s="29" t="str">
        <f>IFERROR(VLOOKUP(CONCATENATE(BK$3,"-",$B49),'FO-GC-012'!$D$20:$H$109,5,0),"")</f>
        <v/>
      </c>
      <c r="BO49" s="26" t="str">
        <f>IFERROR(VLOOKUP(CONCATENATE(BO$3,"-",$B49),'FO-GC-012'!$B$20:$H$109,2,0),"")</f>
        <v/>
      </c>
      <c r="BP49" s="27" t="str">
        <f>IFERROR(VLOOKUP(CONCATENATE(BO$3,"-",$B49),'FO-GC-012'!$B$20:$H$109,5,0),"")</f>
        <v/>
      </c>
      <c r="BQ49" s="28" t="str">
        <f>IFERROR(VLOOKUP(CONCATENATE(BO$3,"-",$B49),'FO-GC-012'!$B$20:$H$109,6,0),"")</f>
        <v/>
      </c>
      <c r="BR49" s="29" t="str">
        <f>IFERROR(VLOOKUP(CONCATENATE(BO$3,"-",$B49),'FO-GC-012'!$D$20:$H$109,5,0),"")</f>
        <v/>
      </c>
      <c r="BS49" s="26" t="str">
        <f>IFERROR(VLOOKUP(CONCATENATE(BS$3,"-",$B49),'FO-GC-012'!$B$20:$H$109,2,0),"")</f>
        <v/>
      </c>
      <c r="BT49" s="27" t="str">
        <f>IFERROR(VLOOKUP(CONCATENATE(BS$3,"-",$B49),'FO-GC-012'!$B$20:$H$109,5,0),"")</f>
        <v/>
      </c>
      <c r="BU49" s="28" t="str">
        <f>IFERROR(VLOOKUP(CONCATENATE(BS$3,"-",$B49),'FO-GC-012'!$B$20:$H$109,6,0),"")</f>
        <v/>
      </c>
      <c r="BV49" s="29" t="str">
        <f>IFERROR(VLOOKUP(CONCATENATE(BS$3,"-",$B49),'FO-GC-012'!$D$20:$H$109,5,0),"")</f>
        <v/>
      </c>
      <c r="BW49" s="26" t="str">
        <f>IFERROR(VLOOKUP(CONCATENATE(BW$3,"-",$B49),'FO-GC-012'!$B$20:$H$109,2,0),"")</f>
        <v/>
      </c>
      <c r="BX49" s="27" t="str">
        <f>IFERROR(VLOOKUP(CONCATENATE(BW$3,"-",$B49),'FO-GC-012'!$B$20:$H$109,5,0),"")</f>
        <v/>
      </c>
      <c r="BY49" s="28" t="str">
        <f>IFERROR(VLOOKUP(CONCATENATE(BW$3,"-",$B49),'FO-GC-012'!$B$20:$H$109,6,0),"")</f>
        <v/>
      </c>
      <c r="BZ49" s="29" t="str">
        <f>IFERROR(VLOOKUP(CONCATENATE(BW$3,"-",$B49),'FO-GC-012'!$D$20:$H$109,5,0),"")</f>
        <v/>
      </c>
      <c r="CA49" s="26" t="str">
        <f>IFERROR(VLOOKUP(CONCATENATE(CA$3,"-",$B49),'FO-GC-012'!$B$20:$H$109,2,0),"")</f>
        <v/>
      </c>
      <c r="CB49" s="27" t="str">
        <f>IFERROR(VLOOKUP(CONCATENATE(CA$3,"-",$B49),'FO-GC-012'!$B$20:$H$109,5,0),"")</f>
        <v/>
      </c>
      <c r="CC49" s="28" t="str">
        <f>IFERROR(VLOOKUP(CONCATENATE(CA$3,"-",$B49),'FO-GC-012'!$B$20:$H$109,6,0),"")</f>
        <v/>
      </c>
      <c r="CD49" s="5" t="str">
        <f>IFERROR(VLOOKUP(CONCATENATE(CA$3,"-",$B49),'FO-GC-012'!$D$20:$H$109,5,0),"")</f>
        <v/>
      </c>
    </row>
    <row r="50" spans="2:82" ht="14.5" x14ac:dyDescent="0.35">
      <c r="B50" s="16"/>
      <c r="C50" s="2"/>
      <c r="D50" s="10"/>
      <c r="E50" s="10"/>
      <c r="F50" s="2"/>
      <c r="G50" s="2"/>
      <c r="H50" s="10"/>
      <c r="I50" s="10"/>
      <c r="J50" s="2"/>
      <c r="K50" s="2"/>
      <c r="L50" s="10"/>
      <c r="M50" s="10"/>
      <c r="N50" s="2"/>
      <c r="O50" s="2"/>
      <c r="P50" s="10"/>
      <c r="Q50" s="10"/>
      <c r="R50" s="2"/>
      <c r="S50" s="2"/>
      <c r="T50" s="10"/>
      <c r="U50" s="10"/>
      <c r="V50" s="2"/>
      <c r="W50" s="2"/>
      <c r="X50" s="10"/>
      <c r="Y50" s="10"/>
      <c r="Z50" s="2"/>
      <c r="AA50" s="2"/>
      <c r="AB50" s="10"/>
      <c r="AC50" s="10"/>
      <c r="AD50" s="2"/>
      <c r="AE50" s="2"/>
      <c r="AF50" s="10"/>
      <c r="AG50" s="10"/>
      <c r="AH50" s="2"/>
      <c r="AI50" s="2"/>
      <c r="AJ50" s="10"/>
      <c r="AK50" s="10"/>
      <c r="AL50" s="2"/>
      <c r="AM50" s="2"/>
      <c r="AN50" s="10"/>
      <c r="AO50" s="10"/>
      <c r="AP50" s="2"/>
      <c r="AQ50" s="2"/>
      <c r="AR50" s="10"/>
      <c r="AS50" s="10"/>
      <c r="AT50" s="2"/>
      <c r="AU50" s="2"/>
      <c r="AV50" s="10"/>
      <c r="AW50" s="10"/>
      <c r="AX50" s="2"/>
      <c r="AY50" s="2"/>
      <c r="AZ50" s="10"/>
      <c r="BA50" s="10"/>
      <c r="BB50" s="2"/>
      <c r="BC50" s="2"/>
      <c r="BD50" s="10"/>
      <c r="BE50" s="10"/>
      <c r="BF50" s="2"/>
      <c r="BG50" s="2"/>
      <c r="BH50" s="10"/>
      <c r="BI50" s="10"/>
      <c r="BJ50" s="2"/>
      <c r="BK50" s="2"/>
      <c r="BL50" s="10"/>
      <c r="BM50" s="10"/>
      <c r="BN50" s="2"/>
      <c r="BO50" s="2"/>
      <c r="BP50" s="10"/>
      <c r="BQ50" s="10"/>
      <c r="BR50" s="2"/>
      <c r="BS50" s="2"/>
      <c r="BT50" s="10"/>
      <c r="BU50" s="10"/>
      <c r="BV50" s="2"/>
      <c r="BW50" s="2"/>
      <c r="BX50" s="10"/>
      <c r="BY50" s="10"/>
      <c r="BZ50" s="2"/>
      <c r="CA50" s="2"/>
      <c r="CB50" s="10"/>
      <c r="CC50" s="10"/>
      <c r="CD50" s="2"/>
    </row>
    <row r="51" spans="2:82" ht="14.5" x14ac:dyDescent="0.35">
      <c r="B51" s="16"/>
      <c r="C51" s="13"/>
      <c r="D51" s="14"/>
      <c r="E51" s="14"/>
      <c r="F51" s="13"/>
      <c r="G51" s="13"/>
      <c r="H51" s="14"/>
      <c r="I51" s="14"/>
      <c r="J51" s="13"/>
      <c r="K51" s="13"/>
      <c r="L51" s="14"/>
      <c r="M51" s="14"/>
      <c r="N51" s="13"/>
      <c r="O51" s="13"/>
      <c r="P51" s="14"/>
      <c r="Q51" s="14"/>
      <c r="R51" s="13"/>
      <c r="S51" s="13"/>
      <c r="T51" s="14"/>
      <c r="U51" s="14"/>
      <c r="V51" s="13"/>
      <c r="W51" s="13"/>
      <c r="X51" s="14"/>
      <c r="Y51" s="14"/>
      <c r="Z51" s="13"/>
      <c r="AA51" s="13"/>
      <c r="AB51" s="14"/>
      <c r="AC51" s="14"/>
      <c r="AD51" s="13"/>
      <c r="AE51" s="13"/>
      <c r="AF51" s="14"/>
      <c r="AG51" s="14"/>
      <c r="AH51" s="13"/>
      <c r="AI51" s="13"/>
      <c r="AJ51" s="14"/>
      <c r="AK51" s="14"/>
      <c r="AL51" s="13"/>
      <c r="AM51" s="13"/>
      <c r="AN51" s="14"/>
      <c r="AO51" s="14"/>
      <c r="AP51" s="13"/>
      <c r="AQ51" s="13"/>
      <c r="AR51" s="14"/>
      <c r="AS51" s="14"/>
      <c r="AT51" s="13"/>
      <c r="AU51" s="13"/>
      <c r="AV51" s="14"/>
      <c r="AW51" s="14"/>
      <c r="AX51" s="13"/>
      <c r="AY51" s="13"/>
      <c r="AZ51" s="14"/>
      <c r="BA51" s="14"/>
      <c r="BB51" s="13"/>
      <c r="BC51" s="13"/>
      <c r="BD51" s="14"/>
      <c r="BE51" s="14"/>
      <c r="BF51" s="13"/>
      <c r="BG51" s="13"/>
      <c r="BH51" s="14"/>
      <c r="BI51" s="14"/>
      <c r="BJ51" s="13"/>
      <c r="BK51" s="13"/>
      <c r="BL51" s="14"/>
      <c r="BM51" s="14"/>
      <c r="BN51" s="13"/>
      <c r="BO51" s="13"/>
      <c r="BP51" s="14"/>
      <c r="BQ51" s="14"/>
      <c r="BR51" s="13"/>
      <c r="BS51" s="13"/>
      <c r="BT51" s="14"/>
      <c r="BU51" s="14"/>
      <c r="BV51" s="13"/>
      <c r="BW51" s="13"/>
      <c r="BX51" s="14"/>
      <c r="BY51" s="14"/>
      <c r="BZ51" s="13"/>
      <c r="CA51" s="13"/>
      <c r="CB51" s="14"/>
      <c r="CC51" s="14"/>
      <c r="CD51" s="13"/>
    </row>
    <row r="52" spans="2:82" ht="14.5" x14ac:dyDescent="0.35">
      <c r="B52" s="16"/>
      <c r="C52" s="13"/>
      <c r="D52" s="14"/>
      <c r="E52" s="14"/>
      <c r="F52" s="13"/>
      <c r="G52" s="13"/>
      <c r="H52" s="14"/>
      <c r="I52" s="14"/>
      <c r="J52" s="13"/>
      <c r="K52" s="13"/>
      <c r="L52" s="14"/>
      <c r="M52" s="14"/>
      <c r="N52" s="13"/>
      <c r="O52" s="13"/>
      <c r="P52" s="14"/>
      <c r="Q52" s="14"/>
      <c r="R52" s="13"/>
      <c r="S52" s="13"/>
      <c r="T52" s="14"/>
      <c r="U52" s="14"/>
      <c r="V52" s="13"/>
      <c r="W52" s="13"/>
      <c r="X52" s="14"/>
      <c r="Y52" s="14"/>
      <c r="Z52" s="13"/>
      <c r="AA52" s="13"/>
      <c r="AB52" s="14"/>
      <c r="AC52" s="14"/>
      <c r="AD52" s="13"/>
      <c r="AE52" s="13"/>
      <c r="AF52" s="14"/>
      <c r="AG52" s="14"/>
      <c r="AH52" s="13"/>
      <c r="AI52" s="13"/>
      <c r="AJ52" s="14"/>
      <c r="AK52" s="14"/>
      <c r="AL52" s="13"/>
      <c r="AM52" s="13"/>
      <c r="AN52" s="14"/>
      <c r="AO52" s="14"/>
      <c r="AP52" s="13"/>
      <c r="AQ52" s="13"/>
      <c r="AR52" s="14"/>
      <c r="AS52" s="14"/>
      <c r="AT52" s="13"/>
      <c r="AU52" s="13"/>
      <c r="AV52" s="14"/>
      <c r="AW52" s="14"/>
      <c r="AX52" s="13"/>
      <c r="AY52" s="13"/>
      <c r="AZ52" s="14"/>
      <c r="BA52" s="14"/>
      <c r="BB52" s="13"/>
      <c r="BC52" s="13"/>
      <c r="BD52" s="14"/>
      <c r="BE52" s="14"/>
      <c r="BF52" s="13"/>
      <c r="BG52" s="13"/>
      <c r="BH52" s="14"/>
      <c r="BI52" s="14"/>
      <c r="BJ52" s="13"/>
      <c r="BK52" s="13"/>
      <c r="BL52" s="14"/>
      <c r="BM52" s="14"/>
      <c r="BN52" s="13"/>
      <c r="BO52" s="13"/>
      <c r="BP52" s="14"/>
      <c r="BQ52" s="14"/>
      <c r="BR52" s="13"/>
      <c r="BS52" s="13"/>
      <c r="BT52" s="14"/>
      <c r="BU52" s="14"/>
      <c r="BV52" s="13"/>
      <c r="BW52" s="13"/>
      <c r="BX52" s="14"/>
      <c r="BY52" s="14"/>
      <c r="BZ52" s="13"/>
      <c r="CA52" s="13"/>
      <c r="CB52" s="14"/>
      <c r="CC52" s="14"/>
      <c r="CD52" s="13"/>
    </row>
    <row r="53" spans="2:82" ht="14.5" x14ac:dyDescent="0.35">
      <c r="B53" s="16"/>
      <c r="C53" s="13"/>
      <c r="D53" s="14"/>
      <c r="E53" s="14"/>
      <c r="F53" s="13"/>
      <c r="G53" s="13"/>
      <c r="H53" s="14"/>
      <c r="I53" s="14"/>
      <c r="J53" s="13"/>
      <c r="K53" s="13"/>
      <c r="L53" s="14"/>
      <c r="M53" s="14"/>
      <c r="N53" s="13"/>
      <c r="O53" s="13"/>
      <c r="P53" s="14"/>
      <c r="Q53" s="14"/>
      <c r="R53" s="13"/>
      <c r="S53" s="13"/>
      <c r="T53" s="14"/>
      <c r="U53" s="14"/>
      <c r="V53" s="13"/>
      <c r="W53" s="13"/>
      <c r="X53" s="14"/>
      <c r="Y53" s="14"/>
      <c r="Z53" s="13"/>
      <c r="AA53" s="13"/>
      <c r="AB53" s="14"/>
      <c r="AC53" s="14"/>
      <c r="AD53" s="13"/>
      <c r="AE53" s="13"/>
      <c r="AF53" s="14"/>
      <c r="AG53" s="14"/>
      <c r="AH53" s="13"/>
      <c r="AI53" s="13"/>
      <c r="AJ53" s="14"/>
      <c r="AK53" s="14"/>
      <c r="AL53" s="13"/>
      <c r="AM53" s="13"/>
      <c r="AN53" s="14"/>
      <c r="AO53" s="14"/>
      <c r="AP53" s="13"/>
      <c r="AQ53" s="13"/>
      <c r="AR53" s="14"/>
      <c r="AS53" s="14"/>
      <c r="AT53" s="13"/>
      <c r="AU53" s="13"/>
      <c r="AV53" s="14"/>
      <c r="AW53" s="14"/>
      <c r="AX53" s="13"/>
      <c r="AY53" s="13"/>
      <c r="AZ53" s="14"/>
      <c r="BA53" s="14"/>
      <c r="BB53" s="13"/>
      <c r="BC53" s="13"/>
      <c r="BD53" s="14"/>
      <c r="BE53" s="14"/>
      <c r="BF53" s="13"/>
      <c r="BG53" s="13"/>
      <c r="BH53" s="14"/>
      <c r="BI53" s="14"/>
      <c r="BJ53" s="13"/>
      <c r="BK53" s="13"/>
      <c r="BL53" s="14"/>
      <c r="BM53" s="14"/>
      <c r="BN53" s="13"/>
      <c r="BO53" s="13"/>
      <c r="BP53" s="14"/>
      <c r="BQ53" s="14"/>
      <c r="BR53" s="13"/>
      <c r="BS53" s="13"/>
      <c r="BT53" s="14"/>
      <c r="BU53" s="14"/>
      <c r="BV53" s="13"/>
      <c r="BW53" s="13"/>
      <c r="BX53" s="14"/>
      <c r="BY53" s="14"/>
      <c r="BZ53" s="13"/>
      <c r="CA53" s="13"/>
      <c r="CB53" s="14"/>
      <c r="CC53" s="14"/>
      <c r="CD53" s="13"/>
    </row>
    <row r="54" spans="2:82" ht="14.5" x14ac:dyDescent="0.35">
      <c r="B54" s="16"/>
      <c r="C54" s="13"/>
      <c r="D54" s="14"/>
      <c r="E54" s="14"/>
      <c r="F54" s="13"/>
      <c r="G54" s="13"/>
      <c r="H54" s="14"/>
      <c r="I54" s="14"/>
      <c r="J54" s="13"/>
      <c r="K54" s="13"/>
      <c r="L54" s="14"/>
      <c r="M54" s="14"/>
      <c r="N54" s="13"/>
      <c r="O54" s="13"/>
      <c r="P54" s="14"/>
      <c r="Q54" s="14"/>
      <c r="R54" s="13"/>
      <c r="S54" s="13"/>
      <c r="T54" s="14"/>
      <c r="U54" s="14"/>
      <c r="V54" s="13"/>
      <c r="W54" s="13"/>
      <c r="X54" s="14"/>
      <c r="Y54" s="14"/>
      <c r="Z54" s="13"/>
      <c r="AA54" s="13"/>
      <c r="AB54" s="14"/>
      <c r="AC54" s="14"/>
      <c r="AD54" s="13"/>
      <c r="AE54" s="13"/>
      <c r="AF54" s="14"/>
      <c r="AG54" s="14"/>
      <c r="AH54" s="13"/>
      <c r="AI54" s="13"/>
      <c r="AJ54" s="14"/>
      <c r="AK54" s="14"/>
      <c r="AL54" s="13"/>
      <c r="AM54" s="13"/>
      <c r="AN54" s="14"/>
      <c r="AO54" s="14"/>
      <c r="AP54" s="13"/>
      <c r="AQ54" s="13"/>
      <c r="AR54" s="14"/>
      <c r="AS54" s="14"/>
      <c r="AT54" s="13"/>
      <c r="AU54" s="13"/>
      <c r="AV54" s="14"/>
      <c r="AW54" s="14"/>
      <c r="AX54" s="13"/>
      <c r="AY54" s="13"/>
      <c r="AZ54" s="14"/>
      <c r="BA54" s="14"/>
      <c r="BB54" s="13"/>
      <c r="BC54" s="13"/>
      <c r="BD54" s="14"/>
      <c r="BE54" s="14"/>
      <c r="BF54" s="13"/>
      <c r="BG54" s="13"/>
      <c r="BH54" s="14"/>
      <c r="BI54" s="14"/>
      <c r="BJ54" s="13"/>
      <c r="BK54" s="13"/>
      <c r="BL54" s="14"/>
      <c r="BM54" s="14"/>
      <c r="BN54" s="13"/>
      <c r="BO54" s="13"/>
      <c r="BP54" s="14"/>
      <c r="BQ54" s="14"/>
      <c r="BR54" s="13"/>
      <c r="BS54" s="13"/>
      <c r="BT54" s="14"/>
      <c r="BU54" s="14"/>
      <c r="BV54" s="13"/>
      <c r="BW54" s="13"/>
      <c r="BX54" s="14"/>
      <c r="BY54" s="14"/>
      <c r="BZ54" s="13"/>
      <c r="CA54" s="13"/>
      <c r="CB54" s="14"/>
      <c r="CC54" s="14"/>
      <c r="CD54" s="13"/>
    </row>
    <row r="55" spans="2:82" ht="14.5" x14ac:dyDescent="0.35">
      <c r="B55" s="16"/>
      <c r="C55" s="13"/>
      <c r="D55" s="14"/>
      <c r="E55" s="14"/>
      <c r="F55" s="13"/>
      <c r="G55" s="13"/>
      <c r="H55" s="14"/>
      <c r="I55" s="14"/>
      <c r="J55" s="13"/>
      <c r="K55" s="13"/>
      <c r="L55" s="14"/>
      <c r="M55" s="14"/>
      <c r="N55" s="13"/>
      <c r="O55" s="13"/>
      <c r="P55" s="14"/>
      <c r="Q55" s="14"/>
      <c r="R55" s="13"/>
      <c r="S55" s="13"/>
      <c r="T55" s="14"/>
      <c r="U55" s="14"/>
      <c r="V55" s="13"/>
      <c r="W55" s="13"/>
      <c r="X55" s="14"/>
      <c r="Y55" s="14"/>
      <c r="Z55" s="13"/>
      <c r="AA55" s="13"/>
      <c r="AB55" s="14"/>
      <c r="AC55" s="14"/>
      <c r="AD55" s="13"/>
      <c r="AE55" s="13"/>
      <c r="AF55" s="14"/>
      <c r="AG55" s="14"/>
      <c r="AH55" s="13"/>
      <c r="AI55" s="13"/>
      <c r="AJ55" s="14"/>
      <c r="AK55" s="14"/>
      <c r="AL55" s="13"/>
      <c r="AM55" s="13"/>
      <c r="AN55" s="14"/>
      <c r="AO55" s="14"/>
      <c r="AP55" s="13"/>
      <c r="AQ55" s="13"/>
      <c r="AR55" s="14"/>
      <c r="AS55" s="14"/>
      <c r="AT55" s="13"/>
      <c r="AU55" s="13"/>
      <c r="AV55" s="14"/>
      <c r="AW55" s="14"/>
      <c r="AX55" s="13"/>
      <c r="AY55" s="13"/>
      <c r="AZ55" s="14"/>
      <c r="BA55" s="14"/>
      <c r="BB55" s="13"/>
      <c r="BC55" s="13"/>
      <c r="BD55" s="14"/>
      <c r="BE55" s="14"/>
      <c r="BF55" s="13"/>
      <c r="BG55" s="13"/>
      <c r="BH55" s="14"/>
      <c r="BI55" s="14"/>
      <c r="BJ55" s="13"/>
      <c r="BK55" s="13"/>
      <c r="BL55" s="14"/>
      <c r="BM55" s="14"/>
      <c r="BN55" s="13"/>
      <c r="BO55" s="13"/>
      <c r="BP55" s="14"/>
      <c r="BQ55" s="14"/>
      <c r="BR55" s="13"/>
      <c r="BS55" s="13"/>
      <c r="BT55" s="14"/>
      <c r="BU55" s="14"/>
      <c r="BV55" s="13"/>
      <c r="BW55" s="13"/>
      <c r="BX55" s="14"/>
      <c r="BY55" s="14"/>
      <c r="BZ55" s="13"/>
      <c r="CA55" s="13"/>
      <c r="CB55" s="14"/>
      <c r="CC55" s="14"/>
      <c r="CD55" s="13"/>
    </row>
    <row r="56" spans="2:82" ht="14.5" x14ac:dyDescent="0.35">
      <c r="B56" s="16"/>
      <c r="C56" s="13"/>
      <c r="D56" s="14"/>
      <c r="E56" s="14"/>
      <c r="F56" s="13"/>
      <c r="G56" s="13"/>
      <c r="H56" s="14"/>
      <c r="I56" s="14"/>
      <c r="J56" s="13"/>
      <c r="K56" s="13"/>
      <c r="L56" s="14"/>
      <c r="M56" s="14"/>
      <c r="N56" s="13"/>
      <c r="O56" s="13"/>
      <c r="P56" s="14"/>
      <c r="Q56" s="14"/>
      <c r="R56" s="13"/>
      <c r="S56" s="13"/>
      <c r="T56" s="14"/>
      <c r="U56" s="14"/>
      <c r="V56" s="13"/>
      <c r="W56" s="13"/>
      <c r="X56" s="14"/>
      <c r="Y56" s="14"/>
      <c r="Z56" s="13"/>
      <c r="AA56" s="13"/>
      <c r="AB56" s="14"/>
      <c r="AC56" s="14"/>
      <c r="AD56" s="13"/>
      <c r="AE56" s="13"/>
      <c r="AF56" s="14"/>
      <c r="AG56" s="14"/>
      <c r="AH56" s="13"/>
      <c r="AI56" s="13"/>
      <c r="AJ56" s="14"/>
      <c r="AK56" s="14"/>
      <c r="AL56" s="13"/>
      <c r="AM56" s="13"/>
      <c r="AN56" s="14"/>
      <c r="AO56" s="14"/>
      <c r="AP56" s="13"/>
      <c r="AQ56" s="13"/>
      <c r="AR56" s="14"/>
      <c r="AS56" s="14"/>
      <c r="AT56" s="13"/>
      <c r="AU56" s="13"/>
      <c r="AV56" s="14"/>
      <c r="AW56" s="14"/>
      <c r="AX56" s="13"/>
      <c r="AY56" s="13"/>
      <c r="AZ56" s="14"/>
      <c r="BA56" s="14"/>
      <c r="BB56" s="13"/>
      <c r="BC56" s="13"/>
      <c r="BD56" s="14"/>
      <c r="BE56" s="14"/>
      <c r="BF56" s="13"/>
      <c r="BG56" s="13"/>
      <c r="BH56" s="14"/>
      <c r="BI56" s="14"/>
      <c r="BJ56" s="13"/>
      <c r="BK56" s="13"/>
      <c r="BL56" s="14"/>
      <c r="BM56" s="14"/>
      <c r="BN56" s="13"/>
      <c r="BO56" s="13"/>
      <c r="BP56" s="14"/>
      <c r="BQ56" s="14"/>
      <c r="BR56" s="13"/>
      <c r="BS56" s="13"/>
      <c r="BT56" s="14"/>
      <c r="BU56" s="14"/>
      <c r="BV56" s="13"/>
      <c r="BW56" s="13"/>
      <c r="BX56" s="14"/>
      <c r="BY56" s="14"/>
      <c r="BZ56" s="13"/>
      <c r="CA56" s="13"/>
      <c r="CB56" s="14"/>
      <c r="CC56" s="14"/>
      <c r="CD56" s="13"/>
    </row>
    <row r="57" spans="2:82" ht="14.5" x14ac:dyDescent="0.35">
      <c r="B57" s="16"/>
      <c r="C57" s="13"/>
      <c r="D57" s="14"/>
      <c r="E57" s="14"/>
      <c r="F57" s="13"/>
      <c r="G57" s="13"/>
      <c r="H57" s="14"/>
      <c r="I57" s="14"/>
      <c r="J57" s="13"/>
      <c r="K57" s="13"/>
      <c r="L57" s="14"/>
      <c r="M57" s="14"/>
      <c r="N57" s="13"/>
      <c r="O57" s="13"/>
      <c r="P57" s="14"/>
      <c r="Q57" s="14"/>
      <c r="R57" s="13"/>
      <c r="S57" s="13"/>
      <c r="T57" s="14"/>
      <c r="U57" s="14"/>
      <c r="V57" s="13"/>
      <c r="W57" s="13"/>
      <c r="X57" s="14"/>
      <c r="Y57" s="14"/>
      <c r="Z57" s="13"/>
      <c r="AA57" s="13"/>
      <c r="AB57" s="14"/>
      <c r="AC57" s="14"/>
      <c r="AD57" s="13"/>
      <c r="AE57" s="13"/>
      <c r="AF57" s="14"/>
      <c r="AG57" s="14"/>
      <c r="AH57" s="13"/>
      <c r="AI57" s="13"/>
      <c r="AJ57" s="14"/>
      <c r="AK57" s="14"/>
      <c r="AL57" s="13"/>
      <c r="AM57" s="13"/>
      <c r="AN57" s="14"/>
      <c r="AO57" s="14"/>
      <c r="AP57" s="13"/>
      <c r="AQ57" s="13"/>
      <c r="AR57" s="14"/>
      <c r="AS57" s="14"/>
      <c r="AT57" s="13"/>
      <c r="AU57" s="13"/>
      <c r="AV57" s="14"/>
      <c r="AW57" s="14"/>
      <c r="AX57" s="13"/>
      <c r="AY57" s="13"/>
      <c r="AZ57" s="14"/>
      <c r="BA57" s="14"/>
      <c r="BB57" s="13"/>
      <c r="BC57" s="13"/>
      <c r="BD57" s="14"/>
      <c r="BE57" s="14"/>
      <c r="BF57" s="13"/>
      <c r="BG57" s="13"/>
      <c r="BH57" s="14"/>
      <c r="BI57" s="14"/>
      <c r="BJ57" s="13"/>
      <c r="BK57" s="13"/>
      <c r="BL57" s="14"/>
      <c r="BM57" s="14"/>
      <c r="BN57" s="13"/>
      <c r="BO57" s="13"/>
      <c r="BP57" s="14"/>
      <c r="BQ57" s="14"/>
      <c r="BR57" s="13"/>
      <c r="BS57" s="13"/>
      <c r="BT57" s="14"/>
      <c r="BU57" s="14"/>
      <c r="BV57" s="13"/>
      <c r="BW57" s="13"/>
      <c r="BX57" s="14"/>
      <c r="BY57" s="14"/>
      <c r="BZ57" s="13"/>
      <c r="CA57" s="13"/>
      <c r="CB57" s="14"/>
      <c r="CC57" s="14"/>
      <c r="CD57" s="13"/>
    </row>
    <row r="58" spans="2:82" ht="14.5" x14ac:dyDescent="0.35">
      <c r="B58" s="16"/>
      <c r="C58" s="13"/>
      <c r="D58" s="14"/>
      <c r="E58" s="14"/>
      <c r="F58" s="13"/>
      <c r="G58" s="13"/>
      <c r="H58" s="14"/>
      <c r="I58" s="14"/>
      <c r="J58" s="13"/>
      <c r="K58" s="13"/>
      <c r="L58" s="14"/>
      <c r="M58" s="14"/>
      <c r="N58" s="13"/>
      <c r="O58" s="13"/>
      <c r="P58" s="14"/>
      <c r="Q58" s="14"/>
      <c r="R58" s="13"/>
      <c r="S58" s="13"/>
      <c r="T58" s="14"/>
      <c r="U58" s="14"/>
      <c r="V58" s="13"/>
      <c r="W58" s="13"/>
      <c r="X58" s="14"/>
      <c r="Y58" s="14"/>
      <c r="Z58" s="13"/>
      <c r="AA58" s="13"/>
      <c r="AB58" s="14"/>
      <c r="AC58" s="14"/>
      <c r="AD58" s="13"/>
      <c r="AE58" s="13"/>
      <c r="AF58" s="14"/>
      <c r="AG58" s="14"/>
      <c r="AH58" s="13"/>
      <c r="AI58" s="13"/>
      <c r="AJ58" s="14"/>
      <c r="AK58" s="14"/>
      <c r="AL58" s="13"/>
      <c r="AM58" s="13"/>
      <c r="AN58" s="14"/>
      <c r="AO58" s="14"/>
      <c r="AP58" s="13"/>
      <c r="AQ58" s="13"/>
      <c r="AR58" s="14"/>
      <c r="AS58" s="14"/>
      <c r="AT58" s="13"/>
      <c r="AU58" s="13"/>
      <c r="AV58" s="14"/>
      <c r="AW58" s="14"/>
      <c r="AX58" s="13"/>
      <c r="AY58" s="13"/>
      <c r="AZ58" s="14"/>
      <c r="BA58" s="14"/>
      <c r="BB58" s="13"/>
      <c r="BC58" s="13"/>
      <c r="BD58" s="14"/>
      <c r="BE58" s="14"/>
      <c r="BF58" s="13"/>
      <c r="BG58" s="13"/>
      <c r="BH58" s="14"/>
      <c r="BI58" s="14"/>
      <c r="BJ58" s="13"/>
      <c r="BK58" s="13"/>
      <c r="BL58" s="14"/>
      <c r="BM58" s="14"/>
      <c r="BN58" s="13"/>
      <c r="BO58" s="13"/>
      <c r="BP58" s="14"/>
      <c r="BQ58" s="14"/>
      <c r="BR58" s="13"/>
      <c r="BS58" s="13"/>
      <c r="BT58" s="14"/>
      <c r="BU58" s="14"/>
      <c r="BV58" s="13"/>
      <c r="BW58" s="13"/>
      <c r="BX58" s="14"/>
      <c r="BY58" s="14"/>
      <c r="BZ58" s="13"/>
      <c r="CA58" s="13"/>
      <c r="CB58" s="14"/>
      <c r="CC58" s="14"/>
      <c r="CD58" s="13"/>
    </row>
    <row r="59" spans="2:82" ht="14.5" x14ac:dyDescent="0.35">
      <c r="B59" s="16"/>
      <c r="C59" s="13"/>
      <c r="D59" s="14"/>
      <c r="E59" s="14"/>
      <c r="F59" s="13"/>
      <c r="G59" s="13"/>
      <c r="H59" s="14"/>
      <c r="I59" s="14"/>
      <c r="J59" s="13"/>
      <c r="K59" s="13"/>
      <c r="L59" s="14"/>
      <c r="M59" s="14"/>
      <c r="N59" s="13"/>
      <c r="O59" s="13"/>
      <c r="P59" s="14"/>
      <c r="Q59" s="14"/>
      <c r="R59" s="13"/>
      <c r="S59" s="13"/>
      <c r="T59" s="14"/>
      <c r="U59" s="14"/>
      <c r="V59" s="13"/>
      <c r="W59" s="13"/>
      <c r="X59" s="14"/>
      <c r="Y59" s="14"/>
      <c r="Z59" s="13"/>
      <c r="AA59" s="13"/>
      <c r="AB59" s="14"/>
      <c r="AC59" s="14"/>
      <c r="AD59" s="13"/>
      <c r="AE59" s="13"/>
      <c r="AF59" s="14"/>
      <c r="AG59" s="14"/>
      <c r="AH59" s="13"/>
      <c r="AI59" s="13"/>
      <c r="AJ59" s="14"/>
      <c r="AK59" s="14"/>
      <c r="AL59" s="13"/>
      <c r="AM59" s="13"/>
      <c r="AN59" s="14"/>
      <c r="AO59" s="14"/>
      <c r="AP59" s="13"/>
      <c r="AQ59" s="13"/>
      <c r="AR59" s="14"/>
      <c r="AS59" s="14"/>
      <c r="AT59" s="13"/>
      <c r="AU59" s="13"/>
      <c r="AV59" s="14"/>
      <c r="AW59" s="14"/>
      <c r="AX59" s="13"/>
      <c r="AY59" s="13"/>
      <c r="AZ59" s="14"/>
      <c r="BA59" s="14"/>
      <c r="BB59" s="13"/>
      <c r="BC59" s="13"/>
      <c r="BD59" s="14"/>
      <c r="BE59" s="14"/>
      <c r="BF59" s="13"/>
      <c r="BG59" s="13"/>
      <c r="BH59" s="14"/>
      <c r="BI59" s="14"/>
      <c r="BJ59" s="13"/>
      <c r="BK59" s="13"/>
      <c r="BL59" s="14"/>
      <c r="BM59" s="14"/>
      <c r="BN59" s="13"/>
      <c r="BO59" s="13"/>
      <c r="BP59" s="14"/>
      <c r="BQ59" s="14"/>
      <c r="BR59" s="13"/>
      <c r="BS59" s="13"/>
      <c r="BT59" s="14"/>
      <c r="BU59" s="14"/>
      <c r="BV59" s="13"/>
      <c r="BW59" s="13"/>
      <c r="BX59" s="14"/>
      <c r="BY59" s="14"/>
      <c r="BZ59" s="13"/>
      <c r="CA59" s="13"/>
      <c r="CB59" s="14"/>
      <c r="CC59" s="14"/>
      <c r="CD59" s="13"/>
    </row>
    <row r="60" spans="2:82" ht="14.5" x14ac:dyDescent="0.35">
      <c r="B60" s="16"/>
      <c r="C60" s="13"/>
      <c r="D60" s="14"/>
      <c r="E60" s="14"/>
      <c r="F60" s="13"/>
      <c r="G60" s="13"/>
      <c r="H60" s="14"/>
      <c r="I60" s="14"/>
      <c r="J60" s="13"/>
      <c r="K60" s="13"/>
      <c r="L60" s="14"/>
      <c r="M60" s="14"/>
      <c r="N60" s="13"/>
      <c r="O60" s="13"/>
      <c r="P60" s="14"/>
      <c r="Q60" s="14"/>
      <c r="R60" s="13"/>
      <c r="S60" s="13"/>
      <c r="T60" s="14"/>
      <c r="U60" s="14"/>
      <c r="V60" s="13"/>
      <c r="W60" s="13"/>
      <c r="X60" s="14"/>
      <c r="Y60" s="14"/>
      <c r="Z60" s="13"/>
      <c r="AA60" s="13"/>
      <c r="AB60" s="14"/>
      <c r="AC60" s="14"/>
      <c r="AD60" s="13"/>
      <c r="AE60" s="13"/>
      <c r="AF60" s="14"/>
      <c r="AG60" s="14"/>
      <c r="AH60" s="13"/>
      <c r="AI60" s="13"/>
      <c r="AJ60" s="14"/>
      <c r="AK60" s="14"/>
      <c r="AL60" s="13"/>
      <c r="AM60" s="13"/>
      <c r="AN60" s="14"/>
      <c r="AO60" s="14"/>
      <c r="AP60" s="13"/>
      <c r="AQ60" s="13"/>
      <c r="AR60" s="14"/>
      <c r="AS60" s="14"/>
      <c r="AT60" s="13"/>
      <c r="AU60" s="13"/>
      <c r="AV60" s="14"/>
      <c r="AW60" s="14"/>
      <c r="AX60" s="13"/>
      <c r="AY60" s="13"/>
      <c r="AZ60" s="14"/>
      <c r="BA60" s="14"/>
      <c r="BB60" s="13"/>
      <c r="BC60" s="13"/>
      <c r="BD60" s="14"/>
      <c r="BE60" s="14"/>
      <c r="BF60" s="13"/>
      <c r="BG60" s="13"/>
      <c r="BH60" s="14"/>
      <c r="BI60" s="14"/>
      <c r="BJ60" s="13"/>
      <c r="BK60" s="13"/>
      <c r="BL60" s="14"/>
      <c r="BM60" s="14"/>
      <c r="BN60" s="13"/>
      <c r="BO60" s="13"/>
      <c r="BP60" s="14"/>
      <c r="BQ60" s="14"/>
      <c r="BR60" s="13"/>
      <c r="BS60" s="13"/>
      <c r="BT60" s="14"/>
      <c r="BU60" s="14"/>
      <c r="BV60" s="13"/>
      <c r="BW60" s="13"/>
      <c r="BX60" s="14"/>
      <c r="BY60" s="14"/>
      <c r="BZ60" s="13"/>
      <c r="CA60" s="13"/>
      <c r="CB60" s="14"/>
      <c r="CC60" s="14"/>
      <c r="CD60" s="13"/>
    </row>
    <row r="61" spans="2:82" ht="14.5" x14ac:dyDescent="0.35">
      <c r="B61" s="16"/>
      <c r="C61" s="13"/>
      <c r="D61" s="14"/>
      <c r="E61" s="14"/>
      <c r="F61" s="13"/>
      <c r="G61" s="13"/>
      <c r="H61" s="14"/>
      <c r="I61" s="14"/>
      <c r="J61" s="13"/>
      <c r="K61" s="13"/>
      <c r="L61" s="14"/>
      <c r="M61" s="14"/>
      <c r="N61" s="13"/>
      <c r="O61" s="13"/>
      <c r="P61" s="14"/>
      <c r="Q61" s="14"/>
      <c r="R61" s="13"/>
      <c r="S61" s="13"/>
      <c r="T61" s="14"/>
      <c r="U61" s="14"/>
      <c r="V61" s="13"/>
      <c r="W61" s="13"/>
      <c r="X61" s="14"/>
      <c r="Y61" s="14"/>
      <c r="Z61" s="13"/>
      <c r="AA61" s="13"/>
      <c r="AB61" s="14"/>
      <c r="AC61" s="14"/>
      <c r="AD61" s="13"/>
      <c r="AE61" s="13"/>
      <c r="AF61" s="14"/>
      <c r="AG61" s="14"/>
      <c r="AH61" s="13"/>
      <c r="AI61" s="13"/>
      <c r="AJ61" s="14"/>
      <c r="AK61" s="14"/>
      <c r="AL61" s="13"/>
      <c r="AM61" s="13"/>
      <c r="AN61" s="14"/>
      <c r="AO61" s="14"/>
      <c r="AP61" s="13"/>
      <c r="AQ61" s="13"/>
      <c r="AR61" s="14"/>
      <c r="AS61" s="14"/>
      <c r="AT61" s="13"/>
      <c r="AU61" s="13"/>
      <c r="AV61" s="14"/>
      <c r="AW61" s="14"/>
      <c r="AX61" s="13"/>
      <c r="AY61" s="13"/>
      <c r="AZ61" s="14"/>
      <c r="BA61" s="14"/>
      <c r="BB61" s="13"/>
      <c r="BC61" s="13"/>
      <c r="BD61" s="14"/>
      <c r="BE61" s="14"/>
      <c r="BF61" s="13"/>
      <c r="BG61" s="13"/>
      <c r="BH61" s="14"/>
      <c r="BI61" s="14"/>
      <c r="BJ61" s="13"/>
      <c r="BK61" s="13"/>
      <c r="BL61" s="14"/>
      <c r="BM61" s="14"/>
      <c r="BN61" s="13"/>
      <c r="BO61" s="13"/>
      <c r="BP61" s="14"/>
      <c r="BQ61" s="14"/>
      <c r="BR61" s="13"/>
      <c r="BS61" s="13"/>
      <c r="BT61" s="14"/>
      <c r="BU61" s="14"/>
      <c r="BV61" s="13"/>
      <c r="BW61" s="13"/>
      <c r="BX61" s="14"/>
      <c r="BY61" s="14"/>
      <c r="BZ61" s="13"/>
      <c r="CA61" s="13"/>
      <c r="CB61" s="14"/>
      <c r="CC61" s="14"/>
      <c r="CD61" s="13"/>
    </row>
    <row r="62" spans="2:82" ht="14.5" x14ac:dyDescent="0.35">
      <c r="B62" s="16"/>
      <c r="C62" s="13"/>
      <c r="D62" s="14"/>
      <c r="E62" s="14"/>
      <c r="F62" s="13"/>
      <c r="G62" s="13"/>
      <c r="H62" s="14"/>
      <c r="I62" s="14"/>
      <c r="J62" s="13"/>
      <c r="K62" s="13"/>
      <c r="L62" s="14"/>
      <c r="M62" s="14"/>
      <c r="N62" s="13"/>
      <c r="O62" s="13"/>
      <c r="P62" s="14"/>
      <c r="Q62" s="14"/>
      <c r="R62" s="13"/>
      <c r="S62" s="13"/>
      <c r="T62" s="14"/>
      <c r="U62" s="14"/>
      <c r="V62" s="13"/>
      <c r="W62" s="13"/>
      <c r="X62" s="14"/>
      <c r="Y62" s="14"/>
      <c r="Z62" s="13"/>
      <c r="AA62" s="13"/>
      <c r="AB62" s="14"/>
      <c r="AC62" s="14"/>
      <c r="AD62" s="13"/>
      <c r="AE62" s="13"/>
      <c r="AF62" s="14"/>
      <c r="AG62" s="14"/>
      <c r="AH62" s="13"/>
      <c r="AI62" s="13"/>
      <c r="AJ62" s="14"/>
      <c r="AK62" s="14"/>
      <c r="AL62" s="13"/>
      <c r="AM62" s="13"/>
      <c r="AN62" s="14"/>
      <c r="AO62" s="14"/>
      <c r="AP62" s="13"/>
      <c r="AQ62" s="13"/>
      <c r="AR62" s="14"/>
      <c r="AS62" s="14"/>
      <c r="AT62" s="13"/>
      <c r="AU62" s="13"/>
      <c r="AV62" s="14"/>
      <c r="AW62" s="14"/>
      <c r="AX62" s="13"/>
      <c r="AY62" s="13"/>
      <c r="AZ62" s="14"/>
      <c r="BA62" s="14"/>
      <c r="BB62" s="13"/>
      <c r="BC62" s="13"/>
      <c r="BD62" s="14"/>
      <c r="BE62" s="14"/>
      <c r="BF62" s="13"/>
      <c r="BG62" s="13"/>
      <c r="BH62" s="14"/>
      <c r="BI62" s="14"/>
      <c r="BJ62" s="13"/>
      <c r="BK62" s="13"/>
      <c r="BL62" s="14"/>
      <c r="BM62" s="14"/>
      <c r="BN62" s="13"/>
      <c r="BO62" s="13"/>
      <c r="BP62" s="14"/>
      <c r="BQ62" s="14"/>
      <c r="BR62" s="13"/>
      <c r="BS62" s="13"/>
      <c r="BT62" s="14"/>
      <c r="BU62" s="14"/>
      <c r="BV62" s="13"/>
      <c r="BW62" s="13"/>
      <c r="BX62" s="14"/>
      <c r="BY62" s="14"/>
      <c r="BZ62" s="13"/>
      <c r="CA62" s="13"/>
      <c r="CB62" s="14"/>
      <c r="CC62" s="14"/>
      <c r="CD62" s="13"/>
    </row>
    <row r="63" spans="2:82" ht="14.5" x14ac:dyDescent="0.35">
      <c r="B63" s="16"/>
      <c r="C63" s="13"/>
      <c r="D63" s="14"/>
      <c r="E63" s="14"/>
      <c r="F63" s="13"/>
      <c r="G63" s="13"/>
      <c r="H63" s="14"/>
      <c r="I63" s="14"/>
      <c r="J63" s="13"/>
      <c r="K63" s="13"/>
      <c r="L63" s="14"/>
      <c r="M63" s="14"/>
      <c r="N63" s="13"/>
      <c r="O63" s="13"/>
      <c r="P63" s="14"/>
      <c r="Q63" s="14"/>
      <c r="R63" s="13"/>
      <c r="S63" s="13"/>
      <c r="T63" s="14"/>
      <c r="U63" s="14"/>
      <c r="V63" s="13"/>
      <c r="W63" s="13"/>
      <c r="X63" s="14"/>
      <c r="Y63" s="14"/>
      <c r="Z63" s="13"/>
      <c r="AA63" s="13"/>
      <c r="AB63" s="14"/>
      <c r="AC63" s="14"/>
      <c r="AD63" s="13"/>
      <c r="AE63" s="13"/>
      <c r="AF63" s="14"/>
      <c r="AG63" s="14"/>
      <c r="AH63" s="13"/>
      <c r="AI63" s="13"/>
      <c r="AJ63" s="14"/>
      <c r="AK63" s="14"/>
      <c r="AL63" s="13"/>
      <c r="AM63" s="13"/>
      <c r="AN63" s="14"/>
      <c r="AO63" s="14"/>
      <c r="AP63" s="13"/>
      <c r="AQ63" s="13"/>
      <c r="AR63" s="14"/>
      <c r="AS63" s="14"/>
      <c r="AT63" s="13"/>
      <c r="AU63" s="13"/>
      <c r="AV63" s="14"/>
      <c r="AW63" s="14"/>
      <c r="AX63" s="13"/>
      <c r="AY63" s="13"/>
      <c r="AZ63" s="14"/>
      <c r="BA63" s="14"/>
      <c r="BB63" s="13"/>
      <c r="BC63" s="13"/>
      <c r="BD63" s="14"/>
      <c r="BE63" s="14"/>
      <c r="BF63" s="13"/>
      <c r="BG63" s="13"/>
      <c r="BH63" s="14"/>
      <c r="BI63" s="14"/>
      <c r="BJ63" s="13"/>
      <c r="BK63" s="13"/>
      <c r="BL63" s="14"/>
      <c r="BM63" s="14"/>
      <c r="BN63" s="13"/>
      <c r="BO63" s="13"/>
      <c r="BP63" s="14"/>
      <c r="BQ63" s="14"/>
      <c r="BR63" s="13"/>
      <c r="BS63" s="13"/>
      <c r="BT63" s="14"/>
      <c r="BU63" s="14"/>
      <c r="BV63" s="13"/>
      <c r="BW63" s="13"/>
      <c r="BX63" s="14"/>
      <c r="BY63" s="14"/>
      <c r="BZ63" s="13"/>
      <c r="CA63" s="13"/>
      <c r="CB63" s="14"/>
      <c r="CC63" s="14"/>
      <c r="CD63" s="13"/>
    </row>
    <row r="64" spans="2:82" ht="14.5" x14ac:dyDescent="0.35">
      <c r="B64" s="16"/>
      <c r="C64" s="13"/>
      <c r="D64" s="14"/>
      <c r="E64" s="14"/>
      <c r="F64" s="13"/>
      <c r="G64" s="13"/>
      <c r="H64" s="14"/>
      <c r="I64" s="14"/>
      <c r="J64" s="13"/>
      <c r="K64" s="13"/>
      <c r="L64" s="14"/>
      <c r="M64" s="14"/>
      <c r="N64" s="13"/>
      <c r="O64" s="13"/>
      <c r="P64" s="14"/>
      <c r="Q64" s="14"/>
      <c r="R64" s="13"/>
      <c r="S64" s="13"/>
      <c r="T64" s="14"/>
      <c r="U64" s="14"/>
      <c r="V64" s="13"/>
      <c r="W64" s="13"/>
      <c r="X64" s="14"/>
      <c r="Y64" s="14"/>
      <c r="Z64" s="13"/>
      <c r="AA64" s="13"/>
      <c r="AB64" s="14"/>
      <c r="AC64" s="14"/>
      <c r="AD64" s="13"/>
      <c r="AE64" s="13"/>
      <c r="AF64" s="14"/>
      <c r="AG64" s="14"/>
      <c r="AH64" s="13"/>
      <c r="AI64" s="13"/>
      <c r="AJ64" s="14"/>
      <c r="AK64" s="14"/>
      <c r="AL64" s="13"/>
      <c r="AM64" s="13"/>
      <c r="AN64" s="14"/>
      <c r="AO64" s="14"/>
      <c r="AP64" s="13"/>
      <c r="AQ64" s="13"/>
      <c r="AR64" s="14"/>
      <c r="AS64" s="14"/>
      <c r="AT64" s="13"/>
      <c r="AU64" s="13"/>
      <c r="AV64" s="14"/>
      <c r="AW64" s="14"/>
      <c r="AX64" s="13"/>
      <c r="AY64" s="13"/>
      <c r="AZ64" s="14"/>
      <c r="BA64" s="14"/>
      <c r="BB64" s="13"/>
      <c r="BC64" s="13"/>
      <c r="BD64" s="14"/>
      <c r="BE64" s="14"/>
      <c r="BF64" s="13"/>
      <c r="BG64" s="13"/>
      <c r="BH64" s="14"/>
      <c r="BI64" s="14"/>
      <c r="BJ64" s="13"/>
      <c r="BK64" s="13"/>
      <c r="BL64" s="14"/>
      <c r="BM64" s="14"/>
      <c r="BN64" s="13"/>
      <c r="BO64" s="13"/>
      <c r="BP64" s="14"/>
      <c r="BQ64" s="14"/>
      <c r="BR64" s="13"/>
      <c r="BS64" s="13"/>
      <c r="BT64" s="14"/>
      <c r="BU64" s="14"/>
      <c r="BV64" s="13"/>
      <c r="BW64" s="13"/>
      <c r="BX64" s="14"/>
      <c r="BY64" s="14"/>
      <c r="BZ64" s="13"/>
      <c r="CA64" s="13"/>
      <c r="CB64" s="14"/>
      <c r="CC64" s="14"/>
      <c r="CD64" s="13"/>
    </row>
    <row r="65" spans="2:82" ht="14.5" x14ac:dyDescent="0.35">
      <c r="B65" s="16"/>
      <c r="C65" s="13"/>
      <c r="D65" s="14"/>
      <c r="E65" s="14"/>
      <c r="F65" s="13"/>
      <c r="G65" s="13"/>
      <c r="H65" s="14"/>
      <c r="I65" s="14"/>
      <c r="J65" s="13"/>
      <c r="K65" s="13"/>
      <c r="L65" s="14"/>
      <c r="M65" s="14"/>
      <c r="N65" s="13"/>
      <c r="O65" s="13"/>
      <c r="P65" s="14"/>
      <c r="Q65" s="14"/>
      <c r="R65" s="13"/>
      <c r="S65" s="13"/>
      <c r="T65" s="14"/>
      <c r="U65" s="14"/>
      <c r="V65" s="13"/>
      <c r="W65" s="13"/>
      <c r="X65" s="14"/>
      <c r="Y65" s="14"/>
      <c r="Z65" s="13"/>
      <c r="AA65" s="13"/>
      <c r="AB65" s="14"/>
      <c r="AC65" s="14"/>
      <c r="AD65" s="13"/>
      <c r="AE65" s="13"/>
      <c r="AF65" s="14"/>
      <c r="AG65" s="14"/>
      <c r="AH65" s="13"/>
      <c r="AI65" s="13"/>
      <c r="AJ65" s="14"/>
      <c r="AK65" s="14"/>
      <c r="AL65" s="13"/>
      <c r="AM65" s="13"/>
      <c r="AN65" s="14"/>
      <c r="AO65" s="14"/>
      <c r="AP65" s="13"/>
      <c r="AQ65" s="13"/>
      <c r="AR65" s="14"/>
      <c r="AS65" s="14"/>
      <c r="AT65" s="13"/>
      <c r="AU65" s="13"/>
      <c r="AV65" s="14"/>
      <c r="AW65" s="14"/>
      <c r="AX65" s="13"/>
      <c r="AY65" s="13"/>
      <c r="AZ65" s="14"/>
      <c r="BA65" s="14"/>
      <c r="BB65" s="13"/>
      <c r="BC65" s="13"/>
      <c r="BD65" s="14"/>
      <c r="BE65" s="14"/>
      <c r="BF65" s="13"/>
      <c r="BG65" s="13"/>
      <c r="BH65" s="14"/>
      <c r="BI65" s="14"/>
      <c r="BJ65" s="13"/>
      <c r="BK65" s="13"/>
      <c r="BL65" s="14"/>
      <c r="BM65" s="14"/>
      <c r="BN65" s="13"/>
      <c r="BO65" s="13"/>
      <c r="BP65" s="14"/>
      <c r="BQ65" s="14"/>
      <c r="BR65" s="13"/>
      <c r="BS65" s="13"/>
      <c r="BT65" s="14"/>
      <c r="BU65" s="14"/>
      <c r="BV65" s="13"/>
      <c r="BW65" s="13"/>
      <c r="BX65" s="14"/>
      <c r="BY65" s="14"/>
      <c r="BZ65" s="13"/>
      <c r="CA65" s="13"/>
      <c r="CB65" s="14"/>
      <c r="CC65" s="14"/>
      <c r="CD65" s="13"/>
    </row>
    <row r="66" spans="2:82" ht="14.5" x14ac:dyDescent="0.35">
      <c r="B66" s="16"/>
      <c r="C66" s="13"/>
      <c r="D66" s="14"/>
      <c r="E66" s="14"/>
      <c r="F66" s="13"/>
      <c r="G66" s="13"/>
      <c r="H66" s="14"/>
      <c r="I66" s="14"/>
      <c r="J66" s="13"/>
      <c r="K66" s="13"/>
      <c r="L66" s="14"/>
      <c r="M66" s="14"/>
      <c r="N66" s="13"/>
      <c r="O66" s="13"/>
      <c r="P66" s="14"/>
      <c r="Q66" s="14"/>
      <c r="R66" s="13"/>
      <c r="S66" s="13"/>
      <c r="T66" s="14"/>
      <c r="U66" s="14"/>
      <c r="V66" s="13"/>
      <c r="W66" s="13"/>
      <c r="X66" s="14"/>
      <c r="Y66" s="14"/>
      <c r="Z66" s="13"/>
      <c r="AA66" s="13"/>
      <c r="AB66" s="14"/>
      <c r="AC66" s="14"/>
      <c r="AD66" s="13"/>
      <c r="AE66" s="13"/>
      <c r="AF66" s="14"/>
      <c r="AG66" s="14"/>
      <c r="AH66" s="13"/>
      <c r="AI66" s="13"/>
      <c r="AJ66" s="14"/>
      <c r="AK66" s="14"/>
      <c r="AL66" s="13"/>
      <c r="AM66" s="13"/>
      <c r="AN66" s="14"/>
      <c r="AO66" s="14"/>
      <c r="AP66" s="13"/>
      <c r="AQ66" s="13"/>
      <c r="AR66" s="14"/>
      <c r="AS66" s="14"/>
      <c r="AT66" s="13"/>
      <c r="AU66" s="13"/>
      <c r="AV66" s="14"/>
      <c r="AW66" s="14"/>
      <c r="AX66" s="13"/>
      <c r="AY66" s="13"/>
      <c r="AZ66" s="14"/>
      <c r="BA66" s="14"/>
      <c r="BB66" s="13"/>
      <c r="BC66" s="13"/>
      <c r="BD66" s="14"/>
      <c r="BE66" s="14"/>
      <c r="BF66" s="13"/>
      <c r="BG66" s="13"/>
      <c r="BH66" s="14"/>
      <c r="BI66" s="14"/>
      <c r="BJ66" s="13"/>
      <c r="BK66" s="13"/>
      <c r="BL66" s="14"/>
      <c r="BM66" s="14"/>
      <c r="BN66" s="13"/>
      <c r="BO66" s="13"/>
      <c r="BP66" s="14"/>
      <c r="BQ66" s="14"/>
      <c r="BR66" s="13"/>
      <c r="BS66" s="13"/>
      <c r="BT66" s="14"/>
      <c r="BU66" s="14"/>
      <c r="BV66" s="13"/>
      <c r="BW66" s="13"/>
      <c r="BX66" s="14"/>
      <c r="BY66" s="14"/>
      <c r="BZ66" s="13"/>
      <c r="CA66" s="13"/>
      <c r="CB66" s="14"/>
      <c r="CC66" s="14"/>
      <c r="CD66" s="13"/>
    </row>
    <row r="67" spans="2:82" ht="14.5" x14ac:dyDescent="0.35">
      <c r="B67" s="16"/>
      <c r="C67" s="13"/>
      <c r="D67" s="14"/>
      <c r="E67" s="14"/>
      <c r="F67" s="13"/>
      <c r="G67" s="13"/>
      <c r="H67" s="14"/>
      <c r="I67" s="14"/>
      <c r="J67" s="13"/>
      <c r="K67" s="13"/>
      <c r="L67" s="14"/>
      <c r="M67" s="14"/>
      <c r="N67" s="13"/>
      <c r="O67" s="13"/>
      <c r="P67" s="14"/>
      <c r="Q67" s="14"/>
      <c r="R67" s="13"/>
      <c r="S67" s="13"/>
      <c r="T67" s="14"/>
      <c r="U67" s="14"/>
      <c r="V67" s="13"/>
      <c r="W67" s="13"/>
      <c r="X67" s="14"/>
      <c r="Y67" s="14"/>
      <c r="Z67" s="13"/>
      <c r="AA67" s="13"/>
      <c r="AB67" s="14"/>
      <c r="AC67" s="14"/>
      <c r="AD67" s="13"/>
      <c r="AE67" s="13"/>
      <c r="AF67" s="14"/>
      <c r="AG67" s="14"/>
      <c r="AH67" s="13"/>
      <c r="AI67" s="13"/>
      <c r="AJ67" s="14"/>
      <c r="AK67" s="14"/>
      <c r="AL67" s="13"/>
      <c r="AM67" s="13"/>
      <c r="AN67" s="14"/>
      <c r="AO67" s="14"/>
      <c r="AP67" s="13"/>
      <c r="AQ67" s="13"/>
      <c r="AR67" s="14"/>
      <c r="AS67" s="14"/>
      <c r="AT67" s="13"/>
      <c r="AU67" s="13"/>
      <c r="AV67" s="14"/>
      <c r="AW67" s="14"/>
      <c r="AX67" s="13"/>
      <c r="AY67" s="13"/>
      <c r="AZ67" s="14"/>
      <c r="BA67" s="14"/>
      <c r="BB67" s="13"/>
      <c r="BC67" s="13"/>
      <c r="BD67" s="14"/>
      <c r="BE67" s="14"/>
      <c r="BF67" s="13"/>
      <c r="BG67" s="13"/>
      <c r="BH67" s="14"/>
      <c r="BI67" s="14"/>
      <c r="BJ67" s="13"/>
      <c r="BK67" s="13"/>
      <c r="BL67" s="14"/>
      <c r="BM67" s="14"/>
      <c r="BN67" s="13"/>
      <c r="BO67" s="13"/>
      <c r="BP67" s="14"/>
      <c r="BQ67" s="14"/>
      <c r="BR67" s="13"/>
      <c r="BS67" s="13"/>
      <c r="BT67" s="14"/>
      <c r="BU67" s="14"/>
      <c r="BV67" s="13"/>
      <c r="BW67" s="13"/>
      <c r="BX67" s="14"/>
      <c r="BY67" s="14"/>
      <c r="BZ67" s="13"/>
      <c r="CA67" s="13"/>
      <c r="CB67" s="14"/>
      <c r="CC67" s="14"/>
      <c r="CD67" s="13"/>
    </row>
    <row r="68" spans="2:82" ht="14.5" x14ac:dyDescent="0.35">
      <c r="B68" s="16"/>
      <c r="C68" s="13"/>
      <c r="D68" s="14"/>
      <c r="E68" s="14"/>
      <c r="F68" s="13"/>
      <c r="G68" s="13"/>
      <c r="H68" s="14"/>
      <c r="I68" s="14"/>
      <c r="J68" s="13"/>
      <c r="K68" s="13"/>
      <c r="L68" s="14"/>
      <c r="M68" s="14"/>
      <c r="N68" s="13"/>
      <c r="O68" s="13"/>
      <c r="P68" s="14"/>
      <c r="Q68" s="14"/>
      <c r="R68" s="13"/>
      <c r="S68" s="13"/>
      <c r="T68" s="14"/>
      <c r="U68" s="14"/>
      <c r="V68" s="13"/>
      <c r="W68" s="13"/>
      <c r="X68" s="14"/>
      <c r="Y68" s="14"/>
      <c r="Z68" s="13"/>
      <c r="AA68" s="13"/>
      <c r="AB68" s="14"/>
      <c r="AC68" s="14"/>
      <c r="AD68" s="13"/>
      <c r="AE68" s="13"/>
      <c r="AF68" s="14"/>
      <c r="AG68" s="14"/>
      <c r="AH68" s="13"/>
      <c r="AI68" s="13"/>
      <c r="AJ68" s="14"/>
      <c r="AK68" s="14"/>
      <c r="AL68" s="13"/>
      <c r="AM68" s="13"/>
      <c r="AN68" s="14"/>
      <c r="AO68" s="14"/>
      <c r="AP68" s="13"/>
      <c r="AQ68" s="13"/>
      <c r="AR68" s="14"/>
      <c r="AS68" s="14"/>
      <c r="AT68" s="13"/>
      <c r="AU68" s="13"/>
      <c r="AV68" s="14"/>
      <c r="AW68" s="14"/>
      <c r="AX68" s="13"/>
      <c r="AY68" s="13"/>
      <c r="AZ68" s="14"/>
      <c r="BA68" s="14"/>
      <c r="BB68" s="13"/>
      <c r="BC68" s="13"/>
      <c r="BD68" s="14"/>
      <c r="BE68" s="14"/>
      <c r="BF68" s="13"/>
      <c r="BG68" s="13"/>
      <c r="BH68" s="14"/>
      <c r="BI68" s="14"/>
      <c r="BJ68" s="13"/>
      <c r="BK68" s="13"/>
      <c r="BL68" s="14"/>
      <c r="BM68" s="14"/>
      <c r="BN68" s="13"/>
      <c r="BO68" s="13"/>
      <c r="BP68" s="14"/>
      <c r="BQ68" s="14"/>
      <c r="BR68" s="13"/>
      <c r="BS68" s="13"/>
      <c r="BT68" s="14"/>
      <c r="BU68" s="14"/>
      <c r="BV68" s="13"/>
      <c r="BW68" s="13"/>
      <c r="BX68" s="14"/>
      <c r="BY68" s="14"/>
      <c r="BZ68" s="13"/>
      <c r="CA68" s="13"/>
      <c r="CB68" s="14"/>
      <c r="CC68" s="14"/>
      <c r="CD68" s="13"/>
    </row>
    <row r="69" spans="2:82" ht="14.5" x14ac:dyDescent="0.35">
      <c r="B69" s="16"/>
      <c r="C69" s="13"/>
      <c r="D69" s="14"/>
      <c r="E69" s="14"/>
      <c r="F69" s="13"/>
      <c r="G69" s="13"/>
      <c r="H69" s="14"/>
      <c r="I69" s="14"/>
      <c r="J69" s="13"/>
      <c r="K69" s="13"/>
      <c r="L69" s="14"/>
      <c r="M69" s="14"/>
      <c r="N69" s="13"/>
      <c r="O69" s="13"/>
      <c r="P69" s="14"/>
      <c r="Q69" s="14"/>
      <c r="R69" s="13"/>
      <c r="S69" s="13"/>
      <c r="T69" s="14"/>
      <c r="U69" s="14"/>
      <c r="V69" s="13"/>
      <c r="W69" s="13"/>
      <c r="X69" s="14"/>
      <c r="Y69" s="14"/>
      <c r="Z69" s="13"/>
      <c r="AA69" s="13"/>
      <c r="AB69" s="14"/>
      <c r="AC69" s="14"/>
      <c r="AD69" s="13"/>
      <c r="AE69" s="13"/>
      <c r="AF69" s="14"/>
      <c r="AG69" s="14"/>
      <c r="AH69" s="13"/>
      <c r="AI69" s="13"/>
      <c r="AJ69" s="14"/>
      <c r="AK69" s="14"/>
      <c r="AL69" s="13"/>
      <c r="AM69" s="13"/>
      <c r="AN69" s="14"/>
      <c r="AO69" s="14"/>
      <c r="AP69" s="13"/>
      <c r="AQ69" s="13"/>
      <c r="AR69" s="14"/>
      <c r="AS69" s="14"/>
      <c r="AT69" s="13"/>
      <c r="AU69" s="13"/>
      <c r="AV69" s="14"/>
      <c r="AW69" s="14"/>
      <c r="AX69" s="13"/>
      <c r="AY69" s="13"/>
      <c r="AZ69" s="14"/>
      <c r="BA69" s="14"/>
      <c r="BB69" s="13"/>
      <c r="BC69" s="13"/>
      <c r="BD69" s="14"/>
      <c r="BE69" s="14"/>
      <c r="BF69" s="13"/>
      <c r="BG69" s="13"/>
      <c r="BH69" s="14"/>
      <c r="BI69" s="14"/>
      <c r="BJ69" s="13"/>
      <c r="BK69" s="13"/>
      <c r="BL69" s="14"/>
      <c r="BM69" s="14"/>
      <c r="BN69" s="13"/>
      <c r="BO69" s="13"/>
      <c r="BP69" s="14"/>
      <c r="BQ69" s="14"/>
      <c r="BR69" s="13"/>
      <c r="BS69" s="13"/>
      <c r="BT69" s="14"/>
      <c r="BU69" s="14"/>
      <c r="BV69" s="13"/>
      <c r="BW69" s="13"/>
      <c r="BX69" s="14"/>
      <c r="BY69" s="14"/>
      <c r="BZ69" s="13"/>
      <c r="CA69" s="13"/>
      <c r="CB69" s="14"/>
      <c r="CC69" s="14"/>
      <c r="CD69" s="13"/>
    </row>
    <row r="70" spans="2:82" ht="14.5" x14ac:dyDescent="0.35">
      <c r="B70" s="16"/>
      <c r="C70" s="13"/>
      <c r="D70" s="14"/>
      <c r="E70" s="14"/>
      <c r="F70" s="13"/>
      <c r="G70" s="13"/>
      <c r="H70" s="14"/>
      <c r="I70" s="14"/>
      <c r="J70" s="13"/>
      <c r="K70" s="13"/>
      <c r="L70" s="14"/>
      <c r="M70" s="14"/>
      <c r="N70" s="13"/>
      <c r="O70" s="13"/>
      <c r="P70" s="14"/>
      <c r="Q70" s="14"/>
      <c r="R70" s="13"/>
      <c r="S70" s="13"/>
      <c r="T70" s="14"/>
      <c r="U70" s="14"/>
      <c r="V70" s="13"/>
      <c r="W70" s="13"/>
      <c r="X70" s="14"/>
      <c r="Y70" s="14"/>
      <c r="Z70" s="13"/>
      <c r="AA70" s="13"/>
      <c r="AB70" s="14"/>
      <c r="AC70" s="14"/>
      <c r="AD70" s="13"/>
      <c r="AE70" s="13"/>
      <c r="AF70" s="14"/>
      <c r="AG70" s="14"/>
      <c r="AH70" s="13"/>
      <c r="AI70" s="13"/>
      <c r="AJ70" s="14"/>
      <c r="AK70" s="14"/>
      <c r="AL70" s="13"/>
      <c r="AM70" s="13"/>
      <c r="AN70" s="14"/>
      <c r="AO70" s="14"/>
      <c r="AP70" s="13"/>
      <c r="AQ70" s="13"/>
      <c r="AR70" s="14"/>
      <c r="AS70" s="14"/>
      <c r="AT70" s="13"/>
      <c r="AU70" s="13"/>
      <c r="AV70" s="14"/>
      <c r="AW70" s="14"/>
      <c r="AX70" s="13"/>
      <c r="AY70" s="13"/>
      <c r="AZ70" s="14"/>
      <c r="BA70" s="14"/>
      <c r="BB70" s="13"/>
      <c r="BC70" s="13"/>
      <c r="BD70" s="14"/>
      <c r="BE70" s="14"/>
      <c r="BF70" s="13"/>
      <c r="BG70" s="13"/>
      <c r="BH70" s="14"/>
      <c r="BI70" s="14"/>
      <c r="BJ70" s="13"/>
      <c r="BK70" s="13"/>
      <c r="BL70" s="14"/>
      <c r="BM70" s="14"/>
      <c r="BN70" s="13"/>
      <c r="BO70" s="13"/>
      <c r="BP70" s="14"/>
      <c r="BQ70" s="14"/>
      <c r="BR70" s="13"/>
      <c r="BS70" s="13"/>
      <c r="BT70" s="14"/>
      <c r="BU70" s="14"/>
      <c r="BV70" s="13"/>
      <c r="BW70" s="13"/>
      <c r="BX70" s="14"/>
      <c r="BY70" s="14"/>
      <c r="BZ70" s="13"/>
      <c r="CA70" s="13"/>
      <c r="CB70" s="14"/>
      <c r="CC70" s="14"/>
      <c r="CD70" s="13"/>
    </row>
    <row r="71" spans="2:82" ht="14.5" x14ac:dyDescent="0.35">
      <c r="B71" s="16"/>
      <c r="C71" s="13"/>
      <c r="D71" s="14"/>
      <c r="E71" s="14"/>
      <c r="F71" s="13"/>
      <c r="G71" s="13"/>
      <c r="H71" s="14"/>
      <c r="I71" s="14"/>
      <c r="J71" s="13"/>
      <c r="K71" s="13"/>
      <c r="L71" s="14"/>
      <c r="M71" s="14"/>
      <c r="N71" s="13"/>
      <c r="O71" s="13"/>
      <c r="P71" s="14"/>
      <c r="Q71" s="14"/>
      <c r="R71" s="13"/>
      <c r="S71" s="13"/>
      <c r="T71" s="14"/>
      <c r="U71" s="14"/>
      <c r="V71" s="13"/>
      <c r="W71" s="13"/>
      <c r="X71" s="14"/>
      <c r="Y71" s="14"/>
      <c r="Z71" s="13"/>
      <c r="AA71" s="13"/>
      <c r="AB71" s="14"/>
      <c r="AC71" s="14"/>
      <c r="AD71" s="13"/>
      <c r="AE71" s="13"/>
      <c r="AF71" s="14"/>
      <c r="AG71" s="14"/>
      <c r="AH71" s="13"/>
      <c r="AI71" s="13"/>
      <c r="AJ71" s="14"/>
      <c r="AK71" s="14"/>
      <c r="AL71" s="13"/>
      <c r="AM71" s="13"/>
      <c r="AN71" s="14"/>
      <c r="AO71" s="14"/>
      <c r="AP71" s="13"/>
      <c r="AQ71" s="13"/>
      <c r="AR71" s="14"/>
      <c r="AS71" s="14"/>
      <c r="AT71" s="13"/>
      <c r="AU71" s="13"/>
      <c r="AV71" s="14"/>
      <c r="AW71" s="14"/>
      <c r="AX71" s="13"/>
      <c r="AY71" s="13"/>
      <c r="AZ71" s="14"/>
      <c r="BA71" s="14"/>
      <c r="BB71" s="13"/>
      <c r="BC71" s="13"/>
      <c r="BD71" s="14"/>
      <c r="BE71" s="14"/>
      <c r="BF71" s="13"/>
      <c r="BG71" s="13"/>
      <c r="BH71" s="14"/>
      <c r="BI71" s="14"/>
      <c r="BJ71" s="13"/>
      <c r="BK71" s="13"/>
      <c r="BL71" s="14"/>
      <c r="BM71" s="14"/>
      <c r="BN71" s="13"/>
      <c r="BO71" s="13"/>
      <c r="BP71" s="14"/>
      <c r="BQ71" s="14"/>
      <c r="BR71" s="13"/>
      <c r="BS71" s="13"/>
      <c r="BT71" s="14"/>
      <c r="BU71" s="14"/>
      <c r="BV71" s="13"/>
      <c r="BW71" s="13"/>
      <c r="BX71" s="14"/>
      <c r="BY71" s="14"/>
      <c r="BZ71" s="13"/>
      <c r="CA71" s="13"/>
      <c r="CB71" s="14"/>
      <c r="CC71" s="14"/>
      <c r="CD71" s="13"/>
    </row>
    <row r="72" spans="2:82" ht="14.5" x14ac:dyDescent="0.35">
      <c r="B72" s="16"/>
      <c r="C72" s="13"/>
      <c r="D72" s="14"/>
      <c r="E72" s="14"/>
      <c r="F72" s="13"/>
      <c r="G72" s="13"/>
      <c r="H72" s="14"/>
      <c r="I72" s="14"/>
      <c r="J72" s="13"/>
      <c r="K72" s="13"/>
      <c r="L72" s="14"/>
      <c r="M72" s="14"/>
      <c r="N72" s="13"/>
      <c r="O72" s="13"/>
      <c r="P72" s="14"/>
      <c r="Q72" s="14"/>
      <c r="R72" s="13"/>
      <c r="S72" s="13"/>
      <c r="T72" s="14"/>
      <c r="U72" s="14"/>
      <c r="V72" s="13"/>
      <c r="W72" s="13"/>
      <c r="X72" s="14"/>
      <c r="Y72" s="14"/>
      <c r="Z72" s="13"/>
      <c r="AA72" s="13"/>
      <c r="AB72" s="14"/>
      <c r="AC72" s="14"/>
      <c r="AD72" s="13"/>
      <c r="AE72" s="13"/>
      <c r="AF72" s="14"/>
      <c r="AG72" s="14"/>
      <c r="AH72" s="13"/>
      <c r="AI72" s="13"/>
      <c r="AJ72" s="14"/>
      <c r="AK72" s="14"/>
      <c r="AL72" s="13"/>
      <c r="AM72" s="13"/>
      <c r="AN72" s="14"/>
      <c r="AO72" s="14"/>
      <c r="AP72" s="13"/>
      <c r="AQ72" s="13"/>
      <c r="AR72" s="14"/>
      <c r="AS72" s="14"/>
      <c r="AT72" s="13"/>
      <c r="AU72" s="13"/>
      <c r="AV72" s="14"/>
      <c r="AW72" s="14"/>
      <c r="AX72" s="13"/>
      <c r="AY72" s="13"/>
      <c r="AZ72" s="14"/>
      <c r="BA72" s="14"/>
      <c r="BB72" s="13"/>
      <c r="BC72" s="13"/>
      <c r="BD72" s="14"/>
      <c r="BE72" s="14"/>
      <c r="BF72" s="13"/>
      <c r="BG72" s="13"/>
      <c r="BH72" s="14"/>
      <c r="BI72" s="14"/>
      <c r="BJ72" s="13"/>
      <c r="BK72" s="13"/>
      <c r="BL72" s="14"/>
      <c r="BM72" s="14"/>
      <c r="BN72" s="13"/>
      <c r="BO72" s="13"/>
      <c r="BP72" s="14"/>
      <c r="BQ72" s="14"/>
      <c r="BR72" s="13"/>
      <c r="BS72" s="13"/>
      <c r="BT72" s="14"/>
      <c r="BU72" s="14"/>
      <c r="BV72" s="13"/>
      <c r="BW72" s="13"/>
      <c r="BX72" s="14"/>
      <c r="BY72" s="14"/>
      <c r="BZ72" s="13"/>
      <c r="CA72" s="13"/>
      <c r="CB72" s="14"/>
      <c r="CC72" s="14"/>
      <c r="CD72" s="13"/>
    </row>
    <row r="73" spans="2:82" ht="14.5" x14ac:dyDescent="0.35">
      <c r="B73" s="16"/>
      <c r="C73" s="13"/>
      <c r="D73" s="14"/>
      <c r="E73" s="14"/>
      <c r="F73" s="13"/>
      <c r="G73" s="13"/>
      <c r="H73" s="14"/>
      <c r="I73" s="14"/>
      <c r="J73" s="13"/>
      <c r="K73" s="13"/>
      <c r="L73" s="14"/>
      <c r="M73" s="14"/>
      <c r="N73" s="13"/>
      <c r="O73" s="13"/>
      <c r="P73" s="14"/>
      <c r="Q73" s="14"/>
      <c r="R73" s="13"/>
      <c r="S73" s="13"/>
      <c r="T73" s="14"/>
      <c r="U73" s="14"/>
      <c r="V73" s="13"/>
      <c r="W73" s="13"/>
      <c r="X73" s="14"/>
      <c r="Y73" s="14"/>
      <c r="Z73" s="13"/>
      <c r="AA73" s="13"/>
      <c r="AB73" s="14"/>
      <c r="AC73" s="14"/>
      <c r="AD73" s="13"/>
      <c r="AE73" s="13"/>
      <c r="AF73" s="14"/>
      <c r="AG73" s="14"/>
      <c r="AH73" s="13"/>
      <c r="AI73" s="13"/>
      <c r="AJ73" s="14"/>
      <c r="AK73" s="14"/>
      <c r="AL73" s="13"/>
      <c r="AM73" s="13"/>
      <c r="AN73" s="14"/>
      <c r="AO73" s="14"/>
      <c r="AP73" s="13"/>
      <c r="AQ73" s="13"/>
      <c r="AR73" s="14"/>
      <c r="AS73" s="14"/>
      <c r="AT73" s="13"/>
      <c r="AU73" s="13"/>
      <c r="AV73" s="14"/>
      <c r="AW73" s="14"/>
      <c r="AX73" s="13"/>
      <c r="AY73" s="13"/>
      <c r="AZ73" s="14"/>
      <c r="BA73" s="14"/>
      <c r="BB73" s="13"/>
      <c r="BC73" s="13"/>
      <c r="BD73" s="14"/>
      <c r="BE73" s="14"/>
      <c r="BF73" s="13"/>
      <c r="BG73" s="13"/>
      <c r="BH73" s="14"/>
      <c r="BI73" s="14"/>
      <c r="BJ73" s="13"/>
      <c r="BK73" s="13"/>
      <c r="BL73" s="14"/>
      <c r="BM73" s="14"/>
      <c r="BN73" s="13"/>
      <c r="BO73" s="13"/>
      <c r="BP73" s="14"/>
      <c r="BQ73" s="14"/>
      <c r="BR73" s="13"/>
      <c r="BS73" s="13"/>
      <c r="BT73" s="14"/>
      <c r="BU73" s="14"/>
      <c r="BV73" s="13"/>
      <c r="BW73" s="13"/>
      <c r="BX73" s="14"/>
      <c r="BY73" s="14"/>
      <c r="BZ73" s="13"/>
      <c r="CA73" s="13"/>
      <c r="CB73" s="14"/>
      <c r="CC73" s="14"/>
      <c r="CD73" s="13"/>
    </row>
    <row r="74" spans="2:82" ht="14.5" x14ac:dyDescent="0.35">
      <c r="B74" s="16"/>
      <c r="C74" s="13"/>
      <c r="D74" s="14"/>
      <c r="E74" s="14"/>
      <c r="F74" s="13"/>
      <c r="G74" s="13"/>
      <c r="H74" s="14"/>
      <c r="I74" s="14"/>
      <c r="J74" s="13"/>
      <c r="K74" s="13"/>
      <c r="L74" s="14"/>
      <c r="M74" s="14"/>
      <c r="N74" s="13"/>
      <c r="O74" s="13"/>
      <c r="P74" s="14"/>
      <c r="Q74" s="14"/>
      <c r="R74" s="13"/>
      <c r="S74" s="13"/>
      <c r="T74" s="14"/>
      <c r="U74" s="14"/>
      <c r="V74" s="13"/>
      <c r="W74" s="13"/>
      <c r="X74" s="14"/>
      <c r="Y74" s="14"/>
      <c r="Z74" s="13"/>
      <c r="AA74" s="13"/>
      <c r="AB74" s="14"/>
      <c r="AC74" s="14"/>
      <c r="AD74" s="13"/>
      <c r="AE74" s="13"/>
      <c r="AF74" s="14"/>
      <c r="AG74" s="14"/>
      <c r="AH74" s="13"/>
      <c r="AI74" s="13"/>
      <c r="AJ74" s="14"/>
      <c r="AK74" s="14"/>
      <c r="AL74" s="13"/>
      <c r="AM74" s="13"/>
      <c r="AN74" s="14"/>
      <c r="AO74" s="14"/>
      <c r="AP74" s="13"/>
      <c r="AQ74" s="13"/>
      <c r="AR74" s="14"/>
      <c r="AS74" s="14"/>
      <c r="AT74" s="13"/>
      <c r="AU74" s="13"/>
      <c r="AV74" s="14"/>
      <c r="AW74" s="14"/>
      <c r="AX74" s="13"/>
      <c r="AY74" s="13"/>
      <c r="AZ74" s="14"/>
      <c r="BA74" s="14"/>
      <c r="BB74" s="13"/>
      <c r="BC74" s="13"/>
      <c r="BD74" s="14"/>
      <c r="BE74" s="14"/>
      <c r="BF74" s="13"/>
      <c r="BG74" s="13"/>
      <c r="BH74" s="14"/>
      <c r="BI74" s="14"/>
      <c r="BJ74" s="13"/>
      <c r="BK74" s="13"/>
      <c r="BL74" s="14"/>
      <c r="BM74" s="14"/>
      <c r="BN74" s="13"/>
      <c r="BO74" s="13"/>
      <c r="BP74" s="14"/>
      <c r="BQ74" s="14"/>
      <c r="BR74" s="13"/>
      <c r="BS74" s="13"/>
      <c r="BT74" s="14"/>
      <c r="BU74" s="14"/>
      <c r="BV74" s="13"/>
      <c r="BW74" s="13"/>
      <c r="BX74" s="14"/>
      <c r="BY74" s="14"/>
      <c r="BZ74" s="13"/>
      <c r="CA74" s="13"/>
      <c r="CB74" s="14"/>
      <c r="CC74" s="14"/>
      <c r="CD74" s="13"/>
    </row>
    <row r="75" spans="2:82" ht="14.5" x14ac:dyDescent="0.35">
      <c r="B75" s="17"/>
      <c r="C75" s="13"/>
      <c r="D75" s="14"/>
      <c r="E75" s="14"/>
      <c r="F75" s="13"/>
      <c r="G75" s="13"/>
      <c r="H75" s="14"/>
      <c r="I75" s="14"/>
      <c r="J75" s="13"/>
      <c r="K75" s="13"/>
      <c r="L75" s="14"/>
      <c r="M75" s="14"/>
      <c r="N75" s="13"/>
      <c r="O75" s="13"/>
      <c r="P75" s="14"/>
      <c r="Q75" s="14"/>
      <c r="R75" s="13"/>
      <c r="S75" s="13"/>
      <c r="T75" s="14"/>
      <c r="U75" s="14"/>
      <c r="V75" s="13"/>
      <c r="W75" s="13"/>
      <c r="X75" s="14"/>
      <c r="Y75" s="14"/>
      <c r="Z75" s="13"/>
      <c r="AA75" s="13"/>
      <c r="AB75" s="14"/>
      <c r="AC75" s="14"/>
      <c r="AD75" s="13"/>
      <c r="AE75" s="13"/>
      <c r="AF75" s="14"/>
      <c r="AG75" s="14"/>
      <c r="AH75" s="13"/>
      <c r="AI75" s="13"/>
      <c r="AJ75" s="14"/>
      <c r="AK75" s="14"/>
      <c r="AL75" s="13"/>
      <c r="AM75" s="13"/>
      <c r="AN75" s="14"/>
      <c r="AO75" s="14"/>
      <c r="AP75" s="13"/>
      <c r="AQ75" s="13"/>
      <c r="AR75" s="14"/>
      <c r="AS75" s="14"/>
      <c r="AT75" s="13"/>
      <c r="AU75" s="13"/>
      <c r="AV75" s="14"/>
      <c r="AW75" s="14"/>
      <c r="AX75" s="13"/>
      <c r="AY75" s="13"/>
      <c r="AZ75" s="14"/>
      <c r="BA75" s="14"/>
      <c r="BB75" s="13"/>
      <c r="BC75" s="13"/>
      <c r="BD75" s="14"/>
      <c r="BE75" s="14"/>
      <c r="BF75" s="13"/>
      <c r="BG75" s="13"/>
      <c r="BH75" s="14"/>
      <c r="BI75" s="14"/>
      <c r="BJ75" s="13"/>
      <c r="BK75" s="13"/>
      <c r="BL75" s="14"/>
      <c r="BM75" s="14"/>
      <c r="BN75" s="13"/>
      <c r="BO75" s="13"/>
      <c r="BP75" s="14"/>
      <c r="BQ75" s="14"/>
      <c r="BR75" s="13"/>
      <c r="BS75" s="13"/>
      <c r="BT75" s="14"/>
      <c r="BU75" s="14"/>
      <c r="BV75" s="13"/>
      <c r="BW75" s="13"/>
      <c r="BX75" s="14"/>
      <c r="BY75" s="14"/>
      <c r="BZ75" s="13"/>
      <c r="CA75" s="13"/>
      <c r="CB75" s="14"/>
      <c r="CC75" s="14"/>
      <c r="CD75" s="13"/>
    </row>
    <row r="76" spans="2:82" ht="14.5" x14ac:dyDescent="0.35">
      <c r="B76" s="18"/>
      <c r="C76" s="13"/>
      <c r="D76" s="14"/>
      <c r="E76" s="14"/>
      <c r="F76" s="13"/>
      <c r="G76" s="13"/>
      <c r="H76" s="14"/>
      <c r="I76" s="14"/>
      <c r="J76" s="13"/>
      <c r="K76" s="13"/>
      <c r="L76" s="14"/>
      <c r="M76" s="14"/>
      <c r="N76" s="13"/>
      <c r="O76" s="13"/>
      <c r="P76" s="14"/>
      <c r="Q76" s="14"/>
      <c r="R76" s="13"/>
      <c r="S76" s="13"/>
      <c r="T76" s="14"/>
      <c r="U76" s="14"/>
      <c r="V76" s="13"/>
      <c r="W76" s="13"/>
      <c r="X76" s="14"/>
      <c r="Y76" s="14"/>
      <c r="Z76" s="13"/>
      <c r="AA76" s="13"/>
      <c r="AB76" s="14"/>
      <c r="AC76" s="14"/>
      <c r="AD76" s="13"/>
      <c r="AE76" s="13"/>
      <c r="AF76" s="14"/>
      <c r="AG76" s="14"/>
      <c r="AH76" s="13"/>
      <c r="AI76" s="13"/>
      <c r="AJ76" s="14"/>
      <c r="AK76" s="14"/>
      <c r="AL76" s="13"/>
      <c r="AM76" s="13"/>
      <c r="AN76" s="14"/>
      <c r="AO76" s="14"/>
      <c r="AP76" s="13"/>
      <c r="AQ76" s="13"/>
      <c r="AR76" s="14"/>
      <c r="AS76" s="14"/>
      <c r="AT76" s="13"/>
      <c r="AU76" s="13"/>
      <c r="AV76" s="14"/>
      <c r="AW76" s="14"/>
      <c r="AX76" s="13"/>
      <c r="AY76" s="13"/>
      <c r="AZ76" s="14"/>
      <c r="BA76" s="14"/>
      <c r="BB76" s="13"/>
      <c r="BC76" s="13"/>
      <c r="BD76" s="14"/>
      <c r="BE76" s="14"/>
      <c r="BF76" s="13"/>
      <c r="BG76" s="13"/>
      <c r="BH76" s="14"/>
      <c r="BI76" s="14"/>
      <c r="BJ76" s="13"/>
      <c r="BK76" s="13"/>
      <c r="BL76" s="14"/>
      <c r="BM76" s="14"/>
      <c r="BN76" s="13"/>
      <c r="BO76" s="13"/>
      <c r="BP76" s="14"/>
      <c r="BQ76" s="14"/>
      <c r="BR76" s="13"/>
      <c r="BS76" s="13"/>
      <c r="BT76" s="14"/>
      <c r="BU76" s="14"/>
      <c r="BV76" s="13"/>
      <c r="BW76" s="13"/>
      <c r="BX76" s="14"/>
      <c r="BY76" s="14"/>
      <c r="BZ76" s="13"/>
      <c r="CA76" s="13"/>
      <c r="CB76" s="14"/>
      <c r="CC76" s="14"/>
      <c r="CD76" s="13"/>
    </row>
    <row r="77" spans="2:82" ht="14.5" x14ac:dyDescent="0.35">
      <c r="B77" s="18"/>
      <c r="C77" s="13"/>
      <c r="D77" s="14"/>
      <c r="E77" s="14"/>
      <c r="F77" s="13"/>
      <c r="G77" s="13"/>
      <c r="H77" s="14"/>
      <c r="I77" s="14"/>
      <c r="J77" s="13"/>
      <c r="K77" s="13"/>
      <c r="L77" s="14"/>
      <c r="M77" s="14"/>
      <c r="N77" s="13"/>
      <c r="O77" s="13"/>
      <c r="P77" s="14"/>
      <c r="Q77" s="14"/>
      <c r="R77" s="13"/>
      <c r="S77" s="13"/>
      <c r="T77" s="14"/>
      <c r="U77" s="14"/>
      <c r="V77" s="13"/>
      <c r="W77" s="13"/>
      <c r="X77" s="14"/>
      <c r="Y77" s="14"/>
      <c r="Z77" s="13"/>
      <c r="AA77" s="13"/>
      <c r="AB77" s="14"/>
      <c r="AC77" s="14"/>
      <c r="AD77" s="13"/>
      <c r="AE77" s="13"/>
      <c r="AF77" s="14"/>
      <c r="AG77" s="14"/>
      <c r="AH77" s="13"/>
      <c r="AI77" s="13"/>
      <c r="AJ77" s="14"/>
      <c r="AK77" s="14"/>
      <c r="AL77" s="13"/>
      <c r="AM77" s="13"/>
      <c r="AN77" s="14"/>
      <c r="AO77" s="14"/>
      <c r="AP77" s="13"/>
      <c r="AQ77" s="13"/>
      <c r="AR77" s="14"/>
      <c r="AS77" s="14"/>
      <c r="AT77" s="13"/>
      <c r="AU77" s="13"/>
      <c r="AV77" s="14"/>
      <c r="AW77" s="14"/>
      <c r="AX77" s="13"/>
      <c r="AY77" s="13"/>
      <c r="AZ77" s="14"/>
      <c r="BA77" s="14"/>
      <c r="BB77" s="13"/>
      <c r="BC77" s="13"/>
      <c r="BD77" s="14"/>
      <c r="BE77" s="14"/>
      <c r="BF77" s="13"/>
      <c r="BG77" s="13"/>
      <c r="BH77" s="14"/>
      <c r="BI77" s="14"/>
      <c r="BJ77" s="13"/>
      <c r="BK77" s="13"/>
      <c r="BL77" s="14"/>
      <c r="BM77" s="14"/>
      <c r="BN77" s="13"/>
      <c r="BO77" s="13"/>
      <c r="BP77" s="14"/>
      <c r="BQ77" s="14"/>
      <c r="BR77" s="13"/>
      <c r="BS77" s="13"/>
      <c r="BT77" s="14"/>
      <c r="BU77" s="14"/>
      <c r="BV77" s="13"/>
      <c r="BW77" s="13"/>
      <c r="BX77" s="14"/>
      <c r="BY77" s="14"/>
      <c r="BZ77" s="13"/>
      <c r="CA77" s="13"/>
      <c r="CB77" s="14"/>
      <c r="CC77" s="14"/>
      <c r="CD77" s="13"/>
    </row>
    <row r="78" spans="2:82" ht="14.5" x14ac:dyDescent="0.35">
      <c r="B78" s="18"/>
      <c r="C78" s="13"/>
      <c r="D78" s="14"/>
      <c r="E78" s="14"/>
      <c r="F78" s="13"/>
      <c r="G78" s="13"/>
      <c r="H78" s="14"/>
      <c r="I78" s="14"/>
      <c r="J78" s="13"/>
      <c r="K78" s="13"/>
      <c r="L78" s="14"/>
      <c r="M78" s="14"/>
      <c r="N78" s="13"/>
      <c r="O78" s="13"/>
      <c r="P78" s="14"/>
      <c r="Q78" s="14"/>
      <c r="R78" s="13"/>
      <c r="S78" s="13"/>
      <c r="T78" s="14"/>
      <c r="U78" s="14"/>
      <c r="V78" s="13"/>
      <c r="W78" s="13"/>
      <c r="X78" s="14"/>
      <c r="Y78" s="14"/>
      <c r="Z78" s="13"/>
      <c r="AA78" s="13"/>
      <c r="AB78" s="14"/>
      <c r="AC78" s="14"/>
      <c r="AD78" s="13"/>
      <c r="AE78" s="13"/>
      <c r="AF78" s="14"/>
      <c r="AG78" s="14"/>
      <c r="AH78" s="13"/>
      <c r="AI78" s="13"/>
      <c r="AJ78" s="14"/>
      <c r="AK78" s="14"/>
      <c r="AL78" s="13"/>
      <c r="AM78" s="13"/>
      <c r="AN78" s="14"/>
      <c r="AO78" s="14"/>
      <c r="AP78" s="13"/>
      <c r="AQ78" s="13"/>
      <c r="AR78" s="14"/>
      <c r="AS78" s="14"/>
      <c r="AT78" s="13"/>
      <c r="AU78" s="13"/>
      <c r="AV78" s="14"/>
      <c r="AW78" s="14"/>
      <c r="AX78" s="13"/>
      <c r="AY78" s="13"/>
      <c r="AZ78" s="14"/>
      <c r="BA78" s="14"/>
      <c r="BB78" s="13"/>
      <c r="BC78" s="13"/>
      <c r="BD78" s="14"/>
      <c r="BE78" s="14"/>
      <c r="BF78" s="13"/>
      <c r="BG78" s="13"/>
      <c r="BH78" s="14"/>
      <c r="BI78" s="14"/>
      <c r="BJ78" s="13"/>
      <c r="BK78" s="13"/>
      <c r="BL78" s="14"/>
      <c r="BM78" s="14"/>
      <c r="BN78" s="13"/>
      <c r="BO78" s="13"/>
      <c r="BP78" s="14"/>
      <c r="BQ78" s="14"/>
      <c r="BR78" s="13"/>
      <c r="BS78" s="13"/>
      <c r="BT78" s="14"/>
      <c r="BU78" s="14"/>
      <c r="BV78" s="13"/>
      <c r="BW78" s="13"/>
      <c r="BX78" s="14"/>
      <c r="BY78" s="14"/>
      <c r="BZ78" s="13"/>
      <c r="CA78" s="13"/>
      <c r="CB78" s="14"/>
      <c r="CC78" s="14"/>
      <c r="CD78" s="13"/>
    </row>
    <row r="79" spans="2:82" ht="14.5" x14ac:dyDescent="0.35">
      <c r="B79" s="17"/>
      <c r="C79" s="13"/>
      <c r="D79" s="14"/>
      <c r="E79" s="14"/>
      <c r="F79" s="13"/>
      <c r="G79" s="13"/>
      <c r="H79" s="14"/>
      <c r="I79" s="14"/>
      <c r="J79" s="13"/>
      <c r="K79" s="13"/>
      <c r="L79" s="14"/>
      <c r="M79" s="14"/>
      <c r="N79" s="13"/>
      <c r="O79" s="13"/>
      <c r="P79" s="14"/>
      <c r="Q79" s="14"/>
      <c r="R79" s="13"/>
      <c r="S79" s="13"/>
      <c r="T79" s="14"/>
      <c r="U79" s="14"/>
      <c r="V79" s="13"/>
      <c r="W79" s="13"/>
      <c r="X79" s="14"/>
      <c r="Y79" s="14"/>
      <c r="Z79" s="13"/>
      <c r="AA79" s="13"/>
      <c r="AB79" s="14"/>
      <c r="AC79" s="14"/>
      <c r="AD79" s="13"/>
      <c r="AE79" s="13"/>
      <c r="AF79" s="14"/>
      <c r="AG79" s="14"/>
      <c r="AH79" s="13"/>
      <c r="AI79" s="13"/>
      <c r="AJ79" s="14"/>
      <c r="AK79" s="14"/>
      <c r="AL79" s="13"/>
      <c r="AM79" s="13"/>
      <c r="AN79" s="14"/>
      <c r="AO79" s="14"/>
      <c r="AP79" s="13"/>
      <c r="AQ79" s="13"/>
      <c r="AR79" s="14"/>
      <c r="AS79" s="14"/>
      <c r="AT79" s="13"/>
      <c r="AU79" s="13"/>
      <c r="AV79" s="14"/>
      <c r="AW79" s="14"/>
      <c r="AX79" s="13"/>
      <c r="AY79" s="13"/>
      <c r="AZ79" s="14"/>
      <c r="BA79" s="14"/>
      <c r="BB79" s="13"/>
      <c r="BC79" s="13"/>
      <c r="BD79" s="14"/>
      <c r="BE79" s="14"/>
      <c r="BF79" s="13"/>
      <c r="BG79" s="13"/>
      <c r="BH79" s="14"/>
      <c r="BI79" s="14"/>
      <c r="BJ79" s="13"/>
      <c r="BK79" s="13"/>
      <c r="BL79" s="14"/>
      <c r="BM79" s="14"/>
      <c r="BN79" s="13"/>
      <c r="BO79" s="13"/>
      <c r="BP79" s="14"/>
      <c r="BQ79" s="14"/>
      <c r="BR79" s="13"/>
      <c r="BS79" s="13"/>
      <c r="BT79" s="14"/>
      <c r="BU79" s="14"/>
      <c r="BV79" s="13"/>
      <c r="BW79" s="13"/>
      <c r="BX79" s="14"/>
      <c r="BY79" s="14"/>
      <c r="BZ79" s="13"/>
      <c r="CA79" s="13"/>
      <c r="CB79" s="14"/>
      <c r="CC79" s="14"/>
      <c r="CD79" s="13"/>
    </row>
    <row r="80" spans="2:82" ht="14.5" x14ac:dyDescent="0.35">
      <c r="B80" s="17"/>
      <c r="C80" s="13"/>
      <c r="D80" s="14"/>
      <c r="E80" s="14"/>
      <c r="F80" s="13"/>
      <c r="G80" s="13"/>
      <c r="H80" s="14"/>
      <c r="I80" s="14"/>
      <c r="J80" s="13"/>
      <c r="K80" s="13"/>
      <c r="L80" s="14"/>
      <c r="M80" s="14"/>
      <c r="N80" s="13"/>
      <c r="O80" s="13"/>
      <c r="P80" s="14"/>
      <c r="Q80" s="14"/>
      <c r="R80" s="13"/>
      <c r="S80" s="13"/>
      <c r="T80" s="14"/>
      <c r="U80" s="14"/>
      <c r="V80" s="13"/>
      <c r="W80" s="13"/>
      <c r="X80" s="14"/>
      <c r="Y80" s="14"/>
      <c r="Z80" s="13"/>
      <c r="AA80" s="13"/>
      <c r="AB80" s="14"/>
      <c r="AC80" s="14"/>
      <c r="AD80" s="13"/>
      <c r="AE80" s="13"/>
      <c r="AF80" s="14"/>
      <c r="AG80" s="14"/>
      <c r="AH80" s="13"/>
      <c r="AI80" s="13"/>
      <c r="AJ80" s="14"/>
      <c r="AK80" s="14"/>
      <c r="AL80" s="13"/>
      <c r="AM80" s="13"/>
      <c r="AN80" s="14"/>
      <c r="AO80" s="14"/>
      <c r="AP80" s="13"/>
      <c r="AQ80" s="13"/>
      <c r="AR80" s="14"/>
      <c r="AS80" s="14"/>
      <c r="AT80" s="13"/>
      <c r="AU80" s="13"/>
      <c r="AV80" s="14"/>
      <c r="AW80" s="14"/>
      <c r="AX80" s="13"/>
      <c r="AY80" s="13"/>
      <c r="AZ80" s="14"/>
      <c r="BA80" s="14"/>
      <c r="BB80" s="13"/>
      <c r="BC80" s="13"/>
      <c r="BD80" s="14"/>
      <c r="BE80" s="14"/>
      <c r="BF80" s="13"/>
      <c r="BG80" s="13"/>
      <c r="BH80" s="14"/>
      <c r="BI80" s="14"/>
      <c r="BJ80" s="13"/>
      <c r="BK80" s="13"/>
      <c r="BL80" s="14"/>
      <c r="BM80" s="14"/>
      <c r="BN80" s="13"/>
      <c r="BO80" s="13"/>
      <c r="BP80" s="14"/>
      <c r="BQ80" s="14"/>
      <c r="BR80" s="13"/>
      <c r="BS80" s="13"/>
      <c r="BT80" s="14"/>
      <c r="BU80" s="14"/>
      <c r="BV80" s="13"/>
      <c r="BW80" s="13"/>
      <c r="BX80" s="14"/>
      <c r="BY80" s="14"/>
      <c r="BZ80" s="13"/>
      <c r="CA80" s="13"/>
      <c r="CB80" s="14"/>
      <c r="CC80" s="14"/>
      <c r="CD80" s="13"/>
    </row>
    <row r="81" spans="2:82" ht="14.5" x14ac:dyDescent="0.35">
      <c r="B81" s="17"/>
      <c r="C81" s="13"/>
      <c r="D81" s="14"/>
      <c r="E81" s="14"/>
      <c r="F81" s="13"/>
      <c r="G81" s="13"/>
      <c r="H81" s="14"/>
      <c r="I81" s="14"/>
      <c r="J81" s="13"/>
      <c r="K81" s="13"/>
      <c r="L81" s="14"/>
      <c r="M81" s="14"/>
      <c r="N81" s="13"/>
      <c r="O81" s="13"/>
      <c r="P81" s="14"/>
      <c r="Q81" s="14"/>
      <c r="R81" s="13"/>
      <c r="S81" s="13"/>
      <c r="T81" s="14"/>
      <c r="U81" s="14"/>
      <c r="V81" s="13"/>
      <c r="W81" s="13"/>
      <c r="X81" s="14"/>
      <c r="Y81" s="14"/>
      <c r="Z81" s="13"/>
      <c r="AA81" s="13"/>
      <c r="AB81" s="14"/>
      <c r="AC81" s="14"/>
      <c r="AD81" s="13"/>
      <c r="AE81" s="13"/>
      <c r="AF81" s="14"/>
      <c r="AG81" s="14"/>
      <c r="AH81" s="13"/>
      <c r="AI81" s="13"/>
      <c r="AJ81" s="14"/>
      <c r="AK81" s="14"/>
      <c r="AL81" s="13"/>
      <c r="AM81" s="13"/>
      <c r="AN81" s="14"/>
      <c r="AO81" s="14"/>
      <c r="AP81" s="13"/>
      <c r="AQ81" s="13"/>
      <c r="AR81" s="14"/>
      <c r="AS81" s="14"/>
      <c r="AT81" s="13"/>
      <c r="AU81" s="13"/>
      <c r="AV81" s="14"/>
      <c r="AW81" s="14"/>
      <c r="AX81" s="13"/>
      <c r="AY81" s="13"/>
      <c r="AZ81" s="14"/>
      <c r="BA81" s="14"/>
      <c r="BB81" s="13"/>
      <c r="BC81" s="13"/>
      <c r="BD81" s="14"/>
      <c r="BE81" s="14"/>
      <c r="BF81" s="13"/>
      <c r="BG81" s="13"/>
      <c r="BH81" s="14"/>
      <c r="BI81" s="14"/>
      <c r="BJ81" s="13"/>
      <c r="BK81" s="13"/>
      <c r="BL81" s="14"/>
      <c r="BM81" s="14"/>
      <c r="BN81" s="13"/>
      <c r="BO81" s="13"/>
      <c r="BP81" s="14"/>
      <c r="BQ81" s="14"/>
      <c r="BR81" s="13"/>
      <c r="BS81" s="13"/>
      <c r="BT81" s="14"/>
      <c r="BU81" s="14"/>
      <c r="BV81" s="13"/>
      <c r="BW81" s="13"/>
      <c r="BX81" s="14"/>
      <c r="BY81" s="14"/>
      <c r="BZ81" s="13"/>
      <c r="CA81" s="13"/>
      <c r="CB81" s="14"/>
      <c r="CC81" s="14"/>
      <c r="CD81" s="13"/>
    </row>
    <row r="82" spans="2:82" ht="14.5" x14ac:dyDescent="0.35">
      <c r="B82" s="17"/>
      <c r="C82" s="13"/>
      <c r="D82" s="14"/>
      <c r="E82" s="14"/>
      <c r="F82" s="13"/>
      <c r="G82" s="13"/>
      <c r="H82" s="14"/>
      <c r="I82" s="14"/>
      <c r="J82" s="13"/>
      <c r="K82" s="13"/>
      <c r="L82" s="14"/>
      <c r="M82" s="14"/>
      <c r="N82" s="13"/>
      <c r="O82" s="13"/>
      <c r="P82" s="14"/>
      <c r="Q82" s="14"/>
      <c r="R82" s="13"/>
      <c r="S82" s="13"/>
      <c r="T82" s="14"/>
      <c r="U82" s="14"/>
      <c r="V82" s="13"/>
      <c r="W82" s="13"/>
      <c r="X82" s="14"/>
      <c r="Y82" s="14"/>
      <c r="Z82" s="13"/>
      <c r="AA82" s="13"/>
      <c r="AB82" s="14"/>
      <c r="AC82" s="14"/>
      <c r="AD82" s="13"/>
      <c r="AE82" s="13"/>
      <c r="AF82" s="14"/>
      <c r="AG82" s="14"/>
      <c r="AH82" s="13"/>
      <c r="AI82" s="13"/>
      <c r="AJ82" s="14"/>
      <c r="AK82" s="14"/>
      <c r="AL82" s="13"/>
      <c r="AM82" s="13"/>
      <c r="AN82" s="14"/>
      <c r="AO82" s="14"/>
      <c r="AP82" s="13"/>
      <c r="AQ82" s="13"/>
      <c r="AR82" s="14"/>
      <c r="AS82" s="14"/>
      <c r="AT82" s="13"/>
      <c r="AU82" s="13"/>
      <c r="AV82" s="14"/>
      <c r="AW82" s="14"/>
      <c r="AX82" s="13"/>
      <c r="AY82" s="13"/>
      <c r="AZ82" s="14"/>
      <c r="BA82" s="14"/>
      <c r="BB82" s="13"/>
      <c r="BC82" s="13"/>
      <c r="BD82" s="14"/>
      <c r="BE82" s="14"/>
      <c r="BF82" s="13"/>
      <c r="BG82" s="13"/>
      <c r="BH82" s="14"/>
      <c r="BI82" s="14"/>
      <c r="BJ82" s="13"/>
      <c r="BK82" s="13"/>
      <c r="BL82" s="14"/>
      <c r="BM82" s="14"/>
      <c r="BN82" s="13"/>
      <c r="BO82" s="13"/>
      <c r="BP82" s="14"/>
      <c r="BQ82" s="14"/>
      <c r="BR82" s="13"/>
      <c r="BS82" s="13"/>
      <c r="BT82" s="14"/>
      <c r="BU82" s="14"/>
      <c r="BV82" s="13"/>
      <c r="BW82" s="13"/>
      <c r="BX82" s="14"/>
      <c r="BY82" s="14"/>
      <c r="BZ82" s="13"/>
      <c r="CA82" s="13"/>
      <c r="CB82" s="14"/>
      <c r="CC82" s="14"/>
      <c r="CD82" s="13"/>
    </row>
    <row r="83" spans="2:82" ht="14.5" x14ac:dyDescent="0.35">
      <c r="B83" s="17"/>
      <c r="C83" s="13"/>
      <c r="D83" s="14"/>
      <c r="E83" s="14"/>
      <c r="F83" s="13"/>
      <c r="G83" s="13"/>
      <c r="H83" s="14"/>
      <c r="I83" s="14"/>
      <c r="J83" s="13"/>
      <c r="K83" s="13"/>
      <c r="L83" s="14"/>
      <c r="M83" s="14"/>
      <c r="N83" s="13"/>
      <c r="O83" s="13"/>
      <c r="P83" s="14"/>
      <c r="Q83" s="14"/>
      <c r="R83" s="13"/>
      <c r="S83" s="13"/>
      <c r="T83" s="14"/>
      <c r="U83" s="14"/>
      <c r="V83" s="13"/>
      <c r="W83" s="13"/>
      <c r="X83" s="14"/>
      <c r="Y83" s="14"/>
      <c r="Z83" s="13"/>
      <c r="AA83" s="13"/>
      <c r="AB83" s="14"/>
      <c r="AC83" s="14"/>
      <c r="AD83" s="13"/>
      <c r="AE83" s="13"/>
      <c r="AF83" s="14"/>
      <c r="AG83" s="14"/>
      <c r="AH83" s="13"/>
      <c r="AI83" s="13"/>
      <c r="AJ83" s="14"/>
      <c r="AK83" s="14"/>
      <c r="AL83" s="13"/>
      <c r="AM83" s="13"/>
      <c r="AN83" s="14"/>
      <c r="AO83" s="14"/>
      <c r="AP83" s="13"/>
      <c r="AQ83" s="13"/>
      <c r="AR83" s="14"/>
      <c r="AS83" s="14"/>
      <c r="AT83" s="13"/>
      <c r="AU83" s="13"/>
      <c r="AV83" s="14"/>
      <c r="AW83" s="14"/>
      <c r="AX83" s="13"/>
      <c r="AY83" s="13"/>
      <c r="AZ83" s="14"/>
      <c r="BA83" s="14"/>
      <c r="BB83" s="13"/>
      <c r="BC83" s="13"/>
      <c r="BD83" s="14"/>
      <c r="BE83" s="14"/>
      <c r="BF83" s="13"/>
      <c r="BG83" s="13"/>
      <c r="BH83" s="14"/>
      <c r="BI83" s="14"/>
      <c r="BJ83" s="13"/>
      <c r="BK83" s="13"/>
      <c r="BL83" s="14"/>
      <c r="BM83" s="14"/>
      <c r="BN83" s="13"/>
      <c r="BO83" s="13"/>
      <c r="BP83" s="14"/>
      <c r="BQ83" s="14"/>
      <c r="BR83" s="13"/>
      <c r="BS83" s="13"/>
      <c r="BT83" s="14"/>
      <c r="BU83" s="14"/>
      <c r="BV83" s="13"/>
      <c r="BW83" s="13"/>
      <c r="BX83" s="14"/>
      <c r="BY83" s="14"/>
      <c r="BZ83" s="13"/>
      <c r="CA83" s="13"/>
      <c r="CB83" s="14"/>
      <c r="CC83" s="14"/>
      <c r="CD83" s="13"/>
    </row>
    <row r="84" spans="2:82" ht="14.5" x14ac:dyDescent="0.35">
      <c r="B84" s="17"/>
      <c r="C84" s="13"/>
      <c r="D84" s="14"/>
      <c r="E84" s="14"/>
      <c r="F84" s="13"/>
      <c r="G84" s="13"/>
      <c r="H84" s="14"/>
      <c r="I84" s="14"/>
      <c r="J84" s="13"/>
      <c r="K84" s="13"/>
      <c r="L84" s="14"/>
      <c r="M84" s="14"/>
      <c r="N84" s="13"/>
      <c r="O84" s="13"/>
      <c r="P84" s="14"/>
      <c r="Q84" s="14"/>
      <c r="R84" s="13"/>
      <c r="S84" s="13"/>
      <c r="T84" s="14"/>
      <c r="U84" s="14"/>
      <c r="V84" s="13"/>
      <c r="W84" s="13"/>
      <c r="X84" s="14"/>
      <c r="Y84" s="14"/>
      <c r="Z84" s="13"/>
      <c r="AA84" s="13"/>
      <c r="AB84" s="14"/>
      <c r="AC84" s="14"/>
      <c r="AD84" s="13"/>
      <c r="AE84" s="13"/>
      <c r="AF84" s="14"/>
      <c r="AG84" s="14"/>
      <c r="AH84" s="13"/>
      <c r="AI84" s="13"/>
      <c r="AJ84" s="14"/>
      <c r="AK84" s="14"/>
      <c r="AL84" s="13"/>
      <c r="AM84" s="13"/>
      <c r="AN84" s="14"/>
      <c r="AO84" s="14"/>
      <c r="AP84" s="13"/>
      <c r="AQ84" s="13"/>
      <c r="AR84" s="14"/>
      <c r="AS84" s="14"/>
      <c r="AT84" s="13"/>
      <c r="AU84" s="13"/>
      <c r="AV84" s="14"/>
      <c r="AW84" s="14"/>
      <c r="AX84" s="13"/>
      <c r="AY84" s="13"/>
      <c r="AZ84" s="14"/>
      <c r="BA84" s="14"/>
      <c r="BB84" s="13"/>
      <c r="BC84" s="13"/>
      <c r="BD84" s="14"/>
      <c r="BE84" s="14"/>
      <c r="BF84" s="13"/>
      <c r="BG84" s="13"/>
      <c r="BH84" s="14"/>
      <c r="BI84" s="14"/>
      <c r="BJ84" s="13"/>
      <c r="BK84" s="13"/>
      <c r="BL84" s="14"/>
      <c r="BM84" s="14"/>
      <c r="BN84" s="13"/>
      <c r="BO84" s="13"/>
      <c r="BP84" s="14"/>
      <c r="BQ84" s="14"/>
      <c r="BR84" s="13"/>
      <c r="BS84" s="13"/>
      <c r="BT84" s="14"/>
      <c r="BU84" s="14"/>
      <c r="BV84" s="13"/>
      <c r="BW84" s="13"/>
      <c r="BX84" s="14"/>
      <c r="BY84" s="14"/>
      <c r="BZ84" s="13"/>
      <c r="CA84" s="13"/>
      <c r="CB84" s="14"/>
      <c r="CC84" s="14"/>
      <c r="CD84" s="13"/>
    </row>
    <row r="85" spans="2:82" ht="14.5" x14ac:dyDescent="0.35">
      <c r="B85" s="17"/>
      <c r="C85" s="13"/>
      <c r="D85" s="14"/>
      <c r="E85" s="14"/>
      <c r="F85" s="13"/>
      <c r="G85" s="13"/>
      <c r="H85" s="14"/>
      <c r="I85" s="14"/>
      <c r="J85" s="13"/>
      <c r="K85" s="13"/>
      <c r="L85" s="14"/>
      <c r="M85" s="14"/>
      <c r="N85" s="13"/>
      <c r="O85" s="13"/>
      <c r="P85" s="14"/>
      <c r="Q85" s="14"/>
      <c r="R85" s="13"/>
      <c r="S85" s="13"/>
      <c r="T85" s="14"/>
      <c r="U85" s="14"/>
      <c r="V85" s="13"/>
      <c r="W85" s="13"/>
      <c r="X85" s="14"/>
      <c r="Y85" s="14"/>
      <c r="Z85" s="13"/>
      <c r="AA85" s="13"/>
      <c r="AB85" s="14"/>
      <c r="AC85" s="14"/>
      <c r="AD85" s="13"/>
      <c r="AE85" s="13"/>
      <c r="AF85" s="14"/>
      <c r="AG85" s="14"/>
      <c r="AH85" s="13"/>
      <c r="AI85" s="13"/>
      <c r="AJ85" s="14"/>
      <c r="AK85" s="14"/>
      <c r="AL85" s="13"/>
      <c r="AM85" s="13"/>
      <c r="AN85" s="14"/>
      <c r="AO85" s="14"/>
      <c r="AP85" s="13"/>
      <c r="AQ85" s="13"/>
      <c r="AR85" s="14"/>
      <c r="AS85" s="14"/>
      <c r="AT85" s="13"/>
      <c r="AU85" s="13"/>
      <c r="AV85" s="14"/>
      <c r="AW85" s="14"/>
      <c r="AX85" s="13"/>
      <c r="AY85" s="13"/>
      <c r="AZ85" s="14"/>
      <c r="BA85" s="14"/>
      <c r="BB85" s="13"/>
      <c r="BC85" s="13"/>
      <c r="BD85" s="14"/>
      <c r="BE85" s="14"/>
      <c r="BF85" s="13"/>
      <c r="BG85" s="13"/>
      <c r="BH85" s="14"/>
      <c r="BI85" s="14"/>
      <c r="BJ85" s="13"/>
      <c r="BK85" s="13"/>
      <c r="BL85" s="14"/>
      <c r="BM85" s="14"/>
      <c r="BN85" s="13"/>
      <c r="BO85" s="13"/>
      <c r="BP85" s="14"/>
      <c r="BQ85" s="14"/>
      <c r="BR85" s="13"/>
      <c r="BS85" s="13"/>
      <c r="BT85" s="14"/>
      <c r="BU85" s="14"/>
      <c r="BV85" s="13"/>
      <c r="BW85" s="13"/>
      <c r="BX85" s="14"/>
      <c r="BY85" s="14"/>
      <c r="BZ85" s="13"/>
      <c r="CA85" s="13"/>
      <c r="CB85" s="14"/>
      <c r="CC85" s="14"/>
      <c r="CD85" s="13"/>
    </row>
    <row r="86" spans="2:82" ht="14.5" x14ac:dyDescent="0.35">
      <c r="B86" s="17"/>
      <c r="C86" s="13"/>
      <c r="D86" s="14"/>
      <c r="E86" s="14"/>
      <c r="F86" s="13"/>
      <c r="G86" s="13"/>
      <c r="H86" s="14"/>
      <c r="I86" s="14"/>
      <c r="J86" s="13"/>
      <c r="K86" s="13"/>
      <c r="L86" s="14"/>
      <c r="M86" s="14"/>
      <c r="N86" s="13"/>
      <c r="O86" s="13"/>
      <c r="P86" s="14"/>
      <c r="Q86" s="14"/>
      <c r="R86" s="13"/>
      <c r="S86" s="13"/>
      <c r="T86" s="14"/>
      <c r="U86" s="14"/>
      <c r="V86" s="13"/>
      <c r="W86" s="13"/>
      <c r="X86" s="14"/>
      <c r="Y86" s="14"/>
      <c r="Z86" s="13"/>
      <c r="AA86" s="13"/>
      <c r="AB86" s="14"/>
      <c r="AC86" s="14"/>
      <c r="AD86" s="13"/>
      <c r="AE86" s="13"/>
      <c r="AF86" s="14"/>
      <c r="AG86" s="14"/>
      <c r="AH86" s="13"/>
      <c r="AI86" s="13"/>
      <c r="AJ86" s="14"/>
      <c r="AK86" s="14"/>
      <c r="AL86" s="13"/>
      <c r="AM86" s="13"/>
      <c r="AN86" s="14"/>
      <c r="AO86" s="14"/>
      <c r="AP86" s="13"/>
      <c r="AQ86" s="13"/>
      <c r="AR86" s="14"/>
      <c r="AS86" s="14"/>
      <c r="AT86" s="13"/>
      <c r="AU86" s="13"/>
      <c r="AV86" s="14"/>
      <c r="AW86" s="14"/>
      <c r="AX86" s="13"/>
      <c r="AY86" s="13"/>
      <c r="AZ86" s="14"/>
      <c r="BA86" s="14"/>
      <c r="BB86" s="13"/>
      <c r="BC86" s="13"/>
      <c r="BD86" s="14"/>
      <c r="BE86" s="14"/>
      <c r="BF86" s="13"/>
      <c r="BG86" s="13"/>
      <c r="BH86" s="14"/>
      <c r="BI86" s="14"/>
      <c r="BJ86" s="13"/>
      <c r="BK86" s="13"/>
      <c r="BL86" s="14"/>
      <c r="BM86" s="14"/>
      <c r="BN86" s="13"/>
      <c r="BO86" s="13"/>
      <c r="BP86" s="14"/>
      <c r="BQ86" s="14"/>
      <c r="BR86" s="13"/>
      <c r="BS86" s="13"/>
      <c r="BT86" s="14"/>
      <c r="BU86" s="14"/>
      <c r="BV86" s="13"/>
      <c r="BW86" s="13"/>
      <c r="BX86" s="14"/>
      <c r="BY86" s="14"/>
      <c r="BZ86" s="13"/>
      <c r="CA86" s="13"/>
      <c r="CB86" s="14"/>
      <c r="CC86" s="14"/>
      <c r="CD86" s="13"/>
    </row>
    <row r="87" spans="2:82" ht="14.5" x14ac:dyDescent="0.35">
      <c r="B87" s="17"/>
      <c r="C87" s="13"/>
      <c r="D87" s="14"/>
      <c r="E87" s="14"/>
      <c r="F87" s="13"/>
      <c r="G87" s="13"/>
      <c r="H87" s="14"/>
      <c r="I87" s="14"/>
      <c r="J87" s="13"/>
      <c r="K87" s="13"/>
      <c r="L87" s="14"/>
      <c r="M87" s="14"/>
      <c r="N87" s="13"/>
      <c r="O87" s="13"/>
      <c r="P87" s="14"/>
      <c r="Q87" s="14"/>
      <c r="R87" s="13"/>
      <c r="S87" s="13"/>
      <c r="T87" s="14"/>
      <c r="U87" s="14"/>
      <c r="V87" s="13"/>
      <c r="W87" s="13"/>
      <c r="X87" s="14"/>
      <c r="Y87" s="14"/>
      <c r="Z87" s="13"/>
      <c r="AA87" s="13"/>
      <c r="AB87" s="14"/>
      <c r="AC87" s="14"/>
      <c r="AD87" s="13"/>
      <c r="AE87" s="13"/>
      <c r="AF87" s="14"/>
      <c r="AG87" s="14"/>
      <c r="AH87" s="13"/>
      <c r="AI87" s="13"/>
      <c r="AJ87" s="14"/>
      <c r="AK87" s="14"/>
      <c r="AL87" s="13"/>
      <c r="AM87" s="13"/>
      <c r="AN87" s="14"/>
      <c r="AO87" s="14"/>
      <c r="AP87" s="13"/>
      <c r="AQ87" s="13"/>
      <c r="AR87" s="14"/>
      <c r="AS87" s="14"/>
      <c r="AT87" s="13"/>
      <c r="AU87" s="13"/>
      <c r="AV87" s="14"/>
      <c r="AW87" s="14"/>
      <c r="AX87" s="13"/>
      <c r="AY87" s="13"/>
      <c r="AZ87" s="14"/>
      <c r="BA87" s="14"/>
      <c r="BB87" s="13"/>
      <c r="BC87" s="13"/>
      <c r="BD87" s="14"/>
      <c r="BE87" s="14"/>
      <c r="BF87" s="13"/>
      <c r="BG87" s="13"/>
      <c r="BH87" s="14"/>
      <c r="BI87" s="14"/>
      <c r="BJ87" s="13"/>
      <c r="BK87" s="13"/>
      <c r="BL87" s="14"/>
      <c r="BM87" s="14"/>
      <c r="BN87" s="13"/>
      <c r="BO87" s="13"/>
      <c r="BP87" s="14"/>
      <c r="BQ87" s="14"/>
      <c r="BR87" s="13"/>
      <c r="BS87" s="13"/>
      <c r="BT87" s="14"/>
      <c r="BU87" s="14"/>
      <c r="BV87" s="13"/>
      <c r="BW87" s="13"/>
      <c r="BX87" s="14"/>
      <c r="BY87" s="14"/>
      <c r="BZ87" s="13"/>
      <c r="CA87" s="13"/>
      <c r="CB87" s="14"/>
      <c r="CC87" s="14"/>
      <c r="CD87" s="13"/>
    </row>
    <row r="88" spans="2:82" ht="14.5" x14ac:dyDescent="0.35">
      <c r="B88" s="17"/>
      <c r="C88" s="13"/>
      <c r="D88" s="14"/>
      <c r="E88" s="14"/>
      <c r="F88" s="13"/>
      <c r="G88" s="13"/>
      <c r="H88" s="14"/>
      <c r="I88" s="14"/>
      <c r="J88" s="13"/>
      <c r="K88" s="13"/>
      <c r="L88" s="14"/>
      <c r="M88" s="14"/>
      <c r="N88" s="13"/>
      <c r="O88" s="13"/>
      <c r="P88" s="14"/>
      <c r="Q88" s="14"/>
      <c r="R88" s="13"/>
      <c r="S88" s="13"/>
      <c r="T88" s="14"/>
      <c r="U88" s="14"/>
      <c r="V88" s="13"/>
      <c r="W88" s="13"/>
      <c r="X88" s="14"/>
      <c r="Y88" s="14"/>
      <c r="Z88" s="13"/>
      <c r="AA88" s="13"/>
      <c r="AB88" s="14"/>
      <c r="AC88" s="14"/>
      <c r="AD88" s="13"/>
      <c r="AE88" s="13"/>
      <c r="AF88" s="14"/>
      <c r="AG88" s="14"/>
      <c r="AH88" s="13"/>
      <c r="AI88" s="13"/>
      <c r="AJ88" s="14"/>
      <c r="AK88" s="14"/>
      <c r="AL88" s="13"/>
      <c r="AM88" s="13"/>
      <c r="AN88" s="14"/>
      <c r="AO88" s="14"/>
      <c r="AP88" s="13"/>
      <c r="AQ88" s="13"/>
      <c r="AR88" s="14"/>
      <c r="AS88" s="14"/>
      <c r="AT88" s="13"/>
      <c r="AU88" s="13"/>
      <c r="AV88" s="14"/>
      <c r="AW88" s="14"/>
      <c r="AX88" s="13"/>
      <c r="AY88" s="13"/>
      <c r="AZ88" s="14"/>
      <c r="BA88" s="14"/>
      <c r="BB88" s="13"/>
      <c r="BC88" s="13"/>
      <c r="BD88" s="14"/>
      <c r="BE88" s="14"/>
      <c r="BF88" s="13"/>
      <c r="BG88" s="13"/>
      <c r="BH88" s="14"/>
      <c r="BI88" s="14"/>
      <c r="BJ88" s="13"/>
      <c r="BK88" s="13"/>
      <c r="BL88" s="14"/>
      <c r="BM88" s="14"/>
      <c r="BN88" s="13"/>
      <c r="BO88" s="13"/>
      <c r="BP88" s="14"/>
      <c r="BQ88" s="14"/>
      <c r="BR88" s="13"/>
      <c r="BS88" s="13"/>
      <c r="BT88" s="14"/>
      <c r="BU88" s="14"/>
      <c r="BV88" s="13"/>
      <c r="BW88" s="13"/>
      <c r="BX88" s="14"/>
      <c r="BY88" s="14"/>
      <c r="BZ88" s="13"/>
      <c r="CA88" s="13"/>
      <c r="CB88" s="14"/>
      <c r="CC88" s="14"/>
      <c r="CD88" s="13"/>
    </row>
    <row r="89" spans="2:82" ht="14.5" x14ac:dyDescent="0.35">
      <c r="B89" s="17"/>
      <c r="C89" s="13"/>
      <c r="D89" s="14"/>
      <c r="E89" s="14"/>
      <c r="F89" s="13"/>
      <c r="G89" s="13"/>
      <c r="H89" s="14"/>
      <c r="I89" s="14"/>
      <c r="J89" s="13"/>
      <c r="K89" s="13"/>
      <c r="L89" s="14"/>
      <c r="M89" s="14"/>
      <c r="N89" s="13"/>
      <c r="O89" s="13"/>
      <c r="P89" s="14"/>
      <c r="Q89" s="14"/>
      <c r="R89" s="13"/>
      <c r="S89" s="13"/>
      <c r="T89" s="14"/>
      <c r="U89" s="14"/>
      <c r="V89" s="13"/>
      <c r="W89" s="13"/>
      <c r="X89" s="14"/>
      <c r="Y89" s="14"/>
      <c r="Z89" s="13"/>
      <c r="AA89" s="13"/>
      <c r="AB89" s="14"/>
      <c r="AC89" s="14"/>
      <c r="AD89" s="13"/>
      <c r="AE89" s="13"/>
      <c r="AF89" s="14"/>
      <c r="AG89" s="14"/>
      <c r="AH89" s="13"/>
      <c r="AI89" s="13"/>
      <c r="AJ89" s="14"/>
      <c r="AK89" s="14"/>
      <c r="AL89" s="13"/>
      <c r="AM89" s="13"/>
      <c r="AN89" s="14"/>
      <c r="AO89" s="14"/>
      <c r="AP89" s="13"/>
      <c r="AQ89" s="13"/>
      <c r="AR89" s="14"/>
      <c r="AS89" s="14"/>
      <c r="AT89" s="13"/>
      <c r="AU89" s="13"/>
      <c r="AV89" s="14"/>
      <c r="AW89" s="14"/>
      <c r="AX89" s="13"/>
      <c r="AY89" s="13"/>
      <c r="AZ89" s="14"/>
      <c r="BA89" s="14"/>
      <c r="BB89" s="13"/>
      <c r="BC89" s="13"/>
      <c r="BD89" s="14"/>
      <c r="BE89" s="14"/>
      <c r="BF89" s="13"/>
      <c r="BG89" s="13"/>
      <c r="BH89" s="14"/>
      <c r="BI89" s="14"/>
      <c r="BJ89" s="13"/>
      <c r="BK89" s="13"/>
      <c r="BL89" s="14"/>
      <c r="BM89" s="14"/>
      <c r="BN89" s="13"/>
      <c r="BO89" s="13"/>
      <c r="BP89" s="14"/>
      <c r="BQ89" s="14"/>
      <c r="BR89" s="13"/>
      <c r="BS89" s="13"/>
      <c r="BT89" s="14"/>
      <c r="BU89" s="14"/>
      <c r="BV89" s="13"/>
      <c r="BW89" s="13"/>
      <c r="BX89" s="14"/>
      <c r="BY89" s="14"/>
      <c r="BZ89" s="13"/>
      <c r="CA89" s="13"/>
      <c r="CB89" s="14"/>
      <c r="CC89" s="14"/>
      <c r="CD89" s="13"/>
    </row>
    <row r="90" spans="2:82" ht="14.5" x14ac:dyDescent="0.35">
      <c r="B90" s="17"/>
      <c r="C90" s="13"/>
      <c r="D90" s="14"/>
      <c r="E90" s="14"/>
      <c r="F90" s="13"/>
      <c r="G90" s="13"/>
      <c r="H90" s="14"/>
      <c r="I90" s="14"/>
      <c r="J90" s="13"/>
      <c r="K90" s="13"/>
      <c r="L90" s="14"/>
      <c r="M90" s="14"/>
      <c r="N90" s="13"/>
      <c r="O90" s="13"/>
      <c r="P90" s="14"/>
      <c r="Q90" s="14"/>
      <c r="R90" s="13"/>
      <c r="S90" s="13"/>
      <c r="T90" s="14"/>
      <c r="U90" s="14"/>
      <c r="V90" s="13"/>
      <c r="W90" s="13"/>
      <c r="X90" s="14"/>
      <c r="Y90" s="14"/>
      <c r="Z90" s="13"/>
      <c r="AA90" s="13"/>
      <c r="AB90" s="14"/>
      <c r="AC90" s="14"/>
      <c r="AD90" s="13"/>
      <c r="AE90" s="13"/>
      <c r="AF90" s="14"/>
      <c r="AG90" s="14"/>
      <c r="AH90" s="13"/>
      <c r="AI90" s="13"/>
      <c r="AJ90" s="14"/>
      <c r="AK90" s="14"/>
      <c r="AL90" s="13"/>
      <c r="AM90" s="13"/>
      <c r="AN90" s="14"/>
      <c r="AO90" s="14"/>
      <c r="AP90" s="13"/>
      <c r="AQ90" s="13"/>
      <c r="AR90" s="14"/>
      <c r="AS90" s="14"/>
      <c r="AT90" s="13"/>
      <c r="AU90" s="13"/>
      <c r="AV90" s="14"/>
      <c r="AW90" s="14"/>
      <c r="AX90" s="13"/>
      <c r="AY90" s="13"/>
      <c r="AZ90" s="14"/>
      <c r="BA90" s="14"/>
      <c r="BB90" s="13"/>
      <c r="BC90" s="13"/>
      <c r="BD90" s="14"/>
      <c r="BE90" s="14"/>
      <c r="BF90" s="13"/>
      <c r="BG90" s="13"/>
      <c r="BH90" s="14"/>
      <c r="BI90" s="14"/>
      <c r="BJ90" s="13"/>
      <c r="BK90" s="13"/>
      <c r="BL90" s="14"/>
      <c r="BM90" s="14"/>
      <c r="BN90" s="13"/>
      <c r="BO90" s="13"/>
      <c r="BP90" s="14"/>
      <c r="BQ90" s="14"/>
      <c r="BR90" s="13"/>
      <c r="BS90" s="13"/>
      <c r="BT90" s="14"/>
      <c r="BU90" s="14"/>
      <c r="BV90" s="13"/>
      <c r="BW90" s="13"/>
      <c r="BX90" s="14"/>
      <c r="BY90" s="14"/>
      <c r="BZ90" s="13"/>
      <c r="CA90" s="13"/>
      <c r="CB90" s="14"/>
      <c r="CC90" s="14"/>
      <c r="CD90" s="13"/>
    </row>
    <row r="91" spans="2:82" ht="14.5" x14ac:dyDescent="0.35">
      <c r="B91" s="17"/>
      <c r="C91" s="13"/>
      <c r="D91" s="14"/>
      <c r="E91" s="14"/>
      <c r="F91" s="13"/>
      <c r="G91" s="13"/>
      <c r="H91" s="14"/>
      <c r="I91" s="14"/>
      <c r="J91" s="13"/>
      <c r="K91" s="13"/>
      <c r="L91" s="14"/>
      <c r="M91" s="14"/>
      <c r="N91" s="13"/>
      <c r="O91" s="13"/>
      <c r="P91" s="14"/>
      <c r="Q91" s="14"/>
      <c r="R91" s="13"/>
      <c r="S91" s="13"/>
      <c r="T91" s="14"/>
      <c r="U91" s="14"/>
      <c r="V91" s="13"/>
      <c r="W91" s="13"/>
      <c r="X91" s="14"/>
      <c r="Y91" s="14"/>
      <c r="Z91" s="13"/>
      <c r="AA91" s="13"/>
      <c r="AB91" s="14"/>
      <c r="AC91" s="14"/>
      <c r="AD91" s="13"/>
      <c r="AE91" s="13"/>
      <c r="AF91" s="14"/>
      <c r="AG91" s="14"/>
      <c r="AH91" s="13"/>
      <c r="AI91" s="13"/>
      <c r="AJ91" s="14"/>
      <c r="AK91" s="14"/>
      <c r="AL91" s="13"/>
      <c r="AM91" s="13"/>
      <c r="AN91" s="14"/>
      <c r="AO91" s="14"/>
      <c r="AP91" s="13"/>
      <c r="AQ91" s="13"/>
      <c r="AR91" s="14"/>
      <c r="AS91" s="14"/>
      <c r="AT91" s="13"/>
      <c r="AU91" s="13"/>
      <c r="AV91" s="14"/>
      <c r="AW91" s="14"/>
      <c r="AX91" s="13"/>
      <c r="AY91" s="13"/>
      <c r="AZ91" s="14"/>
      <c r="BA91" s="14"/>
      <c r="BB91" s="13"/>
      <c r="BC91" s="13"/>
      <c r="BD91" s="14"/>
      <c r="BE91" s="14"/>
      <c r="BF91" s="13"/>
      <c r="BG91" s="13"/>
      <c r="BH91" s="14"/>
      <c r="BI91" s="14"/>
      <c r="BJ91" s="13"/>
      <c r="BK91" s="13"/>
      <c r="BL91" s="14"/>
      <c r="BM91" s="14"/>
      <c r="BN91" s="13"/>
      <c r="BO91" s="13"/>
      <c r="BP91" s="14"/>
      <c r="BQ91" s="14"/>
      <c r="BR91" s="13"/>
      <c r="BS91" s="13"/>
      <c r="BT91" s="14"/>
      <c r="BU91" s="14"/>
      <c r="BV91" s="13"/>
      <c r="BW91" s="13"/>
      <c r="BX91" s="14"/>
      <c r="BY91" s="14"/>
      <c r="BZ91" s="13"/>
      <c r="CA91" s="13"/>
      <c r="CB91" s="14"/>
      <c r="CC91" s="14"/>
      <c r="CD91" s="13"/>
    </row>
    <row r="92" spans="2:82" ht="14.5" x14ac:dyDescent="0.35">
      <c r="B92" s="17"/>
      <c r="C92" s="13"/>
      <c r="D92" s="14"/>
      <c r="E92" s="14"/>
      <c r="F92" s="13"/>
      <c r="G92" s="13"/>
      <c r="H92" s="14"/>
      <c r="I92" s="14"/>
      <c r="J92" s="13"/>
      <c r="K92" s="13"/>
      <c r="L92" s="14"/>
      <c r="M92" s="14"/>
      <c r="N92" s="13"/>
      <c r="O92" s="13"/>
      <c r="P92" s="14"/>
      <c r="Q92" s="14"/>
      <c r="R92" s="13"/>
      <c r="S92" s="13"/>
      <c r="T92" s="14"/>
      <c r="U92" s="14"/>
      <c r="V92" s="13"/>
      <c r="W92" s="13"/>
      <c r="X92" s="14"/>
      <c r="Y92" s="14"/>
      <c r="Z92" s="13"/>
      <c r="AA92" s="13"/>
      <c r="AB92" s="14"/>
      <c r="AC92" s="14"/>
      <c r="AD92" s="13"/>
      <c r="AE92" s="13"/>
      <c r="AF92" s="14"/>
      <c r="AG92" s="14"/>
      <c r="AH92" s="13"/>
      <c r="AI92" s="13"/>
      <c r="AJ92" s="14"/>
      <c r="AK92" s="14"/>
      <c r="AL92" s="13"/>
      <c r="AM92" s="13"/>
      <c r="AN92" s="14"/>
      <c r="AO92" s="14"/>
      <c r="AP92" s="13"/>
      <c r="AQ92" s="13"/>
      <c r="AR92" s="14"/>
      <c r="AS92" s="14"/>
      <c r="AT92" s="13"/>
      <c r="AU92" s="13"/>
      <c r="AV92" s="14"/>
      <c r="AW92" s="14"/>
      <c r="AX92" s="13"/>
      <c r="AY92" s="13"/>
      <c r="AZ92" s="14"/>
      <c r="BA92" s="14"/>
      <c r="BB92" s="13"/>
      <c r="BC92" s="13"/>
      <c r="BD92" s="14"/>
      <c r="BE92" s="14"/>
      <c r="BF92" s="13"/>
      <c r="BG92" s="13"/>
      <c r="BH92" s="14"/>
      <c r="BI92" s="14"/>
      <c r="BJ92" s="13"/>
      <c r="BK92" s="13"/>
      <c r="BL92" s="14"/>
      <c r="BM92" s="14"/>
      <c r="BN92" s="13"/>
      <c r="BO92" s="13"/>
      <c r="BP92" s="14"/>
      <c r="BQ92" s="14"/>
      <c r="BR92" s="13"/>
      <c r="BS92" s="13"/>
      <c r="BT92" s="14"/>
      <c r="BU92" s="14"/>
      <c r="BV92" s="13"/>
      <c r="BW92" s="13"/>
      <c r="BX92" s="14"/>
      <c r="BY92" s="14"/>
      <c r="BZ92" s="13"/>
      <c r="CA92" s="13"/>
      <c r="CB92" s="14"/>
      <c r="CC92" s="14"/>
      <c r="CD92" s="13"/>
    </row>
    <row r="93" spans="2:82" ht="14.5" x14ac:dyDescent="0.35">
      <c r="B93" s="17"/>
      <c r="C93" s="13"/>
      <c r="D93" s="14"/>
      <c r="E93" s="14"/>
      <c r="F93" s="13"/>
      <c r="G93" s="13"/>
      <c r="H93" s="14"/>
      <c r="I93" s="14"/>
      <c r="J93" s="13"/>
      <c r="K93" s="13"/>
      <c r="L93" s="14"/>
      <c r="M93" s="14"/>
      <c r="N93" s="13"/>
      <c r="O93" s="13"/>
      <c r="P93" s="14"/>
      <c r="Q93" s="14"/>
      <c r="R93" s="13"/>
      <c r="S93" s="13"/>
      <c r="T93" s="14"/>
      <c r="U93" s="14"/>
      <c r="V93" s="13"/>
      <c r="W93" s="13"/>
      <c r="X93" s="14"/>
      <c r="Y93" s="14"/>
      <c r="Z93" s="13"/>
      <c r="AA93" s="13"/>
      <c r="AB93" s="14"/>
      <c r="AC93" s="14"/>
      <c r="AD93" s="13"/>
      <c r="AE93" s="13"/>
      <c r="AF93" s="14"/>
      <c r="AG93" s="14"/>
      <c r="AH93" s="13"/>
      <c r="AI93" s="13"/>
      <c r="AJ93" s="14"/>
      <c r="AK93" s="14"/>
      <c r="AL93" s="13"/>
      <c r="AM93" s="13"/>
      <c r="AN93" s="14"/>
      <c r="AO93" s="14"/>
      <c r="AP93" s="13"/>
      <c r="AQ93" s="13"/>
      <c r="AR93" s="14"/>
      <c r="AS93" s="14"/>
      <c r="AT93" s="13"/>
      <c r="AU93" s="13"/>
      <c r="AV93" s="14"/>
      <c r="AW93" s="14"/>
      <c r="AX93" s="13"/>
      <c r="AY93" s="13"/>
      <c r="AZ93" s="14"/>
      <c r="BA93" s="14"/>
      <c r="BB93" s="13"/>
      <c r="BC93" s="13"/>
      <c r="BD93" s="14"/>
      <c r="BE93" s="14"/>
      <c r="BF93" s="13"/>
      <c r="BG93" s="13"/>
      <c r="BH93" s="14"/>
      <c r="BI93" s="14"/>
      <c r="BJ93" s="13"/>
      <c r="BK93" s="13"/>
      <c r="BL93" s="14"/>
      <c r="BM93" s="14"/>
      <c r="BN93" s="13"/>
      <c r="BO93" s="13"/>
      <c r="BP93" s="14"/>
      <c r="BQ93" s="14"/>
      <c r="BR93" s="13"/>
      <c r="BS93" s="13"/>
      <c r="BT93" s="14"/>
      <c r="BU93" s="14"/>
      <c r="BV93" s="13"/>
      <c r="BW93" s="13"/>
      <c r="BX93" s="14"/>
      <c r="BY93" s="14"/>
      <c r="BZ93" s="13"/>
      <c r="CA93" s="13"/>
      <c r="CB93" s="14"/>
      <c r="CC93" s="14"/>
      <c r="CD93" s="13"/>
    </row>
    <row r="94" spans="2:82" ht="14.5" x14ac:dyDescent="0.35">
      <c r="B94" s="17"/>
      <c r="C94" s="13"/>
      <c r="D94" s="14"/>
      <c r="E94" s="14"/>
      <c r="F94" s="13"/>
      <c r="G94" s="13"/>
      <c r="H94" s="14"/>
      <c r="I94" s="14"/>
      <c r="J94" s="13"/>
      <c r="K94" s="13"/>
      <c r="L94" s="14"/>
      <c r="M94" s="14"/>
      <c r="N94" s="13"/>
      <c r="O94" s="13"/>
      <c r="P94" s="14"/>
      <c r="Q94" s="14"/>
      <c r="R94" s="13"/>
      <c r="S94" s="13"/>
      <c r="T94" s="14"/>
      <c r="U94" s="14"/>
      <c r="V94" s="13"/>
      <c r="W94" s="13"/>
      <c r="X94" s="14"/>
      <c r="Y94" s="14"/>
      <c r="Z94" s="13"/>
      <c r="AA94" s="13"/>
      <c r="AB94" s="14"/>
      <c r="AC94" s="14"/>
      <c r="AD94" s="13"/>
      <c r="AE94" s="13"/>
      <c r="AF94" s="14"/>
      <c r="AG94" s="14"/>
      <c r="AH94" s="13"/>
      <c r="AI94" s="13"/>
      <c r="AJ94" s="14"/>
      <c r="AK94" s="14"/>
      <c r="AL94" s="13"/>
      <c r="AM94" s="13"/>
      <c r="AN94" s="14"/>
      <c r="AO94" s="14"/>
      <c r="AP94" s="13"/>
      <c r="AQ94" s="13"/>
      <c r="AR94" s="14"/>
      <c r="AS94" s="14"/>
      <c r="AT94" s="13"/>
      <c r="AU94" s="13"/>
      <c r="AV94" s="14"/>
      <c r="AW94" s="14"/>
      <c r="AX94" s="13"/>
      <c r="AY94" s="13"/>
      <c r="AZ94" s="14"/>
      <c r="BA94" s="14"/>
      <c r="BB94" s="13"/>
      <c r="BC94" s="13"/>
      <c r="BD94" s="14"/>
      <c r="BE94" s="14"/>
      <c r="BF94" s="13"/>
      <c r="BG94" s="13"/>
      <c r="BH94" s="14"/>
      <c r="BI94" s="14"/>
      <c r="BJ94" s="13"/>
      <c r="BK94" s="13"/>
      <c r="BL94" s="14"/>
      <c r="BM94" s="14"/>
      <c r="BN94" s="13"/>
      <c r="BO94" s="13"/>
      <c r="BP94" s="14"/>
      <c r="BQ94" s="14"/>
      <c r="BR94" s="13"/>
      <c r="BS94" s="13"/>
      <c r="BT94" s="14"/>
      <c r="BU94" s="14"/>
      <c r="BV94" s="13"/>
      <c r="BW94" s="13"/>
      <c r="BX94" s="14"/>
      <c r="BY94" s="14"/>
      <c r="BZ94" s="13"/>
      <c r="CA94" s="13"/>
      <c r="CB94" s="14"/>
      <c r="CC94" s="14"/>
      <c r="CD94" s="13"/>
    </row>
    <row r="95" spans="2:82" ht="14.5" x14ac:dyDescent="0.35">
      <c r="B95" s="17"/>
      <c r="C95" s="13"/>
      <c r="D95" s="14"/>
      <c r="E95" s="14"/>
      <c r="F95" s="13"/>
      <c r="G95" s="13"/>
      <c r="H95" s="14"/>
      <c r="I95" s="14"/>
      <c r="J95" s="13"/>
      <c r="K95" s="13"/>
      <c r="L95" s="14"/>
      <c r="M95" s="14"/>
      <c r="N95" s="13"/>
      <c r="O95" s="13"/>
      <c r="P95" s="14"/>
      <c r="Q95" s="14"/>
      <c r="R95" s="13"/>
      <c r="S95" s="13"/>
      <c r="T95" s="14"/>
      <c r="U95" s="14"/>
      <c r="V95" s="13"/>
      <c r="W95" s="13"/>
      <c r="X95" s="14"/>
      <c r="Y95" s="14"/>
      <c r="Z95" s="13"/>
      <c r="AA95" s="13"/>
      <c r="AB95" s="14"/>
      <c r="AC95" s="14"/>
      <c r="AD95" s="13"/>
      <c r="AE95" s="13"/>
      <c r="AF95" s="14"/>
      <c r="AG95" s="14"/>
      <c r="AH95" s="13"/>
      <c r="AI95" s="13"/>
      <c r="AJ95" s="14"/>
      <c r="AK95" s="14"/>
      <c r="AL95" s="13"/>
      <c r="AM95" s="13"/>
      <c r="AN95" s="14"/>
      <c r="AO95" s="14"/>
      <c r="AP95" s="13"/>
      <c r="AQ95" s="13"/>
      <c r="AR95" s="14"/>
      <c r="AS95" s="14"/>
      <c r="AT95" s="13"/>
      <c r="AU95" s="13"/>
      <c r="AV95" s="14"/>
      <c r="AW95" s="14"/>
      <c r="AX95" s="13"/>
      <c r="AY95" s="13"/>
      <c r="AZ95" s="14"/>
      <c r="BA95" s="14"/>
      <c r="BB95" s="13"/>
      <c r="BC95" s="13"/>
      <c r="BD95" s="14"/>
      <c r="BE95" s="14"/>
      <c r="BF95" s="13"/>
      <c r="BG95" s="13"/>
      <c r="BH95" s="14"/>
      <c r="BI95" s="14"/>
      <c r="BJ95" s="13"/>
      <c r="BK95" s="13"/>
      <c r="BL95" s="14"/>
      <c r="BM95" s="14"/>
      <c r="BN95" s="13"/>
      <c r="BO95" s="13"/>
      <c r="BP95" s="14"/>
      <c r="BQ95" s="14"/>
      <c r="BR95" s="13"/>
      <c r="BS95" s="13"/>
      <c r="BT95" s="14"/>
      <c r="BU95" s="14"/>
      <c r="BV95" s="13"/>
      <c r="BW95" s="13"/>
      <c r="BX95" s="14"/>
      <c r="BY95" s="14"/>
      <c r="BZ95" s="13"/>
      <c r="CA95" s="13"/>
      <c r="CB95" s="14"/>
      <c r="CC95" s="14"/>
      <c r="CD95" s="13"/>
    </row>
    <row r="96" spans="2:82" ht="14.5" x14ac:dyDescent="0.35">
      <c r="B96" s="17"/>
      <c r="C96" s="13"/>
      <c r="D96" s="14"/>
      <c r="E96" s="14"/>
      <c r="F96" s="13"/>
      <c r="G96" s="13"/>
      <c r="H96" s="14"/>
      <c r="I96" s="14"/>
      <c r="J96" s="13"/>
      <c r="K96" s="13"/>
      <c r="L96" s="14"/>
      <c r="M96" s="14"/>
      <c r="N96" s="13"/>
      <c r="O96" s="13"/>
      <c r="P96" s="14"/>
      <c r="Q96" s="14"/>
      <c r="R96" s="13"/>
      <c r="S96" s="13"/>
      <c r="T96" s="14"/>
      <c r="U96" s="14"/>
      <c r="V96" s="13"/>
      <c r="W96" s="13"/>
      <c r="X96" s="14"/>
      <c r="Y96" s="14"/>
      <c r="Z96" s="13"/>
      <c r="AA96" s="13"/>
      <c r="AB96" s="14"/>
      <c r="AC96" s="14"/>
      <c r="AD96" s="13"/>
      <c r="AE96" s="13"/>
      <c r="AF96" s="14"/>
      <c r="AG96" s="14"/>
      <c r="AH96" s="13"/>
      <c r="AI96" s="13"/>
      <c r="AJ96" s="14"/>
      <c r="AK96" s="14"/>
      <c r="AL96" s="13"/>
      <c r="AM96" s="13"/>
      <c r="AN96" s="14"/>
      <c r="AO96" s="14"/>
      <c r="AP96" s="13"/>
      <c r="AQ96" s="13"/>
      <c r="AR96" s="14"/>
      <c r="AS96" s="14"/>
      <c r="AT96" s="13"/>
      <c r="AU96" s="13"/>
      <c r="AV96" s="14"/>
      <c r="AW96" s="14"/>
      <c r="AX96" s="13"/>
      <c r="AY96" s="13"/>
      <c r="AZ96" s="14"/>
      <c r="BA96" s="14"/>
      <c r="BB96" s="13"/>
      <c r="BC96" s="13"/>
      <c r="BD96" s="14"/>
      <c r="BE96" s="14"/>
      <c r="BF96" s="13"/>
      <c r="BG96" s="13"/>
      <c r="BH96" s="14"/>
      <c r="BI96" s="14"/>
      <c r="BJ96" s="13"/>
      <c r="BK96" s="13"/>
      <c r="BL96" s="14"/>
      <c r="BM96" s="14"/>
      <c r="BN96" s="13"/>
      <c r="BO96" s="13"/>
      <c r="BP96" s="14"/>
      <c r="BQ96" s="14"/>
      <c r="BR96" s="13"/>
      <c r="BS96" s="13"/>
      <c r="BT96" s="14"/>
      <c r="BU96" s="14"/>
      <c r="BV96" s="13"/>
      <c r="BW96" s="13"/>
      <c r="BX96" s="14"/>
      <c r="BY96" s="14"/>
      <c r="BZ96" s="13"/>
      <c r="CA96" s="13"/>
      <c r="CB96" s="14"/>
      <c r="CC96" s="14"/>
      <c r="CD96" s="13"/>
    </row>
    <row r="97" spans="2:82" ht="14.5" x14ac:dyDescent="0.35">
      <c r="B97" s="17"/>
      <c r="C97" s="13"/>
      <c r="D97" s="14"/>
      <c r="E97" s="14"/>
      <c r="F97" s="13"/>
      <c r="G97" s="13"/>
      <c r="H97" s="14"/>
      <c r="I97" s="14"/>
      <c r="J97" s="13"/>
      <c r="K97" s="13"/>
      <c r="L97" s="14"/>
      <c r="M97" s="14"/>
      <c r="N97" s="13"/>
      <c r="O97" s="13"/>
      <c r="P97" s="14"/>
      <c r="Q97" s="14"/>
      <c r="R97" s="13"/>
      <c r="S97" s="13"/>
      <c r="T97" s="14"/>
      <c r="U97" s="14"/>
      <c r="V97" s="13"/>
      <c r="W97" s="13"/>
      <c r="X97" s="14"/>
      <c r="Y97" s="14"/>
      <c r="Z97" s="13"/>
      <c r="AA97" s="13"/>
      <c r="AB97" s="14"/>
      <c r="AC97" s="14"/>
      <c r="AD97" s="13"/>
      <c r="AE97" s="13"/>
      <c r="AF97" s="14"/>
      <c r="AG97" s="14"/>
      <c r="AH97" s="13"/>
      <c r="AI97" s="13"/>
      <c r="AJ97" s="14"/>
      <c r="AK97" s="14"/>
      <c r="AL97" s="13"/>
      <c r="AM97" s="13"/>
      <c r="AN97" s="14"/>
      <c r="AO97" s="14"/>
      <c r="AP97" s="13"/>
      <c r="AQ97" s="13"/>
      <c r="AR97" s="14"/>
      <c r="AS97" s="14"/>
      <c r="AT97" s="13"/>
      <c r="AU97" s="13"/>
      <c r="AV97" s="14"/>
      <c r="AW97" s="14"/>
      <c r="AX97" s="13"/>
      <c r="AY97" s="13"/>
      <c r="AZ97" s="14"/>
      <c r="BA97" s="14"/>
      <c r="BB97" s="13"/>
      <c r="BC97" s="13"/>
      <c r="BD97" s="14"/>
      <c r="BE97" s="14"/>
      <c r="BF97" s="13"/>
      <c r="BG97" s="13"/>
      <c r="BH97" s="14"/>
      <c r="BI97" s="14"/>
      <c r="BJ97" s="13"/>
      <c r="BK97" s="13"/>
      <c r="BL97" s="14"/>
      <c r="BM97" s="14"/>
      <c r="BN97" s="13"/>
      <c r="BO97" s="13"/>
      <c r="BP97" s="14"/>
      <c r="BQ97" s="14"/>
      <c r="BR97" s="13"/>
      <c r="BS97" s="13"/>
      <c r="BT97" s="14"/>
      <c r="BU97" s="14"/>
      <c r="BV97" s="13"/>
      <c r="BW97" s="13"/>
      <c r="BX97" s="14"/>
      <c r="BY97" s="14"/>
      <c r="BZ97" s="13"/>
      <c r="CA97" s="13"/>
      <c r="CB97" s="14"/>
      <c r="CC97" s="14"/>
      <c r="CD97" s="13"/>
    </row>
    <row r="98" spans="2:82" ht="14.5" x14ac:dyDescent="0.35">
      <c r="B98" s="17"/>
      <c r="C98" s="13"/>
      <c r="D98" s="14"/>
      <c r="E98" s="14"/>
      <c r="F98" s="13"/>
      <c r="G98" s="13"/>
      <c r="H98" s="14"/>
      <c r="I98" s="14"/>
      <c r="J98" s="13"/>
      <c r="K98" s="13"/>
      <c r="L98" s="14"/>
      <c r="M98" s="14"/>
      <c r="N98" s="13"/>
      <c r="O98" s="13"/>
      <c r="P98" s="14"/>
      <c r="Q98" s="14"/>
      <c r="R98" s="13"/>
      <c r="S98" s="13"/>
      <c r="T98" s="14"/>
      <c r="U98" s="14"/>
      <c r="V98" s="13"/>
      <c r="W98" s="13"/>
      <c r="X98" s="14"/>
      <c r="Y98" s="14"/>
      <c r="Z98" s="13"/>
      <c r="AA98" s="13"/>
      <c r="AB98" s="14"/>
      <c r="AC98" s="14"/>
      <c r="AD98" s="13"/>
      <c r="AE98" s="13"/>
      <c r="AF98" s="14"/>
      <c r="AG98" s="14"/>
      <c r="AH98" s="13"/>
      <c r="AI98" s="13"/>
      <c r="AJ98" s="14"/>
      <c r="AK98" s="14"/>
      <c r="AL98" s="13"/>
      <c r="AM98" s="13"/>
      <c r="AN98" s="14"/>
      <c r="AO98" s="14"/>
      <c r="AP98" s="13"/>
      <c r="AQ98" s="13"/>
      <c r="AR98" s="14"/>
      <c r="AS98" s="14"/>
      <c r="AT98" s="13"/>
      <c r="AU98" s="13"/>
      <c r="AV98" s="14"/>
      <c r="AW98" s="14"/>
      <c r="AX98" s="13"/>
      <c r="AY98" s="13"/>
      <c r="AZ98" s="14"/>
      <c r="BA98" s="14"/>
      <c r="BB98" s="13"/>
      <c r="BC98" s="13"/>
      <c r="BD98" s="14"/>
      <c r="BE98" s="14"/>
      <c r="BF98" s="13"/>
      <c r="BG98" s="13"/>
      <c r="BH98" s="14"/>
      <c r="BI98" s="14"/>
      <c r="BJ98" s="13"/>
      <c r="BK98" s="13"/>
      <c r="BL98" s="14"/>
      <c r="BM98" s="14"/>
      <c r="BN98" s="13"/>
      <c r="BO98" s="13"/>
      <c r="BP98" s="14"/>
      <c r="BQ98" s="14"/>
      <c r="BR98" s="13"/>
      <c r="BS98" s="13"/>
      <c r="BT98" s="14"/>
      <c r="BU98" s="14"/>
      <c r="BV98" s="13"/>
      <c r="BW98" s="13"/>
      <c r="BX98" s="14"/>
      <c r="BY98" s="14"/>
      <c r="BZ98" s="13"/>
      <c r="CA98" s="13"/>
      <c r="CB98" s="14"/>
      <c r="CC98" s="14"/>
      <c r="CD98" s="13"/>
    </row>
    <row r="99" spans="2:82" ht="14.5" x14ac:dyDescent="0.35">
      <c r="B99" s="17"/>
      <c r="C99" s="13"/>
      <c r="D99" s="14"/>
      <c r="E99" s="14"/>
      <c r="F99" s="13"/>
      <c r="G99" s="13"/>
      <c r="H99" s="14"/>
      <c r="I99" s="14"/>
      <c r="J99" s="13"/>
      <c r="K99" s="13"/>
      <c r="L99" s="14"/>
      <c r="M99" s="14"/>
      <c r="N99" s="13"/>
      <c r="O99" s="13"/>
      <c r="P99" s="14"/>
      <c r="Q99" s="14"/>
      <c r="R99" s="13"/>
      <c r="S99" s="13"/>
      <c r="T99" s="14"/>
      <c r="U99" s="14"/>
      <c r="V99" s="13"/>
      <c r="W99" s="13"/>
      <c r="X99" s="14"/>
      <c r="Y99" s="14"/>
      <c r="Z99" s="13"/>
      <c r="AA99" s="13"/>
      <c r="AB99" s="14"/>
      <c r="AC99" s="14"/>
      <c r="AD99" s="13"/>
      <c r="AE99" s="13"/>
      <c r="AF99" s="14"/>
      <c r="AG99" s="14"/>
      <c r="AH99" s="13"/>
      <c r="AI99" s="13"/>
      <c r="AJ99" s="14"/>
      <c r="AK99" s="14"/>
      <c r="AL99" s="13"/>
      <c r="AM99" s="13"/>
      <c r="AN99" s="14"/>
      <c r="AO99" s="14"/>
      <c r="AP99" s="13"/>
      <c r="AQ99" s="13"/>
      <c r="AR99" s="14"/>
      <c r="AS99" s="14"/>
      <c r="AT99" s="13"/>
      <c r="AU99" s="13"/>
      <c r="AV99" s="14"/>
      <c r="AW99" s="14"/>
      <c r="AX99" s="13"/>
      <c r="AY99" s="13"/>
      <c r="AZ99" s="14"/>
      <c r="BA99" s="14"/>
      <c r="BB99" s="13"/>
      <c r="BC99" s="13"/>
      <c r="BD99" s="14"/>
      <c r="BE99" s="14"/>
      <c r="BF99" s="13"/>
      <c r="BG99" s="13"/>
      <c r="BH99" s="14"/>
      <c r="BI99" s="14"/>
      <c r="BJ99" s="13"/>
      <c r="BK99" s="13"/>
      <c r="BL99" s="14"/>
      <c r="BM99" s="14"/>
      <c r="BN99" s="13"/>
      <c r="BO99" s="13"/>
      <c r="BP99" s="14"/>
      <c r="BQ99" s="14"/>
      <c r="BR99" s="13"/>
      <c r="BS99" s="13"/>
      <c r="BT99" s="14"/>
      <c r="BU99" s="14"/>
      <c r="BV99" s="13"/>
      <c r="BW99" s="13"/>
      <c r="BX99" s="14"/>
      <c r="BY99" s="14"/>
      <c r="BZ99" s="13"/>
      <c r="CA99" s="13"/>
      <c r="CB99" s="14"/>
      <c r="CC99" s="14"/>
      <c r="CD99" s="13"/>
    </row>
    <row r="100" spans="2:82" ht="14.5" x14ac:dyDescent="0.35">
      <c r="B100" s="17"/>
      <c r="C100" s="13"/>
      <c r="D100" s="14"/>
      <c r="E100" s="14"/>
      <c r="F100" s="13"/>
      <c r="G100" s="13"/>
      <c r="H100" s="14"/>
      <c r="I100" s="14"/>
      <c r="J100" s="13"/>
      <c r="K100" s="13"/>
      <c r="L100" s="14"/>
      <c r="M100" s="14"/>
      <c r="N100" s="13"/>
      <c r="O100" s="13"/>
      <c r="P100" s="14"/>
      <c r="Q100" s="14"/>
      <c r="R100" s="13"/>
      <c r="S100" s="13"/>
      <c r="T100" s="14"/>
      <c r="U100" s="14"/>
      <c r="V100" s="13"/>
      <c r="W100" s="13"/>
      <c r="X100" s="14"/>
      <c r="Y100" s="14"/>
      <c r="Z100" s="13"/>
      <c r="AA100" s="13"/>
      <c r="AB100" s="14"/>
      <c r="AC100" s="14"/>
      <c r="AD100" s="13"/>
      <c r="AE100" s="13"/>
      <c r="AF100" s="14"/>
      <c r="AG100" s="14"/>
      <c r="AH100" s="13"/>
      <c r="AI100" s="13"/>
      <c r="AJ100" s="14"/>
      <c r="AK100" s="14"/>
      <c r="AL100" s="13"/>
      <c r="AM100" s="13"/>
      <c r="AN100" s="14"/>
      <c r="AO100" s="14"/>
      <c r="AP100" s="13"/>
      <c r="AQ100" s="13"/>
      <c r="AR100" s="14"/>
      <c r="AS100" s="14"/>
      <c r="AT100" s="13"/>
      <c r="AU100" s="13"/>
      <c r="AV100" s="14"/>
      <c r="AW100" s="14"/>
      <c r="AX100" s="13"/>
      <c r="AY100" s="13"/>
      <c r="AZ100" s="14"/>
      <c r="BA100" s="14"/>
      <c r="BB100" s="13"/>
      <c r="BC100" s="13"/>
      <c r="BD100" s="14"/>
      <c r="BE100" s="14"/>
      <c r="BF100" s="13"/>
      <c r="BG100" s="13"/>
      <c r="BH100" s="14"/>
      <c r="BI100" s="14"/>
      <c r="BJ100" s="13"/>
      <c r="BK100" s="13"/>
      <c r="BL100" s="14"/>
      <c r="BM100" s="14"/>
      <c r="BN100" s="13"/>
      <c r="BO100" s="13"/>
      <c r="BP100" s="14"/>
      <c r="BQ100" s="14"/>
      <c r="BR100" s="13"/>
      <c r="BS100" s="13"/>
      <c r="BT100" s="14"/>
      <c r="BU100" s="14"/>
      <c r="BV100" s="13"/>
      <c r="BW100" s="13"/>
      <c r="BX100" s="14"/>
      <c r="BY100" s="14"/>
      <c r="BZ100" s="13"/>
      <c r="CA100" s="13"/>
      <c r="CB100" s="14"/>
      <c r="CC100" s="14"/>
      <c r="CD100" s="13"/>
    </row>
    <row r="101" spans="2:82" ht="14.5" x14ac:dyDescent="0.35">
      <c r="B101" s="17"/>
      <c r="C101" s="13"/>
      <c r="D101" s="14"/>
      <c r="E101" s="14"/>
      <c r="F101" s="13"/>
      <c r="G101" s="13"/>
      <c r="H101" s="14"/>
      <c r="I101" s="14"/>
      <c r="J101" s="13"/>
      <c r="K101" s="13"/>
      <c r="L101" s="14"/>
      <c r="M101" s="14"/>
      <c r="N101" s="13"/>
      <c r="O101" s="13"/>
      <c r="P101" s="14"/>
      <c r="Q101" s="14"/>
      <c r="R101" s="13"/>
      <c r="S101" s="13"/>
      <c r="T101" s="14"/>
      <c r="U101" s="14"/>
      <c r="V101" s="13"/>
      <c r="W101" s="13"/>
      <c r="X101" s="14"/>
      <c r="Y101" s="14"/>
      <c r="Z101" s="13"/>
      <c r="AA101" s="13"/>
      <c r="AB101" s="14"/>
      <c r="AC101" s="14"/>
      <c r="AD101" s="13"/>
      <c r="AE101" s="13"/>
      <c r="AF101" s="14"/>
      <c r="AG101" s="14"/>
      <c r="AH101" s="13"/>
      <c r="AI101" s="13"/>
      <c r="AJ101" s="14"/>
      <c r="AK101" s="14"/>
      <c r="AL101" s="13"/>
      <c r="AM101" s="13"/>
      <c r="AN101" s="14"/>
      <c r="AO101" s="14"/>
      <c r="AP101" s="13"/>
      <c r="AQ101" s="13"/>
      <c r="AR101" s="14"/>
      <c r="AS101" s="14"/>
      <c r="AT101" s="13"/>
      <c r="AU101" s="13"/>
      <c r="AV101" s="14"/>
      <c r="AW101" s="14"/>
      <c r="AX101" s="13"/>
      <c r="AY101" s="13"/>
      <c r="AZ101" s="14"/>
      <c r="BA101" s="14"/>
      <c r="BB101" s="13"/>
      <c r="BC101" s="13"/>
      <c r="BD101" s="14"/>
      <c r="BE101" s="14"/>
      <c r="BF101" s="13"/>
      <c r="BG101" s="13"/>
      <c r="BH101" s="14"/>
      <c r="BI101" s="14"/>
      <c r="BJ101" s="13"/>
      <c r="BK101" s="13"/>
      <c r="BL101" s="14"/>
      <c r="BM101" s="14"/>
      <c r="BN101" s="13"/>
      <c r="BO101" s="13"/>
      <c r="BP101" s="14"/>
      <c r="BQ101" s="14"/>
      <c r="BR101" s="13"/>
      <c r="BS101" s="13"/>
      <c r="BT101" s="14"/>
      <c r="BU101" s="14"/>
      <c r="BV101" s="13"/>
      <c r="BW101" s="13"/>
      <c r="BX101" s="14"/>
      <c r="BY101" s="14"/>
      <c r="BZ101" s="13"/>
      <c r="CA101" s="13"/>
      <c r="CB101" s="14"/>
      <c r="CC101" s="14"/>
      <c r="CD101" s="13"/>
    </row>
    <row r="102" spans="2:82" ht="14.5" x14ac:dyDescent="0.35">
      <c r="B102" s="17"/>
      <c r="C102" s="13"/>
      <c r="D102" s="14"/>
      <c r="E102" s="14"/>
      <c r="F102" s="13"/>
      <c r="G102" s="13"/>
      <c r="H102" s="14"/>
      <c r="I102" s="14"/>
      <c r="J102" s="13"/>
      <c r="K102" s="13"/>
      <c r="L102" s="14"/>
      <c r="M102" s="14"/>
      <c r="N102" s="13"/>
      <c r="O102" s="13"/>
      <c r="P102" s="14"/>
      <c r="Q102" s="14"/>
      <c r="R102" s="13"/>
      <c r="S102" s="13"/>
      <c r="T102" s="14"/>
      <c r="U102" s="14"/>
      <c r="V102" s="13"/>
      <c r="W102" s="13"/>
      <c r="X102" s="14"/>
      <c r="Y102" s="14"/>
      <c r="Z102" s="13"/>
      <c r="AA102" s="13"/>
      <c r="AB102" s="14"/>
      <c r="AC102" s="14"/>
      <c r="AD102" s="13"/>
      <c r="AE102" s="13"/>
      <c r="AF102" s="14"/>
      <c r="AG102" s="14"/>
      <c r="AH102" s="13"/>
      <c r="AI102" s="13"/>
      <c r="AJ102" s="14"/>
      <c r="AK102" s="14"/>
      <c r="AL102" s="13"/>
      <c r="AM102" s="13"/>
      <c r="AN102" s="14"/>
      <c r="AO102" s="14"/>
      <c r="AP102" s="13"/>
      <c r="AQ102" s="13"/>
      <c r="AR102" s="14"/>
      <c r="AS102" s="14"/>
      <c r="AT102" s="13"/>
      <c r="AU102" s="13"/>
      <c r="AV102" s="14"/>
      <c r="AW102" s="14"/>
      <c r="AX102" s="13"/>
      <c r="AY102" s="13"/>
      <c r="AZ102" s="14"/>
      <c r="BA102" s="14"/>
      <c r="BB102" s="13"/>
      <c r="BC102" s="13"/>
      <c r="BD102" s="14"/>
      <c r="BE102" s="14"/>
      <c r="BF102" s="13"/>
      <c r="BG102" s="13"/>
      <c r="BH102" s="14"/>
      <c r="BI102" s="14"/>
      <c r="BJ102" s="13"/>
      <c r="BK102" s="13"/>
      <c r="BL102" s="14"/>
      <c r="BM102" s="14"/>
      <c r="BN102" s="13"/>
      <c r="BO102" s="13"/>
      <c r="BP102" s="14"/>
      <c r="BQ102" s="14"/>
      <c r="BR102" s="13"/>
      <c r="BS102" s="13"/>
      <c r="BT102" s="14"/>
      <c r="BU102" s="14"/>
      <c r="BV102" s="13"/>
      <c r="BW102" s="13"/>
      <c r="BX102" s="14"/>
      <c r="BY102" s="14"/>
      <c r="BZ102" s="13"/>
      <c r="CA102" s="13"/>
      <c r="CB102" s="14"/>
      <c r="CC102" s="14"/>
      <c r="CD102" s="13"/>
    </row>
    <row r="103" spans="2:82" ht="14.5" x14ac:dyDescent="0.35">
      <c r="B103" s="17"/>
      <c r="C103" s="13"/>
      <c r="D103" s="14"/>
      <c r="E103" s="14"/>
      <c r="F103" s="13"/>
      <c r="G103" s="13"/>
      <c r="H103" s="14"/>
      <c r="I103" s="14"/>
      <c r="J103" s="13"/>
      <c r="K103" s="13"/>
      <c r="L103" s="14"/>
      <c r="M103" s="14"/>
      <c r="N103" s="13"/>
      <c r="O103" s="13"/>
      <c r="P103" s="14"/>
      <c r="Q103" s="14"/>
      <c r="R103" s="13"/>
      <c r="S103" s="13"/>
      <c r="T103" s="14"/>
      <c r="U103" s="14"/>
      <c r="V103" s="13"/>
      <c r="W103" s="13"/>
      <c r="X103" s="14"/>
      <c r="Y103" s="14"/>
      <c r="Z103" s="13"/>
      <c r="AA103" s="13"/>
      <c r="AB103" s="14"/>
      <c r="AC103" s="14"/>
      <c r="AD103" s="13"/>
      <c r="AE103" s="13"/>
      <c r="AF103" s="14"/>
      <c r="AG103" s="14"/>
      <c r="AH103" s="13"/>
      <c r="AI103" s="13"/>
      <c r="AJ103" s="14"/>
      <c r="AK103" s="14"/>
      <c r="AL103" s="13"/>
      <c r="AM103" s="13"/>
      <c r="AN103" s="14"/>
      <c r="AO103" s="14"/>
      <c r="AP103" s="13"/>
      <c r="AQ103" s="13"/>
      <c r="AR103" s="14"/>
      <c r="AS103" s="14"/>
      <c r="AT103" s="13"/>
      <c r="AU103" s="13"/>
      <c r="AV103" s="14"/>
      <c r="AW103" s="14"/>
      <c r="AX103" s="13"/>
      <c r="AY103" s="13"/>
      <c r="AZ103" s="14"/>
      <c r="BA103" s="14"/>
      <c r="BB103" s="13"/>
      <c r="BC103" s="13"/>
      <c r="BD103" s="14"/>
      <c r="BE103" s="14"/>
      <c r="BF103" s="13"/>
      <c r="BG103" s="13"/>
      <c r="BH103" s="14"/>
      <c r="BI103" s="14"/>
      <c r="BJ103" s="13"/>
      <c r="BK103" s="13"/>
      <c r="BL103" s="14"/>
      <c r="BM103" s="14"/>
      <c r="BN103" s="13"/>
      <c r="BO103" s="13"/>
      <c r="BP103" s="14"/>
      <c r="BQ103" s="14"/>
      <c r="BR103" s="13"/>
      <c r="BS103" s="13"/>
      <c r="BT103" s="14"/>
      <c r="BU103" s="14"/>
      <c r="BV103" s="13"/>
      <c r="BW103" s="13"/>
      <c r="BX103" s="14"/>
      <c r="BY103" s="14"/>
      <c r="BZ103" s="13"/>
      <c r="CA103" s="13"/>
      <c r="CB103" s="14"/>
      <c r="CC103" s="14"/>
      <c r="CD103" s="13"/>
    </row>
    <row r="104" spans="2:82" ht="14.5" x14ac:dyDescent="0.35">
      <c r="B104" s="17"/>
      <c r="C104" s="13"/>
      <c r="D104" s="14"/>
      <c r="E104" s="14"/>
      <c r="F104" s="13"/>
      <c r="G104" s="13"/>
      <c r="H104" s="14"/>
      <c r="I104" s="14"/>
      <c r="J104" s="13"/>
      <c r="K104" s="13"/>
      <c r="L104" s="14"/>
      <c r="M104" s="14"/>
      <c r="N104" s="13"/>
      <c r="O104" s="13"/>
      <c r="P104" s="14"/>
      <c r="Q104" s="14"/>
      <c r="R104" s="13"/>
      <c r="S104" s="13"/>
      <c r="T104" s="14"/>
      <c r="U104" s="14"/>
      <c r="V104" s="13"/>
      <c r="W104" s="13"/>
      <c r="X104" s="14"/>
      <c r="Y104" s="14"/>
      <c r="Z104" s="13"/>
      <c r="AA104" s="13"/>
      <c r="AB104" s="14"/>
      <c r="AC104" s="14"/>
      <c r="AD104" s="13"/>
      <c r="AE104" s="13"/>
      <c r="AF104" s="14"/>
      <c r="AG104" s="14"/>
      <c r="AH104" s="13"/>
      <c r="AI104" s="13"/>
      <c r="AJ104" s="14"/>
      <c r="AK104" s="14"/>
      <c r="AL104" s="13"/>
      <c r="AM104" s="13"/>
      <c r="AN104" s="14"/>
      <c r="AO104" s="14"/>
      <c r="AP104" s="13"/>
      <c r="AQ104" s="13"/>
      <c r="AR104" s="14"/>
      <c r="AS104" s="14"/>
      <c r="AT104" s="13"/>
      <c r="AU104" s="13"/>
      <c r="AV104" s="14"/>
      <c r="AW104" s="14"/>
      <c r="AX104" s="13"/>
      <c r="AY104" s="13"/>
      <c r="AZ104" s="14"/>
      <c r="BA104" s="14"/>
      <c r="BB104" s="13"/>
      <c r="BC104" s="13"/>
      <c r="BD104" s="14"/>
      <c r="BE104" s="14"/>
      <c r="BF104" s="13"/>
      <c r="BG104" s="13"/>
      <c r="BH104" s="14"/>
      <c r="BI104" s="14"/>
      <c r="BJ104" s="13"/>
      <c r="BK104" s="13"/>
      <c r="BL104" s="14"/>
      <c r="BM104" s="14"/>
      <c r="BN104" s="13"/>
      <c r="BO104" s="13"/>
      <c r="BP104" s="14"/>
      <c r="BQ104" s="14"/>
      <c r="BR104" s="13"/>
      <c r="BS104" s="13"/>
      <c r="BT104" s="14"/>
      <c r="BU104" s="14"/>
      <c r="BV104" s="13"/>
      <c r="BW104" s="13"/>
      <c r="BX104" s="14"/>
      <c r="BY104" s="14"/>
      <c r="BZ104" s="13"/>
      <c r="CA104" s="13"/>
      <c r="CB104" s="14"/>
      <c r="CC104" s="14"/>
      <c r="CD104" s="13"/>
    </row>
    <row r="105" spans="2:82" ht="14.5" x14ac:dyDescent="0.35">
      <c r="B105" s="17"/>
      <c r="C105" s="13"/>
      <c r="D105" s="14"/>
      <c r="E105" s="14"/>
      <c r="F105" s="13"/>
      <c r="G105" s="13"/>
      <c r="H105" s="14"/>
      <c r="I105" s="14"/>
      <c r="J105" s="13"/>
      <c r="K105" s="13"/>
      <c r="L105" s="14"/>
      <c r="M105" s="14"/>
      <c r="N105" s="13"/>
      <c r="O105" s="13"/>
      <c r="P105" s="14"/>
      <c r="Q105" s="14"/>
      <c r="R105" s="13"/>
      <c r="S105" s="13"/>
      <c r="T105" s="14"/>
      <c r="U105" s="14"/>
      <c r="V105" s="13"/>
      <c r="W105" s="13"/>
      <c r="X105" s="14"/>
      <c r="Y105" s="14"/>
      <c r="Z105" s="13"/>
      <c r="AA105" s="13"/>
      <c r="AB105" s="14"/>
      <c r="AC105" s="14"/>
      <c r="AD105" s="13"/>
      <c r="AE105" s="13"/>
      <c r="AF105" s="14"/>
      <c r="AG105" s="14"/>
      <c r="AH105" s="13"/>
      <c r="AI105" s="13"/>
      <c r="AJ105" s="14"/>
      <c r="AK105" s="14"/>
      <c r="AL105" s="13"/>
      <c r="AM105" s="13"/>
      <c r="AN105" s="14"/>
      <c r="AO105" s="14"/>
      <c r="AP105" s="13"/>
      <c r="AQ105" s="13"/>
      <c r="AR105" s="14"/>
      <c r="AS105" s="14"/>
      <c r="AT105" s="13"/>
      <c r="AU105" s="13"/>
      <c r="AV105" s="14"/>
      <c r="AW105" s="14"/>
      <c r="AX105" s="13"/>
      <c r="AY105" s="13"/>
      <c r="AZ105" s="14"/>
      <c r="BA105" s="14"/>
      <c r="BB105" s="13"/>
      <c r="BC105" s="13"/>
      <c r="BD105" s="14"/>
      <c r="BE105" s="14"/>
      <c r="BF105" s="13"/>
      <c r="BG105" s="13"/>
      <c r="BH105" s="14"/>
      <c r="BI105" s="14"/>
      <c r="BJ105" s="13"/>
      <c r="BK105" s="13"/>
      <c r="BL105" s="14"/>
      <c r="BM105" s="14"/>
      <c r="BN105" s="13"/>
      <c r="BO105" s="13"/>
      <c r="BP105" s="14"/>
      <c r="BQ105" s="14"/>
      <c r="BR105" s="13"/>
      <c r="BS105" s="13"/>
      <c r="BT105" s="14"/>
      <c r="BU105" s="14"/>
      <c r="BV105" s="13"/>
      <c r="BW105" s="13"/>
      <c r="BX105" s="14"/>
      <c r="BY105" s="14"/>
      <c r="BZ105" s="13"/>
      <c r="CA105" s="13"/>
      <c r="CB105" s="14"/>
      <c r="CC105" s="14"/>
      <c r="CD105" s="13"/>
    </row>
    <row r="106" spans="2:82" ht="14.5" x14ac:dyDescent="0.35">
      <c r="B106" s="17"/>
      <c r="C106" s="13"/>
      <c r="D106" s="14"/>
      <c r="E106" s="14"/>
      <c r="F106" s="13"/>
      <c r="G106" s="13"/>
      <c r="H106" s="14"/>
      <c r="I106" s="14"/>
      <c r="J106" s="13"/>
      <c r="K106" s="13"/>
      <c r="L106" s="14"/>
      <c r="M106" s="14"/>
      <c r="N106" s="13"/>
      <c r="O106" s="13"/>
      <c r="P106" s="14"/>
      <c r="Q106" s="14"/>
      <c r="R106" s="13"/>
      <c r="S106" s="13"/>
      <c r="T106" s="14"/>
      <c r="U106" s="14"/>
      <c r="V106" s="13"/>
      <c r="W106" s="13"/>
      <c r="X106" s="14"/>
      <c r="Y106" s="14"/>
      <c r="Z106" s="13"/>
      <c r="AA106" s="13"/>
      <c r="AB106" s="14"/>
      <c r="AC106" s="14"/>
      <c r="AD106" s="13"/>
      <c r="AE106" s="13"/>
      <c r="AF106" s="14"/>
      <c r="AG106" s="14"/>
      <c r="AH106" s="13"/>
      <c r="AI106" s="13"/>
      <c r="AJ106" s="14"/>
      <c r="AK106" s="14"/>
      <c r="AL106" s="13"/>
      <c r="AM106" s="13"/>
      <c r="AN106" s="14"/>
      <c r="AO106" s="14"/>
      <c r="AP106" s="13"/>
      <c r="AQ106" s="13"/>
      <c r="AR106" s="14"/>
      <c r="AS106" s="14"/>
      <c r="AT106" s="13"/>
      <c r="AU106" s="13"/>
      <c r="AV106" s="14"/>
      <c r="AW106" s="14"/>
      <c r="AX106" s="13"/>
      <c r="AY106" s="13"/>
      <c r="AZ106" s="14"/>
      <c r="BA106" s="14"/>
      <c r="BB106" s="13"/>
      <c r="BC106" s="13"/>
      <c r="BD106" s="14"/>
      <c r="BE106" s="14"/>
      <c r="BF106" s="13"/>
      <c r="BG106" s="13"/>
      <c r="BH106" s="14"/>
      <c r="BI106" s="14"/>
      <c r="BJ106" s="13"/>
      <c r="BK106" s="13"/>
      <c r="BL106" s="14"/>
      <c r="BM106" s="14"/>
      <c r="BN106" s="13"/>
      <c r="BO106" s="13"/>
      <c r="BP106" s="14"/>
      <c r="BQ106" s="14"/>
      <c r="BR106" s="13"/>
      <c r="BS106" s="13"/>
      <c r="BT106" s="14"/>
      <c r="BU106" s="14"/>
      <c r="BV106" s="13"/>
      <c r="BW106" s="13"/>
      <c r="BX106" s="14"/>
      <c r="BY106" s="14"/>
      <c r="BZ106" s="13"/>
      <c r="CA106" s="13"/>
      <c r="CB106" s="14"/>
      <c r="CC106" s="14"/>
      <c r="CD106" s="13"/>
    </row>
    <row r="107" spans="2:82" ht="14.5" x14ac:dyDescent="0.35">
      <c r="B107" s="17"/>
      <c r="C107" s="13"/>
      <c r="D107" s="14"/>
      <c r="E107" s="14"/>
      <c r="F107" s="13"/>
      <c r="G107" s="13"/>
      <c r="H107" s="14"/>
      <c r="I107" s="14"/>
      <c r="J107" s="13"/>
      <c r="K107" s="13"/>
      <c r="L107" s="14"/>
      <c r="M107" s="14"/>
      <c r="N107" s="13"/>
      <c r="O107" s="13"/>
      <c r="P107" s="14"/>
      <c r="Q107" s="14"/>
      <c r="R107" s="13"/>
      <c r="S107" s="13"/>
      <c r="T107" s="14"/>
      <c r="U107" s="14"/>
      <c r="V107" s="13"/>
      <c r="W107" s="13"/>
      <c r="X107" s="14"/>
      <c r="Y107" s="14"/>
      <c r="Z107" s="13"/>
      <c r="AA107" s="13"/>
      <c r="AB107" s="14"/>
      <c r="AC107" s="14"/>
      <c r="AD107" s="13"/>
      <c r="AE107" s="13"/>
      <c r="AF107" s="14"/>
      <c r="AG107" s="14"/>
      <c r="AH107" s="13"/>
      <c r="AI107" s="13"/>
      <c r="AJ107" s="14"/>
      <c r="AK107" s="14"/>
      <c r="AL107" s="13"/>
      <c r="AM107" s="13"/>
      <c r="AN107" s="14"/>
      <c r="AO107" s="14"/>
      <c r="AP107" s="13"/>
      <c r="AQ107" s="13"/>
      <c r="AR107" s="14"/>
      <c r="AS107" s="14"/>
      <c r="AT107" s="13"/>
      <c r="AU107" s="13"/>
      <c r="AV107" s="14"/>
      <c r="AW107" s="14"/>
      <c r="AX107" s="13"/>
      <c r="AY107" s="13"/>
      <c r="AZ107" s="14"/>
      <c r="BA107" s="14"/>
      <c r="BB107" s="13"/>
      <c r="BC107" s="13"/>
      <c r="BD107" s="14"/>
      <c r="BE107" s="14"/>
      <c r="BF107" s="13"/>
      <c r="BG107" s="13"/>
      <c r="BH107" s="14"/>
      <c r="BI107" s="14"/>
      <c r="BJ107" s="13"/>
      <c r="BK107" s="13"/>
      <c r="BL107" s="14"/>
      <c r="BM107" s="14"/>
      <c r="BN107" s="13"/>
      <c r="BO107" s="13"/>
      <c r="BP107" s="14"/>
      <c r="BQ107" s="14"/>
      <c r="BR107" s="13"/>
      <c r="BS107" s="13"/>
      <c r="BT107" s="14"/>
      <c r="BU107" s="14"/>
      <c r="BV107" s="13"/>
      <c r="BW107" s="13"/>
      <c r="BX107" s="14"/>
      <c r="BY107" s="14"/>
      <c r="BZ107" s="13"/>
      <c r="CA107" s="13"/>
      <c r="CB107" s="14"/>
      <c r="CC107" s="14"/>
      <c r="CD107" s="13"/>
    </row>
    <row r="108" spans="2:82" ht="14.5" x14ac:dyDescent="0.35">
      <c r="B108" s="17"/>
      <c r="C108" s="13"/>
      <c r="D108" s="14"/>
      <c r="E108" s="14"/>
      <c r="F108" s="13"/>
      <c r="G108" s="13"/>
      <c r="H108" s="14"/>
      <c r="I108" s="14"/>
      <c r="J108" s="13"/>
      <c r="K108" s="13"/>
      <c r="L108" s="14"/>
      <c r="M108" s="14"/>
      <c r="N108" s="13"/>
      <c r="O108" s="13"/>
      <c r="P108" s="14"/>
      <c r="Q108" s="14"/>
      <c r="R108" s="13"/>
      <c r="S108" s="13"/>
      <c r="T108" s="14"/>
      <c r="U108" s="14"/>
      <c r="V108" s="13"/>
      <c r="W108" s="13"/>
      <c r="X108" s="14"/>
      <c r="Y108" s="14"/>
      <c r="Z108" s="13"/>
      <c r="AA108" s="13"/>
      <c r="AB108" s="14"/>
      <c r="AC108" s="14"/>
      <c r="AD108" s="13"/>
      <c r="AE108" s="13"/>
      <c r="AF108" s="14"/>
      <c r="AG108" s="14"/>
      <c r="AH108" s="13"/>
      <c r="AI108" s="13"/>
      <c r="AJ108" s="14"/>
      <c r="AK108" s="14"/>
      <c r="AL108" s="13"/>
      <c r="AM108" s="13"/>
      <c r="AN108" s="14"/>
      <c r="AO108" s="14"/>
      <c r="AP108" s="13"/>
      <c r="AQ108" s="13"/>
      <c r="AR108" s="14"/>
      <c r="AS108" s="14"/>
      <c r="AT108" s="13"/>
      <c r="AU108" s="13"/>
      <c r="AV108" s="14"/>
      <c r="AW108" s="14"/>
      <c r="AX108" s="13"/>
      <c r="AY108" s="13"/>
      <c r="AZ108" s="14"/>
      <c r="BA108" s="14"/>
      <c r="BB108" s="13"/>
      <c r="BC108" s="13"/>
      <c r="BD108" s="14"/>
      <c r="BE108" s="14"/>
      <c r="BF108" s="13"/>
      <c r="BG108" s="13"/>
      <c r="BH108" s="14"/>
      <c r="BI108" s="14"/>
      <c r="BJ108" s="13"/>
      <c r="BK108" s="13"/>
      <c r="BL108" s="14"/>
      <c r="BM108" s="14"/>
      <c r="BN108" s="13"/>
      <c r="BO108" s="13"/>
      <c r="BP108" s="14"/>
      <c r="BQ108" s="14"/>
      <c r="BR108" s="13"/>
      <c r="BS108" s="13"/>
      <c r="BT108" s="14"/>
      <c r="BU108" s="14"/>
      <c r="BV108" s="13"/>
      <c r="BW108" s="13"/>
      <c r="BX108" s="14"/>
      <c r="BY108" s="14"/>
      <c r="BZ108" s="13"/>
      <c r="CA108" s="13"/>
      <c r="CB108" s="14"/>
      <c r="CC108" s="14"/>
      <c r="CD108" s="13"/>
    </row>
    <row r="109" spans="2:82" ht="14.5" x14ac:dyDescent="0.35">
      <c r="B109" s="17"/>
      <c r="C109" s="13"/>
      <c r="D109" s="14"/>
      <c r="E109" s="14"/>
      <c r="F109" s="13"/>
      <c r="G109" s="13"/>
      <c r="H109" s="14"/>
      <c r="I109" s="14"/>
      <c r="J109" s="13"/>
      <c r="K109" s="13"/>
      <c r="L109" s="14"/>
      <c r="M109" s="14"/>
      <c r="N109" s="13"/>
      <c r="O109" s="13"/>
      <c r="P109" s="14"/>
      <c r="Q109" s="14"/>
      <c r="R109" s="13"/>
      <c r="S109" s="13"/>
      <c r="T109" s="14"/>
      <c r="U109" s="14"/>
      <c r="V109" s="13"/>
      <c r="W109" s="13"/>
      <c r="X109" s="14"/>
      <c r="Y109" s="14"/>
      <c r="Z109" s="13"/>
      <c r="AA109" s="13"/>
      <c r="AB109" s="14"/>
      <c r="AC109" s="14"/>
      <c r="AD109" s="13"/>
      <c r="AE109" s="13"/>
      <c r="AF109" s="14"/>
      <c r="AG109" s="14"/>
      <c r="AH109" s="13"/>
      <c r="AI109" s="13"/>
      <c r="AJ109" s="14"/>
      <c r="AK109" s="14"/>
      <c r="AL109" s="13"/>
      <c r="AM109" s="13"/>
      <c r="AN109" s="14"/>
      <c r="AO109" s="14"/>
      <c r="AP109" s="13"/>
      <c r="AQ109" s="13"/>
      <c r="AR109" s="14"/>
      <c r="AS109" s="14"/>
      <c r="AT109" s="13"/>
      <c r="AU109" s="13"/>
      <c r="AV109" s="14"/>
      <c r="AW109" s="14"/>
      <c r="AX109" s="13"/>
      <c r="AY109" s="13"/>
      <c r="AZ109" s="14"/>
      <c r="BA109" s="14"/>
      <c r="BB109" s="13"/>
      <c r="BC109" s="13"/>
      <c r="BD109" s="14"/>
      <c r="BE109" s="14"/>
      <c r="BF109" s="13"/>
      <c r="BG109" s="13"/>
      <c r="BH109" s="14"/>
      <c r="BI109" s="14"/>
      <c r="BJ109" s="13"/>
      <c r="BK109" s="13"/>
      <c r="BL109" s="14"/>
      <c r="BM109" s="14"/>
      <c r="BN109" s="13"/>
      <c r="BO109" s="13"/>
      <c r="BP109" s="14"/>
      <c r="BQ109" s="14"/>
      <c r="BR109" s="13"/>
      <c r="BS109" s="13"/>
      <c r="BT109" s="14"/>
      <c r="BU109" s="14"/>
      <c r="BV109" s="13"/>
      <c r="BW109" s="13"/>
      <c r="BX109" s="14"/>
      <c r="BY109" s="14"/>
      <c r="BZ109" s="13"/>
      <c r="CA109" s="13"/>
      <c r="CB109" s="14"/>
      <c r="CC109" s="14"/>
      <c r="CD109" s="13"/>
    </row>
    <row r="110" spans="2:82" ht="14.5" x14ac:dyDescent="0.35">
      <c r="B110" s="17"/>
      <c r="C110" s="13"/>
      <c r="D110" s="14"/>
      <c r="E110" s="14"/>
      <c r="F110" s="13"/>
      <c r="G110" s="13"/>
      <c r="H110" s="14"/>
      <c r="I110" s="14"/>
      <c r="J110" s="13"/>
      <c r="K110" s="13"/>
      <c r="L110" s="14"/>
      <c r="M110" s="14"/>
      <c r="N110" s="13"/>
      <c r="O110" s="13"/>
      <c r="P110" s="14"/>
      <c r="Q110" s="14"/>
      <c r="R110" s="13"/>
      <c r="S110" s="13"/>
      <c r="T110" s="14"/>
      <c r="U110" s="14"/>
      <c r="V110" s="13"/>
      <c r="W110" s="13"/>
      <c r="X110" s="14"/>
      <c r="Y110" s="14"/>
      <c r="Z110" s="13"/>
      <c r="AA110" s="13"/>
      <c r="AB110" s="14"/>
      <c r="AC110" s="14"/>
      <c r="AD110" s="13"/>
      <c r="AE110" s="13"/>
      <c r="AF110" s="14"/>
      <c r="AG110" s="14"/>
      <c r="AH110" s="13"/>
      <c r="AI110" s="13"/>
      <c r="AJ110" s="14"/>
      <c r="AK110" s="14"/>
      <c r="AL110" s="13"/>
      <c r="AM110" s="13"/>
      <c r="AN110" s="14"/>
      <c r="AO110" s="14"/>
      <c r="AP110" s="13"/>
      <c r="AQ110" s="13"/>
      <c r="AR110" s="14"/>
      <c r="AS110" s="14"/>
      <c r="AT110" s="13"/>
      <c r="AU110" s="13"/>
      <c r="AV110" s="14"/>
      <c r="AW110" s="14"/>
      <c r="AX110" s="13"/>
      <c r="AY110" s="13"/>
      <c r="AZ110" s="14"/>
      <c r="BA110" s="14"/>
      <c r="BB110" s="13"/>
      <c r="BC110" s="13"/>
      <c r="BD110" s="14"/>
      <c r="BE110" s="14"/>
      <c r="BF110" s="13"/>
      <c r="BG110" s="13"/>
      <c r="BH110" s="14"/>
      <c r="BI110" s="14"/>
      <c r="BJ110" s="13"/>
      <c r="BK110" s="13"/>
      <c r="BL110" s="14"/>
      <c r="BM110" s="14"/>
      <c r="BN110" s="13"/>
      <c r="BO110" s="13"/>
      <c r="BP110" s="14"/>
      <c r="BQ110" s="14"/>
      <c r="BR110" s="13"/>
      <c r="BS110" s="13"/>
      <c r="BT110" s="14"/>
      <c r="BU110" s="14"/>
      <c r="BV110" s="13"/>
      <c r="BW110" s="13"/>
      <c r="BX110" s="14"/>
      <c r="BY110" s="14"/>
      <c r="BZ110" s="13"/>
      <c r="CA110" s="13"/>
      <c r="CB110" s="14"/>
      <c r="CC110" s="14"/>
      <c r="CD110" s="13"/>
    </row>
    <row r="111" spans="2:82" ht="14.5" x14ac:dyDescent="0.35">
      <c r="B111" s="17"/>
      <c r="C111" s="13"/>
      <c r="D111" s="14"/>
      <c r="E111" s="14"/>
      <c r="F111" s="13"/>
      <c r="G111" s="13"/>
      <c r="H111" s="14"/>
      <c r="I111" s="14"/>
      <c r="J111" s="13"/>
      <c r="K111" s="13"/>
      <c r="L111" s="14"/>
      <c r="M111" s="14"/>
      <c r="N111" s="13"/>
      <c r="O111" s="13"/>
      <c r="P111" s="14"/>
      <c r="Q111" s="14"/>
      <c r="R111" s="13"/>
      <c r="S111" s="13"/>
      <c r="T111" s="14"/>
      <c r="U111" s="14"/>
      <c r="V111" s="13"/>
      <c r="W111" s="13"/>
      <c r="X111" s="14"/>
      <c r="Y111" s="14"/>
      <c r="Z111" s="13"/>
      <c r="AA111" s="13"/>
      <c r="AB111" s="14"/>
      <c r="AC111" s="14"/>
      <c r="AD111" s="13"/>
      <c r="AE111" s="13"/>
      <c r="AF111" s="14"/>
      <c r="AG111" s="14"/>
      <c r="AH111" s="13"/>
      <c r="AI111" s="13"/>
      <c r="AJ111" s="14"/>
      <c r="AK111" s="14"/>
      <c r="AL111" s="13"/>
      <c r="AM111" s="13"/>
      <c r="AN111" s="14"/>
      <c r="AO111" s="14"/>
      <c r="AP111" s="13"/>
      <c r="AQ111" s="13"/>
      <c r="AR111" s="14"/>
      <c r="AS111" s="14"/>
      <c r="AT111" s="13"/>
      <c r="AU111" s="13"/>
      <c r="AV111" s="14"/>
      <c r="AW111" s="14"/>
      <c r="AX111" s="13"/>
      <c r="AY111" s="13"/>
      <c r="AZ111" s="14"/>
      <c r="BA111" s="14"/>
      <c r="BB111" s="13"/>
      <c r="BC111" s="13"/>
      <c r="BD111" s="14"/>
      <c r="BE111" s="14"/>
      <c r="BF111" s="13"/>
      <c r="BG111" s="13"/>
      <c r="BH111" s="14"/>
      <c r="BI111" s="14"/>
      <c r="BJ111" s="13"/>
      <c r="BK111" s="13"/>
      <c r="BL111" s="14"/>
      <c r="BM111" s="14"/>
      <c r="BN111" s="13"/>
      <c r="BO111" s="13"/>
      <c r="BP111" s="14"/>
      <c r="BQ111" s="14"/>
      <c r="BR111" s="13"/>
      <c r="BS111" s="13"/>
      <c r="BT111" s="14"/>
      <c r="BU111" s="14"/>
      <c r="BV111" s="13"/>
      <c r="BW111" s="13"/>
      <c r="BX111" s="14"/>
      <c r="BY111" s="14"/>
      <c r="BZ111" s="13"/>
      <c r="CA111" s="13"/>
      <c r="CB111" s="14"/>
      <c r="CC111" s="14"/>
      <c r="CD111" s="13"/>
    </row>
    <row r="112" spans="2:82" ht="14.5" x14ac:dyDescent="0.35">
      <c r="B112" s="17"/>
      <c r="C112" s="13"/>
      <c r="D112" s="14"/>
      <c r="E112" s="14"/>
      <c r="F112" s="13"/>
      <c r="G112" s="13"/>
      <c r="H112" s="14"/>
      <c r="I112" s="14"/>
      <c r="J112" s="13"/>
      <c r="K112" s="13"/>
      <c r="L112" s="14"/>
      <c r="M112" s="14"/>
      <c r="N112" s="13"/>
      <c r="O112" s="13"/>
      <c r="P112" s="14"/>
      <c r="Q112" s="14"/>
      <c r="R112" s="13"/>
      <c r="S112" s="13"/>
      <c r="T112" s="14"/>
      <c r="U112" s="14"/>
      <c r="V112" s="13"/>
      <c r="W112" s="13"/>
      <c r="X112" s="14"/>
      <c r="Y112" s="14"/>
      <c r="Z112" s="13"/>
      <c r="AA112" s="13"/>
      <c r="AB112" s="14"/>
      <c r="AC112" s="14"/>
      <c r="AD112" s="13"/>
      <c r="AE112" s="13"/>
      <c r="AF112" s="14"/>
      <c r="AG112" s="14"/>
      <c r="AH112" s="13"/>
      <c r="AI112" s="13"/>
      <c r="AJ112" s="14"/>
      <c r="AK112" s="14"/>
      <c r="AL112" s="13"/>
      <c r="AM112" s="13"/>
      <c r="AN112" s="14"/>
      <c r="AO112" s="14"/>
      <c r="AP112" s="13"/>
      <c r="AQ112" s="13"/>
      <c r="AR112" s="14"/>
      <c r="AS112" s="14"/>
      <c r="AT112" s="13"/>
      <c r="AU112" s="13"/>
      <c r="AV112" s="14"/>
      <c r="AW112" s="14"/>
      <c r="AX112" s="13"/>
      <c r="AY112" s="13"/>
      <c r="AZ112" s="14"/>
      <c r="BA112" s="14"/>
      <c r="BB112" s="13"/>
      <c r="BC112" s="13"/>
      <c r="BD112" s="14"/>
      <c r="BE112" s="14"/>
      <c r="BF112" s="13"/>
      <c r="BG112" s="13"/>
      <c r="BH112" s="14"/>
      <c r="BI112" s="14"/>
      <c r="BJ112" s="13"/>
      <c r="BK112" s="13"/>
      <c r="BL112" s="14"/>
      <c r="BM112" s="14"/>
      <c r="BN112" s="13"/>
      <c r="BO112" s="13"/>
      <c r="BP112" s="14"/>
      <c r="BQ112" s="14"/>
      <c r="BR112" s="13"/>
      <c r="BS112" s="13"/>
      <c r="BT112" s="14"/>
      <c r="BU112" s="14"/>
      <c r="BV112" s="13"/>
      <c r="BW112" s="13"/>
      <c r="BX112" s="14"/>
      <c r="BY112" s="14"/>
      <c r="BZ112" s="13"/>
      <c r="CA112" s="13"/>
      <c r="CB112" s="14"/>
      <c r="CC112" s="14"/>
      <c r="CD112" s="13"/>
    </row>
    <row r="113" spans="2:82" ht="14.5" x14ac:dyDescent="0.35">
      <c r="B113" s="17"/>
      <c r="C113" s="13"/>
      <c r="D113" s="14"/>
      <c r="E113" s="14"/>
      <c r="F113" s="13"/>
      <c r="G113" s="13"/>
      <c r="H113" s="14"/>
      <c r="I113" s="14"/>
      <c r="J113" s="13"/>
      <c r="K113" s="13"/>
      <c r="L113" s="14"/>
      <c r="M113" s="14"/>
      <c r="N113" s="13"/>
      <c r="O113" s="13"/>
      <c r="P113" s="14"/>
      <c r="Q113" s="14"/>
      <c r="R113" s="13"/>
      <c r="S113" s="13"/>
      <c r="T113" s="14"/>
      <c r="U113" s="14"/>
      <c r="V113" s="13"/>
      <c r="W113" s="13"/>
      <c r="X113" s="14"/>
      <c r="Y113" s="14"/>
      <c r="Z113" s="13"/>
      <c r="AA113" s="13"/>
      <c r="AB113" s="14"/>
      <c r="AC113" s="14"/>
      <c r="AD113" s="13"/>
      <c r="AE113" s="13"/>
      <c r="AF113" s="14"/>
      <c r="AG113" s="14"/>
      <c r="AH113" s="13"/>
      <c r="AI113" s="13"/>
      <c r="AJ113" s="14"/>
      <c r="AK113" s="14"/>
      <c r="AL113" s="13"/>
      <c r="AM113" s="13"/>
      <c r="AN113" s="14"/>
      <c r="AO113" s="14"/>
      <c r="AP113" s="13"/>
      <c r="AQ113" s="13"/>
      <c r="AR113" s="14"/>
      <c r="AS113" s="14"/>
      <c r="AT113" s="13"/>
      <c r="AU113" s="13"/>
      <c r="AV113" s="14"/>
      <c r="AW113" s="14"/>
      <c r="AX113" s="13"/>
      <c r="AY113" s="13"/>
      <c r="AZ113" s="14"/>
      <c r="BA113" s="14"/>
      <c r="BB113" s="13"/>
      <c r="BC113" s="13"/>
      <c r="BD113" s="14"/>
      <c r="BE113" s="14"/>
      <c r="BF113" s="13"/>
      <c r="BG113" s="13"/>
      <c r="BH113" s="14"/>
      <c r="BI113" s="14"/>
      <c r="BJ113" s="13"/>
      <c r="BK113" s="13"/>
      <c r="BL113" s="14"/>
      <c r="BM113" s="14"/>
      <c r="BN113" s="13"/>
      <c r="BO113" s="13"/>
      <c r="BP113" s="14"/>
      <c r="BQ113" s="14"/>
      <c r="BR113" s="13"/>
      <c r="BS113" s="13"/>
      <c r="BT113" s="14"/>
      <c r="BU113" s="14"/>
      <c r="BV113" s="13"/>
      <c r="BW113" s="13"/>
      <c r="BX113" s="14"/>
      <c r="BY113" s="14"/>
      <c r="BZ113" s="13"/>
      <c r="CA113" s="13"/>
      <c r="CB113" s="14"/>
      <c r="CC113" s="14"/>
      <c r="CD113" s="13"/>
    </row>
    <row r="114" spans="2:82" ht="14.5" x14ac:dyDescent="0.35">
      <c r="B114" s="17"/>
      <c r="C114" s="13"/>
      <c r="D114" s="14"/>
      <c r="E114" s="14"/>
      <c r="F114" s="13"/>
      <c r="G114" s="13"/>
      <c r="H114" s="14"/>
      <c r="I114" s="14"/>
      <c r="J114" s="13"/>
      <c r="K114" s="13"/>
      <c r="L114" s="14"/>
      <c r="M114" s="14"/>
      <c r="N114" s="13"/>
      <c r="O114" s="13"/>
      <c r="P114" s="14"/>
      <c r="Q114" s="14"/>
      <c r="R114" s="13"/>
      <c r="S114" s="13"/>
      <c r="T114" s="14"/>
      <c r="U114" s="14"/>
      <c r="V114" s="13"/>
      <c r="W114" s="13"/>
      <c r="X114" s="14"/>
      <c r="Y114" s="14"/>
      <c r="Z114" s="13"/>
      <c r="AA114" s="13"/>
      <c r="AB114" s="14"/>
      <c r="AC114" s="14"/>
      <c r="AD114" s="13"/>
      <c r="AE114" s="13"/>
      <c r="AF114" s="14"/>
      <c r="AG114" s="14"/>
      <c r="AH114" s="13"/>
      <c r="AI114" s="13"/>
      <c r="AJ114" s="14"/>
      <c r="AK114" s="14"/>
      <c r="AL114" s="13"/>
      <c r="AM114" s="13"/>
      <c r="AN114" s="14"/>
      <c r="AO114" s="14"/>
      <c r="AP114" s="13"/>
      <c r="AQ114" s="13"/>
      <c r="AR114" s="14"/>
      <c r="AS114" s="14"/>
      <c r="AT114" s="13"/>
      <c r="AU114" s="13"/>
      <c r="AV114" s="14"/>
      <c r="AW114" s="14"/>
      <c r="AX114" s="13"/>
      <c r="AY114" s="13"/>
      <c r="AZ114" s="14"/>
      <c r="BA114" s="14"/>
      <c r="BB114" s="13"/>
      <c r="BC114" s="13"/>
      <c r="BD114" s="14"/>
      <c r="BE114" s="14"/>
      <c r="BF114" s="13"/>
      <c r="BG114" s="13"/>
      <c r="BH114" s="14"/>
      <c r="BI114" s="14"/>
      <c r="BJ114" s="13"/>
      <c r="BK114" s="13"/>
      <c r="BL114" s="14"/>
      <c r="BM114" s="14"/>
      <c r="BN114" s="13"/>
      <c r="BO114" s="13"/>
      <c r="BP114" s="14"/>
      <c r="BQ114" s="14"/>
      <c r="BR114" s="13"/>
      <c r="BS114" s="13"/>
      <c r="BT114" s="14"/>
      <c r="BU114" s="14"/>
      <c r="BV114" s="13"/>
      <c r="BW114" s="13"/>
      <c r="BX114" s="14"/>
      <c r="BY114" s="14"/>
      <c r="BZ114" s="13"/>
      <c r="CA114" s="13"/>
      <c r="CB114" s="14"/>
      <c r="CC114" s="14"/>
      <c r="CD114" s="13"/>
    </row>
    <row r="115" spans="2:82" ht="14.5" x14ac:dyDescent="0.35">
      <c r="B115" s="17"/>
      <c r="C115" s="13"/>
      <c r="D115" s="14"/>
      <c r="E115" s="14"/>
      <c r="F115" s="13"/>
      <c r="G115" s="13"/>
      <c r="H115" s="14"/>
      <c r="I115" s="14"/>
      <c r="J115" s="13"/>
      <c r="K115" s="13"/>
      <c r="L115" s="14"/>
      <c r="M115" s="14"/>
      <c r="N115" s="13"/>
      <c r="O115" s="13"/>
      <c r="P115" s="14"/>
      <c r="Q115" s="14"/>
      <c r="R115" s="13"/>
      <c r="S115" s="13"/>
      <c r="T115" s="14"/>
      <c r="U115" s="14"/>
      <c r="V115" s="13"/>
      <c r="W115" s="13"/>
      <c r="X115" s="14"/>
      <c r="Y115" s="14"/>
      <c r="Z115" s="13"/>
      <c r="AA115" s="13"/>
      <c r="AB115" s="14"/>
      <c r="AC115" s="14"/>
      <c r="AD115" s="13"/>
      <c r="AE115" s="13"/>
      <c r="AF115" s="14"/>
      <c r="AG115" s="14"/>
      <c r="AH115" s="13"/>
      <c r="AI115" s="13"/>
      <c r="AJ115" s="14"/>
      <c r="AK115" s="14"/>
      <c r="AL115" s="13"/>
      <c r="AM115" s="13"/>
      <c r="AN115" s="14"/>
      <c r="AO115" s="14"/>
      <c r="AP115" s="13"/>
      <c r="AQ115" s="13"/>
      <c r="AR115" s="14"/>
      <c r="AS115" s="14"/>
      <c r="AT115" s="13"/>
      <c r="AU115" s="13"/>
      <c r="AV115" s="14"/>
      <c r="AW115" s="14"/>
      <c r="AX115" s="13"/>
      <c r="AY115" s="13"/>
      <c r="AZ115" s="14"/>
      <c r="BA115" s="14"/>
      <c r="BB115" s="13"/>
      <c r="BC115" s="13"/>
      <c r="BD115" s="14"/>
      <c r="BE115" s="14"/>
      <c r="BF115" s="13"/>
      <c r="BG115" s="13"/>
      <c r="BH115" s="14"/>
      <c r="BI115" s="14"/>
      <c r="BJ115" s="13"/>
      <c r="BK115" s="13"/>
      <c r="BL115" s="14"/>
      <c r="BM115" s="14"/>
      <c r="BN115" s="13"/>
      <c r="BO115" s="13"/>
      <c r="BP115" s="14"/>
      <c r="BQ115" s="14"/>
      <c r="BR115" s="13"/>
      <c r="BS115" s="13"/>
      <c r="BT115" s="14"/>
      <c r="BU115" s="14"/>
      <c r="BV115" s="13"/>
      <c r="BW115" s="13"/>
      <c r="BX115" s="14"/>
      <c r="BY115" s="14"/>
      <c r="BZ115" s="13"/>
      <c r="CA115" s="13"/>
      <c r="CB115" s="14"/>
      <c r="CC115" s="14"/>
      <c r="CD115" s="13"/>
    </row>
    <row r="116" spans="2:82" ht="14.5" x14ac:dyDescent="0.35">
      <c r="B116" s="17"/>
      <c r="C116" s="13"/>
      <c r="D116" s="14"/>
      <c r="E116" s="14"/>
      <c r="F116" s="13"/>
      <c r="G116" s="13"/>
      <c r="H116" s="14"/>
      <c r="I116" s="14"/>
      <c r="J116" s="13"/>
      <c r="K116" s="13"/>
      <c r="L116" s="14"/>
      <c r="M116" s="14"/>
      <c r="N116" s="13"/>
      <c r="O116" s="13"/>
      <c r="P116" s="14"/>
      <c r="Q116" s="14"/>
      <c r="R116" s="13"/>
      <c r="S116" s="13"/>
      <c r="T116" s="14"/>
      <c r="U116" s="14"/>
      <c r="V116" s="13"/>
      <c r="W116" s="13"/>
      <c r="X116" s="14"/>
      <c r="Y116" s="14"/>
      <c r="Z116" s="13"/>
      <c r="AA116" s="13"/>
      <c r="AB116" s="14"/>
      <c r="AC116" s="14"/>
      <c r="AD116" s="13"/>
      <c r="AE116" s="13"/>
      <c r="AF116" s="14"/>
      <c r="AG116" s="14"/>
      <c r="AH116" s="13"/>
      <c r="AI116" s="13"/>
      <c r="AJ116" s="14"/>
      <c r="AK116" s="14"/>
      <c r="AL116" s="13"/>
      <c r="AM116" s="13"/>
      <c r="AN116" s="14"/>
      <c r="AO116" s="14"/>
      <c r="AP116" s="13"/>
      <c r="AQ116" s="13"/>
      <c r="AR116" s="14"/>
      <c r="AS116" s="14"/>
      <c r="AT116" s="13"/>
      <c r="AU116" s="13"/>
      <c r="AV116" s="14"/>
      <c r="AW116" s="14"/>
      <c r="AX116" s="13"/>
      <c r="AY116" s="13"/>
      <c r="AZ116" s="14"/>
      <c r="BA116" s="14"/>
      <c r="BB116" s="13"/>
      <c r="BC116" s="13"/>
      <c r="BD116" s="14"/>
      <c r="BE116" s="14"/>
      <c r="BF116" s="13"/>
      <c r="BG116" s="13"/>
      <c r="BH116" s="14"/>
      <c r="BI116" s="14"/>
      <c r="BJ116" s="13"/>
      <c r="BK116" s="13"/>
      <c r="BL116" s="14"/>
      <c r="BM116" s="14"/>
      <c r="BN116" s="13"/>
      <c r="BO116" s="13"/>
      <c r="BP116" s="14"/>
      <c r="BQ116" s="14"/>
      <c r="BR116" s="13"/>
      <c r="BS116" s="13"/>
      <c r="BT116" s="14"/>
      <c r="BU116" s="14"/>
      <c r="BV116" s="13"/>
      <c r="BW116" s="13"/>
      <c r="BX116" s="14"/>
      <c r="BY116" s="14"/>
      <c r="BZ116" s="13"/>
      <c r="CA116" s="13"/>
      <c r="CB116" s="14"/>
      <c r="CC116" s="14"/>
      <c r="CD116" s="13"/>
    </row>
    <row r="117" spans="2:82" ht="14.5" x14ac:dyDescent="0.35">
      <c r="B117" s="17"/>
      <c r="C117" s="13"/>
      <c r="D117" s="14"/>
      <c r="E117" s="14"/>
      <c r="F117" s="13"/>
      <c r="G117" s="13"/>
      <c r="H117" s="14"/>
      <c r="I117" s="14"/>
      <c r="J117" s="13"/>
      <c r="K117" s="13"/>
      <c r="L117" s="14"/>
      <c r="M117" s="14"/>
      <c r="N117" s="13"/>
      <c r="O117" s="13"/>
      <c r="P117" s="14"/>
      <c r="Q117" s="14"/>
      <c r="R117" s="13"/>
      <c r="S117" s="13"/>
      <c r="T117" s="14"/>
      <c r="U117" s="14"/>
      <c r="V117" s="13"/>
      <c r="W117" s="13"/>
      <c r="X117" s="14"/>
      <c r="Y117" s="14"/>
      <c r="Z117" s="13"/>
      <c r="AA117" s="13"/>
      <c r="AB117" s="14"/>
      <c r="AC117" s="14"/>
      <c r="AD117" s="13"/>
      <c r="AE117" s="13"/>
      <c r="AF117" s="14"/>
      <c r="AG117" s="14"/>
      <c r="AH117" s="13"/>
      <c r="AI117" s="13"/>
      <c r="AJ117" s="14"/>
      <c r="AK117" s="14"/>
      <c r="AL117" s="13"/>
      <c r="AM117" s="13"/>
      <c r="AN117" s="14"/>
      <c r="AO117" s="14"/>
      <c r="AP117" s="13"/>
      <c r="AQ117" s="13"/>
      <c r="AR117" s="14"/>
      <c r="AS117" s="14"/>
      <c r="AT117" s="13"/>
      <c r="AU117" s="13"/>
      <c r="AV117" s="14"/>
      <c r="AW117" s="14"/>
      <c r="AX117" s="13"/>
      <c r="AY117" s="13"/>
      <c r="AZ117" s="14"/>
      <c r="BA117" s="14"/>
      <c r="BB117" s="13"/>
      <c r="BC117" s="13"/>
      <c r="BD117" s="14"/>
      <c r="BE117" s="14"/>
      <c r="BF117" s="13"/>
      <c r="BG117" s="13"/>
      <c r="BH117" s="14"/>
      <c r="BI117" s="14"/>
      <c r="BJ117" s="13"/>
      <c r="BK117" s="13"/>
      <c r="BL117" s="14"/>
      <c r="BM117" s="14"/>
      <c r="BN117" s="13"/>
      <c r="BO117" s="13"/>
      <c r="BP117" s="14"/>
      <c r="BQ117" s="14"/>
      <c r="BR117" s="13"/>
      <c r="BS117" s="13"/>
      <c r="BT117" s="14"/>
      <c r="BU117" s="14"/>
      <c r="BV117" s="13"/>
      <c r="BW117" s="13"/>
      <c r="BX117" s="14"/>
      <c r="BY117" s="14"/>
      <c r="BZ117" s="13"/>
      <c r="CA117" s="13"/>
      <c r="CB117" s="14"/>
      <c r="CC117" s="14"/>
      <c r="CD117" s="13"/>
    </row>
    <row r="118" spans="2:82" ht="14.5" x14ac:dyDescent="0.35"/>
    <row r="119" spans="2:82" ht="15" customHeight="1" x14ac:dyDescent="0.35"/>
    <row r="120" spans="2:82" ht="15" customHeight="1" x14ac:dyDescent="0.35"/>
    <row r="121" spans="2:82" ht="15" customHeight="1" x14ac:dyDescent="0.35"/>
    <row r="122" spans="2:82" ht="15" customHeight="1" x14ac:dyDescent="0.35"/>
    <row r="123" spans="2:82" ht="15" customHeight="1" x14ac:dyDescent="0.35"/>
    <row r="124" spans="2:82" ht="15" customHeight="1" x14ac:dyDescent="0.35"/>
    <row r="125" spans="2:82" ht="15" customHeight="1" x14ac:dyDescent="0.35"/>
    <row r="126" spans="2:82" ht="15" customHeight="1" x14ac:dyDescent="0.35"/>
    <row r="127" spans="2:82" ht="15" customHeight="1" x14ac:dyDescent="0.35"/>
    <row r="128" spans="2:82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</sheetData>
  <autoFilter ref="B3:AM49"/>
  <mergeCells count="23">
    <mergeCell ref="CA3:CC3"/>
    <mergeCell ref="BG3:BI3"/>
    <mergeCell ref="O3:Q3"/>
    <mergeCell ref="S3:U3"/>
    <mergeCell ref="W3:Y3"/>
    <mergeCell ref="AA3:AC3"/>
    <mergeCell ref="AE3:AG3"/>
    <mergeCell ref="AI3:AK3"/>
    <mergeCell ref="AM3:AO3"/>
    <mergeCell ref="AQ3:AS3"/>
    <mergeCell ref="AU3:AW3"/>
    <mergeCell ref="AY3:BA3"/>
    <mergeCell ref="BC3:BE3"/>
    <mergeCell ref="A2:A3"/>
    <mergeCell ref="BK3:BM3"/>
    <mergeCell ref="BO3:BQ3"/>
    <mergeCell ref="BS3:BU3"/>
    <mergeCell ref="BW3:BY3"/>
    <mergeCell ref="C2:E2"/>
    <mergeCell ref="G2:I2"/>
    <mergeCell ref="C3:E3"/>
    <mergeCell ref="G3:I3"/>
    <mergeCell ref="K3:M3"/>
  </mergeCells>
  <conditionalFormatting sqref="K51:K1048576 O51:O1048576 S51:S1048576 W51:W1048576 AA51:AA1048576 AE51:AE1048576 AI51:AI1048576 AM51:AM1048576 F3 C51:G1048576 C3 C4:F4 F47 F5:F42">
    <cfRule type="cellIs" dxfId="937" priority="984" operator="equal">
      <formula>0</formula>
    </cfRule>
  </conditionalFormatting>
  <conditionalFormatting sqref="C4:F4 F47 F5:F42">
    <cfRule type="notContainsBlanks" dxfId="936" priority="961">
      <formula>LEN(TRIM(C4))&gt;0</formula>
    </cfRule>
  </conditionalFormatting>
  <conditionalFormatting sqref="C2 F2:G2">
    <cfRule type="cellIs" dxfId="935" priority="945" operator="equal">
      <formula>0</formula>
    </cfRule>
  </conditionalFormatting>
  <conditionalFormatting sqref="AQ51:AQ1048576 AU51:AU1048576 AY51:AY1048576 BC51:BC1048576 BG51:BG1048576 BK51:BK1048576 BO51:BO1048576 BS51:BS1048576 BW51:BW1048576 CA51:CA1048576">
    <cfRule type="cellIs" dxfId="934" priority="938" operator="equal">
      <formula>0</formula>
    </cfRule>
  </conditionalFormatting>
  <conditionalFormatting sqref="C4:F4 F47 F5:F42">
    <cfRule type="expression" dxfId="933" priority="937">
      <formula>F4="R"</formula>
    </cfRule>
  </conditionalFormatting>
  <conditionalFormatting sqref="H51:J1048576">
    <cfRule type="cellIs" dxfId="932" priority="936" operator="equal">
      <formula>0</formula>
    </cfRule>
  </conditionalFormatting>
  <conditionalFormatting sqref="J2">
    <cfRule type="cellIs" dxfId="931" priority="935" operator="equal">
      <formula>0</formula>
    </cfRule>
  </conditionalFormatting>
  <conditionalFormatting sqref="J4:J41">
    <cfRule type="cellIs" dxfId="930" priority="934" operator="equal">
      <formula>0</formula>
    </cfRule>
  </conditionalFormatting>
  <conditionalFormatting sqref="J42">
    <cfRule type="cellIs" dxfId="929" priority="933" operator="equal">
      <formula>0</formula>
    </cfRule>
  </conditionalFormatting>
  <conditionalFormatting sqref="J45">
    <cfRule type="cellIs" dxfId="928" priority="629" operator="equal">
      <formula>0</formula>
    </cfRule>
  </conditionalFormatting>
  <conditionalFormatting sqref="J47">
    <cfRule type="cellIs" dxfId="927" priority="931" operator="equal">
      <formula>0</formula>
    </cfRule>
  </conditionalFormatting>
  <conditionalFormatting sqref="J4:J42 J47">
    <cfRule type="notContainsBlanks" dxfId="926" priority="930">
      <formula>LEN(TRIM(J4))&gt;0</formula>
    </cfRule>
  </conditionalFormatting>
  <conditionalFormatting sqref="J4:J42 J47">
    <cfRule type="expression" dxfId="925" priority="929">
      <formula>$J4="R"</formula>
    </cfRule>
  </conditionalFormatting>
  <conditionalFormatting sqref="J3">
    <cfRule type="cellIs" dxfId="924" priority="928" operator="equal">
      <formula>0</formula>
    </cfRule>
  </conditionalFormatting>
  <conditionalFormatting sqref="L51:N1048576">
    <cfRule type="cellIs" dxfId="923" priority="927" operator="equal">
      <formula>0</formula>
    </cfRule>
  </conditionalFormatting>
  <conditionalFormatting sqref="N3">
    <cfRule type="cellIs" dxfId="922" priority="926" operator="equal">
      <formula>0</formula>
    </cfRule>
  </conditionalFormatting>
  <conditionalFormatting sqref="N4:N41">
    <cfRule type="cellIs" dxfId="921" priority="925" operator="equal">
      <formula>0</formula>
    </cfRule>
  </conditionalFormatting>
  <conditionalFormatting sqref="N42">
    <cfRule type="cellIs" dxfId="920" priority="924" operator="equal">
      <formula>0</formula>
    </cfRule>
  </conditionalFormatting>
  <conditionalFormatting sqref="V45">
    <cfRule type="cellIs" dxfId="919" priority="620" operator="equal">
      <formula>0</formula>
    </cfRule>
  </conditionalFormatting>
  <conditionalFormatting sqref="N47">
    <cfRule type="cellIs" dxfId="918" priority="922" operator="equal">
      <formula>0</formula>
    </cfRule>
  </conditionalFormatting>
  <conditionalFormatting sqref="N4:N42 N47">
    <cfRule type="notContainsBlanks" dxfId="917" priority="921">
      <formula>LEN(TRIM(N4))&gt;0</formula>
    </cfRule>
  </conditionalFormatting>
  <conditionalFormatting sqref="N4:N42 N47">
    <cfRule type="expression" dxfId="916" priority="920">
      <formula>$N4="R"</formula>
    </cfRule>
  </conditionalFormatting>
  <conditionalFormatting sqref="P51:R1048576">
    <cfRule type="cellIs" dxfId="915" priority="919" operator="equal">
      <formula>0</formula>
    </cfRule>
  </conditionalFormatting>
  <conditionalFormatting sqref="R3">
    <cfRule type="cellIs" dxfId="914" priority="918" operator="equal">
      <formula>0</formula>
    </cfRule>
  </conditionalFormatting>
  <conditionalFormatting sqref="T51:V1048576">
    <cfRule type="cellIs" dxfId="913" priority="917" operator="equal">
      <formula>0</formula>
    </cfRule>
  </conditionalFormatting>
  <conditionalFormatting sqref="V3">
    <cfRule type="cellIs" dxfId="912" priority="916" operator="equal">
      <formula>0</formula>
    </cfRule>
  </conditionalFormatting>
  <conditionalFormatting sqref="X51:Z1048576">
    <cfRule type="cellIs" dxfId="911" priority="915" operator="equal">
      <formula>0</formula>
    </cfRule>
  </conditionalFormatting>
  <conditionalFormatting sqref="Z3">
    <cfRule type="cellIs" dxfId="910" priority="914" operator="equal">
      <formula>0</formula>
    </cfRule>
  </conditionalFormatting>
  <conditionalFormatting sqref="AB51:AD1048576">
    <cfRule type="cellIs" dxfId="909" priority="913" operator="equal">
      <formula>0</formula>
    </cfRule>
  </conditionalFormatting>
  <conditionalFormatting sqref="AD3">
    <cfRule type="cellIs" dxfId="908" priority="912" operator="equal">
      <formula>0</formula>
    </cfRule>
  </conditionalFormatting>
  <conditionalFormatting sqref="AF51:AH1048576">
    <cfRule type="cellIs" dxfId="907" priority="911" operator="equal">
      <formula>0</formula>
    </cfRule>
  </conditionalFormatting>
  <conditionalFormatting sqref="AH3">
    <cfRule type="cellIs" dxfId="906" priority="910" operator="equal">
      <formula>0</formula>
    </cfRule>
  </conditionalFormatting>
  <conditionalFormatting sqref="AJ51:AL1048576">
    <cfRule type="cellIs" dxfId="905" priority="909" operator="equal">
      <formula>0</formula>
    </cfRule>
  </conditionalFormatting>
  <conditionalFormatting sqref="AL3">
    <cfRule type="cellIs" dxfId="904" priority="908" operator="equal">
      <formula>0</formula>
    </cfRule>
  </conditionalFormatting>
  <conditionalFormatting sqref="AN51:AP1048576">
    <cfRule type="cellIs" dxfId="903" priority="907" operator="equal">
      <formula>0</formula>
    </cfRule>
  </conditionalFormatting>
  <conditionalFormatting sqref="AP3">
    <cfRule type="cellIs" dxfId="902" priority="906" operator="equal">
      <formula>0</formula>
    </cfRule>
  </conditionalFormatting>
  <conditionalFormatting sqref="AR51:AT1048576">
    <cfRule type="cellIs" dxfId="901" priority="905" operator="equal">
      <formula>0</formula>
    </cfRule>
  </conditionalFormatting>
  <conditionalFormatting sqref="AT3">
    <cfRule type="cellIs" dxfId="900" priority="904" operator="equal">
      <formula>0</formula>
    </cfRule>
  </conditionalFormatting>
  <conditionalFormatting sqref="AV51:AX1048576">
    <cfRule type="cellIs" dxfId="899" priority="903" operator="equal">
      <formula>0</formula>
    </cfRule>
  </conditionalFormatting>
  <conditionalFormatting sqref="AX3">
    <cfRule type="cellIs" dxfId="898" priority="902" operator="equal">
      <formula>0</formula>
    </cfRule>
  </conditionalFormatting>
  <conditionalFormatting sqref="AZ51:BB1048576">
    <cfRule type="cellIs" dxfId="897" priority="901" operator="equal">
      <formula>0</formula>
    </cfRule>
  </conditionalFormatting>
  <conditionalFormatting sqref="BB3">
    <cfRule type="cellIs" dxfId="896" priority="900" operator="equal">
      <formula>0</formula>
    </cfRule>
  </conditionalFormatting>
  <conditionalFormatting sqref="BD51:BF1048576">
    <cfRule type="cellIs" dxfId="895" priority="899" operator="equal">
      <formula>0</formula>
    </cfRule>
  </conditionalFormatting>
  <conditionalFormatting sqref="BF3">
    <cfRule type="cellIs" dxfId="894" priority="898" operator="equal">
      <formula>0</formula>
    </cfRule>
  </conditionalFormatting>
  <conditionalFormatting sqref="BH51:BJ1048576">
    <cfRule type="cellIs" dxfId="893" priority="897" operator="equal">
      <formula>0</formula>
    </cfRule>
  </conditionalFormatting>
  <conditionalFormatting sqref="BJ3">
    <cfRule type="cellIs" dxfId="892" priority="896" operator="equal">
      <formula>0</formula>
    </cfRule>
  </conditionalFormatting>
  <conditionalFormatting sqref="BL51:BN1048576">
    <cfRule type="cellIs" dxfId="891" priority="895" operator="equal">
      <formula>0</formula>
    </cfRule>
  </conditionalFormatting>
  <conditionalFormatting sqref="BN3">
    <cfRule type="cellIs" dxfId="890" priority="894" operator="equal">
      <formula>0</formula>
    </cfRule>
  </conditionalFormatting>
  <conditionalFormatting sqref="BP51:BR1048576">
    <cfRule type="cellIs" dxfId="889" priority="893" operator="equal">
      <formula>0</formula>
    </cfRule>
  </conditionalFormatting>
  <conditionalFormatting sqref="BR3">
    <cfRule type="cellIs" dxfId="888" priority="892" operator="equal">
      <formula>0</formula>
    </cfRule>
  </conditionalFormatting>
  <conditionalFormatting sqref="BT51:BV1048576">
    <cfRule type="cellIs" dxfId="887" priority="891" operator="equal">
      <formula>0</formula>
    </cfRule>
  </conditionalFormatting>
  <conditionalFormatting sqref="BV3">
    <cfRule type="cellIs" dxfId="886" priority="890" operator="equal">
      <formula>0</formula>
    </cfRule>
  </conditionalFormatting>
  <conditionalFormatting sqref="BX51:BZ1048576">
    <cfRule type="cellIs" dxfId="885" priority="889" operator="equal">
      <formula>0</formula>
    </cfRule>
  </conditionalFormatting>
  <conditionalFormatting sqref="BZ3">
    <cfRule type="cellIs" dxfId="884" priority="888" operator="equal">
      <formula>0</formula>
    </cfRule>
  </conditionalFormatting>
  <conditionalFormatting sqref="CB51:CD1048576">
    <cfRule type="cellIs" dxfId="883" priority="887" operator="equal">
      <formula>0</formula>
    </cfRule>
  </conditionalFormatting>
  <conditionalFormatting sqref="CD3">
    <cfRule type="cellIs" dxfId="882" priority="885" operator="equal">
      <formula>0</formula>
    </cfRule>
  </conditionalFormatting>
  <conditionalFormatting sqref="R4:R41">
    <cfRule type="cellIs" dxfId="881" priority="884" operator="equal">
      <formula>0</formula>
    </cfRule>
  </conditionalFormatting>
  <conditionalFormatting sqref="R42">
    <cfRule type="cellIs" dxfId="880" priority="883" operator="equal">
      <formula>0</formula>
    </cfRule>
  </conditionalFormatting>
  <conditionalFormatting sqref="R47">
    <cfRule type="cellIs" dxfId="879" priority="881" operator="equal">
      <formula>0</formula>
    </cfRule>
  </conditionalFormatting>
  <conditionalFormatting sqref="R4:R42 R47">
    <cfRule type="notContainsBlanks" dxfId="878" priority="880">
      <formula>LEN(TRIM(R4))&gt;0</formula>
    </cfRule>
  </conditionalFormatting>
  <conditionalFormatting sqref="R4:R42 R47">
    <cfRule type="expression" dxfId="877" priority="879">
      <formula>$R4="R"</formula>
    </cfRule>
  </conditionalFormatting>
  <conditionalFormatting sqref="V4:V41">
    <cfRule type="cellIs" dxfId="876" priority="878" operator="equal">
      <formula>0</formula>
    </cfRule>
  </conditionalFormatting>
  <conditionalFormatting sqref="V42">
    <cfRule type="cellIs" dxfId="875" priority="877" operator="equal">
      <formula>0</formula>
    </cfRule>
  </conditionalFormatting>
  <conditionalFormatting sqref="V47">
    <cfRule type="cellIs" dxfId="874" priority="875" operator="equal">
      <formula>0</formula>
    </cfRule>
  </conditionalFormatting>
  <conditionalFormatting sqref="V4:V42 V47">
    <cfRule type="notContainsBlanks" dxfId="873" priority="874">
      <formula>LEN(TRIM(V4))&gt;0</formula>
    </cfRule>
  </conditionalFormatting>
  <conditionalFormatting sqref="V4:V42 V47">
    <cfRule type="expression" dxfId="872" priority="873">
      <formula>$V4="R"</formula>
    </cfRule>
  </conditionalFormatting>
  <conditionalFormatting sqref="Z4:Z41">
    <cfRule type="cellIs" dxfId="871" priority="872" operator="equal">
      <formula>0</formula>
    </cfRule>
  </conditionalFormatting>
  <conditionalFormatting sqref="Z42">
    <cfRule type="cellIs" dxfId="870" priority="871" operator="equal">
      <formula>0</formula>
    </cfRule>
  </conditionalFormatting>
  <conditionalFormatting sqref="J44">
    <cfRule type="cellIs" dxfId="869" priority="567" operator="equal">
      <formula>0</formula>
    </cfRule>
  </conditionalFormatting>
  <conditionalFormatting sqref="Z47">
    <cfRule type="cellIs" dxfId="868" priority="869" operator="equal">
      <formula>0</formula>
    </cfRule>
  </conditionalFormatting>
  <conditionalFormatting sqref="Z4:Z42 Z47">
    <cfRule type="notContainsBlanks" dxfId="867" priority="868">
      <formula>LEN(TRIM(Z4))&gt;0</formula>
    </cfRule>
  </conditionalFormatting>
  <conditionalFormatting sqref="Z4:Z42 Z47">
    <cfRule type="expression" dxfId="866" priority="867">
      <formula>$Z4="R"</formula>
    </cfRule>
  </conditionalFormatting>
  <conditionalFormatting sqref="AD4:AD41">
    <cfRule type="cellIs" dxfId="865" priority="866" operator="equal">
      <formula>0</formula>
    </cfRule>
  </conditionalFormatting>
  <conditionalFormatting sqref="AD42">
    <cfRule type="cellIs" dxfId="864" priority="865" operator="equal">
      <formula>0</formula>
    </cfRule>
  </conditionalFormatting>
  <conditionalFormatting sqref="R44">
    <cfRule type="cellIs" dxfId="863" priority="561" operator="equal">
      <formula>0</formula>
    </cfRule>
  </conditionalFormatting>
  <conditionalFormatting sqref="AD47">
    <cfRule type="cellIs" dxfId="862" priority="863" operator="equal">
      <formula>0</formula>
    </cfRule>
  </conditionalFormatting>
  <conditionalFormatting sqref="AD4:AD42 AD47">
    <cfRule type="notContainsBlanks" dxfId="861" priority="862">
      <formula>LEN(TRIM(AD4))&gt;0</formula>
    </cfRule>
  </conditionalFormatting>
  <conditionalFormatting sqref="AD4:AD42 AD47">
    <cfRule type="expression" dxfId="860" priority="861">
      <formula>$AD4="R"</formula>
    </cfRule>
  </conditionalFormatting>
  <conditionalFormatting sqref="AH4:AH41">
    <cfRule type="cellIs" dxfId="859" priority="860" operator="equal">
      <formula>0</formula>
    </cfRule>
  </conditionalFormatting>
  <conditionalFormatting sqref="AH42">
    <cfRule type="cellIs" dxfId="858" priority="859" operator="equal">
      <formula>0</formula>
    </cfRule>
  </conditionalFormatting>
  <conditionalFormatting sqref="Z44">
    <cfRule type="cellIs" dxfId="857" priority="555" operator="equal">
      <formula>0</formula>
    </cfRule>
  </conditionalFormatting>
  <conditionalFormatting sqref="AH47">
    <cfRule type="cellIs" dxfId="856" priority="857" operator="equal">
      <formula>0</formula>
    </cfRule>
  </conditionalFormatting>
  <conditionalFormatting sqref="AH4:AH42 AH47">
    <cfRule type="notContainsBlanks" dxfId="855" priority="856">
      <formula>LEN(TRIM(AH4))&gt;0</formula>
    </cfRule>
  </conditionalFormatting>
  <conditionalFormatting sqref="AH4:AH42 AH47">
    <cfRule type="expression" dxfId="854" priority="855">
      <formula>$AH4="R"</formula>
    </cfRule>
  </conditionalFormatting>
  <conditionalFormatting sqref="AL4:AL41">
    <cfRule type="cellIs" dxfId="853" priority="854" operator="equal">
      <formula>0</formula>
    </cfRule>
  </conditionalFormatting>
  <conditionalFormatting sqref="AL42">
    <cfRule type="cellIs" dxfId="852" priority="853" operator="equal">
      <formula>0</formula>
    </cfRule>
  </conditionalFormatting>
  <conditionalFormatting sqref="AH44">
    <cfRule type="cellIs" dxfId="851" priority="549" operator="equal">
      <formula>0</formula>
    </cfRule>
  </conditionalFormatting>
  <conditionalFormatting sqref="AL47">
    <cfRule type="cellIs" dxfId="850" priority="851" operator="equal">
      <formula>0</formula>
    </cfRule>
  </conditionalFormatting>
  <conditionalFormatting sqref="AL4:AL42 AL47">
    <cfRule type="notContainsBlanks" dxfId="849" priority="850">
      <formula>LEN(TRIM(AL4))&gt;0</formula>
    </cfRule>
  </conditionalFormatting>
  <conditionalFormatting sqref="AL4:AL42 AL47">
    <cfRule type="expression" dxfId="848" priority="849">
      <formula>$AL4="R"</formula>
    </cfRule>
  </conditionalFormatting>
  <conditionalFormatting sqref="AP4:AP41">
    <cfRule type="cellIs" dxfId="847" priority="848" operator="equal">
      <formula>0</formula>
    </cfRule>
  </conditionalFormatting>
  <conditionalFormatting sqref="AP42">
    <cfRule type="cellIs" dxfId="846" priority="847" operator="equal">
      <formula>0</formula>
    </cfRule>
  </conditionalFormatting>
  <conditionalFormatting sqref="AP44">
    <cfRule type="cellIs" dxfId="845" priority="543" operator="equal">
      <formula>0</formula>
    </cfRule>
  </conditionalFormatting>
  <conditionalFormatting sqref="AP47">
    <cfRule type="cellIs" dxfId="844" priority="845" operator="equal">
      <formula>0</formula>
    </cfRule>
  </conditionalFormatting>
  <conditionalFormatting sqref="AP4:AP42 AP47">
    <cfRule type="notContainsBlanks" dxfId="843" priority="844">
      <formula>LEN(TRIM(AP4))&gt;0</formula>
    </cfRule>
  </conditionalFormatting>
  <conditionalFormatting sqref="AP4:AP42 AP47">
    <cfRule type="expression" dxfId="842" priority="843">
      <formula>$AP4="R"</formula>
    </cfRule>
  </conditionalFormatting>
  <conditionalFormatting sqref="AT4:AT41">
    <cfRule type="cellIs" dxfId="841" priority="842" operator="equal">
      <formula>0</formula>
    </cfRule>
  </conditionalFormatting>
  <conditionalFormatting sqref="AT42">
    <cfRule type="cellIs" dxfId="840" priority="841" operator="equal">
      <formula>0</formula>
    </cfRule>
  </conditionalFormatting>
  <conditionalFormatting sqref="AX44">
    <cfRule type="cellIs" dxfId="839" priority="537" operator="equal">
      <formula>0</formula>
    </cfRule>
  </conditionalFormatting>
  <conditionalFormatting sqref="AT47">
    <cfRule type="cellIs" dxfId="838" priority="839" operator="equal">
      <formula>0</formula>
    </cfRule>
  </conditionalFormatting>
  <conditionalFormatting sqref="AT4:AT42 AT47">
    <cfRule type="notContainsBlanks" dxfId="837" priority="838">
      <formula>LEN(TRIM(AT4))&gt;0</formula>
    </cfRule>
  </conditionalFormatting>
  <conditionalFormatting sqref="AT4:AT42 AT47">
    <cfRule type="expression" dxfId="836" priority="837">
      <formula>$AT4="R"</formula>
    </cfRule>
  </conditionalFormatting>
  <conditionalFormatting sqref="AX4:AX41">
    <cfRule type="cellIs" dxfId="835" priority="836" operator="equal">
      <formula>0</formula>
    </cfRule>
  </conditionalFormatting>
  <conditionalFormatting sqref="AX42">
    <cfRule type="cellIs" dxfId="834" priority="835" operator="equal">
      <formula>0</formula>
    </cfRule>
  </conditionalFormatting>
  <conditionalFormatting sqref="BF44">
    <cfRule type="cellIs" dxfId="833" priority="531" operator="equal">
      <formula>0</formula>
    </cfRule>
  </conditionalFormatting>
  <conditionalFormatting sqref="AX47">
    <cfRule type="cellIs" dxfId="832" priority="833" operator="equal">
      <formula>0</formula>
    </cfRule>
  </conditionalFormatting>
  <conditionalFormatting sqref="AX4:AX42 AX47">
    <cfRule type="notContainsBlanks" dxfId="831" priority="832">
      <formula>LEN(TRIM(AX4))&gt;0</formula>
    </cfRule>
  </conditionalFormatting>
  <conditionalFormatting sqref="AX4:AX42 AX47">
    <cfRule type="expression" dxfId="830" priority="831">
      <formula>$AX4="R"</formula>
    </cfRule>
  </conditionalFormatting>
  <conditionalFormatting sqref="BB4:BB41">
    <cfRule type="cellIs" dxfId="829" priority="830" operator="equal">
      <formula>0</formula>
    </cfRule>
  </conditionalFormatting>
  <conditionalFormatting sqref="BB42">
    <cfRule type="cellIs" dxfId="828" priority="829" operator="equal">
      <formula>0</formula>
    </cfRule>
  </conditionalFormatting>
  <conditionalFormatting sqref="BN44">
    <cfRule type="cellIs" dxfId="827" priority="525" operator="equal">
      <formula>0</formula>
    </cfRule>
  </conditionalFormatting>
  <conditionalFormatting sqref="BB47">
    <cfRule type="cellIs" dxfId="826" priority="827" operator="equal">
      <formula>0</formula>
    </cfRule>
  </conditionalFormatting>
  <conditionalFormatting sqref="BB4:BB42 BB47">
    <cfRule type="notContainsBlanks" dxfId="825" priority="826">
      <formula>LEN(TRIM(BB4))&gt;0</formula>
    </cfRule>
  </conditionalFormatting>
  <conditionalFormatting sqref="BB4:BB42 BB47">
    <cfRule type="expression" dxfId="824" priority="825">
      <formula>$BB4="R"</formula>
    </cfRule>
  </conditionalFormatting>
  <conditionalFormatting sqref="BF4:BF41">
    <cfRule type="cellIs" dxfId="823" priority="824" operator="equal">
      <formula>0</formula>
    </cfRule>
  </conditionalFormatting>
  <conditionalFormatting sqref="BF42">
    <cfRule type="cellIs" dxfId="822" priority="823" operator="equal">
      <formula>0</formula>
    </cfRule>
  </conditionalFormatting>
  <conditionalFormatting sqref="BV44">
    <cfRule type="cellIs" dxfId="821" priority="519" operator="equal">
      <formula>0</formula>
    </cfRule>
  </conditionalFormatting>
  <conditionalFormatting sqref="BF47">
    <cfRule type="cellIs" dxfId="820" priority="821" operator="equal">
      <formula>0</formula>
    </cfRule>
  </conditionalFormatting>
  <conditionalFormatting sqref="BF4:BF42 BF47">
    <cfRule type="notContainsBlanks" dxfId="819" priority="820">
      <formula>LEN(TRIM(BF4))&gt;0</formula>
    </cfRule>
  </conditionalFormatting>
  <conditionalFormatting sqref="BF4:BF42 BF47">
    <cfRule type="expression" dxfId="818" priority="819">
      <formula>$BF4="R"</formula>
    </cfRule>
  </conditionalFormatting>
  <conditionalFormatting sqref="BJ4:BJ41">
    <cfRule type="cellIs" dxfId="817" priority="818" operator="equal">
      <formula>0</formula>
    </cfRule>
  </conditionalFormatting>
  <conditionalFormatting sqref="BJ42">
    <cfRule type="cellIs" dxfId="816" priority="817" operator="equal">
      <formula>0</formula>
    </cfRule>
  </conditionalFormatting>
  <conditionalFormatting sqref="CD44">
    <cfRule type="cellIs" dxfId="815" priority="513" operator="equal">
      <formula>0</formula>
    </cfRule>
  </conditionalFormatting>
  <conditionalFormatting sqref="BJ47">
    <cfRule type="cellIs" dxfId="814" priority="815" operator="equal">
      <formula>0</formula>
    </cfRule>
  </conditionalFormatting>
  <conditionalFormatting sqref="BJ4:BJ42 BJ47">
    <cfRule type="notContainsBlanks" dxfId="813" priority="814">
      <formula>LEN(TRIM(BJ4))&gt;0</formula>
    </cfRule>
  </conditionalFormatting>
  <conditionalFormatting sqref="BJ4:BJ42 BJ47">
    <cfRule type="expression" dxfId="812" priority="813">
      <formula>$BJ4="R"</formula>
    </cfRule>
  </conditionalFormatting>
  <conditionalFormatting sqref="BN4:BN41">
    <cfRule type="cellIs" dxfId="811" priority="812" operator="equal">
      <formula>0</formula>
    </cfRule>
  </conditionalFormatting>
  <conditionalFormatting sqref="BN42">
    <cfRule type="cellIs" dxfId="810" priority="811" operator="equal">
      <formula>0</formula>
    </cfRule>
  </conditionalFormatting>
  <conditionalFormatting sqref="G4:I4">
    <cfRule type="cellIs" dxfId="809" priority="507" operator="equal">
      <formula>0</formula>
    </cfRule>
  </conditionalFormatting>
  <conditionalFormatting sqref="BN47">
    <cfRule type="cellIs" dxfId="808" priority="809" operator="equal">
      <formula>0</formula>
    </cfRule>
  </conditionalFormatting>
  <conditionalFormatting sqref="BN4:BN42 BN47">
    <cfRule type="notContainsBlanks" dxfId="807" priority="808">
      <formula>LEN(TRIM(BN4))&gt;0</formula>
    </cfRule>
  </conditionalFormatting>
  <conditionalFormatting sqref="BN4:BN42 BN47">
    <cfRule type="expression" dxfId="806" priority="807">
      <formula>$BN4="R"</formula>
    </cfRule>
  </conditionalFormatting>
  <conditionalFormatting sqref="BR4:BR41">
    <cfRule type="cellIs" dxfId="805" priority="806" operator="equal">
      <formula>0</formula>
    </cfRule>
  </conditionalFormatting>
  <conditionalFormatting sqref="BR42">
    <cfRule type="cellIs" dxfId="804" priority="805" operator="equal">
      <formula>0</formula>
    </cfRule>
  </conditionalFormatting>
  <conditionalFormatting sqref="K4:M4">
    <cfRule type="cellIs" dxfId="803" priority="501" operator="equal">
      <formula>0</formula>
    </cfRule>
  </conditionalFormatting>
  <conditionalFormatting sqref="BR47">
    <cfRule type="cellIs" dxfId="802" priority="803" operator="equal">
      <formula>0</formula>
    </cfRule>
  </conditionalFormatting>
  <conditionalFormatting sqref="BR4:BR42 BR47">
    <cfRule type="notContainsBlanks" dxfId="801" priority="802">
      <formula>LEN(TRIM(BR4))&gt;0</formula>
    </cfRule>
  </conditionalFormatting>
  <conditionalFormatting sqref="BR4:BR42 BR47">
    <cfRule type="expression" dxfId="800" priority="801">
      <formula>$BR4="R"</formula>
    </cfRule>
  </conditionalFormatting>
  <conditionalFormatting sqref="BV4:BV41">
    <cfRule type="cellIs" dxfId="799" priority="800" operator="equal">
      <formula>0</formula>
    </cfRule>
  </conditionalFormatting>
  <conditionalFormatting sqref="BV42">
    <cfRule type="cellIs" dxfId="798" priority="799" operator="equal">
      <formula>0</formula>
    </cfRule>
  </conditionalFormatting>
  <conditionalFormatting sqref="O4:Q4">
    <cfRule type="cellIs" dxfId="797" priority="495" operator="equal">
      <formula>0</formula>
    </cfRule>
  </conditionalFormatting>
  <conditionalFormatting sqref="BV47">
    <cfRule type="cellIs" dxfId="796" priority="797" operator="equal">
      <formula>0</formula>
    </cfRule>
  </conditionalFormatting>
  <conditionalFormatting sqref="BV4:BV42 BV47">
    <cfRule type="notContainsBlanks" dxfId="795" priority="796">
      <formula>LEN(TRIM(BV4))&gt;0</formula>
    </cfRule>
  </conditionalFormatting>
  <conditionalFormatting sqref="BV4:BV42 BV47">
    <cfRule type="expression" dxfId="794" priority="795">
      <formula>$BV4="R"</formula>
    </cfRule>
  </conditionalFormatting>
  <conditionalFormatting sqref="BZ4:BZ41">
    <cfRule type="cellIs" dxfId="793" priority="794" operator="equal">
      <formula>0</formula>
    </cfRule>
  </conditionalFormatting>
  <conditionalFormatting sqref="BZ42">
    <cfRule type="cellIs" dxfId="792" priority="793" operator="equal">
      <formula>0</formula>
    </cfRule>
  </conditionalFormatting>
  <conditionalFormatting sqref="S4:U4">
    <cfRule type="cellIs" dxfId="791" priority="489" operator="equal">
      <formula>0</formula>
    </cfRule>
  </conditionalFormatting>
  <conditionalFormatting sqref="BZ47">
    <cfRule type="cellIs" dxfId="790" priority="791" operator="equal">
      <formula>0</formula>
    </cfRule>
  </conditionalFormatting>
  <conditionalFormatting sqref="BZ4:BZ42 BZ47">
    <cfRule type="notContainsBlanks" dxfId="789" priority="790">
      <formula>LEN(TRIM(BZ4))&gt;0</formula>
    </cfRule>
  </conditionalFormatting>
  <conditionalFormatting sqref="BZ4:BZ42 BZ47">
    <cfRule type="expression" dxfId="788" priority="789">
      <formula>$BZ4="R"</formula>
    </cfRule>
  </conditionalFormatting>
  <conditionalFormatting sqref="CD4:CD41">
    <cfRule type="cellIs" dxfId="787" priority="788" operator="equal">
      <formula>0</formula>
    </cfRule>
  </conditionalFormatting>
  <conditionalFormatting sqref="CD42">
    <cfRule type="cellIs" dxfId="786" priority="787" operator="equal">
      <formula>0</formula>
    </cfRule>
  </conditionalFormatting>
  <conditionalFormatting sqref="W4:Y4">
    <cfRule type="cellIs" dxfId="785" priority="483" operator="equal">
      <formula>0</formula>
    </cfRule>
  </conditionalFormatting>
  <conditionalFormatting sqref="CD47">
    <cfRule type="cellIs" dxfId="784" priority="785" operator="equal">
      <formula>0</formula>
    </cfRule>
  </conditionalFormatting>
  <conditionalFormatting sqref="CD4:CD42 CD47">
    <cfRule type="notContainsBlanks" dxfId="783" priority="784">
      <formula>LEN(TRIM(CD4))&gt;0</formula>
    </cfRule>
  </conditionalFormatting>
  <conditionalFormatting sqref="CD4:CD42 CD47">
    <cfRule type="expression" dxfId="782" priority="783">
      <formula>$CD4="R"</formula>
    </cfRule>
  </conditionalFormatting>
  <conditionalFormatting sqref="G3">
    <cfRule type="cellIs" dxfId="781" priority="777" operator="equal">
      <formula>0</formula>
    </cfRule>
  </conditionalFormatting>
  <conditionalFormatting sqref="BW3">
    <cfRule type="cellIs" dxfId="780" priority="768" operator="equal">
      <formula>0</formula>
    </cfRule>
  </conditionalFormatting>
  <conditionalFormatting sqref="K3">
    <cfRule type="cellIs" dxfId="779" priority="776" operator="equal">
      <formula>0</formula>
    </cfRule>
  </conditionalFormatting>
  <conditionalFormatting sqref="S3">
    <cfRule type="cellIs" dxfId="778" priority="775" operator="equal">
      <formula>0</formula>
    </cfRule>
  </conditionalFormatting>
  <conditionalFormatting sqref="AA3">
    <cfRule type="cellIs" dxfId="777" priority="774" operator="equal">
      <formula>0</formula>
    </cfRule>
  </conditionalFormatting>
  <conditionalFormatting sqref="AI3">
    <cfRule type="cellIs" dxfId="776" priority="773" operator="equal">
      <formula>0</formula>
    </cfRule>
  </conditionalFormatting>
  <conditionalFormatting sqref="AQ3">
    <cfRule type="cellIs" dxfId="775" priority="772" operator="equal">
      <formula>0</formula>
    </cfRule>
  </conditionalFormatting>
  <conditionalFormatting sqref="AY3">
    <cfRule type="cellIs" dxfId="774" priority="771" operator="equal">
      <formula>0</formula>
    </cfRule>
  </conditionalFormatting>
  <conditionalFormatting sqref="BG3">
    <cfRule type="cellIs" dxfId="773" priority="770" operator="equal">
      <formula>0</formula>
    </cfRule>
  </conditionalFormatting>
  <conditionalFormatting sqref="BO3">
    <cfRule type="cellIs" dxfId="772" priority="769" operator="equal">
      <formula>0</formula>
    </cfRule>
  </conditionalFormatting>
  <conditionalFormatting sqref="O3">
    <cfRule type="cellIs" dxfId="771" priority="767" operator="equal">
      <formula>0</formula>
    </cfRule>
  </conditionalFormatting>
  <conditionalFormatting sqref="W3">
    <cfRule type="cellIs" dxfId="770" priority="766" operator="equal">
      <formula>0</formula>
    </cfRule>
  </conditionalFormatting>
  <conditionalFormatting sqref="AE3">
    <cfRule type="cellIs" dxfId="769" priority="765" operator="equal">
      <formula>0</formula>
    </cfRule>
  </conditionalFormatting>
  <conditionalFormatting sqref="AM3">
    <cfRule type="cellIs" dxfId="768" priority="764" operator="equal">
      <formula>0</formula>
    </cfRule>
  </conditionalFormatting>
  <conditionalFormatting sqref="AU3">
    <cfRule type="cellIs" dxfId="767" priority="763" operator="equal">
      <formula>0</formula>
    </cfRule>
  </conditionalFormatting>
  <conditionalFormatting sqref="BC3">
    <cfRule type="cellIs" dxfId="766" priority="762" operator="equal">
      <formula>0</formula>
    </cfRule>
  </conditionalFormatting>
  <conditionalFormatting sqref="BK3">
    <cfRule type="cellIs" dxfId="765" priority="761" operator="equal">
      <formula>0</formula>
    </cfRule>
  </conditionalFormatting>
  <conditionalFormatting sqref="BS3">
    <cfRule type="cellIs" dxfId="764" priority="760" operator="equal">
      <formula>0</formula>
    </cfRule>
  </conditionalFormatting>
  <conditionalFormatting sqref="CA3">
    <cfRule type="cellIs" dxfId="763" priority="759" operator="equal">
      <formula>0</formula>
    </cfRule>
  </conditionalFormatting>
  <conditionalFormatting sqref="B4:B37">
    <cfRule type="expression" dxfId="762" priority="1183">
      <formula>#REF!&gt;2</formula>
    </cfRule>
  </conditionalFormatting>
  <conditionalFormatting sqref="B4:B37">
    <cfRule type="expression" dxfId="761" priority="1185">
      <formula>#REF!&gt;0</formula>
    </cfRule>
  </conditionalFormatting>
  <conditionalFormatting sqref="F43">
    <cfRule type="cellIs" dxfId="760" priority="756" operator="equal">
      <formula>0</formula>
    </cfRule>
  </conditionalFormatting>
  <conditionalFormatting sqref="F43">
    <cfRule type="notContainsBlanks" dxfId="759" priority="755">
      <formula>LEN(TRIM(F43))&gt;0</formula>
    </cfRule>
  </conditionalFormatting>
  <conditionalFormatting sqref="F43">
    <cfRule type="expression" dxfId="758" priority="754">
      <formula>I43="R"</formula>
    </cfRule>
  </conditionalFormatting>
  <conditionalFormatting sqref="J43">
    <cfRule type="cellIs" dxfId="757" priority="753" operator="equal">
      <formula>0</formula>
    </cfRule>
  </conditionalFormatting>
  <conditionalFormatting sqref="J43">
    <cfRule type="notContainsBlanks" dxfId="756" priority="752">
      <formula>LEN(TRIM(J43))&gt;0</formula>
    </cfRule>
  </conditionalFormatting>
  <conditionalFormatting sqref="J43">
    <cfRule type="expression" dxfId="755" priority="751">
      <formula>$J43="R"</formula>
    </cfRule>
  </conditionalFormatting>
  <conditionalFormatting sqref="N43">
    <cfRule type="cellIs" dxfId="754" priority="750" operator="equal">
      <formula>0</formula>
    </cfRule>
  </conditionalFormatting>
  <conditionalFormatting sqref="N43">
    <cfRule type="notContainsBlanks" dxfId="753" priority="749">
      <formula>LEN(TRIM(N43))&gt;0</formula>
    </cfRule>
  </conditionalFormatting>
  <conditionalFormatting sqref="N43">
    <cfRule type="expression" dxfId="752" priority="748">
      <formula>$N43="R"</formula>
    </cfRule>
  </conditionalFormatting>
  <conditionalFormatting sqref="R43">
    <cfRule type="cellIs" dxfId="751" priority="747" operator="equal">
      <formula>0</formula>
    </cfRule>
  </conditionalFormatting>
  <conditionalFormatting sqref="R43">
    <cfRule type="notContainsBlanks" dxfId="750" priority="746">
      <formula>LEN(TRIM(R43))&gt;0</formula>
    </cfRule>
  </conditionalFormatting>
  <conditionalFormatting sqref="R43">
    <cfRule type="expression" dxfId="749" priority="745">
      <formula>$R43="R"</formula>
    </cfRule>
  </conditionalFormatting>
  <conditionalFormatting sqref="V43">
    <cfRule type="cellIs" dxfId="748" priority="744" operator="equal">
      <formula>0</formula>
    </cfRule>
  </conditionalFormatting>
  <conditionalFormatting sqref="V43">
    <cfRule type="notContainsBlanks" dxfId="747" priority="743">
      <formula>LEN(TRIM(V43))&gt;0</formula>
    </cfRule>
  </conditionalFormatting>
  <conditionalFormatting sqref="V43">
    <cfRule type="expression" dxfId="746" priority="742">
      <formula>$V43="R"</formula>
    </cfRule>
  </conditionalFormatting>
  <conditionalFormatting sqref="Z43">
    <cfRule type="cellIs" dxfId="745" priority="741" operator="equal">
      <formula>0</formula>
    </cfRule>
  </conditionalFormatting>
  <conditionalFormatting sqref="Z43">
    <cfRule type="notContainsBlanks" dxfId="744" priority="740">
      <formula>LEN(TRIM(Z43))&gt;0</formula>
    </cfRule>
  </conditionalFormatting>
  <conditionalFormatting sqref="Z43">
    <cfRule type="expression" dxfId="743" priority="739">
      <formula>$Z43="R"</formula>
    </cfRule>
  </conditionalFormatting>
  <conditionalFormatting sqref="AD43">
    <cfRule type="cellIs" dxfId="742" priority="738" operator="equal">
      <formula>0</formula>
    </cfRule>
  </conditionalFormatting>
  <conditionalFormatting sqref="AD43">
    <cfRule type="notContainsBlanks" dxfId="741" priority="737">
      <formula>LEN(TRIM(AD43))&gt;0</formula>
    </cfRule>
  </conditionalFormatting>
  <conditionalFormatting sqref="AD43">
    <cfRule type="expression" dxfId="740" priority="736">
      <formula>$AD43="R"</formula>
    </cfRule>
  </conditionalFormatting>
  <conditionalFormatting sqref="AH43">
    <cfRule type="cellIs" dxfId="739" priority="735" operator="equal">
      <formula>0</formula>
    </cfRule>
  </conditionalFormatting>
  <conditionalFormatting sqref="AH43">
    <cfRule type="notContainsBlanks" dxfId="738" priority="734">
      <formula>LEN(TRIM(AH43))&gt;0</formula>
    </cfRule>
  </conditionalFormatting>
  <conditionalFormatting sqref="AH43">
    <cfRule type="expression" dxfId="737" priority="733">
      <formula>$AH43="R"</formula>
    </cfRule>
  </conditionalFormatting>
  <conditionalFormatting sqref="AL43">
    <cfRule type="cellIs" dxfId="736" priority="732" operator="equal">
      <formula>0</formula>
    </cfRule>
  </conditionalFormatting>
  <conditionalFormatting sqref="AL43">
    <cfRule type="notContainsBlanks" dxfId="735" priority="731">
      <formula>LEN(TRIM(AL43))&gt;0</formula>
    </cfRule>
  </conditionalFormatting>
  <conditionalFormatting sqref="AL43">
    <cfRule type="expression" dxfId="734" priority="730">
      <formula>$AL43="R"</formula>
    </cfRule>
  </conditionalFormatting>
  <conditionalFormatting sqref="AP43">
    <cfRule type="cellIs" dxfId="733" priority="729" operator="equal">
      <formula>0</formula>
    </cfRule>
  </conditionalFormatting>
  <conditionalFormatting sqref="AP43">
    <cfRule type="notContainsBlanks" dxfId="732" priority="728">
      <formula>LEN(TRIM(AP43))&gt;0</formula>
    </cfRule>
  </conditionalFormatting>
  <conditionalFormatting sqref="AP43">
    <cfRule type="expression" dxfId="731" priority="727">
      <formula>$AP43="R"</formula>
    </cfRule>
  </conditionalFormatting>
  <conditionalFormatting sqref="AT43">
    <cfRule type="cellIs" dxfId="730" priority="726" operator="equal">
      <formula>0</formula>
    </cfRule>
  </conditionalFormatting>
  <conditionalFormatting sqref="AT43">
    <cfRule type="notContainsBlanks" dxfId="729" priority="725">
      <formula>LEN(TRIM(AT43))&gt;0</formula>
    </cfRule>
  </conditionalFormatting>
  <conditionalFormatting sqref="AT43">
    <cfRule type="expression" dxfId="728" priority="724">
      <formula>$AT43="R"</formula>
    </cfRule>
  </conditionalFormatting>
  <conditionalFormatting sqref="AX43">
    <cfRule type="cellIs" dxfId="727" priority="723" operator="equal">
      <formula>0</formula>
    </cfRule>
  </conditionalFormatting>
  <conditionalFormatting sqref="AX43">
    <cfRule type="notContainsBlanks" dxfId="726" priority="722">
      <formula>LEN(TRIM(AX43))&gt;0</formula>
    </cfRule>
  </conditionalFormatting>
  <conditionalFormatting sqref="AX43">
    <cfRule type="expression" dxfId="725" priority="721">
      <formula>$AX43="R"</formula>
    </cfRule>
  </conditionalFormatting>
  <conditionalFormatting sqref="BB43">
    <cfRule type="cellIs" dxfId="724" priority="720" operator="equal">
      <formula>0</formula>
    </cfRule>
  </conditionalFormatting>
  <conditionalFormatting sqref="BB43">
    <cfRule type="notContainsBlanks" dxfId="723" priority="719">
      <formula>LEN(TRIM(BB43))&gt;0</formula>
    </cfRule>
  </conditionalFormatting>
  <conditionalFormatting sqref="BB43">
    <cfRule type="expression" dxfId="722" priority="718">
      <formula>$BB43="R"</formula>
    </cfRule>
  </conditionalFormatting>
  <conditionalFormatting sqref="BF43">
    <cfRule type="cellIs" dxfId="721" priority="717" operator="equal">
      <formula>0</formula>
    </cfRule>
  </conditionalFormatting>
  <conditionalFormatting sqref="BF43">
    <cfRule type="notContainsBlanks" dxfId="720" priority="716">
      <formula>LEN(TRIM(BF43))&gt;0</formula>
    </cfRule>
  </conditionalFormatting>
  <conditionalFormatting sqref="BF43">
    <cfRule type="expression" dxfId="719" priority="715">
      <formula>$BF43="R"</formula>
    </cfRule>
  </conditionalFormatting>
  <conditionalFormatting sqref="BJ43">
    <cfRule type="cellIs" dxfId="718" priority="714" operator="equal">
      <formula>0</formula>
    </cfRule>
  </conditionalFormatting>
  <conditionalFormatting sqref="BJ43">
    <cfRule type="notContainsBlanks" dxfId="717" priority="713">
      <formula>LEN(TRIM(BJ43))&gt;0</formula>
    </cfRule>
  </conditionalFormatting>
  <conditionalFormatting sqref="BJ43">
    <cfRule type="expression" dxfId="716" priority="712">
      <formula>$BJ43="R"</formula>
    </cfRule>
  </conditionalFormatting>
  <conditionalFormatting sqref="BN43">
    <cfRule type="cellIs" dxfId="715" priority="711" operator="equal">
      <formula>0</formula>
    </cfRule>
  </conditionalFormatting>
  <conditionalFormatting sqref="BN43">
    <cfRule type="notContainsBlanks" dxfId="714" priority="710">
      <formula>LEN(TRIM(BN43))&gt;0</formula>
    </cfRule>
  </conditionalFormatting>
  <conditionalFormatting sqref="BN43">
    <cfRule type="expression" dxfId="713" priority="709">
      <formula>$BN43="R"</formula>
    </cfRule>
  </conditionalFormatting>
  <conditionalFormatting sqref="BR43">
    <cfRule type="cellIs" dxfId="712" priority="708" operator="equal">
      <formula>0</formula>
    </cfRule>
  </conditionalFormatting>
  <conditionalFormatting sqref="BR43">
    <cfRule type="notContainsBlanks" dxfId="711" priority="707">
      <formula>LEN(TRIM(BR43))&gt;0</formula>
    </cfRule>
  </conditionalFormatting>
  <conditionalFormatting sqref="BR43">
    <cfRule type="expression" dxfId="710" priority="706">
      <formula>$BR43="R"</formula>
    </cfRule>
  </conditionalFormatting>
  <conditionalFormatting sqref="BV43">
    <cfRule type="cellIs" dxfId="709" priority="705" operator="equal">
      <formula>0</formula>
    </cfRule>
  </conditionalFormatting>
  <conditionalFormatting sqref="BV43">
    <cfRule type="notContainsBlanks" dxfId="708" priority="704">
      <formula>LEN(TRIM(BV43))&gt;0</formula>
    </cfRule>
  </conditionalFormatting>
  <conditionalFormatting sqref="BV43">
    <cfRule type="expression" dxfId="707" priority="703">
      <formula>$BV43="R"</formula>
    </cfRule>
  </conditionalFormatting>
  <conditionalFormatting sqref="BZ43">
    <cfRule type="cellIs" dxfId="706" priority="702" operator="equal">
      <formula>0</formula>
    </cfRule>
  </conditionalFormatting>
  <conditionalFormatting sqref="BZ43">
    <cfRule type="notContainsBlanks" dxfId="705" priority="701">
      <formula>LEN(TRIM(BZ43))&gt;0</formula>
    </cfRule>
  </conditionalFormatting>
  <conditionalFormatting sqref="BZ43">
    <cfRule type="expression" dxfId="704" priority="700">
      <formula>$BZ43="R"</formula>
    </cfRule>
  </conditionalFormatting>
  <conditionalFormatting sqref="CD43">
    <cfRule type="cellIs" dxfId="703" priority="699" operator="equal">
      <formula>0</formula>
    </cfRule>
  </conditionalFormatting>
  <conditionalFormatting sqref="CD43">
    <cfRule type="notContainsBlanks" dxfId="702" priority="698">
      <formula>LEN(TRIM(CD43))&gt;0</formula>
    </cfRule>
  </conditionalFormatting>
  <conditionalFormatting sqref="CD43">
    <cfRule type="expression" dxfId="701" priority="697">
      <formula>$CD43="R"</formula>
    </cfRule>
  </conditionalFormatting>
  <conditionalFormatting sqref="F46">
    <cfRule type="cellIs" dxfId="700" priority="694" operator="equal">
      <formula>0</formula>
    </cfRule>
  </conditionalFormatting>
  <conditionalFormatting sqref="F46">
    <cfRule type="notContainsBlanks" dxfId="699" priority="693">
      <formula>LEN(TRIM(F46))&gt;0</formula>
    </cfRule>
  </conditionalFormatting>
  <conditionalFormatting sqref="F46">
    <cfRule type="expression" dxfId="698" priority="692">
      <formula>I46="R"</formula>
    </cfRule>
  </conditionalFormatting>
  <conditionalFormatting sqref="J46">
    <cfRule type="cellIs" dxfId="697" priority="691" operator="equal">
      <formula>0</formula>
    </cfRule>
  </conditionalFormatting>
  <conditionalFormatting sqref="J46">
    <cfRule type="notContainsBlanks" dxfId="696" priority="690">
      <formula>LEN(TRIM(J46))&gt;0</formula>
    </cfRule>
  </conditionalFormatting>
  <conditionalFormatting sqref="J46">
    <cfRule type="expression" dxfId="695" priority="689">
      <formula>$J46="R"</formula>
    </cfRule>
  </conditionalFormatting>
  <conditionalFormatting sqref="N46">
    <cfRule type="cellIs" dxfId="694" priority="688" operator="equal">
      <formula>0</formula>
    </cfRule>
  </conditionalFormatting>
  <conditionalFormatting sqref="N46">
    <cfRule type="notContainsBlanks" dxfId="693" priority="687">
      <formula>LEN(TRIM(N46))&gt;0</formula>
    </cfRule>
  </conditionalFormatting>
  <conditionalFormatting sqref="N46">
    <cfRule type="expression" dxfId="692" priority="686">
      <formula>$N46="R"</formula>
    </cfRule>
  </conditionalFormatting>
  <conditionalFormatting sqref="R46">
    <cfRule type="cellIs" dxfId="691" priority="685" operator="equal">
      <formula>0</formula>
    </cfRule>
  </conditionalFormatting>
  <conditionalFormatting sqref="R46">
    <cfRule type="notContainsBlanks" dxfId="690" priority="684">
      <formula>LEN(TRIM(R46))&gt;0</formula>
    </cfRule>
  </conditionalFormatting>
  <conditionalFormatting sqref="R46">
    <cfRule type="expression" dxfId="689" priority="683">
      <formula>$R46="R"</formula>
    </cfRule>
  </conditionalFormatting>
  <conditionalFormatting sqref="V46">
    <cfRule type="cellIs" dxfId="688" priority="682" operator="equal">
      <formula>0</formula>
    </cfRule>
  </conditionalFormatting>
  <conditionalFormatting sqref="V46">
    <cfRule type="notContainsBlanks" dxfId="687" priority="681">
      <formula>LEN(TRIM(V46))&gt;0</formula>
    </cfRule>
  </conditionalFormatting>
  <conditionalFormatting sqref="V46">
    <cfRule type="expression" dxfId="686" priority="680">
      <formula>$V46="R"</formula>
    </cfRule>
  </conditionalFormatting>
  <conditionalFormatting sqref="Z46">
    <cfRule type="cellIs" dxfId="685" priority="679" operator="equal">
      <formula>0</formula>
    </cfRule>
  </conditionalFormatting>
  <conditionalFormatting sqref="Z46">
    <cfRule type="notContainsBlanks" dxfId="684" priority="678">
      <formula>LEN(TRIM(Z46))&gt;0</formula>
    </cfRule>
  </conditionalFormatting>
  <conditionalFormatting sqref="Z46">
    <cfRule type="expression" dxfId="683" priority="677">
      <formula>$Z46="R"</formula>
    </cfRule>
  </conditionalFormatting>
  <conditionalFormatting sqref="AD46">
    <cfRule type="cellIs" dxfId="682" priority="676" operator="equal">
      <formula>0</formula>
    </cfRule>
  </conditionalFormatting>
  <conditionalFormatting sqref="AD46">
    <cfRule type="notContainsBlanks" dxfId="681" priority="675">
      <formula>LEN(TRIM(AD46))&gt;0</formula>
    </cfRule>
  </conditionalFormatting>
  <conditionalFormatting sqref="AD46">
    <cfRule type="expression" dxfId="680" priority="674">
      <formula>$AD46="R"</formula>
    </cfRule>
  </conditionalFormatting>
  <conditionalFormatting sqref="AH46">
    <cfRule type="cellIs" dxfId="679" priority="673" operator="equal">
      <formula>0</formula>
    </cfRule>
  </conditionalFormatting>
  <conditionalFormatting sqref="AH46">
    <cfRule type="notContainsBlanks" dxfId="678" priority="672">
      <formula>LEN(TRIM(AH46))&gt;0</formula>
    </cfRule>
  </conditionalFormatting>
  <conditionalFormatting sqref="AH46">
    <cfRule type="expression" dxfId="677" priority="671">
      <formula>$AH46="R"</formula>
    </cfRule>
  </conditionalFormatting>
  <conditionalFormatting sqref="AL46">
    <cfRule type="cellIs" dxfId="676" priority="670" operator="equal">
      <formula>0</formula>
    </cfRule>
  </conditionalFormatting>
  <conditionalFormatting sqref="AL46">
    <cfRule type="notContainsBlanks" dxfId="675" priority="669">
      <formula>LEN(TRIM(AL46))&gt;0</formula>
    </cfRule>
  </conditionalFormatting>
  <conditionalFormatting sqref="AL46">
    <cfRule type="expression" dxfId="674" priority="668">
      <formula>$AL46="R"</formula>
    </cfRule>
  </conditionalFormatting>
  <conditionalFormatting sqref="AP46">
    <cfRule type="cellIs" dxfId="673" priority="667" operator="equal">
      <formula>0</formula>
    </cfRule>
  </conditionalFormatting>
  <conditionalFormatting sqref="AP46">
    <cfRule type="notContainsBlanks" dxfId="672" priority="666">
      <formula>LEN(TRIM(AP46))&gt;0</formula>
    </cfRule>
  </conditionalFormatting>
  <conditionalFormatting sqref="AP46">
    <cfRule type="expression" dxfId="671" priority="665">
      <formula>$AP46="R"</formula>
    </cfRule>
  </conditionalFormatting>
  <conditionalFormatting sqref="AT46">
    <cfRule type="cellIs" dxfId="670" priority="664" operator="equal">
      <formula>0</formula>
    </cfRule>
  </conditionalFormatting>
  <conditionalFormatting sqref="AT46">
    <cfRule type="notContainsBlanks" dxfId="669" priority="663">
      <formula>LEN(TRIM(AT46))&gt;0</formula>
    </cfRule>
  </conditionalFormatting>
  <conditionalFormatting sqref="AT46">
    <cfRule type="expression" dxfId="668" priority="662">
      <formula>$AT46="R"</formula>
    </cfRule>
  </conditionalFormatting>
  <conditionalFormatting sqref="AX46">
    <cfRule type="cellIs" dxfId="667" priority="661" operator="equal">
      <formula>0</formula>
    </cfRule>
  </conditionalFormatting>
  <conditionalFormatting sqref="AX46">
    <cfRule type="notContainsBlanks" dxfId="666" priority="660">
      <formula>LEN(TRIM(AX46))&gt;0</formula>
    </cfRule>
  </conditionalFormatting>
  <conditionalFormatting sqref="AX46">
    <cfRule type="expression" dxfId="665" priority="659">
      <formula>$AX46="R"</formula>
    </cfRule>
  </conditionalFormatting>
  <conditionalFormatting sqref="BB46">
    <cfRule type="cellIs" dxfId="664" priority="658" operator="equal">
      <formula>0</formula>
    </cfRule>
  </conditionalFormatting>
  <conditionalFormatting sqref="BB46">
    <cfRule type="notContainsBlanks" dxfId="663" priority="657">
      <formula>LEN(TRIM(BB46))&gt;0</formula>
    </cfRule>
  </conditionalFormatting>
  <conditionalFormatting sqref="BB46">
    <cfRule type="expression" dxfId="662" priority="656">
      <formula>$BB46="R"</formula>
    </cfRule>
  </conditionalFormatting>
  <conditionalFormatting sqref="BF46">
    <cfRule type="cellIs" dxfId="661" priority="655" operator="equal">
      <formula>0</formula>
    </cfRule>
  </conditionalFormatting>
  <conditionalFormatting sqref="BF46">
    <cfRule type="notContainsBlanks" dxfId="660" priority="654">
      <formula>LEN(TRIM(BF46))&gt;0</formula>
    </cfRule>
  </conditionalFormatting>
  <conditionalFormatting sqref="BF46">
    <cfRule type="expression" dxfId="659" priority="653">
      <formula>$BF46="R"</formula>
    </cfRule>
  </conditionalFormatting>
  <conditionalFormatting sqref="BJ46">
    <cfRule type="cellIs" dxfId="658" priority="652" operator="equal">
      <formula>0</formula>
    </cfRule>
  </conditionalFormatting>
  <conditionalFormatting sqref="BJ46">
    <cfRule type="notContainsBlanks" dxfId="657" priority="651">
      <formula>LEN(TRIM(BJ46))&gt;0</formula>
    </cfRule>
  </conditionalFormatting>
  <conditionalFormatting sqref="BJ46">
    <cfRule type="expression" dxfId="656" priority="650">
      <formula>$BJ46="R"</formula>
    </cfRule>
  </conditionalFormatting>
  <conditionalFormatting sqref="BN46">
    <cfRule type="cellIs" dxfId="655" priority="649" operator="equal">
      <formula>0</formula>
    </cfRule>
  </conditionalFormatting>
  <conditionalFormatting sqref="BN46">
    <cfRule type="notContainsBlanks" dxfId="654" priority="648">
      <formula>LEN(TRIM(BN46))&gt;0</formula>
    </cfRule>
  </conditionalFormatting>
  <conditionalFormatting sqref="BN46">
    <cfRule type="expression" dxfId="653" priority="647">
      <formula>$BN46="R"</formula>
    </cfRule>
  </conditionalFormatting>
  <conditionalFormatting sqref="BR46">
    <cfRule type="cellIs" dxfId="652" priority="646" operator="equal">
      <formula>0</formula>
    </cfRule>
  </conditionalFormatting>
  <conditionalFormatting sqref="BR46">
    <cfRule type="notContainsBlanks" dxfId="651" priority="645">
      <formula>LEN(TRIM(BR46))&gt;0</formula>
    </cfRule>
  </conditionalFormatting>
  <conditionalFormatting sqref="BR46">
    <cfRule type="expression" dxfId="650" priority="644">
      <formula>$BR46="R"</formula>
    </cfRule>
  </conditionalFormatting>
  <conditionalFormatting sqref="BV46">
    <cfRule type="cellIs" dxfId="649" priority="643" operator="equal">
      <formula>0</formula>
    </cfRule>
  </conditionalFormatting>
  <conditionalFormatting sqref="BV46">
    <cfRule type="notContainsBlanks" dxfId="648" priority="642">
      <formula>LEN(TRIM(BV46))&gt;0</formula>
    </cfRule>
  </conditionalFormatting>
  <conditionalFormatting sqref="BV46">
    <cfRule type="expression" dxfId="647" priority="641">
      <formula>$BV46="R"</formula>
    </cfRule>
  </conditionalFormatting>
  <conditionalFormatting sqref="BZ46">
    <cfRule type="cellIs" dxfId="646" priority="640" operator="equal">
      <formula>0</formula>
    </cfRule>
  </conditionalFormatting>
  <conditionalFormatting sqref="BZ46">
    <cfRule type="notContainsBlanks" dxfId="645" priority="639">
      <formula>LEN(TRIM(BZ46))&gt;0</formula>
    </cfRule>
  </conditionalFormatting>
  <conditionalFormatting sqref="BZ46">
    <cfRule type="expression" dxfId="644" priority="638">
      <formula>$BZ46="R"</formula>
    </cfRule>
  </conditionalFormatting>
  <conditionalFormatting sqref="CD46">
    <cfRule type="cellIs" dxfId="643" priority="637" operator="equal">
      <formula>0</formula>
    </cfRule>
  </conditionalFormatting>
  <conditionalFormatting sqref="CD46">
    <cfRule type="notContainsBlanks" dxfId="642" priority="636">
      <formula>LEN(TRIM(CD46))&gt;0</formula>
    </cfRule>
  </conditionalFormatting>
  <conditionalFormatting sqref="CD46">
    <cfRule type="expression" dxfId="641" priority="635">
      <formula>$CD46="R"</formula>
    </cfRule>
  </conditionalFormatting>
  <conditionalFormatting sqref="F45">
    <cfRule type="cellIs" dxfId="640" priority="632" operator="equal">
      <formula>0</formula>
    </cfRule>
  </conditionalFormatting>
  <conditionalFormatting sqref="F45">
    <cfRule type="notContainsBlanks" dxfId="639" priority="631">
      <formula>LEN(TRIM(F45))&gt;0</formula>
    </cfRule>
  </conditionalFormatting>
  <conditionalFormatting sqref="F45">
    <cfRule type="expression" dxfId="638" priority="630">
      <formula>I45="R"</formula>
    </cfRule>
  </conditionalFormatting>
  <conditionalFormatting sqref="J45">
    <cfRule type="notContainsBlanks" dxfId="637" priority="628">
      <formula>LEN(TRIM(J45))&gt;0</formula>
    </cfRule>
  </conditionalFormatting>
  <conditionalFormatting sqref="J45">
    <cfRule type="expression" dxfId="636" priority="627">
      <formula>$J45="R"</formula>
    </cfRule>
  </conditionalFormatting>
  <conditionalFormatting sqref="N45">
    <cfRule type="cellIs" dxfId="635" priority="626" operator="equal">
      <formula>0</formula>
    </cfRule>
  </conditionalFormatting>
  <conditionalFormatting sqref="N45">
    <cfRule type="notContainsBlanks" dxfId="634" priority="625">
      <formula>LEN(TRIM(N45))&gt;0</formula>
    </cfRule>
  </conditionalFormatting>
  <conditionalFormatting sqref="N45">
    <cfRule type="expression" dxfId="633" priority="624">
      <formula>$N45="R"</formula>
    </cfRule>
  </conditionalFormatting>
  <conditionalFormatting sqref="R45">
    <cfRule type="cellIs" dxfId="632" priority="623" operator="equal">
      <formula>0</formula>
    </cfRule>
  </conditionalFormatting>
  <conditionalFormatting sqref="R45">
    <cfRule type="notContainsBlanks" dxfId="631" priority="622">
      <formula>LEN(TRIM(R45))&gt;0</formula>
    </cfRule>
  </conditionalFormatting>
  <conditionalFormatting sqref="R45">
    <cfRule type="expression" dxfId="630" priority="621">
      <formula>$R45="R"</formula>
    </cfRule>
  </conditionalFormatting>
  <conditionalFormatting sqref="V45">
    <cfRule type="notContainsBlanks" dxfId="629" priority="619">
      <formula>LEN(TRIM(V45))&gt;0</formula>
    </cfRule>
  </conditionalFormatting>
  <conditionalFormatting sqref="V45">
    <cfRule type="expression" dxfId="628" priority="618">
      <formula>$V45="R"</formula>
    </cfRule>
  </conditionalFormatting>
  <conditionalFormatting sqref="Z45">
    <cfRule type="cellIs" dxfId="627" priority="617" operator="equal">
      <formula>0</formula>
    </cfRule>
  </conditionalFormatting>
  <conditionalFormatting sqref="Z45">
    <cfRule type="notContainsBlanks" dxfId="626" priority="616">
      <formula>LEN(TRIM(Z45))&gt;0</formula>
    </cfRule>
  </conditionalFormatting>
  <conditionalFormatting sqref="Z45">
    <cfRule type="expression" dxfId="625" priority="615">
      <formula>$Z45="R"</formula>
    </cfRule>
  </conditionalFormatting>
  <conditionalFormatting sqref="AD45">
    <cfRule type="cellIs" dxfId="624" priority="614" operator="equal">
      <formula>0</formula>
    </cfRule>
  </conditionalFormatting>
  <conditionalFormatting sqref="AD45">
    <cfRule type="notContainsBlanks" dxfId="623" priority="613">
      <formula>LEN(TRIM(AD45))&gt;0</formula>
    </cfRule>
  </conditionalFormatting>
  <conditionalFormatting sqref="AD45">
    <cfRule type="expression" dxfId="622" priority="612">
      <formula>$AD45="R"</formula>
    </cfRule>
  </conditionalFormatting>
  <conditionalFormatting sqref="AH45">
    <cfRule type="cellIs" dxfId="621" priority="611" operator="equal">
      <formula>0</formula>
    </cfRule>
  </conditionalFormatting>
  <conditionalFormatting sqref="AH45">
    <cfRule type="notContainsBlanks" dxfId="620" priority="610">
      <formula>LEN(TRIM(AH45))&gt;0</formula>
    </cfRule>
  </conditionalFormatting>
  <conditionalFormatting sqref="AH45">
    <cfRule type="expression" dxfId="619" priority="609">
      <formula>$AH45="R"</formula>
    </cfRule>
  </conditionalFormatting>
  <conditionalFormatting sqref="AL45">
    <cfRule type="cellIs" dxfId="618" priority="608" operator="equal">
      <formula>0</formula>
    </cfRule>
  </conditionalFormatting>
  <conditionalFormatting sqref="AL45">
    <cfRule type="notContainsBlanks" dxfId="617" priority="607">
      <formula>LEN(TRIM(AL45))&gt;0</formula>
    </cfRule>
  </conditionalFormatting>
  <conditionalFormatting sqref="AL45">
    <cfRule type="expression" dxfId="616" priority="606">
      <formula>$AL45="R"</formula>
    </cfRule>
  </conditionalFormatting>
  <conditionalFormatting sqref="AP45">
    <cfRule type="cellIs" dxfId="615" priority="605" operator="equal">
      <formula>0</formula>
    </cfRule>
  </conditionalFormatting>
  <conditionalFormatting sqref="AP45">
    <cfRule type="notContainsBlanks" dxfId="614" priority="604">
      <formula>LEN(TRIM(AP45))&gt;0</formula>
    </cfRule>
  </conditionalFormatting>
  <conditionalFormatting sqref="AP45">
    <cfRule type="expression" dxfId="613" priority="603">
      <formula>$AP45="R"</formula>
    </cfRule>
  </conditionalFormatting>
  <conditionalFormatting sqref="AT45">
    <cfRule type="cellIs" dxfId="612" priority="602" operator="equal">
      <formula>0</formula>
    </cfRule>
  </conditionalFormatting>
  <conditionalFormatting sqref="AT45">
    <cfRule type="notContainsBlanks" dxfId="611" priority="601">
      <formula>LEN(TRIM(AT45))&gt;0</formula>
    </cfRule>
  </conditionalFormatting>
  <conditionalFormatting sqref="AT45">
    <cfRule type="expression" dxfId="610" priority="600">
      <formula>$AT45="R"</formula>
    </cfRule>
  </conditionalFormatting>
  <conditionalFormatting sqref="AX45">
    <cfRule type="cellIs" dxfId="609" priority="599" operator="equal">
      <formula>0</formula>
    </cfRule>
  </conditionalFormatting>
  <conditionalFormatting sqref="AX45">
    <cfRule type="notContainsBlanks" dxfId="608" priority="598">
      <formula>LEN(TRIM(AX45))&gt;0</formula>
    </cfRule>
  </conditionalFormatting>
  <conditionalFormatting sqref="AX45">
    <cfRule type="expression" dxfId="607" priority="597">
      <formula>$AX45="R"</formula>
    </cfRule>
  </conditionalFormatting>
  <conditionalFormatting sqref="BB45">
    <cfRule type="cellIs" dxfId="606" priority="596" operator="equal">
      <formula>0</formula>
    </cfRule>
  </conditionalFormatting>
  <conditionalFormatting sqref="BB45">
    <cfRule type="notContainsBlanks" dxfId="605" priority="595">
      <formula>LEN(TRIM(BB45))&gt;0</formula>
    </cfRule>
  </conditionalFormatting>
  <conditionalFormatting sqref="BB45">
    <cfRule type="expression" dxfId="604" priority="594">
      <formula>$BB45="R"</formula>
    </cfRule>
  </conditionalFormatting>
  <conditionalFormatting sqref="BF45">
    <cfRule type="cellIs" dxfId="603" priority="593" operator="equal">
      <formula>0</formula>
    </cfRule>
  </conditionalFormatting>
  <conditionalFormatting sqref="BF45">
    <cfRule type="notContainsBlanks" dxfId="602" priority="592">
      <formula>LEN(TRIM(BF45))&gt;0</formula>
    </cfRule>
  </conditionalFormatting>
  <conditionalFormatting sqref="BF45">
    <cfRule type="expression" dxfId="601" priority="591">
      <formula>$BF45="R"</formula>
    </cfRule>
  </conditionalFormatting>
  <conditionalFormatting sqref="BJ45">
    <cfRule type="cellIs" dxfId="600" priority="590" operator="equal">
      <formula>0</formula>
    </cfRule>
  </conditionalFormatting>
  <conditionalFormatting sqref="BJ45">
    <cfRule type="notContainsBlanks" dxfId="599" priority="589">
      <formula>LEN(TRIM(BJ45))&gt;0</formula>
    </cfRule>
  </conditionalFormatting>
  <conditionalFormatting sqref="BJ45">
    <cfRule type="expression" dxfId="598" priority="588">
      <formula>$BJ45="R"</formula>
    </cfRule>
  </conditionalFormatting>
  <conditionalFormatting sqref="BN45">
    <cfRule type="cellIs" dxfId="597" priority="587" operator="equal">
      <formula>0</formula>
    </cfRule>
  </conditionalFormatting>
  <conditionalFormatting sqref="BN45">
    <cfRule type="notContainsBlanks" dxfId="596" priority="586">
      <formula>LEN(TRIM(BN45))&gt;0</formula>
    </cfRule>
  </conditionalFormatting>
  <conditionalFormatting sqref="BN45">
    <cfRule type="expression" dxfId="595" priority="585">
      <formula>$BN45="R"</formula>
    </cfRule>
  </conditionalFormatting>
  <conditionalFormatting sqref="BR45">
    <cfRule type="cellIs" dxfId="594" priority="584" operator="equal">
      <formula>0</formula>
    </cfRule>
  </conditionalFormatting>
  <conditionalFormatting sqref="BR45">
    <cfRule type="notContainsBlanks" dxfId="593" priority="583">
      <formula>LEN(TRIM(BR45))&gt;0</formula>
    </cfRule>
  </conditionalFormatting>
  <conditionalFormatting sqref="BR45">
    <cfRule type="expression" dxfId="592" priority="582">
      <formula>$BR45="R"</formula>
    </cfRule>
  </conditionalFormatting>
  <conditionalFormatting sqref="BV45">
    <cfRule type="cellIs" dxfId="591" priority="581" operator="equal">
      <formula>0</formula>
    </cfRule>
  </conditionalFormatting>
  <conditionalFormatting sqref="BV45">
    <cfRule type="notContainsBlanks" dxfId="590" priority="580">
      <formula>LEN(TRIM(BV45))&gt;0</formula>
    </cfRule>
  </conditionalFormatting>
  <conditionalFormatting sqref="BV45">
    <cfRule type="expression" dxfId="589" priority="579">
      <formula>$BV45="R"</formula>
    </cfRule>
  </conditionalFormatting>
  <conditionalFormatting sqref="BZ45">
    <cfRule type="cellIs" dxfId="588" priority="578" operator="equal">
      <formula>0</formula>
    </cfRule>
  </conditionalFormatting>
  <conditionalFormatting sqref="BZ45">
    <cfRule type="notContainsBlanks" dxfId="587" priority="577">
      <formula>LEN(TRIM(BZ45))&gt;0</formula>
    </cfRule>
  </conditionalFormatting>
  <conditionalFormatting sqref="BZ45">
    <cfRule type="expression" dxfId="586" priority="576">
      <formula>$BZ45="R"</formula>
    </cfRule>
  </conditionalFormatting>
  <conditionalFormatting sqref="CD45">
    <cfRule type="cellIs" dxfId="585" priority="575" operator="equal">
      <formula>0</formula>
    </cfRule>
  </conditionalFormatting>
  <conditionalFormatting sqref="CD45">
    <cfRule type="notContainsBlanks" dxfId="584" priority="574">
      <formula>LEN(TRIM(CD45))&gt;0</formula>
    </cfRule>
  </conditionalFormatting>
  <conditionalFormatting sqref="CD45">
    <cfRule type="expression" dxfId="583" priority="573">
      <formula>$CD45="R"</formula>
    </cfRule>
  </conditionalFormatting>
  <conditionalFormatting sqref="F44">
    <cfRule type="cellIs" dxfId="582" priority="570" operator="equal">
      <formula>0</formula>
    </cfRule>
  </conditionalFormatting>
  <conditionalFormatting sqref="F44">
    <cfRule type="notContainsBlanks" dxfId="581" priority="569">
      <formula>LEN(TRIM(F44))&gt;0</formula>
    </cfRule>
  </conditionalFormatting>
  <conditionalFormatting sqref="F44">
    <cfRule type="expression" dxfId="580" priority="568">
      <formula>I44="R"</formula>
    </cfRule>
  </conditionalFormatting>
  <conditionalFormatting sqref="J44">
    <cfRule type="notContainsBlanks" dxfId="579" priority="566">
      <formula>LEN(TRIM(J44))&gt;0</formula>
    </cfRule>
  </conditionalFormatting>
  <conditionalFormatting sqref="J44">
    <cfRule type="expression" dxfId="578" priority="565">
      <formula>$J44="R"</formula>
    </cfRule>
  </conditionalFormatting>
  <conditionalFormatting sqref="N44">
    <cfRule type="cellIs" dxfId="577" priority="564" operator="equal">
      <formula>0</formula>
    </cfRule>
  </conditionalFormatting>
  <conditionalFormatting sqref="N44">
    <cfRule type="notContainsBlanks" dxfId="576" priority="563">
      <formula>LEN(TRIM(N44))&gt;0</formula>
    </cfRule>
  </conditionalFormatting>
  <conditionalFormatting sqref="N44">
    <cfRule type="expression" dxfId="575" priority="562">
      <formula>$N44="R"</formula>
    </cfRule>
  </conditionalFormatting>
  <conditionalFormatting sqref="R44">
    <cfRule type="notContainsBlanks" dxfId="574" priority="560">
      <formula>LEN(TRIM(R44))&gt;0</formula>
    </cfRule>
  </conditionalFormatting>
  <conditionalFormatting sqref="R44">
    <cfRule type="expression" dxfId="573" priority="559">
      <formula>$R44="R"</formula>
    </cfRule>
  </conditionalFormatting>
  <conditionalFormatting sqref="V44">
    <cfRule type="cellIs" dxfId="572" priority="558" operator="equal">
      <formula>0</formula>
    </cfRule>
  </conditionalFormatting>
  <conditionalFormatting sqref="V44">
    <cfRule type="notContainsBlanks" dxfId="571" priority="557">
      <formula>LEN(TRIM(V44))&gt;0</formula>
    </cfRule>
  </conditionalFormatting>
  <conditionalFormatting sqref="V44">
    <cfRule type="expression" dxfId="570" priority="556">
      <formula>$V44="R"</formula>
    </cfRule>
  </conditionalFormatting>
  <conditionalFormatting sqref="Z44">
    <cfRule type="notContainsBlanks" dxfId="569" priority="554">
      <formula>LEN(TRIM(Z44))&gt;0</formula>
    </cfRule>
  </conditionalFormatting>
  <conditionalFormatting sqref="Z44">
    <cfRule type="expression" dxfId="568" priority="553">
      <formula>$Z44="R"</formula>
    </cfRule>
  </conditionalFormatting>
  <conditionalFormatting sqref="AD44">
    <cfRule type="cellIs" dxfId="567" priority="552" operator="equal">
      <formula>0</formula>
    </cfRule>
  </conditionalFormatting>
  <conditionalFormatting sqref="AD44">
    <cfRule type="notContainsBlanks" dxfId="566" priority="551">
      <formula>LEN(TRIM(AD44))&gt;0</formula>
    </cfRule>
  </conditionalFormatting>
  <conditionalFormatting sqref="AD44">
    <cfRule type="expression" dxfId="565" priority="550">
      <formula>$AD44="R"</formula>
    </cfRule>
  </conditionalFormatting>
  <conditionalFormatting sqref="AH44">
    <cfRule type="notContainsBlanks" dxfId="564" priority="548">
      <formula>LEN(TRIM(AH44))&gt;0</formula>
    </cfRule>
  </conditionalFormatting>
  <conditionalFormatting sqref="AH44">
    <cfRule type="expression" dxfId="563" priority="547">
      <formula>$AH44="R"</formula>
    </cfRule>
  </conditionalFormatting>
  <conditionalFormatting sqref="AL44">
    <cfRule type="cellIs" dxfId="562" priority="546" operator="equal">
      <formula>0</formula>
    </cfRule>
  </conditionalFormatting>
  <conditionalFormatting sqref="AL44">
    <cfRule type="notContainsBlanks" dxfId="561" priority="545">
      <formula>LEN(TRIM(AL44))&gt;0</formula>
    </cfRule>
  </conditionalFormatting>
  <conditionalFormatting sqref="AL44">
    <cfRule type="expression" dxfId="560" priority="544">
      <formula>$AL44="R"</formula>
    </cfRule>
  </conditionalFormatting>
  <conditionalFormatting sqref="AP44">
    <cfRule type="notContainsBlanks" dxfId="559" priority="542">
      <formula>LEN(TRIM(AP44))&gt;0</formula>
    </cfRule>
  </conditionalFormatting>
  <conditionalFormatting sqref="AP44">
    <cfRule type="expression" dxfId="558" priority="541">
      <formula>$AP44="R"</formula>
    </cfRule>
  </conditionalFormatting>
  <conditionalFormatting sqref="AT44">
    <cfRule type="cellIs" dxfId="557" priority="540" operator="equal">
      <formula>0</formula>
    </cfRule>
  </conditionalFormatting>
  <conditionalFormatting sqref="AT44">
    <cfRule type="notContainsBlanks" dxfId="556" priority="539">
      <formula>LEN(TRIM(AT44))&gt;0</formula>
    </cfRule>
  </conditionalFormatting>
  <conditionalFormatting sqref="AT44">
    <cfRule type="expression" dxfId="555" priority="538">
      <formula>$AT44="R"</formula>
    </cfRule>
  </conditionalFormatting>
  <conditionalFormatting sqref="AX44">
    <cfRule type="notContainsBlanks" dxfId="554" priority="536">
      <formula>LEN(TRIM(AX44))&gt;0</formula>
    </cfRule>
  </conditionalFormatting>
  <conditionalFormatting sqref="AX44">
    <cfRule type="expression" dxfId="553" priority="535">
      <formula>$AX44="R"</formula>
    </cfRule>
  </conditionalFormatting>
  <conditionalFormatting sqref="BB44">
    <cfRule type="cellIs" dxfId="552" priority="534" operator="equal">
      <formula>0</formula>
    </cfRule>
  </conditionalFormatting>
  <conditionalFormatting sqref="BB44">
    <cfRule type="notContainsBlanks" dxfId="551" priority="533">
      <formula>LEN(TRIM(BB44))&gt;0</formula>
    </cfRule>
  </conditionalFormatting>
  <conditionalFormatting sqref="BB44">
    <cfRule type="expression" dxfId="550" priority="532">
      <formula>$BB44="R"</formula>
    </cfRule>
  </conditionalFormatting>
  <conditionalFormatting sqref="BF44">
    <cfRule type="notContainsBlanks" dxfId="549" priority="530">
      <formula>LEN(TRIM(BF44))&gt;0</formula>
    </cfRule>
  </conditionalFormatting>
  <conditionalFormatting sqref="BF44">
    <cfRule type="expression" dxfId="548" priority="529">
      <formula>$BF44="R"</formula>
    </cfRule>
  </conditionalFormatting>
  <conditionalFormatting sqref="BJ44">
    <cfRule type="cellIs" dxfId="547" priority="528" operator="equal">
      <formula>0</formula>
    </cfRule>
  </conditionalFormatting>
  <conditionalFormatting sqref="BJ44">
    <cfRule type="notContainsBlanks" dxfId="546" priority="527">
      <formula>LEN(TRIM(BJ44))&gt;0</formula>
    </cfRule>
  </conditionalFormatting>
  <conditionalFormatting sqref="BJ44">
    <cfRule type="expression" dxfId="545" priority="526">
      <formula>$BJ44="R"</formula>
    </cfRule>
  </conditionalFormatting>
  <conditionalFormatting sqref="BN44">
    <cfRule type="notContainsBlanks" dxfId="544" priority="524">
      <formula>LEN(TRIM(BN44))&gt;0</formula>
    </cfRule>
  </conditionalFormatting>
  <conditionalFormatting sqref="BN44">
    <cfRule type="expression" dxfId="543" priority="523">
      <formula>$BN44="R"</formula>
    </cfRule>
  </conditionalFormatting>
  <conditionalFormatting sqref="BR44">
    <cfRule type="cellIs" dxfId="542" priority="522" operator="equal">
      <formula>0</formula>
    </cfRule>
  </conditionalFormatting>
  <conditionalFormatting sqref="BR44">
    <cfRule type="notContainsBlanks" dxfId="541" priority="521">
      <formula>LEN(TRIM(BR44))&gt;0</formula>
    </cfRule>
  </conditionalFormatting>
  <conditionalFormatting sqref="BR44">
    <cfRule type="expression" dxfId="540" priority="520">
      <formula>$BR44="R"</formula>
    </cfRule>
  </conditionalFormatting>
  <conditionalFormatting sqref="BV44">
    <cfRule type="notContainsBlanks" dxfId="539" priority="518">
      <formula>LEN(TRIM(BV44))&gt;0</formula>
    </cfRule>
  </conditionalFormatting>
  <conditionalFormatting sqref="BV44">
    <cfRule type="expression" dxfId="538" priority="517">
      <formula>$BV44="R"</formula>
    </cfRule>
  </conditionalFormatting>
  <conditionalFormatting sqref="BZ44">
    <cfRule type="cellIs" dxfId="537" priority="516" operator="equal">
      <formula>0</formula>
    </cfRule>
  </conditionalFormatting>
  <conditionalFormatting sqref="BZ44">
    <cfRule type="notContainsBlanks" dxfId="536" priority="515">
      <formula>LEN(TRIM(BZ44))&gt;0</formula>
    </cfRule>
  </conditionalFormatting>
  <conditionalFormatting sqref="BZ44">
    <cfRule type="expression" dxfId="535" priority="514">
      <formula>$BZ44="R"</formula>
    </cfRule>
  </conditionalFormatting>
  <conditionalFormatting sqref="CD44">
    <cfRule type="notContainsBlanks" dxfId="534" priority="512">
      <formula>LEN(TRIM(CD44))&gt;0</formula>
    </cfRule>
  </conditionalFormatting>
  <conditionalFormatting sqref="CD44">
    <cfRule type="expression" dxfId="533" priority="511">
      <formula>$CD44="R"</formula>
    </cfRule>
  </conditionalFormatting>
  <conditionalFormatting sqref="C5:E47">
    <cfRule type="cellIs" dxfId="532" priority="510" operator="equal">
      <formula>0</formula>
    </cfRule>
  </conditionalFormatting>
  <conditionalFormatting sqref="C5:E47">
    <cfRule type="notContainsBlanks" dxfId="531" priority="509">
      <formula>LEN(TRIM(C5))&gt;0</formula>
    </cfRule>
  </conditionalFormatting>
  <conditionalFormatting sqref="C5:E47">
    <cfRule type="expression" dxfId="530" priority="508">
      <formula>F5="R"</formula>
    </cfRule>
  </conditionalFormatting>
  <conditionalFormatting sqref="G4:I4">
    <cfRule type="notContainsBlanks" dxfId="529" priority="506">
      <formula>LEN(TRIM(G4))&gt;0</formula>
    </cfRule>
  </conditionalFormatting>
  <conditionalFormatting sqref="G4:I4">
    <cfRule type="expression" dxfId="528" priority="505">
      <formula>J4="R"</formula>
    </cfRule>
  </conditionalFormatting>
  <conditionalFormatting sqref="G5:I47">
    <cfRule type="cellIs" dxfId="527" priority="504" operator="equal">
      <formula>0</formula>
    </cfRule>
  </conditionalFormatting>
  <conditionalFormatting sqref="G5:I47">
    <cfRule type="notContainsBlanks" dxfId="526" priority="503">
      <formula>LEN(TRIM(G5))&gt;0</formula>
    </cfRule>
  </conditionalFormatting>
  <conditionalFormatting sqref="G5:I47">
    <cfRule type="expression" dxfId="525" priority="502">
      <formula>J5="R"</formula>
    </cfRule>
  </conditionalFormatting>
  <conditionalFormatting sqref="K4:M4">
    <cfRule type="notContainsBlanks" dxfId="524" priority="500">
      <formula>LEN(TRIM(K4))&gt;0</formula>
    </cfRule>
  </conditionalFormatting>
  <conditionalFormatting sqref="K4:M4">
    <cfRule type="expression" dxfId="523" priority="499">
      <formula>N4="R"</formula>
    </cfRule>
  </conditionalFormatting>
  <conditionalFormatting sqref="K5:M47">
    <cfRule type="cellIs" dxfId="522" priority="498" operator="equal">
      <formula>0</formula>
    </cfRule>
  </conditionalFormatting>
  <conditionalFormatting sqref="K5:M47">
    <cfRule type="notContainsBlanks" dxfId="521" priority="497">
      <formula>LEN(TRIM(K5))&gt;0</formula>
    </cfRule>
  </conditionalFormatting>
  <conditionalFormatting sqref="K5:M47">
    <cfRule type="expression" dxfId="520" priority="496">
      <formula>N5="R"</formula>
    </cfRule>
  </conditionalFormatting>
  <conditionalFormatting sqref="O4:Q4">
    <cfRule type="notContainsBlanks" dxfId="519" priority="494">
      <formula>LEN(TRIM(O4))&gt;0</formula>
    </cfRule>
  </conditionalFormatting>
  <conditionalFormatting sqref="O4:Q4">
    <cfRule type="expression" dxfId="518" priority="493">
      <formula>R4="R"</formula>
    </cfRule>
  </conditionalFormatting>
  <conditionalFormatting sqref="O5:Q47">
    <cfRule type="cellIs" dxfId="517" priority="492" operator="equal">
      <formula>0</formula>
    </cfRule>
  </conditionalFormatting>
  <conditionalFormatting sqref="O5:Q47">
    <cfRule type="notContainsBlanks" dxfId="516" priority="491">
      <formula>LEN(TRIM(O5))&gt;0</formula>
    </cfRule>
  </conditionalFormatting>
  <conditionalFormatting sqref="O5:Q47">
    <cfRule type="expression" dxfId="515" priority="490">
      <formula>R5="R"</formula>
    </cfRule>
  </conditionalFormatting>
  <conditionalFormatting sqref="S4:U4">
    <cfRule type="notContainsBlanks" dxfId="514" priority="488">
      <formula>LEN(TRIM(S4))&gt;0</formula>
    </cfRule>
  </conditionalFormatting>
  <conditionalFormatting sqref="S4:U4">
    <cfRule type="expression" dxfId="513" priority="487">
      <formula>V4="R"</formula>
    </cfRule>
  </conditionalFormatting>
  <conditionalFormatting sqref="S5:U47">
    <cfRule type="cellIs" dxfId="512" priority="486" operator="equal">
      <formula>0</formula>
    </cfRule>
  </conditionalFormatting>
  <conditionalFormatting sqref="S5:U47">
    <cfRule type="notContainsBlanks" dxfId="511" priority="485">
      <formula>LEN(TRIM(S5))&gt;0</formula>
    </cfRule>
  </conditionalFormatting>
  <conditionalFormatting sqref="S5:U47">
    <cfRule type="expression" dxfId="510" priority="484">
      <formula>V5="R"</formula>
    </cfRule>
  </conditionalFormatting>
  <conditionalFormatting sqref="W4:Y4">
    <cfRule type="notContainsBlanks" dxfId="509" priority="482">
      <formula>LEN(TRIM(W4))&gt;0</formula>
    </cfRule>
  </conditionalFormatting>
  <conditionalFormatting sqref="W4:Y4">
    <cfRule type="expression" dxfId="508" priority="481">
      <formula>Z4="R"</formula>
    </cfRule>
  </conditionalFormatting>
  <conditionalFormatting sqref="W5:Y47">
    <cfRule type="cellIs" dxfId="507" priority="480" operator="equal">
      <formula>0</formula>
    </cfRule>
  </conditionalFormatting>
  <conditionalFormatting sqref="W5:Y47">
    <cfRule type="notContainsBlanks" dxfId="506" priority="479">
      <formula>LEN(TRIM(W5))&gt;0</formula>
    </cfRule>
  </conditionalFormatting>
  <conditionalFormatting sqref="W5:Y47">
    <cfRule type="expression" dxfId="505" priority="478">
      <formula>Z5="R"</formula>
    </cfRule>
  </conditionalFormatting>
  <conditionalFormatting sqref="AA4:AC4">
    <cfRule type="cellIs" dxfId="504" priority="477" operator="equal">
      <formula>0</formula>
    </cfRule>
  </conditionalFormatting>
  <conditionalFormatting sqref="AA4:AC4">
    <cfRule type="notContainsBlanks" dxfId="503" priority="476">
      <formula>LEN(TRIM(AA4))&gt;0</formula>
    </cfRule>
  </conditionalFormatting>
  <conditionalFormatting sqref="AA4:AC4">
    <cfRule type="expression" dxfId="502" priority="475">
      <formula>AD4="R"</formula>
    </cfRule>
  </conditionalFormatting>
  <conditionalFormatting sqref="AA5:AC47">
    <cfRule type="cellIs" dxfId="501" priority="474" operator="equal">
      <formula>0</formula>
    </cfRule>
  </conditionalFormatting>
  <conditionalFormatting sqref="AA5:AC47">
    <cfRule type="notContainsBlanks" dxfId="500" priority="473">
      <formula>LEN(TRIM(AA5))&gt;0</formula>
    </cfRule>
  </conditionalFormatting>
  <conditionalFormatting sqref="AA5:AC47">
    <cfRule type="expression" dxfId="499" priority="472">
      <formula>AD5="R"</formula>
    </cfRule>
  </conditionalFormatting>
  <conditionalFormatting sqref="AE4:AG4">
    <cfRule type="cellIs" dxfId="498" priority="471" operator="equal">
      <formula>0</formula>
    </cfRule>
  </conditionalFormatting>
  <conditionalFormatting sqref="AE4:AG4">
    <cfRule type="notContainsBlanks" dxfId="497" priority="470">
      <formula>LEN(TRIM(AE4))&gt;0</formula>
    </cfRule>
  </conditionalFormatting>
  <conditionalFormatting sqref="AE4:AG4">
    <cfRule type="expression" dxfId="496" priority="469">
      <formula>AH4="R"</formula>
    </cfRule>
  </conditionalFormatting>
  <conditionalFormatting sqref="AE5:AG47">
    <cfRule type="cellIs" dxfId="495" priority="468" operator="equal">
      <formula>0</formula>
    </cfRule>
  </conditionalFormatting>
  <conditionalFormatting sqref="AE5:AG47">
    <cfRule type="notContainsBlanks" dxfId="494" priority="467">
      <formula>LEN(TRIM(AE5))&gt;0</formula>
    </cfRule>
  </conditionalFormatting>
  <conditionalFormatting sqref="AE5:AG47">
    <cfRule type="expression" dxfId="493" priority="466">
      <formula>AH5="R"</formula>
    </cfRule>
  </conditionalFormatting>
  <conditionalFormatting sqref="AI4:AK4">
    <cfRule type="cellIs" dxfId="492" priority="465" operator="equal">
      <formula>0</formula>
    </cfRule>
  </conditionalFormatting>
  <conditionalFormatting sqref="AI4:AK4">
    <cfRule type="notContainsBlanks" dxfId="491" priority="464">
      <formula>LEN(TRIM(AI4))&gt;0</formula>
    </cfRule>
  </conditionalFormatting>
  <conditionalFormatting sqref="AI4:AK4">
    <cfRule type="expression" dxfId="490" priority="463">
      <formula>AL4="R"</formula>
    </cfRule>
  </conditionalFormatting>
  <conditionalFormatting sqref="AI5:AK47">
    <cfRule type="cellIs" dxfId="489" priority="462" operator="equal">
      <formula>0</formula>
    </cfRule>
  </conditionalFormatting>
  <conditionalFormatting sqref="AI5:AK47">
    <cfRule type="notContainsBlanks" dxfId="488" priority="461">
      <formula>LEN(TRIM(AI5))&gt;0</formula>
    </cfRule>
  </conditionalFormatting>
  <conditionalFormatting sqref="AI5:AK47">
    <cfRule type="expression" dxfId="487" priority="460">
      <formula>AL5="R"</formula>
    </cfRule>
  </conditionalFormatting>
  <conditionalFormatting sqref="AM4:AO4">
    <cfRule type="cellIs" dxfId="486" priority="459" operator="equal">
      <formula>0</formula>
    </cfRule>
  </conditionalFormatting>
  <conditionalFormatting sqref="AM4:AO4">
    <cfRule type="notContainsBlanks" dxfId="485" priority="458">
      <formula>LEN(TRIM(AM4))&gt;0</formula>
    </cfRule>
  </conditionalFormatting>
  <conditionalFormatting sqref="AM4:AO4">
    <cfRule type="expression" dxfId="484" priority="457">
      <formula>AP4="R"</formula>
    </cfRule>
  </conditionalFormatting>
  <conditionalFormatting sqref="AM5:AO47">
    <cfRule type="cellIs" dxfId="483" priority="456" operator="equal">
      <formula>0</formula>
    </cfRule>
  </conditionalFormatting>
  <conditionalFormatting sqref="AM5:AO47">
    <cfRule type="notContainsBlanks" dxfId="482" priority="455">
      <formula>LEN(TRIM(AM5))&gt;0</formula>
    </cfRule>
  </conditionalFormatting>
  <conditionalFormatting sqref="AM5:AO47">
    <cfRule type="expression" dxfId="481" priority="454">
      <formula>AP5="R"</formula>
    </cfRule>
  </conditionalFormatting>
  <conditionalFormatting sqref="AQ4:AS4">
    <cfRule type="cellIs" dxfId="480" priority="453" operator="equal">
      <formula>0</formula>
    </cfRule>
  </conditionalFormatting>
  <conditionalFormatting sqref="AQ4:AS4">
    <cfRule type="notContainsBlanks" dxfId="479" priority="452">
      <formula>LEN(TRIM(AQ4))&gt;0</formula>
    </cfRule>
  </conditionalFormatting>
  <conditionalFormatting sqref="AQ4:AS4">
    <cfRule type="expression" dxfId="478" priority="451">
      <formula>AT4="R"</formula>
    </cfRule>
  </conditionalFormatting>
  <conditionalFormatting sqref="AQ5:AS47">
    <cfRule type="cellIs" dxfId="477" priority="450" operator="equal">
      <formula>0</formula>
    </cfRule>
  </conditionalFormatting>
  <conditionalFormatting sqref="AQ5:AS47">
    <cfRule type="notContainsBlanks" dxfId="476" priority="449">
      <formula>LEN(TRIM(AQ5))&gt;0</formula>
    </cfRule>
  </conditionalFormatting>
  <conditionalFormatting sqref="AQ5:AS47">
    <cfRule type="expression" dxfId="475" priority="448">
      <formula>AT5="R"</formula>
    </cfRule>
  </conditionalFormatting>
  <conditionalFormatting sqref="AU4:AW4">
    <cfRule type="cellIs" dxfId="474" priority="447" operator="equal">
      <formula>0</formula>
    </cfRule>
  </conditionalFormatting>
  <conditionalFormatting sqref="AU4:AW4">
    <cfRule type="notContainsBlanks" dxfId="473" priority="446">
      <formula>LEN(TRIM(AU4))&gt;0</formula>
    </cfRule>
  </conditionalFormatting>
  <conditionalFormatting sqref="AU4:AW4">
    <cfRule type="expression" dxfId="472" priority="445">
      <formula>AX4="R"</formula>
    </cfRule>
  </conditionalFormatting>
  <conditionalFormatting sqref="AU5:AW47">
    <cfRule type="cellIs" dxfId="471" priority="444" operator="equal">
      <formula>0</formula>
    </cfRule>
  </conditionalFormatting>
  <conditionalFormatting sqref="AU5:AW47">
    <cfRule type="notContainsBlanks" dxfId="470" priority="443">
      <formula>LEN(TRIM(AU5))&gt;0</formula>
    </cfRule>
  </conditionalFormatting>
  <conditionalFormatting sqref="AU5:AW47">
    <cfRule type="expression" dxfId="469" priority="442">
      <formula>AX5="R"</formula>
    </cfRule>
  </conditionalFormatting>
  <conditionalFormatting sqref="AY4:BA4">
    <cfRule type="cellIs" dxfId="468" priority="441" operator="equal">
      <formula>0</formula>
    </cfRule>
  </conditionalFormatting>
  <conditionalFormatting sqref="AY4:BA4">
    <cfRule type="notContainsBlanks" dxfId="467" priority="440">
      <formula>LEN(TRIM(AY4))&gt;0</formula>
    </cfRule>
  </conditionalFormatting>
  <conditionalFormatting sqref="AY4:BA4">
    <cfRule type="expression" dxfId="466" priority="439">
      <formula>BB4="R"</formula>
    </cfRule>
  </conditionalFormatting>
  <conditionalFormatting sqref="AY5:BA47">
    <cfRule type="cellIs" dxfId="465" priority="438" operator="equal">
      <formula>0</formula>
    </cfRule>
  </conditionalFormatting>
  <conditionalFormatting sqref="AY5:BA47">
    <cfRule type="notContainsBlanks" dxfId="464" priority="437">
      <formula>LEN(TRIM(AY5))&gt;0</formula>
    </cfRule>
  </conditionalFormatting>
  <conditionalFormatting sqref="AY5:BA47">
    <cfRule type="expression" dxfId="463" priority="436">
      <formula>BB5="R"</formula>
    </cfRule>
  </conditionalFormatting>
  <conditionalFormatting sqref="BC4:BE4">
    <cfRule type="cellIs" dxfId="462" priority="435" operator="equal">
      <formula>0</formula>
    </cfRule>
  </conditionalFormatting>
  <conditionalFormatting sqref="BC4:BE4">
    <cfRule type="notContainsBlanks" dxfId="461" priority="434">
      <formula>LEN(TRIM(BC4))&gt;0</formula>
    </cfRule>
  </conditionalFormatting>
  <conditionalFormatting sqref="BC4:BE4">
    <cfRule type="expression" dxfId="460" priority="433">
      <formula>BF4="R"</formula>
    </cfRule>
  </conditionalFormatting>
  <conditionalFormatting sqref="BC5:BE47">
    <cfRule type="cellIs" dxfId="459" priority="432" operator="equal">
      <formula>0</formula>
    </cfRule>
  </conditionalFormatting>
  <conditionalFormatting sqref="BC5:BE47">
    <cfRule type="notContainsBlanks" dxfId="458" priority="431">
      <formula>LEN(TRIM(BC5))&gt;0</formula>
    </cfRule>
  </conditionalFormatting>
  <conditionalFormatting sqref="BC5:BE47">
    <cfRule type="expression" dxfId="457" priority="430">
      <formula>BF5="R"</formula>
    </cfRule>
  </conditionalFormatting>
  <conditionalFormatting sqref="BG4:BI4">
    <cfRule type="cellIs" dxfId="456" priority="429" operator="equal">
      <formula>0</formula>
    </cfRule>
  </conditionalFormatting>
  <conditionalFormatting sqref="BG4:BI4">
    <cfRule type="notContainsBlanks" dxfId="455" priority="428">
      <formula>LEN(TRIM(BG4))&gt;0</formula>
    </cfRule>
  </conditionalFormatting>
  <conditionalFormatting sqref="BG4:BI4">
    <cfRule type="expression" dxfId="454" priority="427">
      <formula>BJ4="R"</formula>
    </cfRule>
  </conditionalFormatting>
  <conditionalFormatting sqref="BG5:BI47">
    <cfRule type="cellIs" dxfId="453" priority="426" operator="equal">
      <formula>0</formula>
    </cfRule>
  </conditionalFormatting>
  <conditionalFormatting sqref="BG5:BI47">
    <cfRule type="notContainsBlanks" dxfId="452" priority="425">
      <formula>LEN(TRIM(BG5))&gt;0</formula>
    </cfRule>
  </conditionalFormatting>
  <conditionalFormatting sqref="BG5:BI47">
    <cfRule type="expression" dxfId="451" priority="424">
      <formula>BJ5="R"</formula>
    </cfRule>
  </conditionalFormatting>
  <conditionalFormatting sqref="BK4:BM4">
    <cfRule type="cellIs" dxfId="450" priority="423" operator="equal">
      <formula>0</formula>
    </cfRule>
  </conditionalFormatting>
  <conditionalFormatting sqref="BK4:BM4">
    <cfRule type="notContainsBlanks" dxfId="449" priority="422">
      <formula>LEN(TRIM(BK4))&gt;0</formula>
    </cfRule>
  </conditionalFormatting>
  <conditionalFormatting sqref="BK4:BM4">
    <cfRule type="expression" dxfId="448" priority="421">
      <formula>BN4="R"</formula>
    </cfRule>
  </conditionalFormatting>
  <conditionalFormatting sqref="BK5:BM47">
    <cfRule type="cellIs" dxfId="447" priority="420" operator="equal">
      <formula>0</formula>
    </cfRule>
  </conditionalFormatting>
  <conditionalFormatting sqref="BK5:BM47">
    <cfRule type="notContainsBlanks" dxfId="446" priority="419">
      <formula>LEN(TRIM(BK5))&gt;0</formula>
    </cfRule>
  </conditionalFormatting>
  <conditionalFormatting sqref="BK5:BM47">
    <cfRule type="expression" dxfId="445" priority="418">
      <formula>BN5="R"</formula>
    </cfRule>
  </conditionalFormatting>
  <conditionalFormatting sqref="BO4:BQ4">
    <cfRule type="cellIs" dxfId="444" priority="417" operator="equal">
      <formula>0</formula>
    </cfRule>
  </conditionalFormatting>
  <conditionalFormatting sqref="BO4:BQ4">
    <cfRule type="notContainsBlanks" dxfId="443" priority="416">
      <formula>LEN(TRIM(BO4))&gt;0</formula>
    </cfRule>
  </conditionalFormatting>
  <conditionalFormatting sqref="BO4:BQ4">
    <cfRule type="expression" dxfId="442" priority="415">
      <formula>BR4="R"</formula>
    </cfRule>
  </conditionalFormatting>
  <conditionalFormatting sqref="BO5:BQ47">
    <cfRule type="cellIs" dxfId="441" priority="414" operator="equal">
      <formula>0</formula>
    </cfRule>
  </conditionalFormatting>
  <conditionalFormatting sqref="BO5:BQ47">
    <cfRule type="notContainsBlanks" dxfId="440" priority="413">
      <formula>LEN(TRIM(BO5))&gt;0</formula>
    </cfRule>
  </conditionalFormatting>
  <conditionalFormatting sqref="BO5:BQ47">
    <cfRule type="expression" dxfId="439" priority="412">
      <formula>BR5="R"</formula>
    </cfRule>
  </conditionalFormatting>
  <conditionalFormatting sqref="BS4:BU4">
    <cfRule type="cellIs" dxfId="438" priority="411" operator="equal">
      <formula>0</formula>
    </cfRule>
  </conditionalFormatting>
  <conditionalFormatting sqref="BS4:BU4">
    <cfRule type="notContainsBlanks" dxfId="437" priority="410">
      <formula>LEN(TRIM(BS4))&gt;0</formula>
    </cfRule>
  </conditionalFormatting>
  <conditionalFormatting sqref="BS4:BU4">
    <cfRule type="expression" dxfId="436" priority="409">
      <formula>BV4="R"</formula>
    </cfRule>
  </conditionalFormatting>
  <conditionalFormatting sqref="BS5:BU47">
    <cfRule type="cellIs" dxfId="435" priority="408" operator="equal">
      <formula>0</formula>
    </cfRule>
  </conditionalFormatting>
  <conditionalFormatting sqref="BS5:BU47">
    <cfRule type="notContainsBlanks" dxfId="434" priority="407">
      <formula>LEN(TRIM(BS5))&gt;0</formula>
    </cfRule>
  </conditionalFormatting>
  <conditionalFormatting sqref="BS5:BU47">
    <cfRule type="expression" dxfId="433" priority="406">
      <formula>BV5="R"</formula>
    </cfRule>
  </conditionalFormatting>
  <conditionalFormatting sqref="BW4:BY4">
    <cfRule type="cellIs" dxfId="432" priority="405" operator="equal">
      <formula>0</formula>
    </cfRule>
  </conditionalFormatting>
  <conditionalFormatting sqref="BW4:BY4">
    <cfRule type="notContainsBlanks" dxfId="431" priority="404">
      <formula>LEN(TRIM(BW4))&gt;0</formula>
    </cfRule>
  </conditionalFormatting>
  <conditionalFormatting sqref="BW4:BY4">
    <cfRule type="expression" dxfId="430" priority="403">
      <formula>BZ4="R"</formula>
    </cfRule>
  </conditionalFormatting>
  <conditionalFormatting sqref="BW5:BY47">
    <cfRule type="cellIs" dxfId="429" priority="402" operator="equal">
      <formula>0</formula>
    </cfRule>
  </conditionalFormatting>
  <conditionalFormatting sqref="BW5:BY47">
    <cfRule type="notContainsBlanks" dxfId="428" priority="401">
      <formula>LEN(TRIM(BW5))&gt;0</formula>
    </cfRule>
  </conditionalFormatting>
  <conditionalFormatting sqref="BW5:BY47">
    <cfRule type="expression" dxfId="427" priority="400">
      <formula>BZ5="R"</formula>
    </cfRule>
  </conditionalFormatting>
  <conditionalFormatting sqref="CA4:CC4">
    <cfRule type="cellIs" dxfId="426" priority="399" operator="equal">
      <formula>0</formula>
    </cfRule>
  </conditionalFormatting>
  <conditionalFormatting sqref="CA4:CC4">
    <cfRule type="notContainsBlanks" dxfId="425" priority="398">
      <formula>LEN(TRIM(CA4))&gt;0</formula>
    </cfRule>
  </conditionalFormatting>
  <conditionalFormatting sqref="CA4:CC4">
    <cfRule type="expression" dxfId="424" priority="397">
      <formula>CD4="R"</formula>
    </cfRule>
  </conditionalFormatting>
  <conditionalFormatting sqref="CA5:CC47">
    <cfRule type="cellIs" dxfId="423" priority="396" operator="equal">
      <formula>0</formula>
    </cfRule>
  </conditionalFormatting>
  <conditionalFormatting sqref="CA5:CC47">
    <cfRule type="notContainsBlanks" dxfId="422" priority="395">
      <formula>LEN(TRIM(CA5))&gt;0</formula>
    </cfRule>
  </conditionalFormatting>
  <conditionalFormatting sqref="CA5:CC47">
    <cfRule type="expression" dxfId="421" priority="394">
      <formula>CD5="R"</formula>
    </cfRule>
  </conditionalFormatting>
  <conditionalFormatting sqref="D1">
    <cfRule type="cellIs" dxfId="420" priority="393" operator="greaterThan">
      <formula>0</formula>
    </cfRule>
  </conditionalFormatting>
  <conditionalFormatting sqref="H1">
    <cfRule type="cellIs" dxfId="419" priority="392" operator="greaterThan">
      <formula>0</formula>
    </cfRule>
  </conditionalFormatting>
  <conditionalFormatting sqref="L1">
    <cfRule type="cellIs" dxfId="418" priority="391" operator="greaterThan">
      <formula>0</formula>
    </cfRule>
  </conditionalFormatting>
  <conditionalFormatting sqref="P1">
    <cfRule type="cellIs" dxfId="417" priority="390" operator="greaterThan">
      <formula>0</formula>
    </cfRule>
  </conditionalFormatting>
  <conditionalFormatting sqref="T1">
    <cfRule type="cellIs" dxfId="416" priority="389" operator="greaterThan">
      <formula>0</formula>
    </cfRule>
  </conditionalFormatting>
  <conditionalFormatting sqref="X1">
    <cfRule type="cellIs" dxfId="415" priority="388" operator="greaterThan">
      <formula>0</formula>
    </cfRule>
  </conditionalFormatting>
  <conditionalFormatting sqref="AB1">
    <cfRule type="cellIs" dxfId="414" priority="387" operator="greaterThan">
      <formula>0</formula>
    </cfRule>
  </conditionalFormatting>
  <conditionalFormatting sqref="AF1">
    <cfRule type="cellIs" dxfId="413" priority="386" operator="greaterThan">
      <formula>0</formula>
    </cfRule>
  </conditionalFormatting>
  <conditionalFormatting sqref="AJ1">
    <cfRule type="cellIs" dxfId="412" priority="385" operator="greaterThan">
      <formula>0</formula>
    </cfRule>
  </conditionalFormatting>
  <conditionalFormatting sqref="AN1">
    <cfRule type="cellIs" dxfId="411" priority="384" operator="greaterThan">
      <formula>0</formula>
    </cfRule>
  </conditionalFormatting>
  <conditionalFormatting sqref="AR1">
    <cfRule type="cellIs" dxfId="410" priority="383" operator="greaterThan">
      <formula>0</formula>
    </cfRule>
  </conditionalFormatting>
  <conditionalFormatting sqref="AV1">
    <cfRule type="cellIs" dxfId="409" priority="382" operator="greaterThan">
      <formula>0</formula>
    </cfRule>
  </conditionalFormatting>
  <conditionalFormatting sqref="AZ1">
    <cfRule type="cellIs" dxfId="408" priority="381" operator="greaterThan">
      <formula>0</formula>
    </cfRule>
  </conditionalFormatting>
  <conditionalFormatting sqref="BD1">
    <cfRule type="cellIs" dxfId="407" priority="380" operator="greaterThan">
      <formula>0</formula>
    </cfRule>
  </conditionalFormatting>
  <conditionalFormatting sqref="BH1">
    <cfRule type="cellIs" dxfId="406" priority="379" operator="greaterThan">
      <formula>0</formula>
    </cfRule>
  </conditionalFormatting>
  <conditionalFormatting sqref="BL1">
    <cfRule type="cellIs" dxfId="405" priority="373" operator="greaterThan">
      <formula>0</formula>
    </cfRule>
  </conditionalFormatting>
  <conditionalFormatting sqref="BP1">
    <cfRule type="cellIs" dxfId="404" priority="372" operator="greaterThan">
      <formula>0</formula>
    </cfRule>
  </conditionalFormatting>
  <conditionalFormatting sqref="BT1">
    <cfRule type="cellIs" dxfId="403" priority="371" operator="greaterThan">
      <formula>0</formula>
    </cfRule>
  </conditionalFormatting>
  <conditionalFormatting sqref="BX1">
    <cfRule type="cellIs" dxfId="402" priority="370" operator="greaterThan">
      <formula>0</formula>
    </cfRule>
  </conditionalFormatting>
  <conditionalFormatting sqref="CB1">
    <cfRule type="cellIs" dxfId="401" priority="369" operator="greaterThan">
      <formula>0</formula>
    </cfRule>
  </conditionalFormatting>
  <conditionalFormatting sqref="F49">
    <cfRule type="cellIs" dxfId="400" priority="184" operator="equal">
      <formula>0</formula>
    </cfRule>
  </conditionalFormatting>
  <conditionalFormatting sqref="F49">
    <cfRule type="notContainsBlanks" dxfId="399" priority="183">
      <formula>LEN(TRIM(F49))&gt;0</formula>
    </cfRule>
  </conditionalFormatting>
  <conditionalFormatting sqref="F49">
    <cfRule type="expression" dxfId="398" priority="182">
      <formula>I49="R"</formula>
    </cfRule>
  </conditionalFormatting>
  <conditionalFormatting sqref="J49">
    <cfRule type="cellIs" dxfId="397" priority="181" operator="equal">
      <formula>0</formula>
    </cfRule>
  </conditionalFormatting>
  <conditionalFormatting sqref="J49">
    <cfRule type="notContainsBlanks" dxfId="396" priority="180">
      <formula>LEN(TRIM(J49))&gt;0</formula>
    </cfRule>
  </conditionalFormatting>
  <conditionalFormatting sqref="J49">
    <cfRule type="expression" dxfId="395" priority="179">
      <formula>$J49="R"</formula>
    </cfRule>
  </conditionalFormatting>
  <conditionalFormatting sqref="N49">
    <cfRule type="cellIs" dxfId="394" priority="178" operator="equal">
      <formula>0</formula>
    </cfRule>
  </conditionalFormatting>
  <conditionalFormatting sqref="N49">
    <cfRule type="notContainsBlanks" dxfId="393" priority="177">
      <formula>LEN(TRIM(N49))&gt;0</formula>
    </cfRule>
  </conditionalFormatting>
  <conditionalFormatting sqref="N49">
    <cfRule type="expression" dxfId="392" priority="176">
      <formula>$N49="R"</formula>
    </cfRule>
  </conditionalFormatting>
  <conditionalFormatting sqref="R49">
    <cfRule type="cellIs" dxfId="391" priority="175" operator="equal">
      <formula>0</formula>
    </cfRule>
  </conditionalFormatting>
  <conditionalFormatting sqref="R49">
    <cfRule type="notContainsBlanks" dxfId="390" priority="174">
      <formula>LEN(TRIM(R49))&gt;0</formula>
    </cfRule>
  </conditionalFormatting>
  <conditionalFormatting sqref="R49">
    <cfRule type="expression" dxfId="389" priority="173">
      <formula>$R49="R"</formula>
    </cfRule>
  </conditionalFormatting>
  <conditionalFormatting sqref="V49">
    <cfRule type="cellIs" dxfId="388" priority="172" operator="equal">
      <formula>0</formula>
    </cfRule>
  </conditionalFormatting>
  <conditionalFormatting sqref="V49">
    <cfRule type="notContainsBlanks" dxfId="387" priority="171">
      <formula>LEN(TRIM(V49))&gt;0</formula>
    </cfRule>
  </conditionalFormatting>
  <conditionalFormatting sqref="V49">
    <cfRule type="expression" dxfId="386" priority="170">
      <formula>$V49="R"</formula>
    </cfRule>
  </conditionalFormatting>
  <conditionalFormatting sqref="Z49">
    <cfRule type="cellIs" dxfId="385" priority="169" operator="equal">
      <formula>0</formula>
    </cfRule>
  </conditionalFormatting>
  <conditionalFormatting sqref="Z49">
    <cfRule type="notContainsBlanks" dxfId="384" priority="168">
      <formula>LEN(TRIM(Z49))&gt;0</formula>
    </cfRule>
  </conditionalFormatting>
  <conditionalFormatting sqref="Z49">
    <cfRule type="expression" dxfId="383" priority="167">
      <formula>$Z49="R"</formula>
    </cfRule>
  </conditionalFormatting>
  <conditionalFormatting sqref="AD49">
    <cfRule type="cellIs" dxfId="382" priority="166" operator="equal">
      <formula>0</formula>
    </cfRule>
  </conditionalFormatting>
  <conditionalFormatting sqref="AD49">
    <cfRule type="notContainsBlanks" dxfId="381" priority="165">
      <formula>LEN(TRIM(AD49))&gt;0</formula>
    </cfRule>
  </conditionalFormatting>
  <conditionalFormatting sqref="AD49">
    <cfRule type="expression" dxfId="380" priority="164">
      <formula>$AD49="R"</formula>
    </cfRule>
  </conditionalFormatting>
  <conditionalFormatting sqref="AH49">
    <cfRule type="cellIs" dxfId="379" priority="163" operator="equal">
      <formula>0</formula>
    </cfRule>
  </conditionalFormatting>
  <conditionalFormatting sqref="AH49">
    <cfRule type="notContainsBlanks" dxfId="378" priority="162">
      <formula>LEN(TRIM(AH49))&gt;0</formula>
    </cfRule>
  </conditionalFormatting>
  <conditionalFormatting sqref="AH49">
    <cfRule type="expression" dxfId="377" priority="161">
      <formula>$AH49="R"</formula>
    </cfRule>
  </conditionalFormatting>
  <conditionalFormatting sqref="AL49">
    <cfRule type="cellIs" dxfId="376" priority="160" operator="equal">
      <formula>0</formula>
    </cfRule>
  </conditionalFormatting>
  <conditionalFormatting sqref="AL49">
    <cfRule type="notContainsBlanks" dxfId="375" priority="159">
      <formula>LEN(TRIM(AL49))&gt;0</formula>
    </cfRule>
  </conditionalFormatting>
  <conditionalFormatting sqref="AL49">
    <cfRule type="expression" dxfId="374" priority="158">
      <formula>$AL49="R"</formula>
    </cfRule>
  </conditionalFormatting>
  <conditionalFormatting sqref="AP49">
    <cfRule type="cellIs" dxfId="373" priority="157" operator="equal">
      <formula>0</formula>
    </cfRule>
  </conditionalFormatting>
  <conditionalFormatting sqref="AP49">
    <cfRule type="notContainsBlanks" dxfId="372" priority="156">
      <formula>LEN(TRIM(AP49))&gt;0</formula>
    </cfRule>
  </conditionalFormatting>
  <conditionalFormatting sqref="AP49">
    <cfRule type="expression" dxfId="371" priority="155">
      <formula>$AP49="R"</formula>
    </cfRule>
  </conditionalFormatting>
  <conditionalFormatting sqref="AT49">
    <cfRule type="cellIs" dxfId="370" priority="154" operator="equal">
      <formula>0</formula>
    </cfRule>
  </conditionalFormatting>
  <conditionalFormatting sqref="AT49">
    <cfRule type="notContainsBlanks" dxfId="369" priority="153">
      <formula>LEN(TRIM(AT49))&gt;0</formula>
    </cfRule>
  </conditionalFormatting>
  <conditionalFormatting sqref="AT49">
    <cfRule type="expression" dxfId="368" priority="152">
      <formula>$AT49="R"</formula>
    </cfRule>
  </conditionalFormatting>
  <conditionalFormatting sqref="AX49">
    <cfRule type="cellIs" dxfId="367" priority="151" operator="equal">
      <formula>0</formula>
    </cfRule>
  </conditionalFormatting>
  <conditionalFormatting sqref="AX49">
    <cfRule type="notContainsBlanks" dxfId="366" priority="150">
      <formula>LEN(TRIM(AX49))&gt;0</formula>
    </cfRule>
  </conditionalFormatting>
  <conditionalFormatting sqref="AX49">
    <cfRule type="expression" dxfId="365" priority="149">
      <formula>$AX49="R"</formula>
    </cfRule>
  </conditionalFormatting>
  <conditionalFormatting sqref="BB49">
    <cfRule type="cellIs" dxfId="364" priority="148" operator="equal">
      <formula>0</formula>
    </cfRule>
  </conditionalFormatting>
  <conditionalFormatting sqref="BB49">
    <cfRule type="notContainsBlanks" dxfId="363" priority="147">
      <formula>LEN(TRIM(BB49))&gt;0</formula>
    </cfRule>
  </conditionalFormatting>
  <conditionalFormatting sqref="BB49">
    <cfRule type="expression" dxfId="362" priority="146">
      <formula>$BB49="R"</formula>
    </cfRule>
  </conditionalFormatting>
  <conditionalFormatting sqref="BF49">
    <cfRule type="cellIs" dxfId="361" priority="145" operator="equal">
      <formula>0</formula>
    </cfRule>
  </conditionalFormatting>
  <conditionalFormatting sqref="BF49">
    <cfRule type="notContainsBlanks" dxfId="360" priority="144">
      <formula>LEN(TRIM(BF49))&gt;0</formula>
    </cfRule>
  </conditionalFormatting>
  <conditionalFormatting sqref="BF49">
    <cfRule type="expression" dxfId="359" priority="143">
      <formula>$BF49="R"</formula>
    </cfRule>
  </conditionalFormatting>
  <conditionalFormatting sqref="BJ49">
    <cfRule type="cellIs" dxfId="358" priority="142" operator="equal">
      <formula>0</formula>
    </cfRule>
  </conditionalFormatting>
  <conditionalFormatting sqref="BJ49">
    <cfRule type="notContainsBlanks" dxfId="357" priority="141">
      <formula>LEN(TRIM(BJ49))&gt;0</formula>
    </cfRule>
  </conditionalFormatting>
  <conditionalFormatting sqref="BJ49">
    <cfRule type="expression" dxfId="356" priority="140">
      <formula>$BJ49="R"</formula>
    </cfRule>
  </conditionalFormatting>
  <conditionalFormatting sqref="BN49">
    <cfRule type="cellIs" dxfId="355" priority="139" operator="equal">
      <formula>0</formula>
    </cfRule>
  </conditionalFormatting>
  <conditionalFormatting sqref="BN49">
    <cfRule type="notContainsBlanks" dxfId="354" priority="138">
      <formula>LEN(TRIM(BN49))&gt;0</formula>
    </cfRule>
  </conditionalFormatting>
  <conditionalFormatting sqref="BN49">
    <cfRule type="expression" dxfId="353" priority="137">
      <formula>$BN49="R"</formula>
    </cfRule>
  </conditionalFormatting>
  <conditionalFormatting sqref="BR49">
    <cfRule type="cellIs" dxfId="352" priority="136" operator="equal">
      <formula>0</formula>
    </cfRule>
  </conditionalFormatting>
  <conditionalFormatting sqref="BR49">
    <cfRule type="notContainsBlanks" dxfId="351" priority="135">
      <formula>LEN(TRIM(BR49))&gt;0</formula>
    </cfRule>
  </conditionalFormatting>
  <conditionalFormatting sqref="BR49">
    <cfRule type="expression" dxfId="350" priority="134">
      <formula>$BR49="R"</formula>
    </cfRule>
  </conditionalFormatting>
  <conditionalFormatting sqref="BV49">
    <cfRule type="cellIs" dxfId="349" priority="133" operator="equal">
      <formula>0</formula>
    </cfRule>
  </conditionalFormatting>
  <conditionalFormatting sqref="BV49">
    <cfRule type="notContainsBlanks" dxfId="348" priority="132">
      <formula>LEN(TRIM(BV49))&gt;0</formula>
    </cfRule>
  </conditionalFormatting>
  <conditionalFormatting sqref="BV49">
    <cfRule type="expression" dxfId="347" priority="131">
      <formula>$BV49="R"</formula>
    </cfRule>
  </conditionalFormatting>
  <conditionalFormatting sqref="BZ49">
    <cfRule type="cellIs" dxfId="346" priority="130" operator="equal">
      <formula>0</formula>
    </cfRule>
  </conditionalFormatting>
  <conditionalFormatting sqref="BZ49">
    <cfRule type="notContainsBlanks" dxfId="345" priority="129">
      <formula>LEN(TRIM(BZ49))&gt;0</formula>
    </cfRule>
  </conditionalFormatting>
  <conditionalFormatting sqref="BZ49">
    <cfRule type="expression" dxfId="344" priority="128">
      <formula>$BZ49="R"</formula>
    </cfRule>
  </conditionalFormatting>
  <conditionalFormatting sqref="CD49">
    <cfRule type="cellIs" dxfId="343" priority="127" operator="equal">
      <formula>0</formula>
    </cfRule>
  </conditionalFormatting>
  <conditionalFormatting sqref="CD49">
    <cfRule type="notContainsBlanks" dxfId="342" priority="126">
      <formula>LEN(TRIM(CD49))&gt;0</formula>
    </cfRule>
  </conditionalFormatting>
  <conditionalFormatting sqref="CD49">
    <cfRule type="expression" dxfId="341" priority="125">
      <formula>$CD49="R"</formula>
    </cfRule>
  </conditionalFormatting>
  <conditionalFormatting sqref="F48">
    <cfRule type="cellIs" dxfId="340" priority="124" operator="equal">
      <formula>0</formula>
    </cfRule>
  </conditionalFormatting>
  <conditionalFormatting sqref="F48">
    <cfRule type="notContainsBlanks" dxfId="339" priority="123">
      <formula>LEN(TRIM(F48))&gt;0</formula>
    </cfRule>
  </conditionalFormatting>
  <conditionalFormatting sqref="F48">
    <cfRule type="expression" dxfId="338" priority="122">
      <formula>I48="R"</formula>
    </cfRule>
  </conditionalFormatting>
  <conditionalFormatting sqref="J48">
    <cfRule type="cellIs" dxfId="337" priority="121" operator="equal">
      <formula>0</formula>
    </cfRule>
  </conditionalFormatting>
  <conditionalFormatting sqref="J48">
    <cfRule type="notContainsBlanks" dxfId="336" priority="120">
      <formula>LEN(TRIM(J48))&gt;0</formula>
    </cfRule>
  </conditionalFormatting>
  <conditionalFormatting sqref="J48">
    <cfRule type="expression" dxfId="335" priority="119">
      <formula>$J48="R"</formula>
    </cfRule>
  </conditionalFormatting>
  <conditionalFormatting sqref="N48">
    <cfRule type="cellIs" dxfId="334" priority="118" operator="equal">
      <formula>0</formula>
    </cfRule>
  </conditionalFormatting>
  <conditionalFormatting sqref="N48">
    <cfRule type="notContainsBlanks" dxfId="333" priority="117">
      <formula>LEN(TRIM(N48))&gt;0</formula>
    </cfRule>
  </conditionalFormatting>
  <conditionalFormatting sqref="N48">
    <cfRule type="expression" dxfId="332" priority="116">
      <formula>$N48="R"</formula>
    </cfRule>
  </conditionalFormatting>
  <conditionalFormatting sqref="R48">
    <cfRule type="cellIs" dxfId="331" priority="115" operator="equal">
      <formula>0</formula>
    </cfRule>
  </conditionalFormatting>
  <conditionalFormatting sqref="R48">
    <cfRule type="notContainsBlanks" dxfId="330" priority="114">
      <formula>LEN(TRIM(R48))&gt;0</formula>
    </cfRule>
  </conditionalFormatting>
  <conditionalFormatting sqref="R48">
    <cfRule type="expression" dxfId="329" priority="113">
      <formula>$R48="R"</formula>
    </cfRule>
  </conditionalFormatting>
  <conditionalFormatting sqref="V48">
    <cfRule type="cellIs" dxfId="328" priority="112" operator="equal">
      <formula>0</formula>
    </cfRule>
  </conditionalFormatting>
  <conditionalFormatting sqref="V48">
    <cfRule type="notContainsBlanks" dxfId="327" priority="111">
      <formula>LEN(TRIM(V48))&gt;0</formula>
    </cfRule>
  </conditionalFormatting>
  <conditionalFormatting sqref="V48">
    <cfRule type="expression" dxfId="326" priority="110">
      <formula>$V48="R"</formula>
    </cfRule>
  </conditionalFormatting>
  <conditionalFormatting sqref="Z48">
    <cfRule type="cellIs" dxfId="325" priority="109" operator="equal">
      <formula>0</formula>
    </cfRule>
  </conditionalFormatting>
  <conditionalFormatting sqref="Z48">
    <cfRule type="notContainsBlanks" dxfId="324" priority="108">
      <formula>LEN(TRIM(Z48))&gt;0</formula>
    </cfRule>
  </conditionalFormatting>
  <conditionalFormatting sqref="Z48">
    <cfRule type="expression" dxfId="323" priority="107">
      <formula>$Z48="R"</formula>
    </cfRule>
  </conditionalFormatting>
  <conditionalFormatting sqref="AD48">
    <cfRule type="cellIs" dxfId="322" priority="106" operator="equal">
      <formula>0</formula>
    </cfRule>
  </conditionalFormatting>
  <conditionalFormatting sqref="AD48">
    <cfRule type="notContainsBlanks" dxfId="321" priority="105">
      <formula>LEN(TRIM(AD48))&gt;0</formula>
    </cfRule>
  </conditionalFormatting>
  <conditionalFormatting sqref="AD48">
    <cfRule type="expression" dxfId="320" priority="104">
      <formula>$AD48="R"</formula>
    </cfRule>
  </conditionalFormatting>
  <conditionalFormatting sqref="AH48">
    <cfRule type="cellIs" dxfId="319" priority="103" operator="equal">
      <formula>0</formula>
    </cfRule>
  </conditionalFormatting>
  <conditionalFormatting sqref="AH48">
    <cfRule type="notContainsBlanks" dxfId="318" priority="102">
      <formula>LEN(TRIM(AH48))&gt;0</formula>
    </cfRule>
  </conditionalFormatting>
  <conditionalFormatting sqref="AH48">
    <cfRule type="expression" dxfId="317" priority="101">
      <formula>$AH48="R"</formula>
    </cfRule>
  </conditionalFormatting>
  <conditionalFormatting sqref="AL48">
    <cfRule type="cellIs" dxfId="316" priority="100" operator="equal">
      <formula>0</formula>
    </cfRule>
  </conditionalFormatting>
  <conditionalFormatting sqref="AL48">
    <cfRule type="notContainsBlanks" dxfId="315" priority="99">
      <formula>LEN(TRIM(AL48))&gt;0</formula>
    </cfRule>
  </conditionalFormatting>
  <conditionalFormatting sqref="AL48">
    <cfRule type="expression" dxfId="314" priority="98">
      <formula>$AL48="R"</formula>
    </cfRule>
  </conditionalFormatting>
  <conditionalFormatting sqref="AP48">
    <cfRule type="cellIs" dxfId="313" priority="97" operator="equal">
      <formula>0</formula>
    </cfRule>
  </conditionalFormatting>
  <conditionalFormatting sqref="AP48">
    <cfRule type="notContainsBlanks" dxfId="312" priority="96">
      <formula>LEN(TRIM(AP48))&gt;0</formula>
    </cfRule>
  </conditionalFormatting>
  <conditionalFormatting sqref="AP48">
    <cfRule type="expression" dxfId="311" priority="95">
      <formula>$AP48="R"</formula>
    </cfRule>
  </conditionalFormatting>
  <conditionalFormatting sqref="AT48">
    <cfRule type="cellIs" dxfId="310" priority="94" operator="equal">
      <formula>0</formula>
    </cfRule>
  </conditionalFormatting>
  <conditionalFormatting sqref="AT48">
    <cfRule type="notContainsBlanks" dxfId="309" priority="93">
      <formula>LEN(TRIM(AT48))&gt;0</formula>
    </cfRule>
  </conditionalFormatting>
  <conditionalFormatting sqref="AT48">
    <cfRule type="expression" dxfId="308" priority="92">
      <formula>$AT48="R"</formula>
    </cfRule>
  </conditionalFormatting>
  <conditionalFormatting sqref="AX48">
    <cfRule type="cellIs" dxfId="307" priority="91" operator="equal">
      <formula>0</formula>
    </cfRule>
  </conditionalFormatting>
  <conditionalFormatting sqref="AX48">
    <cfRule type="notContainsBlanks" dxfId="306" priority="90">
      <formula>LEN(TRIM(AX48))&gt;0</formula>
    </cfRule>
  </conditionalFormatting>
  <conditionalFormatting sqref="AX48">
    <cfRule type="expression" dxfId="305" priority="89">
      <formula>$AX48="R"</formula>
    </cfRule>
  </conditionalFormatting>
  <conditionalFormatting sqref="BB48">
    <cfRule type="cellIs" dxfId="304" priority="88" operator="equal">
      <formula>0</formula>
    </cfRule>
  </conditionalFormatting>
  <conditionalFormatting sqref="BB48">
    <cfRule type="notContainsBlanks" dxfId="303" priority="87">
      <formula>LEN(TRIM(BB48))&gt;0</formula>
    </cfRule>
  </conditionalFormatting>
  <conditionalFormatting sqref="BB48">
    <cfRule type="expression" dxfId="302" priority="86">
      <formula>$BB48="R"</formula>
    </cfRule>
  </conditionalFormatting>
  <conditionalFormatting sqref="BF48">
    <cfRule type="cellIs" dxfId="301" priority="85" operator="equal">
      <formula>0</formula>
    </cfRule>
  </conditionalFormatting>
  <conditionalFormatting sqref="BF48">
    <cfRule type="notContainsBlanks" dxfId="300" priority="84">
      <formula>LEN(TRIM(BF48))&gt;0</formula>
    </cfRule>
  </conditionalFormatting>
  <conditionalFormatting sqref="BF48">
    <cfRule type="expression" dxfId="299" priority="83">
      <formula>$BF48="R"</formula>
    </cfRule>
  </conditionalFormatting>
  <conditionalFormatting sqref="BJ48">
    <cfRule type="cellIs" dxfId="298" priority="82" operator="equal">
      <formula>0</formula>
    </cfRule>
  </conditionalFormatting>
  <conditionalFormatting sqref="BJ48">
    <cfRule type="notContainsBlanks" dxfId="297" priority="81">
      <formula>LEN(TRIM(BJ48))&gt;0</formula>
    </cfRule>
  </conditionalFormatting>
  <conditionalFormatting sqref="BJ48">
    <cfRule type="expression" dxfId="296" priority="80">
      <formula>$BJ48="R"</formula>
    </cfRule>
  </conditionalFormatting>
  <conditionalFormatting sqref="BN48">
    <cfRule type="cellIs" dxfId="295" priority="79" operator="equal">
      <formula>0</formula>
    </cfRule>
  </conditionalFormatting>
  <conditionalFormatting sqref="BN48">
    <cfRule type="notContainsBlanks" dxfId="294" priority="78">
      <formula>LEN(TRIM(BN48))&gt;0</formula>
    </cfRule>
  </conditionalFormatting>
  <conditionalFormatting sqref="BN48">
    <cfRule type="expression" dxfId="293" priority="77">
      <formula>$BN48="R"</formula>
    </cfRule>
  </conditionalFormatting>
  <conditionalFormatting sqref="BR48">
    <cfRule type="cellIs" dxfId="292" priority="76" operator="equal">
      <formula>0</formula>
    </cfRule>
  </conditionalFormatting>
  <conditionalFormatting sqref="BR48">
    <cfRule type="notContainsBlanks" dxfId="291" priority="75">
      <formula>LEN(TRIM(BR48))&gt;0</formula>
    </cfRule>
  </conditionalFormatting>
  <conditionalFormatting sqref="BR48">
    <cfRule type="expression" dxfId="290" priority="74">
      <formula>$BR48="R"</formula>
    </cfRule>
  </conditionalFormatting>
  <conditionalFormatting sqref="BV48">
    <cfRule type="cellIs" dxfId="289" priority="73" operator="equal">
      <formula>0</formula>
    </cfRule>
  </conditionalFormatting>
  <conditionalFormatting sqref="BV48">
    <cfRule type="notContainsBlanks" dxfId="288" priority="72">
      <formula>LEN(TRIM(BV48))&gt;0</formula>
    </cfRule>
  </conditionalFormatting>
  <conditionalFormatting sqref="BV48">
    <cfRule type="expression" dxfId="287" priority="71">
      <formula>$BV48="R"</formula>
    </cfRule>
  </conditionalFormatting>
  <conditionalFormatting sqref="BZ48">
    <cfRule type="cellIs" dxfId="286" priority="70" operator="equal">
      <formula>0</formula>
    </cfRule>
  </conditionalFormatting>
  <conditionalFormatting sqref="BZ48">
    <cfRule type="notContainsBlanks" dxfId="285" priority="69">
      <formula>LEN(TRIM(BZ48))&gt;0</formula>
    </cfRule>
  </conditionalFormatting>
  <conditionalFormatting sqref="BZ48">
    <cfRule type="expression" dxfId="284" priority="68">
      <formula>$BZ48="R"</formula>
    </cfRule>
  </conditionalFormatting>
  <conditionalFormatting sqref="CD48">
    <cfRule type="cellIs" dxfId="283" priority="67" operator="equal">
      <formula>0</formula>
    </cfRule>
  </conditionalFormatting>
  <conditionalFormatting sqref="CD48">
    <cfRule type="notContainsBlanks" dxfId="282" priority="66">
      <formula>LEN(TRIM(CD48))&gt;0</formula>
    </cfRule>
  </conditionalFormatting>
  <conditionalFormatting sqref="CD48">
    <cfRule type="expression" dxfId="281" priority="65">
      <formula>$CD48="R"</formula>
    </cfRule>
  </conditionalFormatting>
  <conditionalFormatting sqref="C48:E49">
    <cfRule type="cellIs" dxfId="280" priority="64" operator="equal">
      <formula>0</formula>
    </cfRule>
  </conditionalFormatting>
  <conditionalFormatting sqref="C48:E49">
    <cfRule type="notContainsBlanks" dxfId="279" priority="63">
      <formula>LEN(TRIM(C48))&gt;0</formula>
    </cfRule>
  </conditionalFormatting>
  <conditionalFormatting sqref="C48:E49">
    <cfRule type="expression" dxfId="278" priority="62">
      <formula>F48="R"</formula>
    </cfRule>
  </conditionalFormatting>
  <conditionalFormatting sqref="G48:I49">
    <cfRule type="cellIs" dxfId="277" priority="61" operator="equal">
      <formula>0</formula>
    </cfRule>
  </conditionalFormatting>
  <conditionalFormatting sqref="G48:I49">
    <cfRule type="notContainsBlanks" dxfId="276" priority="60">
      <formula>LEN(TRIM(G48))&gt;0</formula>
    </cfRule>
  </conditionalFormatting>
  <conditionalFormatting sqref="G48:I49">
    <cfRule type="expression" dxfId="275" priority="59">
      <formula>J48="R"</formula>
    </cfRule>
  </conditionalFormatting>
  <conditionalFormatting sqref="K48:M49">
    <cfRule type="cellIs" dxfId="274" priority="58" operator="equal">
      <formula>0</formula>
    </cfRule>
  </conditionalFormatting>
  <conditionalFormatting sqref="K48:M49">
    <cfRule type="notContainsBlanks" dxfId="273" priority="57">
      <formula>LEN(TRIM(K48))&gt;0</formula>
    </cfRule>
  </conditionalFormatting>
  <conditionalFormatting sqref="K48:M49">
    <cfRule type="expression" dxfId="272" priority="56">
      <formula>N48="R"</formula>
    </cfRule>
  </conditionalFormatting>
  <conditionalFormatting sqref="O48:Q49">
    <cfRule type="cellIs" dxfId="271" priority="55" operator="equal">
      <formula>0</formula>
    </cfRule>
  </conditionalFormatting>
  <conditionalFormatting sqref="O48:Q49">
    <cfRule type="notContainsBlanks" dxfId="270" priority="54">
      <formula>LEN(TRIM(O48))&gt;0</formula>
    </cfRule>
  </conditionalFormatting>
  <conditionalFormatting sqref="O48:Q49">
    <cfRule type="expression" dxfId="269" priority="53">
      <formula>R48="R"</formula>
    </cfRule>
  </conditionalFormatting>
  <conditionalFormatting sqref="S48:U49">
    <cfRule type="cellIs" dxfId="268" priority="52" operator="equal">
      <formula>0</formula>
    </cfRule>
  </conditionalFormatting>
  <conditionalFormatting sqref="S48:U49">
    <cfRule type="notContainsBlanks" dxfId="267" priority="51">
      <formula>LEN(TRIM(S48))&gt;0</formula>
    </cfRule>
  </conditionalFormatting>
  <conditionalFormatting sqref="S48:U49">
    <cfRule type="expression" dxfId="266" priority="50">
      <formula>V48="R"</formula>
    </cfRule>
  </conditionalFormatting>
  <conditionalFormatting sqref="W48:Y49">
    <cfRule type="cellIs" dxfId="265" priority="49" operator="equal">
      <formula>0</formula>
    </cfRule>
  </conditionalFormatting>
  <conditionalFormatting sqref="W48:Y49">
    <cfRule type="notContainsBlanks" dxfId="264" priority="48">
      <formula>LEN(TRIM(W48))&gt;0</formula>
    </cfRule>
  </conditionalFormatting>
  <conditionalFormatting sqref="W48:Y49">
    <cfRule type="expression" dxfId="263" priority="47">
      <formula>Z48="R"</formula>
    </cfRule>
  </conditionalFormatting>
  <conditionalFormatting sqref="AA48:AC49">
    <cfRule type="cellIs" dxfId="262" priority="46" operator="equal">
      <formula>0</formula>
    </cfRule>
  </conditionalFormatting>
  <conditionalFormatting sqref="AA48:AC49">
    <cfRule type="notContainsBlanks" dxfId="261" priority="45">
      <formula>LEN(TRIM(AA48))&gt;0</formula>
    </cfRule>
  </conditionalFormatting>
  <conditionalFormatting sqref="AA48:AC49">
    <cfRule type="expression" dxfId="260" priority="44">
      <formula>AD48="R"</formula>
    </cfRule>
  </conditionalFormatting>
  <conditionalFormatting sqref="AE48:AG49">
    <cfRule type="cellIs" dxfId="259" priority="43" operator="equal">
      <formula>0</formula>
    </cfRule>
  </conditionalFormatting>
  <conditionalFormatting sqref="AE48:AG49">
    <cfRule type="notContainsBlanks" dxfId="258" priority="42">
      <formula>LEN(TRIM(AE48))&gt;0</formula>
    </cfRule>
  </conditionalFormatting>
  <conditionalFormatting sqref="AE48:AG49">
    <cfRule type="expression" dxfId="257" priority="41">
      <formula>AH48="R"</formula>
    </cfRule>
  </conditionalFormatting>
  <conditionalFormatting sqref="AI48:AK49">
    <cfRule type="cellIs" dxfId="256" priority="40" operator="equal">
      <formula>0</formula>
    </cfRule>
  </conditionalFormatting>
  <conditionalFormatting sqref="AI48:AK49">
    <cfRule type="notContainsBlanks" dxfId="255" priority="39">
      <formula>LEN(TRIM(AI48))&gt;0</formula>
    </cfRule>
  </conditionalFormatting>
  <conditionalFormatting sqref="AI48:AK49">
    <cfRule type="expression" dxfId="254" priority="38">
      <formula>AL48="R"</formula>
    </cfRule>
  </conditionalFormatting>
  <conditionalFormatting sqref="AM48:AO49">
    <cfRule type="cellIs" dxfId="253" priority="37" operator="equal">
      <formula>0</formula>
    </cfRule>
  </conditionalFormatting>
  <conditionalFormatting sqref="AM48:AO49">
    <cfRule type="notContainsBlanks" dxfId="252" priority="36">
      <formula>LEN(TRIM(AM48))&gt;0</formula>
    </cfRule>
  </conditionalFormatting>
  <conditionalFormatting sqref="AM48:AO49">
    <cfRule type="expression" dxfId="251" priority="35">
      <formula>AP48="R"</formula>
    </cfRule>
  </conditionalFormatting>
  <conditionalFormatting sqref="AQ48:AS49">
    <cfRule type="cellIs" dxfId="250" priority="34" operator="equal">
      <formula>0</formula>
    </cfRule>
  </conditionalFormatting>
  <conditionalFormatting sqref="AQ48:AS49">
    <cfRule type="notContainsBlanks" dxfId="249" priority="33">
      <formula>LEN(TRIM(AQ48))&gt;0</formula>
    </cfRule>
  </conditionalFormatting>
  <conditionalFormatting sqref="AQ48:AS49">
    <cfRule type="expression" dxfId="248" priority="32">
      <formula>AT48="R"</formula>
    </cfRule>
  </conditionalFormatting>
  <conditionalFormatting sqref="AU48:AW49">
    <cfRule type="cellIs" dxfId="247" priority="31" operator="equal">
      <formula>0</formula>
    </cfRule>
  </conditionalFormatting>
  <conditionalFormatting sqref="AU48:AW49">
    <cfRule type="notContainsBlanks" dxfId="246" priority="30">
      <formula>LEN(TRIM(AU48))&gt;0</formula>
    </cfRule>
  </conditionalFormatting>
  <conditionalFormatting sqref="AU48:AW49">
    <cfRule type="expression" dxfId="245" priority="29">
      <formula>AX48="R"</formula>
    </cfRule>
  </conditionalFormatting>
  <conditionalFormatting sqref="AY48:BA49">
    <cfRule type="cellIs" dxfId="244" priority="28" operator="equal">
      <formula>0</formula>
    </cfRule>
  </conditionalFormatting>
  <conditionalFormatting sqref="AY48:BA49">
    <cfRule type="notContainsBlanks" dxfId="243" priority="27">
      <formula>LEN(TRIM(AY48))&gt;0</formula>
    </cfRule>
  </conditionalFormatting>
  <conditionalFormatting sqref="AY48:BA49">
    <cfRule type="expression" dxfId="242" priority="26">
      <formula>BB48="R"</formula>
    </cfRule>
  </conditionalFormatting>
  <conditionalFormatting sqref="BC48:BE49">
    <cfRule type="cellIs" dxfId="241" priority="25" operator="equal">
      <formula>0</formula>
    </cfRule>
  </conditionalFormatting>
  <conditionalFormatting sqref="BC48:BE49">
    <cfRule type="notContainsBlanks" dxfId="240" priority="24">
      <formula>LEN(TRIM(BC48))&gt;0</formula>
    </cfRule>
  </conditionalFormatting>
  <conditionalFormatting sqref="BC48:BE49">
    <cfRule type="expression" dxfId="239" priority="23">
      <formula>BF48="R"</formula>
    </cfRule>
  </conditionalFormatting>
  <conditionalFormatting sqref="BG48:BI49">
    <cfRule type="cellIs" dxfId="238" priority="22" operator="equal">
      <formula>0</formula>
    </cfRule>
  </conditionalFormatting>
  <conditionalFormatting sqref="BG48:BI49">
    <cfRule type="notContainsBlanks" dxfId="237" priority="21">
      <formula>LEN(TRIM(BG48))&gt;0</formula>
    </cfRule>
  </conditionalFormatting>
  <conditionalFormatting sqref="BG48:BI49">
    <cfRule type="expression" dxfId="236" priority="20">
      <formula>BJ48="R"</formula>
    </cfRule>
  </conditionalFormatting>
  <conditionalFormatting sqref="BK48:BM49">
    <cfRule type="cellIs" dxfId="235" priority="19" operator="equal">
      <formula>0</formula>
    </cfRule>
  </conditionalFormatting>
  <conditionalFormatting sqref="BK48:BM49">
    <cfRule type="notContainsBlanks" dxfId="234" priority="18">
      <formula>LEN(TRIM(BK48))&gt;0</formula>
    </cfRule>
  </conditionalFormatting>
  <conditionalFormatting sqref="BK48:BM49">
    <cfRule type="expression" dxfId="233" priority="17">
      <formula>BN48="R"</formula>
    </cfRule>
  </conditionalFormatting>
  <conditionalFormatting sqref="BO48:BQ49">
    <cfRule type="cellIs" dxfId="232" priority="16" operator="equal">
      <formula>0</formula>
    </cfRule>
  </conditionalFormatting>
  <conditionalFormatting sqref="BO48:BQ49">
    <cfRule type="notContainsBlanks" dxfId="231" priority="15">
      <formula>LEN(TRIM(BO48))&gt;0</formula>
    </cfRule>
  </conditionalFormatting>
  <conditionalFormatting sqref="BO48:BQ49">
    <cfRule type="expression" dxfId="230" priority="14">
      <formula>BR48="R"</formula>
    </cfRule>
  </conditionalFormatting>
  <conditionalFormatting sqref="BS48:BU49">
    <cfRule type="cellIs" dxfId="229" priority="13" operator="equal">
      <formula>0</formula>
    </cfRule>
  </conditionalFormatting>
  <conditionalFormatting sqref="BS48:BU49">
    <cfRule type="notContainsBlanks" dxfId="228" priority="12">
      <formula>LEN(TRIM(BS48))&gt;0</formula>
    </cfRule>
  </conditionalFormatting>
  <conditionalFormatting sqref="BS48:BU49">
    <cfRule type="expression" dxfId="227" priority="11">
      <formula>BV48="R"</formula>
    </cfRule>
  </conditionalFormatting>
  <conditionalFormatting sqref="BW48:BY49">
    <cfRule type="cellIs" dxfId="226" priority="10" operator="equal">
      <formula>0</formula>
    </cfRule>
  </conditionalFormatting>
  <conditionalFormatting sqref="BW48:BY49">
    <cfRule type="notContainsBlanks" dxfId="225" priority="9">
      <formula>LEN(TRIM(BW48))&gt;0</formula>
    </cfRule>
  </conditionalFormatting>
  <conditionalFormatting sqref="BW48:BY49">
    <cfRule type="expression" dxfId="224" priority="8">
      <formula>BZ48="R"</formula>
    </cfRule>
  </conditionalFormatting>
  <conditionalFormatting sqref="CA48:CC49">
    <cfRule type="cellIs" dxfId="223" priority="7" operator="equal">
      <formula>0</formula>
    </cfRule>
  </conditionalFormatting>
  <conditionalFormatting sqref="CA48:CC49">
    <cfRule type="notContainsBlanks" dxfId="222" priority="6">
      <formula>LEN(TRIM(CA48))&gt;0</formula>
    </cfRule>
  </conditionalFormatting>
  <conditionalFormatting sqref="CA48:CC49">
    <cfRule type="expression" dxfId="221" priority="5">
      <formula>CD48="R"</formula>
    </cfRule>
  </conditionalFormatting>
  <conditionalFormatting sqref="B38:B49">
    <cfRule type="expression" dxfId="220" priority="1">
      <formula>#REF!&gt;2</formula>
    </cfRule>
  </conditionalFormatting>
  <conditionalFormatting sqref="B38:B49">
    <cfRule type="expression" dxfId="219" priority="2">
      <formula>#REF!&gt;0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Q140"/>
  <sheetViews>
    <sheetView workbookViewId="0">
      <pane ySplit="4" topLeftCell="A5" activePane="bottomLeft" state="frozen"/>
      <selection pane="bottomLeft" activeCell="P1" sqref="P1"/>
    </sheetView>
  </sheetViews>
  <sheetFormatPr baseColWidth="10" defaultColWidth="0" defaultRowHeight="12" x14ac:dyDescent="0.35"/>
  <cols>
    <col min="1" max="1" width="5.54296875" style="122" customWidth="1"/>
    <col min="2" max="2" width="37.81640625" style="38" customWidth="1"/>
    <col min="3" max="3" width="12.1796875" style="47" customWidth="1"/>
    <col min="4" max="4" width="20.54296875" style="38" customWidth="1"/>
    <col min="5" max="5" width="18.26953125" style="38" customWidth="1"/>
    <col min="6" max="6" width="18.26953125" style="53" customWidth="1"/>
    <col min="7" max="7" width="12.54296875" style="199" customWidth="1"/>
    <col min="8" max="8" width="14.7265625" style="40" customWidth="1"/>
    <col min="9" max="13" width="3.453125" style="38" hidden="1" customWidth="1"/>
    <col min="14" max="14" width="3.453125" style="44" hidden="1" customWidth="1"/>
    <col min="15" max="15" width="2.453125" style="38" customWidth="1"/>
    <col min="16" max="16" width="3" style="38" customWidth="1"/>
    <col min="17" max="17" width="30.81640625" style="38" hidden="1" customWidth="1"/>
    <col min="18" max="18" width="12" style="38" hidden="1" customWidth="1"/>
    <col min="19" max="19" width="12.26953125" style="38" hidden="1" customWidth="1"/>
    <col min="20" max="20" width="23.26953125" style="38" hidden="1" customWidth="1"/>
    <col min="21" max="21" width="25.26953125" style="38" hidden="1" customWidth="1"/>
    <col min="22" max="22" width="20" style="38" hidden="1" customWidth="1"/>
    <col min="23" max="23" width="24.26953125" style="38" hidden="1" customWidth="1"/>
    <col min="24" max="24" width="13" style="38" hidden="1" customWidth="1"/>
    <col min="25" max="25" width="17.7265625" style="38" hidden="1" customWidth="1"/>
    <col min="26" max="26" width="33" style="38" hidden="1" customWidth="1"/>
    <col min="27" max="27" width="28.81640625" style="38" hidden="1" customWidth="1"/>
    <col min="28" max="28" width="19.1796875" style="38" hidden="1" customWidth="1"/>
    <col min="29" max="29" width="39.7265625" style="38" hidden="1" customWidth="1"/>
    <col min="30" max="30" width="22.7265625" style="38" hidden="1" customWidth="1"/>
    <col min="31" max="31" width="29" style="38" hidden="1" customWidth="1"/>
    <col min="32" max="32" width="33.26953125" style="38" hidden="1" customWidth="1"/>
    <col min="33" max="33" width="12.7265625" style="38" hidden="1" customWidth="1"/>
    <col min="34" max="34" width="28.54296875" style="38" hidden="1" customWidth="1"/>
    <col min="35" max="35" width="12.1796875" style="38" hidden="1" customWidth="1"/>
    <col min="36" max="36" width="13.7265625" style="38" hidden="1" customWidth="1"/>
    <col min="37" max="37" width="13.81640625" style="38" hidden="1" customWidth="1"/>
    <col min="38" max="38" width="13.26953125" style="38" hidden="1" customWidth="1"/>
    <col min="39" max="39" width="12.453125" style="38" hidden="1" customWidth="1"/>
    <col min="40" max="40" width="13.1796875" style="38" hidden="1" customWidth="1"/>
    <col min="41" max="41" width="12.54296875" style="38" hidden="1" customWidth="1"/>
    <col min="42" max="42" width="13.1796875" style="38" hidden="1" customWidth="1"/>
    <col min="43" max="43" width="12.54296875" style="38" hidden="1" customWidth="1"/>
    <col min="44" max="16384" width="11.453125" style="38" hidden="1"/>
  </cols>
  <sheetData>
    <row r="1" spans="1:14" s="44" customFormat="1" ht="15.5" x14ac:dyDescent="0.35">
      <c r="A1" s="190" t="str">
        <f>CONCATENATE("SEGUIMIENTO AIC EJECUTADAS - ",'FO-GC-012'!AR15," x PROCESO / PROGRAMA")</f>
        <v>SEGUIMIENTO AIC EJECUTADAS -  x PROCESO / PROGRAMA</v>
      </c>
      <c r="B1" s="43"/>
      <c r="C1" s="46"/>
      <c r="D1" s="43"/>
      <c r="F1" s="185">
        <f>COUNT(G:G)/COUNT(H:H)</f>
        <v>0</v>
      </c>
      <c r="G1" s="497" t="s">
        <v>255</v>
      </c>
      <c r="H1" s="497"/>
      <c r="J1" s="43"/>
      <c r="K1" s="43"/>
      <c r="L1" s="43"/>
      <c r="M1" s="43"/>
    </row>
    <row r="2" spans="1:14" s="44" customFormat="1" x14ac:dyDescent="0.35">
      <c r="B2" s="45"/>
      <c r="C2" s="46"/>
      <c r="D2" s="43"/>
      <c r="F2" s="186" t="str">
        <f>CONCATENATE(COUNT(G:G)," / ",COUNT(H:H))</f>
        <v>0 / 1</v>
      </c>
      <c r="G2" s="498"/>
      <c r="H2" s="498"/>
      <c r="J2" s="43"/>
      <c r="K2" s="43"/>
      <c r="L2" s="43"/>
      <c r="M2" s="43"/>
    </row>
    <row r="3" spans="1:14" s="44" customFormat="1" hidden="1" x14ac:dyDescent="0.35">
      <c r="A3" s="192"/>
      <c r="B3" s="192"/>
      <c r="C3" s="192"/>
      <c r="D3" s="192"/>
      <c r="E3" s="192"/>
      <c r="F3" s="192"/>
      <c r="G3" s="192"/>
      <c r="H3" s="192"/>
      <c r="I3" s="117"/>
      <c r="J3" s="117"/>
      <c r="K3" s="117"/>
      <c r="L3" s="117"/>
      <c r="M3" s="117"/>
      <c r="N3" s="117"/>
    </row>
    <row r="4" spans="1:14" s="44" customFormat="1" x14ac:dyDescent="0.35">
      <c r="A4" s="193" t="s">
        <v>10</v>
      </c>
      <c r="B4" s="194" t="s">
        <v>21</v>
      </c>
      <c r="C4" s="194" t="s">
        <v>20</v>
      </c>
      <c r="D4" s="194" t="s">
        <v>22</v>
      </c>
      <c r="E4" s="194" t="s">
        <v>25</v>
      </c>
      <c r="F4" s="194" t="s">
        <v>26</v>
      </c>
      <c r="G4" s="196" t="s">
        <v>27</v>
      </c>
      <c r="H4" s="195" t="s">
        <v>28</v>
      </c>
      <c r="I4" s="191"/>
      <c r="J4" s="191"/>
      <c r="K4" s="191"/>
      <c r="L4" s="191"/>
      <c r="M4" s="191"/>
      <c r="N4" s="191"/>
    </row>
    <row r="5" spans="1:14" s="44" customFormat="1" x14ac:dyDescent="0.35">
      <c r="A5" s="191" t="s">
        <v>259</v>
      </c>
      <c r="B5" s="191">
        <v>0</v>
      </c>
      <c r="C5" s="191" t="s">
        <v>256</v>
      </c>
      <c r="D5" s="191" t="s">
        <v>76</v>
      </c>
      <c r="E5" s="191">
        <v>0</v>
      </c>
      <c r="F5" s="191" t="s">
        <v>76</v>
      </c>
      <c r="G5" s="191" t="s">
        <v>76</v>
      </c>
      <c r="H5" s="220">
        <v>10</v>
      </c>
      <c r="I5" s="191"/>
      <c r="J5" s="191"/>
      <c r="K5" s="191"/>
      <c r="L5" s="191"/>
      <c r="M5" s="191"/>
      <c r="N5" s="191"/>
    </row>
    <row r="6" spans="1:14" s="44" customFormat="1" ht="14.5" x14ac:dyDescent="0.35">
      <c r="A6"/>
      <c r="B6"/>
      <c r="C6"/>
      <c r="D6"/>
      <c r="E6"/>
      <c r="F6"/>
      <c r="G6"/>
      <c r="H6"/>
      <c r="I6"/>
      <c r="J6"/>
      <c r="K6"/>
      <c r="L6"/>
      <c r="M6"/>
      <c r="N6"/>
    </row>
    <row r="7" spans="1:14" s="44" customFormat="1" ht="14.5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</row>
    <row r="8" spans="1:14" s="44" customFormat="1" ht="14.5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</row>
    <row r="9" spans="1:14" s="44" customFormat="1" ht="14.5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</row>
    <row r="10" spans="1:14" s="44" customFormat="1" ht="14.5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</row>
    <row r="11" spans="1:14" s="44" customFormat="1" ht="14.5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</row>
    <row r="12" spans="1:14" s="44" customFormat="1" ht="14.5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</row>
    <row r="13" spans="1:14" s="44" customFormat="1" ht="14.5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</row>
    <row r="14" spans="1:14" s="44" customFormat="1" ht="14.5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</row>
    <row r="15" spans="1:14" s="44" customFormat="1" ht="14.5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</row>
    <row r="16" spans="1:14" s="44" customFormat="1" ht="14.5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</row>
    <row r="17" spans="1:14" s="44" customFormat="1" ht="14.5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</row>
    <row r="18" spans="1:14" s="44" customFormat="1" ht="14.5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</row>
    <row r="19" spans="1:14" s="44" customFormat="1" ht="14.5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</row>
    <row r="20" spans="1:14" s="44" customFormat="1" ht="14.5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1:14" s="44" customFormat="1" ht="14.5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1:14" s="44" customFormat="1" ht="14.5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1:14" s="44" customFormat="1" ht="14.5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1:14" s="44" customFormat="1" ht="14.5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1:14" s="44" customFormat="1" ht="14.5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1:14" s="44" customFormat="1" ht="14.5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1:14" s="44" customFormat="1" ht="14.5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44" customFormat="1" ht="14.5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s="44" customFormat="1" ht="14.5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44" customFormat="1" ht="14.5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s="44" customFormat="1" ht="14.5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4" s="44" customFormat="1" ht="14.5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1:14" s="44" customFormat="1" ht="14.5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4" s="44" customFormat="1" ht="14.5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1:14" s="44" customFormat="1" ht="14.5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4" s="44" customFormat="1" ht="14.5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 s="44" customFormat="1" ht="14.5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 s="44" customFormat="1" ht="14.5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44" customFormat="1" ht="14.5" x14ac:dyDescent="0.35">
      <c r="A39"/>
      <c r="B39"/>
      <c r="C39"/>
      <c r="D39"/>
      <c r="E39"/>
      <c r="F39"/>
      <c r="G39" s="103"/>
      <c r="H39" s="103"/>
      <c r="I39"/>
      <c r="J39"/>
      <c r="K39"/>
      <c r="L39"/>
      <c r="M39"/>
      <c r="N39"/>
    </row>
    <row r="40" spans="1:14" s="44" customFormat="1" ht="14.5" x14ac:dyDescent="0.35">
      <c r="A40"/>
      <c r="B40"/>
      <c r="C40"/>
      <c r="D40"/>
      <c r="E40"/>
      <c r="F40"/>
      <c r="G40" s="103"/>
      <c r="H40" s="103"/>
      <c r="I40"/>
      <c r="J40"/>
      <c r="K40"/>
      <c r="L40"/>
      <c r="M40"/>
      <c r="N40"/>
    </row>
    <row r="41" spans="1:14" s="44" customFormat="1" ht="14.5" x14ac:dyDescent="0.35">
      <c r="A41"/>
      <c r="B41"/>
      <c r="C41"/>
      <c r="D41"/>
      <c r="E41"/>
      <c r="F41"/>
      <c r="G41" s="103"/>
      <c r="H41" s="103"/>
      <c r="I41"/>
      <c r="J41"/>
      <c r="K41"/>
      <c r="L41"/>
      <c r="M41"/>
      <c r="N41"/>
    </row>
    <row r="42" spans="1:14" s="44" customFormat="1" ht="14.5" x14ac:dyDescent="0.35">
      <c r="A42"/>
      <c r="B42"/>
      <c r="C42"/>
      <c r="D42"/>
      <c r="E42"/>
      <c r="F42"/>
      <c r="G42" s="103"/>
      <c r="H42" s="103"/>
      <c r="I42"/>
      <c r="J42"/>
      <c r="K42"/>
      <c r="L42"/>
      <c r="M42"/>
      <c r="N42"/>
    </row>
    <row r="43" spans="1:14" s="44" customFormat="1" ht="14.5" x14ac:dyDescent="0.35">
      <c r="A43"/>
      <c r="B43"/>
      <c r="C43"/>
      <c r="D43"/>
      <c r="E43"/>
      <c r="F43"/>
      <c r="G43" s="103"/>
      <c r="H43" s="103"/>
      <c r="I43"/>
      <c r="J43"/>
      <c r="K43"/>
      <c r="L43"/>
      <c r="M43"/>
      <c r="N43"/>
    </row>
    <row r="44" spans="1:14" s="44" customFormat="1" ht="14.5" x14ac:dyDescent="0.35">
      <c r="A44"/>
      <c r="B44"/>
      <c r="C44"/>
      <c r="D44"/>
      <c r="E44"/>
      <c r="F44"/>
      <c r="G44" s="103"/>
      <c r="H44" s="103"/>
      <c r="I44"/>
      <c r="J44"/>
      <c r="K44"/>
      <c r="L44"/>
      <c r="M44"/>
      <c r="N44"/>
    </row>
    <row r="45" spans="1:14" s="44" customFormat="1" ht="14.5" x14ac:dyDescent="0.35">
      <c r="A45"/>
      <c r="B45"/>
      <c r="C45"/>
      <c r="D45"/>
      <c r="E45"/>
      <c r="F45"/>
      <c r="G45" s="103"/>
      <c r="H45" s="103"/>
      <c r="I45"/>
      <c r="J45"/>
      <c r="K45"/>
      <c r="L45"/>
      <c r="M45"/>
      <c r="N45"/>
    </row>
    <row r="46" spans="1:14" s="44" customFormat="1" ht="14.5" x14ac:dyDescent="0.35">
      <c r="A46" s="105"/>
      <c r="B46"/>
      <c r="C46"/>
      <c r="D46"/>
      <c r="E46"/>
      <c r="F46"/>
      <c r="G46" s="103"/>
      <c r="H46" s="103"/>
      <c r="I46"/>
      <c r="J46"/>
      <c r="K46"/>
      <c r="L46"/>
      <c r="M46"/>
      <c r="N46"/>
    </row>
    <row r="47" spans="1:14" s="44" customFormat="1" ht="14.5" x14ac:dyDescent="0.35">
      <c r="A47" s="105"/>
      <c r="B47"/>
      <c r="C47"/>
      <c r="D47"/>
      <c r="E47"/>
      <c r="F47" s="54"/>
      <c r="G47" s="197"/>
      <c r="H47" s="103"/>
      <c r="I47"/>
      <c r="J47"/>
      <c r="K47"/>
      <c r="L47"/>
      <c r="M47"/>
      <c r="N47"/>
    </row>
    <row r="48" spans="1:14" s="44" customFormat="1" ht="14.5" x14ac:dyDescent="0.35">
      <c r="A48" s="105"/>
      <c r="B48"/>
      <c r="C48"/>
      <c r="D48"/>
      <c r="E48"/>
      <c r="F48" s="54"/>
      <c r="G48" s="197"/>
      <c r="H48" s="103"/>
      <c r="I48"/>
      <c r="J48"/>
      <c r="K48"/>
      <c r="L48"/>
      <c r="M48"/>
    </row>
    <row r="49" spans="1:13" s="44" customFormat="1" ht="14.5" x14ac:dyDescent="0.35">
      <c r="A49" s="105"/>
      <c r="B49"/>
      <c r="C49"/>
      <c r="D49"/>
      <c r="E49"/>
      <c r="F49" s="54"/>
      <c r="G49" s="197"/>
      <c r="H49" s="103"/>
      <c r="I49"/>
      <c r="J49"/>
      <c r="K49"/>
      <c r="L49"/>
      <c r="M49"/>
    </row>
    <row r="50" spans="1:13" s="44" customFormat="1" ht="14.5" x14ac:dyDescent="0.35">
      <c r="A50" s="105"/>
      <c r="B50"/>
      <c r="C50"/>
      <c r="D50"/>
      <c r="E50"/>
      <c r="F50" s="54"/>
      <c r="G50" s="197"/>
      <c r="H50" s="103"/>
      <c r="I50"/>
      <c r="J50"/>
      <c r="K50"/>
      <c r="L50"/>
      <c r="M50"/>
    </row>
    <row r="51" spans="1:13" s="44" customFormat="1" ht="14.5" x14ac:dyDescent="0.35">
      <c r="A51" s="105"/>
      <c r="B51"/>
      <c r="C51"/>
      <c r="D51"/>
      <c r="E51"/>
      <c r="F51" s="54"/>
      <c r="G51" s="197"/>
      <c r="H51" s="103"/>
      <c r="I51"/>
      <c r="J51"/>
      <c r="K51"/>
      <c r="L51"/>
      <c r="M51"/>
    </row>
    <row r="52" spans="1:13" s="44" customFormat="1" ht="14.5" x14ac:dyDescent="0.35">
      <c r="A52" s="105"/>
      <c r="B52"/>
      <c r="C52"/>
      <c r="D52"/>
      <c r="E52"/>
      <c r="F52" s="54"/>
      <c r="G52" s="197"/>
      <c r="H52" s="103"/>
      <c r="I52"/>
      <c r="J52"/>
      <c r="K52"/>
      <c r="L52"/>
      <c r="M52"/>
    </row>
    <row r="53" spans="1:13" s="44" customFormat="1" ht="14.5" x14ac:dyDescent="0.35">
      <c r="A53" s="105"/>
      <c r="B53"/>
      <c r="C53"/>
      <c r="D53"/>
      <c r="E53"/>
      <c r="F53" s="54"/>
      <c r="G53" s="197"/>
      <c r="H53" s="103"/>
      <c r="I53"/>
      <c r="J53"/>
      <c r="K53"/>
      <c r="L53"/>
      <c r="M53"/>
    </row>
    <row r="54" spans="1:13" s="44" customFormat="1" ht="14.5" x14ac:dyDescent="0.35">
      <c r="A54" s="105"/>
      <c r="B54"/>
      <c r="C54"/>
      <c r="D54"/>
      <c r="E54"/>
      <c r="F54" s="54"/>
      <c r="G54" s="197"/>
      <c r="H54" s="103"/>
      <c r="I54"/>
      <c r="J54"/>
      <c r="K54"/>
      <c r="L54"/>
      <c r="M54"/>
    </row>
    <row r="55" spans="1:13" s="44" customFormat="1" ht="14.5" x14ac:dyDescent="0.35">
      <c r="A55" s="105"/>
      <c r="B55"/>
      <c r="C55"/>
      <c r="D55"/>
      <c r="E55"/>
      <c r="F55" s="54"/>
      <c r="G55" s="197"/>
      <c r="H55" s="103"/>
      <c r="I55"/>
      <c r="J55"/>
      <c r="K55"/>
      <c r="L55"/>
      <c r="M55"/>
    </row>
    <row r="56" spans="1:13" s="44" customFormat="1" ht="14.5" x14ac:dyDescent="0.35">
      <c r="A56" s="105"/>
      <c r="B56"/>
      <c r="C56"/>
      <c r="D56"/>
      <c r="E56"/>
      <c r="F56" s="54"/>
      <c r="G56" s="197"/>
      <c r="H56" s="103"/>
      <c r="I56"/>
      <c r="J56"/>
      <c r="K56"/>
      <c r="L56"/>
      <c r="M56"/>
    </row>
    <row r="57" spans="1:13" s="44" customFormat="1" ht="14.5" x14ac:dyDescent="0.35">
      <c r="A57" s="105"/>
      <c r="B57"/>
      <c r="C57"/>
      <c r="D57"/>
      <c r="E57"/>
      <c r="F57" s="54"/>
      <c r="G57" s="197"/>
      <c r="H57" s="103"/>
      <c r="I57"/>
      <c r="J57"/>
      <c r="K57"/>
      <c r="L57"/>
      <c r="M57"/>
    </row>
    <row r="58" spans="1:13" s="44" customFormat="1" ht="14.5" x14ac:dyDescent="0.35">
      <c r="A58" s="105"/>
      <c r="B58"/>
      <c r="C58"/>
      <c r="D58"/>
      <c r="E58"/>
      <c r="F58" s="54"/>
      <c r="G58" s="197"/>
      <c r="H58" s="103"/>
      <c r="I58"/>
      <c r="J58"/>
      <c r="K58"/>
      <c r="L58"/>
      <c r="M58"/>
    </row>
    <row r="59" spans="1:13" s="44" customFormat="1" ht="14.5" x14ac:dyDescent="0.35">
      <c r="A59" s="105"/>
      <c r="B59"/>
      <c r="C59"/>
      <c r="D59"/>
      <c r="E59"/>
      <c r="F59" s="54"/>
      <c r="G59" s="197"/>
      <c r="H59" s="103"/>
      <c r="I59"/>
      <c r="J59"/>
      <c r="K59"/>
      <c r="L59"/>
      <c r="M59"/>
    </row>
    <row r="60" spans="1:13" s="44" customFormat="1" ht="14.5" x14ac:dyDescent="0.35">
      <c r="A60" s="105"/>
      <c r="B60"/>
      <c r="C60"/>
      <c r="D60"/>
      <c r="E60"/>
      <c r="F60" s="54"/>
      <c r="G60" s="197"/>
      <c r="H60" s="103"/>
      <c r="I60"/>
      <c r="J60"/>
      <c r="K60"/>
      <c r="L60"/>
      <c r="M60"/>
    </row>
    <row r="61" spans="1:13" s="44" customFormat="1" ht="14.5" x14ac:dyDescent="0.35">
      <c r="A61" s="105"/>
      <c r="B61"/>
      <c r="C61"/>
      <c r="D61"/>
      <c r="E61"/>
      <c r="F61" s="54"/>
      <c r="G61" s="197"/>
      <c r="H61" s="103"/>
      <c r="I61"/>
      <c r="J61"/>
      <c r="K61"/>
      <c r="L61"/>
      <c r="M61"/>
    </row>
    <row r="62" spans="1:13" s="44" customFormat="1" ht="14.5" x14ac:dyDescent="0.35">
      <c r="A62" s="105"/>
      <c r="B62"/>
      <c r="C62"/>
      <c r="D62"/>
      <c r="E62"/>
      <c r="F62" s="54"/>
      <c r="G62" s="197"/>
      <c r="H62" s="103"/>
      <c r="I62"/>
      <c r="J62"/>
      <c r="K62"/>
      <c r="L62"/>
      <c r="M62"/>
    </row>
    <row r="63" spans="1:13" s="44" customFormat="1" ht="14.5" x14ac:dyDescent="0.35">
      <c r="A63" s="105"/>
      <c r="B63"/>
      <c r="C63"/>
      <c r="D63"/>
      <c r="E63"/>
      <c r="F63" s="54"/>
      <c r="G63" s="197"/>
      <c r="H63" s="103"/>
      <c r="I63"/>
      <c r="J63"/>
      <c r="K63"/>
      <c r="L63"/>
      <c r="M63"/>
    </row>
    <row r="64" spans="1:13" s="44" customFormat="1" ht="14.5" x14ac:dyDescent="0.35">
      <c r="A64" s="105"/>
      <c r="B64"/>
      <c r="C64"/>
      <c r="D64"/>
      <c r="E64"/>
      <c r="F64" s="54"/>
      <c r="G64" s="197"/>
      <c r="H64" s="103"/>
      <c r="I64"/>
      <c r="J64"/>
      <c r="K64"/>
      <c r="L64"/>
      <c r="M64"/>
    </row>
    <row r="65" spans="1:13" s="44" customFormat="1" ht="14.5" x14ac:dyDescent="0.35">
      <c r="A65" s="105"/>
      <c r="B65"/>
      <c r="C65"/>
      <c r="D65"/>
      <c r="E65"/>
      <c r="F65" s="54"/>
      <c r="G65" s="197"/>
      <c r="H65" s="103"/>
      <c r="I65"/>
      <c r="J65"/>
      <c r="K65"/>
      <c r="L65"/>
      <c r="M65"/>
    </row>
    <row r="66" spans="1:13" s="44" customFormat="1" ht="14.5" x14ac:dyDescent="0.35">
      <c r="A66" s="105"/>
      <c r="B66"/>
      <c r="C66"/>
      <c r="D66"/>
      <c r="E66"/>
      <c r="F66" s="54"/>
      <c r="G66" s="197"/>
      <c r="H66" s="103"/>
      <c r="I66"/>
      <c r="J66"/>
      <c r="K66"/>
      <c r="L66"/>
      <c r="M66"/>
    </row>
    <row r="67" spans="1:13" s="44" customFormat="1" ht="14.5" x14ac:dyDescent="0.35">
      <c r="A67" s="105"/>
      <c r="B67"/>
      <c r="C67"/>
      <c r="D67"/>
      <c r="E67"/>
      <c r="F67" s="54"/>
      <c r="G67" s="197"/>
      <c r="H67" s="103"/>
      <c r="I67"/>
      <c r="J67"/>
      <c r="K67"/>
      <c r="L67"/>
      <c r="M67"/>
    </row>
    <row r="68" spans="1:13" s="44" customFormat="1" ht="14.5" x14ac:dyDescent="0.35">
      <c r="A68" s="105"/>
      <c r="B68"/>
      <c r="C68"/>
      <c r="D68"/>
      <c r="E68"/>
      <c r="F68" s="54"/>
      <c r="G68" s="197"/>
      <c r="H68" s="103"/>
      <c r="I68"/>
      <c r="J68"/>
      <c r="K68"/>
      <c r="L68"/>
      <c r="M68"/>
    </row>
    <row r="69" spans="1:13" s="44" customFormat="1" ht="14.5" x14ac:dyDescent="0.35">
      <c r="A69" s="105"/>
      <c r="B69"/>
      <c r="C69"/>
      <c r="D69"/>
      <c r="E69"/>
      <c r="F69" s="54"/>
      <c r="G69" s="197"/>
      <c r="H69" s="103"/>
      <c r="I69"/>
      <c r="J69"/>
      <c r="K69"/>
      <c r="L69"/>
      <c r="M69"/>
    </row>
    <row r="70" spans="1:13" s="44" customFormat="1" ht="14.5" x14ac:dyDescent="0.35">
      <c r="A70" s="105"/>
      <c r="B70"/>
      <c r="C70"/>
      <c r="D70"/>
      <c r="E70"/>
      <c r="F70" s="54"/>
      <c r="G70" s="197"/>
      <c r="H70" s="103"/>
      <c r="I70"/>
      <c r="J70"/>
      <c r="K70"/>
      <c r="L70"/>
      <c r="M70"/>
    </row>
    <row r="71" spans="1:13" s="44" customFormat="1" ht="14.5" x14ac:dyDescent="0.35">
      <c r="A71" s="105"/>
      <c r="B71"/>
      <c r="C71"/>
      <c r="D71"/>
      <c r="E71"/>
      <c r="F71" s="54"/>
      <c r="G71" s="197"/>
      <c r="H71" s="103"/>
      <c r="I71"/>
      <c r="J71"/>
      <c r="K71"/>
      <c r="L71"/>
      <c r="M71"/>
    </row>
    <row r="72" spans="1:13" s="44" customFormat="1" ht="14.5" x14ac:dyDescent="0.35">
      <c r="A72" s="105"/>
      <c r="B72"/>
      <c r="C72"/>
      <c r="D72"/>
      <c r="E72"/>
      <c r="F72" s="54"/>
      <c r="G72" s="197"/>
      <c r="H72" s="103"/>
      <c r="I72"/>
      <c r="J72"/>
      <c r="K72"/>
      <c r="L72"/>
      <c r="M72"/>
    </row>
    <row r="73" spans="1:13" s="44" customFormat="1" ht="14.5" x14ac:dyDescent="0.35">
      <c r="A73" s="105"/>
      <c r="B73"/>
      <c r="C73"/>
      <c r="D73"/>
      <c r="E73"/>
      <c r="F73" s="54"/>
      <c r="G73" s="197"/>
      <c r="H73" s="103"/>
      <c r="I73"/>
      <c r="J73"/>
      <c r="K73"/>
      <c r="L73"/>
      <c r="M73"/>
    </row>
    <row r="74" spans="1:13" s="44" customFormat="1" ht="14.5" x14ac:dyDescent="0.35">
      <c r="A74" s="105"/>
      <c r="B74"/>
      <c r="C74"/>
      <c r="D74"/>
      <c r="E74"/>
      <c r="F74" s="54"/>
      <c r="G74" s="197"/>
      <c r="H74" s="103"/>
      <c r="I74"/>
      <c r="J74"/>
      <c r="K74"/>
      <c r="L74"/>
      <c r="M74"/>
    </row>
    <row r="75" spans="1:13" s="44" customFormat="1" ht="14.5" x14ac:dyDescent="0.35">
      <c r="A75" s="105"/>
      <c r="B75"/>
      <c r="C75"/>
      <c r="D75"/>
      <c r="E75"/>
      <c r="F75" s="54"/>
      <c r="G75" s="197"/>
      <c r="H75" s="103"/>
      <c r="I75"/>
      <c r="J75"/>
      <c r="K75"/>
      <c r="L75"/>
      <c r="M75"/>
    </row>
    <row r="76" spans="1:13" s="44" customFormat="1" ht="14.5" x14ac:dyDescent="0.35">
      <c r="A76" s="105"/>
      <c r="B76"/>
      <c r="C76"/>
      <c r="D76"/>
      <c r="E76"/>
      <c r="F76" s="54"/>
      <c r="G76" s="197"/>
      <c r="H76" s="103"/>
      <c r="I76"/>
      <c r="J76"/>
      <c r="K76"/>
      <c r="L76"/>
      <c r="M76"/>
    </row>
    <row r="77" spans="1:13" s="44" customFormat="1" ht="14.5" x14ac:dyDescent="0.35">
      <c r="A77" s="105"/>
      <c r="B77"/>
      <c r="C77"/>
      <c r="D77"/>
      <c r="E77"/>
      <c r="F77" s="54"/>
      <c r="G77" s="197"/>
      <c r="H77" s="103"/>
      <c r="I77"/>
      <c r="J77"/>
      <c r="K77"/>
      <c r="L77"/>
      <c r="M77"/>
    </row>
    <row r="78" spans="1:13" s="44" customFormat="1" ht="14.5" x14ac:dyDescent="0.35">
      <c r="A78" s="105"/>
      <c r="B78"/>
      <c r="C78"/>
      <c r="D78"/>
      <c r="E78"/>
      <c r="F78" s="54"/>
      <c r="G78" s="197"/>
      <c r="H78" s="103"/>
      <c r="I78"/>
      <c r="J78"/>
      <c r="K78"/>
      <c r="L78"/>
      <c r="M78"/>
    </row>
    <row r="79" spans="1:13" s="44" customFormat="1" ht="14.5" x14ac:dyDescent="0.35">
      <c r="A79" s="105"/>
      <c r="B79"/>
      <c r="C79"/>
      <c r="D79"/>
      <c r="E79"/>
      <c r="F79" s="54"/>
      <c r="G79" s="197"/>
      <c r="H79" s="103"/>
      <c r="I79"/>
      <c r="J79"/>
      <c r="K79"/>
      <c r="L79"/>
      <c r="M79"/>
    </row>
    <row r="80" spans="1:13" s="44" customFormat="1" ht="14.5" x14ac:dyDescent="0.35">
      <c r="A80" s="105"/>
      <c r="B80"/>
      <c r="C80"/>
      <c r="D80"/>
      <c r="E80"/>
      <c r="F80" s="54"/>
      <c r="G80" s="197"/>
      <c r="H80" s="103"/>
      <c r="I80"/>
      <c r="J80"/>
      <c r="K80"/>
      <c r="L80"/>
      <c r="M80"/>
    </row>
    <row r="81" spans="1:13" s="44" customFormat="1" ht="14.5" x14ac:dyDescent="0.35">
      <c r="A81" s="105"/>
      <c r="B81"/>
      <c r="C81"/>
      <c r="D81"/>
      <c r="E81"/>
      <c r="F81" s="54"/>
      <c r="G81" s="197"/>
      <c r="H81" s="103"/>
      <c r="I81"/>
      <c r="J81"/>
      <c r="K81"/>
      <c r="L81"/>
      <c r="M81"/>
    </row>
    <row r="82" spans="1:13" s="44" customFormat="1" ht="14.5" x14ac:dyDescent="0.35">
      <c r="A82" s="105"/>
      <c r="B82"/>
      <c r="C82"/>
      <c r="D82"/>
      <c r="E82"/>
      <c r="F82" s="54"/>
      <c r="G82" s="197"/>
      <c r="H82" s="103"/>
      <c r="I82"/>
      <c r="J82"/>
      <c r="K82"/>
      <c r="L82"/>
      <c r="M82"/>
    </row>
    <row r="83" spans="1:13" s="44" customFormat="1" ht="14.5" x14ac:dyDescent="0.35">
      <c r="A83" s="105"/>
      <c r="B83"/>
      <c r="C83"/>
      <c r="D83"/>
      <c r="E83"/>
      <c r="F83" s="54"/>
      <c r="G83" s="197"/>
      <c r="H83" s="103"/>
      <c r="I83"/>
      <c r="J83"/>
      <c r="K83"/>
      <c r="L83"/>
      <c r="M83"/>
    </row>
    <row r="84" spans="1:13" s="44" customFormat="1" ht="14.5" x14ac:dyDescent="0.35">
      <c r="A84" s="105"/>
      <c r="B84"/>
      <c r="C84"/>
      <c r="D84"/>
      <c r="E84"/>
      <c r="F84" s="54"/>
      <c r="G84" s="197"/>
      <c r="H84" s="103"/>
      <c r="I84"/>
      <c r="J84"/>
      <c r="K84"/>
      <c r="L84"/>
      <c r="M84"/>
    </row>
    <row r="85" spans="1:13" s="44" customFormat="1" ht="14.5" x14ac:dyDescent="0.35">
      <c r="A85" s="105"/>
      <c r="B85"/>
      <c r="C85"/>
      <c r="D85"/>
      <c r="E85"/>
      <c r="F85" s="54"/>
      <c r="G85" s="197"/>
      <c r="H85" s="103"/>
      <c r="I85"/>
      <c r="J85"/>
      <c r="K85"/>
      <c r="L85"/>
      <c r="M85"/>
    </row>
    <row r="86" spans="1:13" s="44" customFormat="1" ht="14.5" x14ac:dyDescent="0.35">
      <c r="A86" s="105"/>
      <c r="B86"/>
      <c r="C86"/>
      <c r="D86"/>
      <c r="E86"/>
      <c r="F86" s="54"/>
      <c r="G86" s="197"/>
      <c r="H86" s="103"/>
      <c r="I86"/>
      <c r="J86"/>
      <c r="K86"/>
      <c r="L86"/>
      <c r="M86"/>
    </row>
    <row r="87" spans="1:13" s="44" customFormat="1" ht="14.5" x14ac:dyDescent="0.35">
      <c r="A87" s="105"/>
      <c r="B87"/>
      <c r="C87" s="48"/>
      <c r="D87"/>
      <c r="E87"/>
      <c r="F87" s="54"/>
      <c r="G87" s="197"/>
      <c r="H87" s="41"/>
      <c r="I87"/>
      <c r="J87"/>
      <c r="K87"/>
      <c r="L87"/>
      <c r="M87"/>
    </row>
    <row r="88" spans="1:13" s="44" customFormat="1" ht="14.5" x14ac:dyDescent="0.35">
      <c r="A88" s="105"/>
      <c r="B88"/>
      <c r="C88" s="48"/>
      <c r="D88"/>
      <c r="E88"/>
      <c r="F88" s="54"/>
      <c r="G88" s="197"/>
      <c r="H88" s="41"/>
      <c r="I88"/>
      <c r="J88"/>
      <c r="K88"/>
      <c r="L88"/>
      <c r="M88"/>
    </row>
    <row r="89" spans="1:13" s="44" customFormat="1" ht="14.5" x14ac:dyDescent="0.35">
      <c r="A89" s="105"/>
      <c r="B89"/>
      <c r="C89" s="48"/>
      <c r="D89"/>
      <c r="E89"/>
      <c r="F89" s="54"/>
      <c r="G89" s="197"/>
      <c r="H89" s="41"/>
      <c r="I89"/>
      <c r="J89"/>
      <c r="K89"/>
      <c r="L89"/>
      <c r="M89"/>
    </row>
    <row r="90" spans="1:13" s="44" customFormat="1" ht="14.5" x14ac:dyDescent="0.35">
      <c r="A90" s="105"/>
      <c r="B90"/>
      <c r="C90" s="48"/>
      <c r="D90"/>
      <c r="E90"/>
      <c r="F90" s="54"/>
      <c r="G90" s="197"/>
      <c r="H90" s="41"/>
      <c r="I90"/>
      <c r="J90"/>
      <c r="K90"/>
      <c r="L90"/>
      <c r="M90"/>
    </row>
    <row r="91" spans="1:13" s="44" customFormat="1" ht="14.5" x14ac:dyDescent="0.35">
      <c r="A91" s="105"/>
      <c r="B91"/>
      <c r="C91" s="48"/>
      <c r="D91"/>
      <c r="E91"/>
      <c r="F91" s="54"/>
      <c r="G91" s="197"/>
      <c r="H91" s="41"/>
      <c r="I91"/>
      <c r="J91"/>
      <c r="K91"/>
      <c r="L91"/>
      <c r="M91"/>
    </row>
    <row r="92" spans="1:13" s="44" customFormat="1" ht="14.5" x14ac:dyDescent="0.35">
      <c r="A92" s="105"/>
      <c r="B92"/>
      <c r="C92" s="48"/>
      <c r="D92"/>
      <c r="E92"/>
      <c r="F92" s="54"/>
      <c r="G92" s="197"/>
      <c r="H92" s="41"/>
      <c r="I92"/>
      <c r="J92"/>
      <c r="K92"/>
      <c r="L92"/>
      <c r="M92"/>
    </row>
    <row r="93" spans="1:13" s="44" customFormat="1" ht="14.5" x14ac:dyDescent="0.35">
      <c r="A93" s="105"/>
      <c r="B93"/>
      <c r="C93" s="48"/>
      <c r="D93"/>
      <c r="E93"/>
      <c r="F93" s="54"/>
      <c r="G93" s="197"/>
      <c r="H93" s="41"/>
      <c r="I93"/>
      <c r="J93"/>
      <c r="K93"/>
      <c r="L93"/>
      <c r="M93"/>
    </row>
    <row r="94" spans="1:13" s="44" customFormat="1" ht="14.5" x14ac:dyDescent="0.35">
      <c r="A94" s="105"/>
      <c r="B94"/>
      <c r="C94" s="48"/>
      <c r="D94"/>
      <c r="E94"/>
      <c r="F94" s="54"/>
      <c r="G94" s="197"/>
      <c r="H94" s="41"/>
      <c r="I94"/>
      <c r="J94"/>
      <c r="K94"/>
      <c r="L94"/>
      <c r="M94"/>
    </row>
    <row r="95" spans="1:13" s="44" customFormat="1" ht="14.5" x14ac:dyDescent="0.35">
      <c r="A95" s="105"/>
      <c r="B95"/>
      <c r="C95" s="48"/>
      <c r="D95"/>
      <c r="E95"/>
      <c r="F95" s="54"/>
      <c r="G95" s="197"/>
      <c r="H95" s="41"/>
      <c r="I95"/>
      <c r="J95"/>
      <c r="K95"/>
      <c r="L95"/>
      <c r="M95"/>
    </row>
    <row r="96" spans="1:13" s="44" customFormat="1" ht="14.5" x14ac:dyDescent="0.35">
      <c r="A96" s="105"/>
      <c r="B96"/>
      <c r="C96" s="48"/>
      <c r="D96"/>
      <c r="E96"/>
      <c r="F96" s="54"/>
      <c r="G96" s="197"/>
      <c r="H96" s="41"/>
      <c r="I96"/>
      <c r="J96"/>
      <c r="K96"/>
      <c r="L96"/>
      <c r="M96"/>
    </row>
    <row r="97" spans="1:13" s="44" customFormat="1" ht="14.5" x14ac:dyDescent="0.35">
      <c r="A97" s="105"/>
      <c r="B97"/>
      <c r="C97" s="48"/>
      <c r="D97"/>
      <c r="E97"/>
      <c r="F97" s="54"/>
      <c r="G97" s="197"/>
      <c r="H97" s="41"/>
      <c r="I97"/>
      <c r="J97"/>
      <c r="K97"/>
      <c r="L97"/>
      <c r="M97"/>
    </row>
    <row r="98" spans="1:13" s="44" customFormat="1" ht="14.5" x14ac:dyDescent="0.35">
      <c r="A98" s="105"/>
      <c r="B98"/>
      <c r="C98" s="48"/>
      <c r="D98"/>
      <c r="E98"/>
      <c r="F98" s="54"/>
      <c r="G98" s="197"/>
      <c r="H98" s="41"/>
      <c r="I98"/>
      <c r="J98"/>
      <c r="K98"/>
      <c r="L98"/>
      <c r="M98"/>
    </row>
    <row r="99" spans="1:13" s="44" customFormat="1" ht="14.5" x14ac:dyDescent="0.35">
      <c r="A99" s="105"/>
      <c r="B99"/>
      <c r="C99" s="48"/>
      <c r="D99"/>
      <c r="E99"/>
      <c r="F99" s="54"/>
      <c r="G99" s="197"/>
      <c r="H99" s="41"/>
      <c r="I99"/>
      <c r="J99"/>
      <c r="K99"/>
      <c r="L99"/>
      <c r="M99"/>
    </row>
    <row r="100" spans="1:13" s="44" customFormat="1" ht="14.5" x14ac:dyDescent="0.35">
      <c r="A100" s="105"/>
      <c r="B100"/>
      <c r="C100" s="48"/>
      <c r="D100"/>
      <c r="E100"/>
      <c r="F100" s="54"/>
      <c r="G100" s="197"/>
      <c r="H100" s="41"/>
      <c r="I100"/>
      <c r="J100"/>
      <c r="K100"/>
      <c r="L100"/>
      <c r="M100"/>
    </row>
    <row r="101" spans="1:13" s="44" customFormat="1" ht="14.5" x14ac:dyDescent="0.35">
      <c r="A101" s="121"/>
      <c r="B101" s="39"/>
      <c r="C101" s="47"/>
      <c r="D101" s="39"/>
      <c r="E101" s="39"/>
      <c r="F101" s="55"/>
      <c r="G101" s="198"/>
      <c r="H101" s="42"/>
      <c r="I101" s="39"/>
      <c r="J101" s="39"/>
      <c r="K101" s="39"/>
      <c r="L101" s="39"/>
      <c r="M101" s="39"/>
    </row>
    <row r="102" spans="1:13" s="44" customFormat="1" ht="14.5" x14ac:dyDescent="0.35">
      <c r="A102" s="121"/>
      <c r="B102" s="39"/>
      <c r="C102" s="47"/>
      <c r="D102" s="39"/>
      <c r="E102" s="39"/>
      <c r="F102" s="55"/>
      <c r="G102" s="198"/>
      <c r="H102" s="42"/>
      <c r="I102" s="39"/>
      <c r="J102" s="39"/>
      <c r="K102" s="39"/>
      <c r="L102" s="39"/>
      <c r="M102" s="39"/>
    </row>
    <row r="103" spans="1:13" s="44" customFormat="1" ht="14.5" x14ac:dyDescent="0.35">
      <c r="A103" s="121"/>
      <c r="B103" s="39"/>
      <c r="C103" s="47"/>
      <c r="D103" s="39"/>
      <c r="E103" s="39"/>
      <c r="F103" s="55"/>
      <c r="G103" s="198"/>
      <c r="H103" s="42"/>
      <c r="I103" s="39"/>
      <c r="J103" s="39"/>
      <c r="K103" s="39"/>
      <c r="L103" s="39"/>
      <c r="M103" s="39"/>
    </row>
    <row r="104" spans="1:13" s="44" customFormat="1" ht="14.5" x14ac:dyDescent="0.35">
      <c r="A104" s="121"/>
      <c r="B104" s="39"/>
      <c r="C104" s="47"/>
      <c r="D104" s="39"/>
      <c r="E104" s="39"/>
      <c r="F104" s="55"/>
      <c r="G104" s="198"/>
      <c r="H104" s="42"/>
      <c r="I104" s="39"/>
      <c r="J104" s="39"/>
      <c r="K104" s="39"/>
      <c r="L104" s="39"/>
      <c r="M104" s="39"/>
    </row>
    <row r="105" spans="1:13" s="44" customFormat="1" ht="14.5" x14ac:dyDescent="0.35">
      <c r="A105" s="121"/>
      <c r="B105" s="39"/>
      <c r="C105" s="47"/>
      <c r="D105" s="39"/>
      <c r="E105" s="39"/>
      <c r="F105" s="55"/>
      <c r="G105" s="198"/>
      <c r="H105" s="42"/>
      <c r="I105" s="39"/>
      <c r="J105" s="39"/>
      <c r="K105" s="39"/>
      <c r="L105" s="39"/>
      <c r="M105" s="39"/>
    </row>
    <row r="106" spans="1:13" s="44" customFormat="1" ht="14.5" x14ac:dyDescent="0.35">
      <c r="A106" s="121"/>
      <c r="B106" s="39"/>
      <c r="C106" s="47"/>
      <c r="D106" s="39"/>
      <c r="E106" s="39"/>
      <c r="F106" s="55"/>
      <c r="G106" s="198"/>
      <c r="H106" s="42"/>
      <c r="I106" s="39"/>
      <c r="J106" s="39"/>
      <c r="K106" s="39"/>
      <c r="L106" s="39"/>
      <c r="M106" s="39"/>
    </row>
    <row r="107" spans="1:13" s="44" customFormat="1" ht="14.5" x14ac:dyDescent="0.35">
      <c r="A107" s="121"/>
      <c r="B107" s="39"/>
      <c r="C107" s="47"/>
      <c r="D107" s="39"/>
      <c r="E107" s="39"/>
      <c r="F107" s="55"/>
      <c r="G107" s="198"/>
      <c r="H107" s="42"/>
      <c r="I107" s="39"/>
      <c r="J107" s="39"/>
      <c r="K107" s="39"/>
      <c r="L107" s="39"/>
      <c r="M107" s="39"/>
    </row>
    <row r="108" spans="1:13" s="44" customFormat="1" ht="14.5" x14ac:dyDescent="0.35">
      <c r="A108" s="121"/>
      <c r="B108" s="39"/>
      <c r="C108" s="47"/>
      <c r="D108" s="39"/>
      <c r="E108" s="39"/>
      <c r="F108" s="55"/>
      <c r="G108" s="198"/>
      <c r="H108" s="42"/>
      <c r="I108" s="39"/>
      <c r="J108" s="39"/>
      <c r="K108" s="39"/>
      <c r="L108" s="39"/>
      <c r="M108" s="39"/>
    </row>
    <row r="109" spans="1:13" s="44" customFormat="1" ht="14.5" x14ac:dyDescent="0.35">
      <c r="A109" s="121"/>
      <c r="B109" s="39"/>
      <c r="C109" s="47"/>
      <c r="D109" s="39"/>
      <c r="E109" s="39"/>
      <c r="F109" s="55"/>
      <c r="G109" s="198"/>
      <c r="H109" s="42"/>
      <c r="I109" s="39"/>
      <c r="J109" s="39"/>
      <c r="K109" s="39"/>
      <c r="L109" s="39"/>
      <c r="M109" s="39"/>
    </row>
    <row r="110" spans="1:13" s="44" customFormat="1" ht="14.5" x14ac:dyDescent="0.35">
      <c r="A110" s="121"/>
      <c r="B110" s="39"/>
      <c r="C110" s="47"/>
      <c r="D110" s="39"/>
      <c r="E110" s="39"/>
      <c r="F110" s="55"/>
      <c r="G110" s="198"/>
      <c r="H110" s="42"/>
      <c r="I110" s="39"/>
      <c r="J110" s="39"/>
      <c r="K110" s="39"/>
      <c r="L110" s="39"/>
      <c r="M110" s="39"/>
    </row>
    <row r="111" spans="1:13" s="44" customFormat="1" ht="14.5" x14ac:dyDescent="0.35">
      <c r="A111" s="121"/>
      <c r="B111" s="39"/>
      <c r="C111" s="47"/>
      <c r="D111" s="39"/>
      <c r="E111" s="39"/>
      <c r="F111" s="55"/>
      <c r="G111" s="198"/>
      <c r="H111" s="42"/>
      <c r="I111" s="39"/>
      <c r="J111" s="39"/>
      <c r="K111" s="39"/>
      <c r="L111" s="39"/>
      <c r="M111" s="39"/>
    </row>
    <row r="112" spans="1:13" s="44" customFormat="1" ht="14.5" x14ac:dyDescent="0.35">
      <c r="A112" s="121"/>
      <c r="B112" s="39"/>
      <c r="C112" s="47"/>
      <c r="D112" s="39"/>
      <c r="E112" s="39"/>
      <c r="F112" s="55"/>
      <c r="G112" s="198"/>
      <c r="H112" s="42"/>
      <c r="I112" s="39"/>
      <c r="J112" s="39"/>
      <c r="K112" s="39"/>
      <c r="L112" s="39"/>
      <c r="M112" s="39"/>
    </row>
    <row r="113" spans="1:13" s="44" customFormat="1" ht="14.5" x14ac:dyDescent="0.35">
      <c r="A113" s="121"/>
      <c r="B113" s="39"/>
      <c r="C113" s="47"/>
      <c r="D113" s="39"/>
      <c r="E113" s="39"/>
      <c r="F113" s="55"/>
      <c r="G113" s="198"/>
      <c r="H113" s="42"/>
      <c r="I113" s="39"/>
      <c r="J113" s="39"/>
      <c r="K113" s="39"/>
      <c r="L113" s="39"/>
      <c r="M113" s="39"/>
    </row>
    <row r="114" spans="1:13" s="44" customFormat="1" ht="14.5" x14ac:dyDescent="0.35">
      <c r="A114" s="121"/>
      <c r="B114" s="39"/>
      <c r="C114" s="47"/>
      <c r="D114" s="39"/>
      <c r="E114" s="39"/>
      <c r="F114" s="55"/>
      <c r="G114" s="198"/>
      <c r="H114" s="42"/>
      <c r="I114" s="39"/>
      <c r="J114" s="39"/>
      <c r="K114" s="39"/>
      <c r="L114" s="39"/>
      <c r="M114" s="39"/>
    </row>
    <row r="115" spans="1:13" s="44" customFormat="1" ht="14.5" x14ac:dyDescent="0.35">
      <c r="A115" s="121"/>
      <c r="B115" s="39"/>
      <c r="C115" s="47"/>
      <c r="D115" s="39"/>
      <c r="E115" s="39"/>
      <c r="F115" s="55"/>
      <c r="G115" s="198"/>
      <c r="H115" s="42"/>
      <c r="I115" s="39"/>
      <c r="J115" s="39"/>
      <c r="K115" s="39"/>
      <c r="L115" s="39"/>
      <c r="M115" s="39"/>
    </row>
    <row r="116" spans="1:13" s="44" customFormat="1" ht="14.5" x14ac:dyDescent="0.35">
      <c r="A116" s="121"/>
      <c r="B116" s="39"/>
      <c r="C116" s="47"/>
      <c r="D116" s="39"/>
      <c r="E116" s="39"/>
      <c r="F116" s="55"/>
      <c r="G116" s="198"/>
      <c r="H116" s="42"/>
      <c r="I116" s="39"/>
      <c r="J116" s="39"/>
      <c r="K116" s="39"/>
      <c r="L116" s="39"/>
      <c r="M116" s="39"/>
    </row>
    <row r="117" spans="1:13" s="44" customFormat="1" ht="14.5" x14ac:dyDescent="0.35">
      <c r="A117" s="121"/>
      <c r="B117" s="39"/>
      <c r="C117" s="47"/>
      <c r="D117" s="39"/>
      <c r="E117" s="39"/>
      <c r="F117" s="55"/>
      <c r="G117" s="198"/>
      <c r="H117" s="42"/>
      <c r="I117" s="39"/>
      <c r="J117" s="39"/>
      <c r="K117" s="39"/>
      <c r="L117" s="39"/>
      <c r="M117" s="39"/>
    </row>
    <row r="118" spans="1:13" s="44" customFormat="1" ht="14.5" x14ac:dyDescent="0.35">
      <c r="A118" s="121"/>
      <c r="B118" s="39"/>
      <c r="C118" s="47"/>
      <c r="D118" s="39"/>
      <c r="E118" s="39"/>
      <c r="F118" s="55"/>
      <c r="G118" s="198"/>
      <c r="H118" s="42"/>
      <c r="I118" s="39"/>
      <c r="J118" s="39"/>
      <c r="K118" s="39"/>
      <c r="L118" s="39"/>
      <c r="M118" s="39"/>
    </row>
    <row r="119" spans="1:13" s="44" customFormat="1" ht="14.5" x14ac:dyDescent="0.35">
      <c r="A119" s="121"/>
      <c r="B119" s="39"/>
      <c r="C119" s="47"/>
      <c r="D119" s="39"/>
      <c r="E119" s="39"/>
      <c r="F119" s="55"/>
      <c r="G119" s="198"/>
      <c r="H119" s="42"/>
      <c r="I119" s="39"/>
      <c r="J119" s="39"/>
      <c r="K119" s="39"/>
      <c r="L119" s="39"/>
      <c r="M119" s="39"/>
    </row>
    <row r="120" spans="1:13" s="44" customFormat="1" ht="14.5" x14ac:dyDescent="0.35">
      <c r="A120" s="121"/>
      <c r="B120" s="39"/>
      <c r="C120" s="47"/>
      <c r="D120" s="39"/>
      <c r="E120" s="39"/>
      <c r="F120" s="55"/>
      <c r="G120" s="198"/>
      <c r="H120" s="42"/>
      <c r="I120" s="39"/>
      <c r="J120" s="39"/>
      <c r="K120" s="39"/>
      <c r="L120" s="39"/>
      <c r="M120" s="39"/>
    </row>
    <row r="121" spans="1:13" s="44" customFormat="1" ht="14.5" x14ac:dyDescent="0.35">
      <c r="A121" s="121"/>
      <c r="B121" s="39"/>
      <c r="C121" s="47"/>
      <c r="D121" s="39"/>
      <c r="E121" s="39"/>
      <c r="F121" s="55"/>
      <c r="G121" s="198"/>
      <c r="H121" s="42"/>
      <c r="I121" s="39"/>
      <c r="J121" s="39"/>
      <c r="K121" s="39"/>
      <c r="L121" s="39"/>
      <c r="M121" s="39"/>
    </row>
    <row r="122" spans="1:13" s="44" customFormat="1" ht="14.5" x14ac:dyDescent="0.35">
      <c r="A122" s="121"/>
      <c r="B122" s="39"/>
      <c r="C122" s="47"/>
      <c r="D122" s="39"/>
      <c r="E122" s="39"/>
      <c r="F122" s="55"/>
      <c r="G122" s="198"/>
      <c r="H122" s="42"/>
      <c r="I122" s="39"/>
      <c r="J122" s="39"/>
      <c r="K122" s="39"/>
      <c r="L122" s="39"/>
      <c r="M122" s="39"/>
    </row>
    <row r="123" spans="1:13" s="44" customFormat="1" ht="14.5" x14ac:dyDescent="0.35">
      <c r="A123" s="121"/>
      <c r="B123" s="39"/>
      <c r="C123" s="47"/>
      <c r="D123" s="39"/>
      <c r="E123" s="39"/>
      <c r="F123" s="55"/>
      <c r="G123" s="198"/>
      <c r="H123" s="42"/>
      <c r="I123" s="39"/>
      <c r="J123" s="39"/>
      <c r="K123" s="39"/>
      <c r="L123" s="39"/>
      <c r="M123" s="39"/>
    </row>
    <row r="124" spans="1:13" s="44" customFormat="1" ht="14.5" x14ac:dyDescent="0.35">
      <c r="A124" s="121"/>
      <c r="B124" s="39"/>
      <c r="C124" s="47"/>
      <c r="D124" s="39"/>
      <c r="E124" s="39"/>
      <c r="F124" s="55"/>
      <c r="G124" s="198"/>
      <c r="H124" s="42"/>
      <c r="I124" s="39"/>
      <c r="J124" s="39"/>
      <c r="K124" s="39"/>
      <c r="L124" s="39"/>
      <c r="M124" s="39"/>
    </row>
    <row r="125" spans="1:13" s="44" customFormat="1" ht="14.5" x14ac:dyDescent="0.35">
      <c r="A125" s="121"/>
      <c r="B125" s="39"/>
      <c r="C125" s="47"/>
      <c r="D125" s="39"/>
      <c r="E125" s="39"/>
      <c r="F125" s="55"/>
      <c r="G125" s="198"/>
      <c r="H125" s="42"/>
      <c r="I125" s="39"/>
      <c r="J125" s="39"/>
      <c r="K125" s="39"/>
      <c r="L125" s="39"/>
      <c r="M125" s="39"/>
    </row>
    <row r="126" spans="1:13" s="44" customFormat="1" ht="14.5" x14ac:dyDescent="0.35">
      <c r="A126" s="121"/>
      <c r="B126" s="39"/>
      <c r="C126" s="47"/>
      <c r="D126" s="39"/>
      <c r="E126" s="39"/>
      <c r="F126" s="55"/>
      <c r="G126" s="198"/>
      <c r="H126" s="42"/>
      <c r="I126" s="39"/>
      <c r="J126" s="39"/>
      <c r="K126" s="39"/>
      <c r="L126" s="39"/>
      <c r="M126" s="39"/>
    </row>
    <row r="127" spans="1:13" s="44" customFormat="1" ht="14.5" x14ac:dyDescent="0.35">
      <c r="A127" s="121"/>
      <c r="B127" s="39"/>
      <c r="C127" s="47"/>
      <c r="D127" s="39"/>
      <c r="E127" s="39"/>
      <c r="F127" s="55"/>
      <c r="G127" s="198"/>
      <c r="H127" s="42"/>
      <c r="I127" s="39"/>
      <c r="J127" s="39"/>
      <c r="K127" s="39"/>
      <c r="L127" s="39"/>
      <c r="M127" s="39"/>
    </row>
    <row r="128" spans="1:13" s="44" customFormat="1" ht="14.5" x14ac:dyDescent="0.35">
      <c r="A128" s="121"/>
      <c r="B128" s="39"/>
      <c r="C128" s="47"/>
      <c r="D128" s="39"/>
      <c r="E128" s="39"/>
      <c r="F128" s="55"/>
      <c r="G128" s="198"/>
      <c r="H128" s="42"/>
      <c r="I128" s="39"/>
      <c r="J128" s="39"/>
      <c r="K128" s="39"/>
      <c r="L128" s="39"/>
      <c r="M128" s="39"/>
    </row>
    <row r="129" spans="1:13" s="44" customFormat="1" ht="14.5" x14ac:dyDescent="0.35">
      <c r="A129" s="121"/>
      <c r="B129" s="39"/>
      <c r="C129" s="47"/>
      <c r="D129" s="39"/>
      <c r="E129" s="39"/>
      <c r="F129" s="55"/>
      <c r="G129" s="198"/>
      <c r="H129" s="42"/>
      <c r="I129" s="39"/>
      <c r="J129" s="39"/>
      <c r="K129" s="39"/>
      <c r="L129" s="39"/>
      <c r="M129" s="39"/>
    </row>
    <row r="130" spans="1:13" s="44" customFormat="1" ht="14.5" x14ac:dyDescent="0.35">
      <c r="A130" s="121"/>
      <c r="B130" s="39"/>
      <c r="C130" s="47"/>
      <c r="D130" s="39"/>
      <c r="E130" s="39"/>
      <c r="F130" s="55"/>
      <c r="G130" s="198"/>
      <c r="H130" s="42"/>
      <c r="I130" s="39"/>
      <c r="J130" s="39"/>
      <c r="K130" s="39"/>
      <c r="L130" s="39"/>
      <c r="M130" s="39"/>
    </row>
    <row r="131" spans="1:13" s="44" customFormat="1" ht="14.5" x14ac:dyDescent="0.35">
      <c r="A131" s="121"/>
      <c r="B131" s="39"/>
      <c r="C131" s="47"/>
      <c r="D131" s="39"/>
      <c r="E131" s="39"/>
      <c r="F131" s="55"/>
      <c r="G131" s="198"/>
      <c r="H131" s="42"/>
      <c r="I131" s="39"/>
      <c r="J131" s="39"/>
      <c r="K131" s="39"/>
      <c r="L131" s="39"/>
      <c r="M131" s="39"/>
    </row>
    <row r="132" spans="1:13" s="44" customFormat="1" ht="14.5" x14ac:dyDescent="0.35">
      <c r="A132" s="121"/>
      <c r="B132" s="39"/>
      <c r="C132" s="47"/>
      <c r="D132" s="39"/>
      <c r="E132" s="39"/>
      <c r="F132" s="55"/>
      <c r="G132" s="198"/>
      <c r="H132" s="42"/>
      <c r="I132" s="39"/>
      <c r="J132" s="39"/>
      <c r="K132" s="39"/>
      <c r="L132" s="39"/>
      <c r="M132" s="39"/>
    </row>
    <row r="133" spans="1:13" s="44" customFormat="1" ht="14.5" x14ac:dyDescent="0.35">
      <c r="A133" s="121"/>
      <c r="B133" s="39"/>
      <c r="C133" s="47"/>
      <c r="D133" s="39"/>
      <c r="E133" s="39"/>
      <c r="F133" s="55"/>
      <c r="G133" s="198"/>
      <c r="H133" s="42"/>
      <c r="I133" s="39"/>
      <c r="J133" s="39"/>
      <c r="K133" s="39"/>
      <c r="L133" s="39"/>
      <c r="M133" s="39"/>
    </row>
    <row r="134" spans="1:13" s="44" customFormat="1" ht="14.5" x14ac:dyDescent="0.35">
      <c r="A134" s="121"/>
      <c r="B134" s="39"/>
      <c r="C134" s="47"/>
      <c r="D134" s="39"/>
      <c r="E134" s="39"/>
      <c r="F134" s="55"/>
      <c r="G134" s="198"/>
      <c r="H134" s="42"/>
      <c r="I134" s="39"/>
      <c r="J134" s="39"/>
      <c r="K134" s="39"/>
      <c r="L134" s="39"/>
      <c r="M134" s="39"/>
    </row>
    <row r="135" spans="1:13" s="44" customFormat="1" ht="14.5" x14ac:dyDescent="0.35">
      <c r="A135" s="121"/>
      <c r="B135" s="39"/>
      <c r="C135" s="47"/>
      <c r="D135" s="39"/>
      <c r="E135" s="39"/>
      <c r="F135" s="55"/>
      <c r="G135" s="198"/>
      <c r="H135" s="42"/>
      <c r="I135" s="39"/>
      <c r="J135" s="39"/>
      <c r="K135" s="39"/>
      <c r="L135" s="39"/>
      <c r="M135" s="39"/>
    </row>
    <row r="136" spans="1:13" s="44" customFormat="1" ht="14.5" x14ac:dyDescent="0.35">
      <c r="A136" s="121"/>
      <c r="B136" s="39"/>
      <c r="C136" s="47"/>
      <c r="D136" s="39"/>
      <c r="E136" s="39"/>
      <c r="F136" s="55"/>
      <c r="G136" s="198"/>
      <c r="H136" s="42"/>
      <c r="I136" s="39"/>
      <c r="J136" s="39"/>
      <c r="K136" s="39"/>
      <c r="L136" s="39"/>
      <c r="M136" s="39"/>
    </row>
    <row r="137" spans="1:13" s="44" customFormat="1" ht="14.5" x14ac:dyDescent="0.35">
      <c r="A137" s="121"/>
      <c r="B137" s="39"/>
      <c r="C137" s="47"/>
      <c r="D137" s="39"/>
      <c r="E137" s="39"/>
      <c r="F137" s="55"/>
      <c r="G137" s="198"/>
      <c r="H137" s="42"/>
      <c r="I137" s="39"/>
      <c r="J137" s="39"/>
      <c r="K137" s="39"/>
      <c r="L137" s="39"/>
      <c r="M137" s="39"/>
    </row>
    <row r="138" spans="1:13" s="44" customFormat="1" ht="14.5" x14ac:dyDescent="0.35">
      <c r="A138" s="121"/>
      <c r="B138" s="39"/>
      <c r="C138" s="47"/>
      <c r="D138" s="39"/>
      <c r="E138" s="39"/>
      <c r="F138" s="55"/>
      <c r="G138" s="198"/>
      <c r="H138" s="42"/>
      <c r="I138" s="39"/>
      <c r="J138" s="39"/>
      <c r="K138" s="39"/>
      <c r="L138" s="39"/>
      <c r="M138" s="39"/>
    </row>
    <row r="139" spans="1:13" s="44" customFormat="1" ht="14.5" x14ac:dyDescent="0.35">
      <c r="A139" s="121"/>
      <c r="B139" s="39"/>
      <c r="C139" s="47"/>
      <c r="D139" s="39"/>
      <c r="E139" s="39"/>
      <c r="F139" s="55"/>
      <c r="G139" s="198"/>
      <c r="H139" s="42"/>
      <c r="I139" s="39"/>
      <c r="J139" s="39"/>
      <c r="K139" s="39"/>
      <c r="L139" s="39"/>
      <c r="M139" s="39"/>
    </row>
    <row r="140" spans="1:13" s="44" customFormat="1" ht="14.5" x14ac:dyDescent="0.35">
      <c r="A140" s="121"/>
      <c r="B140" s="39"/>
      <c r="C140" s="47"/>
      <c r="D140" s="39"/>
      <c r="E140" s="39"/>
      <c r="F140" s="55"/>
      <c r="G140" s="198"/>
      <c r="H140" s="42"/>
      <c r="I140" s="39"/>
      <c r="J140" s="39"/>
      <c r="K140" s="39"/>
      <c r="L140" s="39"/>
      <c r="M140" s="39"/>
    </row>
  </sheetData>
  <mergeCells count="2">
    <mergeCell ref="G1:H1"/>
    <mergeCell ref="G2:H2"/>
  </mergeCells>
  <conditionalFormatting sqref="H3:H4 H87:H1048576">
    <cfRule type="notContainsBlanks" dxfId="218" priority="11">
      <formula>LEN(TRIM(H3))&gt;0</formula>
    </cfRule>
  </conditionalFormatting>
  <conditionalFormatting sqref="N135:N1048576">
    <cfRule type="containsText" dxfId="217" priority="10" operator="containsText" text="OK">
      <formula>NOT(ISERROR(SEARCH("OK",N135)))</formula>
    </cfRule>
  </conditionalFormatting>
  <conditionalFormatting sqref="I87:I88">
    <cfRule type="notContainsBlanks" dxfId="216" priority="7">
      <formula>LEN(TRIM(I87))&gt;0</formula>
    </cfRule>
  </conditionalFormatting>
  <conditionalFormatting sqref="G87:G88">
    <cfRule type="notContainsBlanks" dxfId="215" priority="12">
      <formula>LEN(TRIM(G87))&gt;0</formula>
    </cfRule>
  </conditionalFormatting>
  <conditionalFormatting sqref="A57:O1048576 O5:O47 I48:O56 A38:H56 A5:G37 A3:O4 B2:E2 A1:E1 I1:O2">
    <cfRule type="containsBlanks" dxfId="214" priority="4">
      <formula>LEN(TRIM(A1))=0</formula>
    </cfRule>
  </conditionalFormatting>
  <conditionalFormatting sqref="G2">
    <cfRule type="notContainsBlanks" dxfId="213" priority="3">
      <formula>LEN(TRIM(G2))&gt;0</formula>
    </cfRule>
  </conditionalFormatting>
  <conditionalFormatting sqref="F2">
    <cfRule type="containsText" dxfId="212" priority="2" operator="containsText" text="OK">
      <formula>NOT(ISERROR(SEARCH("OK",F2)))</formula>
    </cfRule>
  </conditionalFormatting>
  <conditionalFormatting sqref="F1">
    <cfRule type="containsText" dxfId="211" priority="1" operator="containsText" text="OK">
      <formula>NOT(ISERROR(SEARCH("OK",F1)))</formula>
    </cfRule>
  </conditionalFormatting>
  <pageMargins left="0.70866141732283472" right="0.70866141732283472" top="0.74803149606299213" bottom="0.74803149606299213" header="0.31496062992125984" footer="0.31496062992125984"/>
  <pageSetup scale="85" orientation="landscape" horizontalDpi="4294967295" verticalDpi="4294967295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U77"/>
  <sheetViews>
    <sheetView zoomScale="90" zoomScaleNormal="90" workbookViewId="0">
      <pane ySplit="2" topLeftCell="A27" activePane="bottomLeft" state="frozen"/>
      <selection pane="bottomLeft" activeCell="I27" sqref="I27"/>
    </sheetView>
  </sheetViews>
  <sheetFormatPr baseColWidth="10" defaultColWidth="0" defaultRowHeight="14.5" zeroHeight="1" x14ac:dyDescent="0.35"/>
  <cols>
    <col min="1" max="1" width="5.7265625" style="112" customWidth="1"/>
    <col min="2" max="2" width="43" style="110" customWidth="1"/>
    <col min="3" max="3" width="3.26953125" style="109" customWidth="1"/>
    <col min="4" max="4" width="1.453125" customWidth="1"/>
    <col min="5" max="5" width="4.54296875" style="103" customWidth="1"/>
    <col min="6" max="6" width="30.08984375" customWidth="1"/>
    <col min="7" max="7" width="44.26953125" hidden="1" customWidth="1"/>
    <col min="8" max="8" width="48.7265625" style="102" hidden="1" customWidth="1"/>
    <col min="9" max="9" width="7.26953125" style="41" customWidth="1"/>
    <col min="10" max="10" width="7.453125" style="41" customWidth="1"/>
    <col min="11" max="11" width="10" style="41" customWidth="1"/>
    <col min="12" max="12" width="6.7265625" style="41" customWidth="1"/>
    <col min="13" max="19" width="7.1796875" style="41" customWidth="1"/>
    <col min="20" max="20" width="1.81640625" style="104" customWidth="1"/>
    <col min="21" max="21" width="11.81640625" hidden="1" customWidth="1"/>
    <col min="22" max="16384" width="11.453125" hidden="1"/>
  </cols>
  <sheetData>
    <row r="1" spans="1:20" ht="15" customHeight="1" x14ac:dyDescent="0.35">
      <c r="D1" s="3"/>
      <c r="E1" s="499" t="s">
        <v>252</v>
      </c>
      <c r="F1" s="500"/>
      <c r="G1" s="181">
        <v>2022</v>
      </c>
      <c r="H1" s="91"/>
      <c r="I1" s="91"/>
      <c r="J1" s="107"/>
      <c r="K1" s="107"/>
      <c r="L1" s="107"/>
      <c r="M1" s="92">
        <f>SUM(M$3:M$62)</f>
        <v>18</v>
      </c>
      <c r="N1" s="92">
        <f>SUM(N$3:N$62)</f>
        <v>32</v>
      </c>
      <c r="O1" s="92">
        <f>SUM(O$3:O$62)</f>
        <v>0</v>
      </c>
      <c r="P1" s="92">
        <f>SUM(P$3:P$62)</f>
        <v>46</v>
      </c>
      <c r="Q1" s="92">
        <f>SUM(Q$3:Q$62)</f>
        <v>0</v>
      </c>
      <c r="R1" s="284"/>
      <c r="S1" s="284"/>
      <c r="T1" s="3"/>
    </row>
    <row r="2" spans="1:20" ht="23" x14ac:dyDescent="0.35">
      <c r="D2" s="3"/>
      <c r="E2" s="93" t="s">
        <v>99</v>
      </c>
      <c r="F2" s="93" t="s">
        <v>100</v>
      </c>
      <c r="G2" s="94" t="s">
        <v>71</v>
      </c>
      <c r="H2" s="94" t="s">
        <v>101</v>
      </c>
      <c r="I2" s="95" t="s">
        <v>102</v>
      </c>
      <c r="J2" s="106" t="s">
        <v>103</v>
      </c>
      <c r="K2" s="348" t="s">
        <v>430</v>
      </c>
      <c r="L2" s="119" t="s">
        <v>104</v>
      </c>
      <c r="M2" s="123" t="s">
        <v>105</v>
      </c>
      <c r="N2" s="124" t="s">
        <v>106</v>
      </c>
      <c r="O2" s="96" t="s">
        <v>107</v>
      </c>
      <c r="P2" s="124" t="s">
        <v>108</v>
      </c>
      <c r="Q2" s="96" t="s">
        <v>109</v>
      </c>
      <c r="R2" s="124" t="s">
        <v>340</v>
      </c>
      <c r="S2" s="96" t="s">
        <v>339</v>
      </c>
      <c r="T2" s="3"/>
    </row>
    <row r="3" spans="1:20" ht="15" customHeight="1" x14ac:dyDescent="0.35">
      <c r="A3" s="112">
        <f t="shared" ref="A3:A42" si="0">E3</f>
        <v>1</v>
      </c>
      <c r="B3" s="111" t="str">
        <f t="shared" ref="B3:B35" si="1">IFERROR(CONCATENATE(IF(MID(VLOOKUP(A3,C:I,7,0),1,1)="P","*",""),VLOOKUP(A3,C:F,4,0)),"")</f>
        <v/>
      </c>
      <c r="C3" s="329" t="s">
        <v>70</v>
      </c>
      <c r="D3" s="97" t="str">
        <f>TEXT(ISEVEN(E3),0)</f>
        <v>FALSO</v>
      </c>
      <c r="E3" s="33">
        <f>IF(F3="","",COUNTA(F$3:F3))</f>
        <v>1</v>
      </c>
      <c r="F3" s="34" t="s">
        <v>110</v>
      </c>
      <c r="G3" s="187" t="s">
        <v>418</v>
      </c>
      <c r="H3" s="327" t="s">
        <v>417</v>
      </c>
      <c r="I3" s="98" t="s">
        <v>112</v>
      </c>
      <c r="J3" s="33" t="s">
        <v>113</v>
      </c>
      <c r="K3" s="118" t="s">
        <v>425</v>
      </c>
      <c r="L3" s="118">
        <f t="shared" ref="L3:L20" si="2">SUM(M3:T3)</f>
        <v>9</v>
      </c>
      <c r="M3" s="99"/>
      <c r="N3" s="100">
        <v>2</v>
      </c>
      <c r="O3" s="101"/>
      <c r="P3" s="100">
        <v>2</v>
      </c>
      <c r="Q3" s="101"/>
      <c r="R3" s="285">
        <v>3</v>
      </c>
      <c r="S3" s="285">
        <v>2</v>
      </c>
      <c r="T3" s="3"/>
    </row>
    <row r="4" spans="1:20" ht="15" customHeight="1" x14ac:dyDescent="0.35">
      <c r="A4" s="112">
        <f t="shared" si="0"/>
        <v>2</v>
      </c>
      <c r="B4" s="111" t="str">
        <f t="shared" si="1"/>
        <v>Alexander Luna Nieto</v>
      </c>
      <c r="C4" s="109" t="str">
        <f>IF(J4="Si",COUNTIF(J$3:J4,"Si"),"")</f>
        <v/>
      </c>
      <c r="D4" s="97" t="str">
        <f t="shared" ref="D4:D58" si="3">TEXT(ISEVEN(E4),0)</f>
        <v>VERDADERO</v>
      </c>
      <c r="E4" s="33">
        <f>IF(F4="","",COUNTA(F$3:F4))</f>
        <v>2</v>
      </c>
      <c r="F4" s="328" t="s">
        <v>114</v>
      </c>
      <c r="G4" s="187" t="s">
        <v>420</v>
      </c>
      <c r="H4" s="102" t="s">
        <v>115</v>
      </c>
      <c r="I4" s="98" t="s">
        <v>116</v>
      </c>
      <c r="J4" s="33" t="s">
        <v>117</v>
      </c>
      <c r="K4" s="118"/>
      <c r="L4" s="118">
        <f t="shared" si="2"/>
        <v>0</v>
      </c>
      <c r="M4" s="99"/>
      <c r="N4" s="100"/>
      <c r="O4" s="101"/>
      <c r="P4" s="100" t="str">
        <f>IFERROR(VLOOKUP(CONCATENATE(IF(MID($I4,1,1)="P","*",""),$F4),'Programación x Auditor'!$C:$E,2,0),"")</f>
        <v/>
      </c>
      <c r="Q4" s="101" t="str">
        <f>IFERROR(VLOOKUP(CONCATENATE(IF(MID($I4,1,1)="P","*",""),$F4),'Programación x Auditor'!$C:$E,3,0),"")</f>
        <v/>
      </c>
      <c r="R4" s="285"/>
      <c r="S4" s="285"/>
      <c r="T4" s="3"/>
    </row>
    <row r="5" spans="1:20" ht="15" customHeight="1" x14ac:dyDescent="0.35">
      <c r="A5" s="112">
        <f t="shared" si="0"/>
        <v>3</v>
      </c>
      <c r="B5" s="111" t="str">
        <f t="shared" si="1"/>
        <v>Ana Baos</v>
      </c>
      <c r="C5" s="109">
        <f>IF(J5="Si",COUNTIF(J$3:J5,"Si"),"")</f>
        <v>2</v>
      </c>
      <c r="D5" s="97" t="str">
        <f t="shared" si="3"/>
        <v>FALSO</v>
      </c>
      <c r="E5" s="33">
        <f>IF(F5="","",COUNTA(F$3:F5))</f>
        <v>3</v>
      </c>
      <c r="F5" s="349" t="s">
        <v>44</v>
      </c>
      <c r="G5" s="187" t="s">
        <v>420</v>
      </c>
      <c r="H5" s="286" t="s">
        <v>118</v>
      </c>
      <c r="I5" s="98" t="s">
        <v>116</v>
      </c>
      <c r="J5" s="33" t="s">
        <v>113</v>
      </c>
      <c r="K5" s="118" t="s">
        <v>426</v>
      </c>
      <c r="L5" s="118">
        <f t="shared" si="2"/>
        <v>6</v>
      </c>
      <c r="M5" s="99"/>
      <c r="N5" s="100">
        <v>2</v>
      </c>
      <c r="O5" s="101"/>
      <c r="P5" s="100">
        <v>2</v>
      </c>
      <c r="Q5" s="101"/>
      <c r="R5" s="285"/>
      <c r="S5" s="285">
        <v>2</v>
      </c>
      <c r="T5" s="3"/>
    </row>
    <row r="6" spans="1:20" ht="15" customHeight="1" x14ac:dyDescent="0.35">
      <c r="A6" s="112">
        <f t="shared" si="0"/>
        <v>4</v>
      </c>
      <c r="B6" s="111" t="str">
        <f t="shared" si="1"/>
        <v>*Carlos Andrés Durán Enríquez</v>
      </c>
      <c r="C6" s="109">
        <f>IF(J6="Si",COUNTIF(J$3:J6,"Si"),"")</f>
        <v>3</v>
      </c>
      <c r="D6" s="97" t="str">
        <f t="shared" si="3"/>
        <v>VERDADERO</v>
      </c>
      <c r="E6" s="33">
        <f>IF(F6="","",COUNTA(F$3:F6))</f>
        <v>4</v>
      </c>
      <c r="F6" s="32" t="s">
        <v>119</v>
      </c>
      <c r="G6" s="187" t="s">
        <v>421</v>
      </c>
      <c r="H6" s="327" t="s">
        <v>419</v>
      </c>
      <c r="I6" s="98" t="s">
        <v>116</v>
      </c>
      <c r="J6" s="33" t="s">
        <v>113</v>
      </c>
      <c r="K6" s="118" t="s">
        <v>426</v>
      </c>
      <c r="L6" s="118">
        <f t="shared" si="2"/>
        <v>4</v>
      </c>
      <c r="M6" s="99">
        <v>2</v>
      </c>
      <c r="N6" s="100"/>
      <c r="O6" s="101"/>
      <c r="P6" s="100">
        <f>IFERROR(VLOOKUP(CONCATENATE(IF(MID($I6,1,1)="P","*",""),$F6),'Programación x Auditor'!$C:$E,2,0),"")</f>
        <v>0</v>
      </c>
      <c r="Q6" s="101"/>
      <c r="R6" s="285"/>
      <c r="S6" s="285">
        <v>2</v>
      </c>
      <c r="T6" s="3"/>
    </row>
    <row r="7" spans="1:20" ht="15" customHeight="1" x14ac:dyDescent="0.35">
      <c r="A7" s="112">
        <f t="shared" si="0"/>
        <v>5</v>
      </c>
      <c r="B7" s="111" t="str">
        <f t="shared" si="1"/>
        <v>*Carlos Fernando Mina Zape</v>
      </c>
      <c r="C7" s="109" t="str">
        <f>IF(J7="Si",COUNTIF(J$3:J7,"Si"),"")</f>
        <v/>
      </c>
      <c r="D7" s="97" t="str">
        <f t="shared" si="3"/>
        <v>FALSO</v>
      </c>
      <c r="E7" s="33">
        <f>IF(F7="","",COUNTA(F$3:F7))</f>
        <v>5</v>
      </c>
      <c r="F7" s="32" t="s">
        <v>36</v>
      </c>
      <c r="G7" s="187" t="s">
        <v>120</v>
      </c>
      <c r="H7" s="253" t="s">
        <v>341</v>
      </c>
      <c r="I7" s="98" t="s">
        <v>116</v>
      </c>
      <c r="J7" s="33" t="s">
        <v>117</v>
      </c>
      <c r="K7" s="118" t="s">
        <v>426</v>
      </c>
      <c r="L7" s="118">
        <f t="shared" si="2"/>
        <v>4</v>
      </c>
      <c r="M7" s="99"/>
      <c r="N7" s="100"/>
      <c r="O7" s="101"/>
      <c r="P7" s="100">
        <v>2</v>
      </c>
      <c r="Q7" s="101" t="str">
        <f>IFERROR(VLOOKUP(CONCATENATE(IF(MID($I7,1,1)="P","*",""),$F7),'Programación x Auditor'!$C:$E,3,0),"")</f>
        <v/>
      </c>
      <c r="R7" s="285"/>
      <c r="S7" s="285">
        <v>2</v>
      </c>
      <c r="T7" s="3"/>
    </row>
    <row r="8" spans="1:20" ht="15" customHeight="1" x14ac:dyDescent="0.35">
      <c r="A8" s="112">
        <f t="shared" si="0"/>
        <v>6</v>
      </c>
      <c r="B8" s="111" t="str">
        <f t="shared" si="1"/>
        <v>*Clara Eugenia Satizábal Serna</v>
      </c>
      <c r="C8" s="109">
        <f>IF(J8="Si",COUNTIF(J$3:J8,"Si"),"")</f>
        <v>4</v>
      </c>
      <c r="D8" s="97" t="str">
        <f t="shared" si="3"/>
        <v>VERDADERO</v>
      </c>
      <c r="E8" s="33">
        <f>IF(F8="","",COUNTA(F$3:F8))</f>
        <v>6</v>
      </c>
      <c r="F8" s="34" t="s">
        <v>121</v>
      </c>
      <c r="G8" s="187" t="s">
        <v>342</v>
      </c>
      <c r="H8" s="286" t="s">
        <v>122</v>
      </c>
      <c r="I8" s="98" t="s">
        <v>112</v>
      </c>
      <c r="J8" s="33" t="s">
        <v>113</v>
      </c>
      <c r="K8" s="118" t="s">
        <v>425</v>
      </c>
      <c r="L8" s="118">
        <f t="shared" si="2"/>
        <v>8</v>
      </c>
      <c r="M8" s="99"/>
      <c r="N8" s="100">
        <v>2</v>
      </c>
      <c r="O8" s="101"/>
      <c r="P8" s="100">
        <v>2</v>
      </c>
      <c r="Q8" s="101"/>
      <c r="R8" s="285">
        <v>2</v>
      </c>
      <c r="S8" s="285">
        <v>2</v>
      </c>
      <c r="T8" s="3"/>
    </row>
    <row r="9" spans="1:20" ht="15" customHeight="1" x14ac:dyDescent="0.35">
      <c r="A9" s="112">
        <f t="shared" si="0"/>
        <v>7</v>
      </c>
      <c r="B9" s="111" t="str">
        <f t="shared" si="1"/>
        <v>*Daisy Ximena Valencia Palomino</v>
      </c>
      <c r="C9" s="109">
        <f>IF(J9="Si",COUNTIF(J$3:J9,"Si"),"")</f>
        <v>5</v>
      </c>
      <c r="D9" s="97" t="str">
        <f t="shared" si="3"/>
        <v>FALSO</v>
      </c>
      <c r="E9" s="33">
        <f>IF(F9="","",COUNTA(F$3:F9))</f>
        <v>7</v>
      </c>
      <c r="F9" s="32" t="s">
        <v>81</v>
      </c>
      <c r="G9" s="187" t="s">
        <v>123</v>
      </c>
      <c r="H9" s="286" t="s">
        <v>124</v>
      </c>
      <c r="I9" s="98" t="s">
        <v>112</v>
      </c>
      <c r="J9" s="33" t="s">
        <v>113</v>
      </c>
      <c r="K9" s="118" t="s">
        <v>425</v>
      </c>
      <c r="L9" s="118">
        <f t="shared" si="2"/>
        <v>5</v>
      </c>
      <c r="M9" s="99"/>
      <c r="N9" s="100">
        <v>2</v>
      </c>
      <c r="O9" s="101"/>
      <c r="P9" s="100">
        <v>2</v>
      </c>
      <c r="Q9" s="101"/>
      <c r="R9" s="285"/>
      <c r="S9" s="285">
        <v>1</v>
      </c>
      <c r="T9" s="3"/>
    </row>
    <row r="10" spans="1:20" ht="15" customHeight="1" x14ac:dyDescent="0.35">
      <c r="A10" s="112">
        <f t="shared" si="0"/>
        <v>8</v>
      </c>
      <c r="B10" s="111" t="str">
        <f t="shared" si="1"/>
        <v>*Daniel Andres Feriz Garcia</v>
      </c>
      <c r="C10" s="109">
        <f>IF(J10="Si",COUNTIF(J$3:J10,"Si"),"")</f>
        <v>6</v>
      </c>
      <c r="D10" s="97" t="str">
        <f t="shared" si="3"/>
        <v>VERDADERO</v>
      </c>
      <c r="E10" s="33">
        <f>IF(F10="","",COUNTA(F$3:F10))</f>
        <v>8</v>
      </c>
      <c r="F10" s="34" t="s">
        <v>78</v>
      </c>
      <c r="G10" s="187" t="s">
        <v>125</v>
      </c>
      <c r="H10" s="286" t="s">
        <v>126</v>
      </c>
      <c r="I10" s="98" t="s">
        <v>112</v>
      </c>
      <c r="J10" s="33" t="s">
        <v>113</v>
      </c>
      <c r="K10" s="118" t="s">
        <v>425</v>
      </c>
      <c r="L10" s="118">
        <f t="shared" si="2"/>
        <v>5</v>
      </c>
      <c r="M10" s="99">
        <v>2</v>
      </c>
      <c r="N10" s="100"/>
      <c r="O10" s="101"/>
      <c r="P10" s="100">
        <v>2</v>
      </c>
      <c r="Q10" s="101"/>
      <c r="R10" s="285">
        <v>1</v>
      </c>
      <c r="S10" s="285"/>
      <c r="T10" s="3"/>
    </row>
    <row r="11" spans="1:20" ht="15" customHeight="1" x14ac:dyDescent="0.35">
      <c r="A11" s="112">
        <f t="shared" si="0"/>
        <v>9</v>
      </c>
      <c r="B11" s="111" t="str">
        <f t="shared" si="1"/>
        <v xml:space="preserve">*Depsi Johana Córdoba Mompotes </v>
      </c>
      <c r="C11" s="109">
        <f>IF(J11="Si",COUNTIF(J$3:J11,"Si"),"")</f>
        <v>7</v>
      </c>
      <c r="D11" s="97" t="str">
        <f t="shared" si="3"/>
        <v>FALSO</v>
      </c>
      <c r="E11" s="33">
        <f>IF(F11="","",COUNTA(F$3:F11))</f>
        <v>9</v>
      </c>
      <c r="F11" s="32" t="s">
        <v>83</v>
      </c>
      <c r="G11" s="187" t="s">
        <v>241</v>
      </c>
      <c r="H11" s="286" t="s">
        <v>127</v>
      </c>
      <c r="I11" s="98" t="s">
        <v>112</v>
      </c>
      <c r="J11" s="33" t="s">
        <v>113</v>
      </c>
      <c r="K11" s="118" t="s">
        <v>425</v>
      </c>
      <c r="L11" s="118">
        <f t="shared" si="2"/>
        <v>7</v>
      </c>
      <c r="M11" s="99"/>
      <c r="N11" s="100">
        <v>3</v>
      </c>
      <c r="O11" s="101"/>
      <c r="P11" s="100">
        <v>2</v>
      </c>
      <c r="Q11" s="101"/>
      <c r="R11" s="285">
        <v>2</v>
      </c>
      <c r="S11" s="285"/>
      <c r="T11" s="3"/>
    </row>
    <row r="12" spans="1:20" ht="15" customHeight="1" x14ac:dyDescent="0.35">
      <c r="A12" s="112">
        <f t="shared" si="0"/>
        <v>10</v>
      </c>
      <c r="B12" s="111" t="str">
        <f t="shared" si="1"/>
        <v>*Diego Fabian Bolaños Sarria</v>
      </c>
      <c r="C12" s="109">
        <f>IF(J12="Si",COUNTIF(J$3:J12,"Si"),"")</f>
        <v>8</v>
      </c>
      <c r="D12" s="97" t="str">
        <f t="shared" si="3"/>
        <v>VERDADERO</v>
      </c>
      <c r="E12" s="33">
        <f>IF(F12="","",COUNTA(F$3:F12))</f>
        <v>10</v>
      </c>
      <c r="F12" s="34" t="s">
        <v>128</v>
      </c>
      <c r="G12" s="187" t="s">
        <v>129</v>
      </c>
      <c r="H12" s="286" t="s">
        <v>130</v>
      </c>
      <c r="I12" s="98" t="s">
        <v>112</v>
      </c>
      <c r="J12" s="33" t="s">
        <v>113</v>
      </c>
      <c r="K12" s="118" t="s">
        <v>425</v>
      </c>
      <c r="L12" s="118">
        <f t="shared" si="2"/>
        <v>9</v>
      </c>
      <c r="M12" s="99">
        <v>2</v>
      </c>
      <c r="N12" s="100">
        <v>2</v>
      </c>
      <c r="O12" s="101"/>
      <c r="P12" s="100">
        <v>2</v>
      </c>
      <c r="Q12" s="101"/>
      <c r="R12" s="285">
        <v>2</v>
      </c>
      <c r="S12" s="285">
        <v>1</v>
      </c>
      <c r="T12" s="3"/>
    </row>
    <row r="13" spans="1:20" ht="15" customHeight="1" x14ac:dyDescent="0.35">
      <c r="A13" s="112">
        <f t="shared" si="0"/>
        <v>11</v>
      </c>
      <c r="B13" s="111" t="str">
        <f t="shared" si="1"/>
        <v>*Julio Cesar Garcia Buitron</v>
      </c>
      <c r="C13" s="109">
        <f>IF(J13="Si",COUNTIF(J$3:J13,"Si"),"")</f>
        <v>9</v>
      </c>
      <c r="D13" s="97" t="str">
        <f t="shared" si="3"/>
        <v>FALSO</v>
      </c>
      <c r="E13" s="33">
        <f>IF(F13="","",COUNTA(F$3:F13))</f>
        <v>11</v>
      </c>
      <c r="F13" s="34" t="s">
        <v>35</v>
      </c>
      <c r="G13" s="187" t="s">
        <v>132</v>
      </c>
      <c r="H13" s="286" t="s">
        <v>133</v>
      </c>
      <c r="I13" s="98" t="s">
        <v>112</v>
      </c>
      <c r="J13" s="33" t="s">
        <v>113</v>
      </c>
      <c r="K13" s="118" t="s">
        <v>426</v>
      </c>
      <c r="L13" s="118">
        <f t="shared" si="2"/>
        <v>5</v>
      </c>
      <c r="M13" s="99"/>
      <c r="N13" s="100"/>
      <c r="O13" s="101"/>
      <c r="P13" s="100">
        <v>2</v>
      </c>
      <c r="Q13" s="101"/>
      <c r="R13" s="285">
        <v>3</v>
      </c>
      <c r="S13" s="285"/>
      <c r="T13" s="3"/>
    </row>
    <row r="14" spans="1:20" ht="15" customHeight="1" x14ac:dyDescent="0.35">
      <c r="A14" s="112">
        <f t="shared" si="0"/>
        <v>12</v>
      </c>
      <c r="B14" s="111" t="str">
        <f t="shared" si="1"/>
        <v>Karen Jisset Zuñiga Ramos</v>
      </c>
      <c r="C14" s="109">
        <f>IF(J14="Si",COUNTIF(J$3:J14,"Si"),"")</f>
        <v>10</v>
      </c>
      <c r="D14" s="97" t="str">
        <f t="shared" si="3"/>
        <v>VERDADERO</v>
      </c>
      <c r="E14" s="33">
        <f>IF(F14="","",COUNTA(F$3:F14))</f>
        <v>12</v>
      </c>
      <c r="F14" s="34" t="s">
        <v>134</v>
      </c>
      <c r="G14" s="187" t="s">
        <v>135</v>
      </c>
      <c r="H14" s="32" t="s">
        <v>136</v>
      </c>
      <c r="I14" s="98" t="s">
        <v>112</v>
      </c>
      <c r="J14" s="33" t="s">
        <v>113</v>
      </c>
      <c r="K14" s="118" t="s">
        <v>425</v>
      </c>
      <c r="L14" s="118">
        <f t="shared" si="2"/>
        <v>7</v>
      </c>
      <c r="M14" s="99">
        <v>2</v>
      </c>
      <c r="N14" s="100">
        <v>2</v>
      </c>
      <c r="O14" s="101"/>
      <c r="P14" s="100">
        <v>2</v>
      </c>
      <c r="Q14" s="101"/>
      <c r="R14" s="285">
        <v>1</v>
      </c>
      <c r="S14" s="285"/>
      <c r="T14" s="3"/>
    </row>
    <row r="15" spans="1:20" ht="15" customHeight="1" x14ac:dyDescent="0.35">
      <c r="A15" s="112">
        <f t="shared" si="0"/>
        <v>13</v>
      </c>
      <c r="B15" s="111" t="str">
        <f t="shared" si="1"/>
        <v>*Karen Viviana Quiñones Mosquera</v>
      </c>
      <c r="C15" s="109" t="str">
        <f>IF(J15="Si",COUNTIF(J$3:J15,"Si"),"")</f>
        <v/>
      </c>
      <c r="D15" s="97" t="str">
        <f t="shared" si="3"/>
        <v>FALSO</v>
      </c>
      <c r="E15" s="33">
        <f>IF(F15="","",COUNTA(F$3:F15))</f>
        <v>13</v>
      </c>
      <c r="F15" s="32" t="s">
        <v>137</v>
      </c>
      <c r="G15" s="187" t="s">
        <v>138</v>
      </c>
      <c r="H15" s="32" t="s">
        <v>139</v>
      </c>
      <c r="I15" s="98" t="s">
        <v>116</v>
      </c>
      <c r="J15" s="33" t="s">
        <v>117</v>
      </c>
      <c r="K15" s="118"/>
      <c r="L15" s="118">
        <f t="shared" si="2"/>
        <v>4</v>
      </c>
      <c r="M15" s="99">
        <v>2</v>
      </c>
      <c r="N15" s="100">
        <v>2</v>
      </c>
      <c r="O15" s="101"/>
      <c r="P15" s="100" t="str">
        <f>IFERROR(VLOOKUP(CONCATENATE(IF(MID($I15,1,1)="P","*",""),$F15),'Programación x Auditor'!$C:$E,2,0),"")</f>
        <v/>
      </c>
      <c r="Q15" s="101" t="str">
        <f>IFERROR(VLOOKUP(CONCATENATE(IF(MID($I15,1,1)="P","*",""),$F15),'Programación x Auditor'!$C:$E,3,0),"")</f>
        <v/>
      </c>
      <c r="R15" s="285"/>
      <c r="S15" s="285"/>
      <c r="T15" s="3"/>
    </row>
    <row r="16" spans="1:20" ht="15" customHeight="1" x14ac:dyDescent="0.35">
      <c r="A16" s="112">
        <f t="shared" si="0"/>
        <v>14</v>
      </c>
      <c r="B16" s="111" t="str">
        <f t="shared" si="1"/>
        <v>*Liliana Erazo</v>
      </c>
      <c r="C16" s="109" t="str">
        <f>IF(J16="Si",COUNTIF(J$3:J16,"Si"),"")</f>
        <v/>
      </c>
      <c r="D16" s="97" t="str">
        <f t="shared" si="3"/>
        <v>VERDADERO</v>
      </c>
      <c r="E16" s="33">
        <f>IF(F16="","",COUNTA(F$3:F16))</f>
        <v>14</v>
      </c>
      <c r="F16" s="34" t="s">
        <v>38</v>
      </c>
      <c r="G16" s="187" t="s">
        <v>141</v>
      </c>
      <c r="H16" s="32" t="s">
        <v>142</v>
      </c>
      <c r="I16" s="98" t="s">
        <v>116</v>
      </c>
      <c r="J16" s="33" t="s">
        <v>117</v>
      </c>
      <c r="K16" s="118" t="s">
        <v>426</v>
      </c>
      <c r="L16" s="118">
        <f t="shared" si="2"/>
        <v>2</v>
      </c>
      <c r="M16" s="99"/>
      <c r="N16" s="100"/>
      <c r="O16" s="101"/>
      <c r="P16" s="100">
        <v>2</v>
      </c>
      <c r="Q16" s="101" t="str">
        <f>IFERROR(VLOOKUP(CONCATENATE(IF(MID($I16,1,1)="P","*",""),$F16),'Programación x Auditor'!$C:$E,3,0),"")</f>
        <v/>
      </c>
      <c r="R16" s="285"/>
      <c r="S16" s="285"/>
      <c r="T16" s="3"/>
    </row>
    <row r="17" spans="1:20" ht="15" customHeight="1" x14ac:dyDescent="0.35">
      <c r="A17" s="112">
        <f t="shared" si="0"/>
        <v>15</v>
      </c>
      <c r="B17" s="111" t="str">
        <f t="shared" si="1"/>
        <v>*Neiby Alejandra López Montenegro</v>
      </c>
      <c r="C17" s="109" t="str">
        <f>IF(J17="Si",COUNTIF(J$3:J17,"Si"),"")</f>
        <v/>
      </c>
      <c r="D17" s="97" t="str">
        <f t="shared" si="3"/>
        <v>FALSO</v>
      </c>
      <c r="E17" s="33">
        <f>IF(F17="","",COUNTA(F$3:F17))</f>
        <v>15</v>
      </c>
      <c r="F17" s="32" t="s">
        <v>143</v>
      </c>
      <c r="G17" s="187" t="s">
        <v>140</v>
      </c>
      <c r="H17" s="32" t="s">
        <v>144</v>
      </c>
      <c r="I17" s="98" t="s">
        <v>116</v>
      </c>
      <c r="J17" s="33" t="s">
        <v>117</v>
      </c>
      <c r="K17" s="118"/>
      <c r="L17" s="118">
        <f t="shared" si="2"/>
        <v>2</v>
      </c>
      <c r="M17" s="99"/>
      <c r="N17" s="100"/>
      <c r="O17" s="101"/>
      <c r="P17" s="100" t="str">
        <f>IFERROR(VLOOKUP(CONCATENATE(IF(MID($I17,1,1)="P","*",""),$F17),'Programación x Auditor'!$C:$E,2,0),"")</f>
        <v/>
      </c>
      <c r="Q17" s="101" t="str">
        <f>IFERROR(VLOOKUP(CONCATENATE(IF(MID($I17,1,1)="P","*",""),$F17),'Programación x Auditor'!$C:$E,3,0),"")</f>
        <v/>
      </c>
      <c r="R17" s="285"/>
      <c r="S17" s="285">
        <v>2</v>
      </c>
      <c r="T17" s="3"/>
    </row>
    <row r="18" spans="1:20" ht="15" customHeight="1" x14ac:dyDescent="0.35">
      <c r="A18" s="112">
        <f t="shared" si="0"/>
        <v>16</v>
      </c>
      <c r="B18" s="111" t="str">
        <f t="shared" si="1"/>
        <v>*Omar Andrés Acosta Caicedo</v>
      </c>
      <c r="C18" s="109" t="str">
        <f>IF(J18="Si",COUNTIF(J$3:J18,"Si"),"")</f>
        <v/>
      </c>
      <c r="D18" s="97" t="str">
        <f t="shared" si="3"/>
        <v>VERDADERO</v>
      </c>
      <c r="E18" s="33">
        <f>IF(F18="","",COUNTA(F$3:F18))</f>
        <v>16</v>
      </c>
      <c r="F18" s="34" t="s">
        <v>50</v>
      </c>
      <c r="G18" s="187" t="s">
        <v>145</v>
      </c>
      <c r="H18" s="32" t="s">
        <v>146</v>
      </c>
      <c r="I18" s="98" t="s">
        <v>112</v>
      </c>
      <c r="J18" s="33" t="s">
        <v>117</v>
      </c>
      <c r="K18" s="118" t="s">
        <v>426</v>
      </c>
      <c r="L18" s="118">
        <f t="shared" si="2"/>
        <v>7</v>
      </c>
      <c r="M18" s="99"/>
      <c r="N18" s="100"/>
      <c r="O18" s="101"/>
      <c r="P18" s="100">
        <v>2</v>
      </c>
      <c r="Q18" s="101" t="str">
        <f>IFERROR(VLOOKUP(CONCATENATE(IF(MID($I18,1,1)="P","*",""),$F18),'Programación x Auditor'!$C:$E,3,0),"")</f>
        <v/>
      </c>
      <c r="R18" s="285">
        <v>3</v>
      </c>
      <c r="S18" s="285">
        <v>2</v>
      </c>
      <c r="T18" s="3"/>
    </row>
    <row r="19" spans="1:20" ht="15" customHeight="1" x14ac:dyDescent="0.35">
      <c r="A19" s="112">
        <f t="shared" si="0"/>
        <v>17</v>
      </c>
      <c r="B19" s="111" t="str">
        <f t="shared" si="1"/>
        <v>Sandra Johanna Pinzón Hermosa</v>
      </c>
      <c r="C19" s="109" t="str">
        <f>IF(J19="Si",COUNTIF(J$3:J19,"Si"),"")</f>
        <v/>
      </c>
      <c r="D19" s="97" t="str">
        <f t="shared" si="3"/>
        <v>FALSO</v>
      </c>
      <c r="E19" s="33">
        <f>IF(F19="","",COUNTA(F$3:F19))</f>
        <v>17</v>
      </c>
      <c r="F19" s="34" t="s">
        <v>147</v>
      </c>
      <c r="G19" s="187" t="s">
        <v>148</v>
      </c>
      <c r="H19" s="32" t="s">
        <v>149</v>
      </c>
      <c r="I19" s="98" t="s">
        <v>116</v>
      </c>
      <c r="J19" s="33" t="s">
        <v>117</v>
      </c>
      <c r="K19" s="118" t="s">
        <v>426</v>
      </c>
      <c r="L19" s="118">
        <f t="shared" si="2"/>
        <v>4</v>
      </c>
      <c r="M19" s="99"/>
      <c r="N19" s="100">
        <v>2</v>
      </c>
      <c r="O19" s="101"/>
      <c r="P19" s="100" t="str">
        <f>IFERROR(VLOOKUP(CONCATENATE(IF(MID($I19,1,1)="P","*",""),$F19),'Programación x Auditor'!$C:$E,2,0),"")</f>
        <v/>
      </c>
      <c r="Q19" s="101" t="str">
        <f>IFERROR(VLOOKUP(CONCATENATE(IF(MID($I19,1,1)="P","*",""),$F19),'Programación x Auditor'!$C:$E,3,0),"")</f>
        <v/>
      </c>
      <c r="R19" s="285"/>
      <c r="S19" s="285">
        <v>2</v>
      </c>
      <c r="T19" s="3"/>
    </row>
    <row r="20" spans="1:20" ht="15" customHeight="1" x14ac:dyDescent="0.35">
      <c r="A20" s="112">
        <f t="shared" si="0"/>
        <v>18</v>
      </c>
      <c r="B20" s="111" t="str">
        <f t="shared" si="1"/>
        <v>Tatiana Mejia Rondon</v>
      </c>
      <c r="C20" s="109">
        <f>IF(J20="Si",COUNTIF(J$3:J20,"Si"),"")</f>
        <v>11</v>
      </c>
      <c r="D20" s="97" t="str">
        <f t="shared" si="3"/>
        <v>VERDADERO</v>
      </c>
      <c r="E20" s="33">
        <f>IF(F20="","",COUNTA(F$3:F20))</f>
        <v>18</v>
      </c>
      <c r="F20" s="32" t="s">
        <v>150</v>
      </c>
      <c r="G20" s="187" t="s">
        <v>151</v>
      </c>
      <c r="H20" s="32" t="s">
        <v>152</v>
      </c>
      <c r="I20" s="98" t="s">
        <v>112</v>
      </c>
      <c r="J20" s="33" t="s">
        <v>113</v>
      </c>
      <c r="K20" s="118" t="s">
        <v>425</v>
      </c>
      <c r="L20" s="118">
        <f t="shared" si="2"/>
        <v>7</v>
      </c>
      <c r="M20" s="99">
        <v>2</v>
      </c>
      <c r="N20" s="100">
        <v>2</v>
      </c>
      <c r="O20" s="101"/>
      <c r="P20" s="100">
        <v>1</v>
      </c>
      <c r="Q20" s="101"/>
      <c r="R20" s="285">
        <v>2</v>
      </c>
      <c r="S20" s="285"/>
      <c r="T20" s="3"/>
    </row>
    <row r="21" spans="1:20" ht="15" customHeight="1" x14ac:dyDescent="0.35">
      <c r="A21" s="112">
        <f t="shared" si="0"/>
        <v>19</v>
      </c>
      <c r="B21" s="111" t="str">
        <f t="shared" si="1"/>
        <v>*Wadys Montilla Ortega</v>
      </c>
      <c r="C21" s="109">
        <f>IF(J21="Si",COUNTIF(J$3:J21,"Si"),"")</f>
        <v>12</v>
      </c>
      <c r="D21" s="97" t="str">
        <f t="shared" si="3"/>
        <v>FALSO</v>
      </c>
      <c r="E21" s="33">
        <f>IF(F21="","",COUNTA(F$3:F21))</f>
        <v>19</v>
      </c>
      <c r="F21" s="34" t="s">
        <v>84</v>
      </c>
      <c r="G21" s="187" t="s">
        <v>153</v>
      </c>
      <c r="H21" s="32" t="s">
        <v>154</v>
      </c>
      <c r="I21" s="98" t="s">
        <v>116</v>
      </c>
      <c r="J21" s="33" t="s">
        <v>113</v>
      </c>
      <c r="K21" s="118" t="s">
        <v>425</v>
      </c>
      <c r="L21" s="118">
        <f t="shared" ref="L21:L36" si="4">SUM(M21:T21)</f>
        <v>5</v>
      </c>
      <c r="M21" s="99"/>
      <c r="N21" s="100">
        <v>2</v>
      </c>
      <c r="O21" s="101"/>
      <c r="P21" s="100">
        <v>1</v>
      </c>
      <c r="Q21" s="101"/>
      <c r="R21" s="285"/>
      <c r="S21" s="285">
        <v>2</v>
      </c>
      <c r="T21" s="3"/>
    </row>
    <row r="22" spans="1:20" ht="15" customHeight="1" x14ac:dyDescent="0.35">
      <c r="A22" s="112">
        <f t="shared" si="0"/>
        <v>20</v>
      </c>
      <c r="B22" s="111" t="str">
        <f t="shared" si="1"/>
        <v>*Yaqueline Rivera López</v>
      </c>
      <c r="C22" s="109">
        <f>IF(J22="Si",COUNTIF(J$3:J22,"Si"),"")</f>
        <v>13</v>
      </c>
      <c r="D22" s="97" t="str">
        <f t="shared" si="3"/>
        <v>VERDADERO</v>
      </c>
      <c r="E22" s="33">
        <f>IF(F22="","",COUNTA(F$3:F22))</f>
        <v>20</v>
      </c>
      <c r="F22" s="32" t="s">
        <v>155</v>
      </c>
      <c r="G22" s="326" t="s">
        <v>413</v>
      </c>
      <c r="H22" s="289" t="s">
        <v>414</v>
      </c>
      <c r="I22" s="98" t="s">
        <v>112</v>
      </c>
      <c r="J22" s="33" t="s">
        <v>113</v>
      </c>
      <c r="K22" s="118" t="s">
        <v>425</v>
      </c>
      <c r="L22" s="118">
        <f t="shared" si="4"/>
        <v>8</v>
      </c>
      <c r="M22" s="99"/>
      <c r="N22" s="100">
        <v>1</v>
      </c>
      <c r="O22" s="101"/>
      <c r="P22" s="100">
        <v>2</v>
      </c>
      <c r="Q22" s="101"/>
      <c r="R22" s="285">
        <v>3</v>
      </c>
      <c r="S22" s="285">
        <v>2</v>
      </c>
      <c r="T22" s="3"/>
    </row>
    <row r="23" spans="1:20" ht="15" customHeight="1" x14ac:dyDescent="0.35">
      <c r="A23" s="112">
        <f t="shared" si="0"/>
        <v>21</v>
      </c>
      <c r="B23" s="111" t="str">
        <f t="shared" si="1"/>
        <v>*Luisa Marcela Toro Medina</v>
      </c>
      <c r="C23" s="109" t="str">
        <f>IF(J23="Si",COUNTIF(J$3:J23,"Si"),"")</f>
        <v/>
      </c>
      <c r="D23" s="97" t="str">
        <f t="shared" si="3"/>
        <v>FALSO</v>
      </c>
      <c r="E23" s="33">
        <f>IF(F23="","",COUNTA(F$3:F23))</f>
        <v>21</v>
      </c>
      <c r="F23" s="32" t="s">
        <v>54</v>
      </c>
      <c r="G23" s="187" t="s">
        <v>156</v>
      </c>
      <c r="H23" s="32" t="s">
        <v>157</v>
      </c>
      <c r="I23" s="98" t="s">
        <v>112</v>
      </c>
      <c r="J23" s="33" t="s">
        <v>117</v>
      </c>
      <c r="K23" s="118" t="s">
        <v>426</v>
      </c>
      <c r="L23" s="118">
        <f t="shared" si="4"/>
        <v>8</v>
      </c>
      <c r="M23" s="99"/>
      <c r="N23" s="100"/>
      <c r="O23" s="101"/>
      <c r="P23" s="100">
        <v>2</v>
      </c>
      <c r="Q23" s="101" t="str">
        <f>IFERROR(VLOOKUP(CONCATENATE(IF(MID($I23,1,1)="P","*",""),$F23),'Programación x Auditor'!$C:$E,3,0),"")</f>
        <v/>
      </c>
      <c r="R23" s="285">
        <v>3</v>
      </c>
      <c r="S23" s="285">
        <v>3</v>
      </c>
      <c r="T23" s="3"/>
    </row>
    <row r="24" spans="1:20" ht="15" customHeight="1" x14ac:dyDescent="0.35">
      <c r="A24" s="112">
        <f t="shared" si="0"/>
        <v>22</v>
      </c>
      <c r="B24" s="111" t="str">
        <f t="shared" si="1"/>
        <v>Jeferson Esteban Cordoba Molano</v>
      </c>
      <c r="C24" s="109" t="str">
        <f>IF(J24="Si",COUNTIF(J$3:J24,"Si"),"")</f>
        <v/>
      </c>
      <c r="D24" s="97" t="str">
        <f t="shared" si="3"/>
        <v>VERDADERO</v>
      </c>
      <c r="E24" s="33">
        <f>IF(F24="","",COUNTA(F$3:F24))</f>
        <v>22</v>
      </c>
      <c r="F24" s="34" t="s">
        <v>158</v>
      </c>
      <c r="G24" s="187" t="s">
        <v>159</v>
      </c>
      <c r="H24" s="32" t="s">
        <v>160</v>
      </c>
      <c r="I24" s="98" t="s">
        <v>116</v>
      </c>
      <c r="J24" s="33" t="s">
        <v>117</v>
      </c>
      <c r="K24" s="118"/>
      <c r="L24" s="118">
        <f t="shared" si="4"/>
        <v>0</v>
      </c>
      <c r="M24" s="99"/>
      <c r="N24" s="100"/>
      <c r="O24" s="101"/>
      <c r="P24" s="100" t="str">
        <f>IFERROR(VLOOKUP(CONCATENATE(IF(MID($I24,1,1)="P","*",""),$F24),'Programación x Auditor'!$C:$E,2,0),"")</f>
        <v/>
      </c>
      <c r="Q24" s="101" t="str">
        <f>IFERROR(VLOOKUP(CONCATENATE(IF(MID($I24,1,1)="P","*",""),$F24),'Programación x Auditor'!$C:$E,3,0),"")</f>
        <v/>
      </c>
      <c r="R24" s="285"/>
      <c r="S24" s="285"/>
      <c r="T24" s="3"/>
    </row>
    <row r="25" spans="1:20" ht="27.75" customHeight="1" x14ac:dyDescent="0.35">
      <c r="A25" s="112">
        <f t="shared" si="0"/>
        <v>23</v>
      </c>
      <c r="B25" s="111" t="str">
        <f t="shared" si="1"/>
        <v>Yudi Andrea Acalo Higon</v>
      </c>
      <c r="C25" s="109">
        <f>IF(J25="Si",COUNTIF(J$3:J25,"Si"),"")</f>
        <v>14</v>
      </c>
      <c r="D25" s="97" t="str">
        <f t="shared" si="3"/>
        <v>FALSO</v>
      </c>
      <c r="E25" s="33">
        <f>IF(F25="","",COUNTA(F$3:F25))</f>
        <v>23</v>
      </c>
      <c r="F25" s="34" t="s">
        <v>161</v>
      </c>
      <c r="G25" s="187" t="s">
        <v>343</v>
      </c>
      <c r="H25" s="289" t="s">
        <v>111</v>
      </c>
      <c r="I25" s="98" t="s">
        <v>112</v>
      </c>
      <c r="J25" s="33" t="s">
        <v>113</v>
      </c>
      <c r="K25" s="118" t="s">
        <v>425</v>
      </c>
      <c r="L25" s="118">
        <f t="shared" si="4"/>
        <v>8</v>
      </c>
      <c r="M25" s="99">
        <v>2</v>
      </c>
      <c r="N25" s="100">
        <v>1</v>
      </c>
      <c r="O25" s="101"/>
      <c r="P25" s="100">
        <v>2</v>
      </c>
      <c r="Q25" s="101"/>
      <c r="R25" s="285">
        <v>3</v>
      </c>
      <c r="S25" s="285"/>
    </row>
    <row r="26" spans="1:20" ht="17.25" customHeight="1" x14ac:dyDescent="0.35">
      <c r="A26" s="112">
        <f t="shared" si="0"/>
        <v>24</v>
      </c>
      <c r="B26" s="111" t="str">
        <f t="shared" si="1"/>
        <v>Jorge Eduardo Rengifo Lozada</v>
      </c>
      <c r="C26" s="109" t="str">
        <f>IF(J26="Si",COUNTIF(J$3:J26,"Si"),"")</f>
        <v/>
      </c>
      <c r="D26" s="97" t="str">
        <f t="shared" si="3"/>
        <v>VERDADERO</v>
      </c>
      <c r="E26" s="33">
        <f>IF(F26="","",COUNTA(F$3:F26))</f>
        <v>24</v>
      </c>
      <c r="F26" s="32" t="s">
        <v>163</v>
      </c>
      <c r="G26" s="187" t="s">
        <v>140</v>
      </c>
      <c r="H26" s="32" t="s">
        <v>164</v>
      </c>
      <c r="I26" s="98" t="s">
        <v>116</v>
      </c>
      <c r="J26" s="33" t="s">
        <v>117</v>
      </c>
      <c r="K26" s="118" t="s">
        <v>427</v>
      </c>
      <c r="L26" s="118">
        <f t="shared" si="4"/>
        <v>0</v>
      </c>
      <c r="M26" s="99"/>
      <c r="N26" s="100"/>
      <c r="O26" s="101"/>
      <c r="P26" s="100" t="str">
        <f>IFERROR(VLOOKUP(CONCATENATE(IF(MID($I26,1,1)="P","*",""),$F26),'Programación x Auditor'!$C:$E,2,0),"")</f>
        <v/>
      </c>
      <c r="Q26" s="101" t="str">
        <f>IFERROR(VLOOKUP(CONCATENATE(IF(MID($I26,1,1)="P","*",""),$F26),'Programación x Auditor'!$C:$E,3,0),"")</f>
        <v/>
      </c>
      <c r="R26" s="285"/>
      <c r="S26" s="285"/>
    </row>
    <row r="27" spans="1:20" ht="15" customHeight="1" x14ac:dyDescent="0.35">
      <c r="A27" s="112">
        <f t="shared" si="0"/>
        <v>0</v>
      </c>
      <c r="B27" s="111" t="str">
        <f t="shared" si="1"/>
        <v/>
      </c>
      <c r="C27" s="109" t="str">
        <f>IF(J27="Si",COUNTIF(J$3:J27,"Si"),"")</f>
        <v/>
      </c>
      <c r="D27" s="97" t="str">
        <f t="shared" si="3"/>
        <v>VERDADERO</v>
      </c>
      <c r="E27" s="33"/>
      <c r="F27" s="32" t="s">
        <v>165</v>
      </c>
      <c r="G27" s="187" t="s">
        <v>140</v>
      </c>
      <c r="H27" s="32" t="s">
        <v>166</v>
      </c>
      <c r="I27" s="98" t="s">
        <v>116</v>
      </c>
      <c r="J27" s="33" t="s">
        <v>117</v>
      </c>
      <c r="K27" s="118" t="s">
        <v>426</v>
      </c>
      <c r="L27" s="118">
        <f t="shared" si="4"/>
        <v>5</v>
      </c>
      <c r="M27" s="99">
        <v>2</v>
      </c>
      <c r="N27" s="100">
        <v>2</v>
      </c>
      <c r="O27" s="101"/>
      <c r="P27" s="100" t="str">
        <f>IFERROR(VLOOKUP(CONCATENATE(IF(MID($I27,1,1)="P","*",""),$F27),'Programación x Auditor'!$C:$E,2,0),"")</f>
        <v/>
      </c>
      <c r="Q27" s="101" t="str">
        <f>IFERROR(VLOOKUP(CONCATENATE(IF(MID($I27,1,1)="P","*",""),$F27),'Programación x Auditor'!$C:$E,3,0),"")</f>
        <v/>
      </c>
      <c r="R27" s="285"/>
      <c r="S27" s="285">
        <v>1</v>
      </c>
    </row>
    <row r="28" spans="1:20" ht="15" customHeight="1" x14ac:dyDescent="0.35">
      <c r="A28" s="112">
        <f t="shared" si="0"/>
        <v>26</v>
      </c>
      <c r="B28" s="111" t="str">
        <f t="shared" si="1"/>
        <v>Sergio Andrés Lozano Niño</v>
      </c>
      <c r="C28" s="109" t="str">
        <f>IF(J28="Si",COUNTIF(J$3:J28,"Si"),"")</f>
        <v/>
      </c>
      <c r="D28" s="97" t="str">
        <f t="shared" si="3"/>
        <v>VERDADERO</v>
      </c>
      <c r="E28" s="33">
        <f>IF(F28="","",COUNTA(F$3:F28))</f>
        <v>26</v>
      </c>
      <c r="F28" s="34" t="s">
        <v>167</v>
      </c>
      <c r="G28" s="187" t="s">
        <v>140</v>
      </c>
      <c r="H28" s="32" t="s">
        <v>168</v>
      </c>
      <c r="I28" s="98" t="s">
        <v>116</v>
      </c>
      <c r="J28" s="33" t="s">
        <v>117</v>
      </c>
      <c r="K28" s="118" t="s">
        <v>426</v>
      </c>
      <c r="L28" s="118">
        <f t="shared" si="4"/>
        <v>5</v>
      </c>
      <c r="M28" s="99"/>
      <c r="N28" s="100"/>
      <c r="O28" s="101"/>
      <c r="P28" s="100">
        <v>2</v>
      </c>
      <c r="Q28" s="101" t="str">
        <f>IFERROR(VLOOKUP(CONCATENATE(IF(MID($I28,1,1)="P","*",""),$F28),'Programación x Auditor'!$C:$E,3,0),"")</f>
        <v/>
      </c>
      <c r="R28" s="285">
        <v>3</v>
      </c>
      <c r="S28" s="285"/>
    </row>
    <row r="29" spans="1:20" ht="15" customHeight="1" x14ac:dyDescent="0.35">
      <c r="A29" s="112">
        <f t="shared" si="0"/>
        <v>27</v>
      </c>
      <c r="B29" s="111" t="str">
        <f t="shared" si="1"/>
        <v xml:space="preserve">Lina Fernanda Gutiérrez Montoya   </v>
      </c>
      <c r="C29" s="109">
        <f>IF(J29="Si",COUNTIF(J$3:J29,"Si"),"")</f>
        <v>15</v>
      </c>
      <c r="D29" s="97" t="str">
        <f t="shared" si="3"/>
        <v>FALSO</v>
      </c>
      <c r="E29" s="33">
        <f>IF(F29="","",COUNTA(F$3:F29))</f>
        <v>27</v>
      </c>
      <c r="F29" s="34" t="s">
        <v>169</v>
      </c>
      <c r="G29" s="187" t="s">
        <v>170</v>
      </c>
      <c r="H29" s="32" t="s">
        <v>171</v>
      </c>
      <c r="I29" s="98" t="s">
        <v>112</v>
      </c>
      <c r="J29" s="33" t="s">
        <v>113</v>
      </c>
      <c r="K29" s="118" t="s">
        <v>425</v>
      </c>
      <c r="L29" s="118">
        <f t="shared" si="4"/>
        <v>7</v>
      </c>
      <c r="M29" s="99"/>
      <c r="N29" s="100">
        <v>2</v>
      </c>
      <c r="O29" s="101"/>
      <c r="P29" s="100">
        <v>2</v>
      </c>
      <c r="Q29" s="101"/>
      <c r="R29" s="285">
        <v>3</v>
      </c>
      <c r="S29" s="285"/>
    </row>
    <row r="30" spans="1:20" ht="15" customHeight="1" x14ac:dyDescent="0.35">
      <c r="A30" s="112">
        <f t="shared" si="0"/>
        <v>28</v>
      </c>
      <c r="B30" s="111" t="str">
        <f t="shared" si="1"/>
        <v xml:space="preserve">Diego Fernando Ordoñez Trullo   </v>
      </c>
      <c r="C30" s="109">
        <f>IF(J30="Si",COUNTIF(J$3:J30,"Si"),"")</f>
        <v>16</v>
      </c>
      <c r="D30" s="97" t="str">
        <f t="shared" si="3"/>
        <v>VERDADERO</v>
      </c>
      <c r="E30" s="33">
        <f>IF(F30="","",COUNTA(F$3:F30))</f>
        <v>28</v>
      </c>
      <c r="F30" s="32" t="s">
        <v>52</v>
      </c>
      <c r="G30" s="187" t="s">
        <v>344</v>
      </c>
      <c r="H30" s="289" t="s">
        <v>162</v>
      </c>
      <c r="I30" s="98" t="s">
        <v>112</v>
      </c>
      <c r="J30" s="33" t="s">
        <v>113</v>
      </c>
      <c r="K30" s="118" t="s">
        <v>425</v>
      </c>
      <c r="L30" s="118">
        <f t="shared" si="4"/>
        <v>7</v>
      </c>
      <c r="M30" s="99"/>
      <c r="N30" s="100"/>
      <c r="O30" s="101"/>
      <c r="P30" s="100">
        <v>2</v>
      </c>
      <c r="Q30" s="101"/>
      <c r="R30" s="285">
        <v>3</v>
      </c>
      <c r="S30" s="285">
        <v>2</v>
      </c>
    </row>
    <row r="31" spans="1:20" ht="15" customHeight="1" x14ac:dyDescent="0.35">
      <c r="A31" s="112">
        <f t="shared" si="0"/>
        <v>29</v>
      </c>
      <c r="B31" s="111" t="str">
        <f t="shared" si="1"/>
        <v xml:space="preserve">Angela Milena Velásquez Vargas      </v>
      </c>
      <c r="C31" s="109" t="str">
        <f>IF(J31="Si",COUNTIF(J$3:J31,"Si"),"")</f>
        <v/>
      </c>
      <c r="D31" s="97" t="str">
        <f t="shared" si="3"/>
        <v>FALSO</v>
      </c>
      <c r="E31" s="33">
        <f>IF(F31="","",COUNTA(F$3:F31))</f>
        <v>29</v>
      </c>
      <c r="F31" s="34" t="s">
        <v>173</v>
      </c>
      <c r="G31" s="187" t="s">
        <v>141</v>
      </c>
      <c r="H31" s="32" t="s">
        <v>174</v>
      </c>
      <c r="I31" s="98" t="s">
        <v>116</v>
      </c>
      <c r="J31" s="33" t="s">
        <v>117</v>
      </c>
      <c r="K31" s="118"/>
      <c r="L31" s="118">
        <f t="shared" si="4"/>
        <v>0</v>
      </c>
      <c r="M31" s="99"/>
      <c r="N31" s="100"/>
      <c r="O31" s="101"/>
      <c r="P31" s="100" t="str">
        <f>IFERROR(VLOOKUP(CONCATENATE(IF(MID($I31,1,1)="P","*",""),$F31),'Programación x Auditor'!$C:$E,2,0),"")</f>
        <v/>
      </c>
      <c r="Q31" s="101" t="str">
        <f>IFERROR(VLOOKUP(CONCATENATE(IF(MID($I31,1,1)="P","*",""),$F31),'Programación x Auditor'!$C:$E,3,0),"")</f>
        <v/>
      </c>
      <c r="R31" s="285"/>
      <c r="S31" s="285"/>
    </row>
    <row r="32" spans="1:20" s="344" customFormat="1" ht="15" customHeight="1" x14ac:dyDescent="0.35">
      <c r="A32" s="503">
        <f t="shared" si="0"/>
        <v>30</v>
      </c>
      <c r="B32" s="504" t="str">
        <f t="shared" si="1"/>
        <v xml:space="preserve">Julieth Alexandra Chacón Paja
</v>
      </c>
      <c r="C32" s="505">
        <f>IF(J32="Si",COUNTIF(J$3:J32,"Si"),"")</f>
        <v>17</v>
      </c>
      <c r="D32" s="506" t="str">
        <f t="shared" si="3"/>
        <v>VERDADERO</v>
      </c>
      <c r="E32" s="338">
        <f>IF(F32="","",COUNTA(F$3:F32))</f>
        <v>30</v>
      </c>
      <c r="F32" s="345" t="s">
        <v>175</v>
      </c>
      <c r="G32" s="346" t="s">
        <v>176</v>
      </c>
      <c r="H32" s="347" t="s">
        <v>422</v>
      </c>
      <c r="I32" s="337" t="s">
        <v>116</v>
      </c>
      <c r="J32" s="338" t="s">
        <v>113</v>
      </c>
      <c r="K32" s="339"/>
      <c r="L32" s="339">
        <f t="shared" si="4"/>
        <v>8</v>
      </c>
      <c r="M32" s="340"/>
      <c r="N32" s="341">
        <v>2</v>
      </c>
      <c r="O32" s="342"/>
      <c r="P32" s="341">
        <v>2</v>
      </c>
      <c r="Q32" s="342"/>
      <c r="R32" s="343">
        <v>3</v>
      </c>
      <c r="S32" s="343">
        <v>1</v>
      </c>
    </row>
    <row r="33" spans="1:19" ht="15" customHeight="1" x14ac:dyDescent="0.35">
      <c r="A33" s="112">
        <f t="shared" si="0"/>
        <v>31</v>
      </c>
      <c r="B33" s="111" t="str">
        <f t="shared" si="1"/>
        <v>Laura Maria Olarte Zuñiga</v>
      </c>
      <c r="C33" s="109">
        <f>IF(J33="Si",COUNTIF(J$3:J33,"Si"),"")</f>
        <v>18</v>
      </c>
      <c r="D33" s="97" t="str">
        <f t="shared" si="3"/>
        <v>FALSO</v>
      </c>
      <c r="E33" s="33">
        <f>IF(F33="","",COUNTA(F$3:F33))</f>
        <v>31</v>
      </c>
      <c r="F33" s="32" t="s">
        <v>240</v>
      </c>
      <c r="G33" s="187" t="s">
        <v>423</v>
      </c>
      <c r="H33" s="289" t="s">
        <v>424</v>
      </c>
      <c r="I33" s="98"/>
      <c r="J33" s="33" t="s">
        <v>113</v>
      </c>
      <c r="K33" s="118" t="s">
        <v>426</v>
      </c>
      <c r="L33" s="118">
        <f t="shared" si="4"/>
        <v>7</v>
      </c>
      <c r="M33" s="99"/>
      <c r="N33" s="100"/>
      <c r="O33" s="101"/>
      <c r="P33" s="100">
        <v>2</v>
      </c>
      <c r="Q33" s="101"/>
      <c r="R33" s="285">
        <v>3</v>
      </c>
      <c r="S33" s="285">
        <v>2</v>
      </c>
    </row>
    <row r="34" spans="1:19" ht="15" customHeight="1" x14ac:dyDescent="0.35">
      <c r="A34" s="112">
        <f t="shared" si="0"/>
        <v>32</v>
      </c>
      <c r="B34" s="111" t="str">
        <f t="shared" si="1"/>
        <v>Lucy Marlady Lopez Perez</v>
      </c>
      <c r="C34" s="109">
        <f>IF(J34="Si",COUNTIF(J$3:J34,"Si"),"")</f>
        <v>19</v>
      </c>
      <c r="D34" s="97" t="str">
        <f t="shared" si="3"/>
        <v>VERDADERO</v>
      </c>
      <c r="E34" s="33">
        <f>IF(F34="","",COUNTA(F$3:F34))</f>
        <v>32</v>
      </c>
      <c r="F34" s="34" t="s">
        <v>178</v>
      </c>
      <c r="G34" s="187" t="s">
        <v>179</v>
      </c>
      <c r="H34" s="289" t="s">
        <v>345</v>
      </c>
      <c r="I34" s="98" t="s">
        <v>112</v>
      </c>
      <c r="J34" s="33" t="s">
        <v>113</v>
      </c>
      <c r="K34" s="118" t="s">
        <v>425</v>
      </c>
      <c r="L34" s="118">
        <f t="shared" si="4"/>
        <v>7</v>
      </c>
      <c r="M34" s="99">
        <v>2</v>
      </c>
      <c r="N34" s="100">
        <v>1</v>
      </c>
      <c r="O34" s="101"/>
      <c r="P34" s="100">
        <v>2</v>
      </c>
      <c r="Q34" s="101"/>
      <c r="R34" s="285">
        <v>2</v>
      </c>
      <c r="S34" s="285"/>
    </row>
    <row r="35" spans="1:19" ht="15" customHeight="1" x14ac:dyDescent="0.35">
      <c r="A35" s="112">
        <f t="shared" si="0"/>
        <v>33</v>
      </c>
      <c r="B35" s="111" t="str">
        <f t="shared" si="1"/>
        <v>Maria Camila Toro Gonzalez</v>
      </c>
      <c r="C35" s="109">
        <f>IF(J35="Si",COUNTIF(J$3:J35,"Si"),"")</f>
        <v>20</v>
      </c>
      <c r="D35" s="97" t="str">
        <f t="shared" si="3"/>
        <v>FALSO</v>
      </c>
      <c r="E35" s="33">
        <f>IF(F35="","",COUNTA(F$3:F35))</f>
        <v>33</v>
      </c>
      <c r="F35" s="32" t="s">
        <v>180</v>
      </c>
      <c r="G35" s="187" t="s">
        <v>181</v>
      </c>
      <c r="H35" s="32" t="s">
        <v>182</v>
      </c>
      <c r="I35" s="98" t="s">
        <v>112</v>
      </c>
      <c r="J35" s="33" t="s">
        <v>113</v>
      </c>
      <c r="K35" s="118" t="s">
        <v>426</v>
      </c>
      <c r="L35" s="118">
        <f t="shared" si="4"/>
        <v>5</v>
      </c>
      <c r="M35" s="99"/>
      <c r="N35" s="100"/>
      <c r="O35" s="101"/>
      <c r="P35" s="100">
        <v>2</v>
      </c>
      <c r="Q35" s="101"/>
      <c r="R35" s="285">
        <v>3</v>
      </c>
      <c r="S35" s="285"/>
    </row>
    <row r="36" spans="1:19" ht="15" customHeight="1" x14ac:dyDescent="0.35">
      <c r="B36" s="111"/>
      <c r="C36" s="109">
        <f>IF(J36="Si",COUNTIF(J$3:J36,"Si"),"")</f>
        <v>21</v>
      </c>
      <c r="D36" s="97"/>
      <c r="E36" s="33">
        <f>IF(F36="","",COUNTA(F$3:F36))</f>
        <v>34</v>
      </c>
      <c r="F36" s="295" t="s">
        <v>403</v>
      </c>
      <c r="G36" s="296" t="s">
        <v>415</v>
      </c>
      <c r="H36" s="305" t="s">
        <v>416</v>
      </c>
      <c r="I36" s="306" t="s">
        <v>112</v>
      </c>
      <c r="J36" s="33" t="s">
        <v>113</v>
      </c>
      <c r="K36" s="118" t="s">
        <v>426</v>
      </c>
      <c r="L36" s="118">
        <f t="shared" si="4"/>
        <v>3</v>
      </c>
      <c r="M36" s="99"/>
      <c r="N36" s="100"/>
      <c r="O36" s="101"/>
      <c r="P36" s="100"/>
      <c r="Q36" s="101"/>
      <c r="R36" s="285">
        <v>3</v>
      </c>
      <c r="S36" s="285"/>
    </row>
    <row r="37" spans="1:19" ht="15" customHeight="1" x14ac:dyDescent="0.35">
      <c r="A37" s="112">
        <f t="shared" si="0"/>
        <v>35</v>
      </c>
      <c r="B37" s="111" t="str">
        <f>IFERROR(CONCATENATE(IF(MID(VLOOKUP(A37,C:I,7,0),1,1)="P","*",""),VLOOKUP(A37,C:F,4,0)),"")</f>
        <v/>
      </c>
      <c r="C37" s="109" t="str">
        <f>IF(J37="Si",COUNTIF(J$3:J37,"Si"),"")</f>
        <v/>
      </c>
      <c r="D37" s="97"/>
      <c r="E37" s="294">
        <f>IF(F37="","",COUNTA(F$3:F37))</f>
        <v>35</v>
      </c>
      <c r="F37" s="322" t="s">
        <v>347</v>
      </c>
      <c r="G37" s="323" t="s">
        <v>140</v>
      </c>
      <c r="H37" s="324" t="s">
        <v>348</v>
      </c>
      <c r="I37" s="325" t="s">
        <v>116</v>
      </c>
      <c r="J37" s="33" t="s">
        <v>117</v>
      </c>
      <c r="K37" s="118" t="s">
        <v>427</v>
      </c>
      <c r="L37" s="118">
        <v>0</v>
      </c>
      <c r="M37" s="99"/>
      <c r="N37" s="100"/>
      <c r="O37" s="101"/>
      <c r="P37" s="100"/>
      <c r="Q37" s="101"/>
      <c r="R37" s="285"/>
      <c r="S37" s="285"/>
    </row>
    <row r="38" spans="1:19" ht="15" customHeight="1" x14ac:dyDescent="0.35">
      <c r="A38" s="112">
        <f t="shared" si="0"/>
        <v>36</v>
      </c>
      <c r="B38" s="111" t="str">
        <f>IFERROR(CONCATENATE(IF(MID(VLOOKUP(A38,C:I,7,0),1,1)="P","*",""),VLOOKUP(A38,C:F,4,0)),"")</f>
        <v/>
      </c>
      <c r="C38" s="109">
        <f>IF(J38="Si",COUNTIF(J$3:J38,"Si"),"")</f>
        <v>22</v>
      </c>
      <c r="D38" s="97"/>
      <c r="E38" s="294">
        <f>IF(F38="","",COUNTA(F$3:F38))</f>
        <v>36</v>
      </c>
      <c r="F38" s="301" t="s">
        <v>349</v>
      </c>
      <c r="G38" s="301" t="s">
        <v>350</v>
      </c>
      <c r="H38" s="317" t="s">
        <v>351</v>
      </c>
      <c r="I38" s="98" t="s">
        <v>116</v>
      </c>
      <c r="J38" s="302" t="s">
        <v>113</v>
      </c>
      <c r="K38" s="118" t="s">
        <v>427</v>
      </c>
      <c r="L38" s="118">
        <v>0</v>
      </c>
      <c r="M38" s="297"/>
      <c r="N38" s="298"/>
      <c r="O38" s="299"/>
      <c r="P38" s="298"/>
      <c r="Q38" s="299"/>
      <c r="R38" s="300"/>
      <c r="S38" s="300"/>
    </row>
    <row r="39" spans="1:19" ht="15" customHeight="1" x14ac:dyDescent="0.35">
      <c r="A39" s="112">
        <f t="shared" si="0"/>
        <v>37</v>
      </c>
      <c r="B39" s="111" t="str">
        <f>IFERROR(CONCATENATE(IF(MID(VLOOKUP(A39,C:I,7,0),1,1)="P","*",""),VLOOKUP(A39,C:F,4,0)),"")</f>
        <v/>
      </c>
      <c r="C39" s="109" t="str">
        <f>IF(J39="Si",COUNTIF(J$3:J39,"Si"),"")</f>
        <v/>
      </c>
      <c r="D39" s="97"/>
      <c r="E39" s="294">
        <f>IF(F39="","",COUNTA(F$3:F39))</f>
        <v>37</v>
      </c>
      <c r="F39" s="304" t="s">
        <v>352</v>
      </c>
      <c r="G39" s="304" t="s">
        <v>353</v>
      </c>
      <c r="H39" s="318" t="s">
        <v>354</v>
      </c>
      <c r="I39" s="98" t="s">
        <v>116</v>
      </c>
      <c r="J39" s="33" t="s">
        <v>117</v>
      </c>
      <c r="K39" s="118" t="s">
        <v>427</v>
      </c>
      <c r="L39" s="118">
        <v>0</v>
      </c>
      <c r="M39" s="99"/>
      <c r="N39" s="100"/>
      <c r="O39" s="101"/>
      <c r="P39" s="100"/>
      <c r="Q39" s="101"/>
      <c r="R39" s="285"/>
      <c r="S39" s="285"/>
    </row>
    <row r="40" spans="1:19" ht="15" customHeight="1" x14ac:dyDescent="0.35">
      <c r="A40" s="112">
        <f t="shared" si="0"/>
        <v>38</v>
      </c>
      <c r="B40" s="111" t="str">
        <f>IFERROR(CONCATENATE(IF(MID(VLOOKUP(A40,C:I,7,0),1,1)="P","*",""),VLOOKUP(A40,C:F,4,0)),"")</f>
        <v/>
      </c>
      <c r="C40" s="109">
        <f>IF(J40="Si",COUNTIF(J$3:J40,"Si"),"")</f>
        <v>23</v>
      </c>
      <c r="D40" s="97"/>
      <c r="E40" s="294">
        <f>IF(F40="","",COUNTA(F$3:F40))</f>
        <v>38</v>
      </c>
      <c r="F40" s="303" t="s">
        <v>355</v>
      </c>
      <c r="G40" s="301" t="s">
        <v>356</v>
      </c>
      <c r="H40" s="319" t="s">
        <v>201</v>
      </c>
      <c r="I40" s="98" t="s">
        <v>116</v>
      </c>
      <c r="J40" s="302" t="s">
        <v>113</v>
      </c>
      <c r="K40" s="118" t="s">
        <v>427</v>
      </c>
      <c r="L40" s="118">
        <v>0</v>
      </c>
      <c r="M40" s="297"/>
      <c r="N40" s="298"/>
      <c r="O40" s="299"/>
      <c r="P40" s="298"/>
      <c r="Q40" s="299"/>
      <c r="R40" s="300"/>
      <c r="S40" s="300"/>
    </row>
    <row r="41" spans="1:19" ht="15" customHeight="1" x14ac:dyDescent="0.35">
      <c r="A41" s="112">
        <f t="shared" si="0"/>
        <v>39</v>
      </c>
      <c r="B41" s="111"/>
      <c r="C41" s="109">
        <f>IF(J41="Si",COUNTIF(J$3:J41,"Si"),"")</f>
        <v>24</v>
      </c>
      <c r="D41" s="97"/>
      <c r="E41" s="294">
        <f>IF(F41="","",COUNTA(F$3:F41))</f>
        <v>39</v>
      </c>
      <c r="F41" s="304" t="s">
        <v>357</v>
      </c>
      <c r="G41" s="304" t="s">
        <v>353</v>
      </c>
      <c r="H41" s="320" t="s">
        <v>358</v>
      </c>
      <c r="I41" s="98" t="s">
        <v>116</v>
      </c>
      <c r="J41" s="33" t="s">
        <v>113</v>
      </c>
      <c r="K41" s="118" t="s">
        <v>427</v>
      </c>
      <c r="L41" s="118">
        <v>0</v>
      </c>
      <c r="M41" s="99"/>
      <c r="N41" s="100"/>
      <c r="O41" s="101"/>
      <c r="P41" s="100"/>
      <c r="Q41" s="101"/>
      <c r="R41" s="285"/>
      <c r="S41" s="285"/>
    </row>
    <row r="42" spans="1:19" ht="15" customHeight="1" x14ac:dyDescent="0.35">
      <c r="A42" s="112">
        <f t="shared" si="0"/>
        <v>40</v>
      </c>
      <c r="B42" s="111"/>
      <c r="C42" s="109">
        <f>IF(J42="Si",COUNTIF(J$3:J42,"Si"),"")</f>
        <v>25</v>
      </c>
      <c r="D42" s="97"/>
      <c r="E42" s="294">
        <f>IF(F42="","",COUNTA(F$3:F42))</f>
        <v>40</v>
      </c>
      <c r="F42" s="301" t="s">
        <v>359</v>
      </c>
      <c r="G42" s="301" t="s">
        <v>360</v>
      </c>
      <c r="H42" s="319" t="s">
        <v>361</v>
      </c>
      <c r="I42" s="98" t="s">
        <v>116</v>
      </c>
      <c r="J42" s="302" t="s">
        <v>113</v>
      </c>
      <c r="K42" s="118" t="s">
        <v>427</v>
      </c>
      <c r="L42" s="118">
        <v>0</v>
      </c>
      <c r="M42" s="297"/>
      <c r="N42" s="298"/>
      <c r="O42" s="299"/>
      <c r="P42" s="298"/>
      <c r="Q42" s="299"/>
      <c r="R42" s="300"/>
      <c r="S42" s="300"/>
    </row>
    <row r="43" spans="1:19" ht="15" customHeight="1" x14ac:dyDescent="0.35">
      <c r="B43" s="111"/>
      <c r="C43" s="109" t="str">
        <f>IF(J43="Si",COUNTIF(J$3:J43,"Si"),"")</f>
        <v/>
      </c>
      <c r="D43" s="97"/>
      <c r="E43" s="294">
        <f>IF(F43="","",COUNTA(F$3:F43))</f>
        <v>41</v>
      </c>
      <c r="F43" s="304" t="s">
        <v>362</v>
      </c>
      <c r="G43" s="304" t="s">
        <v>363</v>
      </c>
      <c r="H43" s="292" t="s">
        <v>367</v>
      </c>
      <c r="I43" s="98" t="s">
        <v>116</v>
      </c>
      <c r="J43" s="307" t="s">
        <v>117</v>
      </c>
      <c r="K43" s="118" t="s">
        <v>427</v>
      </c>
      <c r="L43" s="118">
        <v>0</v>
      </c>
      <c r="M43" s="308"/>
      <c r="N43" s="309"/>
      <c r="O43" s="310"/>
      <c r="P43" s="309"/>
      <c r="Q43" s="310"/>
      <c r="R43" s="311"/>
      <c r="S43" s="311"/>
    </row>
    <row r="44" spans="1:19" ht="15" customHeight="1" x14ac:dyDescent="0.35">
      <c r="B44" s="111"/>
      <c r="C44" s="109">
        <f>IF(J44="Si",COUNTIF(J$3:J44,"Si"),"")</f>
        <v>26</v>
      </c>
      <c r="D44" s="97"/>
      <c r="E44" s="294">
        <f>IF(F44="","",COUNTA(F$3:F44))</f>
        <v>42</v>
      </c>
      <c r="F44" s="301" t="s">
        <v>364</v>
      </c>
      <c r="G44" s="301" t="s">
        <v>365</v>
      </c>
      <c r="H44" s="319" t="s">
        <v>366</v>
      </c>
      <c r="I44" s="98" t="s">
        <v>116</v>
      </c>
      <c r="J44" s="302" t="s">
        <v>113</v>
      </c>
      <c r="K44" s="118" t="s">
        <v>427</v>
      </c>
      <c r="L44" s="118">
        <v>0</v>
      </c>
      <c r="M44" s="297"/>
      <c r="N44" s="298"/>
      <c r="O44" s="299"/>
      <c r="P44" s="298"/>
      <c r="Q44" s="299"/>
      <c r="R44" s="300"/>
      <c r="S44" s="300"/>
    </row>
    <row r="45" spans="1:19" ht="15" customHeight="1" x14ac:dyDescent="0.35">
      <c r="B45" s="111"/>
      <c r="C45" s="109">
        <f>IF(J45="Si",COUNTIF(J$3:J45,"Si"),"")</f>
        <v>27</v>
      </c>
      <c r="D45" s="97"/>
      <c r="E45" s="294">
        <f>IF(F45="","",COUNTA(F$3:F45))</f>
        <v>43</v>
      </c>
      <c r="F45" s="304" t="s">
        <v>368</v>
      </c>
      <c r="G45" s="304" t="s">
        <v>350</v>
      </c>
      <c r="H45" s="292" t="s">
        <v>369</v>
      </c>
      <c r="I45" s="98" t="s">
        <v>116</v>
      </c>
      <c r="J45" s="307" t="s">
        <v>113</v>
      </c>
      <c r="K45" s="118" t="s">
        <v>427</v>
      </c>
      <c r="L45" s="118">
        <v>0</v>
      </c>
      <c r="M45" s="308"/>
      <c r="N45" s="309"/>
      <c r="O45" s="310"/>
      <c r="P45" s="309"/>
      <c r="Q45" s="310"/>
      <c r="R45" s="311"/>
      <c r="S45" s="311"/>
    </row>
    <row r="46" spans="1:19" ht="15" customHeight="1" x14ac:dyDescent="0.35">
      <c r="B46" s="111"/>
      <c r="C46" s="109" t="str">
        <f>IF(J46="Si",COUNTIF(J$3:J46,"Si"),"")</f>
        <v/>
      </c>
      <c r="D46" s="97"/>
      <c r="E46" s="294">
        <f>IF(F46="","",COUNTA(F$3:F46))</f>
        <v>44</v>
      </c>
      <c r="F46" s="301" t="s">
        <v>370</v>
      </c>
      <c r="G46" s="301" t="s">
        <v>373</v>
      </c>
      <c r="H46" s="319" t="s">
        <v>375</v>
      </c>
      <c r="I46" s="98" t="s">
        <v>116</v>
      </c>
      <c r="J46" s="302" t="s">
        <v>117</v>
      </c>
      <c r="K46" s="118" t="s">
        <v>427</v>
      </c>
      <c r="L46" s="118">
        <v>0</v>
      </c>
      <c r="M46" s="297"/>
      <c r="N46" s="298"/>
      <c r="O46" s="299"/>
      <c r="P46" s="298"/>
      <c r="Q46" s="299"/>
      <c r="R46" s="300"/>
      <c r="S46" s="300"/>
    </row>
    <row r="47" spans="1:19" s="344" customFormat="1" ht="14.5" customHeight="1" x14ac:dyDescent="0.35">
      <c r="A47" s="330"/>
      <c r="B47" s="331"/>
      <c r="C47" s="332" t="str">
        <f>IF(J47="Si",COUNTIF(J$3:J47,"Si"),"")</f>
        <v/>
      </c>
      <c r="D47" s="333"/>
      <c r="E47" s="334">
        <f>IF(F47="","",COUNTA(F$3:F47))</f>
        <v>45</v>
      </c>
      <c r="F47" s="335" t="s">
        <v>371</v>
      </c>
      <c r="G47" s="335" t="s">
        <v>116</v>
      </c>
      <c r="H47" s="336" t="s">
        <v>376</v>
      </c>
      <c r="I47" s="337" t="s">
        <v>116</v>
      </c>
      <c r="J47" s="338" t="s">
        <v>117</v>
      </c>
      <c r="K47" s="118" t="s">
        <v>427</v>
      </c>
      <c r="L47" s="339">
        <v>0</v>
      </c>
      <c r="M47" s="340"/>
      <c r="N47" s="341"/>
      <c r="O47" s="342"/>
      <c r="P47" s="341"/>
      <c r="Q47" s="342"/>
      <c r="R47" s="343"/>
      <c r="S47" s="343"/>
    </row>
    <row r="48" spans="1:19" ht="15" customHeight="1" x14ac:dyDescent="0.35">
      <c r="B48" s="111"/>
      <c r="C48" s="109">
        <f>IF(J48="Si",COUNTIF(J$3:J48,"Si"),"")</f>
        <v>28</v>
      </c>
      <c r="D48" s="97"/>
      <c r="E48" s="294">
        <f>IF(F48="","",COUNTA(F$3:F48))</f>
        <v>46</v>
      </c>
      <c r="F48" s="301" t="s">
        <v>372</v>
      </c>
      <c r="G48" s="301" t="s">
        <v>374</v>
      </c>
      <c r="H48" s="319" t="s">
        <v>377</v>
      </c>
      <c r="I48" s="98" t="s">
        <v>116</v>
      </c>
      <c r="J48" s="302" t="s">
        <v>113</v>
      </c>
      <c r="K48" s="118" t="s">
        <v>427</v>
      </c>
      <c r="L48" s="118">
        <v>0</v>
      </c>
      <c r="M48" s="297"/>
      <c r="N48" s="298"/>
      <c r="O48" s="299"/>
      <c r="P48" s="298"/>
      <c r="Q48" s="299"/>
      <c r="R48" s="300"/>
      <c r="S48" s="300"/>
    </row>
    <row r="49" spans="1:20" s="344" customFormat="1" ht="15" customHeight="1" x14ac:dyDescent="0.35">
      <c r="A49" s="330"/>
      <c r="B49" s="331"/>
      <c r="C49" s="332" t="str">
        <f>IF(J49="Si",COUNTIF(J$3:J49,"Si"),"")</f>
        <v/>
      </c>
      <c r="D49" s="333"/>
      <c r="E49" s="334">
        <f>IF(F49="","",COUNTA(F$3:F49))</f>
        <v>47</v>
      </c>
      <c r="F49" s="335" t="s">
        <v>378</v>
      </c>
      <c r="G49" s="335" t="s">
        <v>383</v>
      </c>
      <c r="H49" s="336" t="s">
        <v>388</v>
      </c>
      <c r="I49" s="337" t="s">
        <v>116</v>
      </c>
      <c r="J49" s="338" t="s">
        <v>117</v>
      </c>
      <c r="K49" s="118"/>
      <c r="L49" s="339">
        <v>0</v>
      </c>
      <c r="M49" s="340"/>
      <c r="N49" s="341"/>
      <c r="O49" s="342"/>
      <c r="P49" s="341"/>
      <c r="Q49" s="342"/>
      <c r="R49" s="343"/>
      <c r="S49" s="343"/>
    </row>
    <row r="50" spans="1:20" ht="15" customHeight="1" x14ac:dyDescent="0.35">
      <c r="B50" s="111"/>
      <c r="C50" s="109">
        <f>IF(J50="Si",COUNTIF(J$3:J50,"Si"),"")</f>
        <v>29</v>
      </c>
      <c r="D50" s="97"/>
      <c r="E50" s="294">
        <f>IF(F50="","",COUNTA(F$3:F50))</f>
        <v>48</v>
      </c>
      <c r="F50" s="301" t="s">
        <v>379</v>
      </c>
      <c r="G50" s="301" t="s">
        <v>384</v>
      </c>
      <c r="H50" s="319" t="s">
        <v>389</v>
      </c>
      <c r="I50" s="98" t="s">
        <v>116</v>
      </c>
      <c r="J50" s="302" t="s">
        <v>113</v>
      </c>
      <c r="K50" s="118" t="s">
        <v>427</v>
      </c>
      <c r="L50" s="118">
        <v>0</v>
      </c>
      <c r="M50" s="297"/>
      <c r="N50" s="298"/>
      <c r="O50" s="299"/>
      <c r="P50" s="298"/>
      <c r="Q50" s="299"/>
      <c r="R50" s="300"/>
      <c r="S50" s="300"/>
    </row>
    <row r="51" spans="1:20" ht="15" customHeight="1" x14ac:dyDescent="0.35">
      <c r="B51" s="111"/>
      <c r="C51" s="109">
        <f>IF(J51="Si",COUNTIF(J$3:J51,"Si"),"")</f>
        <v>30</v>
      </c>
      <c r="D51" s="97"/>
      <c r="E51" s="294">
        <f>IF(F51="","",COUNTA(F$3:F51))</f>
        <v>49</v>
      </c>
      <c r="F51" s="304" t="s">
        <v>380</v>
      </c>
      <c r="G51" s="304" t="s">
        <v>140</v>
      </c>
      <c r="H51" s="292" t="s">
        <v>390</v>
      </c>
      <c r="I51" s="98" t="s">
        <v>116</v>
      </c>
      <c r="J51" s="307" t="s">
        <v>113</v>
      </c>
      <c r="K51" s="118" t="s">
        <v>427</v>
      </c>
      <c r="L51" s="118">
        <v>0</v>
      </c>
      <c r="M51" s="308"/>
      <c r="N51" s="309"/>
      <c r="O51" s="310"/>
      <c r="P51" s="309"/>
      <c r="Q51" s="310"/>
      <c r="R51" s="311"/>
      <c r="S51" s="311"/>
    </row>
    <row r="52" spans="1:20" ht="15" customHeight="1" x14ac:dyDescent="0.35">
      <c r="B52" s="111"/>
      <c r="C52" s="109">
        <f>IF(J52="Si",COUNTIF(J$3:J52,"Si"),"")</f>
        <v>31</v>
      </c>
      <c r="D52" s="97"/>
      <c r="E52" s="294">
        <f>IF(F52="","",COUNTA(F$3:F52))</f>
        <v>50</v>
      </c>
      <c r="F52" s="301" t="s">
        <v>381</v>
      </c>
      <c r="G52" s="301" t="s">
        <v>385</v>
      </c>
      <c r="H52" s="319" t="s">
        <v>391</v>
      </c>
      <c r="I52" s="98" t="s">
        <v>116</v>
      </c>
      <c r="J52" s="302" t="s">
        <v>113</v>
      </c>
      <c r="K52" s="118" t="s">
        <v>427</v>
      </c>
      <c r="L52" s="118">
        <v>0</v>
      </c>
      <c r="M52" s="297"/>
      <c r="N52" s="298"/>
      <c r="O52" s="299"/>
      <c r="P52" s="298"/>
      <c r="Q52" s="299"/>
      <c r="R52" s="300"/>
      <c r="S52" s="300"/>
    </row>
    <row r="53" spans="1:20" ht="15" customHeight="1" x14ac:dyDescent="0.35">
      <c r="B53" s="111"/>
      <c r="C53" s="109">
        <f>IF(J53="Si",COUNTIF(J$3:J53,"Si"),"")</f>
        <v>32</v>
      </c>
      <c r="D53" s="97"/>
      <c r="E53" s="294">
        <f>IF(F53="","",COUNTA(F$3:F53))</f>
        <v>51</v>
      </c>
      <c r="F53" s="304" t="s">
        <v>382</v>
      </c>
      <c r="G53" s="304" t="s">
        <v>386</v>
      </c>
      <c r="H53" s="320" t="s">
        <v>392</v>
      </c>
      <c r="I53" s="98" t="s">
        <v>116</v>
      </c>
      <c r="J53" s="307" t="s">
        <v>113</v>
      </c>
      <c r="K53" s="118" t="s">
        <v>427</v>
      </c>
      <c r="L53" s="118">
        <v>0</v>
      </c>
      <c r="M53" s="308"/>
      <c r="N53" s="309"/>
      <c r="O53" s="310"/>
      <c r="P53" s="309"/>
      <c r="Q53" s="310"/>
      <c r="R53" s="311"/>
      <c r="S53" s="311"/>
    </row>
    <row r="54" spans="1:20" ht="15" customHeight="1" x14ac:dyDescent="0.35">
      <c r="B54" s="111"/>
      <c r="C54" s="109">
        <f>IF(J54="Si",COUNTIF(J$3:J54,"Si"),"")</f>
        <v>33</v>
      </c>
      <c r="D54" s="97"/>
      <c r="E54" s="294">
        <f>IF(F54="","",COUNTA(F$3:F54))</f>
        <v>52</v>
      </c>
      <c r="F54" s="301" t="s">
        <v>402</v>
      </c>
      <c r="G54" s="301" t="s">
        <v>387</v>
      </c>
      <c r="H54" s="317" t="s">
        <v>131</v>
      </c>
      <c r="I54" s="98" t="s">
        <v>116</v>
      </c>
      <c r="J54" s="302" t="s">
        <v>113</v>
      </c>
      <c r="K54" s="118" t="s">
        <v>427</v>
      </c>
      <c r="L54" s="118">
        <v>0</v>
      </c>
      <c r="M54" s="297"/>
      <c r="N54" s="298"/>
      <c r="O54" s="299"/>
      <c r="P54" s="298"/>
      <c r="Q54" s="299"/>
      <c r="R54" s="300"/>
      <c r="S54" s="300"/>
    </row>
    <row r="55" spans="1:20" ht="15" customHeight="1" x14ac:dyDescent="0.35">
      <c r="B55" s="111"/>
      <c r="C55" s="109">
        <f>IF(J55="Si",COUNTIF(J$3:J55,"Si"),"")</f>
        <v>34</v>
      </c>
      <c r="D55" s="97"/>
      <c r="E55" s="294">
        <f>IF(F55="","",COUNTA(F$3:F55))</f>
        <v>53</v>
      </c>
      <c r="F55" s="304" t="s">
        <v>271</v>
      </c>
      <c r="G55" s="304" t="s">
        <v>395</v>
      </c>
      <c r="H55" s="320" t="s">
        <v>190</v>
      </c>
      <c r="I55" s="98" t="s">
        <v>116</v>
      </c>
      <c r="J55" s="307" t="s">
        <v>113</v>
      </c>
      <c r="K55" s="118" t="s">
        <v>427</v>
      </c>
      <c r="L55" s="118">
        <v>0</v>
      </c>
      <c r="M55" s="308"/>
      <c r="N55" s="309"/>
      <c r="O55" s="310"/>
      <c r="P55" s="309"/>
      <c r="Q55" s="310"/>
      <c r="R55" s="311"/>
      <c r="S55" s="311"/>
    </row>
    <row r="56" spans="1:20" ht="15" customHeight="1" x14ac:dyDescent="0.35">
      <c r="B56" s="111"/>
      <c r="C56" s="109" t="str">
        <f>IF(J56="Si",COUNTIF(J$3:J56,"Si"),"")</f>
        <v/>
      </c>
      <c r="D56" s="97"/>
      <c r="E56" s="294">
        <f>IF(F56="","",COUNTA(F$3:F56))</f>
        <v>54</v>
      </c>
      <c r="F56" s="301" t="s">
        <v>393</v>
      </c>
      <c r="G56" s="301" t="s">
        <v>140</v>
      </c>
      <c r="H56" s="317" t="s">
        <v>397</v>
      </c>
      <c r="I56" s="98" t="s">
        <v>116</v>
      </c>
      <c r="J56" s="302" t="s">
        <v>117</v>
      </c>
      <c r="K56" s="118" t="s">
        <v>427</v>
      </c>
      <c r="L56" s="118">
        <v>0</v>
      </c>
      <c r="M56" s="297"/>
      <c r="N56" s="298"/>
      <c r="O56" s="299"/>
      <c r="P56" s="298"/>
      <c r="Q56" s="299"/>
      <c r="R56" s="300"/>
      <c r="S56" s="300"/>
    </row>
    <row r="57" spans="1:20" ht="15" customHeight="1" x14ac:dyDescent="0.35">
      <c r="B57" s="111"/>
      <c r="C57" s="109" t="str">
        <f>IF(J57="Si",COUNTIF(J$3:J57,"Si"),"")</f>
        <v/>
      </c>
      <c r="D57" s="97"/>
      <c r="E57" s="294">
        <f>IF(F57="","",COUNTA(F$3:F57))</f>
        <v>55</v>
      </c>
      <c r="F57" s="304" t="s">
        <v>394</v>
      </c>
      <c r="G57" s="304" t="s">
        <v>396</v>
      </c>
      <c r="H57" s="321" t="s">
        <v>177</v>
      </c>
      <c r="I57" s="98" t="s">
        <v>116</v>
      </c>
      <c r="J57" s="307" t="s">
        <v>117</v>
      </c>
      <c r="K57" s="118" t="s">
        <v>427</v>
      </c>
      <c r="L57" s="118">
        <v>0</v>
      </c>
      <c r="M57" s="308"/>
      <c r="N57" s="309"/>
      <c r="O57" s="310"/>
      <c r="P57" s="309"/>
      <c r="Q57" s="310"/>
      <c r="R57" s="311"/>
      <c r="S57" s="311"/>
    </row>
    <row r="58" spans="1:20" ht="17.25" customHeight="1" x14ac:dyDescent="0.35">
      <c r="B58" s="111"/>
      <c r="C58" s="109" t="str">
        <f>IF(J58="Si",COUNTIF(J$3:J58,"Si"),"")</f>
        <v/>
      </c>
      <c r="D58" s="97" t="e">
        <f t="shared" si="3"/>
        <v>#VALUE!</v>
      </c>
      <c r="E58" s="33" t="str">
        <f>IF(F58="","",COUNTA(F$3:F58))</f>
        <v/>
      </c>
      <c r="F58" s="295"/>
      <c r="G58" s="296"/>
      <c r="H58" s="305"/>
      <c r="I58" s="306"/>
      <c r="J58" s="33"/>
      <c r="K58" s="118"/>
      <c r="L58" s="312"/>
      <c r="M58" s="313"/>
      <c r="N58" s="314"/>
      <c r="O58" s="315"/>
      <c r="P58" s="314" t="str">
        <f>IFERROR(VLOOKUP(CONCATENATE(IF(MID($I58,1,1)="P","*",""),$F58),'Programación x Auditor'!$C:$E,2,0),"")</f>
        <v/>
      </c>
      <c r="Q58" s="315" t="str">
        <f>IFERROR(VLOOKUP(CONCATENATE(IF(MID($I58,1,1)="P","*",""),$F58),'Programación x Auditor'!$C:$E,3,0),"")</f>
        <v/>
      </c>
      <c r="R58" s="316">
        <v>3</v>
      </c>
      <c r="S58" s="316"/>
    </row>
    <row r="59" spans="1:20" ht="17.25" customHeight="1" x14ac:dyDescent="0.35">
      <c r="B59" s="111"/>
      <c r="C59" s="109" t="str">
        <f>IF(J59="Si",COUNTIF(J$3:J59,"Si"),"")</f>
        <v/>
      </c>
      <c r="D59" s="97"/>
      <c r="E59" s="285"/>
      <c r="F59" s="292"/>
      <c r="G59" s="293"/>
      <c r="H59" s="292"/>
      <c r="I59" s="292"/>
      <c r="J59" s="285"/>
      <c r="K59" s="285"/>
      <c r="L59" s="285"/>
      <c r="M59" s="285"/>
      <c r="N59" s="285"/>
      <c r="O59" s="285"/>
      <c r="P59" s="285"/>
      <c r="Q59" s="285"/>
      <c r="R59" s="285"/>
      <c r="S59" s="285"/>
    </row>
    <row r="60" spans="1:20" x14ac:dyDescent="0.35">
      <c r="B60" s="111"/>
      <c r="C60" s="109" t="str">
        <f>IF(J60="Si",COUNTIF(J$3:J60,"Si"),"")</f>
        <v/>
      </c>
      <c r="D60" s="97"/>
      <c r="E60" s="97"/>
      <c r="F60" s="97"/>
      <c r="G60" s="97"/>
      <c r="H60" s="28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</row>
    <row r="61" spans="1:20" x14ac:dyDescent="0.35">
      <c r="B61" s="111"/>
      <c r="C61" s="109" t="str">
        <f>IF(J61="Si",COUNTIF(J$3:J61,"Si"),"")</f>
        <v/>
      </c>
      <c r="D61" s="97"/>
      <c r="E61" s="33"/>
      <c r="F61" s="32" t="s">
        <v>32</v>
      </c>
      <c r="G61" s="32"/>
      <c r="H61" s="187"/>
      <c r="I61" s="98" t="s">
        <v>183</v>
      </c>
      <c r="J61" s="33"/>
      <c r="K61" s="118"/>
      <c r="L61" s="118">
        <f>SUM(M61:T61)</f>
        <v>0</v>
      </c>
      <c r="M61" s="99"/>
      <c r="N61" s="100"/>
      <c r="O61" s="101"/>
      <c r="P61" s="100"/>
      <c r="Q61" s="101"/>
      <c r="R61" s="285"/>
      <c r="S61" s="285"/>
    </row>
    <row r="62" spans="1:20" x14ac:dyDescent="0.35">
      <c r="B62" s="111"/>
      <c r="C62" s="109" t="str">
        <f>IF(J62="Si",COUNTIF(J$3:J62,"Si"),"")</f>
        <v/>
      </c>
      <c r="D62" s="97"/>
      <c r="E62" s="33"/>
      <c r="F62" s="32" t="s">
        <v>33</v>
      </c>
      <c r="G62" s="32"/>
      <c r="H62" s="187"/>
      <c r="I62" s="350" t="s">
        <v>183</v>
      </c>
      <c r="J62" s="351"/>
      <c r="K62" s="118" t="s">
        <v>429</v>
      </c>
      <c r="L62" s="118">
        <f>SUM(M62:T62)</f>
        <v>0</v>
      </c>
      <c r="M62" s="99"/>
      <c r="N62" s="100"/>
      <c r="O62" s="101"/>
      <c r="P62" s="100"/>
      <c r="Q62" s="101"/>
      <c r="R62" s="285"/>
      <c r="S62" s="285"/>
    </row>
    <row r="63" spans="1:20" x14ac:dyDescent="0.35">
      <c r="D63" s="104"/>
      <c r="E63" s="104"/>
      <c r="F63" s="104"/>
      <c r="G63" s="104"/>
      <c r="H63" s="288"/>
      <c r="I63" s="352" t="s">
        <v>427</v>
      </c>
      <c r="J63" s="353">
        <f>COUNTIF(K3:K57,I63)</f>
        <v>21</v>
      </c>
      <c r="K63" s="108">
        <v>17</v>
      </c>
      <c r="L63" s="108"/>
      <c r="M63" s="104"/>
      <c r="N63" s="104"/>
      <c r="O63" s="104"/>
      <c r="P63" s="104"/>
      <c r="Q63" s="104"/>
      <c r="R63" s="104"/>
      <c r="S63" s="104"/>
    </row>
    <row r="64" spans="1:20" x14ac:dyDescent="0.35">
      <c r="D64" s="104"/>
      <c r="E64" s="104"/>
      <c r="F64" s="104"/>
      <c r="G64" s="104"/>
      <c r="H64" s="288"/>
      <c r="I64" s="352" t="s">
        <v>426</v>
      </c>
      <c r="J64" s="353">
        <f>COUNTIF(K3:K57,I64)</f>
        <v>13</v>
      </c>
      <c r="K64" s="108">
        <v>18</v>
      </c>
      <c r="L64" s="108"/>
      <c r="M64" s="104"/>
      <c r="N64" s="104"/>
      <c r="O64" s="104"/>
      <c r="P64" s="104"/>
      <c r="Q64" s="104"/>
      <c r="R64" s="104"/>
      <c r="S64" s="104"/>
    </row>
    <row r="65" spans="4:19" x14ac:dyDescent="0.35">
      <c r="D65" s="104"/>
      <c r="E65" s="104"/>
      <c r="F65" s="104"/>
      <c r="G65" s="104"/>
      <c r="H65" s="288"/>
      <c r="I65" s="352" t="s">
        <v>425</v>
      </c>
      <c r="J65" s="353">
        <f>COUNTIF(K3:K57,I65)</f>
        <v>14</v>
      </c>
      <c r="K65" s="108">
        <v>9</v>
      </c>
      <c r="L65" s="108"/>
      <c r="M65" s="104"/>
      <c r="N65" s="104"/>
      <c r="O65" s="104"/>
      <c r="P65" s="104"/>
      <c r="Q65" s="104"/>
      <c r="R65" s="104"/>
      <c r="S65" s="104"/>
    </row>
    <row r="66" spans="4:19" x14ac:dyDescent="0.35">
      <c r="I66" s="354" t="s">
        <v>428</v>
      </c>
      <c r="J66" s="354">
        <f>SUM(J63:J65)</f>
        <v>48</v>
      </c>
    </row>
    <row r="67" spans="4:19" x14ac:dyDescent="0.35"/>
    <row r="68" spans="4:19" x14ac:dyDescent="0.35"/>
    <row r="69" spans="4:19" x14ac:dyDescent="0.35"/>
    <row r="70" spans="4:19" x14ac:dyDescent="0.35"/>
    <row r="71" spans="4:19" x14ac:dyDescent="0.35"/>
    <row r="72" spans="4:19" x14ac:dyDescent="0.35"/>
    <row r="73" spans="4:19" x14ac:dyDescent="0.35"/>
    <row r="74" spans="4:19" x14ac:dyDescent="0.35"/>
    <row r="75" spans="4:19" x14ac:dyDescent="0.35"/>
    <row r="76" spans="4:19" x14ac:dyDescent="0.35"/>
    <row r="77" spans="4:19" x14ac:dyDescent="0.35"/>
  </sheetData>
  <autoFilter ref="E2:Q62">
    <sortState ref="E3:O47">
      <sortCondition ref="F2:F47"/>
    </sortState>
  </autoFilter>
  <mergeCells count="1">
    <mergeCell ref="E1:F1"/>
  </mergeCells>
  <conditionalFormatting sqref="M3:S3 F3:H3 F14:G21 F5:H13 J5:S22 H15:H32 F26:G26 J26:S26 I3:I35 J35:S35 F37:H57 F22 I37:I59 J37:S57 L36:S36">
    <cfRule type="expression" dxfId="78" priority="117">
      <formula>#REF!&gt;0</formula>
    </cfRule>
  </conditionalFormatting>
  <conditionalFormatting sqref="F4 M4:S4">
    <cfRule type="expression" dxfId="77" priority="116">
      <formula>#REF!&gt;0</formula>
    </cfRule>
  </conditionalFormatting>
  <conditionalFormatting sqref="G4">
    <cfRule type="expression" dxfId="76" priority="115">
      <formula>#REF!&gt;0</formula>
    </cfRule>
  </conditionalFormatting>
  <conditionalFormatting sqref="H4 F23:G23">
    <cfRule type="expression" dxfId="75" priority="114">
      <formula>#REF!&gt;0</formula>
    </cfRule>
  </conditionalFormatting>
  <conditionalFormatting sqref="M61:S62 E58:G59 E3:H13 H14:H33 E14:G21 E37:H57 I3:S35 E23:G35 E22:F22 E36 I37:S59 L36:S36">
    <cfRule type="expression" dxfId="74" priority="113">
      <formula>$D3="VERDADERO"</formula>
    </cfRule>
  </conditionalFormatting>
  <conditionalFormatting sqref="M3:S22 M26:S26 M35:S57">
    <cfRule type="containsText" dxfId="73" priority="110" operator="containsText" text="Si">
      <formula>NOT(ISERROR(SEARCH("Si",M3)))</formula>
    </cfRule>
    <cfRule type="cellIs" dxfId="72" priority="112" operator="equal">
      <formula>"No"</formula>
    </cfRule>
  </conditionalFormatting>
  <conditionalFormatting sqref="F24:G24">
    <cfRule type="expression" dxfId="71" priority="108">
      <formula>#REF!&gt;0</formula>
    </cfRule>
  </conditionalFormatting>
  <conditionalFormatting sqref="M23:S23">
    <cfRule type="expression" dxfId="70" priority="106">
      <formula>#REF!&gt;0</formula>
    </cfRule>
  </conditionalFormatting>
  <conditionalFormatting sqref="M23:S23">
    <cfRule type="containsText" dxfId="69" priority="102" operator="containsText" text="Si">
      <formula>NOT(ISERROR(SEARCH("Si",M23)))</formula>
    </cfRule>
    <cfRule type="cellIs" dxfId="68" priority="104" operator="equal">
      <formula>"No"</formula>
    </cfRule>
  </conditionalFormatting>
  <conditionalFormatting sqref="M24:S24">
    <cfRule type="expression" dxfId="67" priority="100">
      <formula>#REF!&gt;0</formula>
    </cfRule>
  </conditionalFormatting>
  <conditionalFormatting sqref="M24:S24">
    <cfRule type="containsText" dxfId="66" priority="96" operator="containsText" text="Si">
      <formula>NOT(ISERROR(SEARCH("Si",M24)))</formula>
    </cfRule>
    <cfRule type="cellIs" dxfId="65" priority="98" operator="equal">
      <formula>"No"</formula>
    </cfRule>
  </conditionalFormatting>
  <conditionalFormatting sqref="I22">
    <cfRule type="expression" dxfId="64" priority="89">
      <formula>#REF!&gt;0</formula>
    </cfRule>
  </conditionalFormatting>
  <conditionalFormatting sqref="I4">
    <cfRule type="expression" dxfId="63" priority="88">
      <formula>#REF!&gt;0</formula>
    </cfRule>
  </conditionalFormatting>
  <conditionalFormatting sqref="I23">
    <cfRule type="expression" dxfId="62" priority="87">
      <formula>#REF!&gt;0</formula>
    </cfRule>
  </conditionalFormatting>
  <conditionalFormatting sqref="F25:G25 F27:G27 F29:G29 F31:G31 F33:G34 F58:G59">
    <cfRule type="expression" dxfId="61" priority="85">
      <formula>#REF!&gt;0</formula>
    </cfRule>
  </conditionalFormatting>
  <conditionalFormatting sqref="F28:G28 F30:G30 F32:G32 F35:G35">
    <cfRule type="expression" dxfId="60" priority="83">
      <formula>#REF!&gt;0</formula>
    </cfRule>
  </conditionalFormatting>
  <conditionalFormatting sqref="M25:S25 M27:S27 M29:S29 M31:S31 M33:S34 M58:S59">
    <cfRule type="expression" dxfId="59" priority="82">
      <formula>#REF!&gt;0</formula>
    </cfRule>
  </conditionalFormatting>
  <conditionalFormatting sqref="M25:S25 M27:S27 M29:S29 M31:S31 M33:S34 M58:S59">
    <cfRule type="containsText" dxfId="58" priority="80" operator="containsText" text="Si">
      <formula>NOT(ISERROR(SEARCH("Si",M25)))</formula>
    </cfRule>
    <cfRule type="cellIs" dxfId="57" priority="81" operator="equal">
      <formula>"No"</formula>
    </cfRule>
  </conditionalFormatting>
  <conditionalFormatting sqref="M28:S28 M30:S30 M32:S32">
    <cfRule type="expression" dxfId="56" priority="79">
      <formula>#REF!&gt;0</formula>
    </cfRule>
  </conditionalFormatting>
  <conditionalFormatting sqref="M28:S28 M30:S30 M32:S32">
    <cfRule type="containsText" dxfId="55" priority="77" operator="containsText" text="Si">
      <formula>NOT(ISERROR(SEARCH("Si",M28)))</formula>
    </cfRule>
    <cfRule type="cellIs" dxfId="54" priority="78" operator="equal">
      <formula>"No"</formula>
    </cfRule>
  </conditionalFormatting>
  <conditionalFormatting sqref="J3:L3">
    <cfRule type="expression" dxfId="53" priority="73">
      <formula>#REF!&gt;0</formula>
    </cfRule>
  </conditionalFormatting>
  <conditionalFormatting sqref="J4:L4">
    <cfRule type="expression" dxfId="52" priority="72">
      <formula>#REF!&gt;0</formula>
    </cfRule>
  </conditionalFormatting>
  <conditionalFormatting sqref="J23:L23">
    <cfRule type="expression" dxfId="51" priority="71">
      <formula>#REF!&gt;0</formula>
    </cfRule>
  </conditionalFormatting>
  <conditionalFormatting sqref="J24:L24">
    <cfRule type="expression" dxfId="50" priority="69">
      <formula>#REF!&gt;0</formula>
    </cfRule>
  </conditionalFormatting>
  <conditionalFormatting sqref="J25:L25 J27:L27 J29:L29 J31:L31 J33:L34 J58:L59">
    <cfRule type="expression" dxfId="49" priority="68">
      <formula>#REF!&gt;0</formula>
    </cfRule>
  </conditionalFormatting>
  <conditionalFormatting sqref="J28:L28 J30:L30 J32:L32">
    <cfRule type="expression" dxfId="48" priority="66">
      <formula>#REF!&gt;0</formula>
    </cfRule>
  </conditionalFormatting>
  <conditionalFormatting sqref="E61:E62">
    <cfRule type="expression" dxfId="47" priority="49">
      <formula>$D61="VERDADERO"</formula>
    </cfRule>
  </conditionalFormatting>
  <conditionalFormatting sqref="I61:I62">
    <cfRule type="expression" dxfId="46" priority="48">
      <formula>$D61="VERDADERO"</formula>
    </cfRule>
  </conditionalFormatting>
  <conditionalFormatting sqref="I61:I62">
    <cfRule type="expression" dxfId="45" priority="47">
      <formula>#REF!&gt;0</formula>
    </cfRule>
  </conditionalFormatting>
  <conditionalFormatting sqref="I61:I62">
    <cfRule type="expression" dxfId="44" priority="46">
      <formula>#REF!&gt;0</formula>
    </cfRule>
  </conditionalFormatting>
  <conditionalFormatting sqref="F61:G61">
    <cfRule type="expression" dxfId="43" priority="45">
      <formula>#REF!&gt;0</formula>
    </cfRule>
  </conditionalFormatting>
  <conditionalFormatting sqref="F61:G62">
    <cfRule type="expression" dxfId="42" priority="44">
      <formula>$D61="VERDADERO"</formula>
    </cfRule>
  </conditionalFormatting>
  <conditionalFormatting sqref="F62:G62">
    <cfRule type="expression" dxfId="41" priority="43">
      <formula>#REF!&gt;0</formula>
    </cfRule>
  </conditionalFormatting>
  <conditionalFormatting sqref="M61:S61">
    <cfRule type="expression" dxfId="40" priority="42">
      <formula>#REF!&gt;0</formula>
    </cfRule>
  </conditionalFormatting>
  <conditionalFormatting sqref="M61:S61">
    <cfRule type="containsText" dxfId="39" priority="40" operator="containsText" text="Si">
      <formula>NOT(ISERROR(SEARCH("Si",M61)))</formula>
    </cfRule>
    <cfRule type="cellIs" dxfId="38" priority="41" operator="equal">
      <formula>"No"</formula>
    </cfRule>
  </conditionalFormatting>
  <conditionalFormatting sqref="M62:S62">
    <cfRule type="expression" dxfId="37" priority="39">
      <formula>#REF!&gt;0</formula>
    </cfRule>
  </conditionalFormatting>
  <conditionalFormatting sqref="M62:S62">
    <cfRule type="containsText" dxfId="36" priority="37" operator="containsText" text="Si">
      <formula>NOT(ISERROR(SEARCH("Si",M62)))</formula>
    </cfRule>
    <cfRule type="cellIs" dxfId="35" priority="38" operator="equal">
      <formula>"No"</formula>
    </cfRule>
  </conditionalFormatting>
  <conditionalFormatting sqref="J61:L61">
    <cfRule type="expression" dxfId="34" priority="36">
      <formula>#REF!&gt;0</formula>
    </cfRule>
  </conditionalFormatting>
  <conditionalFormatting sqref="J61:L62">
    <cfRule type="expression" dxfId="33" priority="35">
      <formula>$D61="VERDADERO"</formula>
    </cfRule>
  </conditionalFormatting>
  <conditionalFormatting sqref="J62:L62">
    <cfRule type="expression" dxfId="32" priority="34">
      <formula>#REF!&gt;0</formula>
    </cfRule>
  </conditionalFormatting>
  <conditionalFormatting sqref="J61:L62 J3:L35 J37:L59 L36">
    <cfRule type="containsText" dxfId="31" priority="32" operator="containsText" text="No">
      <formula>NOT(ISERROR(SEARCH("No",J3)))</formula>
    </cfRule>
    <cfRule type="containsText" dxfId="30" priority="33" operator="containsText" text="Si">
      <formula>NOT(ISERROR(SEARCH("Si",J3)))</formula>
    </cfRule>
  </conditionalFormatting>
  <conditionalFormatting sqref="E61:E62 E3:E59">
    <cfRule type="expression" dxfId="29" priority="30">
      <formula>$J3="No"</formula>
    </cfRule>
    <cfRule type="expression" dxfId="28" priority="31">
      <formula>$J3="Si"</formula>
    </cfRule>
  </conditionalFormatting>
  <conditionalFormatting sqref="H14">
    <cfRule type="expression" dxfId="27" priority="28">
      <formula>#REF!&gt;0</formula>
    </cfRule>
  </conditionalFormatting>
  <conditionalFormatting sqref="H33">
    <cfRule type="expression" dxfId="26" priority="27">
      <formula>#REF!&gt;0</formula>
    </cfRule>
  </conditionalFormatting>
  <conditionalFormatting sqref="H34 H58:H59 H61">
    <cfRule type="expression" dxfId="25" priority="24">
      <formula>#REF!&gt;0</formula>
    </cfRule>
  </conditionalFormatting>
  <conditionalFormatting sqref="H34:H35 H61:H62 H58:H59">
    <cfRule type="expression" dxfId="24" priority="23">
      <formula>$D34="VERDADERO"</formula>
    </cfRule>
  </conditionalFormatting>
  <conditionalFormatting sqref="H35 H62">
    <cfRule type="expression" dxfId="23" priority="22">
      <formula>#REF!&gt;0</formula>
    </cfRule>
  </conditionalFormatting>
  <conditionalFormatting sqref="G22">
    <cfRule type="expression" dxfId="22" priority="10">
      <formula>#REF!&gt;0</formula>
    </cfRule>
  </conditionalFormatting>
  <conditionalFormatting sqref="G22">
    <cfRule type="expression" dxfId="21" priority="9">
      <formula>$D22="VERDADERO"</formula>
    </cfRule>
  </conditionalFormatting>
  <conditionalFormatting sqref="I36">
    <cfRule type="expression" dxfId="20" priority="8">
      <formula>#REF!&gt;0</formula>
    </cfRule>
  </conditionalFormatting>
  <conditionalFormatting sqref="F36:G36 I36:K36">
    <cfRule type="expression" dxfId="19" priority="7">
      <formula>$D36="VERDADERO"</formula>
    </cfRule>
  </conditionalFormatting>
  <conditionalFormatting sqref="F36:G36">
    <cfRule type="expression" dxfId="18" priority="6">
      <formula>#REF!&gt;0</formula>
    </cfRule>
  </conditionalFormatting>
  <conditionalFormatting sqref="J36:K36">
    <cfRule type="expression" dxfId="17" priority="5">
      <formula>#REF!&gt;0</formula>
    </cfRule>
  </conditionalFormatting>
  <conditionalFormatting sqref="J36:K36">
    <cfRule type="containsText" dxfId="16" priority="3" operator="containsText" text="No">
      <formula>NOT(ISERROR(SEARCH("No",J36)))</formula>
    </cfRule>
    <cfRule type="containsText" dxfId="15" priority="4" operator="containsText" text="Si">
      <formula>NOT(ISERROR(SEARCH("Si",J36)))</formula>
    </cfRule>
  </conditionalFormatting>
  <conditionalFormatting sqref="H36">
    <cfRule type="expression" dxfId="14" priority="2">
      <formula>#REF!&gt;0</formula>
    </cfRule>
  </conditionalFormatting>
  <conditionalFormatting sqref="H36">
    <cfRule type="expression" dxfId="13" priority="1">
      <formula>$D36="VERDADERO"</formula>
    </cfRule>
  </conditionalFormatting>
  <dataValidations count="2">
    <dataValidation type="list" allowBlank="1" showInputMessage="1" showErrorMessage="1" sqref="I3:I59 J61:J62">
      <formula1>"Principal,Asistente"</formula1>
    </dataValidation>
    <dataValidation type="list" allowBlank="1" showInputMessage="1" showErrorMessage="1" sqref="J3:J59">
      <formula1>"Si,No"</formula1>
    </dataValidation>
  </dataValidations>
  <hyperlinks>
    <hyperlink ref="H3" r:id="rId1"/>
    <hyperlink ref="H7" r:id="rId2"/>
    <hyperlink ref="H25" r:id="rId3"/>
    <hyperlink ref="H30" r:id="rId4"/>
    <hyperlink ref="H34" r:id="rId5"/>
    <hyperlink ref="H37" r:id="rId6"/>
    <hyperlink ref="H38" r:id="rId7"/>
    <hyperlink ref="H41" r:id="rId8"/>
    <hyperlink ref="H53" r:id="rId9"/>
    <hyperlink ref="H54" r:id="rId10"/>
    <hyperlink ref="H56" r:id="rId11"/>
    <hyperlink ref="H55" r:id="rId12"/>
    <hyperlink ref="H22" r:id="rId13"/>
    <hyperlink ref="H6" r:id="rId14"/>
    <hyperlink ref="H33" r:id="rId15"/>
  </hyperlinks>
  <printOptions horizontalCentered="1"/>
  <pageMargins left="0.23622047244094491" right="0.23622047244094491" top="0.74803149606299213" bottom="0.74803149606299213" header="0.31496062992125984" footer="0.31496062992125984"/>
  <pageSetup scale="90" orientation="landscape" r:id="rId1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L69"/>
  <sheetViews>
    <sheetView zoomScale="120" zoomScaleNormal="120" workbookViewId="0">
      <pane ySplit="3" topLeftCell="A4" activePane="bottomLeft" state="frozen"/>
      <selection pane="bottomLeft" activeCell="D14" sqref="D14"/>
    </sheetView>
  </sheetViews>
  <sheetFormatPr baseColWidth="10" defaultColWidth="11.453125" defaultRowHeight="13" x14ac:dyDescent="0.35"/>
  <cols>
    <col min="1" max="1" width="1.7265625" style="221" customWidth="1"/>
    <col min="2" max="2" width="38.7265625" style="222" customWidth="1"/>
    <col min="3" max="3" width="49.81640625" style="222" customWidth="1"/>
    <col min="4" max="4" width="28.26953125" style="222" customWidth="1"/>
    <col min="5" max="5" width="39.81640625" style="222" customWidth="1"/>
    <col min="6" max="6" width="27.453125" style="223" customWidth="1"/>
    <col min="7" max="7" width="5.453125" style="145" customWidth="1"/>
    <col min="8" max="8" width="10.1796875" style="223" customWidth="1"/>
    <col min="9" max="9" width="13.1796875" style="224" customWidth="1"/>
    <col min="10" max="10" width="15.7265625" style="224" customWidth="1"/>
    <col min="11" max="11" width="11.26953125" style="224" customWidth="1"/>
    <col min="12" max="12" width="48.453125" style="87" customWidth="1"/>
    <col min="13" max="13" width="7.54296875" style="87" customWidth="1"/>
    <col min="14" max="16384" width="11.453125" style="87"/>
  </cols>
  <sheetData>
    <row r="1" spans="1:12" ht="7.5" customHeight="1" x14ac:dyDescent="0.35"/>
    <row r="2" spans="1:12" ht="15" customHeight="1" x14ac:dyDescent="0.35">
      <c r="B2" s="225" t="s">
        <v>245</v>
      </c>
      <c r="C2" s="226"/>
      <c r="D2" s="227"/>
      <c r="E2" s="227"/>
      <c r="F2" s="228"/>
      <c r="G2" s="229"/>
      <c r="H2" s="230"/>
      <c r="I2" s="501" t="s">
        <v>226</v>
      </c>
      <c r="J2" s="502"/>
      <c r="K2" s="502"/>
      <c r="L2" s="231" t="s">
        <v>227</v>
      </c>
    </row>
    <row r="3" spans="1:12" ht="26" x14ac:dyDescent="0.35">
      <c r="B3" s="232" t="s">
        <v>11</v>
      </c>
      <c r="C3" s="233" t="s">
        <v>71</v>
      </c>
      <c r="D3" s="232" t="s">
        <v>184</v>
      </c>
      <c r="E3" s="232" t="s">
        <v>101</v>
      </c>
      <c r="F3" s="234" t="s">
        <v>228</v>
      </c>
      <c r="G3" s="235" t="s">
        <v>19</v>
      </c>
      <c r="H3" s="236" t="s">
        <v>17</v>
      </c>
      <c r="I3" s="237" t="s">
        <v>229</v>
      </c>
      <c r="J3" s="237" t="s">
        <v>230</v>
      </c>
      <c r="K3" s="238" t="s">
        <v>231</v>
      </c>
      <c r="L3" s="231" t="s">
        <v>232</v>
      </c>
    </row>
    <row r="4" spans="1:12" x14ac:dyDescent="0.25">
      <c r="B4" s="252" t="s">
        <v>29</v>
      </c>
      <c r="C4" s="252"/>
      <c r="D4" s="252" t="s">
        <v>407</v>
      </c>
      <c r="E4" s="252"/>
      <c r="F4" s="260" t="s">
        <v>30</v>
      </c>
      <c r="G4" s="269">
        <v>1</v>
      </c>
      <c r="H4" s="249">
        <v>0.33333333333333298</v>
      </c>
      <c r="I4" s="240">
        <v>374010</v>
      </c>
      <c r="J4" s="240"/>
      <c r="K4" s="274"/>
      <c r="L4" s="241" t="str">
        <f>VLOOKUP(B4,'FO-GC-012'!L:R,1,0)</f>
        <v>Reunión de Apertura</v>
      </c>
    </row>
    <row r="5" spans="1:12" x14ac:dyDescent="0.25">
      <c r="B5" s="252" t="s">
        <v>67</v>
      </c>
      <c r="C5" s="252"/>
      <c r="D5" s="252" t="s">
        <v>407</v>
      </c>
      <c r="E5" s="252"/>
      <c r="F5" s="261" t="s">
        <v>37</v>
      </c>
      <c r="G5" s="268">
        <v>2</v>
      </c>
      <c r="H5" s="243">
        <v>0.35416666666666702</v>
      </c>
      <c r="I5" s="240">
        <v>374011</v>
      </c>
      <c r="J5" s="250"/>
      <c r="K5" s="270"/>
      <c r="L5" s="241" t="str">
        <f>VLOOKUP(B5,'FO-GC-012'!L:R,1,0)</f>
        <v>Reunión de Cierre</v>
      </c>
    </row>
    <row r="6" spans="1:12" x14ac:dyDescent="0.25">
      <c r="A6" s="221" t="str">
        <f>IFERROR(VLOOKUP(B6,'FO-GC-012'!L:L,1,0),"x")</f>
        <v>x</v>
      </c>
      <c r="B6" s="252" t="s">
        <v>40</v>
      </c>
      <c r="C6" s="252" t="s">
        <v>186</v>
      </c>
      <c r="D6" s="252" t="s">
        <v>75</v>
      </c>
      <c r="E6" s="264" t="s">
        <v>187</v>
      </c>
      <c r="F6" s="262" t="s">
        <v>49</v>
      </c>
      <c r="G6" s="269">
        <v>3</v>
      </c>
      <c r="H6" s="249">
        <v>0.375</v>
      </c>
      <c r="I6" s="240">
        <v>374012</v>
      </c>
      <c r="J6" s="250"/>
      <c r="K6" s="275"/>
      <c r="L6" s="241" t="e">
        <f>VLOOKUP(B6,'FO-GC-012'!L:R,1,0)</f>
        <v>#N/A</v>
      </c>
    </row>
    <row r="7" spans="1:12" x14ac:dyDescent="0.25">
      <c r="A7" s="221" t="str">
        <f>IFERROR(VLOOKUP(B7,'FO-GC-012'!L:L,1,0),"x")</f>
        <v>x</v>
      </c>
      <c r="B7" s="252" t="s">
        <v>42</v>
      </c>
      <c r="C7" s="252" t="s">
        <v>188</v>
      </c>
      <c r="D7" s="252" t="s">
        <v>253</v>
      </c>
      <c r="E7" s="265" t="s">
        <v>189</v>
      </c>
      <c r="F7" s="263" t="s">
        <v>41</v>
      </c>
      <c r="G7" s="268">
        <v>4</v>
      </c>
      <c r="H7" s="243">
        <v>0.39583333333333398</v>
      </c>
      <c r="I7" s="240">
        <v>374013</v>
      </c>
      <c r="J7" s="244"/>
      <c r="K7" s="276"/>
      <c r="L7" s="241" t="e">
        <f>VLOOKUP(B7,'FO-GC-012'!L:R,1,0)</f>
        <v>#N/A</v>
      </c>
    </row>
    <row r="8" spans="1:12" x14ac:dyDescent="0.25">
      <c r="A8" s="221" t="str">
        <f>IFERROR(VLOOKUP(B8,'FO-GC-012'!L:L,1,0),"x")</f>
        <v>x</v>
      </c>
      <c r="B8" s="252" t="s">
        <v>43</v>
      </c>
      <c r="C8" s="252" t="s">
        <v>272</v>
      </c>
      <c r="D8" s="252" t="s">
        <v>271</v>
      </c>
      <c r="E8" s="264" t="s">
        <v>190</v>
      </c>
      <c r="F8" s="260" t="s">
        <v>233</v>
      </c>
      <c r="G8" s="269">
        <v>5</v>
      </c>
      <c r="H8" s="249">
        <v>0.41666666666666702</v>
      </c>
      <c r="I8" s="240">
        <v>374014</v>
      </c>
      <c r="J8" s="244"/>
      <c r="K8" s="277"/>
      <c r="L8" s="241" t="e">
        <f>VLOOKUP(B8,'FO-GC-012'!L:R,1,0)</f>
        <v>#N/A</v>
      </c>
    </row>
    <row r="9" spans="1:12" ht="14.5" x14ac:dyDescent="0.25">
      <c r="A9" s="221" t="str">
        <f>IFERROR(VLOOKUP(B9,'FO-GC-012'!L:L,1,0),"x")</f>
        <v>x</v>
      </c>
      <c r="B9" s="252" t="s">
        <v>45</v>
      </c>
      <c r="C9" s="252" t="s">
        <v>191</v>
      </c>
      <c r="D9" s="252" t="s">
        <v>273</v>
      </c>
      <c r="E9" s="258" t="s">
        <v>274</v>
      </c>
      <c r="F9" s="262" t="s">
        <v>234</v>
      </c>
      <c r="G9" s="268">
        <v>6</v>
      </c>
      <c r="H9" s="243">
        <v>0.4375</v>
      </c>
      <c r="I9" s="240">
        <v>374015</v>
      </c>
      <c r="J9" s="244"/>
      <c r="K9" s="277"/>
      <c r="L9" s="241" t="e">
        <f>VLOOKUP(B9,'FO-GC-012'!L:R,1,0)</f>
        <v>#N/A</v>
      </c>
    </row>
    <row r="10" spans="1:12" x14ac:dyDescent="0.25">
      <c r="A10" s="221" t="str">
        <f>IFERROR(VLOOKUP(B10,'FO-GC-012'!L:L,1,0),"x")</f>
        <v>x</v>
      </c>
      <c r="B10" s="252" t="s">
        <v>46</v>
      </c>
      <c r="C10" s="252" t="s">
        <v>192</v>
      </c>
      <c r="D10" s="252" t="s">
        <v>235</v>
      </c>
      <c r="E10" s="264" t="s">
        <v>193</v>
      </c>
      <c r="F10" s="263" t="s">
        <v>59</v>
      </c>
      <c r="G10" s="269">
        <v>7</v>
      </c>
      <c r="H10" s="249">
        <v>0.45833333333333398</v>
      </c>
      <c r="I10" s="240">
        <v>374016</v>
      </c>
      <c r="J10" s="244"/>
      <c r="K10" s="277"/>
      <c r="L10" s="241" t="e">
        <f>VLOOKUP(B10,'FO-GC-012'!L:R,1,0)</f>
        <v>#N/A</v>
      </c>
    </row>
    <row r="11" spans="1:12" ht="14.5" x14ac:dyDescent="0.25">
      <c r="A11" s="221" t="str">
        <f>IFERROR(VLOOKUP(B11,'FO-GC-012'!L:L,1,0),"x")</f>
        <v>x</v>
      </c>
      <c r="B11" s="252" t="s">
        <v>47</v>
      </c>
      <c r="C11" s="252" t="s">
        <v>276</v>
      </c>
      <c r="D11" s="252" t="s">
        <v>275</v>
      </c>
      <c r="E11" s="266" t="s">
        <v>127</v>
      </c>
      <c r="G11" s="268">
        <v>8</v>
      </c>
      <c r="H11" s="243">
        <v>0.47916666666666702</v>
      </c>
      <c r="I11" s="240">
        <v>374017</v>
      </c>
      <c r="J11" s="250"/>
      <c r="K11" s="271"/>
      <c r="L11" s="241" t="e">
        <f>VLOOKUP(B11,'FO-GC-012'!L:R,1,0)</f>
        <v>#N/A</v>
      </c>
    </row>
    <row r="12" spans="1:12" x14ac:dyDescent="0.25">
      <c r="A12" s="221" t="str">
        <f>IFERROR(VLOOKUP(B12,'FO-GC-012'!L:L,1,0),"x")</f>
        <v>x</v>
      </c>
      <c r="B12" s="252" t="s">
        <v>48</v>
      </c>
      <c r="C12" s="252" t="s">
        <v>194</v>
      </c>
      <c r="D12" s="252" t="s">
        <v>236</v>
      </c>
      <c r="E12" s="264" t="s">
        <v>195</v>
      </c>
      <c r="F12" s="87"/>
      <c r="G12" s="269">
        <v>9</v>
      </c>
      <c r="H12" s="249">
        <v>0.5</v>
      </c>
      <c r="I12" s="240">
        <v>374018</v>
      </c>
      <c r="J12" s="244"/>
      <c r="K12" s="270"/>
      <c r="L12" s="241" t="e">
        <f>VLOOKUP(B12,'FO-GC-012'!L:R,1,0)</f>
        <v>#N/A</v>
      </c>
    </row>
    <row r="13" spans="1:12" x14ac:dyDescent="0.25">
      <c r="A13" s="221" t="str">
        <f>IFERROR(VLOOKUP(B13,'FO-GC-012'!L:L,1,0),"x")</f>
        <v>x</v>
      </c>
      <c r="B13" s="252" t="s">
        <v>51</v>
      </c>
      <c r="C13" s="252" t="s">
        <v>196</v>
      </c>
      <c r="D13" s="252" t="s">
        <v>78</v>
      </c>
      <c r="E13" s="252" t="s">
        <v>126</v>
      </c>
      <c r="F13" s="87"/>
      <c r="G13" s="268">
        <v>10</v>
      </c>
      <c r="H13" s="243">
        <v>0.52083333333333304</v>
      </c>
      <c r="I13" s="273"/>
      <c r="J13" s="250"/>
      <c r="K13" s="271"/>
      <c r="L13" s="241" t="e">
        <f>VLOOKUP(B13,'FO-GC-012'!L:R,1,0)</f>
        <v>#N/A</v>
      </c>
    </row>
    <row r="14" spans="1:12" x14ac:dyDescent="0.25">
      <c r="A14" s="221" t="str">
        <f>IFERROR(VLOOKUP(B14,'FO-GC-012'!L:L,1,0),"x")</f>
        <v>x</v>
      </c>
      <c r="B14" s="252" t="s">
        <v>53</v>
      </c>
      <c r="C14" s="252" t="s">
        <v>197</v>
      </c>
      <c r="D14" s="252" t="s">
        <v>270</v>
      </c>
      <c r="E14" s="264" t="s">
        <v>162</v>
      </c>
      <c r="F14" s="87"/>
      <c r="G14" s="269">
        <v>11</v>
      </c>
      <c r="H14" s="249">
        <v>0.54166666666666696</v>
      </c>
      <c r="I14" s="273"/>
      <c r="J14" s="244"/>
      <c r="K14" s="270"/>
      <c r="L14" s="241" t="e">
        <f>VLOOKUP(B14,'FO-GC-012'!L:R,1,0)</f>
        <v>#N/A</v>
      </c>
    </row>
    <row r="15" spans="1:12" x14ac:dyDescent="0.25">
      <c r="A15" s="221" t="str">
        <f>IFERROR(VLOOKUP(B15,'FO-GC-012'!L:L,1,0),"x")</f>
        <v>x</v>
      </c>
      <c r="B15" s="252" t="s">
        <v>55</v>
      </c>
      <c r="C15" s="252" t="s">
        <v>279</v>
      </c>
      <c r="D15" s="252" t="s">
        <v>80</v>
      </c>
      <c r="E15" s="264" t="s">
        <v>198</v>
      </c>
      <c r="G15" s="268">
        <v>12</v>
      </c>
      <c r="H15" s="243">
        <v>0.5625</v>
      </c>
      <c r="I15" s="273"/>
      <c r="J15" s="250"/>
      <c r="K15" s="271"/>
      <c r="L15" s="241" t="e">
        <f>VLOOKUP(B15,'FO-GC-012'!L:R,1,0)</f>
        <v>#N/A</v>
      </c>
    </row>
    <row r="16" spans="1:12" x14ac:dyDescent="0.25">
      <c r="A16" s="221" t="str">
        <f>IFERROR(VLOOKUP(B16,'FO-GC-012'!L:L,1,0),"x")</f>
        <v>x</v>
      </c>
      <c r="B16" s="252" t="s">
        <v>56</v>
      </c>
      <c r="C16" s="252" t="s">
        <v>199</v>
      </c>
      <c r="D16" s="252" t="s">
        <v>81</v>
      </c>
      <c r="E16" s="267" t="s">
        <v>200</v>
      </c>
      <c r="G16" s="269">
        <v>13</v>
      </c>
      <c r="H16" s="249">
        <v>0.58333333333333304</v>
      </c>
      <c r="I16" s="273"/>
      <c r="J16" s="244"/>
      <c r="K16" s="270"/>
      <c r="L16" s="241" t="e">
        <f>VLOOKUP(B16,'FO-GC-012'!L:R,1,0)</f>
        <v>#N/A</v>
      </c>
    </row>
    <row r="17" spans="1:12" x14ac:dyDescent="0.25">
      <c r="A17" s="221" t="str">
        <f>IFERROR(VLOOKUP(B17,'FO-GC-012'!L:L,1,0),"x")</f>
        <v>x</v>
      </c>
      <c r="B17" s="252" t="s">
        <v>57</v>
      </c>
      <c r="C17" s="252" t="s">
        <v>267</v>
      </c>
      <c r="D17" s="252" t="s">
        <v>268</v>
      </c>
      <c r="E17" s="264" t="s">
        <v>201</v>
      </c>
      <c r="G17" s="268">
        <v>14</v>
      </c>
      <c r="H17" s="243">
        <v>0.60416666666666696</v>
      </c>
      <c r="I17" s="273"/>
      <c r="J17" s="250"/>
      <c r="K17" s="271"/>
      <c r="L17" s="241" t="e">
        <f>VLOOKUP(B17,'FO-GC-012'!L:R,1,0)</f>
        <v>#N/A</v>
      </c>
    </row>
    <row r="18" spans="1:12" ht="14.5" x14ac:dyDescent="0.25">
      <c r="A18" s="221" t="str">
        <f>IFERROR(VLOOKUP(B18,'FO-GC-012'!L:L,1,0),"x")</f>
        <v>x</v>
      </c>
      <c r="B18" s="252" t="s">
        <v>269</v>
      </c>
      <c r="C18" s="252" t="s">
        <v>278</v>
      </c>
      <c r="D18" s="252" t="s">
        <v>277</v>
      </c>
      <c r="E18" s="266" t="s">
        <v>122</v>
      </c>
      <c r="G18" s="269">
        <v>15</v>
      </c>
      <c r="H18" s="249">
        <v>0.625</v>
      </c>
      <c r="I18" s="273"/>
      <c r="J18" s="244"/>
      <c r="K18" s="270"/>
      <c r="L18" s="241" t="e">
        <f>VLOOKUP(B18,'FO-GC-012'!L:R,1,0)</f>
        <v>#N/A</v>
      </c>
    </row>
    <row r="19" spans="1:12" ht="25" x14ac:dyDescent="0.25">
      <c r="A19" s="221" t="str">
        <f>IFERROR(VLOOKUP(B19,'FO-GC-012'!L:L,1,0),"x")</f>
        <v>x</v>
      </c>
      <c r="B19" s="252" t="s">
        <v>58</v>
      </c>
      <c r="C19" s="252" t="s">
        <v>202</v>
      </c>
      <c r="D19" s="252" t="s">
        <v>398</v>
      </c>
      <c r="E19" s="264" t="s">
        <v>203</v>
      </c>
      <c r="G19" s="268">
        <v>16</v>
      </c>
      <c r="H19" s="243">
        <v>0.64583333333333304</v>
      </c>
      <c r="I19" s="273"/>
      <c r="J19" s="250"/>
      <c r="K19" s="271"/>
      <c r="L19" s="241" t="e">
        <f>VLOOKUP(B19,'FO-GC-012'!L:R,1,0)</f>
        <v>#N/A</v>
      </c>
    </row>
    <row r="20" spans="1:12" x14ac:dyDescent="0.25">
      <c r="A20" s="221" t="str">
        <f>IFERROR(VLOOKUP(B20,'FO-GC-012'!L:L,1,0),"x")</f>
        <v>x</v>
      </c>
      <c r="B20" s="252" t="s">
        <v>60</v>
      </c>
      <c r="C20" s="252" t="s">
        <v>204</v>
      </c>
      <c r="D20" s="252" t="s">
        <v>280</v>
      </c>
      <c r="E20" s="264" t="s">
        <v>205</v>
      </c>
      <c r="G20" s="269">
        <v>17</v>
      </c>
      <c r="H20" s="249">
        <v>0.66666666666666696</v>
      </c>
      <c r="I20" s="273"/>
      <c r="J20" s="244"/>
      <c r="K20" s="270"/>
      <c r="L20" s="241" t="e">
        <f>VLOOKUP(B20,'FO-GC-012'!L:R,1,0)</f>
        <v>#N/A</v>
      </c>
    </row>
    <row r="21" spans="1:12" x14ac:dyDescent="0.25">
      <c r="A21" s="221" t="str">
        <f>IFERROR(VLOOKUP(B21,'FO-GC-012'!L:L,1,0),"x")</f>
        <v>x</v>
      </c>
      <c r="B21" s="252" t="s">
        <v>61</v>
      </c>
      <c r="C21" s="252" t="s">
        <v>206</v>
      </c>
      <c r="D21" s="252" t="s">
        <v>399</v>
      </c>
      <c r="E21" s="264" t="s">
        <v>207</v>
      </c>
      <c r="G21" s="268">
        <v>18</v>
      </c>
      <c r="H21" s="243">
        <v>0.6875</v>
      </c>
      <c r="I21" s="273"/>
      <c r="J21" s="250"/>
      <c r="K21" s="271"/>
      <c r="L21" s="241" t="e">
        <f>VLOOKUP(B21,'FO-GC-012'!L:R,1,0)</f>
        <v>#N/A</v>
      </c>
    </row>
    <row r="22" spans="1:12" x14ac:dyDescent="0.25">
      <c r="A22" s="221" t="str">
        <f>IFERROR(VLOOKUP(B22,'FO-GC-012'!L:L,1,0),"x")</f>
        <v>x</v>
      </c>
      <c r="B22" s="252" t="s">
        <v>62</v>
      </c>
      <c r="C22" s="252" t="s">
        <v>208</v>
      </c>
      <c r="D22" s="252" t="s">
        <v>400</v>
      </c>
      <c r="E22" s="264" t="s">
        <v>209</v>
      </c>
      <c r="G22" s="269">
        <v>19</v>
      </c>
      <c r="H22" s="249">
        <v>0.70833333333333304</v>
      </c>
      <c r="I22" s="273"/>
      <c r="J22" s="244"/>
      <c r="K22" s="270"/>
      <c r="L22" s="241" t="e">
        <f>VLOOKUP(B22,'FO-GC-012'!L:R,1,0)</f>
        <v>#N/A</v>
      </c>
    </row>
    <row r="23" spans="1:12" ht="25" x14ac:dyDescent="0.25">
      <c r="A23" s="221" t="str">
        <f>IFERROR(VLOOKUP(B23,'FO-GC-012'!L:L,1,0),"x")</f>
        <v>x</v>
      </c>
      <c r="B23" s="252" t="s">
        <v>63</v>
      </c>
      <c r="C23" s="252" t="s">
        <v>210</v>
      </c>
      <c r="D23" s="252" t="s">
        <v>84</v>
      </c>
      <c r="E23" s="264" t="s">
        <v>154</v>
      </c>
      <c r="G23" s="268">
        <v>20</v>
      </c>
      <c r="H23" s="243">
        <v>0.72916666666666696</v>
      </c>
      <c r="I23" s="273"/>
      <c r="J23" s="250"/>
      <c r="K23" s="271"/>
      <c r="L23" s="241" t="e">
        <f>VLOOKUP(B23,'FO-GC-012'!L:R,1,0)</f>
        <v>#N/A</v>
      </c>
    </row>
    <row r="24" spans="1:12" ht="25" x14ac:dyDescent="0.25">
      <c r="A24" s="221" t="str">
        <f>IFERROR(VLOOKUP(B24,'FO-GC-012'!L:L,1,0),"x")</f>
        <v>x</v>
      </c>
      <c r="B24" s="252" t="s">
        <v>293</v>
      </c>
      <c r="C24" s="252" t="s">
        <v>211</v>
      </c>
      <c r="D24" s="252" t="s">
        <v>85</v>
      </c>
      <c r="E24" s="264" t="s">
        <v>212</v>
      </c>
      <c r="G24" s="269">
        <v>21</v>
      </c>
      <c r="H24" s="279">
        <v>0.75</v>
      </c>
      <c r="I24" s="273"/>
      <c r="J24" s="244"/>
      <c r="K24" s="270"/>
      <c r="L24" s="241" t="e">
        <f>VLOOKUP(B24,'FO-GC-012'!L:R,1,0)</f>
        <v>#N/A</v>
      </c>
    </row>
    <row r="25" spans="1:12" x14ac:dyDescent="0.25">
      <c r="A25" s="221" t="str">
        <f>IFERROR(VLOOKUP(B25,'FO-GC-012'!L:L,1,0),"x")</f>
        <v>Registro Académico</v>
      </c>
      <c r="B25" s="264" t="s">
        <v>297</v>
      </c>
      <c r="C25" s="264" t="s">
        <v>298</v>
      </c>
      <c r="D25" s="264" t="s">
        <v>301</v>
      </c>
      <c r="E25" s="264" t="s">
        <v>302</v>
      </c>
      <c r="G25" s="268">
        <v>22</v>
      </c>
      <c r="H25" s="87"/>
      <c r="I25" s="273"/>
      <c r="J25" s="244"/>
      <c r="K25" s="270"/>
      <c r="L25" s="241" t="str">
        <f>VLOOKUP(B25,'FO-GC-012'!L:R,1,0)</f>
        <v>Registro Académico</v>
      </c>
    </row>
    <row r="26" spans="1:12" x14ac:dyDescent="0.25">
      <c r="A26" s="221" t="str">
        <f>IFERROR(VLOOKUP(B26,'FO-GC-012'!L:L,1,0),"x")</f>
        <v>Gestión Curricular</v>
      </c>
      <c r="B26" s="264" t="s">
        <v>300</v>
      </c>
      <c r="C26" s="264" t="s">
        <v>299</v>
      </c>
      <c r="D26" s="264" t="s">
        <v>303</v>
      </c>
      <c r="E26" s="264" t="s">
        <v>304</v>
      </c>
      <c r="G26" s="280">
        <v>23</v>
      </c>
      <c r="H26" s="87"/>
      <c r="I26" s="273"/>
      <c r="J26" s="250"/>
      <c r="K26" s="271"/>
      <c r="L26" s="241" t="str">
        <f>VLOOKUP(B26,'FO-GC-012'!L:R,1,0)</f>
        <v>Gestión Curricular</v>
      </c>
    </row>
    <row r="27" spans="1:12" x14ac:dyDescent="0.25">
      <c r="A27" s="221" t="str">
        <f>IFERROR(VLOOKUP(B27,'FO-GC-012'!L:L,1,0),"x")</f>
        <v>Investigación, Desarrollo e Innovación</v>
      </c>
      <c r="B27" s="252" t="s">
        <v>281</v>
      </c>
      <c r="C27" s="252" t="s">
        <v>213</v>
      </c>
      <c r="D27" s="252" t="s">
        <v>82</v>
      </c>
      <c r="E27" s="252" t="s">
        <v>214</v>
      </c>
      <c r="G27" s="245">
        <v>24</v>
      </c>
      <c r="H27" s="272"/>
      <c r="I27" s="273"/>
      <c r="J27" s="244"/>
      <c r="K27" s="270"/>
      <c r="L27" s="241" t="str">
        <f>VLOOKUP(B27,'FO-GC-012'!L:R,1,0)</f>
        <v>Investigación, Desarrollo e Innovación</v>
      </c>
    </row>
    <row r="28" spans="1:12" x14ac:dyDescent="0.25">
      <c r="A28" s="221" t="str">
        <f>IFERROR(VLOOKUP(B28,'FO-GC-012'!L:L,1,0),"x")</f>
        <v>Extensión y Proyección Social</v>
      </c>
      <c r="B28" s="252" t="s">
        <v>250</v>
      </c>
      <c r="C28" s="252" t="s">
        <v>411</v>
      </c>
      <c r="D28" s="252" t="s">
        <v>401</v>
      </c>
      <c r="E28" s="252" t="s">
        <v>215</v>
      </c>
      <c r="G28" s="248">
        <v>25</v>
      </c>
      <c r="H28" s="272"/>
      <c r="I28" s="273"/>
      <c r="J28" s="250"/>
      <c r="K28" s="271"/>
      <c r="L28" s="241" t="str">
        <f>VLOOKUP(B28,'FO-GC-012'!L:R,1,0)</f>
        <v>Extensión y Proyección Social</v>
      </c>
    </row>
    <row r="29" spans="1:12" ht="20.25" customHeight="1" x14ac:dyDescent="0.25">
      <c r="A29" s="221" t="str">
        <f>IFERROR(VLOOKUP(B29,'FO-GC-012'!L:L,1,0),"x")</f>
        <v xml:space="preserve">Emprendimiento </v>
      </c>
      <c r="B29" s="252" t="s">
        <v>282</v>
      </c>
      <c r="C29" s="264" t="s">
        <v>286</v>
      </c>
      <c r="D29" s="252" t="s">
        <v>288</v>
      </c>
      <c r="E29" s="252" t="s">
        <v>289</v>
      </c>
      <c r="G29" s="242">
        <v>26</v>
      </c>
      <c r="H29" s="272"/>
      <c r="I29" s="273"/>
      <c r="J29" s="244"/>
      <c r="K29" s="270"/>
      <c r="L29" s="241" t="str">
        <f>VLOOKUP(B29,'FO-GC-012'!L:R,1,0)</f>
        <v xml:space="preserve">Emprendimiento </v>
      </c>
    </row>
    <row r="30" spans="1:12" x14ac:dyDescent="0.25">
      <c r="A30" s="221" t="str">
        <f>IFERROR(VLOOKUP(B30,'FO-GC-012'!L:L,1,0),"x")</f>
        <v xml:space="preserve">Gestión de Egresados </v>
      </c>
      <c r="B30" s="252" t="s">
        <v>284</v>
      </c>
      <c r="C30" s="264" t="s">
        <v>287</v>
      </c>
      <c r="D30" s="252" t="s">
        <v>291</v>
      </c>
      <c r="E30" s="252" t="s">
        <v>290</v>
      </c>
      <c r="G30" s="281">
        <v>27</v>
      </c>
      <c r="H30" s="272"/>
      <c r="I30" s="273"/>
      <c r="J30" s="278"/>
      <c r="K30" s="271"/>
      <c r="L30" s="241" t="str">
        <f>VLOOKUP(B30,'FO-GC-012'!L:R,1,0)</f>
        <v xml:space="preserve">Gestión de Egresados </v>
      </c>
    </row>
    <row r="31" spans="1:12" x14ac:dyDescent="0.25">
      <c r="A31" s="221" t="str">
        <f>IFERROR(VLOOKUP(B31,'FO-GC-012'!L:L,1,0),"x")</f>
        <v>Educación Continuada</v>
      </c>
      <c r="B31" s="252" t="s">
        <v>283</v>
      </c>
      <c r="C31" s="264" t="s">
        <v>285</v>
      </c>
      <c r="D31" s="252"/>
      <c r="E31" s="252" t="s">
        <v>292</v>
      </c>
      <c r="G31" s="247">
        <v>28</v>
      </c>
      <c r="H31" s="251"/>
      <c r="I31" s="273"/>
      <c r="L31" s="241" t="str">
        <f>VLOOKUP(B31,'FO-GC-012'!L:R,1,0)</f>
        <v>Educación Continuada</v>
      </c>
    </row>
    <row r="32" spans="1:12" x14ac:dyDescent="0.25">
      <c r="A32" s="221" t="str">
        <f>IFERROR(VLOOKUP(B32,'FO-GC-012'!L:L,1,0),"x")</f>
        <v>Escuela de Formación Para el TDH</v>
      </c>
      <c r="B32" s="252" t="s">
        <v>64</v>
      </c>
      <c r="C32" s="252" t="s">
        <v>216</v>
      </c>
      <c r="D32" s="252" t="s">
        <v>86</v>
      </c>
      <c r="E32" s="264" t="s">
        <v>254</v>
      </c>
      <c r="G32" s="239">
        <v>29</v>
      </c>
      <c r="H32" s="224"/>
      <c r="L32" s="241" t="str">
        <f>VLOOKUP(B32,'FO-GC-012'!L:R,1,0)</f>
        <v>Escuela de Formación Para el TDH</v>
      </c>
    </row>
    <row r="33" spans="1:12" x14ac:dyDescent="0.25">
      <c r="A33" s="221" t="str">
        <f>IFERROR(VLOOKUP(B33,'FO-GC-012'!L:L,1,0),"x")</f>
        <v>Direccionamiento Estratégico</v>
      </c>
      <c r="B33" s="252" t="s">
        <v>34</v>
      </c>
      <c r="C33" s="252" t="s">
        <v>237</v>
      </c>
      <c r="D33" s="252" t="s">
        <v>238</v>
      </c>
      <c r="E33" s="252" t="s">
        <v>239</v>
      </c>
      <c r="G33" s="242">
        <v>30</v>
      </c>
      <c r="L33" s="241" t="str">
        <f>VLOOKUP(B33,'FO-GC-012'!L:R,1,0)</f>
        <v>Direccionamiento Estratégico</v>
      </c>
    </row>
    <row r="34" spans="1:12" x14ac:dyDescent="0.25">
      <c r="A34" s="221" t="str">
        <f>IFERROR(VLOOKUP(B34,'FO-GC-012'!L:L,1,0),"x")</f>
        <v>Planeación Institucional</v>
      </c>
      <c r="B34" s="252" t="s">
        <v>246</v>
      </c>
      <c r="C34" s="252" t="s">
        <v>247</v>
      </c>
      <c r="D34" s="252" t="s">
        <v>260</v>
      </c>
      <c r="E34" s="252" t="s">
        <v>172</v>
      </c>
      <c r="G34" s="239">
        <v>31</v>
      </c>
      <c r="L34" s="241" t="str">
        <f>VLOOKUP(B34,'FO-GC-012'!L:R,1,0)</f>
        <v>Planeación Institucional</v>
      </c>
    </row>
    <row r="35" spans="1:12" x14ac:dyDescent="0.25">
      <c r="A35" s="221" t="str">
        <f>IFERROR(VLOOKUP(B35,'FO-GC-012'!L:L,1,0),"x")</f>
        <v xml:space="preserve">Gestión de Sistemas de Información </v>
      </c>
      <c r="B35" s="264" t="s">
        <v>263</v>
      </c>
      <c r="C35" s="264" t="s">
        <v>266</v>
      </c>
      <c r="D35" s="264" t="s">
        <v>261</v>
      </c>
      <c r="E35" s="264" t="s">
        <v>262</v>
      </c>
      <c r="G35" s="242">
        <v>32</v>
      </c>
      <c r="L35" s="241" t="str">
        <f>VLOOKUP(B35,'FO-GC-012'!L:R,1,0)</f>
        <v xml:space="preserve">Gestión de Sistemas de Información </v>
      </c>
    </row>
    <row r="36" spans="1:12" ht="14.5" x14ac:dyDescent="0.25">
      <c r="A36" s="221" t="str">
        <f>IFERROR(VLOOKUP(B36,'FO-GC-012'!L:L,1,0),"x")</f>
        <v>Gestión de Proyectos Institucionales</v>
      </c>
      <c r="B36" s="264" t="s">
        <v>264</v>
      </c>
      <c r="C36" s="264" t="s">
        <v>408</v>
      </c>
      <c r="D36" s="264" t="s">
        <v>406</v>
      </c>
      <c r="E36" s="266" t="s">
        <v>409</v>
      </c>
      <c r="G36" s="239">
        <v>33</v>
      </c>
      <c r="L36" s="241" t="str">
        <f>VLOOKUP(B36,'FO-GC-012'!L:R,1,0)</f>
        <v>Gestión de Proyectos Institucionales</v>
      </c>
    </row>
    <row r="37" spans="1:12" x14ac:dyDescent="0.25">
      <c r="A37" s="221" t="str">
        <f>IFERROR(VLOOKUP(B37,'FO-GC-012'!L:L,1,0),"x")</f>
        <v>Calidad Institucional</v>
      </c>
      <c r="B37" s="252" t="s">
        <v>249</v>
      </c>
      <c r="C37" s="252" t="s">
        <v>412</v>
      </c>
      <c r="D37" s="252" t="s">
        <v>402</v>
      </c>
      <c r="E37" s="252" t="s">
        <v>131</v>
      </c>
      <c r="G37" s="242">
        <v>34</v>
      </c>
      <c r="L37" s="241" t="str">
        <f>VLOOKUP(B37,'FO-GC-012'!L:R,1,0)</f>
        <v>Calidad Institucional</v>
      </c>
    </row>
    <row r="38" spans="1:12" x14ac:dyDescent="0.25">
      <c r="A38" s="221" t="str">
        <f>IFERROR(VLOOKUP(B38,'FO-GC-012'!L:L,1,0),"x")</f>
        <v>Autoevaluación Institucional</v>
      </c>
      <c r="B38" s="252" t="s">
        <v>248</v>
      </c>
      <c r="C38" s="252" t="s">
        <v>410</v>
      </c>
      <c r="D38" s="252" t="s">
        <v>403</v>
      </c>
      <c r="E38" s="259" t="s">
        <v>265</v>
      </c>
      <c r="G38" s="239">
        <v>35</v>
      </c>
      <c r="L38" s="241" t="str">
        <f>VLOOKUP(B38,'FO-GC-012'!L:R,1,0)</f>
        <v>Autoevaluación Institucional</v>
      </c>
    </row>
    <row r="39" spans="1:12" x14ac:dyDescent="0.25">
      <c r="A39" s="221" t="str">
        <f>IFERROR(VLOOKUP(B39,'FO-GC-012'!L:L,1,0),"x")</f>
        <v xml:space="preserve">Registro Calificado </v>
      </c>
      <c r="B39" s="252" t="s">
        <v>294</v>
      </c>
      <c r="C39" s="264" t="s">
        <v>295</v>
      </c>
      <c r="D39" s="264" t="s">
        <v>296</v>
      </c>
      <c r="E39" s="264" t="s">
        <v>182</v>
      </c>
      <c r="G39" s="242">
        <v>36</v>
      </c>
      <c r="L39" s="241" t="str">
        <f>VLOOKUP(B39,'FO-GC-012'!L:R,1,0)</f>
        <v xml:space="preserve">Registro Calificado </v>
      </c>
    </row>
    <row r="40" spans="1:12" x14ac:dyDescent="0.25">
      <c r="A40" s="221" t="str">
        <f>IFERROR(VLOOKUP(B40,'FO-GC-012'!L:L,1,0),"x")</f>
        <v>Relaciones Interinstitucionales-ORI</v>
      </c>
      <c r="B40" s="264" t="s">
        <v>305</v>
      </c>
      <c r="C40" s="264" t="s">
        <v>306</v>
      </c>
      <c r="D40" s="264" t="s">
        <v>307</v>
      </c>
      <c r="E40" s="264" t="s">
        <v>308</v>
      </c>
      <c r="G40" s="239">
        <v>37</v>
      </c>
      <c r="L40" s="241" t="str">
        <f>VLOOKUP(B40,'FO-GC-012'!L:R,1,0)</f>
        <v>Relaciones Interinstitucionales-ORI</v>
      </c>
    </row>
    <row r="41" spans="1:12" ht="14.5" x14ac:dyDescent="0.25">
      <c r="A41" s="221" t="str">
        <f>IFERROR(VLOOKUP(B41,'FO-GC-012'!L:L,1,0),"x")</f>
        <v>Mercadeo-Admisiones</v>
      </c>
      <c r="B41" s="264" t="s">
        <v>309</v>
      </c>
      <c r="C41" s="264" t="s">
        <v>310</v>
      </c>
      <c r="D41" s="264" t="s">
        <v>404</v>
      </c>
      <c r="E41" s="266" t="s">
        <v>311</v>
      </c>
      <c r="G41" s="242">
        <v>38</v>
      </c>
      <c r="L41" s="241" t="str">
        <f>VLOOKUP(B41,'FO-GC-012'!L:R,1,0)</f>
        <v>Mercadeo-Admisiones</v>
      </c>
    </row>
    <row r="42" spans="1:12" x14ac:dyDescent="0.25">
      <c r="A42" s="221" t="str">
        <f>IFERROR(VLOOKUP(B42,'FO-GC-012'!L:L,1,0),"x")</f>
        <v>Comunicaciones Institucional</v>
      </c>
      <c r="B42" s="264" t="s">
        <v>39</v>
      </c>
      <c r="C42" s="264" t="s">
        <v>312</v>
      </c>
      <c r="D42" s="264" t="s">
        <v>313</v>
      </c>
      <c r="E42" s="264" t="s">
        <v>185</v>
      </c>
      <c r="G42" s="239">
        <v>39</v>
      </c>
      <c r="L42" s="241" t="str">
        <f>VLOOKUP(B42,'FO-GC-012'!L:R,1,0)</f>
        <v>Comunicaciones Institucional</v>
      </c>
    </row>
    <row r="43" spans="1:12" x14ac:dyDescent="0.25">
      <c r="A43" s="221" t="str">
        <f>IFERROR(VLOOKUP(B43,'FO-GC-012'!L:L,1,0),"x")</f>
        <v>Bienestar Institucional</v>
      </c>
      <c r="B43" s="252" t="s">
        <v>65</v>
      </c>
      <c r="C43" s="252" t="s">
        <v>217</v>
      </c>
      <c r="D43" s="252" t="s">
        <v>87</v>
      </c>
      <c r="E43" s="264" t="s">
        <v>218</v>
      </c>
      <c r="G43" s="242">
        <v>40</v>
      </c>
      <c r="L43" s="241" t="str">
        <f>VLOOKUP(B43,'FO-GC-012'!L:R,1,0)</f>
        <v>Bienestar Institucional</v>
      </c>
    </row>
    <row r="44" spans="1:12" x14ac:dyDescent="0.25">
      <c r="A44" s="221" t="str">
        <f>IFERROR(VLOOKUP(B44,'FO-GC-012'!L:L,1,0),"x")</f>
        <v>Gestión del Talento Humano</v>
      </c>
      <c r="B44" s="252" t="s">
        <v>346</v>
      </c>
      <c r="C44" s="252" t="s">
        <v>220</v>
      </c>
      <c r="D44" s="252" t="s">
        <v>405</v>
      </c>
      <c r="E44" s="264" t="s">
        <v>221</v>
      </c>
      <c r="G44" s="239">
        <v>41</v>
      </c>
      <c r="L44" s="241" t="str">
        <f>VLOOKUP(B44,'FO-GC-012'!L:R,1,0)</f>
        <v>Gestión del Talento Humano</v>
      </c>
    </row>
    <row r="45" spans="1:12" x14ac:dyDescent="0.25">
      <c r="A45" s="221" t="str">
        <f>IFERROR(VLOOKUP(B45,'FO-GC-012'!L:L,1,0),"x")</f>
        <v>Gestión de SST</v>
      </c>
      <c r="B45" s="264" t="s">
        <v>316</v>
      </c>
      <c r="C45" s="264" t="s">
        <v>314</v>
      </c>
      <c r="D45" s="264" t="s">
        <v>381</v>
      </c>
      <c r="E45" s="264" t="s">
        <v>315</v>
      </c>
      <c r="G45" s="242">
        <v>42</v>
      </c>
      <c r="L45" s="241" t="str">
        <f>VLOOKUP(B45,'FO-GC-012'!L:R,1,0)</f>
        <v>Gestión de SST</v>
      </c>
    </row>
    <row r="46" spans="1:12" x14ac:dyDescent="0.25">
      <c r="A46" s="221" t="str">
        <f>IFERROR(VLOOKUP(B46,'FO-GC-012'!L:L,1,0),"x")</f>
        <v>Gestión Financiera</v>
      </c>
      <c r="B46" s="264" t="s">
        <v>317</v>
      </c>
      <c r="C46" s="264" t="s">
        <v>320</v>
      </c>
      <c r="D46" s="264" t="s">
        <v>322</v>
      </c>
      <c r="E46" s="264" t="s">
        <v>219</v>
      </c>
      <c r="G46" s="239">
        <v>43</v>
      </c>
      <c r="L46" s="241" t="str">
        <f>VLOOKUP(B46,'FO-GC-012'!L:R,1,0)</f>
        <v>Gestión Financiera</v>
      </c>
    </row>
    <row r="47" spans="1:12" x14ac:dyDescent="0.25">
      <c r="A47" s="221" t="str">
        <f>IFERROR(VLOOKUP(B47,'FO-GC-012'!L:L,1,0),"x")</f>
        <v xml:space="preserve">Gestión Administratva </v>
      </c>
      <c r="B47" s="264" t="s">
        <v>318</v>
      </c>
      <c r="C47" s="264" t="s">
        <v>325</v>
      </c>
      <c r="D47" s="264" t="s">
        <v>324</v>
      </c>
      <c r="E47" s="264" t="s">
        <v>323</v>
      </c>
      <c r="G47" s="242">
        <v>44</v>
      </c>
      <c r="L47" s="241" t="str">
        <f>VLOOKUP(B47,'FO-GC-012'!L:R,1,0)</f>
        <v xml:space="preserve">Gestión Administratva </v>
      </c>
    </row>
    <row r="48" spans="1:12" x14ac:dyDescent="0.25">
      <c r="A48" s="221" t="str">
        <f>IFERROR(VLOOKUP(B48,'FO-GC-012'!L:L,1,0),"x")</f>
        <v xml:space="preserve">Gestión Contable y Tesoreria </v>
      </c>
      <c r="B48" s="264" t="s">
        <v>319</v>
      </c>
      <c r="C48" s="264" t="s">
        <v>321</v>
      </c>
      <c r="D48" s="264" t="s">
        <v>326</v>
      </c>
      <c r="E48" s="264" t="s">
        <v>152</v>
      </c>
      <c r="G48" s="239">
        <v>45</v>
      </c>
      <c r="L48" s="241" t="str">
        <f>VLOOKUP(B48,'FO-GC-012'!L:R,1,0)</f>
        <v xml:space="preserve">Gestión Contable y Tesoreria </v>
      </c>
    </row>
    <row r="49" spans="1:12" x14ac:dyDescent="0.25">
      <c r="A49" s="221" t="str">
        <f>IFERROR(VLOOKUP(B49,'FO-GC-012'!L:L,1,0),"x")</f>
        <v xml:space="preserve">Gestión Legal </v>
      </c>
      <c r="B49" s="264" t="s">
        <v>330</v>
      </c>
      <c r="C49" s="264" t="s">
        <v>336</v>
      </c>
      <c r="D49" s="264" t="s">
        <v>337</v>
      </c>
      <c r="E49" s="264" t="s">
        <v>338</v>
      </c>
      <c r="G49" s="242">
        <v>46</v>
      </c>
      <c r="L49" s="241" t="str">
        <f>VLOOKUP(B49,'FO-GC-012'!L:R,1,0)</f>
        <v xml:space="preserve">Gestión Legal </v>
      </c>
    </row>
    <row r="50" spans="1:12" x14ac:dyDescent="0.25">
      <c r="A50" s="221" t="str">
        <f>IFERROR(VLOOKUP(B50,'FO-GC-012'!L:L,1,0),"x")</f>
        <v xml:space="preserve">Gestión Documental </v>
      </c>
      <c r="B50" s="264" t="s">
        <v>327</v>
      </c>
      <c r="C50" s="264" t="s">
        <v>335</v>
      </c>
      <c r="D50" s="264" t="s">
        <v>334</v>
      </c>
      <c r="E50" s="264" t="s">
        <v>333</v>
      </c>
      <c r="G50" s="239">
        <v>47</v>
      </c>
      <c r="L50" s="241" t="str">
        <f>VLOOKUP(B50,'FO-GC-012'!L:R,1,0)</f>
        <v xml:space="preserve">Gestión Documental </v>
      </c>
    </row>
    <row r="51" spans="1:12" ht="25" x14ac:dyDescent="0.25">
      <c r="A51" s="221" t="str">
        <f>IFERROR(VLOOKUP(B51,'FO-GC-012'!L:L,1,0),"x")</f>
        <v>Recursos Educativos</v>
      </c>
      <c r="B51" s="264" t="s">
        <v>66</v>
      </c>
      <c r="C51" s="252" t="s">
        <v>222</v>
      </c>
      <c r="D51" s="252" t="s">
        <v>77</v>
      </c>
      <c r="E51" s="252" t="s">
        <v>223</v>
      </c>
      <c r="G51" s="242">
        <v>48</v>
      </c>
      <c r="L51" s="241" t="str">
        <f>VLOOKUP(B51,'FO-GC-012'!L:R,1,0)</f>
        <v>Recursos Educativos</v>
      </c>
    </row>
    <row r="52" spans="1:12" x14ac:dyDescent="0.25">
      <c r="A52" s="221" t="str">
        <f>IFERROR(VLOOKUP(B52,'FO-GC-012'!L:L,1,0),"x")</f>
        <v>Recursos tecnológicos</v>
      </c>
      <c r="B52" s="264" t="s">
        <v>328</v>
      </c>
      <c r="C52" s="252" t="s">
        <v>224</v>
      </c>
      <c r="D52" s="252" t="s">
        <v>79</v>
      </c>
      <c r="E52" s="264" t="s">
        <v>225</v>
      </c>
      <c r="G52" s="239">
        <v>49</v>
      </c>
      <c r="L52" s="241" t="str">
        <f>VLOOKUP(B52,'FO-GC-012'!L:R,1,0)</f>
        <v>Recursos tecnológicos</v>
      </c>
    </row>
    <row r="53" spans="1:12" ht="14.5" x14ac:dyDescent="0.25">
      <c r="A53" s="221" t="str">
        <f>IFERROR(VLOOKUP(B53,'FO-GC-012'!L:L,1,0),"x")</f>
        <v>Recursos Físicos</v>
      </c>
      <c r="B53" s="264" t="s">
        <v>329</v>
      </c>
      <c r="C53" s="252" t="s">
        <v>251</v>
      </c>
      <c r="D53" s="264" t="s">
        <v>331</v>
      </c>
      <c r="E53" s="266" t="s">
        <v>332</v>
      </c>
      <c r="G53" s="242">
        <v>50</v>
      </c>
      <c r="L53" s="241" t="str">
        <f>VLOOKUP(B53,'FO-GC-012'!L:R,1,0)</f>
        <v>Recursos Físicos</v>
      </c>
    </row>
    <row r="54" spans="1:12" x14ac:dyDescent="0.35">
      <c r="B54" s="246"/>
      <c r="C54" s="246"/>
      <c r="D54" s="246"/>
      <c r="E54" s="246"/>
      <c r="L54" s="282"/>
    </row>
    <row r="55" spans="1:12" x14ac:dyDescent="0.25">
      <c r="B55" s="87"/>
      <c r="C55" s="87"/>
      <c r="D55" s="87"/>
      <c r="E55" s="87"/>
      <c r="L55" s="283"/>
    </row>
    <row r="56" spans="1:12" x14ac:dyDescent="0.35">
      <c r="B56" s="87"/>
      <c r="C56" s="87"/>
      <c r="D56" s="87"/>
      <c r="E56" s="87"/>
      <c r="L56" s="254"/>
    </row>
    <row r="57" spans="1:12" x14ac:dyDescent="0.25">
      <c r="B57" s="87"/>
      <c r="C57" s="87"/>
      <c r="D57" s="87"/>
      <c r="E57" s="87"/>
      <c r="L57" s="283"/>
    </row>
    <row r="58" spans="1:12" x14ac:dyDescent="0.35">
      <c r="B58" s="87"/>
      <c r="C58" s="87"/>
      <c r="D58" s="87"/>
      <c r="E58" s="87"/>
      <c r="L58" s="254"/>
    </row>
    <row r="59" spans="1:12" x14ac:dyDescent="0.25">
      <c r="B59" s="87"/>
      <c r="C59" s="87"/>
      <c r="D59" s="87"/>
      <c r="E59" s="87"/>
      <c r="L59" s="283"/>
    </row>
    <row r="60" spans="1:12" ht="12.5" x14ac:dyDescent="0.35">
      <c r="B60" s="87"/>
      <c r="C60" s="87"/>
      <c r="D60" s="87"/>
      <c r="E60" s="87"/>
      <c r="G60" s="133"/>
      <c r="I60" s="223"/>
      <c r="J60" s="223"/>
      <c r="K60" s="223"/>
      <c r="L60" s="223"/>
    </row>
    <row r="61" spans="1:12" x14ac:dyDescent="0.35">
      <c r="B61" s="254"/>
      <c r="C61" s="254"/>
      <c r="D61" s="254"/>
      <c r="E61" s="255"/>
      <c r="K61" s="223"/>
      <c r="L61" s="223"/>
    </row>
    <row r="62" spans="1:12" x14ac:dyDescent="0.35">
      <c r="B62" s="254"/>
      <c r="C62" s="254"/>
      <c r="D62" s="254"/>
      <c r="E62" s="256"/>
      <c r="K62" s="223"/>
      <c r="L62" s="223"/>
    </row>
    <row r="63" spans="1:12" x14ac:dyDescent="0.35">
      <c r="B63" s="257"/>
      <c r="C63" s="257"/>
      <c r="D63" s="257"/>
      <c r="E63" s="257"/>
    </row>
    <row r="64" spans="1:12" x14ac:dyDescent="0.35">
      <c r="B64" s="254"/>
      <c r="C64" s="257"/>
      <c r="D64" s="257"/>
      <c r="E64" s="257"/>
    </row>
    <row r="65" spans="2:5" x14ac:dyDescent="0.35">
      <c r="B65" s="254"/>
      <c r="C65" s="257"/>
      <c r="D65" s="257"/>
      <c r="E65" s="257"/>
    </row>
    <row r="66" spans="2:5" x14ac:dyDescent="0.35">
      <c r="B66" s="254"/>
      <c r="C66" s="254"/>
      <c r="D66" s="254"/>
      <c r="E66" s="256"/>
    </row>
    <row r="67" spans="2:5" x14ac:dyDescent="0.35">
      <c r="B67" s="257"/>
      <c r="C67" s="257"/>
      <c r="D67" s="257"/>
      <c r="E67" s="257"/>
    </row>
    <row r="68" spans="2:5" x14ac:dyDescent="0.35">
      <c r="B68" s="254"/>
      <c r="C68" s="254"/>
      <c r="D68" s="254"/>
      <c r="E68" s="256"/>
    </row>
    <row r="69" spans="2:5" x14ac:dyDescent="0.35">
      <c r="B69" s="254"/>
      <c r="C69" s="257"/>
      <c r="D69" s="254"/>
      <c r="E69" s="254"/>
    </row>
  </sheetData>
  <mergeCells count="1">
    <mergeCell ref="I2:K2"/>
  </mergeCells>
  <conditionalFormatting sqref="A1:A1048576">
    <cfRule type="cellIs" dxfId="12" priority="10" operator="equal">
      <formula>"X"</formula>
    </cfRule>
  </conditionalFormatting>
  <conditionalFormatting sqref="L4:L59">
    <cfRule type="containsErrors" dxfId="11" priority="3">
      <formula>ISERROR(L4)</formula>
    </cfRule>
  </conditionalFormatting>
  <conditionalFormatting sqref="B4:E5">
    <cfRule type="expression" dxfId="10" priority="1189">
      <formula>$L4=$B4</formula>
    </cfRule>
  </conditionalFormatting>
  <conditionalFormatting sqref="B6:E24">
    <cfRule type="expression" dxfId="9" priority="1205">
      <formula>$L13=$B6</formula>
    </cfRule>
  </conditionalFormatting>
  <conditionalFormatting sqref="B32:E32 B29:B31 D29:E31 B27:E28">
    <cfRule type="expression" dxfId="8" priority="1214">
      <formula>$L32=$B27</formula>
    </cfRule>
  </conditionalFormatting>
  <conditionalFormatting sqref="B39 B38:E38 B33:E34">
    <cfRule type="expression" dxfId="7" priority="1215">
      <formula>$L6=$B33</formula>
    </cfRule>
  </conditionalFormatting>
  <conditionalFormatting sqref="B37:E37">
    <cfRule type="expression" dxfId="6" priority="1218">
      <formula>$L12=$B37</formula>
    </cfRule>
  </conditionalFormatting>
  <conditionalFormatting sqref="B61:E61 B66:E66 B64:B65 B68:E68 D69:E69 B69 B62:D62">
    <cfRule type="expression" dxfId="5" priority="1220">
      <formula>$L38=$B61</formula>
    </cfRule>
  </conditionalFormatting>
  <conditionalFormatting sqref="E42">
    <cfRule type="expression" dxfId="4" priority="1222">
      <formula>$L39=$B62</formula>
    </cfRule>
  </conditionalFormatting>
  <conditionalFormatting sqref="B43:E43 B44">
    <cfRule type="expression" dxfId="3" priority="1225">
      <formula>$L40=$B43</formula>
    </cfRule>
  </conditionalFormatting>
  <conditionalFormatting sqref="C53">
    <cfRule type="expression" dxfId="2" priority="1229">
      <formula>$L46=$B69</formula>
    </cfRule>
  </conditionalFormatting>
  <conditionalFormatting sqref="C51:E52">
    <cfRule type="expression" dxfId="1" priority="1232">
      <formula>$L41=$B64</formula>
    </cfRule>
  </conditionalFormatting>
  <conditionalFormatting sqref="C44:E44">
    <cfRule type="expression" dxfId="0" priority="1">
      <formula>$L41=$B44</formula>
    </cfRule>
  </conditionalFormatting>
  <hyperlinks>
    <hyperlink ref="E16" r:id="rId1"/>
    <hyperlink ref="E38" r:id="rId2"/>
    <hyperlink ref="E9" r:id="rId3"/>
    <hyperlink ref="E11" r:id="rId4"/>
    <hyperlink ref="E41" r:id="rId5"/>
    <hyperlink ref="E18" r:id="rId6"/>
    <hyperlink ref="E53" r:id="rId7"/>
    <hyperlink ref="E36" r:id="rId8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10</vt:i4>
      </vt:variant>
    </vt:vector>
  </HeadingPairs>
  <TitlesOfParts>
    <vt:vector size="17" baseType="lpstr">
      <vt:lpstr>FO-GC-012</vt:lpstr>
      <vt:lpstr>Seguimiento AIC x Fecha</vt:lpstr>
      <vt:lpstr>Programación x Auditor</vt:lpstr>
      <vt:lpstr>Procesos Vs. Equipos AIC</vt:lpstr>
      <vt:lpstr>Seguimiento AIC x Proceso</vt:lpstr>
      <vt:lpstr>Eq. Auditor</vt:lpstr>
      <vt:lpstr>Listas Desplegables</vt:lpstr>
      <vt:lpstr>'Eq. Auditor'!Área_de_impresión</vt:lpstr>
      <vt:lpstr>'FO-GC-012'!Área_de_impresión</vt:lpstr>
      <vt:lpstr>'Programación x Auditor'!Área_de_impresión</vt:lpstr>
      <vt:lpstr>'Seguimiento AIC x Fecha'!Área_de_impresión</vt:lpstr>
      <vt:lpstr>'Seguimiento AIC x Proceso'!Área_de_impresión</vt:lpstr>
      <vt:lpstr>'Eq. Auditor'!Títulos_a_imprimir</vt:lpstr>
      <vt:lpstr>'FO-GC-012'!Títulos_a_imprimir</vt:lpstr>
      <vt:lpstr>'Programación x Auditor'!Títulos_a_imprimir</vt:lpstr>
      <vt:lpstr>'Seguimiento AIC x Fecha'!Títulos_a_imprimir</vt:lpstr>
      <vt:lpstr>'Seguimiento AIC x Proceso'!Títulos_a_imprimir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2024-06-06T12:48:30Z</cp:lastPrinted>
  <dcterms:created xsi:type="dcterms:W3CDTF">2021-04-09T22:02:03Z</dcterms:created>
  <dcterms:modified xsi:type="dcterms:W3CDTF">2024-06-07T15:33:57Z</dcterms:modified>
  <cp:category/>
  <cp:contentStatus/>
</cp:coreProperties>
</file>