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4.4 Gestión de Calidad\FO\"/>
    </mc:Choice>
  </mc:AlternateContent>
  <bookViews>
    <workbookView xWindow="0" yWindow="0" windowWidth="20490" windowHeight="7650"/>
  </bookViews>
  <sheets>
    <sheet name="FO-GC-024" sheetId="7" r:id="rId1"/>
    <sheet name="DOFA" sheetId="11" r:id="rId2"/>
    <sheet name="Evaluación del Riesgo" sheetId="6" r:id="rId3"/>
    <sheet name="Ejemplo de Riesgos" sheetId="12" r:id="rId4"/>
    <sheet name="RIESGOS " sheetId="10" state="hidden" r:id="rId5"/>
  </sheets>
  <definedNames>
    <definedName name="M">'RIESGOS '!$A$8:$B$32</definedName>
    <definedName name="matriz" localSheetId="3">#REF!</definedName>
    <definedName name="matriz">#REF!</definedName>
    <definedName name="_xlnm.Print_Titles" localSheetId="0">'FO-GC-024'!$A:$B,'FO-GC-024'!$1:$11</definedName>
    <definedName name="Zona1" localSheetId="3">#REF!</definedName>
    <definedName name="Zona1">#REF!</definedName>
    <definedName name="Zona2" localSheetId="3">#REF!</definedName>
    <definedName name="Zona2">#REF!</definedName>
    <definedName name="Zona3" localSheetId="3">#REF!</definedName>
    <definedName name="Zona3">#REF!</definedName>
    <definedName name="Zona4" localSheetId="3">#REF!</definedName>
    <definedName name="Zona4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1" l="1"/>
  <c r="H36" i="7" l="1"/>
  <c r="A36" i="7"/>
  <c r="H35" i="7"/>
  <c r="A35" i="7"/>
  <c r="H34" i="7"/>
  <c r="A34" i="7"/>
  <c r="H33" i="7"/>
  <c r="A33" i="7"/>
  <c r="H32" i="7"/>
  <c r="A32" i="7"/>
  <c r="H31" i="7"/>
  <c r="A31" i="7"/>
  <c r="H30" i="7"/>
  <c r="A30" i="7"/>
  <c r="H29" i="7"/>
  <c r="A29" i="7"/>
  <c r="H28" i="7"/>
  <c r="A28" i="7"/>
  <c r="H27" i="7"/>
  <c r="A27" i="7"/>
  <c r="H26" i="7"/>
  <c r="A26" i="7"/>
  <c r="H25" i="7"/>
  <c r="A25" i="7"/>
  <c r="H24" i="7"/>
  <c r="A24" i="7"/>
  <c r="H23" i="7"/>
  <c r="A23" i="7"/>
  <c r="H22" i="7"/>
  <c r="A22" i="7"/>
  <c r="A21" i="7"/>
  <c r="H21" i="7"/>
  <c r="H20" i="7"/>
  <c r="A20" i="7"/>
  <c r="H19" i="7"/>
  <c r="A19" i="7"/>
  <c r="H18" i="7"/>
  <c r="A18" i="7"/>
  <c r="H17" i="7"/>
  <c r="A17" i="7"/>
  <c r="A16" i="7"/>
  <c r="A15" i="7"/>
  <c r="A14" i="7"/>
  <c r="A13" i="7"/>
  <c r="A12" i="7"/>
  <c r="H16" i="7"/>
  <c r="H15" i="7"/>
  <c r="H14" i="7"/>
  <c r="H13" i="7"/>
  <c r="H12" i="7"/>
  <c r="A32" i="10" l="1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I18" i="10"/>
  <c r="A18" i="10"/>
  <c r="A17" i="10"/>
  <c r="A16" i="10"/>
  <c r="A15" i="10"/>
  <c r="A14" i="10"/>
  <c r="A13" i="10"/>
  <c r="A12" i="10"/>
  <c r="A11" i="10"/>
  <c r="A10" i="10"/>
  <c r="A9" i="10"/>
  <c r="I15" i="10" s="1"/>
  <c r="A8" i="10"/>
  <c r="I6" i="10"/>
  <c r="I14" i="10" l="1"/>
  <c r="I7" i="10"/>
  <c r="I9" i="10"/>
  <c r="I11" i="10"/>
  <c r="I13" i="10"/>
  <c r="I8" i="10"/>
  <c r="I10" i="10"/>
  <c r="I12" i="10"/>
</calcChain>
</file>

<file path=xl/comments1.xml><?xml version="1.0" encoding="utf-8"?>
<comments xmlns="http://schemas.openxmlformats.org/spreadsheetml/2006/main">
  <authors>
    <author>DIR CALIDAD</author>
    <author>ASISTENTE CALIDAD</author>
  </authors>
  <commentList>
    <comment ref="B10" authorId="0" shapeId="0">
      <text>
        <r>
          <rPr>
            <b/>
            <sz val="9"/>
            <color indexed="35"/>
            <rFont val="Tahoma"/>
            <family val="2"/>
          </rPr>
          <t>Con base en el Análisis DOFA de la situación actual (Estado del Arte), del proyecto, proceso o programa académico, describa los eventos o condiciones inciertas que si ocurren podrían tener un efecto positivo o negativo sobre los objetivos del proyecto, proceso o programa académico.</t>
        </r>
      </text>
    </comment>
    <comment ref="C10" authorId="0" shapeId="0">
      <text>
        <r>
          <rPr>
            <b/>
            <sz val="9"/>
            <color indexed="35"/>
            <rFont val="Tahoma"/>
            <family val="2"/>
          </rPr>
          <t>* Es una Oportunidad si el riesgo identificado tendrá un efecto positivo (+) sobre los objetivos del proyecto, proceso o programa académico.
* Es una Amenaza si el riesgo identificado tendrá un efecto negativo (-) sobre los objetivos del proyecto, proceso o programa.</t>
        </r>
      </text>
    </comment>
    <comment ref="D10" authorId="0" shapeId="0">
      <text>
        <r>
          <rPr>
            <b/>
            <sz val="9"/>
            <color indexed="15"/>
            <rFont val="Tahoma"/>
            <family val="2"/>
          </rPr>
          <t>Identifique si la fuente del riesgo es Interna o Externa a la Institución</t>
        </r>
      </text>
    </comment>
    <comment ref="E10" authorId="0" shapeId="0">
      <text>
        <r>
          <rPr>
            <b/>
            <sz val="9"/>
            <color indexed="15"/>
            <rFont val="Tahoma"/>
            <family val="2"/>
          </rPr>
          <t>Si el riesgo ocurriera, realice una descripción del efecto positivo (+) o negativo (-) que este tendría sobre los objetivos del proyecto, proceso o programa académico.</t>
        </r>
      </text>
    </comment>
    <comment ref="F10" authorId="0" shapeId="0">
      <text>
        <r>
          <rPr>
            <b/>
            <sz val="9"/>
            <color indexed="15"/>
            <rFont val="Tahoma"/>
            <family val="2"/>
          </rPr>
          <t>Determine la probabilidad de que el evento o condición incierta identificado ocurra.</t>
        </r>
      </text>
    </comment>
    <comment ref="G10" authorId="0" shapeId="0">
      <text>
        <r>
          <rPr>
            <b/>
            <sz val="9"/>
            <color indexed="15"/>
            <rFont val="Tahoma"/>
            <family val="2"/>
          </rPr>
          <t>Si el riesgo ocurre, determine el grado de Impacto que el evento o condición incierta tendría.  Efectos positivos (ganancias) o Efectos negativos (pérdidas).</t>
        </r>
      </text>
    </comment>
    <comment ref="I10" authorId="1" shapeId="0">
      <text>
        <r>
          <rPr>
            <b/>
            <sz val="9"/>
            <color indexed="15"/>
            <rFont val="Tahoma"/>
            <family val="2"/>
          </rPr>
          <t>* Seleccione "Preventivo" si las acciones se implementarán antes de que el riesgo se transforme en un "Evento Real".
* Seleccione "Correctivo" si las acciones definidas se tomarán una vez que el riesgo se ha convertido en un evento real.</t>
        </r>
      </text>
    </comment>
    <comment ref="J10" authorId="0" shapeId="0">
      <text>
        <r>
          <rPr>
            <b/>
            <sz val="9"/>
            <color indexed="15"/>
            <rFont val="Tahoma"/>
            <family val="2"/>
          </rPr>
          <t>* Si es una gestión Preventiva: Implemente acciones enfocadas a "Minimizar" el impacto y probabilidad del evento en caso de que sea una "Amenaza", o implemente acciones enfocadas a "Maximizar" el impacto en caso de que sea una "Oportunidad".
* Si es una gestión Correctiva: Implemente acciones enfocadas a reparar los daños causados por los eventos negativos (Amenazas), o acciones de capitalización o toma de beneficios si son eventos positivos (Oportunidades).</t>
        </r>
      </text>
    </comment>
    <comment ref="O10" authorId="1" shapeId="0">
      <text>
        <r>
          <rPr>
            <b/>
            <sz val="9"/>
            <color indexed="15"/>
            <rFont val="Tahoma"/>
            <family val="2"/>
          </rPr>
          <t>Describa las evidencias obtenidas producto de la implementación de las acciones definidas para mitigar el riesgo</t>
        </r>
      </text>
    </comment>
  </commentList>
</comments>
</file>

<file path=xl/sharedStrings.xml><?xml version="1.0" encoding="utf-8"?>
<sst xmlns="http://schemas.openxmlformats.org/spreadsheetml/2006/main" count="170" uniqueCount="93">
  <si>
    <t>PROBABILIDAD</t>
  </si>
  <si>
    <t>Moderado</t>
  </si>
  <si>
    <t>IMPACTO</t>
  </si>
  <si>
    <t xml:space="preserve">RARO </t>
  </si>
  <si>
    <t>IMPROBABLE</t>
  </si>
  <si>
    <t xml:space="preserve">POSIBLE </t>
  </si>
  <si>
    <t xml:space="preserve">PROBABLE </t>
  </si>
  <si>
    <t xml:space="preserve">CASI SEGURO </t>
  </si>
  <si>
    <t xml:space="preserve">INSIGNIFICANTE </t>
  </si>
  <si>
    <t>MENOR</t>
  </si>
  <si>
    <t>MODERADO</t>
  </si>
  <si>
    <t xml:space="preserve">MAYOR </t>
  </si>
  <si>
    <t>CATASTROFICO</t>
  </si>
  <si>
    <t xml:space="preserve">IMPACTO </t>
  </si>
  <si>
    <t xml:space="preserve">Bajo </t>
  </si>
  <si>
    <t xml:space="preserve">Alta </t>
  </si>
  <si>
    <t xml:space="preserve">Extremo </t>
  </si>
  <si>
    <t xml:space="preserve">MEDICION MATRIZ DE RIESGO </t>
  </si>
  <si>
    <t>RARO</t>
  </si>
  <si>
    <t>INSIGNIFICANTE</t>
  </si>
  <si>
    <t>POSIBLE</t>
  </si>
  <si>
    <t>PROBABLE</t>
  </si>
  <si>
    <t>MAYOR</t>
  </si>
  <si>
    <t>CASI SEGURO</t>
  </si>
  <si>
    <t>MEDICIÓN DEL RIESGO</t>
  </si>
  <si>
    <t>BAJO</t>
  </si>
  <si>
    <t>ALTA</t>
  </si>
  <si>
    <t>EXTREMO</t>
  </si>
  <si>
    <t>ANA</t>
  </si>
  <si>
    <t>JORGE</t>
  </si>
  <si>
    <t>No.</t>
  </si>
  <si>
    <t>* ANÁLISIS EXTERNO</t>
  </si>
  <si>
    <t>OPORTUNIDADES</t>
  </si>
  <si>
    <t>AMENAZAS</t>
  </si>
  <si>
    <t>ANÁLISIS DE LA SITUACIÓN ACTUAL ("ESTADO DEL ARTE")</t>
  </si>
  <si>
    <t>* ANÁLISIS INTERNO</t>
  </si>
  <si>
    <t>FORTALEZAS</t>
  </si>
  <si>
    <t>DEBILIDADES</t>
  </si>
  <si>
    <t>EJEMPLO DE RIESGOS</t>
  </si>
  <si>
    <t>* RIESGOS EXTERNOS</t>
  </si>
  <si>
    <t>Impredecibles</t>
  </si>
  <si>
    <t>*</t>
  </si>
  <si>
    <t>Desastres naturales</t>
  </si>
  <si>
    <t>Cambios en la legislación</t>
  </si>
  <si>
    <t>Impacto ambiental</t>
  </si>
  <si>
    <t>Situaciones de interés público</t>
  </si>
  <si>
    <t>* RIESGOS INTERNOS</t>
  </si>
  <si>
    <t>Técnicos</t>
  </si>
  <si>
    <t>Disponibilidad de expertos</t>
  </si>
  <si>
    <t>Madurez técnica</t>
  </si>
  <si>
    <t>Integración de terceros</t>
  </si>
  <si>
    <t>Cambios tecnológicos</t>
  </si>
  <si>
    <t>Predecibles pero inciertos</t>
  </si>
  <si>
    <t>Cambios en los mercados</t>
  </si>
  <si>
    <t>Aumento de la tasa de inflación</t>
  </si>
  <si>
    <t>Cambios en los impuestos</t>
  </si>
  <si>
    <t>Mercado de cambios</t>
  </si>
  <si>
    <t>Financieros</t>
  </si>
  <si>
    <t>Presupuesto del cliente / Fondeo</t>
  </si>
  <si>
    <t>Tipo de contrato</t>
  </si>
  <si>
    <t>Flujos de caja</t>
  </si>
  <si>
    <t>Estrategia de precios</t>
  </si>
  <si>
    <t>Plazos</t>
  </si>
  <si>
    <t>Disponibilidad de los recursos humanos</t>
  </si>
  <si>
    <t>Factibilidad del cronograma</t>
  </si>
  <si>
    <t>Atrasos</t>
  </si>
  <si>
    <t>Estimaciones irreales</t>
  </si>
  <si>
    <t>Legales</t>
  </si>
  <si>
    <t>Ambiguedades en los términos y condiciones del contrato</t>
  </si>
  <si>
    <t>Derechos de propiedad</t>
  </si>
  <si>
    <t>Patentes</t>
  </si>
  <si>
    <t>PROYECTO / PROCESO / PROGRAMA ACADÉMICO</t>
  </si>
  <si>
    <t>Clasificación del Riesgo</t>
  </si>
  <si>
    <t>Fuente del Riesgo</t>
  </si>
  <si>
    <t>1. IDENTIFICACIÓN DEL RIESGO</t>
  </si>
  <si>
    <t>Descripción del Riesgo 
Evento o Condición Incierta</t>
  </si>
  <si>
    <t>2. ANÁLISIS DEL RIESGO</t>
  </si>
  <si>
    <t>Impacto del Riesgo
Descripción del efecto positivo (+) o negativo (-)</t>
  </si>
  <si>
    <t>Probabilidad de Ocurrencia</t>
  </si>
  <si>
    <t>Nivel de Impacto</t>
  </si>
  <si>
    <t>Priorización del Riesgo</t>
  </si>
  <si>
    <t>3. EVALUACIÓN DEL RIESGO</t>
  </si>
  <si>
    <t>Acciones para Mitigar el Riesgo</t>
  </si>
  <si>
    <t>Tipo de Gestión
(Preventivo / Correctivo)</t>
  </si>
  <si>
    <t>Fecha Implementación</t>
  </si>
  <si>
    <t>Responsable</t>
  </si>
  <si>
    <t>Indicador de Control Implementado</t>
  </si>
  <si>
    <t>5. SEGUIMIENTO CONTROLES IMPLEMENTADOS</t>
  </si>
  <si>
    <t>Fecha Seguimiento</t>
  </si>
  <si>
    <t>Evidencia de las Acciones Implementadas</t>
  </si>
  <si>
    <t>Observaciones del Seguimiento</t>
  </si>
  <si>
    <t>Eficacia Controles Implementados</t>
  </si>
  <si>
    <t>4. PLAN DE GESTIÓN DEL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</si>
</sst>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15"/>
      <name val="Tahoma"/>
      <family val="2"/>
    </font>
    <font>
      <b/>
      <sz val="9"/>
      <color indexed="35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00"/>
      <name val="Arial"/>
      <family val="2"/>
    </font>
    <font>
      <b/>
      <sz val="11"/>
      <color rgb="FF00FFFF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rgb="FF002060"/>
      <name val="Arial"/>
      <family val="2"/>
    </font>
    <font>
      <b/>
      <sz val="11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0"/>
      <color rgb="FF000066"/>
      <name val="Arial"/>
      <family val="2"/>
    </font>
    <font>
      <sz val="9"/>
      <color rgb="FF000066"/>
      <name val="Arial"/>
      <family val="2"/>
    </font>
    <font>
      <sz val="10"/>
      <color rgb="FF00006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618138"/>
        <bgColor indexed="64"/>
      </patternFill>
    </fill>
    <fill>
      <patternFill patternType="solid">
        <fgColor theme="4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1" tint="0.499984740745262"/>
      </top>
      <bottom style="hair">
        <color theme="1" tint="0.499984740745262"/>
      </bottom>
      <diagonal/>
    </border>
    <border>
      <left style="medium">
        <color indexed="64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medium">
        <color indexed="64"/>
      </left>
      <right/>
      <top style="hair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hair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hair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hair">
        <color theme="1" tint="0.499984740745262"/>
      </bottom>
      <diagonal/>
    </border>
    <border>
      <left/>
      <right style="medium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medium">
        <color indexed="64"/>
      </right>
      <top style="thin">
        <color theme="1" tint="0.499984740745262"/>
      </top>
      <bottom style="hair">
        <color theme="1" tint="0.499984740745262"/>
      </bottom>
      <diagonal/>
    </border>
    <border>
      <left style="medium">
        <color indexed="64"/>
      </left>
      <right/>
      <top style="hair">
        <color theme="1" tint="0.499984740745262"/>
      </top>
      <bottom style="thin">
        <color theme="1" tint="0.499984740745262"/>
      </bottom>
      <diagonal/>
    </border>
    <border>
      <left/>
      <right style="medium">
        <color indexed="64"/>
      </right>
      <top style="hair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/>
      <diagonal/>
    </border>
    <border>
      <left/>
      <right style="medium">
        <color indexed="64"/>
      </right>
      <top style="thin">
        <color theme="1" tint="0.499984740745262"/>
      </top>
      <bottom/>
      <diagonal/>
    </border>
    <border>
      <left style="medium">
        <color indexed="64"/>
      </left>
      <right/>
      <top/>
      <bottom style="hair">
        <color theme="1" tint="0.499984740745262"/>
      </bottom>
      <diagonal/>
    </border>
    <border>
      <left/>
      <right style="medium">
        <color indexed="64"/>
      </right>
      <top/>
      <bottom style="hair">
        <color theme="1" tint="0.499984740745262"/>
      </bottom>
      <diagonal/>
    </border>
    <border>
      <left/>
      <right style="medium">
        <color indexed="64"/>
      </right>
      <top style="hair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 style="hair">
        <color theme="1" tint="0.499984740745262"/>
      </top>
      <bottom/>
      <diagonal/>
    </border>
    <border>
      <left/>
      <right style="medium">
        <color indexed="64"/>
      </right>
      <top style="hair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/>
      <bottom style="hair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hair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hair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8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5" borderId="0" xfId="0" applyFill="1"/>
    <xf numFmtId="0" fontId="4" fillId="5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5" borderId="0" xfId="0" applyFont="1" applyFill="1" applyBorder="1"/>
    <xf numFmtId="0" fontId="4" fillId="0" borderId="0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9" fillId="0" borderId="0" xfId="0" applyFont="1" applyAlignment="1" applyProtection="1">
      <alignment horizontal="left" vertical="top" wrapText="1"/>
    </xf>
    <xf numFmtId="0" fontId="8" fillId="0" borderId="0" xfId="0" applyFont="1" applyAlignment="1" applyProtection="1">
      <alignment horizontal="center" vertical="center" wrapText="1"/>
    </xf>
    <xf numFmtId="0" fontId="8" fillId="0" borderId="0" xfId="0" applyFont="1" applyAlignment="1" applyProtection="1">
      <alignment vertical="top" wrapText="1"/>
    </xf>
    <xf numFmtId="0" fontId="8" fillId="0" borderId="0" xfId="0" applyFont="1" applyAlignment="1" applyProtection="1">
      <alignment horizontal="center" vertical="top"/>
    </xf>
    <xf numFmtId="0" fontId="9" fillId="0" borderId="0" xfId="0" applyFont="1" applyAlignment="1" applyProtection="1">
      <alignment horizontal="center" vertical="top"/>
    </xf>
    <xf numFmtId="0" fontId="9" fillId="0" borderId="0" xfId="0" applyFont="1" applyAlignment="1" applyProtection="1">
      <alignment horizontal="center" vertical="top" wrapText="1"/>
    </xf>
    <xf numFmtId="0" fontId="9" fillId="0" borderId="0" xfId="0" applyFont="1" applyAlignment="1" applyProtection="1">
      <alignment horizontal="left" vertical="top"/>
    </xf>
    <xf numFmtId="0" fontId="9" fillId="0" borderId="0" xfId="0" applyFont="1" applyAlignment="1" applyProtection="1">
      <alignment vertical="top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left" vertical="top"/>
    </xf>
    <xf numFmtId="0" fontId="8" fillId="0" borderId="0" xfId="0" applyFont="1" applyBorder="1" applyAlignment="1" applyProtection="1">
      <alignment horizontal="center" vertical="top"/>
    </xf>
    <xf numFmtId="0" fontId="9" fillId="0" borderId="0" xfId="0" applyFont="1" applyBorder="1" applyAlignment="1" applyProtection="1">
      <alignment vertical="top"/>
    </xf>
    <xf numFmtId="0" fontId="8" fillId="0" borderId="0" xfId="0" applyFont="1" applyAlignment="1" applyProtection="1">
      <alignment vertical="top"/>
    </xf>
    <xf numFmtId="0" fontId="9" fillId="0" borderId="0" xfId="0" applyFont="1" applyAlignment="1" applyProtection="1">
      <alignment vertical="center"/>
    </xf>
    <xf numFmtId="14" fontId="9" fillId="0" borderId="0" xfId="0" applyNumberFormat="1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/>
    </xf>
    <xf numFmtId="14" fontId="9" fillId="0" borderId="0" xfId="0" applyNumberFormat="1" applyFont="1" applyAlignment="1" applyProtection="1">
      <alignment vertical="center"/>
    </xf>
    <xf numFmtId="0" fontId="8" fillId="0" borderId="0" xfId="0" applyFont="1" applyAlignment="1" applyProtection="1">
      <alignment vertical="center" wrapText="1"/>
    </xf>
    <xf numFmtId="0" fontId="11" fillId="5" borderId="21" xfId="0" applyFont="1" applyFill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left" vertical="top" wrapText="1"/>
      <protection locked="0"/>
    </xf>
    <xf numFmtId="15" fontId="9" fillId="0" borderId="21" xfId="0" applyNumberFormat="1" applyFont="1" applyBorder="1" applyAlignment="1" applyProtection="1">
      <alignment horizontal="left" vertical="top" wrapText="1"/>
      <protection locked="0"/>
    </xf>
    <xf numFmtId="0" fontId="11" fillId="5" borderId="23" xfId="0" applyFont="1" applyFill="1" applyBorder="1" applyAlignment="1" applyProtection="1">
      <alignment horizontal="center" vertical="center" wrapText="1"/>
      <protection locked="0"/>
    </xf>
    <xf numFmtId="0" fontId="8" fillId="5" borderId="23" xfId="0" applyFont="1" applyFill="1" applyBorder="1" applyAlignment="1" applyProtection="1">
      <alignment horizontal="center" vertical="center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5" borderId="23" xfId="0" applyFont="1" applyFill="1" applyBorder="1" applyAlignment="1" applyProtection="1">
      <alignment horizontal="left" vertical="top" wrapText="1"/>
      <protection locked="0"/>
    </xf>
    <xf numFmtId="0" fontId="10" fillId="9" borderId="22" xfId="0" applyFont="1" applyFill="1" applyBorder="1" applyAlignment="1" applyProtection="1">
      <alignment horizontal="center" vertical="center" wrapText="1"/>
    </xf>
    <xf numFmtId="0" fontId="10" fillId="9" borderId="22" xfId="0" applyFont="1" applyFill="1" applyBorder="1" applyAlignment="1" applyProtection="1">
      <alignment horizontal="left" vertical="center" wrapText="1"/>
    </xf>
    <xf numFmtId="0" fontId="10" fillId="7" borderId="22" xfId="0" applyFont="1" applyFill="1" applyBorder="1" applyAlignment="1" applyProtection="1">
      <alignment horizontal="center" vertical="center" wrapText="1"/>
    </xf>
    <xf numFmtId="0" fontId="10" fillId="7" borderId="22" xfId="0" applyFont="1" applyFill="1" applyBorder="1" applyAlignment="1" applyProtection="1">
      <alignment horizontal="left" vertical="center" wrapText="1"/>
    </xf>
    <xf numFmtId="0" fontId="11" fillId="5" borderId="0" xfId="0" applyFont="1" applyFill="1" applyAlignment="1">
      <alignment vertical="center"/>
    </xf>
    <xf numFmtId="0" fontId="10" fillId="11" borderId="28" xfId="0" applyFont="1" applyFill="1" applyBorder="1" applyAlignment="1">
      <alignment vertical="center"/>
    </xf>
    <xf numFmtId="0" fontId="12" fillId="5" borderId="0" xfId="0" applyFont="1" applyFill="1" applyAlignment="1">
      <alignment vertical="center"/>
    </xf>
    <xf numFmtId="0" fontId="12" fillId="5" borderId="0" xfId="0" applyFont="1" applyFill="1" applyAlignment="1">
      <alignment vertical="center" wrapText="1"/>
    </xf>
    <xf numFmtId="0" fontId="10" fillId="11" borderId="31" xfId="0" applyFont="1" applyFill="1" applyBorder="1" applyAlignment="1">
      <alignment vertical="center" wrapText="1"/>
    </xf>
    <xf numFmtId="0" fontId="16" fillId="11" borderId="31" xfId="0" applyFont="1" applyFill="1" applyBorder="1" applyAlignment="1">
      <alignment vertical="center"/>
    </xf>
    <xf numFmtId="0" fontId="10" fillId="11" borderId="31" xfId="0" applyFont="1" applyFill="1" applyBorder="1" applyAlignment="1">
      <alignment vertical="center"/>
    </xf>
    <xf numFmtId="0" fontId="10" fillId="11" borderId="32" xfId="0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0" fontId="12" fillId="5" borderId="0" xfId="0" applyFont="1" applyFill="1" applyBorder="1" applyAlignment="1">
      <alignment vertical="center"/>
    </xf>
    <xf numFmtId="0" fontId="11" fillId="5" borderId="34" xfId="0" applyFont="1" applyFill="1" applyBorder="1" applyAlignment="1">
      <alignment horizontal="left" vertical="top"/>
    </xf>
    <xf numFmtId="0" fontId="19" fillId="5" borderId="20" xfId="0" applyFont="1" applyFill="1" applyBorder="1" applyAlignment="1">
      <alignment horizontal="left" vertical="top" wrapText="1"/>
    </xf>
    <xf numFmtId="0" fontId="12" fillId="5" borderId="0" xfId="0" applyFont="1" applyFill="1" applyBorder="1" applyAlignment="1">
      <alignment horizontal="left" vertical="top"/>
    </xf>
    <xf numFmtId="0" fontId="11" fillId="5" borderId="19" xfId="0" applyFont="1" applyFill="1" applyBorder="1" applyAlignment="1">
      <alignment horizontal="left" vertical="top"/>
    </xf>
    <xf numFmtId="0" fontId="11" fillId="5" borderId="35" xfId="0" applyFont="1" applyFill="1" applyBorder="1" applyAlignment="1">
      <alignment horizontal="left" vertical="top"/>
    </xf>
    <xf numFmtId="0" fontId="19" fillId="5" borderId="36" xfId="0" applyFont="1" applyFill="1" applyBorder="1" applyAlignment="1">
      <alignment horizontal="left" vertical="top" wrapText="1"/>
    </xf>
    <xf numFmtId="0" fontId="12" fillId="5" borderId="8" xfId="0" applyFont="1" applyFill="1" applyBorder="1" applyAlignment="1">
      <alignment horizontal="left" vertical="top"/>
    </xf>
    <xf numFmtId="0" fontId="11" fillId="5" borderId="37" xfId="0" applyFont="1" applyFill="1" applyBorder="1" applyAlignment="1">
      <alignment horizontal="left" vertical="top"/>
    </xf>
    <xf numFmtId="0" fontId="19" fillId="5" borderId="40" xfId="0" applyFont="1" applyFill="1" applyBorder="1" applyAlignment="1">
      <alignment horizontal="left" vertical="top" wrapText="1"/>
    </xf>
    <xf numFmtId="0" fontId="11" fillId="5" borderId="42" xfId="0" applyFont="1" applyFill="1" applyBorder="1" applyAlignment="1">
      <alignment horizontal="left" vertical="top"/>
    </xf>
    <xf numFmtId="0" fontId="19" fillId="5" borderId="43" xfId="0" applyFont="1" applyFill="1" applyBorder="1" applyAlignment="1">
      <alignment horizontal="left" vertical="top" wrapText="1"/>
    </xf>
    <xf numFmtId="0" fontId="19" fillId="5" borderId="48" xfId="0" applyFont="1" applyFill="1" applyBorder="1" applyAlignment="1">
      <alignment horizontal="left" vertical="top" wrapText="1"/>
    </xf>
    <xf numFmtId="0" fontId="10" fillId="10" borderId="28" xfId="0" applyFont="1" applyFill="1" applyBorder="1" applyAlignment="1">
      <alignment vertical="center"/>
    </xf>
    <xf numFmtId="0" fontId="10" fillId="10" borderId="32" xfId="0" applyFont="1" applyFill="1" applyBorder="1" applyAlignment="1">
      <alignment vertical="center" wrapText="1"/>
    </xf>
    <xf numFmtId="0" fontId="8" fillId="5" borderId="55" xfId="0" applyFont="1" applyFill="1" applyBorder="1" applyAlignment="1" applyProtection="1">
      <alignment horizontal="center" vertical="center"/>
      <protection locked="0"/>
    </xf>
    <xf numFmtId="0" fontId="12" fillId="5" borderId="56" xfId="0" applyFont="1" applyFill="1" applyBorder="1" applyAlignment="1" applyProtection="1">
      <alignment horizontal="left" vertical="top" wrapText="1"/>
      <protection locked="0"/>
    </xf>
    <xf numFmtId="0" fontId="8" fillId="5" borderId="57" xfId="0" applyFont="1" applyFill="1" applyBorder="1" applyAlignment="1" applyProtection="1">
      <alignment horizontal="center" vertical="center"/>
      <protection locked="0"/>
    </xf>
    <xf numFmtId="0" fontId="12" fillId="5" borderId="58" xfId="0" applyFont="1" applyFill="1" applyBorder="1" applyAlignment="1" applyProtection="1">
      <alignment horizontal="left" vertical="top" wrapText="1"/>
      <protection locked="0"/>
    </xf>
    <xf numFmtId="0" fontId="10" fillId="9" borderId="53" xfId="0" applyFont="1" applyFill="1" applyBorder="1" applyAlignment="1" applyProtection="1">
      <alignment horizontal="center" vertical="center" wrapText="1"/>
    </xf>
    <xf numFmtId="0" fontId="10" fillId="9" borderId="54" xfId="0" applyFont="1" applyFill="1" applyBorder="1" applyAlignment="1" applyProtection="1">
      <alignment horizontal="left" vertical="center" wrapText="1"/>
    </xf>
    <xf numFmtId="0" fontId="11" fillId="5" borderId="55" xfId="0" applyFont="1" applyFill="1" applyBorder="1" applyAlignment="1" applyProtection="1">
      <alignment horizontal="center" vertical="center" wrapText="1"/>
      <protection locked="0"/>
    </xf>
    <xf numFmtId="0" fontId="11" fillId="5" borderId="57" xfId="0" applyFont="1" applyFill="1" applyBorder="1" applyAlignment="1" applyProtection="1">
      <alignment horizontal="center" vertical="center" wrapText="1"/>
      <protection locked="0"/>
    </xf>
    <xf numFmtId="0" fontId="12" fillId="0" borderId="58" xfId="0" applyFont="1" applyBorder="1" applyAlignment="1" applyProtection="1">
      <alignment horizontal="left" vertical="top" wrapText="1"/>
      <protection locked="0"/>
    </xf>
    <xf numFmtId="0" fontId="10" fillId="7" borderId="53" xfId="0" applyFont="1" applyFill="1" applyBorder="1" applyAlignment="1" applyProtection="1">
      <alignment horizontal="center" vertical="center" wrapText="1"/>
    </xf>
    <xf numFmtId="0" fontId="8" fillId="5" borderId="55" xfId="0" applyFont="1" applyFill="1" applyBorder="1" applyAlignment="1" applyProtection="1">
      <alignment horizontal="center" vertical="center" wrapText="1"/>
      <protection locked="0"/>
    </xf>
    <xf numFmtId="0" fontId="11" fillId="5" borderId="56" xfId="0" applyFont="1" applyFill="1" applyBorder="1" applyAlignment="1" applyProtection="1">
      <alignment horizontal="center" vertical="center"/>
    </xf>
    <xf numFmtId="0" fontId="10" fillId="9" borderId="54" xfId="0" applyFont="1" applyFill="1" applyBorder="1" applyAlignment="1" applyProtection="1">
      <alignment horizontal="center" vertical="center" wrapText="1"/>
    </xf>
    <xf numFmtId="0" fontId="8" fillId="5" borderId="57" xfId="0" applyFont="1" applyFill="1" applyBorder="1" applyAlignment="1" applyProtection="1">
      <alignment horizontal="center" vertical="center" wrapText="1"/>
      <protection locked="0"/>
    </xf>
    <xf numFmtId="15" fontId="9" fillId="0" borderId="58" xfId="0" applyNumberFormat="1" applyFont="1" applyBorder="1" applyAlignment="1" applyProtection="1">
      <alignment horizontal="left" vertical="top"/>
      <protection locked="0"/>
    </xf>
    <xf numFmtId="164" fontId="9" fillId="0" borderId="55" xfId="0" applyNumberFormat="1" applyFont="1" applyBorder="1" applyAlignment="1" applyProtection="1">
      <alignment horizontal="left" vertical="top"/>
      <protection locked="0"/>
    </xf>
    <xf numFmtId="0" fontId="9" fillId="0" borderId="56" xfId="0" applyFont="1" applyBorder="1" applyAlignment="1" applyProtection="1">
      <alignment horizontal="left" vertical="top" wrapText="1"/>
      <protection locked="0"/>
    </xf>
    <xf numFmtId="15" fontId="9" fillId="0" borderId="21" xfId="0" applyNumberFormat="1" applyFont="1" applyBorder="1" applyAlignment="1" applyProtection="1">
      <alignment horizontal="center" vertical="center"/>
      <protection locked="0"/>
    </xf>
    <xf numFmtId="0" fontId="21" fillId="5" borderId="38" xfId="0" applyFont="1" applyFill="1" applyBorder="1" applyAlignment="1">
      <alignment horizontal="left" vertical="top"/>
    </xf>
    <xf numFmtId="0" fontId="22" fillId="5" borderId="39" xfId="0" applyFont="1" applyFill="1" applyBorder="1" applyAlignment="1">
      <alignment horizontal="left" vertical="top" wrapText="1"/>
    </xf>
    <xf numFmtId="0" fontId="21" fillId="5" borderId="0" xfId="0" applyFont="1" applyFill="1" applyAlignment="1">
      <alignment vertical="center"/>
    </xf>
    <xf numFmtId="0" fontId="21" fillId="5" borderId="33" xfId="0" applyFont="1" applyFill="1" applyBorder="1" applyAlignment="1">
      <alignment horizontal="left" vertical="top"/>
    </xf>
    <xf numFmtId="0" fontId="22" fillId="5" borderId="41" xfId="0" applyFont="1" applyFill="1" applyBorder="1" applyAlignment="1">
      <alignment horizontal="left" vertical="top" wrapText="1"/>
    </xf>
    <xf numFmtId="0" fontId="23" fillId="5" borderId="0" xfId="0" applyFont="1" applyFill="1" applyAlignment="1">
      <alignment vertical="center"/>
    </xf>
    <xf numFmtId="0" fontId="10" fillId="9" borderId="53" xfId="0" applyFont="1" applyFill="1" applyBorder="1" applyAlignment="1" applyProtection="1">
      <alignment horizontal="center" vertical="center"/>
    </xf>
    <xf numFmtId="0" fontId="10" fillId="7" borderId="54" xfId="0" applyFont="1" applyFill="1" applyBorder="1" applyAlignment="1" applyProtection="1">
      <alignment horizontal="left" vertical="center" wrapText="1"/>
    </xf>
    <xf numFmtId="0" fontId="13" fillId="9" borderId="54" xfId="0" applyFont="1" applyFill="1" applyBorder="1" applyAlignment="1" applyProtection="1">
      <alignment horizontal="center" vertical="center" wrapText="1"/>
    </xf>
    <xf numFmtId="15" fontId="9" fillId="5" borderId="23" xfId="0" applyNumberFormat="1" applyFont="1" applyFill="1" applyBorder="1" applyAlignment="1" applyProtection="1">
      <alignment horizontal="center" vertical="center" wrapText="1"/>
      <protection locked="0"/>
    </xf>
    <xf numFmtId="15" fontId="9" fillId="5" borderId="23" xfId="0" applyNumberFormat="1" applyFont="1" applyFill="1" applyBorder="1" applyAlignment="1" applyProtection="1">
      <alignment horizontal="left" vertical="top" wrapText="1"/>
      <protection locked="0"/>
    </xf>
    <xf numFmtId="15" fontId="9" fillId="5" borderId="56" xfId="0" applyNumberFormat="1" applyFont="1" applyFill="1" applyBorder="1" applyAlignment="1" applyProtection="1">
      <alignment horizontal="left" vertical="top" wrapText="1"/>
      <protection locked="0"/>
    </xf>
    <xf numFmtId="164" fontId="9" fillId="5" borderId="55" xfId="0" applyNumberFormat="1" applyFont="1" applyFill="1" applyBorder="1" applyAlignment="1" applyProtection="1">
      <alignment horizontal="left" vertical="top"/>
      <protection locked="0"/>
    </xf>
    <xf numFmtId="0" fontId="9" fillId="5" borderId="56" xfId="0" applyFont="1" applyFill="1" applyBorder="1" applyAlignment="1" applyProtection="1">
      <alignment horizontal="left" vertical="top" wrapText="1"/>
      <protection locked="0"/>
    </xf>
    <xf numFmtId="0" fontId="8" fillId="12" borderId="57" xfId="0" applyFont="1" applyFill="1" applyBorder="1" applyAlignment="1" applyProtection="1">
      <alignment horizontal="center" vertical="center"/>
      <protection locked="0"/>
    </xf>
    <xf numFmtId="0" fontId="12" fillId="12" borderId="58" xfId="0" applyFont="1" applyFill="1" applyBorder="1" applyAlignment="1" applyProtection="1">
      <alignment horizontal="left" vertical="top" wrapText="1"/>
      <protection locked="0"/>
    </xf>
    <xf numFmtId="0" fontId="11" fillId="12" borderId="57" xfId="0" applyFont="1" applyFill="1" applyBorder="1" applyAlignment="1" applyProtection="1">
      <alignment horizontal="center" vertical="center" wrapText="1"/>
      <protection locked="0"/>
    </xf>
    <xf numFmtId="0" fontId="11" fillId="12" borderId="21" xfId="0" applyFont="1" applyFill="1" applyBorder="1" applyAlignment="1" applyProtection="1">
      <alignment horizontal="center" vertical="center" wrapText="1"/>
      <protection locked="0"/>
    </xf>
    <xf numFmtId="0" fontId="9" fillId="12" borderId="58" xfId="0" applyFont="1" applyFill="1" applyBorder="1" applyAlignment="1" applyProtection="1">
      <alignment horizontal="left" vertical="top" wrapText="1"/>
      <protection locked="0"/>
    </xf>
    <xf numFmtId="0" fontId="8" fillId="12" borderId="57" xfId="0" applyFont="1" applyFill="1" applyBorder="1" applyAlignment="1" applyProtection="1">
      <alignment horizontal="center" vertical="center" wrapText="1"/>
      <protection locked="0"/>
    </xf>
    <xf numFmtId="0" fontId="8" fillId="12" borderId="21" xfId="0" applyFont="1" applyFill="1" applyBorder="1" applyAlignment="1" applyProtection="1">
      <alignment horizontal="center" vertical="center" wrapText="1"/>
      <protection locked="0"/>
    </xf>
    <xf numFmtId="0" fontId="11" fillId="12" borderId="58" xfId="0" applyFont="1" applyFill="1" applyBorder="1" applyAlignment="1" applyProtection="1">
      <alignment horizontal="center" vertical="center"/>
    </xf>
    <xf numFmtId="0" fontId="9" fillId="12" borderId="21" xfId="0" applyFont="1" applyFill="1" applyBorder="1" applyAlignment="1" applyProtection="1">
      <alignment horizontal="left" vertical="top" wrapText="1"/>
      <protection locked="0"/>
    </xf>
    <xf numFmtId="15" fontId="9" fillId="12" borderId="21" xfId="0" applyNumberFormat="1" applyFont="1" applyFill="1" applyBorder="1" applyAlignment="1" applyProtection="1">
      <alignment horizontal="center" vertical="center"/>
      <protection locked="0"/>
    </xf>
    <xf numFmtId="15" fontId="9" fillId="12" borderId="21" xfId="0" applyNumberFormat="1" applyFont="1" applyFill="1" applyBorder="1" applyAlignment="1" applyProtection="1">
      <alignment horizontal="left" vertical="top" wrapText="1"/>
      <protection locked="0"/>
    </xf>
    <xf numFmtId="15" fontId="9" fillId="12" borderId="58" xfId="0" applyNumberFormat="1" applyFont="1" applyFill="1" applyBorder="1" applyAlignment="1" applyProtection="1">
      <alignment horizontal="left" vertical="top" wrapText="1"/>
      <protection locked="0"/>
    </xf>
    <xf numFmtId="164" fontId="9" fillId="12" borderId="57" xfId="0" applyNumberFormat="1" applyFont="1" applyFill="1" applyBorder="1" applyAlignment="1" applyProtection="1">
      <alignment horizontal="left" vertical="top"/>
      <protection locked="0"/>
    </xf>
    <xf numFmtId="15" fontId="9" fillId="12" borderId="58" xfId="0" applyNumberFormat="1" applyFont="1" applyFill="1" applyBorder="1" applyAlignment="1" applyProtection="1">
      <alignment horizontal="left" vertical="top"/>
      <protection locked="0"/>
    </xf>
    <xf numFmtId="0" fontId="10" fillId="9" borderId="53" xfId="0" applyFont="1" applyFill="1" applyBorder="1" applyAlignment="1" applyProtection="1">
      <alignment horizontal="left" vertical="center" wrapText="1"/>
    </xf>
    <xf numFmtId="0" fontId="10" fillId="9" borderId="54" xfId="0" applyFont="1" applyFill="1" applyBorder="1" applyAlignment="1" applyProtection="1">
      <alignment horizontal="left" vertical="center"/>
    </xf>
    <xf numFmtId="0" fontId="10" fillId="7" borderId="54" xfId="0" applyFont="1" applyFill="1" applyBorder="1" applyAlignment="1" applyProtection="1">
      <alignment horizontal="center" vertical="center" wrapText="1"/>
    </xf>
    <xf numFmtId="0" fontId="18" fillId="9" borderId="2" xfId="0" applyFont="1" applyFill="1" applyBorder="1" applyAlignment="1">
      <alignment vertical="center"/>
    </xf>
    <xf numFmtId="0" fontId="18" fillId="9" borderId="3" xfId="0" applyFont="1" applyFill="1" applyBorder="1" applyAlignment="1">
      <alignment vertical="center" wrapText="1"/>
    </xf>
    <xf numFmtId="0" fontId="18" fillId="9" borderId="3" xfId="0" applyFont="1" applyFill="1" applyBorder="1" applyAlignment="1">
      <alignment vertical="center"/>
    </xf>
    <xf numFmtId="0" fontId="20" fillId="9" borderId="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8" xfId="0" applyFont="1" applyFill="1" applyBorder="1" applyAlignment="1">
      <alignment vertical="center"/>
    </xf>
    <xf numFmtId="0" fontId="12" fillId="9" borderId="4" xfId="0" applyFont="1" applyFill="1" applyBorder="1" applyAlignment="1">
      <alignment vertical="center"/>
    </xf>
    <xf numFmtId="0" fontId="12" fillId="9" borderId="6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2" fillId="9" borderId="9" xfId="0" applyFont="1" applyFill="1" applyBorder="1" applyAlignment="1">
      <alignment vertical="center"/>
    </xf>
    <xf numFmtId="0" fontId="19" fillId="5" borderId="64" xfId="0" applyFont="1" applyFill="1" applyBorder="1" applyAlignment="1">
      <alignment horizontal="left" vertical="top" wrapText="1"/>
    </xf>
    <xf numFmtId="0" fontId="10" fillId="11" borderId="63" xfId="0" applyFont="1" applyFill="1" applyBorder="1" applyAlignment="1">
      <alignment vertical="center" wrapText="1"/>
    </xf>
    <xf numFmtId="0" fontId="11" fillId="5" borderId="46" xfId="0" applyFont="1" applyFill="1" applyBorder="1" applyAlignment="1">
      <alignment horizontal="left" vertical="top"/>
    </xf>
    <xf numFmtId="0" fontId="10" fillId="11" borderId="65" xfId="0" applyFont="1" applyFill="1" applyBorder="1" applyAlignment="1">
      <alignment vertical="center"/>
    </xf>
    <xf numFmtId="0" fontId="11" fillId="5" borderId="66" xfId="0" applyFont="1" applyFill="1" applyBorder="1" applyAlignment="1">
      <alignment horizontal="left" vertical="top"/>
    </xf>
    <xf numFmtId="0" fontId="10" fillId="11" borderId="67" xfId="0" applyFont="1" applyFill="1" applyBorder="1" applyAlignment="1">
      <alignment vertical="center"/>
    </xf>
    <xf numFmtId="0" fontId="12" fillId="5" borderId="44" xfId="0" applyFont="1" applyFill="1" applyBorder="1" applyAlignment="1">
      <alignment vertical="center"/>
    </xf>
    <xf numFmtId="0" fontId="12" fillId="5" borderId="68" xfId="0" applyFont="1" applyFill="1" applyBorder="1" applyAlignment="1">
      <alignment vertical="center" wrapText="1"/>
    </xf>
    <xf numFmtId="0" fontId="12" fillId="5" borderId="68" xfId="0" applyFont="1" applyFill="1" applyBorder="1" applyAlignment="1">
      <alignment vertical="center"/>
    </xf>
    <xf numFmtId="0" fontId="12" fillId="5" borderId="69" xfId="0" applyFont="1" applyFill="1" applyBorder="1" applyAlignment="1">
      <alignment vertical="center" wrapText="1"/>
    </xf>
    <xf numFmtId="0" fontId="10" fillId="9" borderId="24" xfId="0" applyFont="1" applyFill="1" applyBorder="1" applyAlignment="1" applyProtection="1">
      <alignment horizontal="center" vertical="center" wrapText="1"/>
    </xf>
    <xf numFmtId="0" fontId="10" fillId="9" borderId="25" xfId="0" applyFont="1" applyFill="1" applyBorder="1" applyAlignment="1" applyProtection="1">
      <alignment horizontal="center" vertical="center" wrapText="1"/>
    </xf>
    <xf numFmtId="0" fontId="15" fillId="5" borderId="26" xfId="0" applyFont="1" applyFill="1" applyBorder="1" applyAlignment="1" applyProtection="1">
      <alignment horizontal="left" vertical="center" wrapText="1"/>
      <protection locked="0"/>
    </xf>
    <xf numFmtId="0" fontId="15" fillId="5" borderId="27" xfId="0" applyFont="1" applyFill="1" applyBorder="1" applyAlignment="1" applyProtection="1">
      <alignment horizontal="left" vertical="center" wrapText="1"/>
      <protection locked="0"/>
    </xf>
    <xf numFmtId="0" fontId="15" fillId="5" borderId="7" xfId="0" applyFont="1" applyFill="1" applyBorder="1" applyAlignment="1" applyProtection="1">
      <alignment horizontal="left" vertical="center" wrapText="1"/>
      <protection locked="0"/>
    </xf>
    <xf numFmtId="0" fontId="15" fillId="5" borderId="9" xfId="0" applyFont="1" applyFill="1" applyBorder="1" applyAlignment="1" applyProtection="1">
      <alignment horizontal="left" vertical="center" wrapText="1"/>
      <protection locked="0"/>
    </xf>
    <xf numFmtId="0" fontId="10" fillId="9" borderId="51" xfId="0" applyFont="1" applyFill="1" applyBorder="1" applyAlignment="1" applyProtection="1">
      <alignment horizontal="center" vertical="center" wrapText="1"/>
    </xf>
    <xf numFmtId="0" fontId="10" fillId="9" borderId="52" xfId="0" applyFont="1" applyFill="1" applyBorder="1" applyAlignment="1" applyProtection="1">
      <alignment horizontal="center" vertical="center" wrapText="1"/>
    </xf>
    <xf numFmtId="0" fontId="10" fillId="9" borderId="59" xfId="0" applyFont="1" applyFill="1" applyBorder="1" applyAlignment="1" applyProtection="1">
      <alignment horizontal="center" vertical="center" wrapText="1"/>
    </xf>
    <xf numFmtId="0" fontId="10" fillId="7" borderId="51" xfId="0" applyFont="1" applyFill="1" applyBorder="1" applyAlignment="1" applyProtection="1">
      <alignment horizontal="center" vertical="center" wrapText="1"/>
    </xf>
    <xf numFmtId="0" fontId="10" fillId="7" borderId="59" xfId="0" applyFont="1" applyFill="1" applyBorder="1" applyAlignment="1" applyProtection="1">
      <alignment horizontal="center" vertical="center" wrapText="1"/>
    </xf>
    <xf numFmtId="0" fontId="10" fillId="7" borderId="52" xfId="0" applyFont="1" applyFill="1" applyBorder="1" applyAlignment="1" applyProtection="1">
      <alignment horizontal="center" vertical="center" wrapText="1"/>
    </xf>
    <xf numFmtId="0" fontId="10" fillId="7" borderId="60" xfId="0" applyFont="1" applyFill="1" applyBorder="1" applyAlignment="1" applyProtection="1">
      <alignment horizontal="center" vertical="center" wrapText="1"/>
    </xf>
    <xf numFmtId="0" fontId="10" fillId="7" borderId="61" xfId="0" applyFont="1" applyFill="1" applyBorder="1" applyAlignment="1" applyProtection="1">
      <alignment horizontal="center" vertical="center" wrapText="1"/>
    </xf>
    <xf numFmtId="0" fontId="10" fillId="7" borderId="62" xfId="0" applyFont="1" applyFill="1" applyBorder="1" applyAlignment="1" applyProtection="1">
      <alignment horizontal="center" vertical="center" wrapText="1"/>
    </xf>
    <xf numFmtId="0" fontId="10" fillId="9" borderId="28" xfId="0" applyFont="1" applyFill="1" applyBorder="1" applyAlignment="1" applyProtection="1">
      <alignment horizontal="center" vertical="center" wrapText="1"/>
    </xf>
    <xf numFmtId="0" fontId="10" fillId="9" borderId="29" xfId="0" applyFont="1" applyFill="1" applyBorder="1" applyAlignment="1" applyProtection="1">
      <alignment horizontal="center" vertical="center" wrapText="1"/>
    </xf>
    <xf numFmtId="0" fontId="15" fillId="5" borderId="30" xfId="0" applyFont="1" applyFill="1" applyBorder="1" applyAlignment="1">
      <alignment horizontal="left" vertical="center" wrapText="1"/>
    </xf>
    <xf numFmtId="0" fontId="15" fillId="5" borderId="31" xfId="0" applyFont="1" applyFill="1" applyBorder="1" applyAlignment="1">
      <alignment horizontal="left" vertical="center" wrapText="1"/>
    </xf>
    <xf numFmtId="0" fontId="15" fillId="5" borderId="3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4" fillId="8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textRotation="255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4" fillId="8" borderId="0" xfId="0" applyFont="1" applyFill="1" applyBorder="1" applyAlignment="1">
      <alignment horizontal="center" textRotation="255"/>
    </xf>
    <xf numFmtId="0" fontId="10" fillId="10" borderId="28" xfId="0" applyFont="1" applyFill="1" applyBorder="1" applyAlignment="1">
      <alignment horizontal="center" vertical="center"/>
    </xf>
    <xf numFmtId="0" fontId="10" fillId="10" borderId="31" xfId="0" applyFont="1" applyFill="1" applyBorder="1" applyAlignment="1">
      <alignment horizontal="center" vertical="center"/>
    </xf>
    <xf numFmtId="0" fontId="10" fillId="10" borderId="32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left" vertical="center"/>
    </xf>
    <xf numFmtId="0" fontId="21" fillId="5" borderId="45" xfId="0" applyFont="1" applyFill="1" applyBorder="1" applyAlignment="1">
      <alignment horizontal="left" vertical="center"/>
    </xf>
    <xf numFmtId="0" fontId="11" fillId="5" borderId="49" xfId="0" applyFont="1" applyFill="1" applyBorder="1" applyAlignment="1">
      <alignment horizontal="center" vertical="top"/>
    </xf>
    <xf numFmtId="0" fontId="11" fillId="5" borderId="46" xfId="0" applyFont="1" applyFill="1" applyBorder="1" applyAlignment="1">
      <alignment horizontal="center" vertical="top"/>
    </xf>
    <xf numFmtId="0" fontId="19" fillId="5" borderId="50" xfId="0" applyFont="1" applyFill="1" applyBorder="1" applyAlignment="1">
      <alignment horizontal="left" vertical="top" wrapText="1"/>
    </xf>
    <xf numFmtId="0" fontId="19" fillId="5" borderId="47" xfId="0" applyFont="1" applyFill="1" applyBorder="1" applyAlignment="1">
      <alignment horizontal="left" vertical="top" wrapText="1"/>
    </xf>
  </cellXfs>
  <cellStyles count="3">
    <cellStyle name="Normal" xfId="0" builtinId="0"/>
    <cellStyle name="Normal 7" xfId="2"/>
    <cellStyle name="Normal 8" xfId="1"/>
  </cellStyles>
  <dxfs count="0"/>
  <tableStyles count="0" defaultTableStyle="TableStyleMedium2" defaultPivotStyle="PivotStyleLight16"/>
  <colors>
    <mruColors>
      <color rgb="FF005790"/>
      <color rgb="FF618138"/>
      <color rgb="FF0000CC"/>
      <color rgb="FF000066"/>
      <color rgb="FF003300"/>
      <color rgb="FF00FFFF"/>
      <color rgb="FF800000"/>
      <color rgb="FF00FF00"/>
      <color rgb="FF0F1D41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1</xdr:row>
      <xdr:rowOff>0</xdr:rowOff>
    </xdr:from>
    <xdr:to>
      <xdr:col>7</xdr:col>
      <xdr:colOff>57755</xdr:colOff>
      <xdr:row>6</xdr:row>
      <xdr:rowOff>160644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771900" y="57150"/>
          <a:ext cx="6382355" cy="998844"/>
          <a:chOff x="104775" y="75840"/>
          <a:chExt cx="6410325" cy="1000486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GESTIÓN DE CALIDAD</a:t>
            </a: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IDENTIFICACIÓN DE RIESGOS</a:t>
            </a:r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FO-GC-024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05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tabColor rgb="FF005790"/>
  </sheetPr>
  <dimension ref="A1:W36"/>
  <sheetViews>
    <sheetView showGridLines="0" tabSelected="1" zoomScaleNormal="100" workbookViewId="0">
      <pane xSplit="2" ySplit="11" topLeftCell="C12" activePane="bottomRight" state="frozen"/>
      <selection pane="topRight" activeCell="D1" sqref="D1"/>
      <selection pane="bottomLeft" activeCell="A12" sqref="A12"/>
      <selection pane="bottomRight" activeCell="I5" sqref="I5"/>
    </sheetView>
  </sheetViews>
  <sheetFormatPr baseColWidth="10" defaultColWidth="0" defaultRowHeight="12.75" x14ac:dyDescent="0.25"/>
  <cols>
    <col min="1" max="1" width="6" style="21" customWidth="1"/>
    <col min="2" max="2" width="41.28515625" style="22" customWidth="1"/>
    <col min="3" max="3" width="14.7109375" style="23" customWidth="1"/>
    <col min="4" max="4" width="11.28515625" style="23" customWidth="1"/>
    <col min="5" max="5" width="47.5703125" style="22" customWidth="1"/>
    <col min="6" max="6" width="14.5703125" style="39" customWidth="1"/>
    <col min="7" max="7" width="16" style="21" customWidth="1"/>
    <col min="8" max="8" width="13.42578125" style="21" customWidth="1"/>
    <col min="9" max="9" width="23.140625" style="21" bestFit="1" customWidth="1"/>
    <col min="10" max="10" width="50" style="25" customWidth="1"/>
    <col min="11" max="11" width="16.42578125" style="26" customWidth="1"/>
    <col min="12" max="12" width="23" style="27" customWidth="1"/>
    <col min="13" max="13" width="32" style="26" customWidth="1"/>
    <col min="14" max="14" width="13" style="26" bestFit="1" customWidth="1"/>
    <col min="15" max="15" width="31.7109375" style="26" customWidth="1"/>
    <col min="16" max="16" width="17.7109375" style="26" customWidth="1"/>
    <col min="17" max="17" width="40.140625" style="28" customWidth="1"/>
    <col min="18" max="18" width="1.28515625" style="29" customWidth="1"/>
    <col min="19" max="19" width="11.5703125" style="29" hidden="1" customWidth="1"/>
    <col min="20" max="20" width="0" style="29" hidden="1" customWidth="1"/>
    <col min="21" max="23" width="11.5703125" style="29" hidden="1" customWidth="1"/>
    <col min="24" max="16384" width="11.42578125" style="29" hidden="1"/>
  </cols>
  <sheetData>
    <row r="1" spans="1:18" ht="4.5" customHeight="1" x14ac:dyDescent="0.25"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8" ht="9.75" customHeight="1" x14ac:dyDescent="0.25"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8" ht="9.75" customHeight="1" x14ac:dyDescent="0.25"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8" s="33" customFormat="1" ht="16.5" customHeight="1" thickBot="1" x14ac:dyDescent="0.3">
      <c r="A4" s="30"/>
      <c r="B4" s="31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18" s="33" customFormat="1" ht="15" customHeight="1" x14ac:dyDescent="0.25">
      <c r="A5" s="144" t="s">
        <v>71</v>
      </c>
      <c r="B5" s="145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6" spans="1:18" s="33" customFormat="1" ht="15" customHeight="1" x14ac:dyDescent="0.25">
      <c r="A6" s="146"/>
      <c r="B6" s="147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</row>
    <row r="7" spans="1:18" s="33" customFormat="1" ht="15" customHeight="1" thickBot="1" x14ac:dyDescent="0.3">
      <c r="A7" s="148"/>
      <c r="B7" s="149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</row>
    <row r="8" spans="1:18" s="34" customFormat="1" ht="5.25" customHeight="1" thickBot="1" x14ac:dyDescent="0.3">
      <c r="A8" s="30"/>
      <c r="B8" s="32"/>
      <c r="C8" s="30"/>
      <c r="D8" s="30"/>
      <c r="E8" s="32"/>
      <c r="F8" s="30"/>
      <c r="G8" s="30"/>
      <c r="H8" s="30"/>
      <c r="I8" s="21"/>
      <c r="J8" s="25"/>
      <c r="L8" s="24"/>
    </row>
    <row r="9" spans="1:18" s="35" customFormat="1" ht="12.75" customHeight="1" x14ac:dyDescent="0.25">
      <c r="A9" s="150" t="s">
        <v>74</v>
      </c>
      <c r="B9" s="151"/>
      <c r="C9" s="153" t="s">
        <v>76</v>
      </c>
      <c r="D9" s="154"/>
      <c r="E9" s="155"/>
      <c r="F9" s="150" t="s">
        <v>81</v>
      </c>
      <c r="G9" s="152"/>
      <c r="H9" s="151"/>
      <c r="I9" s="156" t="s">
        <v>92</v>
      </c>
      <c r="J9" s="157"/>
      <c r="K9" s="157"/>
      <c r="L9" s="157"/>
      <c r="M9" s="158"/>
      <c r="N9" s="150" t="s">
        <v>87</v>
      </c>
      <c r="O9" s="152"/>
      <c r="P9" s="152"/>
      <c r="Q9" s="151"/>
    </row>
    <row r="10" spans="1:18" s="37" customFormat="1" ht="27" customHeight="1" x14ac:dyDescent="0.25">
      <c r="A10" s="99" t="s">
        <v>30</v>
      </c>
      <c r="B10" s="87" t="s">
        <v>75</v>
      </c>
      <c r="C10" s="84" t="s">
        <v>72</v>
      </c>
      <c r="D10" s="49" t="s">
        <v>73</v>
      </c>
      <c r="E10" s="100" t="s">
        <v>77</v>
      </c>
      <c r="F10" s="79" t="s">
        <v>78</v>
      </c>
      <c r="G10" s="47" t="s">
        <v>79</v>
      </c>
      <c r="H10" s="101" t="s">
        <v>80</v>
      </c>
      <c r="I10" s="84" t="s">
        <v>83</v>
      </c>
      <c r="J10" s="50" t="s">
        <v>82</v>
      </c>
      <c r="K10" s="49" t="s">
        <v>84</v>
      </c>
      <c r="L10" s="50" t="s">
        <v>85</v>
      </c>
      <c r="M10" s="100" t="s">
        <v>86</v>
      </c>
      <c r="N10" s="121" t="s">
        <v>88</v>
      </c>
      <c r="O10" s="48" t="s">
        <v>89</v>
      </c>
      <c r="P10" s="48" t="s">
        <v>91</v>
      </c>
      <c r="Q10" s="122" t="s">
        <v>90</v>
      </c>
      <c r="R10" s="36"/>
    </row>
    <row r="11" spans="1:18" s="35" customFormat="1" ht="5.25" customHeight="1" x14ac:dyDescent="0.25">
      <c r="A11" s="99"/>
      <c r="B11" s="80"/>
      <c r="C11" s="84"/>
      <c r="D11" s="49"/>
      <c r="E11" s="100"/>
      <c r="F11" s="79"/>
      <c r="G11" s="47"/>
      <c r="H11" s="101"/>
      <c r="I11" s="84"/>
      <c r="J11" s="49"/>
      <c r="K11" s="49"/>
      <c r="L11" s="49"/>
      <c r="M11" s="123"/>
      <c r="N11" s="79"/>
      <c r="O11" s="47"/>
      <c r="P11" s="47"/>
      <c r="Q11" s="122"/>
      <c r="R11" s="38"/>
    </row>
    <row r="12" spans="1:18" ht="25.5" customHeight="1" x14ac:dyDescent="0.25">
      <c r="A12" s="75" t="str">
        <f>IF(B12="","",COUNTA(B$12:B12))</f>
        <v/>
      </c>
      <c r="B12" s="76"/>
      <c r="C12" s="81"/>
      <c r="D12" s="43"/>
      <c r="E12" s="76"/>
      <c r="F12" s="85"/>
      <c r="G12" s="44"/>
      <c r="H12" s="86" t="str">
        <f t="shared" ref="H12:H36" si="0">IFERROR(VLOOKUP((CONCATENATE(F12,G12)),M,2,FALSE),"")</f>
        <v/>
      </c>
      <c r="I12" s="85"/>
      <c r="J12" s="46"/>
      <c r="K12" s="102"/>
      <c r="L12" s="103"/>
      <c r="M12" s="104"/>
      <c r="N12" s="105"/>
      <c r="O12" s="46"/>
      <c r="P12" s="46"/>
      <c r="Q12" s="106"/>
    </row>
    <row r="13" spans="1:18" ht="25.5" customHeight="1" x14ac:dyDescent="0.25">
      <c r="A13" s="107" t="str">
        <f>IF(B13="","",COUNTA(B$12:B13))</f>
        <v/>
      </c>
      <c r="B13" s="108"/>
      <c r="C13" s="109"/>
      <c r="D13" s="110"/>
      <c r="E13" s="111"/>
      <c r="F13" s="112"/>
      <c r="G13" s="113"/>
      <c r="H13" s="114" t="str">
        <f t="shared" si="0"/>
        <v/>
      </c>
      <c r="I13" s="112"/>
      <c r="J13" s="115"/>
      <c r="K13" s="116"/>
      <c r="L13" s="117"/>
      <c r="M13" s="118"/>
      <c r="N13" s="119"/>
      <c r="O13" s="115"/>
      <c r="P13" s="115"/>
      <c r="Q13" s="111"/>
    </row>
    <row r="14" spans="1:18" ht="25.5" customHeight="1" x14ac:dyDescent="0.25">
      <c r="A14" s="77" t="str">
        <f>IF(B14="","",COUNTA(B$12:B14))</f>
        <v/>
      </c>
      <c r="B14" s="78"/>
      <c r="C14" s="82"/>
      <c r="D14" s="40"/>
      <c r="E14" s="83"/>
      <c r="F14" s="85"/>
      <c r="G14" s="44"/>
      <c r="H14" s="86" t="str">
        <f t="shared" si="0"/>
        <v/>
      </c>
      <c r="I14" s="88"/>
      <c r="J14" s="41"/>
      <c r="K14" s="92"/>
      <c r="L14" s="42"/>
      <c r="M14" s="89"/>
      <c r="N14" s="90"/>
      <c r="O14" s="45"/>
      <c r="P14" s="46"/>
      <c r="Q14" s="91"/>
    </row>
    <row r="15" spans="1:18" ht="25.5" customHeight="1" x14ac:dyDescent="0.25">
      <c r="A15" s="107" t="str">
        <f>IF(B15="","",COUNTA(B$12:B15))</f>
        <v/>
      </c>
      <c r="B15" s="108"/>
      <c r="C15" s="109"/>
      <c r="D15" s="110"/>
      <c r="E15" s="111"/>
      <c r="F15" s="112"/>
      <c r="G15" s="113"/>
      <c r="H15" s="114" t="str">
        <f t="shared" si="0"/>
        <v/>
      </c>
      <c r="I15" s="112"/>
      <c r="J15" s="115"/>
      <c r="K15" s="116"/>
      <c r="L15" s="117"/>
      <c r="M15" s="120"/>
      <c r="N15" s="119"/>
      <c r="O15" s="115"/>
      <c r="P15" s="115"/>
      <c r="Q15" s="111"/>
    </row>
    <row r="16" spans="1:18" ht="25.5" customHeight="1" x14ac:dyDescent="0.25">
      <c r="A16" s="77" t="str">
        <f>IF(B16="","",COUNTA(B$12:B16))</f>
        <v/>
      </c>
      <c r="B16" s="78"/>
      <c r="C16" s="82"/>
      <c r="D16" s="40"/>
      <c r="E16" s="83"/>
      <c r="F16" s="85"/>
      <c r="G16" s="44"/>
      <c r="H16" s="86" t="str">
        <f t="shared" si="0"/>
        <v/>
      </c>
      <c r="I16" s="88"/>
      <c r="J16" s="41"/>
      <c r="K16" s="92"/>
      <c r="L16" s="42"/>
      <c r="M16" s="89"/>
      <c r="N16" s="90"/>
      <c r="O16" s="45"/>
      <c r="P16" s="46"/>
      <c r="Q16" s="91"/>
    </row>
    <row r="17" spans="1:17" ht="25.5" customHeight="1" x14ac:dyDescent="0.25">
      <c r="A17" s="107" t="str">
        <f>IF(B17="","",COUNTA(B$12:B17))</f>
        <v/>
      </c>
      <c r="B17" s="108"/>
      <c r="C17" s="109"/>
      <c r="D17" s="110"/>
      <c r="E17" s="111"/>
      <c r="F17" s="112"/>
      <c r="G17" s="113"/>
      <c r="H17" s="114" t="str">
        <f t="shared" si="0"/>
        <v/>
      </c>
      <c r="I17" s="112"/>
      <c r="J17" s="115"/>
      <c r="K17" s="116"/>
      <c r="L17" s="117"/>
      <c r="M17" s="120"/>
      <c r="N17" s="119"/>
      <c r="O17" s="115"/>
      <c r="P17" s="115"/>
      <c r="Q17" s="111"/>
    </row>
    <row r="18" spans="1:17" ht="25.5" customHeight="1" x14ac:dyDescent="0.25">
      <c r="A18" s="77" t="str">
        <f>IF(B18="","",COUNTA(B$12:B18))</f>
        <v/>
      </c>
      <c r="B18" s="78"/>
      <c r="C18" s="82"/>
      <c r="D18" s="40"/>
      <c r="E18" s="83"/>
      <c r="F18" s="85"/>
      <c r="G18" s="44"/>
      <c r="H18" s="86" t="str">
        <f t="shared" si="0"/>
        <v/>
      </c>
      <c r="I18" s="88"/>
      <c r="J18" s="41"/>
      <c r="K18" s="92"/>
      <c r="L18" s="42"/>
      <c r="M18" s="89"/>
      <c r="N18" s="90"/>
      <c r="O18" s="45"/>
      <c r="P18" s="46"/>
      <c r="Q18" s="91"/>
    </row>
    <row r="19" spans="1:17" ht="25.5" customHeight="1" x14ac:dyDescent="0.25">
      <c r="A19" s="107" t="str">
        <f>IF(B19="","",COUNTA(B$12:B19))</f>
        <v/>
      </c>
      <c r="B19" s="108"/>
      <c r="C19" s="109"/>
      <c r="D19" s="110"/>
      <c r="E19" s="111"/>
      <c r="F19" s="112"/>
      <c r="G19" s="113"/>
      <c r="H19" s="114" t="str">
        <f t="shared" si="0"/>
        <v/>
      </c>
      <c r="I19" s="112"/>
      <c r="J19" s="115"/>
      <c r="K19" s="116"/>
      <c r="L19" s="117"/>
      <c r="M19" s="120"/>
      <c r="N19" s="119"/>
      <c r="O19" s="115"/>
      <c r="P19" s="115"/>
      <c r="Q19" s="111"/>
    </row>
    <row r="20" spans="1:17" ht="25.5" customHeight="1" x14ac:dyDescent="0.25">
      <c r="A20" s="77" t="str">
        <f>IF(B20="","",COUNTA(B$12:B20))</f>
        <v/>
      </c>
      <c r="B20" s="78"/>
      <c r="C20" s="82"/>
      <c r="D20" s="40"/>
      <c r="E20" s="83"/>
      <c r="F20" s="85"/>
      <c r="G20" s="44"/>
      <c r="H20" s="86" t="str">
        <f t="shared" si="0"/>
        <v/>
      </c>
      <c r="I20" s="88"/>
      <c r="J20" s="41"/>
      <c r="K20" s="92"/>
      <c r="L20" s="42"/>
      <c r="M20" s="89"/>
      <c r="N20" s="90"/>
      <c r="O20" s="45"/>
      <c r="P20" s="46"/>
      <c r="Q20" s="91"/>
    </row>
    <row r="21" spans="1:17" ht="25.5" customHeight="1" x14ac:dyDescent="0.25">
      <c r="A21" s="107" t="str">
        <f>IF(B21="","",COUNTA(B$12:B21))</f>
        <v/>
      </c>
      <c r="B21" s="108"/>
      <c r="C21" s="109"/>
      <c r="D21" s="110"/>
      <c r="E21" s="111"/>
      <c r="F21" s="112"/>
      <c r="G21" s="113"/>
      <c r="H21" s="114" t="str">
        <f t="shared" si="0"/>
        <v/>
      </c>
      <c r="I21" s="112"/>
      <c r="J21" s="115"/>
      <c r="K21" s="116"/>
      <c r="L21" s="117"/>
      <c r="M21" s="120"/>
      <c r="N21" s="119"/>
      <c r="O21" s="115"/>
      <c r="P21" s="115"/>
      <c r="Q21" s="111"/>
    </row>
    <row r="22" spans="1:17" ht="25.5" customHeight="1" x14ac:dyDescent="0.25">
      <c r="A22" s="77" t="str">
        <f>IF(B22="","",COUNTA(B$12:B22))</f>
        <v/>
      </c>
      <c r="B22" s="78"/>
      <c r="C22" s="82"/>
      <c r="D22" s="40"/>
      <c r="E22" s="83"/>
      <c r="F22" s="85"/>
      <c r="G22" s="44"/>
      <c r="H22" s="86" t="str">
        <f t="shared" si="0"/>
        <v/>
      </c>
      <c r="I22" s="88"/>
      <c r="J22" s="41"/>
      <c r="K22" s="92"/>
      <c r="L22" s="42"/>
      <c r="M22" s="89"/>
      <c r="N22" s="90"/>
      <c r="O22" s="45"/>
      <c r="P22" s="46"/>
      <c r="Q22" s="91"/>
    </row>
    <row r="23" spans="1:17" ht="25.5" customHeight="1" x14ac:dyDescent="0.25">
      <c r="A23" s="107" t="str">
        <f>IF(B23="","",COUNTA(B$12:B23))</f>
        <v/>
      </c>
      <c r="B23" s="108"/>
      <c r="C23" s="109"/>
      <c r="D23" s="110"/>
      <c r="E23" s="111"/>
      <c r="F23" s="112"/>
      <c r="G23" s="113"/>
      <c r="H23" s="114" t="str">
        <f t="shared" si="0"/>
        <v/>
      </c>
      <c r="I23" s="112"/>
      <c r="J23" s="115"/>
      <c r="K23" s="116"/>
      <c r="L23" s="117"/>
      <c r="M23" s="120"/>
      <c r="N23" s="119"/>
      <c r="O23" s="115"/>
      <c r="P23" s="115"/>
      <c r="Q23" s="111"/>
    </row>
    <row r="24" spans="1:17" ht="25.5" customHeight="1" x14ac:dyDescent="0.25">
      <c r="A24" s="77" t="str">
        <f>IF(B24="","",COUNTA(B$12:B24))</f>
        <v/>
      </c>
      <c r="B24" s="78"/>
      <c r="C24" s="82"/>
      <c r="D24" s="40"/>
      <c r="E24" s="83"/>
      <c r="F24" s="85"/>
      <c r="G24" s="44"/>
      <c r="H24" s="86" t="str">
        <f t="shared" si="0"/>
        <v/>
      </c>
      <c r="I24" s="88"/>
      <c r="J24" s="41"/>
      <c r="K24" s="92"/>
      <c r="L24" s="42"/>
      <c r="M24" s="89"/>
      <c r="N24" s="90"/>
      <c r="O24" s="45"/>
      <c r="P24" s="46"/>
      <c r="Q24" s="91"/>
    </row>
    <row r="25" spans="1:17" ht="25.5" customHeight="1" x14ac:dyDescent="0.25">
      <c r="A25" s="107" t="str">
        <f>IF(B25="","",COUNTA(B$12:B25))</f>
        <v/>
      </c>
      <c r="B25" s="108"/>
      <c r="C25" s="109"/>
      <c r="D25" s="110"/>
      <c r="E25" s="111"/>
      <c r="F25" s="112"/>
      <c r="G25" s="113"/>
      <c r="H25" s="114" t="str">
        <f t="shared" si="0"/>
        <v/>
      </c>
      <c r="I25" s="112"/>
      <c r="J25" s="115"/>
      <c r="K25" s="116"/>
      <c r="L25" s="117"/>
      <c r="M25" s="120"/>
      <c r="N25" s="119"/>
      <c r="O25" s="115"/>
      <c r="P25" s="115"/>
      <c r="Q25" s="111"/>
    </row>
    <row r="26" spans="1:17" ht="25.5" customHeight="1" x14ac:dyDescent="0.25">
      <c r="A26" s="77" t="str">
        <f>IF(B26="","",COUNTA(B$12:B26))</f>
        <v/>
      </c>
      <c r="B26" s="78"/>
      <c r="C26" s="82"/>
      <c r="D26" s="40"/>
      <c r="E26" s="83"/>
      <c r="F26" s="85"/>
      <c r="G26" s="44"/>
      <c r="H26" s="86" t="str">
        <f t="shared" si="0"/>
        <v/>
      </c>
      <c r="I26" s="88"/>
      <c r="J26" s="41"/>
      <c r="K26" s="92"/>
      <c r="L26" s="42"/>
      <c r="M26" s="89"/>
      <c r="N26" s="90"/>
      <c r="O26" s="45"/>
      <c r="P26" s="46"/>
      <c r="Q26" s="91"/>
    </row>
    <row r="27" spans="1:17" ht="25.5" customHeight="1" x14ac:dyDescent="0.25">
      <c r="A27" s="107" t="str">
        <f>IF(B27="","",COUNTA(B$12:B27))</f>
        <v/>
      </c>
      <c r="B27" s="108"/>
      <c r="C27" s="109"/>
      <c r="D27" s="110"/>
      <c r="E27" s="111"/>
      <c r="F27" s="112"/>
      <c r="G27" s="113"/>
      <c r="H27" s="114" t="str">
        <f t="shared" si="0"/>
        <v/>
      </c>
      <c r="I27" s="112"/>
      <c r="J27" s="115"/>
      <c r="K27" s="116"/>
      <c r="L27" s="117"/>
      <c r="M27" s="120"/>
      <c r="N27" s="119"/>
      <c r="O27" s="115"/>
      <c r="P27" s="115"/>
      <c r="Q27" s="111"/>
    </row>
    <row r="28" spans="1:17" ht="25.5" customHeight="1" x14ac:dyDescent="0.25">
      <c r="A28" s="77" t="str">
        <f>IF(B28="","",COUNTA(B$12:B28))</f>
        <v/>
      </c>
      <c r="B28" s="78"/>
      <c r="C28" s="82"/>
      <c r="D28" s="40"/>
      <c r="E28" s="83"/>
      <c r="F28" s="85"/>
      <c r="G28" s="44"/>
      <c r="H28" s="86" t="str">
        <f t="shared" si="0"/>
        <v/>
      </c>
      <c r="I28" s="88"/>
      <c r="J28" s="41"/>
      <c r="K28" s="92"/>
      <c r="L28" s="42"/>
      <c r="M28" s="89"/>
      <c r="N28" s="90"/>
      <c r="O28" s="45"/>
      <c r="P28" s="46"/>
      <c r="Q28" s="91"/>
    </row>
    <row r="29" spans="1:17" ht="25.5" customHeight="1" x14ac:dyDescent="0.25">
      <c r="A29" s="107" t="str">
        <f>IF(B29="","",COUNTA(B$12:B29))</f>
        <v/>
      </c>
      <c r="B29" s="108"/>
      <c r="C29" s="109"/>
      <c r="D29" s="110"/>
      <c r="E29" s="111"/>
      <c r="F29" s="112"/>
      <c r="G29" s="113"/>
      <c r="H29" s="114" t="str">
        <f t="shared" si="0"/>
        <v/>
      </c>
      <c r="I29" s="112"/>
      <c r="J29" s="115"/>
      <c r="K29" s="116"/>
      <c r="L29" s="117"/>
      <c r="M29" s="120"/>
      <c r="N29" s="119"/>
      <c r="O29" s="115"/>
      <c r="P29" s="115"/>
      <c r="Q29" s="111"/>
    </row>
    <row r="30" spans="1:17" ht="25.5" customHeight="1" x14ac:dyDescent="0.25">
      <c r="A30" s="77" t="str">
        <f>IF(B30="","",COUNTA(B$12:B30))</f>
        <v/>
      </c>
      <c r="B30" s="78"/>
      <c r="C30" s="82"/>
      <c r="D30" s="40"/>
      <c r="E30" s="83"/>
      <c r="F30" s="85"/>
      <c r="G30" s="44"/>
      <c r="H30" s="86" t="str">
        <f t="shared" si="0"/>
        <v/>
      </c>
      <c r="I30" s="88"/>
      <c r="J30" s="41"/>
      <c r="K30" s="92"/>
      <c r="L30" s="42"/>
      <c r="M30" s="89"/>
      <c r="N30" s="90"/>
      <c r="O30" s="45"/>
      <c r="P30" s="46"/>
      <c r="Q30" s="91"/>
    </row>
    <row r="31" spans="1:17" ht="25.5" customHeight="1" x14ac:dyDescent="0.25">
      <c r="A31" s="107" t="str">
        <f>IF(B31="","",COUNTA(B$12:B31))</f>
        <v/>
      </c>
      <c r="B31" s="108"/>
      <c r="C31" s="109"/>
      <c r="D31" s="110"/>
      <c r="E31" s="111"/>
      <c r="F31" s="112"/>
      <c r="G31" s="113"/>
      <c r="H31" s="114" t="str">
        <f t="shared" si="0"/>
        <v/>
      </c>
      <c r="I31" s="112"/>
      <c r="J31" s="115"/>
      <c r="K31" s="116"/>
      <c r="L31" s="117"/>
      <c r="M31" s="120"/>
      <c r="N31" s="119"/>
      <c r="O31" s="115"/>
      <c r="P31" s="115"/>
      <c r="Q31" s="111"/>
    </row>
    <row r="32" spans="1:17" ht="25.5" customHeight="1" x14ac:dyDescent="0.25">
      <c r="A32" s="77" t="str">
        <f>IF(B32="","",COUNTA(B$12:B32))</f>
        <v/>
      </c>
      <c r="B32" s="78"/>
      <c r="C32" s="82"/>
      <c r="D32" s="40"/>
      <c r="E32" s="83"/>
      <c r="F32" s="85"/>
      <c r="G32" s="44"/>
      <c r="H32" s="86" t="str">
        <f t="shared" si="0"/>
        <v/>
      </c>
      <c r="I32" s="88"/>
      <c r="J32" s="41"/>
      <c r="K32" s="92"/>
      <c r="L32" s="42"/>
      <c r="M32" s="89"/>
      <c r="N32" s="90"/>
      <c r="O32" s="45"/>
      <c r="P32" s="46"/>
      <c r="Q32" s="91"/>
    </row>
    <row r="33" spans="1:17" ht="25.5" customHeight="1" x14ac:dyDescent="0.25">
      <c r="A33" s="107" t="str">
        <f>IF(B33="","",COUNTA(B$12:B33))</f>
        <v/>
      </c>
      <c r="B33" s="108"/>
      <c r="C33" s="109"/>
      <c r="D33" s="110"/>
      <c r="E33" s="111"/>
      <c r="F33" s="112"/>
      <c r="G33" s="113"/>
      <c r="H33" s="114" t="str">
        <f t="shared" si="0"/>
        <v/>
      </c>
      <c r="I33" s="112"/>
      <c r="J33" s="115"/>
      <c r="K33" s="116"/>
      <c r="L33" s="117"/>
      <c r="M33" s="120"/>
      <c r="N33" s="119"/>
      <c r="O33" s="115"/>
      <c r="P33" s="115"/>
      <c r="Q33" s="111"/>
    </row>
    <row r="34" spans="1:17" ht="25.5" customHeight="1" x14ac:dyDescent="0.25">
      <c r="A34" s="77" t="str">
        <f>IF(B34="","",COUNTA(B$12:B34))</f>
        <v/>
      </c>
      <c r="B34" s="78"/>
      <c r="C34" s="82"/>
      <c r="D34" s="40"/>
      <c r="E34" s="83"/>
      <c r="F34" s="85"/>
      <c r="G34" s="44"/>
      <c r="H34" s="86" t="str">
        <f t="shared" si="0"/>
        <v/>
      </c>
      <c r="I34" s="88"/>
      <c r="J34" s="41"/>
      <c r="K34" s="92"/>
      <c r="L34" s="42"/>
      <c r="M34" s="89"/>
      <c r="N34" s="90"/>
      <c r="O34" s="45"/>
      <c r="P34" s="46"/>
      <c r="Q34" s="91"/>
    </row>
    <row r="35" spans="1:17" ht="25.5" customHeight="1" x14ac:dyDescent="0.25">
      <c r="A35" s="107" t="str">
        <f>IF(B35="","",COUNTA(B$12:B35))</f>
        <v/>
      </c>
      <c r="B35" s="108"/>
      <c r="C35" s="109"/>
      <c r="D35" s="110"/>
      <c r="E35" s="111"/>
      <c r="F35" s="112"/>
      <c r="G35" s="113"/>
      <c r="H35" s="114" t="str">
        <f t="shared" si="0"/>
        <v/>
      </c>
      <c r="I35" s="112"/>
      <c r="J35" s="115"/>
      <c r="K35" s="116"/>
      <c r="L35" s="117"/>
      <c r="M35" s="120"/>
      <c r="N35" s="119"/>
      <c r="O35" s="115"/>
      <c r="P35" s="115"/>
      <c r="Q35" s="111"/>
    </row>
    <row r="36" spans="1:17" ht="25.5" customHeight="1" x14ac:dyDescent="0.25">
      <c r="A36" s="77" t="str">
        <f>IF(B36="","",COUNTA(B$12:B36))</f>
        <v/>
      </c>
      <c r="B36" s="78"/>
      <c r="C36" s="82"/>
      <c r="D36" s="40"/>
      <c r="E36" s="83"/>
      <c r="F36" s="85"/>
      <c r="G36" s="44"/>
      <c r="H36" s="86" t="str">
        <f t="shared" si="0"/>
        <v/>
      </c>
      <c r="I36" s="88"/>
      <c r="J36" s="41"/>
      <c r="K36" s="92"/>
      <c r="L36" s="42"/>
      <c r="M36" s="89"/>
      <c r="N36" s="90"/>
      <c r="O36" s="45"/>
      <c r="P36" s="46"/>
      <c r="Q36" s="91"/>
    </row>
  </sheetData>
  <mergeCells count="7">
    <mergeCell ref="A5:B5"/>
    <mergeCell ref="A6:B7"/>
    <mergeCell ref="A9:B9"/>
    <mergeCell ref="N9:Q9"/>
    <mergeCell ref="F9:H9"/>
    <mergeCell ref="C9:E9"/>
    <mergeCell ref="I9:M9"/>
  </mergeCells>
  <dataValidations count="5">
    <dataValidation type="list" allowBlank="1" showInputMessage="1" showErrorMessage="1" sqref="J16 J21 J24 J29 J32">
      <formula1>#REF!</formula1>
    </dataValidation>
    <dataValidation type="list" allowBlank="1" showInputMessage="1" showErrorMessage="1" sqref="C12:C36">
      <formula1>"OPORTUNIDAD,AMENAZA"</formula1>
    </dataValidation>
    <dataValidation type="list" allowBlank="1" showInputMessage="1" showErrorMessage="1" sqref="D12:D36">
      <formula1>"INTERNA,EXTERNA"</formula1>
    </dataValidation>
    <dataValidation type="list" allowBlank="1" showInputMessage="1" showErrorMessage="1" sqref="I12:I36">
      <formula1>"Preventivo,Correctivo"</formula1>
    </dataValidation>
    <dataValidation type="list" allowBlank="1" showInputMessage="1" showErrorMessage="1" sqref="P12:P36">
      <formula1>"Eficaz,Ineficaz,En Proceso"</formula1>
    </dataValidation>
  </dataValidations>
  <printOptions horizontalCentered="1"/>
  <pageMargins left="0.19685039370078741" right="0.19685039370078741" top="0.39370078740157483" bottom="0.19685039370078741" header="0.31496062992125984" footer="0.31496062992125984"/>
  <pageSetup scale="57" orientation="landscape" horizontalDpi="4294967295" verticalDpi="4294967295" r:id="rId1"/>
  <headerFooter>
    <oddFooter>&amp;R&amp;P de &amp;N</oddFooter>
  </headerFooter>
  <colBreaks count="2" manualBreakCount="2">
    <brk id="8" max="1048575" man="1"/>
    <brk id="13" max="1048575" man="1"/>
  </col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'RIESGOS '!$A$2:$A$6</xm:f>
          </x14:formula1>
          <xm:sqref>F12:F36</xm:sqref>
        </x14:dataValidation>
        <x14:dataValidation type="list" allowBlank="1" showInputMessage="1" showErrorMessage="1">
          <x14:formula1>
            <xm:f>'RIESGOS '!$B$2:$B$6</xm:f>
          </x14:formula1>
          <xm:sqref>G12:G36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18138"/>
  </sheetPr>
  <dimension ref="B1:G27"/>
  <sheetViews>
    <sheetView workbookViewId="0">
      <pane ySplit="3" topLeftCell="A16" activePane="bottomLeft" state="frozen"/>
      <selection pane="bottomLeft"/>
    </sheetView>
  </sheetViews>
  <sheetFormatPr baseColWidth="10" defaultRowHeight="12.75" x14ac:dyDescent="0.25"/>
  <cols>
    <col min="1" max="1" width="1.42578125" style="53" customWidth="1"/>
    <col min="2" max="2" width="3.28515625" style="53" customWidth="1"/>
    <col min="3" max="3" width="50.140625" style="54" customWidth="1"/>
    <col min="4" max="4" width="1.5703125" style="53" customWidth="1"/>
    <col min="5" max="5" width="3.28515625" style="53" customWidth="1"/>
    <col min="6" max="6" width="50.140625" style="54" customWidth="1"/>
    <col min="7" max="7" width="1.7109375" style="53" customWidth="1"/>
    <col min="8" max="8" width="11.42578125" style="53"/>
    <col min="9" max="9" width="3.7109375" style="53" customWidth="1"/>
    <col min="10" max="16384" width="11.42578125" style="53"/>
  </cols>
  <sheetData>
    <row r="1" spans="2:7" ht="27.75" customHeight="1" thickBot="1" x14ac:dyDescent="0.3">
      <c r="B1" s="159" t="s">
        <v>71</v>
      </c>
      <c r="C1" s="160"/>
      <c r="D1" s="161">
        <f>'FO-GC-024'!A6</f>
        <v>0</v>
      </c>
      <c r="E1" s="162"/>
      <c r="F1" s="163"/>
    </row>
    <row r="2" spans="2:7" ht="6" customHeight="1" thickBot="1" x14ac:dyDescent="0.3"/>
    <row r="3" spans="2:7" s="59" customFormat="1" ht="13.5" thickBot="1" x14ac:dyDescent="0.3">
      <c r="B3" s="52" t="s">
        <v>34</v>
      </c>
      <c r="C3" s="55"/>
      <c r="D3" s="56"/>
      <c r="E3" s="57"/>
      <c r="F3" s="55"/>
      <c r="G3" s="58"/>
    </row>
    <row r="4" spans="2:7" ht="6" customHeight="1" thickBot="1" x14ac:dyDescent="0.3"/>
    <row r="5" spans="2:7" ht="15" customHeight="1" x14ac:dyDescent="0.25">
      <c r="B5" s="124" t="s">
        <v>31</v>
      </c>
      <c r="C5" s="125"/>
      <c r="D5" s="126"/>
      <c r="E5" s="126"/>
      <c r="F5" s="125"/>
      <c r="G5" s="130"/>
    </row>
    <row r="6" spans="2:7" ht="6" customHeight="1" x14ac:dyDescent="0.25">
      <c r="B6" s="140"/>
      <c r="C6" s="141"/>
      <c r="D6" s="142"/>
      <c r="E6" s="142"/>
      <c r="F6" s="143"/>
      <c r="G6" s="131"/>
    </row>
    <row r="7" spans="2:7" s="51" customFormat="1" ht="12.75" customHeight="1" x14ac:dyDescent="0.25">
      <c r="B7" s="137"/>
      <c r="C7" s="135" t="s">
        <v>32</v>
      </c>
      <c r="D7" s="60"/>
      <c r="E7" s="139"/>
      <c r="F7" s="135" t="s">
        <v>33</v>
      </c>
      <c r="G7" s="132"/>
    </row>
    <row r="8" spans="2:7" ht="24" customHeight="1" x14ac:dyDescent="0.25">
      <c r="B8" s="136">
        <v>1</v>
      </c>
      <c r="C8" s="134"/>
      <c r="D8" s="63"/>
      <c r="E8" s="138">
        <v>1</v>
      </c>
      <c r="F8" s="134"/>
      <c r="G8" s="131"/>
    </row>
    <row r="9" spans="2:7" ht="24" customHeight="1" x14ac:dyDescent="0.25">
      <c r="B9" s="61">
        <v>2</v>
      </c>
      <c r="C9" s="62"/>
      <c r="D9" s="63"/>
      <c r="E9" s="64">
        <v>2</v>
      </c>
      <c r="F9" s="62"/>
      <c r="G9" s="131"/>
    </row>
    <row r="10" spans="2:7" ht="24" customHeight="1" x14ac:dyDescent="0.25">
      <c r="B10" s="61">
        <v>3</v>
      </c>
      <c r="C10" s="62"/>
      <c r="D10" s="63"/>
      <c r="E10" s="64">
        <v>3</v>
      </c>
      <c r="F10" s="62"/>
      <c r="G10" s="131"/>
    </row>
    <row r="11" spans="2:7" ht="24" customHeight="1" x14ac:dyDescent="0.25">
      <c r="B11" s="61">
        <v>4</v>
      </c>
      <c r="C11" s="62"/>
      <c r="D11" s="63"/>
      <c r="E11" s="64">
        <v>4</v>
      </c>
      <c r="F11" s="62"/>
      <c r="G11" s="131"/>
    </row>
    <row r="12" spans="2:7" ht="24" customHeight="1" x14ac:dyDescent="0.25">
      <c r="B12" s="61">
        <v>5</v>
      </c>
      <c r="C12" s="62"/>
      <c r="D12" s="63"/>
      <c r="E12" s="64">
        <v>5</v>
      </c>
      <c r="F12" s="62"/>
      <c r="G12" s="131"/>
    </row>
    <row r="13" spans="2:7" ht="24" customHeight="1" x14ac:dyDescent="0.25">
      <c r="B13" s="61">
        <v>6</v>
      </c>
      <c r="C13" s="62"/>
      <c r="D13" s="63"/>
      <c r="E13" s="64">
        <v>6</v>
      </c>
      <c r="F13" s="62"/>
      <c r="G13" s="131"/>
    </row>
    <row r="14" spans="2:7" ht="24" customHeight="1" x14ac:dyDescent="0.25">
      <c r="B14" s="61">
        <v>7</v>
      </c>
      <c r="C14" s="62"/>
      <c r="D14" s="63"/>
      <c r="E14" s="64">
        <v>7</v>
      </c>
      <c r="F14" s="62"/>
      <c r="G14" s="131"/>
    </row>
    <row r="15" spans="2:7" ht="24" customHeight="1" thickBot="1" x14ac:dyDescent="0.3">
      <c r="B15" s="65">
        <v>8</v>
      </c>
      <c r="C15" s="66"/>
      <c r="D15" s="67"/>
      <c r="E15" s="68">
        <v>8</v>
      </c>
      <c r="F15" s="66"/>
      <c r="G15" s="133"/>
    </row>
    <row r="16" spans="2:7" ht="13.5" thickBot="1" x14ac:dyDescent="0.3"/>
    <row r="17" spans="2:7" ht="15" customHeight="1" x14ac:dyDescent="0.25">
      <c r="B17" s="124" t="s">
        <v>35</v>
      </c>
      <c r="C17" s="125"/>
      <c r="D17" s="126"/>
      <c r="E17" s="126"/>
      <c r="F17" s="125"/>
      <c r="G17" s="127"/>
    </row>
    <row r="18" spans="2:7" ht="6" customHeight="1" x14ac:dyDescent="0.25">
      <c r="B18" s="140"/>
      <c r="C18" s="141"/>
      <c r="D18" s="142"/>
      <c r="E18" s="142"/>
      <c r="F18" s="143"/>
      <c r="G18" s="128"/>
    </row>
    <row r="19" spans="2:7" ht="15" customHeight="1" x14ac:dyDescent="0.25">
      <c r="B19" s="137"/>
      <c r="C19" s="135" t="s">
        <v>36</v>
      </c>
      <c r="D19" s="60"/>
      <c r="E19" s="139"/>
      <c r="F19" s="135" t="s">
        <v>37</v>
      </c>
      <c r="G19" s="128"/>
    </row>
    <row r="20" spans="2:7" ht="15.75" customHeight="1" x14ac:dyDescent="0.25">
      <c r="B20" s="136">
        <v>1</v>
      </c>
      <c r="C20" s="134"/>
      <c r="D20" s="63"/>
      <c r="E20" s="138">
        <v>1</v>
      </c>
      <c r="F20" s="134"/>
      <c r="G20" s="128"/>
    </row>
    <row r="21" spans="2:7" ht="15.75" customHeight="1" x14ac:dyDescent="0.25">
      <c r="B21" s="61">
        <v>2</v>
      </c>
      <c r="C21" s="62"/>
      <c r="D21" s="63"/>
      <c r="E21" s="64">
        <v>2</v>
      </c>
      <c r="F21" s="62"/>
      <c r="G21" s="128"/>
    </row>
    <row r="22" spans="2:7" ht="15.75" customHeight="1" x14ac:dyDescent="0.25">
      <c r="B22" s="61">
        <v>3</v>
      </c>
      <c r="C22" s="62"/>
      <c r="D22" s="63"/>
      <c r="E22" s="64">
        <v>3</v>
      </c>
      <c r="F22" s="62"/>
      <c r="G22" s="128"/>
    </row>
    <row r="23" spans="2:7" ht="15.75" customHeight="1" x14ac:dyDescent="0.25">
      <c r="B23" s="61">
        <v>4</v>
      </c>
      <c r="C23" s="62"/>
      <c r="D23" s="63"/>
      <c r="E23" s="64">
        <v>4</v>
      </c>
      <c r="F23" s="62"/>
      <c r="G23" s="128"/>
    </row>
    <row r="24" spans="2:7" ht="15.75" customHeight="1" x14ac:dyDescent="0.25">
      <c r="B24" s="61">
        <v>5</v>
      </c>
      <c r="C24" s="62"/>
      <c r="D24" s="63"/>
      <c r="E24" s="64">
        <v>5</v>
      </c>
      <c r="F24" s="62"/>
      <c r="G24" s="128"/>
    </row>
    <row r="25" spans="2:7" ht="15.75" customHeight="1" x14ac:dyDescent="0.25">
      <c r="B25" s="61">
        <v>6</v>
      </c>
      <c r="C25" s="62"/>
      <c r="D25" s="63"/>
      <c r="E25" s="64">
        <v>6</v>
      </c>
      <c r="F25" s="62"/>
      <c r="G25" s="128"/>
    </row>
    <row r="26" spans="2:7" ht="15.75" customHeight="1" x14ac:dyDescent="0.25">
      <c r="B26" s="61">
        <v>7</v>
      </c>
      <c r="C26" s="62"/>
      <c r="D26" s="63"/>
      <c r="E26" s="64">
        <v>7</v>
      </c>
      <c r="F26" s="62"/>
      <c r="G26" s="128"/>
    </row>
    <row r="27" spans="2:7" ht="15.75" customHeight="1" thickBot="1" x14ac:dyDescent="0.3">
      <c r="B27" s="65">
        <v>8</v>
      </c>
      <c r="C27" s="66"/>
      <c r="D27" s="67"/>
      <c r="E27" s="68">
        <v>8</v>
      </c>
      <c r="F27" s="66"/>
      <c r="G27" s="129"/>
    </row>
  </sheetData>
  <mergeCells count="2">
    <mergeCell ref="B1:C1"/>
    <mergeCell ref="D1:F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1"/>
  </sheetPr>
  <dimension ref="A1:M13"/>
  <sheetViews>
    <sheetView workbookViewId="0"/>
  </sheetViews>
  <sheetFormatPr baseColWidth="10" defaultColWidth="0" defaultRowHeight="15" zeroHeight="1" x14ac:dyDescent="0.25"/>
  <cols>
    <col min="1" max="1" width="1.140625" style="3" customWidth="1"/>
    <col min="2" max="2" width="11.42578125" style="3" customWidth="1"/>
    <col min="3" max="3" width="5.5703125" style="3" customWidth="1"/>
    <col min="4" max="4" width="2.5703125" style="3" customWidth="1"/>
    <col min="5" max="5" width="13" style="3" bestFit="1" customWidth="1"/>
    <col min="6" max="6" width="15.7109375" style="3" bestFit="1" customWidth="1"/>
    <col min="7" max="9" width="11.42578125" style="3" customWidth="1"/>
    <col min="10" max="10" width="14.42578125" style="3" bestFit="1" customWidth="1"/>
    <col min="11" max="11" width="11.42578125" style="3" customWidth="1"/>
    <col min="12" max="12" width="1.7109375" style="3" customWidth="1"/>
    <col min="13" max="13" width="0" style="3" hidden="1" customWidth="1"/>
    <col min="14" max="16384" width="11.42578125" style="3" hidden="1"/>
  </cols>
  <sheetData>
    <row r="1" spans="2:11" ht="6" customHeight="1" thickBot="1" x14ac:dyDescent="0.3"/>
    <row r="2" spans="2:11" ht="32.25" customHeight="1" x14ac:dyDescent="0.4">
      <c r="B2" s="164" t="s">
        <v>17</v>
      </c>
      <c r="C2" s="165"/>
      <c r="D2" s="165"/>
      <c r="E2" s="165"/>
      <c r="F2" s="165"/>
      <c r="G2" s="165"/>
      <c r="H2" s="165"/>
      <c r="I2" s="165"/>
      <c r="J2" s="165"/>
      <c r="K2" s="166"/>
    </row>
    <row r="3" spans="2:11" ht="10.5" customHeight="1" x14ac:dyDescent="0.25">
      <c r="B3" s="167"/>
      <c r="C3" s="168"/>
      <c r="D3" s="168"/>
      <c r="E3" s="168"/>
      <c r="F3" s="168"/>
      <c r="G3" s="168"/>
      <c r="H3" s="168"/>
      <c r="I3" s="168"/>
      <c r="J3" s="168"/>
      <c r="K3" s="169"/>
    </row>
    <row r="4" spans="2:11" ht="15" customHeight="1" x14ac:dyDescent="0.25">
      <c r="B4" s="167"/>
      <c r="C4" s="177" t="s">
        <v>0</v>
      </c>
      <c r="D4" s="173"/>
      <c r="E4" s="173"/>
      <c r="F4" s="173"/>
      <c r="G4" s="173"/>
      <c r="H4" s="173"/>
      <c r="I4" s="173"/>
      <c r="J4" s="173"/>
      <c r="K4" s="170"/>
    </row>
    <row r="5" spans="2:11" ht="30.75" customHeight="1" x14ac:dyDescent="0.25">
      <c r="B5" s="167"/>
      <c r="C5" s="177"/>
      <c r="D5" s="173"/>
      <c r="E5" s="4" t="s">
        <v>3</v>
      </c>
      <c r="F5" s="5" t="s">
        <v>14</v>
      </c>
      <c r="G5" s="5" t="s">
        <v>14</v>
      </c>
      <c r="H5" s="6" t="s">
        <v>1</v>
      </c>
      <c r="I5" s="7" t="s">
        <v>15</v>
      </c>
      <c r="J5" s="8" t="s">
        <v>15</v>
      </c>
      <c r="K5" s="170"/>
    </row>
    <row r="6" spans="2:11" ht="30.75" customHeight="1" x14ac:dyDescent="0.25">
      <c r="B6" s="167"/>
      <c r="C6" s="177"/>
      <c r="D6" s="173"/>
      <c r="E6" s="9" t="s">
        <v>4</v>
      </c>
      <c r="F6" s="10" t="s">
        <v>14</v>
      </c>
      <c r="G6" s="10" t="s">
        <v>14</v>
      </c>
      <c r="H6" s="11" t="s">
        <v>1</v>
      </c>
      <c r="I6" s="12" t="s">
        <v>15</v>
      </c>
      <c r="J6" s="17" t="s">
        <v>16</v>
      </c>
      <c r="K6" s="170"/>
    </row>
    <row r="7" spans="2:11" ht="30.75" customHeight="1" x14ac:dyDescent="0.25">
      <c r="B7" s="167"/>
      <c r="C7" s="177"/>
      <c r="D7" s="173"/>
      <c r="E7" s="9" t="s">
        <v>5</v>
      </c>
      <c r="F7" s="10" t="s">
        <v>14</v>
      </c>
      <c r="G7" s="11" t="s">
        <v>1</v>
      </c>
      <c r="H7" s="12" t="s">
        <v>15</v>
      </c>
      <c r="I7" s="19" t="s">
        <v>16</v>
      </c>
      <c r="J7" s="17" t="s">
        <v>16</v>
      </c>
      <c r="K7" s="170"/>
    </row>
    <row r="8" spans="2:11" ht="28.5" customHeight="1" x14ac:dyDescent="0.25">
      <c r="B8" s="167"/>
      <c r="C8" s="177"/>
      <c r="D8" s="173"/>
      <c r="E8" s="9" t="s">
        <v>6</v>
      </c>
      <c r="F8" s="11" t="s">
        <v>1</v>
      </c>
      <c r="G8" s="12" t="s">
        <v>15</v>
      </c>
      <c r="H8" s="12" t="s">
        <v>15</v>
      </c>
      <c r="I8" s="19" t="s">
        <v>16</v>
      </c>
      <c r="J8" s="17" t="s">
        <v>16</v>
      </c>
      <c r="K8" s="170"/>
    </row>
    <row r="9" spans="2:11" ht="29.25" customHeight="1" x14ac:dyDescent="0.25">
      <c r="B9" s="167"/>
      <c r="C9" s="177"/>
      <c r="D9" s="173"/>
      <c r="E9" s="13" t="s">
        <v>7</v>
      </c>
      <c r="F9" s="14" t="s">
        <v>15</v>
      </c>
      <c r="G9" s="14" t="s">
        <v>15</v>
      </c>
      <c r="H9" s="20" t="s">
        <v>16</v>
      </c>
      <c r="I9" s="20" t="s">
        <v>16</v>
      </c>
      <c r="J9" s="18" t="s">
        <v>16</v>
      </c>
      <c r="K9" s="170"/>
    </row>
    <row r="10" spans="2:11" ht="30" customHeight="1" x14ac:dyDescent="0.25">
      <c r="B10" s="167"/>
      <c r="C10" s="177"/>
      <c r="D10" s="173"/>
      <c r="E10" s="15"/>
      <c r="F10" s="16" t="s">
        <v>8</v>
      </c>
      <c r="G10" s="16" t="s">
        <v>9</v>
      </c>
      <c r="H10" s="16" t="s">
        <v>10</v>
      </c>
      <c r="I10" s="16" t="s">
        <v>11</v>
      </c>
      <c r="J10" s="16" t="s">
        <v>12</v>
      </c>
      <c r="K10" s="170"/>
    </row>
    <row r="11" spans="2:11" ht="25.5" customHeight="1" x14ac:dyDescent="0.25">
      <c r="B11" s="167"/>
      <c r="C11" s="176"/>
      <c r="D11" s="176"/>
      <c r="E11" s="176"/>
      <c r="F11" s="172" t="s">
        <v>13</v>
      </c>
      <c r="G11" s="172"/>
      <c r="H11" s="172"/>
      <c r="I11" s="172"/>
      <c r="J11" s="172"/>
      <c r="K11" s="170"/>
    </row>
    <row r="12" spans="2:11" ht="15.75" thickBot="1" x14ac:dyDescent="0.3">
      <c r="B12" s="174"/>
      <c r="C12" s="175"/>
      <c r="D12" s="175"/>
      <c r="E12" s="175"/>
      <c r="F12" s="175"/>
      <c r="G12" s="175"/>
      <c r="H12" s="175"/>
      <c r="I12" s="175"/>
      <c r="J12" s="175"/>
      <c r="K12" s="171"/>
    </row>
    <row r="13" spans="2:11" ht="9.75" customHeight="1" x14ac:dyDescent="0.25"/>
  </sheetData>
  <sheetProtection algorithmName="SHA-512" hashValue="TApyXWAvxKFIF10fJYQcUFoXLx7uJ0bT/mpGk7MAQGol1u6BnOMOABxSdu+057YS2ql3bhsxEQqJ6kAdNcC1DQ==" saltValue="2iwkkq2tY9H2kj6+3mnU8A==" spinCount="100000" sheet="1" objects="1" scenarios="1"/>
  <mergeCells count="10">
    <mergeCell ref="B2:K2"/>
    <mergeCell ref="B3:K3"/>
    <mergeCell ref="K4:K12"/>
    <mergeCell ref="F11:J11"/>
    <mergeCell ref="D4:J4"/>
    <mergeCell ref="B12:J12"/>
    <mergeCell ref="B4:B11"/>
    <mergeCell ref="C11:E11"/>
    <mergeCell ref="D5:D10"/>
    <mergeCell ref="C4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66"/>
  </sheetPr>
  <dimension ref="A1:G28"/>
  <sheetViews>
    <sheetView workbookViewId="0">
      <pane ySplit="3" topLeftCell="A4" activePane="bottomLeft" state="frozen"/>
      <selection pane="bottomLeft"/>
    </sheetView>
  </sheetViews>
  <sheetFormatPr baseColWidth="10" defaultColWidth="0" defaultRowHeight="12.75" zeroHeight="1" x14ac:dyDescent="0.25"/>
  <cols>
    <col min="1" max="1" width="1.42578125" style="53" customWidth="1"/>
    <col min="2" max="2" width="3.140625" style="53" customWidth="1"/>
    <col min="3" max="3" width="38.7109375" style="53" customWidth="1"/>
    <col min="4" max="4" width="4" style="53" customWidth="1"/>
    <col min="5" max="5" width="3.140625" style="53" customWidth="1"/>
    <col min="6" max="6" width="38.7109375" style="53" customWidth="1"/>
    <col min="7" max="7" width="3.7109375" style="53" customWidth="1"/>
    <col min="8" max="16384" width="11.42578125" style="53" hidden="1"/>
  </cols>
  <sheetData>
    <row r="1" spans="2:6" ht="6" customHeight="1" thickBot="1" x14ac:dyDescent="0.3"/>
    <row r="2" spans="2:6" s="59" customFormat="1" ht="13.5" thickBot="1" x14ac:dyDescent="0.3">
      <c r="B2" s="178" t="s">
        <v>38</v>
      </c>
      <c r="C2" s="179"/>
      <c r="D2" s="179"/>
      <c r="E2" s="179"/>
      <c r="F2" s="180"/>
    </row>
    <row r="3" spans="2:6" ht="6" customHeight="1" thickBot="1" x14ac:dyDescent="0.3"/>
    <row r="4" spans="2:6" ht="15.75" customHeight="1" thickBot="1" x14ac:dyDescent="0.3">
      <c r="B4" s="73" t="s">
        <v>39</v>
      </c>
      <c r="C4" s="74"/>
      <c r="E4" s="73" t="s">
        <v>46</v>
      </c>
      <c r="F4" s="74"/>
    </row>
    <row r="5" spans="2:6" ht="6" customHeight="1" thickBot="1" x14ac:dyDescent="0.3"/>
    <row r="6" spans="2:6" s="95" customFormat="1" ht="12.75" customHeight="1" x14ac:dyDescent="0.25">
      <c r="B6" s="93" t="s">
        <v>40</v>
      </c>
      <c r="C6" s="94"/>
      <c r="E6" s="93" t="s">
        <v>47</v>
      </c>
      <c r="F6" s="94"/>
    </row>
    <row r="7" spans="2:6" x14ac:dyDescent="0.25">
      <c r="B7" s="61" t="s">
        <v>41</v>
      </c>
      <c r="C7" s="69" t="s">
        <v>42</v>
      </c>
      <c r="E7" s="61" t="s">
        <v>41</v>
      </c>
      <c r="F7" s="69" t="s">
        <v>48</v>
      </c>
    </row>
    <row r="8" spans="2:6" ht="15.75" customHeight="1" x14ac:dyDescent="0.25">
      <c r="B8" s="61" t="s">
        <v>41</v>
      </c>
      <c r="C8" s="69" t="s">
        <v>43</v>
      </c>
      <c r="E8" s="61" t="s">
        <v>41</v>
      </c>
      <c r="F8" s="69" t="s">
        <v>49</v>
      </c>
    </row>
    <row r="9" spans="2:6" ht="15.75" customHeight="1" x14ac:dyDescent="0.25">
      <c r="B9" s="61" t="s">
        <v>41</v>
      </c>
      <c r="C9" s="69" t="s">
        <v>44</v>
      </c>
      <c r="E9" s="61" t="s">
        <v>41</v>
      </c>
      <c r="F9" s="69" t="s">
        <v>50</v>
      </c>
    </row>
    <row r="10" spans="2:6" ht="15.75" customHeight="1" x14ac:dyDescent="0.25">
      <c r="B10" s="61" t="s">
        <v>41</v>
      </c>
      <c r="C10" s="69" t="s">
        <v>45</v>
      </c>
      <c r="E10" s="61" t="s">
        <v>41</v>
      </c>
      <c r="F10" s="69" t="s">
        <v>51</v>
      </c>
    </row>
    <row r="11" spans="2:6" s="98" customFormat="1" ht="15.75" customHeight="1" x14ac:dyDescent="0.25">
      <c r="B11" s="96" t="s">
        <v>52</v>
      </c>
      <c r="C11" s="97"/>
      <c r="D11" s="95"/>
      <c r="E11" s="96" t="s">
        <v>57</v>
      </c>
      <c r="F11" s="97"/>
    </row>
    <row r="12" spans="2:6" ht="15.75" customHeight="1" x14ac:dyDescent="0.25">
      <c r="B12" s="61" t="s">
        <v>41</v>
      </c>
      <c r="C12" s="69" t="s">
        <v>53</v>
      </c>
      <c r="E12" s="61" t="s">
        <v>41</v>
      </c>
      <c r="F12" s="69" t="s">
        <v>58</v>
      </c>
    </row>
    <row r="13" spans="2:6" ht="15.75" customHeight="1" x14ac:dyDescent="0.25">
      <c r="B13" s="61" t="s">
        <v>41</v>
      </c>
      <c r="C13" s="69" t="s">
        <v>54</v>
      </c>
      <c r="E13" s="61" t="s">
        <v>41</v>
      </c>
      <c r="F13" s="69" t="s">
        <v>59</v>
      </c>
    </row>
    <row r="14" spans="2:6" ht="15.75" customHeight="1" x14ac:dyDescent="0.25">
      <c r="B14" s="61" t="s">
        <v>41</v>
      </c>
      <c r="C14" s="69" t="s">
        <v>55</v>
      </c>
      <c r="E14" s="61" t="s">
        <v>41</v>
      </c>
      <c r="F14" s="69" t="s">
        <v>60</v>
      </c>
    </row>
    <row r="15" spans="2:6" x14ac:dyDescent="0.25">
      <c r="B15" s="61" t="s">
        <v>41</v>
      </c>
      <c r="C15" s="69" t="s">
        <v>56</v>
      </c>
      <c r="E15" s="61" t="s">
        <v>41</v>
      </c>
      <c r="F15" s="69" t="s">
        <v>61</v>
      </c>
    </row>
    <row r="16" spans="2:6" ht="15" customHeight="1" thickBot="1" x14ac:dyDescent="0.3">
      <c r="B16" s="65"/>
      <c r="C16" s="72"/>
      <c r="E16" s="70"/>
      <c r="F16" s="71"/>
    </row>
    <row r="17" spans="2:6" ht="15.75" customHeight="1" x14ac:dyDescent="0.25">
      <c r="E17" s="181" t="s">
        <v>62</v>
      </c>
      <c r="F17" s="182"/>
    </row>
    <row r="18" spans="2:6" ht="15.75" customHeight="1" x14ac:dyDescent="0.25">
      <c r="E18" s="61" t="s">
        <v>41</v>
      </c>
      <c r="F18" s="69" t="s">
        <v>63</v>
      </c>
    </row>
    <row r="19" spans="2:6" ht="15.75" customHeight="1" x14ac:dyDescent="0.25">
      <c r="E19" s="61" t="s">
        <v>41</v>
      </c>
      <c r="F19" s="69" t="s">
        <v>64</v>
      </c>
    </row>
    <row r="20" spans="2:6" ht="15.75" customHeight="1" x14ac:dyDescent="0.25">
      <c r="E20" s="61" t="s">
        <v>41</v>
      </c>
      <c r="F20" s="69" t="s">
        <v>65</v>
      </c>
    </row>
    <row r="21" spans="2:6" ht="15.75" customHeight="1" x14ac:dyDescent="0.25">
      <c r="E21" s="61" t="s">
        <v>41</v>
      </c>
      <c r="F21" s="69" t="s">
        <v>66</v>
      </c>
    </row>
    <row r="22" spans="2:6" s="98" customFormat="1" ht="15.75" customHeight="1" x14ac:dyDescent="0.25">
      <c r="B22" s="53"/>
      <c r="C22" s="53"/>
      <c r="D22" s="95"/>
      <c r="E22" s="96" t="s">
        <v>67</v>
      </c>
      <c r="F22" s="97"/>
    </row>
    <row r="23" spans="2:6" ht="15.75" customHeight="1" x14ac:dyDescent="0.25">
      <c r="E23" s="183" t="s">
        <v>41</v>
      </c>
      <c r="F23" s="185" t="s">
        <v>68</v>
      </c>
    </row>
    <row r="24" spans="2:6" ht="15.75" customHeight="1" x14ac:dyDescent="0.25">
      <c r="E24" s="184"/>
      <c r="F24" s="186"/>
    </row>
    <row r="25" spans="2:6" ht="15.75" customHeight="1" x14ac:dyDescent="0.25">
      <c r="E25" s="61" t="s">
        <v>41</v>
      </c>
      <c r="F25" s="69" t="s">
        <v>69</v>
      </c>
    </row>
    <row r="26" spans="2:6" ht="13.5" thickBot="1" x14ac:dyDescent="0.3">
      <c r="E26" s="65" t="s">
        <v>41</v>
      </c>
      <c r="F26" s="72" t="s">
        <v>70</v>
      </c>
    </row>
    <row r="27" spans="2:6" x14ac:dyDescent="0.25"/>
    <row r="28" spans="2:6" x14ac:dyDescent="0.25"/>
  </sheetData>
  <sheetProtection algorithmName="SHA-512" hashValue="w4YQ08QkN48rUxAh18vilghIeJ9JWk8wyDZO7jb7IKtIU76zBDIPURrOIeR7afmD3aMNg/hq0WAE64thsEHa/A==" saltValue="pJWWWyE1FwJJiy7dSYPlWg==" spinCount="100000" sheet="1" objects="1" scenarios="1"/>
  <mergeCells count="4">
    <mergeCell ref="B2:F2"/>
    <mergeCell ref="E17:F17"/>
    <mergeCell ref="E23:E24"/>
    <mergeCell ref="F23:F24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I32"/>
  <sheetViews>
    <sheetView topLeftCell="A13" zoomScale="85" zoomScaleNormal="85" workbookViewId="0">
      <selection activeCell="D23" sqref="D23"/>
    </sheetView>
  </sheetViews>
  <sheetFormatPr baseColWidth="10" defaultRowHeight="15" x14ac:dyDescent="0.25"/>
  <cols>
    <col min="1" max="1" width="27.5703125" bestFit="1" customWidth="1"/>
    <col min="2" max="2" width="15.28515625" bestFit="1" customWidth="1"/>
    <col min="3" max="3" width="12.140625" bestFit="1" customWidth="1"/>
    <col min="4" max="4" width="11.28515625" bestFit="1" customWidth="1"/>
    <col min="7" max="8" width="16.85546875" customWidth="1"/>
    <col min="9" max="9" width="21.140625" bestFit="1" customWidth="1"/>
  </cols>
  <sheetData>
    <row r="1" spans="1:9" x14ac:dyDescent="0.25">
      <c r="A1" s="2" t="s">
        <v>0</v>
      </c>
      <c r="B1" s="2" t="s">
        <v>2</v>
      </c>
    </row>
    <row r="2" spans="1:9" x14ac:dyDescent="0.25">
      <c r="A2" s="1" t="s">
        <v>18</v>
      </c>
      <c r="B2" s="1" t="s">
        <v>19</v>
      </c>
    </row>
    <row r="3" spans="1:9" x14ac:dyDescent="0.25">
      <c r="A3" s="1" t="s">
        <v>4</v>
      </c>
      <c r="B3" s="1" t="s">
        <v>9</v>
      </c>
    </row>
    <row r="4" spans="1:9" x14ac:dyDescent="0.25">
      <c r="A4" s="1" t="s">
        <v>20</v>
      </c>
      <c r="B4" s="1" t="s">
        <v>10</v>
      </c>
    </row>
    <row r="5" spans="1:9" x14ac:dyDescent="0.25">
      <c r="A5" s="1" t="s">
        <v>21</v>
      </c>
      <c r="B5" s="1" t="s">
        <v>22</v>
      </c>
      <c r="G5" s="2" t="s">
        <v>0</v>
      </c>
      <c r="H5" s="2" t="s">
        <v>2</v>
      </c>
      <c r="I5" t="s">
        <v>24</v>
      </c>
    </row>
    <row r="6" spans="1:9" x14ac:dyDescent="0.25">
      <c r="A6" s="1" t="s">
        <v>23</v>
      </c>
      <c r="B6" s="1" t="s">
        <v>12</v>
      </c>
      <c r="G6" s="1" t="s">
        <v>4</v>
      </c>
      <c r="H6" s="1" t="s">
        <v>22</v>
      </c>
      <c r="I6" s="1" t="str">
        <f t="shared" ref="I6" si="0">IFERROR(VLOOKUP((CONCATENATE(G6,H6)),$A$8:$B$32,2,FALSE),"")</f>
        <v>ALTA</v>
      </c>
    </row>
    <row r="7" spans="1:9" x14ac:dyDescent="0.25">
      <c r="G7" s="1"/>
      <c r="H7" s="1"/>
      <c r="I7" s="1" t="str">
        <f>IFERROR(VLOOKUP((CONCATENATE(G7,H7)),$A$8:$B$32,2,FALSE),"")</f>
        <v/>
      </c>
    </row>
    <row r="8" spans="1:9" x14ac:dyDescent="0.25">
      <c r="A8" t="str">
        <f>CONCATENATE($A$2,B2)</f>
        <v>RAROINSIGNIFICANTE</v>
      </c>
      <c r="B8" t="s">
        <v>25</v>
      </c>
      <c r="G8" s="1"/>
      <c r="H8" s="1"/>
      <c r="I8" s="1" t="str">
        <f t="shared" ref="I8:I15" si="1">IFERROR(VLOOKUP((CONCATENATE(G8,H8)),$A$8:$B$32,2,FALSE),"")</f>
        <v/>
      </c>
    </row>
    <row r="9" spans="1:9" x14ac:dyDescent="0.25">
      <c r="A9" t="str">
        <f>CONCATENATE($A$2,B3)</f>
        <v>RAROMENOR</v>
      </c>
      <c r="B9" t="s">
        <v>25</v>
      </c>
      <c r="G9" s="1"/>
      <c r="H9" s="1"/>
      <c r="I9" s="1" t="str">
        <f t="shared" si="1"/>
        <v/>
      </c>
    </row>
    <row r="10" spans="1:9" x14ac:dyDescent="0.25">
      <c r="A10" t="str">
        <f>CONCATENATE($A$2,B4)</f>
        <v>RAROMODERADO</v>
      </c>
      <c r="B10" t="s">
        <v>10</v>
      </c>
      <c r="G10" s="1" t="s">
        <v>4</v>
      </c>
      <c r="H10" s="1" t="s">
        <v>12</v>
      </c>
      <c r="I10" s="1" t="str">
        <f t="shared" si="1"/>
        <v>EXTREMO</v>
      </c>
    </row>
    <row r="11" spans="1:9" x14ac:dyDescent="0.25">
      <c r="A11" t="str">
        <f>CONCATENATE($A$2,B5)</f>
        <v>RAROMAYOR</v>
      </c>
      <c r="B11" t="s">
        <v>26</v>
      </c>
      <c r="G11" s="1"/>
      <c r="H11" s="1"/>
      <c r="I11" s="1" t="str">
        <f t="shared" si="1"/>
        <v/>
      </c>
    </row>
    <row r="12" spans="1:9" x14ac:dyDescent="0.25">
      <c r="A12" t="str">
        <f>CONCATENATE($A$2,B6)</f>
        <v>RAROCATASTROFICO</v>
      </c>
      <c r="B12" t="s">
        <v>26</v>
      </c>
      <c r="G12" s="1"/>
      <c r="H12" s="1"/>
      <c r="I12" s="1" t="str">
        <f t="shared" si="1"/>
        <v/>
      </c>
    </row>
    <row r="13" spans="1:9" x14ac:dyDescent="0.25">
      <c r="A13" t="str">
        <f>CONCATENATE($A$3,B2)</f>
        <v>IMPROBABLEINSIGNIFICANTE</v>
      </c>
      <c r="B13" t="s">
        <v>25</v>
      </c>
      <c r="G13" s="1"/>
      <c r="H13" s="1"/>
      <c r="I13" s="1" t="str">
        <f t="shared" si="1"/>
        <v/>
      </c>
    </row>
    <row r="14" spans="1:9" x14ac:dyDescent="0.25">
      <c r="A14" t="str">
        <f>CONCATENATE($A$3,B3)</f>
        <v>IMPROBABLEMENOR</v>
      </c>
      <c r="B14" t="s">
        <v>25</v>
      </c>
      <c r="G14" s="1"/>
      <c r="H14" s="1"/>
      <c r="I14" s="1" t="str">
        <f t="shared" si="1"/>
        <v/>
      </c>
    </row>
    <row r="15" spans="1:9" x14ac:dyDescent="0.25">
      <c r="A15" t="str">
        <f>CONCATENATE($A$3,B4)</f>
        <v>IMPROBABLEMODERADO</v>
      </c>
      <c r="B15" t="s">
        <v>10</v>
      </c>
      <c r="G15" s="1"/>
      <c r="H15" s="1"/>
      <c r="I15" s="1" t="str">
        <f t="shared" si="1"/>
        <v/>
      </c>
    </row>
    <row r="16" spans="1:9" x14ac:dyDescent="0.25">
      <c r="A16" t="str">
        <f>CONCATENATE($A$3,B5)</f>
        <v>IMPROBABLEMAYOR</v>
      </c>
      <c r="B16" t="s">
        <v>26</v>
      </c>
    </row>
    <row r="17" spans="1:9" x14ac:dyDescent="0.25">
      <c r="A17" t="str">
        <f>CONCATENATE($A$3,B6)</f>
        <v>IMPROBABLECATASTROFICO</v>
      </c>
      <c r="B17" t="s">
        <v>27</v>
      </c>
    </row>
    <row r="18" spans="1:9" x14ac:dyDescent="0.25">
      <c r="A18" t="str">
        <f>CONCATENATE($A$4,B2)</f>
        <v>POSIBLEINSIGNIFICANTE</v>
      </c>
      <c r="B18" t="s">
        <v>25</v>
      </c>
      <c r="G18" t="s">
        <v>28</v>
      </c>
      <c r="H18" t="s">
        <v>29</v>
      </c>
      <c r="I18" t="str">
        <f>CONCATENATE(G18," ",H18)</f>
        <v>ANA JORGE</v>
      </c>
    </row>
    <row r="19" spans="1:9" x14ac:dyDescent="0.25">
      <c r="A19" t="str">
        <f>CONCATENATE($A$4,B3)</f>
        <v>POSIBLEMENOR</v>
      </c>
      <c r="B19" t="s">
        <v>10</v>
      </c>
    </row>
    <row r="20" spans="1:9" x14ac:dyDescent="0.25">
      <c r="A20" t="str">
        <f>CONCATENATE($A$4,B4)</f>
        <v>POSIBLEMODERADO</v>
      </c>
      <c r="B20" t="s">
        <v>26</v>
      </c>
    </row>
    <row r="21" spans="1:9" x14ac:dyDescent="0.25">
      <c r="A21" t="str">
        <f>CONCATENATE($A$4,B5)</f>
        <v>POSIBLEMAYOR</v>
      </c>
      <c r="B21" t="s">
        <v>27</v>
      </c>
    </row>
    <row r="22" spans="1:9" x14ac:dyDescent="0.25">
      <c r="A22" t="str">
        <f>CONCATENATE($A$4,B6)</f>
        <v>POSIBLECATASTROFICO</v>
      </c>
      <c r="B22" t="s">
        <v>27</v>
      </c>
    </row>
    <row r="23" spans="1:9" x14ac:dyDescent="0.25">
      <c r="A23" t="str">
        <f>CONCATENATE($A$5,B2)</f>
        <v>PROBABLEINSIGNIFICANTE</v>
      </c>
      <c r="B23" t="s">
        <v>10</v>
      </c>
    </row>
    <row r="24" spans="1:9" x14ac:dyDescent="0.25">
      <c r="A24" t="str">
        <f>CONCATENATE($A$5,B3)</f>
        <v>PROBABLEMENOR</v>
      </c>
      <c r="B24" t="s">
        <v>26</v>
      </c>
    </row>
    <row r="25" spans="1:9" x14ac:dyDescent="0.25">
      <c r="A25" t="str">
        <f>CONCATENATE($A$5,B4)</f>
        <v>PROBABLEMODERADO</v>
      </c>
      <c r="B25" t="s">
        <v>26</v>
      </c>
    </row>
    <row r="26" spans="1:9" x14ac:dyDescent="0.25">
      <c r="A26" t="str">
        <f>CONCATENATE($A$5,B5)</f>
        <v>PROBABLEMAYOR</v>
      </c>
      <c r="B26" t="s">
        <v>27</v>
      </c>
    </row>
    <row r="27" spans="1:9" x14ac:dyDescent="0.25">
      <c r="A27" t="str">
        <f>CONCATENATE($A$5,B6)</f>
        <v>PROBABLECATASTROFICO</v>
      </c>
      <c r="B27" t="s">
        <v>27</v>
      </c>
    </row>
    <row r="28" spans="1:9" x14ac:dyDescent="0.25">
      <c r="A28" t="str">
        <f>CONCATENATE($A$6,B2)</f>
        <v>CASI SEGUROINSIGNIFICANTE</v>
      </c>
      <c r="B28" t="s">
        <v>26</v>
      </c>
    </row>
    <row r="29" spans="1:9" x14ac:dyDescent="0.25">
      <c r="A29" t="str">
        <f>CONCATENATE($A$6,B3)</f>
        <v>CASI SEGUROMENOR</v>
      </c>
      <c r="B29" t="s">
        <v>26</v>
      </c>
    </row>
    <row r="30" spans="1:9" x14ac:dyDescent="0.25">
      <c r="A30" t="str">
        <f>CONCATENATE($A$6,B4)</f>
        <v>CASI SEGUROMODERADO</v>
      </c>
      <c r="B30" t="s">
        <v>27</v>
      </c>
    </row>
    <row r="31" spans="1:9" x14ac:dyDescent="0.25">
      <c r="A31" t="str">
        <f>CONCATENATE($A$6,B5)</f>
        <v>CASI SEGUROMAYOR</v>
      </c>
      <c r="B31" t="s">
        <v>27</v>
      </c>
    </row>
    <row r="32" spans="1:9" x14ac:dyDescent="0.25">
      <c r="A32" t="str">
        <f>CONCATENATE($A$6,B6)</f>
        <v>CASI SEGUROCATASTROFICO</v>
      </c>
      <c r="B32" t="s">
        <v>27</v>
      </c>
    </row>
  </sheetData>
  <dataValidations count="2">
    <dataValidation type="list" allowBlank="1" showInputMessage="1" showErrorMessage="1" sqref="H6:H15">
      <formula1>$B$2:$B$6</formula1>
    </dataValidation>
    <dataValidation type="list" allowBlank="1" showInputMessage="1" showErrorMessage="1" sqref="G6:G15">
      <formula1>$A$2:$A$6</formula1>
    </dataValidation>
  </dataValidation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FO-GC-024</vt:lpstr>
      <vt:lpstr>DOFA</vt:lpstr>
      <vt:lpstr>Evaluación del Riesgo</vt:lpstr>
      <vt:lpstr>Ejemplo de Riesgos</vt:lpstr>
      <vt:lpstr>RIESGOS </vt:lpstr>
      <vt:lpstr>M</vt:lpstr>
      <vt:lpstr>'FO-GC-024'!Títulos_a_imprimir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ASISTENTE CALIDAD</cp:lastModifiedBy>
  <cp:lastPrinted>2023-03-10T17:47:24Z</cp:lastPrinted>
  <dcterms:created xsi:type="dcterms:W3CDTF">2018-03-21T13:06:16Z</dcterms:created>
  <dcterms:modified xsi:type="dcterms:W3CDTF">2023-03-10T17:47:28Z</dcterms:modified>
</cp:coreProperties>
</file>