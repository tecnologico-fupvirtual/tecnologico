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COORD.CALIDAD\OneDrive - Fundación Universitaria de Popayán\COORDINACIÓN CALIDAD - FUP\DOC-SGC-FUP\HERRAMIENTA  ISO CALIDAD 3\4.4 Gestión de Calidad\FO\"/>
    </mc:Choice>
  </mc:AlternateContent>
  <bookViews>
    <workbookView xWindow="0" yWindow="0" windowWidth="19200" windowHeight="7050"/>
  </bookViews>
  <sheets>
    <sheet name="FO-GC-015" sheetId="1" r:id="rId1"/>
    <sheet name="Req. ISO 9001-2015" sheetId="8" r:id="rId2"/>
    <sheet name="SGC-Vigente" sheetId="6" state="hidden" r:id="rId3"/>
    <sheet name="Resumen NC" sheetId="12" r:id="rId4"/>
    <sheet name="Resumen Obs" sheetId="13" r:id="rId5"/>
    <sheet name="Eq. Auditor" sheetId="15" state="hidden" r:id="rId6"/>
    <sheet name="Listas" sheetId="11" state="hidden" r:id="rId7"/>
  </sheets>
  <externalReferences>
    <externalReference r:id="rId8"/>
  </externalReferences>
  <definedNames>
    <definedName name="_xlnm._FilterDatabase" localSheetId="5" hidden="1">'Eq. Auditor'!$E$2:$Q$61</definedName>
    <definedName name="_xlnm._FilterDatabase" localSheetId="6" hidden="1">Listas!$B$3:$C$57</definedName>
    <definedName name="_xlnm._FilterDatabase" localSheetId="1" hidden="1">'Req. ISO 9001-2015'!$A$3:$D$100</definedName>
    <definedName name="_xlnm.Print_Area" localSheetId="5">'Eq. Auditor'!$A$3:$B$36</definedName>
    <definedName name="_xlnm.Print_Area" localSheetId="0">'FO-GC-015'!$C$3:$AL$74</definedName>
    <definedName name="_xlnm.Print_Area" localSheetId="1">'Req. ISO 9001-2015'!$A$1:$D$100</definedName>
    <definedName name="_xlnm.Print_Titles" localSheetId="5">'Eq. Auditor'!$1:$2</definedName>
    <definedName name="_xlnm.Print_Titles" localSheetId="0">'FO-GC-015'!$2:$13</definedName>
    <definedName name="_xlnm.Print_Titles" localSheetId="6">Listas!$2:$3</definedName>
    <definedName name="_xlnm.Print_Titles" localSheetId="1">'Req. ISO 9001-2015'!$1:$2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7" i="12" l="1"/>
  <c r="J64" i="15" l="1"/>
  <c r="J63" i="15"/>
  <c r="J62" i="15"/>
  <c r="J65" i="15" s="1"/>
  <c r="L61" i="15"/>
  <c r="C61" i="15"/>
  <c r="L60" i="15"/>
  <c r="C60" i="15"/>
  <c r="C59" i="15"/>
  <c r="C58" i="15"/>
  <c r="Q57" i="15"/>
  <c r="P57" i="15"/>
  <c r="E57" i="15"/>
  <c r="D57" i="15"/>
  <c r="C57" i="15"/>
  <c r="E56" i="15"/>
  <c r="A56" i="15" s="1"/>
  <c r="C56" i="15"/>
  <c r="E55" i="15"/>
  <c r="A55" i="15" s="1"/>
  <c r="C55" i="15"/>
  <c r="E54" i="15"/>
  <c r="A54" i="15" s="1"/>
  <c r="C54" i="15"/>
  <c r="E53" i="15"/>
  <c r="A53" i="15" s="1"/>
  <c r="C53" i="15"/>
  <c r="E52" i="15"/>
  <c r="A52" i="15" s="1"/>
  <c r="C52" i="15"/>
  <c r="E51" i="15"/>
  <c r="A51" i="15" s="1"/>
  <c r="C51" i="15"/>
  <c r="E50" i="15"/>
  <c r="A50" i="15" s="1"/>
  <c r="C50" i="15"/>
  <c r="E49" i="15"/>
  <c r="A49" i="15" s="1"/>
  <c r="C49" i="15"/>
  <c r="E48" i="15"/>
  <c r="A48" i="15" s="1"/>
  <c r="C48" i="15"/>
  <c r="E47" i="15"/>
  <c r="A47" i="15" s="1"/>
  <c r="C47" i="15"/>
  <c r="E46" i="15"/>
  <c r="A46" i="15" s="1"/>
  <c r="B46" i="15" s="1"/>
  <c r="C46" i="15"/>
  <c r="E45" i="15"/>
  <c r="A45" i="15" s="1"/>
  <c r="B45" i="15" s="1"/>
  <c r="C45" i="15"/>
  <c r="E44" i="15"/>
  <c r="A44" i="15" s="1"/>
  <c r="B44" i="15" s="1"/>
  <c r="C44" i="15"/>
  <c r="E43" i="15"/>
  <c r="A43" i="15" s="1"/>
  <c r="B43" i="15" s="1"/>
  <c r="C43" i="15"/>
  <c r="E42" i="15"/>
  <c r="A42" i="15" s="1"/>
  <c r="B42" i="15" s="1"/>
  <c r="C42" i="15"/>
  <c r="E41" i="15"/>
  <c r="A41" i="15" s="1"/>
  <c r="B41" i="15" s="1"/>
  <c r="C41" i="15"/>
  <c r="E40" i="15"/>
  <c r="A40" i="15" s="1"/>
  <c r="B40" i="15" s="1"/>
  <c r="C40" i="15"/>
  <c r="E39" i="15"/>
  <c r="A39" i="15" s="1"/>
  <c r="B39" i="15" s="1"/>
  <c r="C39" i="15"/>
  <c r="E38" i="15"/>
  <c r="A38" i="15" s="1"/>
  <c r="B38" i="15" s="1"/>
  <c r="C38" i="15"/>
  <c r="E37" i="15"/>
  <c r="A37" i="15" s="1"/>
  <c r="B37" i="15" s="1"/>
  <c r="C37" i="15"/>
  <c r="L36" i="15"/>
  <c r="E36" i="15"/>
  <c r="A36" i="15" s="1"/>
  <c r="B36" i="15" s="1"/>
  <c r="C36" i="15"/>
  <c r="L35" i="15"/>
  <c r="E35" i="15"/>
  <c r="D35" i="15" s="1"/>
  <c r="C35" i="15"/>
  <c r="A35" i="15"/>
  <c r="L34" i="15"/>
  <c r="E34" i="15"/>
  <c r="A34" i="15" s="1"/>
  <c r="B34" i="15" s="1"/>
  <c r="D34" i="15"/>
  <c r="C34" i="15"/>
  <c r="L33" i="15"/>
  <c r="E33" i="15"/>
  <c r="D33" i="15" s="1"/>
  <c r="C33" i="15"/>
  <c r="L32" i="15"/>
  <c r="E32" i="15"/>
  <c r="D32" i="15"/>
  <c r="C32" i="15"/>
  <c r="A32" i="15"/>
  <c r="B32" i="15" s="1"/>
  <c r="Q31" i="15"/>
  <c r="P31" i="15"/>
  <c r="L31" i="15" s="1"/>
  <c r="E31" i="15"/>
  <c r="D31" i="15"/>
  <c r="C31" i="15"/>
  <c r="A31" i="15"/>
  <c r="B31" i="15" s="1"/>
  <c r="L30" i="15"/>
  <c r="E30" i="15"/>
  <c r="D30" i="15" s="1"/>
  <c r="C30" i="15"/>
  <c r="A30" i="15"/>
  <c r="L29" i="15"/>
  <c r="E29" i="15"/>
  <c r="D29" i="15"/>
  <c r="C29" i="15"/>
  <c r="A29" i="15"/>
  <c r="B29" i="15" s="1"/>
  <c r="Q28" i="15"/>
  <c r="L28" i="15" s="1"/>
  <c r="E28" i="15"/>
  <c r="A28" i="15" s="1"/>
  <c r="B28" i="15" s="1"/>
  <c r="D28" i="15"/>
  <c r="C28" i="15"/>
  <c r="Q27" i="15"/>
  <c r="P27" i="15"/>
  <c r="L27" i="15" s="1"/>
  <c r="E27" i="15"/>
  <c r="A27" i="15" s="1"/>
  <c r="B27" i="15" s="1"/>
  <c r="D27" i="15"/>
  <c r="C27" i="15"/>
  <c r="Q26" i="15"/>
  <c r="P26" i="15"/>
  <c r="L26" i="15" s="1"/>
  <c r="E26" i="15"/>
  <c r="A26" i="15" s="1"/>
  <c r="B26" i="15" s="1"/>
  <c r="D26" i="15"/>
  <c r="C26" i="15"/>
  <c r="L25" i="15"/>
  <c r="E25" i="15"/>
  <c r="D25" i="15" s="1"/>
  <c r="C25" i="15"/>
  <c r="A25" i="15"/>
  <c r="B25" i="15" s="1"/>
  <c r="Q24" i="15"/>
  <c r="P24" i="15"/>
  <c r="L24" i="15"/>
  <c r="E24" i="15"/>
  <c r="D24" i="15" s="1"/>
  <c r="C24" i="15"/>
  <c r="A24" i="15"/>
  <c r="B24" i="15" s="1"/>
  <c r="Q23" i="15"/>
  <c r="L23" i="15" s="1"/>
  <c r="E23" i="15"/>
  <c r="A23" i="15" s="1"/>
  <c r="B23" i="15" s="1"/>
  <c r="D23" i="15"/>
  <c r="C23" i="15"/>
  <c r="L22" i="15"/>
  <c r="E22" i="15"/>
  <c r="D22" i="15" s="1"/>
  <c r="C22" i="15"/>
  <c r="A22" i="15"/>
  <c r="L21" i="15"/>
  <c r="E21" i="15"/>
  <c r="D21" i="15"/>
  <c r="C21" i="15"/>
  <c r="A21" i="15"/>
  <c r="B21" i="15" s="1"/>
  <c r="L20" i="15"/>
  <c r="E20" i="15"/>
  <c r="D20" i="15" s="1"/>
  <c r="C20" i="15"/>
  <c r="Q19" i="15"/>
  <c r="P19" i="15"/>
  <c r="L19" i="15"/>
  <c r="E19" i="15"/>
  <c r="D19" i="15" s="1"/>
  <c r="C19" i="15"/>
  <c r="Q18" i="15"/>
  <c r="L18" i="15"/>
  <c r="E18" i="15"/>
  <c r="D18" i="15" s="1"/>
  <c r="C18" i="15"/>
  <c r="A18" i="15"/>
  <c r="B18" i="15" s="1"/>
  <c r="Q17" i="15"/>
  <c r="P17" i="15"/>
  <c r="L17" i="15"/>
  <c r="E17" i="15"/>
  <c r="D17" i="15" s="1"/>
  <c r="C17" i="15"/>
  <c r="A17" i="15"/>
  <c r="B17" i="15" s="1"/>
  <c r="Q16" i="15"/>
  <c r="L16" i="15" s="1"/>
  <c r="E16" i="15"/>
  <c r="D16" i="15"/>
  <c r="C16" i="15"/>
  <c r="A16" i="15"/>
  <c r="B16" i="15" s="1"/>
  <c r="Q15" i="15"/>
  <c r="Q1" i="15" s="1"/>
  <c r="P15" i="15"/>
  <c r="L15" i="15" s="1"/>
  <c r="E15" i="15"/>
  <c r="D15" i="15"/>
  <c r="C15" i="15"/>
  <c r="A15" i="15"/>
  <c r="B15" i="15" s="1"/>
  <c r="L14" i="15"/>
  <c r="E14" i="15"/>
  <c r="D14" i="15" s="1"/>
  <c r="C14" i="15"/>
  <c r="A14" i="15"/>
  <c r="B14" i="15" s="1"/>
  <c r="L13" i="15"/>
  <c r="E13" i="15"/>
  <c r="A13" i="15" s="1"/>
  <c r="B13" i="15" s="1"/>
  <c r="D13" i="15"/>
  <c r="C13" i="15"/>
  <c r="L12" i="15"/>
  <c r="E12" i="15"/>
  <c r="D12" i="15" s="1"/>
  <c r="C12" i="15"/>
  <c r="L11" i="15"/>
  <c r="E11" i="15"/>
  <c r="D11" i="15"/>
  <c r="C11" i="15"/>
  <c r="A11" i="15"/>
  <c r="B11" i="15" s="1"/>
  <c r="L10" i="15"/>
  <c r="E10" i="15"/>
  <c r="D10" i="15" s="1"/>
  <c r="C10" i="15"/>
  <c r="A10" i="15"/>
  <c r="B10" i="15" s="1"/>
  <c r="L9" i="15"/>
  <c r="E9" i="15"/>
  <c r="A9" i="15" s="1"/>
  <c r="B9" i="15" s="1"/>
  <c r="D9" i="15"/>
  <c r="C9" i="15"/>
  <c r="L8" i="15"/>
  <c r="E8" i="15"/>
  <c r="D8" i="15" s="1"/>
  <c r="C8" i="15"/>
  <c r="Q7" i="15"/>
  <c r="L7" i="15"/>
  <c r="E7" i="15"/>
  <c r="D7" i="15"/>
  <c r="C7" i="15"/>
  <c r="A7" i="15"/>
  <c r="B7" i="15" s="1"/>
  <c r="P6" i="15"/>
  <c r="L6" i="15" s="1"/>
  <c r="E6" i="15"/>
  <c r="D6" i="15"/>
  <c r="C6" i="15"/>
  <c r="B22" i="15" s="1"/>
  <c r="A6" i="15"/>
  <c r="B6" i="15" s="1"/>
  <c r="L5" i="15"/>
  <c r="E5" i="15"/>
  <c r="D5" i="15" s="1"/>
  <c r="C5" i="15"/>
  <c r="A5" i="15"/>
  <c r="B5" i="15" s="1"/>
  <c r="Q4" i="15"/>
  <c r="P4" i="15"/>
  <c r="L4" i="15"/>
  <c r="E4" i="15"/>
  <c r="D4" i="15" s="1"/>
  <c r="C4" i="15"/>
  <c r="B35" i="15" s="1"/>
  <c r="A4" i="15"/>
  <c r="B4" i="15" s="1"/>
  <c r="L3" i="15"/>
  <c r="E3" i="15"/>
  <c r="A3" i="15" s="1"/>
  <c r="B3" i="15" s="1"/>
  <c r="D3" i="15"/>
  <c r="C3" i="15"/>
  <c r="P1" i="15"/>
  <c r="O1" i="15"/>
  <c r="N1" i="15"/>
  <c r="M1" i="15"/>
  <c r="B52" i="15" l="1"/>
  <c r="B56" i="15"/>
  <c r="B48" i="15"/>
  <c r="B49" i="15"/>
  <c r="B53" i="15"/>
  <c r="B50" i="15"/>
  <c r="B54" i="15"/>
  <c r="B47" i="15"/>
  <c r="B51" i="15"/>
  <c r="B55" i="15"/>
  <c r="B30" i="15"/>
  <c r="A8" i="15"/>
  <c r="B8" i="15" s="1"/>
  <c r="A12" i="15"/>
  <c r="B12" i="15" s="1"/>
  <c r="A19" i="15"/>
  <c r="B19" i="15" s="1"/>
  <c r="A20" i="15"/>
  <c r="B20" i="15" s="1"/>
  <c r="A33" i="15"/>
  <c r="B33" i="15" s="1"/>
  <c r="A5" i="6" l="1"/>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C15" i="1" l="1"/>
  <c r="F18" i="1"/>
  <c r="A48" i="11" l="1"/>
  <c r="A49" i="11"/>
  <c r="A50" i="11"/>
  <c r="A51" i="11"/>
  <c r="A52" i="11"/>
  <c r="A53" i="11"/>
  <c r="A45" i="11"/>
  <c r="A46" i="11"/>
  <c r="A47" i="11"/>
  <c r="A1" i="1" l="1"/>
  <c r="B1" i="1"/>
  <c r="C1" i="1"/>
  <c r="I4" i="13" s="1"/>
  <c r="D1" i="1"/>
  <c r="E1" i="1"/>
  <c r="F1" i="1"/>
  <c r="G1" i="1"/>
  <c r="H1" i="1"/>
  <c r="I1" i="1"/>
  <c r="J1" i="1"/>
  <c r="K1" i="1"/>
  <c r="L1" i="1"/>
  <c r="M1" i="1"/>
  <c r="N1" i="1"/>
  <c r="O1" i="1"/>
  <c r="P1" i="1"/>
  <c r="Q1" i="1"/>
  <c r="R1" i="1"/>
  <c r="S1" i="1"/>
  <c r="T1" i="1"/>
  <c r="U1" i="1"/>
  <c r="V1" i="1"/>
  <c r="W1" i="1"/>
  <c r="X1" i="1"/>
  <c r="Y1" i="1"/>
  <c r="Z1" i="1"/>
  <c r="AA1" i="1"/>
  <c r="D4" i="13" s="1"/>
  <c r="AB1" i="1"/>
  <c r="AC1" i="1"/>
  <c r="AD1" i="1"/>
  <c r="AE1" i="1"/>
  <c r="AF1" i="1"/>
  <c r="AG1" i="1"/>
  <c r="AH1" i="1"/>
  <c r="AI1" i="1"/>
  <c r="AJ1" i="1"/>
  <c r="AK1" i="1"/>
  <c r="AL1" i="1"/>
  <c r="B6" i="13"/>
  <c r="H4" i="13"/>
  <c r="G4" i="13"/>
  <c r="F4" i="13"/>
  <c r="M3" i="13"/>
  <c r="N8" i="13" s="1"/>
  <c r="L27" i="13" s="1"/>
  <c r="M2" i="13"/>
  <c r="M1" i="13"/>
  <c r="M3" i="12"/>
  <c r="N8" i="12" s="1"/>
  <c r="M2" i="12"/>
  <c r="B7" i="13" l="1"/>
  <c r="B8" i="13" l="1"/>
  <c r="B9" i="13" l="1"/>
  <c r="B10" i="13" l="1"/>
  <c r="B11" i="13" l="1"/>
  <c r="B12" i="13" l="1"/>
  <c r="B13" i="13" l="1"/>
  <c r="B14" i="13" l="1"/>
  <c r="B15" i="13" l="1"/>
  <c r="B16" i="13" l="1"/>
  <c r="B17" i="13" l="1"/>
  <c r="B18" i="13" l="1"/>
  <c r="B19" i="13" l="1"/>
  <c r="B20" i="13" l="1"/>
  <c r="B21" i="13" l="1"/>
  <c r="B22" i="13" l="1"/>
  <c r="B23" i="13" l="1"/>
  <c r="B24" i="13" l="1"/>
  <c r="B25" i="13" l="1"/>
  <c r="B26" i="13" l="1"/>
  <c r="B27" i="13" l="1"/>
  <c r="B28" i="13" l="1"/>
  <c r="B29" i="13" l="1"/>
  <c r="B30" i="13" l="1"/>
  <c r="B31" i="13" l="1"/>
  <c r="B32" i="13" l="1"/>
  <c r="B33" i="13" l="1"/>
  <c r="B34" i="13" l="1"/>
  <c r="B35" i="13" l="1"/>
  <c r="B36" i="13" l="1"/>
  <c r="B37" i="13" l="1"/>
  <c r="B38" i="13" l="1"/>
  <c r="M1" i="12" l="1"/>
  <c r="A26" i="1" l="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25" i="1"/>
  <c r="B6" i="12"/>
  <c r="B7" i="12" s="1"/>
  <c r="G4" i="12"/>
  <c r="H4" i="12"/>
  <c r="F4" i="12"/>
  <c r="I4" i="12"/>
  <c r="D4" i="12"/>
  <c r="X24" i="1"/>
  <c r="B8" i="12" l="1"/>
  <c r="Z24" i="1"/>
  <c r="Y24" i="1"/>
  <c r="E2" i="12" l="1"/>
  <c r="B9" i="12"/>
  <c r="Z15" i="1"/>
  <c r="E2" i="13" s="1"/>
  <c r="C7" i="12" l="1"/>
  <c r="G7" i="12" s="1"/>
  <c r="C5" i="12"/>
  <c r="C6" i="12"/>
  <c r="F6" i="12" s="1"/>
  <c r="C8" i="12"/>
  <c r="C38" i="13"/>
  <c r="C16" i="13"/>
  <c r="C9" i="13"/>
  <c r="C25" i="13"/>
  <c r="C7" i="13"/>
  <c r="C23" i="13"/>
  <c r="C12" i="13"/>
  <c r="C6" i="13"/>
  <c r="C22" i="13"/>
  <c r="C17" i="13"/>
  <c r="C15" i="13"/>
  <c r="C28" i="13"/>
  <c r="C8" i="13"/>
  <c r="C21" i="13"/>
  <c r="C19" i="13"/>
  <c r="C32" i="13"/>
  <c r="C18" i="13"/>
  <c r="C24" i="13"/>
  <c r="C13" i="13"/>
  <c r="C29" i="13"/>
  <c r="C11" i="13"/>
  <c r="C27" i="13"/>
  <c r="C20" i="13"/>
  <c r="C10" i="13"/>
  <c r="C26" i="13"/>
  <c r="C36" i="13"/>
  <c r="C33" i="13"/>
  <c r="C31" i="13"/>
  <c r="C14" i="13"/>
  <c r="C30" i="13"/>
  <c r="C5" i="13"/>
  <c r="C37" i="13"/>
  <c r="C35" i="13"/>
  <c r="C34" i="13"/>
  <c r="F8" i="12"/>
  <c r="E8" i="12"/>
  <c r="G8" i="12"/>
  <c r="H8" i="12"/>
  <c r="D8" i="12"/>
  <c r="I8" i="12"/>
  <c r="B10" i="12"/>
  <c r="C9" i="12"/>
  <c r="F5" i="12"/>
  <c r="I5" i="12"/>
  <c r="D5" i="12"/>
  <c r="H5" i="12"/>
  <c r="G5" i="12"/>
  <c r="H6" i="12"/>
  <c r="G6" i="12"/>
  <c r="D6" i="12"/>
  <c r="A54"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8" i="11"/>
  <c r="A7" i="11"/>
  <c r="A6" i="11"/>
  <c r="A5" i="11"/>
  <c r="A4" i="11"/>
  <c r="D7" i="12" l="1"/>
  <c r="E7" i="12"/>
  <c r="F7" i="12"/>
  <c r="H7" i="12"/>
  <c r="I6" i="12"/>
  <c r="I7" i="12"/>
  <c r="H37" i="13"/>
  <c r="D37" i="13"/>
  <c r="I37" i="13"/>
  <c r="G37" i="13"/>
  <c r="E37" i="13"/>
  <c r="F37" i="13"/>
  <c r="F10" i="13"/>
  <c r="D10" i="13"/>
  <c r="G10" i="13"/>
  <c r="I10" i="13"/>
  <c r="E10" i="13"/>
  <c r="H10" i="13"/>
  <c r="D32" i="13"/>
  <c r="I32" i="13"/>
  <c r="G32" i="13"/>
  <c r="E32" i="13"/>
  <c r="F32" i="13"/>
  <c r="H32" i="13"/>
  <c r="F6" i="13"/>
  <c r="D6" i="13"/>
  <c r="G6" i="13"/>
  <c r="H6" i="13"/>
  <c r="I6" i="13"/>
  <c r="H25" i="13"/>
  <c r="F25" i="13"/>
  <c r="D25" i="13"/>
  <c r="I25" i="13"/>
  <c r="G25" i="13"/>
  <c r="E25" i="13"/>
  <c r="D33" i="13"/>
  <c r="I33" i="13"/>
  <c r="G33" i="13"/>
  <c r="E33" i="13"/>
  <c r="F33" i="13"/>
  <c r="H33" i="13"/>
  <c r="F19" i="13"/>
  <c r="D19" i="13"/>
  <c r="I19" i="13"/>
  <c r="G19" i="13"/>
  <c r="E19" i="13"/>
  <c r="H19" i="13"/>
  <c r="F12" i="13"/>
  <c r="D12" i="13"/>
  <c r="I12" i="13"/>
  <c r="G12" i="13"/>
  <c r="E12" i="13"/>
  <c r="H12" i="13"/>
  <c r="I34" i="13"/>
  <c r="G34" i="13"/>
  <c r="E34" i="13"/>
  <c r="F34" i="13"/>
  <c r="H34" i="13"/>
  <c r="D34" i="13"/>
  <c r="D30" i="13"/>
  <c r="I30" i="13"/>
  <c r="G30" i="13"/>
  <c r="E30" i="13"/>
  <c r="F30" i="13"/>
  <c r="H30" i="13"/>
  <c r="I36" i="13"/>
  <c r="G36" i="13"/>
  <c r="E36" i="13"/>
  <c r="F36" i="13"/>
  <c r="H36" i="13"/>
  <c r="D36" i="13"/>
  <c r="I27" i="13"/>
  <c r="G27" i="13"/>
  <c r="E27" i="13"/>
  <c r="H27" i="13"/>
  <c r="F27" i="13"/>
  <c r="D27" i="13"/>
  <c r="F24" i="13"/>
  <c r="D24" i="13"/>
  <c r="I24" i="13"/>
  <c r="G24" i="13"/>
  <c r="E24" i="13"/>
  <c r="H24" i="13"/>
  <c r="F21" i="13"/>
  <c r="D21" i="13"/>
  <c r="I21" i="13"/>
  <c r="G21" i="13"/>
  <c r="E21" i="13"/>
  <c r="H21" i="13"/>
  <c r="F17" i="13"/>
  <c r="D17" i="13"/>
  <c r="I17" i="13"/>
  <c r="G17" i="13"/>
  <c r="E17" i="13"/>
  <c r="H17" i="13"/>
  <c r="F23" i="13"/>
  <c r="D23" i="13"/>
  <c r="I23" i="13"/>
  <c r="G23" i="13"/>
  <c r="E23" i="13"/>
  <c r="H23" i="13"/>
  <c r="F16" i="13"/>
  <c r="D16" i="13"/>
  <c r="I16" i="13"/>
  <c r="E16" i="13"/>
  <c r="H16" i="13"/>
  <c r="G16" i="13"/>
  <c r="D31" i="13"/>
  <c r="I31" i="13"/>
  <c r="G31" i="13"/>
  <c r="E31" i="13"/>
  <c r="F31" i="13"/>
  <c r="H31" i="13"/>
  <c r="D29" i="13"/>
  <c r="I29" i="13"/>
  <c r="G29" i="13"/>
  <c r="E29" i="13"/>
  <c r="F29" i="13"/>
  <c r="H29" i="13"/>
  <c r="D28" i="13"/>
  <c r="I28" i="13"/>
  <c r="G28" i="13"/>
  <c r="E28" i="13"/>
  <c r="F28" i="13"/>
  <c r="H28" i="13"/>
  <c r="F5" i="13"/>
  <c r="G5" i="13"/>
  <c r="H5" i="13"/>
  <c r="D5" i="13"/>
  <c r="I5" i="13"/>
  <c r="F20" i="13"/>
  <c r="D20" i="13"/>
  <c r="I20" i="13"/>
  <c r="G20" i="13"/>
  <c r="E20" i="13"/>
  <c r="H20" i="13"/>
  <c r="F13" i="13"/>
  <c r="D13" i="13"/>
  <c r="I13" i="13"/>
  <c r="G13" i="13"/>
  <c r="E13" i="13"/>
  <c r="H13" i="13"/>
  <c r="F15" i="13"/>
  <c r="D15" i="13"/>
  <c r="I15" i="13"/>
  <c r="G15" i="13"/>
  <c r="E15" i="13"/>
  <c r="H15" i="13"/>
  <c r="F9" i="13"/>
  <c r="D9" i="13"/>
  <c r="I9" i="13"/>
  <c r="G9" i="13"/>
  <c r="E9" i="13"/>
  <c r="H9" i="13"/>
  <c r="D35" i="13"/>
  <c r="I35" i="13"/>
  <c r="G35" i="13"/>
  <c r="E35" i="13"/>
  <c r="F35" i="13"/>
  <c r="H35" i="13"/>
  <c r="F14" i="13"/>
  <c r="D14" i="13"/>
  <c r="I14" i="13"/>
  <c r="G14" i="13"/>
  <c r="E14" i="13"/>
  <c r="H14" i="13"/>
  <c r="F26" i="13"/>
  <c r="D26" i="13"/>
  <c r="I26" i="13"/>
  <c r="G26" i="13"/>
  <c r="E26" i="13"/>
  <c r="H26" i="13"/>
  <c r="H11" i="13"/>
  <c r="F11" i="13"/>
  <c r="D11" i="13"/>
  <c r="I11" i="13"/>
  <c r="E11" i="13"/>
  <c r="G11" i="13"/>
  <c r="F18" i="13"/>
  <c r="D18" i="13"/>
  <c r="G18" i="13"/>
  <c r="E18" i="13"/>
  <c r="I18" i="13"/>
  <c r="H18" i="13"/>
  <c r="G8" i="13"/>
  <c r="D8" i="13"/>
  <c r="F8" i="13"/>
  <c r="H8" i="13"/>
  <c r="I8" i="13"/>
  <c r="E8" i="13"/>
  <c r="H22" i="13"/>
  <c r="F22" i="13"/>
  <c r="D22" i="13"/>
  <c r="I22" i="13"/>
  <c r="G22" i="13"/>
  <c r="E22" i="13"/>
  <c r="I7" i="13"/>
  <c r="E7" i="13"/>
  <c r="G7" i="13"/>
  <c r="H7" i="13"/>
  <c r="F7" i="13"/>
  <c r="D7" i="13"/>
  <c r="I38" i="13"/>
  <c r="G38" i="13"/>
  <c r="E38" i="13"/>
  <c r="F38" i="13"/>
  <c r="H38" i="13"/>
  <c r="D38" i="13"/>
  <c r="B11" i="12"/>
  <c r="C10" i="12"/>
  <c r="D9" i="12"/>
  <c r="F9" i="12"/>
  <c r="G9" i="12"/>
  <c r="E9" i="12"/>
  <c r="H9" i="12"/>
  <c r="I9" i="12"/>
  <c r="E6" i="12"/>
  <c r="E5" i="12"/>
  <c r="A9" i="11"/>
  <c r="AB11" i="1"/>
  <c r="A4" i="6"/>
  <c r="A3" i="6"/>
  <c r="A100" i="8"/>
  <c r="A99" i="8"/>
  <c r="A98" i="8"/>
  <c r="A97" i="8"/>
  <c r="A96" i="8"/>
  <c r="A94" i="8"/>
  <c r="A93" i="8"/>
  <c r="A92" i="8"/>
  <c r="A91" i="8"/>
  <c r="A90" i="8"/>
  <c r="A89" i="8"/>
  <c r="A88" i="8"/>
  <c r="A87" i="8"/>
  <c r="A86" i="8"/>
  <c r="A85" i="8"/>
  <c r="A84" i="8"/>
  <c r="A83"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49" i="8"/>
  <c r="A48" i="8"/>
  <c r="A47" i="8"/>
  <c r="A46" i="8"/>
  <c r="A45" i="8"/>
  <c r="A44" i="8"/>
  <c r="A43" i="8"/>
  <c r="A42" i="8"/>
  <c r="A41" i="8"/>
  <c r="A40" i="8"/>
  <c r="A39" i="8"/>
  <c r="A38" i="8"/>
  <c r="A37" i="8"/>
  <c r="A36" i="8"/>
  <c r="A35" i="8"/>
  <c r="A34" i="8"/>
  <c r="A33" i="8"/>
  <c r="A32" i="8"/>
  <c r="A31" i="8"/>
  <c r="A29" i="8"/>
  <c r="A28" i="8"/>
  <c r="A27" i="8"/>
  <c r="A26" i="8"/>
  <c r="A25" i="8"/>
  <c r="A24" i="8"/>
  <c r="A23" i="8"/>
  <c r="A22" i="8"/>
  <c r="A20" i="8"/>
  <c r="A19" i="8"/>
  <c r="A18" i="8"/>
  <c r="A17" i="8"/>
  <c r="A16" i="8"/>
  <c r="A15" i="8"/>
  <c r="A14" i="8"/>
  <c r="A13" i="8"/>
  <c r="A11" i="8"/>
  <c r="A10" i="8"/>
  <c r="A9" i="8"/>
  <c r="A8" i="8"/>
  <c r="A7" i="8"/>
  <c r="A6" i="8"/>
  <c r="A5" i="8"/>
  <c r="E6" i="13" l="1"/>
  <c r="E5" i="13"/>
  <c r="F10" i="12"/>
  <c r="G10" i="12"/>
  <c r="D10" i="12"/>
  <c r="H10" i="12"/>
  <c r="E10" i="12"/>
  <c r="I10" i="12"/>
  <c r="B12" i="12"/>
  <c r="C11" i="12"/>
  <c r="D11" i="12" l="1"/>
  <c r="E11" i="12"/>
  <c r="F11" i="12"/>
  <c r="G11" i="12"/>
  <c r="H11" i="12"/>
  <c r="I11" i="12"/>
  <c r="B13" i="12"/>
  <c r="C12" i="12"/>
  <c r="F12" i="12" l="1"/>
  <c r="D12" i="12"/>
  <c r="E12" i="12"/>
  <c r="G12" i="12"/>
  <c r="H12" i="12"/>
  <c r="I12" i="12"/>
  <c r="B14" i="12"/>
  <c r="C13" i="12"/>
  <c r="D13" i="12" l="1"/>
  <c r="F13" i="12"/>
  <c r="G13" i="12"/>
  <c r="I13" i="12"/>
  <c r="E13" i="12"/>
  <c r="H13" i="12"/>
  <c r="B15" i="12"/>
  <c r="C14" i="12"/>
  <c r="F14" i="12" l="1"/>
  <c r="G14" i="12"/>
  <c r="H14" i="12"/>
  <c r="E14" i="12"/>
  <c r="I14" i="12"/>
  <c r="D14" i="12"/>
  <c r="B16" i="12"/>
  <c r="C15" i="12"/>
  <c r="D15" i="12" l="1"/>
  <c r="E15" i="12"/>
  <c r="F15" i="12"/>
  <c r="G15" i="12"/>
  <c r="H15" i="12"/>
  <c r="I15" i="12"/>
  <c r="B17" i="12"/>
  <c r="C16" i="12"/>
  <c r="F16" i="12" l="1"/>
  <c r="E16" i="12"/>
  <c r="G16" i="12"/>
  <c r="I16" i="12"/>
  <c r="H16" i="12"/>
  <c r="D16" i="12"/>
  <c r="B18" i="12"/>
  <c r="C17" i="12"/>
  <c r="D17" i="12" l="1"/>
  <c r="F17" i="12"/>
  <c r="G17" i="12"/>
  <c r="E17" i="12"/>
  <c r="H17" i="12"/>
  <c r="I17" i="12"/>
  <c r="B19" i="12"/>
  <c r="C18" i="12"/>
  <c r="F18" i="12" l="1"/>
  <c r="G18" i="12"/>
  <c r="D18" i="12"/>
  <c r="I18" i="12"/>
  <c r="H18" i="12"/>
  <c r="E18" i="12"/>
  <c r="B20" i="12"/>
  <c r="C19" i="12"/>
  <c r="D19" i="12" l="1"/>
  <c r="E19" i="12"/>
  <c r="F19" i="12"/>
  <c r="G19" i="12"/>
  <c r="H19" i="12"/>
  <c r="I19" i="12"/>
  <c r="B21" i="12"/>
  <c r="C20" i="12"/>
  <c r="F20" i="12" l="1"/>
  <c r="D20" i="12"/>
  <c r="E20" i="12"/>
  <c r="G20" i="12"/>
  <c r="I20" i="12"/>
  <c r="H20" i="12"/>
  <c r="B22" i="12"/>
  <c r="C21" i="12"/>
  <c r="D21" i="12" l="1"/>
  <c r="F21" i="12"/>
  <c r="G21" i="12"/>
  <c r="E21" i="12"/>
  <c r="H21" i="12"/>
  <c r="I21" i="12"/>
  <c r="B23" i="12"/>
  <c r="C22" i="12"/>
  <c r="B24" i="12" l="1"/>
  <c r="C23" i="12"/>
  <c r="F22" i="12"/>
  <c r="G22" i="12"/>
  <c r="I22" i="12"/>
  <c r="H22" i="12"/>
  <c r="E22" i="12"/>
  <c r="D22" i="12"/>
  <c r="D23" i="12" l="1"/>
  <c r="E23" i="12"/>
  <c r="F23" i="12"/>
  <c r="G23" i="12"/>
  <c r="H23" i="12"/>
  <c r="I23" i="12"/>
  <c r="B25" i="12"/>
  <c r="C24" i="12"/>
  <c r="F24" i="12" l="1"/>
  <c r="E24" i="12"/>
  <c r="G24" i="12"/>
  <c r="I24" i="12"/>
  <c r="H24" i="12"/>
  <c r="D24" i="12"/>
  <c r="B26" i="12"/>
  <c r="C25" i="12"/>
  <c r="D25" i="12" l="1"/>
  <c r="F25" i="12"/>
  <c r="G25" i="12"/>
  <c r="E25" i="12"/>
  <c r="H25" i="12"/>
  <c r="I25" i="12"/>
  <c r="B27" i="12"/>
  <c r="C26" i="12"/>
  <c r="F26" i="12" l="1"/>
  <c r="G26" i="12"/>
  <c r="D26" i="12"/>
  <c r="I26" i="12"/>
  <c r="H26" i="12"/>
  <c r="E26" i="12"/>
  <c r="B28" i="12"/>
  <c r="C27" i="12"/>
  <c r="B29" i="12" l="1"/>
  <c r="C28" i="12"/>
  <c r="D27" i="12"/>
  <c r="E27" i="12"/>
  <c r="F27" i="12"/>
  <c r="G27" i="12"/>
  <c r="H27" i="12"/>
  <c r="I27" i="12"/>
  <c r="F28" i="12" l="1"/>
  <c r="D28" i="12"/>
  <c r="E28" i="12"/>
  <c r="G28" i="12"/>
  <c r="I28" i="12"/>
  <c r="H28" i="12"/>
  <c r="B30" i="12"/>
  <c r="C29" i="12"/>
  <c r="D29" i="12" l="1"/>
  <c r="F29" i="12"/>
  <c r="G29" i="12"/>
  <c r="E29" i="12"/>
  <c r="H29" i="12"/>
  <c r="I29" i="12"/>
  <c r="B31" i="12"/>
  <c r="C30" i="12"/>
  <c r="F30" i="12" l="1"/>
  <c r="G30" i="12"/>
  <c r="I30" i="12"/>
  <c r="D30" i="12"/>
  <c r="H30" i="12"/>
  <c r="E30" i="12"/>
  <c r="B32" i="12"/>
  <c r="C31" i="12"/>
  <c r="B33" i="12" l="1"/>
  <c r="C32" i="12"/>
  <c r="D31" i="12"/>
  <c r="E31" i="12"/>
  <c r="F31" i="12"/>
  <c r="G31" i="12"/>
  <c r="H31" i="12"/>
  <c r="I31" i="12"/>
  <c r="F32" i="12" l="1"/>
  <c r="E32" i="12"/>
  <c r="G32" i="12"/>
  <c r="I32" i="12"/>
  <c r="H32" i="12"/>
  <c r="D32" i="12"/>
  <c r="B34" i="12"/>
  <c r="C33" i="12"/>
  <c r="D33" i="12" l="1"/>
  <c r="F33" i="12"/>
  <c r="G33" i="12"/>
  <c r="E33" i="12"/>
  <c r="H33" i="12"/>
  <c r="I33" i="12"/>
  <c r="B35" i="12"/>
  <c r="C34" i="12"/>
  <c r="F34" i="12" l="1"/>
  <c r="G34" i="12"/>
  <c r="D34" i="12"/>
  <c r="I34" i="12"/>
  <c r="H34" i="12"/>
  <c r="E34" i="12"/>
  <c r="B36" i="12"/>
  <c r="C35" i="12"/>
  <c r="D35" i="12" l="1"/>
  <c r="E35" i="12"/>
  <c r="F35" i="12"/>
  <c r="G35" i="12"/>
  <c r="H35" i="12"/>
  <c r="I35" i="12"/>
  <c r="B37" i="12"/>
  <c r="C36" i="12"/>
  <c r="F36" i="12" l="1"/>
  <c r="D36" i="12"/>
  <c r="E36" i="12"/>
  <c r="G36" i="12"/>
  <c r="I36" i="12"/>
  <c r="H36" i="12"/>
  <c r="B38" i="12"/>
  <c r="C38" i="12" s="1"/>
  <c r="C37" i="12"/>
  <c r="D37" i="12" l="1"/>
  <c r="F37" i="12"/>
  <c r="G37" i="12"/>
  <c r="I37" i="12"/>
  <c r="E37" i="12"/>
  <c r="H37" i="12"/>
  <c r="F38" i="12"/>
  <c r="G38" i="12"/>
  <c r="I38" i="12"/>
  <c r="D38" i="12"/>
  <c r="H38" i="12"/>
  <c r="E38" i="12"/>
</calcChain>
</file>

<file path=xl/comments1.xml><?xml version="1.0" encoding="utf-8"?>
<comments xmlns="http://schemas.openxmlformats.org/spreadsheetml/2006/main">
  <authors>
    <author>DIRCALIDAD</author>
  </authors>
  <commentList>
    <comment ref="C10" authorId="0" shapeId="0">
      <text>
        <r>
          <rPr>
            <b/>
            <sz val="9"/>
            <color indexed="15"/>
            <rFont val="Tahoma"/>
            <family val="2"/>
          </rPr>
          <t>Registre el cilco de la Auditoría.  Ejemplo: "2022" para ciclos anuales o "2022-S1" para ciclos semestrales.</t>
        </r>
      </text>
    </comment>
    <comment ref="E10" authorId="0" shapeId="0">
      <text>
        <r>
          <rPr>
            <b/>
            <sz val="9"/>
            <color indexed="15"/>
            <rFont val="Tahoma"/>
            <family val="2"/>
          </rPr>
          <t>Registre los criterios de auditoría establecidos en el Programa de Auditoria del ciclo correspondiente.</t>
        </r>
      </text>
    </comment>
    <comment ref="U10" authorId="0" shapeId="0">
      <text>
        <r>
          <rPr>
            <b/>
            <sz val="9"/>
            <color indexed="15"/>
            <rFont val="Tahoma"/>
            <family val="2"/>
          </rPr>
          <t>Seleccione la auditoria a realizar desplegando el listado de procesos y programas a auditar.</t>
        </r>
      </text>
    </comment>
    <comment ref="AB10" authorId="0" shapeId="0">
      <text>
        <r>
          <rPr>
            <b/>
            <sz val="9"/>
            <color indexed="15"/>
            <rFont val="Tahoma"/>
            <family val="2"/>
          </rPr>
          <t xml:space="preserve">Este campo está fomulado.  El ID corresponderá al mismo asignado en el Programa de Auditoría. Previamente el Auditor Líder a cargado en este formato el listado de auditorias programadas.  </t>
        </r>
      </text>
    </comment>
    <comment ref="AD10" authorId="0" shapeId="0">
      <text>
        <r>
          <rPr>
            <b/>
            <sz val="9"/>
            <color indexed="15"/>
            <rFont val="Tahoma"/>
            <family val="2"/>
          </rPr>
          <t xml:space="preserve">Registre el día de la auditoría el colaborador de la Institución que recibió la auditoria. </t>
        </r>
      </text>
    </comment>
    <comment ref="C14" authorId="0" shapeId="0">
      <text>
        <r>
          <rPr>
            <b/>
            <sz val="9"/>
            <color indexed="15"/>
            <rFont val="Tahoma"/>
            <family val="2"/>
          </rPr>
          <t xml:space="preserve">Este campo está fomulado.  Una vez que se selecciona la auditoría a realizar, el formulario traerá la información correspondiente a la propuesta de valor del proceso, es decir el Objetivo del Proceso, el cual está registrado en las Caracterizaciones de Proceso. </t>
        </r>
      </text>
    </comment>
    <comment ref="Z14" authorId="0" shapeId="0">
      <text>
        <r>
          <rPr>
            <b/>
            <sz val="9"/>
            <color indexed="15"/>
            <rFont val="Tahoma"/>
            <family val="2"/>
          </rPr>
          <t>Este campo está fomulado.  Una vez que se selecciona la auditoría a realizar, el formulario traerá la información correspondiente a los requisitos de la ISO 9001:2015 Aplicables.</t>
        </r>
      </text>
    </comment>
    <comment ref="AF14" authorId="0" shapeId="0">
      <text>
        <r>
          <rPr>
            <b/>
            <sz val="9"/>
            <color indexed="15"/>
            <rFont val="Tahoma"/>
            <family val="2"/>
          </rPr>
          <t>Registre la fecha en que se ejecutó la auditoria interna.</t>
        </r>
      </text>
    </comment>
    <comment ref="AF16" authorId="0" shapeId="0">
      <text>
        <r>
          <rPr>
            <b/>
            <sz val="9"/>
            <color indexed="15"/>
            <rFont val="Tahoma"/>
            <family val="2"/>
          </rPr>
          <t>Seleccione la locación en donde se desarrolla la auditoria.</t>
        </r>
      </text>
    </comment>
    <comment ref="AF17" authorId="0" shapeId="0">
      <text>
        <r>
          <rPr>
            <b/>
            <sz val="9"/>
            <color indexed="15"/>
            <rFont val="Tahoma"/>
            <family val="2"/>
          </rPr>
          <t>Seleccione el Auditor Principal asignado, según el Programa de Auditoría para el presente ciclo.</t>
        </r>
      </text>
    </comment>
    <comment ref="C18" authorId="0" shapeId="0">
      <text>
        <r>
          <rPr>
            <b/>
            <sz val="9"/>
            <color indexed="15"/>
            <rFont val="Tahoma"/>
            <family val="2"/>
          </rPr>
          <t xml:space="preserve">Este campo está fomulado.  Una vez que se selecciona la auditoría a realizar, el formulario traerá la información correspondiente a la propuesta de valor del proceso, es decir el Objetivo del Proceso, el cual está registrado en las Caracterizaciones de Proceso. </t>
        </r>
      </text>
    </comment>
    <comment ref="AF19" authorId="0" shapeId="0">
      <text>
        <r>
          <rPr>
            <b/>
            <sz val="9"/>
            <color indexed="15"/>
            <rFont val="Tahoma"/>
            <family val="2"/>
          </rPr>
          <t>Seleccione el Auditor Asistente asignado, según el Programa de Auditoría para el presente ciclo.</t>
        </r>
      </text>
    </comment>
    <comment ref="C22" authorId="0" shapeId="0">
      <text>
        <r>
          <rPr>
            <b/>
            <sz val="9"/>
            <color indexed="15"/>
            <rFont val="Tahoma"/>
            <family val="2"/>
          </rPr>
          <t>Registre el requisito, referencia normativa o documental relacionada con la pregunta o verificación colocada en el el siguiente campo "14. Pregunta / Verificación".  Ejemplo: Puede ser una Ley, decreto, resolución o un acto administrativo Institucional (Resolución) aplicables, un requisito específico de la nomra ISO 9001:2015, o un documento del Sistema de Gestión de Calidad relacionado con el proceso.</t>
        </r>
      </text>
    </comment>
    <comment ref="F22" authorId="0" shapeId="0">
      <text>
        <r>
          <rPr>
            <b/>
            <sz val="9"/>
            <color indexed="15"/>
            <rFont val="Tahoma"/>
            <family val="2"/>
          </rPr>
          <t>Registre la pregunta o verificación a validar durante la auditoría.</t>
        </r>
      </text>
    </comment>
    <comment ref="P22" authorId="0" shapeId="0">
      <text>
        <r>
          <rPr>
            <b/>
            <sz val="9"/>
            <color indexed="15"/>
            <rFont val="Tahoma"/>
            <family val="2"/>
          </rPr>
          <t>Registre la evidencia verificada durante la auditoria, especificando el nombre de la evidencia y el periodo en que se generó.</t>
        </r>
      </text>
    </comment>
    <comment ref="X22" authorId="0" shapeId="0">
      <text>
        <r>
          <rPr>
            <b/>
            <sz val="9"/>
            <color indexed="15"/>
            <rFont val="Tahoma"/>
            <family val="2"/>
          </rPr>
          <t>Seleccione con una "X" el tipo de hallazgo de auditoría (Con: "Conforme" / NC: "No Conformidad" /  Obs: "Observación")
• Conforme: Cumplimiento del requisito, • No Conformidad: Incumplimiento del requisito, • Obs: Observación: Hallazgo de auditoría, el cual indica una situación que conlleva una oportunidad de mejora o un riesgo potencial de constituirse en No Conformidad.</t>
        </r>
      </text>
    </comment>
    <comment ref="AA22" authorId="0" shapeId="0">
      <text>
        <r>
          <rPr>
            <b/>
            <sz val="9"/>
            <color indexed="15"/>
            <rFont val="Tahoma"/>
            <family val="2"/>
          </rPr>
          <t>Seleccione el requisito de la ISO 9001:2015 al que se le asigna el hallazgo de auditoria.  Se desea especificar mas de un requisito, proceda a escribirlos en este campo separados por un "/".</t>
        </r>
      </text>
    </comment>
    <comment ref="AC22" authorId="0" shapeId="0">
      <text>
        <r>
          <rPr>
            <b/>
            <sz val="9"/>
            <color indexed="15"/>
            <rFont val="Tahoma"/>
            <family val="2"/>
          </rPr>
          <t>Realice una breve descripción del hallazgo, especificando desde el inicio si "se cumple" o "no se cumple" con la verificación realizada según la evidencia observada frente a la referencia normativa aplicable.  Esta información permitirá estructurar en el informe de auditoria la redacción de la No Conformidad u Observación, o para resaltar una fortaleza o debilidad evidenciada en el proceso / programa académico.</t>
        </r>
      </text>
    </comment>
    <comment ref="C58" authorId="0" shapeId="0">
      <text>
        <r>
          <rPr>
            <b/>
            <sz val="9"/>
            <color indexed="15"/>
            <rFont val="Tahoma"/>
            <family val="2"/>
          </rPr>
          <t>Al realizar la verificación del desempeño del proceso o programa académico, registre en este campo el nombre del indicador del proceso validado en la auditoría.</t>
        </r>
      </text>
    </comment>
    <comment ref="N58" authorId="0" shapeId="0">
      <text>
        <r>
          <rPr>
            <b/>
            <sz val="9"/>
            <color indexed="15"/>
            <rFont val="Tahoma"/>
            <family val="2"/>
          </rPr>
          <t>Registre la meta especificada en la hoja de vida del indicador.</t>
        </r>
      </text>
    </comment>
    <comment ref="P58" authorId="0" shapeId="0">
      <text>
        <r>
          <rPr>
            <b/>
            <sz val="9"/>
            <color indexed="15"/>
            <rFont val="Tahoma"/>
            <family val="2"/>
          </rPr>
          <t>Registre la medición registrada en la hoja de vida del indicador.</t>
        </r>
      </text>
    </comment>
    <comment ref="R58" authorId="0" shapeId="0">
      <text>
        <r>
          <rPr>
            <b/>
            <sz val="9"/>
            <color indexed="15"/>
            <rFont val="Tahoma"/>
            <family val="2"/>
          </rPr>
          <t>Registre el periodo al que corresponde la medición del indicador registrada en la hoja de vida correspondiente.</t>
        </r>
      </text>
    </comment>
    <comment ref="U58" authorId="0" shapeId="0">
      <text>
        <r>
          <rPr>
            <b/>
            <sz val="9"/>
            <color indexed="15"/>
            <rFont val="Tahoma"/>
            <family val="2"/>
          </rPr>
          <t>Al realizar la verificación del desempeño del proceso o programa académico, registre en este campo el nombre del indicador del proceso validado en la auditoría.</t>
        </r>
      </text>
    </comment>
    <comment ref="AF58" authorId="0" shapeId="0">
      <text>
        <r>
          <rPr>
            <b/>
            <sz val="9"/>
            <color indexed="15"/>
            <rFont val="Tahoma"/>
            <family val="2"/>
          </rPr>
          <t>Registre la meta especificada en la hoja de vida del indicador.</t>
        </r>
      </text>
    </comment>
    <comment ref="AH58" authorId="0" shapeId="0">
      <text>
        <r>
          <rPr>
            <b/>
            <sz val="9"/>
            <color indexed="15"/>
            <rFont val="Tahoma"/>
            <family val="2"/>
          </rPr>
          <t>Registre la medición registrada en la hoja de vida del indicador.</t>
        </r>
      </text>
    </comment>
    <comment ref="AJ58" authorId="0" shapeId="0">
      <text>
        <r>
          <rPr>
            <b/>
            <sz val="9"/>
            <color indexed="15"/>
            <rFont val="Tahoma"/>
            <family val="2"/>
          </rPr>
          <t>Registre el periodo al que corresponde la medición del indicador registrada en la hoja de vida correspondiente.</t>
        </r>
      </text>
    </comment>
    <comment ref="C64" authorId="0" shapeId="0">
      <text>
        <r>
          <rPr>
            <b/>
            <sz val="9"/>
            <color indexed="15"/>
            <rFont val="Tahoma"/>
            <family val="2"/>
          </rPr>
          <t>En esta sección registre la documentación verificada en el proceso o programa académico.  Inicie registrando el código del documento si este tiene asociado alguno.  En caso contrario deje este campo vacío.</t>
        </r>
      </text>
    </comment>
    <comment ref="F64" authorId="0" shapeId="0">
      <text>
        <r>
          <rPr>
            <b/>
            <sz val="9"/>
            <color indexed="15"/>
            <rFont val="Tahoma"/>
            <family val="2"/>
          </rPr>
          <t>Registre la versión del documento, si este tiene la información de la vigencia.  En caso contrario deje este campo vacío.</t>
        </r>
      </text>
    </comment>
    <comment ref="H64" authorId="0" shapeId="0">
      <text>
        <r>
          <rPr>
            <b/>
            <sz val="9"/>
            <color indexed="15"/>
            <rFont val="Tahoma"/>
            <family val="2"/>
          </rPr>
          <t>Registre el nombre del documento que se validó en la auditoria desarrollada.</t>
        </r>
      </text>
    </comment>
    <comment ref="U64" authorId="0" shapeId="0">
      <text>
        <r>
          <rPr>
            <b/>
            <sz val="9"/>
            <color indexed="15"/>
            <rFont val="Tahoma"/>
            <family val="2"/>
          </rPr>
          <t>En esta sección registre la documentación verificada en el proceso o programa académico.  Inicie registrando el código del documento si este tiene asociado alguno.  En caso contrario deje este campo vacío.</t>
        </r>
      </text>
    </comment>
    <comment ref="X64" authorId="0" shapeId="0">
      <text>
        <r>
          <rPr>
            <b/>
            <sz val="9"/>
            <color indexed="15"/>
            <rFont val="Tahoma"/>
            <family val="2"/>
          </rPr>
          <t>Registre la versión del documento, si este tiene la información de la vigencia.  En caso contrario deje este campo vacío.</t>
        </r>
      </text>
    </comment>
    <comment ref="Z64" authorId="0" shapeId="0">
      <text>
        <r>
          <rPr>
            <b/>
            <sz val="9"/>
            <color indexed="15"/>
            <rFont val="Tahoma"/>
            <family val="2"/>
          </rPr>
          <t>Registre el nombre del documento que se validó en la auditoria desarrollada.</t>
        </r>
      </text>
    </comment>
    <comment ref="C71" authorId="0" shapeId="0">
      <text>
        <r>
          <rPr>
            <b/>
            <sz val="9"/>
            <color indexed="15"/>
            <rFont val="Tahoma"/>
            <family val="2"/>
          </rPr>
          <t>Registre las Observaciones Generales de la Auditoria, iniciando por la fortalezas del proceso o programa académico que le permitirán dar cumplimiento a la propuesta de valo u objetivo del proceso.  De igual manera, mencione las debilidades que podrían poner en riesgo el cumplimiento del Objetivo del Proceso.
Mencione el equipo de colaboradores que acompañaron al Líder del Proceso o Programa Académico a recibir la auditoría y la disposición general de la misma para presentar las evidencias solicitadas y la disposición para mejorar los hallazgos identificados.</t>
        </r>
      </text>
    </comment>
  </commentList>
</comments>
</file>

<file path=xl/comments2.xml><?xml version="1.0" encoding="utf-8"?>
<comments xmlns="http://schemas.openxmlformats.org/spreadsheetml/2006/main">
  <authors>
    <author>COORDINACION CALIDAD</author>
  </authors>
  <commentList>
    <comment ref="C27" authorId="0" shapeId="0">
      <text>
        <r>
          <rPr>
            <b/>
            <sz val="9"/>
            <color indexed="81"/>
            <rFont val="Tahoma"/>
            <family val="2"/>
          </rPr>
          <t>COORDINACION CALIDAD:</t>
        </r>
        <r>
          <rPr>
            <sz val="9"/>
            <color indexed="81"/>
            <rFont val="Tahoma"/>
            <family val="2"/>
          </rPr>
          <t xml:space="preserve">
Incluir actividades de Gestión Logística y de Compras</t>
        </r>
      </text>
    </comment>
  </commentList>
</comments>
</file>

<file path=xl/comments3.xml><?xml version="1.0" encoding="utf-8"?>
<comments xmlns="http://schemas.openxmlformats.org/spreadsheetml/2006/main">
  <authors>
    <author>COORDINACION CALIDAD</author>
  </authors>
  <commentList>
    <comment ref="C30" authorId="0" shapeId="0">
      <text>
        <r>
          <rPr>
            <b/>
            <sz val="9"/>
            <color indexed="81"/>
            <rFont val="Tahoma"/>
            <family val="2"/>
          </rPr>
          <t>COORDINACION CALIDAD:</t>
        </r>
        <r>
          <rPr>
            <sz val="9"/>
            <color indexed="81"/>
            <rFont val="Tahoma"/>
            <family val="2"/>
          </rPr>
          <t xml:space="preserve">
Incluir actividades de Gestión Logística y de Compras</t>
        </r>
      </text>
    </comment>
  </commentList>
</comments>
</file>

<file path=xl/sharedStrings.xml><?xml version="1.0" encoding="utf-8"?>
<sst xmlns="http://schemas.openxmlformats.org/spreadsheetml/2006/main" count="1440" uniqueCount="881">
  <si>
    <t>2Reconocimiento 202</t>
  </si>
  <si>
    <t>Instrucciones para el diligenciamiento de la "Hoja de Verificación de Auditorías"</t>
  </si>
  <si>
    <t xml:space="preserve">1. </t>
  </si>
  <si>
    <t xml:space="preserve">2. </t>
  </si>
  <si>
    <t>Registre los criterios de auditoría establecidos en el Programa de Auditoria del ciclo correspondiente.</t>
  </si>
  <si>
    <t>3.</t>
  </si>
  <si>
    <t>Seleccione la auditoria a realizar desplegando el listado de procesos y programas a auditar.</t>
  </si>
  <si>
    <t>4.</t>
  </si>
  <si>
    <t xml:space="preserve">Este campo está fomulado.  El ID corresponderá al mismo asignado en el Programa de Auditoría. Previamente el Auditor Líder a cargado en este formato el listado de auditorias programadas.  </t>
  </si>
  <si>
    <t>1. Ciclo Auditoria</t>
  </si>
  <si>
    <t>2. Criterios de Auditoria</t>
  </si>
  <si>
    <t>3. Proceso / Programa Académico</t>
  </si>
  <si>
    <t>4. ID</t>
  </si>
  <si>
    <t>5. Colaborador Auditado</t>
  </si>
  <si>
    <t>Comunicaciones Institucional</t>
  </si>
  <si>
    <t>Nombre</t>
  </si>
  <si>
    <t>5.</t>
  </si>
  <si>
    <t>Registre el día de la auditoría el colaborador de la Institución que recibió la auditoria.</t>
  </si>
  <si>
    <t>Cargo</t>
  </si>
  <si>
    <t>6.</t>
  </si>
  <si>
    <t xml:space="preserve">Este campo está fomulado.  Una vez que se selecciona la auditoría a realizar, el formulario traerá la información correspondiente a la propuesta de valor del proceso, es decir el Objetivo del Proceso, el cual está registrado en las Caracterizaciones de Proceso. </t>
  </si>
  <si>
    <t>6. Propuesta de Valor del Proceso (Objetivo del Proceso)</t>
  </si>
  <si>
    <t>8. Requisitos ISO 9001:2015</t>
  </si>
  <si>
    <t>9. Fecha Ejecución de la Auditoría</t>
  </si>
  <si>
    <t>7.</t>
  </si>
  <si>
    <t>10. Locación</t>
  </si>
  <si>
    <t>11. Auditor Principal</t>
  </si>
  <si>
    <t>8.</t>
  </si>
  <si>
    <t>Este campo está fomulado.  Una vez que se selecciona la auditoría a realizar, el formulario traerá la información correspondiente a los requisitos de la ISO 9001:2015 Aplicables.</t>
  </si>
  <si>
    <t>7. Requisitos de Ley Aplicables</t>
  </si>
  <si>
    <t>12. Auditor Asistente</t>
  </si>
  <si>
    <t>9.</t>
  </si>
  <si>
    <t>Registre la fecha en que se ejecutó la auditoria interna.</t>
  </si>
  <si>
    <t>10.</t>
  </si>
  <si>
    <t>Seleccione la locación en donde se desarrolla la auditoria.</t>
  </si>
  <si>
    <t>13. Referencia
Normativa / Documento</t>
  </si>
  <si>
    <t>14. Pregunta / Verificación</t>
  </si>
  <si>
    <t>15. Registro / Evidencia</t>
  </si>
  <si>
    <t>16. Hallazgos</t>
  </si>
  <si>
    <t>17. Req.
ISO 9001</t>
  </si>
  <si>
    <r>
      <t xml:space="preserve">18. Descripción del Hallazgo
</t>
    </r>
    <r>
      <rPr>
        <sz val="8"/>
        <color theme="0"/>
        <rFont val="Arial"/>
        <family val="2"/>
      </rPr>
      <t>Breve descripción del incumplimiento (NC) o 
riesgo de incumplimeinto (Obs)</t>
    </r>
  </si>
  <si>
    <t>11.</t>
  </si>
  <si>
    <t>Seleccione el Auditor Principal asignado, según el Programa de Auditoría para el presente ciclo.</t>
  </si>
  <si>
    <t>Con</t>
  </si>
  <si>
    <t>NC</t>
  </si>
  <si>
    <t>Obs</t>
  </si>
  <si>
    <t>12.</t>
  </si>
  <si>
    <t>Seleccione el Auditor Asistente asignado, según el Programa de Auditoría para el presente ciclo.</t>
  </si>
  <si>
    <t>13.</t>
  </si>
  <si>
    <t>Registre el requisito, referencia normativa o documental relacionada con la pregunta o verificación colocada en el el siguiente campo "14. Pregunta / Verificación".  Ejemplo: Puede ser una Ley, decreto, resolución o un acto administrativo Institucional (Resolución) aplicables, un requisito específico de la nomra ISO 9001:2015, o un documento del Sistema de Gestión de Calidad relacionado con el proceso.</t>
  </si>
  <si>
    <t>14.</t>
  </si>
  <si>
    <t>Registre la pregunta o verificación a validar durante la auditoría.</t>
  </si>
  <si>
    <t>15.</t>
  </si>
  <si>
    <t>Registre la evidencia verificada durante la auditoria, especificando el nombre de la evidencia y el periodo en que se generó.</t>
  </si>
  <si>
    <t>16.</t>
  </si>
  <si>
    <r>
      <t>Seleccione con una "X" el tipo de hallazgo de auditoría (</t>
    </r>
    <r>
      <rPr>
        <b/>
        <sz val="9"/>
        <color rgb="FF0000CC"/>
        <rFont val="Arial"/>
        <family val="2"/>
      </rPr>
      <t>Con:</t>
    </r>
    <r>
      <rPr>
        <sz val="9"/>
        <color rgb="FF0000CC"/>
        <rFont val="Arial"/>
        <family val="2"/>
      </rPr>
      <t xml:space="preserve"> "Conforme" /</t>
    </r>
    <r>
      <rPr>
        <b/>
        <sz val="9"/>
        <color rgb="FF0000CC"/>
        <rFont val="Arial"/>
        <family val="2"/>
      </rPr>
      <t xml:space="preserve"> NC:</t>
    </r>
    <r>
      <rPr>
        <sz val="9"/>
        <color rgb="FF0000CC"/>
        <rFont val="Arial"/>
        <family val="2"/>
      </rPr>
      <t xml:space="preserve"> "No Conformidad" /  </t>
    </r>
    <r>
      <rPr>
        <b/>
        <sz val="9"/>
        <color rgb="FF0000CC"/>
        <rFont val="Arial"/>
        <family val="2"/>
      </rPr>
      <t>Obs:</t>
    </r>
    <r>
      <rPr>
        <sz val="9"/>
        <color rgb="FF0000CC"/>
        <rFont val="Arial"/>
        <family val="2"/>
      </rPr>
      <t xml:space="preserve"> "Observación")
• </t>
    </r>
    <r>
      <rPr>
        <b/>
        <sz val="9"/>
        <color rgb="FF0000CC"/>
        <rFont val="Arial"/>
        <family val="2"/>
      </rPr>
      <t>Conforme:</t>
    </r>
    <r>
      <rPr>
        <sz val="9"/>
        <color rgb="FF0000CC"/>
        <rFont val="Arial"/>
        <family val="2"/>
      </rPr>
      <t xml:space="preserve"> Cumplimiento del requisito, • </t>
    </r>
    <r>
      <rPr>
        <b/>
        <sz val="9"/>
        <color rgb="FF0000CC"/>
        <rFont val="Arial"/>
        <family val="2"/>
      </rPr>
      <t>No Conformidad:</t>
    </r>
    <r>
      <rPr>
        <sz val="9"/>
        <color rgb="FF0000CC"/>
        <rFont val="Arial"/>
        <family val="2"/>
      </rPr>
      <t xml:space="preserve"> Incumplimiento del requisito, • </t>
    </r>
    <r>
      <rPr>
        <b/>
        <sz val="9"/>
        <color rgb="FF0000CC"/>
        <rFont val="Arial"/>
        <family val="2"/>
      </rPr>
      <t>Obs:</t>
    </r>
    <r>
      <rPr>
        <sz val="9"/>
        <color rgb="FF0000CC"/>
        <rFont val="Arial"/>
        <family val="2"/>
      </rPr>
      <t xml:space="preserve"> Observación: Hallazgo de auditoría, el cual indica una situación que conlleva una oportunidad de mejora o un riesgo potencial de constituirse en No Conformidad.</t>
    </r>
  </si>
  <si>
    <t>17.</t>
  </si>
  <si>
    <t>Seleccione el requisito de la ISO 9001:2015 al que se le asigna el hallazgo de auditoria.  Se desea especificar mas de un requisito, proceda a escribirlos en este campo separados por un "/".</t>
  </si>
  <si>
    <t>18.</t>
  </si>
  <si>
    <t>Realice una breve descripción del hallazgo, especificando desde el inicio si "se cumple" o "no se cumple" con la verificación realizada según la evidencia observada frente a la referencia normativa aplicable.  Esta información permitirá estructurar en el informe de auditoria la redacción de la No Conformidad u Observación, o para resaltar una fortaleza o debilidad evidenciada en el proceso / programa académico.</t>
  </si>
  <si>
    <t>19.</t>
  </si>
  <si>
    <t>Al realizar la verificación del desempeño del proceso o programa académico, registre en este campo el nombre del indicador del proceso validado en la auditoría.</t>
  </si>
  <si>
    <t>20.</t>
  </si>
  <si>
    <t>Registre la meta especificada en la hoja de vida del indicador.</t>
  </si>
  <si>
    <t>21.</t>
  </si>
  <si>
    <t>Registre la medición registrada en la hoja de vida del indicador.</t>
  </si>
  <si>
    <t>22.</t>
  </si>
  <si>
    <t>Registre el periodo al que corresponde la medición del indicador registrada en la hoja de vida correspondiente.</t>
  </si>
  <si>
    <t>23.</t>
  </si>
  <si>
    <t>En esta sección registre la documentación verificada en el proceso o programa académico.  Inicie registrando el código del documento si este tiene asociado alguno.  En caso contrario deje este campo vacío.</t>
  </si>
  <si>
    <t>24.</t>
  </si>
  <si>
    <t>Registre la versión del documento, si este tiene la información de la vigencia.  En caso contrario deje este campo vacío.</t>
  </si>
  <si>
    <t>25.</t>
  </si>
  <si>
    <t>Registre el nombre del documento que se validó en la auditoria desarrollada.</t>
  </si>
  <si>
    <t>26.</t>
  </si>
  <si>
    <t>Registre las Observaciones Generales de la Auditoria, iniciando por la fortalezas del proceso o programa académico que le permitirán dar cumplimiento a la propuesta de valo u objetivo del proceso.  De igual manera, mencione las debilidades que podrían poner en riesgo el cumplimiento del Objetivo del Proceso.</t>
  </si>
  <si>
    <t>Mencione el equipo de colaboradores que acompañaron al Líder del Proceso o Programa Académico a recibir la auditoría y la disposición general de la misma para presentar las evidencias solicitadas y la disposición para mejorar los hallazgos identificados.</t>
  </si>
  <si>
    <t xml:space="preserve">* Validación del Desempeño - Proceso / Programa Académico </t>
  </si>
  <si>
    <t>19. Nombre Indicador</t>
  </si>
  <si>
    <t>20. Meta</t>
  </si>
  <si>
    <t>21. Medición</t>
  </si>
  <si>
    <t>22. Periodo</t>
  </si>
  <si>
    <t>* Documentación Verificada en el Proceso / Programa Académico</t>
  </si>
  <si>
    <t>23. Código</t>
  </si>
  <si>
    <t>24. Versión</t>
  </si>
  <si>
    <t>25. Nombre del Documento</t>
  </si>
  <si>
    <t>26. Observaciones Generales de la Auditoria</t>
  </si>
  <si>
    <t>Requisitos ISO 9001:2015</t>
  </si>
  <si>
    <t>Num.</t>
  </si>
  <si>
    <t>Requisito</t>
  </si>
  <si>
    <t>CONTEXTO DE LA ORGANIXZACIÓN</t>
  </si>
  <si>
    <t>4.1.</t>
  </si>
  <si>
    <t>Comprensión de la Organización y de su contexto</t>
  </si>
  <si>
    <t>4.2.</t>
  </si>
  <si>
    <t>Comprensión de las necesidades y expectativas de las partes interesadas</t>
  </si>
  <si>
    <t>4.3.</t>
  </si>
  <si>
    <t>Determinación del alcance del Sistema de Gestión de Calidad</t>
  </si>
  <si>
    <t>4.4.</t>
  </si>
  <si>
    <t>Sistema de Gestión de Calidad y sus Procesos</t>
  </si>
  <si>
    <t>4.4.1.</t>
  </si>
  <si>
    <t>Establecer, implementar, mantener y mejorar el SGC, incluidos los procesos necesarios y sus interaccionas</t>
  </si>
  <si>
    <t>4.4.2.</t>
  </si>
  <si>
    <t>Mantener información documentada y conservarla para tener confianza de que los procesos se realizan según lo planificado</t>
  </si>
  <si>
    <t>LIDERAZGO</t>
  </si>
  <si>
    <t>5.1.</t>
  </si>
  <si>
    <t>Liderazgo y Compromiso</t>
  </si>
  <si>
    <t>5.1.1.</t>
  </si>
  <si>
    <t>Generalidades. La Organización debe demostrar liderazgo y compromiso con respecto al SGC. (a, b, c, d, e, f, g, h, i, j.)</t>
  </si>
  <si>
    <t>5.1.2.</t>
  </si>
  <si>
    <t>Enfoque al Cliente. La Alta Dirección debe asegurarse que se determinan, comprenden y cumplen los Requisitos del Cliente, los legales y reglamentarios aplicables</t>
  </si>
  <si>
    <t>5.2.</t>
  </si>
  <si>
    <t>Política</t>
  </si>
  <si>
    <t>5.2.1.</t>
  </si>
  <si>
    <t>Establecimiento de la Política de Calidad</t>
  </si>
  <si>
    <t>5.2.2.</t>
  </si>
  <si>
    <t>Comunicación de la Política de Calidad</t>
  </si>
  <si>
    <t>5.3.</t>
  </si>
  <si>
    <t>Roles, responsabilidades y autoridades en la Organización.  Asegurarse que para los roles pertinentes se asignen, se comuniquen y se entiendan en la Org. (a, b, c.)</t>
  </si>
  <si>
    <t>PLANIFICACIÓN</t>
  </si>
  <si>
    <t>6.1.</t>
  </si>
  <si>
    <t>Acciones para abordar riesgos y oportunidades</t>
  </si>
  <si>
    <t>6.1.1.</t>
  </si>
  <si>
    <t>La Organización debe considerar las cuestiones referidas en (4.1.) y requisitos referidos en (4.2.)</t>
  </si>
  <si>
    <t>6.1.2.</t>
  </si>
  <si>
    <t>La Organización de planificar: * Acciones para abordar riesgos y oportunidades. * La manera de integrar e implementar acciones en sus procesos del SGC y evaluar la eficacia de estas acciones.
"Las acciones para abordar los riesgos y oportunidades deben ser proporcionales al impacto potencial en la conformidad de los productos y los servicios.</t>
  </si>
  <si>
    <t>6.2.</t>
  </si>
  <si>
    <t>Objetivos de la Calidad y planificación para lograrlos</t>
  </si>
  <si>
    <t>6.2.1.</t>
  </si>
  <si>
    <t>La Organización debe establecer Objetivos de Calidad</t>
  </si>
  <si>
    <t>6.2.2.</t>
  </si>
  <si>
    <t>Al planificar como lograr los O.C. la Org. Debe determinar: a) que va a hacer, b) recursos, c) responsables, d) cuando se finalizará y e) cómo se evaluarán los resultados</t>
  </si>
  <si>
    <t>6.3.</t>
  </si>
  <si>
    <t>Planificación de Cambios. Cuando la Org. Determine la necesidad de cambios al SGC, estos se deben llevar de manera planificada (4.4.), considerar a), b), c), d)</t>
  </si>
  <si>
    <t>APOYO</t>
  </si>
  <si>
    <t>7.1.</t>
  </si>
  <si>
    <t>Recursos</t>
  </si>
  <si>
    <t>7.1.1.</t>
  </si>
  <si>
    <t>Generalidades. Determinar y proporcionar los recursos necesario para el SGC.  La Org. Debe considerar las capacidades y limitaciones de recursos existentes y qué se necesita obtener de los proveedores externos</t>
  </si>
  <si>
    <t>7.1.2.</t>
  </si>
  <si>
    <t>Personas. La Organización debe determinar y proporcionar las personas necesarias para la implementación eficaz del SGC y para la operación y control de sus procesos</t>
  </si>
  <si>
    <t>7.1.3.</t>
  </si>
  <si>
    <t>Infraestructura. La Org. debe determinar, proporcionar y mantener la infraestructura necesaria para la operación de sus procesos y lograr la conformidad del servicio</t>
  </si>
  <si>
    <t>7.1.4.</t>
  </si>
  <si>
    <t>Ambiente para la operación de los procesos.  La Orq. debe mantener el ambiente necesario para la operación de sus procesos y para lograr la conformidad del servicio</t>
  </si>
  <si>
    <t>7.1.5.</t>
  </si>
  <si>
    <t>Recursos de seguimeinto y medición.</t>
  </si>
  <si>
    <t>7.1.5.1.</t>
  </si>
  <si>
    <t>Generalidades</t>
  </si>
  <si>
    <t>7.1.5.2.</t>
  </si>
  <si>
    <t>Trazabilidad de las mediciones</t>
  </si>
  <si>
    <t>7.1.6.</t>
  </si>
  <si>
    <t>Conocimientos de la Organización. La Org. debe determinar los conocimeintos necesarios para la operación de sus procesos y para lograr la conformidad del servicio.</t>
  </si>
  <si>
    <t>7.2.</t>
  </si>
  <si>
    <t>Competencia.  a) Determinar la competencia necesaria de las personas, b) Asegurarse de que las personas sean competentes basándose en la educación, formación o experiencia apropiadas. c) Cuando sea aplicable tomar acciones para adquirir competencia necesaria y evaluar eficacia de las acciones, d) conservar la documentación apropiada como evidencia de la competencia.</t>
  </si>
  <si>
    <t>7.3.</t>
  </si>
  <si>
    <t>Toma de Conciencia. Política de Calidad, Objetivos de Calidad, contribución a la eficacia del SGC.</t>
  </si>
  <si>
    <t>7.4.</t>
  </si>
  <si>
    <t>Comunicación. La Org. Debe debe determinar las comunicaciones internas y externas.</t>
  </si>
  <si>
    <t>7.5.</t>
  </si>
  <si>
    <t>Información Documentada</t>
  </si>
  <si>
    <t>7.5.1.</t>
  </si>
  <si>
    <t>Generalidades. El SGC debe incluir información documentadarequerida por esta norma y la que la Org. Determina como necesaria para la eficacia del SGC.</t>
  </si>
  <si>
    <t>7.5.2.</t>
  </si>
  <si>
    <t>Creación y actualización. a) identificación y descripción, b) el formato, c) la revisión y aprobación con respecto a la conveniencia y adecuación.</t>
  </si>
  <si>
    <t>7.5.3.</t>
  </si>
  <si>
    <t>Control de la información documentada.</t>
  </si>
  <si>
    <t>7.5.3.1.</t>
  </si>
  <si>
    <t>Asegurarse que esté disponible y sea idónea para su uso, donde y cuando se necesite.</t>
  </si>
  <si>
    <t>7.5.3.2.</t>
  </si>
  <si>
    <t>Asegurarse que esté disponible y sea idónea para su uso, donde y cuando se necesite</t>
  </si>
  <si>
    <t>OPERACIÓN</t>
  </si>
  <si>
    <t>8.1.</t>
  </si>
  <si>
    <t>Planificación y control operacional. La Org. Debe planificar, implementar y controlar los procesos necesarios para cumplir los req. Para la provisión de productos y servicios. La Org. Debe controlar los cambios planificados y asegurarse de que los procesos contratados externamente estén controlados.</t>
  </si>
  <si>
    <t>8.2.</t>
  </si>
  <si>
    <t>Requisitos para los productos y servicios</t>
  </si>
  <si>
    <t>8.2.1.</t>
  </si>
  <si>
    <t>Comunicación con el Cliente. Información relativa a los productos y servicios. Consultas, contratos o pedidos, obtener retroalimetnación de los clientes y establecer los req. específicos para las acciones de contingencia, caundo sea pertinente.</t>
  </si>
  <si>
    <t>8.2.2.</t>
  </si>
  <si>
    <t>Determinación de los requisitos para los productos y servicios.</t>
  </si>
  <si>
    <t>8.2.3.</t>
  </si>
  <si>
    <t>Revisión de los requisitos para los productos y servicios.</t>
  </si>
  <si>
    <t>8.2.3.1.</t>
  </si>
  <si>
    <t>La Org. Debe asegurarse que tiene la capacidad para cumplir los requisitos para los productos y servicios que se van a ofrecer a los clientes.  La Org. Debe revisar antes de comprometerse a suministrar productos servicios a un cliente</t>
  </si>
  <si>
    <t>8.2.3.2.</t>
  </si>
  <si>
    <t>La Org. Debe conservar la iformación documentada sobre resultados de la revisión y sobre cualquier requisito nuevo</t>
  </si>
  <si>
    <t>8.2.4.</t>
  </si>
  <si>
    <t>Cambios en los requisitos para los productos y servicios</t>
  </si>
  <si>
    <t>8.3.</t>
  </si>
  <si>
    <t>Diseño y desarrollo de los productos y servicios</t>
  </si>
  <si>
    <t>8.3.1.</t>
  </si>
  <si>
    <t>Generalidades. La Org. debe stablecer, implementar y mantener un proceso de diseño y desarrollo que sea adecuado para asegurarse de la posterior provisión de productos y servicios</t>
  </si>
  <si>
    <t>8.3.2.</t>
  </si>
  <si>
    <t>Planificación del diseño y desarrollo</t>
  </si>
  <si>
    <t>8.3.3.</t>
  </si>
  <si>
    <t>Entrradas para el diseño y desarrollo</t>
  </si>
  <si>
    <t>8.3.4.</t>
  </si>
  <si>
    <t>Controles del diseño y desarrollo</t>
  </si>
  <si>
    <t>8.3.5.</t>
  </si>
  <si>
    <t>Salidas del diseño y desarrollo</t>
  </si>
  <si>
    <t>8.3.6.</t>
  </si>
  <si>
    <t>Cambios del diseño y desarrollo</t>
  </si>
  <si>
    <t>8.4.</t>
  </si>
  <si>
    <t>Control de los procesos, productos y servicios suministrados externamente.</t>
  </si>
  <si>
    <t>8.4.1.</t>
  </si>
  <si>
    <t>Generalidades. La Org. Debe asegurarse de que los procesos, productos y servicios suministrados externamente son conformes a los requisitos.  La Org. Debe determinar los controles a aplicar a los procesos, productos y servicios suministrados externamente. La Org. debe determinar y aplicar criterios para la evaluación, selección, el seguimiento del desempeño y la reevaluación de los proveedores externos.</t>
  </si>
  <si>
    <t>8.4.2.</t>
  </si>
  <si>
    <t>Tipo y alcance del control. La Org. Debe asegurarse de que los procesos, productos y servicios suministrados externamente no afectan de manera adversa a la capacidad de la Org. De entregar productos y servicios conformes de manera coherente.</t>
  </si>
  <si>
    <t>8.4.3.</t>
  </si>
  <si>
    <t>Información para los proveedores externos.  La Org. Debe asegurarse de la adecuación de los requisitos antes de su comunicación al proveedor externo.</t>
  </si>
  <si>
    <t>8.5.</t>
  </si>
  <si>
    <t>Producción y provisión del servicio.</t>
  </si>
  <si>
    <t>8.5.1.</t>
  </si>
  <si>
    <t>Control de la producción y de la provisión del servicio. La Org. Debe implementar la producción y provisión del servicio bajo condiciones controladas.</t>
  </si>
  <si>
    <t>8.5.2.</t>
  </si>
  <si>
    <t>Identificación y trazabilidad.  La organización debe utilizar los medios apropiados para identificar las salidas para asegurar la conformidad del servicio.</t>
  </si>
  <si>
    <t>8.5.3.</t>
  </si>
  <si>
    <t>Propiedad perteneciente a los clientes o proveedores externos.</t>
  </si>
  <si>
    <t>8.5.4.</t>
  </si>
  <si>
    <t>Preservación. La Org. Debe preservar las salidas durante la producción y prestación del servicio, en la medida necesaria para asegurarse de la conformidad con los requisitos.</t>
  </si>
  <si>
    <t>8.5.5.</t>
  </si>
  <si>
    <t>Actividades posteriores a la entrega.  Al determinar el alcance de las actividades posteriores a la entrega, la Org. Debe considerar: a) requisitos legales y reglamentarios, b) consecuencias potenciales no deseadas asociadas al servicio, c) la naturaleza, uso y vida útil prevista del servicio, d) req. del cliente, e) retroalimentación del cliente.</t>
  </si>
  <si>
    <t>8.5.6.</t>
  </si>
  <si>
    <t>Control de los cambios. La Org. Debe revisar y controlar los cambios para la producción o la prestación del servicio.</t>
  </si>
  <si>
    <t>8.6.</t>
  </si>
  <si>
    <t>Liberación de los productos y servicios. La Org. Debe implementar las disposiciones planificadas, en las etapas adecuadas para verificar el cumplimeinto de los requisitos.</t>
  </si>
  <si>
    <t>8.7.</t>
  </si>
  <si>
    <t>Control de las salidas No Conformes</t>
  </si>
  <si>
    <t>8.7.1.</t>
  </si>
  <si>
    <t>La Org. Debe asegurarse de que las salidas que no sean conformes con los requisitos se identifican y se controlan para prevenir su uso o entrega no intencionada.</t>
  </si>
  <si>
    <t>8.7.2.</t>
  </si>
  <si>
    <t>La Org. Debe conservar información documetnada que describa: a) la no conformidad, b) las acciones tomadas, c) las concesiones obtenidas, d) identifique la autoridad que decide la acción con respecto a la No Conformidad.</t>
  </si>
  <si>
    <t>EVALUACIÓN DEL DESEMPEÑO</t>
  </si>
  <si>
    <t>9.1.</t>
  </si>
  <si>
    <t>Seguimiento, medición, análisis y evaluación.</t>
  </si>
  <si>
    <t>9.1.1.</t>
  </si>
  <si>
    <t>Generalidades. L Or. Debe determinar a) qué necesita seguimeinto y medición, b) los métodos de seguimeinto, medición, análisis y evaluación necesarios para asegurar resultados válidos, c) cuándo se deben llevar a cabo el seguimeinto y la medición, d) cuándo se deben analizar y evaluar los resultados del seguimiento y medición.</t>
  </si>
  <si>
    <t>9.1.2.</t>
  </si>
  <si>
    <t>Satisfacción del cliente. La Org. Debe realizar seguimeinto a las percepciones de los clientes del grado en que se cumplen sus necesidades y expectativas. La Ortg. Debe determinar los métodos para obtener, realizar el seguimeinto y revisar esta información</t>
  </si>
  <si>
    <t>9.1.3.</t>
  </si>
  <si>
    <t>Análisis y evaluación. La Org. Debe analizar y evaluar los datos y la información apropiados que surgen por el seguimeinto y la medición. Los resultados del análisis debe utilizarse para evaluar: a) la conformidad del servicio, b) el grado de satisfacción del cliente, c) el desempeño y eficacia del SGC, d) si lo planificado se ha implementado de forma eficaz, e) eficacia de las acciones tomadas para abordar los riesgos y oportunidades, f) el desempeño de los proveedores externos, g) la nececidad de mejoras en el SGC.</t>
  </si>
  <si>
    <t>9.2.</t>
  </si>
  <si>
    <t>Auditoría Interna</t>
  </si>
  <si>
    <t>9.2.1.</t>
  </si>
  <si>
    <t>La Org. Debe llevar a cabo auditorías internas a intérvalos planificados para proporcionar información acerca del SGC: a) es conforme con los requisitos de la Organización y esta norma, b) se implementa y mantiene efizacmente.</t>
  </si>
  <si>
    <t>9.2.2.</t>
  </si>
  <si>
    <t>La Org. Debe: a) planificar, establecer, implementar y mantener un programa de auditorías, b) criterios y alcance de la auditoría, c) seleccionar auditores y llevar acabo auditorías, d) asegurarse de que los resultados de la auditorias se informan a la dirección pertinente, e) realizar las correcciones y tomar las acciones correctivas adecuadas sin demora injustificada, f) conservar información documentada.</t>
  </si>
  <si>
    <t>9.3.</t>
  </si>
  <si>
    <t>Revisión por la Dirección</t>
  </si>
  <si>
    <t>9.3.1.</t>
  </si>
  <si>
    <t>Generalidades. La Dirección debe revisar el SGC de la Organización a intérvalos planificados.</t>
  </si>
  <si>
    <t>9.3.2.</t>
  </si>
  <si>
    <t>Entradas de la revisión por la Dirección.</t>
  </si>
  <si>
    <t>9.3.3.</t>
  </si>
  <si>
    <t>Salidas de la revisión por la dirección.</t>
  </si>
  <si>
    <t>MEJORA</t>
  </si>
  <si>
    <t>10.1.</t>
  </si>
  <si>
    <t>Generalidades. La org. debe determinar y seleccionar las oportunidades de mejora e implementar cualquier acción necesaria para cumplir los req. del cliente y aumentar la satisfacción del cliente.</t>
  </si>
  <si>
    <t>10.2.</t>
  </si>
  <si>
    <t>No Conformidad y Acción Correctiva</t>
  </si>
  <si>
    <t>10.2.1.</t>
  </si>
  <si>
    <t>Cuando ocurra una N, incluida cualquiera por quejas, la Org. Debe: a) reaccionar ante la NC, b) evaluar la necesidad de acciones para eliminar las causas de la NC, c) implementar cualquier cosa necesaria, d) revisar la eficacia  de cualquier AC tomada, e) si fuera necesario, actualizar los riesgos y oportunidades determinadas durante la planificación, y f) si fuera necesario, hacer cambios al SGC.</t>
  </si>
  <si>
    <t>10.2.2.</t>
  </si>
  <si>
    <t>La organización debe conservar información documetnada como evidencia de: a) la naturaleza de las NC y cualquier acción tomada pertinente; b) los resultados de cualquier accioón correctiva.</t>
  </si>
  <si>
    <t>10.3</t>
  </si>
  <si>
    <t>Mejroa continua</t>
  </si>
  <si>
    <t>BD SGC - Vigente</t>
  </si>
  <si>
    <t>ID</t>
  </si>
  <si>
    <t>Cód.</t>
  </si>
  <si>
    <t>Proceso / Subproceso / Programa Académico</t>
  </si>
  <si>
    <t>Objetivo del Proceso</t>
  </si>
  <si>
    <t>Requisitos de Ley</t>
  </si>
  <si>
    <t>Requisito ISO 9001:2015 Aplicable</t>
  </si>
  <si>
    <t>Requisitos del Usuario</t>
  </si>
  <si>
    <t>Requisitos de la Institución</t>
  </si>
  <si>
    <t>Indicadores</t>
  </si>
  <si>
    <t>Documentación Vigente</t>
  </si>
  <si>
    <t>Direccionamiento Estratégico</t>
  </si>
  <si>
    <t>• Información veraz y oportuna</t>
  </si>
  <si>
    <t>• Satisfacción del usuario</t>
  </si>
  <si>
    <t>Planeación Institucional</t>
  </si>
  <si>
    <t>Docencia</t>
  </si>
  <si>
    <t>PPN - Prog. Contaduría Pública</t>
  </si>
  <si>
    <t>PPN - Prog. Comunicación Social</t>
  </si>
  <si>
    <t>PPN - Prog. Ecología</t>
  </si>
  <si>
    <t>PPN - Prog. Ingeniería de Sistemas</t>
  </si>
  <si>
    <t>PPN - Prog. Ingeneiría Industrial</t>
  </si>
  <si>
    <t>PPN - Prog. Licenciatura Ed. Art. y Cultural</t>
  </si>
  <si>
    <t>PPN - Prog. Psicología</t>
  </si>
  <si>
    <t>PPN - Prog. Trabajo Social</t>
  </si>
  <si>
    <t>STQ - Prog. Arquitectura</t>
  </si>
  <si>
    <t>STQ - Prog. Derecho</t>
  </si>
  <si>
    <t>STQ - Prog. Licenciatura Ed. Art. y Cultural</t>
  </si>
  <si>
    <t>STQ - Prog. Psicología</t>
  </si>
  <si>
    <t>STQ - Prog. Trabajo Social</t>
  </si>
  <si>
    <t>• Información veraz, pertinente y oportuna.</t>
  </si>
  <si>
    <t>Extensión y Proyección Social</t>
  </si>
  <si>
    <t>Registro Académico</t>
  </si>
  <si>
    <t>• Ley 594 del 2000 Bases de datos Ley 1581 de 2012.</t>
  </si>
  <si>
    <t>Recursos Tecnológicos</t>
  </si>
  <si>
    <t>• Oportunidad y cumplimiento</t>
  </si>
  <si>
    <t>Mercadeo - Admisiones</t>
  </si>
  <si>
    <t>• Información confiable, veraz y oportuna</t>
  </si>
  <si>
    <t>***</t>
  </si>
  <si>
    <t>• 7.1 • 7.1.1 • 7.1.2 • 8.1 • 9.1.1 • 9.1.3 • 10.3</t>
  </si>
  <si>
    <t>Recursos Educativos</t>
  </si>
  <si>
    <t>Bienestar Institucional</t>
  </si>
  <si>
    <t>• Decreto 1072 de 2015</t>
  </si>
  <si>
    <t>• Vigencia de los convenios interinstitucionales</t>
  </si>
  <si>
    <t>Gestión Administrativa</t>
  </si>
  <si>
    <t>Relación de No Conformidadades Identificadas</t>
  </si>
  <si>
    <t>Fecha AI</t>
  </si>
  <si>
    <t>Total NC:</t>
  </si>
  <si>
    <t>Ciclo</t>
  </si>
  <si>
    <t>No.</t>
  </si>
  <si>
    <t>Req.
ISO 9001</t>
  </si>
  <si>
    <t>Sugerencia Redacción No Conformidad</t>
  </si>
  <si>
    <t>Descripción del Hallazgo</t>
  </si>
  <si>
    <t>Verificación Realizada</t>
  </si>
  <si>
    <t>Evidencia Encontrada</t>
  </si>
  <si>
    <t>Referencia
Normativa / Documento</t>
  </si>
  <si>
    <t>Proceso / Programa</t>
  </si>
  <si>
    <t>Personalización Hallazgo</t>
  </si>
  <si>
    <t>Contexto</t>
  </si>
  <si>
    <t>Incio</t>
  </si>
  <si>
    <t xml:space="preserve">En auditoría interna correspondiente al ciclo </t>
  </si>
  <si>
    <t>Ejecución</t>
  </si>
  <si>
    <t xml:space="preserve">, realizada el dia </t>
  </si>
  <si>
    <t>Categoría</t>
  </si>
  <si>
    <t>Verificación</t>
  </si>
  <si>
    <t xml:space="preserve">, al verificar </t>
  </si>
  <si>
    <t>Evidencia</t>
  </si>
  <si>
    <t xml:space="preserve">, se identifica según evidencia observada: </t>
  </si>
  <si>
    <t>Hallazgo</t>
  </si>
  <si>
    <t>NC 1° Parte</t>
  </si>
  <si>
    <t xml:space="preserve"> que no se cumple con </t>
  </si>
  <si>
    <t>NC 2° Parte</t>
  </si>
  <si>
    <t xml:space="preserve">, dado que </t>
  </si>
  <si>
    <t>Incumplimiento P1</t>
  </si>
  <si>
    <t xml:space="preserve">, incumpliendo el requsito </t>
  </si>
  <si>
    <t>Incumplimiento P2</t>
  </si>
  <si>
    <t xml:space="preserve"> de la norma ISO 9001:2015. </t>
  </si>
  <si>
    <t>Ejemplo:</t>
  </si>
  <si>
    <t>Datos del Ejemplo</t>
  </si>
  <si>
    <t>Fecha</t>
  </si>
  <si>
    <t>xx/xx/xxx</t>
  </si>
  <si>
    <t>Proceso</t>
  </si>
  <si>
    <t>Sistemas</t>
  </si>
  <si>
    <t>¿Se cuenta con el acta de seguimeinto?</t>
  </si>
  <si>
    <t>acta de Comité de xx/xx/xxxx</t>
  </si>
  <si>
    <t>Referencia Normativa</t>
  </si>
  <si>
    <t>Ley 30</t>
  </si>
  <si>
    <t>Descripción Hallazgo</t>
  </si>
  <si>
    <t>la última acta se registró en el 2020 y en 2021 no hay evidencia</t>
  </si>
  <si>
    <t>Requisito ISO 9001</t>
  </si>
  <si>
    <t>Redacción sugerida para el ejemplo:</t>
  </si>
  <si>
    <t>Relación de Observaciones Identificadas</t>
  </si>
  <si>
    <t>Sugerencia Redacción Observación</t>
  </si>
  <si>
    <t xml:space="preserve"> que existe cumplimiento parcial de  </t>
  </si>
  <si>
    <t xml:space="preserve">, lo cual podría conllevar al incumplimiento del requsito </t>
  </si>
  <si>
    <t>Id</t>
  </si>
  <si>
    <t>Nombre y Apellido</t>
  </si>
  <si>
    <t>Correo Electrónico</t>
  </si>
  <si>
    <t>Asignación</t>
  </si>
  <si>
    <t>Disp.
Inter</t>
  </si>
  <si>
    <t>Aida Marcela Correa Benavides</t>
  </si>
  <si>
    <t>asistente.posgrados@fup.edu.co</t>
  </si>
  <si>
    <t>Principal</t>
  </si>
  <si>
    <t>Si</t>
  </si>
  <si>
    <t>alex.rivera@docente.fup.edu.co</t>
  </si>
  <si>
    <t>Asistente</t>
  </si>
  <si>
    <t>Alexander Luna Nieto</t>
  </si>
  <si>
    <t xml:space="preserve">alexander.luna@docente.fup.edu.co </t>
  </si>
  <si>
    <t>Ana Baos</t>
  </si>
  <si>
    <t>auxacademica.ingenierias@fup.edu.co</t>
  </si>
  <si>
    <t>Carlos Andrés Durán Enríquez</t>
  </si>
  <si>
    <t>decanatura.ambientalesyagrarias@fup.edu.co</t>
  </si>
  <si>
    <t>Carlos Fernando Mina Zape</t>
  </si>
  <si>
    <t>Director Programa de Psicologia</t>
  </si>
  <si>
    <t>psicologia@fup.edu.co</t>
  </si>
  <si>
    <t>Clara Eugenia Satizábal Serna</t>
  </si>
  <si>
    <t>Directora Programa de Ingeniería de Sistemas</t>
  </si>
  <si>
    <t>sistemas@fup.edu.co</t>
  </si>
  <si>
    <t>Daisy Ximena Valencia Palomino</t>
  </si>
  <si>
    <t>Decana Ciencias Sociales</t>
  </si>
  <si>
    <t>decanatura.cienciassociales@fup.edu.co</t>
  </si>
  <si>
    <t>Daniel Andres Feriz Garcia</t>
  </si>
  <si>
    <t>Director investigación</t>
  </si>
  <si>
    <t xml:space="preserve">investigacion@fup.edu.co </t>
  </si>
  <si>
    <t>calidad@fup.edu.co</t>
  </si>
  <si>
    <t xml:space="preserve">Depsi Johana Córdoba Mompotes </t>
  </si>
  <si>
    <t xml:space="preserve">Coordinadora de Gestión Curricular </t>
  </si>
  <si>
    <t xml:space="preserve">coord.gestioncurricular@fup.edu.co </t>
  </si>
  <si>
    <t>Diego Fabian Bolaños Sarria</t>
  </si>
  <si>
    <t>Decano Facultad de Ingenierías</t>
  </si>
  <si>
    <t>decanatura.ingenieriasyarquitectura@fup.edu.co</t>
  </si>
  <si>
    <t>Docente</t>
  </si>
  <si>
    <t>Docente TC</t>
  </si>
  <si>
    <t>jaime.vente@docente.fup.edu.co</t>
  </si>
  <si>
    <t>jose.ruiz@docente.fup.edu.co</t>
  </si>
  <si>
    <t>coordinacion.arquitectura@fup.edu.co</t>
  </si>
  <si>
    <t>julian.ortega@docente.fup.edu.co</t>
  </si>
  <si>
    <t>Julio Cesar Garcia Buitron</t>
  </si>
  <si>
    <t>Contador</t>
  </si>
  <si>
    <t>contador@fup.edu.co</t>
  </si>
  <si>
    <t>Karen Jisset Zuñiga Ramos</t>
  </si>
  <si>
    <t>Coordinadora Trabajo Social Sede Norte</t>
  </si>
  <si>
    <t>trabajo.social.santander@fup.edu.co</t>
  </si>
  <si>
    <t>Karen Viviana Quiñones Mosquera</t>
  </si>
  <si>
    <t>auxiliar.planeacion@fup.edu.co</t>
  </si>
  <si>
    <t>laura.orozco@docente.fup.edu.co</t>
  </si>
  <si>
    <t>Liliana Erazo</t>
  </si>
  <si>
    <t>industrial@fup.edu.co</t>
  </si>
  <si>
    <t>martha.bolanos@docente.fup.edu.co</t>
  </si>
  <si>
    <t>miguel.calvachy@docente.fup.edu.co</t>
  </si>
  <si>
    <t>Natalia Córdoba Claros</t>
  </si>
  <si>
    <t>natalia.cordoba@docente.fup.edu.co</t>
  </si>
  <si>
    <t>Neiby Alejandra López Montenegro</t>
  </si>
  <si>
    <t>Coordinación Académica Ingenierías</t>
  </si>
  <si>
    <t>coordinacionacademica.ingenierias@fup.edu.co</t>
  </si>
  <si>
    <t>Omar Andrés Acosta Caicedo</t>
  </si>
  <si>
    <t>Oscar Eduardo Torres Fernandez</t>
  </si>
  <si>
    <t>oscar.torres@docente.fup.edu.co</t>
  </si>
  <si>
    <t>Tatiana Mejia Rondon</t>
  </si>
  <si>
    <t>profesional.viceacad@fup.edu.co</t>
  </si>
  <si>
    <t>Wadys Montilla Ortega</t>
  </si>
  <si>
    <t>Coordinador Académico General</t>
  </si>
  <si>
    <t>Yaqueline Rivera López</t>
  </si>
  <si>
    <t>Coordinador de Registro Calificado</t>
  </si>
  <si>
    <t>registro.calificado@fup.edu.co</t>
  </si>
  <si>
    <t>Auditorias Internas de Calidad Programadas</t>
  </si>
  <si>
    <t>Cargo Líder de Proceso</t>
  </si>
  <si>
    <t>Nombre Sede "Abreviado"</t>
  </si>
  <si>
    <t>Nombre Sede</t>
  </si>
  <si>
    <t>Rector</t>
  </si>
  <si>
    <t>proceso</t>
  </si>
  <si>
    <t>Claustro San José</t>
  </si>
  <si>
    <t>Claustro San Camilo</t>
  </si>
  <si>
    <t>Autoevaluación Institucional</t>
  </si>
  <si>
    <t>Los Robles</t>
  </si>
  <si>
    <t>Monseñor Samuel Silverio</t>
  </si>
  <si>
    <t>programa</t>
  </si>
  <si>
    <t>Arquitectura</t>
  </si>
  <si>
    <t>Derecho</t>
  </si>
  <si>
    <t>Alvaro Ulcué Chocué</t>
  </si>
  <si>
    <t>Director GTI</t>
  </si>
  <si>
    <t>Gestión Humana</t>
  </si>
  <si>
    <t>Director ORI</t>
  </si>
  <si>
    <t>Emprendimiento</t>
  </si>
  <si>
    <t>Recursos Físicos</t>
  </si>
  <si>
    <t>Gestión de Egresados</t>
  </si>
  <si>
    <t>Registro Calificado</t>
  </si>
  <si>
    <t>Gestión Legal</t>
  </si>
  <si>
    <t>Gestión Documental</t>
  </si>
  <si>
    <t>Coordinador Educación Continua</t>
  </si>
  <si>
    <t>Coordinador Registro Calificado</t>
  </si>
  <si>
    <t>• Política de Gestión Documental</t>
  </si>
  <si>
    <t xml:space="preserve">Gestionar las diferentes actividades del currículo encaminado a la formación integral de profesionales como gestores de cambio y transformación en los diferentes contextos sociales. </t>
  </si>
  <si>
    <t xml:space="preserve">• PR-GC-004 "Acciones Correctivas"
</t>
  </si>
  <si>
    <t>Administrar el sistema de registro y control académico, asegurando el cumplimiento de los criterios institucionales en lo concerniente a los asuntos académicos basado en la normativa institucional.</t>
  </si>
  <si>
    <t>• Efectividad de las certificaciones expedidas</t>
  </si>
  <si>
    <t>• 4.1 • 5.1.2 • 6.1 • 7.5.1 • 7.5.2 • 7.5.3 • 9.1.1 * 9.1.2 * 9.1.3 * 10.1 • 10.2 • 10.3</t>
  </si>
  <si>
    <t>Garantizar la planeación, producción, gestión y trámite, organización, transferencia, disposición de documentos, preservación a largo plazo y valoración de la documentación 
generada y recibida por cada uno de los proceso de la Fundación Universitaria, con el fin de garantizar el acceso a la información y la conservación de la memoria 
institucional.</t>
  </si>
  <si>
    <t xml:space="preserve"> •Custodia de la información de los estudiantes</t>
  </si>
  <si>
    <t>•Transferencias Documentales
• Recibido y Despacho de Comunicaciones Oficiales
•Asesorias prestadas por el área de Gestión Documental
•Busquedas o consultas de documentos</t>
  </si>
  <si>
    <t xml:space="preserve">• 7.5.1 * 7.5.2 * 7.5.3 * 9.1 * 9.1.1 * 9.1.2 * 9.1.3 * 10.2 * 10.3
</t>
  </si>
  <si>
    <t>• Ley 30 de 1992 • Decreto 1330 de 2019 • Resolusión 21795 de 2020</t>
  </si>
  <si>
    <t xml:space="preserve">• Ley 594 de 2000 (Ley general de archivos) </t>
  </si>
  <si>
    <t xml:space="preserve"> • Ley 30 de 1992 y decretos asociados • Ley 1740 del 2014 • Decreto único 1075 circular # 31 MEN • Decreto 1330 de 2019 del MEN • Acuerdo 02 del CESU • Ley de emprendimiento</t>
  </si>
  <si>
    <t>• Información veraz y oportuna • Instructivos de laboratorio • Infraestructura adecuada</t>
  </si>
  <si>
    <t>• Reglamento de Biblioteca • Reglamento de laboratorio..</t>
  </si>
  <si>
    <t>• Uso de material Bibliográfico Físico
• Uso de material Bibliográfico Digital
• Proporción de libros Físicos por estudiante
• Uso del Laboratorios
.</t>
  </si>
  <si>
    <t>Administrar una infraestructura tecnológica adecuada a la propuesta de valor Institucional, garantizando la seguridad de la información y el óptimo funcionamiento de los equipos tecnológicos.</t>
  </si>
  <si>
    <t xml:space="preserve">• Infraestructura física para las sedes (Bibliotecas y Laboratorios) • Infraestructura tecnológica (Computadores, internet, video beam, impresoras y software) • Recurso humano e insumos de oficina.
</t>
  </si>
  <si>
    <t xml:space="preserve">• 7.1.2 • 7.1.3 • 8.4 • 8.4.1 • 8.4.2 • 8.4.3 • 8.5.2 • 8.5.3 • 
9.1.1 • 9.1.3 • 10.2 • 10.3
</t>
  </si>
  <si>
    <t xml:space="preserve">•  Mantenimiento preventivo Seguimiento a la ejecución de las copias de seguridad.
• Incidentes resueltos
</t>
  </si>
  <si>
    <t xml:space="preserve">• 7.5 • 7.5.1 • 7.5.2 • 7.5.3 • 7.1.2 • 7.1.3 • 7.4 • 8.4 • 
8.4.1 • 8.4.2 • 8.4.3 • 9.1 • 9.1.2 • 9.1.3 • 10.3
</t>
  </si>
  <si>
    <t>• Infraestructura y mobiliario en buen estado Instalaciones aseadas</t>
  </si>
  <si>
    <t>• Ley 115 de 1994 (Art. 1), • Ley 30 de 1992 (Art. 1 - Cap. 1º) - (Art. 120) • Decreto 1075 de 2015 • Decreto 1330 de 2019 del MEN • Ley 1014 del 26-Ene-2006.</t>
  </si>
  <si>
    <t xml:space="preserve">•  4.4 • 6.1 • 7.1 • 7.1.1 • 7.1.2 • 7.1.3 • 7.1.4 • 7.1.5 • 
7.1.6 • 7.4 • 7.5 • 7.5.1 • 7.5.2 • 7.5.3 • 8.7 1 • 9.1.2 • 
9.1.3 • 10.2 • 10.3 
</t>
  </si>
  <si>
    <t>• Información veraz y oportuna • Asesoramiento 
metodológico • Seguimiento a los avances • Respuesta 
oportuna a problemáticas planteadas • Comunicación efectiva y • Servicio eficiente.</t>
  </si>
  <si>
    <t>• Acuerdo 091 de 19-may-2010 • Acuerdo 015 del 22-Nov-2009 • Acuerdo 03 del 24-Ago-2012.
.</t>
  </si>
  <si>
    <t>• Beneficiados de los Procesos de Extensión</t>
  </si>
  <si>
    <t>• CP-EC-001 “Educación Continuada”                                                                                                     • CP-GE-001 “Gestión de Egresados”
• CP-EM-001 “Emprendimiento”                                                                                                      • PR-GC-004 "Acciones Correctivas"</t>
  </si>
  <si>
    <t>Contribuir al desarrollo del espiritu emprendedor a través de acciones interdiscipinarias que aporten a soluciones integrales a los retos del contexto local y regional</t>
  </si>
  <si>
    <t xml:space="preserve">• Ley 115 de 1994 (Art. 1), • Ley 30 de 1992 (Art. 1 - Cap. 1º) - (Art. 120) •Decreto 1075 de 2015 • Decreto 1330 de 2019 del MEN • Ley 1014 del 26-Ene-2006.
</t>
  </si>
  <si>
    <t xml:space="preserve">• 4.4 • 6.1 • 7.1 • 7.1.1 • 7.1.2 • 7.1.3 • 7.1.4 • 7.1.5 •
7.1.6 • 7.4 • 7.5 • 7.5.1 • 7.5.2 • 7.5.3 • 8.7 1 • 9.1.2 •
9.1.3 • 10.2 • 10.3 
</t>
  </si>
  <si>
    <t>• Información veraz y oportuna • Asesoramiento
metodológico • Seguimiento a los avances • Respuesta
oportuna a problemáticas planteadas • Comunicación efectiva y • Servicio eficiente.</t>
  </si>
  <si>
    <t xml:space="preserve">•  Política Institucional de Emprendimiento • Acuerdo 091 de 19-may-2010 • Acuerdo 015 del 22-Nov-2009 • Acuerdo 03 del 24-Ago-2012.
</t>
  </si>
  <si>
    <t xml:space="preserve">• %Carcaterización de emprendimeitno atendidos                                  • % Estudiantes atendidos en la unidad de emprendimiento </t>
  </si>
  <si>
    <t>• PR-GC-004 "Acciones Correctivas"</t>
  </si>
  <si>
    <t xml:space="preserve">• Información veraz y oportuna • Asesoramiento 
metodológico • Comunicación efectiva • Servicio eficiente. </t>
  </si>
  <si>
    <t>• Contactabilidad de los egresados.</t>
  </si>
  <si>
    <t>•  PR-GC-004 "Acciones Correctivas"</t>
  </si>
  <si>
    <t>• Información confiable, veráz y oportuna.</t>
  </si>
  <si>
    <t>Ofertar programas de educación continuada para el desarrollo laboral y fortalecimiento de competencias de la comunidad académica en general</t>
  </si>
  <si>
    <t xml:space="preserve">•  Ley 30 de 1992 • Ley 115 de 1994 • Ley 715 de 2001 • Decreto 1075 de 2015 • Licencia de Funcionamiento • Directrices y Lineamientos de Entes Gubernamentales
</t>
  </si>
  <si>
    <t xml:space="preserve">• Información veraz y oportuna • Cumplimiento de los 
horarios. </t>
  </si>
  <si>
    <t>•  Información oportuna y confiable • Cumplimiento de funciones.</t>
  </si>
  <si>
    <t>•  Estudiantes atendidos</t>
  </si>
  <si>
    <t>• MA-EF-03 "Manual de Procedimientos Escuela de Formación"
• MA-EF-04 "Manual de Procedimientos Escuela Informus"
• MA-EF-03 "Manual de Procedimientos Escuela de Formación"
• MA-EF-04 "Manual de Procedimientos Escuela Informus"
• MA-EF-03 "Manual de Procedimientos Escuela de Formación"
• MA-EF-04 "Manual de Procedimientos Escuela Informus"
• MA-EF-03 "Manual de Procedimientos Escuela de Formación"
• MA-EF-04 "Manual de Procedimientos Escuela Informus"
• PR-GC-004 "Acciones Correctivas"</t>
  </si>
  <si>
    <t xml:space="preserve">Establecer los lineamientos para la estructuración del Plan de Desarrollo institucional mediante la implementación de estrategias, objetivos estratégicos y planes de 
mejoramiento Institucional que garanticen la satisfacción de los usuarios y las expectativas de los grupos de interés.
</t>
  </si>
  <si>
    <t>•  Ley 30 • Ley 715 • Ley 115 • Ley 30 • Decreto 1075 de 2015 • Ley 152 orgánica del plan de desarrollo</t>
  </si>
  <si>
    <t>• Cumplimiento Estatutos Institucionales</t>
  </si>
  <si>
    <t xml:space="preserve">•  Cumplimiento Total del Plan de Desarrollo Institucional
• Satisfacción del Usuario
</t>
  </si>
  <si>
    <t>• 4.1 • 4.2 • 5.1 • 5.1.1 • 5.1.2 • 5.2 • 5.2.1 . 5.2.2 5.3 • 
6.1 • 6.2 . 7.1 . 7.1.2 . 7.1.3 . 7.1.4 . 7.1.5 . 7.1.6• 9.1 • 
9.1.1 . 9.1.2 . 9.1.3 • 10.1 • 10.2 • 10.3</t>
  </si>
  <si>
    <t>• Cumplimiento del Plan de Desarrollo Institucional.</t>
  </si>
  <si>
    <t>•  Información veraz y oportuna</t>
  </si>
  <si>
    <t>• Ley 1188 del 2008 • Decreto 1330 de 2019 del MEN • Acuerdo CESU 02 de 2020 • Lineamientos para la acreditación de programas de pregrado CNA 2020 • Resolución 15224 de 2020 • Resolución 21795 de 2020</t>
  </si>
  <si>
    <t xml:space="preserve">•  Índice de Quejas
• Eficacia de acciones programadas
</t>
  </si>
  <si>
    <t>Coordinar los procesos de, Autoevaluación y Acreditación de los programas académicos e insitucional para cumplir con los requerimientos del Ministerio de Educación 
Nacional (MEN) y del Consejo Nacional de Acreditación (CNA), a través de la cultura del aseguramiento de la calidad.</t>
  </si>
  <si>
    <t>• 7.5 * 7.5.1 * 7.5.2 * 7.5.3 * 8.1 * 8.2 * 8.2.1 * 8.2.2 * 
8.2.3 * 8.3 * 8.3.1 * 8.3.2 * 8.3.3 * 8.3.4 * 8.3.5 * 8.3.6 * 
8.5 * 8.5.1 * 8.5.2 * 8.5.3 * 8.5.4 * 8.5.5 * 8.5.6 * 9.1 * 
9.1.3 * 10.2</t>
  </si>
  <si>
    <t>• Información confiable • Soporte Institucional para desarrollar  el proceso de autoevaluación • Lineamientos claros y  amigables.</t>
  </si>
  <si>
    <t>• Sistema Interno de Aseguramiento de la Calidad - SIAC</t>
  </si>
  <si>
    <t>• % de cumplimiento implementación de los Planes de Mejoramiento Institucional (Derivados de la autoevaluación)
• % de cumplimiento implementación de los Planes de Mejoramiento del Programa (Derivados de la autoevaluación)
• # de procesos de autoevaluación realizados 
• # de procesos de autoevaluación con fines de acreditación realizado</t>
  </si>
  <si>
    <t xml:space="preserve">• PR-AU-001 "Procedimiento Autoevaluación Institucional y Programas Académicos"
• Modelo de Autoevaluación Institucional"
• Formato Plan de Mejora AE Institucional
• Modelo de Autoevaluación Institucional"
"Modelo de Autoevaluación para Programas Académicos"
• Modelo de Autoevaluación para Programas Académicos"
• PR-GC-004 "Acciones Correctivas"
</t>
  </si>
  <si>
    <t xml:space="preserve">Asesorar, acompañar y gestionar los procesos de pre radicación y radicación de solicitudes para la obtención, modificación y renovación de registros calificados, 
atendiendo los requerimientos legales y normativos vigentes.
</t>
  </si>
  <si>
    <t>•  Ley 115 de 1994 • Ley 30 de 1992 • Decreto 1295 de 2010 •Resolución 2590 de 2012 • Resolución 12220 de 2016 • Resolución10414 de 2018 • Decreto 1330 de 2019 •Resolución 02265 de 2023• Decreto1174 de 2023, demás normas aplicables.</t>
  </si>
  <si>
    <t xml:space="preserve">• 7.5 • 7.5.1 • 7.5.2 • 7.5.3 • 8.1 • 8.2 • 8.2.1 • 8.2.2 • 
8.2.3 • 8.3 • 8.3.1 • 8.3.2 • 8.3.3 • 8.3.4 • 8.3.5 • 8.3.6 • 
8.5 • 8.5.1 * 8.5.2 * 8.53 * 8.5.4 * 8.5.5 * 8.5.6 * 9.1 • 
9.1.3 • 9.1.3 * 10.2 </t>
  </si>
  <si>
    <t xml:space="preserve">• Vigencia de los registros calificados o duración de la 
acreditación
</t>
  </si>
  <si>
    <t>•  Acto administrativo otorgado por el MEN - Autorización para la oferta 
de programas académicos • Sistema Interno de Aseguramiento de la 
Calidad • Acuerdo 002 de 2012 • Acuerdo 001 de 2018 • Acuerdo 004 
de 2018 • Acuerdo 001 de 2019 • Acuerdo 004 de 2019 • Acuerdo 012 
de 2019 • Acuerdo 009 de 2021 • Acuerdo 019 de 2021 • Acuerdo 001 
de 2023, demás normatividad interna aplicable</t>
  </si>
  <si>
    <t>• Solicitudes radicadas para obtención de Registros Calificados 
• Solicitudes radicadas para renovación de Registros Calificados           • Eficacia en la radicación de solicitudes de registro calificado</t>
  </si>
  <si>
    <t>•  MA-RC-002 "Manual de Procedimientos Registro Calificado"
•  MA-RC-002 "Manual de Procedimientos Registro Calificado"                                                              • PR-GC-004 "Acciones Correctivas"</t>
  </si>
  <si>
    <t xml:space="preserve">• 7.5.1 • 7.5.2 • 5.1.2 • 5.2 • 5.3 • 7.1.1 • 7.1.3 • 7.1.4 • 
9.1.1 • 9.1.3 • 10.2 • 10.3
</t>
  </si>
  <si>
    <t xml:space="preserve">•  Actividad de los convenios Interinstitucionales vigentes (Convenios Interinstitucionales utilizados / Total de Convenios Interinstitucionales vigentes)
</t>
  </si>
  <si>
    <t>• MA-VN-001 "Manual Relacionamiento Interinstitucional"
• PR-VN-001 "Movilidad entrante y saliente"
• MA-VN-001 "Manual Relacionamiento Interinstitucional"
• PR-GC-004 "Acciones Correctivas"</t>
  </si>
  <si>
    <t xml:space="preserve">Ofertar los servicios de la Institución con la comunidad académica de la región suministrando la orientación adecuada que garantice a los aspirantes realizar su proceso de inscripción, admisión y matrícula para su ingreso eficaz a alguno de los programas académicos de la FUP. </t>
  </si>
  <si>
    <t>•  Resolución 12220 de 20 de junio de 2016 • Ley 1581 de 2012 de habeas datas, • Decreto reglamentario 1377 de 2013.</t>
  </si>
  <si>
    <t>•  5.1.2 • 7.1.1 • 7.1.3 • 7.1.4 •7.5 • 7.5.1 • 7.5.2 • 7.5.3 • 
9.1 • 9.1.1 • 9.1.3 • 10.2 • 10.3</t>
  </si>
  <si>
    <t>•  Cumplimiento del Reglamento Estudiantil y estatutos Institucionales 
• Política de Admisiones..</t>
  </si>
  <si>
    <t>•  Estudiantes matriculados en primer semestre</t>
  </si>
  <si>
    <t>• MA-MA-001 "Manual de Mercadeo"                                                                                                    • MA-MA-001 "Manual de Mercadeo"                                                                                                    • MA-MA-001 "Manual de Mercadeo"                                                                                                    • PR-MA-001 "Inscripción y Matrícula de Estudiantes"
• PR-RA-006 "Procedimiento Homologación Interna y Externa"
• PR-MA-001 "Inscripción y Matrícula de Estudiantes"                                                                                • PR-MA-001 "Inscripción y Matrícula de Estudiantes"                                                                                            • PR-GC-004 "Acciones Correctivas"</t>
  </si>
  <si>
    <t>Gestionar dinámicas de comunicación Institucional a nivel interno y externo, administrando los canales de comunicación garantizando el cumplimiento de los lineamientos de imagen corporativa.</t>
  </si>
  <si>
    <t>•  Ley 1581 de 2012 - Habeas Data
• Ley 23 de 1982 - Derechos de Autor
• Resolución 12220 de 2016 - Regulación de publicidad de las Instituciones de Educación Superior
• Sayco y Acinpro</t>
  </si>
  <si>
    <t>• 7.5 • 7.5.1 • 7.5.2 • 7.5.3 * 7.4 • 8.2.1 • 9.1 • 9.1.1 • 9.1.3 
• 10.1 * 10.2 * 10.3</t>
  </si>
  <si>
    <t>•  Cumplimiento de estatutos Acuerdo 011 de 29 de abril de 2003
• Acuerdo 005 de 22 de marzo de 2019 emitido por la Institución para la protección de los datos personales por la FUP</t>
  </si>
  <si>
    <t>•  Divulgación de información en medios de comunicación</t>
  </si>
  <si>
    <t>• MA-CO-001 "Manual de procedimientos de Comunicaciones Institucional"
• MA-CO-001 "Manual de procedimientos de Comunicaciones Institucional"                                               • MA-CO-001 "Manual de procedimientos de Comunicaciones Institucional"                                        • MA-CO-001 "Manual de procedimientos de Comunicaciones Institucional"                                           •  PR-GC-004 "Acciones Correctivas"
• Cumplimiento de estatutos Acuerdo 011 de 29 de abril de 2003
• Acuerdo 005 de 22 de marzo de 2019 emitido por la Institución para la protección de los datos personales por la FUP</t>
  </si>
  <si>
    <t xml:space="preserve">•  Información veraz y oportuna • Cumplimiento de lo 
programado • Citas oportunas • Transporte adecuado
</t>
  </si>
  <si>
    <t xml:space="preserve">• O-PL-007                                                                                                                                      • DS-BI-002 Programa de permanencia y graduación estudiantil                                                           • Portafolio Bienestar Universitario                                                                                                              • S-BI-002 Programa de permanencia y graduación estudiantil                                                                   • PR-GC-004 "Acciones Correctivas"
</t>
  </si>
  <si>
    <t>Gestionar y mantener un talento humano competente para la prestación de los servicios ofertados por la Institución, identificando necesidades de formación que contribuyan 
al fortalecimiento de las competencias y desarrollando estrategias que permitan garantizar un clima laboral apto y unas condiciones de trabajo adecuadas.</t>
  </si>
  <si>
    <t xml:space="preserve">•  Constitución Política de Colombia • Código sustantivo de trabajo • Ley 100 de 1993 • Ley 797 de 2003 • Ley 1010 de 2006 • Decreto 1075 de 2015 • Decreto 1443 de 2014 • Decreto 055 de 2015. ley 2414 de 2021 y ley 1822 de 2017
</t>
  </si>
  <si>
    <t>• 5.2.1 * 5.2.2 • 7.5.1 • 7.5.2 * 7.4.3 • 6.1 • 7.1 • 7.1.2 • 
7.1.3 • 7.1.6 • 7.2 • 7.3 • 7.4 •7.5.1 * 7.5.2 * 9.1.1 •9.1.3 
• 10.2 • 10.3</t>
  </si>
  <si>
    <t xml:space="preserve">• Contratación oportuna y de calidad
</t>
  </si>
  <si>
    <t>• Reglamento interno de trabajo • Estatutos Institucionales • Contratos laborales • Acuerdos del consejo superior • Resoluciones de Rectoría • Política de Gestión Humana • Política de Seguridad y Salud en el Trabajo</t>
  </si>
  <si>
    <t>•  Clima Organizacional</t>
  </si>
  <si>
    <t>•  CP-TH-001 "Caracterización Gestión del Talento Humano                                                                • CP-ST-001 "Caracterización Gestión de Seguridad y Salud en el Trabajo"                                               • PR-GC-004 "Acciones Correctivas"                                                                                                • Reglamento interno de trabaj • Estatutos Institucionales •Contratos laborales • Acuerdos del consejo superior • Resoluciones de Rectoría • Política de Gestión Humana • Política de Seguridad y Salud en el Trabajo</t>
  </si>
  <si>
    <t>Administrar y gestionar los requerimientos del Talento Humano de la Institución estableciendo el cumplimiento del reglamento interno de trabajo y los manuales de 
funciones.</t>
  </si>
  <si>
    <t xml:space="preserve">• Política de Gestión del talento Humano
</t>
  </si>
  <si>
    <t>• Reglamento interno de trabajo • Estatutos Institucionales • Contratos laborales • Resoluciones de Rectoría • Política de Gestión de Talento Humano 
• Política de Seguridad y Salud en el Trabajo</t>
  </si>
  <si>
    <t xml:space="preserve">• Ejecución del Plan de Formación
• Evaluación de Desempeño
</t>
  </si>
  <si>
    <t xml:space="preserve">•  FO-GH-009 "Entrevista de personal administrativo"
FO-GH-031 "Entrevista de personal docente"
• FO-GH-027 "Lista de Chequeo contratos término fijo y prestación de servicios"
• FO-GH-018 "Formato único de Hoja de Vida"
• FO-GH-019 "Resumen de Hoja de Vida"
• FO-GH-032 "Ficha Socio demográfica"
• Formularios de Afiliaciones (EPS, AFP, ARL y Comfacauca)
• Contrato Laboral (Firmado)
• Notificaciones de Selección
• Notificaciones de No Continuación en el Proceso de Selección
• Pruebas psicotécnicas
• FO-TH-007 Inducción 
• FO-GC-002 Asistencia Institucional                                                                                                                                                                       • A-TH-001 "Manual de Procedimeintos Gestión Humana"
• PR-TH-011 "Solicitud de Permisos Remunerados y No Remunerados"
• PR-TH-012 "Trámite de constancias y certificados laborales"
• PR-TH-005 "Elaboración y Liquidación de Nómina"                                                                                          • PR-TH-010 "Radicación y cobro de incapacidades y licencias de maternidad o paternidad"                 • Acta de socialización 
• Plan de mejora                                                                                                                            • R-TH-009 "Desvinculación de Laboral"
• Formato de paz y salvo FO-TH-004                                                                                                 • Actas de reunión      
</t>
  </si>
  <si>
    <t xml:space="preserve">•  Garantizar la gestión y control de los riesgos y amenazas en la Institución </t>
  </si>
  <si>
    <t>• Gestión oportuna de los recursos</t>
  </si>
  <si>
    <t>Establecer la planeación presupuestal para una administración adecuada del recurso económico de la Institución.</t>
  </si>
  <si>
    <t>• Ley 1429 de 2010 Formato 350 (retención a la fuente) • Ley 79 de 20 de Oct. 1993 (DANE) • Ley 1314 de 2009 • Decreto 1625 de 2016 (DUR Tributario) • Decreto 2649 y 2650 de 1993 • Decreto 3022 de 2013 • Ley 1819 de 2016..</t>
  </si>
  <si>
    <t>• Estados Financieros con información veraz.</t>
  </si>
  <si>
    <t>•  Renta neta</t>
  </si>
  <si>
    <t xml:space="preserve">• MA-GF-001 "Manual Financiero"
• MA-GF-001 "Manual Financiero"                                                                                                           • PR-GC-004 "Acciones Correctivas"      </t>
  </si>
  <si>
    <t>• Información veraz y oportuna • Cumplimiento de lo 
programado • Citas oportunas • Transporte adecuado.</t>
  </si>
  <si>
    <t xml:space="preserve">•  Ejecución de Gastos                                                                               • Proveedores </t>
  </si>
  <si>
    <t>Registrar oportunamente los hechos económicos, garantizando la integridad, veracidad y disponibilidad de los estados financieros de la Institución.</t>
  </si>
  <si>
    <t>• Estados Financieros con información veraz</t>
  </si>
  <si>
    <t>PPN - Prog. Ingenieria Agroecológica</t>
  </si>
  <si>
    <t>STQ - Prog. Ingeniería Industrial</t>
  </si>
  <si>
    <t xml:space="preserve">• Tasa técnica (Docentes por estudiante)
• Deserción (x Periodo - x Cohorte)
• Tasa de Graduación (Graduados por Cohorte)
• Estudiantes en Investigación (Semilleros)
• # de actualizaciones del PEP
• Nivel de cualificación 
• Cumplimiento de matrículas académicas asociada al calendario académico                                                                                             • Cumplimiento de fechas del Calendario ICFES
• Cumplimiento con el Registro de Notas
• Entrega oportuna de informes 
• Cumplimiento de compromisos docentes                                             • Resultados del período T-1 (Evaluación Docente)
</t>
  </si>
  <si>
    <t>• Estatuto General • Estatuto Docente • Reglamento 
Estudiantil • Reglamento Consultorio Jurídico • 
Reglamento Alternativas de Grado • Reglamento 
Prácticas Universitarias Psicología • Reglamento Uso 
del Correo Institucional • Acuerdos de los Consejos 
Superior y Académico • Manual de Funciones • 
Resoluciones de Rectoría • Política de Protección de 
Datos Personales * Política de Educación Virtual y a 
Distancia</t>
  </si>
  <si>
    <t>• Estatuto General • Estatuto Docente • Reglamento 
Estudiantil • Reglamento Consultorio Jurídico • Reglamento Alternativas de Grado • Reglamento 
Prácticas Universitarias Psicología • Reglamento Uso 
del Correo Institucional • Acuerdos de los Consejos 
Superior y Académico • Manual de Funciones • 
Resoluciones de Rectoría • Política de Protección de 
Datos Personales * Política de Educación Virtual y a 
Distancia</t>
  </si>
  <si>
    <t>• Información veraz, pertinente y oportuna • Servicio de 
Educación Superior acorde con los lineamientos del MEN.</t>
  </si>
  <si>
    <t xml:space="preserve">• Información veraz y oportuna, confidencialidad y ética. </t>
  </si>
  <si>
    <t xml:space="preserve">• 4.4 • 5.1.2 • 6.1 • 7.1.1 • 7.1.2 • 7.1.3 • 7.1.4 • 7.1.5 • 
7.1.6 • 7.4 • 7.5.1 • 7.5.2 • 7.5.3 • 8.1 • 8.2.1 • 8.2.2 • 
8.2.3 • 8.2.4 • 8.3.1 • 8.3.2 • 8.3.3 • 8.3.4 • 8.3.5 • 8.3.6 • 
8.5.1 • 8.5.2 • 8.5.3 • 8.5.4 • 8.5.5 • 8.5.6 • 8.6 • 8.7 • 
9.1.2 • 9.1.3 • 10.2 • 10.3 </t>
  </si>
  <si>
    <t xml:space="preserve">• 4.1 . 4.2 . 4.3 . 4.4 . 5.1 . 5.1.1 . 5.1.2 . 5.2 . 5.2.1 . 5.2.2 . 
5.3 . 6.1 . 6.2 . 7.1 . 7.1.2 . 7.1.3 . 7.1.4 . 7.5 . 7.5.1 . 7.5.2 . 
7.5.3 . 9.3 . 9.3.1 . 9.3.2 . 9.3.3 .
</t>
  </si>
  <si>
    <t>Gestión Curricular</t>
  </si>
  <si>
    <t>Investigación, Desarrollo e Innovación</t>
  </si>
  <si>
    <t>Educación Continuada</t>
  </si>
  <si>
    <t>Gestión de Proyectos de Extensión</t>
  </si>
  <si>
    <t>Escuela de Formación para el TDH</t>
  </si>
  <si>
    <t>Gestión de Sistemas de Información</t>
  </si>
  <si>
    <t>Gestión de Calidad</t>
  </si>
  <si>
    <t>Aseguramiento de la Calidad</t>
  </si>
  <si>
    <t>Visibilidad Nacional e Internacional</t>
  </si>
  <si>
    <t>Relaciones Interinstitucionales - ORI</t>
  </si>
  <si>
    <t>Gestión del Talento Humano</t>
  </si>
  <si>
    <t>Gestión de Seguridad y Salud en el Trabajo</t>
  </si>
  <si>
    <t>Gestión Administrativa y Financiera</t>
  </si>
  <si>
    <t>Gestión Financiera</t>
  </si>
  <si>
    <t>Gestión Contable y Tesorería</t>
  </si>
  <si>
    <t>Gestión Legal y Documental</t>
  </si>
  <si>
    <t>Gestión de Recursos</t>
  </si>
  <si>
    <t>Director Docencia</t>
  </si>
  <si>
    <t>Director Aseguramiento de la Calidad</t>
  </si>
  <si>
    <t>DO</t>
  </si>
  <si>
    <t>RA</t>
  </si>
  <si>
    <t>CU</t>
  </si>
  <si>
    <t>IN</t>
  </si>
  <si>
    <t>EP</t>
  </si>
  <si>
    <t>EM</t>
  </si>
  <si>
    <t>GE</t>
  </si>
  <si>
    <t>EC</t>
  </si>
  <si>
    <t>PE</t>
  </si>
  <si>
    <t>EF</t>
  </si>
  <si>
    <t>DE</t>
  </si>
  <si>
    <t>PL</t>
  </si>
  <si>
    <t>SI</t>
  </si>
  <si>
    <t>GC</t>
  </si>
  <si>
    <t>AC</t>
  </si>
  <si>
    <t>AU</t>
  </si>
  <si>
    <t>RC</t>
  </si>
  <si>
    <t>VN</t>
  </si>
  <si>
    <t>MA</t>
  </si>
  <si>
    <t>CO</t>
  </si>
  <si>
    <t>BI</t>
  </si>
  <si>
    <t>GH</t>
  </si>
  <si>
    <t>TH</t>
  </si>
  <si>
    <t>ST</t>
  </si>
  <si>
    <t>GF</t>
  </si>
  <si>
    <t>GA</t>
  </si>
  <si>
    <t>CT</t>
  </si>
  <si>
    <t>GL</t>
  </si>
  <si>
    <t>GD</t>
  </si>
  <si>
    <t>GR</t>
  </si>
  <si>
    <t>RE</t>
  </si>
  <si>
    <t>RT</t>
  </si>
  <si>
    <t>RF</t>
  </si>
  <si>
    <t>PRO-1</t>
  </si>
  <si>
    <t>PRO-2</t>
  </si>
  <si>
    <t>PRO-3</t>
  </si>
  <si>
    <t>PRO-4</t>
  </si>
  <si>
    <t>PRO-5</t>
  </si>
  <si>
    <t>PRO-6</t>
  </si>
  <si>
    <t>PRO-7</t>
  </si>
  <si>
    <t>PRO-8</t>
  </si>
  <si>
    <t>PRO-9</t>
  </si>
  <si>
    <t>PRO-10</t>
  </si>
  <si>
    <t>PRO-11</t>
  </si>
  <si>
    <t>PRO-12</t>
  </si>
  <si>
    <t>PRO-13</t>
  </si>
  <si>
    <t>PRO-14</t>
  </si>
  <si>
    <t>PRO-15</t>
  </si>
  <si>
    <t>PRO-16</t>
  </si>
  <si>
    <t>PRO-17</t>
  </si>
  <si>
    <t>PRO-18</t>
  </si>
  <si>
    <t>PRO-19</t>
  </si>
  <si>
    <t xml:space="preserve">Coordinador Registro Académico </t>
  </si>
  <si>
    <t>Coordinador Mercadeo - Admisiones</t>
  </si>
  <si>
    <t>Coordinador Comunicaciones Institucional</t>
  </si>
  <si>
    <t>Coordinador Recursos Físicos</t>
  </si>
  <si>
    <t xml:space="preserve">Coordinador Gestión Curricular </t>
  </si>
  <si>
    <t xml:space="preserve">Director Extensión y Proyección Social </t>
  </si>
  <si>
    <t xml:space="preserve">Director Investigación </t>
  </si>
  <si>
    <t xml:space="preserve">Coordinador Emprendimiento </t>
  </si>
  <si>
    <t>Coordinador Egresados</t>
  </si>
  <si>
    <t>Director EFTDH</t>
  </si>
  <si>
    <t xml:space="preserve">Director Planeación Institucional </t>
  </si>
  <si>
    <t>Director GSI</t>
  </si>
  <si>
    <t xml:space="preserve">Coordinador Calidad </t>
  </si>
  <si>
    <t xml:space="preserve">Coordinador Autoevaluación </t>
  </si>
  <si>
    <t>Director Bienestar</t>
  </si>
  <si>
    <t>Directo talento Humano</t>
  </si>
  <si>
    <t>Coordiandor Gestión de SST</t>
  </si>
  <si>
    <t>Vicerrector Administrativo</t>
  </si>
  <si>
    <t xml:space="preserve">Coordinador Gestión Administrativo </t>
  </si>
  <si>
    <t xml:space="preserve">Contador </t>
  </si>
  <si>
    <t xml:space="preserve">Secretaria General </t>
  </si>
  <si>
    <t xml:space="preserve">Coordiandor gestión Documental </t>
  </si>
  <si>
    <t>Coordinador recursos Educativos</t>
  </si>
  <si>
    <t xml:space="preserve">Director de Programa </t>
  </si>
  <si>
    <t>EX</t>
  </si>
  <si>
    <t xml:space="preserve">• Ejecución del programa de mantenimiento
</t>
  </si>
  <si>
    <t>Realizar seguimiento a los egresados de la Institución, identificando las necesidades del entorno y la correspondencia del perfil profesional frente a su ubicación laboral para generar espacios de vinculación, inclusión y participación activa de los egresados en actividades Institucionales que contribuyan con su desarrollo profesional.</t>
  </si>
  <si>
    <t xml:space="preserve">• Ley 30 de 1992 (Art. 1 - Cap. 1º) - (Art. 120) • Decreto 1330 de 2019 del MEN • Cesu  Acuerdo 02 de 2020 </t>
  </si>
  <si>
    <t xml:space="preserve">"• Política de Egresados
• Política de Extensión y Proyección Social" </t>
  </si>
  <si>
    <t xml:space="preserve">Asegurar la alineación de las estrategias, objetivos estratégicos y planes de mejoramiento Institucional con el Plan de Desarrollo Institucional y Proyecto Educativo Institucional, teniendo como marco de referencia los lineamientos establecidos por la Alta Dirección, del gobierno nacional y las tendencias internacionales, nacionales y regionales .     
</t>
  </si>
  <si>
    <t>• Ley 30 • Ley 115 • Ley 152 orgánica del plan de desarrollo • Acuerdo 02 CNA</t>
  </si>
  <si>
    <t xml:space="preserve">•Acuerdo 019 Plan de desarrollo 2024 - 2032 • Política de Buen Gobierno y Rendición de Cuentas </t>
  </si>
  <si>
    <t xml:space="preserve"> •PR-PL-003 "Seguimiento al Formato Único de Gestión"• PR-GC-004 "Acciones Correctivas" *PR-PL-003 "Seguimiento al Formato Único de Gestión"   </t>
  </si>
  <si>
    <t>• Ley 1188 del 2008 • Decreto 1330 de 2019 del MEN • Acuerdo CESU 02 de 2020 • Lineamientos para la acreditación de programas de pregrado CNA 2020</t>
  </si>
  <si>
    <t>• Política de Calidad • Resolución Rectoral 101 del 20 de septiembre 2022</t>
  </si>
  <si>
    <t xml:space="preserve">• MA-GC-001 "Manual de Calidad" • PR-GC-001 "Elaboración y control de documentos" • PR-GC-002 "Control de registros" • PR-GC-003 Tratamiento Salidas No Conforme • PR-GC-004 "Acciones Correctivas" • PR-GC-005 "Auditorías internas de calidad" • PR-GC-006 "Petición, Quejas y Reclamos" • PR-GC-007 "Matriz de riesgos y oportunidades" • PR-GC-008 "Planificación de cambios al SGC"   
   </t>
  </si>
  <si>
    <t xml:space="preserve">Brindar oportunidades a estudiantes, docentes, administrativos y egresados en escenarios académicos nacionales e internacionales que permitan la adquisición y/o fortalecimiento de competencias multiculturales en un dialogo global intercultural, mediante el fortalecimiento de las alianzas y redes interintitucionales.     </t>
  </si>
  <si>
    <t>• Normatividad Vigente emanada del MEN</t>
  </si>
  <si>
    <t xml:space="preserve">• PEI • Política de Internacionalización •PDI  </t>
  </si>
  <si>
    <t>Ley 30 de 1992</t>
  </si>
  <si>
    <t xml:space="preserve">• Estatutos • reglamentos estudiantil y lineamientos Institucionales </t>
  </si>
  <si>
    <t xml:space="preserve">Actos administrativos legalmente expedidos acorde con la normativa vigente     
Títulos profesionales legalmente gestionados acorde con la normativa vigente     
Procesos Jurídicos legalmente atendidos     </t>
  </si>
  <si>
    <t xml:space="preserve">Administrar, planificar, coordinar la ejecución y realizar seguimiento y control de las actividades y recursos asignados a los proyectos de extensión y proyección social de la Institución, de manera que se cumpla el alcance en el tiempo establecido y con los costos presupuestados. </t>
  </si>
  <si>
    <t xml:space="preserve">Politica Extensión y Proyección Social </t>
  </si>
  <si>
    <t xml:space="preserve">Docente </t>
  </si>
  <si>
    <t>Decano Facultad Ciencias Ambientales y Agrarias</t>
  </si>
  <si>
    <t>COORDINADORA DE GESTION PARA LA INVESTIGACION</t>
  </si>
  <si>
    <t>Asistente Administrativo</t>
  </si>
  <si>
    <t xml:space="preserve">Director de Programa Ingenieria Industrial </t>
  </si>
  <si>
    <t>Coordinadora trabajo social</t>
  </si>
  <si>
    <t>Luisa Marcela Toro Medina</t>
  </si>
  <si>
    <t>Coordinadora Autoevaluacion</t>
  </si>
  <si>
    <t>Jeferson Esteban Cordoba Molano</t>
  </si>
  <si>
    <t>Auxiliar Contable</t>
  </si>
  <si>
    <t>Yudi Andrea Acalo Higon</t>
  </si>
  <si>
    <t>Jorge Eduardo Rengifo Lozada</t>
  </si>
  <si>
    <t xml:space="preserve"> Arnol Arias Hoyos </t>
  </si>
  <si>
    <t>Sergio Andrés Lozano Niño</t>
  </si>
  <si>
    <t xml:space="preserve">Lina Fernanda Gutiérrez Montoya   </t>
  </si>
  <si>
    <t xml:space="preserve">Diego Fernando Ordoñez Trullo   </t>
  </si>
  <si>
    <t xml:space="preserve">Angela Milena Velásquez Vargas      </t>
  </si>
  <si>
    <t>Laura Maria Olarte Zuñiga</t>
  </si>
  <si>
    <t>Coordinadora del SG-SST</t>
  </si>
  <si>
    <t>Lucy Marlady Lopez Perez</t>
  </si>
  <si>
    <t>Maria Camila Toro Gonzalez</t>
  </si>
  <si>
    <t>Juan Manuel Prado Quintero</t>
  </si>
  <si>
    <t>Profesional VRA</t>
  </si>
  <si>
    <t>Laura Melissa Muñoz Burbano</t>
  </si>
  <si>
    <t>Alex Fabián Rivera Muñoz</t>
  </si>
  <si>
    <t>Andrea Karina Ballagan Estrada</t>
  </si>
  <si>
    <t>Gabriela Andrea Rivera Macias</t>
  </si>
  <si>
    <t>Jaime Vente Garcés</t>
  </si>
  <si>
    <t>José Fernando Ruíz López</t>
  </si>
  <si>
    <t>Laura María Orozco García</t>
  </si>
  <si>
    <t>Martha Lucia Bolaños Imbachi</t>
  </si>
  <si>
    <t>Miguel Dario Calvachy</t>
  </si>
  <si>
    <t>Sandra Johanna Pinzón Hermosa</t>
  </si>
  <si>
    <t>Nora Fernanda Arciniegas Sanchez</t>
  </si>
  <si>
    <t>Diana Carolina Vasquez Zambrano</t>
  </si>
  <si>
    <t>Cristian Libardo Idrobo Posada</t>
  </si>
  <si>
    <t>Fabian Felipe Mera Hurtado</t>
  </si>
  <si>
    <t xml:space="preserve">Yeni Fernanda Castrillón Sánchez </t>
  </si>
  <si>
    <t xml:space="preserve">Julieth Alexandra Chacón Paja
</t>
  </si>
  <si>
    <t>Nathalia Vanessa Hurtado Sanchez</t>
  </si>
  <si>
    <t xml:space="preserve">Equipo Auditor FUP - Ciclo: </t>
  </si>
  <si>
    <t>CATEGORIA</t>
  </si>
  <si>
    <t>Exp.</t>
  </si>
  <si>
    <t>AI - *P
2020</t>
  </si>
  <si>
    <t>AI - *P
2021</t>
  </si>
  <si>
    <t>AI - A
2021</t>
  </si>
  <si>
    <t>AI - *P
2022</t>
  </si>
  <si>
    <t>AI - A
2022</t>
  </si>
  <si>
    <t>AI - *P
2023</t>
  </si>
  <si>
    <t>AI - A
2023</t>
  </si>
  <si>
    <t>Compras</t>
  </si>
  <si>
    <t>compras@fup.edu.co</t>
  </si>
  <si>
    <t>ORO</t>
  </si>
  <si>
    <t>PLATA</t>
  </si>
  <si>
    <t>Apoyo leac</t>
  </si>
  <si>
    <t>apoyo.leac@fup.edu.co</t>
  </si>
  <si>
    <t>Auxiliar Académica</t>
  </si>
  <si>
    <t>auxiliaracademico.tsocial@fup.edu.co</t>
  </si>
  <si>
    <t>Docente Tiempo Completo</t>
  </si>
  <si>
    <t>gabriela.rivera@docente.fup.edu.co</t>
  </si>
  <si>
    <t>Juan David Cortés León</t>
  </si>
  <si>
    <t>Coordinador Academico</t>
  </si>
  <si>
    <t>Julian Camilo Ortega Gomez</t>
  </si>
  <si>
    <t>Docente - Coordinador de Egresados Ingeniería Industrial</t>
  </si>
  <si>
    <t>coor.gestiondeinvestigacion@fup.edu.co</t>
  </si>
  <si>
    <t>Kener Mauricio Quina Velarde</t>
  </si>
  <si>
    <t>Auxiliar de Planeación</t>
  </si>
  <si>
    <t>Docente -  Coordinadora Autoevaluación Ing. Sistemas</t>
  </si>
  <si>
    <t>BRONCE</t>
  </si>
  <si>
    <t>Coordinadora Académica Prog. Administración de Empresas</t>
  </si>
  <si>
    <t>coordinacionacademica.faceca@fup.edu.co</t>
  </si>
  <si>
    <t>coordinacion.tsocial@fup.edu.co</t>
  </si>
  <si>
    <t>direccion.docencia@fup.edu.co</t>
  </si>
  <si>
    <t>coord.autoevaluacion@fup.edu.co</t>
  </si>
  <si>
    <t>fernanda.arciniegas@docente.fup.edu.co</t>
  </si>
  <si>
    <t>auxiliar2.tesoreria@fup.edu.co</t>
  </si>
  <si>
    <t>Auxiliar</t>
  </si>
  <si>
    <t>auxiliaradministrativa.secretariageneral@fup.edu.co</t>
  </si>
  <si>
    <t>Directora</t>
  </si>
  <si>
    <t>trabajo.social@fup.edu.co</t>
  </si>
  <si>
    <t>auxiliar.grados@fup.edu.co</t>
  </si>
  <si>
    <t xml:space="preserve">Coordinador </t>
  </si>
  <si>
    <t>laboratorios@fup.edu.co</t>
  </si>
  <si>
    <t>Auxiliar Ingeneria</t>
  </si>
  <si>
    <t>Director Planeacion</t>
  </si>
  <si>
    <t xml:space="preserve"> planeacion@fup.edu.co</t>
  </si>
  <si>
    <t>auxiliar5.contabilidad@fup.edu.co</t>
  </si>
  <si>
    <t xml:space="preserve">Auxiliar de Soporte </t>
  </si>
  <si>
    <t>soporte.tic2@fup.edu.co</t>
  </si>
  <si>
    <t>auxiliar.sidi@fup.edu.co</t>
  </si>
  <si>
    <t>Director de Programa</t>
  </si>
  <si>
    <t>derecho.popayan@fup.edu.co</t>
  </si>
  <si>
    <t>Profesional apoyo</t>
  </si>
  <si>
    <t>asistente.registro@fup.edu.co</t>
  </si>
  <si>
    <t>julieth.chacon@docente.fup.edu.co</t>
  </si>
  <si>
    <t>Seguridadysaludeneltrabajo@fup.edu.co</t>
  </si>
  <si>
    <t>Contabilidad</t>
  </si>
  <si>
    <t>auxiliar1.contabilidad@fup.edu.co</t>
  </si>
  <si>
    <t>Coordinadora</t>
  </si>
  <si>
    <t>Director</t>
  </si>
  <si>
    <t>arquitectura@fup.edu.co</t>
  </si>
  <si>
    <t>nathalia.hurtado@docente.fup.edu.co</t>
  </si>
  <si>
    <t>Auditor Líder</t>
  </si>
  <si>
    <t>Equipo Auditor</t>
  </si>
  <si>
    <t>tenemos</t>
  </si>
  <si>
    <t xml:space="preserve">TOTAL </t>
  </si>
  <si>
    <t xml:space="preserve">4.4 • 5.1.2 • 6.1 • 7.1.1 • 7.1.2 • 7.1.3 • 7.1.4 • 7.1.5 • 7.1.6 • 7.4 • 7.5.1 • 7.5.2 • 7.5.3 • 8.1 • 8.2.1 • 8.2.2 • 8.2.3 • 8.2.4 • 8.3.1 • 8.3.2 • 8.3.3 • 8.3.4 • 8.3.5 • 8.3.6 • 8.5.1 • 8.5.2 • 8.5.3 • 8.5.4 • 8.5.5 • 8.5.6 • 8.6 • 8.7 • 9.1.1 • 9.1.2 • 9.1.3 • 10.2 • 10.3 </t>
  </si>
  <si>
    <t>Prog. Administración de Empresas</t>
  </si>
  <si>
    <t>Prog. Arquitectura</t>
  </si>
  <si>
    <t>Prog. Derecho</t>
  </si>
  <si>
    <t>Prog. Licenciatura Ed. Art. y Cultural</t>
  </si>
  <si>
    <t>Prog. Psicología</t>
  </si>
  <si>
    <t>Prog. Trabajo Social</t>
  </si>
  <si>
    <t xml:space="preserve">Auditores </t>
  </si>
  <si>
    <t>*Aida Marcela Correa Benavides</t>
  </si>
  <si>
    <t>Ana Adela Baos</t>
  </si>
  <si>
    <t>*Carlos Andrés Durán Enríquez</t>
  </si>
  <si>
    <t>*Daisy Ximena Valencia Palomino</t>
  </si>
  <si>
    <t xml:space="preserve">*Depsi Johana Córdoba Mompotes </t>
  </si>
  <si>
    <t>*Diego Fabian Bolaños Sarria</t>
  </si>
  <si>
    <t>*Gabriela Andrea Rivera Macias</t>
  </si>
  <si>
    <t>*Julio Cesar Garcia Buitron</t>
  </si>
  <si>
    <t>*Karen Viviana Quiñones Mosquera</t>
  </si>
  <si>
    <t>*Liliana Erazo</t>
  </si>
  <si>
    <t>*Omar Andrés Acosta Caicedo</t>
  </si>
  <si>
    <t>*Tatiana Mejia Rondon</t>
  </si>
  <si>
    <t>*Wadys Montilla Ortega</t>
  </si>
  <si>
    <t>*Luisa Marcela Toro Medina</t>
  </si>
  <si>
    <t>*Maria Camila Toro Gonzalez</t>
  </si>
  <si>
    <t>Julieth Alexandra Chacón Paja</t>
  </si>
  <si>
    <t>4.4 • 6.1 • 7.1 • 7.2 • 7.4 • 7.5 • 7.5.1 • 7.5.2 • 7.5.3 •8.2 • 8.3 • 8.5.2 • 8.5.4 • 8.5.5 • 8.5.6 • 9.1 • 10</t>
  </si>
  <si>
    <t>Decreto 1330 de 2019 del MEN</t>
  </si>
  <si>
    <t>Garantizar la efectividad del diseño curricular de la institución atendiendo los lineamientos del Ministerio de Educación Nacional y Normativa Interna.</t>
  </si>
  <si>
    <t>* Política de Créditos* Política de Gestión Curricular* Lineamientos de Gestión Curricular* Acuerdos de los Consejos Superior y Académico que apliquen.* Resoluciones de Rectoría</t>
  </si>
  <si>
    <t>• Información veraz, pertinente y oportuna • Servicio de Educación Superior acorde con los lineamientos del MEN.</t>
  </si>
  <si>
    <t>Tasa técnica ( # de estudiantes / # de docentes tiempo completo)
Deserción (# estudiantes desertores / # de estudiantes matriculados)
Tasa de Graduación (tiempo de graduación cohorte)
Bajo rendimiento (# estudiantes en bajo rendimiento /# de estudiantes matriculados)
Evaluación Docente (# docentes con calificación &gt;=4/ # de docentes evaluados)</t>
  </si>
  <si>
    <t>• 7.1 • 7.2 • 7.3 • 7.5 • 7.5.1 • 7.5.2 • 7.5.3 • 8.7 • 9.1 • 9.1.1 • 9.1.2 • 9.1.3 •10.2 • 10.3</t>
  </si>
  <si>
    <t>Reglamento estudiantil, estatutos y Política de tratamiento de datos personales</t>
  </si>
  <si>
    <t>• PR-RA-004 "Emisión de Constancias y Certificaciones Académicas"
• PR-DO-001"Procedimiento Homologación Interna y Externa"
• PR-GC-004 "Acciones Correctivas"</t>
  </si>
  <si>
    <t>PR-CU-001 Procedimiento Gestión Curricular V1
PR-GC-004 "Acciones Correctivas"</t>
  </si>
  <si>
    <t>Promover la investigación científica y formativa en la Institución impulsando el pensamiento creativo y crítico, el desarrollo tecnológico, la innovación y el desarrollo cultural aportando al fortalecimiento del proceso de enseñanza y aprendizaje en la región.</t>
  </si>
  <si>
    <t>• Decreto 1295 • Política de propiedad intelectual • Ley SPINOFF • Política de apropiación social de la ciencia, la tecnología y la innovación • Plan estratégico nacional de investigación ambiental • PECTIA 2017-2027 • Política Nacional de Ciencia, tecnología e innovación 2021-2030 • Decreto 1330 • CESU 02</t>
  </si>
  <si>
    <t>• 4.4 • 6.1 • 7.1 • 7.1.1 • 7.1.2 • 7.1.3 • 7.1.4 • 7.1.5 • 7.1.6 • 7.4 • 7.5 • 7.5.1 • 7.5.2 • 7.5.3 • 8.7 1 • 9.1.2 • 9.1.3 • 10.2 • 10.3</t>
  </si>
  <si>
    <t>• Estatuto General • Política del Sistema de Investigación, Desarrollo e Innovación • Política de Responsabilidad y Sostenibilidad Ambiental • Reglamento Estudiantil •Política Editorial • Reglamento de Propiedad Intelectual</t>
  </si>
  <si>
    <t>• Docentes Investigadores
• Productos de Investigación                                                                    
• Grupos de Investigación clasificados en Colciencias
• Semilleros de Investigación</t>
  </si>
  <si>
    <t>•MA-IN-002"ManualdeGestióndeGruposdeInvestigación"
•MA-IN-003"ManualdeGestióndeSemillerosdeInvestigación"
•PR-IN-001"GestióndelasFormasOrganizativasdelaInvestigación"
•PR-IN-002"ConvocatoriaInternayExternaparaProyectosdeInvestigación"
•PR-IN-003"SolicituddeApoyoFinancieroalSIDI"
•PR-IN-006"PresentaciónProyectosdeInvestigaciónenConvocatoriasExternas"
•PR-IN-007"ElaboraciónyTrámitedelActadePropiedadIntelectual"
•PR-IN-010"ContrataciónJóvenInvestigador" 
•PR-GC-004 "Acciones Correctivas"</t>
  </si>
  <si>
    <t>Aportar en el desarrollo y transformación social de la comunidad mediante la implementación de estrategias, proyectos y servicios que impacten a los grupos de interés.</t>
  </si>
  <si>
    <t>•4.4 • 6.1 • 7.1 • 7.1.1 • 7.1.2 • 7.1.3 • 7.1.4 • 7.1.5 • 7.1.6 • 7.4 • 7.5 • 7.5.1 • 7.5.2 • 7.5.3 • 8.7 1 • 9.1.2 • 9.1.3 • 10.2 • 10.3</t>
  </si>
  <si>
    <t>Promover la formación y capacitación permanente a lo largo de la vida en procesos de competencias laborales y capacitación a través de la Educación No Formal con el fin de fortalecer habilidades, destrezas y competencias que mejoren no solo la posición si no la inserción laboral de personas que deseen mejorar o actualizar sus capacidades y desarrollarse de manera integral.</t>
  </si>
  <si>
    <t>•Ley 30 de 1992, título VI, Capítulo I, Art. 120•Ley 115 de 1994, Capítulo II•Decreto 114 del 15 de enero de 1996, Capítulo I y II•Resolución 626 de 2007 Modificada por la Resolución 1622 de 2007</t>
  </si>
  <si>
    <t>4.1. 4.2. 4.3. 4.4. 6.1. 6.2. 6.2.2. 6.3. 7.1.3. 7.1.4. 7.2. 7.5. 7.5.3. 7.5.3.1 8.1. 8.2.1. 8.2.2. 8.2.3.1. 8.4.2. 8.5.1. 8.6. 8.7. 8.7.2. 9.1. 9.1.2. 9.3.2. 10.2.1.</t>
  </si>
  <si>
    <t>• Política de Extensión y Proyección Social • Acuerdo 012 del 18 de mayo de 2023 Lineamientos de Educación Continuada</t>
  </si>
  <si>
    <t>Tasa de participación oferta educación continuada = número de estudiantes que tomaron la oferta / número de aspirantes inscritos * 100
Cumplimiento de metas financieras = ingresos recibidos / ingresos proyectados
Satisfacción de los usuarios = promedio de calificación de satisfacción de 4 en el 75% de la población a partir de un formulario en línea</t>
  </si>
  <si>
    <t>MA-EC-001 "Manual de Procedimientos Educación Continuada"
PR-GC-004 "Acciones Correctivas"</t>
  </si>
  <si>
    <t>Planificar, desarrollar e implementar soluciones tecnológicas asociadas al Sistema de Información de Registro Estudiantil (SIRES), garantizando la integridad, veracidad y disponibilidad de la información por parte de la Comunidad Académica que la requiera.</t>
  </si>
  <si>
    <t>Ley 1581 de 2012 Ley de proteccióde datos personales</t>
  </si>
  <si>
    <t>• 7.1.3 • 7.5.3 • 8.2 • 8.2.1 . 8.2.2 . 8.2.3 . 8.2.4 .8.5.2 • 8.5.3 • 9.1.1 • 9.1.2 . 9.1.3 . 10.2 • 10.3</t>
  </si>
  <si>
    <t>• Política de protección de datos personales</t>
  </si>
  <si>
    <t>• Accesibilidad del Sistemas de Información (SIRES)
• Avance de los desarrollos asociados al sistema de información SIRES en curso</t>
  </si>
  <si>
    <t>• MA-SI-001 "Manual Desarrollo Soluciones Tecnológicas Asociadas al SIRES" • PR-GC-004 "Acciones Correctivas"</t>
  </si>
  <si>
    <t>Administrar, mantener y apropiar el Sistema de Gestión de Calidad mediante la gestión por procesos para dar cumplimiento con los requisitos legales y reglamentarios aplicables basado en la norma ISO 9001:2015.</t>
  </si>
  <si>
    <t>• 4.1 • 4.2 • 4.3 • 4.4 • 5.1.2 • 5.2 • 6.2 • 6.3 • 7.5 • 7.5.1 • 7.5.2 • 7.5.3 • 8.2 • 8.7 • 9.1 • 9.1.2 • 9.2 • 10.2 • 10.3</t>
  </si>
  <si>
    <t>Contribuir con la formación integral, el desarrollo humano, la cultura Institucional y la formación ciudadana de la comunidad académica para su desarrollo potencial, individual y colectivo que permitan el logro de los fines misionales.</t>
  </si>
  <si>
    <t>Ley 1188 de 2008 • Ley 30 de 1992 • Decreto 1075 de 2015 • Acuerdo 02 CESU 1 julio de 2020 • Ley 1188 de 2008 • Decreto 1330 de 2019</t>
  </si>
  <si>
    <t>7.1.2• 7.5 • 7.5.1 • 7.5.2 • 7.1.2 • 9.1 • 9.1.1 • 9.1.3 • 10.3</t>
  </si>
  <si>
    <t>• Política de Bienestar Institucional 16 de sep de 2022• Política de permanencia y Graduación 24 mar de 2023</t>
  </si>
  <si>
    <t>• Impacto del programa de permanencia y graduación
• % Participación en actividades bienestar</t>
  </si>
  <si>
    <t>•ConstituciónPolíticadeColombia
•Códigosustantivodetrabajo
•Ley100de1993
•Ley797de2003
•Ley1010de2006
•Decreto1330de2019
•Decreto1072de2015
•Decreto055de2015
.ley2414de2021
ley1822de 2017</t>
  </si>
  <si>
    <t>•5.2.1• 5.2.2 • 6.2 • 7.1.2 • 7.1.4 • 7.1.6 • 7.2 • 7.3 • 7.4 • 7.5.1 • 7.5.2 • 9.1.1 • 9.1.3 • 10.2 • 10.3</t>
  </si>
  <si>
    <t>Implementar y mantener el Sistema de Gestión de Seguridad y Salud en el Trabajo mediante el establecimiento de la Política de S.S.T, el análisis de los riesgos y la priorización de los controles requeridos para minimizar la prevalencia e incidencia de enfermedades laborales, incidentes y accidentes de trabajo, garantizando el bienestar físico, mental y social de todos los trabajadores de la Institución.</t>
  </si>
  <si>
    <t>•Decreto1072de2015 
•Resolución0312de2019 
•Ley1523de2012
•Resolución4272de2021
•Resolución1565de2014
•Ley2365de2024
•Ley 1010 de 2006</t>
  </si>
  <si>
    <t>• 6.1 •7.1.1 • 7.1.2 • 7.1.3 • 7.1.4 • 7.2 • 7.3 • 7.4 •7.5.3 •8.1 • 8.5.1 • 9.1.1 • 9.1.3 • 10.2 • 10.3</t>
  </si>
  <si>
    <t>• Política de Seguridad y Salud en el Trabajo • Resolución 120 del 20 de noviembre de 2023 • Protocolo atención en casos de violencia • Política de seguridad vial • Protocolo para la resolución de conflictos • Reglamento Interno del Trabajo • Reglamento de higiene y seguridad industrial</t>
  </si>
  <si>
    <t>%de participación acividades de prevención = # de participantes / # trabajadores
# de accidentes de trabajo</t>
  </si>
  <si>
    <t>•EstándaresMínimosdelSistemadeGestióndelaSeguridadySaludenelTrabajo
•ProgramadeCapacitación
•Programadeestilosdevidayentornosaludable
•ProgramadeVigilanciaEpidemiológica
•Plandeprevención,preparaciónyrespuestaanteemergencias
•Plan de auditoría anual 
• Plan de mejora SG-SST</t>
  </si>
  <si>
    <t>Gestionar la adquisición, revision, seguimiento, control y aprobacion de los recursos requeridos para el buen funcionamiento de la institucion , garantizando el cumplimiento presupuestal y administrando el optimo relacionamiento con los proveedores.</t>
  </si>
  <si>
    <t>• ISO 9001:2015</t>
  </si>
  <si>
    <t xml:space="preserve">
• 7.5 • 7.5.1 • 7.5.2 • 7.1.2 • 7.1.3 • 7.4 • 8.4 • 8.4.1 • 8.4.2 • 8.4.3 • 9.1 • 9.1.1 * 9.1.2 * 9.1.3 * 10.1 * 10.2 * 10.3</t>
  </si>
  <si>
    <t>• Política Financiera y Presupuestal• Régimen de Matrícula Financiera</t>
  </si>
  <si>
    <t>•PR-GA-007"EvaluacióndeProveedores"
•PR-GC-004"AccionesCorrectivas"
•PR-GA-006"ProcedimientodeCompras"
•PR-FIN-007"Elaboración ordenes de pago" 
• PR-FIN-017 "Pagos Institucionales"</t>
  </si>
  <si>
    <t>• Ley 1429 de 2010 Formato 350 (retención a la fuente) • Ley 79 de 20 de Oct. 1993 (DANE) • Ley 1314 de 2009 • Decreto 1625 de 2016 (DUR Tributario) • Decreto 3022 de 2013 • Ley 1819 de 2016. • Formulario 220 Resolución 022 de 20 febrero 2024</t>
  </si>
  <si>
    <t>•7.1 • 7.1.1 • 7.1.2 •7.5 •7.5.1 •7.5.2 •7.5.3 • 8.1 • 9.1.1 • 9.1.3 •10.1 •10.2 •10.3</t>
  </si>
  <si>
    <t>Política Fiananciera y Presupuestal 
Régimen de Matrícula Financiera
Política de provisión de Cartera</t>
  </si>
  <si>
    <t>•MA-FIN-001"ManualFinanciero"
•PR-CT-002"Pagosylegalizacióndeanticipos"
•PR-CT-003"Gestióndecobrodecartera"
•PR-CT-004"Ajustescontables"
•PR-CT-006"Cuentasporpagar"
•PR-CT-008"Ingresodeactivosfijos"
•PR-CT-011"Conciliaciónbancaria"
•PR-CT-012"Devoluciónderecursosdematrículaacadémica"
•PR-CT-013"Ingresosnooperacionales"
•PR-CT-014"MatrículaFinanciera"
•PR-CT-015 "Pago de matrículas con cesantías" 
•PR-CT-019 "Cursos Intersemestrales" 
•PR-GC-004 "Acciones Correctivas"</t>
  </si>
  <si>
    <t>Gestionar los asuntos normativos y jurídicos de la Institución de acuerdo al direccionamiento de los órganos colegiados de gobierno y de la Alta Dirección, así como garantizar la custodia de los documentos Institucionales mediante la gestión documental.</t>
  </si>
  <si>
    <t>•CP-GD-001"CaracterizacióndeProcesoGestiónDocumental"
•PR-GC-004"AccionesCorrectivas"
•PR-GL-001"EstablecimientoNormativasInstitucionales"
•PR-GL-002"AsignacióndeApoyosFinancierosparaestudioenprogramasFUP"
•PR-GL-003"TrámitedeConvenios" 
•PR-GL-004 "Procedimiento para la gestión de Graducación"</t>
  </si>
  <si>
    <t>• PR-GD-001 "Procedimiento de Radicación y Distribución de Comunicaciones Oficiales" 
• PR-GC-004 "Acciones Correctivas"</t>
  </si>
  <si>
    <t>Apoyar el proceso de formación integral a la comunidad educativa, proporcionando los recursos requeridos para las actividades de docencia, investigación y proyección social en las bibliotecas y laboratorios Institucionales.</t>
  </si>
  <si>
    <t>•5.3 • 7.5.1 • 7.5.2 • 9.1.1 • 9.1.3 • 10.2 • 10.3</t>
  </si>
  <si>
    <t>•MA-RE-001"ManualdeAdministracióndeBibliotecasInstitucionales"
•MA-RE-002"ManualdeAdministracióndeLaboratoriosInstitucionales"
•PR-RE-009"InventariodeLaboratorio"
•PR-RE-013"Compras,SelecciónyEvaluacióndeProveedoresdeMediosEducativos" 
•PR-GC-004 "Acciones Correctivas"</t>
  </si>
  <si>
    <t>• Política de Renovación y Actualización de Recursos Tecnológicos • Reglamento Uso de Salas de Cómputo • Reglamento Uso del Correo Institucional</t>
  </si>
  <si>
    <t>•MA-RT-001"ManualdeInfraestructuraTecnológica"
•PR-RT-001"Mantenimientopreventivodeequipos"
•PR-RT-002"CopiasdeSeguridad"
•PR-RT-003"Solicituddesalasdecómputo"
•DS-RT-002"Reglamentointernousodelcomputador"
•PR-GC-004"AccionesCorrectivas".</t>
  </si>
  <si>
    <t>Administrar y proveer los recursos físicos y de infraestructura necesarios para garantizar una prestación óptima del servicio de educación superior.</t>
  </si>
  <si>
    <t xml:space="preserve">• PR-RF-003 "Mantenimiento de Infraestructura Institucional"
• PR-RF-004 "Procedimiento de limpieza Institucional" 
• PR-GC-004 "Acciones Correctivas"
</t>
  </si>
  <si>
    <t>Registre el cilco de la Auditoría.  Ejemplo: "2025" para ciclos anuales o "2025-S1" para ciclos semestrales.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</si>
</sst>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m\-yyyy"/>
    <numFmt numFmtId="165" formatCode="[$-240A]h:mm\ AM/PM;@"/>
    <numFmt numFmtId="166" formatCode="dd\-mmm\-yy;@"/>
  </numFmts>
  <fonts count="62" x14ac:knownFonts="1">
    <font>
      <sz val="11"/>
      <color theme="1"/>
      <name val="Calibri"/>
      <family val="2"/>
      <scheme val="minor"/>
    </font>
    <font>
      <sz val="9"/>
      <color theme="1"/>
      <name val="Arial"/>
      <family val="2"/>
    </font>
    <font>
      <sz val="10"/>
      <color theme="1"/>
      <name val="Arial"/>
      <family val="2"/>
    </font>
    <font>
      <b/>
      <sz val="9"/>
      <color theme="1"/>
      <name val="Arial"/>
      <family val="2"/>
    </font>
    <font>
      <sz val="8"/>
      <color theme="1"/>
      <name val="Arial"/>
      <family val="2"/>
    </font>
    <font>
      <sz val="8"/>
      <color theme="0" tint="-4.9989318521683403E-2"/>
      <name val="Arial"/>
      <family val="2"/>
    </font>
    <font>
      <b/>
      <sz val="9"/>
      <color theme="0" tint="-4.9989318521683403E-2"/>
      <name val="Arial"/>
      <family val="2"/>
    </font>
    <font>
      <sz val="9"/>
      <color theme="0" tint="-4.9989318521683403E-2"/>
      <name val="Arial"/>
      <family val="2"/>
    </font>
    <font>
      <b/>
      <sz val="9"/>
      <color theme="0"/>
      <name val="Arial"/>
      <family val="2"/>
    </font>
    <font>
      <sz val="8"/>
      <color theme="1"/>
      <name val="Calibri"/>
      <family val="2"/>
      <scheme val="minor"/>
    </font>
    <font>
      <b/>
      <sz val="8"/>
      <color theme="0"/>
      <name val="Arial"/>
      <family val="2"/>
    </font>
    <font>
      <sz val="9"/>
      <color theme="0"/>
      <name val="Arial"/>
      <family val="2"/>
    </font>
    <font>
      <b/>
      <sz val="9"/>
      <color rgb="FF00FFFF"/>
      <name val="Arial"/>
      <family val="2"/>
    </font>
    <font>
      <b/>
      <sz val="9"/>
      <color rgb="FF00FF00"/>
      <name val="Arial"/>
      <family val="2"/>
    </font>
    <font>
      <b/>
      <sz val="9"/>
      <color theme="7" tint="0.79998168889431442"/>
      <name val="Arial"/>
      <family val="2"/>
    </font>
    <font>
      <b/>
      <sz val="9"/>
      <color rgb="FFFFFF00"/>
      <name val="Arial"/>
      <family val="2"/>
    </font>
    <font>
      <b/>
      <sz val="12"/>
      <color rgb="FF0000CC"/>
      <name val="Arial"/>
      <family val="2"/>
    </font>
    <font>
      <b/>
      <sz val="11"/>
      <color theme="1"/>
      <name val="Calibri"/>
      <family val="2"/>
      <scheme val="minor"/>
    </font>
    <font>
      <sz val="8"/>
      <color theme="0" tint="-0.14999847407452621"/>
      <name val="Calibri"/>
      <family val="2"/>
      <scheme val="minor"/>
    </font>
    <font>
      <sz val="9"/>
      <color theme="1"/>
      <name val="Calibri"/>
      <family val="2"/>
      <scheme val="minor"/>
    </font>
    <font>
      <b/>
      <sz val="11"/>
      <color rgb="FFFFFF00"/>
      <name val="Calibri"/>
      <family val="2"/>
      <scheme val="minor"/>
    </font>
    <font>
      <sz val="11"/>
      <color rgb="FF00FF00"/>
      <name val="Calibri"/>
      <family val="2"/>
      <scheme val="minor"/>
    </font>
    <font>
      <sz val="8"/>
      <color rgb="FF00FF00"/>
      <name val="Calibri"/>
      <family val="2"/>
      <scheme val="minor"/>
    </font>
    <font>
      <sz val="8"/>
      <color theme="0"/>
      <name val="Arial"/>
      <family val="2"/>
    </font>
    <font>
      <b/>
      <sz val="8"/>
      <color theme="1"/>
      <name val="Arial"/>
      <family val="2"/>
    </font>
    <font>
      <sz val="8"/>
      <name val="Calibri"/>
      <family val="2"/>
      <scheme val="minor"/>
    </font>
    <font>
      <b/>
      <sz val="11"/>
      <color theme="1"/>
      <name val="Arial"/>
      <family val="2"/>
    </font>
    <font>
      <sz val="9"/>
      <color rgb="FFFFFF00"/>
      <name val="Arial"/>
      <family val="2"/>
    </font>
    <font>
      <b/>
      <sz val="9"/>
      <color rgb="FF0000CC"/>
      <name val="Arial"/>
      <family val="2"/>
    </font>
    <font>
      <b/>
      <sz val="9"/>
      <color indexed="15"/>
      <name val="Tahoma"/>
      <family val="2"/>
    </font>
    <font>
      <sz val="8"/>
      <color rgb="FFFF0000"/>
      <name val="Arial"/>
      <family val="2"/>
    </font>
    <font>
      <sz val="7"/>
      <color theme="1"/>
      <name val="Arial"/>
      <family val="2"/>
    </font>
    <font>
      <sz val="9"/>
      <color theme="0"/>
      <name val="Calibri"/>
      <family val="2"/>
      <scheme val="minor"/>
    </font>
    <font>
      <b/>
      <sz val="9"/>
      <color theme="0"/>
      <name val="Calibri"/>
      <family val="2"/>
      <scheme val="minor"/>
    </font>
    <font>
      <sz val="10"/>
      <color rgb="FFFF0000"/>
      <name val="Arial"/>
      <family val="2"/>
    </font>
    <font>
      <sz val="9"/>
      <color rgb="FFFF0000"/>
      <name val="Arial"/>
      <family val="2"/>
    </font>
    <font>
      <b/>
      <sz val="9"/>
      <color theme="1"/>
      <name val="Calibri"/>
      <family val="2"/>
      <scheme val="minor"/>
    </font>
    <font>
      <b/>
      <sz val="9"/>
      <color rgb="FFFFFF00"/>
      <name val="Calibri"/>
      <family val="2"/>
      <scheme val="minor"/>
    </font>
    <font>
      <sz val="9"/>
      <color rgb="FFFFFF00"/>
      <name val="Calibri"/>
      <family val="2"/>
      <scheme val="minor"/>
    </font>
    <font>
      <b/>
      <sz val="8"/>
      <color rgb="FF00FFFF"/>
      <name val="Arial"/>
      <family val="2"/>
    </font>
    <font>
      <b/>
      <sz val="10"/>
      <color theme="1"/>
      <name val="Calibri"/>
      <family val="2"/>
      <scheme val="minor"/>
    </font>
    <font>
      <sz val="10"/>
      <color theme="1"/>
      <name val="Calibri"/>
      <family val="2"/>
      <scheme val="minor"/>
    </font>
    <font>
      <b/>
      <sz val="8"/>
      <color theme="0"/>
      <name val="Calibri"/>
      <family val="2"/>
      <scheme val="minor"/>
    </font>
    <font>
      <b/>
      <sz val="10"/>
      <color rgb="FFFF0000"/>
      <name val="Calibri"/>
      <family val="2"/>
      <scheme val="minor"/>
    </font>
    <font>
      <b/>
      <sz val="12"/>
      <color rgb="FFFF0000"/>
      <name val="Calibri"/>
      <family val="2"/>
      <scheme val="minor"/>
    </font>
    <font>
      <sz val="8"/>
      <color rgb="FF0000CC"/>
      <name val="Calibri"/>
      <family val="2"/>
      <scheme val="minor"/>
    </font>
    <font>
      <b/>
      <sz val="8"/>
      <color rgb="FF0000CC"/>
      <name val="Calibri"/>
      <family val="2"/>
      <scheme val="minor"/>
    </font>
    <font>
      <b/>
      <sz val="12"/>
      <color rgb="FF0000CC"/>
      <name val="Calibri"/>
      <family val="2"/>
      <scheme val="minor"/>
    </font>
    <font>
      <b/>
      <sz val="10"/>
      <color rgb="FF0000CC"/>
      <name val="Calibri"/>
      <family val="2"/>
      <scheme val="minor"/>
    </font>
    <font>
      <b/>
      <sz val="8"/>
      <color rgb="FF00FF00"/>
      <name val="Arial"/>
      <family val="2"/>
    </font>
    <font>
      <b/>
      <sz val="12"/>
      <color theme="0"/>
      <name val="Calibri"/>
      <family val="2"/>
      <scheme val="minor"/>
    </font>
    <font>
      <sz val="9"/>
      <color rgb="FF0000CC"/>
      <name val="Arial"/>
      <family val="2"/>
    </font>
    <font>
      <b/>
      <sz val="8"/>
      <color rgb="FF0000CC"/>
      <name val="Arial"/>
      <family val="2"/>
    </font>
    <font>
      <b/>
      <sz val="9"/>
      <color indexed="81"/>
      <name val="Tahoma"/>
      <family val="2"/>
    </font>
    <font>
      <sz val="9"/>
      <color indexed="81"/>
      <name val="Tahoma"/>
      <family val="2"/>
    </font>
    <font>
      <sz val="8"/>
      <color rgb="FF66FF66"/>
      <name val="Calibri"/>
      <family val="2"/>
      <scheme val="minor"/>
    </font>
    <font>
      <b/>
      <sz val="10"/>
      <color theme="0"/>
      <name val="Calibri"/>
      <family val="2"/>
      <scheme val="minor"/>
    </font>
    <font>
      <u/>
      <sz val="11"/>
      <color theme="10"/>
      <name val="Calibri"/>
      <family val="2"/>
      <scheme val="minor"/>
    </font>
    <font>
      <u/>
      <sz val="11"/>
      <color theme="1"/>
      <name val="Calibri"/>
      <family val="2"/>
      <scheme val="minor"/>
    </font>
    <font>
      <u/>
      <sz val="9"/>
      <color theme="10"/>
      <name val="Arial"/>
      <family val="2"/>
    </font>
    <font>
      <sz val="9"/>
      <color rgb="FF000000"/>
      <name val="Arial"/>
      <family val="2"/>
    </font>
    <font>
      <sz val="9"/>
      <color theme="0" tint="-0.14999847407452621"/>
      <name val="Arial"/>
      <family val="2"/>
    </font>
  </fonts>
  <fills count="4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9" tint="0.79998168889431442"/>
        <bgColor indexed="64"/>
      </patternFill>
    </fill>
    <fill>
      <patternFill patternType="solid">
        <fgColor rgb="FFC00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005790"/>
        <bgColor indexed="64"/>
      </patternFill>
    </fill>
    <fill>
      <patternFill patternType="solid">
        <fgColor theme="2"/>
        <bgColor indexed="64"/>
      </patternFill>
    </fill>
    <fill>
      <patternFill patternType="solid">
        <fgColor rgb="FFA62424"/>
        <bgColor indexed="64"/>
      </patternFill>
    </fill>
    <fill>
      <patternFill patternType="solid">
        <fgColor rgb="FF618138"/>
        <bgColor indexed="64"/>
      </patternFill>
    </fill>
    <fill>
      <patternFill patternType="solid">
        <fgColor rgb="FF293139"/>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D89328"/>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CCCC"/>
        <bgColor indexed="64"/>
      </patternFill>
    </fill>
    <fill>
      <patternFill patternType="solid">
        <fgColor rgb="FFFF9999"/>
        <bgColor indexed="64"/>
      </patternFill>
    </fill>
    <fill>
      <patternFill patternType="solid">
        <fgColor rgb="FF0070C0"/>
        <bgColor indexed="64"/>
      </patternFill>
    </fill>
    <fill>
      <patternFill patternType="solid">
        <fgColor theme="1"/>
        <bgColor indexed="64"/>
      </patternFill>
    </fill>
    <fill>
      <patternFill patternType="solid">
        <fgColor rgb="FF00FF00"/>
        <bgColor indexed="64"/>
      </patternFill>
    </fill>
    <fill>
      <patternFill patternType="solid">
        <fgColor rgb="FFFFCC99"/>
        <bgColor indexed="64"/>
      </patternFill>
    </fill>
    <fill>
      <patternFill patternType="solid">
        <fgColor rgb="FFFFFF99"/>
        <bgColor indexed="64"/>
      </patternFill>
    </fill>
    <fill>
      <patternFill patternType="solid">
        <fgColor rgb="FFFF0000"/>
        <bgColor indexed="64"/>
      </patternFill>
    </fill>
    <fill>
      <patternFill patternType="solid">
        <fgColor rgb="FF0000FF"/>
        <bgColor indexed="64"/>
      </patternFill>
    </fill>
    <fill>
      <patternFill patternType="solid">
        <fgColor theme="7" tint="-0.499984740745262"/>
        <bgColor indexed="64"/>
      </patternFill>
    </fill>
    <fill>
      <patternFill patternType="solid">
        <fgColor rgb="FF800000"/>
        <bgColor indexed="64"/>
      </patternFill>
    </fill>
    <fill>
      <patternFill patternType="solid">
        <fgColor theme="8" tint="0.79998168889431442"/>
        <bgColor indexed="64"/>
      </patternFill>
    </fill>
    <fill>
      <patternFill patternType="solid">
        <fgColor rgb="FFFFFFCC"/>
        <bgColor indexed="64"/>
      </patternFill>
    </fill>
    <fill>
      <patternFill patternType="solid">
        <fgColor theme="7" tint="0.39997558519241921"/>
        <bgColor indexed="64"/>
      </patternFill>
    </fill>
    <fill>
      <patternFill patternType="solid">
        <fgColor theme="1" tint="4.9989318521683403E-2"/>
        <bgColor indexed="64"/>
      </patternFill>
    </fill>
    <fill>
      <patternFill patternType="solid">
        <fgColor rgb="FFFFC000"/>
        <bgColor indexed="64"/>
      </patternFill>
    </fill>
    <fill>
      <patternFill patternType="solid">
        <fgColor theme="4" tint="0.39997558519241921"/>
        <bgColor indexed="64"/>
      </patternFill>
    </fill>
  </fills>
  <borders count="1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medium">
        <color theme="7" tint="-0.24994659260841701"/>
      </left>
      <right/>
      <top/>
      <bottom/>
      <diagonal/>
    </border>
    <border>
      <left style="thin">
        <color indexed="64"/>
      </left>
      <right style="medium">
        <color theme="7" tint="-0.24994659260841701"/>
      </right>
      <top/>
      <bottom/>
      <diagonal/>
    </border>
    <border>
      <left style="medium">
        <color theme="7" tint="-0.24994659260841701"/>
      </left>
      <right/>
      <top/>
      <bottom style="thin">
        <color rgb="FF002060"/>
      </bottom>
      <diagonal/>
    </border>
    <border>
      <left style="medium">
        <color rgb="FF002060"/>
      </left>
      <right/>
      <top/>
      <bottom style="thin">
        <color rgb="FF002060"/>
      </bottom>
      <diagonal/>
    </border>
    <border>
      <left style="thin">
        <color indexed="64"/>
      </left>
      <right style="medium">
        <color theme="7" tint="-0.24994659260841701"/>
      </right>
      <top/>
      <bottom style="thin">
        <color indexed="64"/>
      </bottom>
      <diagonal/>
    </border>
    <border>
      <left style="thin">
        <color indexed="64"/>
      </left>
      <right style="medium">
        <color theme="7" tint="-0.24994659260841701"/>
      </right>
      <top/>
      <bottom style="hair">
        <color indexed="64"/>
      </bottom>
      <diagonal/>
    </border>
    <border>
      <left style="thin">
        <color indexed="64"/>
      </left>
      <right style="medium">
        <color theme="7" tint="-0.24994659260841701"/>
      </right>
      <top style="hair">
        <color indexed="64"/>
      </top>
      <bottom style="hair">
        <color indexed="64"/>
      </bottom>
      <diagonal/>
    </border>
    <border>
      <left/>
      <right style="medium">
        <color theme="7" tint="-0.24994659260841701"/>
      </right>
      <top/>
      <bottom/>
      <diagonal/>
    </border>
    <border>
      <left style="medium">
        <color theme="7" tint="-0.24994659260841701"/>
      </left>
      <right/>
      <top/>
      <bottom style="medium">
        <color theme="7" tint="-0.24994659260841701"/>
      </bottom>
      <diagonal/>
    </border>
    <border>
      <left style="thin">
        <color indexed="64"/>
      </left>
      <right style="thin">
        <color indexed="64"/>
      </right>
      <top style="hair">
        <color indexed="64"/>
      </top>
      <bottom style="medium">
        <color theme="7" tint="-0.24994659260841701"/>
      </bottom>
      <diagonal/>
    </border>
    <border>
      <left style="thin">
        <color indexed="64"/>
      </left>
      <right style="medium">
        <color theme="7" tint="-0.24994659260841701"/>
      </right>
      <top style="hair">
        <color indexed="64"/>
      </top>
      <bottom style="medium">
        <color theme="7" tint="-0.24994659260841701"/>
      </bottom>
      <diagonal/>
    </border>
    <border>
      <left style="thin">
        <color rgb="FF00B0F0"/>
      </left>
      <right/>
      <top style="thin">
        <color rgb="FF00B0F0"/>
      </top>
      <bottom style="hair">
        <color rgb="FF00B0F0"/>
      </bottom>
      <diagonal/>
    </border>
    <border>
      <left/>
      <right/>
      <top style="thin">
        <color rgb="FF00B0F0"/>
      </top>
      <bottom style="hair">
        <color rgb="FF00B0F0"/>
      </bottom>
      <diagonal/>
    </border>
    <border>
      <left style="thin">
        <color rgb="FF00B0F0"/>
      </left>
      <right style="thin">
        <color rgb="FF00B0F0"/>
      </right>
      <top style="hair">
        <color rgb="FF00B0F0"/>
      </top>
      <bottom style="hair">
        <color rgb="FF00B0F0"/>
      </bottom>
      <diagonal/>
    </border>
    <border>
      <left style="thin">
        <color rgb="FF00B0F0"/>
      </left>
      <right/>
      <top style="hair">
        <color rgb="FF00B0F0"/>
      </top>
      <bottom style="hair">
        <color rgb="FF00B0F0"/>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medium">
        <color indexed="64"/>
      </bottom>
      <diagonal/>
    </border>
    <border>
      <left style="thin">
        <color rgb="FF00B0F0"/>
      </left>
      <right style="thin">
        <color rgb="FF00B0F0"/>
      </right>
      <top style="thin">
        <color rgb="FF00B0F0"/>
      </top>
      <bottom style="hair">
        <color rgb="FF00B0F0"/>
      </bottom>
      <diagonal/>
    </border>
    <border>
      <left style="thin">
        <color rgb="FF00B0F0"/>
      </left>
      <right style="thin">
        <color rgb="FF00B0F0"/>
      </right>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hair">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indexed="64"/>
      </left>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diagonal/>
    </border>
    <border>
      <left style="thin">
        <color theme="0" tint="-0.499984740745262"/>
      </left>
      <right style="thin">
        <color theme="0" tint="-0.499984740745262"/>
      </right>
      <top style="hair">
        <color theme="1"/>
      </top>
      <bottom style="hair">
        <color theme="1"/>
      </bottom>
      <diagonal/>
    </border>
    <border>
      <left style="thin">
        <color theme="0" tint="-0.499984740745262"/>
      </left>
      <right style="thin">
        <color theme="0" tint="-0.499984740745262"/>
      </right>
      <top style="thin">
        <color theme="0" tint="-0.499984740745262"/>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rgb="FF0000CC"/>
      </left>
      <right style="thin">
        <color rgb="FF0000CC"/>
      </right>
      <top style="thin">
        <color rgb="FF0000CC"/>
      </top>
      <bottom style="hair">
        <color rgb="FF0000CC"/>
      </bottom>
      <diagonal/>
    </border>
    <border>
      <left style="thin">
        <color rgb="FF0000CC"/>
      </left>
      <right style="thin">
        <color rgb="FF0000CC"/>
      </right>
      <top style="hair">
        <color rgb="FF0000CC"/>
      </top>
      <bottom style="hair">
        <color rgb="FF0000CC"/>
      </bottom>
      <diagonal/>
    </border>
    <border>
      <left style="thin">
        <color rgb="FF0000CC"/>
      </left>
      <right style="thin">
        <color rgb="FF0000CC"/>
      </right>
      <top style="hair">
        <color rgb="FF0000CC"/>
      </top>
      <bottom/>
      <diagonal/>
    </border>
    <border>
      <left style="thin">
        <color rgb="FF0000CC"/>
      </left>
      <right style="thin">
        <color rgb="FF0000CC"/>
      </right>
      <top style="hair">
        <color rgb="FF0000CC"/>
      </top>
      <bottom style="thin">
        <color rgb="FF0000CC"/>
      </bottom>
      <diagonal/>
    </border>
    <border>
      <left style="thin">
        <color rgb="FF0000CC"/>
      </left>
      <right style="thin">
        <color rgb="FF0000CC"/>
      </right>
      <top style="thin">
        <color rgb="FF0000CC"/>
      </top>
      <bottom style="thin">
        <color rgb="FF0000CC"/>
      </bottom>
      <diagonal/>
    </border>
    <border>
      <left style="thin">
        <color rgb="FF0000CC"/>
      </left>
      <right style="thin">
        <color rgb="FF0000CC"/>
      </right>
      <top/>
      <bottom style="hair">
        <color rgb="FF0000CC"/>
      </bottom>
      <diagonal/>
    </border>
    <border>
      <left/>
      <right/>
      <top/>
      <bottom style="hair">
        <color rgb="FF00B0F0"/>
      </bottom>
      <diagonal/>
    </border>
    <border>
      <left/>
      <right/>
      <top style="hair">
        <color rgb="FF00B0F0"/>
      </top>
      <bottom style="hair">
        <color rgb="FF00B0F0"/>
      </bottom>
      <diagonal/>
    </border>
    <border>
      <left style="thin">
        <color rgb="FF0000CC"/>
      </left>
      <right style="thin">
        <color rgb="FF0000CC"/>
      </right>
      <top style="hair">
        <color rgb="FF00B0F0"/>
      </top>
      <bottom style="hair">
        <color rgb="FF00B0F0"/>
      </bottom>
      <diagonal/>
    </border>
    <border>
      <left style="thin">
        <color rgb="FF0000CC"/>
      </left>
      <right/>
      <top style="hair">
        <color rgb="FF00B0F0"/>
      </top>
      <bottom style="hair">
        <color rgb="FF00B0F0"/>
      </bottom>
      <diagonal/>
    </border>
    <border>
      <left/>
      <right style="thin">
        <color rgb="FF0000CC"/>
      </right>
      <top style="hair">
        <color rgb="FF00B0F0"/>
      </top>
      <bottom style="hair">
        <color rgb="FF00B0F0"/>
      </bottom>
      <diagonal/>
    </border>
    <border>
      <left style="thin">
        <color rgb="FF00B0F0"/>
      </left>
      <right style="thin">
        <color rgb="FF00B0F0"/>
      </right>
      <top/>
      <bottom style="hair">
        <color rgb="FF00B0F0"/>
      </bottom>
      <diagonal/>
    </border>
    <border>
      <left style="thin">
        <color rgb="FF00B0F0"/>
      </left>
      <right/>
      <top style="hair">
        <color rgb="FF00B0F0"/>
      </top>
      <bottom/>
      <diagonal/>
    </border>
    <border>
      <left style="thin">
        <color rgb="FF00B0F0"/>
      </left>
      <right style="thin">
        <color rgb="FF00B0F0"/>
      </right>
      <top style="hair">
        <color rgb="FF00B0F0"/>
      </top>
      <bottom/>
      <diagonal/>
    </border>
  </borders>
  <cellStyleXfs count="2">
    <xf numFmtId="0" fontId="0" fillId="0" borderId="0"/>
    <xf numFmtId="0" fontId="57" fillId="0" borderId="0" applyNumberFormat="0" applyFill="0" applyBorder="0" applyAlignment="0" applyProtection="0"/>
  </cellStyleXfs>
  <cellXfs count="580">
    <xf numFmtId="0" fontId="0" fillId="0" borderId="0" xfId="0"/>
    <xf numFmtId="0" fontId="0" fillId="3" borderId="0" xfId="0" applyFill="1" applyAlignment="1">
      <alignment vertical="center" wrapText="1"/>
    </xf>
    <xf numFmtId="0" fontId="5" fillId="2" borderId="0" xfId="0" applyFont="1" applyFill="1" applyAlignment="1">
      <alignment vertical="center"/>
    </xf>
    <xf numFmtId="0" fontId="2" fillId="2" borderId="0" xfId="0" applyFont="1" applyFill="1" applyAlignment="1">
      <alignment vertical="center"/>
    </xf>
    <xf numFmtId="0" fontId="2" fillId="3" borderId="0" xfId="0" applyFont="1" applyFill="1" applyAlignment="1">
      <alignment horizontal="center" vertical="center"/>
    </xf>
    <xf numFmtId="0" fontId="6" fillId="2" borderId="0" xfId="0" applyFont="1" applyFill="1" applyAlignment="1">
      <alignment horizontal="left" vertical="center"/>
    </xf>
    <xf numFmtId="0" fontId="1" fillId="2" borderId="0" xfId="0" applyFont="1" applyFill="1" applyAlignment="1">
      <alignment vertical="center"/>
    </xf>
    <xf numFmtId="0" fontId="3" fillId="2" borderId="0" xfId="0" applyFont="1" applyFill="1" applyAlignment="1">
      <alignment horizontal="left" vertical="center"/>
    </xf>
    <xf numFmtId="0" fontId="3" fillId="3" borderId="0" xfId="0" applyFont="1" applyFill="1" applyAlignment="1">
      <alignment horizontal="center" vertical="center"/>
    </xf>
    <xf numFmtId="0" fontId="7" fillId="2" borderId="0" xfId="0" applyFont="1" applyFill="1" applyAlignment="1">
      <alignment vertical="center"/>
    </xf>
    <xf numFmtId="0" fontId="1" fillId="3" borderId="0" xfId="0" applyFont="1" applyFill="1" applyAlignment="1">
      <alignment horizontal="center" vertical="center"/>
    </xf>
    <xf numFmtId="0" fontId="5" fillId="8" borderId="0" xfId="0" applyFont="1" applyFill="1" applyAlignment="1">
      <alignment vertical="center"/>
    </xf>
    <xf numFmtId="0" fontId="2" fillId="8" borderId="0" xfId="0" applyFont="1" applyFill="1" applyAlignment="1">
      <alignment vertical="center"/>
    </xf>
    <xf numFmtId="0" fontId="2" fillId="8" borderId="0" xfId="0" applyFont="1" applyFill="1" applyAlignment="1">
      <alignment horizontal="center" vertical="center"/>
    </xf>
    <xf numFmtId="165" fontId="4" fillId="3" borderId="0" xfId="0" applyNumberFormat="1" applyFont="1" applyFill="1" applyAlignment="1">
      <alignment horizontal="left" vertical="center" wrapText="1"/>
    </xf>
    <xf numFmtId="0" fontId="5" fillId="3" borderId="0" xfId="0" applyFont="1" applyFill="1" applyAlignment="1">
      <alignment vertical="center"/>
    </xf>
    <xf numFmtId="0" fontId="2" fillId="3" borderId="0" xfId="0" applyFont="1" applyFill="1" applyAlignment="1">
      <alignment vertical="center"/>
    </xf>
    <xf numFmtId="165" fontId="4" fillId="3" borderId="0" xfId="0" applyNumberFormat="1" applyFont="1" applyFill="1" applyAlignment="1">
      <alignment horizontal="center" vertical="center"/>
    </xf>
    <xf numFmtId="0" fontId="4" fillId="3" borderId="0" xfId="0" applyFont="1" applyFill="1" applyAlignment="1">
      <alignment vertical="center"/>
    </xf>
    <xf numFmtId="0" fontId="9" fillId="3" borderId="0" xfId="0" applyFont="1" applyFill="1"/>
    <xf numFmtId="0" fontId="3" fillId="11" borderId="0" xfId="0" applyFont="1" applyFill="1" applyAlignment="1">
      <alignment vertical="center"/>
    </xf>
    <xf numFmtId="0" fontId="8" fillId="11" borderId="0" xfId="0" applyFont="1" applyFill="1" applyAlignment="1">
      <alignment vertical="center"/>
    </xf>
    <xf numFmtId="0" fontId="11" fillId="14" borderId="17" xfId="0" applyFont="1" applyFill="1" applyBorder="1" applyAlignment="1">
      <alignment vertical="center"/>
    </xf>
    <xf numFmtId="49" fontId="8" fillId="14" borderId="16" xfId="0" applyNumberFormat="1" applyFont="1" applyFill="1" applyBorder="1" applyAlignment="1">
      <alignment vertical="center"/>
    </xf>
    <xf numFmtId="0" fontId="1" fillId="11" borderId="0" xfId="0" applyFont="1" applyFill="1" applyAlignment="1">
      <alignment vertical="center"/>
    </xf>
    <xf numFmtId="49" fontId="3" fillId="11" borderId="9" xfId="0" applyNumberFormat="1" applyFont="1" applyFill="1" applyBorder="1" applyAlignment="1">
      <alignment horizontal="left" vertical="center" indent="1"/>
    </xf>
    <xf numFmtId="49" fontId="3" fillId="15" borderId="9" xfId="0" applyNumberFormat="1" applyFont="1" applyFill="1" applyBorder="1" applyAlignment="1">
      <alignment horizontal="left" vertical="center" indent="1"/>
    </xf>
    <xf numFmtId="49" fontId="3" fillId="11" borderId="9" xfId="0" applyNumberFormat="1" applyFont="1" applyFill="1" applyBorder="1" applyAlignment="1">
      <alignment horizontal="left" vertical="center" indent="2"/>
    </xf>
    <xf numFmtId="49" fontId="3" fillId="15" borderId="9" xfId="0" applyNumberFormat="1" applyFont="1" applyFill="1" applyBorder="1" applyAlignment="1">
      <alignment horizontal="left" vertical="center" indent="2"/>
    </xf>
    <xf numFmtId="0" fontId="8" fillId="11" borderId="17" xfId="0" applyFont="1" applyFill="1" applyBorder="1" applyAlignment="1">
      <alignment vertical="center"/>
    </xf>
    <xf numFmtId="0" fontId="8" fillId="11" borderId="24" xfId="0" applyFont="1" applyFill="1" applyBorder="1" applyAlignment="1">
      <alignment vertical="center"/>
    </xf>
    <xf numFmtId="0" fontId="11" fillId="16" borderId="17" xfId="0" applyFont="1" applyFill="1" applyBorder="1" applyAlignment="1">
      <alignment vertical="center"/>
    </xf>
    <xf numFmtId="49" fontId="8" fillId="16" borderId="9" xfId="0" applyNumberFormat="1" applyFont="1" applyFill="1" applyBorder="1" applyAlignment="1">
      <alignment vertical="center"/>
    </xf>
    <xf numFmtId="0" fontId="11" fillId="11" borderId="0" xfId="0" applyFont="1" applyFill="1" applyAlignment="1">
      <alignment vertical="center"/>
    </xf>
    <xf numFmtId="49" fontId="3" fillId="17" borderId="9" xfId="0" applyNumberFormat="1" applyFont="1" applyFill="1" applyBorder="1" applyAlignment="1">
      <alignment horizontal="left" vertical="center" indent="1"/>
    </xf>
    <xf numFmtId="49" fontId="3" fillId="18" borderId="9" xfId="0" applyNumberFormat="1" applyFont="1" applyFill="1" applyBorder="1" applyAlignment="1">
      <alignment horizontal="left" vertical="center" indent="2"/>
    </xf>
    <xf numFmtId="49" fontId="3" fillId="17" borderId="9" xfId="0" applyNumberFormat="1" applyFont="1" applyFill="1" applyBorder="1" applyAlignment="1">
      <alignment horizontal="left" vertical="center" indent="2"/>
    </xf>
    <xf numFmtId="49" fontId="3" fillId="18" borderId="9" xfId="0" applyNumberFormat="1" applyFont="1" applyFill="1" applyBorder="1" applyAlignment="1">
      <alignment horizontal="left" vertical="center" indent="1"/>
    </xf>
    <xf numFmtId="0" fontId="1" fillId="10" borderId="17" xfId="0" applyFont="1" applyFill="1" applyBorder="1" applyAlignment="1">
      <alignment vertical="center"/>
    </xf>
    <xf numFmtId="49" fontId="12" fillId="10" borderId="9" xfId="0" applyNumberFormat="1" applyFont="1" applyFill="1" applyBorder="1" applyAlignment="1">
      <alignment vertical="center"/>
    </xf>
    <xf numFmtId="49" fontId="3" fillId="9" borderId="9" xfId="0" applyNumberFormat="1" applyFont="1" applyFill="1" applyBorder="1" applyAlignment="1">
      <alignment horizontal="left" vertical="center" indent="1"/>
    </xf>
    <xf numFmtId="49" fontId="3" fillId="19" borderId="9" xfId="0" applyNumberFormat="1" applyFont="1" applyFill="1" applyBorder="1" applyAlignment="1">
      <alignment horizontal="left" vertical="center" indent="2"/>
    </xf>
    <xf numFmtId="49" fontId="3" fillId="9" borderId="9" xfId="0" applyNumberFormat="1" applyFont="1" applyFill="1" applyBorder="1" applyAlignment="1">
      <alignment horizontal="left" vertical="center" indent="2"/>
    </xf>
    <xf numFmtId="49" fontId="3" fillId="19" borderId="9" xfId="0" applyNumberFormat="1" applyFont="1" applyFill="1" applyBorder="1" applyAlignment="1">
      <alignment horizontal="left" vertical="center" indent="1"/>
    </xf>
    <xf numFmtId="0" fontId="1" fillId="13" borderId="17" xfId="0" applyFont="1" applyFill="1" applyBorder="1" applyAlignment="1">
      <alignment vertical="center"/>
    </xf>
    <xf numFmtId="49" fontId="13" fillId="13" borderId="9" xfId="0" applyNumberFormat="1" applyFont="1" applyFill="1" applyBorder="1" applyAlignment="1">
      <alignment vertical="center"/>
    </xf>
    <xf numFmtId="49" fontId="3" fillId="5" borderId="9" xfId="0" applyNumberFormat="1" applyFont="1" applyFill="1" applyBorder="1" applyAlignment="1">
      <alignment horizontal="left" vertical="center" indent="1"/>
    </xf>
    <xf numFmtId="49" fontId="3" fillId="20" borderId="9" xfId="0" applyNumberFormat="1" applyFont="1" applyFill="1" applyBorder="1" applyAlignment="1">
      <alignment horizontal="left" vertical="center" indent="2"/>
    </xf>
    <xf numFmtId="49" fontId="3" fillId="5" borderId="9" xfId="0" applyNumberFormat="1" applyFont="1" applyFill="1" applyBorder="1" applyAlignment="1">
      <alignment horizontal="left" vertical="center" indent="2"/>
    </xf>
    <xf numFmtId="49" fontId="3" fillId="5" borderId="9" xfId="0" applyNumberFormat="1" applyFont="1" applyFill="1" applyBorder="1" applyAlignment="1">
      <alignment horizontal="left" vertical="center" indent="3"/>
    </xf>
    <xf numFmtId="49" fontId="3" fillId="20" borderId="9" xfId="0" applyNumberFormat="1" applyFont="1" applyFill="1" applyBorder="1" applyAlignment="1">
      <alignment horizontal="left" vertical="center" indent="3"/>
    </xf>
    <xf numFmtId="49" fontId="3" fillId="20" borderId="9" xfId="0" applyNumberFormat="1" applyFont="1" applyFill="1" applyBorder="1" applyAlignment="1">
      <alignment horizontal="left" vertical="center" indent="1"/>
    </xf>
    <xf numFmtId="49" fontId="3" fillId="5" borderId="9" xfId="0" applyNumberFormat="1" applyFont="1" applyFill="1" applyBorder="1" applyAlignment="1">
      <alignment horizontal="center" vertical="center"/>
    </xf>
    <xf numFmtId="0" fontId="1" fillId="21" borderId="17" xfId="0" applyFont="1" applyFill="1" applyBorder="1" applyAlignment="1">
      <alignment vertical="center"/>
    </xf>
    <xf numFmtId="49" fontId="14" fillId="21" borderId="9" xfId="0" applyNumberFormat="1" applyFont="1" applyFill="1" applyBorder="1" applyAlignment="1">
      <alignment vertical="center"/>
    </xf>
    <xf numFmtId="49" fontId="3" fillId="22" borderId="9" xfId="0" applyNumberFormat="1" applyFont="1" applyFill="1" applyBorder="1" applyAlignment="1">
      <alignment horizontal="left" vertical="center" indent="1"/>
    </xf>
    <xf numFmtId="49" fontId="3" fillId="23" borderId="9" xfId="0" applyNumberFormat="1" applyFont="1" applyFill="1" applyBorder="1" applyAlignment="1">
      <alignment horizontal="left" vertical="center" indent="2"/>
    </xf>
    <xf numFmtId="49" fontId="3" fillId="22" borderId="9" xfId="0" applyNumberFormat="1" applyFont="1" applyFill="1" applyBorder="1" applyAlignment="1">
      <alignment horizontal="left" vertical="center" indent="2"/>
    </xf>
    <xf numFmtId="49" fontId="3" fillId="23" borderId="9" xfId="0" applyNumberFormat="1" applyFont="1" applyFill="1" applyBorder="1" applyAlignment="1">
      <alignment horizontal="left" vertical="center" indent="1"/>
    </xf>
    <xf numFmtId="0" fontId="1" fillId="12" borderId="17" xfId="0" applyFont="1" applyFill="1" applyBorder="1" applyAlignment="1">
      <alignment vertical="center"/>
    </xf>
    <xf numFmtId="49" fontId="15" fillId="12" borderId="9" xfId="0" applyNumberFormat="1" applyFont="1" applyFill="1" applyBorder="1" applyAlignment="1">
      <alignment vertical="center"/>
    </xf>
    <xf numFmtId="49" fontId="3" fillId="24" borderId="9" xfId="0" applyNumberFormat="1" applyFont="1" applyFill="1" applyBorder="1" applyAlignment="1">
      <alignment horizontal="left" vertical="center" indent="1"/>
    </xf>
    <xf numFmtId="49" fontId="3" fillId="25" borderId="9" xfId="0" applyNumberFormat="1" applyFont="1" applyFill="1" applyBorder="1" applyAlignment="1">
      <alignment horizontal="left" vertical="center" indent="1"/>
    </xf>
    <xf numFmtId="49" fontId="3" fillId="24" borderId="9" xfId="0" applyNumberFormat="1" applyFont="1" applyFill="1" applyBorder="1" applyAlignment="1">
      <alignment horizontal="left" vertical="center" indent="2"/>
    </xf>
    <xf numFmtId="49" fontId="3" fillId="25" borderId="9" xfId="0" applyNumberFormat="1" applyFont="1" applyFill="1" applyBorder="1" applyAlignment="1">
      <alignment horizontal="left" vertical="center" indent="2"/>
    </xf>
    <xf numFmtId="0" fontId="1" fillId="12" borderId="25" xfId="0" applyFont="1" applyFill="1" applyBorder="1" applyAlignment="1">
      <alignment vertical="center"/>
    </xf>
    <xf numFmtId="49" fontId="3" fillId="24" borderId="26" xfId="0" applyNumberFormat="1" applyFont="1" applyFill="1" applyBorder="1" applyAlignment="1">
      <alignment horizontal="left" vertical="center" indent="1"/>
    </xf>
    <xf numFmtId="49" fontId="3" fillId="11" borderId="0" xfId="0" applyNumberFormat="1" applyFont="1" applyFill="1" applyAlignment="1">
      <alignment vertical="center"/>
    </xf>
    <xf numFmtId="0" fontId="8" fillId="14" borderId="22" xfId="0" applyFont="1" applyFill="1" applyBorder="1" applyAlignment="1">
      <alignment vertical="center" wrapText="1"/>
    </xf>
    <xf numFmtId="0" fontId="1" fillId="11" borderId="23" xfId="0" applyFont="1" applyFill="1" applyBorder="1" applyAlignment="1">
      <alignment horizontal="left" vertical="center" wrapText="1" indent="1"/>
    </xf>
    <xf numFmtId="0" fontId="1" fillId="15" borderId="23" xfId="0" applyFont="1" applyFill="1" applyBorder="1" applyAlignment="1">
      <alignment horizontal="left" vertical="center" wrapText="1" indent="1"/>
    </xf>
    <xf numFmtId="0" fontId="1" fillId="11" borderId="23" xfId="0" applyFont="1" applyFill="1" applyBorder="1" applyAlignment="1">
      <alignment horizontal="left" vertical="center" wrapText="1" indent="2"/>
    </xf>
    <xf numFmtId="0" fontId="1" fillId="15" borderId="23" xfId="0" applyFont="1" applyFill="1" applyBorder="1" applyAlignment="1">
      <alignment horizontal="left" vertical="center" wrapText="1" indent="2"/>
    </xf>
    <xf numFmtId="0" fontId="8" fillId="16" borderId="23" xfId="0" applyFont="1" applyFill="1" applyBorder="1" applyAlignment="1">
      <alignment vertical="center" wrapText="1"/>
    </xf>
    <xf numFmtId="0" fontId="1" fillId="17" borderId="23" xfId="0" applyFont="1" applyFill="1" applyBorder="1" applyAlignment="1">
      <alignment horizontal="left" vertical="center" wrapText="1" indent="1"/>
    </xf>
    <xf numFmtId="0" fontId="1" fillId="18" borderId="23" xfId="0" applyFont="1" applyFill="1" applyBorder="1" applyAlignment="1">
      <alignment horizontal="left" vertical="center" wrapText="1" indent="2"/>
    </xf>
    <xf numFmtId="0" fontId="1" fillId="17" borderId="23" xfId="0" applyFont="1" applyFill="1" applyBorder="1" applyAlignment="1">
      <alignment horizontal="left" vertical="center" wrapText="1" indent="2"/>
    </xf>
    <xf numFmtId="0" fontId="1" fillId="18" borderId="23" xfId="0" applyFont="1" applyFill="1" applyBorder="1" applyAlignment="1">
      <alignment horizontal="left" vertical="center" wrapText="1" indent="1"/>
    </xf>
    <xf numFmtId="0" fontId="12" fillId="10" borderId="23" xfId="0" applyFont="1" applyFill="1" applyBorder="1" applyAlignment="1">
      <alignment vertical="center" wrapText="1"/>
    </xf>
    <xf numFmtId="0" fontId="1" fillId="9" borderId="23" xfId="0" applyFont="1" applyFill="1" applyBorder="1" applyAlignment="1">
      <alignment horizontal="left" vertical="center" wrapText="1" indent="1"/>
    </xf>
    <xf numFmtId="0" fontId="1" fillId="19" borderId="23" xfId="0" applyFont="1" applyFill="1" applyBorder="1" applyAlignment="1">
      <alignment horizontal="left" vertical="center" wrapText="1" indent="2"/>
    </xf>
    <xf numFmtId="0" fontId="1" fillId="9" borderId="23" xfId="0" applyFont="1" applyFill="1" applyBorder="1" applyAlignment="1">
      <alignment horizontal="left" vertical="center" wrapText="1" indent="2"/>
    </xf>
    <xf numFmtId="0" fontId="1" fillId="19" borderId="23" xfId="0" applyFont="1" applyFill="1" applyBorder="1" applyAlignment="1">
      <alignment horizontal="left" vertical="center" wrapText="1" indent="1"/>
    </xf>
    <xf numFmtId="0" fontId="13" fillId="13" borderId="23" xfId="0" applyFont="1" applyFill="1" applyBorder="1" applyAlignment="1">
      <alignment vertical="center" wrapText="1"/>
    </xf>
    <xf numFmtId="0" fontId="1" fillId="5" borderId="23" xfId="0" applyFont="1" applyFill="1" applyBorder="1" applyAlignment="1">
      <alignment horizontal="left" vertical="center" wrapText="1" indent="1"/>
    </xf>
    <xf numFmtId="0" fontId="1" fillId="20" borderId="23" xfId="0" applyFont="1" applyFill="1" applyBorder="1" applyAlignment="1">
      <alignment horizontal="left" vertical="center" wrapText="1" indent="2"/>
    </xf>
    <xf numFmtId="0" fontId="1" fillId="5" borderId="23" xfId="0" applyFont="1" applyFill="1" applyBorder="1" applyAlignment="1">
      <alignment horizontal="left" vertical="center" wrapText="1" indent="2"/>
    </xf>
    <xf numFmtId="0" fontId="1" fillId="5" borderId="23" xfId="0" applyFont="1" applyFill="1" applyBorder="1" applyAlignment="1">
      <alignment horizontal="left" vertical="center" wrapText="1" indent="3"/>
    </xf>
    <xf numFmtId="0" fontId="1" fillId="20" borderId="23" xfId="0" applyFont="1" applyFill="1" applyBorder="1" applyAlignment="1">
      <alignment horizontal="left" vertical="center" wrapText="1" indent="3"/>
    </xf>
    <xf numFmtId="0" fontId="1" fillId="20" borderId="23" xfId="0" applyFont="1" applyFill="1" applyBorder="1" applyAlignment="1">
      <alignment horizontal="left" vertical="center" wrapText="1" indent="1"/>
    </xf>
    <xf numFmtId="0" fontId="14" fillId="21" borderId="23" xfId="0" applyFont="1" applyFill="1" applyBorder="1" applyAlignment="1">
      <alignment vertical="center" wrapText="1"/>
    </xf>
    <xf numFmtId="0" fontId="1" fillId="22" borderId="23" xfId="0" applyFont="1" applyFill="1" applyBorder="1" applyAlignment="1">
      <alignment horizontal="left" vertical="center" wrapText="1" indent="1"/>
    </xf>
    <xf numFmtId="0" fontId="1" fillId="23" borderId="23" xfId="0" applyFont="1" applyFill="1" applyBorder="1" applyAlignment="1">
      <alignment horizontal="left" vertical="center" wrapText="1" indent="2"/>
    </xf>
    <xf numFmtId="0" fontId="1" fillId="22" borderId="23" xfId="0" applyFont="1" applyFill="1" applyBorder="1" applyAlignment="1">
      <alignment horizontal="left" vertical="center" wrapText="1" indent="2"/>
    </xf>
    <xf numFmtId="0" fontId="1" fillId="23" borderId="23" xfId="0" applyFont="1" applyFill="1" applyBorder="1" applyAlignment="1">
      <alignment horizontal="left" vertical="center" wrapText="1" indent="1"/>
    </xf>
    <xf numFmtId="0" fontId="15" fillId="12" borderId="23" xfId="0" applyFont="1" applyFill="1" applyBorder="1" applyAlignment="1">
      <alignment vertical="center" wrapText="1"/>
    </xf>
    <xf numFmtId="0" fontId="1" fillId="24" borderId="23" xfId="0" applyFont="1" applyFill="1" applyBorder="1" applyAlignment="1">
      <alignment horizontal="left" vertical="center" wrapText="1" indent="1"/>
    </xf>
    <xf numFmtId="0" fontId="1" fillId="25" borderId="23" xfId="0" applyFont="1" applyFill="1" applyBorder="1" applyAlignment="1">
      <alignment horizontal="left" vertical="center" wrapText="1" indent="1"/>
    </xf>
    <xf numFmtId="0" fontId="1" fillId="24" borderId="23" xfId="0" applyFont="1" applyFill="1" applyBorder="1" applyAlignment="1">
      <alignment horizontal="left" vertical="center" wrapText="1" indent="2"/>
    </xf>
    <xf numFmtId="0" fontId="1" fillId="25" borderId="23" xfId="0" applyFont="1" applyFill="1" applyBorder="1" applyAlignment="1">
      <alignment horizontal="left" vertical="center" wrapText="1" indent="2"/>
    </xf>
    <xf numFmtId="0" fontId="1" fillId="24" borderId="27" xfId="0" applyFont="1" applyFill="1" applyBorder="1" applyAlignment="1">
      <alignment horizontal="left" vertical="center" wrapText="1" indent="1"/>
    </xf>
    <xf numFmtId="0" fontId="1" fillId="11" borderId="0" xfId="0" applyFont="1" applyFill="1" applyAlignment="1">
      <alignment vertical="center" wrapText="1"/>
    </xf>
    <xf numFmtId="0" fontId="3" fillId="2" borderId="0" xfId="0" applyFont="1" applyFill="1" applyAlignment="1">
      <alignment vertical="center"/>
    </xf>
    <xf numFmtId="0" fontId="8" fillId="2" borderId="0" xfId="0" applyFont="1" applyFill="1" applyAlignment="1">
      <alignment vertical="center"/>
    </xf>
    <xf numFmtId="0" fontId="11" fillId="2" borderId="0" xfId="0" applyFont="1" applyFill="1" applyAlignment="1">
      <alignment vertical="center"/>
    </xf>
    <xf numFmtId="0" fontId="8" fillId="26" borderId="18" xfId="0" applyFont="1" applyFill="1" applyBorder="1" applyAlignment="1">
      <alignment vertical="center" wrapText="1"/>
    </xf>
    <xf numFmtId="0" fontId="8" fillId="26" borderId="19" xfId="0" applyFont="1" applyFill="1" applyBorder="1" applyAlignment="1">
      <alignment vertical="center"/>
    </xf>
    <xf numFmtId="0" fontId="8" fillId="26" borderId="20" xfId="0" applyFont="1" applyFill="1" applyBorder="1" applyAlignment="1">
      <alignment vertical="center"/>
    </xf>
    <xf numFmtId="0" fontId="8" fillId="26" borderId="21" xfId="0" applyFont="1" applyFill="1" applyBorder="1" applyAlignment="1">
      <alignment vertical="center"/>
    </xf>
    <xf numFmtId="0" fontId="18" fillId="3" borderId="0" xfId="0" applyFont="1" applyFill="1" applyAlignment="1">
      <alignment vertical="center"/>
    </xf>
    <xf numFmtId="0" fontId="12" fillId="4" borderId="30" xfId="0" applyFont="1" applyFill="1" applyBorder="1" applyAlignment="1">
      <alignment horizontal="center" vertical="center" wrapText="1"/>
    </xf>
    <xf numFmtId="0" fontId="12" fillId="4" borderId="30" xfId="0" applyFont="1" applyFill="1" applyBorder="1" applyAlignment="1">
      <alignment horizontal="left" vertical="center" wrapText="1"/>
    </xf>
    <xf numFmtId="164" fontId="12" fillId="4" borderId="30" xfId="0" applyNumberFormat="1" applyFont="1" applyFill="1" applyBorder="1" applyAlignment="1">
      <alignment horizontal="left" vertical="center" wrapText="1"/>
    </xf>
    <xf numFmtId="0" fontId="3" fillId="2" borderId="30" xfId="0" applyFont="1" applyFill="1" applyBorder="1" applyAlignment="1">
      <alignment horizontal="center" vertical="center" wrapText="1"/>
    </xf>
    <xf numFmtId="0" fontId="1" fillId="2" borderId="30" xfId="0" applyFont="1" applyFill="1" applyBorder="1" applyAlignment="1">
      <alignment vertical="center" wrapText="1"/>
    </xf>
    <xf numFmtId="0" fontId="1" fillId="2" borderId="30" xfId="0" quotePrefix="1" applyFont="1" applyFill="1" applyBorder="1" applyAlignment="1">
      <alignment vertical="center" wrapText="1"/>
    </xf>
    <xf numFmtId="0" fontId="20" fillId="27" borderId="0" xfId="0" applyFont="1" applyFill="1" applyAlignment="1">
      <alignment horizontal="center" vertical="center"/>
    </xf>
    <xf numFmtId="0" fontId="21" fillId="27" borderId="0" xfId="0" applyFont="1" applyFill="1"/>
    <xf numFmtId="0" fontId="17" fillId="7" borderId="0" xfId="0" applyFont="1" applyFill="1" applyAlignment="1">
      <alignment horizontal="center" vertical="center"/>
    </xf>
    <xf numFmtId="0" fontId="1" fillId="3" borderId="0" xfId="0" applyFont="1" applyFill="1" applyAlignment="1">
      <alignment horizontal="center" vertical="center" wrapText="1"/>
    </xf>
    <xf numFmtId="0" fontId="3" fillId="3" borderId="0" xfId="0" applyFont="1" applyFill="1" applyAlignment="1">
      <alignment horizontal="center" vertical="center" wrapText="1"/>
    </xf>
    <xf numFmtId="164" fontId="12" fillId="4" borderId="31" xfId="0" applyNumberFormat="1" applyFont="1" applyFill="1" applyBorder="1" applyAlignment="1">
      <alignment horizontal="left" vertical="center" wrapText="1"/>
    </xf>
    <xf numFmtId="164" fontId="13" fillId="4" borderId="30" xfId="0" applyNumberFormat="1" applyFont="1" applyFill="1" applyBorder="1" applyAlignment="1">
      <alignment horizontal="left" vertical="center" wrapText="1"/>
    </xf>
    <xf numFmtId="0" fontId="22" fillId="27" borderId="0" xfId="0" applyFont="1" applyFill="1" applyAlignment="1">
      <alignment vertical="center"/>
    </xf>
    <xf numFmtId="0" fontId="1" fillId="2" borderId="31" xfId="0" applyFont="1" applyFill="1" applyBorder="1" applyAlignment="1">
      <alignment vertical="center" wrapText="1"/>
    </xf>
    <xf numFmtId="0" fontId="0" fillId="3" borderId="0" xfId="0" applyFill="1"/>
    <xf numFmtId="0" fontId="1" fillId="0" borderId="0" xfId="0" applyFont="1"/>
    <xf numFmtId="0" fontId="17" fillId="3" borderId="0" xfId="0" applyFont="1" applyFill="1" applyAlignment="1">
      <alignment horizontal="center"/>
    </xf>
    <xf numFmtId="0" fontId="0" fillId="0" borderId="0" xfId="0" applyAlignment="1">
      <alignment horizontal="center"/>
    </xf>
    <xf numFmtId="0" fontId="17" fillId="0" borderId="0" xfId="0" applyFont="1" applyAlignment="1">
      <alignment horizontal="center"/>
    </xf>
    <xf numFmtId="0" fontId="2" fillId="8" borderId="9" xfId="0" applyFont="1" applyFill="1" applyBorder="1" applyAlignment="1" applyProtection="1">
      <alignment horizontal="center" vertical="center"/>
      <protection locked="0"/>
    </xf>
    <xf numFmtId="0" fontId="2" fillId="2" borderId="9" xfId="0" applyFont="1" applyFill="1" applyBorder="1" applyAlignment="1" applyProtection="1">
      <alignment horizontal="center" vertical="center"/>
      <protection locked="0"/>
    </xf>
    <xf numFmtId="0" fontId="2" fillId="2" borderId="16" xfId="0" applyFont="1" applyFill="1" applyBorder="1" applyAlignment="1" applyProtection="1">
      <alignment horizontal="center" vertical="center"/>
      <protection locked="0"/>
    </xf>
    <xf numFmtId="0" fontId="23" fillId="3" borderId="0" xfId="0" applyFont="1" applyFill="1" applyAlignment="1">
      <alignment vertical="center"/>
    </xf>
    <xf numFmtId="1" fontId="24" fillId="3" borderId="0" xfId="0" applyNumberFormat="1" applyFont="1" applyFill="1" applyAlignment="1">
      <alignment horizontal="center" vertical="center"/>
    </xf>
    <xf numFmtId="1" fontId="24" fillId="2" borderId="9" xfId="0" applyNumberFormat="1" applyFont="1" applyFill="1" applyBorder="1" applyAlignment="1">
      <alignment horizontal="center" vertical="center" wrapText="1"/>
    </xf>
    <xf numFmtId="1" fontId="24" fillId="5" borderId="9" xfId="0" applyNumberFormat="1" applyFont="1" applyFill="1" applyBorder="1" applyAlignment="1">
      <alignment horizontal="center" vertical="center" wrapText="1"/>
    </xf>
    <xf numFmtId="0" fontId="15" fillId="4" borderId="28" xfId="0" applyFont="1" applyFill="1" applyBorder="1" applyAlignment="1">
      <alignment horizontal="center" vertical="center" wrapText="1"/>
    </xf>
    <xf numFmtId="0" fontId="15" fillId="4" borderId="29" xfId="0" applyFont="1" applyFill="1" applyBorder="1" applyAlignment="1">
      <alignment horizontal="center" vertical="center" wrapText="1"/>
    </xf>
    <xf numFmtId="0" fontId="0" fillId="3" borderId="0" xfId="0" applyFill="1" applyAlignment="1">
      <alignment horizontal="center"/>
    </xf>
    <xf numFmtId="0" fontId="18" fillId="3" borderId="0" xfId="0" applyFont="1" applyFill="1" applyAlignment="1">
      <alignment horizontal="left" vertical="center"/>
    </xf>
    <xf numFmtId="0" fontId="0" fillId="3" borderId="0" xfId="0" applyFill="1" applyAlignment="1">
      <alignment horizontal="left"/>
    </xf>
    <xf numFmtId="0" fontId="0" fillId="0" borderId="0" xfId="0" applyAlignment="1">
      <alignment horizontal="left"/>
    </xf>
    <xf numFmtId="0" fontId="27" fillId="4" borderId="79" xfId="0" applyFont="1" applyFill="1" applyBorder="1" applyAlignment="1">
      <alignment horizontal="left" vertical="center" wrapText="1"/>
    </xf>
    <xf numFmtId="0" fontId="15" fillId="4" borderId="79" xfId="0" applyFont="1" applyFill="1" applyBorder="1" applyAlignment="1">
      <alignment horizontal="left" vertical="center" wrapText="1"/>
    </xf>
    <xf numFmtId="0" fontId="1" fillId="2" borderId="80" xfId="0" applyFont="1" applyFill="1" applyBorder="1" applyAlignment="1">
      <alignment horizontal="left" vertical="center" wrapText="1"/>
    </xf>
    <xf numFmtId="0" fontId="2" fillId="2" borderId="91" xfId="0" applyFont="1" applyFill="1" applyBorder="1" applyAlignment="1" applyProtection="1">
      <alignment horizontal="center" vertical="center"/>
      <protection locked="0"/>
    </xf>
    <xf numFmtId="0" fontId="2" fillId="8" borderId="67" xfId="0" applyFont="1" applyFill="1" applyBorder="1" applyAlignment="1" applyProtection="1">
      <alignment horizontal="center" vertical="center"/>
      <protection locked="0"/>
    </xf>
    <xf numFmtId="0" fontId="2" fillId="2" borderId="67" xfId="0" applyFont="1" applyFill="1" applyBorder="1" applyAlignment="1" applyProtection="1">
      <alignment horizontal="center" vertical="center"/>
      <protection locked="0"/>
    </xf>
    <xf numFmtId="0" fontId="8" fillId="6" borderId="81" xfId="0" applyFont="1" applyFill="1" applyBorder="1" applyAlignment="1">
      <alignment horizontal="center" vertical="center" wrapText="1"/>
    </xf>
    <xf numFmtId="0" fontId="3" fillId="7" borderId="81" xfId="0" applyFont="1" applyFill="1" applyBorder="1" applyAlignment="1">
      <alignment horizontal="center" vertical="center" wrapText="1"/>
    </xf>
    <xf numFmtId="0" fontId="3" fillId="28" borderId="90" xfId="0" applyFont="1" applyFill="1" applyBorder="1" applyAlignment="1">
      <alignment horizontal="center" vertical="center" wrapText="1"/>
    </xf>
    <xf numFmtId="0" fontId="1" fillId="8" borderId="0" xfId="0" applyFont="1" applyFill="1" applyAlignment="1">
      <alignment horizontal="center" vertical="center"/>
    </xf>
    <xf numFmtId="0" fontId="15" fillId="2" borderId="0" xfId="0" applyFont="1" applyFill="1" applyAlignment="1">
      <alignment vertical="center"/>
    </xf>
    <xf numFmtId="0" fontId="28" fillId="2" borderId="0" xfId="0" applyFont="1" applyFill="1" applyAlignment="1">
      <alignment horizontal="center" vertical="center"/>
    </xf>
    <xf numFmtId="0" fontId="31" fillId="20" borderId="94" xfId="0" applyFont="1" applyFill="1" applyBorder="1" applyAlignment="1">
      <alignment horizontal="center" vertical="center" wrapText="1"/>
    </xf>
    <xf numFmtId="0" fontId="31" fillId="29" borderId="95" xfId="0" applyFont="1" applyFill="1" applyBorder="1" applyAlignment="1">
      <alignment horizontal="center" vertical="center" wrapText="1"/>
    </xf>
    <xf numFmtId="0" fontId="31" fillId="30" borderId="95" xfId="0" applyFont="1" applyFill="1" applyBorder="1" applyAlignment="1">
      <alignment horizontal="center" vertical="center" wrapText="1"/>
    </xf>
    <xf numFmtId="0" fontId="19" fillId="3" borderId="0" xfId="0" applyFont="1" applyFill="1" applyAlignment="1">
      <alignment horizontal="left" vertical="center"/>
    </xf>
    <xf numFmtId="0" fontId="30" fillId="2" borderId="0" xfId="0" applyFont="1" applyFill="1" applyAlignment="1">
      <alignment vertical="center"/>
    </xf>
    <xf numFmtId="0" fontId="34" fillId="2" borderId="0" xfId="0" applyFont="1" applyFill="1" applyAlignment="1">
      <alignment vertical="center"/>
    </xf>
    <xf numFmtId="0" fontId="34" fillId="3" borderId="0" xfId="0" applyFont="1" applyFill="1" applyAlignment="1">
      <alignment horizontal="center" vertical="center"/>
    </xf>
    <xf numFmtId="0" fontId="35" fillId="3" borderId="0" xfId="0" applyFont="1" applyFill="1" applyAlignment="1">
      <alignment horizontal="center" vertical="center"/>
    </xf>
    <xf numFmtId="0" fontId="38" fillId="3" borderId="0" xfId="0" applyFont="1" applyFill="1" applyAlignment="1">
      <alignment horizontal="left" vertical="center"/>
    </xf>
    <xf numFmtId="1" fontId="10" fillId="10" borderId="1" xfId="0" applyNumberFormat="1" applyFont="1" applyFill="1" applyBorder="1" applyAlignment="1">
      <alignment horizontal="center" vertical="center" wrapText="1"/>
    </xf>
    <xf numFmtId="165" fontId="10" fillId="10" borderId="1" xfId="0" applyNumberFormat="1" applyFont="1" applyFill="1" applyBorder="1" applyAlignment="1">
      <alignment horizontal="left" vertical="center" wrapText="1"/>
    </xf>
    <xf numFmtId="0" fontId="33" fillId="33" borderId="98" xfId="0" applyFont="1" applyFill="1" applyBorder="1" applyAlignment="1">
      <alignment horizontal="center" vertical="center" wrapText="1"/>
    </xf>
    <xf numFmtId="0" fontId="33" fillId="33" borderId="98" xfId="0" applyFont="1" applyFill="1" applyBorder="1" applyAlignment="1">
      <alignment horizontal="left" vertical="center" wrapText="1"/>
    </xf>
    <xf numFmtId="0" fontId="32" fillId="32" borderId="0" xfId="0" applyFont="1" applyFill="1" applyAlignment="1">
      <alignment horizontal="left" vertical="center" wrapText="1"/>
    </xf>
    <xf numFmtId="14" fontId="32" fillId="32" borderId="0" xfId="0" applyNumberFormat="1" applyFont="1" applyFill="1" applyAlignment="1">
      <alignment horizontal="left" vertical="center"/>
    </xf>
    <xf numFmtId="0" fontId="1" fillId="2" borderId="30" xfId="0" applyFont="1" applyFill="1" applyBorder="1" applyAlignment="1">
      <alignment horizontal="center" vertical="center" wrapText="1"/>
    </xf>
    <xf numFmtId="0" fontId="33" fillId="10" borderId="8" xfId="0" applyFont="1" applyFill="1" applyBorder="1" applyAlignment="1">
      <alignment horizontal="left" vertical="center" wrapText="1"/>
    </xf>
    <xf numFmtId="0" fontId="33" fillId="10" borderId="9" xfId="0" applyFont="1" applyFill="1" applyBorder="1" applyAlignment="1">
      <alignment horizontal="left" vertical="center" wrapText="1"/>
    </xf>
    <xf numFmtId="0" fontId="39" fillId="10" borderId="9" xfId="0" applyFont="1" applyFill="1" applyBorder="1" applyAlignment="1">
      <alignment horizontal="left" vertical="center" wrapText="1"/>
    </xf>
    <xf numFmtId="0" fontId="39" fillId="4" borderId="9" xfId="0" applyFont="1" applyFill="1" applyBorder="1" applyAlignment="1">
      <alignment horizontal="left" vertical="center" wrapText="1"/>
    </xf>
    <xf numFmtId="0" fontId="33" fillId="10" borderId="102" xfId="0" applyFont="1" applyFill="1" applyBorder="1" applyAlignment="1">
      <alignment horizontal="left" vertical="center" wrapText="1"/>
    </xf>
    <xf numFmtId="0" fontId="19" fillId="3" borderId="0" xfId="0" applyFont="1" applyFill="1" applyAlignment="1">
      <alignment horizontal="left" vertical="center" wrapText="1"/>
    </xf>
    <xf numFmtId="0" fontId="19" fillId="3" borderId="0" xfId="0" applyFont="1" applyFill="1" applyAlignment="1">
      <alignment horizontal="left" vertical="top" wrapText="1"/>
    </xf>
    <xf numFmtId="0" fontId="19" fillId="3" borderId="0" xfId="0" applyFont="1" applyFill="1" applyAlignment="1">
      <alignment horizontal="left" vertical="top"/>
    </xf>
    <xf numFmtId="0" fontId="36" fillId="23" borderId="16" xfId="0" applyFont="1" applyFill="1" applyBorder="1" applyAlignment="1">
      <alignment horizontal="left" vertical="center"/>
    </xf>
    <xf numFmtId="0" fontId="36" fillId="23" borderId="9" xfId="0" applyFont="1" applyFill="1" applyBorder="1" applyAlignment="1">
      <alignment horizontal="left" vertical="center"/>
    </xf>
    <xf numFmtId="0" fontId="40" fillId="23" borderId="101" xfId="0" applyFont="1" applyFill="1" applyBorder="1" applyAlignment="1">
      <alignment horizontal="left" vertical="center"/>
    </xf>
    <xf numFmtId="0" fontId="36" fillId="23" borderId="103" xfId="0" applyFont="1" applyFill="1" applyBorder="1" applyAlignment="1">
      <alignment horizontal="left" vertical="center"/>
    </xf>
    <xf numFmtId="0" fontId="19" fillId="23" borderId="16" xfId="0" applyFont="1" applyFill="1" applyBorder="1" applyAlignment="1">
      <alignment horizontal="left" vertical="center"/>
    </xf>
    <xf numFmtId="0" fontId="19" fillId="23" borderId="9" xfId="0" applyFont="1" applyFill="1" applyBorder="1" applyAlignment="1">
      <alignment horizontal="left" vertical="center"/>
    </xf>
    <xf numFmtId="0" fontId="36" fillId="23" borderId="102" xfId="0" applyFont="1" applyFill="1" applyBorder="1" applyAlignment="1">
      <alignment horizontal="left" vertical="center"/>
    </xf>
    <xf numFmtId="0" fontId="19" fillId="23" borderId="102" xfId="0" applyFont="1" applyFill="1" applyBorder="1" applyAlignment="1">
      <alignment horizontal="left" vertical="center"/>
    </xf>
    <xf numFmtId="0" fontId="33" fillId="33" borderId="100" xfId="0" applyFont="1" applyFill="1" applyBorder="1" applyAlignment="1">
      <alignment horizontal="left" vertical="top"/>
    </xf>
    <xf numFmtId="0" fontId="36" fillId="3" borderId="0" xfId="0" applyFont="1" applyFill="1" applyAlignment="1">
      <alignment horizontal="center" vertical="center"/>
    </xf>
    <xf numFmtId="0" fontId="33" fillId="33" borderId="98" xfId="0" applyFont="1" applyFill="1" applyBorder="1" applyAlignment="1">
      <alignment horizontal="center" vertical="center"/>
    </xf>
    <xf numFmtId="0" fontId="36" fillId="2" borderId="96" xfId="0" applyFont="1" applyFill="1" applyBorder="1" applyAlignment="1">
      <alignment horizontal="center" vertical="top"/>
    </xf>
    <xf numFmtId="0" fontId="36" fillId="2" borderId="97" xfId="0" applyFont="1" applyFill="1" applyBorder="1" applyAlignment="1">
      <alignment horizontal="center" vertical="top"/>
    </xf>
    <xf numFmtId="0" fontId="37" fillId="27" borderId="0" xfId="0" applyFont="1" applyFill="1" applyAlignment="1">
      <alignment horizontal="center" vertical="center"/>
    </xf>
    <xf numFmtId="0" fontId="42" fillId="33" borderId="100" xfId="0" applyFont="1" applyFill="1" applyBorder="1" applyAlignment="1">
      <alignment horizontal="left" vertical="center" wrapText="1"/>
    </xf>
    <xf numFmtId="0" fontId="37" fillId="33" borderId="105" xfId="0" applyFont="1" applyFill="1" applyBorder="1" applyAlignment="1">
      <alignment horizontal="center" vertical="center"/>
    </xf>
    <xf numFmtId="0" fontId="37" fillId="33" borderId="105" xfId="0" applyFont="1" applyFill="1" applyBorder="1" applyAlignment="1">
      <alignment horizontal="center" vertical="center" wrapText="1"/>
    </xf>
    <xf numFmtId="0" fontId="37" fillId="33" borderId="105" xfId="0" applyFont="1" applyFill="1" applyBorder="1" applyAlignment="1">
      <alignment horizontal="left" vertical="top"/>
    </xf>
    <xf numFmtId="0" fontId="36" fillId="2" borderId="104" xfId="0" applyFont="1" applyFill="1" applyBorder="1" applyAlignment="1">
      <alignment horizontal="center" vertical="top"/>
    </xf>
    <xf numFmtId="0" fontId="19" fillId="2" borderId="104" xfId="0" applyFont="1" applyFill="1" applyBorder="1" applyAlignment="1">
      <alignment horizontal="left" vertical="top"/>
    </xf>
    <xf numFmtId="0" fontId="45" fillId="3" borderId="0" xfId="0" applyFont="1" applyFill="1" applyAlignment="1">
      <alignment horizontal="left" vertical="center" wrapText="1"/>
    </xf>
    <xf numFmtId="0" fontId="47" fillId="7" borderId="98" xfId="0" applyFont="1" applyFill="1" applyBorder="1" applyAlignment="1">
      <alignment horizontal="left" vertical="center" wrapText="1"/>
    </xf>
    <xf numFmtId="0" fontId="46" fillId="7" borderId="105" xfId="0" applyFont="1" applyFill="1" applyBorder="1" applyAlignment="1">
      <alignment horizontal="left" vertical="center" wrapText="1"/>
    </xf>
    <xf numFmtId="0" fontId="45" fillId="23" borderId="104" xfId="0" applyFont="1" applyFill="1" applyBorder="1" applyAlignment="1">
      <alignment horizontal="left" vertical="top" wrapText="1"/>
    </xf>
    <xf numFmtId="0" fontId="48" fillId="23" borderId="4" xfId="0" applyFont="1" applyFill="1" applyBorder="1" applyAlignment="1">
      <alignment horizontal="left" vertical="center"/>
    </xf>
    <xf numFmtId="0" fontId="4" fillId="2" borderId="30" xfId="0" applyFont="1" applyFill="1" applyBorder="1" applyAlignment="1">
      <alignment vertical="center" wrapText="1"/>
    </xf>
    <xf numFmtId="0" fontId="44" fillId="3" borderId="0" xfId="0" applyFont="1" applyFill="1" applyAlignment="1">
      <alignment horizontal="left" vertical="center"/>
    </xf>
    <xf numFmtId="0" fontId="36" fillId="2" borderId="104" xfId="0" applyFont="1" applyFill="1" applyBorder="1" applyAlignment="1">
      <alignment horizontal="center" vertical="top" wrapText="1"/>
    </xf>
    <xf numFmtId="0" fontId="42" fillId="34" borderId="100" xfId="0" applyFont="1" applyFill="1" applyBorder="1" applyAlignment="1">
      <alignment horizontal="left" vertical="center" wrapText="1"/>
    </xf>
    <xf numFmtId="0" fontId="33" fillId="34" borderId="100" xfId="0" applyFont="1" applyFill="1" applyBorder="1" applyAlignment="1">
      <alignment horizontal="left" vertical="top"/>
    </xf>
    <xf numFmtId="0" fontId="33" fillId="34" borderId="98" xfId="0" applyFont="1" applyFill="1" applyBorder="1" applyAlignment="1">
      <alignment horizontal="center" vertical="center"/>
    </xf>
    <xf numFmtId="0" fontId="33" fillId="34" borderId="98" xfId="0" applyFont="1" applyFill="1" applyBorder="1" applyAlignment="1">
      <alignment horizontal="center" vertical="center" wrapText="1"/>
    </xf>
    <xf numFmtId="0" fontId="37" fillId="34" borderId="105" xfId="0" applyFont="1" applyFill="1" applyBorder="1" applyAlignment="1">
      <alignment horizontal="center" vertical="center"/>
    </xf>
    <xf numFmtId="0" fontId="37" fillId="34" borderId="105" xfId="0" applyFont="1" applyFill="1" applyBorder="1" applyAlignment="1">
      <alignment horizontal="center" vertical="center" wrapText="1"/>
    </xf>
    <xf numFmtId="0" fontId="33" fillId="34" borderId="98" xfId="0" applyFont="1" applyFill="1" applyBorder="1" applyAlignment="1">
      <alignment horizontal="left" vertical="center" wrapText="1"/>
    </xf>
    <xf numFmtId="0" fontId="37" fillId="34" borderId="105" xfId="0" applyFont="1" applyFill="1" applyBorder="1" applyAlignment="1">
      <alignment horizontal="left" vertical="top"/>
    </xf>
    <xf numFmtId="0" fontId="40" fillId="18" borderId="101" xfId="0" applyFont="1" applyFill="1" applyBorder="1" applyAlignment="1">
      <alignment horizontal="left" vertical="center"/>
    </xf>
    <xf numFmtId="0" fontId="43" fillId="18" borderId="4" xfId="0" applyFont="1" applyFill="1" applyBorder="1" applyAlignment="1">
      <alignment horizontal="left" vertical="center"/>
    </xf>
    <xf numFmtId="0" fontId="36" fillId="18" borderId="103" xfId="0" applyFont="1" applyFill="1" applyBorder="1" applyAlignment="1">
      <alignment horizontal="left" vertical="center"/>
    </xf>
    <xf numFmtId="0" fontId="36" fillId="18" borderId="16" xfId="0" applyFont="1" applyFill="1" applyBorder="1" applyAlignment="1">
      <alignment horizontal="left" vertical="center"/>
    </xf>
    <xf numFmtId="0" fontId="19" fillId="18" borderId="16" xfId="0" applyFont="1" applyFill="1" applyBorder="1" applyAlignment="1">
      <alignment horizontal="left" vertical="center"/>
    </xf>
    <xf numFmtId="0" fontId="36" fillId="18" borderId="9" xfId="0" applyFont="1" applyFill="1" applyBorder="1" applyAlignment="1">
      <alignment horizontal="left" vertical="center"/>
    </xf>
    <xf numFmtId="0" fontId="19" fillId="18" borderId="9" xfId="0" applyFont="1" applyFill="1" applyBorder="1" applyAlignment="1">
      <alignment horizontal="left" vertical="center"/>
    </xf>
    <xf numFmtId="0" fontId="36" fillId="18" borderId="102" xfId="0" applyFont="1" applyFill="1" applyBorder="1" applyAlignment="1">
      <alignment horizontal="left" vertical="center"/>
    </xf>
    <xf numFmtId="0" fontId="19" fillId="18" borderId="102" xfId="0" applyFont="1" applyFill="1" applyBorder="1" applyAlignment="1">
      <alignment horizontal="left" vertical="center"/>
    </xf>
    <xf numFmtId="0" fontId="45" fillId="18" borderId="104" xfId="0" applyFont="1" applyFill="1" applyBorder="1" applyAlignment="1">
      <alignment horizontal="left" vertical="top" wrapText="1"/>
    </xf>
    <xf numFmtId="0" fontId="50" fillId="31" borderId="98" xfId="0" applyFont="1" applyFill="1" applyBorder="1" applyAlignment="1">
      <alignment horizontal="left" vertical="center" wrapText="1"/>
    </xf>
    <xf numFmtId="0" fontId="42" fillId="31" borderId="105" xfId="0" applyFont="1" applyFill="1" applyBorder="1" applyAlignment="1">
      <alignment horizontal="left" vertical="center" wrapText="1"/>
    </xf>
    <xf numFmtId="0" fontId="47" fillId="3" borderId="0" xfId="0" applyFont="1" applyFill="1" applyAlignment="1">
      <alignment horizontal="left" vertical="center"/>
    </xf>
    <xf numFmtId="0" fontId="19" fillId="2" borderId="8" xfId="0" applyFont="1" applyFill="1" applyBorder="1" applyAlignment="1" applyProtection="1">
      <alignment horizontal="left" vertical="center"/>
      <protection locked="0"/>
    </xf>
    <xf numFmtId="0" fontId="19" fillId="2" borderId="9" xfId="0" applyFont="1" applyFill="1" applyBorder="1" applyAlignment="1" applyProtection="1">
      <alignment horizontal="left" vertical="center"/>
      <protection locked="0"/>
    </xf>
    <xf numFmtId="0" fontId="19" fillId="2" borderId="102" xfId="0" applyFont="1" applyFill="1" applyBorder="1" applyAlignment="1" applyProtection="1">
      <alignment horizontal="left" vertical="center"/>
      <protection locked="0"/>
    </xf>
    <xf numFmtId="0" fontId="30" fillId="7" borderId="0" xfId="0" applyFont="1" applyFill="1" applyAlignment="1">
      <alignment horizontal="center" vertical="center"/>
    </xf>
    <xf numFmtId="0" fontId="34" fillId="7" borderId="0" xfId="0" applyFont="1" applyFill="1" applyAlignment="1">
      <alignment horizontal="center" vertical="center"/>
    </xf>
    <xf numFmtId="0" fontId="35" fillId="7" borderId="0" xfId="0" applyFont="1" applyFill="1" applyAlignment="1">
      <alignment horizontal="center" vertical="center"/>
    </xf>
    <xf numFmtId="0" fontId="30" fillId="7" borderId="0" xfId="0" applyFont="1" applyFill="1" applyAlignment="1">
      <alignment horizontal="left" vertical="center"/>
    </xf>
    <xf numFmtId="0" fontId="4" fillId="7" borderId="0" xfId="0" applyFont="1" applyFill="1" applyAlignment="1">
      <alignment horizontal="left" vertical="center"/>
    </xf>
    <xf numFmtId="0" fontId="24" fillId="7" borderId="0" xfId="0" applyFont="1" applyFill="1" applyAlignment="1">
      <alignment horizontal="left" vertical="center"/>
    </xf>
    <xf numFmtId="0" fontId="28" fillId="7" borderId="0" xfId="0" applyFont="1" applyFill="1" applyAlignment="1">
      <alignment horizontal="center" vertical="center"/>
    </xf>
    <xf numFmtId="0" fontId="51" fillId="7" borderId="0" xfId="0" applyFont="1" applyFill="1" applyAlignment="1">
      <alignment horizontal="center" vertical="top"/>
    </xf>
    <xf numFmtId="0" fontId="28" fillId="3" borderId="0" xfId="0" applyFont="1" applyFill="1" applyAlignment="1">
      <alignment horizontal="center" vertical="center"/>
    </xf>
    <xf numFmtId="0" fontId="51" fillId="3" borderId="0" xfId="0" applyFont="1" applyFill="1" applyAlignment="1">
      <alignment horizontal="left" vertical="top"/>
    </xf>
    <xf numFmtId="0" fontId="51" fillId="3" borderId="0" xfId="0" applyFont="1" applyFill="1" applyAlignment="1">
      <alignment horizontal="center" vertical="top"/>
    </xf>
    <xf numFmtId="0" fontId="51" fillId="2" borderId="0" xfId="0" applyFont="1" applyFill="1" applyAlignment="1">
      <alignment horizontal="left" vertical="top"/>
    </xf>
    <xf numFmtId="0" fontId="51" fillId="2" borderId="0" xfId="0" applyFont="1" applyFill="1" applyAlignment="1">
      <alignment horizontal="center" vertical="top"/>
    </xf>
    <xf numFmtId="0" fontId="28" fillId="2" borderId="0" xfId="0" applyFont="1" applyFill="1" applyAlignment="1">
      <alignment horizontal="center" vertical="center" wrapText="1"/>
    </xf>
    <xf numFmtId="0" fontId="28" fillId="35" borderId="0" xfId="0" applyFont="1" applyFill="1" applyAlignment="1">
      <alignment horizontal="center" vertical="center" wrapText="1"/>
    </xf>
    <xf numFmtId="0" fontId="28" fillId="35" borderId="0" xfId="0" applyFont="1" applyFill="1" applyAlignment="1">
      <alignment horizontal="center" vertical="center"/>
    </xf>
    <xf numFmtId="0" fontId="28" fillId="2" borderId="0" xfId="0" applyFont="1" applyFill="1" applyAlignment="1">
      <alignment horizontal="center" vertical="top"/>
    </xf>
    <xf numFmtId="0" fontId="28" fillId="35" borderId="0" xfId="0" applyFont="1" applyFill="1" applyAlignment="1">
      <alignment horizontal="center" vertical="top"/>
    </xf>
    <xf numFmtId="0" fontId="28" fillId="8" borderId="0" xfId="0" applyFont="1" applyFill="1" applyAlignment="1">
      <alignment horizontal="center" vertical="center"/>
    </xf>
    <xf numFmtId="0" fontId="51" fillId="8" borderId="0" xfId="0" applyFont="1" applyFill="1" applyAlignment="1">
      <alignment horizontal="left" vertical="top"/>
    </xf>
    <xf numFmtId="0" fontId="51" fillId="8" borderId="0" xfId="0" applyFont="1" applyFill="1" applyAlignment="1">
      <alignment horizontal="center" vertical="top"/>
    </xf>
    <xf numFmtId="165" fontId="4" fillId="0" borderId="97" xfId="0" applyNumberFormat="1" applyFont="1" applyFill="1" applyBorder="1" applyAlignment="1">
      <alignment horizontal="left" vertical="center" wrapText="1"/>
    </xf>
    <xf numFmtId="0" fontId="52" fillId="36" borderId="110" xfId="0" applyFont="1" applyFill="1" applyBorder="1" applyAlignment="1">
      <alignment vertical="center" wrapText="1"/>
    </xf>
    <xf numFmtId="0" fontId="4" fillId="36" borderId="111" xfId="0" applyFont="1" applyFill="1" applyBorder="1" applyAlignment="1">
      <alignment vertical="center" wrapText="1"/>
    </xf>
    <xf numFmtId="0" fontId="4" fillId="36" borderId="112" xfId="0" applyFont="1" applyFill="1" applyBorder="1" applyAlignment="1">
      <alignment vertical="center" wrapText="1"/>
    </xf>
    <xf numFmtId="0" fontId="4" fillId="36" borderId="113" xfId="0" applyFont="1" applyFill="1" applyBorder="1" applyAlignment="1">
      <alignment vertical="center" wrapText="1"/>
    </xf>
    <xf numFmtId="0" fontId="52" fillId="19" borderId="110" xfId="0" applyFont="1" applyFill="1" applyBorder="1" applyAlignment="1">
      <alignment vertical="center" wrapText="1"/>
    </xf>
    <xf numFmtId="0" fontId="4" fillId="19" borderId="111" xfId="0" applyFont="1" applyFill="1" applyBorder="1" applyAlignment="1">
      <alignment vertical="center" wrapText="1"/>
    </xf>
    <xf numFmtId="0" fontId="4" fillId="19" borderId="113" xfId="0" applyFont="1" applyFill="1" applyBorder="1" applyAlignment="1">
      <alignment vertical="center" wrapText="1"/>
    </xf>
    <xf numFmtId="0" fontId="52" fillId="19" borderId="114" xfId="0" applyFont="1" applyFill="1" applyBorder="1" applyAlignment="1">
      <alignment vertical="center" wrapText="1"/>
    </xf>
    <xf numFmtId="0" fontId="52" fillId="9" borderId="110" xfId="0" applyFont="1" applyFill="1" applyBorder="1" applyAlignment="1">
      <alignment vertical="center" wrapText="1"/>
    </xf>
    <xf numFmtId="0" fontId="4" fillId="9" borderId="111" xfId="0" applyFont="1" applyFill="1" applyBorder="1" applyAlignment="1">
      <alignment vertical="center" wrapText="1"/>
    </xf>
    <xf numFmtId="0" fontId="4" fillId="9" borderId="113" xfId="0" applyFont="1" applyFill="1" applyBorder="1" applyAlignment="1">
      <alignment vertical="center" wrapText="1"/>
    </xf>
    <xf numFmtId="0" fontId="52" fillId="9" borderId="115" xfId="0" applyFont="1" applyFill="1" applyBorder="1" applyAlignment="1">
      <alignment vertical="center" wrapText="1"/>
    </xf>
    <xf numFmtId="0" fontId="52" fillId="36" borderId="110" xfId="0" applyFont="1" applyFill="1" applyBorder="1" applyAlignment="1">
      <alignment horizontal="center" vertical="center" wrapText="1"/>
    </xf>
    <xf numFmtId="0" fontId="4" fillId="36" borderId="111" xfId="0" applyFont="1" applyFill="1" applyBorder="1" applyAlignment="1">
      <alignment horizontal="center" vertical="center" wrapText="1"/>
    </xf>
    <xf numFmtId="0" fontId="4" fillId="36" borderId="113" xfId="0" applyFont="1" applyFill="1" applyBorder="1" applyAlignment="1">
      <alignment horizontal="center" vertical="center" wrapText="1"/>
    </xf>
    <xf numFmtId="0" fontId="52" fillId="19" borderId="110" xfId="0" applyFont="1" applyFill="1" applyBorder="1" applyAlignment="1">
      <alignment horizontal="center" vertical="center" wrapText="1"/>
    </xf>
    <xf numFmtId="0" fontId="4" fillId="19" borderId="111" xfId="0" applyFont="1" applyFill="1" applyBorder="1" applyAlignment="1">
      <alignment horizontal="center" vertical="center" wrapText="1"/>
    </xf>
    <xf numFmtId="0" fontId="4" fillId="19" borderId="113" xfId="0" applyFont="1" applyFill="1" applyBorder="1" applyAlignment="1">
      <alignment horizontal="center" vertical="center" wrapText="1"/>
    </xf>
    <xf numFmtId="0" fontId="52" fillId="19" borderId="114" xfId="0" applyFont="1" applyFill="1" applyBorder="1" applyAlignment="1">
      <alignment horizontal="center" vertical="center" wrapText="1"/>
    </xf>
    <xf numFmtId="0" fontId="52" fillId="9" borderId="110" xfId="0" applyFont="1" applyFill="1" applyBorder="1" applyAlignment="1">
      <alignment horizontal="center" vertical="center" wrapText="1"/>
    </xf>
    <xf numFmtId="0" fontId="4" fillId="9" borderId="111" xfId="0" applyFont="1" applyFill="1" applyBorder="1" applyAlignment="1">
      <alignment horizontal="center" vertical="center" wrapText="1"/>
    </xf>
    <xf numFmtId="0" fontId="4" fillId="9" borderId="113" xfId="0" applyFont="1" applyFill="1" applyBorder="1" applyAlignment="1">
      <alignment horizontal="center" vertical="center" wrapText="1"/>
    </xf>
    <xf numFmtId="0" fontId="52" fillId="9" borderId="115" xfId="0" applyFont="1" applyFill="1" applyBorder="1" applyAlignment="1">
      <alignment horizontal="center" vertical="center" wrapText="1"/>
    </xf>
    <xf numFmtId="1" fontId="4" fillId="2" borderId="9" xfId="0" applyNumberFormat="1" applyFont="1" applyFill="1" applyBorder="1" applyAlignment="1">
      <alignment horizontal="left" vertical="center" wrapText="1"/>
    </xf>
    <xf numFmtId="1" fontId="4" fillId="5" borderId="9" xfId="0" applyNumberFormat="1" applyFont="1" applyFill="1" applyBorder="1" applyAlignment="1">
      <alignment horizontal="left" vertical="center" wrapText="1"/>
    </xf>
    <xf numFmtId="165" fontId="10" fillId="10" borderId="1" xfId="0" applyNumberFormat="1" applyFont="1" applyFill="1" applyBorder="1" applyAlignment="1">
      <alignment vertical="center" wrapText="1"/>
    </xf>
    <xf numFmtId="1" fontId="24" fillId="2" borderId="9" xfId="0" applyNumberFormat="1" applyFont="1" applyFill="1" applyBorder="1" applyAlignment="1">
      <alignment vertical="center" wrapText="1"/>
    </xf>
    <xf numFmtId="1" fontId="24" fillId="5" borderId="9" xfId="0" applyNumberFormat="1" applyFont="1" applyFill="1" applyBorder="1" applyAlignment="1">
      <alignment vertical="center" wrapText="1"/>
    </xf>
    <xf numFmtId="165" fontId="4" fillId="3" borderId="0" xfId="0" applyNumberFormat="1" applyFont="1" applyFill="1" applyAlignment="1">
      <alignment vertical="center"/>
    </xf>
    <xf numFmtId="0" fontId="1" fillId="37" borderId="30" xfId="0" quotePrefix="1" applyFont="1" applyFill="1" applyBorder="1" applyAlignment="1">
      <alignment vertical="center" wrapText="1"/>
    </xf>
    <xf numFmtId="0" fontId="55" fillId="27" borderId="0" xfId="0" applyFont="1" applyFill="1" applyAlignment="1">
      <alignment vertical="center"/>
    </xf>
    <xf numFmtId="0" fontId="22" fillId="38" borderId="0" xfId="0" applyFont="1" applyFill="1" applyAlignment="1">
      <alignment vertical="center"/>
    </xf>
    <xf numFmtId="0" fontId="15" fillId="4" borderId="29" xfId="0" applyFont="1" applyFill="1" applyBorder="1" applyAlignment="1">
      <alignment horizontal="left" vertical="center" wrapText="1"/>
    </xf>
    <xf numFmtId="0" fontId="56" fillId="27" borderId="116" xfId="0" applyFont="1" applyFill="1" applyBorder="1" applyAlignment="1">
      <alignment horizontal="center" vertical="center" wrapText="1"/>
    </xf>
    <xf numFmtId="0" fontId="56" fillId="27" borderId="0" xfId="0" applyFont="1" applyFill="1" applyAlignment="1">
      <alignment horizontal="center" vertical="center" wrapText="1"/>
    </xf>
    <xf numFmtId="164" fontId="13" fillId="4" borderId="117" xfId="0" applyNumberFormat="1" applyFont="1" applyFill="1" applyBorder="1" applyAlignment="1">
      <alignment horizontal="left" vertical="center" wrapText="1"/>
    </xf>
    <xf numFmtId="164" fontId="12" fillId="4" borderId="117" xfId="0" applyNumberFormat="1" applyFont="1" applyFill="1" applyBorder="1" applyAlignment="1">
      <alignment horizontal="left" vertical="center" wrapText="1"/>
    </xf>
    <xf numFmtId="164" fontId="12" fillId="4" borderId="118" xfId="0" applyNumberFormat="1" applyFont="1" applyFill="1" applyBorder="1" applyAlignment="1">
      <alignment horizontal="left" vertical="center" wrapText="1"/>
    </xf>
    <xf numFmtId="164" fontId="12" fillId="4" borderId="119" xfId="0" applyNumberFormat="1" applyFont="1" applyFill="1" applyBorder="1" applyAlignment="1">
      <alignment horizontal="left" vertical="center" wrapText="1"/>
    </xf>
    <xf numFmtId="164" fontId="8" fillId="4" borderId="120" xfId="0" applyNumberFormat="1" applyFont="1" applyFill="1" applyBorder="1" applyAlignment="1">
      <alignment horizontal="left" vertical="center" wrapText="1"/>
    </xf>
    <xf numFmtId="0" fontId="57" fillId="0" borderId="0" xfId="1"/>
    <xf numFmtId="0" fontId="3" fillId="2" borderId="117" xfId="0" applyFont="1" applyFill="1" applyBorder="1" applyAlignment="1">
      <alignment horizontal="center" vertical="center" wrapText="1"/>
    </xf>
    <xf numFmtId="0" fontId="3" fillId="2" borderId="118" xfId="0" applyFont="1" applyFill="1" applyBorder="1" applyAlignment="1">
      <alignment horizontal="center" vertical="center" wrapText="1"/>
    </xf>
    <xf numFmtId="0" fontId="3" fillId="2" borderId="119" xfId="0" applyFont="1" applyFill="1" applyBorder="1" applyAlignment="1">
      <alignment horizontal="center" vertical="center" wrapText="1"/>
    </xf>
    <xf numFmtId="0" fontId="3" fillId="2" borderId="120" xfId="0" applyFont="1" applyFill="1" applyBorder="1" applyAlignment="1">
      <alignment horizontal="center" vertical="center" wrapText="1"/>
    </xf>
    <xf numFmtId="0" fontId="3" fillId="2" borderId="0" xfId="0" applyFont="1" applyFill="1" applyAlignment="1">
      <alignment horizontal="center" vertical="center" wrapText="1"/>
    </xf>
    <xf numFmtId="0" fontId="1" fillId="18" borderId="30" xfId="0" applyFont="1" applyFill="1" applyBorder="1" applyAlignment="1">
      <alignment vertical="center" wrapText="1"/>
    </xf>
    <xf numFmtId="0" fontId="1" fillId="0" borderId="0" xfId="0" applyFont="1" applyAlignment="1">
      <alignment vertical="center"/>
    </xf>
    <xf numFmtId="0" fontId="57" fillId="0" borderId="0" xfId="1" applyAlignment="1">
      <alignment vertical="center"/>
    </xf>
    <xf numFmtId="0" fontId="4" fillId="39" borderId="30" xfId="0" applyFont="1" applyFill="1" applyBorder="1" applyAlignment="1">
      <alignment vertical="center" wrapText="1"/>
    </xf>
    <xf numFmtId="0" fontId="57" fillId="2" borderId="30" xfId="1" applyFill="1" applyBorder="1" applyAlignment="1">
      <alignment vertical="center" wrapText="1"/>
    </xf>
    <xf numFmtId="0" fontId="20" fillId="38" borderId="0" xfId="0" applyFont="1" applyFill="1" applyAlignment="1">
      <alignment horizontal="center" vertical="center"/>
    </xf>
    <xf numFmtId="0" fontId="17" fillId="38" borderId="0" xfId="0" applyFont="1" applyFill="1" applyAlignment="1">
      <alignment horizontal="center" vertical="center"/>
    </xf>
    <xf numFmtId="0" fontId="18" fillId="38" borderId="0" xfId="0" applyFont="1" applyFill="1" applyAlignment="1">
      <alignment vertical="center"/>
    </xf>
    <xf numFmtId="0" fontId="3" fillId="31" borderId="30" xfId="0" applyFont="1" applyFill="1" applyBorder="1" applyAlignment="1">
      <alignment horizontal="center" vertical="center" wrapText="1"/>
    </xf>
    <xf numFmtId="0" fontId="1" fillId="31" borderId="30" xfId="0" quotePrefix="1" applyFont="1" applyFill="1" applyBorder="1" applyAlignment="1">
      <alignment vertical="center" wrapText="1"/>
    </xf>
    <xf numFmtId="0" fontId="4" fillId="31" borderId="30" xfId="0" applyFont="1" applyFill="1" applyBorder="1" applyAlignment="1">
      <alignment vertical="center" wrapText="1"/>
    </xf>
    <xf numFmtId="0" fontId="1" fillId="31" borderId="30" xfId="0" applyFont="1" applyFill="1" applyBorder="1" applyAlignment="1">
      <alignment vertical="center" wrapText="1"/>
    </xf>
    <xf numFmtId="0" fontId="1" fillId="31" borderId="31" xfId="0" applyFont="1" applyFill="1" applyBorder="1" applyAlignment="1">
      <alignment vertical="center" wrapText="1"/>
    </xf>
    <xf numFmtId="0" fontId="3" fillId="31" borderId="117" xfId="0" applyFont="1" applyFill="1" applyBorder="1" applyAlignment="1">
      <alignment horizontal="center" vertical="center" wrapText="1"/>
    </xf>
    <xf numFmtId="0" fontId="3" fillId="31" borderId="118" xfId="0" applyFont="1" applyFill="1" applyBorder="1" applyAlignment="1">
      <alignment horizontal="center" vertical="center" wrapText="1"/>
    </xf>
    <xf numFmtId="0" fontId="3" fillId="31" borderId="119" xfId="0" applyFont="1" applyFill="1" applyBorder="1" applyAlignment="1">
      <alignment horizontal="center" vertical="center" wrapText="1"/>
    </xf>
    <xf numFmtId="0" fontId="3" fillId="31" borderId="120" xfId="0" applyFont="1" applyFill="1" applyBorder="1" applyAlignment="1">
      <alignment horizontal="center" vertical="center" wrapText="1"/>
    </xf>
    <xf numFmtId="0" fontId="3" fillId="31" borderId="0" xfId="0" applyFont="1" applyFill="1" applyAlignment="1">
      <alignment horizontal="center" vertical="center" wrapText="1"/>
    </xf>
    <xf numFmtId="0" fontId="0" fillId="31" borderId="0" xfId="0" applyFill="1"/>
    <xf numFmtId="0" fontId="1" fillId="2" borderId="121" xfId="0" applyFont="1" applyFill="1" applyBorder="1" applyAlignment="1">
      <alignment vertical="center" wrapText="1"/>
    </xf>
    <xf numFmtId="0" fontId="4" fillId="2" borderId="121" xfId="0" applyFont="1" applyFill="1" applyBorder="1" applyAlignment="1">
      <alignment vertical="center" wrapText="1"/>
    </xf>
    <xf numFmtId="0" fontId="1" fillId="40" borderId="121" xfId="0" applyFont="1" applyFill="1" applyBorder="1" applyAlignment="1">
      <alignment vertical="center" wrapText="1"/>
    </xf>
    <xf numFmtId="0" fontId="1" fillId="40" borderId="31" xfId="0" applyFont="1" applyFill="1" applyBorder="1" applyAlignment="1">
      <alignment vertical="center" wrapText="1"/>
    </xf>
    <xf numFmtId="0" fontId="3" fillId="2" borderId="31" xfId="0" applyFont="1" applyFill="1" applyBorder="1" applyAlignment="1">
      <alignment horizontal="center" vertical="center" wrapText="1"/>
    </xf>
    <xf numFmtId="0" fontId="1" fillId="37" borderId="0" xfId="0" applyFont="1" applyFill="1" applyAlignment="1">
      <alignment vertical="center" wrapText="1"/>
    </xf>
    <xf numFmtId="0" fontId="1" fillId="37" borderId="92" xfId="0" applyFont="1" applyFill="1" applyBorder="1" applyAlignment="1">
      <alignment vertical="center"/>
    </xf>
    <xf numFmtId="0" fontId="58" fillId="37" borderId="93" xfId="1" applyFont="1" applyFill="1" applyBorder="1" applyAlignment="1">
      <alignment vertical="center" wrapText="1"/>
    </xf>
    <xf numFmtId="0" fontId="1" fillId="37" borderId="31" xfId="0" applyFont="1" applyFill="1" applyBorder="1" applyAlignment="1">
      <alignment vertical="center" wrapText="1"/>
    </xf>
    <xf numFmtId="0" fontId="1" fillId="19" borderId="0" xfId="0" applyFont="1" applyFill="1" applyAlignment="1">
      <alignment vertical="center"/>
    </xf>
    <xf numFmtId="0" fontId="59" fillId="19" borderId="0" xfId="1" applyFont="1" applyFill="1" applyBorder="1" applyAlignment="1">
      <alignment vertical="center" wrapText="1"/>
    </xf>
    <xf numFmtId="0" fontId="3" fillId="19" borderId="30" xfId="0" applyFont="1" applyFill="1" applyBorder="1" applyAlignment="1">
      <alignment horizontal="center" vertical="center" wrapText="1"/>
    </xf>
    <xf numFmtId="0" fontId="3" fillId="19" borderId="118" xfId="0" applyFont="1" applyFill="1" applyBorder="1" applyAlignment="1">
      <alignment horizontal="center" vertical="center" wrapText="1"/>
    </xf>
    <xf numFmtId="0" fontId="3" fillId="19" borderId="119" xfId="0" applyFont="1" applyFill="1" applyBorder="1" applyAlignment="1">
      <alignment horizontal="center" vertical="center" wrapText="1"/>
    </xf>
    <xf numFmtId="0" fontId="3" fillId="19" borderId="120" xfId="0" applyFont="1" applyFill="1" applyBorder="1" applyAlignment="1">
      <alignment horizontal="center" vertical="center" wrapText="1"/>
    </xf>
    <xf numFmtId="0" fontId="3" fillId="19" borderId="0" xfId="0" applyFont="1" applyFill="1" applyAlignment="1">
      <alignment horizontal="center" vertical="center" wrapText="1"/>
    </xf>
    <xf numFmtId="0" fontId="60" fillId="2" borderId="0" xfId="0" applyFont="1" applyFill="1" applyAlignment="1">
      <alignment wrapText="1"/>
    </xf>
    <xf numFmtId="0" fontId="1" fillId="19" borderId="0" xfId="0" applyFont="1" applyFill="1"/>
    <xf numFmtId="0" fontId="1" fillId="19" borderId="0" xfId="0" applyFont="1" applyFill="1" applyAlignment="1">
      <alignment vertical="center" wrapText="1"/>
    </xf>
    <xf numFmtId="0" fontId="59" fillId="2" borderId="0" xfId="1" applyFont="1" applyFill="1" applyBorder="1" applyAlignment="1">
      <alignment vertical="center" wrapText="1"/>
    </xf>
    <xf numFmtId="0" fontId="1" fillId="2" borderId="0" xfId="0" applyFont="1" applyFill="1" applyAlignment="1">
      <alignment vertical="center" wrapText="1"/>
    </xf>
    <xf numFmtId="0" fontId="3" fillId="0" borderId="30" xfId="0" applyFont="1" applyBorder="1" applyAlignment="1">
      <alignment horizontal="center" vertical="center" wrapText="1"/>
    </xf>
    <xf numFmtId="0" fontId="3" fillId="0" borderId="118" xfId="0" applyFont="1" applyBorder="1" applyAlignment="1">
      <alignment horizontal="center" vertical="center" wrapText="1"/>
    </xf>
    <xf numFmtId="0" fontId="3" fillId="0" borderId="119" xfId="0" applyFont="1" applyBorder="1" applyAlignment="1">
      <alignment horizontal="center" vertical="center" wrapText="1"/>
    </xf>
    <xf numFmtId="0" fontId="3" fillId="0" borderId="120" xfId="0" applyFont="1" applyBorder="1" applyAlignment="1">
      <alignment horizontal="center" vertical="center" wrapText="1"/>
    </xf>
    <xf numFmtId="0" fontId="3" fillId="0" borderId="0" xfId="0" applyFont="1" applyAlignment="1">
      <alignment horizontal="center" vertical="center" wrapText="1"/>
    </xf>
    <xf numFmtId="0" fontId="17" fillId="31" borderId="0" xfId="0" applyFont="1" applyFill="1" applyAlignment="1">
      <alignment horizontal="center" vertical="center"/>
    </xf>
    <xf numFmtId="0" fontId="18" fillId="31" borderId="0" xfId="0" applyFont="1" applyFill="1" applyAlignment="1">
      <alignment vertical="center"/>
    </xf>
    <xf numFmtId="0" fontId="3" fillId="31" borderId="31" xfId="0" applyFont="1" applyFill="1" applyBorder="1" applyAlignment="1">
      <alignment horizontal="center" vertical="center" wrapText="1"/>
    </xf>
    <xf numFmtId="0" fontId="1" fillId="31" borderId="0" xfId="0" applyFont="1" applyFill="1" applyAlignment="1">
      <alignment vertical="center"/>
    </xf>
    <xf numFmtId="0" fontId="1" fillId="31" borderId="0" xfId="0" applyFont="1" applyFill="1" applyAlignment="1">
      <alignment vertical="center" wrapText="1"/>
    </xf>
    <xf numFmtId="0" fontId="1" fillId="2" borderId="0" xfId="0" applyFont="1" applyFill="1" applyAlignment="1">
      <alignment wrapText="1"/>
    </xf>
    <xf numFmtId="0" fontId="3" fillId="40" borderId="117" xfId="0" applyFont="1" applyFill="1" applyBorder="1" applyAlignment="1">
      <alignment horizontal="center" vertical="center" wrapText="1"/>
    </xf>
    <xf numFmtId="0" fontId="3" fillId="40" borderId="118" xfId="0" applyFont="1" applyFill="1" applyBorder="1" applyAlignment="1">
      <alignment horizontal="center" vertical="center" wrapText="1"/>
    </xf>
    <xf numFmtId="0" fontId="3" fillId="40" borderId="119" xfId="0" applyFont="1" applyFill="1" applyBorder="1" applyAlignment="1">
      <alignment horizontal="center" vertical="center" wrapText="1"/>
    </xf>
    <xf numFmtId="0" fontId="3" fillId="40" borderId="120" xfId="0" applyFont="1" applyFill="1" applyBorder="1" applyAlignment="1">
      <alignment horizontal="center" vertical="center" wrapText="1"/>
    </xf>
    <xf numFmtId="0" fontId="3" fillId="40" borderId="0" xfId="0" applyFont="1" applyFill="1" applyAlignment="1">
      <alignment horizontal="center" vertical="center" wrapText="1"/>
    </xf>
    <xf numFmtId="0" fontId="4" fillId="2" borderId="0" xfId="0" applyFont="1" applyFill="1" applyAlignment="1">
      <alignment vertical="center" wrapText="1"/>
    </xf>
    <xf numFmtId="0" fontId="61" fillId="3" borderId="0" xfId="0" applyFont="1" applyFill="1" applyAlignment="1">
      <alignment vertical="center"/>
    </xf>
    <xf numFmtId="0" fontId="1" fillId="2" borderId="122" xfId="0" applyFont="1" applyFill="1" applyBorder="1" applyAlignment="1">
      <alignment vertical="center" wrapText="1"/>
    </xf>
    <xf numFmtId="0" fontId="3" fillId="2" borderId="123" xfId="0" applyFont="1" applyFill="1" applyBorder="1" applyAlignment="1">
      <alignment horizontal="center" vertical="center" wrapText="1"/>
    </xf>
    <xf numFmtId="0" fontId="1" fillId="3" borderId="0" xfId="0" applyFont="1" applyFill="1"/>
    <xf numFmtId="0" fontId="0" fillId="3" borderId="1" xfId="0" applyFill="1" applyBorder="1"/>
    <xf numFmtId="0" fontId="17" fillId="3" borderId="1" xfId="0" applyFont="1" applyFill="1" applyBorder="1" applyAlignment="1">
      <alignment horizontal="center"/>
    </xf>
    <xf numFmtId="0" fontId="17" fillId="0" borderId="1" xfId="0" applyFont="1" applyBorder="1" applyAlignment="1">
      <alignment horizontal="center"/>
    </xf>
    <xf numFmtId="0" fontId="4" fillId="8" borderId="51" xfId="0" applyFont="1" applyFill="1" applyBorder="1" applyAlignment="1" applyProtection="1">
      <alignment horizontal="left" vertical="top" wrapText="1"/>
      <protection locked="0"/>
    </xf>
    <xf numFmtId="0" fontId="4" fillId="8" borderId="14" xfId="0" applyFont="1" applyFill="1" applyBorder="1" applyAlignment="1" applyProtection="1">
      <alignment horizontal="left" vertical="top" wrapText="1"/>
      <protection locked="0"/>
    </xf>
    <xf numFmtId="0" fontId="4" fillId="8" borderId="15" xfId="0" applyFont="1" applyFill="1" applyBorder="1" applyAlignment="1" applyProtection="1">
      <alignment horizontal="left" vertical="top" wrapText="1"/>
      <protection locked="0"/>
    </xf>
    <xf numFmtId="0" fontId="4" fillId="8" borderId="13" xfId="0" applyFont="1" applyFill="1" applyBorder="1" applyAlignment="1" applyProtection="1">
      <alignment horizontal="left" vertical="top" wrapText="1"/>
      <protection locked="0"/>
    </xf>
    <xf numFmtId="0" fontId="2" fillId="8" borderId="9" xfId="0" applyFont="1" applyFill="1" applyBorder="1" applyAlignment="1" applyProtection="1">
      <alignment horizontal="center" vertical="top" wrapText="1"/>
      <protection locked="0"/>
    </xf>
    <xf numFmtId="0" fontId="4" fillId="8" borderId="52" xfId="0" applyFont="1" applyFill="1" applyBorder="1" applyAlignment="1" applyProtection="1">
      <alignment horizontal="left" vertical="top" wrapText="1"/>
      <protection locked="0"/>
    </xf>
    <xf numFmtId="0" fontId="4" fillId="2" borderId="51" xfId="0" applyFont="1" applyFill="1" applyBorder="1" applyAlignment="1" applyProtection="1">
      <alignment horizontal="left" vertical="top" wrapText="1"/>
      <protection locked="0"/>
    </xf>
    <xf numFmtId="0" fontId="4" fillId="2" borderId="14" xfId="0" applyFont="1" applyFill="1" applyBorder="1" applyAlignment="1" applyProtection="1">
      <alignment horizontal="left" vertical="top" wrapText="1"/>
      <protection locked="0"/>
    </xf>
    <xf numFmtId="0" fontId="4" fillId="2" borderId="15" xfId="0" applyFont="1" applyFill="1" applyBorder="1" applyAlignment="1" applyProtection="1">
      <alignment horizontal="left" vertical="top" wrapText="1"/>
      <protection locked="0"/>
    </xf>
    <xf numFmtId="0" fontId="4" fillId="2" borderId="13" xfId="0" applyFont="1" applyFill="1" applyBorder="1" applyAlignment="1" applyProtection="1">
      <alignment horizontal="left" vertical="top" wrapText="1"/>
      <protection locked="0"/>
    </xf>
    <xf numFmtId="0" fontId="2" fillId="2" borderId="9" xfId="0" applyFont="1" applyFill="1" applyBorder="1" applyAlignment="1" applyProtection="1">
      <alignment horizontal="center" vertical="top" wrapText="1"/>
      <protection locked="0"/>
    </xf>
    <xf numFmtId="0" fontId="4" fillId="2" borderId="52" xfId="0" applyFont="1" applyFill="1" applyBorder="1" applyAlignment="1" applyProtection="1">
      <alignment horizontal="left" vertical="top" wrapText="1"/>
      <protection locked="0"/>
    </xf>
    <xf numFmtId="0" fontId="51" fillId="35" borderId="0" xfId="0" applyFont="1" applyFill="1" applyAlignment="1">
      <alignment horizontal="left" vertical="top" wrapText="1"/>
    </xf>
    <xf numFmtId="0" fontId="51" fillId="2" borderId="0" xfId="0" applyFont="1" applyFill="1" applyAlignment="1">
      <alignment horizontal="left" vertical="top" wrapText="1"/>
    </xf>
    <xf numFmtId="0" fontId="10" fillId="26" borderId="37" xfId="0" applyFont="1" applyFill="1" applyBorder="1" applyAlignment="1">
      <alignment horizontal="center" vertical="center" wrapText="1"/>
    </xf>
    <xf numFmtId="0" fontId="10" fillId="26" borderId="39" xfId="0" applyFont="1" applyFill="1" applyBorder="1" applyAlignment="1">
      <alignment horizontal="center" vertical="center" wrapText="1"/>
    </xf>
    <xf numFmtId="0" fontId="10" fillId="26" borderId="93" xfId="0" applyFont="1" applyFill="1" applyBorder="1" applyAlignment="1">
      <alignment horizontal="center" vertical="center" wrapText="1"/>
    </xf>
    <xf numFmtId="0" fontId="10" fillId="26" borderId="92" xfId="0" applyFont="1" applyFill="1" applyBorder="1" applyAlignment="1">
      <alignment horizontal="center" vertical="center" wrapText="1"/>
    </xf>
    <xf numFmtId="0" fontId="10" fillId="26" borderId="5" xfId="0" applyFont="1" applyFill="1" applyBorder="1" applyAlignment="1">
      <alignment horizontal="center" vertical="center" wrapText="1"/>
    </xf>
    <xf numFmtId="0" fontId="10" fillId="26" borderId="7" xfId="0" applyFont="1" applyFill="1" applyBorder="1" applyAlignment="1">
      <alignment horizontal="center" vertical="center" wrapText="1"/>
    </xf>
    <xf numFmtId="0" fontId="8" fillId="26" borderId="37" xfId="0" applyFont="1" applyFill="1" applyBorder="1" applyAlignment="1">
      <alignment horizontal="center" vertical="center" wrapText="1"/>
    </xf>
    <xf numFmtId="0" fontId="8" fillId="26" borderId="38" xfId="0" applyFont="1" applyFill="1" applyBorder="1" applyAlignment="1">
      <alignment horizontal="center" vertical="center" wrapText="1"/>
    </xf>
    <xf numFmtId="0" fontId="8" fillId="26" borderId="59" xfId="0" applyFont="1" applyFill="1" applyBorder="1" applyAlignment="1">
      <alignment horizontal="center" vertical="center" wrapText="1"/>
    </xf>
    <xf numFmtId="0" fontId="8" fillId="26" borderId="93" xfId="0" applyFont="1" applyFill="1" applyBorder="1" applyAlignment="1">
      <alignment horizontal="center" vertical="center" wrapText="1"/>
    </xf>
    <xf numFmtId="0" fontId="8" fillId="26" borderId="0" xfId="0" applyFont="1" applyFill="1" applyAlignment="1">
      <alignment horizontal="center" vertical="center" wrapText="1"/>
    </xf>
    <xf numFmtId="0" fontId="8" fillId="26" borderId="74" xfId="0" applyFont="1" applyFill="1" applyBorder="1" applyAlignment="1">
      <alignment horizontal="center" vertical="center" wrapText="1"/>
    </xf>
    <xf numFmtId="0" fontId="8" fillId="26" borderId="5" xfId="0" applyFont="1" applyFill="1" applyBorder="1" applyAlignment="1">
      <alignment horizontal="center" vertical="center" wrapText="1"/>
    </xf>
    <xf numFmtId="0" fontId="8" fillId="26" borderId="6" xfId="0" applyFont="1" applyFill="1" applyBorder="1" applyAlignment="1">
      <alignment horizontal="center" vertical="center" wrapText="1"/>
    </xf>
    <xf numFmtId="0" fontId="8" fillId="26" borderId="61" xfId="0" applyFont="1" applyFill="1" applyBorder="1" applyAlignment="1">
      <alignment horizontal="center" vertical="center" wrapText="1"/>
    </xf>
    <xf numFmtId="0" fontId="8" fillId="26" borderId="36" xfId="0" applyFont="1" applyFill="1" applyBorder="1" applyAlignment="1">
      <alignment horizontal="center" vertical="center" wrapText="1"/>
    </xf>
    <xf numFmtId="0" fontId="8" fillId="26" borderId="45" xfId="0" applyFont="1" applyFill="1" applyBorder="1" applyAlignment="1">
      <alignment horizontal="center" vertical="center" wrapText="1"/>
    </xf>
    <xf numFmtId="0" fontId="26" fillId="9" borderId="81" xfId="0" applyFont="1" applyFill="1" applyBorder="1" applyAlignment="1">
      <alignment horizontal="center" vertical="center" wrapText="1"/>
    </xf>
    <xf numFmtId="0" fontId="26" fillId="9" borderId="108" xfId="0" applyFont="1" applyFill="1" applyBorder="1" applyAlignment="1">
      <alignment horizontal="center" vertical="center" wrapText="1"/>
    </xf>
    <xf numFmtId="0" fontId="26" fillId="9" borderId="82" xfId="0" applyFont="1" applyFill="1" applyBorder="1" applyAlignment="1">
      <alignment horizontal="center" vertical="center" wrapText="1"/>
    </xf>
    <xf numFmtId="0" fontId="26" fillId="9" borderId="89" xfId="0" applyFont="1" applyFill="1" applyBorder="1" applyAlignment="1">
      <alignment horizontal="center" vertical="center" wrapText="1"/>
    </xf>
    <xf numFmtId="0" fontId="8" fillId="26" borderId="58" xfId="0" applyFont="1" applyFill="1" applyBorder="1" applyAlignment="1">
      <alignment horizontal="center" vertical="center" wrapText="1"/>
    </xf>
    <xf numFmtId="0" fontId="8" fillId="26" borderId="106" xfId="0" applyFont="1" applyFill="1" applyBorder="1" applyAlignment="1">
      <alignment horizontal="left" vertical="center" wrapText="1"/>
    </xf>
    <xf numFmtId="0" fontId="8" fillId="26" borderId="1" xfId="0" applyFont="1" applyFill="1" applyBorder="1" applyAlignment="1">
      <alignment horizontal="left" vertical="center" wrapText="1"/>
    </xf>
    <xf numFmtId="0" fontId="8" fillId="26" borderId="107" xfId="0" applyFont="1" applyFill="1" applyBorder="1" applyAlignment="1">
      <alignment horizontal="left" vertical="center" wrapText="1"/>
    </xf>
    <xf numFmtId="0" fontId="8" fillId="26" borderId="44" xfId="0" applyFont="1" applyFill="1" applyBorder="1" applyAlignment="1">
      <alignment horizontal="left" vertical="center" wrapText="1"/>
    </xf>
    <xf numFmtId="0" fontId="4" fillId="2" borderId="44" xfId="0" applyFont="1" applyFill="1" applyBorder="1" applyAlignment="1" applyProtection="1">
      <alignment horizontal="left" vertical="top" wrapText="1"/>
      <protection locked="0"/>
    </xf>
    <xf numFmtId="0" fontId="4" fillId="2" borderId="48" xfId="0" applyFont="1" applyFill="1" applyBorder="1" applyAlignment="1" applyProtection="1">
      <alignment horizontal="left" vertical="top" wrapText="1"/>
      <protection locked="0"/>
    </xf>
    <xf numFmtId="0" fontId="8" fillId="26" borderId="57" xfId="0" applyFont="1" applyFill="1" applyBorder="1" applyAlignment="1">
      <alignment horizontal="center" vertical="center" wrapText="1"/>
    </xf>
    <xf numFmtId="0" fontId="8" fillId="26" borderId="39" xfId="0" applyFont="1" applyFill="1" applyBorder="1" applyAlignment="1">
      <alignment horizontal="center" vertical="center" wrapText="1"/>
    </xf>
    <xf numFmtId="0" fontId="8" fillId="26" borderId="60" xfId="0" applyFont="1" applyFill="1" applyBorder="1" applyAlignment="1">
      <alignment horizontal="center" vertical="center" wrapText="1"/>
    </xf>
    <xf numFmtId="0" fontId="8" fillId="26" borderId="7" xfId="0" applyFont="1" applyFill="1" applyBorder="1" applyAlignment="1">
      <alignment horizontal="center" vertical="center" wrapText="1"/>
    </xf>
    <xf numFmtId="166" fontId="3" fillId="2" borderId="37" xfId="0" applyNumberFormat="1" applyFont="1" applyFill="1" applyBorder="1" applyAlignment="1" applyProtection="1">
      <alignment horizontal="center" vertical="center" wrapText="1"/>
      <protection locked="0"/>
    </xf>
    <xf numFmtId="166" fontId="3" fillId="2" borderId="38" xfId="0" applyNumberFormat="1" applyFont="1" applyFill="1" applyBorder="1" applyAlignment="1" applyProtection="1">
      <alignment horizontal="center" vertical="center" wrapText="1"/>
      <protection locked="0"/>
    </xf>
    <xf numFmtId="166" fontId="3" fillId="2" borderId="59" xfId="0" applyNumberFormat="1" applyFont="1" applyFill="1" applyBorder="1" applyAlignment="1" applyProtection="1">
      <alignment horizontal="center" vertical="center" wrapText="1"/>
      <protection locked="0"/>
    </xf>
    <xf numFmtId="166" fontId="3" fillId="2" borderId="5" xfId="0" applyNumberFormat="1" applyFont="1" applyFill="1" applyBorder="1" applyAlignment="1" applyProtection="1">
      <alignment horizontal="center" vertical="center" wrapText="1"/>
      <protection locked="0"/>
    </xf>
    <xf numFmtId="166" fontId="3" fillId="2" borderId="6" xfId="0" applyNumberFormat="1" applyFont="1" applyFill="1" applyBorder="1" applyAlignment="1" applyProtection="1">
      <alignment horizontal="center" vertical="center" wrapText="1"/>
      <protection locked="0"/>
    </xf>
    <xf numFmtId="166" fontId="3" fillId="2" borderId="61" xfId="0" applyNumberFormat="1" applyFont="1" applyFill="1" applyBorder="1" applyAlignment="1" applyProtection="1">
      <alignment horizontal="center" vertical="center" wrapText="1"/>
      <protection locked="0"/>
    </xf>
    <xf numFmtId="0" fontId="4" fillId="2" borderId="1" xfId="0" applyFont="1" applyFill="1" applyBorder="1" applyAlignment="1" applyProtection="1">
      <alignment horizontal="left" vertical="top" wrapText="1"/>
      <protection locked="0"/>
    </xf>
    <xf numFmtId="0" fontId="4" fillId="2" borderId="46" xfId="0" applyFont="1" applyFill="1" applyBorder="1" applyAlignment="1" applyProtection="1">
      <alignment horizontal="left" vertical="top" wrapText="1"/>
      <protection locked="0"/>
    </xf>
    <xf numFmtId="0" fontId="10" fillId="26" borderId="42" xfId="0" applyFont="1" applyFill="1" applyBorder="1" applyAlignment="1">
      <alignment horizontal="left" vertical="center" wrapText="1"/>
    </xf>
    <xf numFmtId="0" fontId="10" fillId="26" borderId="1" xfId="0" applyFont="1" applyFill="1" applyBorder="1" applyAlignment="1">
      <alignment horizontal="left" vertical="center" wrapText="1"/>
    </xf>
    <xf numFmtId="0" fontId="4" fillId="2" borderId="1" xfId="0" applyFont="1" applyFill="1" applyBorder="1" applyAlignment="1" applyProtection="1">
      <alignment horizontal="left" vertical="center" wrapText="1"/>
      <protection locked="0"/>
    </xf>
    <xf numFmtId="0" fontId="4" fillId="2" borderId="46" xfId="0" applyFont="1" applyFill="1" applyBorder="1" applyAlignment="1" applyProtection="1">
      <alignment horizontal="left" vertical="center" wrapText="1"/>
      <protection locked="0"/>
    </xf>
    <xf numFmtId="0" fontId="28" fillId="2" borderId="0" xfId="0" applyFont="1" applyFill="1" applyAlignment="1">
      <alignment horizontal="center" vertical="center"/>
    </xf>
    <xf numFmtId="49" fontId="4" fillId="2" borderId="10" xfId="0" applyNumberFormat="1" applyFont="1" applyFill="1" applyBorder="1" applyAlignment="1" applyProtection="1">
      <alignment horizontal="center" vertical="center" wrapText="1"/>
      <protection locked="0"/>
    </xf>
    <xf numFmtId="49" fontId="4" fillId="2" borderId="12" xfId="0" applyNumberFormat="1" applyFont="1" applyFill="1" applyBorder="1" applyAlignment="1" applyProtection="1">
      <alignment horizontal="center" vertical="center" wrapText="1"/>
      <protection locked="0"/>
    </xf>
    <xf numFmtId="49" fontId="4" fillId="2" borderId="11" xfId="0" applyNumberFormat="1" applyFont="1" applyFill="1" applyBorder="1" applyAlignment="1" applyProtection="1">
      <alignment horizontal="center" vertical="center" wrapText="1"/>
      <protection locked="0"/>
    </xf>
    <xf numFmtId="49" fontId="4" fillId="2" borderId="77" xfId="0" applyNumberFormat="1" applyFont="1" applyFill="1" applyBorder="1" applyAlignment="1" applyProtection="1">
      <alignment horizontal="center" vertical="center" wrapText="1"/>
      <protection locked="0"/>
    </xf>
    <xf numFmtId="0" fontId="8" fillId="26" borderId="49" xfId="0" applyFont="1" applyFill="1" applyBorder="1" applyAlignment="1">
      <alignment horizontal="left" vertical="center" wrapText="1"/>
    </xf>
    <xf numFmtId="0" fontId="8" fillId="26" borderId="40" xfId="0" applyFont="1" applyFill="1" applyBorder="1" applyAlignment="1">
      <alignment horizontal="left" vertical="center" wrapText="1"/>
    </xf>
    <xf numFmtId="0" fontId="8" fillId="26" borderId="41" xfId="0" applyFont="1" applyFill="1" applyBorder="1" applyAlignment="1">
      <alignment horizontal="left" vertical="center" wrapText="1"/>
    </xf>
    <xf numFmtId="0" fontId="10" fillId="26" borderId="2" xfId="0" applyFont="1" applyFill="1" applyBorder="1" applyAlignment="1">
      <alignment horizontal="center" vertical="center" wrapText="1"/>
    </xf>
    <xf numFmtId="0" fontId="10" fillId="26" borderId="3" xfId="0" applyFont="1" applyFill="1" applyBorder="1" applyAlignment="1">
      <alignment horizontal="center" vertical="center" wrapText="1"/>
    </xf>
    <xf numFmtId="0" fontId="10" fillId="26" borderId="109" xfId="0" applyFont="1" applyFill="1" applyBorder="1" applyAlignment="1">
      <alignment horizontal="center" vertical="center" wrapText="1"/>
    </xf>
    <xf numFmtId="0" fontId="10" fillId="26" borderId="42" xfId="0" applyFont="1" applyFill="1" applyBorder="1" applyAlignment="1">
      <alignment horizontal="center" vertical="center" wrapText="1"/>
    </xf>
    <xf numFmtId="0" fontId="10" fillId="26" borderId="1" xfId="0" applyFont="1" applyFill="1" applyBorder="1" applyAlignment="1">
      <alignment horizontal="center" vertical="center" wrapText="1"/>
    </xf>
    <xf numFmtId="49" fontId="4" fillId="8" borderId="13" xfId="0" applyNumberFormat="1" applyFont="1" applyFill="1" applyBorder="1" applyAlignment="1" applyProtection="1">
      <alignment horizontal="center" vertical="center" wrapText="1"/>
      <protection locked="0"/>
    </xf>
    <xf numFmtId="49" fontId="4" fillId="8" borderId="15" xfId="0" applyNumberFormat="1" applyFont="1" applyFill="1" applyBorder="1" applyAlignment="1" applyProtection="1">
      <alignment horizontal="center" vertical="center" wrapText="1"/>
      <protection locked="0"/>
    </xf>
    <xf numFmtId="49" fontId="4" fillId="2" borderId="64" xfId="0" applyNumberFormat="1" applyFont="1" applyFill="1" applyBorder="1" applyAlignment="1" applyProtection="1">
      <alignment horizontal="left" vertical="center" wrapText="1"/>
      <protection locked="0"/>
    </xf>
    <xf numFmtId="49" fontId="4" fillId="2" borderId="70" xfId="0" applyNumberFormat="1" applyFont="1" applyFill="1" applyBorder="1" applyAlignment="1" applyProtection="1">
      <alignment horizontal="left" vertical="center" wrapText="1"/>
      <protection locked="0"/>
    </xf>
    <xf numFmtId="49" fontId="4" fillId="8" borderId="9" xfId="0" applyNumberFormat="1" applyFont="1" applyFill="1" applyBorder="1" applyAlignment="1" applyProtection="1">
      <alignment horizontal="left" vertical="center" wrapText="1"/>
      <protection locked="0"/>
    </xf>
    <xf numFmtId="49" fontId="4" fillId="8" borderId="9" xfId="0" applyNumberFormat="1" applyFont="1" applyFill="1" applyBorder="1" applyAlignment="1" applyProtection="1">
      <alignment horizontal="center" vertical="center" wrapText="1"/>
      <protection locked="0"/>
    </xf>
    <xf numFmtId="49" fontId="4" fillId="8" borderId="68" xfId="0" applyNumberFormat="1" applyFont="1" applyFill="1" applyBorder="1" applyAlignment="1" applyProtection="1">
      <alignment horizontal="left" vertical="center" wrapText="1"/>
      <protection locked="0"/>
    </xf>
    <xf numFmtId="49" fontId="4" fillId="2" borderId="64" xfId="0" applyNumberFormat="1" applyFont="1" applyFill="1" applyBorder="1" applyAlignment="1" applyProtection="1">
      <alignment horizontal="center" vertical="center" wrapText="1"/>
      <protection locked="0"/>
    </xf>
    <xf numFmtId="0" fontId="4" fillId="2" borderId="32" xfId="0" applyFont="1" applyFill="1" applyBorder="1" applyAlignment="1" applyProtection="1">
      <alignment horizontal="left" vertical="top" wrapText="1"/>
      <protection locked="0"/>
    </xf>
    <xf numFmtId="0" fontId="4" fillId="2" borderId="33" xfId="0" applyFont="1" applyFill="1" applyBorder="1" applyAlignment="1" applyProtection="1">
      <alignment horizontal="left" vertical="top" wrapText="1"/>
      <protection locked="0"/>
    </xf>
    <xf numFmtId="0" fontId="4" fillId="2" borderId="34" xfId="0" applyFont="1" applyFill="1" applyBorder="1" applyAlignment="1" applyProtection="1">
      <alignment horizontal="left" vertical="top" wrapText="1"/>
      <protection locked="0"/>
    </xf>
    <xf numFmtId="49" fontId="4" fillId="8" borderId="14" xfId="0" applyNumberFormat="1" applyFont="1" applyFill="1" applyBorder="1" applyAlignment="1" applyProtection="1">
      <alignment horizontal="center" vertical="center" wrapText="1"/>
      <protection locked="0"/>
    </xf>
    <xf numFmtId="49" fontId="4" fillId="8" borderId="52" xfId="0" applyNumberFormat="1" applyFont="1" applyFill="1" applyBorder="1" applyAlignment="1" applyProtection="1">
      <alignment horizontal="center" vertical="center" wrapText="1"/>
      <protection locked="0"/>
    </xf>
    <xf numFmtId="0" fontId="10" fillId="26" borderId="49" xfId="0" applyFont="1" applyFill="1" applyBorder="1" applyAlignment="1">
      <alignment horizontal="center" vertical="center" wrapText="1"/>
    </xf>
    <xf numFmtId="0" fontId="10" fillId="26" borderId="40" xfId="0" applyFont="1" applyFill="1" applyBorder="1" applyAlignment="1">
      <alignment horizontal="center" vertical="center" wrapText="1"/>
    </xf>
    <xf numFmtId="0" fontId="10" fillId="26" borderId="58" xfId="0" applyFont="1" applyFill="1" applyBorder="1" applyAlignment="1">
      <alignment horizontal="center" vertical="center" wrapText="1"/>
    </xf>
    <xf numFmtId="0" fontId="4" fillId="2" borderId="63" xfId="0" applyFont="1" applyFill="1" applyBorder="1" applyAlignment="1" applyProtection="1">
      <alignment horizontal="left" vertical="top" wrapText="1"/>
      <protection locked="0"/>
    </xf>
    <xf numFmtId="49" fontId="4" fillId="2" borderId="50" xfId="0" applyNumberFormat="1" applyFont="1" applyFill="1" applyBorder="1" applyAlignment="1" applyProtection="1">
      <alignment horizontal="left" vertical="center" wrapText="1"/>
      <protection locked="0"/>
    </xf>
    <xf numFmtId="49" fontId="4" fillId="2" borderId="11" xfId="0" applyNumberFormat="1" applyFont="1" applyFill="1" applyBorder="1" applyAlignment="1" applyProtection="1">
      <alignment horizontal="left" vertical="center" wrapText="1"/>
      <protection locked="0"/>
    </xf>
    <xf numFmtId="49" fontId="4" fillId="2" borderId="12" xfId="0" applyNumberFormat="1" applyFont="1" applyFill="1" applyBorder="1" applyAlignment="1" applyProtection="1">
      <alignment horizontal="left" vertical="center" wrapText="1"/>
      <protection locked="0"/>
    </xf>
    <xf numFmtId="49" fontId="4" fillId="8" borderId="51" xfId="0" applyNumberFormat="1" applyFont="1" applyFill="1" applyBorder="1" applyAlignment="1" applyProtection="1">
      <alignment horizontal="left" vertical="center" wrapText="1"/>
      <protection locked="0"/>
    </xf>
    <xf numFmtId="49" fontId="4" fillId="8" borderId="14" xfId="0" applyNumberFormat="1" applyFont="1" applyFill="1" applyBorder="1" applyAlignment="1" applyProtection="1">
      <alignment horizontal="left" vertical="center" wrapText="1"/>
      <protection locked="0"/>
    </xf>
    <xf numFmtId="49" fontId="4" fillId="8" borderId="15" xfId="0" applyNumberFormat="1" applyFont="1" applyFill="1" applyBorder="1" applyAlignment="1" applyProtection="1">
      <alignment horizontal="left" vertical="center" wrapText="1"/>
      <protection locked="0"/>
    </xf>
    <xf numFmtId="49" fontId="4" fillId="2" borderId="53" xfId="0" applyNumberFormat="1" applyFont="1" applyFill="1" applyBorder="1" applyAlignment="1" applyProtection="1">
      <alignment horizontal="left" vertical="center" wrapText="1"/>
      <protection locked="0"/>
    </xf>
    <xf numFmtId="49" fontId="4" fillId="2" borderId="54" xfId="0" applyNumberFormat="1" applyFont="1" applyFill="1" applyBorder="1" applyAlignment="1" applyProtection="1">
      <alignment horizontal="left" vertical="center" wrapText="1"/>
      <protection locked="0"/>
    </xf>
    <xf numFmtId="49" fontId="4" fillId="2" borderId="55" xfId="0" applyNumberFormat="1" applyFont="1" applyFill="1" applyBorder="1" applyAlignment="1" applyProtection="1">
      <alignment horizontal="left" vertical="center" wrapText="1"/>
      <protection locked="0"/>
    </xf>
    <xf numFmtId="49" fontId="4" fillId="2" borderId="56" xfId="0" applyNumberFormat="1" applyFont="1" applyFill="1" applyBorder="1" applyAlignment="1" applyProtection="1">
      <alignment horizontal="center" vertical="center" wrapText="1"/>
      <protection locked="0"/>
    </xf>
    <xf numFmtId="49" fontId="4" fillId="2" borderId="55" xfId="0" applyNumberFormat="1" applyFont="1" applyFill="1" applyBorder="1" applyAlignment="1" applyProtection="1">
      <alignment horizontal="center" vertical="center" wrapText="1"/>
      <protection locked="0"/>
    </xf>
    <xf numFmtId="49" fontId="4" fillId="2" borderId="54" xfId="0" applyNumberFormat="1" applyFont="1" applyFill="1" applyBorder="1" applyAlignment="1" applyProtection="1">
      <alignment horizontal="center" vertical="center" wrapText="1"/>
      <protection locked="0"/>
    </xf>
    <xf numFmtId="49" fontId="4" fillId="2" borderId="78" xfId="0" applyNumberFormat="1" applyFont="1" applyFill="1" applyBorder="1" applyAlignment="1" applyProtection="1">
      <alignment horizontal="center" vertical="center" wrapText="1"/>
      <protection locked="0"/>
    </xf>
    <xf numFmtId="0" fontId="10" fillId="26" borderId="47" xfId="0" applyFont="1" applyFill="1" applyBorder="1" applyAlignment="1">
      <alignment horizontal="center" vertical="center" wrapText="1"/>
    </xf>
    <xf numFmtId="0" fontId="10" fillId="26" borderId="44"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9" borderId="46" xfId="0" applyFont="1" applyFill="1" applyBorder="1" applyAlignment="1">
      <alignment horizontal="left" vertical="top" wrapText="1"/>
    </xf>
    <xf numFmtId="0" fontId="4" fillId="9" borderId="44" xfId="0" applyFont="1" applyFill="1" applyBorder="1" applyAlignment="1">
      <alignment horizontal="left" vertical="top" wrapText="1"/>
    </xf>
    <xf numFmtId="0" fontId="4" fillId="9" borderId="48" xfId="0" applyFont="1" applyFill="1" applyBorder="1" applyAlignment="1">
      <alignment horizontal="left" vertical="top" wrapText="1"/>
    </xf>
    <xf numFmtId="0" fontId="4" fillId="9" borderId="42" xfId="0" applyFont="1" applyFill="1" applyBorder="1" applyAlignment="1">
      <alignment horizontal="left" vertical="top" wrapText="1"/>
    </xf>
    <xf numFmtId="0" fontId="8" fillId="26" borderId="35" xfId="0" applyFont="1" applyFill="1" applyBorder="1" applyAlignment="1">
      <alignment horizontal="center" vertical="center" wrapText="1"/>
    </xf>
    <xf numFmtId="0" fontId="8" fillId="26" borderId="42" xfId="0" applyFont="1" applyFill="1" applyBorder="1" applyAlignment="1">
      <alignment horizontal="left" vertical="center" wrapText="1"/>
    </xf>
    <xf numFmtId="0" fontId="8" fillId="26" borderId="46" xfId="0" applyFont="1" applyFill="1" applyBorder="1" applyAlignment="1">
      <alignment horizontal="left" vertical="center" wrapText="1"/>
    </xf>
    <xf numFmtId="0" fontId="1" fillId="2" borderId="42" xfId="0" applyFont="1" applyFill="1" applyBorder="1" applyAlignment="1" applyProtection="1">
      <alignment horizontal="left" vertical="center" wrapText="1"/>
      <protection locked="0"/>
    </xf>
    <xf numFmtId="0" fontId="1" fillId="2" borderId="1" xfId="0" applyFont="1" applyFill="1" applyBorder="1" applyAlignment="1" applyProtection="1">
      <alignment horizontal="left" vertical="center" wrapText="1"/>
      <protection locked="0"/>
    </xf>
    <xf numFmtId="0" fontId="1" fillId="2" borderId="46" xfId="0" applyFont="1" applyFill="1" applyBorder="1" applyAlignment="1" applyProtection="1">
      <alignment horizontal="left" vertical="center" wrapText="1"/>
      <protection locked="0"/>
    </xf>
    <xf numFmtId="49" fontId="4" fillId="2" borderId="8" xfId="0" applyNumberFormat="1" applyFont="1" applyFill="1" applyBorder="1" applyAlignment="1" applyProtection="1">
      <alignment horizontal="center" vertical="center" wrapText="1"/>
      <protection locked="0"/>
    </xf>
    <xf numFmtId="49" fontId="4" fillId="2" borderId="8" xfId="0" applyNumberFormat="1" applyFont="1" applyFill="1" applyBorder="1" applyAlignment="1" applyProtection="1">
      <alignment horizontal="left" vertical="center" wrapText="1"/>
      <protection locked="0"/>
    </xf>
    <xf numFmtId="49" fontId="4" fillId="2" borderId="66" xfId="0" applyNumberFormat="1" applyFont="1" applyFill="1" applyBorder="1" applyAlignment="1" applyProtection="1">
      <alignment horizontal="left" vertical="center" wrapText="1"/>
      <protection locked="0"/>
    </xf>
    <xf numFmtId="49" fontId="4" fillId="2" borderId="9" xfId="0" applyNumberFormat="1" applyFont="1" applyFill="1" applyBorder="1" applyAlignment="1" applyProtection="1">
      <alignment horizontal="center" vertical="center" wrapText="1"/>
      <protection locked="0"/>
    </xf>
    <xf numFmtId="49" fontId="4" fillId="2" borderId="9" xfId="0" applyNumberFormat="1" applyFont="1" applyFill="1" applyBorder="1" applyAlignment="1" applyProtection="1">
      <alignment horizontal="left" vertical="center" wrapText="1"/>
      <protection locked="0"/>
    </xf>
    <xf numFmtId="49" fontId="4" fillId="2" borderId="68" xfId="0" applyNumberFormat="1" applyFont="1" applyFill="1" applyBorder="1" applyAlignment="1" applyProtection="1">
      <alignment horizontal="left" vertical="center" wrapText="1"/>
      <protection locked="0"/>
    </xf>
    <xf numFmtId="49" fontId="4" fillId="2" borderId="56" xfId="0" applyNumberFormat="1" applyFont="1" applyFill="1" applyBorder="1" applyAlignment="1" applyProtection="1">
      <alignment horizontal="left" vertical="center" wrapText="1"/>
      <protection locked="0"/>
    </xf>
    <xf numFmtId="49" fontId="4" fillId="2" borderId="10" xfId="0" applyNumberFormat="1" applyFont="1" applyFill="1" applyBorder="1" applyAlignment="1" applyProtection="1">
      <alignment horizontal="left" vertical="center" wrapText="1"/>
      <protection locked="0"/>
    </xf>
    <xf numFmtId="49" fontId="4" fillId="8" borderId="13" xfId="0" applyNumberFormat="1" applyFont="1" applyFill="1" applyBorder="1" applyAlignment="1" applyProtection="1">
      <alignment horizontal="left" vertical="center" wrapText="1"/>
      <protection locked="0"/>
    </xf>
    <xf numFmtId="0" fontId="4" fillId="2" borderId="71" xfId="0" applyFont="1" applyFill="1" applyBorder="1" applyAlignment="1" applyProtection="1">
      <alignment horizontal="left" vertical="top" wrapText="1"/>
      <protection locked="0"/>
    </xf>
    <xf numFmtId="0" fontId="4" fillId="2" borderId="4" xfId="0" applyFont="1" applyFill="1" applyBorder="1" applyAlignment="1" applyProtection="1">
      <alignment horizontal="left" vertical="top" wrapText="1"/>
      <protection locked="0"/>
    </xf>
    <xf numFmtId="0" fontId="4" fillId="2" borderId="72" xfId="0" applyFont="1" applyFill="1" applyBorder="1" applyAlignment="1" applyProtection="1">
      <alignment horizontal="left" vertical="top" wrapText="1"/>
      <protection locked="0"/>
    </xf>
    <xf numFmtId="0" fontId="4" fillId="2" borderId="73" xfId="0" applyFont="1" applyFill="1" applyBorder="1" applyAlignment="1" applyProtection="1">
      <alignment horizontal="left" vertical="top" wrapText="1"/>
      <protection locked="0"/>
    </xf>
    <xf numFmtId="0" fontId="4" fillId="2" borderId="0" xfId="0" applyFont="1" applyFill="1" applyAlignment="1" applyProtection="1">
      <alignment horizontal="left" vertical="top" wrapText="1"/>
      <protection locked="0"/>
    </xf>
    <xf numFmtId="0" fontId="4" fillId="2" borderId="74" xfId="0" applyFont="1" applyFill="1" applyBorder="1" applyAlignment="1" applyProtection="1">
      <alignment horizontal="left" vertical="top" wrapText="1"/>
      <protection locked="0"/>
    </xf>
    <xf numFmtId="0" fontId="4" fillId="2" borderId="75" xfId="0" applyFont="1" applyFill="1" applyBorder="1" applyAlignment="1" applyProtection="1">
      <alignment horizontal="left" vertical="top" wrapText="1"/>
      <protection locked="0"/>
    </xf>
    <xf numFmtId="0" fontId="4" fillId="2" borderId="43" xfId="0" applyFont="1" applyFill="1" applyBorder="1" applyAlignment="1" applyProtection="1">
      <alignment horizontal="left" vertical="top" wrapText="1"/>
      <protection locked="0"/>
    </xf>
    <xf numFmtId="0" fontId="4" fillId="2" borderId="76" xfId="0" applyFont="1" applyFill="1" applyBorder="1" applyAlignment="1" applyProtection="1">
      <alignment horizontal="left" vertical="top" wrapText="1"/>
      <protection locked="0"/>
    </xf>
    <xf numFmtId="0" fontId="1" fillId="2" borderId="16" xfId="0" applyFont="1" applyFill="1" applyBorder="1" applyAlignment="1" applyProtection="1">
      <alignment horizontal="center" vertical="top" wrapText="1"/>
      <protection locked="0"/>
    </xf>
    <xf numFmtId="0" fontId="4" fillId="2" borderId="62" xfId="0" applyFont="1" applyFill="1" applyBorder="1" applyAlignment="1" applyProtection="1">
      <alignment horizontal="left" vertical="top" wrapText="1"/>
      <protection locked="0"/>
    </xf>
    <xf numFmtId="49" fontId="4" fillId="8" borderId="67" xfId="0" applyNumberFormat="1" applyFont="1" applyFill="1" applyBorder="1" applyAlignment="1" applyProtection="1">
      <alignment horizontal="center" vertical="center" wrapText="1"/>
      <protection locked="0"/>
    </xf>
    <xf numFmtId="49" fontId="4" fillId="2" borderId="69" xfId="0" applyNumberFormat="1" applyFont="1" applyFill="1" applyBorder="1" applyAlignment="1" applyProtection="1">
      <alignment horizontal="center" vertical="center" wrapText="1"/>
      <protection locked="0"/>
    </xf>
    <xf numFmtId="49" fontId="4" fillId="2" borderId="67" xfId="0" applyNumberFormat="1" applyFont="1" applyFill="1" applyBorder="1" applyAlignment="1" applyProtection="1">
      <alignment horizontal="center" vertical="center" wrapText="1"/>
      <protection locked="0"/>
    </xf>
    <xf numFmtId="0" fontId="10" fillId="26" borderId="46" xfId="0" applyFont="1" applyFill="1" applyBorder="1" applyAlignment="1">
      <alignment horizontal="left" vertical="center" wrapText="1"/>
    </xf>
    <xf numFmtId="49" fontId="4" fillId="2" borderId="65" xfId="0" applyNumberFormat="1" applyFont="1" applyFill="1" applyBorder="1" applyAlignment="1" applyProtection="1">
      <alignment horizontal="center" vertical="center" wrapText="1"/>
      <protection locked="0"/>
    </xf>
    <xf numFmtId="0" fontId="3" fillId="2" borderId="87" xfId="0" applyFont="1" applyFill="1" applyBorder="1" applyAlignment="1" applyProtection="1">
      <alignment horizontal="center" vertical="center" wrapText="1"/>
      <protection locked="0"/>
    </xf>
    <xf numFmtId="0" fontId="3" fillId="2" borderId="82" xfId="0" applyFont="1" applyFill="1" applyBorder="1" applyAlignment="1" applyProtection="1">
      <alignment horizontal="center" vertical="center" wrapText="1"/>
      <protection locked="0"/>
    </xf>
    <xf numFmtId="0" fontId="10" fillId="26" borderId="84" xfId="0" applyFont="1" applyFill="1" applyBorder="1" applyAlignment="1">
      <alignment horizontal="center" vertical="center" wrapText="1"/>
    </xf>
    <xf numFmtId="0" fontId="10" fillId="26" borderId="85" xfId="0" applyFont="1" applyFill="1" applyBorder="1" applyAlignment="1">
      <alignment horizontal="center" vertical="center" wrapText="1"/>
    </xf>
    <xf numFmtId="0" fontId="10" fillId="26" borderId="94" xfId="0" applyFont="1" applyFill="1" applyBorder="1" applyAlignment="1">
      <alignment horizontal="center" vertical="center" wrapText="1"/>
    </xf>
    <xf numFmtId="0" fontId="10" fillId="26" borderId="95" xfId="0" applyFont="1" applyFill="1" applyBorder="1" applyAlignment="1">
      <alignment horizontal="center" vertical="center" wrapText="1"/>
    </xf>
    <xf numFmtId="0" fontId="10" fillId="26" borderId="83" xfId="0" applyFont="1" applyFill="1" applyBorder="1" applyAlignment="1">
      <alignment horizontal="center" vertical="center" wrapText="1"/>
    </xf>
    <xf numFmtId="0" fontId="10" fillId="26" borderId="82" xfId="0" applyFont="1" applyFill="1" applyBorder="1" applyAlignment="1">
      <alignment horizontal="center" vertical="center" wrapText="1"/>
    </xf>
    <xf numFmtId="0" fontId="10" fillId="26" borderId="57" xfId="0" applyFont="1" applyFill="1" applyBorder="1" applyAlignment="1">
      <alignment horizontal="center" vertical="center" wrapText="1"/>
    </xf>
    <xf numFmtId="0" fontId="10" fillId="26" borderId="38" xfId="0" applyFont="1" applyFill="1" applyBorder="1" applyAlignment="1">
      <alignment horizontal="center" vertical="center" wrapText="1"/>
    </xf>
    <xf numFmtId="0" fontId="10" fillId="26" borderId="73" xfId="0" applyFont="1" applyFill="1" applyBorder="1" applyAlignment="1">
      <alignment horizontal="center" vertical="center" wrapText="1"/>
    </xf>
    <xf numFmtId="0" fontId="10" fillId="26" borderId="0" xfId="0" applyFont="1" applyFill="1" applyAlignment="1">
      <alignment horizontal="center" vertical="center" wrapText="1"/>
    </xf>
    <xf numFmtId="0" fontId="10" fillId="26" borderId="60" xfId="0" applyFont="1" applyFill="1" applyBorder="1" applyAlignment="1">
      <alignment horizontal="center" vertical="center" wrapText="1"/>
    </xf>
    <xf numFmtId="0" fontId="10" fillId="26" borderId="6" xfId="0" applyFont="1" applyFill="1" applyBorder="1" applyAlignment="1">
      <alignment horizontal="center" vertical="center" wrapText="1"/>
    </xf>
    <xf numFmtId="0" fontId="8" fillId="26" borderId="92" xfId="0" applyFont="1" applyFill="1" applyBorder="1" applyAlignment="1">
      <alignment horizontal="center" vertical="center" wrapText="1"/>
    </xf>
    <xf numFmtId="0" fontId="1" fillId="2" borderId="90" xfId="0" applyFont="1" applyFill="1" applyBorder="1" applyAlignment="1" applyProtection="1">
      <alignment horizontal="center" vertical="center" wrapText="1"/>
      <protection locked="0"/>
    </xf>
    <xf numFmtId="0" fontId="1" fillId="2" borderId="81" xfId="0" applyFont="1" applyFill="1" applyBorder="1" applyAlignment="1" applyProtection="1">
      <alignment horizontal="center" vertical="center" wrapText="1"/>
      <protection locked="0"/>
    </xf>
    <xf numFmtId="0" fontId="1" fillId="2" borderId="87" xfId="0" applyFont="1" applyFill="1" applyBorder="1" applyAlignment="1" applyProtection="1">
      <alignment horizontal="center" vertical="center" wrapText="1"/>
      <protection locked="0"/>
    </xf>
    <xf numFmtId="0" fontId="1" fillId="2" borderId="82" xfId="0" applyFont="1" applyFill="1" applyBorder="1" applyAlignment="1" applyProtection="1">
      <alignment horizontal="center" vertical="center" wrapText="1"/>
      <protection locked="0"/>
    </xf>
    <xf numFmtId="0" fontId="10" fillId="26" borderId="35" xfId="0" applyFont="1" applyFill="1" applyBorder="1" applyAlignment="1">
      <alignment horizontal="center" vertical="center" wrapText="1"/>
    </xf>
    <xf numFmtId="0" fontId="10" fillId="26" borderId="36" xfId="0" applyFont="1" applyFill="1" applyBorder="1" applyAlignment="1">
      <alignment horizontal="center" vertical="center" wrapText="1"/>
    </xf>
    <xf numFmtId="0" fontId="4" fillId="2" borderId="85" xfId="0" applyFont="1" applyFill="1" applyBorder="1" applyAlignment="1" applyProtection="1">
      <alignment horizontal="left" vertical="top" wrapText="1"/>
      <protection locked="0"/>
    </xf>
    <xf numFmtId="0" fontId="4" fillId="2" borderId="86" xfId="0" applyFont="1" applyFill="1" applyBorder="1" applyAlignment="1" applyProtection="1">
      <alignment horizontal="left" vertical="top" wrapText="1"/>
      <protection locked="0"/>
    </xf>
    <xf numFmtId="0" fontId="4" fillId="2" borderId="83" xfId="0" applyFont="1" applyFill="1" applyBorder="1" applyAlignment="1" applyProtection="1">
      <alignment horizontal="left" vertical="top" wrapText="1"/>
      <protection locked="0"/>
    </xf>
    <xf numFmtId="0" fontId="4" fillId="2" borderId="88" xfId="0" applyFont="1" applyFill="1" applyBorder="1" applyAlignment="1" applyProtection="1">
      <alignment horizontal="left" vertical="top" wrapText="1"/>
      <protection locked="0"/>
    </xf>
    <xf numFmtId="0" fontId="4" fillId="2" borderId="82" xfId="0" applyFont="1" applyFill="1" applyBorder="1" applyAlignment="1" applyProtection="1">
      <alignment horizontal="left" vertical="top" wrapText="1"/>
      <protection locked="0"/>
    </xf>
    <xf numFmtId="0" fontId="4" fillId="2" borderId="89" xfId="0" applyFont="1" applyFill="1" applyBorder="1" applyAlignment="1" applyProtection="1">
      <alignment horizontal="left" vertical="top" wrapText="1"/>
      <protection locked="0"/>
    </xf>
    <xf numFmtId="49" fontId="8" fillId="26" borderId="17" xfId="0" applyNumberFormat="1" applyFont="1" applyFill="1" applyBorder="1" applyAlignment="1">
      <alignment horizontal="center" vertical="center"/>
    </xf>
    <xf numFmtId="49" fontId="8" fillId="26" borderId="0" xfId="0" applyNumberFormat="1" applyFont="1" applyFill="1" applyAlignment="1">
      <alignment horizontal="center" vertical="center"/>
    </xf>
    <xf numFmtId="49" fontId="16" fillId="2" borderId="0" xfId="0" applyNumberFormat="1" applyFont="1" applyFill="1" applyAlignment="1">
      <alignment horizontal="left" vertical="center" wrapText="1"/>
    </xf>
    <xf numFmtId="165" fontId="49" fillId="10" borderId="5" xfId="0" applyNumberFormat="1" applyFont="1" applyFill="1" applyBorder="1" applyAlignment="1">
      <alignment horizontal="center" vertical="center" wrapText="1"/>
    </xf>
    <xf numFmtId="165" fontId="49" fillId="10" borderId="6" xfId="0" applyNumberFormat="1" applyFont="1" applyFill="1" applyBorder="1" applyAlignment="1">
      <alignment horizontal="center" vertical="center" wrapText="1"/>
    </xf>
    <xf numFmtId="165" fontId="49" fillId="10" borderId="7" xfId="0" applyNumberFormat="1" applyFont="1" applyFill="1" applyBorder="1" applyAlignment="1">
      <alignment horizontal="center" vertical="center" wrapText="1"/>
    </xf>
    <xf numFmtId="0" fontId="33" fillId="34" borderId="99" xfId="0" applyFont="1" applyFill="1" applyBorder="1" applyAlignment="1">
      <alignment horizontal="right" vertical="center"/>
    </xf>
    <xf numFmtId="0" fontId="33" fillId="34" borderId="100" xfId="0" applyFont="1" applyFill="1" applyBorder="1" applyAlignment="1">
      <alignment horizontal="right" vertical="center"/>
    </xf>
    <xf numFmtId="0" fontId="33" fillId="10" borderId="1" xfId="0" applyFont="1" applyFill="1" applyBorder="1" applyAlignment="1">
      <alignment horizontal="center" vertical="center" wrapText="1"/>
    </xf>
    <xf numFmtId="0" fontId="43" fillId="18" borderId="93" xfId="0" applyFont="1" applyFill="1" applyBorder="1" applyAlignment="1">
      <alignment horizontal="right" vertical="center" textRotation="90" wrapText="1"/>
    </xf>
    <xf numFmtId="0" fontId="43" fillId="18" borderId="5" xfId="0" applyFont="1" applyFill="1" applyBorder="1" applyAlignment="1">
      <alignment horizontal="right" vertical="center" textRotation="90" wrapText="1"/>
    </xf>
    <xf numFmtId="0" fontId="43" fillId="18" borderId="101" xfId="0" applyFont="1" applyFill="1" applyBorder="1" applyAlignment="1">
      <alignment horizontal="left" vertical="center" wrapText="1"/>
    </xf>
    <xf numFmtId="0" fontId="43" fillId="18" borderId="4" xfId="0" applyFont="1" applyFill="1" applyBorder="1" applyAlignment="1">
      <alignment horizontal="left" vertical="center" wrapText="1"/>
    </xf>
    <xf numFmtId="0" fontId="43" fillId="18" borderId="103" xfId="0" applyFont="1" applyFill="1" applyBorder="1" applyAlignment="1">
      <alignment horizontal="left" vertical="center" wrapText="1"/>
    </xf>
    <xf numFmtId="0" fontId="41" fillId="18" borderId="93" xfId="0" applyFont="1" applyFill="1" applyBorder="1" applyAlignment="1">
      <alignment horizontal="left" vertical="top" wrapText="1"/>
    </xf>
    <xf numFmtId="0" fontId="41" fillId="18" borderId="0" xfId="0" applyFont="1" applyFill="1" applyAlignment="1">
      <alignment horizontal="left" vertical="top" wrapText="1"/>
    </xf>
    <xf numFmtId="0" fontId="41" fillId="18" borderId="92" xfId="0" applyFont="1" applyFill="1" applyBorder="1" applyAlignment="1">
      <alignment horizontal="left" vertical="top" wrapText="1"/>
    </xf>
    <xf numFmtId="0" fontId="41" fillId="18" borderId="5" xfId="0" applyFont="1" applyFill="1" applyBorder="1" applyAlignment="1">
      <alignment horizontal="left" vertical="top" wrapText="1"/>
    </xf>
    <xf numFmtId="0" fontId="41" fillId="18" borderId="6" xfId="0" applyFont="1" applyFill="1" applyBorder="1" applyAlignment="1">
      <alignment horizontal="left" vertical="top" wrapText="1"/>
    </xf>
    <xf numFmtId="0" fontId="41" fillId="18" borderId="7" xfId="0" applyFont="1" applyFill="1" applyBorder="1" applyAlignment="1">
      <alignment horizontal="left" vertical="top" wrapText="1"/>
    </xf>
    <xf numFmtId="0" fontId="33" fillId="4" borderId="0" xfId="0" applyFont="1" applyFill="1" applyAlignment="1">
      <alignment horizontal="center" vertical="center" wrapText="1"/>
    </xf>
    <xf numFmtId="0" fontId="32" fillId="32" borderId="0" xfId="0" applyFont="1" applyFill="1" applyAlignment="1">
      <alignment horizontal="left" vertical="center" wrapText="1"/>
    </xf>
    <xf numFmtId="0" fontId="48" fillId="23" borderId="101" xfId="0" applyFont="1" applyFill="1" applyBorder="1" applyAlignment="1">
      <alignment horizontal="left" vertical="center" wrapText="1"/>
    </xf>
    <xf numFmtId="0" fontId="48" fillId="23" borderId="4" xfId="0" applyFont="1" applyFill="1" applyBorder="1" applyAlignment="1">
      <alignment horizontal="left" vertical="center" wrapText="1"/>
    </xf>
    <xf numFmtId="0" fontId="48" fillId="23" borderId="103" xfId="0" applyFont="1" applyFill="1" applyBorder="1" applyAlignment="1">
      <alignment horizontal="left" vertical="center" wrapText="1"/>
    </xf>
    <xf numFmtId="0" fontId="41" fillId="23" borderId="93" xfId="0" applyFont="1" applyFill="1" applyBorder="1" applyAlignment="1">
      <alignment horizontal="left" vertical="top" wrapText="1"/>
    </xf>
    <xf numFmtId="0" fontId="41" fillId="23" borderId="0" xfId="0" applyFont="1" applyFill="1" applyAlignment="1">
      <alignment horizontal="left" vertical="top" wrapText="1"/>
    </xf>
    <xf numFmtId="0" fontId="41" fillId="23" borderId="92" xfId="0" applyFont="1" applyFill="1" applyBorder="1" applyAlignment="1">
      <alignment horizontal="left" vertical="top" wrapText="1"/>
    </xf>
    <xf numFmtId="0" fontId="41" fillId="23" borderId="5" xfId="0" applyFont="1" applyFill="1" applyBorder="1" applyAlignment="1">
      <alignment horizontal="left" vertical="top" wrapText="1"/>
    </xf>
    <xf numFmtId="0" fontId="41" fillId="23" borderId="6" xfId="0" applyFont="1" applyFill="1" applyBorder="1" applyAlignment="1">
      <alignment horizontal="left" vertical="top" wrapText="1"/>
    </xf>
    <xf numFmtId="0" fontId="41" fillId="23" borderId="7" xfId="0" applyFont="1" applyFill="1" applyBorder="1" applyAlignment="1">
      <alignment horizontal="left" vertical="top" wrapText="1"/>
    </xf>
    <xf numFmtId="0" fontId="33" fillId="33" borderId="99" xfId="0" applyFont="1" applyFill="1" applyBorder="1" applyAlignment="1">
      <alignment horizontal="right" vertical="center"/>
    </xf>
    <xf numFmtId="0" fontId="33" fillId="33" borderId="100" xfId="0" applyFont="1" applyFill="1" applyBorder="1" applyAlignment="1">
      <alignment horizontal="right" vertical="center"/>
    </xf>
    <xf numFmtId="0" fontId="48" fillId="23" borderId="93" xfId="0" applyFont="1" applyFill="1" applyBorder="1" applyAlignment="1">
      <alignment horizontal="right" vertical="center" textRotation="90" wrapText="1"/>
    </xf>
    <xf numFmtId="0" fontId="48" fillId="23" borderId="5" xfId="0" applyFont="1" applyFill="1" applyBorder="1" applyAlignment="1">
      <alignment horizontal="right" vertical="center" textRotation="90" wrapText="1"/>
    </xf>
    <xf numFmtId="0" fontId="15" fillId="4" borderId="28" xfId="0" applyFont="1" applyFill="1" applyBorder="1" applyAlignment="1">
      <alignment horizontal="right" vertical="center" wrapText="1"/>
    </xf>
    <xf numFmtId="0" fontId="15" fillId="4" borderId="29" xfId="0" applyFont="1" applyFill="1" applyBorder="1" applyAlignment="1">
      <alignment horizontal="right" vertical="center" wrapText="1"/>
    </xf>
    <xf numFmtId="0" fontId="27" fillId="4" borderId="0" xfId="0" applyFont="1" applyFill="1" applyBorder="1" applyAlignment="1">
      <alignment horizontal="left" vertical="center" wrapText="1"/>
    </xf>
    <xf numFmtId="0" fontId="15" fillId="4" borderId="0" xfId="0" applyFont="1" applyFill="1" applyBorder="1" applyAlignment="1">
      <alignment horizontal="left" vertical="center" wrapText="1"/>
    </xf>
    <xf numFmtId="0" fontId="1" fillId="2" borderId="0" xfId="0" applyFont="1" applyFill="1" applyBorder="1" applyAlignment="1">
      <alignment horizontal="left" vertical="center" wrapText="1"/>
    </xf>
    <xf numFmtId="0" fontId="0" fillId="0" borderId="0" xfId="0" applyAlignment="1">
      <alignment horizontal="left" wrapText="1"/>
    </xf>
    <xf numFmtId="0" fontId="4" fillId="3" borderId="0" xfId="0" applyFont="1" applyFill="1" applyAlignment="1">
      <alignment vertical="center" wrapText="1"/>
    </xf>
    <xf numFmtId="165" fontId="4" fillId="31" borderId="97" xfId="0" applyNumberFormat="1" applyFont="1" applyFill="1" applyBorder="1" applyAlignment="1">
      <alignment horizontal="left" vertical="center" wrapText="1"/>
    </xf>
    <xf numFmtId="0" fontId="52" fillId="31" borderId="115" xfId="0" applyFont="1" applyFill="1" applyBorder="1" applyAlignment="1">
      <alignment horizontal="center" vertical="center" wrapText="1"/>
    </xf>
    <xf numFmtId="1" fontId="24" fillId="31" borderId="9" xfId="0" applyNumberFormat="1" applyFont="1" applyFill="1" applyBorder="1" applyAlignment="1">
      <alignment horizontal="center" vertical="center" wrapText="1"/>
    </xf>
    <xf numFmtId="1" fontId="24" fillId="31" borderId="9" xfId="0" applyNumberFormat="1" applyFont="1" applyFill="1" applyBorder="1" applyAlignment="1">
      <alignment vertical="center" wrapText="1"/>
    </xf>
    <xf numFmtId="1" fontId="4" fillId="31" borderId="9" xfId="0" applyNumberFormat="1" applyFont="1" applyFill="1" applyBorder="1" applyAlignment="1">
      <alignment horizontal="left" vertical="center" wrapText="1"/>
    </xf>
    <xf numFmtId="0" fontId="4" fillId="31" borderId="0" xfId="0" applyFont="1" applyFill="1" applyAlignment="1">
      <alignment vertical="center"/>
    </xf>
    <xf numFmtId="1" fontId="24" fillId="0" borderId="9" xfId="0" applyNumberFormat="1" applyFont="1" applyFill="1" applyBorder="1" applyAlignment="1">
      <alignment horizontal="center" vertical="center" wrapText="1"/>
    </xf>
    <xf numFmtId="1" fontId="24" fillId="0" borderId="9" xfId="0" applyNumberFormat="1" applyFont="1" applyFill="1" applyBorder="1" applyAlignment="1">
      <alignment vertical="center" wrapText="1"/>
    </xf>
    <xf numFmtId="1" fontId="4" fillId="0" borderId="9" xfId="0" applyNumberFormat="1" applyFont="1" applyFill="1" applyBorder="1" applyAlignment="1">
      <alignment horizontal="left" vertical="center" wrapText="1"/>
    </xf>
  </cellXfs>
  <cellStyles count="2">
    <cellStyle name="Hipervínculo" xfId="1" builtinId="8"/>
    <cellStyle name="Normal" xfId="0" builtinId="0"/>
  </cellStyles>
  <dxfs count="219">
    <dxf>
      <font>
        <b/>
        <i val="0"/>
        <color rgb="FF0000CC"/>
      </font>
    </dxf>
    <dxf>
      <font>
        <b/>
        <i val="0"/>
        <color rgb="FF0000CC"/>
      </font>
    </dxf>
    <dxf>
      <font>
        <b/>
        <i val="0"/>
        <color rgb="FF0000CC"/>
      </font>
    </dxf>
    <dxf>
      <font>
        <b/>
        <i val="0"/>
        <color rgb="FF0000CC"/>
      </font>
    </dxf>
    <dxf>
      <fill>
        <patternFill>
          <bgColor rgb="FF66FF66"/>
        </patternFill>
      </fill>
    </dxf>
    <dxf>
      <font>
        <color theme="0"/>
      </font>
      <fill>
        <patternFill>
          <bgColor rgb="FFFF0000"/>
        </patternFill>
      </fill>
    </dxf>
    <dxf>
      <fill>
        <patternFill>
          <bgColor theme="4" tint="0.59996337778862885"/>
        </patternFill>
      </fill>
    </dxf>
    <dxf>
      <font>
        <color theme="1"/>
      </font>
      <fill>
        <patternFill patternType="none">
          <bgColor auto="1"/>
        </patternFill>
      </fill>
    </dxf>
    <dxf>
      <font>
        <b/>
        <i val="0"/>
        <color rgb="FF0000CC"/>
      </font>
    </dxf>
    <dxf>
      <font>
        <b/>
        <i val="0"/>
        <color rgb="FF0000CC"/>
      </font>
    </dxf>
    <dxf>
      <font>
        <b/>
        <i val="0"/>
        <color rgb="FF0000CC"/>
      </font>
    </dxf>
    <dxf>
      <font>
        <b/>
        <i val="0"/>
        <color rgb="FF0000CC"/>
      </font>
    </dxf>
    <dxf>
      <font>
        <b/>
        <i val="0"/>
        <color rgb="FF0000CC"/>
      </font>
    </dxf>
    <dxf>
      <font>
        <b/>
        <i val="0"/>
        <color rgb="FF0000CC"/>
      </font>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b/>
        <i val="0"/>
        <color rgb="FF0000CC"/>
      </font>
    </dxf>
    <dxf>
      <font>
        <b/>
        <i val="0"/>
        <color rgb="FF0000CC"/>
      </font>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rgb="FF66FF66"/>
        </patternFill>
      </fill>
    </dxf>
    <dxf>
      <font>
        <color theme="0"/>
      </font>
      <fill>
        <patternFill>
          <bgColor rgb="FFFF0000"/>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rgb="FF66FF66"/>
        </patternFill>
      </fill>
    </dxf>
    <dxf>
      <font>
        <color theme="0"/>
      </font>
      <fill>
        <patternFill>
          <bgColor rgb="FFFF0000"/>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rgb="FF66FF66"/>
        </patternFill>
      </fill>
    </dxf>
    <dxf>
      <font>
        <color theme="0"/>
      </font>
      <fill>
        <patternFill>
          <bgColor rgb="FFFF0000"/>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rgb="FF66FF66"/>
        </patternFill>
      </fill>
    </dxf>
    <dxf>
      <font>
        <color theme="0"/>
      </font>
      <fill>
        <patternFill>
          <bgColor rgb="FFFF0000"/>
        </patternFill>
      </fill>
    </dxf>
    <dxf>
      <fill>
        <patternFill>
          <bgColor rgb="FF66FF66"/>
        </patternFill>
      </fill>
    </dxf>
    <dxf>
      <font>
        <color theme="0"/>
      </font>
      <fill>
        <patternFill>
          <bgColor rgb="FFFF0000"/>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bgColor theme="4" tint="0.59996337778862885"/>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bgColor rgb="FFFFFF00"/>
        </patternFill>
      </fill>
    </dxf>
    <dxf>
      <fill>
        <patternFill>
          <bgColor rgb="FF00FF00"/>
        </patternFill>
      </fill>
    </dxf>
    <dxf>
      <font>
        <color theme="1"/>
      </font>
      <fill>
        <patternFill patternType="none">
          <bgColor auto="1"/>
        </patternFill>
      </fill>
    </dxf>
    <dxf>
      <font>
        <color theme="1"/>
      </font>
      <fill>
        <patternFill patternType="none">
          <bgColor auto="1"/>
        </patternFill>
      </fill>
    </dxf>
    <dxf>
      <font>
        <color theme="1"/>
      </font>
      <fill>
        <patternFill>
          <bgColor rgb="FFFFFF00"/>
        </patternFill>
      </fill>
    </dxf>
    <dxf>
      <fill>
        <patternFill>
          <bgColor rgb="FF00FF00"/>
        </patternFill>
      </fill>
    </dxf>
    <dxf>
      <fill>
        <patternFill>
          <bgColor theme="4" tint="0.59996337778862885"/>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b/>
        <i val="0"/>
        <color theme="1"/>
      </font>
      <fill>
        <patternFill>
          <bgColor theme="9" tint="0.59996337778862885"/>
        </patternFill>
      </fill>
    </dxf>
    <dxf>
      <font>
        <b/>
        <i val="0"/>
        <color theme="1"/>
      </font>
      <fill>
        <patternFill>
          <bgColor rgb="FFFFCC99"/>
        </patternFill>
      </fill>
    </dxf>
    <dxf>
      <font>
        <b/>
        <i val="0"/>
        <color theme="1"/>
      </font>
      <fill>
        <patternFill>
          <bgColor rgb="FFFFFF99"/>
        </patternFill>
      </fill>
    </dxf>
    <dxf>
      <font>
        <b/>
        <i val="0"/>
        <color theme="1"/>
      </font>
      <fill>
        <patternFill>
          <bgColor theme="9" tint="0.59996337778862885"/>
        </patternFill>
      </fill>
    </dxf>
    <dxf>
      <font>
        <b/>
        <i val="0"/>
        <color theme="1"/>
      </font>
      <fill>
        <patternFill>
          <bgColor rgb="FFFFCC99"/>
        </patternFill>
      </fill>
    </dxf>
    <dxf>
      <font>
        <b/>
        <i val="0"/>
        <color theme="1"/>
      </font>
      <fill>
        <patternFill>
          <bgColor rgb="FFFFFF99"/>
        </patternFill>
      </fill>
    </dxf>
    <dxf>
      <font>
        <b/>
        <i val="0"/>
        <color theme="1"/>
      </font>
      <fill>
        <patternFill>
          <bgColor theme="9" tint="0.59996337778862885"/>
        </patternFill>
      </fill>
    </dxf>
    <dxf>
      <font>
        <b/>
        <i val="0"/>
        <color theme="1"/>
      </font>
      <fill>
        <patternFill>
          <bgColor rgb="FFFFCC99"/>
        </patternFill>
      </fill>
    </dxf>
    <dxf>
      <font>
        <b/>
        <i val="0"/>
        <color theme="1"/>
      </font>
      <fill>
        <patternFill>
          <bgColor rgb="FFFFFF99"/>
        </patternFill>
      </fill>
    </dxf>
    <dxf>
      <font>
        <b/>
        <i val="0"/>
        <color theme="1"/>
      </font>
      <fill>
        <patternFill>
          <bgColor theme="9" tint="0.59996337778862885"/>
        </patternFill>
      </fill>
    </dxf>
    <dxf>
      <font>
        <b/>
        <i val="0"/>
        <color theme="1"/>
      </font>
      <fill>
        <patternFill>
          <bgColor rgb="FFFFCC99"/>
        </patternFill>
      </fill>
    </dxf>
    <dxf>
      <font>
        <b/>
        <i val="0"/>
        <color theme="1"/>
      </font>
      <fill>
        <patternFill>
          <bgColor rgb="FFFFFF99"/>
        </patternFill>
      </fill>
    </dxf>
    <dxf>
      <font>
        <b/>
        <i val="0"/>
        <color theme="1"/>
      </font>
      <fill>
        <patternFill>
          <bgColor theme="9" tint="0.59996337778862885"/>
        </patternFill>
      </fill>
    </dxf>
    <dxf>
      <font>
        <b/>
        <i val="0"/>
        <color theme="1"/>
      </font>
      <fill>
        <patternFill>
          <bgColor rgb="FFFFCC99"/>
        </patternFill>
      </fill>
    </dxf>
    <dxf>
      <font>
        <b/>
        <i val="0"/>
        <color theme="1"/>
      </font>
      <fill>
        <patternFill>
          <bgColor rgb="FFFFFF99"/>
        </patternFill>
      </fill>
    </dxf>
    <dxf>
      <font>
        <b/>
        <i val="0"/>
        <color theme="1"/>
      </font>
      <fill>
        <patternFill>
          <bgColor theme="9" tint="0.59996337778862885"/>
        </patternFill>
      </fill>
    </dxf>
    <dxf>
      <font>
        <b/>
        <i val="0"/>
        <color theme="1"/>
      </font>
      <fill>
        <patternFill>
          <bgColor rgb="FFFFCC99"/>
        </patternFill>
      </fill>
    </dxf>
    <dxf>
      <font>
        <b/>
        <i val="0"/>
        <color theme="1"/>
      </font>
      <fill>
        <patternFill>
          <bgColor rgb="FFFFFF99"/>
        </patternFill>
      </fill>
    </dxf>
    <dxf>
      <font>
        <b/>
        <i val="0"/>
        <color theme="1"/>
      </font>
      <fill>
        <patternFill>
          <bgColor theme="9" tint="0.59996337778862885"/>
        </patternFill>
      </fill>
    </dxf>
    <dxf>
      <font>
        <b/>
        <i val="0"/>
        <color theme="1"/>
      </font>
      <fill>
        <patternFill>
          <bgColor rgb="FFFFCC99"/>
        </patternFill>
      </fill>
    </dxf>
    <dxf>
      <font>
        <b/>
        <i val="0"/>
        <color theme="1"/>
      </font>
      <fill>
        <patternFill>
          <bgColor rgb="FFFFFF99"/>
        </patternFill>
      </fill>
    </dxf>
    <dxf>
      <font>
        <b/>
        <i val="0"/>
        <color theme="1"/>
      </font>
      <fill>
        <patternFill>
          <bgColor theme="9" tint="0.59996337778862885"/>
        </patternFill>
      </fill>
    </dxf>
    <dxf>
      <font>
        <b/>
        <i val="0"/>
        <color theme="1"/>
      </font>
      <fill>
        <patternFill>
          <bgColor rgb="FFFFCC99"/>
        </patternFill>
      </fill>
    </dxf>
    <dxf>
      <font>
        <b/>
        <i val="0"/>
        <color theme="1"/>
      </font>
      <fill>
        <patternFill>
          <bgColor rgb="FFFFFF99"/>
        </patternFill>
      </fill>
    </dxf>
  </dxfs>
  <tableStyles count="0" defaultTableStyle="TableStyleMedium2" defaultPivotStyle="PivotStyleLight16"/>
  <colors>
    <mruColors>
      <color rgb="FF0000CC"/>
      <color rgb="FF800000"/>
      <color rgb="FF00FF00"/>
      <color rgb="FF005790"/>
      <color rgb="FF0000FF"/>
      <color rgb="FFFFFF99"/>
      <color rgb="FFFFCC99"/>
      <color rgb="FF00CC00"/>
      <color rgb="FF006600"/>
      <color rgb="FF006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9165</xdr:rowOff>
    </xdr:from>
    <xdr:to>
      <xdr:col>32</xdr:col>
      <xdr:colOff>9525</xdr:colOff>
      <xdr:row>8</xdr:row>
      <xdr:rowOff>38101</xdr:rowOff>
    </xdr:to>
    <xdr:grpSp>
      <xdr:nvGrpSpPr>
        <xdr:cNvPr id="12" name="Grupo 11">
          <a:extLst>
            <a:ext uri="{FF2B5EF4-FFF2-40B4-BE49-F238E27FC236}">
              <a16:creationId xmlns:a16="http://schemas.microsoft.com/office/drawing/2014/main" id="{00000000-0008-0000-0000-00000C000000}"/>
            </a:ext>
          </a:extLst>
        </xdr:cNvPr>
        <xdr:cNvGrpSpPr/>
      </xdr:nvGrpSpPr>
      <xdr:grpSpPr>
        <a:xfrm>
          <a:off x="1778000" y="9165"/>
          <a:ext cx="6715125" cy="981436"/>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GESTIÓN DE CALIDAD</a:t>
            </a: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HOJA</a:t>
            </a:r>
            <a:r>
              <a:rPr lang="es-CO" sz="1000" b="1" baseline="0">
                <a:latin typeface="Arial" panose="020B0604020202020204" pitchFamily="34" charset="0"/>
                <a:cs typeface="Arial" panose="020B0604020202020204" pitchFamily="34" charset="0"/>
              </a:rPr>
              <a:t> DE VERIFICACIÓN PARA AUDITORIAS</a:t>
            </a:r>
            <a:endParaRPr lang="es-CO" sz="1000" b="1">
              <a:latin typeface="Arial" panose="020B0604020202020204" pitchFamily="34" charset="0"/>
              <a:cs typeface="Arial" panose="020B0604020202020204" pitchFamily="34" charset="0"/>
            </a:endParaRP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Código: FO-GC-015</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Versión: 10</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Noviembre 2022</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ORD.CALIDAD/OneDrive%20-%20Fundaci&#243;n%20Universitaria%20de%20Popay&#225;n/SGC-FUP/5.%20Evaluaci&#243;n%20del%20Desempe&#241;o/5.4.%20Auditor&#237;a%20Interna/Ciclo%202024/Fase%202/FO-GC-012%20programa%20AI%20FASE%20I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GC-012"/>
      <sheetName val="Seguimiento AIC x Fecha"/>
      <sheetName val="Programación x Auditor"/>
      <sheetName val="Seguimiento AIC x Proceso"/>
      <sheetName val="Procesos Vs. Equipos AIC"/>
      <sheetName val="Eq. Auditor"/>
      <sheetName val="Listas Desplegables"/>
    </sheetNames>
    <sheetDataSet>
      <sheetData sheetId="0"/>
      <sheetData sheetId="1"/>
      <sheetData sheetId="2">
        <row r="2">
          <cell r="D2" t="str">
            <v>Principal / Asistente</v>
          </cell>
        </row>
        <row r="3">
          <cell r="C3" t="str">
            <v>Auditor Convocado</v>
          </cell>
          <cell r="D3" t="str">
            <v>Prin</v>
          </cell>
          <cell r="E3" t="str">
            <v>Asis</v>
          </cell>
        </row>
        <row r="4">
          <cell r="C4" t="str">
            <v>*Aida Marcela Correa Benavides</v>
          </cell>
          <cell r="D4">
            <v>1</v>
          </cell>
          <cell r="E4">
            <v>0</v>
          </cell>
        </row>
        <row r="5">
          <cell r="C5" t="str">
            <v>Alex Fabián Rivera Muñoz</v>
          </cell>
          <cell r="D5">
            <v>0</v>
          </cell>
          <cell r="E5">
            <v>0</v>
          </cell>
        </row>
        <row r="6">
          <cell r="C6" t="str">
            <v>Alexander Luna Nieto</v>
          </cell>
          <cell r="D6">
            <v>0</v>
          </cell>
          <cell r="E6">
            <v>0</v>
          </cell>
        </row>
        <row r="7">
          <cell r="C7" t="str">
            <v>Ana Baos</v>
          </cell>
          <cell r="D7">
            <v>0</v>
          </cell>
          <cell r="E7">
            <v>0</v>
          </cell>
        </row>
        <row r="8">
          <cell r="C8" t="str">
            <v>Andrea Karina Ballagan Estrada</v>
          </cell>
          <cell r="D8">
            <v>0</v>
          </cell>
          <cell r="E8">
            <v>1</v>
          </cell>
        </row>
        <row r="9">
          <cell r="C9" t="str">
            <v>*Carlos Andrés Durán Enríquez</v>
          </cell>
          <cell r="D9">
            <v>1</v>
          </cell>
          <cell r="E9">
            <v>0</v>
          </cell>
        </row>
        <row r="10">
          <cell r="C10" t="str">
            <v>*Carlos Fernando Mina Zape</v>
          </cell>
          <cell r="D10">
            <v>1</v>
          </cell>
          <cell r="E10">
            <v>0</v>
          </cell>
        </row>
        <row r="11">
          <cell r="C11" t="str">
            <v>*Clara Eugenia Satizábal Serna</v>
          </cell>
          <cell r="D11">
            <v>0</v>
          </cell>
          <cell r="E11">
            <v>0</v>
          </cell>
        </row>
        <row r="12">
          <cell r="C12" t="str">
            <v>*Daisy Ximena Valencia Palomino</v>
          </cell>
          <cell r="D12">
            <v>1</v>
          </cell>
          <cell r="E12">
            <v>0</v>
          </cell>
        </row>
        <row r="13">
          <cell r="C13" t="str">
            <v>*Daniel Andres Feriz Garcia</v>
          </cell>
          <cell r="D13">
            <v>1</v>
          </cell>
          <cell r="E13">
            <v>0</v>
          </cell>
        </row>
        <row r="14">
          <cell r="C14" t="str">
            <v xml:space="preserve">*Depsi Johana Córdoba Mompotes </v>
          </cell>
          <cell r="D14">
            <v>1</v>
          </cell>
          <cell r="E14">
            <v>0</v>
          </cell>
        </row>
        <row r="15">
          <cell r="C15" t="str">
            <v>*Diego Fabian Bolaños Sarria</v>
          </cell>
          <cell r="D15">
            <v>1</v>
          </cell>
          <cell r="E15">
            <v>0</v>
          </cell>
        </row>
        <row r="16">
          <cell r="C16" t="str">
            <v>Gabriela Andrea Rivera Macias</v>
          </cell>
          <cell r="D16">
            <v>0</v>
          </cell>
          <cell r="E16">
            <v>0</v>
          </cell>
        </row>
        <row r="17">
          <cell r="C17" t="str">
            <v>Jaime Vente Garcés</v>
          </cell>
          <cell r="D17">
            <v>0</v>
          </cell>
          <cell r="E17">
            <v>1</v>
          </cell>
        </row>
        <row r="18">
          <cell r="C18" t="str">
            <v>José Fernando Ruíz López</v>
          </cell>
          <cell r="D18">
            <v>0</v>
          </cell>
          <cell r="E18">
            <v>1</v>
          </cell>
        </row>
        <row r="19">
          <cell r="C19" t="str">
            <v>*Juan David Cortés León</v>
          </cell>
          <cell r="D19">
            <v>1</v>
          </cell>
          <cell r="E19">
            <v>0</v>
          </cell>
        </row>
        <row r="20">
          <cell r="C20" t="str">
            <v>*Julian Camilo Ortega Gomez</v>
          </cell>
          <cell r="D20">
            <v>1</v>
          </cell>
          <cell r="E20">
            <v>0</v>
          </cell>
        </row>
        <row r="21">
          <cell r="C21" t="str">
            <v>*Julio Cesar Garcia Buitron</v>
          </cell>
          <cell r="D21">
            <v>0</v>
          </cell>
          <cell r="E21">
            <v>0</v>
          </cell>
        </row>
        <row r="22">
          <cell r="C22" t="str">
            <v>Karen Jisset Zuñiga Ramos</v>
          </cell>
          <cell r="D22">
            <v>0</v>
          </cell>
          <cell r="E22">
            <v>0</v>
          </cell>
        </row>
        <row r="23">
          <cell r="C23" t="str">
            <v>*Karen Viviana Quiñones Mosquera</v>
          </cell>
          <cell r="D23">
            <v>1</v>
          </cell>
          <cell r="E23">
            <v>1</v>
          </cell>
        </row>
        <row r="24">
          <cell r="C24" t="str">
            <v>*Kener Mauricio Quina Velarde</v>
          </cell>
          <cell r="D24">
            <v>1</v>
          </cell>
          <cell r="E24">
            <v>0</v>
          </cell>
        </row>
        <row r="25">
          <cell r="C25" t="str">
            <v>Laura María Orozco García</v>
          </cell>
          <cell r="D25">
            <v>0</v>
          </cell>
          <cell r="E25">
            <v>0</v>
          </cell>
        </row>
        <row r="26">
          <cell r="C26" t="str">
            <v>*Liliana Erazo</v>
          </cell>
          <cell r="D26">
            <v>0</v>
          </cell>
          <cell r="E26">
            <v>1</v>
          </cell>
        </row>
        <row r="27">
          <cell r="C27" t="str">
            <v>Martha Lucia Bolaños Imbachi</v>
          </cell>
          <cell r="D27">
            <v>0</v>
          </cell>
          <cell r="E27">
            <v>0</v>
          </cell>
        </row>
        <row r="28">
          <cell r="C28" t="str">
            <v>Miguel Dario Calvachy</v>
          </cell>
          <cell r="D28">
            <v>0</v>
          </cell>
          <cell r="E28">
            <v>0</v>
          </cell>
        </row>
        <row r="29">
          <cell r="C29" t="str">
            <v>Natalia Córdoba Claros</v>
          </cell>
          <cell r="D29">
            <v>0</v>
          </cell>
          <cell r="E29">
            <v>1</v>
          </cell>
        </row>
        <row r="30">
          <cell r="C30" t="str">
            <v>*Neiby Alejandra López Montenegro</v>
          </cell>
          <cell r="D30">
            <v>0</v>
          </cell>
          <cell r="E30">
            <v>1</v>
          </cell>
        </row>
        <row r="31">
          <cell r="C31" t="str">
            <v>*Omar Andrés Acosta Caicedo</v>
          </cell>
          <cell r="D31">
            <v>1</v>
          </cell>
          <cell r="E31">
            <v>0</v>
          </cell>
        </row>
        <row r="32">
          <cell r="C32" t="str">
            <v>Oscar Eduardo Torres Fernandez</v>
          </cell>
          <cell r="D32">
            <v>0</v>
          </cell>
          <cell r="E32">
            <v>1</v>
          </cell>
        </row>
        <row r="33">
          <cell r="C33" t="str">
            <v>Sandra Johanna Pinzón Hermosa</v>
          </cell>
          <cell r="D33">
            <v>0</v>
          </cell>
          <cell r="E33">
            <v>0</v>
          </cell>
        </row>
        <row r="34">
          <cell r="C34" t="str">
            <v>Tatiana Mejia Rondon</v>
          </cell>
          <cell r="D34">
            <v>0</v>
          </cell>
          <cell r="E34">
            <v>0</v>
          </cell>
        </row>
        <row r="35">
          <cell r="C35" t="str">
            <v>*Wadys Montilla Ortega</v>
          </cell>
          <cell r="D35">
            <v>1</v>
          </cell>
          <cell r="E35">
            <v>0</v>
          </cell>
        </row>
        <row r="36">
          <cell r="C36" t="str">
            <v>*Yaqueline Rivera López</v>
          </cell>
          <cell r="D36">
            <v>1</v>
          </cell>
          <cell r="E36">
            <v>0</v>
          </cell>
        </row>
        <row r="37">
          <cell r="C37" t="str">
            <v>*Luisa Marcela Toro Medina</v>
          </cell>
          <cell r="D37">
            <v>0</v>
          </cell>
          <cell r="E37">
            <v>1</v>
          </cell>
        </row>
        <row r="38">
          <cell r="C38" t="str">
            <v>Nora Fernanda Arciniegas Sanchez</v>
          </cell>
          <cell r="D38">
            <v>0</v>
          </cell>
          <cell r="E38">
            <v>1</v>
          </cell>
        </row>
        <row r="39">
          <cell r="C39" t="str">
            <v>Diana Carolina Vasquez Zambrano</v>
          </cell>
          <cell r="D39">
            <v>1</v>
          </cell>
          <cell r="E39">
            <v>0</v>
          </cell>
        </row>
        <row r="40">
          <cell r="C40" t="str">
            <v>Yudi Andrea Acalo Higon</v>
          </cell>
          <cell r="D40">
            <v>0</v>
          </cell>
          <cell r="E40">
            <v>1</v>
          </cell>
        </row>
        <row r="41">
          <cell r="C41" t="str">
            <v>Jorge Eduardo Rengifo Lozada</v>
          </cell>
          <cell r="D41">
            <v>0</v>
          </cell>
          <cell r="E41">
            <v>0</v>
          </cell>
        </row>
        <row r="42">
          <cell r="C42" t="str">
            <v xml:space="preserve"> Arnol Arias Hoyos </v>
          </cell>
          <cell r="D42">
            <v>0</v>
          </cell>
          <cell r="E42">
            <v>1</v>
          </cell>
        </row>
        <row r="43">
          <cell r="C43" t="str">
            <v>Cristian Libardo Idrobo Posada</v>
          </cell>
          <cell r="D43">
            <v>0</v>
          </cell>
          <cell r="E43">
            <v>1</v>
          </cell>
        </row>
        <row r="44">
          <cell r="C44" t="str">
            <v>Sergio Andrés Lozano Niño</v>
          </cell>
          <cell r="D44">
            <v>3</v>
          </cell>
          <cell r="E44">
            <v>1</v>
          </cell>
        </row>
        <row r="45">
          <cell r="C45" t="str">
            <v xml:space="preserve">Lina Fernanda Gutiérrez Montoya   </v>
          </cell>
          <cell r="D45">
            <v>0</v>
          </cell>
          <cell r="E45">
            <v>0</v>
          </cell>
        </row>
        <row r="46">
          <cell r="C46" t="str">
            <v>Fabian Felipe Mera Hurtado</v>
          </cell>
          <cell r="D46">
            <v>0</v>
          </cell>
          <cell r="E46">
            <v>1</v>
          </cell>
        </row>
        <row r="47">
          <cell r="C47" t="str">
            <v xml:space="preserve">Yeni Fernanda Castrillón Sánchez </v>
          </cell>
          <cell r="D47">
            <v>0</v>
          </cell>
          <cell r="E47">
            <v>0</v>
          </cell>
        </row>
        <row r="48">
          <cell r="C48" t="str">
            <v xml:space="preserve">Diego Fernando Ordoñez Trullo   </v>
          </cell>
          <cell r="D48">
            <v>0</v>
          </cell>
          <cell r="E48">
            <v>0</v>
          </cell>
        </row>
        <row r="49">
          <cell r="C49" t="str">
            <v xml:space="preserve">Angela Milena Velásquez Vargas      </v>
          </cell>
          <cell r="D49">
            <v>0</v>
          </cell>
          <cell r="E49">
            <v>0</v>
          </cell>
        </row>
        <row r="50">
          <cell r="C50" t="str">
            <v xml:space="preserve">Julieth Alexandra Chacón Paja
</v>
          </cell>
          <cell r="D50">
            <v>0</v>
          </cell>
          <cell r="E50">
            <v>0</v>
          </cell>
        </row>
        <row r="51">
          <cell r="C51" t="str">
            <v>Laura Maria Olarte Zuñiga</v>
          </cell>
          <cell r="D51">
            <v>0</v>
          </cell>
          <cell r="E51">
            <v>0</v>
          </cell>
        </row>
        <row r="52">
          <cell r="C52" t="str">
            <v>Lucy Marlady Lopez Perez</v>
          </cell>
          <cell r="D52">
            <v>0</v>
          </cell>
          <cell r="E52">
            <v>0</v>
          </cell>
        </row>
        <row r="53">
          <cell r="C53" t="str">
            <v>Maria Camila Toro Gonzalez</v>
          </cell>
          <cell r="D53">
            <v>1</v>
          </cell>
          <cell r="E53">
            <v>3</v>
          </cell>
        </row>
        <row r="54">
          <cell r="C54" t="str">
            <v>Juan Manuel Prado Quintero</v>
          </cell>
          <cell r="D54">
            <v>0</v>
          </cell>
          <cell r="E54">
            <v>0</v>
          </cell>
        </row>
        <row r="55">
          <cell r="C55" t="str">
            <v>Nathalia Vanessa Hurtado Sanchez</v>
          </cell>
          <cell r="D55">
            <v>0</v>
          </cell>
          <cell r="E55">
            <v>1</v>
          </cell>
        </row>
        <row r="56">
          <cell r="C56" t="str">
            <v>Laura Melissa Muñoz Burbano</v>
          </cell>
          <cell r="D56">
            <v>0</v>
          </cell>
          <cell r="E56">
            <v>0</v>
          </cell>
        </row>
        <row r="57">
          <cell r="C57">
            <v>0</v>
          </cell>
          <cell r="D57">
            <v>0</v>
          </cell>
          <cell r="E57">
            <v>0</v>
          </cell>
        </row>
      </sheetData>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mailto:auxiliar.grados@fup.edu.co" TargetMode="External"/><Relationship Id="rId13" Type="http://schemas.openxmlformats.org/officeDocument/2006/relationships/hyperlink" Target="mailto:coor.gestiondeinvestigacion@fup.edu.co" TargetMode="External"/><Relationship Id="rId3" Type="http://schemas.openxmlformats.org/officeDocument/2006/relationships/hyperlink" Target="mailto:asistente.posgrados@fup.edu.co" TargetMode="External"/><Relationship Id="rId7" Type="http://schemas.openxmlformats.org/officeDocument/2006/relationships/hyperlink" Target="mailto:auxiliar2.tesoreria@fup.edu.co" TargetMode="External"/><Relationship Id="rId12" Type="http://schemas.openxmlformats.org/officeDocument/2006/relationships/hyperlink" Target="mailto:arquitectura@fup.edu.co" TargetMode="External"/><Relationship Id="rId2" Type="http://schemas.openxmlformats.org/officeDocument/2006/relationships/hyperlink" Target="mailto:auxiliaracademico.tsocial@fup.edu.co" TargetMode="External"/><Relationship Id="rId16" Type="http://schemas.openxmlformats.org/officeDocument/2006/relationships/printerSettings" Target="../printerSettings/printerSettings4.bin"/><Relationship Id="rId1" Type="http://schemas.openxmlformats.org/officeDocument/2006/relationships/hyperlink" Target="mailto:compras@fup.edu.co" TargetMode="External"/><Relationship Id="rId6" Type="http://schemas.openxmlformats.org/officeDocument/2006/relationships/hyperlink" Target="mailto:fernanda.arciniegas@docente.fup.edu.co" TargetMode="External"/><Relationship Id="rId11" Type="http://schemas.openxmlformats.org/officeDocument/2006/relationships/hyperlink" Target="mailto:nathalia.hurtado@docente.fup.edu.co" TargetMode="External"/><Relationship Id="rId5" Type="http://schemas.openxmlformats.org/officeDocument/2006/relationships/hyperlink" Target="mailto:direccion.docencia@fup.edu.co" TargetMode="External"/><Relationship Id="rId15" Type="http://schemas.openxmlformats.org/officeDocument/2006/relationships/hyperlink" Target="mailto:coordinacion.tsocial@fup.edu.co" TargetMode="External"/><Relationship Id="rId10" Type="http://schemas.openxmlformats.org/officeDocument/2006/relationships/hyperlink" Target="mailto:calidad@fup.edu.co" TargetMode="External"/><Relationship Id="rId4" Type="http://schemas.openxmlformats.org/officeDocument/2006/relationships/hyperlink" Target="mailto:industrial@fup.edu.co" TargetMode="External"/><Relationship Id="rId9" Type="http://schemas.openxmlformats.org/officeDocument/2006/relationships/hyperlink" Target="mailto:auxiliar1.contabilidad@fup.edu.co" TargetMode="External"/><Relationship Id="rId14" Type="http://schemas.openxmlformats.org/officeDocument/2006/relationships/hyperlink" Target="mailto:apoyo.leac@fup.edu.co"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00FF"/>
  </sheetPr>
  <dimension ref="A1:BC156"/>
  <sheetViews>
    <sheetView tabSelected="1" topLeftCell="B2" zoomScaleNormal="100" workbookViewId="0">
      <pane ySplit="11" topLeftCell="A13" activePane="bottomLeft" state="frozen"/>
      <selection activeCell="B2" sqref="B2"/>
      <selection pane="bottomLeft" activeCell="AP12" sqref="AP12:BA14"/>
    </sheetView>
  </sheetViews>
  <sheetFormatPr baseColWidth="10" defaultColWidth="8.81640625" defaultRowHeight="12.5" zeroHeight="1" x14ac:dyDescent="0.35"/>
  <cols>
    <col min="1" max="1" width="5.453125" style="235" hidden="1" customWidth="1"/>
    <col min="2" max="2" width="1.453125" style="2" customWidth="1"/>
    <col min="3" max="33" width="4" style="3" customWidth="1"/>
    <col min="34" max="34" width="3" style="3" customWidth="1"/>
    <col min="35" max="35" width="5.26953125" style="3" customWidth="1"/>
    <col min="36" max="36" width="4.453125" style="3" customWidth="1"/>
    <col min="37" max="38" width="4" style="3" customWidth="1"/>
    <col min="39" max="39" width="1.1796875" style="3" customWidth="1"/>
    <col min="40" max="40" width="1" style="4" customWidth="1"/>
    <col min="41" max="41" width="3.81640625" style="239" customWidth="1"/>
    <col min="42" max="44" width="8.81640625" style="240" customWidth="1"/>
    <col min="45" max="45" width="16.7265625" style="240" customWidth="1"/>
    <col min="46" max="49" width="8.81640625" style="240" customWidth="1"/>
    <col min="50" max="53" width="8.81640625" style="241" customWidth="1"/>
    <col min="54" max="54" width="1.81640625" style="10" customWidth="1"/>
    <col min="55" max="55" width="8.81640625" style="10" customWidth="1"/>
    <col min="56" max="69" width="8.81640625" style="4" customWidth="1"/>
    <col min="70" max="16384" width="8.81640625" style="4"/>
  </cols>
  <sheetData>
    <row r="1" spans="1:55" s="232" customFormat="1" ht="6" hidden="1" customHeight="1" x14ac:dyDescent="0.35">
      <c r="A1" s="231">
        <f>COLUMN()</f>
        <v>1</v>
      </c>
      <c r="B1" s="231">
        <f>COLUMN()</f>
        <v>2</v>
      </c>
      <c r="C1" s="231">
        <f>COLUMN()</f>
        <v>3</v>
      </c>
      <c r="D1" s="231">
        <f>COLUMN()</f>
        <v>4</v>
      </c>
      <c r="E1" s="231">
        <f>COLUMN()</f>
        <v>5</v>
      </c>
      <c r="F1" s="231">
        <f>COLUMN()</f>
        <v>6</v>
      </c>
      <c r="G1" s="231">
        <f>COLUMN()</f>
        <v>7</v>
      </c>
      <c r="H1" s="231">
        <f>COLUMN()</f>
        <v>8</v>
      </c>
      <c r="I1" s="231">
        <f>COLUMN()</f>
        <v>9</v>
      </c>
      <c r="J1" s="231">
        <f>COLUMN()</f>
        <v>10</v>
      </c>
      <c r="K1" s="231">
        <f>COLUMN()</f>
        <v>11</v>
      </c>
      <c r="L1" s="231">
        <f>COLUMN()</f>
        <v>12</v>
      </c>
      <c r="M1" s="231">
        <f>COLUMN()</f>
        <v>13</v>
      </c>
      <c r="N1" s="231">
        <f>COLUMN()</f>
        <v>14</v>
      </c>
      <c r="O1" s="231">
        <f>COLUMN()</f>
        <v>15</v>
      </c>
      <c r="P1" s="231">
        <f>COLUMN()</f>
        <v>16</v>
      </c>
      <c r="Q1" s="231">
        <f>COLUMN()</f>
        <v>17</v>
      </c>
      <c r="R1" s="231">
        <f>COLUMN()</f>
        <v>18</v>
      </c>
      <c r="S1" s="231">
        <f>COLUMN()</f>
        <v>19</v>
      </c>
      <c r="T1" s="231">
        <f>COLUMN()</f>
        <v>20</v>
      </c>
      <c r="U1" s="231">
        <f>COLUMN()</f>
        <v>21</v>
      </c>
      <c r="V1" s="231">
        <f>COLUMN()</f>
        <v>22</v>
      </c>
      <c r="W1" s="231">
        <f>COLUMN()</f>
        <v>23</v>
      </c>
      <c r="X1" s="231">
        <f>COLUMN()</f>
        <v>24</v>
      </c>
      <c r="Y1" s="231">
        <f>COLUMN()</f>
        <v>25</v>
      </c>
      <c r="Z1" s="231">
        <f>COLUMN()</f>
        <v>26</v>
      </c>
      <c r="AA1" s="231">
        <f>COLUMN()</f>
        <v>27</v>
      </c>
      <c r="AB1" s="231">
        <f>COLUMN()</f>
        <v>28</v>
      </c>
      <c r="AC1" s="231">
        <f>COLUMN()</f>
        <v>29</v>
      </c>
      <c r="AD1" s="231">
        <f>COLUMN()</f>
        <v>30</v>
      </c>
      <c r="AE1" s="231">
        <f>COLUMN()</f>
        <v>31</v>
      </c>
      <c r="AF1" s="231">
        <f>COLUMN()</f>
        <v>32</v>
      </c>
      <c r="AG1" s="231">
        <f>COLUMN()</f>
        <v>33</v>
      </c>
      <c r="AH1" s="231">
        <f>COLUMN()</f>
        <v>34</v>
      </c>
      <c r="AI1" s="231">
        <f>COLUMN()</f>
        <v>35</v>
      </c>
      <c r="AJ1" s="231">
        <f>COLUMN()</f>
        <v>36</v>
      </c>
      <c r="AK1" s="231">
        <f>COLUMN()</f>
        <v>37</v>
      </c>
      <c r="AL1" s="231">
        <f>COLUMN()</f>
        <v>38</v>
      </c>
      <c r="AM1" s="231"/>
      <c r="AO1" s="237"/>
      <c r="AP1" s="238"/>
      <c r="AQ1" s="238"/>
      <c r="AR1" s="238"/>
      <c r="AS1" s="238"/>
      <c r="AT1" s="238"/>
      <c r="AU1" s="238"/>
      <c r="AV1" s="238"/>
      <c r="AW1" s="238"/>
      <c r="AX1" s="238"/>
      <c r="AY1" s="238"/>
      <c r="AZ1" s="238"/>
      <c r="BA1" s="238"/>
      <c r="BB1" s="233"/>
      <c r="BC1" s="233"/>
    </row>
    <row r="2" spans="1:55" s="161" customFormat="1" ht="7.5" hidden="1" customHeight="1" x14ac:dyDescent="0.35">
      <c r="A2" s="234"/>
      <c r="B2" s="159"/>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O2" s="239"/>
      <c r="AP2" s="240"/>
      <c r="AQ2" s="240"/>
      <c r="AR2" s="240"/>
      <c r="AS2" s="240"/>
      <c r="AT2" s="240"/>
      <c r="AU2" s="240"/>
      <c r="AV2" s="240"/>
      <c r="AW2" s="240"/>
      <c r="AX2" s="241"/>
      <c r="AY2" s="241"/>
      <c r="AZ2" s="241"/>
      <c r="BA2" s="241"/>
      <c r="BB2" s="162"/>
      <c r="BC2" s="162"/>
    </row>
    <row r="3" spans="1:55" x14ac:dyDescent="0.35">
      <c r="I3" s="153" t="s">
        <v>0</v>
      </c>
      <c r="AO3" s="421" t="s">
        <v>1</v>
      </c>
      <c r="AP3" s="421"/>
      <c r="AQ3" s="421"/>
      <c r="AR3" s="421"/>
      <c r="AS3" s="421"/>
      <c r="AT3" s="421"/>
      <c r="AU3" s="421"/>
      <c r="AV3" s="421"/>
      <c r="AW3" s="421"/>
      <c r="AX3" s="421"/>
      <c r="AY3" s="421"/>
      <c r="AZ3" s="421"/>
      <c r="BA3" s="421"/>
    </row>
    <row r="4" spans="1:55" ht="12.75" customHeight="1" x14ac:dyDescent="0.35">
      <c r="AO4" s="154"/>
      <c r="AP4" s="242"/>
      <c r="AQ4" s="242"/>
      <c r="AR4" s="242"/>
      <c r="AS4" s="242"/>
      <c r="AT4" s="242"/>
      <c r="AU4" s="242"/>
      <c r="AV4" s="242"/>
      <c r="AW4" s="242"/>
      <c r="AX4" s="243"/>
      <c r="AY4" s="243"/>
      <c r="AZ4" s="243"/>
      <c r="BA4" s="243"/>
    </row>
    <row r="5" spans="1:55" ht="12.75" customHeight="1" x14ac:dyDescent="0.35">
      <c r="AO5" s="244" t="s">
        <v>2</v>
      </c>
      <c r="AP5" s="376" t="s">
        <v>880</v>
      </c>
      <c r="AQ5" s="376"/>
      <c r="AR5" s="376"/>
      <c r="AS5" s="376"/>
      <c r="AT5" s="376"/>
      <c r="AU5" s="376"/>
      <c r="AV5" s="376"/>
      <c r="AW5" s="376"/>
      <c r="AX5" s="376"/>
      <c r="AY5" s="376"/>
      <c r="AZ5" s="376"/>
      <c r="BA5" s="376"/>
    </row>
    <row r="6" spans="1:55" x14ac:dyDescent="0.35">
      <c r="AO6" s="245" t="s">
        <v>3</v>
      </c>
      <c r="AP6" s="375" t="s">
        <v>4</v>
      </c>
      <c r="AQ6" s="375"/>
      <c r="AR6" s="375"/>
      <c r="AS6" s="375"/>
      <c r="AT6" s="375"/>
      <c r="AU6" s="375"/>
      <c r="AV6" s="375"/>
      <c r="AW6" s="375"/>
      <c r="AX6" s="375"/>
      <c r="AY6" s="375"/>
      <c r="AZ6" s="375"/>
      <c r="BA6" s="375"/>
    </row>
    <row r="7" spans="1:55" x14ac:dyDescent="0.35">
      <c r="AO7" s="244" t="s">
        <v>5</v>
      </c>
      <c r="AP7" s="376" t="s">
        <v>6</v>
      </c>
      <c r="AQ7" s="376"/>
      <c r="AR7" s="376"/>
      <c r="AS7" s="376"/>
      <c r="AT7" s="376"/>
      <c r="AU7" s="376"/>
      <c r="AV7" s="376"/>
      <c r="AW7" s="376"/>
      <c r="AX7" s="376"/>
      <c r="AY7" s="376"/>
      <c r="AZ7" s="376"/>
      <c r="BA7" s="376"/>
    </row>
    <row r="8" spans="1:55" ht="12.75" customHeight="1" x14ac:dyDescent="0.35">
      <c r="AO8" s="246" t="s">
        <v>7</v>
      </c>
      <c r="AP8" s="375" t="s">
        <v>8</v>
      </c>
      <c r="AQ8" s="375"/>
      <c r="AR8" s="375"/>
      <c r="AS8" s="375"/>
      <c r="AT8" s="375"/>
      <c r="AU8" s="375"/>
      <c r="AV8" s="375"/>
      <c r="AW8" s="375"/>
      <c r="AX8" s="375"/>
      <c r="AY8" s="375"/>
      <c r="AZ8" s="375"/>
      <c r="BA8" s="375"/>
    </row>
    <row r="9" spans="1:55" ht="7.5" customHeight="1" thickBot="1" x14ac:dyDescent="0.4">
      <c r="AO9" s="246"/>
      <c r="AP9" s="375"/>
      <c r="AQ9" s="375"/>
      <c r="AR9" s="375"/>
      <c r="AS9" s="375"/>
      <c r="AT9" s="375"/>
      <c r="AU9" s="375"/>
      <c r="AV9" s="375"/>
      <c r="AW9" s="375"/>
      <c r="AX9" s="375"/>
      <c r="AY9" s="375"/>
      <c r="AZ9" s="375"/>
      <c r="BA9" s="375"/>
    </row>
    <row r="10" spans="1:55" s="8" customFormat="1" ht="13.5" customHeight="1" x14ac:dyDescent="0.35">
      <c r="A10" s="236"/>
      <c r="B10" s="5"/>
      <c r="C10" s="504" t="s">
        <v>9</v>
      </c>
      <c r="D10" s="505"/>
      <c r="E10" s="505" t="s">
        <v>10</v>
      </c>
      <c r="F10" s="505"/>
      <c r="G10" s="505"/>
      <c r="H10" s="523"/>
      <c r="I10" s="523"/>
      <c r="J10" s="523"/>
      <c r="K10" s="523"/>
      <c r="L10" s="523"/>
      <c r="M10" s="523"/>
      <c r="N10" s="523"/>
      <c r="O10" s="523"/>
      <c r="P10" s="523"/>
      <c r="Q10" s="523"/>
      <c r="R10" s="523"/>
      <c r="S10" s="523"/>
      <c r="T10" s="524"/>
      <c r="U10" s="521" t="s">
        <v>11</v>
      </c>
      <c r="V10" s="522"/>
      <c r="W10" s="522"/>
      <c r="X10" s="522"/>
      <c r="Y10" s="522"/>
      <c r="Z10" s="522"/>
      <c r="AA10" s="522"/>
      <c r="AB10" s="392" t="s">
        <v>12</v>
      </c>
      <c r="AC10" s="393"/>
      <c r="AD10" s="398" t="s">
        <v>13</v>
      </c>
      <c r="AE10" s="392"/>
      <c r="AF10" s="392"/>
      <c r="AG10" s="392"/>
      <c r="AH10" s="392"/>
      <c r="AI10" s="392"/>
      <c r="AJ10" s="392"/>
      <c r="AK10" s="392"/>
      <c r="AL10" s="393"/>
      <c r="AM10" s="7"/>
      <c r="AO10" s="245"/>
      <c r="AP10" s="375"/>
      <c r="AQ10" s="375"/>
      <c r="AR10" s="375"/>
      <c r="AS10" s="375"/>
      <c r="AT10" s="375"/>
      <c r="AU10" s="375"/>
      <c r="AV10" s="375"/>
      <c r="AW10" s="375"/>
      <c r="AX10" s="375"/>
      <c r="AY10" s="375"/>
      <c r="AZ10" s="375"/>
      <c r="BA10" s="375"/>
    </row>
    <row r="11" spans="1:55" s="8" customFormat="1" ht="12.75" customHeight="1" x14ac:dyDescent="0.35">
      <c r="A11" s="236"/>
      <c r="B11" s="5"/>
      <c r="C11" s="506"/>
      <c r="D11" s="507"/>
      <c r="E11" s="508"/>
      <c r="F11" s="508"/>
      <c r="G11" s="508"/>
      <c r="H11" s="525"/>
      <c r="I11" s="525"/>
      <c r="J11" s="525"/>
      <c r="K11" s="525"/>
      <c r="L11" s="525"/>
      <c r="M11" s="525"/>
      <c r="N11" s="525"/>
      <c r="O11" s="525"/>
      <c r="P11" s="525"/>
      <c r="Q11" s="525"/>
      <c r="R11" s="525"/>
      <c r="S11" s="525"/>
      <c r="T11" s="526"/>
      <c r="U11" s="517"/>
      <c r="V11" s="518"/>
      <c r="W11" s="518"/>
      <c r="X11" s="518"/>
      <c r="Y11" s="518"/>
      <c r="Z11" s="518"/>
      <c r="AA11" s="518"/>
      <c r="AB11" s="394" t="str">
        <f>IFERROR(VLOOKUP(U11,Listas!C:E,3,0),"")</f>
        <v/>
      </c>
      <c r="AC11" s="395"/>
      <c r="AD11" s="399" t="s">
        <v>15</v>
      </c>
      <c r="AE11" s="400"/>
      <c r="AF11" s="415"/>
      <c r="AG11" s="415"/>
      <c r="AH11" s="415"/>
      <c r="AI11" s="415"/>
      <c r="AJ11" s="415"/>
      <c r="AK11" s="415"/>
      <c r="AL11" s="416"/>
      <c r="AM11" s="7"/>
      <c r="AO11" s="244" t="s">
        <v>16</v>
      </c>
      <c r="AP11" s="376" t="s">
        <v>17</v>
      </c>
      <c r="AQ11" s="376"/>
      <c r="AR11" s="376"/>
      <c r="AS11" s="376"/>
      <c r="AT11" s="376"/>
      <c r="AU11" s="376"/>
      <c r="AV11" s="376"/>
      <c r="AW11" s="376"/>
      <c r="AX11" s="376"/>
      <c r="AY11" s="376"/>
      <c r="AZ11" s="376"/>
      <c r="BA11" s="376"/>
    </row>
    <row r="12" spans="1:55" s="8" customFormat="1" ht="12.75" customHeight="1" thickBot="1" x14ac:dyDescent="0.4">
      <c r="A12" s="236"/>
      <c r="B12" s="5"/>
      <c r="C12" s="502"/>
      <c r="D12" s="503"/>
      <c r="E12" s="509"/>
      <c r="F12" s="509"/>
      <c r="G12" s="509"/>
      <c r="H12" s="527"/>
      <c r="I12" s="527"/>
      <c r="J12" s="527"/>
      <c r="K12" s="527"/>
      <c r="L12" s="527"/>
      <c r="M12" s="527"/>
      <c r="N12" s="527"/>
      <c r="O12" s="527"/>
      <c r="P12" s="527"/>
      <c r="Q12" s="527"/>
      <c r="R12" s="527"/>
      <c r="S12" s="527"/>
      <c r="T12" s="528"/>
      <c r="U12" s="519"/>
      <c r="V12" s="520"/>
      <c r="W12" s="520"/>
      <c r="X12" s="520"/>
      <c r="Y12" s="520"/>
      <c r="Z12" s="520"/>
      <c r="AA12" s="520"/>
      <c r="AB12" s="396"/>
      <c r="AC12" s="397"/>
      <c r="AD12" s="401" t="s">
        <v>18</v>
      </c>
      <c r="AE12" s="402"/>
      <c r="AF12" s="403"/>
      <c r="AG12" s="403"/>
      <c r="AH12" s="403"/>
      <c r="AI12" s="403"/>
      <c r="AJ12" s="403"/>
      <c r="AK12" s="403"/>
      <c r="AL12" s="404"/>
      <c r="AM12" s="7"/>
      <c r="AO12" s="246" t="s">
        <v>19</v>
      </c>
      <c r="AP12" s="375" t="s">
        <v>20</v>
      </c>
      <c r="AQ12" s="375"/>
      <c r="AR12" s="375"/>
      <c r="AS12" s="375"/>
      <c r="AT12" s="375"/>
      <c r="AU12" s="375"/>
      <c r="AV12" s="375"/>
      <c r="AW12" s="375"/>
      <c r="AX12" s="375"/>
      <c r="AY12" s="375"/>
      <c r="AZ12" s="375"/>
      <c r="BA12" s="375"/>
    </row>
    <row r="13" spans="1:55" s="10" customFormat="1" ht="6" customHeight="1" thickBot="1" x14ac:dyDescent="0.4">
      <c r="A13" s="235"/>
      <c r="B13" s="9"/>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O13" s="246"/>
      <c r="AP13" s="375"/>
      <c r="AQ13" s="375"/>
      <c r="AR13" s="375"/>
      <c r="AS13" s="375"/>
      <c r="AT13" s="375"/>
      <c r="AU13" s="375"/>
      <c r="AV13" s="375"/>
      <c r="AW13" s="375"/>
      <c r="AX13" s="375"/>
      <c r="AY13" s="375"/>
      <c r="AZ13" s="375"/>
      <c r="BA13" s="375"/>
    </row>
    <row r="14" spans="1:55" s="10" customFormat="1" ht="12" customHeight="1" x14ac:dyDescent="0.35">
      <c r="A14" s="235"/>
      <c r="B14" s="9"/>
      <c r="C14" s="471" t="s">
        <v>21</v>
      </c>
      <c r="D14" s="392"/>
      <c r="E14" s="392"/>
      <c r="F14" s="392"/>
      <c r="G14" s="392"/>
      <c r="H14" s="392"/>
      <c r="I14" s="392"/>
      <c r="J14" s="392"/>
      <c r="K14" s="392"/>
      <c r="L14" s="392"/>
      <c r="M14" s="392"/>
      <c r="N14" s="392"/>
      <c r="O14" s="392"/>
      <c r="P14" s="392"/>
      <c r="Q14" s="392"/>
      <c r="R14" s="392"/>
      <c r="S14" s="392"/>
      <c r="T14" s="392"/>
      <c r="U14" s="392"/>
      <c r="V14" s="392"/>
      <c r="W14" s="392"/>
      <c r="X14" s="392"/>
      <c r="Y14" s="392"/>
      <c r="Z14" s="392" t="s">
        <v>22</v>
      </c>
      <c r="AA14" s="392"/>
      <c r="AB14" s="392"/>
      <c r="AC14" s="392"/>
      <c r="AD14" s="392"/>
      <c r="AE14" s="393"/>
      <c r="AF14" s="405" t="s">
        <v>23</v>
      </c>
      <c r="AG14" s="384"/>
      <c r="AH14" s="384"/>
      <c r="AI14" s="406"/>
      <c r="AJ14" s="409"/>
      <c r="AK14" s="410"/>
      <c r="AL14" s="411"/>
      <c r="AM14" s="6"/>
      <c r="AO14" s="246"/>
      <c r="AP14" s="375"/>
      <c r="AQ14" s="375"/>
      <c r="AR14" s="375"/>
      <c r="AS14" s="375"/>
      <c r="AT14" s="375"/>
      <c r="AU14" s="375"/>
      <c r="AV14" s="375"/>
      <c r="AW14" s="375"/>
      <c r="AX14" s="375"/>
      <c r="AY14" s="375"/>
      <c r="AZ14" s="375"/>
      <c r="BA14" s="375"/>
    </row>
    <row r="15" spans="1:55" s="10" customFormat="1" ht="12" customHeight="1" x14ac:dyDescent="0.35">
      <c r="A15" s="235"/>
      <c r="B15" s="9"/>
      <c r="C15" s="470" t="str">
        <f>IFERROR(VLOOKUP($U$11,'SGC-Vigente'!C:F,2,0),"***")</f>
        <v>***</v>
      </c>
      <c r="D15" s="466"/>
      <c r="E15" s="466"/>
      <c r="F15" s="466"/>
      <c r="G15" s="466"/>
      <c r="H15" s="466"/>
      <c r="I15" s="466"/>
      <c r="J15" s="466"/>
      <c r="K15" s="466"/>
      <c r="L15" s="466"/>
      <c r="M15" s="466"/>
      <c r="N15" s="466"/>
      <c r="O15" s="466"/>
      <c r="P15" s="466"/>
      <c r="Q15" s="466"/>
      <c r="R15" s="466"/>
      <c r="S15" s="466"/>
      <c r="T15" s="466"/>
      <c r="U15" s="466"/>
      <c r="V15" s="466"/>
      <c r="W15" s="466"/>
      <c r="X15" s="466"/>
      <c r="Y15" s="466"/>
      <c r="Z15" s="466" t="str">
        <f>IFERROR(VLOOKUP($U$11,'SGC-Vigente'!C:F,4,0),"***")</f>
        <v>***</v>
      </c>
      <c r="AA15" s="466"/>
      <c r="AB15" s="466"/>
      <c r="AC15" s="466"/>
      <c r="AD15" s="466"/>
      <c r="AE15" s="467"/>
      <c r="AF15" s="407"/>
      <c r="AG15" s="390"/>
      <c r="AH15" s="390"/>
      <c r="AI15" s="408"/>
      <c r="AJ15" s="412"/>
      <c r="AK15" s="413"/>
      <c r="AL15" s="414"/>
      <c r="AM15" s="6"/>
      <c r="AO15" s="154" t="s">
        <v>24</v>
      </c>
      <c r="AP15" s="376" t="s">
        <v>20</v>
      </c>
      <c r="AQ15" s="376"/>
      <c r="AR15" s="376"/>
      <c r="AS15" s="376"/>
      <c r="AT15" s="376"/>
      <c r="AU15" s="376"/>
      <c r="AV15" s="376"/>
      <c r="AW15" s="376"/>
      <c r="AX15" s="376"/>
      <c r="AY15" s="376"/>
      <c r="AZ15" s="376"/>
      <c r="BA15" s="376"/>
    </row>
    <row r="16" spans="1:55" s="10" customFormat="1" ht="12" customHeight="1" x14ac:dyDescent="0.35">
      <c r="A16" s="235"/>
      <c r="B16" s="9"/>
      <c r="C16" s="470"/>
      <c r="D16" s="466"/>
      <c r="E16" s="466"/>
      <c r="F16" s="466"/>
      <c r="G16" s="466"/>
      <c r="H16" s="466"/>
      <c r="I16" s="466"/>
      <c r="J16" s="466"/>
      <c r="K16" s="466"/>
      <c r="L16" s="466"/>
      <c r="M16" s="466"/>
      <c r="N16" s="466"/>
      <c r="O16" s="466"/>
      <c r="P16" s="466"/>
      <c r="Q16" s="466"/>
      <c r="R16" s="466"/>
      <c r="S16" s="466"/>
      <c r="T16" s="466"/>
      <c r="U16" s="466"/>
      <c r="V16" s="466"/>
      <c r="W16" s="466"/>
      <c r="X16" s="466"/>
      <c r="Y16" s="466"/>
      <c r="Z16" s="466"/>
      <c r="AA16" s="466"/>
      <c r="AB16" s="466"/>
      <c r="AC16" s="466"/>
      <c r="AD16" s="466"/>
      <c r="AE16" s="467"/>
      <c r="AF16" s="417" t="s">
        <v>25</v>
      </c>
      <c r="AG16" s="418"/>
      <c r="AH16" s="418"/>
      <c r="AI16" s="419"/>
      <c r="AJ16" s="419"/>
      <c r="AK16" s="419"/>
      <c r="AL16" s="420"/>
      <c r="AM16" s="6"/>
      <c r="AO16" s="154"/>
      <c r="AP16" s="376"/>
      <c r="AQ16" s="376"/>
      <c r="AR16" s="376"/>
      <c r="AS16" s="376"/>
      <c r="AT16" s="376"/>
      <c r="AU16" s="376"/>
      <c r="AV16" s="376"/>
      <c r="AW16" s="376"/>
      <c r="AX16" s="376"/>
      <c r="AY16" s="376"/>
      <c r="AZ16" s="376"/>
      <c r="BA16" s="376"/>
    </row>
    <row r="17" spans="1:53" s="10" customFormat="1" ht="12" customHeight="1" x14ac:dyDescent="0.35">
      <c r="A17" s="235"/>
      <c r="B17" s="9"/>
      <c r="C17" s="470"/>
      <c r="D17" s="466"/>
      <c r="E17" s="466"/>
      <c r="F17" s="466"/>
      <c r="G17" s="466"/>
      <c r="H17" s="466"/>
      <c r="I17" s="466"/>
      <c r="J17" s="466"/>
      <c r="K17" s="466"/>
      <c r="L17" s="466"/>
      <c r="M17" s="466"/>
      <c r="N17" s="466"/>
      <c r="O17" s="466"/>
      <c r="P17" s="466"/>
      <c r="Q17" s="466"/>
      <c r="R17" s="466"/>
      <c r="S17" s="466"/>
      <c r="T17" s="466"/>
      <c r="U17" s="466"/>
      <c r="V17" s="466"/>
      <c r="W17" s="466"/>
      <c r="X17" s="466"/>
      <c r="Y17" s="466"/>
      <c r="Z17" s="466"/>
      <c r="AA17" s="466"/>
      <c r="AB17" s="466"/>
      <c r="AC17" s="466"/>
      <c r="AD17" s="466"/>
      <c r="AE17" s="467"/>
      <c r="AF17" s="472" t="s">
        <v>26</v>
      </c>
      <c r="AG17" s="400"/>
      <c r="AH17" s="400"/>
      <c r="AI17" s="400"/>
      <c r="AJ17" s="400"/>
      <c r="AK17" s="400"/>
      <c r="AL17" s="473"/>
      <c r="AM17" s="6"/>
      <c r="AO17" s="246" t="s">
        <v>27</v>
      </c>
      <c r="AP17" s="375" t="s">
        <v>28</v>
      </c>
      <c r="AQ17" s="375"/>
      <c r="AR17" s="375"/>
      <c r="AS17" s="375"/>
      <c r="AT17" s="375"/>
      <c r="AU17" s="375"/>
      <c r="AV17" s="375"/>
      <c r="AW17" s="375"/>
      <c r="AX17" s="375"/>
      <c r="AY17" s="375"/>
      <c r="AZ17" s="375"/>
      <c r="BA17" s="375"/>
    </row>
    <row r="18" spans="1:53" s="10" customFormat="1" ht="12" customHeight="1" x14ac:dyDescent="0.35">
      <c r="A18" s="235"/>
      <c r="B18" s="9"/>
      <c r="C18" s="432" t="s">
        <v>29</v>
      </c>
      <c r="D18" s="433"/>
      <c r="E18" s="433"/>
      <c r="F18" s="466" t="str">
        <f>IFERROR(VLOOKUP($U$11,'SGC-Vigente'!C:F,3,0),"***")</f>
        <v>***</v>
      </c>
      <c r="G18" s="466"/>
      <c r="H18" s="466"/>
      <c r="I18" s="466"/>
      <c r="J18" s="466"/>
      <c r="K18" s="466"/>
      <c r="L18" s="466"/>
      <c r="M18" s="466"/>
      <c r="N18" s="466"/>
      <c r="O18" s="466"/>
      <c r="P18" s="466"/>
      <c r="Q18" s="466"/>
      <c r="R18" s="466"/>
      <c r="S18" s="466"/>
      <c r="T18" s="466"/>
      <c r="U18" s="466"/>
      <c r="V18" s="466"/>
      <c r="W18" s="466"/>
      <c r="X18" s="466"/>
      <c r="Y18" s="466"/>
      <c r="Z18" s="466"/>
      <c r="AA18" s="466"/>
      <c r="AB18" s="466"/>
      <c r="AC18" s="466"/>
      <c r="AD18" s="466"/>
      <c r="AE18" s="467"/>
      <c r="AF18" s="474"/>
      <c r="AG18" s="475"/>
      <c r="AH18" s="475"/>
      <c r="AI18" s="475"/>
      <c r="AJ18" s="475"/>
      <c r="AK18" s="475"/>
      <c r="AL18" s="476"/>
      <c r="AM18" s="6"/>
      <c r="AO18" s="246"/>
      <c r="AP18" s="375"/>
      <c r="AQ18" s="375"/>
      <c r="AR18" s="375"/>
      <c r="AS18" s="375"/>
      <c r="AT18" s="375"/>
      <c r="AU18" s="375"/>
      <c r="AV18" s="375"/>
      <c r="AW18" s="375"/>
      <c r="AX18" s="375"/>
      <c r="AY18" s="375"/>
      <c r="AZ18" s="375"/>
      <c r="BA18" s="375"/>
    </row>
    <row r="19" spans="1:53" s="10" customFormat="1" ht="12" customHeight="1" x14ac:dyDescent="0.35">
      <c r="A19" s="235"/>
      <c r="B19" s="9"/>
      <c r="C19" s="432"/>
      <c r="D19" s="433"/>
      <c r="E19" s="433"/>
      <c r="F19" s="466"/>
      <c r="G19" s="466"/>
      <c r="H19" s="466"/>
      <c r="I19" s="466"/>
      <c r="J19" s="466"/>
      <c r="K19" s="466"/>
      <c r="L19" s="466"/>
      <c r="M19" s="466"/>
      <c r="N19" s="466"/>
      <c r="O19" s="466"/>
      <c r="P19" s="466"/>
      <c r="Q19" s="466"/>
      <c r="R19" s="466"/>
      <c r="S19" s="466"/>
      <c r="T19" s="466"/>
      <c r="U19" s="466"/>
      <c r="V19" s="466"/>
      <c r="W19" s="466"/>
      <c r="X19" s="466"/>
      <c r="Y19" s="466"/>
      <c r="Z19" s="466"/>
      <c r="AA19" s="466"/>
      <c r="AB19" s="466"/>
      <c r="AC19" s="466"/>
      <c r="AD19" s="466"/>
      <c r="AE19" s="467"/>
      <c r="AF19" s="472" t="s">
        <v>30</v>
      </c>
      <c r="AG19" s="400"/>
      <c r="AH19" s="400"/>
      <c r="AI19" s="400"/>
      <c r="AJ19" s="400"/>
      <c r="AK19" s="400"/>
      <c r="AL19" s="473"/>
      <c r="AM19" s="6"/>
      <c r="AO19" s="154" t="s">
        <v>31</v>
      </c>
      <c r="AP19" s="376" t="s">
        <v>32</v>
      </c>
      <c r="AQ19" s="376"/>
      <c r="AR19" s="376"/>
      <c r="AS19" s="376"/>
      <c r="AT19" s="376"/>
      <c r="AU19" s="376"/>
      <c r="AV19" s="376"/>
      <c r="AW19" s="376"/>
      <c r="AX19" s="376"/>
      <c r="AY19" s="376"/>
      <c r="AZ19" s="376"/>
      <c r="BA19" s="376"/>
    </row>
    <row r="20" spans="1:53" s="10" customFormat="1" ht="12" customHeight="1" thickBot="1" x14ac:dyDescent="0.4">
      <c r="A20" s="235"/>
      <c r="B20" s="9"/>
      <c r="C20" s="464"/>
      <c r="D20" s="465"/>
      <c r="E20" s="465"/>
      <c r="F20" s="468"/>
      <c r="G20" s="468"/>
      <c r="H20" s="468"/>
      <c r="I20" s="468"/>
      <c r="J20" s="468"/>
      <c r="K20" s="468"/>
      <c r="L20" s="468"/>
      <c r="M20" s="468"/>
      <c r="N20" s="468"/>
      <c r="O20" s="468"/>
      <c r="P20" s="468"/>
      <c r="Q20" s="468"/>
      <c r="R20" s="468"/>
      <c r="S20" s="468"/>
      <c r="T20" s="468"/>
      <c r="U20" s="468"/>
      <c r="V20" s="468"/>
      <c r="W20" s="468"/>
      <c r="X20" s="468"/>
      <c r="Y20" s="468"/>
      <c r="Z20" s="468"/>
      <c r="AA20" s="468"/>
      <c r="AB20" s="468"/>
      <c r="AC20" s="468"/>
      <c r="AD20" s="468"/>
      <c r="AE20" s="469"/>
      <c r="AF20" s="474"/>
      <c r="AG20" s="475"/>
      <c r="AH20" s="475"/>
      <c r="AI20" s="475"/>
      <c r="AJ20" s="475"/>
      <c r="AK20" s="475"/>
      <c r="AL20" s="476"/>
      <c r="AM20" s="6"/>
      <c r="AO20" s="246" t="s">
        <v>33</v>
      </c>
      <c r="AP20" s="375" t="s">
        <v>34</v>
      </c>
      <c r="AQ20" s="375"/>
      <c r="AR20" s="375"/>
      <c r="AS20" s="375"/>
      <c r="AT20" s="375"/>
      <c r="AU20" s="375"/>
      <c r="AV20" s="375"/>
      <c r="AW20" s="375"/>
      <c r="AX20" s="375"/>
      <c r="AY20" s="375"/>
      <c r="AZ20" s="375"/>
      <c r="BA20" s="375"/>
    </row>
    <row r="21" spans="1:53" s="10" customFormat="1" ht="6" customHeight="1" thickBot="1" x14ac:dyDescent="0.4">
      <c r="A21" s="235"/>
      <c r="B21" s="9"/>
      <c r="C21" s="6"/>
      <c r="D21" s="6"/>
      <c r="E21" s="6"/>
      <c r="F21" s="6"/>
      <c r="G21" s="6"/>
      <c r="H21" s="6"/>
      <c r="I21" s="3"/>
      <c r="J21" s="3"/>
      <c r="K21" s="3"/>
      <c r="L21" s="3"/>
      <c r="M21" s="3"/>
      <c r="N21" s="3"/>
      <c r="O21" s="3"/>
      <c r="P21" s="3"/>
      <c r="Q21" s="3"/>
      <c r="R21" s="3"/>
      <c r="S21" s="3"/>
      <c r="T21" s="6"/>
      <c r="U21" s="6"/>
      <c r="V21" s="6"/>
      <c r="W21" s="6"/>
      <c r="X21" s="6"/>
      <c r="Y21" s="6"/>
      <c r="Z21" s="6"/>
      <c r="AA21" s="6"/>
      <c r="AB21" s="6"/>
      <c r="AC21" s="6"/>
      <c r="AD21" s="6"/>
      <c r="AE21" s="6"/>
      <c r="AF21" s="6"/>
      <c r="AG21" s="6"/>
      <c r="AH21" s="6"/>
      <c r="AI21" s="6"/>
      <c r="AJ21" s="6"/>
      <c r="AK21" s="6"/>
      <c r="AL21" s="6"/>
      <c r="AM21" s="6"/>
      <c r="AO21" s="154"/>
      <c r="AP21" s="243"/>
      <c r="AQ21" s="243"/>
      <c r="AR21" s="243"/>
      <c r="AS21" s="243"/>
      <c r="AT21" s="243"/>
      <c r="AU21" s="243"/>
      <c r="AV21" s="242"/>
      <c r="AW21" s="242"/>
      <c r="AX21" s="243"/>
      <c r="AY21" s="243"/>
      <c r="AZ21" s="243"/>
      <c r="BA21" s="243"/>
    </row>
    <row r="22" spans="1:53" ht="12" customHeight="1" x14ac:dyDescent="0.35">
      <c r="C22" s="510" t="s">
        <v>35</v>
      </c>
      <c r="D22" s="511"/>
      <c r="E22" s="378"/>
      <c r="F22" s="383" t="s">
        <v>36</v>
      </c>
      <c r="G22" s="384"/>
      <c r="H22" s="384"/>
      <c r="I22" s="384"/>
      <c r="J22" s="384"/>
      <c r="K22" s="384"/>
      <c r="L22" s="384"/>
      <c r="M22" s="384"/>
      <c r="N22" s="384"/>
      <c r="O22" s="406"/>
      <c r="P22" s="383" t="s">
        <v>37</v>
      </c>
      <c r="Q22" s="384"/>
      <c r="R22" s="384"/>
      <c r="S22" s="384"/>
      <c r="T22" s="384"/>
      <c r="U22" s="384"/>
      <c r="V22" s="384"/>
      <c r="W22" s="385"/>
      <c r="X22" s="447" t="s">
        <v>38</v>
      </c>
      <c r="Y22" s="448"/>
      <c r="Z22" s="449"/>
      <c r="AA22" s="377" t="s">
        <v>39</v>
      </c>
      <c r="AB22" s="378"/>
      <c r="AC22" s="383" t="s">
        <v>40</v>
      </c>
      <c r="AD22" s="384"/>
      <c r="AE22" s="384"/>
      <c r="AF22" s="384"/>
      <c r="AG22" s="384"/>
      <c r="AH22" s="384"/>
      <c r="AI22" s="384"/>
      <c r="AJ22" s="384"/>
      <c r="AK22" s="384"/>
      <c r="AL22" s="385"/>
      <c r="AO22" s="154" t="s">
        <v>41</v>
      </c>
      <c r="AP22" s="376" t="s">
        <v>42</v>
      </c>
      <c r="AQ22" s="376"/>
      <c r="AR22" s="376"/>
      <c r="AS22" s="376"/>
      <c r="AT22" s="376"/>
      <c r="AU22" s="376"/>
      <c r="AV22" s="376"/>
      <c r="AW22" s="376"/>
      <c r="AX22" s="376"/>
      <c r="AY22" s="376"/>
      <c r="AZ22" s="376"/>
      <c r="BA22" s="376"/>
    </row>
    <row r="23" spans="1:53" ht="12" customHeight="1" x14ac:dyDescent="0.35">
      <c r="C23" s="512"/>
      <c r="D23" s="513"/>
      <c r="E23" s="380"/>
      <c r="F23" s="386"/>
      <c r="G23" s="387"/>
      <c r="H23" s="387"/>
      <c r="I23" s="387"/>
      <c r="J23" s="387"/>
      <c r="K23" s="387"/>
      <c r="L23" s="387"/>
      <c r="M23" s="387"/>
      <c r="N23" s="387"/>
      <c r="O23" s="516"/>
      <c r="P23" s="386"/>
      <c r="Q23" s="387"/>
      <c r="R23" s="387"/>
      <c r="S23" s="387"/>
      <c r="T23" s="387"/>
      <c r="U23" s="387"/>
      <c r="V23" s="387"/>
      <c r="W23" s="388"/>
      <c r="X23" s="151" t="s">
        <v>43</v>
      </c>
      <c r="Y23" s="149" t="s">
        <v>44</v>
      </c>
      <c r="Z23" s="150" t="s">
        <v>45</v>
      </c>
      <c r="AA23" s="379"/>
      <c r="AB23" s="380"/>
      <c r="AC23" s="386"/>
      <c r="AD23" s="387"/>
      <c r="AE23" s="387"/>
      <c r="AF23" s="387"/>
      <c r="AG23" s="387"/>
      <c r="AH23" s="387"/>
      <c r="AI23" s="387"/>
      <c r="AJ23" s="387"/>
      <c r="AK23" s="387"/>
      <c r="AL23" s="388"/>
      <c r="AO23" s="246" t="s">
        <v>46</v>
      </c>
      <c r="AP23" s="375" t="s">
        <v>47</v>
      </c>
      <c r="AQ23" s="375"/>
      <c r="AR23" s="375"/>
      <c r="AS23" s="375"/>
      <c r="AT23" s="375"/>
      <c r="AU23" s="375"/>
      <c r="AV23" s="375"/>
      <c r="AW23" s="375"/>
      <c r="AX23" s="375"/>
      <c r="AY23" s="375"/>
      <c r="AZ23" s="375"/>
      <c r="BA23" s="375"/>
    </row>
    <row r="24" spans="1:53" ht="9" customHeight="1" x14ac:dyDescent="0.35">
      <c r="C24" s="514"/>
      <c r="D24" s="515"/>
      <c r="E24" s="382"/>
      <c r="F24" s="389"/>
      <c r="G24" s="390"/>
      <c r="H24" s="390"/>
      <c r="I24" s="390"/>
      <c r="J24" s="390"/>
      <c r="K24" s="390"/>
      <c r="L24" s="390"/>
      <c r="M24" s="390"/>
      <c r="N24" s="390"/>
      <c r="O24" s="408"/>
      <c r="P24" s="389"/>
      <c r="Q24" s="390"/>
      <c r="R24" s="390"/>
      <c r="S24" s="390"/>
      <c r="T24" s="390"/>
      <c r="U24" s="390"/>
      <c r="V24" s="390"/>
      <c r="W24" s="391"/>
      <c r="X24" s="155">
        <f>COUNTIF(X25:X56,"X")</f>
        <v>0</v>
      </c>
      <c r="Y24" s="156">
        <f t="shared" ref="Y24:Z24" si="0">COUNTIF(Y25:Y56,"X")</f>
        <v>0</v>
      </c>
      <c r="Z24" s="157">
        <f t="shared" si="0"/>
        <v>0</v>
      </c>
      <c r="AA24" s="381"/>
      <c r="AB24" s="382"/>
      <c r="AC24" s="389"/>
      <c r="AD24" s="390"/>
      <c r="AE24" s="390"/>
      <c r="AF24" s="390"/>
      <c r="AG24" s="390"/>
      <c r="AH24" s="390"/>
      <c r="AI24" s="390"/>
      <c r="AJ24" s="390"/>
      <c r="AK24" s="390"/>
      <c r="AL24" s="391"/>
      <c r="AO24" s="154"/>
      <c r="AP24" s="242"/>
      <c r="AQ24" s="242"/>
      <c r="AR24" s="242"/>
      <c r="AS24" s="242"/>
      <c r="AT24" s="242"/>
      <c r="AU24" s="242"/>
      <c r="AV24" s="242"/>
      <c r="AW24" s="242"/>
      <c r="AX24" s="243"/>
      <c r="AY24" s="243"/>
      <c r="AZ24" s="243"/>
      <c r="BA24" s="243"/>
    </row>
    <row r="25" spans="1:53" ht="35.25" customHeight="1" x14ac:dyDescent="0.35">
      <c r="A25" s="234" t="str">
        <f>IF(Y25="X",CONCATENATE("NC-",COUNTA(Y$25:Y25)),IF(Z25="X",CONCATENATE("Obs-",COUNTA(Z$25:Z25)),"-"))</f>
        <v>-</v>
      </c>
      <c r="C25" s="496"/>
      <c r="D25" s="443"/>
      <c r="E25" s="444"/>
      <c r="F25" s="442"/>
      <c r="G25" s="443"/>
      <c r="H25" s="443"/>
      <c r="I25" s="443"/>
      <c r="J25" s="443"/>
      <c r="K25" s="443"/>
      <c r="L25" s="443"/>
      <c r="M25" s="443"/>
      <c r="N25" s="443"/>
      <c r="O25" s="444"/>
      <c r="P25" s="442"/>
      <c r="Q25" s="443"/>
      <c r="R25" s="443"/>
      <c r="S25" s="443"/>
      <c r="T25" s="443"/>
      <c r="U25" s="443"/>
      <c r="V25" s="443"/>
      <c r="W25" s="443"/>
      <c r="X25" s="146"/>
      <c r="Y25" s="132"/>
      <c r="Z25" s="132"/>
      <c r="AA25" s="495"/>
      <c r="AB25" s="495"/>
      <c r="AC25" s="442"/>
      <c r="AD25" s="443"/>
      <c r="AE25" s="443"/>
      <c r="AF25" s="443"/>
      <c r="AG25" s="443"/>
      <c r="AH25" s="443"/>
      <c r="AI25" s="443"/>
      <c r="AJ25" s="443"/>
      <c r="AK25" s="443"/>
      <c r="AL25" s="450"/>
      <c r="AO25" s="247" t="s">
        <v>48</v>
      </c>
      <c r="AP25" s="376" t="s">
        <v>49</v>
      </c>
      <c r="AQ25" s="376"/>
      <c r="AR25" s="376"/>
      <c r="AS25" s="376"/>
      <c r="AT25" s="376"/>
      <c r="AU25" s="376"/>
      <c r="AV25" s="376"/>
      <c r="AW25" s="376"/>
      <c r="AX25" s="376"/>
      <c r="AY25" s="376"/>
      <c r="AZ25" s="376"/>
      <c r="BA25" s="376"/>
    </row>
    <row r="26" spans="1:53" ht="35.25" customHeight="1" x14ac:dyDescent="0.35">
      <c r="A26" s="234" t="str">
        <f>IF(Y26="X",CONCATENATE("NC-",COUNTA(Y$25:Y26)),IF(Z26="X",CONCATENATE("Obs-",COUNTA(Z$25:Z26)),"-"))</f>
        <v>-</v>
      </c>
      <c r="C26" s="363"/>
      <c r="D26" s="364"/>
      <c r="E26" s="365"/>
      <c r="F26" s="366"/>
      <c r="G26" s="364"/>
      <c r="H26" s="364"/>
      <c r="I26" s="364"/>
      <c r="J26" s="364"/>
      <c r="K26" s="364"/>
      <c r="L26" s="364"/>
      <c r="M26" s="364"/>
      <c r="N26" s="364"/>
      <c r="O26" s="365"/>
      <c r="P26" s="366"/>
      <c r="Q26" s="364"/>
      <c r="R26" s="364"/>
      <c r="S26" s="364"/>
      <c r="T26" s="364"/>
      <c r="U26" s="364"/>
      <c r="V26" s="364"/>
      <c r="W26" s="364"/>
      <c r="X26" s="147"/>
      <c r="Y26" s="130"/>
      <c r="Z26" s="130"/>
      <c r="AA26" s="367"/>
      <c r="AB26" s="367"/>
      <c r="AC26" s="366"/>
      <c r="AD26" s="364"/>
      <c r="AE26" s="364"/>
      <c r="AF26" s="364"/>
      <c r="AG26" s="364"/>
      <c r="AH26" s="364"/>
      <c r="AI26" s="364"/>
      <c r="AJ26" s="364"/>
      <c r="AK26" s="364"/>
      <c r="AL26" s="368"/>
      <c r="AO26" s="248" t="s">
        <v>50</v>
      </c>
      <c r="AP26" s="375" t="s">
        <v>51</v>
      </c>
      <c r="AQ26" s="375"/>
      <c r="AR26" s="375"/>
      <c r="AS26" s="375"/>
      <c r="AT26" s="375"/>
      <c r="AU26" s="375"/>
      <c r="AV26" s="375"/>
      <c r="AW26" s="375"/>
      <c r="AX26" s="375"/>
      <c r="AY26" s="375"/>
      <c r="AZ26" s="375"/>
      <c r="BA26" s="375"/>
    </row>
    <row r="27" spans="1:53" ht="35.25" customHeight="1" x14ac:dyDescent="0.35">
      <c r="A27" s="234" t="str">
        <f>IF(Y27="X",CONCATENATE("NC-",COUNTA(Y$25:Y27)),IF(Z27="X",CONCATENATE("Obs-",COUNTA(Z$25:Z27)),"-"))</f>
        <v>-</v>
      </c>
      <c r="C27" s="369"/>
      <c r="D27" s="370"/>
      <c r="E27" s="371"/>
      <c r="F27" s="372"/>
      <c r="G27" s="370"/>
      <c r="H27" s="370"/>
      <c r="I27" s="370"/>
      <c r="J27" s="370"/>
      <c r="K27" s="370"/>
      <c r="L27" s="370"/>
      <c r="M27" s="370"/>
      <c r="N27" s="370"/>
      <c r="O27" s="371"/>
      <c r="P27" s="372"/>
      <c r="Q27" s="370"/>
      <c r="R27" s="370"/>
      <c r="S27" s="370"/>
      <c r="T27" s="370"/>
      <c r="U27" s="370"/>
      <c r="V27" s="370"/>
      <c r="W27" s="370"/>
      <c r="X27" s="148"/>
      <c r="Y27" s="131"/>
      <c r="Z27" s="131"/>
      <c r="AA27" s="373"/>
      <c r="AB27" s="373"/>
      <c r="AC27" s="372"/>
      <c r="AD27" s="370"/>
      <c r="AE27" s="370"/>
      <c r="AF27" s="370"/>
      <c r="AG27" s="370"/>
      <c r="AH27" s="370"/>
      <c r="AI27" s="370"/>
      <c r="AJ27" s="370"/>
      <c r="AK27" s="370"/>
      <c r="AL27" s="374"/>
      <c r="AO27" s="247" t="s">
        <v>52</v>
      </c>
      <c r="AP27" s="376" t="s">
        <v>53</v>
      </c>
      <c r="AQ27" s="376"/>
      <c r="AR27" s="376"/>
      <c r="AS27" s="376"/>
      <c r="AT27" s="376"/>
      <c r="AU27" s="376"/>
      <c r="AV27" s="376"/>
      <c r="AW27" s="376"/>
      <c r="AX27" s="376"/>
      <c r="AY27" s="376"/>
      <c r="AZ27" s="376"/>
      <c r="BA27" s="376"/>
    </row>
    <row r="28" spans="1:53" ht="35.25" customHeight="1" x14ac:dyDescent="0.35">
      <c r="A28" s="234" t="str">
        <f>IF(Y28="X",CONCATENATE("NC-",COUNTA(Y$25:Y28)),IF(Z28="X",CONCATENATE("Obs-",COUNTA(Z$25:Z28)),"-"))</f>
        <v>-</v>
      </c>
      <c r="C28" s="363"/>
      <c r="D28" s="364"/>
      <c r="E28" s="365"/>
      <c r="F28" s="366"/>
      <c r="G28" s="364"/>
      <c r="H28" s="364"/>
      <c r="I28" s="364"/>
      <c r="J28" s="364"/>
      <c r="K28" s="364"/>
      <c r="L28" s="364"/>
      <c r="M28" s="364"/>
      <c r="N28" s="364"/>
      <c r="O28" s="365"/>
      <c r="P28" s="366"/>
      <c r="Q28" s="364"/>
      <c r="R28" s="364"/>
      <c r="S28" s="364"/>
      <c r="T28" s="364"/>
      <c r="U28" s="364"/>
      <c r="V28" s="364"/>
      <c r="W28" s="364"/>
      <c r="X28" s="147"/>
      <c r="Y28" s="130"/>
      <c r="Z28" s="130"/>
      <c r="AA28" s="367"/>
      <c r="AB28" s="367"/>
      <c r="AC28" s="366"/>
      <c r="AD28" s="364"/>
      <c r="AE28" s="364"/>
      <c r="AF28" s="364"/>
      <c r="AG28" s="364"/>
      <c r="AH28" s="364"/>
      <c r="AI28" s="364"/>
      <c r="AJ28" s="364"/>
      <c r="AK28" s="364"/>
      <c r="AL28" s="368"/>
      <c r="AO28" s="248" t="s">
        <v>54</v>
      </c>
      <c r="AP28" s="375" t="s">
        <v>55</v>
      </c>
      <c r="AQ28" s="375"/>
      <c r="AR28" s="375"/>
      <c r="AS28" s="375"/>
      <c r="AT28" s="375"/>
      <c r="AU28" s="375"/>
      <c r="AV28" s="375"/>
      <c r="AW28" s="375"/>
      <c r="AX28" s="375"/>
      <c r="AY28" s="375"/>
      <c r="AZ28" s="375"/>
      <c r="BA28" s="375"/>
    </row>
    <row r="29" spans="1:53" ht="35.25" customHeight="1" x14ac:dyDescent="0.35">
      <c r="A29" s="234" t="str">
        <f>IF(Y29="X",CONCATENATE("NC-",COUNTA(Y$25:Y29)),IF(Z29="X",CONCATENATE("Obs-",COUNTA(Z$25:Z29)),"-"))</f>
        <v>-</v>
      </c>
      <c r="C29" s="369"/>
      <c r="D29" s="370"/>
      <c r="E29" s="371"/>
      <c r="F29" s="372"/>
      <c r="G29" s="370"/>
      <c r="H29" s="370"/>
      <c r="I29" s="370"/>
      <c r="J29" s="370"/>
      <c r="K29" s="370"/>
      <c r="L29" s="370"/>
      <c r="M29" s="370"/>
      <c r="N29" s="370"/>
      <c r="O29" s="371"/>
      <c r="P29" s="372"/>
      <c r="Q29" s="370"/>
      <c r="R29" s="370"/>
      <c r="S29" s="370"/>
      <c r="T29" s="370"/>
      <c r="U29" s="370"/>
      <c r="V29" s="370"/>
      <c r="W29" s="370"/>
      <c r="X29" s="148"/>
      <c r="Y29" s="131"/>
      <c r="Z29" s="131"/>
      <c r="AA29" s="373"/>
      <c r="AB29" s="373"/>
      <c r="AC29" s="372"/>
      <c r="AD29" s="370"/>
      <c r="AE29" s="370"/>
      <c r="AF29" s="370"/>
      <c r="AG29" s="370"/>
      <c r="AH29" s="370"/>
      <c r="AI29" s="370"/>
      <c r="AJ29" s="370"/>
      <c r="AK29" s="370"/>
      <c r="AL29" s="374"/>
      <c r="AO29" s="247" t="s">
        <v>56</v>
      </c>
      <c r="AP29" s="376" t="s">
        <v>57</v>
      </c>
      <c r="AQ29" s="376"/>
      <c r="AR29" s="376"/>
      <c r="AS29" s="376"/>
      <c r="AT29" s="376"/>
      <c r="AU29" s="376"/>
      <c r="AV29" s="376"/>
      <c r="AW29" s="376"/>
      <c r="AX29" s="376"/>
      <c r="AY29" s="376"/>
      <c r="AZ29" s="376"/>
      <c r="BA29" s="376"/>
    </row>
    <row r="30" spans="1:53" ht="35.25" customHeight="1" x14ac:dyDescent="0.35">
      <c r="A30" s="234" t="str">
        <f>IF(Y30="X",CONCATENATE("NC-",COUNTA(Y$25:Y30)),IF(Z30="X",CONCATENATE("Obs-",COUNTA(Z$25:Z30)),"-"))</f>
        <v>-</v>
      </c>
      <c r="C30" s="363"/>
      <c r="D30" s="364"/>
      <c r="E30" s="365"/>
      <c r="F30" s="366"/>
      <c r="G30" s="364"/>
      <c r="H30" s="364"/>
      <c r="I30" s="364"/>
      <c r="J30" s="364"/>
      <c r="K30" s="364"/>
      <c r="L30" s="364"/>
      <c r="M30" s="364"/>
      <c r="N30" s="364"/>
      <c r="O30" s="365"/>
      <c r="P30" s="366"/>
      <c r="Q30" s="364"/>
      <c r="R30" s="364"/>
      <c r="S30" s="364"/>
      <c r="T30" s="364"/>
      <c r="U30" s="364"/>
      <c r="V30" s="364"/>
      <c r="W30" s="364"/>
      <c r="X30" s="147"/>
      <c r="Y30" s="130"/>
      <c r="Z30" s="130"/>
      <c r="AA30" s="367"/>
      <c r="AB30" s="367"/>
      <c r="AC30" s="366"/>
      <c r="AD30" s="364"/>
      <c r="AE30" s="364"/>
      <c r="AF30" s="364"/>
      <c r="AG30" s="364"/>
      <c r="AH30" s="364"/>
      <c r="AI30" s="364"/>
      <c r="AJ30" s="364"/>
      <c r="AK30" s="364"/>
      <c r="AL30" s="368"/>
      <c r="AO30" s="248" t="s">
        <v>58</v>
      </c>
      <c r="AP30" s="375" t="s">
        <v>59</v>
      </c>
      <c r="AQ30" s="375"/>
      <c r="AR30" s="375"/>
      <c r="AS30" s="375"/>
      <c r="AT30" s="375"/>
      <c r="AU30" s="375"/>
      <c r="AV30" s="375"/>
      <c r="AW30" s="375"/>
      <c r="AX30" s="375"/>
      <c r="AY30" s="375"/>
      <c r="AZ30" s="375"/>
      <c r="BA30" s="375"/>
    </row>
    <row r="31" spans="1:53" ht="35.25" customHeight="1" x14ac:dyDescent="0.35">
      <c r="A31" s="234" t="str">
        <f>IF(Y31="X",CONCATENATE("NC-",COUNTA(Y$25:Y31)),IF(Z31="X",CONCATENATE("Obs-",COUNTA(Z$25:Z31)),"-"))</f>
        <v>-</v>
      </c>
      <c r="C31" s="369"/>
      <c r="D31" s="370"/>
      <c r="E31" s="371"/>
      <c r="F31" s="372"/>
      <c r="G31" s="370"/>
      <c r="H31" s="370"/>
      <c r="I31" s="370"/>
      <c r="J31" s="370"/>
      <c r="K31" s="370"/>
      <c r="L31" s="370"/>
      <c r="M31" s="370"/>
      <c r="N31" s="370"/>
      <c r="O31" s="371"/>
      <c r="P31" s="372"/>
      <c r="Q31" s="370"/>
      <c r="R31" s="370"/>
      <c r="S31" s="370"/>
      <c r="T31" s="370"/>
      <c r="U31" s="370"/>
      <c r="V31" s="370"/>
      <c r="W31" s="370"/>
      <c r="X31" s="148"/>
      <c r="Y31" s="131"/>
      <c r="Z31" s="131"/>
      <c r="AA31" s="373"/>
      <c r="AB31" s="373"/>
      <c r="AC31" s="372"/>
      <c r="AD31" s="370"/>
      <c r="AE31" s="370"/>
      <c r="AF31" s="370"/>
      <c r="AG31" s="370"/>
      <c r="AH31" s="370"/>
      <c r="AI31" s="370"/>
      <c r="AJ31" s="370"/>
      <c r="AK31" s="370"/>
      <c r="AL31" s="374"/>
      <c r="AO31" s="247" t="s">
        <v>60</v>
      </c>
      <c r="AP31" s="376" t="s">
        <v>61</v>
      </c>
      <c r="AQ31" s="376"/>
      <c r="AR31" s="376"/>
      <c r="AS31" s="376"/>
      <c r="AT31" s="376"/>
      <c r="AU31" s="376"/>
      <c r="AV31" s="376"/>
      <c r="AW31" s="376"/>
      <c r="AX31" s="376"/>
      <c r="AY31" s="376"/>
      <c r="AZ31" s="376"/>
      <c r="BA31" s="376"/>
    </row>
    <row r="32" spans="1:53" ht="35.25" customHeight="1" x14ac:dyDescent="0.35">
      <c r="A32" s="234" t="str">
        <f>IF(Y32="X",CONCATENATE("NC-",COUNTA(Y$25:Y32)),IF(Z32="X",CONCATENATE("Obs-",COUNTA(Z$25:Z32)),"-"))</f>
        <v>-</v>
      </c>
      <c r="C32" s="363"/>
      <c r="D32" s="364"/>
      <c r="E32" s="365"/>
      <c r="F32" s="366"/>
      <c r="G32" s="364"/>
      <c r="H32" s="364"/>
      <c r="I32" s="364"/>
      <c r="J32" s="364"/>
      <c r="K32" s="364"/>
      <c r="L32" s="364"/>
      <c r="M32" s="364"/>
      <c r="N32" s="364"/>
      <c r="O32" s="365"/>
      <c r="P32" s="366"/>
      <c r="Q32" s="364"/>
      <c r="R32" s="364"/>
      <c r="S32" s="364"/>
      <c r="T32" s="364"/>
      <c r="U32" s="364"/>
      <c r="V32" s="364"/>
      <c r="W32" s="364"/>
      <c r="X32" s="147"/>
      <c r="Y32" s="130"/>
      <c r="Z32" s="130"/>
      <c r="AA32" s="367"/>
      <c r="AB32" s="367"/>
      <c r="AC32" s="366"/>
      <c r="AD32" s="364"/>
      <c r="AE32" s="364"/>
      <c r="AF32" s="364"/>
      <c r="AG32" s="364"/>
      <c r="AH32" s="364"/>
      <c r="AI32" s="364"/>
      <c r="AJ32" s="364"/>
      <c r="AK32" s="364"/>
      <c r="AL32" s="368"/>
      <c r="AO32" s="248" t="s">
        <v>62</v>
      </c>
      <c r="AP32" s="375" t="s">
        <v>63</v>
      </c>
      <c r="AQ32" s="375"/>
      <c r="AR32" s="375"/>
      <c r="AS32" s="375"/>
      <c r="AT32" s="375"/>
      <c r="AU32" s="375"/>
      <c r="AV32" s="375"/>
      <c r="AW32" s="375"/>
      <c r="AX32" s="375"/>
      <c r="AY32" s="375"/>
      <c r="AZ32" s="375"/>
      <c r="BA32" s="375"/>
    </row>
    <row r="33" spans="1:53" ht="35.25" customHeight="1" x14ac:dyDescent="0.35">
      <c r="A33" s="234" t="str">
        <f>IF(Y33="X",CONCATENATE("NC-",COUNTA(Y$25:Y33)),IF(Z33="X",CONCATENATE("Obs-",COUNTA(Z$25:Z33)),"-"))</f>
        <v>-</v>
      </c>
      <c r="C33" s="369"/>
      <c r="D33" s="370"/>
      <c r="E33" s="371"/>
      <c r="F33" s="372"/>
      <c r="G33" s="370"/>
      <c r="H33" s="370"/>
      <c r="I33" s="370"/>
      <c r="J33" s="370"/>
      <c r="K33" s="370"/>
      <c r="L33" s="370"/>
      <c r="M33" s="370"/>
      <c r="N33" s="370"/>
      <c r="O33" s="371"/>
      <c r="P33" s="372"/>
      <c r="Q33" s="370"/>
      <c r="R33" s="370"/>
      <c r="S33" s="370"/>
      <c r="T33" s="370"/>
      <c r="U33" s="370"/>
      <c r="V33" s="370"/>
      <c r="W33" s="370"/>
      <c r="X33" s="148"/>
      <c r="Y33" s="131"/>
      <c r="Z33" s="131"/>
      <c r="AA33" s="373"/>
      <c r="AB33" s="373"/>
      <c r="AC33" s="372"/>
      <c r="AD33" s="370"/>
      <c r="AE33" s="370"/>
      <c r="AF33" s="370"/>
      <c r="AG33" s="370"/>
      <c r="AH33" s="370"/>
      <c r="AI33" s="370"/>
      <c r="AJ33" s="370"/>
      <c r="AK33" s="370"/>
      <c r="AL33" s="374"/>
      <c r="AO33" s="247" t="s">
        <v>64</v>
      </c>
      <c r="AP33" s="376" t="s">
        <v>65</v>
      </c>
      <c r="AQ33" s="376"/>
      <c r="AR33" s="376"/>
      <c r="AS33" s="376"/>
      <c r="AT33" s="376"/>
      <c r="AU33" s="376"/>
      <c r="AV33" s="376"/>
      <c r="AW33" s="376"/>
      <c r="AX33" s="376"/>
      <c r="AY33" s="376"/>
      <c r="AZ33" s="376"/>
      <c r="BA33" s="376"/>
    </row>
    <row r="34" spans="1:53" ht="35.25" customHeight="1" x14ac:dyDescent="0.35">
      <c r="A34" s="234" t="str">
        <f>IF(Y34="X",CONCATENATE("NC-",COUNTA(Y$25:Y34)),IF(Z34="X",CONCATENATE("Obs-",COUNTA(Z$25:Z34)),"-"))</f>
        <v>-</v>
      </c>
      <c r="C34" s="363"/>
      <c r="D34" s="364"/>
      <c r="E34" s="365"/>
      <c r="F34" s="366"/>
      <c r="G34" s="364"/>
      <c r="H34" s="364"/>
      <c r="I34" s="364"/>
      <c r="J34" s="364"/>
      <c r="K34" s="364"/>
      <c r="L34" s="364"/>
      <c r="M34" s="364"/>
      <c r="N34" s="364"/>
      <c r="O34" s="365"/>
      <c r="P34" s="366"/>
      <c r="Q34" s="364"/>
      <c r="R34" s="364"/>
      <c r="S34" s="364"/>
      <c r="T34" s="364"/>
      <c r="U34" s="364"/>
      <c r="V34" s="364"/>
      <c r="W34" s="364"/>
      <c r="X34" s="147"/>
      <c r="Y34" s="130"/>
      <c r="Z34" s="130"/>
      <c r="AA34" s="367"/>
      <c r="AB34" s="367"/>
      <c r="AC34" s="366"/>
      <c r="AD34" s="364"/>
      <c r="AE34" s="364"/>
      <c r="AF34" s="364"/>
      <c r="AG34" s="364"/>
      <c r="AH34" s="364"/>
      <c r="AI34" s="364"/>
      <c r="AJ34" s="364"/>
      <c r="AK34" s="364"/>
      <c r="AL34" s="368"/>
      <c r="AO34" s="248" t="s">
        <v>66</v>
      </c>
      <c r="AP34" s="375" t="s">
        <v>67</v>
      </c>
      <c r="AQ34" s="375"/>
      <c r="AR34" s="375"/>
      <c r="AS34" s="375"/>
      <c r="AT34" s="375"/>
      <c r="AU34" s="375"/>
      <c r="AV34" s="375"/>
      <c r="AW34" s="375"/>
      <c r="AX34" s="375"/>
      <c r="AY34" s="375"/>
      <c r="AZ34" s="375"/>
      <c r="BA34" s="375"/>
    </row>
    <row r="35" spans="1:53" ht="35.25" customHeight="1" x14ac:dyDescent="0.35">
      <c r="A35" s="234" t="str">
        <f>IF(Y35="X",CONCATENATE("NC-",COUNTA(Y$25:Y35)),IF(Z35="X",CONCATENATE("Obs-",COUNTA(Z$25:Z35)),"-"))</f>
        <v>-</v>
      </c>
      <c r="C35" s="369"/>
      <c r="D35" s="370"/>
      <c r="E35" s="371"/>
      <c r="F35" s="372"/>
      <c r="G35" s="370"/>
      <c r="H35" s="370"/>
      <c r="I35" s="370"/>
      <c r="J35" s="370"/>
      <c r="K35" s="370"/>
      <c r="L35" s="370"/>
      <c r="M35" s="370"/>
      <c r="N35" s="370"/>
      <c r="O35" s="371"/>
      <c r="P35" s="372"/>
      <c r="Q35" s="370"/>
      <c r="R35" s="370"/>
      <c r="S35" s="370"/>
      <c r="T35" s="370"/>
      <c r="U35" s="370"/>
      <c r="V35" s="370"/>
      <c r="W35" s="370"/>
      <c r="X35" s="148"/>
      <c r="Y35" s="131"/>
      <c r="Z35" s="131"/>
      <c r="AA35" s="373"/>
      <c r="AB35" s="373"/>
      <c r="AC35" s="372"/>
      <c r="AD35" s="370"/>
      <c r="AE35" s="370"/>
      <c r="AF35" s="370"/>
      <c r="AG35" s="370"/>
      <c r="AH35" s="370"/>
      <c r="AI35" s="370"/>
      <c r="AJ35" s="370"/>
      <c r="AK35" s="370"/>
      <c r="AL35" s="374"/>
      <c r="AO35" s="247" t="s">
        <v>68</v>
      </c>
      <c r="AP35" s="376" t="s">
        <v>69</v>
      </c>
      <c r="AQ35" s="376"/>
      <c r="AR35" s="376"/>
      <c r="AS35" s="376"/>
      <c r="AT35" s="376"/>
      <c r="AU35" s="376"/>
      <c r="AV35" s="376"/>
      <c r="AW35" s="376"/>
      <c r="AX35" s="376"/>
      <c r="AY35" s="376"/>
      <c r="AZ35" s="376"/>
      <c r="BA35" s="376"/>
    </row>
    <row r="36" spans="1:53" ht="35.25" customHeight="1" x14ac:dyDescent="0.35">
      <c r="A36" s="234" t="str">
        <f>IF(Y36="X",CONCATENATE("NC-",COUNTA(Y$25:Y36)),IF(Z36="X",CONCATENATE("Obs-",COUNTA(Z$25:Z36)),"-"))</f>
        <v>-</v>
      </c>
      <c r="C36" s="363"/>
      <c r="D36" s="364"/>
      <c r="E36" s="365"/>
      <c r="F36" s="366"/>
      <c r="G36" s="364"/>
      <c r="H36" s="364"/>
      <c r="I36" s="364"/>
      <c r="J36" s="364"/>
      <c r="K36" s="364"/>
      <c r="L36" s="364"/>
      <c r="M36" s="364"/>
      <c r="N36" s="364"/>
      <c r="O36" s="365"/>
      <c r="P36" s="366"/>
      <c r="Q36" s="364"/>
      <c r="R36" s="364"/>
      <c r="S36" s="364"/>
      <c r="T36" s="364"/>
      <c r="U36" s="364"/>
      <c r="V36" s="364"/>
      <c r="W36" s="364"/>
      <c r="X36" s="147"/>
      <c r="Y36" s="130"/>
      <c r="Z36" s="130"/>
      <c r="AA36" s="367"/>
      <c r="AB36" s="367"/>
      <c r="AC36" s="366"/>
      <c r="AD36" s="364"/>
      <c r="AE36" s="364"/>
      <c r="AF36" s="364"/>
      <c r="AG36" s="364"/>
      <c r="AH36" s="364"/>
      <c r="AI36" s="364"/>
      <c r="AJ36" s="364"/>
      <c r="AK36" s="364"/>
      <c r="AL36" s="368"/>
      <c r="AO36" s="248" t="s">
        <v>70</v>
      </c>
      <c r="AP36" s="375" t="s">
        <v>71</v>
      </c>
      <c r="AQ36" s="375"/>
      <c r="AR36" s="375"/>
      <c r="AS36" s="375"/>
      <c r="AT36" s="375"/>
      <c r="AU36" s="375"/>
      <c r="AV36" s="375"/>
      <c r="AW36" s="375"/>
      <c r="AX36" s="375"/>
      <c r="AY36" s="375"/>
      <c r="AZ36" s="375"/>
      <c r="BA36" s="375"/>
    </row>
    <row r="37" spans="1:53" ht="35.25" customHeight="1" x14ac:dyDescent="0.35">
      <c r="A37" s="234" t="str">
        <f>IF(Y37="X",CONCATENATE("NC-",COUNTA(Y$25:Y37)),IF(Z37="X",CONCATENATE("Obs-",COUNTA(Z$25:Z37)),"-"))</f>
        <v>-</v>
      </c>
      <c r="C37" s="369"/>
      <c r="D37" s="370"/>
      <c r="E37" s="371"/>
      <c r="F37" s="372"/>
      <c r="G37" s="370"/>
      <c r="H37" s="370"/>
      <c r="I37" s="370"/>
      <c r="J37" s="370"/>
      <c r="K37" s="370"/>
      <c r="L37" s="370"/>
      <c r="M37" s="370"/>
      <c r="N37" s="370"/>
      <c r="O37" s="371"/>
      <c r="P37" s="372"/>
      <c r="Q37" s="370"/>
      <c r="R37" s="370"/>
      <c r="S37" s="370"/>
      <c r="T37" s="370"/>
      <c r="U37" s="370"/>
      <c r="V37" s="370"/>
      <c r="W37" s="370"/>
      <c r="X37" s="148"/>
      <c r="Y37" s="131"/>
      <c r="Z37" s="131"/>
      <c r="AA37" s="373"/>
      <c r="AB37" s="373"/>
      <c r="AC37" s="372"/>
      <c r="AD37" s="370"/>
      <c r="AE37" s="370"/>
      <c r="AF37" s="370"/>
      <c r="AG37" s="370"/>
      <c r="AH37" s="370"/>
      <c r="AI37" s="370"/>
      <c r="AJ37" s="370"/>
      <c r="AK37" s="370"/>
      <c r="AL37" s="374"/>
      <c r="AO37" s="247" t="s">
        <v>72</v>
      </c>
      <c r="AP37" s="376" t="s">
        <v>73</v>
      </c>
      <c r="AQ37" s="376"/>
      <c r="AR37" s="376"/>
      <c r="AS37" s="376"/>
      <c r="AT37" s="376"/>
      <c r="AU37" s="376"/>
      <c r="AV37" s="376"/>
      <c r="AW37" s="376"/>
      <c r="AX37" s="376"/>
      <c r="AY37" s="376"/>
      <c r="AZ37" s="376"/>
      <c r="BA37" s="376"/>
    </row>
    <row r="38" spans="1:53" ht="35.25" customHeight="1" x14ac:dyDescent="0.35">
      <c r="A38" s="234" t="str">
        <f>IF(Y38="X",CONCATENATE("NC-",COUNTA(Y$25:Y38)),IF(Z38="X",CONCATENATE("Obs-",COUNTA(Z$25:Z38)),"-"))</f>
        <v>-</v>
      </c>
      <c r="C38" s="363"/>
      <c r="D38" s="364"/>
      <c r="E38" s="365"/>
      <c r="F38" s="366"/>
      <c r="G38" s="364"/>
      <c r="H38" s="364"/>
      <c r="I38" s="364"/>
      <c r="J38" s="364"/>
      <c r="K38" s="364"/>
      <c r="L38" s="364"/>
      <c r="M38" s="364"/>
      <c r="N38" s="364"/>
      <c r="O38" s="365"/>
      <c r="P38" s="366"/>
      <c r="Q38" s="364"/>
      <c r="R38" s="364"/>
      <c r="S38" s="364"/>
      <c r="T38" s="364"/>
      <c r="U38" s="364"/>
      <c r="V38" s="364"/>
      <c r="W38" s="364"/>
      <c r="X38" s="147"/>
      <c r="Y38" s="130"/>
      <c r="Z38" s="130"/>
      <c r="AA38" s="367"/>
      <c r="AB38" s="367"/>
      <c r="AC38" s="366"/>
      <c r="AD38" s="364"/>
      <c r="AE38" s="364"/>
      <c r="AF38" s="364"/>
      <c r="AG38" s="364"/>
      <c r="AH38" s="364"/>
      <c r="AI38" s="364"/>
      <c r="AJ38" s="364"/>
      <c r="AK38" s="364"/>
      <c r="AL38" s="368"/>
      <c r="AO38" s="248" t="s">
        <v>74</v>
      </c>
      <c r="AP38" s="375" t="s">
        <v>75</v>
      </c>
      <c r="AQ38" s="375"/>
      <c r="AR38" s="375"/>
      <c r="AS38" s="375"/>
      <c r="AT38" s="375"/>
      <c r="AU38" s="375"/>
      <c r="AV38" s="375"/>
      <c r="AW38" s="375"/>
      <c r="AX38" s="375"/>
      <c r="AY38" s="375"/>
      <c r="AZ38" s="375"/>
      <c r="BA38" s="375"/>
    </row>
    <row r="39" spans="1:53" ht="35.25" customHeight="1" x14ac:dyDescent="0.35">
      <c r="A39" s="234" t="str">
        <f>IF(Y39="X",CONCATENATE("NC-",COUNTA(Y$25:Y39)),IF(Z39="X",CONCATENATE("Obs-",COUNTA(Z$25:Z39)),"-"))</f>
        <v>-</v>
      </c>
      <c r="C39" s="369"/>
      <c r="D39" s="370"/>
      <c r="E39" s="371"/>
      <c r="F39" s="372"/>
      <c r="G39" s="370"/>
      <c r="H39" s="370"/>
      <c r="I39" s="370"/>
      <c r="J39" s="370"/>
      <c r="K39" s="370"/>
      <c r="L39" s="370"/>
      <c r="M39" s="370"/>
      <c r="N39" s="370"/>
      <c r="O39" s="371"/>
      <c r="P39" s="372"/>
      <c r="Q39" s="370"/>
      <c r="R39" s="370"/>
      <c r="S39" s="370"/>
      <c r="T39" s="370"/>
      <c r="U39" s="370"/>
      <c r="V39" s="370"/>
      <c r="W39" s="370"/>
      <c r="X39" s="148"/>
      <c r="Y39" s="131"/>
      <c r="Z39" s="131"/>
      <c r="AA39" s="373"/>
      <c r="AB39" s="373"/>
      <c r="AC39" s="372"/>
      <c r="AD39" s="370"/>
      <c r="AE39" s="370"/>
      <c r="AF39" s="370"/>
      <c r="AG39" s="370"/>
      <c r="AH39" s="370"/>
      <c r="AI39" s="370"/>
      <c r="AJ39" s="370"/>
      <c r="AK39" s="370"/>
      <c r="AL39" s="374"/>
      <c r="AO39" s="246"/>
      <c r="AP39" s="375" t="s">
        <v>76</v>
      </c>
      <c r="AQ39" s="375"/>
      <c r="AR39" s="375"/>
      <c r="AS39" s="375"/>
      <c r="AT39" s="375"/>
      <c r="AU39" s="375"/>
      <c r="AV39" s="375"/>
      <c r="AW39" s="375"/>
      <c r="AX39" s="375"/>
      <c r="AY39" s="375"/>
      <c r="AZ39" s="375"/>
      <c r="BA39" s="375"/>
    </row>
    <row r="40" spans="1:53" ht="35.25" customHeight="1" x14ac:dyDescent="0.35">
      <c r="A40" s="234" t="str">
        <f>IF(Y40="X",CONCATENATE("NC-",COUNTA(Y$25:Y40)),IF(Z40="X",CONCATENATE("Obs-",COUNTA(Z$25:Z40)),"-"))</f>
        <v>-</v>
      </c>
      <c r="C40" s="363"/>
      <c r="D40" s="364"/>
      <c r="E40" s="365"/>
      <c r="F40" s="366"/>
      <c r="G40" s="364"/>
      <c r="H40" s="364"/>
      <c r="I40" s="364"/>
      <c r="J40" s="364"/>
      <c r="K40" s="364"/>
      <c r="L40" s="364"/>
      <c r="M40" s="364"/>
      <c r="N40" s="364"/>
      <c r="O40" s="365"/>
      <c r="P40" s="366"/>
      <c r="Q40" s="364"/>
      <c r="R40" s="364"/>
      <c r="S40" s="364"/>
      <c r="T40" s="364"/>
      <c r="U40" s="364"/>
      <c r="V40" s="364"/>
      <c r="W40" s="364"/>
      <c r="X40" s="147"/>
      <c r="Y40" s="130"/>
      <c r="Z40" s="130"/>
      <c r="AA40" s="367"/>
      <c r="AB40" s="367"/>
      <c r="AC40" s="366"/>
      <c r="AD40" s="364"/>
      <c r="AE40" s="364"/>
      <c r="AF40" s="364"/>
      <c r="AG40" s="364"/>
      <c r="AH40" s="364"/>
      <c r="AI40" s="364"/>
      <c r="AJ40" s="364"/>
      <c r="AK40" s="364"/>
      <c r="AL40" s="368"/>
    </row>
    <row r="41" spans="1:53" ht="35.25" customHeight="1" x14ac:dyDescent="0.35">
      <c r="A41" s="234" t="str">
        <f>IF(Y41="X",CONCATENATE("NC-",COUNTA(Y$25:Y41)),IF(Z41="X",CONCATENATE("Obs-",COUNTA(Z$25:Z41)),"-"))</f>
        <v>-</v>
      </c>
      <c r="C41" s="369"/>
      <c r="D41" s="370"/>
      <c r="E41" s="371"/>
      <c r="F41" s="372"/>
      <c r="G41" s="370"/>
      <c r="H41" s="370"/>
      <c r="I41" s="370"/>
      <c r="J41" s="370"/>
      <c r="K41" s="370"/>
      <c r="L41" s="370"/>
      <c r="M41" s="370"/>
      <c r="N41" s="370"/>
      <c r="O41" s="371"/>
      <c r="P41" s="372"/>
      <c r="Q41" s="370"/>
      <c r="R41" s="370"/>
      <c r="S41" s="370"/>
      <c r="T41" s="370"/>
      <c r="U41" s="370"/>
      <c r="V41" s="370"/>
      <c r="W41" s="370"/>
      <c r="X41" s="148"/>
      <c r="Y41" s="131"/>
      <c r="Z41" s="131"/>
      <c r="AA41" s="373"/>
      <c r="AB41" s="373"/>
      <c r="AC41" s="372"/>
      <c r="AD41" s="370"/>
      <c r="AE41" s="370"/>
      <c r="AF41" s="370"/>
      <c r="AG41" s="370"/>
      <c r="AH41" s="370"/>
      <c r="AI41" s="370"/>
      <c r="AJ41" s="370"/>
      <c r="AK41" s="370"/>
      <c r="AL41" s="374"/>
    </row>
    <row r="42" spans="1:53" ht="35.25" customHeight="1" x14ac:dyDescent="0.35">
      <c r="A42" s="234" t="str">
        <f>IF(Y42="X",CONCATENATE("NC-",COUNTA(Y$25:Y42)),IF(Z42="X",CONCATENATE("Obs-",COUNTA(Z$25:Z42)),"-"))</f>
        <v>-</v>
      </c>
      <c r="C42" s="363"/>
      <c r="D42" s="364"/>
      <c r="E42" s="365"/>
      <c r="F42" s="366"/>
      <c r="G42" s="364"/>
      <c r="H42" s="364"/>
      <c r="I42" s="364"/>
      <c r="J42" s="364"/>
      <c r="K42" s="364"/>
      <c r="L42" s="364"/>
      <c r="M42" s="364"/>
      <c r="N42" s="364"/>
      <c r="O42" s="365"/>
      <c r="P42" s="366"/>
      <c r="Q42" s="364"/>
      <c r="R42" s="364"/>
      <c r="S42" s="364"/>
      <c r="T42" s="364"/>
      <c r="U42" s="364"/>
      <c r="V42" s="364"/>
      <c r="W42" s="364"/>
      <c r="X42" s="147"/>
      <c r="Y42" s="130"/>
      <c r="Z42" s="130"/>
      <c r="AA42" s="367"/>
      <c r="AB42" s="367"/>
      <c r="AC42" s="366"/>
      <c r="AD42" s="364"/>
      <c r="AE42" s="364"/>
      <c r="AF42" s="364"/>
      <c r="AG42" s="364"/>
      <c r="AH42" s="364"/>
      <c r="AI42" s="364"/>
      <c r="AJ42" s="364"/>
      <c r="AK42" s="364"/>
      <c r="AL42" s="368"/>
    </row>
    <row r="43" spans="1:53" ht="35.25" customHeight="1" x14ac:dyDescent="0.35">
      <c r="A43" s="234" t="str">
        <f>IF(Y43="X",CONCATENATE("NC-",COUNTA(Y$25:Y43)),IF(Z43="X",CONCATENATE("Obs-",COUNTA(Z$25:Z43)),"-"))</f>
        <v>-</v>
      </c>
      <c r="C43" s="369"/>
      <c r="D43" s="370"/>
      <c r="E43" s="371"/>
      <c r="F43" s="372"/>
      <c r="G43" s="370"/>
      <c r="H43" s="370"/>
      <c r="I43" s="370"/>
      <c r="J43" s="370"/>
      <c r="K43" s="370"/>
      <c r="L43" s="370"/>
      <c r="M43" s="370"/>
      <c r="N43" s="370"/>
      <c r="O43" s="371"/>
      <c r="P43" s="372"/>
      <c r="Q43" s="370"/>
      <c r="R43" s="370"/>
      <c r="S43" s="370"/>
      <c r="T43" s="370"/>
      <c r="U43" s="370"/>
      <c r="V43" s="370"/>
      <c r="W43" s="370"/>
      <c r="X43" s="148"/>
      <c r="Y43" s="131"/>
      <c r="Z43" s="131"/>
      <c r="AA43" s="373"/>
      <c r="AB43" s="373"/>
      <c r="AC43" s="372"/>
      <c r="AD43" s="370"/>
      <c r="AE43" s="370"/>
      <c r="AF43" s="370"/>
      <c r="AG43" s="370"/>
      <c r="AH43" s="370"/>
      <c r="AI43" s="370"/>
      <c r="AJ43" s="370"/>
      <c r="AK43" s="370"/>
      <c r="AL43" s="374"/>
    </row>
    <row r="44" spans="1:53" ht="35.25" customHeight="1" x14ac:dyDescent="0.35">
      <c r="A44" s="234" t="str">
        <f>IF(Y44="X",CONCATENATE("NC-",COUNTA(Y$25:Y44)),IF(Z44="X",CONCATENATE("Obs-",COUNTA(Z$25:Z44)),"-"))</f>
        <v>-</v>
      </c>
      <c r="C44" s="363"/>
      <c r="D44" s="364"/>
      <c r="E44" s="365"/>
      <c r="F44" s="366"/>
      <c r="G44" s="364"/>
      <c r="H44" s="364"/>
      <c r="I44" s="364"/>
      <c r="J44" s="364"/>
      <c r="K44" s="364"/>
      <c r="L44" s="364"/>
      <c r="M44" s="364"/>
      <c r="N44" s="364"/>
      <c r="O44" s="365"/>
      <c r="P44" s="366"/>
      <c r="Q44" s="364"/>
      <c r="R44" s="364"/>
      <c r="S44" s="364"/>
      <c r="T44" s="364"/>
      <c r="U44" s="364"/>
      <c r="V44" s="364"/>
      <c r="W44" s="364"/>
      <c r="X44" s="147"/>
      <c r="Y44" s="130"/>
      <c r="Z44" s="130"/>
      <c r="AA44" s="367"/>
      <c r="AB44" s="367"/>
      <c r="AC44" s="366"/>
      <c r="AD44" s="364"/>
      <c r="AE44" s="364"/>
      <c r="AF44" s="364"/>
      <c r="AG44" s="364"/>
      <c r="AH44" s="364"/>
      <c r="AI44" s="364"/>
      <c r="AJ44" s="364"/>
      <c r="AK44" s="364"/>
      <c r="AL44" s="368"/>
    </row>
    <row r="45" spans="1:53" ht="35.25" customHeight="1" x14ac:dyDescent="0.35">
      <c r="A45" s="234" t="str">
        <f>IF(Y45="X",CONCATENATE("NC-",COUNTA(Y$25:Y45)),IF(Z45="X",CONCATENATE("Obs-",COUNTA(Z$25:Z45)),"-"))</f>
        <v>-</v>
      </c>
      <c r="C45" s="369"/>
      <c r="D45" s="370"/>
      <c r="E45" s="371"/>
      <c r="F45" s="372"/>
      <c r="G45" s="370"/>
      <c r="H45" s="370"/>
      <c r="I45" s="370"/>
      <c r="J45" s="370"/>
      <c r="K45" s="370"/>
      <c r="L45" s="370"/>
      <c r="M45" s="370"/>
      <c r="N45" s="370"/>
      <c r="O45" s="371"/>
      <c r="P45" s="372"/>
      <c r="Q45" s="370"/>
      <c r="R45" s="370"/>
      <c r="S45" s="370"/>
      <c r="T45" s="370"/>
      <c r="U45" s="370"/>
      <c r="V45" s="370"/>
      <c r="W45" s="370"/>
      <c r="X45" s="148"/>
      <c r="Y45" s="131"/>
      <c r="Z45" s="131"/>
      <c r="AA45" s="373"/>
      <c r="AB45" s="373"/>
      <c r="AC45" s="372"/>
      <c r="AD45" s="370"/>
      <c r="AE45" s="370"/>
      <c r="AF45" s="370"/>
      <c r="AG45" s="370"/>
      <c r="AH45" s="370"/>
      <c r="AI45" s="370"/>
      <c r="AJ45" s="370"/>
      <c r="AK45" s="370"/>
      <c r="AL45" s="374"/>
    </row>
    <row r="46" spans="1:53" ht="35.25" customHeight="1" x14ac:dyDescent="0.35">
      <c r="A46" s="234" t="str">
        <f>IF(Y46="X",CONCATENATE("NC-",COUNTA(Y$25:Y46)),IF(Z46="X",CONCATENATE("Obs-",COUNTA(Z$25:Z46)),"-"))</f>
        <v>-</v>
      </c>
      <c r="C46" s="363"/>
      <c r="D46" s="364"/>
      <c r="E46" s="365"/>
      <c r="F46" s="366"/>
      <c r="G46" s="364"/>
      <c r="H46" s="364"/>
      <c r="I46" s="364"/>
      <c r="J46" s="364"/>
      <c r="K46" s="364"/>
      <c r="L46" s="364"/>
      <c r="M46" s="364"/>
      <c r="N46" s="364"/>
      <c r="O46" s="365"/>
      <c r="P46" s="366"/>
      <c r="Q46" s="364"/>
      <c r="R46" s="364"/>
      <c r="S46" s="364"/>
      <c r="T46" s="364"/>
      <c r="U46" s="364"/>
      <c r="V46" s="364"/>
      <c r="W46" s="364"/>
      <c r="X46" s="147"/>
      <c r="Y46" s="130"/>
      <c r="Z46" s="130"/>
      <c r="AA46" s="367"/>
      <c r="AB46" s="367"/>
      <c r="AC46" s="366"/>
      <c r="AD46" s="364"/>
      <c r="AE46" s="364"/>
      <c r="AF46" s="364"/>
      <c r="AG46" s="364"/>
      <c r="AH46" s="364"/>
      <c r="AI46" s="364"/>
      <c r="AJ46" s="364"/>
      <c r="AK46" s="364"/>
      <c r="AL46" s="368"/>
    </row>
    <row r="47" spans="1:53" ht="35.25" customHeight="1" x14ac:dyDescent="0.35">
      <c r="A47" s="234" t="str">
        <f>IF(Y47="X",CONCATENATE("NC-",COUNTA(Y$25:Y47)),IF(Z47="X",CONCATENATE("Obs-",COUNTA(Z$25:Z47)),"-"))</f>
        <v>-</v>
      </c>
      <c r="C47" s="369"/>
      <c r="D47" s="370"/>
      <c r="E47" s="371"/>
      <c r="F47" s="372"/>
      <c r="G47" s="370"/>
      <c r="H47" s="370"/>
      <c r="I47" s="370"/>
      <c r="J47" s="370"/>
      <c r="K47" s="370"/>
      <c r="L47" s="370"/>
      <c r="M47" s="370"/>
      <c r="N47" s="370"/>
      <c r="O47" s="371"/>
      <c r="P47" s="372"/>
      <c r="Q47" s="370"/>
      <c r="R47" s="370"/>
      <c r="S47" s="370"/>
      <c r="T47" s="370"/>
      <c r="U47" s="370"/>
      <c r="V47" s="370"/>
      <c r="W47" s="370"/>
      <c r="X47" s="148"/>
      <c r="Y47" s="131"/>
      <c r="Z47" s="131"/>
      <c r="AA47" s="373"/>
      <c r="AB47" s="373"/>
      <c r="AC47" s="372"/>
      <c r="AD47" s="370"/>
      <c r="AE47" s="370"/>
      <c r="AF47" s="370"/>
      <c r="AG47" s="370"/>
      <c r="AH47" s="370"/>
      <c r="AI47" s="370"/>
      <c r="AJ47" s="370"/>
      <c r="AK47" s="370"/>
      <c r="AL47" s="374"/>
    </row>
    <row r="48" spans="1:53" ht="35.25" customHeight="1" x14ac:dyDescent="0.35">
      <c r="A48" s="234" t="str">
        <f>IF(Y48="X",CONCATENATE("NC-",COUNTA(Y$25:Y48)),IF(Z48="X",CONCATENATE("Obs-",COUNTA(Z$25:Z48)),"-"))</f>
        <v>-</v>
      </c>
      <c r="C48" s="363"/>
      <c r="D48" s="364"/>
      <c r="E48" s="365"/>
      <c r="F48" s="366"/>
      <c r="G48" s="364"/>
      <c r="H48" s="364"/>
      <c r="I48" s="364"/>
      <c r="J48" s="364"/>
      <c r="K48" s="364"/>
      <c r="L48" s="364"/>
      <c r="M48" s="364"/>
      <c r="N48" s="364"/>
      <c r="O48" s="365"/>
      <c r="P48" s="366"/>
      <c r="Q48" s="364"/>
      <c r="R48" s="364"/>
      <c r="S48" s="364"/>
      <c r="T48" s="364"/>
      <c r="U48" s="364"/>
      <c r="V48" s="364"/>
      <c r="W48" s="364"/>
      <c r="X48" s="147"/>
      <c r="Y48" s="130"/>
      <c r="Z48" s="130"/>
      <c r="AA48" s="367"/>
      <c r="AB48" s="367"/>
      <c r="AC48" s="366"/>
      <c r="AD48" s="364"/>
      <c r="AE48" s="364"/>
      <c r="AF48" s="364"/>
      <c r="AG48" s="364"/>
      <c r="AH48" s="364"/>
      <c r="AI48" s="364"/>
      <c r="AJ48" s="364"/>
      <c r="AK48" s="364"/>
      <c r="AL48" s="368"/>
    </row>
    <row r="49" spans="1:53" ht="35.25" customHeight="1" x14ac:dyDescent="0.35">
      <c r="A49" s="234" t="str">
        <f>IF(Y49="X",CONCATENATE("NC-",COUNTA(Y$25:Y49)),IF(Z49="X",CONCATENATE("Obs-",COUNTA(Z$25:Z49)),"-"))</f>
        <v>-</v>
      </c>
      <c r="C49" s="369"/>
      <c r="D49" s="370"/>
      <c r="E49" s="371"/>
      <c r="F49" s="372"/>
      <c r="G49" s="370"/>
      <c r="H49" s="370"/>
      <c r="I49" s="370"/>
      <c r="J49" s="370"/>
      <c r="K49" s="370"/>
      <c r="L49" s="370"/>
      <c r="M49" s="370"/>
      <c r="N49" s="370"/>
      <c r="O49" s="371"/>
      <c r="P49" s="372"/>
      <c r="Q49" s="370"/>
      <c r="R49" s="370"/>
      <c r="S49" s="370"/>
      <c r="T49" s="370"/>
      <c r="U49" s="370"/>
      <c r="V49" s="370"/>
      <c r="W49" s="370"/>
      <c r="X49" s="148"/>
      <c r="Y49" s="131"/>
      <c r="Z49" s="131"/>
      <c r="AA49" s="373"/>
      <c r="AB49" s="373"/>
      <c r="AC49" s="372"/>
      <c r="AD49" s="370"/>
      <c r="AE49" s="370"/>
      <c r="AF49" s="370"/>
      <c r="AG49" s="370"/>
      <c r="AH49" s="370"/>
      <c r="AI49" s="370"/>
      <c r="AJ49" s="370"/>
      <c r="AK49" s="370"/>
      <c r="AL49" s="374"/>
    </row>
    <row r="50" spans="1:53" ht="35.25" customHeight="1" x14ac:dyDescent="0.35">
      <c r="A50" s="234" t="str">
        <f>IF(Y50="X",CONCATENATE("NC-",COUNTA(Y$25:Y50)),IF(Z50="X",CONCATENATE("Obs-",COUNTA(Z$25:Z50)),"-"))</f>
        <v>-</v>
      </c>
      <c r="C50" s="363"/>
      <c r="D50" s="364"/>
      <c r="E50" s="365"/>
      <c r="F50" s="366"/>
      <c r="G50" s="364"/>
      <c r="H50" s="364"/>
      <c r="I50" s="364"/>
      <c r="J50" s="364"/>
      <c r="K50" s="364"/>
      <c r="L50" s="364"/>
      <c r="M50" s="364"/>
      <c r="N50" s="364"/>
      <c r="O50" s="365"/>
      <c r="P50" s="366"/>
      <c r="Q50" s="364"/>
      <c r="R50" s="364"/>
      <c r="S50" s="364"/>
      <c r="T50" s="364"/>
      <c r="U50" s="364"/>
      <c r="V50" s="364"/>
      <c r="W50" s="364"/>
      <c r="X50" s="147"/>
      <c r="Y50" s="130"/>
      <c r="Z50" s="130"/>
      <c r="AA50" s="367"/>
      <c r="AB50" s="367"/>
      <c r="AC50" s="366"/>
      <c r="AD50" s="364"/>
      <c r="AE50" s="364"/>
      <c r="AF50" s="364"/>
      <c r="AG50" s="364"/>
      <c r="AH50" s="364"/>
      <c r="AI50" s="364"/>
      <c r="AJ50" s="364"/>
      <c r="AK50" s="364"/>
      <c r="AL50" s="368"/>
    </row>
    <row r="51" spans="1:53" ht="35.25" customHeight="1" x14ac:dyDescent="0.35">
      <c r="A51" s="234" t="str">
        <f>IF(Y51="X",CONCATENATE("NC-",COUNTA(Y$25:Y51)),IF(Z51="X",CONCATENATE("Obs-",COUNTA(Z$25:Z51)),"-"))</f>
        <v>-</v>
      </c>
      <c r="C51" s="369"/>
      <c r="D51" s="370"/>
      <c r="E51" s="371"/>
      <c r="F51" s="372"/>
      <c r="G51" s="370"/>
      <c r="H51" s="370"/>
      <c r="I51" s="370"/>
      <c r="J51" s="370"/>
      <c r="K51" s="370"/>
      <c r="L51" s="370"/>
      <c r="M51" s="370"/>
      <c r="N51" s="370"/>
      <c r="O51" s="371"/>
      <c r="P51" s="372"/>
      <c r="Q51" s="370"/>
      <c r="R51" s="370"/>
      <c r="S51" s="370"/>
      <c r="T51" s="370"/>
      <c r="U51" s="370"/>
      <c r="V51" s="370"/>
      <c r="W51" s="370"/>
      <c r="X51" s="148"/>
      <c r="Y51" s="131"/>
      <c r="Z51" s="131"/>
      <c r="AA51" s="373"/>
      <c r="AB51" s="373"/>
      <c r="AC51" s="372"/>
      <c r="AD51" s="370"/>
      <c r="AE51" s="370"/>
      <c r="AF51" s="370"/>
      <c r="AG51" s="370"/>
      <c r="AH51" s="370"/>
      <c r="AI51" s="370"/>
      <c r="AJ51" s="370"/>
      <c r="AK51" s="370"/>
      <c r="AL51" s="374"/>
    </row>
    <row r="52" spans="1:53" ht="35.25" customHeight="1" x14ac:dyDescent="0.35">
      <c r="A52" s="234" t="str">
        <f>IF(Y52="X",CONCATENATE("NC-",COUNTA(Y$25:Y52)),IF(Z52="X",CONCATENATE("Obs-",COUNTA(Z$25:Z52)),"-"))</f>
        <v>-</v>
      </c>
      <c r="C52" s="363"/>
      <c r="D52" s="364"/>
      <c r="E52" s="365"/>
      <c r="F52" s="366"/>
      <c r="G52" s="364"/>
      <c r="H52" s="364"/>
      <c r="I52" s="364"/>
      <c r="J52" s="364"/>
      <c r="K52" s="364"/>
      <c r="L52" s="364"/>
      <c r="M52" s="364"/>
      <c r="N52" s="364"/>
      <c r="O52" s="365"/>
      <c r="P52" s="366"/>
      <c r="Q52" s="364"/>
      <c r="R52" s="364"/>
      <c r="S52" s="364"/>
      <c r="T52" s="364"/>
      <c r="U52" s="364"/>
      <c r="V52" s="364"/>
      <c r="W52" s="364"/>
      <c r="X52" s="147"/>
      <c r="Y52" s="130"/>
      <c r="Z52" s="130"/>
      <c r="AA52" s="367"/>
      <c r="AB52" s="367"/>
      <c r="AC52" s="366"/>
      <c r="AD52" s="364"/>
      <c r="AE52" s="364"/>
      <c r="AF52" s="364"/>
      <c r="AG52" s="364"/>
      <c r="AH52" s="364"/>
      <c r="AI52" s="364"/>
      <c r="AJ52" s="364"/>
      <c r="AK52" s="364"/>
      <c r="AL52" s="368"/>
    </row>
    <row r="53" spans="1:53" ht="35.25" customHeight="1" x14ac:dyDescent="0.35">
      <c r="A53" s="234" t="str">
        <f>IF(Y53="X",CONCATENATE("NC-",COUNTA(Y$25:Y53)),IF(Z53="X",CONCATENATE("Obs-",COUNTA(Z$25:Z53)),"-"))</f>
        <v>-</v>
      </c>
      <c r="C53" s="369"/>
      <c r="D53" s="370"/>
      <c r="E53" s="371"/>
      <c r="F53" s="372"/>
      <c r="G53" s="370"/>
      <c r="H53" s="370"/>
      <c r="I53" s="370"/>
      <c r="J53" s="370"/>
      <c r="K53" s="370"/>
      <c r="L53" s="370"/>
      <c r="M53" s="370"/>
      <c r="N53" s="370"/>
      <c r="O53" s="371"/>
      <c r="P53" s="372"/>
      <c r="Q53" s="370"/>
      <c r="R53" s="370"/>
      <c r="S53" s="370"/>
      <c r="T53" s="370"/>
      <c r="U53" s="370"/>
      <c r="V53" s="370"/>
      <c r="W53" s="370"/>
      <c r="X53" s="148"/>
      <c r="Y53" s="131"/>
      <c r="Z53" s="131"/>
      <c r="AA53" s="373"/>
      <c r="AB53" s="373"/>
      <c r="AC53" s="372"/>
      <c r="AD53" s="370"/>
      <c r="AE53" s="370"/>
      <c r="AF53" s="370"/>
      <c r="AG53" s="370"/>
      <c r="AH53" s="370"/>
      <c r="AI53" s="370"/>
      <c r="AJ53" s="370"/>
      <c r="AK53" s="370"/>
      <c r="AL53" s="374"/>
    </row>
    <row r="54" spans="1:53" ht="35.25" customHeight="1" x14ac:dyDescent="0.35">
      <c r="A54" s="234" t="str">
        <f>IF(Y54="X",CONCATENATE("NC-",COUNTA(Y$25:Y54)),IF(Z54="X",CONCATENATE("Obs-",COUNTA(Z$25:Z54)),"-"))</f>
        <v>-</v>
      </c>
      <c r="C54" s="363"/>
      <c r="D54" s="364"/>
      <c r="E54" s="365"/>
      <c r="F54" s="366"/>
      <c r="G54" s="364"/>
      <c r="H54" s="364"/>
      <c r="I54" s="364"/>
      <c r="J54" s="364"/>
      <c r="K54" s="364"/>
      <c r="L54" s="364"/>
      <c r="M54" s="364"/>
      <c r="N54" s="364"/>
      <c r="O54" s="365"/>
      <c r="P54" s="366"/>
      <c r="Q54" s="364"/>
      <c r="R54" s="364"/>
      <c r="S54" s="364"/>
      <c r="T54" s="364"/>
      <c r="U54" s="364"/>
      <c r="V54" s="364"/>
      <c r="W54" s="364"/>
      <c r="X54" s="147"/>
      <c r="Y54" s="130"/>
      <c r="Z54" s="130"/>
      <c r="AA54" s="367"/>
      <c r="AB54" s="367"/>
      <c r="AC54" s="366"/>
      <c r="AD54" s="364"/>
      <c r="AE54" s="364"/>
      <c r="AF54" s="364"/>
      <c r="AG54" s="364"/>
      <c r="AH54" s="364"/>
      <c r="AI54" s="364"/>
      <c r="AJ54" s="364"/>
      <c r="AK54" s="364"/>
      <c r="AL54" s="368"/>
    </row>
    <row r="55" spans="1:53" ht="35.25" customHeight="1" x14ac:dyDescent="0.35">
      <c r="A55" s="234" t="str">
        <f>IF(Y55="X",CONCATENATE("NC-",COUNTA(Y$25:Y55)),IF(Z55="X",CONCATENATE("Obs-",COUNTA(Z$25:Z55)),"-"))</f>
        <v>-</v>
      </c>
      <c r="C55" s="369"/>
      <c r="D55" s="370"/>
      <c r="E55" s="371"/>
      <c r="F55" s="372"/>
      <c r="G55" s="370"/>
      <c r="H55" s="370"/>
      <c r="I55" s="370"/>
      <c r="J55" s="370"/>
      <c r="K55" s="370"/>
      <c r="L55" s="370"/>
      <c r="M55" s="370"/>
      <c r="N55" s="370"/>
      <c r="O55" s="371"/>
      <c r="P55" s="372"/>
      <c r="Q55" s="370"/>
      <c r="R55" s="370"/>
      <c r="S55" s="370"/>
      <c r="T55" s="370"/>
      <c r="U55" s="370"/>
      <c r="V55" s="370"/>
      <c r="W55" s="370"/>
      <c r="X55" s="148"/>
      <c r="Y55" s="131"/>
      <c r="Z55" s="131"/>
      <c r="AA55" s="373"/>
      <c r="AB55" s="373"/>
      <c r="AC55" s="372"/>
      <c r="AD55" s="370"/>
      <c r="AE55" s="370"/>
      <c r="AF55" s="370"/>
      <c r="AG55" s="370"/>
      <c r="AH55" s="370"/>
      <c r="AI55" s="370"/>
      <c r="AJ55" s="370"/>
      <c r="AK55" s="370"/>
      <c r="AL55" s="374"/>
    </row>
    <row r="56" spans="1:53" ht="6" customHeight="1" thickBot="1" x14ac:dyDescent="0.4"/>
    <row r="57" spans="1:53" ht="12.75" customHeight="1" x14ac:dyDescent="0.35">
      <c r="C57" s="426" t="s">
        <v>77</v>
      </c>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8"/>
    </row>
    <row r="58" spans="1:53" ht="21" customHeight="1" x14ac:dyDescent="0.35">
      <c r="C58" s="432" t="s">
        <v>78</v>
      </c>
      <c r="D58" s="433"/>
      <c r="E58" s="433"/>
      <c r="F58" s="433"/>
      <c r="G58" s="433"/>
      <c r="H58" s="433"/>
      <c r="I58" s="433"/>
      <c r="J58" s="433"/>
      <c r="K58" s="433"/>
      <c r="L58" s="433"/>
      <c r="M58" s="433"/>
      <c r="N58" s="429" t="s">
        <v>79</v>
      </c>
      <c r="O58" s="430"/>
      <c r="P58" s="429" t="s">
        <v>80</v>
      </c>
      <c r="Q58" s="430"/>
      <c r="R58" s="429" t="s">
        <v>81</v>
      </c>
      <c r="S58" s="430"/>
      <c r="T58" s="430"/>
      <c r="U58" s="432" t="s">
        <v>78</v>
      </c>
      <c r="V58" s="433"/>
      <c r="W58" s="433"/>
      <c r="X58" s="433"/>
      <c r="Y58" s="433"/>
      <c r="Z58" s="433"/>
      <c r="AA58" s="433"/>
      <c r="AB58" s="433"/>
      <c r="AC58" s="433"/>
      <c r="AD58" s="433"/>
      <c r="AE58" s="433"/>
      <c r="AF58" s="429" t="s">
        <v>79</v>
      </c>
      <c r="AG58" s="430"/>
      <c r="AH58" s="429" t="s">
        <v>80</v>
      </c>
      <c r="AI58" s="430"/>
      <c r="AJ58" s="429" t="s">
        <v>81</v>
      </c>
      <c r="AK58" s="430"/>
      <c r="AL58" s="431"/>
    </row>
    <row r="59" spans="1:53" ht="15" customHeight="1" x14ac:dyDescent="0.35">
      <c r="C59" s="451"/>
      <c r="D59" s="452"/>
      <c r="E59" s="452"/>
      <c r="F59" s="452"/>
      <c r="G59" s="452"/>
      <c r="H59" s="452"/>
      <c r="I59" s="452"/>
      <c r="J59" s="452"/>
      <c r="K59" s="452"/>
      <c r="L59" s="452"/>
      <c r="M59" s="453"/>
      <c r="N59" s="422"/>
      <c r="O59" s="423"/>
      <c r="P59" s="422"/>
      <c r="Q59" s="423"/>
      <c r="R59" s="422"/>
      <c r="S59" s="424"/>
      <c r="T59" s="424"/>
      <c r="U59" s="484"/>
      <c r="V59" s="452"/>
      <c r="W59" s="452"/>
      <c r="X59" s="452"/>
      <c r="Y59" s="452"/>
      <c r="Z59" s="452"/>
      <c r="AA59" s="452"/>
      <c r="AB59" s="452"/>
      <c r="AC59" s="452"/>
      <c r="AD59" s="452"/>
      <c r="AE59" s="453"/>
      <c r="AF59" s="422"/>
      <c r="AG59" s="423"/>
      <c r="AH59" s="422"/>
      <c r="AI59" s="423"/>
      <c r="AJ59" s="422"/>
      <c r="AK59" s="424"/>
      <c r="AL59" s="425"/>
    </row>
    <row r="60" spans="1:53" ht="15" customHeight="1" x14ac:dyDescent="0.35">
      <c r="C60" s="454"/>
      <c r="D60" s="455"/>
      <c r="E60" s="455"/>
      <c r="F60" s="455"/>
      <c r="G60" s="455"/>
      <c r="H60" s="455"/>
      <c r="I60" s="455"/>
      <c r="J60" s="455"/>
      <c r="K60" s="455"/>
      <c r="L60" s="455"/>
      <c r="M60" s="456"/>
      <c r="N60" s="434"/>
      <c r="O60" s="435"/>
      <c r="P60" s="434"/>
      <c r="Q60" s="435"/>
      <c r="R60" s="434"/>
      <c r="S60" s="445"/>
      <c r="T60" s="445"/>
      <c r="U60" s="485"/>
      <c r="V60" s="455"/>
      <c r="W60" s="455"/>
      <c r="X60" s="455"/>
      <c r="Y60" s="455"/>
      <c r="Z60" s="455"/>
      <c r="AA60" s="455"/>
      <c r="AB60" s="455"/>
      <c r="AC60" s="455"/>
      <c r="AD60" s="455"/>
      <c r="AE60" s="456"/>
      <c r="AF60" s="434"/>
      <c r="AG60" s="435"/>
      <c r="AH60" s="434"/>
      <c r="AI60" s="435"/>
      <c r="AJ60" s="434"/>
      <c r="AK60" s="445"/>
      <c r="AL60" s="446"/>
    </row>
    <row r="61" spans="1:53" ht="15" customHeight="1" thickBot="1" x14ac:dyDescent="0.4">
      <c r="C61" s="457"/>
      <c r="D61" s="458"/>
      <c r="E61" s="458"/>
      <c r="F61" s="458"/>
      <c r="G61" s="458"/>
      <c r="H61" s="458"/>
      <c r="I61" s="458"/>
      <c r="J61" s="458"/>
      <c r="K61" s="458"/>
      <c r="L61" s="458"/>
      <c r="M61" s="459"/>
      <c r="N61" s="460"/>
      <c r="O61" s="461"/>
      <c r="P61" s="460"/>
      <c r="Q61" s="461"/>
      <c r="R61" s="460"/>
      <c r="S61" s="462"/>
      <c r="T61" s="462"/>
      <c r="U61" s="483"/>
      <c r="V61" s="458"/>
      <c r="W61" s="458"/>
      <c r="X61" s="458"/>
      <c r="Y61" s="458"/>
      <c r="Z61" s="458"/>
      <c r="AA61" s="458"/>
      <c r="AB61" s="458"/>
      <c r="AC61" s="458"/>
      <c r="AD61" s="458"/>
      <c r="AE61" s="459"/>
      <c r="AF61" s="460"/>
      <c r="AG61" s="461"/>
      <c r="AH61" s="460"/>
      <c r="AI61" s="461"/>
      <c r="AJ61" s="460"/>
      <c r="AK61" s="462"/>
      <c r="AL61" s="463"/>
    </row>
    <row r="62" spans="1:53" s="10" customFormat="1" ht="6" customHeight="1" thickBot="1" x14ac:dyDescent="0.4">
      <c r="A62" s="235"/>
      <c r="B62" s="9"/>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O62" s="239"/>
      <c r="AP62" s="240"/>
      <c r="AQ62" s="240"/>
      <c r="AR62" s="240"/>
      <c r="AS62" s="240"/>
      <c r="AT62" s="240"/>
      <c r="AU62" s="240"/>
      <c r="AV62" s="240"/>
      <c r="AW62" s="240"/>
      <c r="AX62" s="241"/>
      <c r="AY62" s="241"/>
      <c r="AZ62" s="241"/>
      <c r="BA62" s="241"/>
    </row>
    <row r="63" spans="1:53" ht="12.75" customHeight="1" x14ac:dyDescent="0.35">
      <c r="C63" s="426" t="s">
        <v>82</v>
      </c>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8"/>
    </row>
    <row r="64" spans="1:53" ht="21" customHeight="1" x14ac:dyDescent="0.35">
      <c r="C64" s="432" t="s">
        <v>83</v>
      </c>
      <c r="D64" s="433"/>
      <c r="E64" s="433"/>
      <c r="F64" s="433" t="s">
        <v>84</v>
      </c>
      <c r="G64" s="433"/>
      <c r="H64" s="418" t="s">
        <v>85</v>
      </c>
      <c r="I64" s="418"/>
      <c r="J64" s="418"/>
      <c r="K64" s="418"/>
      <c r="L64" s="418"/>
      <c r="M64" s="418"/>
      <c r="N64" s="418"/>
      <c r="O64" s="418"/>
      <c r="P64" s="418"/>
      <c r="Q64" s="418"/>
      <c r="R64" s="418"/>
      <c r="S64" s="418"/>
      <c r="T64" s="418"/>
      <c r="U64" s="432" t="s">
        <v>83</v>
      </c>
      <c r="V64" s="433"/>
      <c r="W64" s="433"/>
      <c r="X64" s="433" t="s">
        <v>84</v>
      </c>
      <c r="Y64" s="433"/>
      <c r="Z64" s="418" t="s">
        <v>85</v>
      </c>
      <c r="AA64" s="418"/>
      <c r="AB64" s="418"/>
      <c r="AC64" s="418"/>
      <c r="AD64" s="418"/>
      <c r="AE64" s="418"/>
      <c r="AF64" s="418"/>
      <c r="AG64" s="418"/>
      <c r="AH64" s="418"/>
      <c r="AI64" s="418"/>
      <c r="AJ64" s="418"/>
      <c r="AK64" s="418"/>
      <c r="AL64" s="500"/>
    </row>
    <row r="65" spans="2:39" x14ac:dyDescent="0.35">
      <c r="C65" s="501"/>
      <c r="D65" s="477"/>
      <c r="E65" s="477"/>
      <c r="F65" s="477"/>
      <c r="G65" s="477"/>
      <c r="H65" s="478"/>
      <c r="I65" s="478"/>
      <c r="J65" s="478"/>
      <c r="K65" s="478"/>
      <c r="L65" s="478"/>
      <c r="M65" s="478"/>
      <c r="N65" s="478"/>
      <c r="O65" s="478"/>
      <c r="P65" s="478"/>
      <c r="Q65" s="478"/>
      <c r="R65" s="478"/>
      <c r="S65" s="478"/>
      <c r="T65" s="478"/>
      <c r="U65" s="477"/>
      <c r="V65" s="477"/>
      <c r="W65" s="477"/>
      <c r="X65" s="477"/>
      <c r="Y65" s="477"/>
      <c r="Z65" s="478"/>
      <c r="AA65" s="478"/>
      <c r="AB65" s="478"/>
      <c r="AC65" s="478"/>
      <c r="AD65" s="478"/>
      <c r="AE65" s="478"/>
      <c r="AF65" s="478"/>
      <c r="AG65" s="478"/>
      <c r="AH65" s="478"/>
      <c r="AI65" s="478"/>
      <c r="AJ65" s="478"/>
      <c r="AK65" s="478"/>
      <c r="AL65" s="479"/>
    </row>
    <row r="66" spans="2:39" x14ac:dyDescent="0.35">
      <c r="C66" s="497"/>
      <c r="D66" s="439"/>
      <c r="E66" s="439"/>
      <c r="F66" s="439"/>
      <c r="G66" s="439"/>
      <c r="H66" s="438"/>
      <c r="I66" s="438"/>
      <c r="J66" s="438"/>
      <c r="K66" s="438"/>
      <c r="L66" s="438"/>
      <c r="M66" s="438"/>
      <c r="N66" s="438"/>
      <c r="O66" s="438"/>
      <c r="P66" s="438"/>
      <c r="Q66" s="438"/>
      <c r="R66" s="438"/>
      <c r="S66" s="438"/>
      <c r="T66" s="438"/>
      <c r="U66" s="439"/>
      <c r="V66" s="439"/>
      <c r="W66" s="439"/>
      <c r="X66" s="439"/>
      <c r="Y66" s="439"/>
      <c r="Z66" s="438"/>
      <c r="AA66" s="438"/>
      <c r="AB66" s="438"/>
      <c r="AC66" s="438"/>
      <c r="AD66" s="438"/>
      <c r="AE66" s="438"/>
      <c r="AF66" s="438"/>
      <c r="AG66" s="438"/>
      <c r="AH66" s="438"/>
      <c r="AI66" s="438"/>
      <c r="AJ66" s="438"/>
      <c r="AK66" s="438"/>
      <c r="AL66" s="440"/>
    </row>
    <row r="67" spans="2:39" x14ac:dyDescent="0.35">
      <c r="C67" s="499"/>
      <c r="D67" s="480"/>
      <c r="E67" s="480"/>
      <c r="F67" s="480"/>
      <c r="G67" s="480"/>
      <c r="H67" s="481"/>
      <c r="I67" s="481"/>
      <c r="J67" s="481"/>
      <c r="K67" s="481"/>
      <c r="L67" s="481"/>
      <c r="M67" s="481"/>
      <c r="N67" s="481"/>
      <c r="O67" s="481"/>
      <c r="P67" s="481"/>
      <c r="Q67" s="481"/>
      <c r="R67" s="481"/>
      <c r="S67" s="481"/>
      <c r="T67" s="481"/>
      <c r="U67" s="480"/>
      <c r="V67" s="480"/>
      <c r="W67" s="480"/>
      <c r="X67" s="480"/>
      <c r="Y67" s="480"/>
      <c r="Z67" s="481"/>
      <c r="AA67" s="481"/>
      <c r="AB67" s="481"/>
      <c r="AC67" s="481"/>
      <c r="AD67" s="481"/>
      <c r="AE67" s="481"/>
      <c r="AF67" s="481"/>
      <c r="AG67" s="481"/>
      <c r="AH67" s="481"/>
      <c r="AI67" s="481"/>
      <c r="AJ67" s="481"/>
      <c r="AK67" s="481"/>
      <c r="AL67" s="482"/>
    </row>
    <row r="68" spans="2:39" x14ac:dyDescent="0.35">
      <c r="C68" s="497"/>
      <c r="D68" s="439"/>
      <c r="E68" s="439"/>
      <c r="F68" s="439"/>
      <c r="G68" s="439"/>
      <c r="H68" s="438"/>
      <c r="I68" s="438"/>
      <c r="J68" s="438"/>
      <c r="K68" s="438"/>
      <c r="L68" s="438"/>
      <c r="M68" s="438"/>
      <c r="N68" s="438"/>
      <c r="O68" s="438"/>
      <c r="P68" s="438"/>
      <c r="Q68" s="438"/>
      <c r="R68" s="438"/>
      <c r="S68" s="438"/>
      <c r="T68" s="438"/>
      <c r="U68" s="439"/>
      <c r="V68" s="439"/>
      <c r="W68" s="439"/>
      <c r="X68" s="439"/>
      <c r="Y68" s="439"/>
      <c r="Z68" s="438"/>
      <c r="AA68" s="438"/>
      <c r="AB68" s="438"/>
      <c r="AC68" s="438"/>
      <c r="AD68" s="438"/>
      <c r="AE68" s="438"/>
      <c r="AF68" s="438"/>
      <c r="AG68" s="438"/>
      <c r="AH68" s="438"/>
      <c r="AI68" s="438"/>
      <c r="AJ68" s="438"/>
      <c r="AK68" s="438"/>
      <c r="AL68" s="440"/>
    </row>
    <row r="69" spans="2:39" ht="13" thickBot="1" x14ac:dyDescent="0.4">
      <c r="C69" s="498"/>
      <c r="D69" s="441"/>
      <c r="E69" s="441"/>
      <c r="F69" s="441"/>
      <c r="G69" s="441"/>
      <c r="H69" s="436"/>
      <c r="I69" s="436"/>
      <c r="J69" s="436"/>
      <c r="K69" s="436"/>
      <c r="L69" s="436"/>
      <c r="M69" s="436"/>
      <c r="N69" s="436"/>
      <c r="O69" s="436"/>
      <c r="P69" s="436"/>
      <c r="Q69" s="436"/>
      <c r="R69" s="436"/>
      <c r="S69" s="436"/>
      <c r="T69" s="436"/>
      <c r="U69" s="441"/>
      <c r="V69" s="441"/>
      <c r="W69" s="441"/>
      <c r="X69" s="441"/>
      <c r="Y69" s="441"/>
      <c r="Z69" s="436"/>
      <c r="AA69" s="436"/>
      <c r="AB69" s="436"/>
      <c r="AC69" s="436"/>
      <c r="AD69" s="436"/>
      <c r="AE69" s="436"/>
      <c r="AF69" s="436"/>
      <c r="AG69" s="436"/>
      <c r="AH69" s="436"/>
      <c r="AI69" s="436"/>
      <c r="AJ69" s="436"/>
      <c r="AK69" s="436"/>
      <c r="AL69" s="437"/>
    </row>
    <row r="70" spans="2:39" ht="6" customHeight="1" thickBot="1" x14ac:dyDescent="0.4"/>
    <row r="71" spans="2:39" ht="12.75" customHeight="1" x14ac:dyDescent="0.35">
      <c r="C71" s="426" t="s">
        <v>86</v>
      </c>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8"/>
    </row>
    <row r="72" spans="2:39" ht="15.75" customHeight="1" x14ac:dyDescent="0.35">
      <c r="C72" s="486"/>
      <c r="D72" s="487"/>
      <c r="E72" s="487"/>
      <c r="F72" s="487"/>
      <c r="G72" s="487"/>
      <c r="H72" s="487"/>
      <c r="I72" s="487"/>
      <c r="J72" s="487"/>
      <c r="K72" s="487"/>
      <c r="L72" s="487"/>
      <c r="M72" s="487"/>
      <c r="N72" s="487"/>
      <c r="O72" s="487"/>
      <c r="P72" s="487"/>
      <c r="Q72" s="487"/>
      <c r="R72" s="487"/>
      <c r="S72" s="487"/>
      <c r="T72" s="487"/>
      <c r="U72" s="487"/>
      <c r="V72" s="487"/>
      <c r="W72" s="487"/>
      <c r="X72" s="487"/>
      <c r="Y72" s="487"/>
      <c r="Z72" s="487"/>
      <c r="AA72" s="487"/>
      <c r="AB72" s="487"/>
      <c r="AC72" s="487"/>
      <c r="AD72" s="487"/>
      <c r="AE72" s="487"/>
      <c r="AF72" s="487"/>
      <c r="AG72" s="487"/>
      <c r="AH72" s="487"/>
      <c r="AI72" s="487"/>
      <c r="AJ72" s="487"/>
      <c r="AK72" s="487"/>
      <c r="AL72" s="488"/>
    </row>
    <row r="73" spans="2:39" ht="15.75" customHeight="1" x14ac:dyDescent="0.35">
      <c r="C73" s="489"/>
      <c r="D73" s="490"/>
      <c r="E73" s="490"/>
      <c r="F73" s="490"/>
      <c r="G73" s="490"/>
      <c r="H73" s="490"/>
      <c r="I73" s="490"/>
      <c r="J73" s="490"/>
      <c r="K73" s="490"/>
      <c r="L73" s="490"/>
      <c r="M73" s="490"/>
      <c r="N73" s="490"/>
      <c r="O73" s="490"/>
      <c r="P73" s="490"/>
      <c r="Q73" s="490"/>
      <c r="R73" s="490"/>
      <c r="S73" s="490"/>
      <c r="T73" s="490"/>
      <c r="U73" s="490"/>
      <c r="V73" s="490"/>
      <c r="W73" s="490"/>
      <c r="X73" s="490"/>
      <c r="Y73" s="490"/>
      <c r="Z73" s="490"/>
      <c r="AA73" s="490"/>
      <c r="AB73" s="490"/>
      <c r="AC73" s="490"/>
      <c r="AD73" s="490"/>
      <c r="AE73" s="490"/>
      <c r="AF73" s="490"/>
      <c r="AG73" s="490"/>
      <c r="AH73" s="490"/>
      <c r="AI73" s="490"/>
      <c r="AJ73" s="490"/>
      <c r="AK73" s="490"/>
      <c r="AL73" s="491"/>
    </row>
    <row r="74" spans="2:39" ht="15.75" customHeight="1" thickBot="1" x14ac:dyDescent="0.4">
      <c r="C74" s="492"/>
      <c r="D74" s="493"/>
      <c r="E74" s="493"/>
      <c r="F74" s="493"/>
      <c r="G74" s="493"/>
      <c r="H74" s="493"/>
      <c r="I74" s="493"/>
      <c r="J74" s="493"/>
      <c r="K74" s="493"/>
      <c r="L74" s="493"/>
      <c r="M74" s="493"/>
      <c r="N74" s="493"/>
      <c r="O74" s="493"/>
      <c r="P74" s="493"/>
      <c r="Q74" s="493"/>
      <c r="R74" s="493"/>
      <c r="S74" s="493"/>
      <c r="T74" s="493"/>
      <c r="U74" s="493"/>
      <c r="V74" s="493"/>
      <c r="W74" s="493"/>
      <c r="X74" s="493"/>
      <c r="Y74" s="493"/>
      <c r="Z74" s="493"/>
      <c r="AA74" s="493"/>
      <c r="AB74" s="493"/>
      <c r="AC74" s="493"/>
      <c r="AD74" s="493"/>
      <c r="AE74" s="493"/>
      <c r="AF74" s="493"/>
      <c r="AG74" s="493"/>
      <c r="AH74" s="493"/>
      <c r="AI74" s="493"/>
      <c r="AJ74" s="493"/>
      <c r="AK74" s="493"/>
      <c r="AL74" s="494"/>
    </row>
    <row r="75" spans="2:39" ht="7.5" customHeight="1" x14ac:dyDescent="0.35"/>
    <row r="76" spans="2:39" ht="6" customHeight="1" x14ac:dyDescent="0.35">
      <c r="B76" s="15"/>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row>
    <row r="77" spans="2:39" ht="6" customHeight="1" x14ac:dyDescent="0.35">
      <c r="B77" s="15"/>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row>
    <row r="78" spans="2:39" ht="6" customHeight="1" x14ac:dyDescent="0.35">
      <c r="B78" s="15"/>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row>
    <row r="79" spans="2:39" ht="6" customHeight="1" x14ac:dyDescent="0.35">
      <c r="B79" s="15"/>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row>
    <row r="80" spans="2:39" ht="6" customHeight="1" x14ac:dyDescent="0.35">
      <c r="B80" s="15"/>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row>
    <row r="81" spans="1:55" s="13" customFormat="1" hidden="1" x14ac:dyDescent="0.35">
      <c r="A81" s="235"/>
      <c r="B81" s="11"/>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O81" s="249"/>
      <c r="AP81" s="250"/>
      <c r="AQ81" s="250"/>
      <c r="AR81" s="250"/>
      <c r="AS81" s="250"/>
      <c r="AT81" s="250"/>
      <c r="AU81" s="250"/>
      <c r="AV81" s="250"/>
      <c r="AW81" s="250"/>
      <c r="AX81" s="251"/>
      <c r="AY81" s="251"/>
      <c r="AZ81" s="251"/>
      <c r="BA81" s="251"/>
      <c r="BB81" s="152"/>
      <c r="BC81" s="152"/>
    </row>
    <row r="82" spans="1:55" s="13" customFormat="1" hidden="1" x14ac:dyDescent="0.35">
      <c r="A82" s="235"/>
      <c r="B82" s="11"/>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O82" s="249"/>
      <c r="AP82" s="250"/>
      <c r="AQ82" s="250"/>
      <c r="AR82" s="250"/>
      <c r="AS82" s="250"/>
      <c r="AT82" s="250"/>
      <c r="AU82" s="250"/>
      <c r="AV82" s="250"/>
      <c r="AW82" s="250"/>
      <c r="AX82" s="251"/>
      <c r="AY82" s="251"/>
      <c r="AZ82" s="251"/>
      <c r="BA82" s="251"/>
      <c r="BB82" s="152"/>
      <c r="BC82" s="152"/>
    </row>
    <row r="83" spans="1:55" s="13" customFormat="1" hidden="1" x14ac:dyDescent="0.35">
      <c r="A83" s="235"/>
      <c r="B83" s="11"/>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O83" s="249"/>
      <c r="AP83" s="250"/>
      <c r="AQ83" s="250"/>
      <c r="AR83" s="250"/>
      <c r="AS83" s="250"/>
      <c r="AT83" s="250"/>
      <c r="AU83" s="250"/>
      <c r="AV83" s="250"/>
      <c r="AW83" s="250"/>
      <c r="AX83" s="251"/>
      <c r="AY83" s="251"/>
      <c r="AZ83" s="251"/>
      <c r="BA83" s="251"/>
      <c r="BB83" s="152"/>
      <c r="BC83" s="152"/>
    </row>
    <row r="84" spans="1:55" s="13" customFormat="1" hidden="1" x14ac:dyDescent="0.35">
      <c r="A84" s="235"/>
      <c r="B84" s="11"/>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O84" s="249"/>
      <c r="AP84" s="250"/>
      <c r="AQ84" s="250"/>
      <c r="AR84" s="250"/>
      <c r="AS84" s="250"/>
      <c r="AT84" s="250"/>
      <c r="AU84" s="250"/>
      <c r="AV84" s="250"/>
      <c r="AW84" s="250"/>
      <c r="AX84" s="251"/>
      <c r="AY84" s="251"/>
      <c r="AZ84" s="251"/>
      <c r="BA84" s="251"/>
      <c r="BB84" s="152"/>
      <c r="BC84" s="152"/>
    </row>
    <row r="85" spans="1:55" s="13" customFormat="1" hidden="1" x14ac:dyDescent="0.35">
      <c r="A85" s="235"/>
      <c r="B85" s="11"/>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O85" s="249"/>
      <c r="AP85" s="250"/>
      <c r="AQ85" s="250"/>
      <c r="AR85" s="250"/>
      <c r="AS85" s="250"/>
      <c r="AT85" s="250"/>
      <c r="AU85" s="250"/>
      <c r="AV85" s="250"/>
      <c r="AW85" s="250"/>
      <c r="AX85" s="251"/>
      <c r="AY85" s="251"/>
      <c r="AZ85" s="251"/>
      <c r="BA85" s="251"/>
      <c r="BB85" s="152"/>
      <c r="BC85" s="152"/>
    </row>
    <row r="86" spans="1:55" s="13" customFormat="1" hidden="1" x14ac:dyDescent="0.35">
      <c r="A86" s="235"/>
      <c r="B86" s="11"/>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O86" s="249"/>
      <c r="AP86" s="250"/>
      <c r="AQ86" s="250"/>
      <c r="AR86" s="250"/>
      <c r="AS86" s="250"/>
      <c r="AT86" s="250"/>
      <c r="AU86" s="250"/>
      <c r="AV86" s="250"/>
      <c r="AW86" s="250"/>
      <c r="AX86" s="251"/>
      <c r="AY86" s="251"/>
      <c r="AZ86" s="251"/>
      <c r="BA86" s="251"/>
      <c r="BB86" s="152"/>
      <c r="BC86" s="152"/>
    </row>
    <row r="87" spans="1:55" s="13" customFormat="1" hidden="1" x14ac:dyDescent="0.35">
      <c r="A87" s="235"/>
      <c r="B87" s="11"/>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O87" s="249"/>
      <c r="AP87" s="250"/>
      <c r="AQ87" s="250"/>
      <c r="AR87" s="250"/>
      <c r="AS87" s="250"/>
      <c r="AT87" s="250"/>
      <c r="AU87" s="250"/>
      <c r="AV87" s="250"/>
      <c r="AW87" s="250"/>
      <c r="AX87" s="251"/>
      <c r="AY87" s="251"/>
      <c r="AZ87" s="251"/>
      <c r="BA87" s="251"/>
      <c r="BB87" s="152"/>
      <c r="BC87" s="152"/>
    </row>
    <row r="88" spans="1:55" s="13" customFormat="1" hidden="1" x14ac:dyDescent="0.35">
      <c r="A88" s="235"/>
      <c r="B88" s="11"/>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O88" s="249"/>
      <c r="AP88" s="250"/>
      <c r="AQ88" s="250"/>
      <c r="AR88" s="250"/>
      <c r="AS88" s="250"/>
      <c r="AT88" s="250"/>
      <c r="AU88" s="250"/>
      <c r="AV88" s="250"/>
      <c r="AW88" s="250"/>
      <c r="AX88" s="251"/>
      <c r="AY88" s="251"/>
      <c r="AZ88" s="251"/>
      <c r="BA88" s="251"/>
      <c r="BB88" s="152"/>
      <c r="BC88" s="152"/>
    </row>
    <row r="89" spans="1:55" s="13" customFormat="1" hidden="1" x14ac:dyDescent="0.35">
      <c r="A89" s="235"/>
      <c r="B89" s="11"/>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O89" s="249"/>
      <c r="AP89" s="250"/>
      <c r="AQ89" s="250"/>
      <c r="AR89" s="250"/>
      <c r="AS89" s="250"/>
      <c r="AT89" s="250"/>
      <c r="AU89" s="250"/>
      <c r="AV89" s="250"/>
      <c r="AW89" s="250"/>
      <c r="AX89" s="251"/>
      <c r="AY89" s="251"/>
      <c r="AZ89" s="251"/>
      <c r="BA89" s="251"/>
      <c r="BB89" s="152"/>
      <c r="BC89" s="152"/>
    </row>
    <row r="90" spans="1:55" s="13" customFormat="1" hidden="1" x14ac:dyDescent="0.35">
      <c r="A90" s="235"/>
      <c r="B90" s="11"/>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O90" s="249"/>
      <c r="AP90" s="250"/>
      <c r="AQ90" s="250"/>
      <c r="AR90" s="250"/>
      <c r="AS90" s="250"/>
      <c r="AT90" s="250"/>
      <c r="AU90" s="250"/>
      <c r="AV90" s="250"/>
      <c r="AW90" s="250"/>
      <c r="AX90" s="251"/>
      <c r="AY90" s="251"/>
      <c r="AZ90" s="251"/>
      <c r="BA90" s="251"/>
      <c r="BB90" s="152"/>
      <c r="BC90" s="152"/>
    </row>
    <row r="91" spans="1:55" s="13" customFormat="1" hidden="1" x14ac:dyDescent="0.35">
      <c r="A91" s="235"/>
      <c r="B91" s="11"/>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O91" s="249"/>
      <c r="AP91" s="250"/>
      <c r="AQ91" s="250"/>
      <c r="AR91" s="250"/>
      <c r="AS91" s="250"/>
      <c r="AT91" s="250"/>
      <c r="AU91" s="250"/>
      <c r="AV91" s="250"/>
      <c r="AW91" s="250"/>
      <c r="AX91" s="251"/>
      <c r="AY91" s="251"/>
      <c r="AZ91" s="251"/>
      <c r="BA91" s="251"/>
      <c r="BB91" s="152"/>
      <c r="BC91" s="152"/>
    </row>
    <row r="92" spans="1:55" s="13" customFormat="1" hidden="1" x14ac:dyDescent="0.35">
      <c r="A92" s="235"/>
      <c r="B92" s="11"/>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O92" s="249"/>
      <c r="AP92" s="250"/>
      <c r="AQ92" s="250"/>
      <c r="AR92" s="250"/>
      <c r="AS92" s="250"/>
      <c r="AT92" s="250"/>
      <c r="AU92" s="250"/>
      <c r="AV92" s="250"/>
      <c r="AW92" s="250"/>
      <c r="AX92" s="251"/>
      <c r="AY92" s="251"/>
      <c r="AZ92" s="251"/>
      <c r="BA92" s="251"/>
      <c r="BB92" s="152"/>
      <c r="BC92" s="152"/>
    </row>
    <row r="93" spans="1:55" s="13" customFormat="1" hidden="1" x14ac:dyDescent="0.35">
      <c r="A93" s="235"/>
      <c r="B93" s="11"/>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O93" s="249"/>
      <c r="AP93" s="250"/>
      <c r="AQ93" s="250"/>
      <c r="AR93" s="250"/>
      <c r="AS93" s="250"/>
      <c r="AT93" s="250"/>
      <c r="AU93" s="250"/>
      <c r="AV93" s="250"/>
      <c r="AW93" s="250"/>
      <c r="AX93" s="251"/>
      <c r="AY93" s="251"/>
      <c r="AZ93" s="251"/>
      <c r="BA93" s="251"/>
      <c r="BB93" s="152"/>
      <c r="BC93" s="152"/>
    </row>
    <row r="94" spans="1:55" s="13" customFormat="1" hidden="1" x14ac:dyDescent="0.35">
      <c r="A94" s="235"/>
      <c r="B94" s="11"/>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O94" s="249"/>
      <c r="AP94" s="250"/>
      <c r="AQ94" s="250"/>
      <c r="AR94" s="250"/>
      <c r="AS94" s="250"/>
      <c r="AT94" s="250"/>
      <c r="AU94" s="250"/>
      <c r="AV94" s="250"/>
      <c r="AW94" s="250"/>
      <c r="AX94" s="251"/>
      <c r="AY94" s="251"/>
      <c r="AZ94" s="251"/>
      <c r="BA94" s="251"/>
      <c r="BB94" s="152"/>
      <c r="BC94" s="152"/>
    </row>
    <row r="95" spans="1:55" s="13" customFormat="1" hidden="1" x14ac:dyDescent="0.35">
      <c r="A95" s="235"/>
      <c r="B95" s="11"/>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O95" s="249"/>
      <c r="AP95" s="250"/>
      <c r="AQ95" s="250"/>
      <c r="AR95" s="250"/>
      <c r="AS95" s="250"/>
      <c r="AT95" s="250"/>
      <c r="AU95" s="250"/>
      <c r="AV95" s="250"/>
      <c r="AW95" s="250"/>
      <c r="AX95" s="251"/>
      <c r="AY95" s="251"/>
      <c r="AZ95" s="251"/>
      <c r="BA95" s="251"/>
      <c r="BB95" s="152"/>
      <c r="BC95" s="152"/>
    </row>
    <row r="96" spans="1:55" s="13" customFormat="1" hidden="1" x14ac:dyDescent="0.35">
      <c r="A96" s="235"/>
      <c r="B96" s="11"/>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O96" s="249"/>
      <c r="AP96" s="250"/>
      <c r="AQ96" s="250"/>
      <c r="AR96" s="250"/>
      <c r="AS96" s="250"/>
      <c r="AT96" s="250"/>
      <c r="AU96" s="250"/>
      <c r="AV96" s="250"/>
      <c r="AW96" s="250"/>
      <c r="AX96" s="251"/>
      <c r="AY96" s="251"/>
      <c r="AZ96" s="251"/>
      <c r="BA96" s="251"/>
      <c r="BB96" s="152"/>
      <c r="BC96" s="152"/>
    </row>
    <row r="97" spans="1:55" s="13" customFormat="1" hidden="1" x14ac:dyDescent="0.35">
      <c r="A97" s="235"/>
      <c r="B97" s="11"/>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O97" s="249"/>
      <c r="AP97" s="250"/>
      <c r="AQ97" s="250"/>
      <c r="AR97" s="250"/>
      <c r="AS97" s="250"/>
      <c r="AT97" s="250"/>
      <c r="AU97" s="250"/>
      <c r="AV97" s="250"/>
      <c r="AW97" s="250"/>
      <c r="AX97" s="251"/>
      <c r="AY97" s="251"/>
      <c r="AZ97" s="251"/>
      <c r="BA97" s="251"/>
      <c r="BB97" s="152"/>
      <c r="BC97" s="152"/>
    </row>
    <row r="98" spans="1:55" s="13" customFormat="1" hidden="1" x14ac:dyDescent="0.35">
      <c r="A98" s="235"/>
      <c r="B98" s="11"/>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O98" s="249"/>
      <c r="AP98" s="250"/>
      <c r="AQ98" s="250"/>
      <c r="AR98" s="250"/>
      <c r="AS98" s="250"/>
      <c r="AT98" s="250"/>
      <c r="AU98" s="250"/>
      <c r="AV98" s="250"/>
      <c r="AW98" s="250"/>
      <c r="AX98" s="251"/>
      <c r="AY98" s="251"/>
      <c r="AZ98" s="251"/>
      <c r="BA98" s="251"/>
      <c r="BB98" s="152"/>
      <c r="BC98" s="152"/>
    </row>
    <row r="99" spans="1:55" s="13" customFormat="1" hidden="1" x14ac:dyDescent="0.35">
      <c r="A99" s="235"/>
      <c r="B99" s="11"/>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O99" s="249"/>
      <c r="AP99" s="250"/>
      <c r="AQ99" s="250"/>
      <c r="AR99" s="250"/>
      <c r="AS99" s="250"/>
      <c r="AT99" s="250"/>
      <c r="AU99" s="250"/>
      <c r="AV99" s="250"/>
      <c r="AW99" s="250"/>
      <c r="AX99" s="251"/>
      <c r="AY99" s="251"/>
      <c r="AZ99" s="251"/>
      <c r="BA99" s="251"/>
      <c r="BB99" s="152"/>
      <c r="BC99" s="152"/>
    </row>
    <row r="100" spans="1:55" s="13" customFormat="1" hidden="1" x14ac:dyDescent="0.35">
      <c r="A100" s="235"/>
      <c r="B100" s="11"/>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O100" s="249"/>
      <c r="AP100" s="250"/>
      <c r="AQ100" s="250"/>
      <c r="AR100" s="250"/>
      <c r="AS100" s="250"/>
      <c r="AT100" s="250"/>
      <c r="AU100" s="250"/>
      <c r="AV100" s="250"/>
      <c r="AW100" s="250"/>
      <c r="AX100" s="251"/>
      <c r="AY100" s="251"/>
      <c r="AZ100" s="251"/>
      <c r="BA100" s="251"/>
      <c r="BB100" s="152"/>
      <c r="BC100" s="152"/>
    </row>
    <row r="101" spans="1:55" s="13" customFormat="1" hidden="1" x14ac:dyDescent="0.35">
      <c r="A101" s="235"/>
      <c r="B101" s="11"/>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O101" s="249"/>
      <c r="AP101" s="250"/>
      <c r="AQ101" s="250"/>
      <c r="AR101" s="250"/>
      <c r="AS101" s="250"/>
      <c r="AT101" s="250"/>
      <c r="AU101" s="250"/>
      <c r="AV101" s="250"/>
      <c r="AW101" s="250"/>
      <c r="AX101" s="251"/>
      <c r="AY101" s="251"/>
      <c r="AZ101" s="251"/>
      <c r="BA101" s="251"/>
      <c r="BB101" s="152"/>
      <c r="BC101" s="152"/>
    </row>
    <row r="102" spans="1:55" s="13" customFormat="1" hidden="1" x14ac:dyDescent="0.35">
      <c r="A102" s="235"/>
      <c r="B102" s="11"/>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O102" s="249"/>
      <c r="AP102" s="250"/>
      <c r="AQ102" s="250"/>
      <c r="AR102" s="250"/>
      <c r="AS102" s="250"/>
      <c r="AT102" s="250"/>
      <c r="AU102" s="250"/>
      <c r="AV102" s="250"/>
      <c r="AW102" s="250"/>
      <c r="AX102" s="251"/>
      <c r="AY102" s="251"/>
      <c r="AZ102" s="251"/>
      <c r="BA102" s="251"/>
      <c r="BB102" s="152"/>
      <c r="BC102" s="152"/>
    </row>
    <row r="103" spans="1:55" s="13" customFormat="1" hidden="1" x14ac:dyDescent="0.35">
      <c r="A103" s="235"/>
      <c r="B103" s="11"/>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O103" s="249"/>
      <c r="AP103" s="250"/>
      <c r="AQ103" s="250"/>
      <c r="AR103" s="250"/>
      <c r="AS103" s="250"/>
      <c r="AT103" s="250"/>
      <c r="AU103" s="250"/>
      <c r="AV103" s="250"/>
      <c r="AW103" s="250"/>
      <c r="AX103" s="251"/>
      <c r="AY103" s="251"/>
      <c r="AZ103" s="251"/>
      <c r="BA103" s="251"/>
      <c r="BB103" s="152"/>
      <c r="BC103" s="152"/>
    </row>
    <row r="104" spans="1:55" s="13" customFormat="1" hidden="1" x14ac:dyDescent="0.35">
      <c r="A104" s="235"/>
      <c r="B104" s="11"/>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O104" s="249"/>
      <c r="AP104" s="250"/>
      <c r="AQ104" s="250"/>
      <c r="AR104" s="250"/>
      <c r="AS104" s="250"/>
      <c r="AT104" s="250"/>
      <c r="AU104" s="250"/>
      <c r="AV104" s="250"/>
      <c r="AW104" s="250"/>
      <c r="AX104" s="251"/>
      <c r="AY104" s="251"/>
      <c r="AZ104" s="251"/>
      <c r="BA104" s="251"/>
      <c r="BB104" s="152"/>
      <c r="BC104" s="152"/>
    </row>
    <row r="105" spans="1:55" s="13" customFormat="1" hidden="1" x14ac:dyDescent="0.35">
      <c r="A105" s="235"/>
      <c r="B105" s="11"/>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O105" s="249"/>
      <c r="AP105" s="250"/>
      <c r="AQ105" s="250"/>
      <c r="AR105" s="250"/>
      <c r="AS105" s="250"/>
      <c r="AT105" s="250"/>
      <c r="AU105" s="250"/>
      <c r="AV105" s="250"/>
      <c r="AW105" s="250"/>
      <c r="AX105" s="251"/>
      <c r="AY105" s="251"/>
      <c r="AZ105" s="251"/>
      <c r="BA105" s="251"/>
      <c r="BB105" s="152"/>
      <c r="BC105" s="152"/>
    </row>
    <row r="106" spans="1:55" s="13" customFormat="1" hidden="1" x14ac:dyDescent="0.35">
      <c r="A106" s="235"/>
      <c r="B106" s="11"/>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O106" s="249"/>
      <c r="AP106" s="250"/>
      <c r="AQ106" s="250"/>
      <c r="AR106" s="250"/>
      <c r="AS106" s="250"/>
      <c r="AT106" s="250"/>
      <c r="AU106" s="250"/>
      <c r="AV106" s="250"/>
      <c r="AW106" s="250"/>
      <c r="AX106" s="251"/>
      <c r="AY106" s="251"/>
      <c r="AZ106" s="251"/>
      <c r="BA106" s="251"/>
      <c r="BB106" s="152"/>
      <c r="BC106" s="152"/>
    </row>
    <row r="107" spans="1:55" s="13" customFormat="1" hidden="1" x14ac:dyDescent="0.35">
      <c r="A107" s="235"/>
      <c r="B107" s="11"/>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O107" s="249"/>
      <c r="AP107" s="250"/>
      <c r="AQ107" s="250"/>
      <c r="AR107" s="250"/>
      <c r="AS107" s="250"/>
      <c r="AT107" s="250"/>
      <c r="AU107" s="250"/>
      <c r="AV107" s="250"/>
      <c r="AW107" s="250"/>
      <c r="AX107" s="251"/>
      <c r="AY107" s="251"/>
      <c r="AZ107" s="251"/>
      <c r="BA107" s="251"/>
      <c r="BB107" s="152"/>
      <c r="BC107" s="152"/>
    </row>
    <row r="108" spans="1:55" s="13" customFormat="1" hidden="1" x14ac:dyDescent="0.35">
      <c r="A108" s="235"/>
      <c r="B108" s="11"/>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O108" s="249"/>
      <c r="AP108" s="250"/>
      <c r="AQ108" s="250"/>
      <c r="AR108" s="250"/>
      <c r="AS108" s="250"/>
      <c r="AT108" s="250"/>
      <c r="AU108" s="250"/>
      <c r="AV108" s="250"/>
      <c r="AW108" s="250"/>
      <c r="AX108" s="251"/>
      <c r="AY108" s="251"/>
      <c r="AZ108" s="251"/>
      <c r="BA108" s="251"/>
      <c r="BB108" s="152"/>
      <c r="BC108" s="152"/>
    </row>
    <row r="109" spans="1:55" s="13" customFormat="1" hidden="1" x14ac:dyDescent="0.35">
      <c r="A109" s="235"/>
      <c r="B109" s="11"/>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O109" s="249"/>
      <c r="AP109" s="250"/>
      <c r="AQ109" s="250"/>
      <c r="AR109" s="250"/>
      <c r="AS109" s="250"/>
      <c r="AT109" s="250"/>
      <c r="AU109" s="250"/>
      <c r="AV109" s="250"/>
      <c r="AW109" s="250"/>
      <c r="AX109" s="251"/>
      <c r="AY109" s="251"/>
      <c r="AZ109" s="251"/>
      <c r="BA109" s="251"/>
      <c r="BB109" s="152"/>
      <c r="BC109" s="152"/>
    </row>
    <row r="110" spans="1:55" s="13" customFormat="1" hidden="1" x14ac:dyDescent="0.35">
      <c r="A110" s="235"/>
      <c r="B110" s="11"/>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O110" s="249"/>
      <c r="AP110" s="250"/>
      <c r="AQ110" s="250"/>
      <c r="AR110" s="250"/>
      <c r="AS110" s="250"/>
      <c r="AT110" s="250"/>
      <c r="AU110" s="250"/>
      <c r="AV110" s="250"/>
      <c r="AW110" s="250"/>
      <c r="AX110" s="251"/>
      <c r="AY110" s="251"/>
      <c r="AZ110" s="251"/>
      <c r="BA110" s="251"/>
      <c r="BB110" s="152"/>
      <c r="BC110" s="152"/>
    </row>
    <row r="111" spans="1:55" s="13" customFormat="1" hidden="1" x14ac:dyDescent="0.35">
      <c r="A111" s="235"/>
      <c r="B111" s="11"/>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O111" s="249"/>
      <c r="AP111" s="250"/>
      <c r="AQ111" s="250"/>
      <c r="AR111" s="250"/>
      <c r="AS111" s="250"/>
      <c r="AT111" s="250"/>
      <c r="AU111" s="250"/>
      <c r="AV111" s="250"/>
      <c r="AW111" s="250"/>
      <c r="AX111" s="251"/>
      <c r="AY111" s="251"/>
      <c r="AZ111" s="251"/>
      <c r="BA111" s="251"/>
      <c r="BB111" s="152"/>
      <c r="BC111" s="152"/>
    </row>
    <row r="112" spans="1:55" s="13" customFormat="1" hidden="1" x14ac:dyDescent="0.35">
      <c r="A112" s="235"/>
      <c r="B112" s="11"/>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O112" s="249"/>
      <c r="AP112" s="250"/>
      <c r="AQ112" s="250"/>
      <c r="AR112" s="250"/>
      <c r="AS112" s="250"/>
      <c r="AT112" s="250"/>
      <c r="AU112" s="250"/>
      <c r="AV112" s="250"/>
      <c r="AW112" s="250"/>
      <c r="AX112" s="251"/>
      <c r="AY112" s="251"/>
      <c r="AZ112" s="251"/>
      <c r="BA112" s="251"/>
      <c r="BB112" s="152"/>
      <c r="BC112" s="152"/>
    </row>
    <row r="113" spans="1:55" s="13" customFormat="1" hidden="1" x14ac:dyDescent="0.35">
      <c r="A113" s="235"/>
      <c r="B113" s="11"/>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O113" s="249"/>
      <c r="AP113" s="250"/>
      <c r="AQ113" s="250"/>
      <c r="AR113" s="250"/>
      <c r="AS113" s="250"/>
      <c r="AT113" s="250"/>
      <c r="AU113" s="250"/>
      <c r="AV113" s="250"/>
      <c r="AW113" s="250"/>
      <c r="AX113" s="251"/>
      <c r="AY113" s="251"/>
      <c r="AZ113" s="251"/>
      <c r="BA113" s="251"/>
      <c r="BB113" s="152"/>
      <c r="BC113" s="152"/>
    </row>
    <row r="114" spans="1:55" s="13" customFormat="1" hidden="1" x14ac:dyDescent="0.35">
      <c r="A114" s="235"/>
      <c r="B114" s="11"/>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O114" s="249"/>
      <c r="AP114" s="250"/>
      <c r="AQ114" s="250"/>
      <c r="AR114" s="250"/>
      <c r="AS114" s="250"/>
      <c r="AT114" s="250"/>
      <c r="AU114" s="250"/>
      <c r="AV114" s="250"/>
      <c r="AW114" s="250"/>
      <c r="AX114" s="251"/>
      <c r="AY114" s="251"/>
      <c r="AZ114" s="251"/>
      <c r="BA114" s="251"/>
      <c r="BB114" s="152"/>
      <c r="BC114" s="152"/>
    </row>
    <row r="115" spans="1:55" s="13" customFormat="1" hidden="1" x14ac:dyDescent="0.35">
      <c r="A115" s="235"/>
      <c r="B115" s="11"/>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O115" s="249"/>
      <c r="AP115" s="250"/>
      <c r="AQ115" s="250"/>
      <c r="AR115" s="250"/>
      <c r="AS115" s="250"/>
      <c r="AT115" s="250"/>
      <c r="AU115" s="250"/>
      <c r="AV115" s="250"/>
      <c r="AW115" s="250"/>
      <c r="AX115" s="251"/>
      <c r="AY115" s="251"/>
      <c r="AZ115" s="251"/>
      <c r="BA115" s="251"/>
      <c r="BB115" s="152"/>
      <c r="BC115" s="152"/>
    </row>
    <row r="116" spans="1:55" s="13" customFormat="1" hidden="1" x14ac:dyDescent="0.35">
      <c r="A116" s="235"/>
      <c r="B116" s="11"/>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O116" s="249"/>
      <c r="AP116" s="250"/>
      <c r="AQ116" s="250"/>
      <c r="AR116" s="250"/>
      <c r="AS116" s="250"/>
      <c r="AT116" s="250"/>
      <c r="AU116" s="250"/>
      <c r="AV116" s="250"/>
      <c r="AW116" s="250"/>
      <c r="AX116" s="251"/>
      <c r="AY116" s="251"/>
      <c r="AZ116" s="251"/>
      <c r="BA116" s="251"/>
      <c r="BB116" s="152"/>
      <c r="BC116" s="152"/>
    </row>
    <row r="117" spans="1:55" s="13" customFormat="1" hidden="1" x14ac:dyDescent="0.35">
      <c r="A117" s="235"/>
      <c r="B117" s="11"/>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O117" s="249"/>
      <c r="AP117" s="250"/>
      <c r="AQ117" s="250"/>
      <c r="AR117" s="250"/>
      <c r="AS117" s="250"/>
      <c r="AT117" s="250"/>
      <c r="AU117" s="250"/>
      <c r="AV117" s="250"/>
      <c r="AW117" s="250"/>
      <c r="AX117" s="251"/>
      <c r="AY117" s="251"/>
      <c r="AZ117" s="251"/>
      <c r="BA117" s="251"/>
      <c r="BB117" s="152"/>
      <c r="BC117" s="152"/>
    </row>
    <row r="118" spans="1:55" s="13" customFormat="1" hidden="1" x14ac:dyDescent="0.35">
      <c r="A118" s="235"/>
      <c r="B118" s="11"/>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O118" s="249"/>
      <c r="AP118" s="250"/>
      <c r="AQ118" s="250"/>
      <c r="AR118" s="250"/>
      <c r="AS118" s="250"/>
      <c r="AT118" s="250"/>
      <c r="AU118" s="250"/>
      <c r="AV118" s="250"/>
      <c r="AW118" s="250"/>
      <c r="AX118" s="251"/>
      <c r="AY118" s="251"/>
      <c r="AZ118" s="251"/>
      <c r="BA118" s="251"/>
      <c r="BB118" s="152"/>
      <c r="BC118" s="152"/>
    </row>
    <row r="119" spans="1:55" s="13" customFormat="1" hidden="1" x14ac:dyDescent="0.35">
      <c r="A119" s="235"/>
      <c r="B119" s="11"/>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O119" s="249"/>
      <c r="AP119" s="250"/>
      <c r="AQ119" s="250"/>
      <c r="AR119" s="250"/>
      <c r="AS119" s="250"/>
      <c r="AT119" s="250"/>
      <c r="AU119" s="250"/>
      <c r="AV119" s="250"/>
      <c r="AW119" s="250"/>
      <c r="AX119" s="251"/>
      <c r="AY119" s="251"/>
      <c r="AZ119" s="251"/>
      <c r="BA119" s="251"/>
      <c r="BB119" s="152"/>
      <c r="BC119" s="152"/>
    </row>
    <row r="120" spans="1:55" s="13" customFormat="1" hidden="1" x14ac:dyDescent="0.35">
      <c r="A120" s="235"/>
      <c r="B120" s="11"/>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O120" s="249"/>
      <c r="AP120" s="250"/>
      <c r="AQ120" s="250"/>
      <c r="AR120" s="250"/>
      <c r="AS120" s="250"/>
      <c r="AT120" s="250"/>
      <c r="AU120" s="250"/>
      <c r="AV120" s="250"/>
      <c r="AW120" s="250"/>
      <c r="AX120" s="251"/>
      <c r="AY120" s="251"/>
      <c r="AZ120" s="251"/>
      <c r="BA120" s="251"/>
      <c r="BB120" s="152"/>
      <c r="BC120" s="152"/>
    </row>
    <row r="121" spans="1:55" s="13" customFormat="1" hidden="1" x14ac:dyDescent="0.35">
      <c r="A121" s="235"/>
      <c r="B121" s="11"/>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O121" s="249"/>
      <c r="AP121" s="250"/>
      <c r="AQ121" s="250"/>
      <c r="AR121" s="250"/>
      <c r="AS121" s="250"/>
      <c r="AT121" s="250"/>
      <c r="AU121" s="250"/>
      <c r="AV121" s="250"/>
      <c r="AW121" s="250"/>
      <c r="AX121" s="251"/>
      <c r="AY121" s="251"/>
      <c r="AZ121" s="251"/>
      <c r="BA121" s="251"/>
      <c r="BB121" s="152"/>
      <c r="BC121" s="152"/>
    </row>
    <row r="122" spans="1:55" s="13" customFormat="1" hidden="1" x14ac:dyDescent="0.35">
      <c r="A122" s="235"/>
      <c r="B122" s="11"/>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O122" s="249"/>
      <c r="AP122" s="250"/>
      <c r="AQ122" s="250"/>
      <c r="AR122" s="250"/>
      <c r="AS122" s="250"/>
      <c r="AT122" s="250"/>
      <c r="AU122" s="250"/>
      <c r="AV122" s="250"/>
      <c r="AW122" s="250"/>
      <c r="AX122" s="251"/>
      <c r="AY122" s="251"/>
      <c r="AZ122" s="251"/>
      <c r="BA122" s="251"/>
      <c r="BB122" s="152"/>
      <c r="BC122" s="152"/>
    </row>
    <row r="123" spans="1:55" s="13" customFormat="1" hidden="1" x14ac:dyDescent="0.35">
      <c r="A123" s="235"/>
      <c r="B123" s="11"/>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O123" s="249"/>
      <c r="AP123" s="250"/>
      <c r="AQ123" s="250"/>
      <c r="AR123" s="250"/>
      <c r="AS123" s="250"/>
      <c r="AT123" s="250"/>
      <c r="AU123" s="250"/>
      <c r="AV123" s="250"/>
      <c r="AW123" s="250"/>
      <c r="AX123" s="251"/>
      <c r="AY123" s="251"/>
      <c r="AZ123" s="251"/>
      <c r="BA123" s="251"/>
      <c r="BB123" s="152"/>
      <c r="BC123" s="152"/>
    </row>
    <row r="124" spans="1:55" s="13" customFormat="1" hidden="1" x14ac:dyDescent="0.35">
      <c r="A124" s="235"/>
      <c r="B124" s="11"/>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O124" s="249"/>
      <c r="AP124" s="250"/>
      <c r="AQ124" s="250"/>
      <c r="AR124" s="250"/>
      <c r="AS124" s="250"/>
      <c r="AT124" s="250"/>
      <c r="AU124" s="250"/>
      <c r="AV124" s="250"/>
      <c r="AW124" s="250"/>
      <c r="AX124" s="251"/>
      <c r="AY124" s="251"/>
      <c r="AZ124" s="251"/>
      <c r="BA124" s="251"/>
      <c r="BB124" s="152"/>
      <c r="BC124" s="152"/>
    </row>
    <row r="125" spans="1:55" s="13" customFormat="1" hidden="1" x14ac:dyDescent="0.35">
      <c r="A125" s="235"/>
      <c r="B125" s="11"/>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O125" s="249"/>
      <c r="AP125" s="250"/>
      <c r="AQ125" s="250"/>
      <c r="AR125" s="250"/>
      <c r="AS125" s="250"/>
      <c r="AT125" s="250"/>
      <c r="AU125" s="250"/>
      <c r="AV125" s="250"/>
      <c r="AW125" s="250"/>
      <c r="AX125" s="251"/>
      <c r="AY125" s="251"/>
      <c r="AZ125" s="251"/>
      <c r="BA125" s="251"/>
      <c r="BB125" s="152"/>
      <c r="BC125" s="152"/>
    </row>
    <row r="126" spans="1:55" s="13" customFormat="1" hidden="1" x14ac:dyDescent="0.35">
      <c r="A126" s="235"/>
      <c r="B126" s="11"/>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O126" s="249"/>
      <c r="AP126" s="250"/>
      <c r="AQ126" s="250"/>
      <c r="AR126" s="250"/>
      <c r="AS126" s="250"/>
      <c r="AT126" s="250"/>
      <c r="AU126" s="250"/>
      <c r="AV126" s="250"/>
      <c r="AW126" s="250"/>
      <c r="AX126" s="251"/>
      <c r="AY126" s="251"/>
      <c r="AZ126" s="251"/>
      <c r="BA126" s="251"/>
      <c r="BB126" s="152"/>
      <c r="BC126" s="152"/>
    </row>
    <row r="127" spans="1:55" s="13" customFormat="1" hidden="1" x14ac:dyDescent="0.35">
      <c r="A127" s="235"/>
      <c r="B127" s="11"/>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O127" s="249"/>
      <c r="AP127" s="250"/>
      <c r="AQ127" s="250"/>
      <c r="AR127" s="250"/>
      <c r="AS127" s="250"/>
      <c r="AT127" s="250"/>
      <c r="AU127" s="250"/>
      <c r="AV127" s="250"/>
      <c r="AW127" s="250"/>
      <c r="AX127" s="251"/>
      <c r="AY127" s="251"/>
      <c r="AZ127" s="251"/>
      <c r="BA127" s="251"/>
      <c r="BB127" s="152"/>
      <c r="BC127" s="152"/>
    </row>
    <row r="128" spans="1:55" s="13" customFormat="1" hidden="1" x14ac:dyDescent="0.35">
      <c r="A128" s="235"/>
      <c r="B128" s="11"/>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O128" s="249"/>
      <c r="AP128" s="250"/>
      <c r="AQ128" s="250"/>
      <c r="AR128" s="250"/>
      <c r="AS128" s="250"/>
      <c r="AT128" s="250"/>
      <c r="AU128" s="250"/>
      <c r="AV128" s="250"/>
      <c r="AW128" s="250"/>
      <c r="AX128" s="251"/>
      <c r="AY128" s="251"/>
      <c r="AZ128" s="251"/>
      <c r="BA128" s="251"/>
      <c r="BB128" s="152"/>
      <c r="BC128" s="152"/>
    </row>
    <row r="129" spans="1:55" s="13" customFormat="1" hidden="1" x14ac:dyDescent="0.35">
      <c r="A129" s="235"/>
      <c r="B129" s="11"/>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O129" s="249"/>
      <c r="AP129" s="250"/>
      <c r="AQ129" s="250"/>
      <c r="AR129" s="250"/>
      <c r="AS129" s="250"/>
      <c r="AT129" s="250"/>
      <c r="AU129" s="250"/>
      <c r="AV129" s="250"/>
      <c r="AW129" s="250"/>
      <c r="AX129" s="251"/>
      <c r="AY129" s="251"/>
      <c r="AZ129" s="251"/>
      <c r="BA129" s="251"/>
      <c r="BB129" s="152"/>
      <c r="BC129" s="152"/>
    </row>
    <row r="130" spans="1:55" s="13" customFormat="1" hidden="1" x14ac:dyDescent="0.35">
      <c r="A130" s="235"/>
      <c r="B130" s="11"/>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O130" s="249"/>
      <c r="AP130" s="250"/>
      <c r="AQ130" s="250"/>
      <c r="AR130" s="250"/>
      <c r="AS130" s="250"/>
      <c r="AT130" s="250"/>
      <c r="AU130" s="250"/>
      <c r="AV130" s="250"/>
      <c r="AW130" s="250"/>
      <c r="AX130" s="251"/>
      <c r="AY130" s="251"/>
      <c r="AZ130" s="251"/>
      <c r="BA130" s="251"/>
      <c r="BB130" s="152"/>
      <c r="BC130" s="152"/>
    </row>
    <row r="131" spans="1:55" s="13" customFormat="1" hidden="1" x14ac:dyDescent="0.35">
      <c r="A131" s="235"/>
      <c r="B131" s="11"/>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O131" s="249"/>
      <c r="AP131" s="250"/>
      <c r="AQ131" s="250"/>
      <c r="AR131" s="250"/>
      <c r="AS131" s="250"/>
      <c r="AT131" s="250"/>
      <c r="AU131" s="250"/>
      <c r="AV131" s="250"/>
      <c r="AW131" s="250"/>
      <c r="AX131" s="251"/>
      <c r="AY131" s="251"/>
      <c r="AZ131" s="251"/>
      <c r="BA131" s="251"/>
      <c r="BB131" s="152"/>
      <c r="BC131" s="152"/>
    </row>
    <row r="132" spans="1:55" s="13" customFormat="1" hidden="1" x14ac:dyDescent="0.35">
      <c r="A132" s="235"/>
      <c r="B132" s="11"/>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O132" s="249"/>
      <c r="AP132" s="250"/>
      <c r="AQ132" s="250"/>
      <c r="AR132" s="250"/>
      <c r="AS132" s="250"/>
      <c r="AT132" s="250"/>
      <c r="AU132" s="250"/>
      <c r="AV132" s="250"/>
      <c r="AW132" s="250"/>
      <c r="AX132" s="251"/>
      <c r="AY132" s="251"/>
      <c r="AZ132" s="251"/>
      <c r="BA132" s="251"/>
      <c r="BB132" s="152"/>
      <c r="BC132" s="152"/>
    </row>
    <row r="133" spans="1:55" s="13" customFormat="1" hidden="1" x14ac:dyDescent="0.35">
      <c r="A133" s="235"/>
      <c r="B133" s="11"/>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O133" s="249"/>
      <c r="AP133" s="250"/>
      <c r="AQ133" s="250"/>
      <c r="AR133" s="250"/>
      <c r="AS133" s="250"/>
      <c r="AT133" s="250"/>
      <c r="AU133" s="250"/>
      <c r="AV133" s="250"/>
      <c r="AW133" s="250"/>
      <c r="AX133" s="251"/>
      <c r="AY133" s="251"/>
      <c r="AZ133" s="251"/>
      <c r="BA133" s="251"/>
      <c r="BB133" s="152"/>
      <c r="BC133" s="152"/>
    </row>
    <row r="134" spans="1:55" s="13" customFormat="1" hidden="1" x14ac:dyDescent="0.35">
      <c r="A134" s="235"/>
      <c r="B134" s="11"/>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O134" s="249"/>
      <c r="AP134" s="250"/>
      <c r="AQ134" s="250"/>
      <c r="AR134" s="250"/>
      <c r="AS134" s="250"/>
      <c r="AT134" s="250"/>
      <c r="AU134" s="250"/>
      <c r="AV134" s="250"/>
      <c r="AW134" s="250"/>
      <c r="AX134" s="251"/>
      <c r="AY134" s="251"/>
      <c r="AZ134" s="251"/>
      <c r="BA134" s="251"/>
      <c r="BB134" s="152"/>
      <c r="BC134" s="152"/>
    </row>
    <row r="135" spans="1:55" s="13" customFormat="1" hidden="1" x14ac:dyDescent="0.35">
      <c r="A135" s="235"/>
      <c r="B135" s="11"/>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O135" s="249"/>
      <c r="AP135" s="250"/>
      <c r="AQ135" s="250"/>
      <c r="AR135" s="250"/>
      <c r="AS135" s="250"/>
      <c r="AT135" s="250"/>
      <c r="AU135" s="250"/>
      <c r="AV135" s="250"/>
      <c r="AW135" s="250"/>
      <c r="AX135" s="251"/>
      <c r="AY135" s="251"/>
      <c r="AZ135" s="251"/>
      <c r="BA135" s="251"/>
      <c r="BB135" s="152"/>
      <c r="BC135" s="152"/>
    </row>
    <row r="136" spans="1:55" s="13" customFormat="1" hidden="1" x14ac:dyDescent="0.35">
      <c r="A136" s="235"/>
      <c r="B136" s="11"/>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O136" s="249"/>
      <c r="AP136" s="250"/>
      <c r="AQ136" s="250"/>
      <c r="AR136" s="250"/>
      <c r="AS136" s="250"/>
      <c r="AT136" s="250"/>
      <c r="AU136" s="250"/>
      <c r="AV136" s="250"/>
      <c r="AW136" s="250"/>
      <c r="AX136" s="251"/>
      <c r="AY136" s="251"/>
      <c r="AZ136" s="251"/>
      <c r="BA136" s="251"/>
      <c r="BB136" s="152"/>
      <c r="BC136" s="152"/>
    </row>
    <row r="137" spans="1:55" s="13" customFormat="1" hidden="1" x14ac:dyDescent="0.35">
      <c r="A137" s="235"/>
      <c r="B137" s="11"/>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O137" s="249"/>
      <c r="AP137" s="250"/>
      <c r="AQ137" s="250"/>
      <c r="AR137" s="250"/>
      <c r="AS137" s="250"/>
      <c r="AT137" s="250"/>
      <c r="AU137" s="250"/>
      <c r="AV137" s="250"/>
      <c r="AW137" s="250"/>
      <c r="AX137" s="251"/>
      <c r="AY137" s="251"/>
      <c r="AZ137" s="251"/>
      <c r="BA137" s="251"/>
      <c r="BB137" s="152"/>
      <c r="BC137" s="152"/>
    </row>
    <row r="138" spans="1:55" s="13" customFormat="1" hidden="1" x14ac:dyDescent="0.35">
      <c r="A138" s="235"/>
      <c r="B138" s="11"/>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O138" s="249"/>
      <c r="AP138" s="250"/>
      <c r="AQ138" s="250"/>
      <c r="AR138" s="250"/>
      <c r="AS138" s="250"/>
      <c r="AT138" s="250"/>
      <c r="AU138" s="250"/>
      <c r="AV138" s="250"/>
      <c r="AW138" s="250"/>
      <c r="AX138" s="251"/>
      <c r="AY138" s="251"/>
      <c r="AZ138" s="251"/>
      <c r="BA138" s="251"/>
      <c r="BB138" s="152"/>
      <c r="BC138" s="152"/>
    </row>
    <row r="139" spans="1:55" s="13" customFormat="1" hidden="1" x14ac:dyDescent="0.35">
      <c r="A139" s="235"/>
      <c r="B139" s="11"/>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O139" s="249"/>
      <c r="AP139" s="250"/>
      <c r="AQ139" s="250"/>
      <c r="AR139" s="250"/>
      <c r="AS139" s="250"/>
      <c r="AT139" s="250"/>
      <c r="AU139" s="250"/>
      <c r="AV139" s="250"/>
      <c r="AW139" s="250"/>
      <c r="AX139" s="251"/>
      <c r="AY139" s="251"/>
      <c r="AZ139" s="251"/>
      <c r="BA139" s="251"/>
      <c r="BB139" s="152"/>
      <c r="BC139" s="152"/>
    </row>
    <row r="140" spans="1:55" s="13" customFormat="1" hidden="1" x14ac:dyDescent="0.35">
      <c r="A140" s="235"/>
      <c r="B140" s="11"/>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O140" s="249"/>
      <c r="AP140" s="250"/>
      <c r="AQ140" s="250"/>
      <c r="AR140" s="250"/>
      <c r="AS140" s="250"/>
      <c r="AT140" s="250"/>
      <c r="AU140" s="250"/>
      <c r="AV140" s="250"/>
      <c r="AW140" s="250"/>
      <c r="AX140" s="251"/>
      <c r="AY140" s="251"/>
      <c r="AZ140" s="251"/>
      <c r="BA140" s="251"/>
      <c r="BB140" s="152"/>
      <c r="BC140" s="152"/>
    </row>
    <row r="141" spans="1:55" s="13" customFormat="1" hidden="1" x14ac:dyDescent="0.35">
      <c r="A141" s="235"/>
      <c r="B141" s="11"/>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O141" s="249"/>
      <c r="AP141" s="250"/>
      <c r="AQ141" s="250"/>
      <c r="AR141" s="250"/>
      <c r="AS141" s="250"/>
      <c r="AT141" s="250"/>
      <c r="AU141" s="250"/>
      <c r="AV141" s="250"/>
      <c r="AW141" s="250"/>
      <c r="AX141" s="251"/>
      <c r="AY141" s="251"/>
      <c r="AZ141" s="251"/>
      <c r="BA141" s="251"/>
      <c r="BB141" s="152"/>
      <c r="BC141" s="152"/>
    </row>
    <row r="142" spans="1:55" s="13" customFormat="1" hidden="1" x14ac:dyDescent="0.35">
      <c r="A142" s="235"/>
      <c r="B142" s="11"/>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O142" s="249"/>
      <c r="AP142" s="250"/>
      <c r="AQ142" s="250"/>
      <c r="AR142" s="250"/>
      <c r="AS142" s="250"/>
      <c r="AT142" s="250"/>
      <c r="AU142" s="250"/>
      <c r="AV142" s="250"/>
      <c r="AW142" s="250"/>
      <c r="AX142" s="251"/>
      <c r="AY142" s="251"/>
      <c r="AZ142" s="251"/>
      <c r="BA142" s="251"/>
      <c r="BB142" s="152"/>
      <c r="BC142" s="152"/>
    </row>
    <row r="143" spans="1:55" s="13" customFormat="1" hidden="1" x14ac:dyDescent="0.35">
      <c r="A143" s="235"/>
      <c r="B143" s="11"/>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O143" s="249"/>
      <c r="AP143" s="250"/>
      <c r="AQ143" s="250"/>
      <c r="AR143" s="250"/>
      <c r="AS143" s="250"/>
      <c r="AT143" s="250"/>
      <c r="AU143" s="250"/>
      <c r="AV143" s="250"/>
      <c r="AW143" s="250"/>
      <c r="AX143" s="251"/>
      <c r="AY143" s="251"/>
      <c r="AZ143" s="251"/>
      <c r="BA143" s="251"/>
      <c r="BB143" s="152"/>
      <c r="BC143" s="152"/>
    </row>
    <row r="144" spans="1:55" s="13" customFormat="1" hidden="1" x14ac:dyDescent="0.35">
      <c r="A144" s="235"/>
      <c r="B144" s="11"/>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O144" s="249"/>
      <c r="AP144" s="250"/>
      <c r="AQ144" s="250"/>
      <c r="AR144" s="250"/>
      <c r="AS144" s="250"/>
      <c r="AT144" s="250"/>
      <c r="AU144" s="250"/>
      <c r="AV144" s="250"/>
      <c r="AW144" s="250"/>
      <c r="AX144" s="251"/>
      <c r="AY144" s="251"/>
      <c r="AZ144" s="251"/>
      <c r="BA144" s="251"/>
      <c r="BB144" s="152"/>
      <c r="BC144" s="152"/>
    </row>
    <row r="145" spans="1:55" s="13" customFormat="1" hidden="1" x14ac:dyDescent="0.35">
      <c r="A145" s="235"/>
      <c r="B145" s="11"/>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O145" s="249"/>
      <c r="AP145" s="250"/>
      <c r="AQ145" s="250"/>
      <c r="AR145" s="250"/>
      <c r="AS145" s="250"/>
      <c r="AT145" s="250"/>
      <c r="AU145" s="250"/>
      <c r="AV145" s="250"/>
      <c r="AW145" s="250"/>
      <c r="AX145" s="251"/>
      <c r="AY145" s="251"/>
      <c r="AZ145" s="251"/>
      <c r="BA145" s="251"/>
      <c r="BB145" s="152"/>
      <c r="BC145" s="152"/>
    </row>
    <row r="146" spans="1:55" s="13" customFormat="1" hidden="1" x14ac:dyDescent="0.35">
      <c r="A146" s="235"/>
      <c r="B146" s="11"/>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O146" s="249"/>
      <c r="AP146" s="250"/>
      <c r="AQ146" s="250"/>
      <c r="AR146" s="250"/>
      <c r="AS146" s="250"/>
      <c r="AT146" s="250"/>
      <c r="AU146" s="250"/>
      <c r="AV146" s="250"/>
      <c r="AW146" s="250"/>
      <c r="AX146" s="251"/>
      <c r="AY146" s="251"/>
      <c r="AZ146" s="251"/>
      <c r="BA146" s="251"/>
      <c r="BB146" s="152"/>
      <c r="BC146" s="152"/>
    </row>
    <row r="147" spans="1:55" s="13" customFormat="1" hidden="1" x14ac:dyDescent="0.35">
      <c r="A147" s="235"/>
      <c r="B147" s="11"/>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O147" s="249"/>
      <c r="AP147" s="250"/>
      <c r="AQ147" s="250"/>
      <c r="AR147" s="250"/>
      <c r="AS147" s="250"/>
      <c r="AT147" s="250"/>
      <c r="AU147" s="250"/>
      <c r="AV147" s="250"/>
      <c r="AW147" s="250"/>
      <c r="AX147" s="251"/>
      <c r="AY147" s="251"/>
      <c r="AZ147" s="251"/>
      <c r="BA147" s="251"/>
      <c r="BB147" s="152"/>
      <c r="BC147" s="152"/>
    </row>
    <row r="148" spans="1:55" s="13" customFormat="1" hidden="1" x14ac:dyDescent="0.35">
      <c r="A148" s="235"/>
      <c r="B148" s="11"/>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O148" s="249"/>
      <c r="AP148" s="250"/>
      <c r="AQ148" s="250"/>
      <c r="AR148" s="250"/>
      <c r="AS148" s="250"/>
      <c r="AT148" s="250"/>
      <c r="AU148" s="250"/>
      <c r="AV148" s="250"/>
      <c r="AW148" s="250"/>
      <c r="AX148" s="251"/>
      <c r="AY148" s="251"/>
      <c r="AZ148" s="251"/>
      <c r="BA148" s="251"/>
      <c r="BB148" s="152"/>
      <c r="BC148" s="152"/>
    </row>
    <row r="149" spans="1:55" s="13" customFormat="1" hidden="1" x14ac:dyDescent="0.35">
      <c r="A149" s="235"/>
      <c r="B149" s="11"/>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O149" s="249"/>
      <c r="AP149" s="250"/>
      <c r="AQ149" s="250"/>
      <c r="AR149" s="250"/>
      <c r="AS149" s="250"/>
      <c r="AT149" s="250"/>
      <c r="AU149" s="250"/>
      <c r="AV149" s="250"/>
      <c r="AW149" s="250"/>
      <c r="AX149" s="251"/>
      <c r="AY149" s="251"/>
      <c r="AZ149" s="251"/>
      <c r="BA149" s="251"/>
      <c r="BB149" s="152"/>
      <c r="BC149" s="152"/>
    </row>
    <row r="150" spans="1:55" s="13" customFormat="1" hidden="1" x14ac:dyDescent="0.35">
      <c r="A150" s="235"/>
      <c r="B150" s="11"/>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O150" s="249"/>
      <c r="AP150" s="250"/>
      <c r="AQ150" s="250"/>
      <c r="AR150" s="250"/>
      <c r="AS150" s="250"/>
      <c r="AT150" s="250"/>
      <c r="AU150" s="250"/>
      <c r="AV150" s="250"/>
      <c r="AW150" s="250"/>
      <c r="AX150" s="251"/>
      <c r="AY150" s="251"/>
      <c r="AZ150" s="251"/>
      <c r="BA150" s="251"/>
      <c r="BB150" s="152"/>
      <c r="BC150" s="152"/>
    </row>
    <row r="151" spans="1:55" s="13" customFormat="1" hidden="1" x14ac:dyDescent="0.35">
      <c r="A151" s="235"/>
      <c r="B151" s="11"/>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O151" s="249"/>
      <c r="AP151" s="250"/>
      <c r="AQ151" s="250"/>
      <c r="AR151" s="250"/>
      <c r="AS151" s="250"/>
      <c r="AT151" s="250"/>
      <c r="AU151" s="250"/>
      <c r="AV151" s="250"/>
      <c r="AW151" s="250"/>
      <c r="AX151" s="251"/>
      <c r="AY151" s="251"/>
      <c r="AZ151" s="251"/>
      <c r="BA151" s="251"/>
      <c r="BB151" s="152"/>
      <c r="BC151" s="152"/>
    </row>
    <row r="152" spans="1:55" hidden="1" x14ac:dyDescent="0.35">
      <c r="B152" s="15"/>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row>
    <row r="153" spans="1:55" hidden="1" x14ac:dyDescent="0.35">
      <c r="B153" s="15"/>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row>
    <row r="154" spans="1:55" hidden="1" x14ac:dyDescent="0.35">
      <c r="B154" s="15"/>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row>
    <row r="155" spans="1:55" hidden="1" x14ac:dyDescent="0.35">
      <c r="B155" s="15"/>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row>
    <row r="156" spans="1:55" hidden="1" x14ac:dyDescent="0.35">
      <c r="B156" s="15"/>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row>
  </sheetData>
  <mergeCells count="288">
    <mergeCell ref="C12:D12"/>
    <mergeCell ref="C10:D11"/>
    <mergeCell ref="C37:E37"/>
    <mergeCell ref="F37:O37"/>
    <mergeCell ref="P37:W37"/>
    <mergeCell ref="C38:E38"/>
    <mergeCell ref="F38:O38"/>
    <mergeCell ref="P38:W38"/>
    <mergeCell ref="C39:E39"/>
    <mergeCell ref="F39:O39"/>
    <mergeCell ref="P39:W39"/>
    <mergeCell ref="E10:G12"/>
    <mergeCell ref="C36:E36"/>
    <mergeCell ref="C34:E34"/>
    <mergeCell ref="C35:E35"/>
    <mergeCell ref="P35:W35"/>
    <mergeCell ref="F29:O29"/>
    <mergeCell ref="P29:W29"/>
    <mergeCell ref="C22:E24"/>
    <mergeCell ref="F22:O24"/>
    <mergeCell ref="P22:W24"/>
    <mergeCell ref="U11:AA12"/>
    <mergeCell ref="U10:AA10"/>
    <mergeCell ref="H10:T12"/>
    <mergeCell ref="C72:AL74"/>
    <mergeCell ref="AA42:AB42"/>
    <mergeCell ref="AA31:AB31"/>
    <mergeCell ref="AA30:AB30"/>
    <mergeCell ref="AA28:AB28"/>
    <mergeCell ref="AA25:AB25"/>
    <mergeCell ref="C25:E25"/>
    <mergeCell ref="C26:E26"/>
    <mergeCell ref="C68:E68"/>
    <mergeCell ref="C69:E69"/>
    <mergeCell ref="F64:G64"/>
    <mergeCell ref="F65:G65"/>
    <mergeCell ref="AA26:AB26"/>
    <mergeCell ref="AA27:AB27"/>
    <mergeCell ref="C67:E67"/>
    <mergeCell ref="H64:T64"/>
    <mergeCell ref="U64:W64"/>
    <mergeCell ref="X64:Y64"/>
    <mergeCell ref="Z64:AL64"/>
    <mergeCell ref="H65:T65"/>
    <mergeCell ref="H69:T69"/>
    <mergeCell ref="C64:E64"/>
    <mergeCell ref="C65:E65"/>
    <mergeCell ref="C66:E66"/>
    <mergeCell ref="C29:E29"/>
    <mergeCell ref="X65:Y65"/>
    <mergeCell ref="Z65:AL65"/>
    <mergeCell ref="U66:W66"/>
    <mergeCell ref="X66:Y66"/>
    <mergeCell ref="Z66:AL66"/>
    <mergeCell ref="U67:W67"/>
    <mergeCell ref="X67:Y67"/>
    <mergeCell ref="Z67:AL67"/>
    <mergeCell ref="F66:G66"/>
    <mergeCell ref="F67:G67"/>
    <mergeCell ref="H66:T66"/>
    <mergeCell ref="H67:T67"/>
    <mergeCell ref="U65:W65"/>
    <mergeCell ref="U61:AE61"/>
    <mergeCell ref="U59:AE59"/>
    <mergeCell ref="U60:AE60"/>
    <mergeCell ref="AA41:AB41"/>
    <mergeCell ref="F36:O36"/>
    <mergeCell ref="P36:W36"/>
    <mergeCell ref="AA36:AB36"/>
    <mergeCell ref="AC36:AL36"/>
    <mergeCell ref="AC33:AL33"/>
    <mergeCell ref="F34:O34"/>
    <mergeCell ref="C18:E20"/>
    <mergeCell ref="Z15:AE20"/>
    <mergeCell ref="F18:Y20"/>
    <mergeCell ref="C15:Y17"/>
    <mergeCell ref="C14:Y14"/>
    <mergeCell ref="Z14:AE14"/>
    <mergeCell ref="AF17:AL17"/>
    <mergeCell ref="AF18:AL18"/>
    <mergeCell ref="AF19:AL19"/>
    <mergeCell ref="AF20:AL20"/>
    <mergeCell ref="X22:Z22"/>
    <mergeCell ref="AC25:AL25"/>
    <mergeCell ref="C59:M59"/>
    <mergeCell ref="C60:M60"/>
    <mergeCell ref="C61:M61"/>
    <mergeCell ref="F26:O26"/>
    <mergeCell ref="P26:W26"/>
    <mergeCell ref="N61:O61"/>
    <mergeCell ref="P59:Q59"/>
    <mergeCell ref="P60:Q60"/>
    <mergeCell ref="P61:Q61"/>
    <mergeCell ref="R59:T59"/>
    <mergeCell ref="R60:T60"/>
    <mergeCell ref="R61:T61"/>
    <mergeCell ref="AF61:AG61"/>
    <mergeCell ref="AH61:AI61"/>
    <mergeCell ref="AJ61:AL61"/>
    <mergeCell ref="AA37:AB37"/>
    <mergeCell ref="AA38:AB38"/>
    <mergeCell ref="AC26:AL26"/>
    <mergeCell ref="AA35:AB35"/>
    <mergeCell ref="AA29:AB29"/>
    <mergeCell ref="C32:E32"/>
    <mergeCell ref="F32:O32"/>
    <mergeCell ref="F31:O31"/>
    <mergeCell ref="P31:W31"/>
    <mergeCell ref="AC31:AL31"/>
    <mergeCell ref="AA40:AB40"/>
    <mergeCell ref="AA32:AB32"/>
    <mergeCell ref="AA33:AB33"/>
    <mergeCell ref="X69:Y69"/>
    <mergeCell ref="F25:O25"/>
    <mergeCell ref="P25:W25"/>
    <mergeCell ref="P32:W32"/>
    <mergeCell ref="AC32:AL32"/>
    <mergeCell ref="F33:O33"/>
    <mergeCell ref="P33:W33"/>
    <mergeCell ref="AC35:AL35"/>
    <mergeCell ref="U69:W69"/>
    <mergeCell ref="P34:W34"/>
    <mergeCell ref="AC34:AL34"/>
    <mergeCell ref="AA34:AB34"/>
    <mergeCell ref="F35:O35"/>
    <mergeCell ref="AF60:AG60"/>
    <mergeCell ref="AH60:AI60"/>
    <mergeCell ref="AJ60:AL60"/>
    <mergeCell ref="P50:W50"/>
    <mergeCell ref="AA50:AB50"/>
    <mergeCell ref="C71:AL71"/>
    <mergeCell ref="C57:AL57"/>
    <mergeCell ref="AJ58:AL58"/>
    <mergeCell ref="C58:M58"/>
    <mergeCell ref="C42:E42"/>
    <mergeCell ref="F42:O42"/>
    <mergeCell ref="P42:W42"/>
    <mergeCell ref="AC42:AL42"/>
    <mergeCell ref="C63:AL63"/>
    <mergeCell ref="N59:O59"/>
    <mergeCell ref="N60:O60"/>
    <mergeCell ref="AF58:AG58"/>
    <mergeCell ref="AH58:AI58"/>
    <mergeCell ref="Z69:AL69"/>
    <mergeCell ref="H68:T68"/>
    <mergeCell ref="U68:W68"/>
    <mergeCell ref="X68:Y68"/>
    <mergeCell ref="Z68:AL68"/>
    <mergeCell ref="F68:G68"/>
    <mergeCell ref="F69:G69"/>
    <mergeCell ref="N58:O58"/>
    <mergeCell ref="R58:T58"/>
    <mergeCell ref="P58:Q58"/>
    <mergeCell ref="U58:AE58"/>
    <mergeCell ref="AP31:BA31"/>
    <mergeCell ref="AC40:AL40"/>
    <mergeCell ref="AC41:AL41"/>
    <mergeCell ref="AC38:AL38"/>
    <mergeCell ref="AC39:AL39"/>
    <mergeCell ref="AC27:AL27"/>
    <mergeCell ref="AC28:AL28"/>
    <mergeCell ref="AC37:AL37"/>
    <mergeCell ref="AP22:BA22"/>
    <mergeCell ref="AP23:BA23"/>
    <mergeCell ref="AP25:BA25"/>
    <mergeCell ref="AP26:BA26"/>
    <mergeCell ref="AP27:BA27"/>
    <mergeCell ref="AP28:BA28"/>
    <mergeCell ref="AP29:BA29"/>
    <mergeCell ref="AP30:BA30"/>
    <mergeCell ref="AC29:AL29"/>
    <mergeCell ref="AC30:AL30"/>
    <mergeCell ref="AP32:BA32"/>
    <mergeCell ref="AP33:BA33"/>
    <mergeCell ref="AP34:BA34"/>
    <mergeCell ref="AP35:BA35"/>
    <mergeCell ref="AP36:BA36"/>
    <mergeCell ref="AP37:BA37"/>
    <mergeCell ref="AO3:BA3"/>
    <mergeCell ref="AP7:BA7"/>
    <mergeCell ref="AF59:AG59"/>
    <mergeCell ref="AH59:AI59"/>
    <mergeCell ref="AJ59:AL59"/>
    <mergeCell ref="C40:E40"/>
    <mergeCell ref="F40:O40"/>
    <mergeCell ref="P40:W40"/>
    <mergeCell ref="C41:E41"/>
    <mergeCell ref="F41:O41"/>
    <mergeCell ref="P41:W41"/>
    <mergeCell ref="AA39:AB39"/>
    <mergeCell ref="C27:E27"/>
    <mergeCell ref="F27:O27"/>
    <mergeCell ref="P27:W27"/>
    <mergeCell ref="C28:E28"/>
    <mergeCell ref="F28:O28"/>
    <mergeCell ref="P28:W28"/>
    <mergeCell ref="AP5:BA5"/>
    <mergeCell ref="AP6:BA6"/>
    <mergeCell ref="C30:E30"/>
    <mergeCell ref="F30:O30"/>
    <mergeCell ref="P30:W30"/>
    <mergeCell ref="C31:E31"/>
    <mergeCell ref="AP8:BA10"/>
    <mergeCell ref="AP11:BA11"/>
    <mergeCell ref="AP12:BA14"/>
    <mergeCell ref="AP15:BA16"/>
    <mergeCell ref="AP17:BA18"/>
    <mergeCell ref="AP19:BA19"/>
    <mergeCell ref="AP20:BA20"/>
    <mergeCell ref="AA22:AB24"/>
    <mergeCell ref="AC22:AL24"/>
    <mergeCell ref="AB10:AC10"/>
    <mergeCell ref="AB11:AC12"/>
    <mergeCell ref="AD10:AL10"/>
    <mergeCell ref="AD11:AE11"/>
    <mergeCell ref="AD12:AE12"/>
    <mergeCell ref="AF12:AL12"/>
    <mergeCell ref="AF14:AI15"/>
    <mergeCell ref="AJ14:AL15"/>
    <mergeCell ref="AF11:AL11"/>
    <mergeCell ref="AF16:AH16"/>
    <mergeCell ref="AI16:AL16"/>
    <mergeCell ref="AP38:BA38"/>
    <mergeCell ref="AP39:BA39"/>
    <mergeCell ref="C43:E43"/>
    <mergeCell ref="F43:O43"/>
    <mergeCell ref="P43:W43"/>
    <mergeCell ref="AA43:AB43"/>
    <mergeCell ref="AC43:AL43"/>
    <mergeCell ref="C33:E33"/>
    <mergeCell ref="C44:E44"/>
    <mergeCell ref="F44:O44"/>
    <mergeCell ref="P44:W44"/>
    <mergeCell ref="AA44:AB44"/>
    <mergeCell ref="AC44:AL44"/>
    <mergeCell ref="C45:E45"/>
    <mergeCell ref="F45:O45"/>
    <mergeCell ref="P45:W45"/>
    <mergeCell ref="AA45:AB45"/>
    <mergeCell ref="AC45:AL45"/>
    <mergeCell ref="C46:E46"/>
    <mergeCell ref="F46:O46"/>
    <mergeCell ref="P46:W46"/>
    <mergeCell ref="AA46:AB46"/>
    <mergeCell ref="AC46:AL46"/>
    <mergeCell ref="C47:E47"/>
    <mergeCell ref="F47:O47"/>
    <mergeCell ref="P47:W47"/>
    <mergeCell ref="AA47:AB47"/>
    <mergeCell ref="AC47:AL47"/>
    <mergeCell ref="AC50:AL50"/>
    <mergeCell ref="C51:E51"/>
    <mergeCell ref="F51:O51"/>
    <mergeCell ref="P51:W51"/>
    <mergeCell ref="AA51:AB51"/>
    <mergeCell ref="AC51:AL51"/>
    <mergeCell ref="C48:E48"/>
    <mergeCell ref="F48:O48"/>
    <mergeCell ref="P48:W48"/>
    <mergeCell ref="AA48:AB48"/>
    <mergeCell ref="AC48:AL48"/>
    <mergeCell ref="C49:E49"/>
    <mergeCell ref="F49:O49"/>
    <mergeCell ref="P49:W49"/>
    <mergeCell ref="AA49:AB49"/>
    <mergeCell ref="AC49:AL49"/>
    <mergeCell ref="C50:E50"/>
    <mergeCell ref="F50:O50"/>
    <mergeCell ref="C54:E54"/>
    <mergeCell ref="F54:O54"/>
    <mergeCell ref="P54:W54"/>
    <mergeCell ref="AA54:AB54"/>
    <mergeCell ref="AC54:AL54"/>
    <mergeCell ref="C55:E55"/>
    <mergeCell ref="F55:O55"/>
    <mergeCell ref="P55:W55"/>
    <mergeCell ref="AA55:AB55"/>
    <mergeCell ref="AC55:AL55"/>
    <mergeCell ref="C52:E52"/>
    <mergeCell ref="F52:O52"/>
    <mergeCell ref="P52:W52"/>
    <mergeCell ref="AA52:AB52"/>
    <mergeCell ref="AC52:AL52"/>
    <mergeCell ref="C53:E53"/>
    <mergeCell ref="F53:O53"/>
    <mergeCell ref="P53:W53"/>
    <mergeCell ref="AA53:AB53"/>
    <mergeCell ref="AC53:AL53"/>
  </mergeCells>
  <conditionalFormatting sqref="Z25:Z42 Z56">
    <cfRule type="containsText" dxfId="218" priority="97" operator="containsText" text="X">
      <formula>NOT(ISERROR(SEARCH("X",Z25)))</formula>
    </cfRule>
  </conditionalFormatting>
  <conditionalFormatting sqref="Y25:Y42 Y56">
    <cfRule type="containsText" dxfId="217" priority="95" operator="containsText" text="X">
      <formula>NOT(ISERROR(SEARCH("X",Y25)))</formula>
    </cfRule>
  </conditionalFormatting>
  <conditionalFormatting sqref="X25:X42 X56">
    <cfRule type="containsText" dxfId="216" priority="24" operator="containsText" text="X">
      <formula>NOT(ISERROR(SEARCH("X",X25)))</formula>
    </cfRule>
  </conditionalFormatting>
  <conditionalFormatting sqref="Z43:Z44">
    <cfRule type="containsText" dxfId="215" priority="21" operator="containsText" text="X">
      <formula>NOT(ISERROR(SEARCH("X",Z43)))</formula>
    </cfRule>
  </conditionalFormatting>
  <conditionalFormatting sqref="Y43:Y44">
    <cfRule type="containsText" dxfId="214" priority="20" operator="containsText" text="X">
      <formula>NOT(ISERROR(SEARCH("X",Y43)))</formula>
    </cfRule>
  </conditionalFormatting>
  <conditionalFormatting sqref="X43:X44">
    <cfRule type="containsText" dxfId="213" priority="19" operator="containsText" text="X">
      <formula>NOT(ISERROR(SEARCH("X",X43)))</formula>
    </cfRule>
  </conditionalFormatting>
  <conditionalFormatting sqref="Z45:Z46">
    <cfRule type="containsText" dxfId="212" priority="18" operator="containsText" text="X">
      <formula>NOT(ISERROR(SEARCH("X",Z45)))</formula>
    </cfRule>
  </conditionalFormatting>
  <conditionalFormatting sqref="Y45:Y46">
    <cfRule type="containsText" dxfId="211" priority="17" operator="containsText" text="X">
      <formula>NOT(ISERROR(SEARCH("X",Y45)))</formula>
    </cfRule>
  </conditionalFormatting>
  <conditionalFormatting sqref="X45:X46">
    <cfRule type="containsText" dxfId="210" priority="16" operator="containsText" text="X">
      <formula>NOT(ISERROR(SEARCH("X",X45)))</formula>
    </cfRule>
  </conditionalFormatting>
  <conditionalFormatting sqref="Z47:Z48">
    <cfRule type="containsText" dxfId="209" priority="15" operator="containsText" text="X">
      <formula>NOT(ISERROR(SEARCH("X",Z47)))</formula>
    </cfRule>
  </conditionalFormatting>
  <conditionalFormatting sqref="Y47:Y48">
    <cfRule type="containsText" dxfId="208" priority="14" operator="containsText" text="X">
      <formula>NOT(ISERROR(SEARCH("X",Y47)))</formula>
    </cfRule>
  </conditionalFormatting>
  <conditionalFormatting sqref="X47:X48">
    <cfRule type="containsText" dxfId="207" priority="13" operator="containsText" text="X">
      <formula>NOT(ISERROR(SEARCH("X",X47)))</formula>
    </cfRule>
  </conditionalFormatting>
  <conditionalFormatting sqref="Z49:Z50">
    <cfRule type="containsText" dxfId="206" priority="12" operator="containsText" text="X">
      <formula>NOT(ISERROR(SEARCH("X",Z49)))</formula>
    </cfRule>
  </conditionalFormatting>
  <conditionalFormatting sqref="Y49:Y50">
    <cfRule type="containsText" dxfId="205" priority="11" operator="containsText" text="X">
      <formula>NOT(ISERROR(SEARCH("X",Y49)))</formula>
    </cfRule>
  </conditionalFormatting>
  <conditionalFormatting sqref="X49:X50">
    <cfRule type="containsText" dxfId="204" priority="10" operator="containsText" text="X">
      <formula>NOT(ISERROR(SEARCH("X",X49)))</formula>
    </cfRule>
  </conditionalFormatting>
  <conditionalFormatting sqref="Z51:Z52">
    <cfRule type="containsText" dxfId="203" priority="9" operator="containsText" text="X">
      <formula>NOT(ISERROR(SEARCH("X",Z51)))</formula>
    </cfRule>
  </conditionalFormatting>
  <conditionalFormatting sqref="Y51:Y52">
    <cfRule type="containsText" dxfId="202" priority="8" operator="containsText" text="X">
      <formula>NOT(ISERROR(SEARCH("X",Y51)))</formula>
    </cfRule>
  </conditionalFormatting>
  <conditionalFormatting sqref="X51:X52">
    <cfRule type="containsText" dxfId="201" priority="7" operator="containsText" text="X">
      <formula>NOT(ISERROR(SEARCH("X",X51)))</formula>
    </cfRule>
  </conditionalFormatting>
  <conditionalFormatting sqref="Z53:Z54">
    <cfRule type="containsText" dxfId="200" priority="6" operator="containsText" text="X">
      <formula>NOT(ISERROR(SEARCH("X",Z53)))</formula>
    </cfRule>
  </conditionalFormatting>
  <conditionalFormatting sqref="Y53:Y54">
    <cfRule type="containsText" dxfId="199" priority="5" operator="containsText" text="X">
      <formula>NOT(ISERROR(SEARCH("X",Y53)))</formula>
    </cfRule>
  </conditionalFormatting>
  <conditionalFormatting sqref="X53:X54">
    <cfRule type="containsText" dxfId="198" priority="4" operator="containsText" text="X">
      <formula>NOT(ISERROR(SEARCH("X",X53)))</formula>
    </cfRule>
  </conditionalFormatting>
  <conditionalFormatting sqref="Z55">
    <cfRule type="containsText" dxfId="197" priority="3" operator="containsText" text="X">
      <formula>NOT(ISERROR(SEARCH("X",Z55)))</formula>
    </cfRule>
  </conditionalFormatting>
  <conditionalFormatting sqref="Y55">
    <cfRule type="containsText" dxfId="196" priority="2" operator="containsText" text="X">
      <formula>NOT(ISERROR(SEARCH("X",Y55)))</formula>
    </cfRule>
  </conditionalFormatting>
  <conditionalFormatting sqref="X55">
    <cfRule type="containsText" dxfId="195" priority="1" operator="containsText" text="X">
      <formula>NOT(ISERROR(SEARCH("X",X55)))</formula>
    </cfRule>
  </conditionalFormatting>
  <dataValidations count="2">
    <dataValidation type="list" allowBlank="1" showInputMessage="1" showErrorMessage="1" sqref="X25:Z55">
      <formula1>"X"</formula1>
    </dataValidation>
    <dataValidation errorStyle="warning" allowBlank="1" showInputMessage="1" showErrorMessage="1" sqref="AB11:AC12 AJ14"/>
  </dataValidations>
  <printOptions horizontalCentered="1"/>
  <pageMargins left="0.39370078740157483" right="0.39370078740157483" top="0.39370078740157483" bottom="0.39370078740157483" header="0.31496062992125984" footer="7.874015748031496E-2"/>
  <pageSetup scale="88" orientation="landscape" r:id="rId1"/>
  <headerFooter>
    <oddFooter>&amp;R&amp;P de &amp;N</oddFooter>
  </headerFooter>
  <ignoredErrors>
    <ignoredError sqref="AB11 Z15" unlockedFormula="1"/>
  </ignoredErrors>
  <drawing r:id="rId2"/>
  <legacyDrawing r:id="rId3"/>
  <extLst>
    <ext xmlns:x14="http://schemas.microsoft.com/office/spreadsheetml/2009/9/main" uri="{CCE6A557-97BC-4b89-ADB6-D9C93CAAB3DF}">
      <x14:dataValidations xmlns:xm="http://schemas.microsoft.com/office/excel/2006/main" count="4">
        <x14:dataValidation type="list" errorStyle="warning" allowBlank="1" showInputMessage="1">
          <x14:formula1>
            <xm:f>'Req. ISO 9001-2015'!$B$4:$B$100</xm:f>
          </x14:formula1>
          <xm:sqref>AA25:AB55</xm:sqref>
        </x14:dataValidation>
        <x14:dataValidation type="list" allowBlank="1" showInputMessage="1" showErrorMessage="1">
          <x14:formula1>
            <xm:f>Listas!$H$4:$H$13</xm:f>
          </x14:formula1>
          <xm:sqref>AI16:AL16</xm:sqref>
        </x14:dataValidation>
        <x14:dataValidation type="list" errorStyle="warning" allowBlank="1" showInputMessage="1" showErrorMessage="1">
          <x14:formula1>
            <xm:f>Listas!$C$4:$C$44</xm:f>
          </x14:formula1>
          <xm:sqref>U11:AA12</xm:sqref>
        </x14:dataValidation>
        <x14:dataValidation type="list" errorStyle="warning" allowBlank="1" showInputMessage="1" showErrorMessage="1">
          <x14:formula1>
            <xm:f>Listas!$J$4:$J$29</xm:f>
          </x14:formula1>
          <xm:sqref>AF18:AL18 AF20:AL20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790"/>
  </sheetPr>
  <dimension ref="A1:Y100"/>
  <sheetViews>
    <sheetView zoomScaleNormal="100" workbookViewId="0">
      <pane xSplit="4" ySplit="3" topLeftCell="E4" activePane="bottomRight" state="frozen"/>
      <selection pane="topRight" activeCell="E1" sqref="E1"/>
      <selection pane="bottomLeft" activeCell="A5" sqref="A5"/>
      <selection pane="bottomRight" activeCell="D1" sqref="D1"/>
    </sheetView>
  </sheetViews>
  <sheetFormatPr baseColWidth="10" defaultColWidth="0" defaultRowHeight="11.5" outlineLevelRow="1" x14ac:dyDescent="0.35"/>
  <cols>
    <col min="1" max="1" width="1.453125" style="24" customWidth="1"/>
    <col min="2" max="2" width="11" style="67" customWidth="1"/>
    <col min="3" max="3" width="56.453125" style="101" customWidth="1"/>
    <col min="4" max="4" width="1.1796875" style="6" customWidth="1"/>
    <col min="5" max="5" width="1.453125" style="24" customWidth="1"/>
    <col min="6" max="25" width="0" style="24" hidden="1" customWidth="1"/>
    <col min="26" max="16384" width="11.453125" style="24" hidden="1"/>
  </cols>
  <sheetData>
    <row r="1" spans="1:4" s="20" customFormat="1" ht="15.5" x14ac:dyDescent="0.35">
      <c r="A1" s="102"/>
      <c r="B1" s="531" t="s">
        <v>87</v>
      </c>
      <c r="C1" s="531"/>
      <c r="D1" s="102"/>
    </row>
    <row r="2" spans="1:4" s="21" customFormat="1" ht="13.5" customHeight="1" x14ac:dyDescent="0.35">
      <c r="A2" s="529" t="s">
        <v>88</v>
      </c>
      <c r="B2" s="530"/>
      <c r="C2" s="105" t="s">
        <v>89</v>
      </c>
      <c r="D2" s="102"/>
    </row>
    <row r="3" spans="1:4" s="21" customFormat="1" ht="6" customHeight="1" x14ac:dyDescent="0.35">
      <c r="A3" s="106"/>
      <c r="B3" s="107"/>
      <c r="C3" s="108"/>
      <c r="D3" s="102"/>
    </row>
    <row r="4" spans="1:4" x14ac:dyDescent="0.35">
      <c r="A4" s="22">
        <v>9</v>
      </c>
      <c r="B4" s="23" t="s">
        <v>7</v>
      </c>
      <c r="C4" s="68" t="s">
        <v>90</v>
      </c>
      <c r="D4" s="102"/>
    </row>
    <row r="5" spans="1:4" x14ac:dyDescent="0.35">
      <c r="A5" s="22" t="e">
        <f>COUNTIF(#REF!,"X")</f>
        <v>#REF!</v>
      </c>
      <c r="B5" s="25" t="s">
        <v>91</v>
      </c>
      <c r="C5" s="69" t="s">
        <v>92</v>
      </c>
    </row>
    <row r="6" spans="1:4" x14ac:dyDescent="0.35">
      <c r="A6" s="22" t="e">
        <f>COUNTIF(#REF!,"X")</f>
        <v>#REF!</v>
      </c>
      <c r="B6" s="26" t="s">
        <v>93</v>
      </c>
      <c r="C6" s="70" t="s">
        <v>94</v>
      </c>
    </row>
    <row r="7" spans="1:4" x14ac:dyDescent="0.35">
      <c r="A7" s="22" t="e">
        <f>COUNTIF(#REF!,"X")</f>
        <v>#REF!</v>
      </c>
      <c r="B7" s="25" t="s">
        <v>95</v>
      </c>
      <c r="C7" s="69" t="s">
        <v>96</v>
      </c>
    </row>
    <row r="8" spans="1:4" x14ac:dyDescent="0.35">
      <c r="A8" s="22" t="e">
        <f>COUNTIF(#REF!,"X")</f>
        <v>#REF!</v>
      </c>
      <c r="B8" s="26" t="s">
        <v>97</v>
      </c>
      <c r="C8" s="70" t="s">
        <v>98</v>
      </c>
    </row>
    <row r="9" spans="1:4" ht="23" outlineLevel="1" x14ac:dyDescent="0.35">
      <c r="A9" s="22" t="e">
        <f>COUNTIF(#REF!,"X")</f>
        <v>#REF!</v>
      </c>
      <c r="B9" s="27" t="s">
        <v>99</v>
      </c>
      <c r="C9" s="71" t="s">
        <v>100</v>
      </c>
    </row>
    <row r="10" spans="1:4" ht="23" outlineLevel="1" x14ac:dyDescent="0.35">
      <c r="A10" s="22" t="e">
        <f>COUNTIF(#REF!,"X")</f>
        <v>#REF!</v>
      </c>
      <c r="B10" s="28" t="s">
        <v>101</v>
      </c>
      <c r="C10" s="72" t="s">
        <v>102</v>
      </c>
    </row>
    <row r="11" spans="1:4" s="21" customFormat="1" x14ac:dyDescent="0.35">
      <c r="A11" s="29" t="e">
        <f>COUNTIF(#REF!,"X")</f>
        <v>#REF!</v>
      </c>
      <c r="C11" s="30"/>
      <c r="D11" s="103"/>
    </row>
    <row r="12" spans="1:4" s="33" customFormat="1" x14ac:dyDescent="0.35">
      <c r="A12" s="31">
        <v>9</v>
      </c>
      <c r="B12" s="32" t="s">
        <v>16</v>
      </c>
      <c r="C12" s="73" t="s">
        <v>103</v>
      </c>
      <c r="D12" s="104"/>
    </row>
    <row r="13" spans="1:4" x14ac:dyDescent="0.35">
      <c r="A13" s="31" t="e">
        <f>COUNTIF(#REF!,"X")</f>
        <v>#REF!</v>
      </c>
      <c r="B13" s="34" t="s">
        <v>104</v>
      </c>
      <c r="C13" s="74" t="s">
        <v>105</v>
      </c>
    </row>
    <row r="14" spans="1:4" ht="23" outlineLevel="1" x14ac:dyDescent="0.35">
      <c r="A14" s="31" t="e">
        <f>COUNTIF(#REF!,"X")</f>
        <v>#REF!</v>
      </c>
      <c r="B14" s="35" t="s">
        <v>106</v>
      </c>
      <c r="C14" s="75" t="s">
        <v>107</v>
      </c>
    </row>
    <row r="15" spans="1:4" ht="34.5" outlineLevel="1" x14ac:dyDescent="0.35">
      <c r="A15" s="31" t="e">
        <f>COUNTIF(#REF!,"X")</f>
        <v>#REF!</v>
      </c>
      <c r="B15" s="36" t="s">
        <v>108</v>
      </c>
      <c r="C15" s="76" t="s">
        <v>109</v>
      </c>
    </row>
    <row r="16" spans="1:4" x14ac:dyDescent="0.35">
      <c r="A16" s="31" t="e">
        <f>COUNTIF(#REF!,"X")</f>
        <v>#REF!</v>
      </c>
      <c r="B16" s="37" t="s">
        <v>110</v>
      </c>
      <c r="C16" s="77" t="s">
        <v>111</v>
      </c>
    </row>
    <row r="17" spans="1:4" outlineLevel="1" x14ac:dyDescent="0.35">
      <c r="A17" s="31" t="e">
        <f>COUNTIF(#REF!,"X")</f>
        <v>#REF!</v>
      </c>
      <c r="B17" s="36" t="s">
        <v>112</v>
      </c>
      <c r="C17" s="76" t="s">
        <v>113</v>
      </c>
    </row>
    <row r="18" spans="1:4" outlineLevel="1" x14ac:dyDescent="0.35">
      <c r="A18" s="31" t="e">
        <f>COUNTIF(#REF!,"X")</f>
        <v>#REF!</v>
      </c>
      <c r="B18" s="35" t="s">
        <v>114</v>
      </c>
      <c r="C18" s="75" t="s">
        <v>115</v>
      </c>
    </row>
    <row r="19" spans="1:4" ht="34.5" x14ac:dyDescent="0.35">
      <c r="A19" s="31" t="e">
        <f>COUNTIF(#REF!,"X")</f>
        <v>#REF!</v>
      </c>
      <c r="B19" s="34" t="s">
        <v>116</v>
      </c>
      <c r="C19" s="74" t="s">
        <v>117</v>
      </c>
    </row>
    <row r="20" spans="1:4" s="21" customFormat="1" x14ac:dyDescent="0.35">
      <c r="A20" s="29" t="e">
        <f>COUNTIF(#REF!,"X")</f>
        <v>#REF!</v>
      </c>
      <c r="C20" s="30"/>
      <c r="D20" s="103"/>
    </row>
    <row r="21" spans="1:4" x14ac:dyDescent="0.35">
      <c r="A21" s="38">
        <v>9</v>
      </c>
      <c r="B21" s="39" t="s">
        <v>19</v>
      </c>
      <c r="C21" s="78" t="s">
        <v>118</v>
      </c>
    </row>
    <row r="22" spans="1:4" x14ac:dyDescent="0.35">
      <c r="A22" s="38" t="e">
        <f>COUNTIF(#REF!,"X")</f>
        <v>#REF!</v>
      </c>
      <c r="B22" s="40" t="s">
        <v>119</v>
      </c>
      <c r="C22" s="79" t="s">
        <v>120</v>
      </c>
    </row>
    <row r="23" spans="1:4" ht="23" outlineLevel="1" x14ac:dyDescent="0.35">
      <c r="A23" s="38" t="e">
        <f>COUNTIF(#REF!,"X")</f>
        <v>#REF!</v>
      </c>
      <c r="B23" s="41" t="s">
        <v>121</v>
      </c>
      <c r="C23" s="80" t="s">
        <v>122</v>
      </c>
    </row>
    <row r="24" spans="1:4" ht="69" outlineLevel="1" x14ac:dyDescent="0.35">
      <c r="A24" s="38" t="e">
        <f>COUNTIF(#REF!,"X")</f>
        <v>#REF!</v>
      </c>
      <c r="B24" s="42" t="s">
        <v>123</v>
      </c>
      <c r="C24" s="81" t="s">
        <v>124</v>
      </c>
    </row>
    <row r="25" spans="1:4" x14ac:dyDescent="0.35">
      <c r="A25" s="38" t="e">
        <f>COUNTIF(#REF!,"X")</f>
        <v>#REF!</v>
      </c>
      <c r="B25" s="43" t="s">
        <v>125</v>
      </c>
      <c r="C25" s="82" t="s">
        <v>126</v>
      </c>
    </row>
    <row r="26" spans="1:4" outlineLevel="1" x14ac:dyDescent="0.35">
      <c r="A26" s="38" t="e">
        <f>COUNTIF(#REF!,"X")</f>
        <v>#REF!</v>
      </c>
      <c r="B26" s="42" t="s">
        <v>127</v>
      </c>
      <c r="C26" s="81" t="s">
        <v>128</v>
      </c>
    </row>
    <row r="27" spans="1:4" ht="34.5" outlineLevel="1" x14ac:dyDescent="0.35">
      <c r="A27" s="38" t="e">
        <f>COUNTIF(#REF!,"X")</f>
        <v>#REF!</v>
      </c>
      <c r="B27" s="41" t="s">
        <v>129</v>
      </c>
      <c r="C27" s="80" t="s">
        <v>130</v>
      </c>
    </row>
    <row r="28" spans="1:4" ht="34.5" x14ac:dyDescent="0.35">
      <c r="A28" s="38" t="e">
        <f>COUNTIF(#REF!,"X")</f>
        <v>#REF!</v>
      </c>
      <c r="B28" s="40" t="s">
        <v>131</v>
      </c>
      <c r="C28" s="79" t="s">
        <v>132</v>
      </c>
    </row>
    <row r="29" spans="1:4" s="21" customFormat="1" x14ac:dyDescent="0.35">
      <c r="A29" s="29" t="e">
        <f>COUNTIF(#REF!,"X")</f>
        <v>#REF!</v>
      </c>
      <c r="C29" s="30"/>
      <c r="D29" s="103"/>
    </row>
    <row r="30" spans="1:4" x14ac:dyDescent="0.35">
      <c r="A30" s="44">
        <v>9</v>
      </c>
      <c r="B30" s="45" t="s">
        <v>24</v>
      </c>
      <c r="C30" s="83" t="s">
        <v>133</v>
      </c>
    </row>
    <row r="31" spans="1:4" x14ac:dyDescent="0.35">
      <c r="A31" s="44" t="e">
        <f>COUNTIF(#REF!,"X")</f>
        <v>#REF!</v>
      </c>
      <c r="B31" s="46" t="s">
        <v>134</v>
      </c>
      <c r="C31" s="84" t="s">
        <v>135</v>
      </c>
    </row>
    <row r="32" spans="1:4" ht="46" outlineLevel="1" x14ac:dyDescent="0.35">
      <c r="A32" s="44" t="e">
        <f>COUNTIF(#REF!,"X")</f>
        <v>#REF!</v>
      </c>
      <c r="B32" s="47" t="s">
        <v>136</v>
      </c>
      <c r="C32" s="85" t="s">
        <v>137</v>
      </c>
    </row>
    <row r="33" spans="1:3" ht="34.5" outlineLevel="1" x14ac:dyDescent="0.35">
      <c r="A33" s="44" t="e">
        <f>COUNTIF(#REF!,"X")</f>
        <v>#REF!</v>
      </c>
      <c r="B33" s="48" t="s">
        <v>138</v>
      </c>
      <c r="C33" s="86" t="s">
        <v>139</v>
      </c>
    </row>
    <row r="34" spans="1:3" ht="34.5" outlineLevel="1" x14ac:dyDescent="0.35">
      <c r="A34" s="44" t="e">
        <f>COUNTIF(#REF!,"X")</f>
        <v>#REF!</v>
      </c>
      <c r="B34" s="47" t="s">
        <v>140</v>
      </c>
      <c r="C34" s="85" t="s">
        <v>141</v>
      </c>
    </row>
    <row r="35" spans="1:3" ht="34.5" outlineLevel="1" x14ac:dyDescent="0.35">
      <c r="A35" s="44" t="e">
        <f>COUNTIF(#REF!,"X")</f>
        <v>#REF!</v>
      </c>
      <c r="B35" s="48" t="s">
        <v>142</v>
      </c>
      <c r="C35" s="86" t="s">
        <v>143</v>
      </c>
    </row>
    <row r="36" spans="1:3" outlineLevel="1" x14ac:dyDescent="0.35">
      <c r="A36" s="44" t="e">
        <f>COUNTIF(#REF!,"X")</f>
        <v>#REF!</v>
      </c>
      <c r="B36" s="47" t="s">
        <v>144</v>
      </c>
      <c r="C36" s="85" t="s">
        <v>145</v>
      </c>
    </row>
    <row r="37" spans="1:3" outlineLevel="1" x14ac:dyDescent="0.35">
      <c r="A37" s="44" t="e">
        <f>COUNTIF(#REF!,"X")</f>
        <v>#REF!</v>
      </c>
      <c r="B37" s="49" t="s">
        <v>146</v>
      </c>
      <c r="C37" s="87" t="s">
        <v>147</v>
      </c>
    </row>
    <row r="38" spans="1:3" outlineLevel="1" x14ac:dyDescent="0.35">
      <c r="A38" s="44" t="e">
        <f>COUNTIF(#REF!,"X")</f>
        <v>#REF!</v>
      </c>
      <c r="B38" s="50" t="s">
        <v>148</v>
      </c>
      <c r="C38" s="88" t="s">
        <v>149</v>
      </c>
    </row>
    <row r="39" spans="1:3" ht="34.5" outlineLevel="1" x14ac:dyDescent="0.35">
      <c r="A39" s="44" t="e">
        <f>COUNTIF(#REF!,"X")</f>
        <v>#REF!</v>
      </c>
      <c r="B39" s="48" t="s">
        <v>150</v>
      </c>
      <c r="C39" s="84" t="s">
        <v>151</v>
      </c>
    </row>
    <row r="40" spans="1:3" ht="69" x14ac:dyDescent="0.35">
      <c r="A40" s="44" t="e">
        <f>COUNTIF(#REF!,"X")</f>
        <v>#REF!</v>
      </c>
      <c r="B40" s="51" t="s">
        <v>152</v>
      </c>
      <c r="C40" s="89" t="s">
        <v>153</v>
      </c>
    </row>
    <row r="41" spans="1:3" ht="23" x14ac:dyDescent="0.35">
      <c r="A41" s="44" t="e">
        <f>COUNTIF(#REF!,"X")</f>
        <v>#REF!</v>
      </c>
      <c r="B41" s="46" t="s">
        <v>154</v>
      </c>
      <c r="C41" s="84" t="s">
        <v>155</v>
      </c>
    </row>
    <row r="42" spans="1:3" ht="23" x14ac:dyDescent="0.35">
      <c r="A42" s="44" t="e">
        <f>COUNTIF(#REF!,"X")</f>
        <v>#REF!</v>
      </c>
      <c r="B42" s="51" t="s">
        <v>156</v>
      </c>
      <c r="C42" s="89" t="s">
        <v>157</v>
      </c>
    </row>
    <row r="43" spans="1:3" x14ac:dyDescent="0.35">
      <c r="A43" s="44" t="e">
        <f>COUNTIF(#REF!,"X")</f>
        <v>#REF!</v>
      </c>
      <c r="B43" s="46" t="s">
        <v>158</v>
      </c>
      <c r="C43" s="84" t="s">
        <v>159</v>
      </c>
    </row>
    <row r="44" spans="1:3" ht="34.5" outlineLevel="1" x14ac:dyDescent="0.35">
      <c r="A44" s="44" t="e">
        <f>COUNTIF(#REF!,"X")</f>
        <v>#REF!</v>
      </c>
      <c r="B44" s="47" t="s">
        <v>160</v>
      </c>
      <c r="C44" s="85" t="s">
        <v>161</v>
      </c>
    </row>
    <row r="45" spans="1:3" ht="34.5" outlineLevel="1" x14ac:dyDescent="0.35">
      <c r="A45" s="44" t="e">
        <f>COUNTIF(#REF!,"X")</f>
        <v>#REF!</v>
      </c>
      <c r="B45" s="48" t="s">
        <v>162</v>
      </c>
      <c r="C45" s="86" t="s">
        <v>163</v>
      </c>
    </row>
    <row r="46" spans="1:3" outlineLevel="1" x14ac:dyDescent="0.35">
      <c r="A46" s="44" t="e">
        <f>COUNTIF(#REF!,"X")</f>
        <v>#REF!</v>
      </c>
      <c r="B46" s="47" t="s">
        <v>164</v>
      </c>
      <c r="C46" s="85" t="s">
        <v>165</v>
      </c>
    </row>
    <row r="47" spans="1:3" ht="23" outlineLevel="1" x14ac:dyDescent="0.35">
      <c r="A47" s="44" t="e">
        <f>COUNTIF(#REF!,"X")</f>
        <v>#REF!</v>
      </c>
      <c r="B47" s="52" t="s">
        <v>166</v>
      </c>
      <c r="C47" s="86" t="s">
        <v>167</v>
      </c>
    </row>
    <row r="48" spans="1:3" ht="23" outlineLevel="1" x14ac:dyDescent="0.35">
      <c r="A48" s="44" t="e">
        <f>COUNTIF(#REF!,"X")</f>
        <v>#REF!</v>
      </c>
      <c r="B48" s="47" t="s">
        <v>168</v>
      </c>
      <c r="C48" s="85" t="s">
        <v>169</v>
      </c>
    </row>
    <row r="49" spans="1:4" s="21" customFormat="1" x14ac:dyDescent="0.35">
      <c r="A49" s="29" t="e">
        <f>COUNTIF(#REF!,"X")</f>
        <v>#REF!</v>
      </c>
      <c r="C49" s="30"/>
      <c r="D49" s="103"/>
    </row>
    <row r="50" spans="1:4" x14ac:dyDescent="0.35">
      <c r="A50" s="44">
        <v>9</v>
      </c>
      <c r="B50" s="45" t="s">
        <v>27</v>
      </c>
      <c r="C50" s="83" t="s">
        <v>170</v>
      </c>
    </row>
    <row r="51" spans="1:4" ht="57.5" x14ac:dyDescent="0.35">
      <c r="A51" s="44" t="e">
        <f>COUNTIF(#REF!,"X")</f>
        <v>#REF!</v>
      </c>
      <c r="B51" s="46" t="s">
        <v>171</v>
      </c>
      <c r="C51" s="84" t="s">
        <v>172</v>
      </c>
    </row>
    <row r="52" spans="1:4" x14ac:dyDescent="0.35">
      <c r="A52" s="44" t="e">
        <f>COUNTIF(#REF!,"X")</f>
        <v>#REF!</v>
      </c>
      <c r="B52" s="51" t="s">
        <v>173</v>
      </c>
      <c r="C52" s="89" t="s">
        <v>174</v>
      </c>
    </row>
    <row r="53" spans="1:4" ht="46" outlineLevel="1" x14ac:dyDescent="0.35">
      <c r="A53" s="44" t="e">
        <f>COUNTIF(#REF!,"X")</f>
        <v>#REF!</v>
      </c>
      <c r="B53" s="48" t="s">
        <v>175</v>
      </c>
      <c r="C53" s="86" t="s">
        <v>176</v>
      </c>
    </row>
    <row r="54" spans="1:4" outlineLevel="1" x14ac:dyDescent="0.35">
      <c r="A54" s="44" t="e">
        <f>COUNTIF(#REF!,"X")</f>
        <v>#REF!</v>
      </c>
      <c r="B54" s="47" t="s">
        <v>177</v>
      </c>
      <c r="C54" s="85" t="s">
        <v>178</v>
      </c>
    </row>
    <row r="55" spans="1:4" outlineLevel="1" x14ac:dyDescent="0.35">
      <c r="A55" s="44" t="e">
        <f>COUNTIF(#REF!,"X")</f>
        <v>#REF!</v>
      </c>
      <c r="B55" s="48" t="s">
        <v>179</v>
      </c>
      <c r="C55" s="86" t="s">
        <v>180</v>
      </c>
    </row>
    <row r="56" spans="1:4" ht="46" outlineLevel="1" x14ac:dyDescent="0.35">
      <c r="A56" s="44" t="e">
        <f>COUNTIF(#REF!,"X")</f>
        <v>#REF!</v>
      </c>
      <c r="B56" s="50" t="s">
        <v>181</v>
      </c>
      <c r="C56" s="88" t="s">
        <v>182</v>
      </c>
    </row>
    <row r="57" spans="1:4" ht="23" outlineLevel="1" x14ac:dyDescent="0.35">
      <c r="A57" s="44" t="e">
        <f>COUNTIF(#REF!,"X")</f>
        <v>#REF!</v>
      </c>
      <c r="B57" s="49" t="s">
        <v>183</v>
      </c>
      <c r="C57" s="87" t="s">
        <v>184</v>
      </c>
    </row>
    <row r="58" spans="1:4" outlineLevel="1" x14ac:dyDescent="0.35">
      <c r="A58" s="44" t="e">
        <f>COUNTIF(#REF!,"X")</f>
        <v>#REF!</v>
      </c>
      <c r="B58" s="47" t="s">
        <v>185</v>
      </c>
      <c r="C58" s="85" t="s">
        <v>186</v>
      </c>
    </row>
    <row r="59" spans="1:4" x14ac:dyDescent="0.35">
      <c r="A59" s="44" t="e">
        <f>COUNTIF(#REF!,"X")</f>
        <v>#REF!</v>
      </c>
      <c r="B59" s="46" t="s">
        <v>187</v>
      </c>
      <c r="C59" s="84" t="s">
        <v>188</v>
      </c>
    </row>
    <row r="60" spans="1:4" ht="34.5" outlineLevel="1" x14ac:dyDescent="0.35">
      <c r="A60" s="44" t="e">
        <f>COUNTIF(#REF!,"X")</f>
        <v>#REF!</v>
      </c>
      <c r="B60" s="47" t="s">
        <v>189</v>
      </c>
      <c r="C60" s="85" t="s">
        <v>190</v>
      </c>
    </row>
    <row r="61" spans="1:4" outlineLevel="1" x14ac:dyDescent="0.35">
      <c r="A61" s="44" t="e">
        <f>COUNTIF(#REF!,"X")</f>
        <v>#REF!</v>
      </c>
      <c r="B61" s="48" t="s">
        <v>191</v>
      </c>
      <c r="C61" s="86" t="s">
        <v>192</v>
      </c>
    </row>
    <row r="62" spans="1:4" outlineLevel="1" x14ac:dyDescent="0.35">
      <c r="A62" s="44" t="e">
        <f>COUNTIF(#REF!,"X")</f>
        <v>#REF!</v>
      </c>
      <c r="B62" s="47" t="s">
        <v>193</v>
      </c>
      <c r="C62" s="85" t="s">
        <v>194</v>
      </c>
    </row>
    <row r="63" spans="1:4" outlineLevel="1" x14ac:dyDescent="0.35">
      <c r="A63" s="44" t="e">
        <f>COUNTIF(#REF!,"X")</f>
        <v>#REF!</v>
      </c>
      <c r="B63" s="48" t="s">
        <v>195</v>
      </c>
      <c r="C63" s="86" t="s">
        <v>196</v>
      </c>
    </row>
    <row r="64" spans="1:4" outlineLevel="1" x14ac:dyDescent="0.35">
      <c r="A64" s="44" t="e">
        <f>COUNTIF(#REF!,"X")</f>
        <v>#REF!</v>
      </c>
      <c r="B64" s="47" t="s">
        <v>197</v>
      </c>
      <c r="C64" s="85" t="s">
        <v>198</v>
      </c>
    </row>
    <row r="65" spans="1:3" outlineLevel="1" x14ac:dyDescent="0.35">
      <c r="A65" s="44" t="e">
        <f>COUNTIF(#REF!,"X")</f>
        <v>#REF!</v>
      </c>
      <c r="B65" s="48" t="s">
        <v>199</v>
      </c>
      <c r="C65" s="86" t="s">
        <v>200</v>
      </c>
    </row>
    <row r="66" spans="1:3" ht="23" x14ac:dyDescent="0.35">
      <c r="A66" s="44" t="e">
        <f>COUNTIF(#REF!,"X")</f>
        <v>#REF!</v>
      </c>
      <c r="B66" s="51" t="s">
        <v>201</v>
      </c>
      <c r="C66" s="89" t="s">
        <v>202</v>
      </c>
    </row>
    <row r="67" spans="1:3" ht="80.5" outlineLevel="1" x14ac:dyDescent="0.35">
      <c r="A67" s="44" t="e">
        <f>COUNTIF(#REF!,"X")</f>
        <v>#REF!</v>
      </c>
      <c r="B67" s="48" t="s">
        <v>203</v>
      </c>
      <c r="C67" s="86" t="s">
        <v>204</v>
      </c>
    </row>
    <row r="68" spans="1:3" ht="46" outlineLevel="1" x14ac:dyDescent="0.35">
      <c r="A68" s="44" t="e">
        <f>COUNTIF(#REF!,"X")</f>
        <v>#REF!</v>
      </c>
      <c r="B68" s="47" t="s">
        <v>205</v>
      </c>
      <c r="C68" s="85" t="s">
        <v>206</v>
      </c>
    </row>
    <row r="69" spans="1:3" ht="34.5" outlineLevel="1" x14ac:dyDescent="0.35">
      <c r="A69" s="44" t="e">
        <f>COUNTIF(#REF!,"X")</f>
        <v>#REF!</v>
      </c>
      <c r="B69" s="48" t="s">
        <v>207</v>
      </c>
      <c r="C69" s="86" t="s">
        <v>208</v>
      </c>
    </row>
    <row r="70" spans="1:3" x14ac:dyDescent="0.35">
      <c r="A70" s="44" t="e">
        <f>COUNTIF(#REF!,"X")</f>
        <v>#REF!</v>
      </c>
      <c r="B70" s="51" t="s">
        <v>209</v>
      </c>
      <c r="C70" s="89" t="s">
        <v>210</v>
      </c>
    </row>
    <row r="71" spans="1:3" ht="34.5" outlineLevel="1" x14ac:dyDescent="0.35">
      <c r="A71" s="44" t="e">
        <f>COUNTIF(#REF!,"X")</f>
        <v>#REF!</v>
      </c>
      <c r="B71" s="48" t="s">
        <v>211</v>
      </c>
      <c r="C71" s="86" t="s">
        <v>212</v>
      </c>
    </row>
    <row r="72" spans="1:3" ht="34.5" outlineLevel="1" x14ac:dyDescent="0.35">
      <c r="A72" s="44" t="e">
        <f>COUNTIF(#REF!,"X")</f>
        <v>#REF!</v>
      </c>
      <c r="B72" s="47" t="s">
        <v>213</v>
      </c>
      <c r="C72" s="85" t="s">
        <v>214</v>
      </c>
    </row>
    <row r="73" spans="1:3" outlineLevel="1" x14ac:dyDescent="0.35">
      <c r="A73" s="44" t="e">
        <f>COUNTIF(#REF!,"X")</f>
        <v>#REF!</v>
      </c>
      <c r="B73" s="48" t="s">
        <v>215</v>
      </c>
      <c r="C73" s="86" t="s">
        <v>216</v>
      </c>
    </row>
    <row r="74" spans="1:3" ht="34.5" outlineLevel="1" x14ac:dyDescent="0.35">
      <c r="A74" s="44" t="e">
        <f>COUNTIF(#REF!,"X")</f>
        <v>#REF!</v>
      </c>
      <c r="B74" s="47" t="s">
        <v>217</v>
      </c>
      <c r="C74" s="85" t="s">
        <v>218</v>
      </c>
    </row>
    <row r="75" spans="1:3" ht="57.5" outlineLevel="1" x14ac:dyDescent="0.35">
      <c r="A75" s="44" t="e">
        <f>COUNTIF(#REF!,"X")</f>
        <v>#REF!</v>
      </c>
      <c r="B75" s="48" t="s">
        <v>219</v>
      </c>
      <c r="C75" s="86" t="s">
        <v>220</v>
      </c>
    </row>
    <row r="76" spans="1:3" ht="23" outlineLevel="1" x14ac:dyDescent="0.35">
      <c r="A76" s="44" t="e">
        <f>COUNTIF(#REF!,"X")</f>
        <v>#REF!</v>
      </c>
      <c r="B76" s="47" t="s">
        <v>221</v>
      </c>
      <c r="C76" s="85" t="s">
        <v>222</v>
      </c>
    </row>
    <row r="77" spans="1:3" ht="34.5" x14ac:dyDescent="0.35">
      <c r="A77" s="44" t="e">
        <f>COUNTIF(#REF!,"X")</f>
        <v>#REF!</v>
      </c>
      <c r="B77" s="46" t="s">
        <v>223</v>
      </c>
      <c r="C77" s="84" t="s">
        <v>224</v>
      </c>
    </row>
    <row r="78" spans="1:3" x14ac:dyDescent="0.35">
      <c r="A78" s="44" t="e">
        <f>COUNTIF(#REF!,"X")</f>
        <v>#REF!</v>
      </c>
      <c r="B78" s="51" t="s">
        <v>225</v>
      </c>
      <c r="C78" s="89" t="s">
        <v>226</v>
      </c>
    </row>
    <row r="79" spans="1:3" ht="34.5" outlineLevel="1" x14ac:dyDescent="0.35">
      <c r="A79" s="44" t="e">
        <f>COUNTIF(#REF!,"X")</f>
        <v>#REF!</v>
      </c>
      <c r="B79" s="48" t="s">
        <v>227</v>
      </c>
      <c r="C79" s="86" t="s">
        <v>228</v>
      </c>
    </row>
    <row r="80" spans="1:3" ht="46" outlineLevel="1" x14ac:dyDescent="0.35">
      <c r="A80" s="44" t="e">
        <f>COUNTIF(#REF!,"X")</f>
        <v>#REF!</v>
      </c>
      <c r="B80" s="47" t="s">
        <v>229</v>
      </c>
      <c r="C80" s="85" t="s">
        <v>230</v>
      </c>
    </row>
    <row r="81" spans="1:4" s="21" customFormat="1" x14ac:dyDescent="0.35">
      <c r="A81" s="29" t="e">
        <f>COUNTIF(#REF!,"X")</f>
        <v>#REF!</v>
      </c>
      <c r="C81" s="30"/>
      <c r="D81" s="103"/>
    </row>
    <row r="82" spans="1:4" x14ac:dyDescent="0.35">
      <c r="A82" s="53">
        <v>9</v>
      </c>
      <c r="B82" s="54" t="s">
        <v>31</v>
      </c>
      <c r="C82" s="90" t="s">
        <v>231</v>
      </c>
    </row>
    <row r="83" spans="1:4" x14ac:dyDescent="0.35">
      <c r="A83" s="53" t="e">
        <f>COUNTIF(#REF!,"X")</f>
        <v>#REF!</v>
      </c>
      <c r="B83" s="55" t="s">
        <v>232</v>
      </c>
      <c r="C83" s="91" t="s">
        <v>233</v>
      </c>
    </row>
    <row r="84" spans="1:4" ht="57.5" outlineLevel="1" x14ac:dyDescent="0.35">
      <c r="A84" s="53" t="e">
        <f>COUNTIF(#REF!,"X")</f>
        <v>#REF!</v>
      </c>
      <c r="B84" s="56" t="s">
        <v>234</v>
      </c>
      <c r="C84" s="92" t="s">
        <v>235</v>
      </c>
    </row>
    <row r="85" spans="1:4" ht="46" outlineLevel="1" x14ac:dyDescent="0.35">
      <c r="A85" s="53" t="e">
        <f>COUNTIF(#REF!,"X")</f>
        <v>#REF!</v>
      </c>
      <c r="B85" s="57" t="s">
        <v>236</v>
      </c>
      <c r="C85" s="93" t="s">
        <v>237</v>
      </c>
    </row>
    <row r="86" spans="1:4" ht="92" outlineLevel="1" x14ac:dyDescent="0.35">
      <c r="A86" s="53" t="e">
        <f>COUNTIF(#REF!,"X")</f>
        <v>#REF!</v>
      </c>
      <c r="B86" s="56" t="s">
        <v>238</v>
      </c>
      <c r="C86" s="92" t="s">
        <v>239</v>
      </c>
    </row>
    <row r="87" spans="1:4" x14ac:dyDescent="0.35">
      <c r="A87" s="53" t="e">
        <f>COUNTIF(#REF!,"X")</f>
        <v>#REF!</v>
      </c>
      <c r="B87" s="55" t="s">
        <v>240</v>
      </c>
      <c r="C87" s="91" t="s">
        <v>241</v>
      </c>
    </row>
    <row r="88" spans="1:4" ht="46" outlineLevel="1" x14ac:dyDescent="0.35">
      <c r="A88" s="53" t="e">
        <f>COUNTIF(#REF!,"X")</f>
        <v>#REF!</v>
      </c>
      <c r="B88" s="56" t="s">
        <v>242</v>
      </c>
      <c r="C88" s="92" t="s">
        <v>243</v>
      </c>
    </row>
    <row r="89" spans="1:4" ht="69" outlineLevel="1" x14ac:dyDescent="0.35">
      <c r="A89" s="53" t="e">
        <f>COUNTIF(#REF!,"X")</f>
        <v>#REF!</v>
      </c>
      <c r="B89" s="57" t="s">
        <v>244</v>
      </c>
      <c r="C89" s="93" t="s">
        <v>245</v>
      </c>
    </row>
    <row r="90" spans="1:4" x14ac:dyDescent="0.35">
      <c r="A90" s="53" t="e">
        <f>COUNTIF(#REF!,"X")</f>
        <v>#REF!</v>
      </c>
      <c r="B90" s="58" t="s">
        <v>246</v>
      </c>
      <c r="C90" s="94" t="s">
        <v>247</v>
      </c>
    </row>
    <row r="91" spans="1:4" ht="23" outlineLevel="1" x14ac:dyDescent="0.35">
      <c r="A91" s="53" t="e">
        <f>COUNTIF(#REF!,"X")</f>
        <v>#REF!</v>
      </c>
      <c r="B91" s="57" t="s">
        <v>248</v>
      </c>
      <c r="C91" s="93" t="s">
        <v>249</v>
      </c>
    </row>
    <row r="92" spans="1:4" outlineLevel="1" x14ac:dyDescent="0.35">
      <c r="A92" s="53" t="e">
        <f>COUNTIF(#REF!,"X")</f>
        <v>#REF!</v>
      </c>
      <c r="B92" s="56" t="s">
        <v>250</v>
      </c>
      <c r="C92" s="92" t="s">
        <v>251</v>
      </c>
    </row>
    <row r="93" spans="1:4" outlineLevel="1" x14ac:dyDescent="0.35">
      <c r="A93" s="53" t="e">
        <f>COUNTIF(#REF!,"X")</f>
        <v>#REF!</v>
      </c>
      <c r="B93" s="57" t="s">
        <v>252</v>
      </c>
      <c r="C93" s="93" t="s">
        <v>253</v>
      </c>
    </row>
    <row r="94" spans="1:4" s="21" customFormat="1" x14ac:dyDescent="0.35">
      <c r="A94" s="29" t="e">
        <f>COUNTIF(#REF!,"X")</f>
        <v>#REF!</v>
      </c>
      <c r="C94" s="30"/>
      <c r="D94" s="103"/>
    </row>
    <row r="95" spans="1:4" x14ac:dyDescent="0.35">
      <c r="A95" s="59">
        <v>9</v>
      </c>
      <c r="B95" s="60" t="s">
        <v>33</v>
      </c>
      <c r="C95" s="95" t="s">
        <v>254</v>
      </c>
    </row>
    <row r="96" spans="1:4" ht="34.5" x14ac:dyDescent="0.35">
      <c r="A96" s="59" t="e">
        <f>COUNTIF(#REF!,"X")</f>
        <v>#REF!</v>
      </c>
      <c r="B96" s="61" t="s">
        <v>255</v>
      </c>
      <c r="C96" s="96" t="s">
        <v>256</v>
      </c>
    </row>
    <row r="97" spans="1:3" x14ac:dyDescent="0.35">
      <c r="A97" s="59" t="e">
        <f>COUNTIF(#REF!,"X")</f>
        <v>#REF!</v>
      </c>
      <c r="B97" s="62" t="s">
        <v>257</v>
      </c>
      <c r="C97" s="97" t="s">
        <v>258</v>
      </c>
    </row>
    <row r="98" spans="1:3" ht="69" outlineLevel="1" x14ac:dyDescent="0.35">
      <c r="A98" s="59" t="e">
        <f>COUNTIF(#REF!,"X")</f>
        <v>#REF!</v>
      </c>
      <c r="B98" s="63" t="s">
        <v>259</v>
      </c>
      <c r="C98" s="98" t="s">
        <v>260</v>
      </c>
    </row>
    <row r="99" spans="1:3" ht="34.5" outlineLevel="1" x14ac:dyDescent="0.35">
      <c r="A99" s="59" t="e">
        <f>COUNTIF(#REF!,"X")</f>
        <v>#REF!</v>
      </c>
      <c r="B99" s="64" t="s">
        <v>261</v>
      </c>
      <c r="C99" s="99" t="s">
        <v>262</v>
      </c>
    </row>
    <row r="100" spans="1:3" ht="12" thickBot="1" x14ac:dyDescent="0.4">
      <c r="A100" s="65" t="e">
        <f>COUNTIF(#REF!,"X")</f>
        <v>#REF!</v>
      </c>
      <c r="B100" s="66" t="s">
        <v>263</v>
      </c>
      <c r="C100" s="100" t="s">
        <v>264</v>
      </c>
    </row>
  </sheetData>
  <sheetProtection sheet="1" objects="1" scenarios="1"/>
  <autoFilter ref="A3:D100"/>
  <mergeCells count="2">
    <mergeCell ref="A2:B2"/>
    <mergeCell ref="B1:C1"/>
  </mergeCells>
  <printOptions horizontalCentered="1"/>
  <pageMargins left="0.39370078740157483" right="0.39370078740157483" top="0.55118110236220474" bottom="0.39370078740157483" header="0.31496062992125984" footer="0.31496062992125984"/>
  <pageSetup scale="85"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5790"/>
  </sheetPr>
  <dimension ref="A1:M92"/>
  <sheetViews>
    <sheetView zoomScale="124" zoomScaleNormal="124" workbookViewId="0">
      <pane xSplit="3" ySplit="2" topLeftCell="D3" activePane="bottomRight" state="frozen"/>
      <selection pane="topRight" activeCell="D1" sqref="D1"/>
      <selection pane="bottomLeft" activeCell="A3" sqref="A3"/>
      <selection pane="bottomRight" activeCell="C37" sqref="C37"/>
    </sheetView>
  </sheetViews>
  <sheetFormatPr baseColWidth="10" defaultColWidth="11.453125" defaultRowHeight="10.5" x14ac:dyDescent="0.25"/>
  <cols>
    <col min="1" max="1" width="4.1796875" style="134" customWidth="1"/>
    <col min="2" max="2" width="6.81640625" style="134" customWidth="1"/>
    <col min="3" max="3" width="47.1796875" style="281" customWidth="1"/>
    <col min="4" max="4" width="59.54296875" style="17" customWidth="1"/>
    <col min="5" max="5" width="41.7265625" style="17" customWidth="1"/>
    <col min="6" max="6" width="41.26953125" style="14" customWidth="1"/>
    <col min="7" max="8" width="38" style="17" customWidth="1"/>
    <col min="9" max="9" width="47.81640625" style="14" customWidth="1"/>
    <col min="10" max="10" width="68.54296875" style="14" customWidth="1"/>
    <col min="11" max="11" width="1.1796875" style="19" customWidth="1"/>
    <col min="12" max="12" width="4.54296875" style="18" customWidth="1"/>
    <col min="13" max="16384" width="11.453125" style="18"/>
  </cols>
  <sheetData>
    <row r="1" spans="1:13" s="133" customFormat="1" x14ac:dyDescent="0.35">
      <c r="A1" s="532" t="s">
        <v>265</v>
      </c>
      <c r="B1" s="533"/>
      <c r="C1" s="534"/>
      <c r="D1" s="17"/>
      <c r="E1" s="17"/>
      <c r="F1" s="17"/>
      <c r="G1" s="17"/>
      <c r="H1" s="17"/>
      <c r="I1" s="17"/>
      <c r="J1" s="17"/>
    </row>
    <row r="2" spans="1:13" s="133" customFormat="1" x14ac:dyDescent="0.35">
      <c r="A2" s="164" t="s">
        <v>266</v>
      </c>
      <c r="B2" s="164" t="s">
        <v>267</v>
      </c>
      <c r="C2" s="278" t="s">
        <v>268</v>
      </c>
      <c r="D2" s="165" t="s">
        <v>269</v>
      </c>
      <c r="E2" s="165" t="s">
        <v>270</v>
      </c>
      <c r="F2" s="165" t="s">
        <v>271</v>
      </c>
      <c r="G2" s="165" t="s">
        <v>272</v>
      </c>
      <c r="H2" s="165" t="s">
        <v>273</v>
      </c>
      <c r="I2" s="165" t="s">
        <v>274</v>
      </c>
      <c r="J2" s="165" t="s">
        <v>275</v>
      </c>
    </row>
    <row r="3" spans="1:13" ht="90" x14ac:dyDescent="0.35">
      <c r="A3" s="135">
        <f>COUNTA(C$3:C3)</f>
        <v>1</v>
      </c>
      <c r="B3" s="135" t="s">
        <v>590</v>
      </c>
      <c r="C3" s="279" t="s">
        <v>280</v>
      </c>
      <c r="D3" s="276" t="s">
        <v>456</v>
      </c>
      <c r="E3" s="276" t="s">
        <v>467</v>
      </c>
      <c r="F3" s="276" t="s">
        <v>792</v>
      </c>
      <c r="G3" s="276" t="s">
        <v>567</v>
      </c>
      <c r="H3" s="276" t="s">
        <v>565</v>
      </c>
      <c r="I3" s="276" t="s">
        <v>821</v>
      </c>
      <c r="J3" s="276" t="s">
        <v>457</v>
      </c>
      <c r="K3" s="18"/>
    </row>
    <row r="4" spans="1:13" ht="30" x14ac:dyDescent="0.35">
      <c r="A4" s="136">
        <f>COUNTA(C$3:C4)</f>
        <v>2</v>
      </c>
      <c r="B4" s="136" t="s">
        <v>591</v>
      </c>
      <c r="C4" s="280" t="s">
        <v>296</v>
      </c>
      <c r="D4" s="277" t="s">
        <v>458</v>
      </c>
      <c r="E4" s="277" t="s">
        <v>297</v>
      </c>
      <c r="F4" s="277" t="s">
        <v>822</v>
      </c>
      <c r="G4" s="277" t="s">
        <v>568</v>
      </c>
      <c r="H4" s="277" t="s">
        <v>823</v>
      </c>
      <c r="I4" s="277" t="s">
        <v>459</v>
      </c>
      <c r="J4" s="277" t="s">
        <v>824</v>
      </c>
      <c r="K4" s="18"/>
    </row>
    <row r="5" spans="1:13" ht="40" x14ac:dyDescent="0.35">
      <c r="A5" s="135">
        <f>COUNTA(C$3:C5)</f>
        <v>3</v>
      </c>
      <c r="B5" s="135" t="s">
        <v>592</v>
      </c>
      <c r="C5" s="279" t="s">
        <v>571</v>
      </c>
      <c r="D5" s="276" t="s">
        <v>818</v>
      </c>
      <c r="E5" s="276" t="s">
        <v>817</v>
      </c>
      <c r="F5" s="276" t="s">
        <v>816</v>
      </c>
      <c r="G5" s="276" t="s">
        <v>820</v>
      </c>
      <c r="H5" s="276" t="s">
        <v>819</v>
      </c>
      <c r="I5" s="276"/>
      <c r="J5" s="276" t="s">
        <v>825</v>
      </c>
      <c r="K5" s="18"/>
    </row>
    <row r="6" spans="1:13" ht="90" x14ac:dyDescent="0.35">
      <c r="A6" s="136">
        <f>COUNTA(C$3:C6)</f>
        <v>4</v>
      </c>
      <c r="B6" s="136" t="s">
        <v>593</v>
      </c>
      <c r="C6" s="280" t="s">
        <v>572</v>
      </c>
      <c r="D6" s="277" t="s">
        <v>826</v>
      </c>
      <c r="E6" s="277" t="s">
        <v>827</v>
      </c>
      <c r="F6" s="277" t="s">
        <v>828</v>
      </c>
      <c r="G6" s="277" t="s">
        <v>294</v>
      </c>
      <c r="H6" s="277" t="s">
        <v>829</v>
      </c>
      <c r="I6" s="277" t="s">
        <v>830</v>
      </c>
      <c r="J6" s="277" t="s">
        <v>831</v>
      </c>
      <c r="K6" s="18"/>
      <c r="M6" s="570"/>
    </row>
    <row r="7" spans="1:13" ht="40" x14ac:dyDescent="0.35">
      <c r="A7" s="135">
        <f>COUNTA(C$3:C7)</f>
        <v>5</v>
      </c>
      <c r="B7" s="135" t="s">
        <v>666</v>
      </c>
      <c r="C7" s="279" t="s">
        <v>295</v>
      </c>
      <c r="D7" s="276" t="s">
        <v>832</v>
      </c>
      <c r="E7" s="276" t="s">
        <v>477</v>
      </c>
      <c r="F7" s="276" t="s">
        <v>478</v>
      </c>
      <c r="G7" s="276" t="s">
        <v>479</v>
      </c>
      <c r="H7" s="276" t="s">
        <v>480</v>
      </c>
      <c r="I7" s="276" t="s">
        <v>481</v>
      </c>
      <c r="J7" s="276" t="s">
        <v>482</v>
      </c>
      <c r="K7" s="18"/>
    </row>
    <row r="8" spans="1:13" ht="40" x14ac:dyDescent="0.35">
      <c r="A8" s="136">
        <f>COUNTA(C$3:C8)</f>
        <v>6</v>
      </c>
      <c r="B8" s="136" t="s">
        <v>595</v>
      </c>
      <c r="C8" s="280" t="s">
        <v>447</v>
      </c>
      <c r="D8" s="277" t="s">
        <v>483</v>
      </c>
      <c r="E8" s="277" t="s">
        <v>484</v>
      </c>
      <c r="F8" s="277" t="s">
        <v>485</v>
      </c>
      <c r="G8" s="277" t="s">
        <v>486</v>
      </c>
      <c r="H8" s="277" t="s">
        <v>487</v>
      </c>
      <c r="I8" s="277" t="s">
        <v>488</v>
      </c>
      <c r="J8" s="277" t="s">
        <v>489</v>
      </c>
      <c r="K8" s="18"/>
    </row>
    <row r="9" spans="1:13" ht="40" x14ac:dyDescent="0.35">
      <c r="A9" s="135">
        <f>COUNTA(C$3:C9)</f>
        <v>7</v>
      </c>
      <c r="B9" s="135" t="s">
        <v>596</v>
      </c>
      <c r="C9" s="279" t="s">
        <v>449</v>
      </c>
      <c r="D9" s="276" t="s">
        <v>668</v>
      </c>
      <c r="E9" s="276" t="s">
        <v>669</v>
      </c>
      <c r="F9" s="276" t="s">
        <v>833</v>
      </c>
      <c r="G9" s="276" t="s">
        <v>490</v>
      </c>
      <c r="H9" s="276" t="s">
        <v>670</v>
      </c>
      <c r="I9" s="276" t="s">
        <v>491</v>
      </c>
      <c r="J9" s="276" t="s">
        <v>492</v>
      </c>
      <c r="K9" s="18"/>
    </row>
    <row r="10" spans="1:13" ht="183.75" customHeight="1" x14ac:dyDescent="0.35">
      <c r="A10" s="136">
        <f>COUNTA(C$3:C10)</f>
        <v>8</v>
      </c>
      <c r="B10" s="136" t="s">
        <v>597</v>
      </c>
      <c r="C10" s="280" t="s">
        <v>573</v>
      </c>
      <c r="D10" s="277" t="s">
        <v>834</v>
      </c>
      <c r="E10" s="277" t="s">
        <v>835</v>
      </c>
      <c r="F10" s="277" t="s">
        <v>836</v>
      </c>
      <c r="G10" s="277" t="s">
        <v>493</v>
      </c>
      <c r="H10" s="277" t="s">
        <v>837</v>
      </c>
      <c r="I10" s="277" t="s">
        <v>838</v>
      </c>
      <c r="J10" s="277" t="s">
        <v>839</v>
      </c>
      <c r="K10" s="18"/>
    </row>
    <row r="11" spans="1:13" ht="183.75" customHeight="1" x14ac:dyDescent="0.35">
      <c r="A11" s="135">
        <f>COUNTA(C$3:C11)</f>
        <v>9</v>
      </c>
      <c r="B11" s="135" t="s">
        <v>598</v>
      </c>
      <c r="C11" s="279" t="s">
        <v>574</v>
      </c>
      <c r="D11" s="276" t="s">
        <v>684</v>
      </c>
      <c r="E11" s="276" t="s">
        <v>477</v>
      </c>
      <c r="F11" s="276" t="s">
        <v>478</v>
      </c>
      <c r="G11" s="276" t="s">
        <v>493</v>
      </c>
      <c r="H11" s="276" t="s">
        <v>685</v>
      </c>
      <c r="I11" s="276"/>
      <c r="J11" s="276"/>
      <c r="K11" s="18"/>
    </row>
    <row r="12" spans="1:13" ht="106.5" customHeight="1" x14ac:dyDescent="0.35">
      <c r="A12" s="136">
        <f>COUNTA(C$3:C12)</f>
        <v>10</v>
      </c>
      <c r="B12" s="136" t="s">
        <v>599</v>
      </c>
      <c r="C12" s="280" t="s">
        <v>575</v>
      </c>
      <c r="D12" s="277" t="s">
        <v>494</v>
      </c>
      <c r="E12" s="277" t="s">
        <v>495</v>
      </c>
      <c r="F12" s="277" t="s">
        <v>569</v>
      </c>
      <c r="G12" s="277" t="s">
        <v>496</v>
      </c>
      <c r="H12" s="277" t="s">
        <v>497</v>
      </c>
      <c r="I12" s="277" t="s">
        <v>498</v>
      </c>
      <c r="J12" s="277" t="s">
        <v>499</v>
      </c>
      <c r="K12" s="18"/>
    </row>
    <row r="13" spans="1:13" ht="50" x14ac:dyDescent="0.35">
      <c r="A13" s="135">
        <f>COUNTA(C$3:C13)</f>
        <v>11</v>
      </c>
      <c r="B13" s="135" t="s">
        <v>600</v>
      </c>
      <c r="C13" s="279" t="s">
        <v>276</v>
      </c>
      <c r="D13" s="276" t="s">
        <v>500</v>
      </c>
      <c r="E13" s="276" t="s">
        <v>501</v>
      </c>
      <c r="F13" s="276" t="s">
        <v>570</v>
      </c>
      <c r="G13" s="276" t="s">
        <v>277</v>
      </c>
      <c r="H13" s="276" t="s">
        <v>502</v>
      </c>
      <c r="I13" s="276" t="s">
        <v>503</v>
      </c>
      <c r="J13" s="276" t="s">
        <v>489</v>
      </c>
      <c r="K13" s="18"/>
    </row>
    <row r="14" spans="1:13" ht="50" x14ac:dyDescent="0.35">
      <c r="A14" s="136">
        <f>COUNTA(C$3:C14)</f>
        <v>12</v>
      </c>
      <c r="B14" s="136" t="s">
        <v>601</v>
      </c>
      <c r="C14" s="280" t="s">
        <v>279</v>
      </c>
      <c r="D14" s="277" t="s">
        <v>671</v>
      </c>
      <c r="E14" s="277" t="s">
        <v>672</v>
      </c>
      <c r="F14" s="277" t="s">
        <v>504</v>
      </c>
      <c r="G14" s="277" t="s">
        <v>277</v>
      </c>
      <c r="H14" s="277" t="s">
        <v>673</v>
      </c>
      <c r="I14" s="277" t="s">
        <v>505</v>
      </c>
      <c r="J14" s="277" t="s">
        <v>674</v>
      </c>
      <c r="K14" s="18"/>
    </row>
    <row r="15" spans="1:13" ht="30" x14ac:dyDescent="0.35">
      <c r="A15" s="135">
        <f>COUNTA(C$3:C15)</f>
        <v>13</v>
      </c>
      <c r="B15" s="135" t="s">
        <v>602</v>
      </c>
      <c r="C15" s="279" t="s">
        <v>576</v>
      </c>
      <c r="D15" s="276" t="s">
        <v>840</v>
      </c>
      <c r="E15" s="276" t="s">
        <v>841</v>
      </c>
      <c r="F15" s="276" t="s">
        <v>842</v>
      </c>
      <c r="G15" s="276" t="s">
        <v>506</v>
      </c>
      <c r="H15" s="276" t="s">
        <v>843</v>
      </c>
      <c r="I15" s="276" t="s">
        <v>844</v>
      </c>
      <c r="J15" s="276" t="s">
        <v>845</v>
      </c>
      <c r="K15" s="18"/>
    </row>
    <row r="16" spans="1:13" ht="50" x14ac:dyDescent="0.35">
      <c r="A16" s="136">
        <f>COUNTA(C$3:C16)</f>
        <v>14</v>
      </c>
      <c r="B16" s="136" t="s">
        <v>603</v>
      </c>
      <c r="C16" s="280" t="s">
        <v>577</v>
      </c>
      <c r="D16" s="277" t="s">
        <v>846</v>
      </c>
      <c r="E16" s="277" t="s">
        <v>675</v>
      </c>
      <c r="F16" s="277" t="s">
        <v>847</v>
      </c>
      <c r="G16" s="277" t="s">
        <v>278</v>
      </c>
      <c r="H16" s="277" t="s">
        <v>676</v>
      </c>
      <c r="I16" s="277" t="s">
        <v>508</v>
      </c>
      <c r="J16" s="277" t="s">
        <v>677</v>
      </c>
      <c r="K16" s="18"/>
    </row>
    <row r="17" spans="1:11" ht="80" x14ac:dyDescent="0.35">
      <c r="A17" s="135">
        <f>COUNTA(C$3:C17)</f>
        <v>15</v>
      </c>
      <c r="B17" s="135" t="s">
        <v>605</v>
      </c>
      <c r="C17" s="279" t="s">
        <v>437</v>
      </c>
      <c r="D17" s="276" t="s">
        <v>509</v>
      </c>
      <c r="E17" s="276" t="s">
        <v>507</v>
      </c>
      <c r="F17" s="276" t="s">
        <v>510</v>
      </c>
      <c r="G17" s="276" t="s">
        <v>511</v>
      </c>
      <c r="H17" s="276" t="s">
        <v>512</v>
      </c>
      <c r="I17" s="276" t="s">
        <v>513</v>
      </c>
      <c r="J17" s="276" t="s">
        <v>514</v>
      </c>
      <c r="K17" s="18"/>
    </row>
    <row r="18" spans="1:11" ht="129" customHeight="1" x14ac:dyDescent="0.35">
      <c r="A18" s="136">
        <f>COUNTA(C$3:C18)</f>
        <v>16</v>
      </c>
      <c r="B18" s="136" t="s">
        <v>606</v>
      </c>
      <c r="C18" s="280" t="s">
        <v>450</v>
      </c>
      <c r="D18" s="277" t="s">
        <v>515</v>
      </c>
      <c r="E18" s="277" t="s">
        <v>516</v>
      </c>
      <c r="F18" s="277" t="s">
        <v>517</v>
      </c>
      <c r="G18" s="277" t="s">
        <v>518</v>
      </c>
      <c r="H18" s="277" t="s">
        <v>519</v>
      </c>
      <c r="I18" s="277" t="s">
        <v>520</v>
      </c>
      <c r="J18" s="277" t="s">
        <v>521</v>
      </c>
      <c r="K18" s="18"/>
    </row>
    <row r="19" spans="1:11" ht="40" x14ac:dyDescent="0.35">
      <c r="A19" s="135">
        <f>COUNTA(C$3:C19)</f>
        <v>17</v>
      </c>
      <c r="B19" s="135" t="s">
        <v>607</v>
      </c>
      <c r="C19" s="279" t="s">
        <v>580</v>
      </c>
      <c r="D19" s="276" t="s">
        <v>678</v>
      </c>
      <c r="E19" s="276" t="s">
        <v>679</v>
      </c>
      <c r="F19" s="276" t="s">
        <v>522</v>
      </c>
      <c r="G19" s="276" t="s">
        <v>307</v>
      </c>
      <c r="H19" s="276" t="s">
        <v>680</v>
      </c>
      <c r="I19" s="276" t="s">
        <v>523</v>
      </c>
      <c r="J19" s="276" t="s">
        <v>524</v>
      </c>
      <c r="K19" s="18"/>
    </row>
    <row r="20" spans="1:11" ht="91.5" customHeight="1" x14ac:dyDescent="0.35">
      <c r="A20" s="136">
        <f>COUNTA(C$3:C20)</f>
        <v>18</v>
      </c>
      <c r="B20" s="136" t="s">
        <v>608</v>
      </c>
      <c r="C20" s="280" t="s">
        <v>300</v>
      </c>
      <c r="D20" s="277" t="s">
        <v>525</v>
      </c>
      <c r="E20" s="277" t="s">
        <v>526</v>
      </c>
      <c r="F20" s="277" t="s">
        <v>527</v>
      </c>
      <c r="G20" s="277" t="s">
        <v>301</v>
      </c>
      <c r="H20" s="277" t="s">
        <v>528</v>
      </c>
      <c r="I20" s="277" t="s">
        <v>529</v>
      </c>
      <c r="J20" s="277" t="s">
        <v>530</v>
      </c>
      <c r="K20" s="18"/>
    </row>
    <row r="21" spans="1:11" ht="80" x14ac:dyDescent="0.35">
      <c r="A21" s="135">
        <f>COUNTA(C$3:C21)</f>
        <v>19</v>
      </c>
      <c r="B21" s="135" t="s">
        <v>609</v>
      </c>
      <c r="C21" s="279" t="s">
        <v>14</v>
      </c>
      <c r="D21" s="276" t="s">
        <v>531</v>
      </c>
      <c r="E21" s="276" t="s">
        <v>532</v>
      </c>
      <c r="F21" s="276" t="s">
        <v>533</v>
      </c>
      <c r="G21" s="276" t="s">
        <v>277</v>
      </c>
      <c r="H21" s="276" t="s">
        <v>534</v>
      </c>
      <c r="I21" s="276" t="s">
        <v>535</v>
      </c>
      <c r="J21" s="276" t="s">
        <v>536</v>
      </c>
      <c r="K21" s="18"/>
    </row>
    <row r="22" spans="1:11" ht="72.75" customHeight="1" x14ac:dyDescent="0.35">
      <c r="A22" s="136">
        <f>COUNTA(C$3:C22)</f>
        <v>20</v>
      </c>
      <c r="B22" s="136" t="s">
        <v>610</v>
      </c>
      <c r="C22" s="280" t="s">
        <v>305</v>
      </c>
      <c r="D22" s="277" t="s">
        <v>848</v>
      </c>
      <c r="E22" s="277" t="s">
        <v>849</v>
      </c>
      <c r="F22" s="277" t="s">
        <v>850</v>
      </c>
      <c r="G22" s="277" t="s">
        <v>537</v>
      </c>
      <c r="H22" s="277" t="s">
        <v>851</v>
      </c>
      <c r="I22" s="277" t="s">
        <v>852</v>
      </c>
      <c r="J22" s="277" t="s">
        <v>538</v>
      </c>
      <c r="K22" s="18"/>
    </row>
    <row r="23" spans="1:11" ht="50" x14ac:dyDescent="0.35">
      <c r="A23" s="135">
        <f>COUNTA(C$3:C23)</f>
        <v>21</v>
      </c>
      <c r="B23" s="135" t="s">
        <v>611</v>
      </c>
      <c r="C23" s="279" t="s">
        <v>445</v>
      </c>
      <c r="D23" s="276" t="s">
        <v>539</v>
      </c>
      <c r="E23" s="276" t="s">
        <v>540</v>
      </c>
      <c r="F23" s="276" t="s">
        <v>541</v>
      </c>
      <c r="G23" s="276" t="s">
        <v>542</v>
      </c>
      <c r="H23" s="276" t="s">
        <v>543</v>
      </c>
      <c r="I23" s="276" t="s">
        <v>544</v>
      </c>
      <c r="J23" s="276" t="s">
        <v>545</v>
      </c>
      <c r="K23" s="18"/>
    </row>
    <row r="24" spans="1:11" ht="189" customHeight="1" x14ac:dyDescent="0.35">
      <c r="A24" s="136">
        <f>COUNTA(C$3:C24)</f>
        <v>22</v>
      </c>
      <c r="B24" s="136" t="s">
        <v>612</v>
      </c>
      <c r="C24" s="280" t="s">
        <v>581</v>
      </c>
      <c r="D24" s="277" t="s">
        <v>546</v>
      </c>
      <c r="E24" s="277" t="s">
        <v>853</v>
      </c>
      <c r="F24" s="277" t="s">
        <v>854</v>
      </c>
      <c r="G24" s="277" t="s">
        <v>547</v>
      </c>
      <c r="H24" s="277" t="s">
        <v>548</v>
      </c>
      <c r="I24" s="277" t="s">
        <v>549</v>
      </c>
      <c r="J24" s="277" t="s">
        <v>550</v>
      </c>
      <c r="K24" s="18"/>
    </row>
    <row r="25" spans="1:11" ht="70" x14ac:dyDescent="0.35">
      <c r="A25" s="135">
        <f>COUNTA(C$3:C25)</f>
        <v>23</v>
      </c>
      <c r="B25" s="135" t="s">
        <v>613</v>
      </c>
      <c r="C25" s="279" t="s">
        <v>582</v>
      </c>
      <c r="D25" s="276" t="s">
        <v>855</v>
      </c>
      <c r="E25" s="276" t="s">
        <v>856</v>
      </c>
      <c r="F25" s="276" t="s">
        <v>857</v>
      </c>
      <c r="G25" s="276" t="s">
        <v>551</v>
      </c>
      <c r="H25" s="276" t="s">
        <v>858</v>
      </c>
      <c r="I25" s="276" t="s">
        <v>859</v>
      </c>
      <c r="J25" s="276" t="s">
        <v>860</v>
      </c>
      <c r="K25" s="18"/>
    </row>
    <row r="26" spans="1:11" ht="40" x14ac:dyDescent="0.35">
      <c r="A26" s="136">
        <f>COUNTA(C$3:C26)</f>
        <v>24</v>
      </c>
      <c r="B26" s="136" t="s">
        <v>614</v>
      </c>
      <c r="C26" s="280" t="s">
        <v>584</v>
      </c>
      <c r="D26" s="277" t="s">
        <v>553</v>
      </c>
      <c r="E26" s="277" t="s">
        <v>554</v>
      </c>
      <c r="F26" s="277" t="s">
        <v>303</v>
      </c>
      <c r="G26" s="277" t="s">
        <v>552</v>
      </c>
      <c r="H26" s="277" t="s">
        <v>555</v>
      </c>
      <c r="I26" s="277" t="s">
        <v>556</v>
      </c>
      <c r="J26" s="277" t="s">
        <v>557</v>
      </c>
      <c r="K26" s="18"/>
    </row>
    <row r="27" spans="1:11" ht="50" x14ac:dyDescent="0.35">
      <c r="A27" s="135">
        <f>COUNTA(C$3:C27)</f>
        <v>25</v>
      </c>
      <c r="B27" s="135" t="s">
        <v>615</v>
      </c>
      <c r="C27" s="279" t="s">
        <v>308</v>
      </c>
      <c r="D27" s="276" t="s">
        <v>861</v>
      </c>
      <c r="E27" s="276" t="s">
        <v>862</v>
      </c>
      <c r="F27" s="276" t="s">
        <v>863</v>
      </c>
      <c r="G27" s="276" t="s">
        <v>558</v>
      </c>
      <c r="H27" s="276" t="s">
        <v>864</v>
      </c>
      <c r="I27" s="276" t="s">
        <v>559</v>
      </c>
      <c r="J27" s="276" t="s">
        <v>865</v>
      </c>
      <c r="K27" s="18"/>
    </row>
    <row r="28" spans="1:11" ht="171" customHeight="1" x14ac:dyDescent="0.35">
      <c r="A28" s="136">
        <f>COUNTA(C$3:C28)</f>
        <v>26</v>
      </c>
      <c r="B28" s="136" t="s">
        <v>616</v>
      </c>
      <c r="C28" s="280" t="s">
        <v>585</v>
      </c>
      <c r="D28" s="277" t="s">
        <v>560</v>
      </c>
      <c r="E28" s="277" t="s">
        <v>866</v>
      </c>
      <c r="F28" s="277" t="s">
        <v>867</v>
      </c>
      <c r="G28" s="277" t="s">
        <v>552</v>
      </c>
      <c r="H28" s="277" t="s">
        <v>561</v>
      </c>
      <c r="I28" s="277" t="s">
        <v>868</v>
      </c>
      <c r="J28" s="277" t="s">
        <v>869</v>
      </c>
      <c r="K28" s="18"/>
    </row>
    <row r="29" spans="1:11" ht="96" customHeight="1" x14ac:dyDescent="0.35">
      <c r="A29" s="135">
        <f>COUNTA(C$3:C29)</f>
        <v>27</v>
      </c>
      <c r="B29" s="135" t="s">
        <v>617</v>
      </c>
      <c r="C29" s="279" t="s">
        <v>451</v>
      </c>
      <c r="D29" s="276" t="s">
        <v>870</v>
      </c>
      <c r="E29" s="276" t="s">
        <v>681</v>
      </c>
      <c r="F29" s="276" t="s">
        <v>460</v>
      </c>
      <c r="G29" s="276" t="s">
        <v>277</v>
      </c>
      <c r="H29" s="276" t="s">
        <v>682</v>
      </c>
      <c r="I29" s="276" t="s">
        <v>683</v>
      </c>
      <c r="J29" s="276" t="s">
        <v>871</v>
      </c>
      <c r="K29" s="18"/>
    </row>
    <row r="30" spans="1:11" ht="50" x14ac:dyDescent="0.35">
      <c r="A30" s="136">
        <f>COUNTA(C$3:C30)</f>
        <v>28</v>
      </c>
      <c r="B30" s="136" t="s">
        <v>618</v>
      </c>
      <c r="C30" s="280" t="s">
        <v>452</v>
      </c>
      <c r="D30" s="277" t="s">
        <v>461</v>
      </c>
      <c r="E30" s="277" t="s">
        <v>466</v>
      </c>
      <c r="F30" s="277" t="s">
        <v>464</v>
      </c>
      <c r="G30" s="277" t="s">
        <v>462</v>
      </c>
      <c r="H30" s="277" t="s">
        <v>455</v>
      </c>
      <c r="I30" s="277" t="s">
        <v>463</v>
      </c>
      <c r="J30" s="277" t="s">
        <v>872</v>
      </c>
      <c r="K30" s="18"/>
    </row>
    <row r="31" spans="1:11" ht="58" customHeight="1" x14ac:dyDescent="0.35">
      <c r="A31" s="135">
        <f>COUNTA(C$3:C31)</f>
        <v>29</v>
      </c>
      <c r="B31" s="135" t="s">
        <v>620</v>
      </c>
      <c r="C31" s="279" t="s">
        <v>304</v>
      </c>
      <c r="D31" s="276" t="s">
        <v>873</v>
      </c>
      <c r="E31" s="276" t="s">
        <v>465</v>
      </c>
      <c r="F31" s="276" t="s">
        <v>874</v>
      </c>
      <c r="G31" s="276" t="s">
        <v>468</v>
      </c>
      <c r="H31" s="276" t="s">
        <v>469</v>
      </c>
      <c r="I31" s="276" t="s">
        <v>470</v>
      </c>
      <c r="J31" s="276" t="s">
        <v>875</v>
      </c>
      <c r="K31" s="18"/>
    </row>
    <row r="32" spans="1:11" ht="60" x14ac:dyDescent="0.35">
      <c r="A32" s="136">
        <f>COUNTA(C$3:C32)</f>
        <v>30</v>
      </c>
      <c r="B32" s="136" t="s">
        <v>621</v>
      </c>
      <c r="C32" s="280" t="s">
        <v>298</v>
      </c>
      <c r="D32" s="277" t="s">
        <v>471</v>
      </c>
      <c r="E32" s="277" t="s">
        <v>472</v>
      </c>
      <c r="F32" s="277" t="s">
        <v>473</v>
      </c>
      <c r="G32" s="277" t="s">
        <v>299</v>
      </c>
      <c r="H32" s="277" t="s">
        <v>876</v>
      </c>
      <c r="I32" s="277" t="s">
        <v>474</v>
      </c>
      <c r="J32" s="277" t="s">
        <v>877</v>
      </c>
      <c r="K32" s="18"/>
    </row>
    <row r="33" spans="1:11" ht="40" x14ac:dyDescent="0.35">
      <c r="A33" s="135">
        <f>COUNTA(C$3:C33)</f>
        <v>31</v>
      </c>
      <c r="B33" s="135" t="s">
        <v>622</v>
      </c>
      <c r="C33" s="279" t="s">
        <v>448</v>
      </c>
      <c r="D33" s="276" t="s">
        <v>878</v>
      </c>
      <c r="E33" s="276" t="s">
        <v>306</v>
      </c>
      <c r="F33" s="276" t="s">
        <v>475</v>
      </c>
      <c r="G33" s="276" t="s">
        <v>476</v>
      </c>
      <c r="H33" s="276"/>
      <c r="I33" s="276" t="s">
        <v>667</v>
      </c>
      <c r="J33" s="276" t="s">
        <v>879</v>
      </c>
      <c r="K33" s="18"/>
    </row>
    <row r="34" spans="1:11" ht="90" x14ac:dyDescent="0.35">
      <c r="A34" s="136">
        <f>COUNTA(C$3:C34)</f>
        <v>32</v>
      </c>
      <c r="B34" s="136" t="s">
        <v>623</v>
      </c>
      <c r="C34" s="280" t="s">
        <v>793</v>
      </c>
      <c r="D34" s="277" t="s">
        <v>456</v>
      </c>
      <c r="E34" s="277" t="s">
        <v>467</v>
      </c>
      <c r="F34" s="277" t="s">
        <v>792</v>
      </c>
      <c r="G34" s="277" t="s">
        <v>567</v>
      </c>
      <c r="H34" s="277" t="s">
        <v>565</v>
      </c>
      <c r="I34" s="277" t="s">
        <v>821</v>
      </c>
      <c r="J34" s="277" t="s">
        <v>457</v>
      </c>
      <c r="K34" s="18"/>
    </row>
    <row r="35" spans="1:11" ht="90" x14ac:dyDescent="0.35">
      <c r="A35" s="135">
        <f>COUNTA(C$3:C35)</f>
        <v>33</v>
      </c>
      <c r="B35" s="135" t="s">
        <v>624</v>
      </c>
      <c r="C35" s="279" t="s">
        <v>794</v>
      </c>
      <c r="D35" s="276" t="s">
        <v>456</v>
      </c>
      <c r="E35" s="276" t="s">
        <v>467</v>
      </c>
      <c r="F35" s="277" t="s">
        <v>792</v>
      </c>
      <c r="G35" s="276" t="s">
        <v>567</v>
      </c>
      <c r="H35" s="276" t="s">
        <v>565</v>
      </c>
      <c r="I35" s="276" t="s">
        <v>821</v>
      </c>
      <c r="J35" s="276" t="s">
        <v>457</v>
      </c>
      <c r="K35" s="18"/>
    </row>
    <row r="36" spans="1:11" ht="90" x14ac:dyDescent="0.35">
      <c r="A36" s="136">
        <f>COUNTA(C$3:C36)</f>
        <v>34</v>
      </c>
      <c r="B36" s="136" t="s">
        <v>625</v>
      </c>
      <c r="C36" s="280" t="s">
        <v>795</v>
      </c>
      <c r="D36" s="277" t="s">
        <v>456</v>
      </c>
      <c r="E36" s="277" t="s">
        <v>467</v>
      </c>
      <c r="F36" s="277" t="s">
        <v>792</v>
      </c>
      <c r="G36" s="277" t="s">
        <v>567</v>
      </c>
      <c r="H36" s="277" t="s">
        <v>565</v>
      </c>
      <c r="I36" s="277" t="s">
        <v>821</v>
      </c>
      <c r="J36" s="277" t="s">
        <v>457</v>
      </c>
      <c r="K36" s="18"/>
    </row>
    <row r="37" spans="1:11" ht="90" x14ac:dyDescent="0.35">
      <c r="A37" s="135">
        <f>COUNTA(C$3:C37)</f>
        <v>35</v>
      </c>
      <c r="B37" s="135" t="s">
        <v>626</v>
      </c>
      <c r="C37" s="279" t="s">
        <v>796</v>
      </c>
      <c r="D37" s="276" t="s">
        <v>456</v>
      </c>
      <c r="E37" s="276" t="s">
        <v>467</v>
      </c>
      <c r="F37" s="277" t="s">
        <v>792</v>
      </c>
      <c r="G37" s="276" t="s">
        <v>567</v>
      </c>
      <c r="H37" s="276" t="s">
        <v>565</v>
      </c>
      <c r="I37" s="276" t="s">
        <v>821</v>
      </c>
      <c r="J37" s="276" t="s">
        <v>457</v>
      </c>
      <c r="K37" s="18"/>
    </row>
    <row r="38" spans="1:11" s="576" customFormat="1" ht="90" x14ac:dyDescent="0.35">
      <c r="A38" s="136">
        <f>COUNTA(C$3:C38)</f>
        <v>36</v>
      </c>
      <c r="B38" s="136" t="s">
        <v>627</v>
      </c>
      <c r="C38" s="280" t="s">
        <v>797</v>
      </c>
      <c r="D38" s="277" t="s">
        <v>456</v>
      </c>
      <c r="E38" s="277" t="s">
        <v>467</v>
      </c>
      <c r="F38" s="277" t="s">
        <v>792</v>
      </c>
      <c r="G38" s="277" t="s">
        <v>567</v>
      </c>
      <c r="H38" s="277" t="s">
        <v>565</v>
      </c>
      <c r="I38" s="277" t="s">
        <v>821</v>
      </c>
      <c r="J38" s="277" t="s">
        <v>457</v>
      </c>
    </row>
    <row r="39" spans="1:11" s="576" customFormat="1" ht="90" x14ac:dyDescent="0.35">
      <c r="A39" s="577">
        <f>COUNTA(C$3:C39)</f>
        <v>37</v>
      </c>
      <c r="B39" s="577" t="s">
        <v>628</v>
      </c>
      <c r="C39" s="578" t="s">
        <v>798</v>
      </c>
      <c r="D39" s="579" t="s">
        <v>456</v>
      </c>
      <c r="E39" s="579" t="s">
        <v>467</v>
      </c>
      <c r="F39" s="579" t="s">
        <v>792</v>
      </c>
      <c r="G39" s="579" t="s">
        <v>567</v>
      </c>
      <c r="H39" s="579" t="s">
        <v>565</v>
      </c>
      <c r="I39" s="579" t="s">
        <v>821</v>
      </c>
      <c r="J39" s="579" t="s">
        <v>457</v>
      </c>
    </row>
    <row r="40" spans="1:11" s="576" customFormat="1" ht="140" x14ac:dyDescent="0.35">
      <c r="A40" s="573">
        <f>COUNTA(C$3:C40)</f>
        <v>38</v>
      </c>
      <c r="B40" s="573" t="s">
        <v>629</v>
      </c>
      <c r="C40" s="574" t="s">
        <v>283</v>
      </c>
      <c r="D40" s="575" t="s">
        <v>456</v>
      </c>
      <c r="E40" s="575" t="s">
        <v>467</v>
      </c>
      <c r="F40" s="575" t="s">
        <v>792</v>
      </c>
      <c r="G40" s="575" t="s">
        <v>567</v>
      </c>
      <c r="H40" s="575" t="s">
        <v>565</v>
      </c>
      <c r="I40" s="575" t="s">
        <v>564</v>
      </c>
      <c r="J40" s="575" t="s">
        <v>457</v>
      </c>
    </row>
    <row r="41" spans="1:11" s="576" customFormat="1" ht="140" x14ac:dyDescent="0.35">
      <c r="A41" s="573">
        <f>COUNTA(C$3:C41)</f>
        <v>39</v>
      </c>
      <c r="B41" s="573" t="s">
        <v>630</v>
      </c>
      <c r="C41" s="574" t="s">
        <v>284</v>
      </c>
      <c r="D41" s="575" t="s">
        <v>456</v>
      </c>
      <c r="E41" s="575" t="s">
        <v>467</v>
      </c>
      <c r="F41" s="575" t="s">
        <v>792</v>
      </c>
      <c r="G41" s="575" t="s">
        <v>567</v>
      </c>
      <c r="H41" s="575" t="s">
        <v>565</v>
      </c>
      <c r="I41" s="575" t="s">
        <v>564</v>
      </c>
      <c r="J41" s="575" t="s">
        <v>457</v>
      </c>
    </row>
    <row r="42" spans="1:11" s="576" customFormat="1" ht="140" x14ac:dyDescent="0.35">
      <c r="A42" s="573">
        <f>COUNTA(C$3:C42)</f>
        <v>40</v>
      </c>
      <c r="B42" s="573" t="s">
        <v>631</v>
      </c>
      <c r="C42" s="574" t="s">
        <v>285</v>
      </c>
      <c r="D42" s="575" t="s">
        <v>456</v>
      </c>
      <c r="E42" s="575" t="s">
        <v>467</v>
      </c>
      <c r="F42" s="575" t="s">
        <v>792</v>
      </c>
      <c r="G42" s="575" t="s">
        <v>567</v>
      </c>
      <c r="H42" s="575" t="s">
        <v>565</v>
      </c>
      <c r="I42" s="575" t="s">
        <v>564</v>
      </c>
      <c r="J42" s="575" t="s">
        <v>457</v>
      </c>
    </row>
    <row r="43" spans="1:11" s="576" customFormat="1" ht="140" x14ac:dyDescent="0.35">
      <c r="A43" s="573">
        <f>COUNTA(C$3:C43)</f>
        <v>41</v>
      </c>
      <c r="B43" s="573" t="s">
        <v>632</v>
      </c>
      <c r="C43" s="574" t="s">
        <v>286</v>
      </c>
      <c r="D43" s="575" t="s">
        <v>456</v>
      </c>
      <c r="E43" s="575" t="s">
        <v>467</v>
      </c>
      <c r="F43" s="575" t="s">
        <v>792</v>
      </c>
      <c r="G43" s="575" t="s">
        <v>567</v>
      </c>
      <c r="H43" s="575" t="s">
        <v>565</v>
      </c>
      <c r="I43" s="575" t="s">
        <v>564</v>
      </c>
      <c r="J43" s="575" t="s">
        <v>457</v>
      </c>
    </row>
    <row r="44" spans="1:11" s="576" customFormat="1" ht="140" x14ac:dyDescent="0.35">
      <c r="A44" s="573">
        <f>COUNTA(C$3:C44)</f>
        <v>42</v>
      </c>
      <c r="B44" s="573" t="s">
        <v>633</v>
      </c>
      <c r="C44" s="574" t="s">
        <v>287</v>
      </c>
      <c r="D44" s="575" t="s">
        <v>456</v>
      </c>
      <c r="E44" s="575" t="s">
        <v>467</v>
      </c>
      <c r="F44" s="575" t="s">
        <v>792</v>
      </c>
      <c r="G44" s="575" t="s">
        <v>567</v>
      </c>
      <c r="H44" s="575" t="s">
        <v>565</v>
      </c>
      <c r="I44" s="575" t="s">
        <v>564</v>
      </c>
      <c r="J44" s="575" t="s">
        <v>457</v>
      </c>
    </row>
    <row r="45" spans="1:11" s="576" customFormat="1" ht="140" x14ac:dyDescent="0.35">
      <c r="A45" s="573">
        <f>COUNTA(C$3:C45)</f>
        <v>43</v>
      </c>
      <c r="B45" s="573" t="s">
        <v>634</v>
      </c>
      <c r="C45" s="574" t="s">
        <v>288</v>
      </c>
      <c r="D45" s="575" t="s">
        <v>456</v>
      </c>
      <c r="E45" s="575" t="s">
        <v>467</v>
      </c>
      <c r="F45" s="575" t="s">
        <v>792</v>
      </c>
      <c r="G45" s="575" t="s">
        <v>567</v>
      </c>
      <c r="H45" s="575" t="s">
        <v>565</v>
      </c>
      <c r="I45" s="575" t="s">
        <v>564</v>
      </c>
      <c r="J45" s="575" t="s">
        <v>457</v>
      </c>
    </row>
    <row r="46" spans="1:11" s="576" customFormat="1" ht="140" x14ac:dyDescent="0.35">
      <c r="A46" s="573">
        <f>COUNTA(C$3:C46)</f>
        <v>44</v>
      </c>
      <c r="B46" s="573" t="s">
        <v>635</v>
      </c>
      <c r="C46" s="574" t="s">
        <v>562</v>
      </c>
      <c r="D46" s="575" t="s">
        <v>456</v>
      </c>
      <c r="E46" s="575" t="s">
        <v>467</v>
      </c>
      <c r="F46" s="575" t="s">
        <v>792</v>
      </c>
      <c r="G46" s="575" t="s">
        <v>567</v>
      </c>
      <c r="H46" s="575" t="s">
        <v>565</v>
      </c>
      <c r="I46" s="575" t="s">
        <v>564</v>
      </c>
      <c r="J46" s="575" t="s">
        <v>457</v>
      </c>
    </row>
    <row r="47" spans="1:11" s="576" customFormat="1" ht="140" x14ac:dyDescent="0.35">
      <c r="A47" s="573">
        <f>COUNTA(C$3:C47)</f>
        <v>45</v>
      </c>
      <c r="B47" s="573" t="s">
        <v>636</v>
      </c>
      <c r="C47" s="574" t="s">
        <v>289</v>
      </c>
      <c r="D47" s="575" t="s">
        <v>456</v>
      </c>
      <c r="E47" s="575" t="s">
        <v>467</v>
      </c>
      <c r="F47" s="575" t="s">
        <v>792</v>
      </c>
      <c r="G47" s="575" t="s">
        <v>567</v>
      </c>
      <c r="H47" s="575" t="s">
        <v>565</v>
      </c>
      <c r="I47" s="575" t="s">
        <v>564</v>
      </c>
      <c r="J47" s="575" t="s">
        <v>457</v>
      </c>
    </row>
    <row r="48" spans="1:11" s="576" customFormat="1" ht="140" x14ac:dyDescent="0.35">
      <c r="A48" s="573">
        <f>COUNTA(C$3:C48)</f>
        <v>46</v>
      </c>
      <c r="B48" s="573" t="s">
        <v>637</v>
      </c>
      <c r="C48" s="574" t="s">
        <v>290</v>
      </c>
      <c r="D48" s="575" t="s">
        <v>456</v>
      </c>
      <c r="E48" s="575" t="s">
        <v>467</v>
      </c>
      <c r="F48" s="575" t="s">
        <v>792</v>
      </c>
      <c r="G48" s="575" t="s">
        <v>567</v>
      </c>
      <c r="H48" s="575" t="s">
        <v>565</v>
      </c>
      <c r="I48" s="575" t="s">
        <v>564</v>
      </c>
      <c r="J48" s="575" t="s">
        <v>457</v>
      </c>
    </row>
    <row r="49" spans="1:11" s="576" customFormat="1" ht="140" x14ac:dyDescent="0.35">
      <c r="A49" s="573">
        <f>COUNTA(C$3:C49)</f>
        <v>47</v>
      </c>
      <c r="B49" s="573" t="s">
        <v>638</v>
      </c>
      <c r="C49" s="574" t="s">
        <v>291</v>
      </c>
      <c r="D49" s="575" t="s">
        <v>456</v>
      </c>
      <c r="E49" s="575" t="s">
        <v>467</v>
      </c>
      <c r="F49" s="575" t="s">
        <v>792</v>
      </c>
      <c r="G49" s="575" t="s">
        <v>567</v>
      </c>
      <c r="H49" s="575" t="s">
        <v>565</v>
      </c>
      <c r="I49" s="575" t="s">
        <v>564</v>
      </c>
      <c r="J49" s="575" t="s">
        <v>457</v>
      </c>
    </row>
    <row r="50" spans="1:11" s="576" customFormat="1" ht="140" x14ac:dyDescent="0.35">
      <c r="A50" s="573">
        <f>COUNTA(C$3:C50)</f>
        <v>48</v>
      </c>
      <c r="B50" s="573" t="s">
        <v>639</v>
      </c>
      <c r="C50" s="574" t="s">
        <v>292</v>
      </c>
      <c r="D50" s="575" t="s">
        <v>456</v>
      </c>
      <c r="E50" s="575" t="s">
        <v>467</v>
      </c>
      <c r="F50" s="575" t="s">
        <v>792</v>
      </c>
      <c r="G50" s="575" t="s">
        <v>567</v>
      </c>
      <c r="H50" s="575" t="s">
        <v>565</v>
      </c>
      <c r="I50" s="575" t="s">
        <v>564</v>
      </c>
      <c r="J50" s="575" t="s">
        <v>457</v>
      </c>
    </row>
    <row r="51" spans="1:11" s="576" customFormat="1" ht="140" x14ac:dyDescent="0.35">
      <c r="A51" s="573">
        <f>COUNTA(C$3:C51)</f>
        <v>49</v>
      </c>
      <c r="B51" s="573" t="s">
        <v>640</v>
      </c>
      <c r="C51" s="574" t="s">
        <v>293</v>
      </c>
      <c r="D51" s="575" t="s">
        <v>456</v>
      </c>
      <c r="E51" s="575" t="s">
        <v>467</v>
      </c>
      <c r="F51" s="575" t="s">
        <v>792</v>
      </c>
      <c r="G51" s="575" t="s">
        <v>567</v>
      </c>
      <c r="H51" s="575" t="s">
        <v>565</v>
      </c>
      <c r="I51" s="575" t="s">
        <v>564</v>
      </c>
      <c r="J51" s="575" t="s">
        <v>457</v>
      </c>
    </row>
    <row r="52" spans="1:11" s="576" customFormat="1" ht="140" x14ac:dyDescent="0.35">
      <c r="A52" s="573">
        <f>COUNTA(C$3:C52)</f>
        <v>50</v>
      </c>
      <c r="B52" s="573" t="s">
        <v>641</v>
      </c>
      <c r="C52" s="574" t="s">
        <v>563</v>
      </c>
      <c r="D52" s="575" t="s">
        <v>456</v>
      </c>
      <c r="E52" s="575" t="s">
        <v>467</v>
      </c>
      <c r="F52" s="575" t="s">
        <v>792</v>
      </c>
      <c r="G52" s="575" t="s">
        <v>567</v>
      </c>
      <c r="H52" s="575" t="s">
        <v>566</v>
      </c>
      <c r="I52" s="575" t="s">
        <v>564</v>
      </c>
      <c r="J52" s="575" t="s">
        <v>457</v>
      </c>
    </row>
    <row r="53" spans="1:11" x14ac:dyDescent="0.35">
      <c r="K53" s="18"/>
    </row>
    <row r="54" spans="1:11" x14ac:dyDescent="0.35">
      <c r="K54" s="18"/>
    </row>
    <row r="55" spans="1:11" x14ac:dyDescent="0.35">
      <c r="K55" s="18"/>
    </row>
    <row r="56" spans="1:11" x14ac:dyDescent="0.35">
      <c r="K56" s="18"/>
    </row>
    <row r="57" spans="1:11" x14ac:dyDescent="0.35">
      <c r="K57" s="18"/>
    </row>
    <row r="58" spans="1:11" x14ac:dyDescent="0.35">
      <c r="K58" s="18"/>
    </row>
    <row r="59" spans="1:11" x14ac:dyDescent="0.35">
      <c r="K59" s="18"/>
    </row>
    <row r="60" spans="1:11" x14ac:dyDescent="0.35">
      <c r="K60" s="18"/>
    </row>
    <row r="61" spans="1:11" x14ac:dyDescent="0.35">
      <c r="K61" s="18"/>
    </row>
    <row r="62" spans="1:11" x14ac:dyDescent="0.35">
      <c r="K62" s="18"/>
    </row>
    <row r="63" spans="1:11" x14ac:dyDescent="0.35">
      <c r="K63" s="18"/>
    </row>
    <row r="64" spans="1:11" x14ac:dyDescent="0.35">
      <c r="K64" s="18"/>
    </row>
    <row r="65" spans="11:11" x14ac:dyDescent="0.35">
      <c r="K65" s="18"/>
    </row>
    <row r="66" spans="11:11" x14ac:dyDescent="0.35">
      <c r="K66" s="18"/>
    </row>
    <row r="67" spans="11:11" x14ac:dyDescent="0.35">
      <c r="K67" s="18"/>
    </row>
    <row r="68" spans="11:11" x14ac:dyDescent="0.35">
      <c r="K68" s="18"/>
    </row>
    <row r="69" spans="11:11" x14ac:dyDescent="0.35">
      <c r="K69" s="18"/>
    </row>
    <row r="70" spans="11:11" x14ac:dyDescent="0.35">
      <c r="K70" s="18"/>
    </row>
    <row r="71" spans="11:11" x14ac:dyDescent="0.35">
      <c r="K71" s="18"/>
    </row>
    <row r="72" spans="11:11" x14ac:dyDescent="0.35">
      <c r="K72" s="18"/>
    </row>
    <row r="73" spans="11:11" x14ac:dyDescent="0.35">
      <c r="K73" s="18"/>
    </row>
    <row r="74" spans="11:11" x14ac:dyDescent="0.35">
      <c r="K74" s="18"/>
    </row>
    <row r="75" spans="11:11" x14ac:dyDescent="0.35">
      <c r="K75" s="18"/>
    </row>
    <row r="76" spans="11:11" x14ac:dyDescent="0.35">
      <c r="K76" s="18"/>
    </row>
    <row r="77" spans="11:11" x14ac:dyDescent="0.35">
      <c r="K77" s="18"/>
    </row>
    <row r="78" spans="11:11" x14ac:dyDescent="0.35">
      <c r="K78" s="18"/>
    </row>
    <row r="79" spans="11:11" x14ac:dyDescent="0.35">
      <c r="K79" s="18"/>
    </row>
    <row r="80" spans="11:11" x14ac:dyDescent="0.35">
      <c r="K80" s="18"/>
    </row>
    <row r="81" spans="11:11" x14ac:dyDescent="0.35">
      <c r="K81" s="18"/>
    </row>
    <row r="82" spans="11:11" x14ac:dyDescent="0.35">
      <c r="K82" s="18"/>
    </row>
    <row r="83" spans="11:11" x14ac:dyDescent="0.35">
      <c r="K83" s="18"/>
    </row>
    <row r="84" spans="11:11" x14ac:dyDescent="0.35">
      <c r="K84" s="18"/>
    </row>
    <row r="85" spans="11:11" x14ac:dyDescent="0.35">
      <c r="K85" s="18"/>
    </row>
    <row r="86" spans="11:11" x14ac:dyDescent="0.35">
      <c r="K86" s="18"/>
    </row>
    <row r="87" spans="11:11" x14ac:dyDescent="0.35">
      <c r="K87" s="18"/>
    </row>
    <row r="88" spans="11:11" x14ac:dyDescent="0.35">
      <c r="K88" s="18"/>
    </row>
    <row r="89" spans="11:11" x14ac:dyDescent="0.35">
      <c r="K89" s="18"/>
    </row>
    <row r="90" spans="11:11" x14ac:dyDescent="0.35">
      <c r="K90" s="18"/>
    </row>
    <row r="91" spans="11:11" x14ac:dyDescent="0.35">
      <c r="K91" s="18"/>
    </row>
    <row r="92" spans="11:11" x14ac:dyDescent="0.35">
      <c r="K92" s="18"/>
    </row>
  </sheetData>
  <mergeCells count="1">
    <mergeCell ref="A1:C1"/>
  </mergeCells>
  <phoneticPr fontId="25"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N42"/>
  <sheetViews>
    <sheetView topLeftCell="F2" zoomScaleNormal="100" workbookViewId="0">
      <selection activeCell="P26" sqref="P26"/>
    </sheetView>
  </sheetViews>
  <sheetFormatPr baseColWidth="10" defaultColWidth="11.453125" defaultRowHeight="12" x14ac:dyDescent="0.35"/>
  <cols>
    <col min="1" max="1" width="1.1796875" style="158" customWidth="1"/>
    <col min="2" max="2" width="4.1796875" style="188" hidden="1" customWidth="1"/>
    <col min="3" max="3" width="5.81640625" style="188" customWidth="1"/>
    <col min="4" max="4" width="9.26953125" style="188" customWidth="1"/>
    <col min="5" max="5" width="82.453125" style="199" customWidth="1"/>
    <col min="6" max="6" width="30" style="178" customWidth="1"/>
    <col min="7" max="8" width="23.1796875" style="178" customWidth="1"/>
    <col min="9" max="9" width="18.26953125" style="178" customWidth="1"/>
    <col min="10" max="10" width="1.54296875" style="158" customWidth="1"/>
    <col min="11" max="11" width="1.81640625" style="158" customWidth="1"/>
    <col min="12" max="12" width="9.7265625" style="158" customWidth="1"/>
    <col min="13" max="13" width="17.1796875" style="158" customWidth="1"/>
    <col min="14" max="14" width="53.81640625" style="158" customWidth="1"/>
    <col min="15" max="16384" width="11.453125" style="158"/>
  </cols>
  <sheetData>
    <row r="1" spans="2:14" ht="15.5" x14ac:dyDescent="0.35">
      <c r="C1" s="205" t="s">
        <v>309</v>
      </c>
      <c r="L1" s="168" t="s">
        <v>310</v>
      </c>
      <c r="M1" s="169" t="str">
        <f>CONCATENATE(DAY('FO-GC-015'!AJ14),"/",MONTH('FO-GC-015'!AJ14),"/",YEAR('FO-GC-015'!AJ14))</f>
        <v>0/1/1900</v>
      </c>
    </row>
    <row r="2" spans="2:14" x14ac:dyDescent="0.35">
      <c r="C2" s="535" t="s">
        <v>311</v>
      </c>
      <c r="D2" s="536"/>
      <c r="E2" s="207">
        <f>COUNTIF('FO-GC-015'!Y:Y,"X")</f>
        <v>0</v>
      </c>
      <c r="F2" s="208"/>
      <c r="G2" s="208"/>
      <c r="H2" s="208"/>
      <c r="I2" s="208"/>
      <c r="L2" s="168" t="s">
        <v>312</v>
      </c>
      <c r="M2" s="168">
        <f>'FO-GC-015'!C12</f>
        <v>0</v>
      </c>
    </row>
    <row r="3" spans="2:14" ht="23.25" customHeight="1" x14ac:dyDescent="0.35">
      <c r="B3" s="192" t="s">
        <v>266</v>
      </c>
      <c r="C3" s="209" t="s">
        <v>313</v>
      </c>
      <c r="D3" s="210" t="s">
        <v>314</v>
      </c>
      <c r="E3" s="225" t="s">
        <v>315</v>
      </c>
      <c r="F3" s="213" t="s">
        <v>316</v>
      </c>
      <c r="G3" s="213" t="s">
        <v>317</v>
      </c>
      <c r="H3" s="213" t="s">
        <v>318</v>
      </c>
      <c r="I3" s="213" t="s">
        <v>319</v>
      </c>
      <c r="L3" s="168" t="s">
        <v>320</v>
      </c>
      <c r="M3" s="550">
        <f>'FO-GC-015'!U11</f>
        <v>0</v>
      </c>
      <c r="N3" s="550"/>
    </row>
    <row r="4" spans="2:14" s="163" customFormat="1" hidden="1" x14ac:dyDescent="0.35">
      <c r="B4" s="192"/>
      <c r="C4" s="211"/>
      <c r="D4" s="212">
        <f>'FO-GC-015'!AA1</f>
        <v>27</v>
      </c>
      <c r="E4" s="226"/>
      <c r="F4" s="214">
        <f>'FO-GC-015'!AC1</f>
        <v>29</v>
      </c>
      <c r="G4" s="214">
        <f>'FO-GC-015'!F1</f>
        <v>6</v>
      </c>
      <c r="H4" s="214">
        <f>'FO-GC-015'!P1</f>
        <v>16</v>
      </c>
      <c r="I4" s="214">
        <f>'FO-GC-015'!C1</f>
        <v>3</v>
      </c>
      <c r="N4" s="158"/>
    </row>
    <row r="5" spans="2:14" ht="40" customHeight="1" x14ac:dyDescent="0.35">
      <c r="B5" s="190">
        <v>1</v>
      </c>
      <c r="C5" s="197" t="str">
        <f>IF(B5&lt;=$E$2,CONCATENATE("NC-",B5),"")</f>
        <v/>
      </c>
      <c r="D5" s="206" t="str">
        <f>IFERROR(VLOOKUP($C5,'FO-GC-015'!$A:$AL,D$4,0),"")</f>
        <v/>
      </c>
      <c r="E5" s="224" t="str">
        <f>IF(C5="","",CONCATENATE($N$6,$M$2,$N$7,$M$1," al ",$N$8,$M$3,$N$9,G5,$N$10,"""",H5,""",",$N$11,I5,$N$12,F5,$N$13,D5,$N$14))</f>
        <v/>
      </c>
      <c r="F5" s="198" t="str">
        <f>IFERROR(VLOOKUP($C5,'FO-GC-015'!$A:$AL,F$4,0),"")</f>
        <v/>
      </c>
      <c r="G5" s="198" t="str">
        <f>IFERROR(VLOOKUP($C5,'FO-GC-015'!$A:$AL,G$4,0),"")</f>
        <v/>
      </c>
      <c r="H5" s="198" t="str">
        <f>IFERROR(VLOOKUP($C5,'FO-GC-015'!$A:$AL,H$4,0),"")</f>
        <v/>
      </c>
      <c r="I5" s="198" t="str">
        <f>IFERROR(VLOOKUP($C5,'FO-GC-015'!$A:$AL,I$4,0),"")</f>
        <v/>
      </c>
      <c r="L5" s="549" t="s">
        <v>321</v>
      </c>
      <c r="M5" s="549"/>
      <c r="N5" s="549"/>
    </row>
    <row r="6" spans="2:14" ht="40" customHeight="1" x14ac:dyDescent="0.35">
      <c r="B6" s="191">
        <f>B5+1</f>
        <v>2</v>
      </c>
      <c r="C6" s="197" t="str">
        <f>IF(B6&lt;=$E$2,CONCATENATE("NC-",B6),"")</f>
        <v/>
      </c>
      <c r="D6" s="206" t="str">
        <f>IFERROR(VLOOKUP($C6,'FO-GC-015'!$A:$AL,D$4,0),"")</f>
        <v/>
      </c>
      <c r="E6" s="224" t="str">
        <f t="shared" ref="E6:E38" si="0">IF(C6="","",CONCATENATE($N$6,$M$2,$N$7,$M$1," al ",$N$8,$M$3,$N$9,G6,$N$10,"""",H6,""",",$N$11,I6,$N$12,F6,$N$13,D6,$N$14))</f>
        <v/>
      </c>
      <c r="F6" s="198" t="str">
        <f>IFERROR(VLOOKUP($C6,'FO-GC-015'!$A:$AL,F$4,0),"")</f>
        <v/>
      </c>
      <c r="G6" s="198" t="str">
        <f>IFERROR(VLOOKUP($C6,'FO-GC-015'!$A:$AL,G$4,0),"")</f>
        <v/>
      </c>
      <c r="H6" s="198" t="str">
        <f>IFERROR(VLOOKUP($C6,'FO-GC-015'!$A:$AL,H$4,0),"")</f>
        <v/>
      </c>
      <c r="I6" s="198" t="str">
        <f>IFERROR(VLOOKUP($C6,'FO-GC-015'!$A:$AL,I$4,0),"")</f>
        <v/>
      </c>
      <c r="L6" s="537" t="s">
        <v>322</v>
      </c>
      <c r="M6" s="171" t="s">
        <v>323</v>
      </c>
      <c r="N6" s="228" t="s">
        <v>324</v>
      </c>
    </row>
    <row r="7" spans="2:14" ht="40" customHeight="1" x14ac:dyDescent="0.35">
      <c r="B7" s="191">
        <f t="shared" ref="B7:B38" si="1">B6+1</f>
        <v>3</v>
      </c>
      <c r="C7" s="197" t="str">
        <f t="shared" ref="C7:C38" si="2">IF(B7&lt;=$E$2,CONCATENATE("NC-",B7),"")</f>
        <v/>
      </c>
      <c r="D7" s="206" t="str">
        <f>IFERROR(VLOOKUP($C7,'FO-GC-015'!$A:$AL,D$4,0),"")</f>
        <v/>
      </c>
      <c r="E7" s="224" t="str">
        <f t="shared" si="0"/>
        <v/>
      </c>
      <c r="F7" s="198" t="str">
        <f>IFERROR(VLOOKUP($C7,'FO-GC-015'!$A:$AL,F$4,0),"")</f>
        <v/>
      </c>
      <c r="G7" s="198" t="str">
        <f>IFERROR(VLOOKUP($C7,'FO-GC-015'!$A:$AL,G$4,0),"")</f>
        <v/>
      </c>
      <c r="H7" s="198" t="str">
        <f>IFERROR(VLOOKUP($C7,'FO-GC-015'!$A:$AL,H$4,0),"")</f>
        <v/>
      </c>
      <c r="I7" s="198" t="str">
        <f>IFERROR(VLOOKUP($C7,'FO-GC-015'!$A:$AL,I$4,0),"")</f>
        <v/>
      </c>
      <c r="L7" s="537"/>
      <c r="M7" s="172" t="s">
        <v>325</v>
      </c>
      <c r="N7" s="229" t="s">
        <v>326</v>
      </c>
    </row>
    <row r="8" spans="2:14" ht="40" customHeight="1" x14ac:dyDescent="0.35">
      <c r="B8" s="191">
        <f t="shared" si="1"/>
        <v>4</v>
      </c>
      <c r="C8" s="197" t="str">
        <f t="shared" si="2"/>
        <v/>
      </c>
      <c r="D8" s="206" t="str">
        <f>IFERROR(VLOOKUP($C8,'FO-GC-015'!$A:$AL,D$4,0),"")</f>
        <v/>
      </c>
      <c r="E8" s="224" t="str">
        <f t="shared" si="0"/>
        <v/>
      </c>
      <c r="F8" s="198" t="str">
        <f>IFERROR(VLOOKUP($C8,'FO-GC-015'!$A:$AL,F$4,0),"")</f>
        <v/>
      </c>
      <c r="G8" s="198" t="str">
        <f>IFERROR(VLOOKUP($C8,'FO-GC-015'!$A:$AL,G$4,0),"")</f>
        <v/>
      </c>
      <c r="H8" s="198" t="str">
        <f>IFERROR(VLOOKUP($C8,'FO-GC-015'!$A:$AL,H$4,0),"")</f>
        <v/>
      </c>
      <c r="I8" s="198" t="str">
        <f>IFERROR(VLOOKUP($C8,'FO-GC-015'!$A:$AL,I$4,0),"")</f>
        <v/>
      </c>
      <c r="L8" s="537"/>
      <c r="M8" s="173" t="s">
        <v>327</v>
      </c>
      <c r="N8" s="174" t="e">
        <f>CONCATENATE(VLOOKUP(M3,Listas!C:F,4,0)," ")</f>
        <v>#N/A</v>
      </c>
    </row>
    <row r="9" spans="2:14" ht="40" customHeight="1" x14ac:dyDescent="0.35">
      <c r="B9" s="191">
        <f t="shared" si="1"/>
        <v>5</v>
      </c>
      <c r="C9" s="197" t="str">
        <f t="shared" si="2"/>
        <v/>
      </c>
      <c r="D9" s="206" t="str">
        <f>IFERROR(VLOOKUP($C9,'FO-GC-015'!$A:$AL,D$4,0),"")</f>
        <v/>
      </c>
      <c r="E9" s="224" t="str">
        <f t="shared" si="0"/>
        <v/>
      </c>
      <c r="F9" s="198" t="str">
        <f>IFERROR(VLOOKUP($C9,'FO-GC-015'!$A:$AL,F$4,0),"")</f>
        <v/>
      </c>
      <c r="G9" s="198" t="str">
        <f>IFERROR(VLOOKUP($C9,'FO-GC-015'!$A:$AL,G$4,0),"")</f>
        <v/>
      </c>
      <c r="H9" s="198" t="str">
        <f>IFERROR(VLOOKUP($C9,'FO-GC-015'!$A:$AL,H$4,0),"")</f>
        <v/>
      </c>
      <c r="I9" s="198" t="str">
        <f>IFERROR(VLOOKUP($C9,'FO-GC-015'!$A:$AL,I$4,0),"")</f>
        <v/>
      </c>
      <c r="L9" s="537"/>
      <c r="M9" s="172" t="s">
        <v>328</v>
      </c>
      <c r="N9" s="229" t="s">
        <v>329</v>
      </c>
    </row>
    <row r="10" spans="2:14" ht="40" customHeight="1" x14ac:dyDescent="0.35">
      <c r="B10" s="191">
        <f t="shared" si="1"/>
        <v>6</v>
      </c>
      <c r="C10" s="197" t="str">
        <f t="shared" si="2"/>
        <v/>
      </c>
      <c r="D10" s="206" t="str">
        <f>IFERROR(VLOOKUP($C10,'FO-GC-015'!$A:$AL,D$4,0),"")</f>
        <v/>
      </c>
      <c r="E10" s="224" t="str">
        <f t="shared" si="0"/>
        <v/>
      </c>
      <c r="F10" s="198" t="str">
        <f>IFERROR(VLOOKUP($C10,'FO-GC-015'!$A:$AL,F$4,0),"")</f>
        <v/>
      </c>
      <c r="G10" s="198" t="str">
        <f>IFERROR(VLOOKUP($C10,'FO-GC-015'!$A:$AL,G$4,0),"")</f>
        <v/>
      </c>
      <c r="H10" s="198" t="str">
        <f>IFERROR(VLOOKUP($C10,'FO-GC-015'!$A:$AL,H$4,0),"")</f>
        <v/>
      </c>
      <c r="I10" s="198" t="str">
        <f>IFERROR(VLOOKUP($C10,'FO-GC-015'!$A:$AL,I$4,0),"")</f>
        <v/>
      </c>
      <c r="L10" s="537"/>
      <c r="M10" s="175" t="s">
        <v>330</v>
      </c>
      <c r="N10" s="230" t="s">
        <v>331</v>
      </c>
    </row>
    <row r="11" spans="2:14" ht="40" customHeight="1" x14ac:dyDescent="0.35">
      <c r="B11" s="191">
        <f t="shared" si="1"/>
        <v>7</v>
      </c>
      <c r="C11" s="197" t="str">
        <f t="shared" si="2"/>
        <v/>
      </c>
      <c r="D11" s="206" t="str">
        <f>IFERROR(VLOOKUP($C11,'FO-GC-015'!$A:$AL,D$4,0),"")</f>
        <v/>
      </c>
      <c r="E11" s="224" t="str">
        <f t="shared" si="0"/>
        <v/>
      </c>
      <c r="F11" s="198" t="str">
        <f>IFERROR(VLOOKUP($C11,'FO-GC-015'!$A:$AL,F$4,0),"")</f>
        <v/>
      </c>
      <c r="G11" s="198" t="str">
        <f>IFERROR(VLOOKUP($C11,'FO-GC-015'!$A:$AL,G$4,0),"")</f>
        <v/>
      </c>
      <c r="H11" s="198" t="str">
        <f>IFERROR(VLOOKUP($C11,'FO-GC-015'!$A:$AL,H$4,0),"")</f>
        <v/>
      </c>
      <c r="I11" s="198" t="str">
        <f>IFERROR(VLOOKUP($C11,'FO-GC-015'!$A:$AL,I$4,0),"")</f>
        <v/>
      </c>
      <c r="L11" s="537" t="s">
        <v>332</v>
      </c>
      <c r="M11" s="171" t="s">
        <v>333</v>
      </c>
      <c r="N11" s="228" t="s">
        <v>334</v>
      </c>
    </row>
    <row r="12" spans="2:14" ht="40" customHeight="1" x14ac:dyDescent="0.35">
      <c r="B12" s="191">
        <f t="shared" si="1"/>
        <v>8</v>
      </c>
      <c r="C12" s="197" t="str">
        <f t="shared" si="2"/>
        <v/>
      </c>
      <c r="D12" s="206" t="str">
        <f>IFERROR(VLOOKUP($C12,'FO-GC-015'!$A:$AL,D$4,0),"")</f>
        <v/>
      </c>
      <c r="E12" s="224" t="str">
        <f t="shared" si="0"/>
        <v/>
      </c>
      <c r="F12" s="198" t="str">
        <f>IFERROR(VLOOKUP($C12,'FO-GC-015'!$A:$AL,F$4,0),"")</f>
        <v/>
      </c>
      <c r="G12" s="198" t="str">
        <f>IFERROR(VLOOKUP($C12,'FO-GC-015'!$A:$AL,G$4,0),"")</f>
        <v/>
      </c>
      <c r="H12" s="198" t="str">
        <f>IFERROR(VLOOKUP($C12,'FO-GC-015'!$A:$AL,H$4,0),"")</f>
        <v/>
      </c>
      <c r="I12" s="198" t="str">
        <f>IFERROR(VLOOKUP($C12,'FO-GC-015'!$A:$AL,I$4,0),"")</f>
        <v/>
      </c>
      <c r="L12" s="537"/>
      <c r="M12" s="172" t="s">
        <v>335</v>
      </c>
      <c r="N12" s="229" t="s">
        <v>336</v>
      </c>
    </row>
    <row r="13" spans="2:14" ht="40" customHeight="1" x14ac:dyDescent="0.35">
      <c r="B13" s="191">
        <f t="shared" si="1"/>
        <v>9</v>
      </c>
      <c r="C13" s="197" t="str">
        <f t="shared" si="2"/>
        <v/>
      </c>
      <c r="D13" s="206" t="str">
        <f>IFERROR(VLOOKUP($C13,'FO-GC-015'!$A:$AL,D$4,0),"")</f>
        <v/>
      </c>
      <c r="E13" s="224" t="str">
        <f t="shared" si="0"/>
        <v/>
      </c>
      <c r="F13" s="198" t="str">
        <f>IFERROR(VLOOKUP($C13,'FO-GC-015'!$A:$AL,F$4,0),"")</f>
        <v/>
      </c>
      <c r="G13" s="198" t="str">
        <f>IFERROR(VLOOKUP($C13,'FO-GC-015'!$A:$AL,G$4,0),"")</f>
        <v/>
      </c>
      <c r="H13" s="198" t="str">
        <f>IFERROR(VLOOKUP($C13,'FO-GC-015'!$A:$AL,H$4,0),"")</f>
        <v/>
      </c>
      <c r="I13" s="198" t="str">
        <f>IFERROR(VLOOKUP($C13,'FO-GC-015'!$A:$AL,I$4,0),"")</f>
        <v/>
      </c>
      <c r="L13" s="537"/>
      <c r="M13" s="172" t="s">
        <v>337</v>
      </c>
      <c r="N13" s="229" t="s">
        <v>338</v>
      </c>
    </row>
    <row r="14" spans="2:14" ht="40" customHeight="1" x14ac:dyDescent="0.35">
      <c r="B14" s="191">
        <f t="shared" si="1"/>
        <v>10</v>
      </c>
      <c r="C14" s="197" t="str">
        <f t="shared" si="2"/>
        <v/>
      </c>
      <c r="D14" s="206" t="str">
        <f>IFERROR(VLOOKUP($C14,'FO-GC-015'!$A:$AL,D$4,0),"")</f>
        <v/>
      </c>
      <c r="E14" s="224" t="str">
        <f t="shared" si="0"/>
        <v/>
      </c>
      <c r="F14" s="198" t="str">
        <f>IFERROR(VLOOKUP($C14,'FO-GC-015'!$A:$AL,F$4,0),"")</f>
        <v/>
      </c>
      <c r="G14" s="198" t="str">
        <f>IFERROR(VLOOKUP($C14,'FO-GC-015'!$A:$AL,G$4,0),"")</f>
        <v/>
      </c>
      <c r="H14" s="198" t="str">
        <f>IFERROR(VLOOKUP($C14,'FO-GC-015'!$A:$AL,H$4,0),"")</f>
        <v/>
      </c>
      <c r="I14" s="198" t="str">
        <f>IFERROR(VLOOKUP($C14,'FO-GC-015'!$A:$AL,I$4,0),"")</f>
        <v/>
      </c>
      <c r="L14" s="537"/>
      <c r="M14" s="175" t="s">
        <v>339</v>
      </c>
      <c r="N14" s="230" t="s">
        <v>340</v>
      </c>
    </row>
    <row r="15" spans="2:14" ht="40" customHeight="1" x14ac:dyDescent="0.35">
      <c r="B15" s="191">
        <f t="shared" si="1"/>
        <v>11</v>
      </c>
      <c r="C15" s="197" t="str">
        <f t="shared" si="2"/>
        <v/>
      </c>
      <c r="D15" s="206" t="str">
        <f>IFERROR(VLOOKUP($C15,'FO-GC-015'!$A:$AL,D$4,0),"")</f>
        <v/>
      </c>
      <c r="E15" s="224" t="str">
        <f t="shared" si="0"/>
        <v/>
      </c>
      <c r="F15" s="198" t="str">
        <f>IFERROR(VLOOKUP($C15,'FO-GC-015'!$A:$AL,F$4,0),"")</f>
        <v/>
      </c>
      <c r="G15" s="198" t="str">
        <f>IFERROR(VLOOKUP($C15,'FO-GC-015'!$A:$AL,G$4,0),"")</f>
        <v/>
      </c>
      <c r="H15" s="198" t="str">
        <f>IFERROR(VLOOKUP($C15,'FO-GC-015'!$A:$AL,H$4,0),"")</f>
        <v/>
      </c>
      <c r="I15" s="198" t="str">
        <f>IFERROR(VLOOKUP($C15,'FO-GC-015'!$A:$AL,I$4,0),"")</f>
        <v/>
      </c>
    </row>
    <row r="16" spans="2:14" ht="40" customHeight="1" x14ac:dyDescent="0.35">
      <c r="B16" s="191">
        <f t="shared" si="1"/>
        <v>12</v>
      </c>
      <c r="C16" s="197" t="str">
        <f t="shared" si="2"/>
        <v/>
      </c>
      <c r="D16" s="206" t="str">
        <f>IFERROR(VLOOKUP($C16,'FO-GC-015'!$A:$AL,D$4,0),"")</f>
        <v/>
      </c>
      <c r="E16" s="224" t="str">
        <f t="shared" si="0"/>
        <v/>
      </c>
      <c r="F16" s="198" t="str">
        <f>IFERROR(VLOOKUP($C16,'FO-GC-015'!$A:$AL,F$4,0),"")</f>
        <v/>
      </c>
      <c r="G16" s="198" t="str">
        <f>IFERROR(VLOOKUP($C16,'FO-GC-015'!$A:$AL,G$4,0),"")</f>
        <v/>
      </c>
      <c r="H16" s="198" t="str">
        <f>IFERROR(VLOOKUP($C16,'FO-GC-015'!$A:$AL,H$4,0),"")</f>
        <v/>
      </c>
      <c r="I16" s="198" t="str">
        <f>IFERROR(VLOOKUP($C16,'FO-GC-015'!$A:$AL,I$4,0),"")</f>
        <v/>
      </c>
      <c r="L16" s="215"/>
      <c r="M16" s="216" t="s">
        <v>341</v>
      </c>
      <c r="N16" s="217"/>
    </row>
    <row r="17" spans="2:14" ht="40" customHeight="1" x14ac:dyDescent="0.35">
      <c r="B17" s="191">
        <f t="shared" si="1"/>
        <v>13</v>
      </c>
      <c r="C17" s="197" t="str">
        <f t="shared" si="2"/>
        <v/>
      </c>
      <c r="D17" s="206" t="str">
        <f>IFERROR(VLOOKUP($C17,'FO-GC-015'!$A:$AL,D$4,0),"")</f>
        <v/>
      </c>
      <c r="E17" s="224" t="str">
        <f t="shared" si="0"/>
        <v/>
      </c>
      <c r="F17" s="198" t="str">
        <f>IFERROR(VLOOKUP($C17,'FO-GC-015'!$A:$AL,F$4,0),"")</f>
        <v/>
      </c>
      <c r="G17" s="198" t="str">
        <f>IFERROR(VLOOKUP($C17,'FO-GC-015'!$A:$AL,G$4,0),"")</f>
        <v/>
      </c>
      <c r="H17" s="198" t="str">
        <f>IFERROR(VLOOKUP($C17,'FO-GC-015'!$A:$AL,H$4,0),"")</f>
        <v/>
      </c>
      <c r="I17" s="198" t="str">
        <f>IFERROR(VLOOKUP($C17,'FO-GC-015'!$A:$AL,I$4,0),"")</f>
        <v/>
      </c>
      <c r="L17" s="538" t="s">
        <v>342</v>
      </c>
      <c r="M17" s="218" t="s">
        <v>312</v>
      </c>
      <c r="N17" s="219">
        <v>2022</v>
      </c>
    </row>
    <row r="18" spans="2:14" ht="40" customHeight="1" x14ac:dyDescent="0.35">
      <c r="B18" s="191">
        <f t="shared" si="1"/>
        <v>14</v>
      </c>
      <c r="C18" s="197" t="str">
        <f t="shared" si="2"/>
        <v/>
      </c>
      <c r="D18" s="206" t="str">
        <f>IFERROR(VLOOKUP($C18,'FO-GC-015'!$A:$AL,D$4,0),"")</f>
        <v/>
      </c>
      <c r="E18" s="224" t="str">
        <f t="shared" si="0"/>
        <v/>
      </c>
      <c r="F18" s="198" t="str">
        <f>IFERROR(VLOOKUP($C18,'FO-GC-015'!$A:$AL,F$4,0),"")</f>
        <v/>
      </c>
      <c r="G18" s="198" t="str">
        <f>IFERROR(VLOOKUP($C18,'FO-GC-015'!$A:$AL,G$4,0),"")</f>
        <v/>
      </c>
      <c r="H18" s="198" t="str">
        <f>IFERROR(VLOOKUP($C18,'FO-GC-015'!$A:$AL,H$4,0),"")</f>
        <v/>
      </c>
      <c r="I18" s="198" t="str">
        <f>IFERROR(VLOOKUP($C18,'FO-GC-015'!$A:$AL,I$4,0),"")</f>
        <v/>
      </c>
      <c r="L18" s="538"/>
      <c r="M18" s="220" t="s">
        <v>343</v>
      </c>
      <c r="N18" s="221" t="s">
        <v>344</v>
      </c>
    </row>
    <row r="19" spans="2:14" ht="40" customHeight="1" x14ac:dyDescent="0.35">
      <c r="B19" s="191">
        <f t="shared" si="1"/>
        <v>15</v>
      </c>
      <c r="C19" s="197" t="str">
        <f t="shared" si="2"/>
        <v/>
      </c>
      <c r="D19" s="206" t="str">
        <f>IFERROR(VLOOKUP($C19,'FO-GC-015'!$A:$AL,D$4,0),"")</f>
        <v/>
      </c>
      <c r="E19" s="224" t="str">
        <f t="shared" si="0"/>
        <v/>
      </c>
      <c r="F19" s="198" t="str">
        <f>IFERROR(VLOOKUP($C19,'FO-GC-015'!$A:$AL,F$4,0),"")</f>
        <v/>
      </c>
      <c r="G19" s="198" t="str">
        <f>IFERROR(VLOOKUP($C19,'FO-GC-015'!$A:$AL,G$4,0),"")</f>
        <v/>
      </c>
      <c r="H19" s="198" t="str">
        <f>IFERROR(VLOOKUP($C19,'FO-GC-015'!$A:$AL,H$4,0),"")</f>
        <v/>
      </c>
      <c r="I19" s="198" t="str">
        <f>IFERROR(VLOOKUP($C19,'FO-GC-015'!$A:$AL,I$4,0),"")</f>
        <v/>
      </c>
      <c r="L19" s="538"/>
      <c r="M19" s="220" t="s">
        <v>345</v>
      </c>
      <c r="N19" s="221" t="s">
        <v>346</v>
      </c>
    </row>
    <row r="20" spans="2:14" ht="40" customHeight="1" x14ac:dyDescent="0.35">
      <c r="B20" s="191">
        <f t="shared" si="1"/>
        <v>16</v>
      </c>
      <c r="C20" s="197" t="str">
        <f t="shared" si="2"/>
        <v/>
      </c>
      <c r="D20" s="206" t="str">
        <f>IFERROR(VLOOKUP($C20,'FO-GC-015'!$A:$AL,D$4,0),"")</f>
        <v/>
      </c>
      <c r="E20" s="224" t="str">
        <f t="shared" si="0"/>
        <v/>
      </c>
      <c r="F20" s="198" t="str">
        <f>IFERROR(VLOOKUP($C20,'FO-GC-015'!$A:$AL,F$4,0),"")</f>
        <v/>
      </c>
      <c r="G20" s="198" t="str">
        <f>IFERROR(VLOOKUP($C20,'FO-GC-015'!$A:$AL,G$4,0),"")</f>
        <v/>
      </c>
      <c r="H20" s="198" t="str">
        <f>IFERROR(VLOOKUP($C20,'FO-GC-015'!$A:$AL,H$4,0),"")</f>
        <v/>
      </c>
      <c r="I20" s="198" t="str">
        <f>IFERROR(VLOOKUP($C20,'FO-GC-015'!$A:$AL,I$4,0),"")</f>
        <v/>
      </c>
      <c r="L20" s="538"/>
      <c r="M20" s="220" t="s">
        <v>317</v>
      </c>
      <c r="N20" s="221" t="s">
        <v>347</v>
      </c>
    </row>
    <row r="21" spans="2:14" ht="40" customHeight="1" x14ac:dyDescent="0.35">
      <c r="B21" s="191">
        <f t="shared" si="1"/>
        <v>17</v>
      </c>
      <c r="C21" s="197" t="str">
        <f t="shared" si="2"/>
        <v/>
      </c>
      <c r="D21" s="206" t="str">
        <f>IFERROR(VLOOKUP($C21,'FO-GC-015'!$A:$AL,D$4,0),"")</f>
        <v/>
      </c>
      <c r="E21" s="224" t="str">
        <f t="shared" si="0"/>
        <v/>
      </c>
      <c r="F21" s="198" t="str">
        <f>IFERROR(VLOOKUP($C21,'FO-GC-015'!$A:$AL,F$4,0),"")</f>
        <v/>
      </c>
      <c r="G21" s="198" t="str">
        <f>IFERROR(VLOOKUP($C21,'FO-GC-015'!$A:$AL,G$4,0),"")</f>
        <v/>
      </c>
      <c r="H21" s="198" t="str">
        <f>IFERROR(VLOOKUP($C21,'FO-GC-015'!$A:$AL,H$4,0),"")</f>
        <v/>
      </c>
      <c r="I21" s="198" t="str">
        <f>IFERROR(VLOOKUP($C21,'FO-GC-015'!$A:$AL,I$4,0),"")</f>
        <v/>
      </c>
      <c r="L21" s="538"/>
      <c r="M21" s="220" t="s">
        <v>318</v>
      </c>
      <c r="N21" s="221" t="s">
        <v>348</v>
      </c>
    </row>
    <row r="22" spans="2:14" ht="40" customHeight="1" x14ac:dyDescent="0.35">
      <c r="B22" s="191">
        <f t="shared" si="1"/>
        <v>18</v>
      </c>
      <c r="C22" s="197" t="str">
        <f t="shared" si="2"/>
        <v/>
      </c>
      <c r="D22" s="206" t="str">
        <f>IFERROR(VLOOKUP($C22,'FO-GC-015'!$A:$AL,D$4,0),"")</f>
        <v/>
      </c>
      <c r="E22" s="224" t="str">
        <f t="shared" si="0"/>
        <v/>
      </c>
      <c r="F22" s="198" t="str">
        <f>IFERROR(VLOOKUP($C22,'FO-GC-015'!$A:$AL,F$4,0),"")</f>
        <v/>
      </c>
      <c r="G22" s="198" t="str">
        <f>IFERROR(VLOOKUP($C22,'FO-GC-015'!$A:$AL,G$4,0),"")</f>
        <v/>
      </c>
      <c r="H22" s="198" t="str">
        <f>IFERROR(VLOOKUP($C22,'FO-GC-015'!$A:$AL,H$4,0),"")</f>
        <v/>
      </c>
      <c r="I22" s="198" t="str">
        <f>IFERROR(VLOOKUP($C22,'FO-GC-015'!$A:$AL,I$4,0),"")</f>
        <v/>
      </c>
      <c r="L22" s="538"/>
      <c r="M22" s="220" t="s">
        <v>349</v>
      </c>
      <c r="N22" s="221" t="s">
        <v>350</v>
      </c>
    </row>
    <row r="23" spans="2:14" ht="40" customHeight="1" x14ac:dyDescent="0.35">
      <c r="B23" s="191">
        <f t="shared" si="1"/>
        <v>19</v>
      </c>
      <c r="C23" s="197" t="str">
        <f t="shared" si="2"/>
        <v/>
      </c>
      <c r="D23" s="206" t="str">
        <f>IFERROR(VLOOKUP($C23,'FO-GC-015'!$A:$AL,D$4,0),"")</f>
        <v/>
      </c>
      <c r="E23" s="224" t="str">
        <f t="shared" si="0"/>
        <v/>
      </c>
      <c r="F23" s="198" t="str">
        <f>IFERROR(VLOOKUP($C23,'FO-GC-015'!$A:$AL,F$4,0),"")</f>
        <v/>
      </c>
      <c r="G23" s="198" t="str">
        <f>IFERROR(VLOOKUP($C23,'FO-GC-015'!$A:$AL,G$4,0),"")</f>
        <v/>
      </c>
      <c r="H23" s="198" t="str">
        <f>IFERROR(VLOOKUP($C23,'FO-GC-015'!$A:$AL,H$4,0),"")</f>
        <v/>
      </c>
      <c r="I23" s="198" t="str">
        <f>IFERROR(VLOOKUP($C23,'FO-GC-015'!$A:$AL,I$4,0),"")</f>
        <v/>
      </c>
      <c r="L23" s="538"/>
      <c r="M23" s="220" t="s">
        <v>351</v>
      </c>
      <c r="N23" s="221" t="s">
        <v>352</v>
      </c>
    </row>
    <row r="24" spans="2:14" ht="40" customHeight="1" x14ac:dyDescent="0.35">
      <c r="B24" s="191">
        <f t="shared" si="1"/>
        <v>20</v>
      </c>
      <c r="C24" s="197" t="str">
        <f t="shared" si="2"/>
        <v/>
      </c>
      <c r="D24" s="206" t="str">
        <f>IFERROR(VLOOKUP($C24,'FO-GC-015'!$A:$AL,D$4,0),"")</f>
        <v/>
      </c>
      <c r="E24" s="224" t="str">
        <f t="shared" si="0"/>
        <v/>
      </c>
      <c r="F24" s="198" t="str">
        <f>IFERROR(VLOOKUP($C24,'FO-GC-015'!$A:$AL,F$4,0),"")</f>
        <v/>
      </c>
      <c r="G24" s="198" t="str">
        <f>IFERROR(VLOOKUP($C24,'FO-GC-015'!$A:$AL,G$4,0),"")</f>
        <v/>
      </c>
      <c r="H24" s="198" t="str">
        <f>IFERROR(VLOOKUP($C24,'FO-GC-015'!$A:$AL,H$4,0),"")</f>
        <v/>
      </c>
      <c r="I24" s="198" t="str">
        <f>IFERROR(VLOOKUP($C24,'FO-GC-015'!$A:$AL,I$4,0),"")</f>
        <v/>
      </c>
      <c r="L24" s="539"/>
      <c r="M24" s="222" t="s">
        <v>353</v>
      </c>
      <c r="N24" s="223" t="s">
        <v>91</v>
      </c>
    </row>
    <row r="25" spans="2:14" ht="40" customHeight="1" x14ac:dyDescent="0.35">
      <c r="B25" s="191">
        <f t="shared" si="1"/>
        <v>21</v>
      </c>
      <c r="C25" s="197" t="str">
        <f t="shared" si="2"/>
        <v/>
      </c>
      <c r="D25" s="206" t="str">
        <f>IFERROR(VLOOKUP($C25,'FO-GC-015'!$A:$AL,D$4,0),"")</f>
        <v/>
      </c>
      <c r="E25" s="224" t="str">
        <f t="shared" si="0"/>
        <v/>
      </c>
      <c r="F25" s="198" t="str">
        <f>IFERROR(VLOOKUP($C25,'FO-GC-015'!$A:$AL,F$4,0),"")</f>
        <v/>
      </c>
      <c r="G25" s="198" t="str">
        <f>IFERROR(VLOOKUP($C25,'FO-GC-015'!$A:$AL,G$4,0),"")</f>
        <v/>
      </c>
      <c r="H25" s="198" t="str">
        <f>IFERROR(VLOOKUP($C25,'FO-GC-015'!$A:$AL,H$4,0),"")</f>
        <v/>
      </c>
      <c r="I25" s="198" t="str">
        <f>IFERROR(VLOOKUP($C25,'FO-GC-015'!$A:$AL,I$4,0),"")</f>
        <v/>
      </c>
      <c r="L25" s="176"/>
      <c r="M25" s="176"/>
      <c r="N25" s="176"/>
    </row>
    <row r="26" spans="2:14" ht="40" customHeight="1" x14ac:dyDescent="0.35">
      <c r="B26" s="191">
        <f t="shared" si="1"/>
        <v>22</v>
      </c>
      <c r="C26" s="197" t="str">
        <f t="shared" si="2"/>
        <v/>
      </c>
      <c r="D26" s="206" t="str">
        <f>IFERROR(VLOOKUP($C26,'FO-GC-015'!$A:$AL,D$4,0),"")</f>
        <v/>
      </c>
      <c r="E26" s="224" t="str">
        <f t="shared" si="0"/>
        <v/>
      </c>
      <c r="F26" s="198" t="str">
        <f>IFERROR(VLOOKUP($C26,'FO-GC-015'!$A:$AL,F$4,0),"")</f>
        <v/>
      </c>
      <c r="G26" s="198" t="str">
        <f>IFERROR(VLOOKUP($C26,'FO-GC-015'!$A:$AL,G$4,0),"")</f>
        <v/>
      </c>
      <c r="H26" s="198" t="str">
        <f>IFERROR(VLOOKUP($C26,'FO-GC-015'!$A:$AL,H$4,0),"")</f>
        <v/>
      </c>
      <c r="I26" s="198" t="str">
        <f>IFERROR(VLOOKUP($C26,'FO-GC-015'!$A:$AL,I$4,0),"")</f>
        <v/>
      </c>
      <c r="L26" s="540" t="s">
        <v>354</v>
      </c>
      <c r="M26" s="541"/>
      <c r="N26" s="542"/>
    </row>
    <row r="27" spans="2:14" ht="40" customHeight="1" x14ac:dyDescent="0.35">
      <c r="B27" s="191">
        <f t="shared" si="1"/>
        <v>23</v>
      </c>
      <c r="C27" s="197" t="str">
        <f t="shared" si="2"/>
        <v/>
      </c>
      <c r="D27" s="206" t="str">
        <f>IFERROR(VLOOKUP($C27,'FO-GC-015'!$A:$AL,D$4,0),"")</f>
        <v/>
      </c>
      <c r="E27" s="224" t="str">
        <f t="shared" si="0"/>
        <v/>
      </c>
      <c r="F27" s="198" t="str">
        <f>IFERROR(VLOOKUP($C27,'FO-GC-015'!$A:$AL,F$4,0),"")</f>
        <v/>
      </c>
      <c r="G27" s="198" t="str">
        <f>IFERROR(VLOOKUP($C27,'FO-GC-015'!$A:$AL,G$4,0),"")</f>
        <v/>
      </c>
      <c r="H27" s="198" t="str">
        <f>IFERROR(VLOOKUP($C27,'FO-GC-015'!$A:$AL,H$4,0),"")</f>
        <v/>
      </c>
      <c r="I27" s="198" t="str">
        <f>IFERROR(VLOOKUP($C27,'FO-GC-015'!$A:$AL,I$4,0),"")</f>
        <v/>
      </c>
      <c r="L27" s="543" t="e">
        <f>CONCATENATE(N6,N17,N7,N18," al ",N8,N19,N9,N20,N10,"""",N21,""",",N11,N22,N12,N23,N13,N24,N14)</f>
        <v>#N/A</v>
      </c>
      <c r="M27" s="544"/>
      <c r="N27" s="545"/>
    </row>
    <row r="28" spans="2:14" ht="40" customHeight="1" x14ac:dyDescent="0.35">
      <c r="B28" s="191">
        <f t="shared" si="1"/>
        <v>24</v>
      </c>
      <c r="C28" s="197" t="str">
        <f t="shared" si="2"/>
        <v/>
      </c>
      <c r="D28" s="206" t="str">
        <f>IFERROR(VLOOKUP($C28,'FO-GC-015'!$A:$AL,D$4,0),"")</f>
        <v/>
      </c>
      <c r="E28" s="224" t="str">
        <f t="shared" si="0"/>
        <v/>
      </c>
      <c r="F28" s="198" t="str">
        <f>IFERROR(VLOOKUP($C28,'FO-GC-015'!$A:$AL,F$4,0),"")</f>
        <v/>
      </c>
      <c r="G28" s="198" t="str">
        <f>IFERROR(VLOOKUP($C28,'FO-GC-015'!$A:$AL,G$4,0),"")</f>
        <v/>
      </c>
      <c r="H28" s="198" t="str">
        <f>IFERROR(VLOOKUP($C28,'FO-GC-015'!$A:$AL,H$4,0),"")</f>
        <v/>
      </c>
      <c r="I28" s="198" t="str">
        <f>IFERROR(VLOOKUP($C28,'FO-GC-015'!$A:$AL,I$4,0),"")</f>
        <v/>
      </c>
      <c r="L28" s="543"/>
      <c r="M28" s="544"/>
      <c r="N28" s="545"/>
    </row>
    <row r="29" spans="2:14" ht="40" customHeight="1" x14ac:dyDescent="0.35">
      <c r="B29" s="191">
        <f t="shared" si="1"/>
        <v>25</v>
      </c>
      <c r="C29" s="197" t="str">
        <f t="shared" si="2"/>
        <v/>
      </c>
      <c r="D29" s="206" t="str">
        <f>IFERROR(VLOOKUP($C29,'FO-GC-015'!$A:$AL,D$4,0),"")</f>
        <v/>
      </c>
      <c r="E29" s="224" t="str">
        <f t="shared" si="0"/>
        <v/>
      </c>
      <c r="F29" s="198" t="str">
        <f>IFERROR(VLOOKUP($C29,'FO-GC-015'!$A:$AL,F$4,0),"")</f>
        <v/>
      </c>
      <c r="G29" s="198" t="str">
        <f>IFERROR(VLOOKUP($C29,'FO-GC-015'!$A:$AL,G$4,0),"")</f>
        <v/>
      </c>
      <c r="H29" s="198" t="str">
        <f>IFERROR(VLOOKUP($C29,'FO-GC-015'!$A:$AL,H$4,0),"")</f>
        <v/>
      </c>
      <c r="I29" s="198" t="str">
        <f>IFERROR(VLOOKUP($C29,'FO-GC-015'!$A:$AL,I$4,0),"")</f>
        <v/>
      </c>
      <c r="L29" s="543"/>
      <c r="M29" s="544"/>
      <c r="N29" s="545"/>
    </row>
    <row r="30" spans="2:14" ht="40" customHeight="1" x14ac:dyDescent="0.35">
      <c r="B30" s="191">
        <f t="shared" si="1"/>
        <v>26</v>
      </c>
      <c r="C30" s="197" t="str">
        <f t="shared" si="2"/>
        <v/>
      </c>
      <c r="D30" s="206" t="str">
        <f>IFERROR(VLOOKUP($C30,'FO-GC-015'!$A:$AL,D$4,0),"")</f>
        <v/>
      </c>
      <c r="E30" s="224" t="str">
        <f t="shared" si="0"/>
        <v/>
      </c>
      <c r="F30" s="198" t="str">
        <f>IFERROR(VLOOKUP($C30,'FO-GC-015'!$A:$AL,F$4,0),"")</f>
        <v/>
      </c>
      <c r="G30" s="198" t="str">
        <f>IFERROR(VLOOKUP($C30,'FO-GC-015'!$A:$AL,G$4,0),"")</f>
        <v/>
      </c>
      <c r="H30" s="198" t="str">
        <f>IFERROR(VLOOKUP($C30,'FO-GC-015'!$A:$AL,H$4,0),"")</f>
        <v/>
      </c>
      <c r="I30" s="198" t="str">
        <f>IFERROR(VLOOKUP($C30,'FO-GC-015'!$A:$AL,I$4,0),"")</f>
        <v/>
      </c>
      <c r="L30" s="543"/>
      <c r="M30" s="544"/>
      <c r="N30" s="545"/>
    </row>
    <row r="31" spans="2:14" ht="40" customHeight="1" x14ac:dyDescent="0.35">
      <c r="B31" s="191">
        <f t="shared" si="1"/>
        <v>27</v>
      </c>
      <c r="C31" s="197" t="str">
        <f t="shared" si="2"/>
        <v/>
      </c>
      <c r="D31" s="206" t="str">
        <f>IFERROR(VLOOKUP($C31,'FO-GC-015'!$A:$AL,D$4,0),"")</f>
        <v/>
      </c>
      <c r="E31" s="224" t="str">
        <f t="shared" si="0"/>
        <v/>
      </c>
      <c r="F31" s="198" t="str">
        <f>IFERROR(VLOOKUP($C31,'FO-GC-015'!$A:$AL,F$4,0),"")</f>
        <v/>
      </c>
      <c r="G31" s="198" t="str">
        <f>IFERROR(VLOOKUP($C31,'FO-GC-015'!$A:$AL,G$4,0),"")</f>
        <v/>
      </c>
      <c r="H31" s="198" t="str">
        <f>IFERROR(VLOOKUP($C31,'FO-GC-015'!$A:$AL,H$4,0),"")</f>
        <v/>
      </c>
      <c r="I31" s="198" t="str">
        <f>IFERROR(VLOOKUP($C31,'FO-GC-015'!$A:$AL,I$4,0),"")</f>
        <v/>
      </c>
      <c r="L31" s="546"/>
      <c r="M31" s="547"/>
      <c r="N31" s="548"/>
    </row>
    <row r="32" spans="2:14" ht="40" customHeight="1" x14ac:dyDescent="0.35">
      <c r="B32" s="191">
        <f t="shared" si="1"/>
        <v>28</v>
      </c>
      <c r="C32" s="197" t="str">
        <f t="shared" si="2"/>
        <v/>
      </c>
      <c r="D32" s="206" t="str">
        <f>IFERROR(VLOOKUP($C32,'FO-GC-015'!$A:$AL,D$4,0),"")</f>
        <v/>
      </c>
      <c r="E32" s="224" t="str">
        <f t="shared" si="0"/>
        <v/>
      </c>
      <c r="F32" s="198" t="str">
        <f>IFERROR(VLOOKUP($C32,'FO-GC-015'!$A:$AL,F$4,0),"")</f>
        <v/>
      </c>
      <c r="G32" s="198" t="str">
        <f>IFERROR(VLOOKUP($C32,'FO-GC-015'!$A:$AL,G$4,0),"")</f>
        <v/>
      </c>
      <c r="H32" s="198" t="str">
        <f>IFERROR(VLOOKUP($C32,'FO-GC-015'!$A:$AL,H$4,0),"")</f>
        <v/>
      </c>
      <c r="I32" s="198" t="str">
        <f>IFERROR(VLOOKUP($C32,'FO-GC-015'!$A:$AL,I$4,0),"")</f>
        <v/>
      </c>
      <c r="L32" s="177"/>
      <c r="M32" s="177"/>
      <c r="N32" s="177"/>
    </row>
    <row r="33" spans="2:14" ht="40" customHeight="1" x14ac:dyDescent="0.35">
      <c r="B33" s="191">
        <f t="shared" si="1"/>
        <v>29</v>
      </c>
      <c r="C33" s="197" t="str">
        <f t="shared" si="2"/>
        <v/>
      </c>
      <c r="D33" s="206" t="str">
        <f>IFERROR(VLOOKUP($C33,'FO-GC-015'!$A:$AL,D$4,0),"")</f>
        <v/>
      </c>
      <c r="E33" s="224" t="str">
        <f t="shared" si="0"/>
        <v/>
      </c>
      <c r="F33" s="198" t="str">
        <f>IFERROR(VLOOKUP($C33,'FO-GC-015'!$A:$AL,F$4,0),"")</f>
        <v/>
      </c>
      <c r="G33" s="198" t="str">
        <f>IFERROR(VLOOKUP($C33,'FO-GC-015'!$A:$AL,G$4,0),"")</f>
        <v/>
      </c>
      <c r="H33" s="198" t="str">
        <f>IFERROR(VLOOKUP($C33,'FO-GC-015'!$A:$AL,H$4,0),"")</f>
        <v/>
      </c>
      <c r="I33" s="198" t="str">
        <f>IFERROR(VLOOKUP($C33,'FO-GC-015'!$A:$AL,I$4,0),"")</f>
        <v/>
      </c>
      <c r="L33" s="177"/>
      <c r="M33" s="177"/>
      <c r="N33" s="177"/>
    </row>
    <row r="34" spans="2:14" ht="40" customHeight="1" x14ac:dyDescent="0.35">
      <c r="B34" s="191">
        <f t="shared" si="1"/>
        <v>30</v>
      </c>
      <c r="C34" s="197" t="str">
        <f t="shared" si="2"/>
        <v/>
      </c>
      <c r="D34" s="206" t="str">
        <f>IFERROR(VLOOKUP($C34,'FO-GC-015'!$A:$AL,D$4,0),"")</f>
        <v/>
      </c>
      <c r="E34" s="224" t="str">
        <f t="shared" si="0"/>
        <v/>
      </c>
      <c r="F34" s="198" t="str">
        <f>IFERROR(VLOOKUP($C34,'FO-GC-015'!$A:$AL,F$4,0),"")</f>
        <v/>
      </c>
      <c r="G34" s="198" t="str">
        <f>IFERROR(VLOOKUP($C34,'FO-GC-015'!$A:$AL,G$4,0),"")</f>
        <v/>
      </c>
      <c r="H34" s="198" t="str">
        <f>IFERROR(VLOOKUP($C34,'FO-GC-015'!$A:$AL,H$4,0),"")</f>
        <v/>
      </c>
      <c r="I34" s="198" t="str">
        <f>IFERROR(VLOOKUP($C34,'FO-GC-015'!$A:$AL,I$4,0),"")</f>
        <v/>
      </c>
      <c r="L34" s="177"/>
      <c r="M34" s="177"/>
      <c r="N34" s="177"/>
    </row>
    <row r="35" spans="2:14" ht="40" customHeight="1" x14ac:dyDescent="0.35">
      <c r="B35" s="191">
        <f t="shared" si="1"/>
        <v>31</v>
      </c>
      <c r="C35" s="197" t="str">
        <f t="shared" si="2"/>
        <v/>
      </c>
      <c r="D35" s="206" t="str">
        <f>IFERROR(VLOOKUP($C35,'FO-GC-015'!$A:$AL,D$4,0),"")</f>
        <v/>
      </c>
      <c r="E35" s="224" t="str">
        <f t="shared" si="0"/>
        <v/>
      </c>
      <c r="F35" s="198" t="str">
        <f>IFERROR(VLOOKUP($C35,'FO-GC-015'!$A:$AL,F$4,0),"")</f>
        <v/>
      </c>
      <c r="G35" s="198" t="str">
        <f>IFERROR(VLOOKUP($C35,'FO-GC-015'!$A:$AL,G$4,0),"")</f>
        <v/>
      </c>
      <c r="H35" s="198" t="str">
        <f>IFERROR(VLOOKUP($C35,'FO-GC-015'!$A:$AL,H$4,0),"")</f>
        <v/>
      </c>
      <c r="I35" s="198" t="str">
        <f>IFERROR(VLOOKUP($C35,'FO-GC-015'!$A:$AL,I$4,0),"")</f>
        <v/>
      </c>
    </row>
    <row r="36" spans="2:14" ht="40" customHeight="1" x14ac:dyDescent="0.35">
      <c r="B36" s="191">
        <f t="shared" si="1"/>
        <v>32</v>
      </c>
      <c r="C36" s="197" t="str">
        <f t="shared" si="2"/>
        <v/>
      </c>
      <c r="D36" s="206" t="str">
        <f>IFERROR(VLOOKUP($C36,'FO-GC-015'!$A:$AL,D$4,0),"")</f>
        <v/>
      </c>
      <c r="E36" s="224" t="str">
        <f t="shared" si="0"/>
        <v/>
      </c>
      <c r="F36" s="198" t="str">
        <f>IFERROR(VLOOKUP($C36,'FO-GC-015'!$A:$AL,F$4,0),"")</f>
        <v/>
      </c>
      <c r="G36" s="198" t="str">
        <f>IFERROR(VLOOKUP($C36,'FO-GC-015'!$A:$AL,G$4,0),"")</f>
        <v/>
      </c>
      <c r="H36" s="198" t="str">
        <f>IFERROR(VLOOKUP($C36,'FO-GC-015'!$A:$AL,H$4,0),"")</f>
        <v/>
      </c>
      <c r="I36" s="198" t="str">
        <f>IFERROR(VLOOKUP($C36,'FO-GC-015'!$A:$AL,I$4,0),"")</f>
        <v/>
      </c>
    </row>
    <row r="37" spans="2:14" ht="40" customHeight="1" x14ac:dyDescent="0.35">
      <c r="B37" s="191">
        <f t="shared" si="1"/>
        <v>33</v>
      </c>
      <c r="C37" s="197" t="str">
        <f t="shared" si="2"/>
        <v/>
      </c>
      <c r="D37" s="206" t="str">
        <f>IFERROR(VLOOKUP($C37,'FO-GC-015'!$A:$AL,D$4,0),"")</f>
        <v/>
      </c>
      <c r="E37" s="224" t="str">
        <f t="shared" si="0"/>
        <v/>
      </c>
      <c r="F37" s="198" t="str">
        <f>IFERROR(VLOOKUP($C37,'FO-GC-015'!$A:$AL,F$4,0),"")</f>
        <v/>
      </c>
      <c r="G37" s="198" t="str">
        <f>IFERROR(VLOOKUP($C37,'FO-GC-015'!$A:$AL,G$4,0),"")</f>
        <v/>
      </c>
      <c r="H37" s="198" t="str">
        <f>IFERROR(VLOOKUP($C37,'FO-GC-015'!$A:$AL,H$4,0),"")</f>
        <v/>
      </c>
      <c r="I37" s="198" t="str">
        <f>IFERROR(VLOOKUP($C37,'FO-GC-015'!$A:$AL,I$4,0),"")</f>
        <v/>
      </c>
      <c r="L37" s="176"/>
      <c r="M37" s="176"/>
      <c r="N37" s="176"/>
    </row>
    <row r="38" spans="2:14" ht="40" customHeight="1" x14ac:dyDescent="0.35">
      <c r="B38" s="191">
        <f t="shared" si="1"/>
        <v>34</v>
      </c>
      <c r="C38" s="197" t="str">
        <f t="shared" si="2"/>
        <v/>
      </c>
      <c r="D38" s="206" t="str">
        <f>IFERROR(VLOOKUP($C38,'FO-GC-015'!$A:$AL,D$4,0),"")</f>
        <v/>
      </c>
      <c r="E38" s="224" t="str">
        <f t="shared" si="0"/>
        <v/>
      </c>
      <c r="F38" s="198" t="str">
        <f>IFERROR(VLOOKUP($C38,'FO-GC-015'!$A:$AL,F$4,0),"")</f>
        <v/>
      </c>
      <c r="G38" s="198" t="str">
        <f>IFERROR(VLOOKUP($C38,'FO-GC-015'!$A:$AL,G$4,0),"")</f>
        <v/>
      </c>
      <c r="H38" s="198" t="str">
        <f>IFERROR(VLOOKUP($C38,'FO-GC-015'!$A:$AL,H$4,0),"")</f>
        <v/>
      </c>
      <c r="I38" s="198" t="str">
        <f>IFERROR(VLOOKUP($C38,'FO-GC-015'!$A:$AL,I$4,0),"")</f>
        <v/>
      </c>
      <c r="L38" s="176"/>
      <c r="M38" s="176"/>
      <c r="N38" s="176"/>
    </row>
    <row r="39" spans="2:14" x14ac:dyDescent="0.35">
      <c r="L39" s="176"/>
      <c r="M39" s="176"/>
      <c r="N39" s="176"/>
    </row>
    <row r="40" spans="2:14" x14ac:dyDescent="0.35">
      <c r="L40" s="176"/>
      <c r="M40" s="176"/>
      <c r="N40" s="176"/>
    </row>
    <row r="41" spans="2:14" x14ac:dyDescent="0.35">
      <c r="L41" s="176"/>
      <c r="M41" s="176"/>
      <c r="N41" s="176"/>
    </row>
    <row r="42" spans="2:14" x14ac:dyDescent="0.35">
      <c r="L42" s="176"/>
      <c r="M42" s="176"/>
      <c r="N42" s="176"/>
    </row>
  </sheetData>
  <mergeCells count="8">
    <mergeCell ref="C2:D2"/>
    <mergeCell ref="L11:L14"/>
    <mergeCell ref="L17:L24"/>
    <mergeCell ref="L26:N26"/>
    <mergeCell ref="L27:N31"/>
    <mergeCell ref="L5:N5"/>
    <mergeCell ref="M3:N3"/>
    <mergeCell ref="L6:L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N42"/>
  <sheetViews>
    <sheetView workbookViewId="0">
      <selection activeCell="D9" sqref="D9"/>
    </sheetView>
  </sheetViews>
  <sheetFormatPr baseColWidth="10" defaultColWidth="11.453125" defaultRowHeight="12" x14ac:dyDescent="0.35"/>
  <cols>
    <col min="1" max="1" width="1.1796875" style="158" customWidth="1"/>
    <col min="2" max="2" width="4.1796875" style="188" hidden="1" customWidth="1"/>
    <col min="3" max="3" width="5.81640625" style="188" customWidth="1"/>
    <col min="4" max="4" width="9.26953125" style="188" customWidth="1"/>
    <col min="5" max="5" width="82.453125" style="199" customWidth="1"/>
    <col min="6" max="6" width="30" style="178" customWidth="1"/>
    <col min="7" max="8" width="23.1796875" style="178" customWidth="1"/>
    <col min="9" max="9" width="18.26953125" style="178" customWidth="1"/>
    <col min="10" max="10" width="1.54296875" style="158" customWidth="1"/>
    <col min="11" max="11" width="1.81640625" style="158" customWidth="1"/>
    <col min="12" max="12" width="9.7265625" style="158" customWidth="1"/>
    <col min="13" max="13" width="17.1796875" style="158" customWidth="1"/>
    <col min="14" max="14" width="53.81640625" style="158" customWidth="1"/>
    <col min="15" max="16384" width="11.453125" style="158"/>
  </cols>
  <sheetData>
    <row r="1" spans="2:14" ht="15.5" x14ac:dyDescent="0.35">
      <c r="C1" s="227" t="s">
        <v>355</v>
      </c>
      <c r="L1" s="168" t="s">
        <v>310</v>
      </c>
      <c r="M1" s="169" t="str">
        <f>CONCATENATE(DAY('FO-GC-015'!AJ14),"/",MONTH('FO-GC-015'!AJ14),"/",YEAR('FO-GC-015'!AJ14))</f>
        <v>0/1/1900</v>
      </c>
    </row>
    <row r="2" spans="2:14" x14ac:dyDescent="0.35">
      <c r="C2" s="560" t="s">
        <v>311</v>
      </c>
      <c r="D2" s="561"/>
      <c r="E2" s="193">
        <f>COUNTIF('FO-GC-015'!Z:Z,"X")</f>
        <v>0</v>
      </c>
      <c r="F2" s="187"/>
      <c r="G2" s="187"/>
      <c r="H2" s="187"/>
      <c r="I2" s="187"/>
      <c r="L2" s="168" t="s">
        <v>312</v>
      </c>
      <c r="M2" s="168">
        <f>'FO-GC-015'!C12</f>
        <v>0</v>
      </c>
    </row>
    <row r="3" spans="2:14" ht="23.25" customHeight="1" x14ac:dyDescent="0.35">
      <c r="B3" s="192" t="s">
        <v>266</v>
      </c>
      <c r="C3" s="189" t="s">
        <v>313</v>
      </c>
      <c r="D3" s="166" t="s">
        <v>314</v>
      </c>
      <c r="E3" s="200" t="s">
        <v>356</v>
      </c>
      <c r="F3" s="167" t="s">
        <v>316</v>
      </c>
      <c r="G3" s="167" t="s">
        <v>317</v>
      </c>
      <c r="H3" s="167" t="s">
        <v>318</v>
      </c>
      <c r="I3" s="167" t="s">
        <v>319</v>
      </c>
      <c r="L3" s="168" t="s">
        <v>320</v>
      </c>
      <c r="M3" s="550">
        <f>'FO-GC-015'!U11</f>
        <v>0</v>
      </c>
      <c r="N3" s="550"/>
    </row>
    <row r="4" spans="2:14" s="163" customFormat="1" x14ac:dyDescent="0.35">
      <c r="B4" s="192"/>
      <c r="C4" s="194"/>
      <c r="D4" s="195">
        <f>'FO-GC-015'!AA1</f>
        <v>27</v>
      </c>
      <c r="E4" s="201"/>
      <c r="F4" s="196">
        <f>'FO-GC-015'!AC1</f>
        <v>29</v>
      </c>
      <c r="G4" s="196">
        <f>'FO-GC-015'!F1</f>
        <v>6</v>
      </c>
      <c r="H4" s="196">
        <f>'FO-GC-015'!P1</f>
        <v>16</v>
      </c>
      <c r="I4" s="196">
        <f>'FO-GC-015'!C1</f>
        <v>3</v>
      </c>
      <c r="N4" s="158"/>
    </row>
    <row r="5" spans="2:14" ht="40" customHeight="1" x14ac:dyDescent="0.35">
      <c r="B5" s="190">
        <v>1</v>
      </c>
      <c r="C5" s="197" t="str">
        <f>IF(B5&lt;=$E$2,CONCATENATE("Obs-",B5),"")</f>
        <v/>
      </c>
      <c r="D5" s="206" t="str">
        <f>IFERROR(VLOOKUP($C5,'FO-GC-015'!$A:$AL,D$4,0),"")</f>
        <v/>
      </c>
      <c r="E5" s="202" t="str">
        <f>IF(C5="","",CONCATENATE($N$6,$M$2,$N$7,$M$1," al ",$N$8,$M$3,$N$9,G5,$N$10,"""",H5,""",",$N$11,I5,$N$12,F5,$N$13,D5,$N$14))</f>
        <v/>
      </c>
      <c r="F5" s="198" t="str">
        <f>IFERROR(VLOOKUP($C5,'FO-GC-015'!$A:$AL,F$4,0),"")</f>
        <v/>
      </c>
      <c r="G5" s="198" t="str">
        <f>IFERROR(VLOOKUP($C5,'FO-GC-015'!$A:$AL,G$4,0),"")</f>
        <v/>
      </c>
      <c r="H5" s="198" t="str">
        <f>IFERROR(VLOOKUP($C5,'FO-GC-015'!$A:$AL,H$4,0),"")</f>
        <v/>
      </c>
      <c r="I5" s="198" t="str">
        <f>IFERROR(VLOOKUP($C5,'FO-GC-015'!$A:$AL,I$4,0),"")</f>
        <v/>
      </c>
      <c r="L5" s="549" t="s">
        <v>321</v>
      </c>
      <c r="M5" s="549"/>
      <c r="N5" s="549"/>
    </row>
    <row r="6" spans="2:14" ht="40" customHeight="1" x14ac:dyDescent="0.35">
      <c r="B6" s="191">
        <f>B5+1</f>
        <v>2</v>
      </c>
      <c r="C6" s="197" t="str">
        <f t="shared" ref="C6:C38" si="0">IF(B6&lt;=$E$2,CONCATENATE("Obs-",B6),"")</f>
        <v/>
      </c>
      <c r="D6" s="206" t="str">
        <f>IFERROR(VLOOKUP($C6,'FO-GC-015'!$A:$AL,D$4,0),"")</f>
        <v/>
      </c>
      <c r="E6" s="202" t="str">
        <f t="shared" ref="E6:E38" si="1">IF(C6="","",CONCATENATE($N$6,$M$2,$N$7,$M$1," al ",$N$8,$M$3,$N$9,G6,$N$10,"""",H6,""",",$N$11,I6,$N$12,F6,$N$13,D6,$N$14))</f>
        <v/>
      </c>
      <c r="F6" s="198" t="str">
        <f>IFERROR(VLOOKUP($C6,'FO-GC-015'!$A:$AL,F$4,0),"")</f>
        <v/>
      </c>
      <c r="G6" s="198" t="str">
        <f>IFERROR(VLOOKUP($C6,'FO-GC-015'!$A:$AL,G$4,0),"")</f>
        <v/>
      </c>
      <c r="H6" s="198" t="str">
        <f>IFERROR(VLOOKUP($C6,'FO-GC-015'!$A:$AL,H$4,0),"")</f>
        <v/>
      </c>
      <c r="I6" s="198" t="str">
        <f>IFERROR(VLOOKUP($C6,'FO-GC-015'!$A:$AL,I$4,0),"")</f>
        <v/>
      </c>
      <c r="L6" s="537" t="s">
        <v>322</v>
      </c>
      <c r="M6" s="171" t="s">
        <v>323</v>
      </c>
      <c r="N6" s="228" t="s">
        <v>324</v>
      </c>
    </row>
    <row r="7" spans="2:14" ht="40" customHeight="1" x14ac:dyDescent="0.35">
      <c r="B7" s="191">
        <f t="shared" ref="B7:B38" si="2">B6+1</f>
        <v>3</v>
      </c>
      <c r="C7" s="197" t="str">
        <f t="shared" si="0"/>
        <v/>
      </c>
      <c r="D7" s="206" t="str">
        <f>IFERROR(VLOOKUP($C7,'FO-GC-015'!$A:$AL,D$4,0),"")</f>
        <v/>
      </c>
      <c r="E7" s="202" t="str">
        <f t="shared" si="1"/>
        <v/>
      </c>
      <c r="F7" s="198" t="str">
        <f>IFERROR(VLOOKUP($C7,'FO-GC-015'!$A:$AL,F$4,0),"")</f>
        <v/>
      </c>
      <c r="G7" s="198" t="str">
        <f>IFERROR(VLOOKUP($C7,'FO-GC-015'!$A:$AL,G$4,0),"")</f>
        <v/>
      </c>
      <c r="H7" s="198" t="str">
        <f>IFERROR(VLOOKUP($C7,'FO-GC-015'!$A:$AL,H$4,0),"")</f>
        <v/>
      </c>
      <c r="I7" s="198" t="str">
        <f>IFERROR(VLOOKUP($C7,'FO-GC-015'!$A:$AL,I$4,0),"")</f>
        <v/>
      </c>
      <c r="L7" s="537"/>
      <c r="M7" s="172" t="s">
        <v>325</v>
      </c>
      <c r="N7" s="229" t="s">
        <v>326</v>
      </c>
    </row>
    <row r="8" spans="2:14" ht="40" customHeight="1" x14ac:dyDescent="0.35">
      <c r="B8" s="191">
        <f t="shared" si="2"/>
        <v>4</v>
      </c>
      <c r="C8" s="197" t="str">
        <f t="shared" si="0"/>
        <v/>
      </c>
      <c r="D8" s="206" t="str">
        <f>IFERROR(VLOOKUP($C8,'FO-GC-015'!$A:$AL,D$4,0),"")</f>
        <v/>
      </c>
      <c r="E8" s="202" t="str">
        <f t="shared" si="1"/>
        <v/>
      </c>
      <c r="F8" s="198" t="str">
        <f>IFERROR(VLOOKUP($C8,'FO-GC-015'!$A:$AL,F$4,0),"")</f>
        <v/>
      </c>
      <c r="G8" s="198" t="str">
        <f>IFERROR(VLOOKUP($C8,'FO-GC-015'!$A:$AL,G$4,0),"")</f>
        <v/>
      </c>
      <c r="H8" s="198" t="str">
        <f>IFERROR(VLOOKUP($C8,'FO-GC-015'!$A:$AL,H$4,0),"")</f>
        <v/>
      </c>
      <c r="I8" s="198" t="str">
        <f>IFERROR(VLOOKUP($C8,'FO-GC-015'!$A:$AL,I$4,0),"")</f>
        <v/>
      </c>
      <c r="L8" s="537"/>
      <c r="M8" s="173" t="s">
        <v>327</v>
      </c>
      <c r="N8" s="174" t="e">
        <f>CONCATENATE(VLOOKUP(M3,Listas!C:F,4,0)," ")</f>
        <v>#N/A</v>
      </c>
    </row>
    <row r="9" spans="2:14" ht="40" customHeight="1" x14ac:dyDescent="0.35">
      <c r="B9" s="191">
        <f t="shared" si="2"/>
        <v>5</v>
      </c>
      <c r="C9" s="197" t="str">
        <f t="shared" si="0"/>
        <v/>
      </c>
      <c r="D9" s="206" t="str">
        <f>IFERROR(VLOOKUP($C9,'FO-GC-015'!$A:$AL,D$4,0),"")</f>
        <v/>
      </c>
      <c r="E9" s="202" t="str">
        <f t="shared" si="1"/>
        <v/>
      </c>
      <c r="F9" s="198" t="str">
        <f>IFERROR(VLOOKUP($C9,'FO-GC-015'!$A:$AL,F$4,0),"")</f>
        <v/>
      </c>
      <c r="G9" s="198" t="str">
        <f>IFERROR(VLOOKUP($C9,'FO-GC-015'!$A:$AL,G$4,0),"")</f>
        <v/>
      </c>
      <c r="H9" s="198" t="str">
        <f>IFERROR(VLOOKUP($C9,'FO-GC-015'!$A:$AL,H$4,0),"")</f>
        <v/>
      </c>
      <c r="I9" s="198" t="str">
        <f>IFERROR(VLOOKUP($C9,'FO-GC-015'!$A:$AL,I$4,0),"")</f>
        <v/>
      </c>
      <c r="L9" s="537"/>
      <c r="M9" s="172" t="s">
        <v>328</v>
      </c>
      <c r="N9" s="229" t="s">
        <v>329</v>
      </c>
    </row>
    <row r="10" spans="2:14" ht="40" customHeight="1" x14ac:dyDescent="0.35">
      <c r="B10" s="191">
        <f t="shared" si="2"/>
        <v>6</v>
      </c>
      <c r="C10" s="197" t="str">
        <f t="shared" si="0"/>
        <v/>
      </c>
      <c r="D10" s="206" t="str">
        <f>IFERROR(VLOOKUP($C10,'FO-GC-015'!$A:$AL,D$4,0),"")</f>
        <v/>
      </c>
      <c r="E10" s="202" t="str">
        <f t="shared" si="1"/>
        <v/>
      </c>
      <c r="F10" s="198" t="str">
        <f>IFERROR(VLOOKUP($C10,'FO-GC-015'!$A:$AL,F$4,0),"")</f>
        <v/>
      </c>
      <c r="G10" s="198" t="str">
        <f>IFERROR(VLOOKUP($C10,'FO-GC-015'!$A:$AL,G$4,0),"")</f>
        <v/>
      </c>
      <c r="H10" s="198" t="str">
        <f>IFERROR(VLOOKUP($C10,'FO-GC-015'!$A:$AL,H$4,0),"")</f>
        <v/>
      </c>
      <c r="I10" s="198" t="str">
        <f>IFERROR(VLOOKUP($C10,'FO-GC-015'!$A:$AL,I$4,0),"")</f>
        <v/>
      </c>
      <c r="L10" s="537"/>
      <c r="M10" s="175" t="s">
        <v>330</v>
      </c>
      <c r="N10" s="230" t="s">
        <v>331</v>
      </c>
    </row>
    <row r="11" spans="2:14" ht="40" customHeight="1" x14ac:dyDescent="0.35">
      <c r="B11" s="191">
        <f t="shared" si="2"/>
        <v>7</v>
      </c>
      <c r="C11" s="197" t="str">
        <f t="shared" si="0"/>
        <v/>
      </c>
      <c r="D11" s="206" t="str">
        <f>IFERROR(VLOOKUP($C11,'FO-GC-015'!$A:$AL,D$4,0),"")</f>
        <v/>
      </c>
      <c r="E11" s="202" t="str">
        <f t="shared" si="1"/>
        <v/>
      </c>
      <c r="F11" s="198" t="str">
        <f>IFERROR(VLOOKUP($C11,'FO-GC-015'!$A:$AL,F$4,0),"")</f>
        <v/>
      </c>
      <c r="G11" s="198" t="str">
        <f>IFERROR(VLOOKUP($C11,'FO-GC-015'!$A:$AL,G$4,0),"")</f>
        <v/>
      </c>
      <c r="H11" s="198" t="str">
        <f>IFERROR(VLOOKUP($C11,'FO-GC-015'!$A:$AL,H$4,0),"")</f>
        <v/>
      </c>
      <c r="I11" s="198" t="str">
        <f>IFERROR(VLOOKUP($C11,'FO-GC-015'!$A:$AL,I$4,0),"")</f>
        <v/>
      </c>
      <c r="L11" s="537" t="s">
        <v>332</v>
      </c>
      <c r="M11" s="171" t="s">
        <v>333</v>
      </c>
      <c r="N11" s="228" t="s">
        <v>357</v>
      </c>
    </row>
    <row r="12" spans="2:14" ht="40" customHeight="1" x14ac:dyDescent="0.35">
      <c r="B12" s="191">
        <f t="shared" si="2"/>
        <v>8</v>
      </c>
      <c r="C12" s="197" t="str">
        <f t="shared" si="0"/>
        <v/>
      </c>
      <c r="D12" s="206" t="str">
        <f>IFERROR(VLOOKUP($C12,'FO-GC-015'!$A:$AL,D$4,0),"")</f>
        <v/>
      </c>
      <c r="E12" s="202" t="str">
        <f t="shared" si="1"/>
        <v/>
      </c>
      <c r="F12" s="198" t="str">
        <f>IFERROR(VLOOKUP($C12,'FO-GC-015'!$A:$AL,F$4,0),"")</f>
        <v/>
      </c>
      <c r="G12" s="198" t="str">
        <f>IFERROR(VLOOKUP($C12,'FO-GC-015'!$A:$AL,G$4,0),"")</f>
        <v/>
      </c>
      <c r="H12" s="198" t="str">
        <f>IFERROR(VLOOKUP($C12,'FO-GC-015'!$A:$AL,H$4,0),"")</f>
        <v/>
      </c>
      <c r="I12" s="198" t="str">
        <f>IFERROR(VLOOKUP($C12,'FO-GC-015'!$A:$AL,I$4,0),"")</f>
        <v/>
      </c>
      <c r="L12" s="537"/>
      <c r="M12" s="172" t="s">
        <v>335</v>
      </c>
      <c r="N12" s="229" t="s">
        <v>336</v>
      </c>
    </row>
    <row r="13" spans="2:14" ht="40" customHeight="1" x14ac:dyDescent="0.35">
      <c r="B13" s="191">
        <f t="shared" si="2"/>
        <v>9</v>
      </c>
      <c r="C13" s="197" t="str">
        <f t="shared" si="0"/>
        <v/>
      </c>
      <c r="D13" s="206" t="str">
        <f>IFERROR(VLOOKUP($C13,'FO-GC-015'!$A:$AL,D$4,0),"")</f>
        <v/>
      </c>
      <c r="E13" s="202" t="str">
        <f t="shared" si="1"/>
        <v/>
      </c>
      <c r="F13" s="198" t="str">
        <f>IFERROR(VLOOKUP($C13,'FO-GC-015'!$A:$AL,F$4,0),"")</f>
        <v/>
      </c>
      <c r="G13" s="198" t="str">
        <f>IFERROR(VLOOKUP($C13,'FO-GC-015'!$A:$AL,G$4,0),"")</f>
        <v/>
      </c>
      <c r="H13" s="198" t="str">
        <f>IFERROR(VLOOKUP($C13,'FO-GC-015'!$A:$AL,H$4,0),"")</f>
        <v/>
      </c>
      <c r="I13" s="198" t="str">
        <f>IFERROR(VLOOKUP($C13,'FO-GC-015'!$A:$AL,I$4,0),"")</f>
        <v/>
      </c>
      <c r="L13" s="537"/>
      <c r="M13" s="172" t="s">
        <v>337</v>
      </c>
      <c r="N13" s="229" t="s">
        <v>358</v>
      </c>
    </row>
    <row r="14" spans="2:14" ht="40" customHeight="1" x14ac:dyDescent="0.35">
      <c r="B14" s="191">
        <f t="shared" si="2"/>
        <v>10</v>
      </c>
      <c r="C14" s="197" t="str">
        <f t="shared" si="0"/>
        <v/>
      </c>
      <c r="D14" s="206" t="str">
        <f>IFERROR(VLOOKUP($C14,'FO-GC-015'!$A:$AL,D$4,0),"")</f>
        <v/>
      </c>
      <c r="E14" s="202" t="str">
        <f t="shared" si="1"/>
        <v/>
      </c>
      <c r="F14" s="198" t="str">
        <f>IFERROR(VLOOKUP($C14,'FO-GC-015'!$A:$AL,F$4,0),"")</f>
        <v/>
      </c>
      <c r="G14" s="198" t="str">
        <f>IFERROR(VLOOKUP($C14,'FO-GC-015'!$A:$AL,G$4,0),"")</f>
        <v/>
      </c>
      <c r="H14" s="198" t="str">
        <f>IFERROR(VLOOKUP($C14,'FO-GC-015'!$A:$AL,H$4,0),"")</f>
        <v/>
      </c>
      <c r="I14" s="198" t="str">
        <f>IFERROR(VLOOKUP($C14,'FO-GC-015'!$A:$AL,I$4,0),"")</f>
        <v/>
      </c>
      <c r="L14" s="537"/>
      <c r="M14" s="175" t="s">
        <v>339</v>
      </c>
      <c r="N14" s="230" t="s">
        <v>340</v>
      </c>
    </row>
    <row r="15" spans="2:14" ht="40" customHeight="1" x14ac:dyDescent="0.35">
      <c r="B15" s="191">
        <f t="shared" si="2"/>
        <v>11</v>
      </c>
      <c r="C15" s="197" t="str">
        <f t="shared" si="0"/>
        <v/>
      </c>
      <c r="D15" s="206" t="str">
        <f>IFERROR(VLOOKUP($C15,'FO-GC-015'!$A:$AL,D$4,0),"")</f>
        <v/>
      </c>
      <c r="E15" s="202" t="str">
        <f t="shared" si="1"/>
        <v/>
      </c>
      <c r="F15" s="198" t="str">
        <f>IFERROR(VLOOKUP($C15,'FO-GC-015'!$A:$AL,F$4,0),"")</f>
        <v/>
      </c>
      <c r="G15" s="198" t="str">
        <f>IFERROR(VLOOKUP($C15,'FO-GC-015'!$A:$AL,G$4,0),"")</f>
        <v/>
      </c>
      <c r="H15" s="198" t="str">
        <f>IFERROR(VLOOKUP($C15,'FO-GC-015'!$A:$AL,H$4,0),"")</f>
        <v/>
      </c>
      <c r="I15" s="198" t="str">
        <f>IFERROR(VLOOKUP($C15,'FO-GC-015'!$A:$AL,I$4,0),"")</f>
        <v/>
      </c>
    </row>
    <row r="16" spans="2:14" ht="40" customHeight="1" x14ac:dyDescent="0.35">
      <c r="B16" s="191">
        <f t="shared" si="2"/>
        <v>12</v>
      </c>
      <c r="C16" s="197" t="str">
        <f t="shared" si="0"/>
        <v/>
      </c>
      <c r="D16" s="206" t="str">
        <f>IFERROR(VLOOKUP($C16,'FO-GC-015'!$A:$AL,D$4,0),"")</f>
        <v/>
      </c>
      <c r="E16" s="202" t="str">
        <f t="shared" si="1"/>
        <v/>
      </c>
      <c r="F16" s="198" t="str">
        <f>IFERROR(VLOOKUP($C16,'FO-GC-015'!$A:$AL,F$4,0),"")</f>
        <v/>
      </c>
      <c r="G16" s="198" t="str">
        <f>IFERROR(VLOOKUP($C16,'FO-GC-015'!$A:$AL,G$4,0),"")</f>
        <v/>
      </c>
      <c r="H16" s="198" t="str">
        <f>IFERROR(VLOOKUP($C16,'FO-GC-015'!$A:$AL,H$4,0),"")</f>
        <v/>
      </c>
      <c r="I16" s="198" t="str">
        <f>IFERROR(VLOOKUP($C16,'FO-GC-015'!$A:$AL,I$4,0),"")</f>
        <v/>
      </c>
      <c r="L16" s="181"/>
      <c r="M16" s="203" t="s">
        <v>341</v>
      </c>
      <c r="N16" s="182"/>
    </row>
    <row r="17" spans="2:14" ht="40" customHeight="1" x14ac:dyDescent="0.35">
      <c r="B17" s="191">
        <f t="shared" si="2"/>
        <v>13</v>
      </c>
      <c r="C17" s="197" t="str">
        <f t="shared" si="0"/>
        <v/>
      </c>
      <c r="D17" s="206" t="str">
        <f>IFERROR(VLOOKUP($C17,'FO-GC-015'!$A:$AL,D$4,0),"")</f>
        <v/>
      </c>
      <c r="E17" s="202" t="str">
        <f t="shared" si="1"/>
        <v/>
      </c>
      <c r="F17" s="198" t="str">
        <f>IFERROR(VLOOKUP($C17,'FO-GC-015'!$A:$AL,F$4,0),"")</f>
        <v/>
      </c>
      <c r="G17" s="198" t="str">
        <f>IFERROR(VLOOKUP($C17,'FO-GC-015'!$A:$AL,G$4,0),"")</f>
        <v/>
      </c>
      <c r="H17" s="198" t="str">
        <f>IFERROR(VLOOKUP($C17,'FO-GC-015'!$A:$AL,H$4,0),"")</f>
        <v/>
      </c>
      <c r="I17" s="198" t="str">
        <f>IFERROR(VLOOKUP($C17,'FO-GC-015'!$A:$AL,I$4,0),"")</f>
        <v/>
      </c>
      <c r="L17" s="562" t="s">
        <v>342</v>
      </c>
      <c r="M17" s="179" t="s">
        <v>312</v>
      </c>
      <c r="N17" s="183">
        <v>2022</v>
      </c>
    </row>
    <row r="18" spans="2:14" ht="40" customHeight="1" x14ac:dyDescent="0.35">
      <c r="B18" s="191">
        <f t="shared" si="2"/>
        <v>14</v>
      </c>
      <c r="C18" s="197" t="str">
        <f t="shared" si="0"/>
        <v/>
      </c>
      <c r="D18" s="206" t="str">
        <f>IFERROR(VLOOKUP($C18,'FO-GC-015'!$A:$AL,D$4,0),"")</f>
        <v/>
      </c>
      <c r="E18" s="202" t="str">
        <f t="shared" si="1"/>
        <v/>
      </c>
      <c r="F18" s="198" t="str">
        <f>IFERROR(VLOOKUP($C18,'FO-GC-015'!$A:$AL,F$4,0),"")</f>
        <v/>
      </c>
      <c r="G18" s="198" t="str">
        <f>IFERROR(VLOOKUP($C18,'FO-GC-015'!$A:$AL,G$4,0),"")</f>
        <v/>
      </c>
      <c r="H18" s="198" t="str">
        <f>IFERROR(VLOOKUP($C18,'FO-GC-015'!$A:$AL,H$4,0),"")</f>
        <v/>
      </c>
      <c r="I18" s="198" t="str">
        <f>IFERROR(VLOOKUP($C18,'FO-GC-015'!$A:$AL,I$4,0),"")</f>
        <v/>
      </c>
      <c r="L18" s="562"/>
      <c r="M18" s="180" t="s">
        <v>343</v>
      </c>
      <c r="N18" s="184" t="s">
        <v>344</v>
      </c>
    </row>
    <row r="19" spans="2:14" ht="40" customHeight="1" x14ac:dyDescent="0.35">
      <c r="B19" s="191">
        <f t="shared" si="2"/>
        <v>15</v>
      </c>
      <c r="C19" s="197" t="str">
        <f t="shared" si="0"/>
        <v/>
      </c>
      <c r="D19" s="206" t="str">
        <f>IFERROR(VLOOKUP($C19,'FO-GC-015'!$A:$AL,D$4,0),"")</f>
        <v/>
      </c>
      <c r="E19" s="202" t="str">
        <f t="shared" si="1"/>
        <v/>
      </c>
      <c r="F19" s="198" t="str">
        <f>IFERROR(VLOOKUP($C19,'FO-GC-015'!$A:$AL,F$4,0),"")</f>
        <v/>
      </c>
      <c r="G19" s="198" t="str">
        <f>IFERROR(VLOOKUP($C19,'FO-GC-015'!$A:$AL,G$4,0),"")</f>
        <v/>
      </c>
      <c r="H19" s="198" t="str">
        <f>IFERROR(VLOOKUP($C19,'FO-GC-015'!$A:$AL,H$4,0),"")</f>
        <v/>
      </c>
      <c r="I19" s="198" t="str">
        <f>IFERROR(VLOOKUP($C19,'FO-GC-015'!$A:$AL,I$4,0),"")</f>
        <v/>
      </c>
      <c r="L19" s="562"/>
      <c r="M19" s="180" t="s">
        <v>345</v>
      </c>
      <c r="N19" s="184" t="s">
        <v>346</v>
      </c>
    </row>
    <row r="20" spans="2:14" ht="40" customHeight="1" x14ac:dyDescent="0.35">
      <c r="B20" s="191">
        <f t="shared" si="2"/>
        <v>16</v>
      </c>
      <c r="C20" s="197" t="str">
        <f t="shared" si="0"/>
        <v/>
      </c>
      <c r="D20" s="206" t="str">
        <f>IFERROR(VLOOKUP($C20,'FO-GC-015'!$A:$AL,D$4,0),"")</f>
        <v/>
      </c>
      <c r="E20" s="202" t="str">
        <f t="shared" si="1"/>
        <v/>
      </c>
      <c r="F20" s="198" t="str">
        <f>IFERROR(VLOOKUP($C20,'FO-GC-015'!$A:$AL,F$4,0),"")</f>
        <v/>
      </c>
      <c r="G20" s="198" t="str">
        <f>IFERROR(VLOOKUP($C20,'FO-GC-015'!$A:$AL,G$4,0),"")</f>
        <v/>
      </c>
      <c r="H20" s="198" t="str">
        <f>IFERROR(VLOOKUP($C20,'FO-GC-015'!$A:$AL,H$4,0),"")</f>
        <v/>
      </c>
      <c r="I20" s="198" t="str">
        <f>IFERROR(VLOOKUP($C20,'FO-GC-015'!$A:$AL,I$4,0),"")</f>
        <v/>
      </c>
      <c r="L20" s="562"/>
      <c r="M20" s="180" t="s">
        <v>317</v>
      </c>
      <c r="N20" s="184" t="s">
        <v>347</v>
      </c>
    </row>
    <row r="21" spans="2:14" ht="40" customHeight="1" x14ac:dyDescent="0.35">
      <c r="B21" s="191">
        <f t="shared" si="2"/>
        <v>17</v>
      </c>
      <c r="C21" s="197" t="str">
        <f t="shared" si="0"/>
        <v/>
      </c>
      <c r="D21" s="206" t="str">
        <f>IFERROR(VLOOKUP($C21,'FO-GC-015'!$A:$AL,D$4,0),"")</f>
        <v/>
      </c>
      <c r="E21" s="202" t="str">
        <f t="shared" si="1"/>
        <v/>
      </c>
      <c r="F21" s="198" t="str">
        <f>IFERROR(VLOOKUP($C21,'FO-GC-015'!$A:$AL,F$4,0),"")</f>
        <v/>
      </c>
      <c r="G21" s="198" t="str">
        <f>IFERROR(VLOOKUP($C21,'FO-GC-015'!$A:$AL,G$4,0),"")</f>
        <v/>
      </c>
      <c r="H21" s="198" t="str">
        <f>IFERROR(VLOOKUP($C21,'FO-GC-015'!$A:$AL,H$4,0),"")</f>
        <v/>
      </c>
      <c r="I21" s="198" t="str">
        <f>IFERROR(VLOOKUP($C21,'FO-GC-015'!$A:$AL,I$4,0),"")</f>
        <v/>
      </c>
      <c r="L21" s="562"/>
      <c r="M21" s="180" t="s">
        <v>318</v>
      </c>
      <c r="N21" s="184" t="s">
        <v>348</v>
      </c>
    </row>
    <row r="22" spans="2:14" ht="40" customHeight="1" x14ac:dyDescent="0.35">
      <c r="B22" s="191">
        <f t="shared" si="2"/>
        <v>18</v>
      </c>
      <c r="C22" s="197" t="str">
        <f t="shared" si="0"/>
        <v/>
      </c>
      <c r="D22" s="206" t="str">
        <f>IFERROR(VLOOKUP($C22,'FO-GC-015'!$A:$AL,D$4,0),"")</f>
        <v/>
      </c>
      <c r="E22" s="202" t="str">
        <f t="shared" si="1"/>
        <v/>
      </c>
      <c r="F22" s="198" t="str">
        <f>IFERROR(VLOOKUP($C22,'FO-GC-015'!$A:$AL,F$4,0),"")</f>
        <v/>
      </c>
      <c r="G22" s="198" t="str">
        <f>IFERROR(VLOOKUP($C22,'FO-GC-015'!$A:$AL,G$4,0),"")</f>
        <v/>
      </c>
      <c r="H22" s="198" t="str">
        <f>IFERROR(VLOOKUP($C22,'FO-GC-015'!$A:$AL,H$4,0),"")</f>
        <v/>
      </c>
      <c r="I22" s="198" t="str">
        <f>IFERROR(VLOOKUP($C22,'FO-GC-015'!$A:$AL,I$4,0),"")</f>
        <v/>
      </c>
      <c r="L22" s="562"/>
      <c r="M22" s="180" t="s">
        <v>349</v>
      </c>
      <c r="N22" s="184" t="s">
        <v>350</v>
      </c>
    </row>
    <row r="23" spans="2:14" ht="40" customHeight="1" x14ac:dyDescent="0.35">
      <c r="B23" s="191">
        <f t="shared" si="2"/>
        <v>19</v>
      </c>
      <c r="C23" s="197" t="str">
        <f t="shared" si="0"/>
        <v/>
      </c>
      <c r="D23" s="206" t="str">
        <f>IFERROR(VLOOKUP($C23,'FO-GC-015'!$A:$AL,D$4,0),"")</f>
        <v/>
      </c>
      <c r="E23" s="202" t="str">
        <f t="shared" si="1"/>
        <v/>
      </c>
      <c r="F23" s="198" t="str">
        <f>IFERROR(VLOOKUP($C23,'FO-GC-015'!$A:$AL,F$4,0),"")</f>
        <v/>
      </c>
      <c r="G23" s="198" t="str">
        <f>IFERROR(VLOOKUP($C23,'FO-GC-015'!$A:$AL,G$4,0),"")</f>
        <v/>
      </c>
      <c r="H23" s="198" t="str">
        <f>IFERROR(VLOOKUP($C23,'FO-GC-015'!$A:$AL,H$4,0),"")</f>
        <v/>
      </c>
      <c r="I23" s="198" t="str">
        <f>IFERROR(VLOOKUP($C23,'FO-GC-015'!$A:$AL,I$4,0),"")</f>
        <v/>
      </c>
      <c r="L23" s="562"/>
      <c r="M23" s="180" t="s">
        <v>351</v>
      </c>
      <c r="N23" s="184" t="s">
        <v>352</v>
      </c>
    </row>
    <row r="24" spans="2:14" ht="40" customHeight="1" x14ac:dyDescent="0.35">
      <c r="B24" s="191">
        <f t="shared" si="2"/>
        <v>20</v>
      </c>
      <c r="C24" s="197" t="str">
        <f t="shared" si="0"/>
        <v/>
      </c>
      <c r="D24" s="206" t="str">
        <f>IFERROR(VLOOKUP($C24,'FO-GC-015'!$A:$AL,D$4,0),"")</f>
        <v/>
      </c>
      <c r="E24" s="202" t="str">
        <f t="shared" si="1"/>
        <v/>
      </c>
      <c r="F24" s="198" t="str">
        <f>IFERROR(VLOOKUP($C24,'FO-GC-015'!$A:$AL,F$4,0),"")</f>
        <v/>
      </c>
      <c r="G24" s="198" t="str">
        <f>IFERROR(VLOOKUP($C24,'FO-GC-015'!$A:$AL,G$4,0),"")</f>
        <v/>
      </c>
      <c r="H24" s="198" t="str">
        <f>IFERROR(VLOOKUP($C24,'FO-GC-015'!$A:$AL,H$4,0),"")</f>
        <v/>
      </c>
      <c r="I24" s="198" t="str">
        <f>IFERROR(VLOOKUP($C24,'FO-GC-015'!$A:$AL,I$4,0),"")</f>
        <v/>
      </c>
      <c r="L24" s="563"/>
      <c r="M24" s="185" t="s">
        <v>353</v>
      </c>
      <c r="N24" s="186" t="s">
        <v>91</v>
      </c>
    </row>
    <row r="25" spans="2:14" ht="40" customHeight="1" x14ac:dyDescent="0.35">
      <c r="B25" s="191">
        <f t="shared" si="2"/>
        <v>21</v>
      </c>
      <c r="C25" s="197" t="str">
        <f t="shared" si="0"/>
        <v/>
      </c>
      <c r="D25" s="206" t="str">
        <f>IFERROR(VLOOKUP($C25,'FO-GC-015'!$A:$AL,D$4,0),"")</f>
        <v/>
      </c>
      <c r="E25" s="202" t="str">
        <f t="shared" si="1"/>
        <v/>
      </c>
      <c r="F25" s="198" t="str">
        <f>IFERROR(VLOOKUP($C25,'FO-GC-015'!$A:$AL,F$4,0),"")</f>
        <v/>
      </c>
      <c r="G25" s="198" t="str">
        <f>IFERROR(VLOOKUP($C25,'FO-GC-015'!$A:$AL,G$4,0),"")</f>
        <v/>
      </c>
      <c r="H25" s="198" t="str">
        <f>IFERROR(VLOOKUP($C25,'FO-GC-015'!$A:$AL,H$4,0),"")</f>
        <v/>
      </c>
      <c r="I25" s="198" t="str">
        <f>IFERROR(VLOOKUP($C25,'FO-GC-015'!$A:$AL,I$4,0),"")</f>
        <v/>
      </c>
      <c r="L25" s="176"/>
      <c r="M25" s="176"/>
      <c r="N25" s="176"/>
    </row>
    <row r="26" spans="2:14" ht="40" customHeight="1" x14ac:dyDescent="0.35">
      <c r="B26" s="191">
        <f t="shared" si="2"/>
        <v>22</v>
      </c>
      <c r="C26" s="197" t="str">
        <f t="shared" si="0"/>
        <v/>
      </c>
      <c r="D26" s="206" t="str">
        <f>IFERROR(VLOOKUP($C26,'FO-GC-015'!$A:$AL,D$4,0),"")</f>
        <v/>
      </c>
      <c r="E26" s="202" t="str">
        <f t="shared" si="1"/>
        <v/>
      </c>
      <c r="F26" s="198" t="str">
        <f>IFERROR(VLOOKUP($C26,'FO-GC-015'!$A:$AL,F$4,0),"")</f>
        <v/>
      </c>
      <c r="G26" s="198" t="str">
        <f>IFERROR(VLOOKUP($C26,'FO-GC-015'!$A:$AL,G$4,0),"")</f>
        <v/>
      </c>
      <c r="H26" s="198" t="str">
        <f>IFERROR(VLOOKUP($C26,'FO-GC-015'!$A:$AL,H$4,0),"")</f>
        <v/>
      </c>
      <c r="I26" s="198" t="str">
        <f>IFERROR(VLOOKUP($C26,'FO-GC-015'!$A:$AL,I$4,0),"")</f>
        <v/>
      </c>
      <c r="L26" s="551" t="s">
        <v>354</v>
      </c>
      <c r="M26" s="552"/>
      <c r="N26" s="553"/>
    </row>
    <row r="27" spans="2:14" ht="40" customHeight="1" x14ac:dyDescent="0.35">
      <c r="B27" s="191">
        <f t="shared" si="2"/>
        <v>23</v>
      </c>
      <c r="C27" s="197" t="str">
        <f t="shared" si="0"/>
        <v/>
      </c>
      <c r="D27" s="206" t="str">
        <f>IFERROR(VLOOKUP($C27,'FO-GC-015'!$A:$AL,D$4,0),"")</f>
        <v/>
      </c>
      <c r="E27" s="202" t="str">
        <f t="shared" si="1"/>
        <v/>
      </c>
      <c r="F27" s="198" t="str">
        <f>IFERROR(VLOOKUP($C27,'FO-GC-015'!$A:$AL,F$4,0),"")</f>
        <v/>
      </c>
      <c r="G27" s="198" t="str">
        <f>IFERROR(VLOOKUP($C27,'FO-GC-015'!$A:$AL,G$4,0),"")</f>
        <v/>
      </c>
      <c r="H27" s="198" t="str">
        <f>IFERROR(VLOOKUP($C27,'FO-GC-015'!$A:$AL,H$4,0),"")</f>
        <v/>
      </c>
      <c r="I27" s="198" t="str">
        <f>IFERROR(VLOOKUP($C27,'FO-GC-015'!$A:$AL,I$4,0),"")</f>
        <v/>
      </c>
      <c r="L27" s="554" t="e">
        <f>CONCATENATE(N6,N17,N7,N18," al ",N8,N19,N9,N20,N10,"""",N21,""",",N11,N22,N12,N23,N13,N24,N14)</f>
        <v>#N/A</v>
      </c>
      <c r="M27" s="555"/>
      <c r="N27" s="556"/>
    </row>
    <row r="28" spans="2:14" ht="40" customHeight="1" x14ac:dyDescent="0.35">
      <c r="B28" s="191">
        <f t="shared" si="2"/>
        <v>24</v>
      </c>
      <c r="C28" s="197" t="str">
        <f t="shared" si="0"/>
        <v/>
      </c>
      <c r="D28" s="206" t="str">
        <f>IFERROR(VLOOKUP($C28,'FO-GC-015'!$A:$AL,D$4,0),"")</f>
        <v/>
      </c>
      <c r="E28" s="202" t="str">
        <f t="shared" si="1"/>
        <v/>
      </c>
      <c r="F28" s="198" t="str">
        <f>IFERROR(VLOOKUP($C28,'FO-GC-015'!$A:$AL,F$4,0),"")</f>
        <v/>
      </c>
      <c r="G28" s="198" t="str">
        <f>IFERROR(VLOOKUP($C28,'FO-GC-015'!$A:$AL,G$4,0),"")</f>
        <v/>
      </c>
      <c r="H28" s="198" t="str">
        <f>IFERROR(VLOOKUP($C28,'FO-GC-015'!$A:$AL,H$4,0),"")</f>
        <v/>
      </c>
      <c r="I28" s="198" t="str">
        <f>IFERROR(VLOOKUP($C28,'FO-GC-015'!$A:$AL,I$4,0),"")</f>
        <v/>
      </c>
      <c r="L28" s="554"/>
      <c r="M28" s="555"/>
      <c r="N28" s="556"/>
    </row>
    <row r="29" spans="2:14" ht="40" customHeight="1" x14ac:dyDescent="0.35">
      <c r="B29" s="191">
        <f t="shared" si="2"/>
        <v>25</v>
      </c>
      <c r="C29" s="197" t="str">
        <f t="shared" si="0"/>
        <v/>
      </c>
      <c r="D29" s="206" t="str">
        <f>IFERROR(VLOOKUP($C29,'FO-GC-015'!$A:$AL,D$4,0),"")</f>
        <v/>
      </c>
      <c r="E29" s="202" t="str">
        <f t="shared" si="1"/>
        <v/>
      </c>
      <c r="F29" s="198" t="str">
        <f>IFERROR(VLOOKUP($C29,'FO-GC-015'!$A:$AL,F$4,0),"")</f>
        <v/>
      </c>
      <c r="G29" s="198" t="str">
        <f>IFERROR(VLOOKUP($C29,'FO-GC-015'!$A:$AL,G$4,0),"")</f>
        <v/>
      </c>
      <c r="H29" s="198" t="str">
        <f>IFERROR(VLOOKUP($C29,'FO-GC-015'!$A:$AL,H$4,0),"")</f>
        <v/>
      </c>
      <c r="I29" s="198" t="str">
        <f>IFERROR(VLOOKUP($C29,'FO-GC-015'!$A:$AL,I$4,0),"")</f>
        <v/>
      </c>
      <c r="L29" s="554"/>
      <c r="M29" s="555"/>
      <c r="N29" s="556"/>
    </row>
    <row r="30" spans="2:14" ht="40" customHeight="1" x14ac:dyDescent="0.35">
      <c r="B30" s="191">
        <f t="shared" si="2"/>
        <v>26</v>
      </c>
      <c r="C30" s="197" t="str">
        <f t="shared" si="0"/>
        <v/>
      </c>
      <c r="D30" s="206" t="str">
        <f>IFERROR(VLOOKUP($C30,'FO-GC-015'!$A:$AL,D$4,0),"")</f>
        <v/>
      </c>
      <c r="E30" s="202" t="str">
        <f t="shared" si="1"/>
        <v/>
      </c>
      <c r="F30" s="198" t="str">
        <f>IFERROR(VLOOKUP($C30,'FO-GC-015'!$A:$AL,F$4,0),"")</f>
        <v/>
      </c>
      <c r="G30" s="198" t="str">
        <f>IFERROR(VLOOKUP($C30,'FO-GC-015'!$A:$AL,G$4,0),"")</f>
        <v/>
      </c>
      <c r="H30" s="198" t="str">
        <f>IFERROR(VLOOKUP($C30,'FO-GC-015'!$A:$AL,H$4,0),"")</f>
        <v/>
      </c>
      <c r="I30" s="198" t="str">
        <f>IFERROR(VLOOKUP($C30,'FO-GC-015'!$A:$AL,I$4,0),"")</f>
        <v/>
      </c>
      <c r="L30" s="554"/>
      <c r="M30" s="555"/>
      <c r="N30" s="556"/>
    </row>
    <row r="31" spans="2:14" ht="40" customHeight="1" x14ac:dyDescent="0.35">
      <c r="B31" s="191">
        <f t="shared" si="2"/>
        <v>27</v>
      </c>
      <c r="C31" s="197" t="str">
        <f t="shared" si="0"/>
        <v/>
      </c>
      <c r="D31" s="206" t="str">
        <f>IFERROR(VLOOKUP($C31,'FO-GC-015'!$A:$AL,D$4,0),"")</f>
        <v/>
      </c>
      <c r="E31" s="202" t="str">
        <f t="shared" si="1"/>
        <v/>
      </c>
      <c r="F31" s="198" t="str">
        <f>IFERROR(VLOOKUP($C31,'FO-GC-015'!$A:$AL,F$4,0),"")</f>
        <v/>
      </c>
      <c r="G31" s="198" t="str">
        <f>IFERROR(VLOOKUP($C31,'FO-GC-015'!$A:$AL,G$4,0),"")</f>
        <v/>
      </c>
      <c r="H31" s="198" t="str">
        <f>IFERROR(VLOOKUP($C31,'FO-GC-015'!$A:$AL,H$4,0),"")</f>
        <v/>
      </c>
      <c r="I31" s="198" t="str">
        <f>IFERROR(VLOOKUP($C31,'FO-GC-015'!$A:$AL,I$4,0),"")</f>
        <v/>
      </c>
      <c r="L31" s="557"/>
      <c r="M31" s="558"/>
      <c r="N31" s="559"/>
    </row>
    <row r="32" spans="2:14" ht="40" customHeight="1" x14ac:dyDescent="0.35">
      <c r="B32" s="191">
        <f t="shared" si="2"/>
        <v>28</v>
      </c>
      <c r="C32" s="197" t="str">
        <f t="shared" si="0"/>
        <v/>
      </c>
      <c r="D32" s="206" t="str">
        <f>IFERROR(VLOOKUP($C32,'FO-GC-015'!$A:$AL,D$4,0),"")</f>
        <v/>
      </c>
      <c r="E32" s="202" t="str">
        <f t="shared" si="1"/>
        <v/>
      </c>
      <c r="F32" s="198" t="str">
        <f>IFERROR(VLOOKUP($C32,'FO-GC-015'!$A:$AL,F$4,0),"")</f>
        <v/>
      </c>
      <c r="G32" s="198" t="str">
        <f>IFERROR(VLOOKUP($C32,'FO-GC-015'!$A:$AL,G$4,0),"")</f>
        <v/>
      </c>
      <c r="H32" s="198" t="str">
        <f>IFERROR(VLOOKUP($C32,'FO-GC-015'!$A:$AL,H$4,0),"")</f>
        <v/>
      </c>
      <c r="I32" s="198" t="str">
        <f>IFERROR(VLOOKUP($C32,'FO-GC-015'!$A:$AL,I$4,0),"")</f>
        <v/>
      </c>
      <c r="L32" s="177"/>
      <c r="M32" s="177"/>
      <c r="N32" s="177"/>
    </row>
    <row r="33" spans="2:14" ht="40" customHeight="1" x14ac:dyDescent="0.35">
      <c r="B33" s="191">
        <f t="shared" si="2"/>
        <v>29</v>
      </c>
      <c r="C33" s="197" t="str">
        <f t="shared" si="0"/>
        <v/>
      </c>
      <c r="D33" s="206" t="str">
        <f>IFERROR(VLOOKUP($C33,'FO-GC-015'!$A:$AL,D$4,0),"")</f>
        <v/>
      </c>
      <c r="E33" s="202" t="str">
        <f t="shared" si="1"/>
        <v/>
      </c>
      <c r="F33" s="198" t="str">
        <f>IFERROR(VLOOKUP($C33,'FO-GC-015'!$A:$AL,F$4,0),"")</f>
        <v/>
      </c>
      <c r="G33" s="198" t="str">
        <f>IFERROR(VLOOKUP($C33,'FO-GC-015'!$A:$AL,G$4,0),"")</f>
        <v/>
      </c>
      <c r="H33" s="198" t="str">
        <f>IFERROR(VLOOKUP($C33,'FO-GC-015'!$A:$AL,H$4,0),"")</f>
        <v/>
      </c>
      <c r="I33" s="198" t="str">
        <f>IFERROR(VLOOKUP($C33,'FO-GC-015'!$A:$AL,I$4,0),"")</f>
        <v/>
      </c>
      <c r="L33" s="177"/>
      <c r="M33" s="177"/>
      <c r="N33" s="177"/>
    </row>
    <row r="34" spans="2:14" ht="40" customHeight="1" x14ac:dyDescent="0.35">
      <c r="B34" s="191">
        <f t="shared" si="2"/>
        <v>30</v>
      </c>
      <c r="C34" s="197" t="str">
        <f t="shared" si="0"/>
        <v/>
      </c>
      <c r="D34" s="206" t="str">
        <f>IFERROR(VLOOKUP($C34,'FO-GC-015'!$A:$AL,D$4,0),"")</f>
        <v/>
      </c>
      <c r="E34" s="202" t="str">
        <f t="shared" si="1"/>
        <v/>
      </c>
      <c r="F34" s="198" t="str">
        <f>IFERROR(VLOOKUP($C34,'FO-GC-015'!$A:$AL,F$4,0),"")</f>
        <v/>
      </c>
      <c r="G34" s="198" t="str">
        <f>IFERROR(VLOOKUP($C34,'FO-GC-015'!$A:$AL,G$4,0),"")</f>
        <v/>
      </c>
      <c r="H34" s="198" t="str">
        <f>IFERROR(VLOOKUP($C34,'FO-GC-015'!$A:$AL,H$4,0),"")</f>
        <v/>
      </c>
      <c r="I34" s="198" t="str">
        <f>IFERROR(VLOOKUP($C34,'FO-GC-015'!$A:$AL,I$4,0),"")</f>
        <v/>
      </c>
      <c r="L34" s="177"/>
      <c r="M34" s="177"/>
      <c r="N34" s="177"/>
    </row>
    <row r="35" spans="2:14" ht="40" customHeight="1" x14ac:dyDescent="0.35">
      <c r="B35" s="191">
        <f t="shared" si="2"/>
        <v>31</v>
      </c>
      <c r="C35" s="197" t="str">
        <f t="shared" si="0"/>
        <v/>
      </c>
      <c r="D35" s="206" t="str">
        <f>IFERROR(VLOOKUP($C35,'FO-GC-015'!$A:$AL,D$4,0),"")</f>
        <v/>
      </c>
      <c r="E35" s="202" t="str">
        <f t="shared" si="1"/>
        <v/>
      </c>
      <c r="F35" s="198" t="str">
        <f>IFERROR(VLOOKUP($C35,'FO-GC-015'!$A:$AL,F$4,0),"")</f>
        <v/>
      </c>
      <c r="G35" s="198" t="str">
        <f>IFERROR(VLOOKUP($C35,'FO-GC-015'!$A:$AL,G$4,0),"")</f>
        <v/>
      </c>
      <c r="H35" s="198" t="str">
        <f>IFERROR(VLOOKUP($C35,'FO-GC-015'!$A:$AL,H$4,0),"")</f>
        <v/>
      </c>
      <c r="I35" s="198" t="str">
        <f>IFERROR(VLOOKUP($C35,'FO-GC-015'!$A:$AL,I$4,0),"")</f>
        <v/>
      </c>
    </row>
    <row r="36" spans="2:14" ht="40" customHeight="1" x14ac:dyDescent="0.35">
      <c r="B36" s="191">
        <f t="shared" si="2"/>
        <v>32</v>
      </c>
      <c r="C36" s="197" t="str">
        <f t="shared" si="0"/>
        <v/>
      </c>
      <c r="D36" s="206" t="str">
        <f>IFERROR(VLOOKUP($C36,'FO-GC-015'!$A:$AL,D$4,0),"")</f>
        <v/>
      </c>
      <c r="E36" s="202" t="str">
        <f t="shared" si="1"/>
        <v/>
      </c>
      <c r="F36" s="198" t="str">
        <f>IFERROR(VLOOKUP($C36,'FO-GC-015'!$A:$AL,F$4,0),"")</f>
        <v/>
      </c>
      <c r="G36" s="198" t="str">
        <f>IFERROR(VLOOKUP($C36,'FO-GC-015'!$A:$AL,G$4,0),"")</f>
        <v/>
      </c>
      <c r="H36" s="198" t="str">
        <f>IFERROR(VLOOKUP($C36,'FO-GC-015'!$A:$AL,H$4,0),"")</f>
        <v/>
      </c>
      <c r="I36" s="198" t="str">
        <f>IFERROR(VLOOKUP($C36,'FO-GC-015'!$A:$AL,I$4,0),"")</f>
        <v/>
      </c>
    </row>
    <row r="37" spans="2:14" ht="40" customHeight="1" x14ac:dyDescent="0.35">
      <c r="B37" s="191">
        <f t="shared" si="2"/>
        <v>33</v>
      </c>
      <c r="C37" s="197" t="str">
        <f t="shared" si="0"/>
        <v/>
      </c>
      <c r="D37" s="206" t="str">
        <f>IFERROR(VLOOKUP($C37,'FO-GC-015'!$A:$AL,D$4,0),"")</f>
        <v/>
      </c>
      <c r="E37" s="202" t="str">
        <f t="shared" si="1"/>
        <v/>
      </c>
      <c r="F37" s="198" t="str">
        <f>IFERROR(VLOOKUP($C37,'FO-GC-015'!$A:$AL,F$4,0),"")</f>
        <v/>
      </c>
      <c r="G37" s="198" t="str">
        <f>IFERROR(VLOOKUP($C37,'FO-GC-015'!$A:$AL,G$4,0),"")</f>
        <v/>
      </c>
      <c r="H37" s="198" t="str">
        <f>IFERROR(VLOOKUP($C37,'FO-GC-015'!$A:$AL,H$4,0),"")</f>
        <v/>
      </c>
      <c r="I37" s="198" t="str">
        <f>IFERROR(VLOOKUP($C37,'FO-GC-015'!$A:$AL,I$4,0),"")</f>
        <v/>
      </c>
      <c r="L37" s="176"/>
      <c r="M37" s="176"/>
      <c r="N37" s="176"/>
    </row>
    <row r="38" spans="2:14" ht="40" customHeight="1" x14ac:dyDescent="0.35">
      <c r="B38" s="191">
        <f t="shared" si="2"/>
        <v>34</v>
      </c>
      <c r="C38" s="197" t="str">
        <f t="shared" si="0"/>
        <v/>
      </c>
      <c r="D38" s="206" t="str">
        <f>IFERROR(VLOOKUP($C38,'FO-GC-015'!$A:$AL,D$4,0),"")</f>
        <v/>
      </c>
      <c r="E38" s="202" t="str">
        <f t="shared" si="1"/>
        <v/>
      </c>
      <c r="F38" s="198" t="str">
        <f>IFERROR(VLOOKUP($C38,'FO-GC-015'!$A:$AL,F$4,0),"")</f>
        <v/>
      </c>
      <c r="G38" s="198" t="str">
        <f>IFERROR(VLOOKUP($C38,'FO-GC-015'!$A:$AL,G$4,0),"")</f>
        <v/>
      </c>
      <c r="H38" s="198" t="str">
        <f>IFERROR(VLOOKUP($C38,'FO-GC-015'!$A:$AL,H$4,0),"")</f>
        <v/>
      </c>
      <c r="I38" s="198" t="str">
        <f>IFERROR(VLOOKUP($C38,'FO-GC-015'!$A:$AL,I$4,0),"")</f>
        <v/>
      </c>
      <c r="L38" s="176"/>
      <c r="M38" s="176"/>
      <c r="N38" s="176"/>
    </row>
    <row r="39" spans="2:14" x14ac:dyDescent="0.35">
      <c r="L39" s="176"/>
      <c r="M39" s="176"/>
      <c r="N39" s="176"/>
    </row>
    <row r="40" spans="2:14" x14ac:dyDescent="0.35">
      <c r="L40" s="176"/>
      <c r="M40" s="176"/>
      <c r="N40" s="176"/>
    </row>
    <row r="41" spans="2:14" x14ac:dyDescent="0.35">
      <c r="L41" s="176"/>
      <c r="M41" s="176"/>
      <c r="N41" s="176"/>
    </row>
    <row r="42" spans="2:14" x14ac:dyDescent="0.35">
      <c r="L42" s="176"/>
      <c r="M42" s="176"/>
      <c r="N42" s="176"/>
    </row>
  </sheetData>
  <sheetProtection sheet="1" objects="1" scenarios="1"/>
  <mergeCells count="8">
    <mergeCell ref="L26:N26"/>
    <mergeCell ref="L27:N31"/>
    <mergeCell ref="C2:D2"/>
    <mergeCell ref="M3:N3"/>
    <mergeCell ref="L5:N5"/>
    <mergeCell ref="L6:L10"/>
    <mergeCell ref="L11:L14"/>
    <mergeCell ref="L17:L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U77"/>
  <sheetViews>
    <sheetView zoomScale="120" zoomScaleNormal="120" workbookViewId="0">
      <pane ySplit="2" topLeftCell="A3" activePane="bottomLeft" state="frozen"/>
      <selection pane="bottomLeft" activeCell="F47" sqref="F47"/>
    </sheetView>
  </sheetViews>
  <sheetFormatPr baseColWidth="10" defaultColWidth="0" defaultRowHeight="14.5" zeroHeight="1" x14ac:dyDescent="0.35"/>
  <cols>
    <col min="1" max="1" width="5.7265625" style="116" customWidth="1"/>
    <col min="2" max="2" width="43" style="117" customWidth="1"/>
    <col min="3" max="3" width="3.26953125" style="118" customWidth="1"/>
    <col min="4" max="4" width="1.453125" customWidth="1"/>
    <col min="5" max="5" width="4.54296875" style="128" customWidth="1"/>
    <col min="6" max="6" width="30.1796875" customWidth="1"/>
    <col min="7" max="7" width="44.26953125" customWidth="1"/>
    <col min="8" max="8" width="48.7265625" style="126" customWidth="1"/>
    <col min="9" max="9" width="7.26953125" style="129" customWidth="1"/>
    <col min="10" max="10" width="7.453125" style="129" customWidth="1"/>
    <col min="11" max="11" width="10" style="129" customWidth="1"/>
    <col min="12" max="12" width="6.7265625" style="129" customWidth="1"/>
    <col min="13" max="19" width="7.1796875" style="129" customWidth="1"/>
    <col min="20" max="20" width="1.81640625" style="125" customWidth="1"/>
    <col min="21" max="21" width="11.81640625" hidden="1" customWidth="1"/>
    <col min="22" max="16384" width="11.453125" hidden="1"/>
  </cols>
  <sheetData>
    <row r="1" spans="1:20" ht="15" customHeight="1" x14ac:dyDescent="0.35">
      <c r="D1" s="1"/>
      <c r="E1" s="564" t="s">
        <v>726</v>
      </c>
      <c r="F1" s="565"/>
      <c r="G1" s="285">
        <v>2022</v>
      </c>
      <c r="H1" s="119"/>
      <c r="I1" s="119"/>
      <c r="J1" s="120"/>
      <c r="K1" s="120"/>
      <c r="L1" s="120"/>
      <c r="M1" s="286">
        <f>SUM(M$3:M$61)</f>
        <v>18</v>
      </c>
      <c r="N1" s="286">
        <f>SUM(N$3:N$61)</f>
        <v>32</v>
      </c>
      <c r="O1" s="286">
        <f>SUM(O$3:O$61)</f>
        <v>0</v>
      </c>
      <c r="P1" s="286">
        <f>SUM(P$3:P$61)</f>
        <v>47</v>
      </c>
      <c r="Q1" s="286">
        <f>SUM(Q$3:Q$61)</f>
        <v>5</v>
      </c>
      <c r="R1" s="287"/>
      <c r="S1" s="287"/>
      <c r="T1" s="1"/>
    </row>
    <row r="2" spans="1:20" ht="23" x14ac:dyDescent="0.35">
      <c r="D2" s="1"/>
      <c r="E2" s="111" t="s">
        <v>359</v>
      </c>
      <c r="F2" s="111" t="s">
        <v>360</v>
      </c>
      <c r="G2" s="112" t="s">
        <v>18</v>
      </c>
      <c r="H2" s="112" t="s">
        <v>361</v>
      </c>
      <c r="I2" s="121" t="s">
        <v>362</v>
      </c>
      <c r="J2" s="122" t="s">
        <v>363</v>
      </c>
      <c r="K2" s="288" t="s">
        <v>727</v>
      </c>
      <c r="L2" s="289" t="s">
        <v>728</v>
      </c>
      <c r="M2" s="290" t="s">
        <v>729</v>
      </c>
      <c r="N2" s="291" t="s">
        <v>730</v>
      </c>
      <c r="O2" s="292" t="s">
        <v>731</v>
      </c>
      <c r="P2" s="291" t="s">
        <v>732</v>
      </c>
      <c r="Q2" s="292" t="s">
        <v>733</v>
      </c>
      <c r="R2" s="291" t="s">
        <v>734</v>
      </c>
      <c r="S2" s="292" t="s">
        <v>735</v>
      </c>
      <c r="T2" s="1"/>
    </row>
    <row r="3" spans="1:20" ht="15" customHeight="1" x14ac:dyDescent="0.35">
      <c r="A3" s="116">
        <f t="shared" ref="A3:A56" si="0">E3</f>
        <v>1</v>
      </c>
      <c r="B3" s="283" t="str">
        <f t="shared" ref="B3:B37" si="1">IFERROR(CONCATENATE(IF(MID(VLOOKUP(A3,C:I,7,0),1,1)="P","*",""),VLOOKUP(A3,C:F,4,0)),"")</f>
        <v>*Aida Marcela Correa Benavides</v>
      </c>
      <c r="C3" s="118">
        <f>IF(J3="Si",COUNTIF(J$3:J3,"Si"),"")</f>
        <v>1</v>
      </c>
      <c r="D3" s="109" t="str">
        <f>TEXT(ISEVEN(E3),0)</f>
        <v>FALSO</v>
      </c>
      <c r="E3" s="113">
        <f>IF(F3="","",COUNTA(F$3:F3))</f>
        <v>1</v>
      </c>
      <c r="F3" s="115" t="s">
        <v>364</v>
      </c>
      <c r="G3" s="204" t="s">
        <v>736</v>
      </c>
      <c r="H3" s="293" t="s">
        <v>737</v>
      </c>
      <c r="I3" s="124" t="s">
        <v>366</v>
      </c>
      <c r="J3" s="113" t="s">
        <v>367</v>
      </c>
      <c r="K3" s="294" t="s">
        <v>738</v>
      </c>
      <c r="L3" s="294">
        <f t="shared" ref="L3:L36" si="2">SUM(M3:T3)</f>
        <v>9</v>
      </c>
      <c r="M3" s="295"/>
      <c r="N3" s="296">
        <v>2</v>
      </c>
      <c r="O3" s="297"/>
      <c r="P3" s="296">
        <v>2</v>
      </c>
      <c r="Q3" s="297"/>
      <c r="R3" s="298">
        <v>3</v>
      </c>
      <c r="S3" s="298">
        <v>2</v>
      </c>
      <c r="T3" s="1"/>
    </row>
    <row r="4" spans="1:20" ht="15" customHeight="1" x14ac:dyDescent="0.35">
      <c r="A4" s="116">
        <f t="shared" si="0"/>
        <v>2</v>
      </c>
      <c r="B4" s="123" t="str">
        <f t="shared" si="1"/>
        <v>Alex Fabián Rivera Muñoz</v>
      </c>
      <c r="C4" s="118">
        <f>IF(J4="Si",COUNTIF(J$3:J4,"Si"),"")</f>
        <v>2</v>
      </c>
      <c r="D4" s="109" t="str">
        <f t="shared" ref="D4:D57" si="3">TEXT(ISEVEN(E4),0)</f>
        <v>VERDADERO</v>
      </c>
      <c r="E4" s="113">
        <f>IF(F4="","",COUNTA(F$3:F4))</f>
        <v>2</v>
      </c>
      <c r="F4" s="299" t="s">
        <v>710</v>
      </c>
      <c r="G4" s="204" t="s">
        <v>686</v>
      </c>
      <c r="H4" s="126" t="s">
        <v>368</v>
      </c>
      <c r="I4" s="124" t="s">
        <v>369</v>
      </c>
      <c r="J4" s="113" t="s">
        <v>367</v>
      </c>
      <c r="K4" s="294"/>
      <c r="L4" s="294">
        <f t="shared" si="2"/>
        <v>0</v>
      </c>
      <c r="M4" s="295"/>
      <c r="N4" s="296"/>
      <c r="O4" s="297"/>
      <c r="P4" s="296">
        <f>IFERROR(VLOOKUP(CONCATENATE(IF(MID($I4,1,1)="P","*",""),$F4),'[1]Programación x Auditor'!$C:$E,2,0),"")</f>
        <v>0</v>
      </c>
      <c r="Q4" s="297">
        <f>IFERROR(VLOOKUP(CONCATENATE(IF(MID($I4,1,1)="P","*",""),$F4),'[1]Programación x Auditor'!$C:$E,3,0),"")</f>
        <v>0</v>
      </c>
      <c r="R4" s="298"/>
      <c r="S4" s="298"/>
      <c r="T4" s="1"/>
    </row>
    <row r="5" spans="1:20" ht="15" customHeight="1" x14ac:dyDescent="0.35">
      <c r="A5" s="116">
        <f t="shared" si="0"/>
        <v>3</v>
      </c>
      <c r="B5" s="123" t="str">
        <f t="shared" si="1"/>
        <v>Alexander Luna Nieto</v>
      </c>
      <c r="C5" s="118">
        <f>IF(J5="Si",COUNTIF(J$3:J5,"Si"),"")</f>
        <v>3</v>
      </c>
      <c r="D5" s="109" t="str">
        <f t="shared" si="3"/>
        <v>FALSO</v>
      </c>
      <c r="E5" s="113">
        <f>IF(F5="","",COUNTA(F$3:F5))</f>
        <v>3</v>
      </c>
      <c r="F5" s="282" t="s">
        <v>370</v>
      </c>
      <c r="G5" s="204" t="s">
        <v>686</v>
      </c>
      <c r="H5" s="300" t="s">
        <v>371</v>
      </c>
      <c r="I5" s="124" t="s">
        <v>369</v>
      </c>
      <c r="J5" s="113" t="s">
        <v>367</v>
      </c>
      <c r="K5" s="294" t="s">
        <v>739</v>
      </c>
      <c r="L5" s="294">
        <f t="shared" si="2"/>
        <v>6</v>
      </c>
      <c r="M5" s="295"/>
      <c r="N5" s="296">
        <v>2</v>
      </c>
      <c r="O5" s="297"/>
      <c r="P5" s="296">
        <v>2</v>
      </c>
      <c r="Q5" s="297"/>
      <c r="R5" s="298"/>
      <c r="S5" s="298">
        <v>2</v>
      </c>
      <c r="T5" s="1"/>
    </row>
    <row r="6" spans="1:20" ht="15" customHeight="1" x14ac:dyDescent="0.35">
      <c r="A6" s="116">
        <f t="shared" si="0"/>
        <v>4</v>
      </c>
      <c r="B6" s="123" t="str">
        <f t="shared" si="1"/>
        <v>Ana Baos</v>
      </c>
      <c r="C6" s="118">
        <f>IF(J6="Si",COUNTIF(J$3:J6,"Si"),"")</f>
        <v>4</v>
      </c>
      <c r="D6" s="109" t="str">
        <f t="shared" si="3"/>
        <v>VERDADERO</v>
      </c>
      <c r="E6" s="113">
        <f>IF(F6="","",COUNTA(F$3:F6))</f>
        <v>4</v>
      </c>
      <c r="F6" s="114" t="s">
        <v>372</v>
      </c>
      <c r="G6" s="204" t="s">
        <v>740</v>
      </c>
      <c r="H6" s="293" t="s">
        <v>741</v>
      </c>
      <c r="I6" s="124" t="s">
        <v>369</v>
      </c>
      <c r="J6" s="113" t="s">
        <v>367</v>
      </c>
      <c r="K6" s="294" t="s">
        <v>739</v>
      </c>
      <c r="L6" s="294">
        <f t="shared" si="2"/>
        <v>4</v>
      </c>
      <c r="M6" s="295">
        <v>2</v>
      </c>
      <c r="N6" s="296"/>
      <c r="O6" s="297"/>
      <c r="P6" s="296">
        <f>IFERROR(VLOOKUP(CONCATENATE(IF(MID($I6,1,1)="P","*",""),$F6),'[1]Programación x Auditor'!$C:$E,2,0),"")</f>
        <v>0</v>
      </c>
      <c r="Q6" s="297"/>
      <c r="R6" s="298"/>
      <c r="S6" s="298">
        <v>2</v>
      </c>
      <c r="T6" s="1"/>
    </row>
    <row r="7" spans="1:20" ht="15" customHeight="1" x14ac:dyDescent="0.35">
      <c r="A7" s="116">
        <f t="shared" si="0"/>
        <v>5</v>
      </c>
      <c r="B7" s="123" t="str">
        <f t="shared" si="1"/>
        <v>Andrea Karina Ballagan Estrada</v>
      </c>
      <c r="C7" s="118">
        <f>IF(J7="Si",COUNTIF(J$3:J7,"Si"),"")</f>
        <v>5</v>
      </c>
      <c r="D7" s="109" t="str">
        <f t="shared" si="3"/>
        <v>FALSO</v>
      </c>
      <c r="E7" s="113">
        <f>IF(F7="","",COUNTA(F$3:F7))</f>
        <v>5</v>
      </c>
      <c r="F7" s="114" t="s">
        <v>711</v>
      </c>
      <c r="G7" s="204" t="s">
        <v>742</v>
      </c>
      <c r="H7" s="301" t="s">
        <v>743</v>
      </c>
      <c r="I7" s="124" t="s">
        <v>369</v>
      </c>
      <c r="J7" s="113" t="s">
        <v>367</v>
      </c>
      <c r="K7" s="294" t="s">
        <v>739</v>
      </c>
      <c r="L7" s="294">
        <f t="shared" si="2"/>
        <v>5</v>
      </c>
      <c r="M7" s="295"/>
      <c r="N7" s="296"/>
      <c r="O7" s="297"/>
      <c r="P7" s="296">
        <v>2</v>
      </c>
      <c r="Q7" s="297">
        <f>IFERROR(VLOOKUP(CONCATENATE(IF(MID($I7,1,1)="P","*",""),$F7),'[1]Programación x Auditor'!$C:$E,3,0),"")</f>
        <v>1</v>
      </c>
      <c r="R7" s="298"/>
      <c r="S7" s="298">
        <v>2</v>
      </c>
      <c r="T7" s="1"/>
    </row>
    <row r="8" spans="1:20" ht="15" customHeight="1" x14ac:dyDescent="0.35">
      <c r="A8" s="116">
        <f t="shared" si="0"/>
        <v>6</v>
      </c>
      <c r="B8" s="123" t="str">
        <f t="shared" si="1"/>
        <v>*Carlos Andrés Durán Enríquez</v>
      </c>
      <c r="C8" s="118">
        <f>IF(J8="Si",COUNTIF(J$3:J8,"Si"),"")</f>
        <v>6</v>
      </c>
      <c r="D8" s="109" t="str">
        <f t="shared" si="3"/>
        <v>VERDADERO</v>
      </c>
      <c r="E8" s="113">
        <f>IF(F8="","",COUNTA(F$3:F8))</f>
        <v>6</v>
      </c>
      <c r="F8" s="115" t="s">
        <v>374</v>
      </c>
      <c r="G8" s="204" t="s">
        <v>687</v>
      </c>
      <c r="H8" s="300" t="s">
        <v>375</v>
      </c>
      <c r="I8" s="124" t="s">
        <v>366</v>
      </c>
      <c r="J8" s="113" t="s">
        <v>367</v>
      </c>
      <c r="K8" s="294" t="s">
        <v>738</v>
      </c>
      <c r="L8" s="294">
        <f t="shared" si="2"/>
        <v>8</v>
      </c>
      <c r="M8" s="295"/>
      <c r="N8" s="296">
        <v>2</v>
      </c>
      <c r="O8" s="297"/>
      <c r="P8" s="296">
        <v>2</v>
      </c>
      <c r="Q8" s="297"/>
      <c r="R8" s="298">
        <v>2</v>
      </c>
      <c r="S8" s="298">
        <v>2</v>
      </c>
      <c r="T8" s="1"/>
    </row>
    <row r="9" spans="1:20" ht="15" customHeight="1" x14ac:dyDescent="0.35">
      <c r="A9" s="116">
        <f t="shared" si="0"/>
        <v>7</v>
      </c>
      <c r="B9" s="123" t="str">
        <f t="shared" si="1"/>
        <v>*Carlos Fernando Mina Zape</v>
      </c>
      <c r="C9" s="118">
        <f>IF(J9="Si",COUNTIF(J$3:J9,"Si"),"")</f>
        <v>7</v>
      </c>
      <c r="D9" s="109" t="str">
        <f t="shared" si="3"/>
        <v>FALSO</v>
      </c>
      <c r="E9" s="113">
        <f>IF(F9="","",COUNTA(F$3:F9))</f>
        <v>7</v>
      </c>
      <c r="F9" s="114" t="s">
        <v>376</v>
      </c>
      <c r="G9" s="204" t="s">
        <v>377</v>
      </c>
      <c r="H9" s="300" t="s">
        <v>378</v>
      </c>
      <c r="I9" s="124" t="s">
        <v>366</v>
      </c>
      <c r="J9" s="113" t="s">
        <v>367</v>
      </c>
      <c r="K9" s="294" t="s">
        <v>738</v>
      </c>
      <c r="L9" s="294">
        <f t="shared" si="2"/>
        <v>5</v>
      </c>
      <c r="M9" s="295"/>
      <c r="N9" s="296">
        <v>2</v>
      </c>
      <c r="O9" s="297"/>
      <c r="P9" s="296">
        <v>2</v>
      </c>
      <c r="Q9" s="297"/>
      <c r="R9" s="298"/>
      <c r="S9" s="298">
        <v>1</v>
      </c>
      <c r="T9" s="1"/>
    </row>
    <row r="10" spans="1:20" ht="15" customHeight="1" x14ac:dyDescent="0.35">
      <c r="A10" s="116">
        <f t="shared" si="0"/>
        <v>8</v>
      </c>
      <c r="B10" s="123" t="str">
        <f t="shared" si="1"/>
        <v>*Clara Eugenia Satizábal Serna</v>
      </c>
      <c r="C10" s="118">
        <f>IF(J10="Si",COUNTIF(J$3:J10,"Si"),"")</f>
        <v>8</v>
      </c>
      <c r="D10" s="109" t="str">
        <f t="shared" si="3"/>
        <v>VERDADERO</v>
      </c>
      <c r="E10" s="113">
        <f>IF(F10="","",COUNTA(F$3:F10))</f>
        <v>8</v>
      </c>
      <c r="F10" s="115" t="s">
        <v>379</v>
      </c>
      <c r="G10" s="204" t="s">
        <v>380</v>
      </c>
      <c r="H10" s="300" t="s">
        <v>381</v>
      </c>
      <c r="I10" s="124" t="s">
        <v>366</v>
      </c>
      <c r="J10" s="113" t="s">
        <v>367</v>
      </c>
      <c r="K10" s="294" t="s">
        <v>738</v>
      </c>
      <c r="L10" s="294">
        <f t="shared" si="2"/>
        <v>5</v>
      </c>
      <c r="M10" s="295">
        <v>2</v>
      </c>
      <c r="N10" s="296"/>
      <c r="O10" s="297"/>
      <c r="P10" s="296">
        <v>2</v>
      </c>
      <c r="Q10" s="297"/>
      <c r="R10" s="298">
        <v>1</v>
      </c>
      <c r="S10" s="298"/>
      <c r="T10" s="1"/>
    </row>
    <row r="11" spans="1:20" ht="15" customHeight="1" x14ac:dyDescent="0.35">
      <c r="A11" s="116">
        <f t="shared" si="0"/>
        <v>9</v>
      </c>
      <c r="B11" s="123" t="str">
        <f t="shared" si="1"/>
        <v>*Daisy Ximena Valencia Palomino</v>
      </c>
      <c r="C11" s="118">
        <f>IF(J11="Si",COUNTIF(J$3:J11,"Si"),"")</f>
        <v>9</v>
      </c>
      <c r="D11" s="109" t="str">
        <f t="shared" si="3"/>
        <v>FALSO</v>
      </c>
      <c r="E11" s="113">
        <f>IF(F11="","",COUNTA(F$3:F11))</f>
        <v>9</v>
      </c>
      <c r="F11" s="114" t="s">
        <v>382</v>
      </c>
      <c r="G11" s="204" t="s">
        <v>383</v>
      </c>
      <c r="H11" s="300" t="s">
        <v>384</v>
      </c>
      <c r="I11" s="124" t="s">
        <v>366</v>
      </c>
      <c r="J11" s="113" t="s">
        <v>367</v>
      </c>
      <c r="K11" s="294" t="s">
        <v>738</v>
      </c>
      <c r="L11" s="294">
        <f t="shared" si="2"/>
        <v>7</v>
      </c>
      <c r="M11" s="295"/>
      <c r="N11" s="296">
        <v>3</v>
      </c>
      <c r="O11" s="297"/>
      <c r="P11" s="296">
        <v>2</v>
      </c>
      <c r="Q11" s="297"/>
      <c r="R11" s="298">
        <v>2</v>
      </c>
      <c r="S11" s="298"/>
      <c r="T11" s="1"/>
    </row>
    <row r="12" spans="1:20" ht="15" customHeight="1" x14ac:dyDescent="0.35">
      <c r="A12" s="116">
        <f t="shared" si="0"/>
        <v>10</v>
      </c>
      <c r="B12" s="123" t="str">
        <f t="shared" si="1"/>
        <v>*Daniel Andres Feriz Garcia</v>
      </c>
      <c r="C12" s="118">
        <f>IF(J12="Si",COUNTIF(J$3:J12,"Si"),"")</f>
        <v>10</v>
      </c>
      <c r="D12" s="109" t="str">
        <f t="shared" si="3"/>
        <v>VERDADERO</v>
      </c>
      <c r="E12" s="113">
        <f>IF(F12="","",COUNTA(F$3:F12))</f>
        <v>10</v>
      </c>
      <c r="F12" s="115" t="s">
        <v>385</v>
      </c>
      <c r="G12" s="204" t="s">
        <v>386</v>
      </c>
      <c r="H12" s="300" t="s">
        <v>387</v>
      </c>
      <c r="I12" s="124" t="s">
        <v>366</v>
      </c>
      <c r="J12" s="113" t="s">
        <v>367</v>
      </c>
      <c r="K12" s="294" t="s">
        <v>738</v>
      </c>
      <c r="L12" s="294">
        <f t="shared" si="2"/>
        <v>9</v>
      </c>
      <c r="M12" s="295">
        <v>2</v>
      </c>
      <c r="N12" s="296">
        <v>2</v>
      </c>
      <c r="O12" s="297"/>
      <c r="P12" s="296">
        <v>2</v>
      </c>
      <c r="Q12" s="297"/>
      <c r="R12" s="298">
        <v>2</v>
      </c>
      <c r="S12" s="298">
        <v>1</v>
      </c>
      <c r="T12" s="1"/>
    </row>
    <row r="13" spans="1:20" ht="15" customHeight="1" x14ac:dyDescent="0.35">
      <c r="A13" s="116">
        <f t="shared" si="0"/>
        <v>11</v>
      </c>
      <c r="B13" s="123" t="str">
        <f t="shared" si="1"/>
        <v xml:space="preserve">*Depsi Johana Córdoba Mompotes </v>
      </c>
      <c r="C13" s="118">
        <f>IF(J13="Si",COUNTIF(J$3:J13,"Si"),"")</f>
        <v>11</v>
      </c>
      <c r="D13" s="109" t="str">
        <f t="shared" si="3"/>
        <v>FALSO</v>
      </c>
      <c r="E13" s="113">
        <f>IF(F13="","",COUNTA(F$3:F13))</f>
        <v>11</v>
      </c>
      <c r="F13" s="115" t="s">
        <v>389</v>
      </c>
      <c r="G13" s="204" t="s">
        <v>390</v>
      </c>
      <c r="H13" s="300" t="s">
        <v>391</v>
      </c>
      <c r="I13" s="124" t="s">
        <v>366</v>
      </c>
      <c r="J13" s="113" t="s">
        <v>367</v>
      </c>
      <c r="K13" s="294" t="s">
        <v>739</v>
      </c>
      <c r="L13" s="294">
        <f t="shared" si="2"/>
        <v>5</v>
      </c>
      <c r="M13" s="295"/>
      <c r="N13" s="296"/>
      <c r="O13" s="297"/>
      <c r="P13" s="296">
        <v>2</v>
      </c>
      <c r="Q13" s="297"/>
      <c r="R13" s="298">
        <v>3</v>
      </c>
      <c r="S13" s="298"/>
      <c r="T13" s="1"/>
    </row>
    <row r="14" spans="1:20" ht="15" customHeight="1" x14ac:dyDescent="0.35">
      <c r="A14" s="116">
        <f t="shared" si="0"/>
        <v>12</v>
      </c>
      <c r="B14" s="123" t="str">
        <f t="shared" si="1"/>
        <v>*Diego Fabian Bolaños Sarria</v>
      </c>
      <c r="C14" s="118">
        <f>IF(J14="Si",COUNTIF(J$3:J14,"Si"),"")</f>
        <v>12</v>
      </c>
      <c r="D14" s="109" t="str">
        <f t="shared" si="3"/>
        <v>VERDADERO</v>
      </c>
      <c r="E14" s="113">
        <f>IF(F14="","",COUNTA(F$3:F14))</f>
        <v>12</v>
      </c>
      <c r="F14" s="115" t="s">
        <v>392</v>
      </c>
      <c r="G14" s="204" t="s">
        <v>393</v>
      </c>
      <c r="H14" s="114" t="s">
        <v>394</v>
      </c>
      <c r="I14" s="124" t="s">
        <v>366</v>
      </c>
      <c r="J14" s="113" t="s">
        <v>367</v>
      </c>
      <c r="K14" s="294" t="s">
        <v>738</v>
      </c>
      <c r="L14" s="294">
        <f t="shared" si="2"/>
        <v>7</v>
      </c>
      <c r="M14" s="295">
        <v>2</v>
      </c>
      <c r="N14" s="296">
        <v>2</v>
      </c>
      <c r="O14" s="297"/>
      <c r="P14" s="296">
        <v>2</v>
      </c>
      <c r="Q14" s="297"/>
      <c r="R14" s="298">
        <v>1</v>
      </c>
      <c r="S14" s="298"/>
      <c r="T14" s="1"/>
    </row>
    <row r="15" spans="1:20" ht="15" customHeight="1" x14ac:dyDescent="0.35">
      <c r="A15" s="116">
        <f t="shared" si="0"/>
        <v>13</v>
      </c>
      <c r="B15" s="123" t="str">
        <f t="shared" si="1"/>
        <v>Gabriela Andrea Rivera Macias</v>
      </c>
      <c r="C15" s="118">
        <f>IF(J15="Si",COUNTIF(J$3:J15,"Si"),"")</f>
        <v>13</v>
      </c>
      <c r="D15" s="109" t="str">
        <f t="shared" si="3"/>
        <v>FALSO</v>
      </c>
      <c r="E15" s="113">
        <f>IF(F15="","",COUNTA(F$3:F15))</f>
        <v>13</v>
      </c>
      <c r="F15" s="114" t="s">
        <v>712</v>
      </c>
      <c r="G15" s="204" t="s">
        <v>744</v>
      </c>
      <c r="H15" s="114" t="s">
        <v>745</v>
      </c>
      <c r="I15" s="124" t="s">
        <v>369</v>
      </c>
      <c r="J15" s="113" t="s">
        <v>367</v>
      </c>
      <c r="K15" s="294"/>
      <c r="L15" s="294">
        <f t="shared" si="2"/>
        <v>4</v>
      </c>
      <c r="M15" s="295">
        <v>2</v>
      </c>
      <c r="N15" s="296">
        <v>2</v>
      </c>
      <c r="O15" s="297"/>
      <c r="P15" s="296">
        <f>IFERROR(VLOOKUP(CONCATENATE(IF(MID($I15,1,1)="P","*",""),$F15),'[1]Programación x Auditor'!$C:$E,2,0),"")</f>
        <v>0</v>
      </c>
      <c r="Q15" s="297">
        <f>IFERROR(VLOOKUP(CONCATENATE(IF(MID($I15,1,1)="P","*",""),$F15),'[1]Programación x Auditor'!$C:$E,3,0),"")</f>
        <v>0</v>
      </c>
      <c r="R15" s="298"/>
      <c r="S15" s="298"/>
      <c r="T15" s="1"/>
    </row>
    <row r="16" spans="1:20" ht="15" customHeight="1" x14ac:dyDescent="0.35">
      <c r="A16" s="116">
        <f t="shared" si="0"/>
        <v>14</v>
      </c>
      <c r="B16" s="123" t="str">
        <f t="shared" si="1"/>
        <v>Jaime Vente Garcés</v>
      </c>
      <c r="C16" s="118">
        <f>IF(J16="Si",COUNTIF(J$3:J16,"Si"),"")</f>
        <v>14</v>
      </c>
      <c r="D16" s="109" t="str">
        <f t="shared" si="3"/>
        <v>VERDADERO</v>
      </c>
      <c r="E16" s="113">
        <f>IF(F16="","",COUNTA(F$3:F16))</f>
        <v>14</v>
      </c>
      <c r="F16" s="115" t="s">
        <v>713</v>
      </c>
      <c r="G16" s="204" t="s">
        <v>396</v>
      </c>
      <c r="H16" s="114" t="s">
        <v>397</v>
      </c>
      <c r="I16" s="124" t="s">
        <v>369</v>
      </c>
      <c r="J16" s="113" t="s">
        <v>367</v>
      </c>
      <c r="K16" s="294" t="s">
        <v>739</v>
      </c>
      <c r="L16" s="294">
        <f t="shared" si="2"/>
        <v>3</v>
      </c>
      <c r="M16" s="295"/>
      <c r="N16" s="296"/>
      <c r="O16" s="297"/>
      <c r="P16" s="296">
        <v>2</v>
      </c>
      <c r="Q16" s="297">
        <f>IFERROR(VLOOKUP(CONCATENATE(IF(MID($I16,1,1)="P","*",""),$F16),'[1]Programación x Auditor'!$C:$E,3,0),"")</f>
        <v>1</v>
      </c>
      <c r="R16" s="298"/>
      <c r="S16" s="298"/>
      <c r="T16" s="1"/>
    </row>
    <row r="17" spans="1:20" ht="15" customHeight="1" x14ac:dyDescent="0.35">
      <c r="A17" s="116">
        <f t="shared" si="0"/>
        <v>15</v>
      </c>
      <c r="B17" s="123" t="str">
        <f t="shared" si="1"/>
        <v>José Fernando Ruíz López</v>
      </c>
      <c r="C17" s="118">
        <f>IF(J17="Si",COUNTIF(J$3:J17,"Si"),"")</f>
        <v>15</v>
      </c>
      <c r="D17" s="109" t="str">
        <f t="shared" si="3"/>
        <v>FALSO</v>
      </c>
      <c r="E17" s="113">
        <f>IF(F17="","",COUNTA(F$3:F17))</f>
        <v>15</v>
      </c>
      <c r="F17" s="114" t="s">
        <v>714</v>
      </c>
      <c r="G17" s="204" t="s">
        <v>395</v>
      </c>
      <c r="H17" s="114" t="s">
        <v>398</v>
      </c>
      <c r="I17" s="124" t="s">
        <v>369</v>
      </c>
      <c r="J17" s="113" t="s">
        <v>367</v>
      </c>
      <c r="K17" s="294"/>
      <c r="L17" s="294">
        <f t="shared" si="2"/>
        <v>3</v>
      </c>
      <c r="M17" s="295"/>
      <c r="N17" s="296"/>
      <c r="O17" s="297"/>
      <c r="P17" s="296">
        <f>IFERROR(VLOOKUP(CONCATENATE(IF(MID($I17,1,1)="P","*",""),$F17),'[1]Programación x Auditor'!$C:$E,2,0),"")</f>
        <v>0</v>
      </c>
      <c r="Q17" s="297">
        <f>IFERROR(VLOOKUP(CONCATENATE(IF(MID($I17,1,1)="P","*",""),$F17),'[1]Programación x Auditor'!$C:$E,3,0),"")</f>
        <v>1</v>
      </c>
      <c r="R17" s="298"/>
      <c r="S17" s="298">
        <v>2</v>
      </c>
      <c r="T17" s="1"/>
    </row>
    <row r="18" spans="1:20" ht="15" customHeight="1" x14ac:dyDescent="0.35">
      <c r="A18" s="116">
        <f t="shared" si="0"/>
        <v>16</v>
      </c>
      <c r="B18" s="123" t="str">
        <f t="shared" si="1"/>
        <v>*Juan David Cortés León</v>
      </c>
      <c r="C18" s="118">
        <f>IF(J18="Si",COUNTIF(J$3:J18,"Si"),"")</f>
        <v>16</v>
      </c>
      <c r="D18" s="109" t="str">
        <f t="shared" si="3"/>
        <v>VERDADERO</v>
      </c>
      <c r="E18" s="113">
        <f>IF(F18="","",COUNTA(F$3:F18))</f>
        <v>16</v>
      </c>
      <c r="F18" s="115" t="s">
        <v>746</v>
      </c>
      <c r="G18" s="204" t="s">
        <v>747</v>
      </c>
      <c r="H18" s="114" t="s">
        <v>399</v>
      </c>
      <c r="I18" s="124" t="s">
        <v>366</v>
      </c>
      <c r="J18" s="113" t="s">
        <v>367</v>
      </c>
      <c r="K18" s="294" t="s">
        <v>739</v>
      </c>
      <c r="L18" s="294">
        <f t="shared" si="2"/>
        <v>7</v>
      </c>
      <c r="M18" s="295"/>
      <c r="N18" s="296"/>
      <c r="O18" s="297"/>
      <c r="P18" s="296">
        <v>2</v>
      </c>
      <c r="Q18" s="297">
        <f>IFERROR(VLOOKUP(CONCATENATE(IF(MID($I18,1,1)="P","*",""),$F18),'[1]Programación x Auditor'!$C:$E,3,0),"")</f>
        <v>0</v>
      </c>
      <c r="R18" s="298">
        <v>3</v>
      </c>
      <c r="S18" s="298">
        <v>2</v>
      </c>
      <c r="T18" s="1"/>
    </row>
    <row r="19" spans="1:20" ht="15" customHeight="1" x14ac:dyDescent="0.35">
      <c r="A19" s="116">
        <f t="shared" si="0"/>
        <v>17</v>
      </c>
      <c r="B19" s="123" t="str">
        <f t="shared" si="1"/>
        <v>*Julian Camilo Ortega Gomez</v>
      </c>
      <c r="C19" s="118">
        <f>IF(J19="Si",COUNTIF(J$3:J19,"Si"),"")</f>
        <v>17</v>
      </c>
      <c r="D19" s="109" t="str">
        <f t="shared" si="3"/>
        <v>FALSO</v>
      </c>
      <c r="E19" s="113">
        <f>IF(F19="","",COUNTA(F$3:F19))</f>
        <v>17</v>
      </c>
      <c r="F19" s="115" t="s">
        <v>748</v>
      </c>
      <c r="G19" s="204" t="s">
        <v>749</v>
      </c>
      <c r="H19" s="114" t="s">
        <v>400</v>
      </c>
      <c r="I19" s="124" t="s">
        <v>366</v>
      </c>
      <c r="J19" s="113" t="s">
        <v>367</v>
      </c>
      <c r="K19" s="294" t="s">
        <v>739</v>
      </c>
      <c r="L19" s="294">
        <f t="shared" si="2"/>
        <v>5</v>
      </c>
      <c r="M19" s="295"/>
      <c r="N19" s="296">
        <v>2</v>
      </c>
      <c r="O19" s="297"/>
      <c r="P19" s="296">
        <f>IFERROR(VLOOKUP(CONCATENATE(IF(MID($I19,1,1)="P","*",""),$F19),'[1]Programación x Auditor'!$C:$E,2,0),"")</f>
        <v>1</v>
      </c>
      <c r="Q19" s="297">
        <f>IFERROR(VLOOKUP(CONCATENATE(IF(MID($I19,1,1)="P","*",""),$F19),'[1]Programación x Auditor'!$C:$E,3,0),"")</f>
        <v>0</v>
      </c>
      <c r="R19" s="298"/>
      <c r="S19" s="298">
        <v>2</v>
      </c>
      <c r="T19" s="1"/>
    </row>
    <row r="20" spans="1:20" ht="15" customHeight="1" x14ac:dyDescent="0.35">
      <c r="A20" s="116">
        <f t="shared" si="0"/>
        <v>18</v>
      </c>
      <c r="B20" s="123" t="str">
        <f t="shared" si="1"/>
        <v>*Julio Cesar Garcia Buitron</v>
      </c>
      <c r="C20" s="118">
        <f>IF(J20="Si",COUNTIF(J$3:J20,"Si"),"")</f>
        <v>18</v>
      </c>
      <c r="D20" s="109" t="str">
        <f t="shared" si="3"/>
        <v>VERDADERO</v>
      </c>
      <c r="E20" s="113">
        <f>IF(F20="","",COUNTA(F$3:F20))</f>
        <v>18</v>
      </c>
      <c r="F20" s="114" t="s">
        <v>401</v>
      </c>
      <c r="G20" s="204" t="s">
        <v>402</v>
      </c>
      <c r="H20" s="114" t="s">
        <v>403</v>
      </c>
      <c r="I20" s="124" t="s">
        <v>366</v>
      </c>
      <c r="J20" s="113" t="s">
        <v>367</v>
      </c>
      <c r="K20" s="294" t="s">
        <v>738</v>
      </c>
      <c r="L20" s="294">
        <f t="shared" si="2"/>
        <v>7</v>
      </c>
      <c r="M20" s="295">
        <v>2</v>
      </c>
      <c r="N20" s="296">
        <v>2</v>
      </c>
      <c r="O20" s="297"/>
      <c r="P20" s="296">
        <v>1</v>
      </c>
      <c r="Q20" s="297"/>
      <c r="R20" s="298">
        <v>2</v>
      </c>
      <c r="S20" s="298"/>
      <c r="T20" s="1"/>
    </row>
    <row r="21" spans="1:20" ht="15" customHeight="1" x14ac:dyDescent="0.35">
      <c r="A21" s="116">
        <f t="shared" si="0"/>
        <v>19</v>
      </c>
      <c r="B21" s="123" t="str">
        <f t="shared" si="1"/>
        <v>Karen Jisset Zuñiga Ramos</v>
      </c>
      <c r="C21" s="118">
        <f>IF(J21="Si",COUNTIF(J$3:J21,"Si"),"")</f>
        <v>19</v>
      </c>
      <c r="D21" s="109" t="str">
        <f t="shared" si="3"/>
        <v>FALSO</v>
      </c>
      <c r="E21" s="113">
        <f>IF(F21="","",COUNTA(F$3:F21))</f>
        <v>19</v>
      </c>
      <c r="F21" s="115" t="s">
        <v>404</v>
      </c>
      <c r="G21" s="204" t="s">
        <v>405</v>
      </c>
      <c r="H21" s="114" t="s">
        <v>406</v>
      </c>
      <c r="I21" s="124" t="s">
        <v>369</v>
      </c>
      <c r="J21" s="113" t="s">
        <v>367</v>
      </c>
      <c r="K21" s="294" t="s">
        <v>738</v>
      </c>
      <c r="L21" s="294">
        <f t="shared" si="2"/>
        <v>5</v>
      </c>
      <c r="M21" s="295"/>
      <c r="N21" s="296">
        <v>2</v>
      </c>
      <c r="O21" s="297"/>
      <c r="P21" s="296">
        <v>1</v>
      </c>
      <c r="Q21" s="297"/>
      <c r="R21" s="298"/>
      <c r="S21" s="298">
        <v>2</v>
      </c>
      <c r="T21" s="1"/>
    </row>
    <row r="22" spans="1:20" ht="15" customHeight="1" x14ac:dyDescent="0.35">
      <c r="A22" s="116">
        <f t="shared" si="0"/>
        <v>20</v>
      </c>
      <c r="B22" s="123" t="str">
        <f t="shared" si="1"/>
        <v>*Karen Viviana Quiñones Mosquera</v>
      </c>
      <c r="C22" s="118">
        <f>IF(J22="Si",COUNTIF(J$3:J22,"Si"),"")</f>
        <v>20</v>
      </c>
      <c r="D22" s="109" t="str">
        <f t="shared" si="3"/>
        <v>VERDADERO</v>
      </c>
      <c r="E22" s="113">
        <f>IF(F22="","",COUNTA(F$3:F22))</f>
        <v>20</v>
      </c>
      <c r="F22" s="114" t="s">
        <v>407</v>
      </c>
      <c r="G22" s="302" t="s">
        <v>688</v>
      </c>
      <c r="H22" s="303" t="s">
        <v>750</v>
      </c>
      <c r="I22" s="124" t="s">
        <v>366</v>
      </c>
      <c r="J22" s="113" t="s">
        <v>367</v>
      </c>
      <c r="K22" s="294" t="s">
        <v>738</v>
      </c>
      <c r="L22" s="294">
        <f t="shared" si="2"/>
        <v>8</v>
      </c>
      <c r="M22" s="295"/>
      <c r="N22" s="296">
        <v>1</v>
      </c>
      <c r="O22" s="297"/>
      <c r="P22" s="296">
        <v>2</v>
      </c>
      <c r="Q22" s="297"/>
      <c r="R22" s="298">
        <v>3</v>
      </c>
      <c r="S22" s="298">
        <v>2</v>
      </c>
      <c r="T22" s="1"/>
    </row>
    <row r="23" spans="1:20" ht="15" customHeight="1" x14ac:dyDescent="0.35">
      <c r="A23" s="116">
        <f t="shared" si="0"/>
        <v>21</v>
      </c>
      <c r="B23" s="123" t="str">
        <f t="shared" si="1"/>
        <v>*Kener Mauricio Quina Velarde</v>
      </c>
      <c r="C23" s="118">
        <f>IF(J23="Si",COUNTIF(J$3:J23,"Si"),"")</f>
        <v>21</v>
      </c>
      <c r="D23" s="109" t="str">
        <f t="shared" si="3"/>
        <v>FALSO</v>
      </c>
      <c r="E23" s="113">
        <f>IF(F23="","",COUNTA(F$3:F23))</f>
        <v>21</v>
      </c>
      <c r="F23" s="114" t="s">
        <v>751</v>
      </c>
      <c r="G23" s="204" t="s">
        <v>752</v>
      </c>
      <c r="H23" s="114" t="s">
        <v>408</v>
      </c>
      <c r="I23" s="124" t="s">
        <v>366</v>
      </c>
      <c r="J23" s="113" t="s">
        <v>367</v>
      </c>
      <c r="K23" s="294" t="s">
        <v>739</v>
      </c>
      <c r="L23" s="294">
        <f t="shared" si="2"/>
        <v>8</v>
      </c>
      <c r="M23" s="295"/>
      <c r="N23" s="296"/>
      <c r="O23" s="297"/>
      <c r="P23" s="296">
        <v>2</v>
      </c>
      <c r="Q23" s="297">
        <f>IFERROR(VLOOKUP(CONCATENATE(IF(MID($I23,1,1)="P","*",""),$F23),'[1]Programación x Auditor'!$C:$E,3,0),"")</f>
        <v>0</v>
      </c>
      <c r="R23" s="298">
        <v>3</v>
      </c>
      <c r="S23" s="298">
        <v>3</v>
      </c>
      <c r="T23" s="1"/>
    </row>
    <row r="24" spans="1:20" ht="15" customHeight="1" x14ac:dyDescent="0.35">
      <c r="A24" s="116">
        <f t="shared" si="0"/>
        <v>22</v>
      </c>
      <c r="B24" s="123" t="str">
        <f t="shared" si="1"/>
        <v>Laura María Orozco García</v>
      </c>
      <c r="C24" s="118">
        <f>IF(J24="Si",COUNTIF(J$3:J24,"Si"),"")</f>
        <v>22</v>
      </c>
      <c r="D24" s="109" t="str">
        <f t="shared" si="3"/>
        <v>VERDADERO</v>
      </c>
      <c r="E24" s="113">
        <f>IF(F24="","",COUNTA(F$3:F24))</f>
        <v>22</v>
      </c>
      <c r="F24" s="115" t="s">
        <v>715</v>
      </c>
      <c r="G24" s="204" t="s">
        <v>753</v>
      </c>
      <c r="H24" s="114" t="s">
        <v>409</v>
      </c>
      <c r="I24" s="124" t="s">
        <v>369</v>
      </c>
      <c r="J24" s="113" t="s">
        <v>367</v>
      </c>
      <c r="K24" s="294"/>
      <c r="L24" s="294">
        <f t="shared" si="2"/>
        <v>0</v>
      </c>
      <c r="M24" s="295"/>
      <c r="N24" s="296"/>
      <c r="O24" s="297"/>
      <c r="P24" s="296">
        <f>IFERROR(VLOOKUP(CONCATENATE(IF(MID($I24,1,1)="P","*",""),$F24),'[1]Programación x Auditor'!$C:$E,2,0),"")</f>
        <v>0</v>
      </c>
      <c r="Q24" s="297">
        <f>IFERROR(VLOOKUP(CONCATENATE(IF(MID($I24,1,1)="P","*",""),$F24),'[1]Programación x Auditor'!$C:$E,3,0),"")</f>
        <v>0</v>
      </c>
      <c r="R24" s="298"/>
      <c r="S24" s="298"/>
      <c r="T24" s="1"/>
    </row>
    <row r="25" spans="1:20" ht="27.75" customHeight="1" x14ac:dyDescent="0.35">
      <c r="A25" s="116">
        <f t="shared" si="0"/>
        <v>23</v>
      </c>
      <c r="B25" s="123" t="str">
        <f t="shared" si="1"/>
        <v>*Liliana Erazo</v>
      </c>
      <c r="C25" s="118">
        <f>IF(J25="Si",COUNTIF(J$3:J25,"Si"),"")</f>
        <v>23</v>
      </c>
      <c r="D25" s="109" t="str">
        <f t="shared" si="3"/>
        <v>FALSO</v>
      </c>
      <c r="E25" s="113">
        <f>IF(F25="","",COUNTA(F$3:F25))</f>
        <v>23</v>
      </c>
      <c r="F25" s="115" t="s">
        <v>410</v>
      </c>
      <c r="G25" s="204" t="s">
        <v>689</v>
      </c>
      <c r="H25" s="303" t="s">
        <v>365</v>
      </c>
      <c r="I25" s="124" t="s">
        <v>366</v>
      </c>
      <c r="J25" s="113" t="s">
        <v>367</v>
      </c>
      <c r="K25" s="294" t="s">
        <v>738</v>
      </c>
      <c r="L25" s="294">
        <f t="shared" si="2"/>
        <v>8</v>
      </c>
      <c r="M25" s="295">
        <v>2</v>
      </c>
      <c r="N25" s="296">
        <v>1</v>
      </c>
      <c r="O25" s="297"/>
      <c r="P25" s="296">
        <v>2</v>
      </c>
      <c r="Q25" s="297"/>
      <c r="R25" s="298">
        <v>3</v>
      </c>
      <c r="S25" s="298"/>
    </row>
    <row r="26" spans="1:20" ht="17.25" customHeight="1" x14ac:dyDescent="0.35">
      <c r="A26" s="116">
        <f t="shared" si="0"/>
        <v>24</v>
      </c>
      <c r="B26" s="123" t="str">
        <f t="shared" si="1"/>
        <v>Martha Lucia Bolaños Imbachi</v>
      </c>
      <c r="C26" s="118">
        <f>IF(J26="Si",COUNTIF(J$3:J26,"Si"),"")</f>
        <v>24</v>
      </c>
      <c r="D26" s="109" t="str">
        <f t="shared" si="3"/>
        <v>VERDADERO</v>
      </c>
      <c r="E26" s="113">
        <f>IF(F26="","",COUNTA(F$3:F26))</f>
        <v>24</v>
      </c>
      <c r="F26" s="114" t="s">
        <v>716</v>
      </c>
      <c r="G26" s="204" t="s">
        <v>395</v>
      </c>
      <c r="H26" s="114" t="s">
        <v>412</v>
      </c>
      <c r="I26" s="124" t="s">
        <v>369</v>
      </c>
      <c r="J26" s="113" t="s">
        <v>367</v>
      </c>
      <c r="K26" s="294" t="s">
        <v>754</v>
      </c>
      <c r="L26" s="294">
        <f t="shared" si="2"/>
        <v>0</v>
      </c>
      <c r="M26" s="295"/>
      <c r="N26" s="296"/>
      <c r="O26" s="297"/>
      <c r="P26" s="296">
        <f>IFERROR(VLOOKUP(CONCATENATE(IF(MID($I26,1,1)="P","*",""),$F26),'[1]Programación x Auditor'!$C:$E,2,0),"")</f>
        <v>0</v>
      </c>
      <c r="Q26" s="297">
        <f>IFERROR(VLOOKUP(CONCATENATE(IF(MID($I26,1,1)="P","*",""),$F26),'[1]Programación x Auditor'!$C:$E,3,0),"")</f>
        <v>0</v>
      </c>
      <c r="R26" s="298"/>
      <c r="S26" s="298"/>
    </row>
    <row r="27" spans="1:20" ht="15" customHeight="1" x14ac:dyDescent="0.35">
      <c r="A27" s="116">
        <f>E27</f>
        <v>25</v>
      </c>
      <c r="B27" s="123" t="str">
        <f t="shared" si="1"/>
        <v>Miguel Dario Calvachy</v>
      </c>
      <c r="C27" s="118">
        <f>IF(J27="Si",COUNTIF(J$3:J27,"Si"),"")</f>
        <v>25</v>
      </c>
      <c r="D27" s="109" t="str">
        <f t="shared" si="3"/>
        <v>FALSO</v>
      </c>
      <c r="E27" s="113">
        <f>IF(F27="","",COUNTA(F$3:F27))</f>
        <v>25</v>
      </c>
      <c r="F27" s="114" t="s">
        <v>717</v>
      </c>
      <c r="G27" s="204" t="s">
        <v>395</v>
      </c>
      <c r="H27" s="114" t="s">
        <v>413</v>
      </c>
      <c r="I27" s="124" t="s">
        <v>369</v>
      </c>
      <c r="J27" s="113" t="s">
        <v>367</v>
      </c>
      <c r="K27" s="294" t="s">
        <v>739</v>
      </c>
      <c r="L27" s="294">
        <f t="shared" si="2"/>
        <v>5</v>
      </c>
      <c r="M27" s="295">
        <v>2</v>
      </c>
      <c r="N27" s="296">
        <v>2</v>
      </c>
      <c r="O27" s="297"/>
      <c r="P27" s="296">
        <f>IFERROR(VLOOKUP(CONCATENATE(IF(MID($I27,1,1)="P","*",""),$F27),'[1]Programación x Auditor'!$C:$E,2,0),"")</f>
        <v>0</v>
      </c>
      <c r="Q27" s="297">
        <f>IFERROR(VLOOKUP(CONCATENATE(IF(MID($I27,1,1)="P","*",""),$F27),'[1]Programación x Auditor'!$C:$E,3,0),"")</f>
        <v>0</v>
      </c>
      <c r="R27" s="298"/>
      <c r="S27" s="298">
        <v>1</v>
      </c>
    </row>
    <row r="28" spans="1:20" ht="15" customHeight="1" x14ac:dyDescent="0.35">
      <c r="A28" s="116">
        <f t="shared" si="0"/>
        <v>26</v>
      </c>
      <c r="B28" s="123" t="str">
        <f t="shared" si="1"/>
        <v>Natalia Córdoba Claros</v>
      </c>
      <c r="C28" s="118">
        <f>IF(J28="Si",COUNTIF(J$3:J28,"Si"),"")</f>
        <v>26</v>
      </c>
      <c r="D28" s="109" t="str">
        <f t="shared" si="3"/>
        <v>VERDADERO</v>
      </c>
      <c r="E28" s="113">
        <f>IF(F28="","",COUNTA(F$3:F28))</f>
        <v>26</v>
      </c>
      <c r="F28" s="115" t="s">
        <v>414</v>
      </c>
      <c r="G28" s="204" t="s">
        <v>395</v>
      </c>
      <c r="H28" s="114" t="s">
        <v>415</v>
      </c>
      <c r="I28" s="124" t="s">
        <v>369</v>
      </c>
      <c r="J28" s="113" t="s">
        <v>367</v>
      </c>
      <c r="K28" s="294" t="s">
        <v>739</v>
      </c>
      <c r="L28" s="294">
        <f t="shared" si="2"/>
        <v>6</v>
      </c>
      <c r="M28" s="295"/>
      <c r="N28" s="296"/>
      <c r="O28" s="297"/>
      <c r="P28" s="296">
        <v>2</v>
      </c>
      <c r="Q28" s="297">
        <f>IFERROR(VLOOKUP(CONCATENATE(IF(MID($I28,1,1)="P","*",""),$F28),'[1]Programación x Auditor'!$C:$E,3,0),"")</f>
        <v>1</v>
      </c>
      <c r="R28" s="298">
        <v>3</v>
      </c>
      <c r="S28" s="298"/>
    </row>
    <row r="29" spans="1:20" ht="15" customHeight="1" x14ac:dyDescent="0.35">
      <c r="A29" s="116">
        <f t="shared" si="0"/>
        <v>27</v>
      </c>
      <c r="B29" s="123" t="str">
        <f t="shared" si="1"/>
        <v>*Neiby Alejandra López Montenegro</v>
      </c>
      <c r="C29" s="118">
        <f>IF(J29="Si",COUNTIF(J$3:J29,"Si"),"")</f>
        <v>27</v>
      </c>
      <c r="D29" s="109" t="str">
        <f t="shared" si="3"/>
        <v>FALSO</v>
      </c>
      <c r="E29" s="113">
        <f>IF(F29="","",COUNTA(F$3:F29))</f>
        <v>27</v>
      </c>
      <c r="F29" s="115" t="s">
        <v>416</v>
      </c>
      <c r="G29" s="204" t="s">
        <v>417</v>
      </c>
      <c r="H29" s="114" t="s">
        <v>418</v>
      </c>
      <c r="I29" s="124" t="s">
        <v>366</v>
      </c>
      <c r="J29" s="113" t="s">
        <v>367</v>
      </c>
      <c r="K29" s="294" t="s">
        <v>738</v>
      </c>
      <c r="L29" s="294">
        <f t="shared" si="2"/>
        <v>7</v>
      </c>
      <c r="M29" s="295"/>
      <c r="N29" s="296">
        <v>2</v>
      </c>
      <c r="O29" s="297"/>
      <c r="P29" s="296">
        <v>2</v>
      </c>
      <c r="Q29" s="297"/>
      <c r="R29" s="298">
        <v>3</v>
      </c>
      <c r="S29" s="298"/>
    </row>
    <row r="30" spans="1:20" ht="15" customHeight="1" x14ac:dyDescent="0.35">
      <c r="A30" s="116">
        <f t="shared" si="0"/>
        <v>28</v>
      </c>
      <c r="B30" s="123" t="str">
        <f t="shared" si="1"/>
        <v>*Omar Andrés Acosta Caicedo</v>
      </c>
      <c r="C30" s="118">
        <f>IF(J30="Si",COUNTIF(J$3:J30,"Si"),"")</f>
        <v>28</v>
      </c>
      <c r="D30" s="109" t="str">
        <f t="shared" si="3"/>
        <v>VERDADERO</v>
      </c>
      <c r="E30" s="113">
        <f>IF(F30="","",COUNTA(F$3:F30))</f>
        <v>28</v>
      </c>
      <c r="F30" s="114" t="s">
        <v>419</v>
      </c>
      <c r="G30" s="204" t="s">
        <v>690</v>
      </c>
      <c r="H30" s="303" t="s">
        <v>411</v>
      </c>
      <c r="I30" s="124" t="s">
        <v>366</v>
      </c>
      <c r="J30" s="113" t="s">
        <v>367</v>
      </c>
      <c r="K30" s="294" t="s">
        <v>738</v>
      </c>
      <c r="L30" s="294">
        <f t="shared" si="2"/>
        <v>7</v>
      </c>
      <c r="M30" s="295"/>
      <c r="N30" s="296"/>
      <c r="O30" s="297"/>
      <c r="P30" s="296">
        <v>2</v>
      </c>
      <c r="Q30" s="297"/>
      <c r="R30" s="298">
        <v>3</v>
      </c>
      <c r="S30" s="298">
        <v>2</v>
      </c>
    </row>
    <row r="31" spans="1:20" ht="15" customHeight="1" x14ac:dyDescent="0.35">
      <c r="A31" s="116">
        <f t="shared" si="0"/>
        <v>29</v>
      </c>
      <c r="B31" s="123" t="str">
        <f t="shared" si="1"/>
        <v>Oscar Eduardo Torres Fernandez</v>
      </c>
      <c r="C31" s="118">
        <f>IF(J31="Si",COUNTIF(J$3:J31,"Si"),"")</f>
        <v>29</v>
      </c>
      <c r="D31" s="109" t="str">
        <f t="shared" si="3"/>
        <v>FALSO</v>
      </c>
      <c r="E31" s="113">
        <f>IF(F31="","",COUNTA(F$3:F31))</f>
        <v>29</v>
      </c>
      <c r="F31" s="115" t="s">
        <v>420</v>
      </c>
      <c r="G31" s="204" t="s">
        <v>396</v>
      </c>
      <c r="H31" s="114" t="s">
        <v>421</v>
      </c>
      <c r="I31" s="124" t="s">
        <v>369</v>
      </c>
      <c r="J31" s="113" t="s">
        <v>367</v>
      </c>
      <c r="K31" s="294"/>
      <c r="L31" s="294">
        <f t="shared" si="2"/>
        <v>1</v>
      </c>
      <c r="M31" s="295"/>
      <c r="N31" s="296"/>
      <c r="O31" s="297"/>
      <c r="P31" s="296">
        <f>IFERROR(VLOOKUP(CONCATENATE(IF(MID($I31,1,1)="P","*",""),$F31),'[1]Programación x Auditor'!$C:$E,2,0),"")</f>
        <v>0</v>
      </c>
      <c r="Q31" s="297">
        <f>IFERROR(VLOOKUP(CONCATENATE(IF(MID($I31,1,1)="P","*",""),$F31),'[1]Programación x Auditor'!$C:$E,3,0),"")</f>
        <v>1</v>
      </c>
      <c r="R31" s="298"/>
      <c r="S31" s="298"/>
    </row>
    <row r="32" spans="1:20" s="317" customFormat="1" ht="20.149999999999999" customHeight="1" x14ac:dyDescent="0.35">
      <c r="A32" s="304">
        <f t="shared" si="0"/>
        <v>30</v>
      </c>
      <c r="B32" s="284" t="str">
        <f t="shared" si="1"/>
        <v>Sandra Johanna Pinzón Hermosa</v>
      </c>
      <c r="C32" s="305">
        <f>IF(J32="Si",COUNTIF(J$3:J32,"Si"),"")</f>
        <v>30</v>
      </c>
      <c r="D32" s="306" t="str">
        <f t="shared" si="3"/>
        <v>VERDADERO</v>
      </c>
      <c r="E32" s="307">
        <f>IF(F32="","",COUNTA(F$3:F32))</f>
        <v>30</v>
      </c>
      <c r="F32" s="308" t="s">
        <v>718</v>
      </c>
      <c r="G32" s="309" t="s">
        <v>755</v>
      </c>
      <c r="H32" s="310" t="s">
        <v>756</v>
      </c>
      <c r="I32" s="311" t="s">
        <v>369</v>
      </c>
      <c r="J32" s="307" t="s">
        <v>367</v>
      </c>
      <c r="K32" s="312"/>
      <c r="L32" s="312">
        <f t="shared" si="2"/>
        <v>8</v>
      </c>
      <c r="M32" s="313"/>
      <c r="N32" s="314">
        <v>2</v>
      </c>
      <c r="O32" s="315"/>
      <c r="P32" s="314">
        <v>2</v>
      </c>
      <c r="Q32" s="315"/>
      <c r="R32" s="316">
        <v>3</v>
      </c>
      <c r="S32" s="316">
        <v>1</v>
      </c>
    </row>
    <row r="33" spans="1:19" ht="9.65" customHeight="1" x14ac:dyDescent="0.35">
      <c r="A33" s="116">
        <f t="shared" si="0"/>
        <v>31</v>
      </c>
      <c r="B33" s="123" t="str">
        <f t="shared" si="1"/>
        <v>Tatiana Mejia Rondon</v>
      </c>
      <c r="C33" s="118">
        <f>IF(J33="Si",COUNTIF(J$3:J33,"Si"),"")</f>
        <v>31</v>
      </c>
      <c r="D33" s="109" t="str">
        <f t="shared" si="3"/>
        <v>FALSO</v>
      </c>
      <c r="E33" s="113">
        <f>IF(F33="","",COUNTA(F$3:F33))</f>
        <v>31</v>
      </c>
      <c r="F33" s="114" t="s">
        <v>422</v>
      </c>
      <c r="G33" s="204" t="s">
        <v>691</v>
      </c>
      <c r="H33" s="303" t="s">
        <v>757</v>
      </c>
      <c r="I33" s="124"/>
      <c r="J33" s="113" t="s">
        <v>367</v>
      </c>
      <c r="K33" s="294" t="s">
        <v>739</v>
      </c>
      <c r="L33" s="294">
        <f t="shared" si="2"/>
        <v>7</v>
      </c>
      <c r="M33" s="295"/>
      <c r="N33" s="296"/>
      <c r="O33" s="297"/>
      <c r="P33" s="296">
        <v>2</v>
      </c>
      <c r="Q33" s="297"/>
      <c r="R33" s="298">
        <v>3</v>
      </c>
      <c r="S33" s="298">
        <v>2</v>
      </c>
    </row>
    <row r="34" spans="1:19" ht="20.149999999999999" customHeight="1" x14ac:dyDescent="0.35">
      <c r="A34" s="116">
        <f t="shared" si="0"/>
        <v>32</v>
      </c>
      <c r="B34" s="123" t="str">
        <f t="shared" si="1"/>
        <v>*Wadys Montilla Ortega</v>
      </c>
      <c r="C34" s="118">
        <f>IF(J34="Si",COUNTIF(J$3:J34,"Si"),"")</f>
        <v>32</v>
      </c>
      <c r="D34" s="109" t="str">
        <f t="shared" si="3"/>
        <v>VERDADERO</v>
      </c>
      <c r="E34" s="113">
        <f>IF(F34="","",COUNTA(F$3:F34))</f>
        <v>32</v>
      </c>
      <c r="F34" s="115" t="s">
        <v>424</v>
      </c>
      <c r="G34" s="204" t="s">
        <v>425</v>
      </c>
      <c r="H34" s="303" t="s">
        <v>758</v>
      </c>
      <c r="I34" s="124" t="s">
        <v>366</v>
      </c>
      <c r="J34" s="113" t="s">
        <v>367</v>
      </c>
      <c r="K34" s="294" t="s">
        <v>738</v>
      </c>
      <c r="L34" s="294">
        <f t="shared" si="2"/>
        <v>7</v>
      </c>
      <c r="M34" s="295">
        <v>2</v>
      </c>
      <c r="N34" s="296">
        <v>1</v>
      </c>
      <c r="O34" s="297"/>
      <c r="P34" s="296">
        <v>2</v>
      </c>
      <c r="Q34" s="297"/>
      <c r="R34" s="298">
        <v>2</v>
      </c>
      <c r="S34" s="298"/>
    </row>
    <row r="35" spans="1:19" ht="15" customHeight="1" x14ac:dyDescent="0.35">
      <c r="A35" s="116">
        <f t="shared" si="0"/>
        <v>33</v>
      </c>
      <c r="B35" s="123" t="str">
        <f t="shared" si="1"/>
        <v>*Yaqueline Rivera López</v>
      </c>
      <c r="C35" s="118">
        <f>IF(J35="Si",COUNTIF(J$3:J35,"Si"),"")</f>
        <v>33</v>
      </c>
      <c r="D35" s="109" t="str">
        <f t="shared" si="3"/>
        <v>FALSO</v>
      </c>
      <c r="E35" s="113">
        <f>IF(F35="","",COUNTA(F$3:F35))</f>
        <v>33</v>
      </c>
      <c r="F35" s="114" t="s">
        <v>426</v>
      </c>
      <c r="G35" s="204" t="s">
        <v>427</v>
      </c>
      <c r="H35" s="114" t="s">
        <v>428</v>
      </c>
      <c r="I35" s="124" t="s">
        <v>366</v>
      </c>
      <c r="J35" s="113" t="s">
        <v>367</v>
      </c>
      <c r="K35" s="294" t="s">
        <v>739</v>
      </c>
      <c r="L35" s="294">
        <f t="shared" si="2"/>
        <v>5</v>
      </c>
      <c r="M35" s="295"/>
      <c r="N35" s="296"/>
      <c r="O35" s="297"/>
      <c r="P35" s="296">
        <v>2</v>
      </c>
      <c r="Q35" s="297"/>
      <c r="R35" s="298">
        <v>3</v>
      </c>
      <c r="S35" s="298"/>
    </row>
    <row r="36" spans="1:19" ht="15" customHeight="1" x14ac:dyDescent="0.35">
      <c r="A36" s="116">
        <f t="shared" si="0"/>
        <v>34</v>
      </c>
      <c r="B36" s="123" t="str">
        <f t="shared" si="1"/>
        <v>*Luisa Marcela Toro Medina</v>
      </c>
      <c r="C36" s="118">
        <f>IF(J36="Si",COUNTIF(J$3:J36,"Si"),"")</f>
        <v>34</v>
      </c>
      <c r="D36" s="109"/>
      <c r="E36" s="113">
        <f>IF(F36="","",COUNTA(F$3:F36))</f>
        <v>34</v>
      </c>
      <c r="F36" s="318" t="s">
        <v>692</v>
      </c>
      <c r="G36" s="319" t="s">
        <v>693</v>
      </c>
      <c r="H36" s="320" t="s">
        <v>759</v>
      </c>
      <c r="I36" s="321" t="s">
        <v>366</v>
      </c>
      <c r="J36" s="113" t="s">
        <v>367</v>
      </c>
      <c r="K36" s="294" t="s">
        <v>739</v>
      </c>
      <c r="L36" s="294">
        <f t="shared" si="2"/>
        <v>3</v>
      </c>
      <c r="M36" s="295"/>
      <c r="N36" s="296"/>
      <c r="O36" s="297"/>
      <c r="P36" s="296"/>
      <c r="Q36" s="297"/>
      <c r="R36" s="298">
        <v>3</v>
      </c>
      <c r="S36" s="298"/>
    </row>
    <row r="37" spans="1:19" ht="15" customHeight="1" x14ac:dyDescent="0.35">
      <c r="A37" s="116">
        <f t="shared" si="0"/>
        <v>35</v>
      </c>
      <c r="B37" s="123" t="str">
        <f t="shared" si="1"/>
        <v>Nora Fernanda Arciniegas Sanchez</v>
      </c>
      <c r="C37" s="118">
        <f>IF(J37="Si",COUNTIF(J$3:J37,"Si"),"")</f>
        <v>35</v>
      </c>
      <c r="D37" s="109"/>
      <c r="E37" s="322">
        <f>IF(F37="","",COUNTA(F$3:F37))</f>
        <v>35</v>
      </c>
      <c r="F37" s="323" t="s">
        <v>719</v>
      </c>
      <c r="G37" s="324" t="s">
        <v>395</v>
      </c>
      <c r="H37" s="325" t="s">
        <v>760</v>
      </c>
      <c r="I37" s="326" t="s">
        <v>369</v>
      </c>
      <c r="J37" s="113" t="s">
        <v>367</v>
      </c>
      <c r="K37" s="294" t="s">
        <v>754</v>
      </c>
      <c r="L37" s="294">
        <v>0</v>
      </c>
      <c r="M37" s="295"/>
      <c r="N37" s="296"/>
      <c r="O37" s="297"/>
      <c r="P37" s="296"/>
      <c r="Q37" s="297"/>
      <c r="R37" s="298"/>
      <c r="S37" s="298"/>
    </row>
    <row r="38" spans="1:19" ht="15" customHeight="1" x14ac:dyDescent="0.35">
      <c r="A38" s="116">
        <f t="shared" si="0"/>
        <v>36</v>
      </c>
      <c r="B38" s="123" t="str">
        <f>IFERROR(CONCATENATE(IF(MID(VLOOKUP(A38,C:I,7,0),1,1)="P","*",""),VLOOKUP(A38,C:F,4,0)),"")</f>
        <v>Jeferson Esteban Cordoba Molano</v>
      </c>
      <c r="C38" s="118">
        <f>IF(J38="Si",COUNTIF(J$3:J38,"Si"),"")</f>
        <v>36</v>
      </c>
      <c r="D38" s="109"/>
      <c r="E38" s="322">
        <f>IF(F38="","",COUNTA(F$3:F38))</f>
        <v>36</v>
      </c>
      <c r="F38" s="327" t="s">
        <v>694</v>
      </c>
      <c r="G38" s="327" t="s">
        <v>695</v>
      </c>
      <c r="H38" s="328" t="s">
        <v>761</v>
      </c>
      <c r="I38" s="124" t="s">
        <v>369</v>
      </c>
      <c r="J38" s="329" t="s">
        <v>367</v>
      </c>
      <c r="K38" s="294" t="s">
        <v>754</v>
      </c>
      <c r="L38" s="294">
        <v>0</v>
      </c>
      <c r="M38" s="330"/>
      <c r="N38" s="331"/>
      <c r="O38" s="332"/>
      <c r="P38" s="331"/>
      <c r="Q38" s="332"/>
      <c r="R38" s="333"/>
      <c r="S38" s="333"/>
    </row>
    <row r="39" spans="1:19" ht="15" customHeight="1" x14ac:dyDescent="0.35">
      <c r="A39" s="116">
        <f t="shared" si="0"/>
        <v>37</v>
      </c>
      <c r="B39" s="123" t="str">
        <f>IFERROR(CONCATENATE(IF(MID(VLOOKUP(A39,C:I,7,0),1,1)="P","*",""),VLOOKUP(A39,C:F,4,0)),"")</f>
        <v>Diana Carolina Vasquez Zambrano</v>
      </c>
      <c r="C39" s="118">
        <f>IF(J39="Si",COUNTIF(J$3:J39,"Si"),"")</f>
        <v>37</v>
      </c>
      <c r="D39" s="109"/>
      <c r="E39" s="322">
        <f>IF(F39="","",COUNTA(F$3:F39))</f>
        <v>37</v>
      </c>
      <c r="F39" s="6" t="s">
        <v>720</v>
      </c>
      <c r="G39" s="6" t="s">
        <v>762</v>
      </c>
      <c r="H39" s="334" t="s">
        <v>763</v>
      </c>
      <c r="I39" s="124" t="s">
        <v>369</v>
      </c>
      <c r="J39" s="113" t="s">
        <v>367</v>
      </c>
      <c r="K39" s="294" t="s">
        <v>754</v>
      </c>
      <c r="L39" s="294">
        <v>0</v>
      </c>
      <c r="M39" s="295"/>
      <c r="N39" s="296"/>
      <c r="O39" s="297"/>
      <c r="P39" s="296"/>
      <c r="Q39" s="297"/>
      <c r="R39" s="298"/>
      <c r="S39" s="298"/>
    </row>
    <row r="40" spans="1:19" ht="15" customHeight="1" x14ac:dyDescent="0.35">
      <c r="A40" s="116">
        <f t="shared" si="0"/>
        <v>38</v>
      </c>
      <c r="B40" s="123" t="str">
        <f>IFERROR(CONCATENATE(IF(MID(VLOOKUP(A40,C:I,7,0),1,1)="P","*",""),VLOOKUP(A40,C:F,4,0)),"")</f>
        <v>Yudi Andrea Acalo Higon</v>
      </c>
      <c r="C40" s="118">
        <f>IF(J40="Si",COUNTIF(J$3:J40,"Si"),"")</f>
        <v>38</v>
      </c>
      <c r="D40" s="109"/>
      <c r="E40" s="322">
        <f>IF(F40="","",COUNTA(F$3:F40))</f>
        <v>38</v>
      </c>
      <c r="F40" s="335" t="s">
        <v>696</v>
      </c>
      <c r="G40" s="327" t="s">
        <v>764</v>
      </c>
      <c r="H40" s="336" t="s">
        <v>765</v>
      </c>
      <c r="I40" s="124" t="s">
        <v>369</v>
      </c>
      <c r="J40" s="329" t="s">
        <v>367</v>
      </c>
      <c r="K40" s="294" t="s">
        <v>754</v>
      </c>
      <c r="L40" s="294">
        <v>0</v>
      </c>
      <c r="M40" s="330"/>
      <c r="N40" s="331"/>
      <c r="O40" s="332"/>
      <c r="P40" s="331"/>
      <c r="Q40" s="332"/>
      <c r="R40" s="333"/>
      <c r="S40" s="333"/>
    </row>
    <row r="41" spans="1:19" ht="15" customHeight="1" x14ac:dyDescent="0.35">
      <c r="A41" s="116">
        <f t="shared" si="0"/>
        <v>39</v>
      </c>
      <c r="B41" s="123" t="str">
        <f>IFERROR(CONCATENATE(IF(MID(VLOOKUP(A41,C:I,7,0),1,1)="P","*",""),VLOOKUP(A41,C:F,4,0)),"")</f>
        <v>Jorge Eduardo Rengifo Lozada</v>
      </c>
      <c r="C41" s="118">
        <f>IF(J41="Si",COUNTIF(J$3:J41,"Si"),"")</f>
        <v>39</v>
      </c>
      <c r="D41" s="109"/>
      <c r="E41" s="322">
        <f>IF(F41="","",COUNTA(F$3:F41))</f>
        <v>39</v>
      </c>
      <c r="F41" s="6" t="s">
        <v>697</v>
      </c>
      <c r="G41" s="6" t="s">
        <v>762</v>
      </c>
      <c r="H41" s="337" t="s">
        <v>766</v>
      </c>
      <c r="I41" s="124" t="s">
        <v>369</v>
      </c>
      <c r="J41" s="113" t="s">
        <v>367</v>
      </c>
      <c r="K41" s="294" t="s">
        <v>754</v>
      </c>
      <c r="L41" s="294">
        <v>0</v>
      </c>
      <c r="M41" s="295"/>
      <c r="N41" s="296"/>
      <c r="O41" s="297"/>
      <c r="P41" s="296"/>
      <c r="Q41" s="297"/>
      <c r="R41" s="298"/>
      <c r="S41" s="298"/>
    </row>
    <row r="42" spans="1:19" ht="15" customHeight="1" x14ac:dyDescent="0.35">
      <c r="A42" s="116">
        <f t="shared" si="0"/>
        <v>40</v>
      </c>
      <c r="B42" s="123" t="str">
        <f>IFERROR(CONCATENATE(IF(MID(VLOOKUP(A42,C:I,7,0),1,1)="P","*",""),VLOOKUP(A42,C:F,4,0)),"")</f>
        <v xml:space="preserve"> Arnol Arias Hoyos </v>
      </c>
      <c r="C42" s="118">
        <f>IF(J42="Si",COUNTIF(J$3:J42,"Si"),"")</f>
        <v>40</v>
      </c>
      <c r="D42" s="109"/>
      <c r="E42" s="322">
        <f>IF(F42="","",COUNTA(F$3:F42))</f>
        <v>40</v>
      </c>
      <c r="F42" s="327" t="s">
        <v>698</v>
      </c>
      <c r="G42" s="327" t="s">
        <v>767</v>
      </c>
      <c r="H42" s="336" t="s">
        <v>768</v>
      </c>
      <c r="I42" s="124" t="s">
        <v>369</v>
      </c>
      <c r="J42" s="329" t="s">
        <v>367</v>
      </c>
      <c r="K42" s="294" t="s">
        <v>754</v>
      </c>
      <c r="L42" s="294">
        <v>0</v>
      </c>
      <c r="M42" s="330"/>
      <c r="N42" s="331"/>
      <c r="O42" s="332"/>
      <c r="P42" s="331"/>
      <c r="Q42" s="332"/>
      <c r="R42" s="333"/>
      <c r="S42" s="333"/>
    </row>
    <row r="43" spans="1:19" ht="15" customHeight="1" x14ac:dyDescent="0.35">
      <c r="A43" s="116">
        <f t="shared" si="0"/>
        <v>41</v>
      </c>
      <c r="B43" s="123" t="str">
        <f t="shared" ref="B43:B56" si="4">IFERROR(CONCATENATE(IF(MID(VLOOKUP(A43,C:I,7,0),1,1)="P","*",""),VLOOKUP(A43,C:F,4,0)),"")</f>
        <v>Cristian Libardo Idrobo Posada</v>
      </c>
      <c r="C43" s="118">
        <f>IF(J43="Si",COUNTIF(J$3:J43,"Si"),"")</f>
        <v>41</v>
      </c>
      <c r="D43" s="109"/>
      <c r="E43" s="322">
        <f>IF(F43="","",COUNTA(F$3:F43))</f>
        <v>41</v>
      </c>
      <c r="F43" s="6" t="s">
        <v>721</v>
      </c>
      <c r="G43" s="6" t="s">
        <v>769</v>
      </c>
      <c r="H43" s="338" t="s">
        <v>373</v>
      </c>
      <c r="I43" s="124" t="s">
        <v>369</v>
      </c>
      <c r="J43" s="339" t="s">
        <v>367</v>
      </c>
      <c r="K43" s="294" t="s">
        <v>754</v>
      </c>
      <c r="L43" s="294">
        <v>0</v>
      </c>
      <c r="M43" s="340"/>
      <c r="N43" s="341"/>
      <c r="O43" s="342"/>
      <c r="P43" s="341"/>
      <c r="Q43" s="342"/>
      <c r="R43" s="343"/>
      <c r="S43" s="343"/>
    </row>
    <row r="44" spans="1:19" ht="15" customHeight="1" x14ac:dyDescent="0.35">
      <c r="A44" s="116">
        <f t="shared" si="0"/>
        <v>42</v>
      </c>
      <c r="B44" s="123" t="str">
        <f t="shared" si="4"/>
        <v>Sergio Andrés Lozano Niño</v>
      </c>
      <c r="C44" s="118">
        <f>IF(J44="Si",COUNTIF(J$3:J44,"Si"),"")</f>
        <v>42</v>
      </c>
      <c r="D44" s="109"/>
      <c r="E44" s="322">
        <f>IF(F44="","",COUNTA(F$3:F44))</f>
        <v>42</v>
      </c>
      <c r="F44" s="327" t="s">
        <v>699</v>
      </c>
      <c r="G44" s="327" t="s">
        <v>770</v>
      </c>
      <c r="H44" s="336" t="s">
        <v>771</v>
      </c>
      <c r="I44" s="124" t="s">
        <v>369</v>
      </c>
      <c r="J44" s="329" t="s">
        <v>367</v>
      </c>
      <c r="K44" s="294" t="s">
        <v>754</v>
      </c>
      <c r="L44" s="294">
        <v>0</v>
      </c>
      <c r="M44" s="330"/>
      <c r="N44" s="331"/>
      <c r="O44" s="332"/>
      <c r="P44" s="331"/>
      <c r="Q44" s="332"/>
      <c r="R44" s="333"/>
      <c r="S44" s="333"/>
    </row>
    <row r="45" spans="1:19" ht="15" customHeight="1" x14ac:dyDescent="0.35">
      <c r="A45" s="116">
        <f t="shared" si="0"/>
        <v>43</v>
      </c>
      <c r="B45" s="123" t="str">
        <f t="shared" si="4"/>
        <v xml:space="preserve">Lina Fernanda Gutiérrez Montoya   </v>
      </c>
      <c r="C45" s="118">
        <f>IF(J45="Si",COUNTIF(J$3:J45,"Si"),"")</f>
        <v>43</v>
      </c>
      <c r="D45" s="109"/>
      <c r="E45" s="322">
        <f>IF(F45="","",COUNTA(F$3:F45))</f>
        <v>43</v>
      </c>
      <c r="F45" s="6" t="s">
        <v>700</v>
      </c>
      <c r="G45" s="6" t="s">
        <v>695</v>
      </c>
      <c r="H45" s="338" t="s">
        <v>772</v>
      </c>
      <c r="I45" s="124" t="s">
        <v>369</v>
      </c>
      <c r="J45" s="339" t="s">
        <v>367</v>
      </c>
      <c r="K45" s="294" t="s">
        <v>754</v>
      </c>
      <c r="L45" s="294">
        <v>0</v>
      </c>
      <c r="M45" s="340"/>
      <c r="N45" s="341"/>
      <c r="O45" s="342"/>
      <c r="P45" s="341"/>
      <c r="Q45" s="342"/>
      <c r="R45" s="343"/>
      <c r="S45" s="343"/>
    </row>
    <row r="46" spans="1:19" ht="15" customHeight="1" x14ac:dyDescent="0.35">
      <c r="A46" s="116">
        <f t="shared" si="0"/>
        <v>44</v>
      </c>
      <c r="B46" s="123" t="str">
        <f t="shared" si="4"/>
        <v>Fabian Felipe Mera Hurtado</v>
      </c>
      <c r="C46" s="118">
        <f>IF(J46="Si",COUNTIF(J$3:J46,"Si"),"")</f>
        <v>44</v>
      </c>
      <c r="D46" s="109"/>
      <c r="E46" s="322">
        <f>IF(F46="","",COUNTA(F$3:F46))</f>
        <v>44</v>
      </c>
      <c r="F46" s="327" t="s">
        <v>722</v>
      </c>
      <c r="G46" s="327" t="s">
        <v>773</v>
      </c>
      <c r="H46" s="336" t="s">
        <v>774</v>
      </c>
      <c r="I46" s="124" t="s">
        <v>369</v>
      </c>
      <c r="J46" s="329" t="s">
        <v>367</v>
      </c>
      <c r="K46" s="294" t="s">
        <v>754</v>
      </c>
      <c r="L46" s="294">
        <v>0</v>
      </c>
      <c r="M46" s="330"/>
      <c r="N46" s="331"/>
      <c r="O46" s="332"/>
      <c r="P46" s="331"/>
      <c r="Q46" s="332"/>
      <c r="R46" s="333"/>
      <c r="S46" s="333"/>
    </row>
    <row r="47" spans="1:19" s="317" customFormat="1" ht="14.5" customHeight="1" x14ac:dyDescent="0.35">
      <c r="A47" s="116">
        <f t="shared" si="0"/>
        <v>45</v>
      </c>
      <c r="B47" s="123" t="str">
        <f t="shared" si="4"/>
        <v xml:space="preserve">Yeni Fernanda Castrillón Sánchez </v>
      </c>
      <c r="C47" s="344">
        <f>IF(J47="Si",COUNTIF(J$3:J47,"Si"),"")</f>
        <v>45</v>
      </c>
      <c r="D47" s="345"/>
      <c r="E47" s="346">
        <f>IF(F47="","",COUNTA(F$3:F47))</f>
        <v>45</v>
      </c>
      <c r="F47" s="347" t="s">
        <v>723</v>
      </c>
      <c r="G47" s="347" t="s">
        <v>369</v>
      </c>
      <c r="H47" s="348" t="s">
        <v>775</v>
      </c>
      <c r="I47" s="311" t="s">
        <v>369</v>
      </c>
      <c r="J47" s="307" t="s">
        <v>367</v>
      </c>
      <c r="K47" s="294" t="s">
        <v>754</v>
      </c>
      <c r="L47" s="312">
        <v>0</v>
      </c>
      <c r="M47" s="313"/>
      <c r="N47" s="314"/>
      <c r="O47" s="315"/>
      <c r="P47" s="314"/>
      <c r="Q47" s="315"/>
      <c r="R47" s="316"/>
      <c r="S47" s="316"/>
    </row>
    <row r="48" spans="1:19" ht="15" customHeight="1" x14ac:dyDescent="0.35">
      <c r="A48" s="116">
        <f t="shared" si="0"/>
        <v>46</v>
      </c>
      <c r="B48" s="123" t="str">
        <f t="shared" si="4"/>
        <v xml:space="preserve">Diego Fernando Ordoñez Trullo   </v>
      </c>
      <c r="C48" s="118">
        <f>IF(J48="Si",COUNTIF(J$3:J48,"Si"),"")</f>
        <v>46</v>
      </c>
      <c r="D48" s="109"/>
      <c r="E48" s="322">
        <f>IF(F48="","",COUNTA(F$3:F48))</f>
        <v>46</v>
      </c>
      <c r="F48" s="327" t="s">
        <v>701</v>
      </c>
      <c r="G48" s="327" t="s">
        <v>776</v>
      </c>
      <c r="H48" s="336" t="s">
        <v>777</v>
      </c>
      <c r="I48" s="124" t="s">
        <v>369</v>
      </c>
      <c r="J48" s="329" t="s">
        <v>367</v>
      </c>
      <c r="K48" s="294" t="s">
        <v>754</v>
      </c>
      <c r="L48" s="294">
        <v>0</v>
      </c>
      <c r="M48" s="330"/>
      <c r="N48" s="331"/>
      <c r="O48" s="332"/>
      <c r="P48" s="331"/>
      <c r="Q48" s="332"/>
      <c r="R48" s="333"/>
      <c r="S48" s="333"/>
    </row>
    <row r="49" spans="1:20" ht="15" customHeight="1" x14ac:dyDescent="0.35">
      <c r="A49" s="116">
        <f t="shared" si="0"/>
        <v>47</v>
      </c>
      <c r="B49" s="123" t="str">
        <f t="shared" si="4"/>
        <v xml:space="preserve">Angela Milena Velásquez Vargas      </v>
      </c>
      <c r="C49" s="118">
        <f>IF(J49="Si",COUNTIF(J$3:J49,"Si"),"")</f>
        <v>47</v>
      </c>
      <c r="D49" s="109"/>
      <c r="E49" s="322">
        <f>IF(F49="","",COUNTA(F$3:F49))</f>
        <v>47</v>
      </c>
      <c r="F49" s="327" t="s">
        <v>702</v>
      </c>
      <c r="G49" s="327" t="s">
        <v>778</v>
      </c>
      <c r="H49" s="336" t="s">
        <v>779</v>
      </c>
      <c r="I49" s="124" t="s">
        <v>369</v>
      </c>
      <c r="J49" s="329" t="s">
        <v>367</v>
      </c>
      <c r="K49" s="294" t="s">
        <v>754</v>
      </c>
      <c r="L49" s="294">
        <v>0</v>
      </c>
      <c r="M49" s="330"/>
      <c r="N49" s="331"/>
      <c r="O49" s="332"/>
      <c r="P49" s="331"/>
      <c r="Q49" s="332"/>
      <c r="R49" s="333"/>
      <c r="S49" s="333"/>
    </row>
    <row r="50" spans="1:20" ht="15" customHeight="1" x14ac:dyDescent="0.35">
      <c r="A50" s="116">
        <f t="shared" si="0"/>
        <v>48</v>
      </c>
      <c r="B50" s="123" t="str">
        <f t="shared" si="4"/>
        <v xml:space="preserve">Julieth Alexandra Chacón Paja
</v>
      </c>
      <c r="C50" s="118">
        <f>IF(J50="Si",COUNTIF(J$3:J50,"Si"),"")</f>
        <v>48</v>
      </c>
      <c r="D50" s="109"/>
      <c r="E50" s="322">
        <f>IF(F50="","",COUNTA(F$3:F50))</f>
        <v>48</v>
      </c>
      <c r="F50" s="6" t="s">
        <v>724</v>
      </c>
      <c r="G50" s="6" t="s">
        <v>395</v>
      </c>
      <c r="H50" s="338" t="s">
        <v>780</v>
      </c>
      <c r="I50" s="124" t="s">
        <v>369</v>
      </c>
      <c r="J50" s="339" t="s">
        <v>367</v>
      </c>
      <c r="K50" s="294" t="s">
        <v>754</v>
      </c>
      <c r="L50" s="294">
        <v>0</v>
      </c>
      <c r="M50" s="340"/>
      <c r="N50" s="341"/>
      <c r="O50" s="342"/>
      <c r="P50" s="341"/>
      <c r="Q50" s="342"/>
      <c r="R50" s="343"/>
      <c r="S50" s="343"/>
    </row>
    <row r="51" spans="1:20" ht="15" customHeight="1" x14ac:dyDescent="0.35">
      <c r="A51" s="116">
        <f t="shared" si="0"/>
        <v>49</v>
      </c>
      <c r="B51" s="123" t="str">
        <f t="shared" si="4"/>
        <v>Laura Maria Olarte Zuñiga</v>
      </c>
      <c r="C51" s="118">
        <f>IF(J51="Si",COUNTIF(J$3:J51,"Si"),"")</f>
        <v>49</v>
      </c>
      <c r="D51" s="109"/>
      <c r="E51" s="322">
        <f>IF(F51="","",COUNTA(F$3:F51))</f>
        <v>49</v>
      </c>
      <c r="F51" s="327" t="s">
        <v>703</v>
      </c>
      <c r="G51" s="327" t="s">
        <v>704</v>
      </c>
      <c r="H51" s="336" t="s">
        <v>781</v>
      </c>
      <c r="I51" s="124" t="s">
        <v>369</v>
      </c>
      <c r="J51" s="329" t="s">
        <v>367</v>
      </c>
      <c r="K51" s="294" t="s">
        <v>754</v>
      </c>
      <c r="L51" s="294">
        <v>0</v>
      </c>
      <c r="M51" s="330"/>
      <c r="N51" s="331"/>
      <c r="O51" s="332"/>
      <c r="P51" s="331"/>
      <c r="Q51" s="332"/>
      <c r="R51" s="333"/>
      <c r="S51" s="333"/>
    </row>
    <row r="52" spans="1:20" ht="15" customHeight="1" x14ac:dyDescent="0.35">
      <c r="A52" s="116">
        <f t="shared" si="0"/>
        <v>50</v>
      </c>
      <c r="B52" s="123" t="str">
        <f t="shared" si="4"/>
        <v>Lucy Marlady Lopez Perez</v>
      </c>
      <c r="C52" s="118">
        <f>IF(J52="Si",COUNTIF(J$3:J52,"Si"),"")</f>
        <v>50</v>
      </c>
      <c r="D52" s="109"/>
      <c r="E52" s="322">
        <f>IF(F52="","",COUNTA(F$3:F52))</f>
        <v>50</v>
      </c>
      <c r="F52" s="6" t="s">
        <v>705</v>
      </c>
      <c r="G52" s="6" t="s">
        <v>782</v>
      </c>
      <c r="H52" s="337" t="s">
        <v>783</v>
      </c>
      <c r="I52" s="124" t="s">
        <v>369</v>
      </c>
      <c r="J52" s="339" t="s">
        <v>367</v>
      </c>
      <c r="K52" s="294" t="s">
        <v>754</v>
      </c>
      <c r="L52" s="294">
        <v>0</v>
      </c>
      <c r="M52" s="340"/>
      <c r="N52" s="341"/>
      <c r="O52" s="342"/>
      <c r="P52" s="341"/>
      <c r="Q52" s="342"/>
      <c r="R52" s="343"/>
      <c r="S52" s="343"/>
    </row>
    <row r="53" spans="1:20" ht="15" customHeight="1" x14ac:dyDescent="0.35">
      <c r="A53" s="116">
        <f t="shared" si="0"/>
        <v>51</v>
      </c>
      <c r="B53" s="123" t="str">
        <f t="shared" si="4"/>
        <v>Maria Camila Toro Gonzalez</v>
      </c>
      <c r="C53" s="118">
        <f>IF(J53="Si",COUNTIF(J$3:J53,"Si"),"")</f>
        <v>51</v>
      </c>
      <c r="D53" s="109"/>
      <c r="E53" s="322">
        <f>IF(F53="","",COUNTA(F$3:F53))</f>
        <v>51</v>
      </c>
      <c r="F53" s="327" t="s">
        <v>706</v>
      </c>
      <c r="G53" s="327" t="s">
        <v>784</v>
      </c>
      <c r="H53" s="328" t="s">
        <v>388</v>
      </c>
      <c r="I53" s="124" t="s">
        <v>369</v>
      </c>
      <c r="J53" s="329" t="s">
        <v>367</v>
      </c>
      <c r="K53" s="294" t="s">
        <v>754</v>
      </c>
      <c r="L53" s="294">
        <v>0</v>
      </c>
      <c r="M53" s="330"/>
      <c r="N53" s="331"/>
      <c r="O53" s="332"/>
      <c r="P53" s="331"/>
      <c r="Q53" s="332"/>
      <c r="R53" s="333"/>
      <c r="S53" s="333"/>
    </row>
    <row r="54" spans="1:20" ht="15" customHeight="1" x14ac:dyDescent="0.35">
      <c r="A54" s="116">
        <f t="shared" si="0"/>
        <v>52</v>
      </c>
      <c r="B54" s="123" t="str">
        <f t="shared" si="4"/>
        <v>Juan Manuel Prado Quintero</v>
      </c>
      <c r="C54" s="118">
        <f>IF(J54="Si",COUNTIF(J$3:J54,"Si"),"")</f>
        <v>52</v>
      </c>
      <c r="D54" s="109"/>
      <c r="E54" s="322">
        <f>IF(F54="","",COUNTA(F$3:F54))</f>
        <v>52</v>
      </c>
      <c r="F54" s="6" t="s">
        <v>707</v>
      </c>
      <c r="G54" s="6" t="s">
        <v>785</v>
      </c>
      <c r="H54" s="337" t="s">
        <v>786</v>
      </c>
      <c r="I54" s="124" t="s">
        <v>369</v>
      </c>
      <c r="J54" s="339" t="s">
        <v>367</v>
      </c>
      <c r="K54" s="294" t="s">
        <v>754</v>
      </c>
      <c r="L54" s="294">
        <v>0</v>
      </c>
      <c r="M54" s="340"/>
      <c r="N54" s="341"/>
      <c r="O54" s="342"/>
      <c r="P54" s="341"/>
      <c r="Q54" s="342"/>
      <c r="R54" s="343"/>
      <c r="S54" s="343"/>
    </row>
    <row r="55" spans="1:20" ht="15" customHeight="1" x14ac:dyDescent="0.35">
      <c r="A55" s="116">
        <f t="shared" si="0"/>
        <v>53</v>
      </c>
      <c r="B55" s="123" t="str">
        <f t="shared" si="4"/>
        <v>Nathalia Vanessa Hurtado Sanchez</v>
      </c>
      <c r="C55" s="118">
        <f>IF(J55="Si",COUNTIF(J$3:J55,"Si"),"")</f>
        <v>53</v>
      </c>
      <c r="D55" s="109"/>
      <c r="E55" s="322">
        <f>IF(F55="","",COUNTA(F$3:F55))</f>
        <v>53</v>
      </c>
      <c r="F55" s="327" t="s">
        <v>725</v>
      </c>
      <c r="G55" s="327" t="s">
        <v>395</v>
      </c>
      <c r="H55" s="328" t="s">
        <v>787</v>
      </c>
      <c r="I55" s="124" t="s">
        <v>369</v>
      </c>
      <c r="J55" s="329" t="s">
        <v>367</v>
      </c>
      <c r="K55" s="294" t="s">
        <v>754</v>
      </c>
      <c r="L55" s="294">
        <v>0</v>
      </c>
      <c r="M55" s="330"/>
      <c r="N55" s="331"/>
      <c r="O55" s="332"/>
      <c r="P55" s="331"/>
      <c r="Q55" s="332"/>
      <c r="R55" s="333"/>
      <c r="S55" s="333"/>
    </row>
    <row r="56" spans="1:20" ht="15" customHeight="1" x14ac:dyDescent="0.35">
      <c r="A56" s="116">
        <f t="shared" si="0"/>
        <v>54</v>
      </c>
      <c r="B56" s="123" t="str">
        <f t="shared" si="4"/>
        <v>Laura Melissa Muñoz Burbano</v>
      </c>
      <c r="C56" s="118">
        <f>IF(J56="Si",COUNTIF(J$3:J56,"Si"),"")</f>
        <v>54</v>
      </c>
      <c r="D56" s="109"/>
      <c r="E56" s="322">
        <f>IF(F56="","",COUNTA(F$3:F56))</f>
        <v>54</v>
      </c>
      <c r="F56" s="6" t="s">
        <v>709</v>
      </c>
      <c r="G56" s="6" t="s">
        <v>708</v>
      </c>
      <c r="H56" s="349" t="s">
        <v>423</v>
      </c>
      <c r="I56" s="124" t="s">
        <v>369</v>
      </c>
      <c r="J56" s="339" t="s">
        <v>367</v>
      </c>
      <c r="K56" s="294" t="s">
        <v>754</v>
      </c>
      <c r="L56" s="294">
        <v>0</v>
      </c>
      <c r="M56" s="340"/>
      <c r="N56" s="341"/>
      <c r="O56" s="342"/>
      <c r="P56" s="341"/>
      <c r="Q56" s="342"/>
      <c r="R56" s="343"/>
      <c r="S56" s="343"/>
    </row>
    <row r="57" spans="1:20" ht="17.25" customHeight="1" x14ac:dyDescent="0.35">
      <c r="B57" s="123"/>
      <c r="C57" s="118" t="str">
        <f>IF(J57="Si",COUNTIF(J$3:J57,"Si"),"")</f>
        <v/>
      </c>
      <c r="D57" s="109" t="e">
        <f t="shared" si="3"/>
        <v>#VALUE!</v>
      </c>
      <c r="E57" s="113" t="str">
        <f>IF(F57="","",COUNTA(F$3:F57))</f>
        <v/>
      </c>
      <c r="F57" s="318"/>
      <c r="G57" s="319"/>
      <c r="H57" s="320"/>
      <c r="I57" s="321"/>
      <c r="J57" s="113"/>
      <c r="K57" s="294"/>
      <c r="L57" s="350"/>
      <c r="M57" s="351"/>
      <c r="N57" s="352"/>
      <c r="O57" s="353"/>
      <c r="P57" s="352" t="str">
        <f>IFERROR(VLOOKUP(CONCATENATE(IF(MID($I57,1,1)="P","*",""),$F57),'[1]Programación x Auditor'!$C:$E,2,0),"")</f>
        <v/>
      </c>
      <c r="Q57" s="353" t="str">
        <f>IFERROR(VLOOKUP(CONCATENATE(IF(MID($I57,1,1)="P","*",""),$F57),'[1]Programación x Auditor'!$C:$E,3,0),"")</f>
        <v/>
      </c>
      <c r="R57" s="354">
        <v>3</v>
      </c>
      <c r="S57" s="354"/>
    </row>
    <row r="58" spans="1:20" ht="17.25" customHeight="1" x14ac:dyDescent="0.35">
      <c r="B58" s="123"/>
      <c r="C58" s="118" t="str">
        <f>IF(J58="Si",COUNTIF(J$3:J58,"Si"),"")</f>
        <v/>
      </c>
      <c r="D58" s="109"/>
      <c r="E58" s="298"/>
      <c r="F58" s="338"/>
      <c r="G58" s="355"/>
      <c r="H58" s="338"/>
      <c r="I58" s="338"/>
      <c r="J58" s="298"/>
      <c r="K58" s="298"/>
      <c r="L58" s="298"/>
      <c r="M58" s="298"/>
      <c r="N58" s="298"/>
      <c r="O58" s="298"/>
      <c r="P58" s="298"/>
      <c r="Q58" s="298"/>
      <c r="R58" s="298"/>
      <c r="S58" s="298"/>
    </row>
    <row r="59" spans="1:20" x14ac:dyDescent="0.35">
      <c r="B59" s="123"/>
      <c r="C59" s="118" t="str">
        <f>IF(J59="Si",COUNTIF(J$3:J59,"Si"),"")</f>
        <v/>
      </c>
      <c r="D59" s="109"/>
      <c r="E59" s="109"/>
      <c r="F59" s="109"/>
      <c r="G59" s="109"/>
      <c r="H59" s="356"/>
      <c r="I59" s="109"/>
      <c r="J59" s="109"/>
      <c r="K59" s="109"/>
      <c r="L59" s="109"/>
      <c r="M59" s="109"/>
      <c r="N59" s="109"/>
      <c r="O59" s="109"/>
      <c r="P59" s="109"/>
      <c r="Q59" s="109"/>
      <c r="R59" s="109"/>
      <c r="S59" s="109"/>
      <c r="T59" s="109"/>
    </row>
    <row r="60" spans="1:20" x14ac:dyDescent="0.35">
      <c r="B60" s="123"/>
      <c r="C60" s="118" t="str">
        <f>IF(J60="Si",COUNTIF(J$3:J60,"Si"),"")</f>
        <v/>
      </c>
      <c r="D60" s="109"/>
      <c r="E60" s="113"/>
      <c r="F60" s="114" t="s">
        <v>788</v>
      </c>
      <c r="G60" s="114"/>
      <c r="H60" s="204"/>
      <c r="I60" s="124" t="s">
        <v>302</v>
      </c>
      <c r="J60" s="113"/>
      <c r="K60" s="294"/>
      <c r="L60" s="294">
        <f>SUM(M60:T60)</f>
        <v>0</v>
      </c>
      <c r="M60" s="295"/>
      <c r="N60" s="296"/>
      <c r="O60" s="297"/>
      <c r="P60" s="296"/>
      <c r="Q60" s="297"/>
      <c r="R60" s="298"/>
      <c r="S60" s="298"/>
    </row>
    <row r="61" spans="1:20" x14ac:dyDescent="0.35">
      <c r="B61" s="123"/>
      <c r="C61" s="118" t="str">
        <f>IF(J61="Si",COUNTIF(J$3:J61,"Si"),"")</f>
        <v/>
      </c>
      <c r="D61" s="109"/>
      <c r="E61" s="113"/>
      <c r="F61" s="114" t="s">
        <v>789</v>
      </c>
      <c r="G61" s="114"/>
      <c r="H61" s="204"/>
      <c r="I61" s="357" t="s">
        <v>302</v>
      </c>
      <c r="J61" s="358"/>
      <c r="K61" s="294" t="s">
        <v>790</v>
      </c>
      <c r="L61" s="294">
        <f>SUM(M61:T61)</f>
        <v>0</v>
      </c>
      <c r="M61" s="295"/>
      <c r="N61" s="296"/>
      <c r="O61" s="297"/>
      <c r="P61" s="296"/>
      <c r="Q61" s="297"/>
      <c r="R61" s="298"/>
      <c r="S61" s="298"/>
    </row>
    <row r="62" spans="1:20" x14ac:dyDescent="0.35">
      <c r="D62" s="125"/>
      <c r="E62" s="125"/>
      <c r="F62" s="125"/>
      <c r="G62" s="125"/>
      <c r="H62" s="359"/>
      <c r="I62" s="360" t="s">
        <v>754</v>
      </c>
      <c r="J62" s="361">
        <f>COUNTIF(K3:K56,I62)</f>
        <v>21</v>
      </c>
      <c r="K62" s="127">
        <v>17</v>
      </c>
      <c r="L62" s="127"/>
      <c r="M62" s="125"/>
      <c r="N62" s="125"/>
      <c r="O62" s="125"/>
      <c r="P62" s="125"/>
      <c r="Q62" s="125"/>
      <c r="R62" s="125"/>
      <c r="S62" s="125"/>
    </row>
    <row r="63" spans="1:20" x14ac:dyDescent="0.35">
      <c r="D63" s="125"/>
      <c r="E63" s="125"/>
      <c r="F63" s="125"/>
      <c r="G63" s="125"/>
      <c r="H63" s="359"/>
      <c r="I63" s="360" t="s">
        <v>739</v>
      </c>
      <c r="J63" s="361">
        <f>COUNTIF(K3:K56,I63)</f>
        <v>13</v>
      </c>
      <c r="K63" s="127">
        <v>18</v>
      </c>
      <c r="L63" s="127"/>
      <c r="M63" s="125"/>
      <c r="N63" s="125"/>
      <c r="O63" s="125"/>
      <c r="P63" s="125"/>
      <c r="Q63" s="125"/>
      <c r="R63" s="125"/>
      <c r="S63" s="125"/>
    </row>
    <row r="64" spans="1:20" x14ac:dyDescent="0.35">
      <c r="D64" s="125"/>
      <c r="E64" s="125"/>
      <c r="F64" s="125"/>
      <c r="G64" s="125"/>
      <c r="H64" s="359"/>
      <c r="I64" s="360" t="s">
        <v>738</v>
      </c>
      <c r="J64" s="361">
        <f>COUNTIF(K3:K56,I64)</f>
        <v>14</v>
      </c>
      <c r="K64" s="127">
        <v>9</v>
      </c>
      <c r="L64" s="127"/>
      <c r="M64" s="125"/>
      <c r="N64" s="125"/>
      <c r="O64" s="125"/>
      <c r="P64" s="125"/>
      <c r="Q64" s="125"/>
      <c r="R64" s="125"/>
      <c r="S64" s="125"/>
    </row>
    <row r="65" spans="9:10" x14ac:dyDescent="0.35">
      <c r="I65" s="362" t="s">
        <v>791</v>
      </c>
      <c r="J65" s="362">
        <f>SUM(J62:J64)</f>
        <v>48</v>
      </c>
    </row>
    <row r="66" spans="9:10" x14ac:dyDescent="0.35"/>
    <row r="67" spans="9:10" x14ac:dyDescent="0.35"/>
    <row r="68" spans="9:10" x14ac:dyDescent="0.35"/>
    <row r="69" spans="9:10" x14ac:dyDescent="0.35"/>
    <row r="70" spans="9:10" x14ac:dyDescent="0.35"/>
    <row r="71" spans="9:10" x14ac:dyDescent="0.35"/>
    <row r="72" spans="9:10" x14ac:dyDescent="0.35"/>
    <row r="73" spans="9:10" x14ac:dyDescent="0.35"/>
    <row r="74" spans="9:10" x14ac:dyDescent="0.35"/>
    <row r="75" spans="9:10" x14ac:dyDescent="0.35"/>
    <row r="76" spans="9:10" x14ac:dyDescent="0.35"/>
    <row r="77" spans="9:10" x14ac:dyDescent="0.35"/>
  </sheetData>
  <autoFilter ref="E2:Q61">
    <sortState ref="E3:O47">
      <sortCondition ref="F2:F47"/>
    </sortState>
  </autoFilter>
  <mergeCells count="1">
    <mergeCell ref="E1:F1"/>
  </mergeCells>
  <conditionalFormatting sqref="M3:S3 F3:H3 F14:G21 F5:H13 J5:S22 H15:H32 F26:G26 J26:S26 I3:I35 J35:S35 F22 L36:S36 F37:H56 I37:I58 J37:S56">
    <cfRule type="expression" dxfId="194" priority="66">
      <formula>#REF!&gt;0</formula>
    </cfRule>
  </conditionalFormatting>
  <conditionalFormatting sqref="F4 M4:S4">
    <cfRule type="expression" dxfId="193" priority="65">
      <formula>#REF!&gt;0</formula>
    </cfRule>
  </conditionalFormatting>
  <conditionalFormatting sqref="G4">
    <cfRule type="expression" dxfId="192" priority="64">
      <formula>#REF!&gt;0</formula>
    </cfRule>
  </conditionalFormatting>
  <conditionalFormatting sqref="H4 F23:G23">
    <cfRule type="expression" dxfId="191" priority="63">
      <formula>#REF!&gt;0</formula>
    </cfRule>
  </conditionalFormatting>
  <conditionalFormatting sqref="M60:S61 E57:G58 E3:H13 H14:H33 E14:G21 I3:S35 E22:F22 E36 L36:S36 E23:G35 E37:H56 I37:S58">
    <cfRule type="expression" dxfId="190" priority="62">
      <formula>$D3="VERDADERO"</formula>
    </cfRule>
  </conditionalFormatting>
  <conditionalFormatting sqref="M3:S22 M26:S26 M35:S56">
    <cfRule type="containsText" dxfId="189" priority="60" operator="containsText" text="Si">
      <formula>NOT(ISERROR(SEARCH("Si",M3)))</formula>
    </cfRule>
    <cfRule type="cellIs" dxfId="188" priority="61" operator="equal">
      <formula>"No"</formula>
    </cfRule>
  </conditionalFormatting>
  <conditionalFormatting sqref="F24:G24">
    <cfRule type="expression" dxfId="187" priority="59">
      <formula>#REF!&gt;0</formula>
    </cfRule>
  </conditionalFormatting>
  <conditionalFormatting sqref="M23:S23">
    <cfRule type="expression" dxfId="186" priority="58">
      <formula>#REF!&gt;0</formula>
    </cfRule>
  </conditionalFormatting>
  <conditionalFormatting sqref="M23:S23">
    <cfRule type="containsText" dxfId="185" priority="56" operator="containsText" text="Si">
      <formula>NOT(ISERROR(SEARCH("Si",M23)))</formula>
    </cfRule>
    <cfRule type="cellIs" dxfId="184" priority="57" operator="equal">
      <formula>"No"</formula>
    </cfRule>
  </conditionalFormatting>
  <conditionalFormatting sqref="M24:S24">
    <cfRule type="expression" dxfId="183" priority="55">
      <formula>#REF!&gt;0</formula>
    </cfRule>
  </conditionalFormatting>
  <conditionalFormatting sqref="M24:S24">
    <cfRule type="containsText" dxfId="182" priority="53" operator="containsText" text="Si">
      <formula>NOT(ISERROR(SEARCH("Si",M24)))</formula>
    </cfRule>
    <cfRule type="cellIs" dxfId="181" priority="54" operator="equal">
      <formula>"No"</formula>
    </cfRule>
  </conditionalFormatting>
  <conditionalFormatting sqref="I22">
    <cfRule type="expression" dxfId="180" priority="52">
      <formula>#REF!&gt;0</formula>
    </cfRule>
  </conditionalFormatting>
  <conditionalFormatting sqref="I4">
    <cfRule type="expression" dxfId="179" priority="51">
      <formula>#REF!&gt;0</formula>
    </cfRule>
  </conditionalFormatting>
  <conditionalFormatting sqref="I23">
    <cfRule type="expression" dxfId="178" priority="50">
      <formula>#REF!&gt;0</formula>
    </cfRule>
  </conditionalFormatting>
  <conditionalFormatting sqref="F25:G25 F27:G27 F29:G29 F31:G31 F33:G34 F57:G58">
    <cfRule type="expression" dxfId="177" priority="49">
      <formula>#REF!&gt;0</formula>
    </cfRule>
  </conditionalFormatting>
  <conditionalFormatting sqref="F28:G28 F30:G30 F32:G32 F35:G35">
    <cfRule type="expression" dxfId="176" priority="48">
      <formula>#REF!&gt;0</formula>
    </cfRule>
  </conditionalFormatting>
  <conditionalFormatting sqref="M25:S25 M27:S27 M29:S29 M31:S31 M33:S34 M57:S58">
    <cfRule type="expression" dxfId="175" priority="47">
      <formula>#REF!&gt;0</formula>
    </cfRule>
  </conditionalFormatting>
  <conditionalFormatting sqref="M25:S25 M27:S27 M29:S29 M31:S31 M33:S34 M57:S58">
    <cfRule type="containsText" dxfId="174" priority="45" operator="containsText" text="Si">
      <formula>NOT(ISERROR(SEARCH("Si",M25)))</formula>
    </cfRule>
    <cfRule type="cellIs" dxfId="173" priority="46" operator="equal">
      <formula>"No"</formula>
    </cfRule>
  </conditionalFormatting>
  <conditionalFormatting sqref="M28:S28 M30:S30 M32:S32">
    <cfRule type="expression" dxfId="172" priority="44">
      <formula>#REF!&gt;0</formula>
    </cfRule>
  </conditionalFormatting>
  <conditionalFormatting sqref="M28:S28 M30:S30 M32:S32">
    <cfRule type="containsText" dxfId="171" priority="42" operator="containsText" text="Si">
      <formula>NOT(ISERROR(SEARCH("Si",M28)))</formula>
    </cfRule>
    <cfRule type="cellIs" dxfId="170" priority="43" operator="equal">
      <formula>"No"</formula>
    </cfRule>
  </conditionalFormatting>
  <conditionalFormatting sqref="J3:L3">
    <cfRule type="expression" dxfId="169" priority="41">
      <formula>#REF!&gt;0</formula>
    </cfRule>
  </conditionalFormatting>
  <conditionalFormatting sqref="J4:L4">
    <cfRule type="expression" dxfId="168" priority="40">
      <formula>#REF!&gt;0</formula>
    </cfRule>
  </conditionalFormatting>
  <conditionalFormatting sqref="J23:L23">
    <cfRule type="expression" dxfId="167" priority="39">
      <formula>#REF!&gt;0</formula>
    </cfRule>
  </conditionalFormatting>
  <conditionalFormatting sqref="J24:L24">
    <cfRule type="expression" dxfId="166" priority="38">
      <formula>#REF!&gt;0</formula>
    </cfRule>
  </conditionalFormatting>
  <conditionalFormatting sqref="J25:L25 J27:L27 J29:L29 J31:L31 J33:L34 J57:L58">
    <cfRule type="expression" dxfId="165" priority="37">
      <formula>#REF!&gt;0</formula>
    </cfRule>
  </conditionalFormatting>
  <conditionalFormatting sqref="J28:L28 J30:L30 J32:L32">
    <cfRule type="expression" dxfId="164" priority="36">
      <formula>#REF!&gt;0</formula>
    </cfRule>
  </conditionalFormatting>
  <conditionalFormatting sqref="E60:E61">
    <cfRule type="expression" dxfId="163" priority="35">
      <formula>$D60="VERDADERO"</formula>
    </cfRule>
  </conditionalFormatting>
  <conditionalFormatting sqref="I60:I61">
    <cfRule type="expression" dxfId="162" priority="34">
      <formula>$D60="VERDADERO"</formula>
    </cfRule>
  </conditionalFormatting>
  <conditionalFormatting sqref="I60:I61">
    <cfRule type="expression" dxfId="161" priority="33">
      <formula>#REF!&gt;0</formula>
    </cfRule>
  </conditionalFormatting>
  <conditionalFormatting sqref="I60:I61">
    <cfRule type="expression" dxfId="160" priority="32">
      <formula>#REF!&gt;0</formula>
    </cfRule>
  </conditionalFormatting>
  <conditionalFormatting sqref="F60:G60">
    <cfRule type="expression" dxfId="159" priority="31">
      <formula>#REF!&gt;0</formula>
    </cfRule>
  </conditionalFormatting>
  <conditionalFormatting sqref="F60:G61">
    <cfRule type="expression" dxfId="158" priority="30">
      <formula>$D60="VERDADERO"</formula>
    </cfRule>
  </conditionalFormatting>
  <conditionalFormatting sqref="F61:G61">
    <cfRule type="expression" dxfId="157" priority="29">
      <formula>#REF!&gt;0</formula>
    </cfRule>
  </conditionalFormatting>
  <conditionalFormatting sqref="M60:S60">
    <cfRule type="expression" dxfId="156" priority="28">
      <formula>#REF!&gt;0</formula>
    </cfRule>
  </conditionalFormatting>
  <conditionalFormatting sqref="M60:S60">
    <cfRule type="containsText" dxfId="155" priority="26" operator="containsText" text="Si">
      <formula>NOT(ISERROR(SEARCH("Si",M60)))</formula>
    </cfRule>
    <cfRule type="cellIs" dxfId="154" priority="27" operator="equal">
      <formula>"No"</formula>
    </cfRule>
  </conditionalFormatting>
  <conditionalFormatting sqref="M61:S61">
    <cfRule type="expression" dxfId="153" priority="25">
      <formula>#REF!&gt;0</formula>
    </cfRule>
  </conditionalFormatting>
  <conditionalFormatting sqref="M61:S61">
    <cfRule type="containsText" dxfId="152" priority="23" operator="containsText" text="Si">
      <formula>NOT(ISERROR(SEARCH("Si",M61)))</formula>
    </cfRule>
    <cfRule type="cellIs" dxfId="151" priority="24" operator="equal">
      <formula>"No"</formula>
    </cfRule>
  </conditionalFormatting>
  <conditionalFormatting sqref="J60:L60">
    <cfRule type="expression" dxfId="150" priority="22">
      <formula>#REF!&gt;0</formula>
    </cfRule>
  </conditionalFormatting>
  <conditionalFormatting sqref="J60:L61">
    <cfRule type="expression" dxfId="149" priority="21">
      <formula>$D60="VERDADERO"</formula>
    </cfRule>
  </conditionalFormatting>
  <conditionalFormatting sqref="J61:L61">
    <cfRule type="expression" dxfId="148" priority="20">
      <formula>#REF!&gt;0</formula>
    </cfRule>
  </conditionalFormatting>
  <conditionalFormatting sqref="J60:L61 J3:L35 L36 J37:L58">
    <cfRule type="containsText" dxfId="147" priority="18" operator="containsText" text="No">
      <formula>NOT(ISERROR(SEARCH("No",J3)))</formula>
    </cfRule>
    <cfRule type="containsText" dxfId="146" priority="19" operator="containsText" text="Si">
      <formula>NOT(ISERROR(SEARCH("Si",J3)))</formula>
    </cfRule>
  </conditionalFormatting>
  <conditionalFormatting sqref="E60:E61 E3:E58">
    <cfRule type="expression" dxfId="145" priority="16">
      <formula>$J3="No"</formula>
    </cfRule>
    <cfRule type="expression" dxfId="144" priority="17">
      <formula>$J3="Si"</formula>
    </cfRule>
  </conditionalFormatting>
  <conditionalFormatting sqref="H14">
    <cfRule type="expression" dxfId="143" priority="15">
      <formula>#REF!&gt;0</formula>
    </cfRule>
  </conditionalFormatting>
  <conditionalFormatting sqref="H33">
    <cfRule type="expression" dxfId="142" priority="14">
      <formula>#REF!&gt;0</formula>
    </cfRule>
  </conditionalFormatting>
  <conditionalFormatting sqref="H34 H57:H58 H60">
    <cfRule type="expression" dxfId="141" priority="13">
      <formula>#REF!&gt;0</formula>
    </cfRule>
  </conditionalFormatting>
  <conditionalFormatting sqref="H34:H35 H60:H61 H57:H58">
    <cfRule type="expression" dxfId="140" priority="12">
      <formula>$D34="VERDADERO"</formula>
    </cfRule>
  </conditionalFormatting>
  <conditionalFormatting sqref="H35 H61">
    <cfRule type="expression" dxfId="139" priority="11">
      <formula>#REF!&gt;0</formula>
    </cfRule>
  </conditionalFormatting>
  <conditionalFormatting sqref="G22">
    <cfRule type="expression" dxfId="138" priority="10">
      <formula>#REF!&gt;0</formula>
    </cfRule>
  </conditionalFormatting>
  <conditionalFormatting sqref="G22">
    <cfRule type="expression" dxfId="137" priority="9">
      <formula>$D22="VERDADERO"</formula>
    </cfRule>
  </conditionalFormatting>
  <conditionalFormatting sqref="I36">
    <cfRule type="expression" dxfId="136" priority="8">
      <formula>#REF!&gt;0</formula>
    </cfRule>
  </conditionalFormatting>
  <conditionalFormatting sqref="F36:G36 I36:K36">
    <cfRule type="expression" dxfId="135" priority="7">
      <formula>$D36="VERDADERO"</formula>
    </cfRule>
  </conditionalFormatting>
  <conditionalFormatting sqref="F36:G36">
    <cfRule type="expression" dxfId="134" priority="6">
      <formula>#REF!&gt;0</formula>
    </cfRule>
  </conditionalFormatting>
  <conditionalFormatting sqref="J36:K36">
    <cfRule type="expression" dxfId="133" priority="5">
      <formula>#REF!&gt;0</formula>
    </cfRule>
  </conditionalFormatting>
  <conditionalFormatting sqref="J36:K36">
    <cfRule type="containsText" dxfId="132" priority="3" operator="containsText" text="No">
      <formula>NOT(ISERROR(SEARCH("No",J36)))</formula>
    </cfRule>
    <cfRule type="containsText" dxfId="131" priority="4" operator="containsText" text="Si">
      <formula>NOT(ISERROR(SEARCH("Si",J36)))</formula>
    </cfRule>
  </conditionalFormatting>
  <conditionalFormatting sqref="H36">
    <cfRule type="expression" dxfId="130" priority="2">
      <formula>#REF!&gt;0</formula>
    </cfRule>
  </conditionalFormatting>
  <conditionalFormatting sqref="H36">
    <cfRule type="expression" dxfId="129" priority="1">
      <formula>$D36="VERDADERO"</formula>
    </cfRule>
  </conditionalFormatting>
  <dataValidations count="2">
    <dataValidation type="list" allowBlank="1" showInputMessage="1" showErrorMessage="1" sqref="J3:J58">
      <formula1>"Si,No"</formula1>
    </dataValidation>
    <dataValidation type="list" allowBlank="1" showInputMessage="1" showErrorMessage="1" sqref="J60:J61 I3:I58">
      <formula1>"Principal,Asistente"</formula1>
    </dataValidation>
  </dataValidations>
  <hyperlinks>
    <hyperlink ref="H3" r:id="rId1"/>
    <hyperlink ref="H7" r:id="rId2"/>
    <hyperlink ref="H25" r:id="rId3"/>
    <hyperlink ref="H30" r:id="rId4"/>
    <hyperlink ref="H34" r:id="rId5"/>
    <hyperlink ref="H37" r:id="rId6"/>
    <hyperlink ref="H38" r:id="rId7"/>
    <hyperlink ref="H41" r:id="rId8"/>
    <hyperlink ref="H52" r:id="rId9"/>
    <hyperlink ref="H53" r:id="rId10"/>
    <hyperlink ref="H55" r:id="rId11"/>
    <hyperlink ref="H54" r:id="rId12"/>
    <hyperlink ref="H22" r:id="rId13"/>
    <hyperlink ref="H6" r:id="rId14"/>
    <hyperlink ref="H33" r:id="rId15"/>
  </hyperlinks>
  <printOptions horizontalCentered="1"/>
  <pageMargins left="0.23622047244094491" right="0.23622047244094491" top="0.74803149606299213" bottom="0.74803149606299213" header="0.31496062992125984" footer="0.31496062992125984"/>
  <pageSetup scale="90" orientation="landscape" r:id="rId1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5790"/>
  </sheetPr>
  <dimension ref="A1:L64"/>
  <sheetViews>
    <sheetView workbookViewId="0">
      <pane ySplit="3" topLeftCell="A4" activePane="bottomLeft" state="frozen"/>
      <selection pane="bottomLeft" activeCell="D25" sqref="D25"/>
    </sheetView>
  </sheetViews>
  <sheetFormatPr baseColWidth="10" defaultColWidth="0" defaultRowHeight="14.5" zeroHeight="1" x14ac:dyDescent="0.35"/>
  <cols>
    <col min="1" max="1" width="1.453125" customWidth="1"/>
    <col min="3" max="4" width="42" customWidth="1"/>
    <col min="5" max="5" width="7.81640625" style="128" customWidth="1"/>
    <col min="6" max="6" width="11.54296875" style="128" customWidth="1"/>
    <col min="7" max="7" width="1.81640625" style="125" customWidth="1"/>
    <col min="8" max="9" width="23.26953125" style="142" customWidth="1"/>
    <col min="10" max="10" width="27.54296875" style="142" bestFit="1" customWidth="1"/>
    <col min="11" max="11" width="1.81640625" style="125" customWidth="1"/>
    <col min="12" max="12" width="11.81640625" hidden="1" customWidth="1"/>
    <col min="13" max="16384" width="11.453125" hidden="1"/>
  </cols>
  <sheetData>
    <row r="1" spans="1:11" s="125" customFormat="1" ht="7.5" customHeight="1" x14ac:dyDescent="0.35">
      <c r="E1" s="139"/>
      <c r="F1" s="139"/>
      <c r="H1" s="141"/>
      <c r="I1" s="141"/>
      <c r="J1" s="141"/>
    </row>
    <row r="2" spans="1:11" ht="15" customHeight="1" x14ac:dyDescent="0.35">
      <c r="A2" s="1"/>
      <c r="C2" s="137" t="s">
        <v>429</v>
      </c>
      <c r="D2" s="138"/>
      <c r="E2" s="138"/>
      <c r="F2" s="138"/>
      <c r="G2" s="1"/>
      <c r="H2" s="143"/>
      <c r="I2" s="143"/>
      <c r="J2" s="566"/>
      <c r="K2" s="1"/>
    </row>
    <row r="3" spans="1:11" x14ac:dyDescent="0.35">
      <c r="A3" s="1"/>
      <c r="C3" s="111" t="s">
        <v>268</v>
      </c>
      <c r="D3" s="111" t="s">
        <v>430</v>
      </c>
      <c r="E3" s="110" t="s">
        <v>266</v>
      </c>
      <c r="F3" s="110" t="s">
        <v>327</v>
      </c>
      <c r="G3" s="1"/>
      <c r="H3" s="144" t="s">
        <v>431</v>
      </c>
      <c r="I3" s="144" t="s">
        <v>432</v>
      </c>
      <c r="J3" s="567" t="s">
        <v>799</v>
      </c>
      <c r="K3" s="1"/>
    </row>
    <row r="4" spans="1:11" x14ac:dyDescent="0.35">
      <c r="A4" s="109" t="e">
        <f t="shared" ref="A4:A54" si="0">TEXT(ISEVEN(E4),0)</f>
        <v>#VALUE!</v>
      </c>
      <c r="C4" s="253" t="s">
        <v>280</v>
      </c>
      <c r="D4" s="115" t="s">
        <v>588</v>
      </c>
      <c r="E4" s="265" t="s">
        <v>590</v>
      </c>
      <c r="F4" s="170" t="s">
        <v>434</v>
      </c>
      <c r="G4" s="1"/>
      <c r="H4" s="145" t="s">
        <v>435</v>
      </c>
      <c r="I4" s="145" t="s">
        <v>435</v>
      </c>
      <c r="J4" s="568" t="s">
        <v>800</v>
      </c>
      <c r="K4" s="1"/>
    </row>
    <row r="5" spans="1:11" x14ac:dyDescent="0.35">
      <c r="A5" s="109" t="e">
        <f t="shared" si="0"/>
        <v>#VALUE!</v>
      </c>
      <c r="C5" s="254" t="s">
        <v>296</v>
      </c>
      <c r="D5" s="114" t="s">
        <v>642</v>
      </c>
      <c r="E5" s="266" t="s">
        <v>591</v>
      </c>
      <c r="F5" s="170" t="s">
        <v>434</v>
      </c>
      <c r="G5" s="1"/>
      <c r="H5" s="145" t="s">
        <v>436</v>
      </c>
      <c r="I5" s="145" t="s">
        <v>436</v>
      </c>
      <c r="J5" s="568" t="s">
        <v>801</v>
      </c>
      <c r="K5" s="1"/>
    </row>
    <row r="6" spans="1:11" x14ac:dyDescent="0.35">
      <c r="A6" s="109" t="e">
        <f t="shared" si="0"/>
        <v>#VALUE!</v>
      </c>
      <c r="C6" s="255" t="s">
        <v>571</v>
      </c>
      <c r="D6" s="114" t="s">
        <v>646</v>
      </c>
      <c r="E6" s="266" t="s">
        <v>592</v>
      </c>
      <c r="F6" s="170" t="s">
        <v>434</v>
      </c>
      <c r="G6" s="1"/>
      <c r="H6" s="145" t="s">
        <v>438</v>
      </c>
      <c r="I6" s="145" t="s">
        <v>438</v>
      </c>
      <c r="J6" s="568" t="s">
        <v>711</v>
      </c>
      <c r="K6" s="1"/>
    </row>
    <row r="7" spans="1:11" x14ac:dyDescent="0.35">
      <c r="A7" s="109" t="e">
        <f t="shared" si="0"/>
        <v>#VALUE!</v>
      </c>
      <c r="C7" s="253" t="s">
        <v>572</v>
      </c>
      <c r="D7" s="114" t="s">
        <v>648</v>
      </c>
      <c r="E7" s="265" t="s">
        <v>593</v>
      </c>
      <c r="F7" s="170" t="s">
        <v>434</v>
      </c>
      <c r="G7" s="1"/>
      <c r="H7" s="145" t="s">
        <v>443</v>
      </c>
      <c r="I7" s="145" t="s">
        <v>439</v>
      </c>
      <c r="J7" s="568" t="s">
        <v>802</v>
      </c>
      <c r="K7" s="1"/>
    </row>
    <row r="8" spans="1:11" x14ac:dyDescent="0.35">
      <c r="A8" s="109" t="e">
        <f t="shared" si="0"/>
        <v>#VALUE!</v>
      </c>
      <c r="C8" s="253" t="s">
        <v>295</v>
      </c>
      <c r="D8" s="114" t="s">
        <v>647</v>
      </c>
      <c r="E8" s="265" t="s">
        <v>594</v>
      </c>
      <c r="F8" s="170" t="s">
        <v>434</v>
      </c>
      <c r="G8" s="1"/>
      <c r="H8" s="145"/>
      <c r="I8" s="145" t="s">
        <v>441</v>
      </c>
      <c r="J8" s="568" t="s">
        <v>803</v>
      </c>
      <c r="K8" s="1"/>
    </row>
    <row r="9" spans="1:11" x14ac:dyDescent="0.35">
      <c r="A9" s="109" t="e">
        <f t="shared" si="0"/>
        <v>#VALUE!</v>
      </c>
      <c r="C9" s="254" t="s">
        <v>447</v>
      </c>
      <c r="D9" s="114" t="s">
        <v>649</v>
      </c>
      <c r="E9" s="266" t="s">
        <v>595</v>
      </c>
      <c r="F9" s="170" t="s">
        <v>434</v>
      </c>
      <c r="G9" s="1"/>
      <c r="H9" s="145"/>
      <c r="I9" s="145" t="s">
        <v>442</v>
      </c>
      <c r="J9" s="568" t="s">
        <v>804</v>
      </c>
      <c r="K9" s="1"/>
    </row>
    <row r="10" spans="1:11" x14ac:dyDescent="0.35">
      <c r="A10" s="109" t="e">
        <f t="shared" si="0"/>
        <v>#VALUE!</v>
      </c>
      <c r="C10" s="254" t="s">
        <v>449</v>
      </c>
      <c r="D10" s="114" t="s">
        <v>650</v>
      </c>
      <c r="E10" s="266" t="s">
        <v>596</v>
      </c>
      <c r="F10" s="170" t="s">
        <v>434</v>
      </c>
      <c r="G10" s="1"/>
      <c r="I10" s="145" t="s">
        <v>443</v>
      </c>
      <c r="J10" s="568" t="s">
        <v>805</v>
      </c>
      <c r="K10" s="1"/>
    </row>
    <row r="11" spans="1:11" x14ac:dyDescent="0.35">
      <c r="A11" s="109" t="e">
        <f t="shared" si="0"/>
        <v>#VALUE!</v>
      </c>
      <c r="C11" s="254" t="s">
        <v>573</v>
      </c>
      <c r="D11" s="114" t="s">
        <v>453</v>
      </c>
      <c r="E11" s="266" t="s">
        <v>597</v>
      </c>
      <c r="F11" s="170" t="s">
        <v>434</v>
      </c>
      <c r="G11" s="1"/>
      <c r="J11" s="569" t="s">
        <v>806</v>
      </c>
      <c r="K11" s="1"/>
    </row>
    <row r="12" spans="1:11" x14ac:dyDescent="0.35">
      <c r="A12" s="109" t="e">
        <f t="shared" si="0"/>
        <v>#VALUE!</v>
      </c>
      <c r="C12" s="256" t="s">
        <v>575</v>
      </c>
      <c r="D12" s="115" t="s">
        <v>651</v>
      </c>
      <c r="E12" s="267" t="s">
        <v>599</v>
      </c>
      <c r="F12" s="170" t="s">
        <v>434</v>
      </c>
      <c r="G12" s="1"/>
      <c r="H12" s="145"/>
      <c r="I12" s="145"/>
      <c r="J12" s="568" t="s">
        <v>807</v>
      </c>
      <c r="K12" s="1"/>
    </row>
    <row r="13" spans="1:11" x14ac:dyDescent="0.35">
      <c r="A13" s="109" t="e">
        <f t="shared" si="0"/>
        <v>#VALUE!</v>
      </c>
      <c r="C13" s="257" t="s">
        <v>276</v>
      </c>
      <c r="D13" s="114" t="s">
        <v>433</v>
      </c>
      <c r="E13" s="268" t="s">
        <v>600</v>
      </c>
      <c r="F13" s="170" t="s">
        <v>434</v>
      </c>
      <c r="G13" s="1"/>
      <c r="H13" s="145"/>
      <c r="I13" s="145"/>
      <c r="J13" s="568" t="s">
        <v>808</v>
      </c>
      <c r="K13" s="1"/>
    </row>
    <row r="14" spans="1:11" x14ac:dyDescent="0.35">
      <c r="A14" s="109" t="e">
        <f t="shared" si="0"/>
        <v>#VALUE!</v>
      </c>
      <c r="C14" s="258" t="s">
        <v>279</v>
      </c>
      <c r="D14" s="115" t="s">
        <v>652</v>
      </c>
      <c r="E14" s="269" t="s">
        <v>601</v>
      </c>
      <c r="F14" s="170" t="s">
        <v>434</v>
      </c>
      <c r="G14" s="1"/>
      <c r="H14" s="140"/>
      <c r="I14" s="140"/>
      <c r="J14" s="568" t="s">
        <v>809</v>
      </c>
      <c r="K14" s="1"/>
    </row>
    <row r="15" spans="1:11" x14ac:dyDescent="0.35">
      <c r="A15" s="109" t="e">
        <f t="shared" si="0"/>
        <v>#VALUE!</v>
      </c>
      <c r="C15" s="258" t="s">
        <v>576</v>
      </c>
      <c r="D15" s="114" t="s">
        <v>653</v>
      </c>
      <c r="E15" s="269" t="s">
        <v>602</v>
      </c>
      <c r="F15" s="170" t="s">
        <v>434</v>
      </c>
      <c r="G15" s="1"/>
      <c r="H15" s="140"/>
      <c r="I15" s="140"/>
      <c r="J15" s="568" t="s">
        <v>810</v>
      </c>
      <c r="K15" s="1"/>
    </row>
    <row r="16" spans="1:11" x14ac:dyDescent="0.35">
      <c r="A16" s="109" t="e">
        <f t="shared" si="0"/>
        <v>#VALUE!</v>
      </c>
      <c r="C16" s="259" t="s">
        <v>577</v>
      </c>
      <c r="D16" s="114" t="s">
        <v>654</v>
      </c>
      <c r="E16" s="270" t="s">
        <v>603</v>
      </c>
      <c r="F16" s="170" t="s">
        <v>434</v>
      </c>
      <c r="G16" s="1"/>
      <c r="H16" s="140"/>
      <c r="I16" s="140"/>
      <c r="J16" s="568" t="s">
        <v>811</v>
      </c>
      <c r="K16" s="1"/>
    </row>
    <row r="17" spans="1:11" x14ac:dyDescent="0.35">
      <c r="A17" s="109" t="e">
        <f t="shared" si="0"/>
        <v>#VALUE!</v>
      </c>
      <c r="C17" s="257" t="s">
        <v>578</v>
      </c>
      <c r="D17" s="115" t="s">
        <v>589</v>
      </c>
      <c r="E17" s="268" t="s">
        <v>604</v>
      </c>
      <c r="F17" s="170" t="s">
        <v>434</v>
      </c>
      <c r="G17" s="1"/>
      <c r="H17" s="140"/>
      <c r="I17" s="140"/>
      <c r="J17" s="568" t="s">
        <v>812</v>
      </c>
      <c r="K17" s="1"/>
    </row>
    <row r="18" spans="1:11" x14ac:dyDescent="0.35">
      <c r="A18" s="109" t="e">
        <f t="shared" si="0"/>
        <v>#VALUE!</v>
      </c>
      <c r="C18" s="258" t="s">
        <v>437</v>
      </c>
      <c r="D18" s="114" t="s">
        <v>655</v>
      </c>
      <c r="E18" s="269" t="s">
        <v>605</v>
      </c>
      <c r="F18" s="170" t="s">
        <v>434</v>
      </c>
      <c r="G18" s="1"/>
      <c r="H18" s="140"/>
      <c r="I18" s="140"/>
      <c r="J18" s="568" t="s">
        <v>813</v>
      </c>
      <c r="K18" s="1"/>
    </row>
    <row r="19" spans="1:11" x14ac:dyDescent="0.35">
      <c r="A19" s="109" t="e">
        <f t="shared" si="0"/>
        <v>#VALUE!</v>
      </c>
      <c r="C19" s="258" t="s">
        <v>450</v>
      </c>
      <c r="D19" s="115" t="s">
        <v>454</v>
      </c>
      <c r="E19" s="269" t="s">
        <v>606</v>
      </c>
      <c r="F19" s="170" t="s">
        <v>434</v>
      </c>
      <c r="G19" s="1"/>
      <c r="H19" s="140"/>
      <c r="I19" s="140"/>
      <c r="J19" s="568" t="s">
        <v>694</v>
      </c>
      <c r="K19" s="1"/>
    </row>
    <row r="20" spans="1:11" x14ac:dyDescent="0.35">
      <c r="A20" s="109" t="e">
        <f t="shared" si="0"/>
        <v>#VALUE!</v>
      </c>
      <c r="C20" s="257" t="s">
        <v>579</v>
      </c>
      <c r="D20" s="115"/>
      <c r="E20" s="268" t="s">
        <v>607</v>
      </c>
      <c r="F20" s="170" t="s">
        <v>434</v>
      </c>
      <c r="G20" s="1"/>
      <c r="H20" s="140"/>
      <c r="I20" s="140"/>
      <c r="J20" s="568" t="s">
        <v>720</v>
      </c>
      <c r="K20" s="1"/>
    </row>
    <row r="21" spans="1:11" x14ac:dyDescent="0.35">
      <c r="A21" s="109" t="e">
        <f t="shared" si="0"/>
        <v>#VALUE!</v>
      </c>
      <c r="C21" s="258" t="s">
        <v>580</v>
      </c>
      <c r="D21" s="114" t="s">
        <v>446</v>
      </c>
      <c r="E21" s="269" t="s">
        <v>607</v>
      </c>
      <c r="F21" s="170" t="s">
        <v>434</v>
      </c>
      <c r="G21" s="1"/>
      <c r="H21" s="140"/>
      <c r="I21" s="140"/>
      <c r="J21" s="568" t="s">
        <v>696</v>
      </c>
      <c r="K21" s="1"/>
    </row>
    <row r="22" spans="1:11" x14ac:dyDescent="0.35">
      <c r="A22" s="109" t="e">
        <f t="shared" si="0"/>
        <v>#VALUE!</v>
      </c>
      <c r="C22" s="258" t="s">
        <v>300</v>
      </c>
      <c r="D22" s="115" t="s">
        <v>643</v>
      </c>
      <c r="E22" s="269" t="s">
        <v>608</v>
      </c>
      <c r="F22" s="170" t="s">
        <v>434</v>
      </c>
      <c r="G22" s="1"/>
      <c r="H22" s="140"/>
      <c r="I22" s="140"/>
      <c r="J22" s="568" t="s">
        <v>698</v>
      </c>
      <c r="K22" s="1"/>
    </row>
    <row r="23" spans="1:11" x14ac:dyDescent="0.35">
      <c r="A23" s="109" t="e">
        <f t="shared" si="0"/>
        <v>#VALUE!</v>
      </c>
      <c r="C23" s="259" t="s">
        <v>14</v>
      </c>
      <c r="D23" s="115" t="s">
        <v>644</v>
      </c>
      <c r="E23" s="270" t="s">
        <v>609</v>
      </c>
      <c r="F23" s="170" t="s">
        <v>434</v>
      </c>
      <c r="G23" s="1"/>
      <c r="H23" s="140"/>
      <c r="I23" s="140"/>
      <c r="J23" s="568" t="s">
        <v>700</v>
      </c>
      <c r="K23" s="1"/>
    </row>
    <row r="24" spans="1:11" x14ac:dyDescent="0.35">
      <c r="A24" s="109" t="e">
        <f t="shared" si="0"/>
        <v>#VALUE!</v>
      </c>
      <c r="C24" s="260" t="s">
        <v>305</v>
      </c>
      <c r="D24" s="114" t="s">
        <v>656</v>
      </c>
      <c r="E24" s="271" t="s">
        <v>610</v>
      </c>
      <c r="F24" s="170" t="s">
        <v>434</v>
      </c>
      <c r="G24" s="1"/>
      <c r="H24" s="140"/>
      <c r="I24" s="140"/>
      <c r="J24" s="568" t="s">
        <v>722</v>
      </c>
      <c r="K24" s="1"/>
    </row>
    <row r="25" spans="1:11" x14ac:dyDescent="0.35">
      <c r="A25" s="109" t="e">
        <f t="shared" si="0"/>
        <v>#VALUE!</v>
      </c>
      <c r="C25" s="257" t="s">
        <v>445</v>
      </c>
      <c r="D25" s="115" t="s">
        <v>657</v>
      </c>
      <c r="E25" s="268" t="s">
        <v>611</v>
      </c>
      <c r="F25" s="170" t="s">
        <v>434</v>
      </c>
      <c r="G25" s="1"/>
      <c r="H25" s="140"/>
      <c r="I25" s="140"/>
      <c r="J25" s="568" t="s">
        <v>701</v>
      </c>
      <c r="K25" s="1"/>
    </row>
    <row r="26" spans="1:11" x14ac:dyDescent="0.35">
      <c r="A26" s="109" t="e">
        <f t="shared" si="0"/>
        <v>#VALUE!</v>
      </c>
      <c r="C26" s="258" t="s">
        <v>581</v>
      </c>
      <c r="D26" s="115" t="s">
        <v>657</v>
      </c>
      <c r="E26" s="269" t="s">
        <v>612</v>
      </c>
      <c r="F26" s="170" t="s">
        <v>434</v>
      </c>
      <c r="G26" s="1"/>
      <c r="H26" s="140"/>
      <c r="I26" s="140"/>
      <c r="J26" s="568" t="s">
        <v>702</v>
      </c>
      <c r="K26" s="1"/>
    </row>
    <row r="27" spans="1:11" x14ac:dyDescent="0.35">
      <c r="A27" s="109" t="e">
        <f t="shared" si="0"/>
        <v>#VALUE!</v>
      </c>
      <c r="C27" s="259" t="s">
        <v>582</v>
      </c>
      <c r="D27" s="114" t="s">
        <v>658</v>
      </c>
      <c r="E27" s="270" t="s">
        <v>613</v>
      </c>
      <c r="F27" s="170" t="s">
        <v>434</v>
      </c>
      <c r="G27" s="1"/>
      <c r="H27" s="140"/>
      <c r="I27" s="140"/>
      <c r="J27" s="568" t="s">
        <v>815</v>
      </c>
      <c r="K27" s="1"/>
    </row>
    <row r="28" spans="1:11" x14ac:dyDescent="0.35">
      <c r="A28" s="109" t="e">
        <f t="shared" si="0"/>
        <v>#VALUE!</v>
      </c>
      <c r="C28" s="261" t="s">
        <v>583</v>
      </c>
      <c r="D28" s="115"/>
      <c r="E28" s="272" t="s">
        <v>614</v>
      </c>
      <c r="F28" s="170" t="s">
        <v>434</v>
      </c>
      <c r="G28" s="1"/>
      <c r="H28" s="140"/>
      <c r="I28" s="140"/>
      <c r="J28" s="568" t="s">
        <v>814</v>
      </c>
      <c r="K28" s="1"/>
    </row>
    <row r="29" spans="1:11" x14ac:dyDescent="0.35">
      <c r="A29" s="109" t="e">
        <f t="shared" si="0"/>
        <v>#VALUE!</v>
      </c>
      <c r="C29" s="262" t="s">
        <v>584</v>
      </c>
      <c r="D29" s="115" t="s">
        <v>659</v>
      </c>
      <c r="E29" s="273" t="s">
        <v>614</v>
      </c>
      <c r="F29" s="170" t="s">
        <v>434</v>
      </c>
      <c r="H29" s="140"/>
      <c r="I29" s="140"/>
      <c r="J29" s="568" t="s">
        <v>707</v>
      </c>
    </row>
    <row r="30" spans="1:11" x14ac:dyDescent="0.35">
      <c r="A30" s="109" t="e">
        <f t="shared" si="0"/>
        <v>#VALUE!</v>
      </c>
      <c r="C30" s="262" t="s">
        <v>308</v>
      </c>
      <c r="D30" s="114" t="s">
        <v>660</v>
      </c>
      <c r="E30" s="273" t="s">
        <v>615</v>
      </c>
      <c r="F30" s="170" t="s">
        <v>434</v>
      </c>
      <c r="H30" s="140"/>
      <c r="I30" s="140"/>
      <c r="J30" s="140" t="s">
        <v>709</v>
      </c>
    </row>
    <row r="31" spans="1:11" x14ac:dyDescent="0.35">
      <c r="A31" s="109" t="e">
        <f t="shared" si="0"/>
        <v>#VALUE!</v>
      </c>
      <c r="C31" s="263" t="s">
        <v>585</v>
      </c>
      <c r="D31" s="115" t="s">
        <v>661</v>
      </c>
      <c r="E31" s="274" t="s">
        <v>616</v>
      </c>
      <c r="F31" s="170" t="s">
        <v>434</v>
      </c>
      <c r="H31" s="140"/>
      <c r="I31" s="140"/>
      <c r="J31" s="140"/>
    </row>
    <row r="32" spans="1:11" x14ac:dyDescent="0.35">
      <c r="A32" s="109" t="e">
        <f t="shared" si="0"/>
        <v>#VALUE!</v>
      </c>
      <c r="C32" s="261" t="s">
        <v>586</v>
      </c>
      <c r="D32" s="114"/>
      <c r="E32" s="272" t="s">
        <v>617</v>
      </c>
      <c r="F32" s="170" t="s">
        <v>434</v>
      </c>
      <c r="H32" s="140"/>
      <c r="I32" s="140"/>
      <c r="J32" s="140"/>
    </row>
    <row r="33" spans="1:10" x14ac:dyDescent="0.35">
      <c r="A33" s="109" t="e">
        <f t="shared" si="0"/>
        <v>#VALUE!</v>
      </c>
      <c r="C33" s="262" t="s">
        <v>451</v>
      </c>
      <c r="D33" s="115" t="s">
        <v>662</v>
      </c>
      <c r="E33" s="273" t="s">
        <v>617</v>
      </c>
      <c r="F33" s="170" t="s">
        <v>434</v>
      </c>
      <c r="H33" s="140"/>
      <c r="I33" s="140"/>
      <c r="J33" s="140"/>
    </row>
    <row r="34" spans="1:10" x14ac:dyDescent="0.35">
      <c r="A34" s="109" t="e">
        <f t="shared" si="0"/>
        <v>#VALUE!</v>
      </c>
      <c r="C34" s="263" t="s">
        <v>452</v>
      </c>
      <c r="D34" s="114" t="s">
        <v>663</v>
      </c>
      <c r="E34" s="274" t="s">
        <v>618</v>
      </c>
      <c r="F34" s="170" t="s">
        <v>434</v>
      </c>
      <c r="H34" s="140"/>
      <c r="I34" s="140"/>
      <c r="J34" s="140"/>
    </row>
    <row r="35" spans="1:10" x14ac:dyDescent="0.35">
      <c r="A35" s="109" t="e">
        <f t="shared" si="0"/>
        <v>#VALUE!</v>
      </c>
      <c r="C35" s="264" t="s">
        <v>587</v>
      </c>
      <c r="D35" s="114"/>
      <c r="E35" s="275" t="s">
        <v>619</v>
      </c>
      <c r="F35" s="170" t="s">
        <v>434</v>
      </c>
      <c r="H35" s="140"/>
      <c r="I35" s="140"/>
      <c r="J35" s="140"/>
    </row>
    <row r="36" spans="1:10" x14ac:dyDescent="0.35">
      <c r="A36" s="109" t="e">
        <f t="shared" si="0"/>
        <v>#VALUE!</v>
      </c>
      <c r="C36" s="262" t="s">
        <v>304</v>
      </c>
      <c r="D36" s="115" t="s">
        <v>664</v>
      </c>
      <c r="E36" s="273" t="s">
        <v>620</v>
      </c>
      <c r="F36" s="170" t="s">
        <v>434</v>
      </c>
      <c r="H36" s="140"/>
      <c r="I36" s="140"/>
      <c r="J36" s="140"/>
    </row>
    <row r="37" spans="1:10" x14ac:dyDescent="0.35">
      <c r="A37" s="109" t="e">
        <f t="shared" si="0"/>
        <v>#VALUE!</v>
      </c>
      <c r="C37" s="262" t="s">
        <v>298</v>
      </c>
      <c r="D37" s="115" t="s">
        <v>444</v>
      </c>
      <c r="E37" s="273" t="s">
        <v>621</v>
      </c>
      <c r="F37" s="170" t="s">
        <v>434</v>
      </c>
      <c r="H37" s="140"/>
      <c r="I37" s="140"/>
      <c r="J37" s="140"/>
    </row>
    <row r="38" spans="1:10" x14ac:dyDescent="0.35">
      <c r="A38" s="109" t="e">
        <f t="shared" si="0"/>
        <v>#VALUE!</v>
      </c>
      <c r="C38" s="262" t="s">
        <v>448</v>
      </c>
      <c r="D38" s="115" t="s">
        <v>645</v>
      </c>
      <c r="E38" s="273" t="s">
        <v>622</v>
      </c>
      <c r="F38" s="170" t="s">
        <v>434</v>
      </c>
      <c r="H38" s="140"/>
      <c r="I38" s="140"/>
      <c r="J38" s="140"/>
    </row>
    <row r="39" spans="1:10" x14ac:dyDescent="0.35">
      <c r="A39" s="109" t="e">
        <f t="shared" si="0"/>
        <v>#VALUE!</v>
      </c>
      <c r="C39" s="252" t="s">
        <v>793</v>
      </c>
      <c r="D39" s="115" t="s">
        <v>665</v>
      </c>
      <c r="E39" s="275" t="s">
        <v>623</v>
      </c>
      <c r="F39" s="113" t="s">
        <v>440</v>
      </c>
      <c r="H39" s="140"/>
      <c r="I39" s="140"/>
      <c r="J39" s="140"/>
    </row>
    <row r="40" spans="1:10" x14ac:dyDescent="0.35">
      <c r="A40" s="109" t="e">
        <f t="shared" si="0"/>
        <v>#VALUE!</v>
      </c>
      <c r="C40" s="252" t="s">
        <v>794</v>
      </c>
      <c r="D40" s="115" t="s">
        <v>665</v>
      </c>
      <c r="E40" s="275" t="s">
        <v>624</v>
      </c>
      <c r="F40" s="113" t="s">
        <v>440</v>
      </c>
      <c r="H40" s="140"/>
      <c r="I40" s="140"/>
      <c r="J40" s="140"/>
    </row>
    <row r="41" spans="1:10" x14ac:dyDescent="0.35">
      <c r="A41" s="109" t="e">
        <f t="shared" si="0"/>
        <v>#VALUE!</v>
      </c>
      <c r="C41" s="252" t="s">
        <v>795</v>
      </c>
      <c r="D41" s="115" t="s">
        <v>665</v>
      </c>
      <c r="E41" s="275" t="s">
        <v>625</v>
      </c>
      <c r="F41" s="113" t="s">
        <v>440</v>
      </c>
      <c r="H41" s="140"/>
      <c r="I41" s="140"/>
      <c r="J41" s="140"/>
    </row>
    <row r="42" spans="1:10" x14ac:dyDescent="0.35">
      <c r="A42" s="109" t="e">
        <f t="shared" si="0"/>
        <v>#VALUE!</v>
      </c>
      <c r="C42" s="252" t="s">
        <v>796</v>
      </c>
      <c r="D42" s="115" t="s">
        <v>665</v>
      </c>
      <c r="E42" s="275" t="s">
        <v>626</v>
      </c>
      <c r="F42" s="113" t="s">
        <v>440</v>
      </c>
      <c r="H42" s="140"/>
      <c r="I42" s="140"/>
      <c r="J42" s="140"/>
    </row>
    <row r="43" spans="1:10" x14ac:dyDescent="0.35">
      <c r="A43" s="109" t="e">
        <f t="shared" si="0"/>
        <v>#VALUE!</v>
      </c>
      <c r="C43" s="252" t="s">
        <v>797</v>
      </c>
      <c r="D43" s="115" t="s">
        <v>665</v>
      </c>
      <c r="E43" s="275" t="s">
        <v>627</v>
      </c>
      <c r="F43" s="113" t="s">
        <v>440</v>
      </c>
      <c r="H43" s="140"/>
      <c r="I43" s="140"/>
      <c r="J43" s="140"/>
    </row>
    <row r="44" spans="1:10" x14ac:dyDescent="0.35">
      <c r="A44" s="109" t="e">
        <f t="shared" si="0"/>
        <v>#VALUE!</v>
      </c>
      <c r="C44" s="252" t="s">
        <v>798</v>
      </c>
      <c r="D44" s="115" t="s">
        <v>665</v>
      </c>
      <c r="E44" s="275" t="s">
        <v>628</v>
      </c>
      <c r="F44" s="113" t="s">
        <v>440</v>
      </c>
      <c r="H44" s="140"/>
      <c r="I44" s="140"/>
      <c r="J44" s="140"/>
    </row>
    <row r="45" spans="1:10" x14ac:dyDescent="0.35">
      <c r="A45" s="109" t="e">
        <f t="shared" si="0"/>
        <v>#VALUE!</v>
      </c>
      <c r="D45" s="115" t="s">
        <v>665</v>
      </c>
      <c r="E45" s="275" t="s">
        <v>629</v>
      </c>
      <c r="F45" s="113" t="s">
        <v>440</v>
      </c>
      <c r="H45" s="140"/>
      <c r="I45" s="140"/>
      <c r="J45" s="140"/>
    </row>
    <row r="46" spans="1:10" x14ac:dyDescent="0.35">
      <c r="A46" s="109" t="e">
        <f t="shared" si="0"/>
        <v>#VALUE!</v>
      </c>
      <c r="C46" s="571" t="s">
        <v>283</v>
      </c>
      <c r="D46" s="308" t="s">
        <v>665</v>
      </c>
      <c r="E46" s="572" t="s">
        <v>630</v>
      </c>
      <c r="F46" s="307" t="s">
        <v>440</v>
      </c>
      <c r="H46" s="140"/>
      <c r="I46" s="140"/>
      <c r="J46" s="140"/>
    </row>
    <row r="47" spans="1:10" x14ac:dyDescent="0.35">
      <c r="A47" s="109" t="e">
        <f t="shared" si="0"/>
        <v>#VALUE!</v>
      </c>
      <c r="C47" s="571" t="s">
        <v>284</v>
      </c>
      <c r="D47" s="308" t="s">
        <v>665</v>
      </c>
      <c r="E47" s="572" t="s">
        <v>631</v>
      </c>
      <c r="F47" s="307" t="s">
        <v>440</v>
      </c>
      <c r="H47" s="140"/>
      <c r="I47" s="140"/>
      <c r="J47" s="140"/>
    </row>
    <row r="48" spans="1:10" x14ac:dyDescent="0.35">
      <c r="A48" s="109" t="e">
        <f t="shared" si="0"/>
        <v>#VALUE!</v>
      </c>
      <c r="C48" s="571" t="s">
        <v>285</v>
      </c>
      <c r="D48" s="308" t="s">
        <v>665</v>
      </c>
      <c r="E48" s="572" t="s">
        <v>632</v>
      </c>
      <c r="F48" s="307" t="s">
        <v>440</v>
      </c>
      <c r="H48" s="140"/>
      <c r="I48" s="140"/>
      <c r="J48" s="140"/>
    </row>
    <row r="49" spans="1:12" x14ac:dyDescent="0.35">
      <c r="A49" s="109" t="e">
        <f t="shared" si="0"/>
        <v>#VALUE!</v>
      </c>
      <c r="C49" s="571" t="s">
        <v>281</v>
      </c>
      <c r="D49" s="308" t="s">
        <v>665</v>
      </c>
      <c r="E49" s="572" t="s">
        <v>633</v>
      </c>
      <c r="F49" s="307" t="s">
        <v>440</v>
      </c>
      <c r="H49" s="140"/>
      <c r="I49" s="140"/>
      <c r="J49" s="140"/>
    </row>
    <row r="50" spans="1:12" x14ac:dyDescent="0.35">
      <c r="A50" s="109" t="e">
        <f t="shared" si="0"/>
        <v>#VALUE!</v>
      </c>
      <c r="C50" s="571" t="s">
        <v>282</v>
      </c>
      <c r="D50" s="308" t="s">
        <v>665</v>
      </c>
      <c r="E50" s="572" t="s">
        <v>634</v>
      </c>
      <c r="F50" s="307" t="s">
        <v>440</v>
      </c>
      <c r="H50" s="140"/>
      <c r="I50" s="140"/>
      <c r="J50" s="140"/>
    </row>
    <row r="51" spans="1:12" x14ac:dyDescent="0.35">
      <c r="A51" s="109" t="e">
        <f t="shared" si="0"/>
        <v>#VALUE!</v>
      </c>
      <c r="C51" s="571" t="s">
        <v>562</v>
      </c>
      <c r="D51" s="308" t="s">
        <v>665</v>
      </c>
      <c r="E51" s="572" t="s">
        <v>635</v>
      </c>
      <c r="F51" s="307" t="s">
        <v>440</v>
      </c>
      <c r="H51" s="140"/>
      <c r="I51" s="140"/>
      <c r="J51" s="140"/>
    </row>
    <row r="52" spans="1:12" x14ac:dyDescent="0.35">
      <c r="A52" s="109" t="e">
        <f t="shared" si="0"/>
        <v>#VALUE!</v>
      </c>
      <c r="C52" s="571" t="s">
        <v>289</v>
      </c>
      <c r="D52" s="308" t="s">
        <v>665</v>
      </c>
      <c r="E52" s="572" t="s">
        <v>636</v>
      </c>
      <c r="F52" s="307" t="s">
        <v>440</v>
      </c>
      <c r="H52" s="140"/>
      <c r="I52" s="140"/>
      <c r="J52" s="140"/>
    </row>
    <row r="53" spans="1:12" x14ac:dyDescent="0.35">
      <c r="A53" s="109" t="e">
        <f t="shared" si="0"/>
        <v>#VALUE!</v>
      </c>
      <c r="C53" s="571" t="s">
        <v>290</v>
      </c>
      <c r="D53" s="308" t="s">
        <v>665</v>
      </c>
      <c r="E53" s="572" t="s">
        <v>637</v>
      </c>
      <c r="F53" s="307" t="s">
        <v>440</v>
      </c>
      <c r="H53" s="140"/>
      <c r="I53" s="140"/>
      <c r="J53" s="140"/>
    </row>
    <row r="54" spans="1:12" x14ac:dyDescent="0.35">
      <c r="A54" s="109" t="e">
        <f t="shared" si="0"/>
        <v>#VALUE!</v>
      </c>
      <c r="C54" s="571" t="s">
        <v>291</v>
      </c>
      <c r="D54" s="308" t="s">
        <v>665</v>
      </c>
      <c r="E54" s="572" t="s">
        <v>638</v>
      </c>
      <c r="F54" s="307" t="s">
        <v>440</v>
      </c>
      <c r="H54" s="140"/>
      <c r="I54" s="140"/>
      <c r="J54" s="140"/>
    </row>
    <row r="55" spans="1:12" x14ac:dyDescent="0.35">
      <c r="A55" s="109"/>
      <c r="C55" s="571" t="s">
        <v>292</v>
      </c>
      <c r="D55" s="308" t="s">
        <v>665</v>
      </c>
      <c r="E55" s="572" t="s">
        <v>639</v>
      </c>
      <c r="F55" s="307" t="s">
        <v>440</v>
      </c>
      <c r="G55" s="109"/>
      <c r="H55" s="140"/>
      <c r="I55" s="140"/>
      <c r="J55" s="140"/>
      <c r="K55" s="109"/>
    </row>
    <row r="56" spans="1:12" x14ac:dyDescent="0.35">
      <c r="A56" s="109"/>
      <c r="C56" s="571" t="s">
        <v>293</v>
      </c>
      <c r="D56" s="308" t="s">
        <v>665</v>
      </c>
      <c r="E56" s="572" t="s">
        <v>640</v>
      </c>
      <c r="F56" s="307" t="s">
        <v>440</v>
      </c>
      <c r="H56" s="140"/>
      <c r="I56" s="140"/>
      <c r="J56" s="140"/>
    </row>
    <row r="57" spans="1:12" s="125" customFormat="1" x14ac:dyDescent="0.35">
      <c r="A57" s="109"/>
      <c r="C57" s="571" t="s">
        <v>563</v>
      </c>
      <c r="D57" s="308" t="s">
        <v>665</v>
      </c>
      <c r="E57" s="572" t="s">
        <v>641</v>
      </c>
      <c r="F57" s="307" t="s">
        <v>440</v>
      </c>
      <c r="H57" s="140"/>
      <c r="I57" s="140"/>
      <c r="J57" s="140"/>
      <c r="L57"/>
    </row>
    <row r="58" spans="1:12" s="125" customFormat="1" x14ac:dyDescent="0.35">
      <c r="H58" s="140"/>
      <c r="I58" s="140"/>
      <c r="J58" s="140"/>
      <c r="L58"/>
    </row>
    <row r="59" spans="1:12" x14ac:dyDescent="0.35">
      <c r="H59" s="140"/>
      <c r="I59" s="140"/>
      <c r="J59" s="140"/>
    </row>
    <row r="60" spans="1:12" x14ac:dyDescent="0.35">
      <c r="H60" s="140"/>
      <c r="I60" s="140"/>
      <c r="J60" s="140"/>
    </row>
    <row r="61" spans="1:12" x14ac:dyDescent="0.35"/>
    <row r="62" spans="1:12" hidden="1" x14ac:dyDescent="0.35">
      <c r="C62" s="252" t="s">
        <v>287</v>
      </c>
    </row>
    <row r="63" spans="1:12" hidden="1" x14ac:dyDescent="0.35">
      <c r="C63" s="252" t="s">
        <v>288</v>
      </c>
    </row>
    <row r="64" spans="1:12" x14ac:dyDescent="0.35"/>
  </sheetData>
  <autoFilter ref="B3:C57">
    <sortState ref="B4:C47">
      <sortCondition ref="C3:C47"/>
    </sortState>
  </autoFilter>
  <conditionalFormatting sqref="D4 H4 H6:H9 H12:J13 C4:C12 E8:E12 D6:D26 F4:F38 C14:C16 E14:E16">
    <cfRule type="expression" dxfId="128" priority="164">
      <formula>#REF!&gt;0</formula>
    </cfRule>
  </conditionalFormatting>
  <conditionalFormatting sqref="H5 D5:D6">
    <cfRule type="expression" dxfId="127" priority="163">
      <formula>#REF!&gt;0</formula>
    </cfRule>
  </conditionalFormatting>
  <conditionalFormatting sqref="D27">
    <cfRule type="expression" dxfId="126" priority="161">
      <formula>#REF!&gt;0</formula>
    </cfRule>
  </conditionalFormatting>
  <conditionalFormatting sqref="H4:H6 H8 H12:J13 D4:D28 F4:F57">
    <cfRule type="expression" dxfId="125" priority="160">
      <formula>$A4="VERDADERO"</formula>
    </cfRule>
  </conditionalFormatting>
  <conditionalFormatting sqref="D28">
    <cfRule type="expression" dxfId="124" priority="159">
      <formula>#REF!&gt;0</formula>
    </cfRule>
  </conditionalFormatting>
  <conditionalFormatting sqref="D29 D31 D33 D35 D37:D57">
    <cfRule type="expression" dxfId="123" priority="154">
      <formula>#REF!&gt;0</formula>
    </cfRule>
  </conditionalFormatting>
  <conditionalFormatting sqref="D29:D57">
    <cfRule type="expression" dxfId="122" priority="153">
      <formula>$A29="VERDADERO"</formula>
    </cfRule>
  </conditionalFormatting>
  <conditionalFormatting sqref="D30 D32 D34 D36 D38">
    <cfRule type="expression" dxfId="121" priority="152">
      <formula>#REF!&gt;0</formula>
    </cfRule>
  </conditionalFormatting>
  <conditionalFormatting sqref="H4:H9 H12:J13 F4:F57">
    <cfRule type="expression" dxfId="120" priority="197">
      <formula>#REF!="No"</formula>
    </cfRule>
    <cfRule type="expression" dxfId="119" priority="198">
      <formula>#REF!="Si"</formula>
    </cfRule>
  </conditionalFormatting>
  <conditionalFormatting sqref="I4:J4 I6:J10">
    <cfRule type="expression" dxfId="118" priority="123">
      <formula>#REF!&gt;0</formula>
    </cfRule>
  </conditionalFormatting>
  <conditionalFormatting sqref="I5:J5">
    <cfRule type="expression" dxfId="117" priority="122">
      <formula>#REF!&gt;0</formula>
    </cfRule>
  </conditionalFormatting>
  <conditionalFormatting sqref="I4:J8">
    <cfRule type="expression" dxfId="116" priority="121">
      <formula>$A4="VERDADERO"</formula>
    </cfRule>
  </conditionalFormatting>
  <conditionalFormatting sqref="I4:J10">
    <cfRule type="expression" dxfId="115" priority="124">
      <formula>#REF!="No"</formula>
    </cfRule>
    <cfRule type="expression" dxfId="114" priority="125">
      <formula>#REF!="Si"</formula>
    </cfRule>
  </conditionalFormatting>
  <conditionalFormatting sqref="F5">
    <cfRule type="expression" dxfId="113" priority="117">
      <formula>#REF!&gt;0</formula>
    </cfRule>
  </conditionalFormatting>
  <conditionalFormatting sqref="F27">
    <cfRule type="expression" dxfId="112" priority="116">
      <formula>#REF!&gt;0</formula>
    </cfRule>
  </conditionalFormatting>
  <conditionalFormatting sqref="F28">
    <cfRule type="expression" dxfId="111" priority="114">
      <formula>#REF!&gt;0</formula>
    </cfRule>
  </conditionalFormatting>
  <conditionalFormatting sqref="F29 F31 F33 F35 F37 F39:F57">
    <cfRule type="expression" dxfId="110" priority="113">
      <formula>#REF!&gt;0</formula>
    </cfRule>
  </conditionalFormatting>
  <conditionalFormatting sqref="F29:F57">
    <cfRule type="expression" dxfId="109" priority="112">
      <formula>$A29="VERDADERO"</formula>
    </cfRule>
  </conditionalFormatting>
  <conditionalFormatting sqref="F30 F32 F34 F36 F38">
    <cfRule type="expression" dxfId="108" priority="111">
      <formula>#REF!&gt;0</formula>
    </cfRule>
  </conditionalFormatting>
  <conditionalFormatting sqref="H9:J9 I10:J10">
    <cfRule type="expression" dxfId="107" priority="212">
      <formula>$A10="VERDADERO"</formula>
    </cfRule>
  </conditionalFormatting>
  <conditionalFormatting sqref="C29 C32 C34:C36">
    <cfRule type="expression" dxfId="106" priority="102">
      <formula>#REF!&gt;0</formula>
    </cfRule>
  </conditionalFormatting>
  <conditionalFormatting sqref="C12 C20">
    <cfRule type="expression" dxfId="105" priority="101">
      <formula>#REF!&gt;0</formula>
    </cfRule>
  </conditionalFormatting>
  <conditionalFormatting sqref="C20">
    <cfRule type="expression" dxfId="104" priority="100">
      <formula>#REF!&gt;0</formula>
    </cfRule>
  </conditionalFormatting>
  <conditionalFormatting sqref="C4">
    <cfRule type="expression" dxfId="103" priority="99">
      <formula>$A4="VERDADERO"</formula>
    </cfRule>
  </conditionalFormatting>
  <conditionalFormatting sqref="C20">
    <cfRule type="expression" dxfId="102" priority="98">
      <formula>#REF!&gt;0</formula>
    </cfRule>
  </conditionalFormatting>
  <conditionalFormatting sqref="C27">
    <cfRule type="expression" dxfId="101" priority="97">
      <formula>#REF!&gt;0</formula>
    </cfRule>
  </conditionalFormatting>
  <conditionalFormatting sqref="C4">
    <cfRule type="expression" dxfId="100" priority="96">
      <formula>#REF!&gt;0</formula>
    </cfRule>
  </conditionalFormatting>
  <conditionalFormatting sqref="C22:C23 C17">
    <cfRule type="expression" dxfId="99" priority="95">
      <formula>$A13="VERDADERO"</formula>
    </cfRule>
  </conditionalFormatting>
  <conditionalFormatting sqref="C34">
    <cfRule type="expression" dxfId="98" priority="94">
      <formula>$A28="VERDADERO"</formula>
    </cfRule>
  </conditionalFormatting>
  <conditionalFormatting sqref="C13">
    <cfRule type="expression" dxfId="97" priority="93">
      <formula>#REF!&gt;0</formula>
    </cfRule>
  </conditionalFormatting>
  <conditionalFormatting sqref="C13">
    <cfRule type="expression" dxfId="96" priority="92">
      <formula>$A8="VERDADERO"</formula>
    </cfRule>
  </conditionalFormatting>
  <conditionalFormatting sqref="C17">
    <cfRule type="expression" dxfId="95" priority="91">
      <formula>#REF!&gt;0</formula>
    </cfRule>
  </conditionalFormatting>
  <conditionalFormatting sqref="C18:C19">
    <cfRule type="expression" dxfId="94" priority="90">
      <formula>$A14="VERDADERO"</formula>
    </cfRule>
  </conditionalFormatting>
  <conditionalFormatting sqref="C18:C19">
    <cfRule type="expression" dxfId="93" priority="89">
      <formula>#REF!&gt;0</formula>
    </cfRule>
  </conditionalFormatting>
  <conditionalFormatting sqref="C22:C23">
    <cfRule type="expression" dxfId="92" priority="88">
      <formula>#REF!&gt;0</formula>
    </cfRule>
  </conditionalFormatting>
  <conditionalFormatting sqref="C27 C29 C37:C38">
    <cfRule type="expression" dxfId="91" priority="87">
      <formula>$A22="VERDADERO"</formula>
    </cfRule>
  </conditionalFormatting>
  <conditionalFormatting sqref="C22:C23">
    <cfRule type="expression" dxfId="90" priority="86">
      <formula>#REF!&gt;0</formula>
    </cfRule>
  </conditionalFormatting>
  <conditionalFormatting sqref="C24">
    <cfRule type="expression" dxfId="89" priority="84">
      <formula>#REF!&gt;0</formula>
    </cfRule>
  </conditionalFormatting>
  <conditionalFormatting sqref="C24">
    <cfRule type="expression" dxfId="88" priority="83">
      <formula>#REF!&gt;0</formula>
    </cfRule>
  </conditionalFormatting>
  <conditionalFormatting sqref="C24">
    <cfRule type="expression" dxfId="87" priority="82">
      <formula>#REF!&gt;0</formula>
    </cfRule>
  </conditionalFormatting>
  <conditionalFormatting sqref="C24 C15">
    <cfRule type="expression" dxfId="86" priority="85">
      <formula>$A40="VERDADERO"</formula>
    </cfRule>
  </conditionalFormatting>
  <conditionalFormatting sqref="C25">
    <cfRule type="expression" dxfId="85" priority="80">
      <formula>#REF!&gt;0</formula>
    </cfRule>
  </conditionalFormatting>
  <conditionalFormatting sqref="C25">
    <cfRule type="expression" dxfId="84" priority="79">
      <formula>#REF!&gt;0</formula>
    </cfRule>
  </conditionalFormatting>
  <conditionalFormatting sqref="C25">
    <cfRule type="expression" dxfId="83" priority="78">
      <formula>#REF!&gt;0</formula>
    </cfRule>
  </conditionalFormatting>
  <conditionalFormatting sqref="C25">
    <cfRule type="expression" dxfId="82" priority="81">
      <formula>$A50="VERDADERO"</formula>
    </cfRule>
  </conditionalFormatting>
  <conditionalFormatting sqref="C28">
    <cfRule type="expression" dxfId="81" priority="76">
      <formula>#REF!&gt;0</formula>
    </cfRule>
  </conditionalFormatting>
  <conditionalFormatting sqref="C28">
    <cfRule type="expression" dxfId="80" priority="75">
      <formula>#REF!&gt;0</formula>
    </cfRule>
  </conditionalFormatting>
  <conditionalFormatting sqref="C28">
    <cfRule type="expression" dxfId="79" priority="74">
      <formula>#REF!&gt;0</formula>
    </cfRule>
  </conditionalFormatting>
  <conditionalFormatting sqref="C28">
    <cfRule type="expression" dxfId="78" priority="77">
      <formula>$A52="VERDADERO"</formula>
    </cfRule>
  </conditionalFormatting>
  <conditionalFormatting sqref="C32">
    <cfRule type="expression" dxfId="77" priority="73">
      <formula>$A25="VERDADERO"</formula>
    </cfRule>
  </conditionalFormatting>
  <conditionalFormatting sqref="C35:C36 E16">
    <cfRule type="expression" dxfId="76" priority="72">
      <formula>$A13="VERDADERO"</formula>
    </cfRule>
  </conditionalFormatting>
  <conditionalFormatting sqref="C33">
    <cfRule type="expression" dxfId="75" priority="71">
      <formula>#REF!&gt;0</formula>
    </cfRule>
  </conditionalFormatting>
  <conditionalFormatting sqref="C33">
    <cfRule type="expression" dxfId="74" priority="70">
      <formula>#REF!&gt;0</formula>
    </cfRule>
  </conditionalFormatting>
  <conditionalFormatting sqref="C33">
    <cfRule type="expression" dxfId="73" priority="69">
      <formula>$A25="VERDADERO"</formula>
    </cfRule>
  </conditionalFormatting>
  <conditionalFormatting sqref="C20 C16">
    <cfRule type="expression" dxfId="72" priority="103">
      <formula>$A42="VERDADERO"</formula>
    </cfRule>
  </conditionalFormatting>
  <conditionalFormatting sqref="C21">
    <cfRule type="expression" dxfId="71" priority="68">
      <formula>#REF!&gt;0</formula>
    </cfRule>
  </conditionalFormatting>
  <conditionalFormatting sqref="C21">
    <cfRule type="expression" dxfId="70" priority="67">
      <formula>$A17="VERDADERO"</formula>
    </cfRule>
  </conditionalFormatting>
  <conditionalFormatting sqref="C21">
    <cfRule type="expression" dxfId="69" priority="66">
      <formula>#REF!&gt;0</formula>
    </cfRule>
  </conditionalFormatting>
  <conditionalFormatting sqref="C26">
    <cfRule type="expression" dxfId="68" priority="65">
      <formula>#REF!&gt;0</formula>
    </cfRule>
  </conditionalFormatting>
  <conditionalFormatting sqref="C26">
    <cfRule type="expression" dxfId="67" priority="64">
      <formula>$A21="VERDADERO"</formula>
    </cfRule>
  </conditionalFormatting>
  <conditionalFormatting sqref="C30:C31">
    <cfRule type="expression" dxfId="66" priority="63">
      <formula>#REF!&gt;0</formula>
    </cfRule>
  </conditionalFormatting>
  <conditionalFormatting sqref="C30:C31">
    <cfRule type="expression" dxfId="65" priority="62">
      <formula>$A25="VERDADERO"</formula>
    </cfRule>
  </conditionalFormatting>
  <conditionalFormatting sqref="C37">
    <cfRule type="expression" dxfId="64" priority="61">
      <formula>#REF!&gt;0</formula>
    </cfRule>
  </conditionalFormatting>
  <conditionalFormatting sqref="C37">
    <cfRule type="expression" dxfId="63" priority="60">
      <formula>#REF!&gt;0</formula>
    </cfRule>
  </conditionalFormatting>
  <conditionalFormatting sqref="C38">
    <cfRule type="expression" dxfId="62" priority="59">
      <formula>#REF!&gt;0</formula>
    </cfRule>
  </conditionalFormatting>
  <conditionalFormatting sqref="C38">
    <cfRule type="expression" dxfId="61" priority="58">
      <formula>#REF!&gt;0</formula>
    </cfRule>
  </conditionalFormatting>
  <conditionalFormatting sqref="C5:C7">
    <cfRule type="expression" dxfId="60" priority="104">
      <formula>#REF!="VERDADERO"</formula>
    </cfRule>
  </conditionalFormatting>
  <conditionalFormatting sqref="C8:C11">
    <cfRule type="expression" dxfId="59" priority="105">
      <formula>#REF!="VERDADERO"</formula>
    </cfRule>
  </conditionalFormatting>
  <conditionalFormatting sqref="C14 C12">
    <cfRule type="expression" dxfId="58" priority="106">
      <formula>#REF!="VERDADERO"</formula>
    </cfRule>
  </conditionalFormatting>
  <conditionalFormatting sqref="C38">
    <cfRule type="expression" dxfId="57" priority="57">
      <formula>#REF!&gt;0</formula>
    </cfRule>
  </conditionalFormatting>
  <conditionalFormatting sqref="C38">
    <cfRule type="expression" dxfId="56" priority="56">
      <formula>#REF!&gt;0</formula>
    </cfRule>
  </conditionalFormatting>
  <conditionalFormatting sqref="C4">
    <cfRule type="expression" dxfId="55" priority="55">
      <formula>#REF!="VERDADERO"</formula>
    </cfRule>
  </conditionalFormatting>
  <conditionalFormatting sqref="C4">
    <cfRule type="expression" dxfId="54" priority="54">
      <formula>#REF!="VERDADERO"</formula>
    </cfRule>
  </conditionalFormatting>
  <conditionalFormatting sqref="C4">
    <cfRule type="expression" dxfId="53" priority="53">
      <formula>#REF!="VERDADERO"</formula>
    </cfRule>
  </conditionalFormatting>
  <conditionalFormatting sqref="C53:C57 C39">
    <cfRule type="expression" dxfId="52" priority="51">
      <formula>$M46=$B39</formula>
    </cfRule>
  </conditionalFormatting>
  <conditionalFormatting sqref="C51:C52 C62:C63">
    <cfRule type="expression" dxfId="51" priority="52">
      <formula>$M60=$B51</formula>
    </cfRule>
  </conditionalFormatting>
  <conditionalFormatting sqref="E17:E23 E4:E7">
    <cfRule type="expression" dxfId="50" priority="43">
      <formula>#REF!&gt;0</formula>
    </cfRule>
  </conditionalFormatting>
  <conditionalFormatting sqref="E21:E23">
    <cfRule type="expression" dxfId="49" priority="42">
      <formula>$A17="VERDADERO"</formula>
    </cfRule>
  </conditionalFormatting>
  <conditionalFormatting sqref="E13:E15">
    <cfRule type="expression" dxfId="48" priority="41">
      <formula>$A8="VERDADERO"</formula>
    </cfRule>
  </conditionalFormatting>
  <conditionalFormatting sqref="E17:E19">
    <cfRule type="expression" dxfId="47" priority="40">
      <formula>$A13="VERDADERO"</formula>
    </cfRule>
  </conditionalFormatting>
  <conditionalFormatting sqref="E37:E38 E25">
    <cfRule type="expression" dxfId="46" priority="39">
      <formula>$A20="VERDADERO"</formula>
    </cfRule>
  </conditionalFormatting>
  <conditionalFormatting sqref="E24">
    <cfRule type="expression" dxfId="45" priority="38">
      <formula>#REF!="VERDADERO"</formula>
    </cfRule>
  </conditionalFormatting>
  <conditionalFormatting sqref="E36 E20">
    <cfRule type="expression" dxfId="44" priority="37">
      <formula>$A17="VERDADERO"</formula>
    </cfRule>
  </conditionalFormatting>
  <conditionalFormatting sqref="E7 E9">
    <cfRule type="expression" dxfId="43" priority="36">
      <formula>$A5="VERDADERO"</formula>
    </cfRule>
  </conditionalFormatting>
  <conditionalFormatting sqref="E36:E38">
    <cfRule type="expression" dxfId="42" priority="35">
      <formula>#REF!&gt;0</formula>
    </cfRule>
  </conditionalFormatting>
  <conditionalFormatting sqref="E4">
    <cfRule type="expression" dxfId="41" priority="33">
      <formula>$A4="VERDADERO"</formula>
    </cfRule>
  </conditionalFormatting>
  <conditionalFormatting sqref="E13">
    <cfRule type="expression" dxfId="40" priority="32">
      <formula>#REF!&gt;0</formula>
    </cfRule>
  </conditionalFormatting>
  <conditionalFormatting sqref="E28">
    <cfRule type="expression" dxfId="39" priority="30">
      <formula>$A23="VERDADERO"</formula>
    </cfRule>
  </conditionalFormatting>
  <conditionalFormatting sqref="E24:E25">
    <cfRule type="expression" dxfId="38" priority="29">
      <formula>#REF!&gt;0</formula>
    </cfRule>
  </conditionalFormatting>
  <conditionalFormatting sqref="E27">
    <cfRule type="expression" dxfId="37" priority="28">
      <formula>#REF!&gt;0</formula>
    </cfRule>
  </conditionalFormatting>
  <conditionalFormatting sqref="E27">
    <cfRule type="expression" dxfId="36" priority="27">
      <formula>$A22="VERDADERO"</formula>
    </cfRule>
  </conditionalFormatting>
  <conditionalFormatting sqref="E28">
    <cfRule type="expression" dxfId="35" priority="26">
      <formula>#REF!&gt;0</formula>
    </cfRule>
  </conditionalFormatting>
  <conditionalFormatting sqref="E29">
    <cfRule type="expression" dxfId="34" priority="25">
      <formula>#REF!&gt;0</formula>
    </cfRule>
  </conditionalFormatting>
  <conditionalFormatting sqref="E29">
    <cfRule type="expression" dxfId="33" priority="24">
      <formula>$A24="VERDADERO"</formula>
    </cfRule>
  </conditionalFormatting>
  <conditionalFormatting sqref="E32">
    <cfRule type="expression" dxfId="32" priority="23">
      <formula>#REF!&gt;0</formula>
    </cfRule>
  </conditionalFormatting>
  <conditionalFormatting sqref="E32">
    <cfRule type="expression" dxfId="31" priority="22">
      <formula>$A25="VERDADERO"</formula>
    </cfRule>
  </conditionalFormatting>
  <conditionalFormatting sqref="E35">
    <cfRule type="expression" dxfId="30" priority="20">
      <formula>$A32="VERDADERO"</formula>
    </cfRule>
  </conditionalFormatting>
  <conditionalFormatting sqref="E35">
    <cfRule type="expression" dxfId="29" priority="21">
      <formula>#REF!&gt;0</formula>
    </cfRule>
  </conditionalFormatting>
  <conditionalFormatting sqref="E5:E6">
    <cfRule type="expression" dxfId="28" priority="19">
      <formula>$A3="VERDADERO"</formula>
    </cfRule>
  </conditionalFormatting>
  <conditionalFormatting sqref="E34">
    <cfRule type="expression" dxfId="27" priority="18">
      <formula>#REF!&gt;0</formula>
    </cfRule>
  </conditionalFormatting>
  <conditionalFormatting sqref="E34">
    <cfRule type="expression" dxfId="26" priority="17">
      <formula>$A28="VERDADERO"</formula>
    </cfRule>
  </conditionalFormatting>
  <conditionalFormatting sqref="E33">
    <cfRule type="expression" dxfId="25" priority="16">
      <formula>#REF!&gt;0</formula>
    </cfRule>
  </conditionalFormatting>
  <conditionalFormatting sqref="E33">
    <cfRule type="expression" dxfId="24" priority="15">
      <formula>$A25="VERDADERO"</formula>
    </cfRule>
  </conditionalFormatting>
  <conditionalFormatting sqref="E26">
    <cfRule type="expression" dxfId="23" priority="14">
      <formula>#REF!&gt;0</formula>
    </cfRule>
  </conditionalFormatting>
  <conditionalFormatting sqref="E26">
    <cfRule type="expression" dxfId="22" priority="13">
      <formula>$A21="VERDADERO"</formula>
    </cfRule>
  </conditionalFormatting>
  <conditionalFormatting sqref="E30:E31">
    <cfRule type="expression" dxfId="21" priority="12">
      <formula>#REF!&gt;0</formula>
    </cfRule>
  </conditionalFormatting>
  <conditionalFormatting sqref="E30:E31">
    <cfRule type="expression" dxfId="20" priority="11">
      <formula>$A25="VERDADERO"</formula>
    </cfRule>
  </conditionalFormatting>
  <conditionalFormatting sqref="E8">
    <cfRule type="expression" dxfId="19" priority="44">
      <formula>#REF!="VERDADERO"</formula>
    </cfRule>
  </conditionalFormatting>
  <conditionalFormatting sqref="E10:E11">
    <cfRule type="expression" dxfId="18" priority="45">
      <formula>#REF!="VERDADERO"</formula>
    </cfRule>
  </conditionalFormatting>
  <conditionalFormatting sqref="E12">
    <cfRule type="expression" dxfId="17" priority="46">
      <formula>#REF!="VERDADERO"</formula>
    </cfRule>
  </conditionalFormatting>
  <conditionalFormatting sqref="E39:E57">
    <cfRule type="expression" dxfId="16" priority="9">
      <formula>$A36="VERDADERO"</formula>
    </cfRule>
  </conditionalFormatting>
  <conditionalFormatting sqref="E39:E57">
    <cfRule type="expression" dxfId="15" priority="10">
      <formula>#REF!&gt;0</formula>
    </cfRule>
  </conditionalFormatting>
  <conditionalFormatting sqref="H7">
    <cfRule type="expression" dxfId="14" priority="220">
      <formula>$A11="VERDADERO"</formula>
    </cfRule>
  </conditionalFormatting>
  <conditionalFormatting sqref="C46">
    <cfRule type="expression" dxfId="13" priority="227">
      <formula>$M52=$B45</formula>
    </cfRule>
  </conditionalFormatting>
  <conditionalFormatting sqref="C47:C48">
    <cfRule type="expression" dxfId="12" priority="229">
      <formula>$M55=$B46</formula>
    </cfRule>
  </conditionalFormatting>
  <conditionalFormatting sqref="C49:C50">
    <cfRule type="expression" dxfId="11" priority="230">
      <formula>$M49=$B42</formula>
    </cfRule>
  </conditionalFormatting>
  <conditionalFormatting sqref="C40:C41">
    <cfRule type="expression" dxfId="10" priority="234">
      <formula>$M66=$B59</formula>
    </cfRule>
  </conditionalFormatting>
  <conditionalFormatting sqref="C42">
    <cfRule type="expression" dxfId="9" priority="237">
      <formula>$M70=$B61</formula>
    </cfRule>
  </conditionalFormatting>
  <conditionalFormatting sqref="C43:C44">
    <cfRule type="expression" dxfId="8" priority="5">
      <formula>$M50=$B43</formula>
    </cfRule>
  </conditionalFormatting>
  <conditionalFormatting sqref="J14:J29">
    <cfRule type="expression" dxfId="7" priority="2">
      <formula>#REF!&gt;0</formula>
    </cfRule>
  </conditionalFormatting>
  <conditionalFormatting sqref="J14:J29">
    <cfRule type="expression" dxfId="6" priority="1">
      <formula>$A14="VERDADERO"</formula>
    </cfRule>
  </conditionalFormatting>
  <conditionalFormatting sqref="J14:J29">
    <cfRule type="expression" dxfId="5" priority="3">
      <formula>#REF!="No"</formula>
    </cfRule>
    <cfRule type="expression" dxfId="4" priority="4">
      <formula>#REF!="Si"</formula>
    </cfRule>
  </conditionalFormatting>
  <printOptions horizontalCentered="1"/>
  <pageMargins left="0.23622047244094491" right="0.23622047244094491" top="0.74803149606299213" bottom="0.74803149606299213" header="0.31496062992125984" footer="0.31496062992125984"/>
  <pageSetup scale="9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7</vt:i4>
      </vt:variant>
    </vt:vector>
  </HeadingPairs>
  <TitlesOfParts>
    <vt:vector size="14" baseType="lpstr">
      <vt:lpstr>FO-GC-015</vt:lpstr>
      <vt:lpstr>Req. ISO 9001-2015</vt:lpstr>
      <vt:lpstr>SGC-Vigente</vt:lpstr>
      <vt:lpstr>Resumen NC</vt:lpstr>
      <vt:lpstr>Resumen Obs</vt:lpstr>
      <vt:lpstr>Eq. Auditor</vt:lpstr>
      <vt:lpstr>Listas</vt:lpstr>
      <vt:lpstr>'Eq. Auditor'!Área_de_impresión</vt:lpstr>
      <vt:lpstr>'FO-GC-015'!Área_de_impresión</vt:lpstr>
      <vt:lpstr>'Req. ISO 9001-2015'!Área_de_impresión</vt:lpstr>
      <vt:lpstr>'Eq. Auditor'!Títulos_a_imprimir</vt:lpstr>
      <vt:lpstr>'FO-GC-015'!Títulos_a_imprimir</vt:lpstr>
      <vt:lpstr>Listas!Títulos_a_imprimir</vt:lpstr>
      <vt:lpstr>'Req. ISO 9001-2015'!Títulos_a_imprimir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COORDINACION CALIDAD</cp:lastModifiedBy>
  <cp:revision/>
  <cp:lastPrinted>2023-06-23T20:41:31Z</cp:lastPrinted>
  <dcterms:created xsi:type="dcterms:W3CDTF">2021-04-09T22:02:03Z</dcterms:created>
  <dcterms:modified xsi:type="dcterms:W3CDTF">2025-06-19T14:53:23Z</dcterms:modified>
  <cp:category/>
  <cp:contentStatus/>
</cp:coreProperties>
</file>