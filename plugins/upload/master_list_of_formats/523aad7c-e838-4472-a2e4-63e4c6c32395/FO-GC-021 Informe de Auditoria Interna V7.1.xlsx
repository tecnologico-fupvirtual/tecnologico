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COORD.CALIDAD\OneDrive - Fundación Universitaria de Popayán\COORDINACIÓN CALIDAD - FUP\DOC-SGC-FUP\HERRAMIENTA  ISO CALIDAD 3\4.4 Gestión de Calidad\FO\"/>
    </mc:Choice>
  </mc:AlternateContent>
  <bookViews>
    <workbookView xWindow="0" yWindow="0" windowWidth="28800" windowHeight="11130"/>
  </bookViews>
  <sheets>
    <sheet name="FO-GC-021" sheetId="1" r:id="rId1"/>
    <sheet name="Resumen AI" sheetId="14" state="hidden" r:id="rId2"/>
    <sheet name="Req. ISO 9001-2015" sheetId="8" r:id="rId3"/>
    <sheet name="Eq. Auditor (2025)" sheetId="16" state="hidden" r:id="rId4"/>
    <sheet name="Auditorias Prog." sheetId="12" state="hidden" r:id="rId5"/>
  </sheets>
  <externalReferences>
    <externalReference r:id="rId6"/>
  </externalReferences>
  <definedNames>
    <definedName name="_xlnm._FilterDatabase" localSheetId="4" hidden="1">'Auditorias Prog.'!$B$3:$C$38</definedName>
    <definedName name="_xlnm._FilterDatabase" localSheetId="3" hidden="1">'Eq. Auditor (2025)'!$E$2:$Q$62</definedName>
    <definedName name="_xlnm._FilterDatabase" localSheetId="2" hidden="1">'Req. ISO 9001-2015'!$A$3:$D$100</definedName>
    <definedName name="_xlnm.Print_Area" localSheetId="4">'Auditorias Prog.'!$C$2:$L$26</definedName>
    <definedName name="_xlnm.Print_Area" localSheetId="3">'Eq. Auditor (2025)'!$A$3:$B$36</definedName>
    <definedName name="_xlnm.Print_Area" localSheetId="0">'FO-GC-021'!$B$2:$AB$73</definedName>
    <definedName name="_xlnm.Print_Area" localSheetId="2">'Req. ISO 9001-2015'!$A$1:$D$100</definedName>
    <definedName name="_xlnm.Print_Titles" localSheetId="4">'Auditorias Prog.'!$2:$3</definedName>
    <definedName name="_xlnm.Print_Titles" localSheetId="3">'Eq. Auditor (2025)'!$1:$2</definedName>
    <definedName name="_xlnm.Print_Titles" localSheetId="0">'FO-GC-021'!$2:$14</definedName>
    <definedName name="_xlnm.Print_Titles" localSheetId="2">'Req. ISO 9001-2015'!$1:$2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72" i="1" l="1"/>
  <c r="J65" i="16"/>
  <c r="J64" i="16"/>
  <c r="J63" i="16"/>
  <c r="J66" i="16" s="1"/>
  <c r="L62" i="16"/>
  <c r="C62" i="16"/>
  <c r="L61" i="16"/>
  <c r="C61" i="16"/>
  <c r="C60" i="16"/>
  <c r="C59" i="16"/>
  <c r="Q58" i="16"/>
  <c r="P58" i="16"/>
  <c r="E58" i="16"/>
  <c r="D58" i="16"/>
  <c r="C58" i="16"/>
  <c r="L57" i="16"/>
  <c r="E57" i="16"/>
  <c r="C57" i="16"/>
  <c r="L56" i="16"/>
  <c r="E56" i="16"/>
  <c r="C56" i="16"/>
  <c r="L55" i="16"/>
  <c r="E55" i="16"/>
  <c r="C55" i="16"/>
  <c r="L54" i="16"/>
  <c r="E54" i="16"/>
  <c r="C54" i="16"/>
  <c r="L53" i="16"/>
  <c r="E53" i="16"/>
  <c r="C53" i="16"/>
  <c r="L52" i="16"/>
  <c r="E52" i="16"/>
  <c r="C52" i="16"/>
  <c r="L51" i="16"/>
  <c r="E51" i="16"/>
  <c r="C51" i="16"/>
  <c r="L50" i="16"/>
  <c r="E50" i="16"/>
  <c r="C50" i="16"/>
  <c r="L49" i="16"/>
  <c r="E49" i="16"/>
  <c r="C49" i="16"/>
  <c r="L48" i="16"/>
  <c r="E48" i="16"/>
  <c r="C48" i="16"/>
  <c r="L47" i="16"/>
  <c r="E47" i="16"/>
  <c r="C47" i="16"/>
  <c r="L46" i="16"/>
  <c r="E46" i="16"/>
  <c r="C46" i="16"/>
  <c r="L45" i="16"/>
  <c r="E45" i="16"/>
  <c r="C45" i="16"/>
  <c r="L44" i="16"/>
  <c r="E44" i="16"/>
  <c r="C44" i="16"/>
  <c r="L43" i="16"/>
  <c r="E43" i="16"/>
  <c r="C43" i="16"/>
  <c r="L42" i="16"/>
  <c r="E42" i="16"/>
  <c r="A42" i="16" s="1"/>
  <c r="B42" i="16" s="1"/>
  <c r="C42" i="16"/>
  <c r="L41" i="16"/>
  <c r="E41" i="16"/>
  <c r="A41" i="16" s="1"/>
  <c r="B41" i="16" s="1"/>
  <c r="C41" i="16"/>
  <c r="L40" i="16"/>
  <c r="E40" i="16"/>
  <c r="A40" i="16" s="1"/>
  <c r="B40" i="16" s="1"/>
  <c r="C40" i="16"/>
  <c r="L39" i="16"/>
  <c r="E39" i="16"/>
  <c r="C39" i="16"/>
  <c r="A39" i="16"/>
  <c r="B39" i="16" s="1"/>
  <c r="L38" i="16"/>
  <c r="E38" i="16"/>
  <c r="A38" i="16" s="1"/>
  <c r="B38" i="16" s="1"/>
  <c r="C38" i="16"/>
  <c r="L37" i="16"/>
  <c r="E37" i="16"/>
  <c r="A37" i="16" s="1"/>
  <c r="C37" i="16"/>
  <c r="L36" i="16"/>
  <c r="E36" i="16"/>
  <c r="A36" i="16" s="1"/>
  <c r="B36" i="16" s="1"/>
  <c r="C36" i="16"/>
  <c r="L35" i="16"/>
  <c r="E35" i="16"/>
  <c r="D35" i="16" s="1"/>
  <c r="C35" i="16"/>
  <c r="L34" i="16"/>
  <c r="E34" i="16"/>
  <c r="D34" i="16" s="1"/>
  <c r="C34" i="16"/>
  <c r="A34" i="16"/>
  <c r="B34" i="16" s="1"/>
  <c r="L33" i="16"/>
  <c r="E33" i="16"/>
  <c r="D33" i="16" s="1"/>
  <c r="C33" i="16"/>
  <c r="A33" i="16"/>
  <c r="B33" i="16" s="1"/>
  <c r="L32" i="16"/>
  <c r="E32" i="16"/>
  <c r="A32" i="16" s="1"/>
  <c r="B32" i="16" s="1"/>
  <c r="D32" i="16"/>
  <c r="C32" i="16"/>
  <c r="Q31" i="16"/>
  <c r="P31" i="16"/>
  <c r="L31" i="16" s="1"/>
  <c r="E31" i="16"/>
  <c r="A31" i="16" s="1"/>
  <c r="B31" i="16" s="1"/>
  <c r="D31" i="16"/>
  <c r="C31" i="16"/>
  <c r="L30" i="16"/>
  <c r="E30" i="16"/>
  <c r="D30" i="16" s="1"/>
  <c r="C30" i="16"/>
  <c r="L29" i="16"/>
  <c r="E29" i="16"/>
  <c r="D29" i="16"/>
  <c r="C29" i="16"/>
  <c r="A29" i="16"/>
  <c r="B29" i="16" s="1"/>
  <c r="Q28" i="16"/>
  <c r="L28" i="16" s="1"/>
  <c r="E28" i="16"/>
  <c r="A28" i="16" s="1"/>
  <c r="B28" i="16" s="1"/>
  <c r="D28" i="16"/>
  <c r="C28" i="16"/>
  <c r="Q27" i="16"/>
  <c r="P27" i="16"/>
  <c r="L27" i="16" s="1"/>
  <c r="E27" i="16"/>
  <c r="A27" i="16" s="1"/>
  <c r="B27" i="16" s="1"/>
  <c r="D27" i="16"/>
  <c r="C27" i="16"/>
  <c r="Q26" i="16"/>
  <c r="P26" i="16"/>
  <c r="L26" i="16" s="1"/>
  <c r="E26" i="16"/>
  <c r="A26" i="16" s="1"/>
  <c r="B26" i="16" s="1"/>
  <c r="D26" i="16"/>
  <c r="C26" i="16"/>
  <c r="L25" i="16"/>
  <c r="E25" i="16"/>
  <c r="D25" i="16" s="1"/>
  <c r="C25" i="16"/>
  <c r="Q24" i="16"/>
  <c r="L24" i="16" s="1"/>
  <c r="P24" i="16"/>
  <c r="E24" i="16"/>
  <c r="D24" i="16" s="1"/>
  <c r="C24" i="16"/>
  <c r="Q23" i="16"/>
  <c r="L23" i="16" s="1"/>
  <c r="E23" i="16"/>
  <c r="A23" i="16" s="1"/>
  <c r="B23" i="16" s="1"/>
  <c r="D23" i="16"/>
  <c r="C23" i="16"/>
  <c r="L22" i="16"/>
  <c r="E22" i="16"/>
  <c r="D22" i="16" s="1"/>
  <c r="C22" i="16"/>
  <c r="L21" i="16"/>
  <c r="E21" i="16"/>
  <c r="D21" i="16"/>
  <c r="C21" i="16"/>
  <c r="A21" i="16"/>
  <c r="B21" i="16" s="1"/>
  <c r="L20" i="16"/>
  <c r="E20" i="16"/>
  <c r="D20" i="16" s="1"/>
  <c r="C20" i="16"/>
  <c r="A20" i="16"/>
  <c r="B20" i="16" s="1"/>
  <c r="Q19" i="16"/>
  <c r="P19" i="16"/>
  <c r="L19" i="16" s="1"/>
  <c r="E19" i="16"/>
  <c r="D19" i="16" s="1"/>
  <c r="C19" i="16"/>
  <c r="A19" i="16"/>
  <c r="B19" i="16" s="1"/>
  <c r="Q18" i="16"/>
  <c r="L18" i="16"/>
  <c r="E18" i="16"/>
  <c r="D18" i="16" s="1"/>
  <c r="C18" i="16"/>
  <c r="Q17" i="16"/>
  <c r="P17" i="16"/>
  <c r="L17" i="16" s="1"/>
  <c r="E17" i="16"/>
  <c r="D17" i="16" s="1"/>
  <c r="C17" i="16"/>
  <c r="Q16" i="16"/>
  <c r="L16" i="16" s="1"/>
  <c r="E16" i="16"/>
  <c r="D16" i="16" s="1"/>
  <c r="C16" i="16"/>
  <c r="Q15" i="16"/>
  <c r="P15" i="16"/>
  <c r="L15" i="16" s="1"/>
  <c r="E15" i="16"/>
  <c r="D15" i="16" s="1"/>
  <c r="C15" i="16"/>
  <c r="L14" i="16"/>
  <c r="E14" i="16"/>
  <c r="D14" i="16" s="1"/>
  <c r="C14" i="16"/>
  <c r="L13" i="16"/>
  <c r="E13" i="16"/>
  <c r="D13" i="16"/>
  <c r="C13" i="16"/>
  <c r="A13" i="16"/>
  <c r="B13" i="16" s="1"/>
  <c r="L12" i="16"/>
  <c r="E12" i="16"/>
  <c r="D12" i="16" s="1"/>
  <c r="C12" i="16"/>
  <c r="A12" i="16"/>
  <c r="B12" i="16" s="1"/>
  <c r="L11" i="16"/>
  <c r="E11" i="16"/>
  <c r="D11" i="16" s="1"/>
  <c r="C11" i="16"/>
  <c r="L10" i="16"/>
  <c r="E10" i="16"/>
  <c r="D10" i="16" s="1"/>
  <c r="C10" i="16"/>
  <c r="L9" i="16"/>
  <c r="E9" i="16"/>
  <c r="D9" i="16"/>
  <c r="C9" i="16"/>
  <c r="A9" i="16"/>
  <c r="B9" i="16" s="1"/>
  <c r="L8" i="16"/>
  <c r="E8" i="16"/>
  <c r="D8" i="16" s="1"/>
  <c r="C8" i="16"/>
  <c r="A8" i="16"/>
  <c r="B8" i="16" s="1"/>
  <c r="Q7" i="16"/>
  <c r="Q1" i="16" s="1"/>
  <c r="L7" i="16"/>
  <c r="E7" i="16"/>
  <c r="D7" i="16" s="1"/>
  <c r="C7" i="16"/>
  <c r="P6" i="16"/>
  <c r="L6" i="16" s="1"/>
  <c r="E6" i="16"/>
  <c r="D6" i="16" s="1"/>
  <c r="C6" i="16"/>
  <c r="L5" i="16"/>
  <c r="E5" i="16"/>
  <c r="A5" i="16" s="1"/>
  <c r="B5" i="16" s="1"/>
  <c r="D5" i="16"/>
  <c r="C5" i="16"/>
  <c r="Q4" i="16"/>
  <c r="P4" i="16"/>
  <c r="P1" i="16" s="1"/>
  <c r="L4" i="16"/>
  <c r="E4" i="16"/>
  <c r="A4" i="16" s="1"/>
  <c r="B4" i="16" s="1"/>
  <c r="D4" i="16"/>
  <c r="C4" i="16"/>
  <c r="L3" i="16"/>
  <c r="E3" i="16"/>
  <c r="D3" i="16"/>
  <c r="C3" i="16"/>
  <c r="A3" i="16"/>
  <c r="B3" i="16" s="1"/>
  <c r="O1" i="16"/>
  <c r="N1" i="16"/>
  <c r="M1" i="16"/>
  <c r="E29" i="12"/>
  <c r="E30" i="12"/>
  <c r="E31" i="12"/>
  <c r="E32" i="12"/>
  <c r="E33" i="12"/>
  <c r="E34" i="12"/>
  <c r="E35" i="12"/>
  <c r="A24" i="16" l="1"/>
  <c r="B24" i="16" s="1"/>
  <c r="A6" i="16"/>
  <c r="B6" i="16" s="1"/>
  <c r="A11" i="16"/>
  <c r="B11" i="16" s="1"/>
  <c r="A15" i="16"/>
  <c r="B15" i="16" s="1"/>
  <c r="A16" i="16"/>
  <c r="B16" i="16" s="1"/>
  <c r="A18" i="16"/>
  <c r="B18" i="16" s="1"/>
  <c r="A25" i="16"/>
  <c r="B25" i="16" s="1"/>
  <c r="A7" i="16"/>
  <c r="B7" i="16" s="1"/>
  <c r="A17" i="16"/>
  <c r="B17" i="16" s="1"/>
  <c r="A10" i="16"/>
  <c r="B10" i="16" s="1"/>
  <c r="A14" i="16"/>
  <c r="B14" i="16" s="1"/>
  <c r="A22" i="16"/>
  <c r="B22" i="16" s="1"/>
  <c r="A30" i="16"/>
  <c r="B30" i="16" s="1"/>
  <c r="A35" i="16"/>
  <c r="B35" i="16" s="1"/>
  <c r="R68" i="1"/>
  <c r="D72" i="1"/>
  <c r="D68" i="1"/>
  <c r="E4" i="12" l="1"/>
  <c r="E36" i="12" l="1"/>
  <c r="E37" i="12"/>
  <c r="E38" i="12"/>
  <c r="E39" i="12"/>
  <c r="E40" i="12"/>
  <c r="E41" i="12"/>
  <c r="E42" i="12"/>
  <c r="E43" i="12"/>
  <c r="E45" i="12"/>
  <c r="E46" i="12"/>
  <c r="E47" i="12"/>
  <c r="E48" i="12"/>
  <c r="B6" i="14" l="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E1" i="14"/>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2" i="12"/>
  <c r="D2" i="14" l="1"/>
  <c r="C6" i="14" s="1"/>
  <c r="E6" i="14" l="1"/>
  <c r="D6" i="14"/>
  <c r="C22" i="14"/>
  <c r="C11" i="14"/>
  <c r="C27" i="14"/>
  <c r="C16" i="14"/>
  <c r="C9" i="14"/>
  <c r="C29" i="14"/>
  <c r="C10" i="14"/>
  <c r="C26" i="14"/>
  <c r="C15" i="14"/>
  <c r="C31" i="14"/>
  <c r="C20" i="14"/>
  <c r="C13" i="14"/>
  <c r="C14" i="14"/>
  <c r="C30" i="14"/>
  <c r="C19" i="14"/>
  <c r="C8" i="14"/>
  <c r="C24" i="14"/>
  <c r="C21" i="14"/>
  <c r="C18" i="14"/>
  <c r="C23" i="14"/>
  <c r="C32" i="14"/>
  <c r="C7" i="14"/>
  <c r="C12" i="14"/>
  <c r="C25" i="14"/>
  <c r="C28" i="14"/>
  <c r="C17" i="14"/>
  <c r="C5" i="14"/>
  <c r="E15" i="14" l="1"/>
  <c r="D15" i="14"/>
  <c r="E22" i="14"/>
  <c r="D22" i="14"/>
  <c r="E25" i="14"/>
  <c r="D25" i="14"/>
  <c r="E23" i="14"/>
  <c r="D23" i="14"/>
  <c r="E8" i="14"/>
  <c r="D8" i="14"/>
  <c r="E13" i="14"/>
  <c r="D13" i="14"/>
  <c r="E26" i="14"/>
  <c r="D26" i="14"/>
  <c r="E16" i="14"/>
  <c r="D16" i="14"/>
  <c r="E17" i="14"/>
  <c r="D17" i="14"/>
  <c r="E7" i="14"/>
  <c r="D7" i="14"/>
  <c r="E21" i="14"/>
  <c r="D21" i="14"/>
  <c r="E30" i="14"/>
  <c r="D30" i="14"/>
  <c r="E31" i="14"/>
  <c r="D31" i="14"/>
  <c r="E29" i="14"/>
  <c r="D29" i="14"/>
  <c r="E11" i="14"/>
  <c r="D11" i="14"/>
  <c r="E28" i="14"/>
  <c r="D28" i="14"/>
  <c r="E32" i="14"/>
  <c r="D32" i="14"/>
  <c r="E24" i="14"/>
  <c r="D24" i="14"/>
  <c r="E14" i="14"/>
  <c r="D14" i="14"/>
  <c r="E9" i="14"/>
  <c r="D9" i="14"/>
  <c r="E5" i="14"/>
  <c r="D5" i="14"/>
  <c r="E12" i="14"/>
  <c r="D12" i="14"/>
  <c r="E18" i="14"/>
  <c r="D18" i="14"/>
  <c r="E19" i="14"/>
  <c r="D19" i="14"/>
  <c r="E20" i="14"/>
  <c r="D20" i="14"/>
  <c r="E10" i="14"/>
  <c r="D10" i="14"/>
  <c r="E27" i="14"/>
  <c r="D27" i="14"/>
  <c r="B51" i="1"/>
  <c r="B52" i="1"/>
  <c r="B53" i="1"/>
  <c r="B54" i="1"/>
  <c r="B55" i="1"/>
  <c r="B56" i="1"/>
  <c r="B57" i="1"/>
  <c r="B58" i="1"/>
  <c r="B59" i="1"/>
  <c r="B50" i="1"/>
  <c r="B38" i="1"/>
  <c r="B39" i="1"/>
  <c r="B40" i="1"/>
  <c r="B41" i="1"/>
  <c r="B42" i="1"/>
  <c r="B43" i="1"/>
  <c r="B44" i="1"/>
  <c r="B45" i="1"/>
  <c r="B46" i="1"/>
  <c r="B37" i="1"/>
  <c r="A54" i="1" l="1"/>
  <c r="A58" i="1"/>
  <c r="A52" i="1"/>
  <c r="A60" i="1"/>
  <c r="A53" i="1"/>
  <c r="A51" i="1"/>
  <c r="A55" i="1"/>
  <c r="A59" i="1"/>
  <c r="A56" i="1"/>
  <c r="A57" i="1"/>
  <c r="A50" i="1"/>
  <c r="A47" i="1"/>
  <c r="A41" i="1"/>
  <c r="A45" i="1"/>
  <c r="A39" i="1"/>
  <c r="A37" i="1"/>
  <c r="A40" i="1"/>
  <c r="A44" i="1"/>
  <c r="A38" i="1"/>
  <c r="A42" i="1"/>
  <c r="A46" i="1"/>
  <c r="A43" i="1"/>
  <c r="L12" i="1"/>
  <c r="D1" i="14" s="1"/>
  <c r="A35" i="12"/>
  <c r="A34" i="12"/>
  <c r="A33" i="12"/>
  <c r="A32" i="12"/>
  <c r="A31" i="12"/>
  <c r="A30" i="12"/>
  <c r="E28" i="12"/>
  <c r="A28" i="12" s="1"/>
  <c r="E27" i="12"/>
  <c r="A27" i="12" s="1"/>
  <c r="E26" i="12"/>
  <c r="A26" i="12" s="1"/>
  <c r="E25" i="12"/>
  <c r="A25" i="12" s="1"/>
  <c r="E24" i="12"/>
  <c r="A24" i="12" s="1"/>
  <c r="E23" i="12"/>
  <c r="A23" i="12" s="1"/>
  <c r="E22" i="12"/>
  <c r="A22" i="12" s="1"/>
  <c r="E21" i="12"/>
  <c r="A21" i="12" s="1"/>
  <c r="E20" i="12"/>
  <c r="A20" i="12" s="1"/>
  <c r="E19" i="12"/>
  <c r="A19" i="12" s="1"/>
  <c r="E18" i="12"/>
  <c r="A18" i="12" s="1"/>
  <c r="E17" i="12"/>
  <c r="A17" i="12" s="1"/>
  <c r="E16" i="12"/>
  <c r="A16" i="12" s="1"/>
  <c r="E15" i="12"/>
  <c r="A15" i="12" s="1"/>
  <c r="E14" i="12"/>
  <c r="A14" i="12" s="1"/>
  <c r="E13" i="12"/>
  <c r="A13" i="12" s="1"/>
  <c r="E12" i="12"/>
  <c r="A12" i="12" s="1"/>
  <c r="E11" i="12"/>
  <c r="A11" i="12" s="1"/>
  <c r="E10" i="12"/>
  <c r="A10" i="12" s="1"/>
  <c r="E9" i="12"/>
  <c r="A9" i="12" s="1"/>
  <c r="E8" i="12"/>
  <c r="A8" i="12" s="1"/>
  <c r="E7" i="12"/>
  <c r="A7" i="12" s="1"/>
  <c r="E6" i="12"/>
  <c r="A6" i="12" s="1"/>
  <c r="E5" i="12"/>
  <c r="A5" i="12" s="1"/>
  <c r="A4" i="12"/>
  <c r="A100" i="8"/>
  <c r="A99" i="8"/>
  <c r="A98" i="8"/>
  <c r="A97" i="8"/>
  <c r="A96" i="8"/>
  <c r="A94" i="8"/>
  <c r="A93" i="8"/>
  <c r="A92" i="8"/>
  <c r="A91" i="8"/>
  <c r="A90" i="8"/>
  <c r="A89" i="8"/>
  <c r="A88" i="8"/>
  <c r="A87" i="8"/>
  <c r="A86" i="8"/>
  <c r="A85" i="8"/>
  <c r="A84" i="8"/>
  <c r="A83"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49" i="8"/>
  <c r="A48" i="8"/>
  <c r="A47" i="8"/>
  <c r="A46" i="8"/>
  <c r="A45" i="8"/>
  <c r="A44" i="8"/>
  <c r="A43" i="8"/>
  <c r="A42" i="8"/>
  <c r="A41" i="8"/>
  <c r="A40" i="8"/>
  <c r="A39" i="8"/>
  <c r="A38" i="8"/>
  <c r="A37" i="8"/>
  <c r="A36" i="8"/>
  <c r="A35" i="8"/>
  <c r="A34" i="8"/>
  <c r="A33" i="8"/>
  <c r="A32" i="8"/>
  <c r="A31" i="8"/>
  <c r="A29" i="8"/>
  <c r="A28" i="8"/>
  <c r="A27" i="8"/>
  <c r="A26" i="8"/>
  <c r="A25" i="8"/>
  <c r="A24" i="8"/>
  <c r="A23" i="8"/>
  <c r="A22" i="8"/>
  <c r="A20" i="8"/>
  <c r="A19" i="8"/>
  <c r="A18" i="8"/>
  <c r="A17" i="8"/>
  <c r="A16" i="8"/>
  <c r="A15" i="8"/>
  <c r="A14" i="8"/>
  <c r="A13" i="8"/>
  <c r="A11" i="8"/>
  <c r="A10" i="8"/>
  <c r="A9" i="8"/>
  <c r="A8" i="8"/>
  <c r="A7" i="8"/>
  <c r="A6" i="8"/>
  <c r="A5" i="8"/>
  <c r="M5" i="14" l="1"/>
  <c r="M24" i="14"/>
  <c r="M20" i="14"/>
  <c r="M12" i="14"/>
  <c r="M28" i="14"/>
  <c r="M16" i="14"/>
  <c r="M8" i="14"/>
  <c r="M31" i="14"/>
  <c r="M27" i="14"/>
  <c r="M23" i="14"/>
  <c r="M19" i="14"/>
  <c r="M15" i="14"/>
  <c r="M11" i="14"/>
  <c r="M7" i="14"/>
  <c r="M30" i="14"/>
  <c r="M26" i="14"/>
  <c r="M22" i="14"/>
  <c r="M18" i="14"/>
  <c r="M14" i="14"/>
  <c r="M10" i="14"/>
  <c r="M6" i="14"/>
  <c r="M32" i="14"/>
  <c r="M29" i="14"/>
  <c r="M25" i="14"/>
  <c r="M21" i="14"/>
  <c r="M17" i="14"/>
  <c r="M13" i="14"/>
  <c r="M9" i="14"/>
  <c r="G6" i="14"/>
  <c r="G10" i="14"/>
  <c r="G14" i="14"/>
  <c r="G18" i="14"/>
  <c r="G22" i="14"/>
  <c r="G26" i="14"/>
  <c r="G30" i="14"/>
  <c r="G8" i="14"/>
  <c r="G20" i="14"/>
  <c r="G28" i="14"/>
  <c r="G9" i="14"/>
  <c r="G21" i="14"/>
  <c r="G29" i="14"/>
  <c r="G7" i="14"/>
  <c r="G11" i="14"/>
  <c r="G15" i="14"/>
  <c r="G19" i="14"/>
  <c r="G23" i="14"/>
  <c r="G27" i="14"/>
  <c r="G31" i="14"/>
  <c r="G12" i="14"/>
  <c r="G16" i="14"/>
  <c r="G24" i="14"/>
  <c r="G32" i="14"/>
  <c r="G5" i="14"/>
  <c r="G13" i="14"/>
  <c r="G17" i="14"/>
  <c r="G25" i="14"/>
  <c r="P23" i="14" l="1"/>
  <c r="N23" i="14"/>
  <c r="O23" i="14"/>
  <c r="P7" i="14"/>
  <c r="N7" i="14"/>
  <c r="O7" i="14"/>
  <c r="P28" i="14"/>
  <c r="N28" i="14"/>
  <c r="O28" i="14"/>
  <c r="P26" i="14"/>
  <c r="N26" i="14"/>
  <c r="O26" i="14"/>
  <c r="P5" i="14"/>
  <c r="N5" i="14"/>
  <c r="O5" i="14"/>
  <c r="P12" i="14"/>
  <c r="N12" i="14"/>
  <c r="O12" i="14"/>
  <c r="N29" i="14"/>
  <c r="P29" i="14"/>
  <c r="O29" i="14"/>
  <c r="P20" i="14"/>
  <c r="N20" i="14"/>
  <c r="O20" i="14"/>
  <c r="P22" i="14"/>
  <c r="N22" i="14"/>
  <c r="O22" i="14"/>
  <c r="P6" i="14"/>
  <c r="N6" i="14"/>
  <c r="O6" i="14"/>
  <c r="N25" i="14"/>
  <c r="O25" i="14"/>
  <c r="P25" i="14"/>
  <c r="N32" i="14"/>
  <c r="P32" i="14"/>
  <c r="O32" i="14"/>
  <c r="P31" i="14"/>
  <c r="N31" i="14"/>
  <c r="O31" i="14"/>
  <c r="P15" i="14"/>
  <c r="N15" i="14"/>
  <c r="O15" i="14"/>
  <c r="P21" i="14"/>
  <c r="N21" i="14"/>
  <c r="O21" i="14"/>
  <c r="P8" i="14"/>
  <c r="N8" i="14"/>
  <c r="O8" i="14"/>
  <c r="N18" i="14"/>
  <c r="P18" i="14"/>
  <c r="O18" i="14"/>
  <c r="P17" i="14"/>
  <c r="N17" i="14"/>
  <c r="O17" i="14"/>
  <c r="N24" i="14"/>
  <c r="P24" i="14"/>
  <c r="O24" i="14"/>
  <c r="N27" i="14"/>
  <c r="P27" i="14"/>
  <c r="O27" i="14"/>
  <c r="P11" i="14"/>
  <c r="N11" i="14"/>
  <c r="O11" i="14"/>
  <c r="P9" i="14"/>
  <c r="N9" i="14"/>
  <c r="O9" i="14"/>
  <c r="N30" i="14"/>
  <c r="O30" i="14"/>
  <c r="P30" i="14"/>
  <c r="N14" i="14"/>
  <c r="O14" i="14"/>
  <c r="P14" i="14"/>
  <c r="P16" i="14"/>
  <c r="N16" i="14"/>
  <c r="O16" i="14"/>
  <c r="P10" i="14"/>
  <c r="N10" i="14"/>
  <c r="O10" i="14"/>
  <c r="P13" i="14"/>
  <c r="N13" i="14"/>
  <c r="O13" i="14"/>
  <c r="P19" i="14"/>
  <c r="N19" i="14"/>
  <c r="O19" i="14"/>
  <c r="H16" i="14"/>
  <c r="J16" i="14"/>
  <c r="I16" i="14"/>
  <c r="H25" i="14"/>
  <c r="J25" i="14"/>
  <c r="I25" i="14"/>
  <c r="H32" i="14"/>
  <c r="J32" i="14"/>
  <c r="I32" i="14"/>
  <c r="H31" i="14"/>
  <c r="J31" i="14"/>
  <c r="I31" i="14"/>
  <c r="H15" i="14"/>
  <c r="J15" i="14"/>
  <c r="I15" i="14"/>
  <c r="H21" i="14"/>
  <c r="J21" i="14"/>
  <c r="I21" i="14"/>
  <c r="H8" i="14"/>
  <c r="J8" i="14"/>
  <c r="I8" i="14"/>
  <c r="H18" i="14"/>
  <c r="I18" i="14"/>
  <c r="J18" i="14"/>
  <c r="H24" i="14"/>
  <c r="J24" i="14"/>
  <c r="I24" i="14"/>
  <c r="H27" i="14"/>
  <c r="I27" i="14"/>
  <c r="J27" i="14"/>
  <c r="H11" i="14"/>
  <c r="J11" i="14"/>
  <c r="I11" i="14"/>
  <c r="H9" i="14"/>
  <c r="I9" i="14"/>
  <c r="J9" i="14"/>
  <c r="H30" i="14"/>
  <c r="I30" i="14"/>
  <c r="J30" i="14"/>
  <c r="H14" i="14"/>
  <c r="I14" i="14"/>
  <c r="J14" i="14"/>
  <c r="H17" i="14"/>
  <c r="J17" i="14"/>
  <c r="I17" i="14"/>
  <c r="H23" i="14"/>
  <c r="J23" i="14"/>
  <c r="I23" i="14"/>
  <c r="H7" i="14"/>
  <c r="J7" i="14"/>
  <c r="I7" i="14"/>
  <c r="H28" i="14"/>
  <c r="I28" i="14"/>
  <c r="J28" i="14"/>
  <c r="H26" i="14"/>
  <c r="I26" i="14"/>
  <c r="J26" i="14"/>
  <c r="H10" i="14"/>
  <c r="I10" i="14"/>
  <c r="J10" i="14"/>
  <c r="H13" i="14"/>
  <c r="J13" i="14"/>
  <c r="I13" i="14"/>
  <c r="I5" i="14"/>
  <c r="H5" i="14"/>
  <c r="J5" i="14"/>
  <c r="H12" i="14"/>
  <c r="I12" i="14"/>
  <c r="J12" i="14"/>
  <c r="H19" i="14"/>
  <c r="J19" i="14"/>
  <c r="I19" i="14"/>
  <c r="H29" i="14"/>
  <c r="J29" i="14"/>
  <c r="I29" i="14"/>
  <c r="H20" i="14"/>
  <c r="I20" i="14"/>
  <c r="J20" i="14"/>
  <c r="H22" i="14"/>
  <c r="I22" i="14"/>
  <c r="J22" i="14"/>
  <c r="H6" i="14"/>
  <c r="I6" i="14"/>
  <c r="J6" i="14"/>
</calcChain>
</file>

<file path=xl/comments1.xml><?xml version="1.0" encoding="utf-8"?>
<comments xmlns="http://schemas.openxmlformats.org/spreadsheetml/2006/main">
  <authors>
    <author>DIRCALIDAD</author>
  </authors>
  <commentList>
    <comment ref="B11" authorId="0" shapeId="0">
      <text>
        <r>
          <rPr>
            <b/>
            <sz val="9"/>
            <color indexed="15"/>
            <rFont val="Tahoma"/>
            <family val="2"/>
          </rPr>
          <t>Registre el cilco de la Auditoría.  Ejemplo: "2022" para ciclos anuales o "2022-S1" para ciclos semestrales.</t>
        </r>
      </text>
    </comment>
    <comment ref="E11" authorId="0" shapeId="0">
      <text>
        <r>
          <rPr>
            <b/>
            <sz val="9"/>
            <color indexed="15"/>
            <rFont val="Tahoma"/>
            <family val="2"/>
          </rPr>
          <t>Registre la fecha en que se ejecutó la auditoria interna.</t>
        </r>
      </text>
    </comment>
    <comment ref="H11" authorId="0" shapeId="0">
      <text>
        <r>
          <rPr>
            <b/>
            <sz val="9"/>
            <color indexed="81"/>
            <rFont val="Tahoma"/>
            <family val="2"/>
          </rPr>
          <t>Seleccione la locación en donde se ejecutó la auditoria.</t>
        </r>
      </text>
    </comment>
    <comment ref="L11" authorId="0" shapeId="0">
      <text>
        <r>
          <rPr>
            <b/>
            <sz val="9"/>
            <color indexed="15"/>
            <rFont val="Tahoma"/>
            <family val="2"/>
          </rPr>
          <t>Este campo está formulado.  El ID corresponderá al mismo asignado en el Programa de Auditoría.</t>
        </r>
      </text>
    </comment>
    <comment ref="N11" authorId="0" shapeId="0">
      <text>
        <r>
          <rPr>
            <b/>
            <sz val="9"/>
            <color indexed="15"/>
            <rFont val="Tahoma"/>
            <family val="2"/>
          </rPr>
          <t>Seleccione la auditoría realizada desplegando el listado de procesos y programas a auditar.</t>
        </r>
      </text>
    </comment>
    <comment ref="V11" authorId="0" shapeId="0">
      <text>
        <r>
          <rPr>
            <b/>
            <sz val="9"/>
            <color indexed="15"/>
            <rFont val="Tahoma"/>
            <family val="2"/>
          </rPr>
          <t>Registre el colaborador de la Institución que recibió la auditoria.</t>
        </r>
      </text>
    </comment>
    <comment ref="B15" authorId="0" shapeId="0">
      <text>
        <r>
          <rPr>
            <b/>
            <sz val="9"/>
            <color indexed="15"/>
            <rFont val="Tahoma"/>
            <family val="2"/>
          </rPr>
          <t>Revise en el Programa de Auditorías Internas el Objetivo de la Auditoría definido para el presente ciclo.</t>
        </r>
      </text>
    </comment>
    <comment ref="K15" authorId="0" shapeId="0">
      <text>
        <r>
          <rPr>
            <b/>
            <sz val="9"/>
            <color indexed="15"/>
            <rFont val="Tahoma"/>
            <family val="2"/>
          </rPr>
          <t>Revise en el Programa de Auditorías Internas el Alcance de la Auditoría definido para el presente ciclo.</t>
        </r>
      </text>
    </comment>
    <comment ref="T15" authorId="0" shapeId="0">
      <text>
        <r>
          <rPr>
            <b/>
            <sz val="9"/>
            <color indexed="15"/>
            <rFont val="Tahoma"/>
            <family val="2"/>
          </rPr>
          <t>Registre los criterios de auditoría establecidos en el Programa de Auditorías Interna del presente ciclo.</t>
        </r>
      </text>
    </comment>
    <comment ref="B18" authorId="0" shapeId="0">
      <text>
        <r>
          <rPr>
            <b/>
            <sz val="9"/>
            <color indexed="15"/>
            <rFont val="Tahoma"/>
            <family val="2"/>
          </rPr>
          <t>Seleccione los auditores que participaron en el presente ciclo con los roles de "Líder", Principal", y "Asistente".</t>
        </r>
      </text>
    </comment>
    <comment ref="B21" authorId="0" shapeId="0">
      <text>
        <r>
          <rPr>
            <b/>
            <sz val="9"/>
            <color indexed="15"/>
            <rFont val="Tahoma"/>
            <family val="2"/>
          </rPr>
          <t>Realice una descripción breve de las actividades desarrolladas como observaciones en campo o desplazamientos hacia otras locaciones.  Se recomienda registrar en este campo los nombres del equipo de trabajo que apoyaron al Líder auditado durante el proceso de auditoría.</t>
        </r>
      </text>
    </comment>
    <comment ref="B24" authorId="0" shapeId="0">
      <text>
        <r>
          <rPr>
            <b/>
            <sz val="9"/>
            <color indexed="15"/>
            <rFont val="Tahoma"/>
            <family val="2"/>
          </rPr>
          <t>Destacar en este campo los aspectos que facilitan el desarrollo del proceso y/o que permiten que el proceso de cumplimiento al propósito del mismo.</t>
        </r>
      </text>
    </comment>
    <comment ref="B27" authorId="0" shapeId="0">
      <text>
        <r>
          <rPr>
            <b/>
            <sz val="9"/>
            <color indexed="15"/>
            <rFont val="Tahoma"/>
            <family val="2"/>
          </rPr>
          <t>Mencionar en este campo aquellos aspectos que dificultan el desarrollo del proceso.</t>
        </r>
      </text>
    </comment>
    <comment ref="B30" authorId="0" shapeId="0">
      <text>
        <r>
          <rPr>
            <b/>
            <sz val="9"/>
            <color indexed="15"/>
            <rFont val="Tahoma"/>
            <family val="2"/>
          </rPr>
          <t>Mencionar en este campo aquellos aspectos que se pueden mejorar para facilitar la ejecución del proceso.</t>
        </r>
      </text>
    </comment>
    <comment ref="B35" authorId="0" shapeId="0">
      <text>
        <r>
          <rPr>
            <b/>
            <sz val="9"/>
            <color indexed="15"/>
            <rFont val="Tahoma"/>
            <family val="2"/>
          </rPr>
          <t xml:space="preserve">En esta sección se listan las No Conformidades identificadas:
</t>
        </r>
        <r>
          <rPr>
            <b/>
            <sz val="9"/>
            <color indexed="9"/>
            <rFont val="Tahoma"/>
            <family val="2"/>
          </rPr>
          <t xml:space="preserve">• ID-NC: </t>
        </r>
        <r>
          <rPr>
            <b/>
            <sz val="9"/>
            <color indexed="15"/>
            <rFont val="Tahoma"/>
            <family val="2"/>
          </rPr>
          <t xml:space="preserve">El formato asigna automáticamente el código para cada NC, de manera que se facilite la consolidación de la información en la Oficina de Calidad.
</t>
        </r>
        <r>
          <rPr>
            <b/>
            <sz val="9"/>
            <color indexed="9"/>
            <rFont val="Tahoma"/>
            <family val="2"/>
          </rPr>
          <t>• Req. ISO 9001:</t>
        </r>
        <r>
          <rPr>
            <b/>
            <sz val="9"/>
            <color indexed="15"/>
            <rFont val="Tahoma"/>
            <family val="2"/>
          </rPr>
          <t xml:space="preserve"> En este campo despliegue el listado de requisitos ISO 9001 y seleccione el indicado.  En caso de que se requiera registrar en este campo varios requisitos, seleccione el primero y a continuación ingrese a la celda y registre los demás requisitos serados por una "," o por un "/".
</t>
        </r>
        <r>
          <rPr>
            <b/>
            <sz val="9"/>
            <color indexed="9"/>
            <rFont val="Tahoma"/>
            <family val="2"/>
          </rPr>
          <t xml:space="preserve">• Ref. Normativa / Documental: </t>
        </r>
        <r>
          <rPr>
            <b/>
            <sz val="9"/>
            <color indexed="15"/>
            <rFont val="Tahoma"/>
            <family val="2"/>
          </rPr>
          <t xml:space="preserve">Registre en este campo el requisito, referencia normativa o documental relacionada con la No Conformidad identificada.
</t>
        </r>
        <r>
          <rPr>
            <b/>
            <sz val="9"/>
            <color indexed="9"/>
            <rFont val="Tahoma"/>
            <family val="2"/>
          </rPr>
          <t>• Descripción de la No Conformidad:</t>
        </r>
        <r>
          <rPr>
            <b/>
            <sz val="9"/>
            <color indexed="15"/>
            <rFont val="Tahoma"/>
            <family val="2"/>
          </rPr>
          <t xml:space="preserve">  Basado en la descripción del hallazgo registrada en la "Hoja de Verificación para Auditorías", redacte la No Conformidad teniendo en cuenta el contexto del hallazgo (Ciclo de auditoría, fecha de ejecución, proceso auditado, verificación realizada y evidencia encontrada), y los aspectos relevantes del hallazgo, describiendo que es lo que no se cumple y los requisitos de la norma ISO 9001, legales y/o normativos de la Institución que se están incumpliendo.</t>
        </r>
      </text>
    </comment>
    <comment ref="B48" authorId="0" shapeId="0">
      <text>
        <r>
          <rPr>
            <b/>
            <sz val="9"/>
            <color indexed="15"/>
            <rFont val="Tahoma"/>
            <family val="2"/>
          </rPr>
          <t xml:space="preserve">En esta sección se listan las Observaciones identificadas:
</t>
        </r>
        <r>
          <rPr>
            <b/>
            <sz val="9"/>
            <color indexed="9"/>
            <rFont val="Tahoma"/>
            <family val="2"/>
          </rPr>
          <t xml:space="preserve">• ID-OB: </t>
        </r>
        <r>
          <rPr>
            <b/>
            <sz val="9"/>
            <color indexed="15"/>
            <rFont val="Tahoma"/>
            <family val="2"/>
          </rPr>
          <t xml:space="preserve">El formato asigna automáticamente el código para cada OB, de manera que se facilite la consolidación de la información en la Oficina de Calidad.
</t>
        </r>
        <r>
          <rPr>
            <b/>
            <sz val="9"/>
            <color indexed="9"/>
            <rFont val="Tahoma"/>
            <family val="2"/>
          </rPr>
          <t>• Req. ISO 9001:</t>
        </r>
        <r>
          <rPr>
            <b/>
            <sz val="9"/>
            <color indexed="15"/>
            <rFont val="Tahoma"/>
            <family val="2"/>
          </rPr>
          <t xml:space="preserve"> En este campo despliegue el listado de requisitos ISO 9001 y seleccione el indicado.  En caso de que se requiera registrar en este campo varios requisitos, seleccione el primero y a continuación ingrese a la celda y registre los demás requisitos serados por una "," o por un "/".
</t>
        </r>
        <r>
          <rPr>
            <b/>
            <sz val="9"/>
            <color indexed="9"/>
            <rFont val="Tahoma"/>
            <family val="2"/>
          </rPr>
          <t>• Ref. Normativa / Documental:</t>
        </r>
        <r>
          <rPr>
            <b/>
            <sz val="9"/>
            <color indexed="15"/>
            <rFont val="Tahoma"/>
            <family val="2"/>
          </rPr>
          <t xml:space="preserve"> Registre en este campo el requisito, referencia normativa o documental relacionada con la Observación identificada.
</t>
        </r>
        <r>
          <rPr>
            <b/>
            <sz val="9"/>
            <color indexed="9"/>
            <rFont val="Tahoma"/>
            <family val="2"/>
          </rPr>
          <t xml:space="preserve">• Descripción de la Observación: </t>
        </r>
        <r>
          <rPr>
            <b/>
            <sz val="9"/>
            <color indexed="15"/>
            <rFont val="Tahoma"/>
            <family val="2"/>
          </rPr>
          <t xml:space="preserve"> Basado en la descripción del hallazgo registrada en la "Hoja de Verificación para Auditorías", redacte la observación teniendo en cuenta el contexto del hallazgo (Ciclo de auditoría, fecha de ejecución, proceso auditado, verificación realizada y evidencia encontrada), y los aspectos relevantes del hallazgo, describiendo lo que tendría riesgo de incumplimiento, junto con los requisitos de la norma ISO 9001, legales y/o normativos de la Institución que se podrían incumplir.</t>
        </r>
      </text>
    </comment>
    <comment ref="B61" authorId="0" shapeId="0">
      <text>
        <r>
          <rPr>
            <b/>
            <sz val="9"/>
            <color indexed="15"/>
            <rFont val="Tahoma"/>
            <family val="2"/>
          </rPr>
          <t>Registre el balance general de la auditoría, teniendo en cuenta las actividades de desarrolladas, la disposición de los auditados y los aspectos relevantes y concluyentes de la auditoría al proceso.</t>
        </r>
      </text>
    </comment>
  </commentList>
</comments>
</file>

<file path=xl/sharedStrings.xml><?xml version="1.0" encoding="utf-8"?>
<sst xmlns="http://schemas.openxmlformats.org/spreadsheetml/2006/main" count="853" uniqueCount="597">
  <si>
    <t>1. Ciclo AI</t>
  </si>
  <si>
    <t>2. Fecha AI</t>
  </si>
  <si>
    <t>3. Locación AI</t>
  </si>
  <si>
    <t>4. ID-AI</t>
  </si>
  <si>
    <t>5. Proceso / Programa Académico</t>
  </si>
  <si>
    <t>6. Colaborador Auditado</t>
  </si>
  <si>
    <t>Nombre</t>
  </si>
  <si>
    <t>Cargo</t>
  </si>
  <si>
    <t>Auditor Líder</t>
  </si>
  <si>
    <t>Auditor Asistente</t>
  </si>
  <si>
    <t>Auditor Principal</t>
  </si>
  <si>
    <t>HALLAZGOS DE AUDITORIA</t>
  </si>
  <si>
    <t>Descripción de la No Conformidad</t>
  </si>
  <si>
    <t>Firma</t>
  </si>
  <si>
    <t>Calidad Institucional</t>
  </si>
  <si>
    <t>Recursos Educativos</t>
  </si>
  <si>
    <t>calidad@fup.edu.co</t>
  </si>
  <si>
    <t>contador@fup.edu.co</t>
  </si>
  <si>
    <t>Clara Eugenia Satizábal Serna</t>
  </si>
  <si>
    <t>sistemas@fup.edu.co</t>
  </si>
  <si>
    <t>Daisy Ximena Valencia Palomino</t>
  </si>
  <si>
    <t>Id</t>
  </si>
  <si>
    <t>Nombre y Apellido</t>
  </si>
  <si>
    <t>Aida Marcela Correa Benavides</t>
  </si>
  <si>
    <t>Docente</t>
  </si>
  <si>
    <t>Carlos Andrés Durán Enríquez</t>
  </si>
  <si>
    <t>Carlos Fernando Mina Zape</t>
  </si>
  <si>
    <t>Directora Programa de Ingeniería de Sistemas</t>
  </si>
  <si>
    <t>Daniel Andres Feriz Garcia</t>
  </si>
  <si>
    <t>Director investigación</t>
  </si>
  <si>
    <t>Diego Fabian Bolaños Sarria</t>
  </si>
  <si>
    <t>Julio Cesar Garcia Buitron</t>
  </si>
  <si>
    <t>Contador</t>
  </si>
  <si>
    <t>Karen Viviana Quiñones Mosquera</t>
  </si>
  <si>
    <t>Neiby Alejandra López Montenegro</t>
  </si>
  <si>
    <t>Omar Andrés Acosta Caicedo</t>
  </si>
  <si>
    <t>Wadys Montilla Ortega</t>
  </si>
  <si>
    <t>Coordinador Académico General</t>
  </si>
  <si>
    <t>Requisitos ISO 9001:2015</t>
  </si>
  <si>
    <t>Num.</t>
  </si>
  <si>
    <t>Requisito</t>
  </si>
  <si>
    <t>4.</t>
  </si>
  <si>
    <t>CONTEXTO DE LA ORGANIXZACIÓN</t>
  </si>
  <si>
    <t>4.1.</t>
  </si>
  <si>
    <t>Comprensión de la Organización y de su contexto</t>
  </si>
  <si>
    <t>4.2.</t>
  </si>
  <si>
    <t>Comprensión de las necesidades y expectativas de las partes interesadas</t>
  </si>
  <si>
    <t>4.3.</t>
  </si>
  <si>
    <t>Determinación del alcance del Sistema de Gestión de Calidad</t>
  </si>
  <si>
    <t>4.4.</t>
  </si>
  <si>
    <t>Sistema de Gestión de Calidad y sus Procesos</t>
  </si>
  <si>
    <t>4.4.1.</t>
  </si>
  <si>
    <t>Establecer, implementar, mantener y mejorar el SGC, incluidos los procesos necesarios y sus interaccionas</t>
  </si>
  <si>
    <t>4.4.2.</t>
  </si>
  <si>
    <t>Mantener información documentada y conservarla para tener confianza de que los procesos se realizan según lo planificado</t>
  </si>
  <si>
    <t>5.</t>
  </si>
  <si>
    <t>LIDERAZGO</t>
  </si>
  <si>
    <t>5.1.</t>
  </si>
  <si>
    <t>Liderazgo y Compromiso</t>
  </si>
  <si>
    <t>5.1.1.</t>
  </si>
  <si>
    <t>Generalidades. La Organización debe demostrar liderazgo y compromiso con respecto al SGC. (a, b, c, d, e, f, g, h, i, j.)</t>
  </si>
  <si>
    <t>5.1.2.</t>
  </si>
  <si>
    <t>Enfoque al Cliente. La Alta Dirección debe asegurarse que se determinan, comprenden y cumplen los Requisitos del Cliente, los legales y reglamentarios aplicables</t>
  </si>
  <si>
    <t>5.2.</t>
  </si>
  <si>
    <t>Política</t>
  </si>
  <si>
    <t>5.2.1.</t>
  </si>
  <si>
    <t>Establecimiento de la Política de Calidad</t>
  </si>
  <si>
    <t>5.2.2.</t>
  </si>
  <si>
    <t>Comunicación de la Política de Calidad</t>
  </si>
  <si>
    <t>5.3.</t>
  </si>
  <si>
    <t>Roles, responsabilidades y autoridades en la Organización.  Asegurarse que para los roles pertinentes se asignen, se comuniquen y se entiendan en la Org. (a, b, c.)</t>
  </si>
  <si>
    <t>6.</t>
  </si>
  <si>
    <t>PLANIFICACIÓN</t>
  </si>
  <si>
    <t>6.1.</t>
  </si>
  <si>
    <t>Acciones para abordar riesgos y oportunidades</t>
  </si>
  <si>
    <t>6.1.1.</t>
  </si>
  <si>
    <t>La Organización debe considerar las cuestiones referidas en (4.1.) y requisitos referidos en (4.2.)</t>
  </si>
  <si>
    <t>6.1.2.</t>
  </si>
  <si>
    <t>La Organización de planificar: * Acciones para abordar riesgos y oportunidades. * La manera de integrar e implementar acciones en sus procesos del SGC y evaluar la eficacia de estas acciones.
"Las acciones para abordar los riesgos y oportunidades deben ser proporcionales al impacto potencial en la conformidad de los productos y los servicios.</t>
  </si>
  <si>
    <t>6.2.</t>
  </si>
  <si>
    <t>Objetivos de la Calidad y planificación para lograrlos</t>
  </si>
  <si>
    <t>6.2.1.</t>
  </si>
  <si>
    <t>La Organización debe establecer Objetivos de Calidad</t>
  </si>
  <si>
    <t>6.2.2.</t>
  </si>
  <si>
    <t>Al planificar como lograr los O.C. la Org. Debe determinar: a) que va a hacer, b) recursos, c) responsables, d) cuando se finalizará y e) cómo se evaluarán los resultados</t>
  </si>
  <si>
    <t>6.3.</t>
  </si>
  <si>
    <t>Planificación de Cambios. Cuando la Org. Determine la necesidad de cambios al SGC, estos se deben llevar de manera planificada (4.4.), considerar a), b), c), d)</t>
  </si>
  <si>
    <t>7.</t>
  </si>
  <si>
    <t>APOYO</t>
  </si>
  <si>
    <t>7.1.</t>
  </si>
  <si>
    <t>Recursos</t>
  </si>
  <si>
    <t>7.1.1.</t>
  </si>
  <si>
    <t>Generalidades. Determinar y proporcionar los recursos necesario para el SGC.  La Org. Debe considerar las capacidades y limitaciones de recursos existentes y qué se necesita obtener de los proveedores externos</t>
  </si>
  <si>
    <t>7.1.2.</t>
  </si>
  <si>
    <t>Personas. La Organización debe determinar y proporcionar las personas necesarias para la implementación eficaz del SGC y para la operación y control de sus procesos</t>
  </si>
  <si>
    <t>7.1.3.</t>
  </si>
  <si>
    <t>Infraestructura. La Org. debe determinar, proporcionar y mantener la infraestructura necesaria para la operación de sus procesos y lograr la conformidad del servicio</t>
  </si>
  <si>
    <t>7.1.4.</t>
  </si>
  <si>
    <t>Ambiente para la operación de los procesos.  La Orq. debe mantener el ambiente necesario para la operación de sus procesos y para lograr la conformidad del servicio</t>
  </si>
  <si>
    <t>7.1.5.</t>
  </si>
  <si>
    <t>Recursos de seguimeinto y medición.</t>
  </si>
  <si>
    <t>7.1.5.1.</t>
  </si>
  <si>
    <t>Generalidades</t>
  </si>
  <si>
    <t>7.1.5.2.</t>
  </si>
  <si>
    <t>Trazabilidad de las mediciones</t>
  </si>
  <si>
    <t>7.1.6.</t>
  </si>
  <si>
    <t>Conocimientos de la Organización. La Org. debe determinar los conocimeintos necesarios para la operación de sus procesos y para lograr la conformidad del servicio.</t>
  </si>
  <si>
    <t>7.2.</t>
  </si>
  <si>
    <t>Competencia.  a) Determinar la competencia necesaria de las personas, b) Asegurarse de que las personas sean competentes basándose en la educación, formación o experiencia apropiadas. c) Cuando sea aplicable tomar acciones para adquirir competencia necesaria y evaluar eficacia de las acciones, d) conservar la documentación apropiada como evidencia de la competencia.</t>
  </si>
  <si>
    <t>7.3.</t>
  </si>
  <si>
    <t>Toma de Conciencia. Política de Calidad, Objetivos de Calidad, contribución a la eficacia del SGC.</t>
  </si>
  <si>
    <t>7.4.</t>
  </si>
  <si>
    <t>Comunicación. La Org. Debe debe determinar las comunicaciones internas y externas.</t>
  </si>
  <si>
    <t>7.5.</t>
  </si>
  <si>
    <t>Información Documentada</t>
  </si>
  <si>
    <t>7.5.1.</t>
  </si>
  <si>
    <t>Generalidades. El SGC debe incluir información documentadarequerida por esta norma y la que la Org. Determina como necesaria para la eficacia del SGC.</t>
  </si>
  <si>
    <t>7.5.2.</t>
  </si>
  <si>
    <t>Creación y actualización. a) identificación y descripción, b) el formato, c) la revisión y aprobación con respecto a la conveniencia y adecuación.</t>
  </si>
  <si>
    <t>7.5.3.</t>
  </si>
  <si>
    <t>Control de la información documentada.</t>
  </si>
  <si>
    <t>7.5.3.1.</t>
  </si>
  <si>
    <t>Asegurarse que esté disponible y sea idónea para su uso, donde y cuando se necesite.</t>
  </si>
  <si>
    <t>7.5.3.2.</t>
  </si>
  <si>
    <t>Asegurarse que esté disponible y sea idónea para su uso, donde y cuando se necesite</t>
  </si>
  <si>
    <t>8.</t>
  </si>
  <si>
    <t>OPERACIÓN</t>
  </si>
  <si>
    <t>8.1.</t>
  </si>
  <si>
    <t>Planificación y control operacional. La Org. Debe planificar, implementar y controlar los procesos necesarios para cumplir los req. Para la provisión de productos y servicios. La Org. Debe controlar los cambios planificados y asegurarse de que los procesos contratados externamente estén controlados.</t>
  </si>
  <si>
    <t>8.2.</t>
  </si>
  <si>
    <t>Requisitos para los productos y servicios</t>
  </si>
  <si>
    <t>8.2.1.</t>
  </si>
  <si>
    <t>Comunicación con el Cliente. Información relativa a los productos y servicios. Consultas, contratos o pedidos, obtener retroalimetnación de los clientes y establecer los req. específicos para las acciones de contingencia, caundo sea pertinente.</t>
  </si>
  <si>
    <t>8.2.2.</t>
  </si>
  <si>
    <t>Determinación de los requisitos para los productos y servicios.</t>
  </si>
  <si>
    <t>8.2.3.</t>
  </si>
  <si>
    <t>Revisión de los requisitos para los productos y servicios.</t>
  </si>
  <si>
    <t>8.2.3.1.</t>
  </si>
  <si>
    <t>La Org. Debe asegurarse que tiene la capacidad para cumplir los requisitos para los productos y servicios que se van a ofrecer a los clientes.  La Org. Debe revisar antes de comprometerse a suministrar productos servicios a un cliente</t>
  </si>
  <si>
    <t>8.2.3.2.</t>
  </si>
  <si>
    <t>La Org. Debe conservar la iformación documentada sobre resultados de la revisión y sobre cualquier requisito nuevo</t>
  </si>
  <si>
    <t>8.2.4.</t>
  </si>
  <si>
    <t>Cambios en los requisitos para los productos y servicios</t>
  </si>
  <si>
    <t>8.3.</t>
  </si>
  <si>
    <t>Diseño y desarrollo de los productos y servicios</t>
  </si>
  <si>
    <t>8.3.1.</t>
  </si>
  <si>
    <t>Generalidades. La Org. debe stablecer, implementar y mantener un proceso de diseño y desarrollo que sea adecuado para asegurarse de la posterior provisión de productos y servicios</t>
  </si>
  <si>
    <t>8.3.2.</t>
  </si>
  <si>
    <t>Planificación del diseño y desarrollo</t>
  </si>
  <si>
    <t>8.3.3.</t>
  </si>
  <si>
    <t>Entrradas para el diseño y desarrollo</t>
  </si>
  <si>
    <t>8.3.4.</t>
  </si>
  <si>
    <t>Controles del diseño y desarrollo</t>
  </si>
  <si>
    <t>8.3.5.</t>
  </si>
  <si>
    <t>Salidas del diseño y desarrollo</t>
  </si>
  <si>
    <t>8.3.6.</t>
  </si>
  <si>
    <t>Cambios del diseño y desarrollo</t>
  </si>
  <si>
    <t>8.4.</t>
  </si>
  <si>
    <t>Control de los procesos, productos y servicios suministrados externamente.</t>
  </si>
  <si>
    <t>8.4.1.</t>
  </si>
  <si>
    <t>Generalidades. La Org. Debe asegurarse de que los procesos, productos y servicios suministrados externamente son conformes a los requisitos.  La Org. Debe determinar los controles a aplicar a los procesos, productos y servicios suministrados externamente. La Org. debe determinar y aplicar criterios para la evaluación, selección, el seguimiento del desempeño y la reevaluación de los proveedores externos.</t>
  </si>
  <si>
    <t>8.4.2.</t>
  </si>
  <si>
    <t>Tipo y alcance del control. La Org. Debe asegurarse de que los procesos, productos y servicios suministrados externamente no afectan de manera adversa a la capacidad de la Org. De entregar productos y servicios conformes de manera coherente.</t>
  </si>
  <si>
    <t>8.4.3.</t>
  </si>
  <si>
    <t>Información para los proveedores externos.  La Org. Debe asegurarse de la adecuación de los requisitos antes de su comunicación al proveedor externo.</t>
  </si>
  <si>
    <t>8.5.</t>
  </si>
  <si>
    <t>Producción y provisión del servicio.</t>
  </si>
  <si>
    <t>8.5.1.</t>
  </si>
  <si>
    <t>Control de la producción y de la provisión del servicio. La Org. Debe implementar la producción y provisión del servicio bajo condiciones controladas.</t>
  </si>
  <si>
    <t>8.5.2.</t>
  </si>
  <si>
    <t>Identificación y trazabilidad.  La organización debe utilizar los medios apropiados para identificar las salidas para asegurar la conformidad del servicio.</t>
  </si>
  <si>
    <t>8.5.3.</t>
  </si>
  <si>
    <t>Propiedad perteneciente a los clientes o proveedores externos.</t>
  </si>
  <si>
    <t>8.5.4.</t>
  </si>
  <si>
    <t>Preservación. La Org. Debe preservar las salidas durante la producción y prestación del servicio, en la medida necesaria para asegurarse de la conformidad con los requisitos.</t>
  </si>
  <si>
    <t>8.5.5.</t>
  </si>
  <si>
    <t>Actividades posteriores a la entrega.  Al determinar el alcance de las actividades posteriores a la entrega, la Org. Debe considerar: a) requisitos legales y reglamentarios, b) consecuencias potenciales no deseadas asociadas al servicio, c) la naturaleza, uso y vida útil prevista del servicio, d) req. del cliente, e) retroalimentación del cliente.</t>
  </si>
  <si>
    <t>8.5.6.</t>
  </si>
  <si>
    <t>Control de los cambios. La Org. Debe revisar y controlar los cambios para la producción o la prestación del servicio.</t>
  </si>
  <si>
    <t>8.6.</t>
  </si>
  <si>
    <t>Liberación de los productos y servicios. La Org. Debe implementar las disposiciones planificadas, en las etapas adecuadas para verificar el cumplimeinto de los requisitos.</t>
  </si>
  <si>
    <t>8.7.</t>
  </si>
  <si>
    <t>Control de las salidas No Conformes</t>
  </si>
  <si>
    <t>8.7.1.</t>
  </si>
  <si>
    <t>La Org. Debe asegurarse de que las salidas que no sean conformes con los requisitos se identifican y se controlan para prevenir su uso o entrega no intencionada.</t>
  </si>
  <si>
    <t>8.7.2.</t>
  </si>
  <si>
    <t>La Org. Debe conservar información documetnada que describa: a) la no conformidad, b) las acciones tomadas, c) las concesiones obtenidas, d) identifique la autoridad que decide la acción con respecto a la No Conformidad.</t>
  </si>
  <si>
    <t>9.</t>
  </si>
  <si>
    <t>EVALUACIÓN DEL DESEMPEÑO</t>
  </si>
  <si>
    <t>9.1.</t>
  </si>
  <si>
    <t>Seguimiento, medición, análisis y evaluación.</t>
  </si>
  <si>
    <t>9.1.1.</t>
  </si>
  <si>
    <t>Generalidades. L Or. Debe determinar a) qué necesita seguimeinto y medición, b) los métodos de seguimeinto, medición, análisis y evaluación necesarios para asegurar resultados válidos, c) cuándo se deben llevar a cabo el seguimeinto y la medición, d) cuándo se deben analizar y evaluar los resultados del seguimiento y medición.</t>
  </si>
  <si>
    <t>9.1.2.</t>
  </si>
  <si>
    <t>Satisfacción del cliente. La Org. Debe realizar seguimeinto a las percepciones de los clientes del grado en que se cumplen sus necesidades y expectativas. La Ortg. Debe determinar los métodos para obtener, realizar el seguimeinto y revisar esta información</t>
  </si>
  <si>
    <t>9.1.3.</t>
  </si>
  <si>
    <t>Análisis y evaluación. La Org. Debe analizar y evaluar los datos y la información apropiados que surgen por el seguimeinto y la medición. Los resultados del análisis debe utilizarse para evaluar: a) la conformidad del servicio, b) el grado de satisfacción del cliente, c) el desempeño y eficacia del SGC, d) si lo planificado se ha implementado de forma eficaz, e) eficacia de las acciones tomadas para abordar los riesgos y oportunidades, f) el desempeño de los proveedores externos, g) la nececidad de mejoras en el SGC.</t>
  </si>
  <si>
    <t>9.2.</t>
  </si>
  <si>
    <t>Auditoría Interna</t>
  </si>
  <si>
    <t>9.2.1.</t>
  </si>
  <si>
    <t>La Org. Debe llevar a cabo auditorías internas a intérvalos planificados para proporcionar información acerca del SGC: a) es conforme con los requisitos de la Organización y esta norma, b) se implementa y mantiene efizacmente.</t>
  </si>
  <si>
    <t>9.2.2.</t>
  </si>
  <si>
    <t>La Org. Debe: a) planificar, establecer, implementar y mantener un programa de auditorías, b) criterios y alcance de la auditoría, c) seleccionar auditores y llevar acabo auditorías, d) asegurarse de que los resultados de la auditorias se informan a la dirección pertinente, e) realizar las correcciones y tomar las acciones correctivas adecuadas sin demora injustificada, f) conservar información documentada.</t>
  </si>
  <si>
    <t>9.3.</t>
  </si>
  <si>
    <t>Revisión por la Dirección</t>
  </si>
  <si>
    <t>9.3.1.</t>
  </si>
  <si>
    <t>Generalidades. La Dirección debe revisar el SGC de la Organización a intérvalos planificados.</t>
  </si>
  <si>
    <t>9.3.2.</t>
  </si>
  <si>
    <t>Entradas de la revisión por la Dirección.</t>
  </si>
  <si>
    <t>9.3.3.</t>
  </si>
  <si>
    <t>Salidas de la revisión por la dirección.</t>
  </si>
  <si>
    <t>10.</t>
  </si>
  <si>
    <t>MEJORA</t>
  </si>
  <si>
    <t>10.1.</t>
  </si>
  <si>
    <t>Generalidades. La org. debe determinar y seleccionar las oportunidades de mejora e implementar cualquier acción necesaria para cumplir los req. del cliente y aumentar la satisfacción del cliente.</t>
  </si>
  <si>
    <t>10.2.</t>
  </si>
  <si>
    <t>No Conformidad y Acción Correctiva</t>
  </si>
  <si>
    <t>10.2.1.</t>
  </si>
  <si>
    <t>Cuando ocurra una N, incluida cualquiera por quejas, la Org. Debe: a) reaccionar ante la NC, b) evaluar la necesidad de acciones para eliminar las causas de la NC, c) implementar cualquier cosa necesaria, d) revisar la eficacia  de cualquier AC tomada, e) si fuera necesario, actualizar los riesgos y oportunidades determinadas durante la planificación, y f) si fuera necesario, hacer cambios al SGC.</t>
  </si>
  <si>
    <t>10.2.2.</t>
  </si>
  <si>
    <t>La organización debe conservar información documetnada como evidencia de: a) la naturaleza de las NC y cualquier acción tomada pertinente; b) los resultados de cualquier accioón correctiva.</t>
  </si>
  <si>
    <t>10.3</t>
  </si>
  <si>
    <t>Mejroa continua</t>
  </si>
  <si>
    <t>ID</t>
  </si>
  <si>
    <t>Cód.</t>
  </si>
  <si>
    <t>Proceso / Subproceso / Programa Académico</t>
  </si>
  <si>
    <t>Docencia</t>
  </si>
  <si>
    <t>PPN - Prog. Ecología</t>
  </si>
  <si>
    <t>PPN - Prog. Ingeniería de Sistemas</t>
  </si>
  <si>
    <t>PPN - Prog. Ingeneiría Industrial</t>
  </si>
  <si>
    <t>PPN - Prog. Licenciatura Ed. Art. y Cultural</t>
  </si>
  <si>
    <t>PPN - Prog. Psicología</t>
  </si>
  <si>
    <t>PPN - Prog. Trabajo Social</t>
  </si>
  <si>
    <t>STQ - Prog. Arquitectura</t>
  </si>
  <si>
    <t>STQ - Prog. Derecho</t>
  </si>
  <si>
    <t>STQ - Prog. Licenciatura Ed. Art. y Cultural</t>
  </si>
  <si>
    <t>STQ - Prog. Psicología</t>
  </si>
  <si>
    <t>STQ - Prog. Trabajo Social</t>
  </si>
  <si>
    <t>***</t>
  </si>
  <si>
    <t>Bienestar Institucional</t>
  </si>
  <si>
    <t xml:space="preserve">Equipo Auditor FUP - Ciclo: </t>
  </si>
  <si>
    <t>Correo Electrónico</t>
  </si>
  <si>
    <t>Asignación</t>
  </si>
  <si>
    <t>asistente.posgrados@fup.edu.co</t>
  </si>
  <si>
    <t>Principal</t>
  </si>
  <si>
    <t>Asistente</t>
  </si>
  <si>
    <t>Director Programa de Psicologia</t>
  </si>
  <si>
    <t>Decana Ciencias Sociales</t>
  </si>
  <si>
    <t>decanatura.cienciassociales@fup.edu.co</t>
  </si>
  <si>
    <t xml:space="preserve">Depsi Johana Córdoba Mompotes </t>
  </si>
  <si>
    <t xml:space="preserve">Coordinadora de Gestión Curricular </t>
  </si>
  <si>
    <t>Decano Facultad de Ingenierías</t>
  </si>
  <si>
    <t>Liliana Erazo</t>
  </si>
  <si>
    <t>Coordinación Académica Ingenierías</t>
  </si>
  <si>
    <t>Tatiana Mejia Rondon</t>
  </si>
  <si>
    <t>profesional.viceacad@fup.edu.co</t>
  </si>
  <si>
    <t>Yaqueline Rivera López</t>
  </si>
  <si>
    <t>Coordinador de Registro Calificado</t>
  </si>
  <si>
    <t>registro.calificado@fup.edu.co</t>
  </si>
  <si>
    <t>Claustro San José</t>
  </si>
  <si>
    <t>Claustro San Camilo</t>
  </si>
  <si>
    <t>Los Robles</t>
  </si>
  <si>
    <t>Autoevaluación Institucional</t>
  </si>
  <si>
    <t>Alvaro Ulcué Chocué</t>
  </si>
  <si>
    <t>Director de Programa Ecología</t>
  </si>
  <si>
    <t>Director Programa Ingeniería de Sistemas</t>
  </si>
  <si>
    <t>Director de Programa Ingeniería Industrial</t>
  </si>
  <si>
    <t>Director de Programa Psicología</t>
  </si>
  <si>
    <t>Coordinador Prog. Arquitectura Campus Alvaro Ulcué Chocué</t>
  </si>
  <si>
    <t>Coordinador Prog. Derecho Campus Alvaro Ulcué Chocué</t>
  </si>
  <si>
    <t>Coordinador Prog. LEAC Campus Alvaro Ulcué Chocué</t>
  </si>
  <si>
    <t>Coordinador Prog. Psicología Campus Alvaro Ulcué Chocué</t>
  </si>
  <si>
    <t>Coordinador Prog. Trabajo Social Campus Alvaro Ulcué Chocué</t>
  </si>
  <si>
    <t>Coordinador Prog. Ing. Industrial Campus Alvaro Ulcué Chocué</t>
  </si>
  <si>
    <t>Extensión y Proyección Social</t>
  </si>
  <si>
    <t>Director Escuela de Formación</t>
  </si>
  <si>
    <t>Comunicaciones Institucional</t>
  </si>
  <si>
    <t>Director GTI</t>
  </si>
  <si>
    <t>Auditorias Internas de Calidad Programadas</t>
  </si>
  <si>
    <t>Cargo Líder de Proceso</t>
  </si>
  <si>
    <t>Categoría</t>
  </si>
  <si>
    <t>Nombre Sede "Abreviado"</t>
  </si>
  <si>
    <t>proceso</t>
  </si>
  <si>
    <t>programa</t>
  </si>
  <si>
    <t>INFORMACIÓN GENERAL DE LA AUDITORÍA</t>
  </si>
  <si>
    <t>Req. 
ISO 9001</t>
  </si>
  <si>
    <t xml:space="preserve">1. </t>
  </si>
  <si>
    <t>3.</t>
  </si>
  <si>
    <t>Registre la fecha en que se ejecutó la auditoria interna.</t>
  </si>
  <si>
    <t>12.</t>
  </si>
  <si>
    <t>13.</t>
  </si>
  <si>
    <t>14.</t>
  </si>
  <si>
    <t>15.</t>
  </si>
  <si>
    <t>7. Objetivo de la Auditoría</t>
  </si>
  <si>
    <t>8. Alcance de la Auditoría</t>
  </si>
  <si>
    <t>9. Criterios de Auditoría</t>
  </si>
  <si>
    <t>10. Equipo Auditor</t>
  </si>
  <si>
    <t>11. Actividades Desarrolladas</t>
  </si>
  <si>
    <t>12. Fortalezas Identificadas</t>
  </si>
  <si>
    <t>13. Debilidades Identificadas</t>
  </si>
  <si>
    <t>14. Oportunidades de Mejora</t>
  </si>
  <si>
    <t>BI</t>
  </si>
  <si>
    <t>RE</t>
  </si>
  <si>
    <t>RT</t>
  </si>
  <si>
    <t>AU</t>
  </si>
  <si>
    <t>IN</t>
  </si>
  <si>
    <t>CO</t>
  </si>
  <si>
    <t>EP</t>
  </si>
  <si>
    <t>GC</t>
  </si>
  <si>
    <t>GF</t>
  </si>
  <si>
    <t>GA</t>
  </si>
  <si>
    <t>ID-NC</t>
  </si>
  <si>
    <t>Ref. Normativa / Documental</t>
  </si>
  <si>
    <t>ID-OB</t>
  </si>
  <si>
    <t>17. CONCLUSIONES DE LA AUDITORIA</t>
  </si>
  <si>
    <t>Instrucciones para el diligenciamiento del Informe de Auditoría Interna</t>
  </si>
  <si>
    <t>2.</t>
  </si>
  <si>
    <t>Seleccione la auditoria realizada desplegando el listado de procesos y programas a auditar.</t>
  </si>
  <si>
    <t>Registre el colaborador de la Institución que recibió la auditoria.</t>
  </si>
  <si>
    <t>Revise en el Programa de Auditorías Internas el Alcance de la Auditoría definido para el presente ciclo.</t>
  </si>
  <si>
    <t>Revise en el Programa de Auditorías Internas el Objetivo de la Auditoría definido para el presente ciclo.</t>
  </si>
  <si>
    <t>9.
10.
11.</t>
  </si>
  <si>
    <t>INFORMACIÓN GENERAL DE LA AUDITORIA</t>
  </si>
  <si>
    <t>16.</t>
  </si>
  <si>
    <t>15. No Conformidades</t>
  </si>
  <si>
    <t>16. Observaciones</t>
  </si>
  <si>
    <t>Destacar en este campo los aspectos que facilitan el desarrollo del proceso y/o el cumplimiento al propósito del mismo.</t>
  </si>
  <si>
    <t>Destacar en este campo los aspectos que dificultan el desarrollo del proceso y/o el cumplimiento al propósito del mismo.</t>
  </si>
  <si>
    <t>Seleccione la locación en donde se ejecutó la auditoria.</t>
  </si>
  <si>
    <t xml:space="preserve">Este campo está formulado.  El ID corresponderá al mismo asignado en el Programa de Auditoría. </t>
  </si>
  <si>
    <t>Registre los criterios de auditoría establecidos en el Programa de Auditorias Interna del presente ciclo.
Seleccione los auditores que participaron en el presente ciclo con los roles de "Líder", Principal", y "Asistente".
Realice una descripción breve de las actividades desarrolladas como observaciones en campo o desplazamientos hacia otras locaciones.  Se recomienda registrar en este campo los nombres del equipo de trabajo que apoyaron al Líder auditado durante el proceso de auditoría.</t>
  </si>
  <si>
    <r>
      <t xml:space="preserve">Mencionar en este campo aquellos aspectos que se pueden mejorar para facilitar la ejecución del proceso.
</t>
    </r>
    <r>
      <rPr>
        <b/>
        <sz val="9"/>
        <color rgb="FF0000CC"/>
        <rFont val="Arial"/>
        <family val="2"/>
      </rPr>
      <t>HALLAZGOS DE AUDITORIA</t>
    </r>
  </si>
  <si>
    <r>
      <t xml:space="preserve">En esta sección se listan las No Conformidades identificadas:
• </t>
    </r>
    <r>
      <rPr>
        <b/>
        <sz val="9"/>
        <color rgb="FF0000CC"/>
        <rFont val="Arial"/>
        <family val="2"/>
      </rPr>
      <t xml:space="preserve">ID-NC: </t>
    </r>
    <r>
      <rPr>
        <sz val="9"/>
        <color rgb="FF0000CC"/>
        <rFont val="Arial"/>
        <family val="2"/>
      </rPr>
      <t xml:space="preserve">El formato asigna automáticamente el código para cada NC, de manera que se facilite la consolidación de la información en la Oficina de Calidad.
• </t>
    </r>
    <r>
      <rPr>
        <b/>
        <sz val="9"/>
        <color rgb="FF0000CC"/>
        <rFont val="Arial"/>
        <family val="2"/>
      </rPr>
      <t>Req. ISO 9001:</t>
    </r>
    <r>
      <rPr>
        <sz val="9"/>
        <color rgb="FF0000CC"/>
        <rFont val="Arial"/>
        <family val="2"/>
      </rPr>
      <t xml:space="preserve"> En este campo despliegue el listado de requisitos ISO 9001 y seleccione el indicado.  En caso de que se requiera registrar en este campo varios requisitos, seleccione el primero y a continuación ingrese a la celda y registre los demás requisitos serados por una "," o por un "/".
• </t>
    </r>
    <r>
      <rPr>
        <b/>
        <sz val="9"/>
        <color rgb="FF0000CC"/>
        <rFont val="Arial"/>
        <family val="2"/>
      </rPr>
      <t>Ref. Normativa / Documental:</t>
    </r>
    <r>
      <rPr>
        <sz val="9"/>
        <color rgb="FF0000CC"/>
        <rFont val="Arial"/>
        <family val="2"/>
      </rPr>
      <t xml:space="preserve"> Registre en este campo el requisito, referencia normativa o documental relacionada con la No Conformidad identificada.
• </t>
    </r>
    <r>
      <rPr>
        <b/>
        <sz val="9"/>
        <color rgb="FF0000CC"/>
        <rFont val="Arial"/>
        <family val="2"/>
      </rPr>
      <t>Descripción de la No Conformidad:</t>
    </r>
    <r>
      <rPr>
        <sz val="9"/>
        <color rgb="FF0000CC"/>
        <rFont val="Arial"/>
        <family val="2"/>
      </rPr>
      <t xml:space="preserve">  Basado en la descripción del hallazgo registrada en la "Hoja de Verificación para Auditorías", redacte la No Conformidad teniendo en cuenta el contexto del hallazgo (Ciclo de auditoría, fecha de ejecución, proceso auditado, verificación realizada y evidencia encontrada), y los aspectos relevantes del hallazgo, describiendo que es lo que no se cumple y los requisitos de la norma ISO 9001, legales y/o normativos de la Institución que se están incumpliendo.</t>
    </r>
  </si>
  <si>
    <r>
      <t xml:space="preserve">En esta sección se listan las Observaciones identificadas:
• </t>
    </r>
    <r>
      <rPr>
        <b/>
        <sz val="9"/>
        <color rgb="FF0000CC"/>
        <rFont val="Arial"/>
        <family val="2"/>
      </rPr>
      <t>ID-OB:</t>
    </r>
    <r>
      <rPr>
        <sz val="9"/>
        <color rgb="FF0000CC"/>
        <rFont val="Arial"/>
        <family val="2"/>
      </rPr>
      <t xml:space="preserve"> El formato asigna automáticamente el código para cada OB, de manera que se facilite la consolidación de la información en la Oficina de Calidad.
• </t>
    </r>
    <r>
      <rPr>
        <b/>
        <sz val="9"/>
        <color rgb="FF0000CC"/>
        <rFont val="Arial"/>
        <family val="2"/>
      </rPr>
      <t>Req. ISO 9001:</t>
    </r>
    <r>
      <rPr>
        <sz val="9"/>
        <color rgb="FF0000CC"/>
        <rFont val="Arial"/>
        <family val="2"/>
      </rPr>
      <t xml:space="preserve"> En este campo despliegue el listado de requisitos ISO 9001 y seleccione el indicado.  En caso de que se requiera registrar en este campo varios requisitos, seleccione el primero y a continuación ingrese a la celda y registre los demás requisitos serados por una "," o por un "/".
• </t>
    </r>
    <r>
      <rPr>
        <b/>
        <sz val="9"/>
        <color rgb="FF0000CC"/>
        <rFont val="Arial"/>
        <family val="2"/>
      </rPr>
      <t>Ref. Normativa / Documental:</t>
    </r>
    <r>
      <rPr>
        <sz val="9"/>
        <color rgb="FF0000CC"/>
        <rFont val="Arial"/>
        <family val="2"/>
      </rPr>
      <t xml:space="preserve"> Registre en este campo el requisito, referencia normativa o documental relacionada con la Observación identificada.
• </t>
    </r>
    <r>
      <rPr>
        <b/>
        <sz val="9"/>
        <color rgb="FF0000CC"/>
        <rFont val="Arial"/>
        <family val="2"/>
      </rPr>
      <t>Descripción de la Observación:</t>
    </r>
    <r>
      <rPr>
        <sz val="9"/>
        <color rgb="FF0000CC"/>
        <rFont val="Arial"/>
        <family val="2"/>
      </rPr>
      <t xml:space="preserve">  Basado en la descripción del hallazgo registrada en la "Hoja de Verificación para Auditorías", redacte la observación teniendo en cuenta el contexto del hallazgo (Ciclo de auditoría, fecha de ejecución, proceso auditado, verificación realizada y evidencia encontrada), y los aspectos relevantes del hallazgo, describiendo lo que tendría riesgo de incumplimiento, junto con los requisitos de la norma ISO 9001, legales y/o normativos de la Institución que se podrían incumplir.</t>
    </r>
  </si>
  <si>
    <t xml:space="preserve">
17.</t>
  </si>
  <si>
    <r>
      <rPr>
        <b/>
        <sz val="9"/>
        <color rgb="FF0000CC"/>
        <rFont val="Arial"/>
        <family val="2"/>
      </rPr>
      <t>CONCLUSIONES DE LA AUDITORIA</t>
    </r>
    <r>
      <rPr>
        <sz val="9"/>
        <color rgb="FF0000CC"/>
        <rFont val="Arial"/>
        <family val="2"/>
      </rPr>
      <t xml:space="preserve">
Registre el balance general de la auditoría, teniendo en cuenta las actividades de desarrolladas, la disposición de los auditados y los aspectos relevantes y concluyentes de la auditoría al proceso.</t>
    </r>
  </si>
  <si>
    <t>Locaciones</t>
  </si>
  <si>
    <t>No.</t>
  </si>
  <si>
    <t>PHVA</t>
  </si>
  <si>
    <t>Actividad</t>
  </si>
  <si>
    <t>1. Direccionamiento Estratégico</t>
  </si>
  <si>
    <t>2. Planeacion Institucional</t>
  </si>
  <si>
    <t>3. Autoevaluacion Institucional</t>
  </si>
  <si>
    <t>4. Calidad Institucional</t>
  </si>
  <si>
    <t>5. Extension y Proyección Social</t>
  </si>
  <si>
    <t>5.1. Escuela de Formacion</t>
  </si>
  <si>
    <t>6. Investigación</t>
  </si>
  <si>
    <t>7. Docencia</t>
  </si>
  <si>
    <t>8. Admisiones y Registro Académico</t>
  </si>
  <si>
    <t>9. Talento Humano</t>
  </si>
  <si>
    <t>10. Recursos Tecnologicos</t>
  </si>
  <si>
    <t>11. Mercadeo</t>
  </si>
  <si>
    <t>12. Comunicación Institucional</t>
  </si>
  <si>
    <t>13. Financiera</t>
  </si>
  <si>
    <t>14. Recursos Educativos</t>
  </si>
  <si>
    <t>15. Bienestar Institucional</t>
  </si>
  <si>
    <t>16. Bienes y Servicios</t>
  </si>
  <si>
    <t xml:space="preserve">Ciclo </t>
  </si>
  <si>
    <t>Descripción de la Observación</t>
  </si>
  <si>
    <t>Actividad Asociada SGC Vigente</t>
  </si>
  <si>
    <t>BD Act.</t>
  </si>
  <si>
    <t>Actividades de la Caracterización de proceso</t>
  </si>
  <si>
    <t>LISTADO NO CONFORMIDADES</t>
  </si>
  <si>
    <t>LISTADO OBSERVACIONES</t>
  </si>
  <si>
    <t>Gestión del Talento Humano</t>
  </si>
  <si>
    <t>Registro Académico</t>
  </si>
  <si>
    <t>Educación Continuada</t>
  </si>
  <si>
    <t>Gestión Financiera</t>
  </si>
  <si>
    <t>Recursos Físicos</t>
  </si>
  <si>
    <t>Coordinador Registro Académico</t>
  </si>
  <si>
    <t>Coordinador Educación Continuada</t>
  </si>
  <si>
    <t>SI</t>
  </si>
  <si>
    <t>RC</t>
  </si>
  <si>
    <t>DO</t>
  </si>
  <si>
    <t>RA</t>
  </si>
  <si>
    <t>CU</t>
  </si>
  <si>
    <t>MA</t>
  </si>
  <si>
    <t>ST</t>
  </si>
  <si>
    <t>GE</t>
  </si>
  <si>
    <t>EC</t>
  </si>
  <si>
    <t>CT</t>
  </si>
  <si>
    <t>GD</t>
  </si>
  <si>
    <t>RF</t>
  </si>
  <si>
    <t>Gestión Curricular</t>
  </si>
  <si>
    <t>Investigación, Desarrollo e Innovación</t>
  </si>
  <si>
    <t xml:space="preserve">Gestión de Egresados </t>
  </si>
  <si>
    <t>Escuela de Formación Para el TDH</t>
  </si>
  <si>
    <t xml:space="preserve">Gestión de Sistemas de Información </t>
  </si>
  <si>
    <t xml:space="preserve">Registro Calificado </t>
  </si>
  <si>
    <t>Relaciones Interinstitucionales-ORI</t>
  </si>
  <si>
    <t>Mercadeo-Admisiones</t>
  </si>
  <si>
    <t>Gestión de SST</t>
  </si>
  <si>
    <t xml:space="preserve">Gestión Administratva </t>
  </si>
  <si>
    <t xml:space="preserve">Gestión Contable y Tesoreria </t>
  </si>
  <si>
    <t xml:space="preserve">Gestión Legal </t>
  </si>
  <si>
    <t xml:space="preserve">Gestión Documental </t>
  </si>
  <si>
    <t>Recursos tecnológicos</t>
  </si>
  <si>
    <t>PPN - Prog. Ingenieria Agroecológica</t>
  </si>
  <si>
    <t>STQ - Prog. Ingeniería Industrial</t>
  </si>
  <si>
    <t xml:space="preserve">Director de Proyección y Extensión Social </t>
  </si>
  <si>
    <t xml:space="preserve">Coordinador Gestión de Egresados </t>
  </si>
  <si>
    <t>Director Gestión de Sistemas de información</t>
  </si>
  <si>
    <t>Profesional Calidad Institucional</t>
  </si>
  <si>
    <t xml:space="preserve">Coordinador de Autoevaluación Institucional </t>
  </si>
  <si>
    <t xml:space="preserve">Director ORI </t>
  </si>
  <si>
    <t xml:space="preserve">Coordinador de Mercadeo Admisiones </t>
  </si>
  <si>
    <t xml:space="preserve">Coordinador Comunicaciones Institucional </t>
  </si>
  <si>
    <t xml:space="preserve">Contador </t>
  </si>
  <si>
    <t xml:space="preserve">Secretaria General </t>
  </si>
  <si>
    <t xml:space="preserve">Coordinador Gestión Documental </t>
  </si>
  <si>
    <t>Director Programa Administración de Empresas</t>
  </si>
  <si>
    <t>Director de Programa de Licenciatura</t>
  </si>
  <si>
    <t xml:space="preserve">Director Programa de Trabajo Social </t>
  </si>
  <si>
    <t>Decano Ciencias Ambientales y Agrarias</t>
  </si>
  <si>
    <t>GL</t>
  </si>
  <si>
    <t>EO</t>
  </si>
  <si>
    <t>VN</t>
  </si>
  <si>
    <t>TH</t>
  </si>
  <si>
    <t>DO-1</t>
  </si>
  <si>
    <t>DO-2</t>
  </si>
  <si>
    <t>DO-3</t>
  </si>
  <si>
    <t>DO-4</t>
  </si>
  <si>
    <t>DO-5</t>
  </si>
  <si>
    <t>DO-6</t>
  </si>
  <si>
    <t>DO-7</t>
  </si>
  <si>
    <t>DO-8</t>
  </si>
  <si>
    <t>DO-9</t>
  </si>
  <si>
    <t>DO-10</t>
  </si>
  <si>
    <t>DO-11</t>
  </si>
  <si>
    <t>DO-12</t>
  </si>
  <si>
    <t>DO-13</t>
  </si>
  <si>
    <t>DO-14</t>
  </si>
  <si>
    <t>DO-15</t>
  </si>
  <si>
    <t>DO-16</t>
  </si>
  <si>
    <t>DO-17</t>
  </si>
  <si>
    <t>DO-18</t>
  </si>
  <si>
    <t>DO-19</t>
  </si>
  <si>
    <t>Compras</t>
  </si>
  <si>
    <t>compras@fup.edu.co</t>
  </si>
  <si>
    <t>Apoyo leac</t>
  </si>
  <si>
    <t>Decano Facultad Ciencias Ambientales y Agrarias</t>
  </si>
  <si>
    <t>COORDINADORA DE GESTION PARA LA INVESTIGACION</t>
  </si>
  <si>
    <t>coor.gestiondeinvestigacion@fup.edu.co</t>
  </si>
  <si>
    <t>Asistente Administrativo</t>
  </si>
  <si>
    <t xml:space="preserve">Director de Programa Ingenieria Industrial </t>
  </si>
  <si>
    <t>industrial@fup.edu.co</t>
  </si>
  <si>
    <t>Coordinadora trabajo social</t>
  </si>
  <si>
    <t>Luisa Marcela Toro Medina</t>
  </si>
  <si>
    <t>Coordinadora Autoevaluacion</t>
  </si>
  <si>
    <t>coord.autoevaluacion@fup.edu.co</t>
  </si>
  <si>
    <t>Jeferson Esteban Cordoba Molano</t>
  </si>
  <si>
    <t>Auxiliar Contable</t>
  </si>
  <si>
    <t>auxiliar2.tesoreria@fup.edu.co</t>
  </si>
  <si>
    <t>Yudi Andrea Acalo Higon</t>
  </si>
  <si>
    <t>Directora</t>
  </si>
  <si>
    <t>trabajo.social@fup.edu.co</t>
  </si>
  <si>
    <t>Jorge Eduardo Rengifo Lozada</t>
  </si>
  <si>
    <t>Auxiliar</t>
  </si>
  <si>
    <t>auxiliar.grados@fup.edu.co</t>
  </si>
  <si>
    <t xml:space="preserve"> Arnol Arias Hoyos </t>
  </si>
  <si>
    <t xml:space="preserve">Coordinador </t>
  </si>
  <si>
    <t>laboratorios@fup.edu.co</t>
  </si>
  <si>
    <t>Sergio Andrés Lozano Niño</t>
  </si>
  <si>
    <t>Director Planeacion</t>
  </si>
  <si>
    <t xml:space="preserve"> planeacion@fup.edu.co</t>
  </si>
  <si>
    <t xml:space="preserve">Lina Fernanda Gutiérrez Montoya   </t>
  </si>
  <si>
    <t>auxiliar5.contabilidad@fup.edu.co</t>
  </si>
  <si>
    <t xml:space="preserve">Diego Fernando Ordoñez Trullo   </t>
  </si>
  <si>
    <t>Director de Programa</t>
  </si>
  <si>
    <t xml:space="preserve">Angela Milena Velásquez Vargas      </t>
  </si>
  <si>
    <t>Profesional apoyo</t>
  </si>
  <si>
    <t>asistente.registro@fup.edu.co</t>
  </si>
  <si>
    <t>julieth.chacon@docente.fup.edu.co</t>
  </si>
  <si>
    <t>Laura Maria Olarte Zuñiga</t>
  </si>
  <si>
    <t>Coordinadora del SG-SST</t>
  </si>
  <si>
    <t>Seguridadysaludeneltrabajo@fup.edu.co</t>
  </si>
  <si>
    <t>Lucy Marlady Lopez Perez</t>
  </si>
  <si>
    <t>Contabilidad</t>
  </si>
  <si>
    <t>auxiliar1.contabilidad@fup.edu.co</t>
  </si>
  <si>
    <t>Maria Camila Toro Gonzalez</t>
  </si>
  <si>
    <t>Coordinadora</t>
  </si>
  <si>
    <t>Juan Manuel Prado Quintero</t>
  </si>
  <si>
    <t>Director</t>
  </si>
  <si>
    <t>arquitectura@fup.edu.co</t>
  </si>
  <si>
    <t>Laura Melissa Muñoz Burbano</t>
  </si>
  <si>
    <t>Profesional VRA</t>
  </si>
  <si>
    <t>Disp.
Inter</t>
  </si>
  <si>
    <t>CATEGORIA</t>
  </si>
  <si>
    <t>Exp.</t>
  </si>
  <si>
    <t>AI - *P
2020</t>
  </si>
  <si>
    <t>AI - *P
2021</t>
  </si>
  <si>
    <t>AI - A
2021</t>
  </si>
  <si>
    <t>AI - *P
2022</t>
  </si>
  <si>
    <t>AI - A
2022</t>
  </si>
  <si>
    <t>AI - *P
2023</t>
  </si>
  <si>
    <t>AI - A
2023</t>
  </si>
  <si>
    <t>Si</t>
  </si>
  <si>
    <t>ORO</t>
  </si>
  <si>
    <t>Alex Fabián Rivera Muñoz</t>
  </si>
  <si>
    <t xml:space="preserve">Docente </t>
  </si>
  <si>
    <t>alex.rivera@docente.fup.edu.co</t>
  </si>
  <si>
    <t>Alexander Luna Nieto</t>
  </si>
  <si>
    <t xml:space="preserve">alexander.luna@docente.fup.edu.co </t>
  </si>
  <si>
    <t>PLATA</t>
  </si>
  <si>
    <t>Andrea Karina Ballagan Estrada</t>
  </si>
  <si>
    <t>Auxiliar Académica</t>
  </si>
  <si>
    <t>auxiliaracademico.tsocial@fup.edu.co</t>
  </si>
  <si>
    <t>Gabriela Andrea Rivera Macias</t>
  </si>
  <si>
    <t>Docente Tiempo Completo</t>
  </si>
  <si>
    <t>Jaime Vente Garcés</t>
  </si>
  <si>
    <t>Docente TC</t>
  </si>
  <si>
    <t>José Fernando Ruíz López</t>
  </si>
  <si>
    <t>Juan David Cortés León</t>
  </si>
  <si>
    <t>Coordinador Academico</t>
  </si>
  <si>
    <t>Julian Camilo Ortega Gomez</t>
  </si>
  <si>
    <t>Docente - Coordinador de Egresados Ingeniería Industrial</t>
  </si>
  <si>
    <t>julian.ortega@docente.fup.edu.co</t>
  </si>
  <si>
    <t>Karen Jisset Zuñiga Ramos</t>
  </si>
  <si>
    <t>Coordinadora Trabajo Social Sede Norte</t>
  </si>
  <si>
    <t>trabajo.social.santander@fup.edu.co</t>
  </si>
  <si>
    <t>Kener Mauricio Quina Velarde</t>
  </si>
  <si>
    <t>Auxiliar de Planeación</t>
  </si>
  <si>
    <t>auxiliar.planeacion@fup.edu.co</t>
  </si>
  <si>
    <t>Laura María Orozco García</t>
  </si>
  <si>
    <t>Docente -  Coordinadora Autoevaluación Ing. Sistemas</t>
  </si>
  <si>
    <t>laura.orozco@docente.fup.edu.co</t>
  </si>
  <si>
    <t>Martha Lucia Bolaños Imbachi</t>
  </si>
  <si>
    <t>martha.bolanos@docente.fup.edu.co</t>
  </si>
  <si>
    <t>BRONCE</t>
  </si>
  <si>
    <t>Miguel Dario Calvachy</t>
  </si>
  <si>
    <t>miguel.calvachy@docente.fup.edu.co</t>
  </si>
  <si>
    <t>Natalia Córdoba Claros</t>
  </si>
  <si>
    <t>natalia.cordoba@docente.fup.edu.co</t>
  </si>
  <si>
    <t>Oscar Eduardo Torres Fernandez</t>
  </si>
  <si>
    <t>oscar.torres@docente.fup.edu.co</t>
  </si>
  <si>
    <t>Sandra Johanna Pinzón Hermosa</t>
  </si>
  <si>
    <t>Coordinadora Académica Prog. Administración de Empresas</t>
  </si>
  <si>
    <t>coordinacionacademica.faceca@fup.edu.co</t>
  </si>
  <si>
    <t>Nora Fernanda Arciniegas Sanchez</t>
  </si>
  <si>
    <t>fernanda.arciniegas@docente.fup.edu.co</t>
  </si>
  <si>
    <t>Diana Carolina Vasquez Zambrano</t>
  </si>
  <si>
    <t>Cristian Libardo Idrobo Posada</t>
  </si>
  <si>
    <t>Auxiliar Ingeneria</t>
  </si>
  <si>
    <t>Fabian Felipe Mera Hurtado</t>
  </si>
  <si>
    <t xml:space="preserve">Auxiliar de Soporte </t>
  </si>
  <si>
    <t xml:space="preserve">Yeni Fernanda Castrillón Sánchez </t>
  </si>
  <si>
    <t>auxiliar.sidi@fup.edu.co</t>
  </si>
  <si>
    <t xml:space="preserve">Julieth Alexandra Chacón Paja
</t>
  </si>
  <si>
    <t>Nathalia Vanessa Hurtado Sanchez</t>
  </si>
  <si>
    <t>nathalia.hurtado@docente.fup.edu.co</t>
  </si>
  <si>
    <t>Equipo Auditor</t>
  </si>
  <si>
    <t>tenemos</t>
  </si>
  <si>
    <t xml:space="preserve">TOTAL </t>
  </si>
  <si>
    <t>Aprobación del Informe (Líder de Proceso)</t>
  </si>
  <si>
    <t>Prog. Administración de Empresas</t>
  </si>
  <si>
    <t>Prog. Arquitectura</t>
  </si>
  <si>
    <t>Prog. Derecho</t>
  </si>
  <si>
    <t>Prog. Licenciatura Ed. Art. y Cultural</t>
  </si>
  <si>
    <t>Prog. Psicología</t>
  </si>
  <si>
    <t>Prog. Trabajo Social</t>
  </si>
  <si>
    <t>Coordinadora General Académica</t>
  </si>
  <si>
    <t>Director SIAC</t>
  </si>
  <si>
    <t>Coordinador SIDI</t>
  </si>
  <si>
    <t>Director Bienestar Institucional</t>
  </si>
  <si>
    <t>Director de Talento Humano</t>
  </si>
  <si>
    <t>Coordinador de SST</t>
  </si>
  <si>
    <t>Vicerrector Adminsitrativo y Financiero</t>
  </si>
  <si>
    <t xml:space="preserve">Coordinador Administrativo </t>
  </si>
  <si>
    <t>Bibliotecólogo 
Laboratista</t>
  </si>
  <si>
    <t>Profesional de Recursos Físicos</t>
  </si>
  <si>
    <t>Director y Coordinador Programa Arquitectura</t>
  </si>
  <si>
    <t>Director y Coordinador Programa Derecho</t>
  </si>
  <si>
    <t>Director y Coordinador Programa LEAC</t>
  </si>
  <si>
    <t>Director y Coordinador Programa Psicología</t>
  </si>
  <si>
    <t>Director y Coordinador Programa Trabajo Social</t>
  </si>
  <si>
    <t>AI - *P
2024</t>
  </si>
  <si>
    <t>AI - A
2024</t>
  </si>
  <si>
    <t>No</t>
  </si>
  <si>
    <t>Ana Adela Baos</t>
  </si>
  <si>
    <t>apoyo.leac@fup.edu.co profesional.gca@fup.edu.co</t>
  </si>
  <si>
    <t>decanatura.ambientalesyagrarias@fup.edu.co   ingenieria.agroecologica@fup.edu.co</t>
  </si>
  <si>
    <t>daniel.feriz@docente.fup.edu.co</t>
  </si>
  <si>
    <t xml:space="preserve">direccion.aseguramientodelacalidad@fup.edu.co </t>
  </si>
  <si>
    <t>ori@fup.edu.co   auditoria@fup.edu.co</t>
  </si>
  <si>
    <t>seguridadysaludeneltrabajo@fup.edu.co</t>
  </si>
  <si>
    <t>jose.ruiz@docente.fup.edu.co   rep.docenteconsejosuperior@fup.edu.co</t>
  </si>
  <si>
    <t>coordinacion.arquitectura@fup.edu.co   coordacad1@fup.edu.co</t>
  </si>
  <si>
    <t>coordinacionacademica.ingenierias@fup.edu.co             coordacadfcsh@fup.edu.co</t>
  </si>
  <si>
    <t>direccion.extyproyeccionsocial@fup.edu.co</t>
  </si>
  <si>
    <t>asis.secretariageneral@fup.edu.co</t>
  </si>
  <si>
    <t>apoyo.integrada@fup.edu.co</t>
  </si>
  <si>
    <t>auxiliar.sires@fup.edu.co</t>
  </si>
  <si>
    <t>derecho.popayan@fup.edu.co    derecho.popayanbk@fup.edu.co</t>
  </si>
  <si>
    <t>Ashley Stephany Cubides Valderrama</t>
  </si>
  <si>
    <t>Profesional EDP</t>
  </si>
  <si>
    <t>profesional.profesoral@fup.edu.co</t>
  </si>
  <si>
    <t>Registre el ciclo de la Auditoría.  Ejemplo: "2025" para ciclos anuales o "2025-F1" para ciclos semestrales.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</si>
</sst>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6" formatCode="dd\-mmm\-yy;@"/>
  </numFmts>
  <fonts count="50" x14ac:knownFonts="1">
    <font>
      <sz val="11"/>
      <color theme="1"/>
      <name val="Calibri"/>
      <family val="2"/>
      <scheme val="minor"/>
    </font>
    <font>
      <sz val="9"/>
      <color theme="1"/>
      <name val="Arial"/>
      <family val="2"/>
    </font>
    <font>
      <sz val="10"/>
      <color theme="1"/>
      <name val="Arial"/>
      <family val="2"/>
    </font>
    <font>
      <b/>
      <sz val="9"/>
      <color theme="1"/>
      <name val="Arial"/>
      <family val="2"/>
    </font>
    <font>
      <sz val="8"/>
      <color theme="1"/>
      <name val="Arial"/>
      <family val="2"/>
    </font>
    <font>
      <sz val="8"/>
      <color theme="0" tint="-4.9989318521683403E-2"/>
      <name val="Arial"/>
      <family val="2"/>
    </font>
    <font>
      <b/>
      <sz val="9"/>
      <color theme="0" tint="-4.9989318521683403E-2"/>
      <name val="Arial"/>
      <family val="2"/>
    </font>
    <font>
      <sz val="9"/>
      <color theme="0" tint="-4.9989318521683403E-2"/>
      <name val="Arial"/>
      <family val="2"/>
    </font>
    <font>
      <b/>
      <sz val="9"/>
      <color theme="0"/>
      <name val="Arial"/>
      <family val="2"/>
    </font>
    <font>
      <b/>
      <sz val="8"/>
      <color theme="0"/>
      <name val="Arial"/>
      <family val="2"/>
    </font>
    <font>
      <b/>
      <sz val="11"/>
      <color theme="1"/>
      <name val="Calibri"/>
      <family val="2"/>
      <scheme val="minor"/>
    </font>
    <font>
      <b/>
      <sz val="12"/>
      <color rgb="FF0000CC"/>
      <name val="Arial"/>
      <family val="2"/>
    </font>
    <font>
      <sz val="9"/>
      <color theme="0"/>
      <name val="Arial"/>
      <family val="2"/>
    </font>
    <font>
      <b/>
      <sz val="9"/>
      <color rgb="FF00FFFF"/>
      <name val="Arial"/>
      <family val="2"/>
    </font>
    <font>
      <b/>
      <sz val="9"/>
      <color rgb="FF00FF00"/>
      <name val="Arial"/>
      <family val="2"/>
    </font>
    <font>
      <b/>
      <sz val="9"/>
      <color theme="7" tint="0.79998168889431442"/>
      <name val="Arial"/>
      <family val="2"/>
    </font>
    <font>
      <b/>
      <sz val="9"/>
      <color rgb="FFFFFF00"/>
      <name val="Arial"/>
      <family val="2"/>
    </font>
    <font>
      <b/>
      <sz val="8"/>
      <color theme="1"/>
      <name val="Arial"/>
      <family val="2"/>
    </font>
    <font>
      <sz val="8"/>
      <color theme="0" tint="-0.14999847407452621"/>
      <name val="Calibri"/>
      <family val="2"/>
      <scheme val="minor"/>
    </font>
    <font>
      <b/>
      <sz val="9"/>
      <color theme="7" tint="0.39997558519241921"/>
      <name val="Arial"/>
      <family val="2"/>
    </font>
    <font>
      <b/>
      <sz val="11"/>
      <color theme="1"/>
      <name val="Arial"/>
      <family val="2"/>
    </font>
    <font>
      <b/>
      <sz val="10"/>
      <color theme="7" tint="0.39997558519241921"/>
      <name val="Arial"/>
      <family val="2"/>
    </font>
    <font>
      <b/>
      <sz val="9"/>
      <color rgb="FF0000CC"/>
      <name val="Arial"/>
      <family val="2"/>
    </font>
    <font>
      <sz val="9"/>
      <color rgb="FF0000CC"/>
      <name val="Arial"/>
      <family val="2"/>
    </font>
    <font>
      <sz val="9"/>
      <color rgb="FFFF0000"/>
      <name val="Arial"/>
      <family val="2"/>
    </font>
    <font>
      <b/>
      <sz val="9"/>
      <color indexed="81"/>
      <name val="Tahoma"/>
      <family val="2"/>
    </font>
    <font>
      <b/>
      <sz val="9"/>
      <color indexed="15"/>
      <name val="Tahoma"/>
      <family val="2"/>
    </font>
    <font>
      <b/>
      <sz val="9"/>
      <color indexed="9"/>
      <name val="Tahoma"/>
      <family val="2"/>
    </font>
    <font>
      <b/>
      <sz val="8"/>
      <color rgb="FFFFFF00"/>
      <name val="Arial"/>
      <family val="2"/>
    </font>
    <font>
      <sz val="9"/>
      <color theme="1"/>
      <name val="Calibri"/>
      <family val="2"/>
      <scheme val="minor"/>
    </font>
    <font>
      <b/>
      <sz val="9"/>
      <color rgb="FFC00000"/>
      <name val="Calibri"/>
      <family val="2"/>
      <scheme val="minor"/>
    </font>
    <font>
      <b/>
      <sz val="8"/>
      <color rgb="FFC00000"/>
      <name val="Arial"/>
      <family val="2"/>
    </font>
    <font>
      <b/>
      <sz val="8"/>
      <color rgb="FF0000CC"/>
      <name val="Arial"/>
      <family val="2"/>
    </font>
    <font>
      <sz val="9"/>
      <color rgb="FFC00000"/>
      <name val="Calibri"/>
      <family val="2"/>
      <scheme val="minor"/>
    </font>
    <font>
      <b/>
      <sz val="9"/>
      <color theme="1"/>
      <name val="Calibri"/>
      <family val="2"/>
      <scheme val="minor"/>
    </font>
    <font>
      <sz val="8"/>
      <color theme="0" tint="-0.249977111117893"/>
      <name val="Arial"/>
      <family val="2"/>
    </font>
    <font>
      <b/>
      <sz val="10"/>
      <color theme="1"/>
      <name val="Calibri"/>
      <family val="2"/>
      <scheme val="minor"/>
    </font>
    <font>
      <b/>
      <sz val="9"/>
      <color rgb="FF0000CC"/>
      <name val="Calibri"/>
      <family val="2"/>
      <scheme val="minor"/>
    </font>
    <font>
      <b/>
      <sz val="9"/>
      <color theme="0" tint="-0.14999847407452621"/>
      <name val="Calibri"/>
      <family val="2"/>
      <scheme val="minor"/>
    </font>
    <font>
      <sz val="9"/>
      <color theme="0" tint="-0.14999847407452621"/>
      <name val="Calibri"/>
      <family val="2"/>
      <scheme val="minor"/>
    </font>
    <font>
      <b/>
      <sz val="8"/>
      <color theme="5" tint="-0.249977111117893"/>
      <name val="Arial"/>
      <family val="2"/>
    </font>
    <font>
      <u/>
      <sz val="11"/>
      <color theme="10"/>
      <name val="Calibri"/>
      <family val="2"/>
      <scheme val="minor"/>
    </font>
    <font>
      <u/>
      <sz val="9"/>
      <color theme="10"/>
      <name val="Arial"/>
      <family val="2"/>
    </font>
    <font>
      <b/>
      <sz val="11"/>
      <color rgb="FFFFFF00"/>
      <name val="Calibri"/>
      <family val="2"/>
      <scheme val="minor"/>
    </font>
    <font>
      <sz val="11"/>
      <color rgb="FF00FF00"/>
      <name val="Calibri"/>
      <family val="2"/>
      <scheme val="minor"/>
    </font>
    <font>
      <b/>
      <sz val="10"/>
      <color theme="0"/>
      <name val="Calibri"/>
      <family val="2"/>
      <scheme val="minor"/>
    </font>
    <font>
      <sz val="8"/>
      <color rgb="FF66FF66"/>
      <name val="Calibri"/>
      <family val="2"/>
      <scheme val="minor"/>
    </font>
    <font>
      <sz val="8"/>
      <color rgb="FF00FF00"/>
      <name val="Calibri"/>
      <family val="2"/>
      <scheme val="minor"/>
    </font>
    <font>
      <u/>
      <sz val="11"/>
      <color theme="1"/>
      <name val="Calibri"/>
      <family val="2"/>
      <scheme val="minor"/>
    </font>
    <font>
      <sz val="9"/>
      <color theme="0" tint="-0.14999847407452621"/>
      <name val="Arial"/>
      <family val="2"/>
    </font>
  </fonts>
  <fills count="3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9" tint="0.79998168889431442"/>
        <bgColor indexed="64"/>
      </patternFill>
    </fill>
    <fill>
      <patternFill patternType="solid">
        <fgColor rgb="FF0000CC"/>
        <bgColor indexed="64"/>
      </patternFill>
    </fill>
    <fill>
      <patternFill patternType="solid">
        <fgColor theme="4" tint="0.79998168889431442"/>
        <bgColor indexed="64"/>
      </patternFill>
    </fill>
    <fill>
      <patternFill patternType="solid">
        <fgColor rgb="FF005790"/>
        <bgColor indexed="64"/>
      </patternFill>
    </fill>
    <fill>
      <patternFill patternType="solid">
        <fgColor rgb="FF0070C0"/>
        <bgColor indexed="64"/>
      </patternFill>
    </fill>
    <fill>
      <patternFill patternType="solid">
        <fgColor theme="2"/>
        <bgColor indexed="64"/>
      </patternFill>
    </fill>
    <fill>
      <patternFill patternType="solid">
        <fgColor rgb="FF293139"/>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618138"/>
        <bgColor indexed="64"/>
      </patternFill>
    </fill>
    <fill>
      <patternFill patternType="solid">
        <fgColor theme="9" tint="0.59999389629810485"/>
        <bgColor indexed="64"/>
      </patternFill>
    </fill>
    <fill>
      <patternFill patternType="solid">
        <fgColor rgb="FFD89328"/>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A62424"/>
        <bgColor indexed="64"/>
      </patternFill>
    </fill>
    <fill>
      <patternFill patternType="solid">
        <fgColor rgb="FFFFCCCC"/>
        <bgColor indexed="64"/>
      </patternFill>
    </fill>
    <fill>
      <patternFill patternType="solid">
        <fgColor rgb="FFFF9999"/>
        <bgColor indexed="64"/>
      </patternFill>
    </fill>
    <fill>
      <patternFill patternType="solid">
        <fgColor theme="1"/>
        <bgColor indexed="64"/>
      </patternFill>
    </fill>
    <fill>
      <patternFill patternType="solid">
        <fgColor rgb="FFFFFF00"/>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FF0000"/>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bottom style="hair">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theme="7" tint="-0.24994659260841701"/>
      </left>
      <right/>
      <top/>
      <bottom/>
      <diagonal/>
    </border>
    <border>
      <left style="thin">
        <color indexed="64"/>
      </left>
      <right style="medium">
        <color theme="7" tint="-0.24994659260841701"/>
      </right>
      <top/>
      <bottom/>
      <diagonal/>
    </border>
    <border>
      <left style="medium">
        <color theme="7" tint="-0.24994659260841701"/>
      </left>
      <right/>
      <top/>
      <bottom style="thin">
        <color rgb="FF002060"/>
      </bottom>
      <diagonal/>
    </border>
    <border>
      <left style="medium">
        <color rgb="FF002060"/>
      </left>
      <right/>
      <top/>
      <bottom style="thin">
        <color rgb="FF002060"/>
      </bottom>
      <diagonal/>
    </border>
    <border>
      <left style="thin">
        <color indexed="64"/>
      </left>
      <right style="medium">
        <color theme="7" tint="-0.24994659260841701"/>
      </right>
      <top/>
      <bottom style="thin">
        <color indexed="64"/>
      </bottom>
      <diagonal/>
    </border>
    <border>
      <left style="thin">
        <color indexed="64"/>
      </left>
      <right style="medium">
        <color theme="7" tint="-0.24994659260841701"/>
      </right>
      <top/>
      <bottom style="hair">
        <color indexed="64"/>
      </bottom>
      <diagonal/>
    </border>
    <border>
      <left style="thin">
        <color indexed="64"/>
      </left>
      <right style="medium">
        <color theme="7" tint="-0.24994659260841701"/>
      </right>
      <top style="hair">
        <color indexed="64"/>
      </top>
      <bottom style="hair">
        <color indexed="64"/>
      </bottom>
      <diagonal/>
    </border>
    <border>
      <left/>
      <right style="medium">
        <color theme="7" tint="-0.24994659260841701"/>
      </right>
      <top/>
      <bottom/>
      <diagonal/>
    </border>
    <border>
      <left style="medium">
        <color theme="7" tint="-0.24994659260841701"/>
      </left>
      <right/>
      <top/>
      <bottom style="medium">
        <color theme="7" tint="-0.24994659260841701"/>
      </bottom>
      <diagonal/>
    </border>
    <border>
      <left style="thin">
        <color indexed="64"/>
      </left>
      <right style="thin">
        <color indexed="64"/>
      </right>
      <top style="hair">
        <color indexed="64"/>
      </top>
      <bottom style="medium">
        <color theme="7" tint="-0.24994659260841701"/>
      </bottom>
      <diagonal/>
    </border>
    <border>
      <left style="thin">
        <color indexed="64"/>
      </left>
      <right style="medium">
        <color theme="7" tint="-0.24994659260841701"/>
      </right>
      <top style="hair">
        <color indexed="64"/>
      </top>
      <bottom style="medium">
        <color theme="7" tint="-0.24994659260841701"/>
      </bottom>
      <diagonal/>
    </border>
    <border>
      <left style="thin">
        <color rgb="FF00B0F0"/>
      </left>
      <right/>
      <top style="thin">
        <color rgb="FF00B0F0"/>
      </top>
      <bottom style="hair">
        <color rgb="FF00B0F0"/>
      </bottom>
      <diagonal/>
    </border>
    <border>
      <left/>
      <right/>
      <top style="thin">
        <color rgb="FF00B0F0"/>
      </top>
      <bottom style="hair">
        <color rgb="FF00B0F0"/>
      </bottom>
      <diagonal/>
    </border>
    <border>
      <left style="thin">
        <color rgb="FF00B0F0"/>
      </left>
      <right style="thin">
        <color rgb="FF00B0F0"/>
      </right>
      <top style="hair">
        <color rgb="FF00B0F0"/>
      </top>
      <bottom style="hair">
        <color rgb="FF00B0F0"/>
      </bottom>
      <diagonal/>
    </border>
    <border>
      <left style="thin">
        <color rgb="FF00B0F0"/>
      </left>
      <right/>
      <top style="hair">
        <color rgb="FF00B0F0"/>
      </top>
      <bottom style="hair">
        <color rgb="FF00B0F0"/>
      </bottom>
      <diagonal/>
    </border>
    <border>
      <left style="thin">
        <color rgb="FF00B0F0"/>
      </left>
      <right style="thin">
        <color rgb="FF00B0F0"/>
      </right>
      <top style="thin">
        <color rgb="FF00B0F0"/>
      </top>
      <bottom style="hair">
        <color rgb="FF00B0F0"/>
      </bottom>
      <diagonal/>
    </border>
    <border>
      <left style="thin">
        <color rgb="FF00B0F0"/>
      </left>
      <right style="thin">
        <color rgb="FF00B0F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style="thin">
        <color theme="1" tint="0.499984740745262"/>
      </right>
      <top style="thin">
        <color theme="0"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0"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style="medium">
        <color indexed="64"/>
      </right>
      <top style="medium">
        <color indexed="64"/>
      </top>
      <bottom/>
      <diagonal/>
    </border>
    <border>
      <left style="medium">
        <color indexed="64"/>
      </left>
      <right style="thin">
        <color theme="1" tint="0.499984740745262"/>
      </right>
      <top style="thin">
        <color theme="0" tint="-0.499984740745262"/>
      </top>
      <bottom style="hair">
        <color theme="1" tint="0.499984740745262"/>
      </bottom>
      <diagonal/>
    </border>
    <border>
      <left style="thin">
        <color theme="1" tint="0.499984740745262"/>
      </left>
      <right style="medium">
        <color indexed="64"/>
      </right>
      <top style="thin">
        <color theme="0" tint="-0.499984740745262"/>
      </top>
      <bottom style="hair">
        <color theme="1" tint="0.499984740745262"/>
      </bottom>
      <diagonal/>
    </border>
    <border>
      <left style="medium">
        <color indexed="64"/>
      </left>
      <right style="thin">
        <color theme="1" tint="0.499984740745262"/>
      </right>
      <top style="hair">
        <color theme="1" tint="0.499984740745262"/>
      </top>
      <bottom style="hair">
        <color theme="1" tint="0.499984740745262"/>
      </bottom>
      <diagonal/>
    </border>
    <border>
      <left style="thin">
        <color theme="1" tint="0.499984740745262"/>
      </left>
      <right style="medium">
        <color indexed="64"/>
      </right>
      <top style="hair">
        <color theme="1" tint="0.499984740745262"/>
      </top>
      <bottom style="hair">
        <color theme="1" tint="0.499984740745262"/>
      </bottom>
      <diagonal/>
    </border>
    <border>
      <left style="medium">
        <color indexed="64"/>
      </left>
      <right style="thin">
        <color theme="1" tint="0.499984740745262"/>
      </right>
      <top style="hair">
        <color theme="1" tint="0.499984740745262"/>
      </top>
      <bottom style="hair">
        <color theme="0" tint="-0.499984740745262"/>
      </bottom>
      <diagonal/>
    </border>
    <border>
      <left style="thin">
        <color theme="1" tint="0.499984740745262"/>
      </left>
      <right style="medium">
        <color indexed="64"/>
      </right>
      <top style="hair">
        <color theme="1" tint="0.499984740745262"/>
      </top>
      <bottom style="hair">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style="thin">
        <color rgb="FF00B0F0"/>
      </left>
      <right/>
      <top style="thin">
        <color rgb="FF00B0F0"/>
      </top>
      <bottom style="thin">
        <color rgb="FF00B0F0"/>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hair">
        <color theme="0" tint="-0.499984740745262"/>
      </bottom>
      <diagonal/>
    </border>
    <border>
      <left style="thin">
        <color rgb="FF00B0F0"/>
      </left>
      <right style="thin">
        <color rgb="FF00B0F0"/>
      </right>
      <top/>
      <bottom style="hair">
        <color rgb="FF00B0F0"/>
      </bottom>
      <diagonal/>
    </border>
    <border>
      <left/>
      <right/>
      <top/>
      <bottom style="hair">
        <color rgb="FF00B0F0"/>
      </bottom>
      <diagonal/>
    </border>
    <border>
      <left/>
      <right/>
      <top style="hair">
        <color rgb="FF00B0F0"/>
      </top>
      <bottom style="hair">
        <color rgb="FF00B0F0"/>
      </bottom>
      <diagonal/>
    </border>
    <border>
      <left style="thin">
        <color rgb="FF0000CC"/>
      </left>
      <right style="thin">
        <color rgb="FF0000CC"/>
      </right>
      <top style="hair">
        <color rgb="FF00B0F0"/>
      </top>
      <bottom style="hair">
        <color rgb="FF00B0F0"/>
      </bottom>
      <diagonal/>
    </border>
    <border>
      <left style="thin">
        <color rgb="FF0000CC"/>
      </left>
      <right/>
      <top style="hair">
        <color rgb="FF00B0F0"/>
      </top>
      <bottom style="hair">
        <color rgb="FF00B0F0"/>
      </bottom>
      <diagonal/>
    </border>
    <border>
      <left/>
      <right style="thin">
        <color rgb="FF0000CC"/>
      </right>
      <top style="hair">
        <color rgb="FF00B0F0"/>
      </top>
      <bottom style="hair">
        <color rgb="FF00B0F0"/>
      </bottom>
      <diagonal/>
    </border>
    <border>
      <left/>
      <right style="thin">
        <color indexed="64"/>
      </right>
      <top/>
      <bottom/>
      <diagonal/>
    </border>
    <border>
      <left style="thin">
        <color indexed="64"/>
      </left>
      <right/>
      <top/>
      <bottom/>
      <diagonal/>
    </border>
    <border>
      <left style="thin">
        <color rgb="FF00B0F0"/>
      </left>
      <right/>
      <top style="hair">
        <color rgb="FF00B0F0"/>
      </top>
      <bottom/>
      <diagonal/>
    </border>
    <border>
      <left style="thin">
        <color rgb="FF00B0F0"/>
      </left>
      <right style="thin">
        <color rgb="FF00B0F0"/>
      </right>
      <top style="hair">
        <color rgb="FF00B0F0"/>
      </top>
      <bottom/>
      <diagonal/>
    </border>
    <border>
      <left style="thin">
        <color rgb="FF0000FF"/>
      </left>
      <right/>
      <top/>
      <bottom style="hair">
        <color rgb="FF00B0F0"/>
      </bottom>
      <diagonal/>
    </border>
    <border>
      <left/>
      <right style="thin">
        <color rgb="FF0000FF"/>
      </right>
      <top/>
      <bottom style="hair">
        <color rgb="FF00B0F0"/>
      </bottom>
      <diagonal/>
    </border>
    <border>
      <left style="thin">
        <color rgb="FF0000FF"/>
      </left>
      <right/>
      <top/>
      <bottom/>
      <diagonal/>
    </border>
    <border>
      <left/>
      <right style="thin">
        <color rgb="FF0000FF"/>
      </right>
      <top/>
      <bottom/>
      <diagonal/>
    </border>
    <border>
      <left style="thin">
        <color rgb="FF0000CC"/>
      </left>
      <right/>
      <top/>
      <bottom/>
      <diagonal/>
    </border>
  </borders>
  <cellStyleXfs count="2">
    <xf numFmtId="0" fontId="0" fillId="0" borderId="0"/>
    <xf numFmtId="0" fontId="41" fillId="0" borderId="0" applyNumberFormat="0" applyFill="0" applyBorder="0" applyAlignment="0" applyProtection="0"/>
  </cellStyleXfs>
  <cellXfs count="393">
    <xf numFmtId="0" fontId="0" fillId="0" borderId="0" xfId="0"/>
    <xf numFmtId="0" fontId="0" fillId="3" borderId="0" xfId="0" applyFill="1" applyAlignment="1">
      <alignment vertical="center" wrapText="1"/>
    </xf>
    <xf numFmtId="0" fontId="1" fillId="2" borderId="0" xfId="0" applyFont="1" applyFill="1" applyAlignment="1">
      <alignment vertical="center"/>
    </xf>
    <xf numFmtId="0" fontId="4" fillId="3" borderId="0" xfId="0" applyFont="1" applyFill="1" applyAlignment="1">
      <alignment vertical="center"/>
    </xf>
    <xf numFmtId="0" fontId="3" fillId="2" borderId="0" xfId="0" applyFont="1" applyFill="1" applyAlignment="1">
      <alignment vertical="center"/>
    </xf>
    <xf numFmtId="0" fontId="3" fillId="10" borderId="0" xfId="0" applyFont="1" applyFill="1" applyAlignment="1">
      <alignment vertical="center"/>
    </xf>
    <xf numFmtId="0" fontId="8" fillId="9" borderId="16" xfId="0" applyFont="1" applyFill="1" applyBorder="1" applyAlignment="1">
      <alignment vertical="center" wrapText="1"/>
    </xf>
    <xf numFmtId="0" fontId="8" fillId="10" borderId="0" xfId="0" applyFont="1" applyFill="1" applyAlignment="1">
      <alignment vertical="center"/>
    </xf>
    <xf numFmtId="0" fontId="8" fillId="9" borderId="17" xfId="0" applyFont="1" applyFill="1" applyBorder="1" applyAlignment="1">
      <alignment vertical="center"/>
    </xf>
    <xf numFmtId="0" fontId="8" fillId="9" borderId="18" xfId="0" applyFont="1" applyFill="1" applyBorder="1" applyAlignment="1">
      <alignment vertical="center"/>
    </xf>
    <xf numFmtId="0" fontId="8" fillId="9" borderId="19" xfId="0" applyFont="1" applyFill="1" applyBorder="1" applyAlignment="1">
      <alignment vertical="center"/>
    </xf>
    <xf numFmtId="0" fontId="12" fillId="11" borderId="15" xfId="0" applyFont="1" applyFill="1" applyBorder="1" applyAlignment="1">
      <alignment vertical="center"/>
    </xf>
    <xf numFmtId="49" fontId="8" fillId="11" borderId="9" xfId="0" applyNumberFormat="1" applyFont="1" applyFill="1" applyBorder="1" applyAlignment="1">
      <alignment vertical="center"/>
    </xf>
    <xf numFmtId="0" fontId="8" fillId="11" borderId="20" xfId="0" applyFont="1" applyFill="1" applyBorder="1" applyAlignment="1">
      <alignment vertical="center" wrapText="1"/>
    </xf>
    <xf numFmtId="0" fontId="1" fillId="10" borderId="0" xfId="0" applyFont="1" applyFill="1" applyAlignment="1">
      <alignment vertical="center"/>
    </xf>
    <xf numFmtId="49" fontId="3" fillId="10" borderId="6" xfId="0" applyNumberFormat="1" applyFont="1" applyFill="1" applyBorder="1" applyAlignment="1">
      <alignment horizontal="left" vertical="center" indent="1"/>
    </xf>
    <xf numFmtId="0" fontId="1" fillId="10" borderId="21" xfId="0" applyFont="1" applyFill="1" applyBorder="1" applyAlignment="1">
      <alignment horizontal="left" vertical="center" wrapText="1" indent="1"/>
    </xf>
    <xf numFmtId="49" fontId="3" fillId="12" borderId="6" xfId="0" applyNumberFormat="1" applyFont="1" applyFill="1" applyBorder="1" applyAlignment="1">
      <alignment horizontal="left" vertical="center" indent="1"/>
    </xf>
    <xf numFmtId="0" fontId="1" fillId="12" borderId="21" xfId="0" applyFont="1" applyFill="1" applyBorder="1" applyAlignment="1">
      <alignment horizontal="left" vertical="center" wrapText="1" indent="1"/>
    </xf>
    <xf numFmtId="49" fontId="3" fillId="10" borderId="6" xfId="0" applyNumberFormat="1" applyFont="1" applyFill="1" applyBorder="1" applyAlignment="1">
      <alignment horizontal="left" vertical="center" indent="2"/>
    </xf>
    <xf numFmtId="0" fontId="1" fillId="10" borderId="21" xfId="0" applyFont="1" applyFill="1" applyBorder="1" applyAlignment="1">
      <alignment horizontal="left" vertical="center" wrapText="1" indent="2"/>
    </xf>
    <xf numFmtId="49" fontId="3" fillId="12" borderId="6" xfId="0" applyNumberFormat="1" applyFont="1" applyFill="1" applyBorder="1" applyAlignment="1">
      <alignment horizontal="left" vertical="center" indent="2"/>
    </xf>
    <xf numFmtId="0" fontId="1" fillId="12" borderId="21" xfId="0" applyFont="1" applyFill="1" applyBorder="1" applyAlignment="1">
      <alignment horizontal="left" vertical="center" wrapText="1" indent="2"/>
    </xf>
    <xf numFmtId="0" fontId="8" fillId="10" borderId="15" xfId="0" applyFont="1" applyFill="1" applyBorder="1" applyAlignment="1">
      <alignment vertical="center"/>
    </xf>
    <xf numFmtId="0" fontId="8" fillId="10" borderId="22" xfId="0" applyFont="1" applyFill="1" applyBorder="1" applyAlignment="1">
      <alignment vertical="center"/>
    </xf>
    <xf numFmtId="0" fontId="8" fillId="2" borderId="0" xfId="0" applyFont="1" applyFill="1" applyAlignment="1">
      <alignment vertical="center"/>
    </xf>
    <xf numFmtId="0" fontId="12" fillId="13" borderId="15" xfId="0" applyFont="1" applyFill="1" applyBorder="1" applyAlignment="1">
      <alignment vertical="center"/>
    </xf>
    <xf numFmtId="49" fontId="8" fillId="13" borderId="6" xfId="0" applyNumberFormat="1" applyFont="1" applyFill="1" applyBorder="1" applyAlignment="1">
      <alignment vertical="center"/>
    </xf>
    <xf numFmtId="0" fontId="8" fillId="13" borderId="21" xfId="0" applyFont="1" applyFill="1" applyBorder="1" applyAlignment="1">
      <alignment vertical="center" wrapText="1"/>
    </xf>
    <xf numFmtId="0" fontId="12" fillId="2" borderId="0" xfId="0" applyFont="1" applyFill="1" applyAlignment="1">
      <alignment vertical="center"/>
    </xf>
    <xf numFmtId="0" fontId="12" fillId="10" borderId="0" xfId="0" applyFont="1" applyFill="1" applyAlignment="1">
      <alignment vertical="center"/>
    </xf>
    <xf numFmtId="49" fontId="3" fillId="14" borderId="6" xfId="0" applyNumberFormat="1" applyFont="1" applyFill="1" applyBorder="1" applyAlignment="1">
      <alignment horizontal="left" vertical="center" indent="1"/>
    </xf>
    <xf numFmtId="0" fontId="1" fillId="14" borderId="21" xfId="0" applyFont="1" applyFill="1" applyBorder="1" applyAlignment="1">
      <alignment horizontal="left" vertical="center" wrapText="1" indent="1"/>
    </xf>
    <xf numFmtId="49" fontId="3" fillId="15" borderId="6" xfId="0" applyNumberFormat="1" applyFont="1" applyFill="1" applyBorder="1" applyAlignment="1">
      <alignment horizontal="left" vertical="center" indent="2"/>
    </xf>
    <xf numFmtId="0" fontId="1" fillId="15" borderId="21" xfId="0" applyFont="1" applyFill="1" applyBorder="1" applyAlignment="1">
      <alignment horizontal="left" vertical="center" wrapText="1" indent="2"/>
    </xf>
    <xf numFmtId="49" fontId="3" fillId="14" borderId="6" xfId="0" applyNumberFormat="1" applyFont="1" applyFill="1" applyBorder="1" applyAlignment="1">
      <alignment horizontal="left" vertical="center" indent="2"/>
    </xf>
    <xf numFmtId="0" fontId="1" fillId="14" borderId="21" xfId="0" applyFont="1" applyFill="1" applyBorder="1" applyAlignment="1">
      <alignment horizontal="left" vertical="center" wrapText="1" indent="2"/>
    </xf>
    <xf numFmtId="49" fontId="3" fillId="15" borderId="6" xfId="0" applyNumberFormat="1" applyFont="1" applyFill="1" applyBorder="1" applyAlignment="1">
      <alignment horizontal="left" vertical="center" indent="1"/>
    </xf>
    <xf numFmtId="0" fontId="1" fillId="15" borderId="21" xfId="0" applyFont="1" applyFill="1" applyBorder="1" applyAlignment="1">
      <alignment horizontal="left" vertical="center" wrapText="1" indent="1"/>
    </xf>
    <xf numFmtId="0" fontId="1" fillId="8" borderId="15" xfId="0" applyFont="1" applyFill="1" applyBorder="1" applyAlignment="1">
      <alignment vertical="center"/>
    </xf>
    <xf numFmtId="49" fontId="13" fillId="8" borderId="6" xfId="0" applyNumberFormat="1" applyFont="1" applyFill="1" applyBorder="1" applyAlignment="1">
      <alignment vertical="center"/>
    </xf>
    <xf numFmtId="0" fontId="13" fillId="8" borderId="21" xfId="0" applyFont="1" applyFill="1" applyBorder="1" applyAlignment="1">
      <alignment vertical="center" wrapText="1"/>
    </xf>
    <xf numFmtId="49" fontId="3" fillId="7" borderId="6" xfId="0" applyNumberFormat="1" applyFont="1" applyFill="1" applyBorder="1" applyAlignment="1">
      <alignment horizontal="left" vertical="center" indent="1"/>
    </xf>
    <xf numFmtId="0" fontId="1" fillId="7" borderId="21" xfId="0" applyFont="1" applyFill="1" applyBorder="1" applyAlignment="1">
      <alignment horizontal="left" vertical="center" wrapText="1" indent="1"/>
    </xf>
    <xf numFmtId="49" fontId="3" fillId="16" borderId="6" xfId="0" applyNumberFormat="1" applyFont="1" applyFill="1" applyBorder="1" applyAlignment="1">
      <alignment horizontal="left" vertical="center" indent="2"/>
    </xf>
    <xf numFmtId="0" fontId="1" fillId="16" borderId="21" xfId="0" applyFont="1" applyFill="1" applyBorder="1" applyAlignment="1">
      <alignment horizontal="left" vertical="center" wrapText="1" indent="2"/>
    </xf>
    <xf numFmtId="49" fontId="3" fillId="7" borderId="6" xfId="0" applyNumberFormat="1" applyFont="1" applyFill="1" applyBorder="1" applyAlignment="1">
      <alignment horizontal="left" vertical="center" indent="2"/>
    </xf>
    <xf numFmtId="0" fontId="1" fillId="7" borderId="21" xfId="0" applyFont="1" applyFill="1" applyBorder="1" applyAlignment="1">
      <alignment horizontal="left" vertical="center" wrapText="1" indent="2"/>
    </xf>
    <xf numFmtId="49" fontId="3" fillId="16" borderId="6" xfId="0" applyNumberFormat="1" applyFont="1" applyFill="1" applyBorder="1" applyAlignment="1">
      <alignment horizontal="left" vertical="center" indent="1"/>
    </xf>
    <xf numFmtId="0" fontId="1" fillId="16" borderId="21" xfId="0" applyFont="1" applyFill="1" applyBorder="1" applyAlignment="1">
      <alignment horizontal="left" vertical="center" wrapText="1" indent="1"/>
    </xf>
    <xf numFmtId="0" fontId="1" fillId="17" borderId="15" xfId="0" applyFont="1" applyFill="1" applyBorder="1" applyAlignment="1">
      <alignment vertical="center"/>
    </xf>
    <xf numFmtId="49" fontId="14" fillId="17" borderId="6" xfId="0" applyNumberFormat="1" applyFont="1" applyFill="1" applyBorder="1" applyAlignment="1">
      <alignment vertical="center"/>
    </xf>
    <xf numFmtId="0" fontId="14" fillId="17" borderId="21" xfId="0" applyFont="1" applyFill="1" applyBorder="1" applyAlignment="1">
      <alignment vertical="center" wrapText="1"/>
    </xf>
    <xf numFmtId="49" fontId="3" fillId="5" borderId="6" xfId="0" applyNumberFormat="1" applyFont="1" applyFill="1" applyBorder="1" applyAlignment="1">
      <alignment horizontal="left" vertical="center" indent="1"/>
    </xf>
    <xf numFmtId="0" fontId="1" fillId="5" borderId="21" xfId="0" applyFont="1" applyFill="1" applyBorder="1" applyAlignment="1">
      <alignment horizontal="left" vertical="center" wrapText="1" indent="1"/>
    </xf>
    <xf numFmtId="49" fontId="3" fillId="18" borderId="6" xfId="0" applyNumberFormat="1" applyFont="1" applyFill="1" applyBorder="1" applyAlignment="1">
      <alignment horizontal="left" vertical="center" indent="2"/>
    </xf>
    <xf numFmtId="0" fontId="1" fillId="18" borderId="21" xfId="0" applyFont="1" applyFill="1" applyBorder="1" applyAlignment="1">
      <alignment horizontal="left" vertical="center" wrapText="1" indent="2"/>
    </xf>
    <xf numFmtId="49" fontId="3" fillId="5" borderId="6" xfId="0" applyNumberFormat="1" applyFont="1" applyFill="1" applyBorder="1" applyAlignment="1">
      <alignment horizontal="left" vertical="center" indent="2"/>
    </xf>
    <xf numFmtId="0" fontId="1" fillId="5" borderId="21" xfId="0" applyFont="1" applyFill="1" applyBorder="1" applyAlignment="1">
      <alignment horizontal="left" vertical="center" wrapText="1" indent="2"/>
    </xf>
    <xf numFmtId="49" fontId="3" fillId="5" borderId="6" xfId="0" applyNumberFormat="1" applyFont="1" applyFill="1" applyBorder="1" applyAlignment="1">
      <alignment horizontal="left" vertical="center" indent="3"/>
    </xf>
    <xf numFmtId="0" fontId="1" fillId="5" borderId="21" xfId="0" applyFont="1" applyFill="1" applyBorder="1" applyAlignment="1">
      <alignment horizontal="left" vertical="center" wrapText="1" indent="3"/>
    </xf>
    <xf numFmtId="49" fontId="3" fillId="18" borderId="6" xfId="0" applyNumberFormat="1" applyFont="1" applyFill="1" applyBorder="1" applyAlignment="1">
      <alignment horizontal="left" vertical="center" indent="3"/>
    </xf>
    <xf numFmtId="0" fontId="1" fillId="18" borderId="21" xfId="0" applyFont="1" applyFill="1" applyBorder="1" applyAlignment="1">
      <alignment horizontal="left" vertical="center" wrapText="1" indent="3"/>
    </xf>
    <xf numFmtId="49" fontId="3" fillId="18" borderId="6" xfId="0" applyNumberFormat="1" applyFont="1" applyFill="1" applyBorder="1" applyAlignment="1">
      <alignment horizontal="left" vertical="center" indent="1"/>
    </xf>
    <xf numFmtId="0" fontId="1" fillId="18" borderId="21" xfId="0" applyFont="1" applyFill="1" applyBorder="1" applyAlignment="1">
      <alignment horizontal="left" vertical="center" wrapText="1" indent="1"/>
    </xf>
    <xf numFmtId="49" fontId="3" fillId="5" borderId="6" xfId="0" applyNumberFormat="1" applyFont="1" applyFill="1" applyBorder="1" applyAlignment="1">
      <alignment horizontal="center" vertical="center"/>
    </xf>
    <xf numFmtId="0" fontId="1" fillId="19" borderId="15" xfId="0" applyFont="1" applyFill="1" applyBorder="1" applyAlignment="1">
      <alignment vertical="center"/>
    </xf>
    <xf numFmtId="49" fontId="15" fillId="19" borderId="6" xfId="0" applyNumberFormat="1" applyFont="1" applyFill="1" applyBorder="1" applyAlignment="1">
      <alignment vertical="center"/>
    </xf>
    <xf numFmtId="0" fontId="15" fillId="19" borderId="21" xfId="0" applyFont="1" applyFill="1" applyBorder="1" applyAlignment="1">
      <alignment vertical="center" wrapText="1"/>
    </xf>
    <xf numFmtId="49" fontId="3" fillId="20" borderId="6" xfId="0" applyNumberFormat="1" applyFont="1" applyFill="1" applyBorder="1" applyAlignment="1">
      <alignment horizontal="left" vertical="center" indent="1"/>
    </xf>
    <xf numFmtId="0" fontId="1" fillId="20" borderId="21" xfId="0" applyFont="1" applyFill="1" applyBorder="1" applyAlignment="1">
      <alignment horizontal="left" vertical="center" wrapText="1" indent="1"/>
    </xf>
    <xf numFmtId="49" fontId="3" fillId="21" borderId="6" xfId="0" applyNumberFormat="1" applyFont="1" applyFill="1" applyBorder="1" applyAlignment="1">
      <alignment horizontal="left" vertical="center" indent="2"/>
    </xf>
    <xf numFmtId="0" fontId="1" fillId="21" borderId="21" xfId="0" applyFont="1" applyFill="1" applyBorder="1" applyAlignment="1">
      <alignment horizontal="left" vertical="center" wrapText="1" indent="2"/>
    </xf>
    <xf numFmtId="49" fontId="3" fillId="20" borderId="6" xfId="0" applyNumberFormat="1" applyFont="1" applyFill="1" applyBorder="1" applyAlignment="1">
      <alignment horizontal="left" vertical="center" indent="2"/>
    </xf>
    <xf numFmtId="0" fontId="1" fillId="20" borderId="21" xfId="0" applyFont="1" applyFill="1" applyBorder="1" applyAlignment="1">
      <alignment horizontal="left" vertical="center" wrapText="1" indent="2"/>
    </xf>
    <xf numFmtId="49" fontId="3" fillId="21" borderId="6" xfId="0" applyNumberFormat="1" applyFont="1" applyFill="1" applyBorder="1" applyAlignment="1">
      <alignment horizontal="left" vertical="center" indent="1"/>
    </xf>
    <xf numFmtId="0" fontId="1" fillId="21" borderId="21" xfId="0" applyFont="1" applyFill="1" applyBorder="1" applyAlignment="1">
      <alignment horizontal="left" vertical="center" wrapText="1" indent="1"/>
    </xf>
    <xf numFmtId="0" fontId="1" fillId="22" borderId="15" xfId="0" applyFont="1" applyFill="1" applyBorder="1" applyAlignment="1">
      <alignment vertical="center"/>
    </xf>
    <xf numFmtId="49" fontId="16" fillId="22" borderId="6" xfId="0" applyNumberFormat="1" applyFont="1" applyFill="1" applyBorder="1" applyAlignment="1">
      <alignment vertical="center"/>
    </xf>
    <xf numFmtId="0" fontId="16" fillId="22" borderId="21" xfId="0" applyFont="1" applyFill="1" applyBorder="1" applyAlignment="1">
      <alignment vertical="center" wrapText="1"/>
    </xf>
    <xf numFmtId="49" fontId="3" fillId="23" borderId="6" xfId="0" applyNumberFormat="1" applyFont="1" applyFill="1" applyBorder="1" applyAlignment="1">
      <alignment horizontal="left" vertical="center" indent="1"/>
    </xf>
    <xf numFmtId="0" fontId="1" fillId="23" borderId="21" xfId="0" applyFont="1" applyFill="1" applyBorder="1" applyAlignment="1">
      <alignment horizontal="left" vertical="center" wrapText="1" indent="1"/>
    </xf>
    <xf numFmtId="49" fontId="3" fillId="24" borderId="6" xfId="0" applyNumberFormat="1" applyFont="1" applyFill="1" applyBorder="1" applyAlignment="1">
      <alignment horizontal="left" vertical="center" indent="1"/>
    </xf>
    <xf numFmtId="0" fontId="1" fillId="24" borderId="21" xfId="0" applyFont="1" applyFill="1" applyBorder="1" applyAlignment="1">
      <alignment horizontal="left" vertical="center" wrapText="1" indent="1"/>
    </xf>
    <xf numFmtId="49" fontId="3" fillId="23" borderId="6" xfId="0" applyNumberFormat="1" applyFont="1" applyFill="1" applyBorder="1" applyAlignment="1">
      <alignment horizontal="left" vertical="center" indent="2"/>
    </xf>
    <xf numFmtId="0" fontId="1" fillId="23" borderId="21" xfId="0" applyFont="1" applyFill="1" applyBorder="1" applyAlignment="1">
      <alignment horizontal="left" vertical="center" wrapText="1" indent="2"/>
    </xf>
    <xf numFmtId="49" fontId="3" fillId="24" borderId="6" xfId="0" applyNumberFormat="1" applyFont="1" applyFill="1" applyBorder="1" applyAlignment="1">
      <alignment horizontal="left" vertical="center" indent="2"/>
    </xf>
    <xf numFmtId="0" fontId="1" fillId="24" borderId="21" xfId="0" applyFont="1" applyFill="1" applyBorder="1" applyAlignment="1">
      <alignment horizontal="left" vertical="center" wrapText="1" indent="2"/>
    </xf>
    <xf numFmtId="0" fontId="1" fillId="22" borderId="23" xfId="0" applyFont="1" applyFill="1" applyBorder="1" applyAlignment="1">
      <alignment vertical="center"/>
    </xf>
    <xf numFmtId="49" fontId="3" fillId="23" borderId="24" xfId="0" applyNumberFormat="1" applyFont="1" applyFill="1" applyBorder="1" applyAlignment="1">
      <alignment horizontal="left" vertical="center" indent="1"/>
    </xf>
    <xf numFmtId="0" fontId="1" fillId="23" borderId="25" xfId="0" applyFont="1" applyFill="1" applyBorder="1" applyAlignment="1">
      <alignment horizontal="left" vertical="center" wrapText="1" indent="1"/>
    </xf>
    <xf numFmtId="49" fontId="3" fillId="10" borderId="0" xfId="0" applyNumberFormat="1" applyFont="1" applyFill="1" applyAlignment="1">
      <alignment vertical="center"/>
    </xf>
    <xf numFmtId="0" fontId="1" fillId="10" borderId="0" xfId="0" applyFont="1" applyFill="1" applyAlignment="1">
      <alignment vertical="center" wrapText="1"/>
    </xf>
    <xf numFmtId="0" fontId="1" fillId="3" borderId="0" xfId="0" applyFont="1" applyFill="1" applyAlignment="1">
      <alignment horizontal="center" vertical="center" wrapText="1"/>
    </xf>
    <xf numFmtId="0" fontId="13" fillId="4" borderId="28" xfId="0" applyFont="1" applyFill="1" applyBorder="1" applyAlignment="1">
      <alignment horizontal="left" vertical="center" wrapText="1"/>
    </xf>
    <xf numFmtId="164" fontId="13" fillId="4" borderId="28" xfId="0" applyNumberFormat="1" applyFont="1" applyFill="1" applyBorder="1" applyAlignment="1">
      <alignment horizontal="left" vertical="center" wrapText="1"/>
    </xf>
    <xf numFmtId="164" fontId="13" fillId="4" borderId="29" xfId="0" applyNumberFormat="1" applyFont="1" applyFill="1" applyBorder="1" applyAlignment="1">
      <alignment horizontal="left" vertical="center" wrapText="1"/>
    </xf>
    <xf numFmtId="0" fontId="18" fillId="3" borderId="0" xfId="0" applyFont="1" applyFill="1" applyAlignment="1">
      <alignment vertical="center"/>
    </xf>
    <xf numFmtId="0" fontId="3" fillId="2" borderId="28" xfId="0" applyFont="1" applyFill="1" applyBorder="1" applyAlignment="1">
      <alignment horizontal="center" vertical="center" wrapText="1"/>
    </xf>
    <xf numFmtId="0" fontId="1" fillId="2" borderId="28" xfId="0" quotePrefix="1"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0" fillId="3" borderId="0" xfId="0" applyFill="1"/>
    <xf numFmtId="0" fontId="0" fillId="0" borderId="0" xfId="0" applyAlignment="1">
      <alignment horizontal="center"/>
    </xf>
    <xf numFmtId="0" fontId="10" fillId="0" borderId="0" xfId="0" applyFont="1" applyAlignment="1">
      <alignment horizontal="center"/>
    </xf>
    <xf numFmtId="0" fontId="0" fillId="3" borderId="0" xfId="0" applyFill="1" applyAlignment="1">
      <alignment horizontal="center"/>
    </xf>
    <xf numFmtId="0" fontId="0" fillId="3" borderId="0" xfId="0" applyFill="1" applyAlignment="1">
      <alignment horizontal="left"/>
    </xf>
    <xf numFmtId="0" fontId="16"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6" fillId="4" borderId="30"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1" fillId="2" borderId="31" xfId="0" applyFont="1" applyFill="1" applyBorder="1" applyAlignment="1">
      <alignment horizontal="left" vertical="center" wrapText="1"/>
    </xf>
    <xf numFmtId="0" fontId="18" fillId="3" borderId="0" xfId="0" applyFont="1" applyFill="1" applyAlignment="1">
      <alignment horizontal="left" vertical="center"/>
    </xf>
    <xf numFmtId="0" fontId="0" fillId="0" borderId="0" xfId="0" applyAlignment="1">
      <alignment horizontal="left"/>
    </xf>
    <xf numFmtId="0" fontId="4" fillId="2" borderId="28" xfId="0" applyFont="1" applyFill="1" applyBorder="1" applyAlignment="1">
      <alignment vertical="center" wrapText="1"/>
    </xf>
    <xf numFmtId="0" fontId="2" fillId="2" borderId="0" xfId="0" applyFont="1" applyFill="1" applyAlignment="1" applyProtection="1">
      <alignment vertical="center"/>
    </xf>
    <xf numFmtId="0" fontId="22" fillId="3" borderId="0" xfId="0" applyFont="1" applyFill="1" applyAlignment="1" applyProtection="1">
      <alignment horizontal="center" vertical="center"/>
    </xf>
    <xf numFmtId="0" fontId="24" fillId="3" borderId="0" xfId="0" applyFont="1" applyFill="1" applyAlignment="1" applyProtection="1">
      <alignment horizontal="center" vertical="center"/>
    </xf>
    <xf numFmtId="0" fontId="2" fillId="3" borderId="0" xfId="0" applyFont="1" applyFill="1" applyAlignment="1" applyProtection="1">
      <alignment horizontal="center" vertical="center"/>
    </xf>
    <xf numFmtId="0" fontId="1" fillId="3" borderId="0" xfId="0" applyFont="1" applyFill="1" applyAlignment="1" applyProtection="1">
      <alignment horizontal="center" vertical="center"/>
    </xf>
    <xf numFmtId="0" fontId="22" fillId="2" borderId="0" xfId="0" applyFont="1" applyFill="1" applyAlignment="1" applyProtection="1">
      <alignment horizontal="center" vertical="center"/>
    </xf>
    <xf numFmtId="0" fontId="3" fillId="3" borderId="0" xfId="0" applyFont="1" applyFill="1" applyAlignment="1" applyProtection="1">
      <alignment horizontal="center" vertical="center"/>
    </xf>
    <xf numFmtId="0" fontId="1" fillId="2" borderId="0" xfId="0" applyFont="1" applyFill="1" applyBorder="1" applyAlignment="1" applyProtection="1">
      <alignment vertical="center"/>
    </xf>
    <xf numFmtId="0" fontId="1" fillId="2" borderId="0" xfId="0" applyFont="1" applyFill="1" applyAlignment="1" applyProtection="1">
      <alignment vertical="center"/>
    </xf>
    <xf numFmtId="0" fontId="1" fillId="3" borderId="0" xfId="0" applyFont="1" applyFill="1" applyBorder="1" applyAlignment="1" applyProtection="1">
      <alignment vertical="center"/>
    </xf>
    <xf numFmtId="0" fontId="22" fillId="2" borderId="0" xfId="0" applyFont="1" applyFill="1" applyAlignment="1" applyProtection="1">
      <alignment horizontal="center" vertical="top"/>
    </xf>
    <xf numFmtId="0" fontId="22" fillId="3" borderId="0" xfId="0" applyFont="1" applyFill="1" applyBorder="1" applyAlignment="1" applyProtection="1">
      <alignment horizontal="center" vertical="center"/>
    </xf>
    <xf numFmtId="0" fontId="2" fillId="3" borderId="0" xfId="0" applyFont="1" applyFill="1" applyBorder="1" applyAlignment="1" applyProtection="1">
      <alignment vertical="center"/>
    </xf>
    <xf numFmtId="0" fontId="3" fillId="3" borderId="0" xfId="0" applyFont="1" applyFill="1" applyBorder="1" applyAlignment="1" applyProtection="1">
      <alignment horizontal="left" vertical="center"/>
    </xf>
    <xf numFmtId="0" fontId="5" fillId="3" borderId="0" xfId="0" applyFont="1" applyFill="1" applyBorder="1" applyAlignment="1" applyProtection="1">
      <alignment vertical="center"/>
    </xf>
    <xf numFmtId="0" fontId="7" fillId="3" borderId="0" xfId="0" applyFont="1" applyFill="1" applyBorder="1" applyAlignment="1" applyProtection="1">
      <alignment vertical="center"/>
    </xf>
    <xf numFmtId="0" fontId="6" fillId="3" borderId="0" xfId="0" applyFont="1" applyFill="1" applyBorder="1" applyAlignment="1" applyProtection="1">
      <alignment horizontal="left" vertical="center"/>
    </xf>
    <xf numFmtId="0" fontId="2" fillId="3" borderId="0" xfId="0" applyFont="1" applyFill="1" applyAlignment="1" applyProtection="1">
      <alignment vertical="center"/>
    </xf>
    <xf numFmtId="0" fontId="22" fillId="3" borderId="0" xfId="0" applyFont="1" applyFill="1" applyAlignment="1" applyProtection="1">
      <alignment horizontal="center" vertical="top"/>
    </xf>
    <xf numFmtId="0" fontId="22" fillId="2" borderId="0" xfId="0" applyFont="1" applyFill="1" applyAlignment="1" applyProtection="1">
      <alignment horizontal="center" vertical="top" wrapText="1"/>
    </xf>
    <xf numFmtId="0" fontId="22" fillId="2" borderId="0" xfId="0" applyFont="1" applyFill="1" applyAlignment="1" applyProtection="1">
      <alignment horizontal="left" vertical="center"/>
    </xf>
    <xf numFmtId="0" fontId="16" fillId="4" borderId="26" xfId="0" applyFont="1" applyFill="1" applyBorder="1" applyAlignment="1">
      <alignment horizontal="right" vertical="center" wrapText="1"/>
    </xf>
    <xf numFmtId="0" fontId="16" fillId="4" borderId="27" xfId="0" applyFont="1" applyFill="1" applyBorder="1" applyAlignment="1">
      <alignment horizontal="right" vertical="center" wrapText="1"/>
    </xf>
    <xf numFmtId="0" fontId="23" fillId="3" borderId="0" xfId="0" applyFont="1" applyFill="1" applyAlignment="1" applyProtection="1">
      <alignment horizontal="justify" vertical="top"/>
    </xf>
    <xf numFmtId="0" fontId="23" fillId="2" borderId="0" xfId="0" applyFont="1" applyFill="1" applyAlignment="1" applyProtection="1">
      <alignment horizontal="justify" vertical="top"/>
    </xf>
    <xf numFmtId="0" fontId="16" fillId="4" borderId="71" xfId="0" applyFont="1" applyFill="1" applyBorder="1" applyAlignment="1">
      <alignment horizontal="center" vertical="center" wrapText="1"/>
    </xf>
    <xf numFmtId="1" fontId="16" fillId="4" borderId="27" xfId="0" applyNumberFormat="1" applyFont="1" applyFill="1" applyBorder="1" applyAlignment="1">
      <alignment horizontal="left" vertical="center" wrapText="1"/>
    </xf>
    <xf numFmtId="0" fontId="29" fillId="3" borderId="0" xfId="0" applyFont="1" applyFill="1" applyAlignment="1">
      <alignment vertical="center"/>
    </xf>
    <xf numFmtId="0" fontId="34" fillId="3" borderId="0" xfId="0" applyFont="1" applyFill="1" applyAlignment="1">
      <alignment vertical="center"/>
    </xf>
    <xf numFmtId="0" fontId="35" fillId="3" borderId="0" xfId="0" applyFont="1" applyFill="1" applyBorder="1" applyAlignment="1" applyProtection="1">
      <alignment horizontal="left" vertical="center"/>
    </xf>
    <xf numFmtId="0" fontId="16" fillId="4" borderId="0" xfId="0" applyFont="1" applyFill="1" applyBorder="1" applyAlignment="1">
      <alignment horizontal="left" vertical="center"/>
    </xf>
    <xf numFmtId="0" fontId="16" fillId="25" borderId="0" xfId="0" applyFont="1" applyFill="1" applyBorder="1" applyAlignment="1">
      <alignment horizontal="left" vertical="center"/>
    </xf>
    <xf numFmtId="0" fontId="1" fillId="2" borderId="0" xfId="0" applyFont="1" applyFill="1" applyBorder="1" applyAlignment="1">
      <alignment horizontal="left" vertical="center"/>
    </xf>
    <xf numFmtId="0" fontId="3" fillId="2" borderId="0" xfId="0" applyFont="1" applyFill="1" applyBorder="1" applyAlignment="1">
      <alignment horizontal="left" vertical="center"/>
    </xf>
    <xf numFmtId="0" fontId="37" fillId="3" borderId="0" xfId="0" applyFont="1" applyFill="1" applyAlignment="1">
      <alignment vertical="center"/>
    </xf>
    <xf numFmtId="0" fontId="30" fillId="3" borderId="0" xfId="0" applyFont="1" applyFill="1" applyAlignment="1">
      <alignment horizontal="center" vertical="center"/>
    </xf>
    <xf numFmtId="0" fontId="33" fillId="3" borderId="0" xfId="0" applyFont="1" applyFill="1" applyAlignment="1">
      <alignment horizontal="center" vertical="center"/>
    </xf>
    <xf numFmtId="0" fontId="4" fillId="2" borderId="76" xfId="0" applyFont="1" applyFill="1" applyBorder="1" applyAlignment="1" applyProtection="1">
      <alignment horizontal="left" vertical="center"/>
    </xf>
    <xf numFmtId="0" fontId="32" fillId="3" borderId="0" xfId="0" applyFont="1" applyFill="1" applyAlignment="1">
      <alignment horizontal="right" vertical="center"/>
    </xf>
    <xf numFmtId="0" fontId="32" fillId="3" borderId="0" xfId="0" applyFont="1" applyFill="1" applyAlignment="1">
      <alignment vertical="center"/>
    </xf>
    <xf numFmtId="0" fontId="32" fillId="3" borderId="0" xfId="0" applyFont="1" applyFill="1" applyAlignment="1">
      <alignment horizontal="left" vertical="center" wrapText="1"/>
    </xf>
    <xf numFmtId="0" fontId="31" fillId="3" borderId="72" xfId="0" applyFont="1" applyFill="1" applyBorder="1" applyAlignment="1">
      <alignment horizontal="left" vertical="center"/>
    </xf>
    <xf numFmtId="0" fontId="4" fillId="3" borderId="0" xfId="0" applyFont="1" applyFill="1" applyAlignment="1">
      <alignment horizontal="left" vertical="center" wrapText="1"/>
    </xf>
    <xf numFmtId="0" fontId="4" fillId="2" borderId="74" xfId="0" applyFont="1" applyFill="1" applyBorder="1" applyAlignment="1">
      <alignment vertical="center"/>
    </xf>
    <xf numFmtId="0" fontId="39" fillId="3" borderId="0" xfId="0" applyFont="1" applyFill="1" applyAlignment="1">
      <alignment vertical="center"/>
    </xf>
    <xf numFmtId="0" fontId="38" fillId="3" borderId="0" xfId="0" applyFont="1" applyFill="1" applyAlignment="1">
      <alignment horizontal="left" vertical="center"/>
    </xf>
    <xf numFmtId="0" fontId="4" fillId="7" borderId="74" xfId="0" applyFont="1" applyFill="1" applyBorder="1" applyAlignment="1" applyProtection="1">
      <alignment horizontal="left" vertical="center"/>
    </xf>
    <xf numFmtId="0" fontId="9" fillId="6" borderId="75" xfId="0" applyFont="1" applyFill="1" applyBorder="1" applyAlignment="1" applyProtection="1">
      <alignment horizontal="left" vertical="center" wrapText="1"/>
    </xf>
    <xf numFmtId="0" fontId="4" fillId="7" borderId="76" xfId="0" applyFont="1" applyFill="1" applyBorder="1" applyAlignment="1" applyProtection="1">
      <alignment horizontal="left" vertical="center"/>
    </xf>
    <xf numFmtId="0" fontId="9" fillId="27" borderId="75" xfId="0" applyFont="1" applyFill="1" applyBorder="1" applyAlignment="1" applyProtection="1">
      <alignment horizontal="left" vertical="center" wrapText="1"/>
    </xf>
    <xf numFmtId="0" fontId="40" fillId="3" borderId="72" xfId="0" applyFont="1" applyFill="1" applyBorder="1" applyAlignment="1">
      <alignment horizontal="left" vertical="center"/>
    </xf>
    <xf numFmtId="0" fontId="9" fillId="13" borderId="75" xfId="0" applyFont="1" applyFill="1" applyBorder="1" applyAlignment="1" applyProtection="1">
      <alignment horizontal="left" vertical="center" wrapText="1"/>
    </xf>
    <xf numFmtId="0" fontId="28" fillId="28" borderId="73" xfId="0" applyFont="1" applyFill="1" applyBorder="1" applyAlignment="1">
      <alignment vertical="center"/>
    </xf>
    <xf numFmtId="0" fontId="28" fillId="28" borderId="75" xfId="0" applyFont="1" applyFill="1" applyBorder="1" applyAlignment="1" applyProtection="1">
      <alignment horizontal="left" vertical="center" wrapText="1"/>
    </xf>
    <xf numFmtId="0" fontId="9" fillId="6" borderId="0" xfId="0" applyFont="1" applyFill="1" applyAlignment="1">
      <alignment horizontal="right" vertical="center"/>
    </xf>
    <xf numFmtId="0" fontId="28" fillId="25" borderId="75" xfId="0" applyFont="1" applyFill="1" applyBorder="1" applyAlignment="1" applyProtection="1">
      <alignment horizontal="left" vertical="center" wrapText="1"/>
    </xf>
    <xf numFmtId="0" fontId="4" fillId="2" borderId="76" xfId="0" applyFont="1" applyFill="1" applyBorder="1" applyAlignment="1" applyProtection="1">
      <alignment horizontal="left" vertical="center"/>
      <protection locked="0"/>
    </xf>
    <xf numFmtId="0" fontId="4" fillId="7" borderId="74" xfId="0" applyFont="1" applyFill="1" applyBorder="1" applyAlignment="1" applyProtection="1">
      <alignment horizontal="left" vertical="center"/>
      <protection locked="0"/>
    </xf>
    <xf numFmtId="0" fontId="4" fillId="3" borderId="74" xfId="0" applyFont="1" applyFill="1" applyBorder="1" applyAlignment="1">
      <alignment vertical="center"/>
    </xf>
    <xf numFmtId="0" fontId="1" fillId="0" borderId="1" xfId="0" applyFont="1" applyFill="1" applyBorder="1" applyAlignment="1">
      <alignment vertical="center"/>
    </xf>
    <xf numFmtId="0" fontId="1" fillId="2" borderId="0" xfId="0" quotePrefix="1" applyFont="1" applyFill="1" applyBorder="1" applyAlignment="1">
      <alignment vertical="center" wrapText="1"/>
    </xf>
    <xf numFmtId="0" fontId="2" fillId="0" borderId="74" xfId="0" applyFont="1" applyFill="1" applyBorder="1" applyAlignment="1">
      <alignment vertical="center"/>
    </xf>
    <xf numFmtId="0" fontId="41" fillId="0" borderId="0" xfId="1"/>
    <xf numFmtId="0" fontId="1" fillId="0" borderId="0" xfId="0" applyFont="1" applyAlignment="1">
      <alignment vertical="center"/>
    </xf>
    <xf numFmtId="0" fontId="41" fillId="2" borderId="28" xfId="1" applyFill="1" applyBorder="1" applyAlignment="1">
      <alignment vertical="center" wrapText="1"/>
    </xf>
    <xf numFmtId="0" fontId="1" fillId="29" borderId="29" xfId="0" applyFont="1" applyFill="1" applyBorder="1" applyAlignment="1">
      <alignment vertical="center" wrapText="1"/>
    </xf>
    <xf numFmtId="0" fontId="42" fillId="16" borderId="0" xfId="1" applyFont="1" applyFill="1" applyBorder="1" applyAlignment="1">
      <alignment vertical="center" wrapText="1"/>
    </xf>
    <xf numFmtId="0" fontId="42" fillId="2" borderId="0" xfId="1" applyFont="1" applyFill="1" applyBorder="1" applyAlignment="1">
      <alignment vertical="center" wrapText="1"/>
    </xf>
    <xf numFmtId="0" fontId="43" fillId="25" borderId="0" xfId="0" applyFont="1" applyFill="1" applyAlignment="1">
      <alignment horizontal="center" vertical="center"/>
    </xf>
    <xf numFmtId="0" fontId="44" fillId="25" borderId="0" xfId="0" applyFont="1" applyFill="1"/>
    <xf numFmtId="0" fontId="10" fillId="26" borderId="0" xfId="0" applyFont="1" applyFill="1" applyAlignment="1">
      <alignment horizontal="center" vertical="center"/>
    </xf>
    <xf numFmtId="0" fontId="16" fillId="4" borderId="27" xfId="0" applyFont="1" applyFill="1" applyBorder="1" applyAlignment="1">
      <alignment horizontal="left" vertical="center" wrapText="1"/>
    </xf>
    <xf numFmtId="0" fontId="3" fillId="3" borderId="0" xfId="0" applyFont="1" applyFill="1" applyAlignment="1">
      <alignment horizontal="center" vertical="center" wrapText="1"/>
    </xf>
    <xf numFmtId="0" fontId="45" fillId="25" borderId="78" xfId="0" applyFont="1" applyFill="1" applyBorder="1" applyAlignment="1">
      <alignment horizontal="center" vertical="center" wrapText="1"/>
    </xf>
    <xf numFmtId="0" fontId="45" fillId="25" borderId="0" xfId="0" applyFont="1" applyFill="1" applyAlignment="1">
      <alignment horizontal="center" vertical="center" wrapText="1"/>
    </xf>
    <xf numFmtId="164" fontId="14" fillId="4" borderId="28" xfId="0" applyNumberFormat="1" applyFont="1" applyFill="1" applyBorder="1" applyAlignment="1">
      <alignment horizontal="left" vertical="center" wrapText="1"/>
    </xf>
    <xf numFmtId="164" fontId="14" fillId="4" borderId="79" xfId="0" applyNumberFormat="1" applyFont="1" applyFill="1" applyBorder="1" applyAlignment="1">
      <alignment horizontal="left" vertical="center" wrapText="1"/>
    </xf>
    <xf numFmtId="164" fontId="13" fillId="4" borderId="79" xfId="0" applyNumberFormat="1" applyFont="1" applyFill="1" applyBorder="1" applyAlignment="1">
      <alignment horizontal="left" vertical="center" wrapText="1"/>
    </xf>
    <xf numFmtId="164" fontId="13" fillId="4" borderId="80" xfId="0" applyNumberFormat="1" applyFont="1" applyFill="1" applyBorder="1" applyAlignment="1">
      <alignment horizontal="left" vertical="center" wrapText="1"/>
    </xf>
    <xf numFmtId="164" fontId="13" fillId="4" borderId="81" xfId="0" applyNumberFormat="1" applyFont="1" applyFill="1" applyBorder="1" applyAlignment="1">
      <alignment horizontal="left" vertical="center" wrapText="1"/>
    </xf>
    <xf numFmtId="164" fontId="8" fillId="4" borderId="82" xfId="0" applyNumberFormat="1" applyFont="1" applyFill="1" applyBorder="1" applyAlignment="1">
      <alignment horizontal="left" vertical="center" wrapText="1"/>
    </xf>
    <xf numFmtId="0" fontId="46" fillId="25" borderId="0" xfId="0" applyFont="1" applyFill="1" applyAlignment="1">
      <alignment vertical="center"/>
    </xf>
    <xf numFmtId="0" fontId="3" fillId="2" borderId="79"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1" xfId="0" applyFont="1" applyFill="1" applyBorder="1" applyAlignment="1">
      <alignment horizontal="center" vertical="center" wrapText="1"/>
    </xf>
    <xf numFmtId="0" fontId="3" fillId="2" borderId="82" xfId="0" applyFont="1" applyFill="1" applyBorder="1" applyAlignment="1">
      <alignment horizontal="center" vertical="center" wrapText="1"/>
    </xf>
    <xf numFmtId="0" fontId="3" fillId="2" borderId="0" xfId="0" applyFont="1" applyFill="1" applyAlignment="1">
      <alignment horizontal="center" vertical="center" wrapText="1"/>
    </xf>
    <xf numFmtId="0" fontId="47" fillId="25" borderId="0" xfId="0" applyFont="1" applyFill="1" applyAlignment="1">
      <alignment vertical="center"/>
    </xf>
    <xf numFmtId="0" fontId="1" fillId="15" borderId="28" xfId="0" applyFont="1" applyFill="1" applyBorder="1" applyAlignment="1">
      <alignment vertical="center" wrapText="1"/>
    </xf>
    <xf numFmtId="0" fontId="1" fillId="0" borderId="0" xfId="0" applyFont="1"/>
    <xf numFmtId="0" fontId="1" fillId="30" borderId="28" xfId="0" quotePrefix="1" applyFont="1" applyFill="1" applyBorder="1" applyAlignment="1">
      <alignment vertical="center" wrapText="1"/>
    </xf>
    <xf numFmtId="0" fontId="41" fillId="0" borderId="0" xfId="1" applyAlignment="1">
      <alignment vertical="center"/>
    </xf>
    <xf numFmtId="0" fontId="4" fillId="31" borderId="28" xfId="0" applyFont="1" applyFill="1" applyBorder="1" applyAlignment="1">
      <alignment vertical="center" wrapText="1"/>
    </xf>
    <xf numFmtId="0" fontId="43" fillId="28" borderId="0" xfId="0" applyFont="1" applyFill="1" applyAlignment="1">
      <alignment horizontal="center" vertical="center"/>
    </xf>
    <xf numFmtId="0" fontId="47" fillId="28" borderId="0" xfId="0" applyFont="1" applyFill="1" applyAlignment="1">
      <alignment vertical="center"/>
    </xf>
    <xf numFmtId="0" fontId="10" fillId="28" borderId="0" xfId="0" applyFont="1" applyFill="1" applyAlignment="1">
      <alignment horizontal="center" vertical="center"/>
    </xf>
    <xf numFmtId="0" fontId="18" fillId="28" borderId="0" xfId="0" applyFont="1" applyFill="1" applyAlignment="1">
      <alignment vertical="center"/>
    </xf>
    <xf numFmtId="0" fontId="3" fillId="32" borderId="28" xfId="0" applyFont="1" applyFill="1" applyBorder="1" applyAlignment="1">
      <alignment horizontal="center" vertical="center" wrapText="1"/>
    </xf>
    <xf numFmtId="0" fontId="1" fillId="32" borderId="28" xfId="0" quotePrefix="1" applyFont="1" applyFill="1" applyBorder="1" applyAlignment="1">
      <alignment vertical="center" wrapText="1"/>
    </xf>
    <xf numFmtId="0" fontId="4" fillId="32" borderId="28" xfId="0" applyFont="1" applyFill="1" applyBorder="1" applyAlignment="1">
      <alignment vertical="center" wrapText="1"/>
    </xf>
    <xf numFmtId="0" fontId="1" fillId="32" borderId="28" xfId="0" applyFont="1" applyFill="1" applyBorder="1" applyAlignment="1">
      <alignment vertical="center" wrapText="1"/>
    </xf>
    <xf numFmtId="0" fontId="1" fillId="32" borderId="29" xfId="0" applyFont="1" applyFill="1" applyBorder="1" applyAlignment="1">
      <alignment vertical="center" wrapText="1"/>
    </xf>
    <xf numFmtId="0" fontId="3" fillId="32" borderId="79" xfId="0" applyFont="1" applyFill="1" applyBorder="1" applyAlignment="1">
      <alignment horizontal="center" vertical="center" wrapText="1"/>
    </xf>
    <xf numFmtId="0" fontId="3" fillId="32" borderId="80" xfId="0" applyFont="1" applyFill="1" applyBorder="1" applyAlignment="1">
      <alignment horizontal="center" vertical="center" wrapText="1"/>
    </xf>
    <xf numFmtId="0" fontId="3" fillId="32" borderId="81" xfId="0" applyFont="1" applyFill="1" applyBorder="1" applyAlignment="1">
      <alignment horizontal="center" vertical="center" wrapText="1"/>
    </xf>
    <xf numFmtId="0" fontId="3" fillId="32" borderId="82" xfId="0" applyFont="1" applyFill="1" applyBorder="1" applyAlignment="1">
      <alignment horizontal="center" vertical="center" wrapText="1"/>
    </xf>
    <xf numFmtId="0" fontId="3" fillId="32" borderId="0" xfId="0" applyFont="1" applyFill="1" applyAlignment="1">
      <alignment horizontal="center" vertical="center" wrapText="1"/>
    </xf>
    <xf numFmtId="0" fontId="0" fillId="32" borderId="0" xfId="0" applyFill="1"/>
    <xf numFmtId="0" fontId="1" fillId="2" borderId="77" xfId="0" applyFont="1" applyFill="1" applyBorder="1" applyAlignment="1">
      <alignment vertical="center" wrapText="1"/>
    </xf>
    <xf numFmtId="0" fontId="4" fillId="2" borderId="77" xfId="0" applyFont="1" applyFill="1" applyBorder="1" applyAlignment="1">
      <alignment vertical="center" wrapText="1"/>
    </xf>
    <xf numFmtId="0" fontId="1" fillId="29" borderId="77" xfId="0" applyFont="1" applyFill="1" applyBorder="1" applyAlignment="1">
      <alignment vertical="center" wrapText="1"/>
    </xf>
    <xf numFmtId="0" fontId="3" fillId="2" borderId="29" xfId="0" applyFont="1" applyFill="1" applyBorder="1" applyAlignment="1">
      <alignment horizontal="center" vertical="center" wrapText="1"/>
    </xf>
    <xf numFmtId="0" fontId="1" fillId="30" borderId="0" xfId="0" applyFont="1" applyFill="1" applyAlignment="1">
      <alignment vertical="center" wrapText="1"/>
    </xf>
    <xf numFmtId="0" fontId="1" fillId="30" borderId="83" xfId="0" applyFont="1" applyFill="1" applyBorder="1" applyAlignment="1">
      <alignment vertical="center"/>
    </xf>
    <xf numFmtId="0" fontId="48" fillId="30" borderId="84" xfId="1" applyFont="1" applyFill="1" applyBorder="1" applyAlignment="1">
      <alignment vertical="center" wrapText="1"/>
    </xf>
    <xf numFmtId="0" fontId="1" fillId="30" borderId="29" xfId="0" applyFont="1" applyFill="1" applyBorder="1" applyAlignment="1">
      <alignment vertical="center" wrapText="1"/>
    </xf>
    <xf numFmtId="0" fontId="1" fillId="16" borderId="0" xfId="0" applyFont="1" applyFill="1" applyAlignment="1">
      <alignment vertical="center"/>
    </xf>
    <xf numFmtId="0" fontId="3" fillId="16" borderId="28" xfId="0" applyFont="1" applyFill="1" applyBorder="1" applyAlignment="1">
      <alignment horizontal="center" vertical="center" wrapText="1"/>
    </xf>
    <xf numFmtId="0" fontId="3" fillId="16" borderId="80" xfId="0" applyFont="1" applyFill="1" applyBorder="1" applyAlignment="1">
      <alignment horizontal="center" vertical="center" wrapText="1"/>
    </xf>
    <xf numFmtId="0" fontId="3" fillId="16" borderId="81" xfId="0" applyFont="1" applyFill="1" applyBorder="1" applyAlignment="1">
      <alignment horizontal="center" vertical="center" wrapText="1"/>
    </xf>
    <xf numFmtId="0" fontId="3" fillId="16" borderId="82" xfId="0" applyFont="1" applyFill="1" applyBorder="1" applyAlignment="1">
      <alignment horizontal="center" vertical="center" wrapText="1"/>
    </xf>
    <xf numFmtId="0" fontId="1" fillId="16" borderId="0" xfId="0" applyFont="1" applyFill="1"/>
    <xf numFmtId="0" fontId="1" fillId="16" borderId="0" xfId="0" applyFont="1" applyFill="1" applyAlignment="1">
      <alignment vertical="center" wrapText="1"/>
    </xf>
    <xf numFmtId="0" fontId="1" fillId="2" borderId="0" xfId="0" applyFont="1" applyFill="1" applyAlignment="1">
      <alignment vertical="center" wrapText="1"/>
    </xf>
    <xf numFmtId="0" fontId="3" fillId="0" borderId="28" xfId="0" applyFont="1" applyBorder="1" applyAlignment="1">
      <alignment horizontal="center" vertical="center" wrapText="1"/>
    </xf>
    <xf numFmtId="0" fontId="3" fillId="0" borderId="80" xfId="0" applyFont="1" applyBorder="1" applyAlignment="1">
      <alignment horizontal="center" vertical="center" wrapText="1"/>
    </xf>
    <xf numFmtId="0" fontId="3" fillId="0" borderId="81" xfId="0" applyFont="1" applyBorder="1" applyAlignment="1">
      <alignment horizontal="center" vertical="center" wrapText="1"/>
    </xf>
    <xf numFmtId="0" fontId="3" fillId="0" borderId="82" xfId="0" applyFont="1" applyBorder="1" applyAlignment="1">
      <alignment horizontal="center" vertical="center" wrapText="1"/>
    </xf>
    <xf numFmtId="0" fontId="10" fillId="32" borderId="0" xfId="0" applyFont="1" applyFill="1" applyAlignment="1">
      <alignment horizontal="center" vertical="center"/>
    </xf>
    <xf numFmtId="0" fontId="18" fillId="32" borderId="0" xfId="0" applyFont="1" applyFill="1" applyAlignment="1">
      <alignment vertical="center"/>
    </xf>
    <xf numFmtId="0" fontId="3" fillId="32" borderId="29" xfId="0" applyFont="1" applyFill="1" applyBorder="1" applyAlignment="1">
      <alignment horizontal="center" vertical="center" wrapText="1"/>
    </xf>
    <xf numFmtId="0" fontId="1" fillId="32" borderId="0" xfId="0" applyFont="1" applyFill="1" applyAlignment="1">
      <alignment vertical="center"/>
    </xf>
    <xf numFmtId="0" fontId="1" fillId="32" borderId="0" xfId="0" applyFont="1" applyFill="1" applyAlignment="1">
      <alignment vertical="center" wrapText="1"/>
    </xf>
    <xf numFmtId="0" fontId="1" fillId="2" borderId="0" xfId="0" applyFont="1" applyFill="1" applyAlignment="1">
      <alignment wrapText="1"/>
    </xf>
    <xf numFmtId="0" fontId="3" fillId="29" borderId="79" xfId="0" applyFont="1" applyFill="1" applyBorder="1" applyAlignment="1">
      <alignment horizontal="center" vertical="center" wrapText="1"/>
    </xf>
    <xf numFmtId="0" fontId="3" fillId="29" borderId="80" xfId="0" applyFont="1" applyFill="1" applyBorder="1" applyAlignment="1">
      <alignment horizontal="center" vertical="center" wrapText="1"/>
    </xf>
    <xf numFmtId="0" fontId="3" fillId="29" borderId="81" xfId="0" applyFont="1" applyFill="1" applyBorder="1" applyAlignment="1">
      <alignment horizontal="center" vertical="center" wrapText="1"/>
    </xf>
    <xf numFmtId="0" fontId="3" fillId="29" borderId="82" xfId="0" applyFont="1" applyFill="1" applyBorder="1" applyAlignment="1">
      <alignment horizontal="center" vertical="center" wrapText="1"/>
    </xf>
    <xf numFmtId="0" fontId="3" fillId="29" borderId="0" xfId="0" applyFont="1" applyFill="1" applyAlignment="1">
      <alignment horizontal="center" vertical="center" wrapText="1"/>
    </xf>
    <xf numFmtId="0" fontId="4" fillId="2" borderId="0" xfId="0" applyFont="1" applyFill="1" applyAlignment="1">
      <alignment vertical="center" wrapText="1"/>
    </xf>
    <xf numFmtId="0" fontId="49" fillId="3" borderId="0" xfId="0" applyFont="1" applyFill="1" applyAlignment="1">
      <alignment vertical="center"/>
    </xf>
    <xf numFmtId="0" fontId="1" fillId="2" borderId="85" xfId="0" applyFont="1" applyFill="1" applyBorder="1" applyAlignment="1">
      <alignment vertical="center" wrapText="1"/>
    </xf>
    <xf numFmtId="0" fontId="3" fillId="2" borderId="86" xfId="0" applyFont="1" applyFill="1" applyBorder="1" applyAlignment="1">
      <alignment horizontal="center" vertical="center" wrapText="1"/>
    </xf>
    <xf numFmtId="0" fontId="1" fillId="3" borderId="0" xfId="0" applyFont="1" applyFill="1"/>
    <xf numFmtId="0" fontId="0" fillId="3" borderId="1" xfId="0" applyFill="1" applyBorder="1"/>
    <xf numFmtId="0" fontId="10" fillId="3" borderId="1" xfId="0" applyFont="1" applyFill="1" applyBorder="1" applyAlignment="1">
      <alignment horizontal="center"/>
    </xf>
    <xf numFmtId="0" fontId="10" fillId="3" borderId="0" xfId="0" applyFont="1" applyFill="1" applyAlignment="1">
      <alignment horizontal="center"/>
    </xf>
    <xf numFmtId="0" fontId="10" fillId="0" borderId="1" xfId="0" applyFont="1" applyBorder="1" applyAlignment="1">
      <alignment horizontal="center"/>
    </xf>
    <xf numFmtId="0" fontId="8" fillId="9" borderId="13" xfId="0" applyFont="1" applyFill="1" applyBorder="1" applyAlignment="1" applyProtection="1">
      <alignment horizontal="center" vertical="center" wrapText="1"/>
    </xf>
    <xf numFmtId="0" fontId="8" fillId="9" borderId="14" xfId="0" applyFont="1" applyFill="1" applyBorder="1" applyAlignment="1" applyProtection="1">
      <alignment horizontal="center" vertical="center" wrapText="1"/>
    </xf>
    <xf numFmtId="0" fontId="8" fillId="9" borderId="44" xfId="0" applyFont="1" applyFill="1" applyBorder="1" applyAlignment="1" applyProtection="1">
      <alignment horizontal="center" vertical="center"/>
    </xf>
    <xf numFmtId="0" fontId="8" fillId="9" borderId="45" xfId="0" applyFont="1" applyFill="1" applyBorder="1" applyAlignment="1" applyProtection="1">
      <alignment horizontal="center" vertical="center"/>
    </xf>
    <xf numFmtId="0" fontId="3" fillId="16" borderId="66" xfId="0" applyFont="1" applyFill="1" applyBorder="1" applyAlignment="1" applyProtection="1">
      <alignment horizontal="left" vertical="center"/>
    </xf>
    <xf numFmtId="0" fontId="3" fillId="16" borderId="5" xfId="0" applyFont="1" applyFill="1" applyBorder="1" applyAlignment="1" applyProtection="1">
      <alignment horizontal="left" vertical="center"/>
    </xf>
    <xf numFmtId="0" fontId="1" fillId="2" borderId="7" xfId="0" applyFont="1" applyFill="1" applyBorder="1" applyAlignment="1" applyProtection="1">
      <alignment horizontal="left" vertical="center" shrinkToFit="1"/>
      <protection locked="0"/>
    </xf>
    <xf numFmtId="0" fontId="1" fillId="2" borderId="8" xfId="0" applyFont="1" applyFill="1" applyBorder="1" applyAlignment="1" applyProtection="1">
      <alignment horizontal="left" vertical="center" shrinkToFit="1"/>
      <protection locked="0"/>
    </xf>
    <xf numFmtId="15" fontId="1" fillId="2" borderId="1" xfId="0" applyNumberFormat="1" applyFont="1" applyFill="1" applyBorder="1" applyAlignment="1" applyProtection="1">
      <alignment horizontal="center" vertical="center"/>
    </xf>
    <xf numFmtId="15" fontId="1" fillId="2" borderId="33" xfId="0" applyNumberFormat="1" applyFont="1" applyFill="1" applyBorder="1" applyAlignment="1" applyProtection="1">
      <alignment horizontal="center" vertical="center"/>
    </xf>
    <xf numFmtId="15" fontId="1" fillId="2" borderId="47" xfId="0" applyNumberFormat="1" applyFont="1" applyFill="1" applyBorder="1" applyAlignment="1" applyProtection="1">
      <alignment horizontal="center" vertical="center"/>
    </xf>
    <xf numFmtId="15" fontId="1" fillId="2" borderId="48" xfId="0" applyNumberFormat="1" applyFont="1" applyFill="1" applyBorder="1" applyAlignment="1" applyProtection="1">
      <alignment horizontal="center" vertical="center"/>
    </xf>
    <xf numFmtId="0" fontId="3" fillId="16" borderId="67" xfId="0" applyFont="1" applyFill="1" applyBorder="1" applyAlignment="1" applyProtection="1">
      <alignment horizontal="left" vertical="center"/>
    </xf>
    <xf numFmtId="0" fontId="3" fillId="16" borderId="68" xfId="0" applyFont="1" applyFill="1" applyBorder="1" applyAlignment="1" applyProtection="1">
      <alignment horizontal="left" vertical="center"/>
    </xf>
    <xf numFmtId="15" fontId="1" fillId="2" borderId="69" xfId="0" applyNumberFormat="1" applyFont="1" applyFill="1" applyBorder="1" applyAlignment="1" applyProtection="1">
      <alignment horizontal="left" vertical="center"/>
      <protection locked="0"/>
    </xf>
    <xf numFmtId="15" fontId="1" fillId="2" borderId="70" xfId="0" applyNumberFormat="1" applyFont="1" applyFill="1" applyBorder="1" applyAlignment="1" applyProtection="1">
      <alignment horizontal="left" vertical="center"/>
      <protection locked="0"/>
    </xf>
    <xf numFmtId="0" fontId="8" fillId="9" borderId="43" xfId="0" applyFont="1" applyFill="1" applyBorder="1" applyAlignment="1" applyProtection="1">
      <alignment horizontal="center" vertical="center" wrapText="1"/>
    </xf>
    <xf numFmtId="0" fontId="8" fillId="9" borderId="44" xfId="0" applyFont="1" applyFill="1" applyBorder="1" applyAlignment="1" applyProtection="1">
      <alignment horizontal="center" vertical="center" wrapText="1"/>
    </xf>
    <xf numFmtId="0" fontId="8" fillId="9" borderId="45" xfId="0" applyFont="1" applyFill="1" applyBorder="1" applyAlignment="1" applyProtection="1">
      <alignment horizontal="center" vertical="center" wrapText="1"/>
    </xf>
    <xf numFmtId="0" fontId="3" fillId="16" borderId="1" xfId="0" applyFont="1" applyFill="1" applyBorder="1" applyAlignment="1" applyProtection="1">
      <alignment horizontal="left" vertical="center" wrapText="1"/>
    </xf>
    <xf numFmtId="0" fontId="3" fillId="16" borderId="47" xfId="0" applyFont="1" applyFill="1" applyBorder="1" applyAlignment="1" applyProtection="1">
      <alignment horizontal="left" vertical="center" wrapText="1"/>
    </xf>
    <xf numFmtId="49" fontId="3" fillId="2" borderId="32" xfId="0" applyNumberFormat="1" applyFont="1" applyFill="1" applyBorder="1" applyAlignment="1" applyProtection="1">
      <alignment horizontal="center" vertical="center" wrapText="1"/>
      <protection locked="0"/>
    </xf>
    <xf numFmtId="49" fontId="3" fillId="2" borderId="1" xfId="0" applyNumberFormat="1" applyFont="1" applyFill="1" applyBorder="1" applyAlignment="1" applyProtection="1">
      <alignment horizontal="center" vertical="center" wrapText="1"/>
      <protection locked="0"/>
    </xf>
    <xf numFmtId="49" fontId="3" fillId="2" borderId="46" xfId="0" applyNumberFormat="1" applyFont="1" applyFill="1" applyBorder="1" applyAlignment="1" applyProtection="1">
      <alignment horizontal="center" vertical="center" wrapText="1"/>
      <protection locked="0"/>
    </xf>
    <xf numFmtId="49" fontId="3" fillId="2" borderId="47" xfId="0" applyNumberFormat="1" applyFont="1" applyFill="1" applyBorder="1" applyAlignment="1" applyProtection="1">
      <alignment horizontal="center" vertical="center" wrapText="1"/>
      <protection locked="0"/>
    </xf>
    <xf numFmtId="166" fontId="3" fillId="2" borderId="1" xfId="0" applyNumberFormat="1" applyFont="1" applyFill="1" applyBorder="1" applyAlignment="1" applyProtection="1">
      <alignment horizontal="center" vertical="center" wrapText="1"/>
      <protection locked="0"/>
    </xf>
    <xf numFmtId="166" fontId="3" fillId="2" borderId="47" xfId="0" applyNumberFormat="1"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47" xfId="0" applyFont="1" applyFill="1" applyBorder="1" applyAlignment="1" applyProtection="1">
      <alignment horizontal="center" vertical="center" wrapText="1"/>
      <protection locked="0"/>
    </xf>
    <xf numFmtId="0" fontId="20" fillId="16" borderId="1" xfId="0" applyFont="1" applyFill="1" applyBorder="1" applyAlignment="1" applyProtection="1">
      <alignment horizontal="center" vertical="center" wrapText="1"/>
    </xf>
    <xf numFmtId="0" fontId="20" fillId="16" borderId="47" xfId="0" applyFont="1" applyFill="1" applyBorder="1" applyAlignment="1" applyProtection="1">
      <alignment horizontal="center" vertical="center" wrapText="1"/>
    </xf>
    <xf numFmtId="0" fontId="17" fillId="16" borderId="56" xfId="0" applyFont="1" applyFill="1" applyBorder="1" applyAlignment="1" applyProtection="1">
      <alignment horizontal="center" vertical="center" wrapText="1"/>
    </xf>
    <xf numFmtId="0" fontId="17" fillId="16" borderId="37" xfId="0" applyFont="1" applyFill="1" applyBorder="1" applyAlignment="1" applyProtection="1">
      <alignment horizontal="center" vertical="center" wrapText="1"/>
    </xf>
    <xf numFmtId="0" fontId="4" fillId="2" borderId="37" xfId="0" applyFont="1" applyFill="1" applyBorder="1" applyAlignment="1" applyProtection="1">
      <alignment horizontal="center" vertical="center" wrapText="1"/>
      <protection locked="0"/>
    </xf>
    <xf numFmtId="0" fontId="4" fillId="2" borderId="37" xfId="0" applyFont="1" applyFill="1" applyBorder="1" applyAlignment="1" applyProtection="1">
      <alignment horizontal="left" vertical="top" wrapText="1"/>
      <protection locked="0"/>
    </xf>
    <xf numFmtId="0" fontId="4" fillId="2" borderId="57" xfId="0" applyFont="1" applyFill="1" applyBorder="1" applyAlignment="1" applyProtection="1">
      <alignment horizontal="left" vertical="top" wrapText="1"/>
      <protection locked="0"/>
    </xf>
    <xf numFmtId="0" fontId="8" fillId="9" borderId="50" xfId="0" applyFont="1" applyFill="1" applyBorder="1" applyAlignment="1" applyProtection="1">
      <alignment horizontal="center" vertical="center"/>
    </xf>
    <xf numFmtId="0" fontId="8" fillId="9" borderId="14" xfId="0" applyFont="1" applyFill="1" applyBorder="1" applyAlignment="1" applyProtection="1">
      <alignment horizontal="center" vertical="center"/>
    </xf>
    <xf numFmtId="0" fontId="8" fillId="9" borderId="12" xfId="0" applyFont="1" applyFill="1" applyBorder="1" applyAlignment="1" applyProtection="1">
      <alignment horizontal="center" vertical="center"/>
    </xf>
    <xf numFmtId="0" fontId="1" fillId="2" borderId="46" xfId="0" applyFont="1" applyFill="1" applyBorder="1" applyAlignment="1" applyProtection="1">
      <alignment horizontal="left" vertical="top" wrapText="1"/>
      <protection locked="0"/>
    </xf>
    <xf numFmtId="0" fontId="1" fillId="2" borderId="47" xfId="0" applyFont="1" applyFill="1" applyBorder="1" applyAlignment="1" applyProtection="1">
      <alignment horizontal="left" vertical="top" wrapText="1"/>
      <protection locked="0"/>
    </xf>
    <xf numFmtId="0" fontId="1" fillId="2" borderId="48" xfId="0" applyFont="1" applyFill="1" applyBorder="1" applyAlignment="1" applyProtection="1">
      <alignment horizontal="left" vertical="top" wrapText="1"/>
      <protection locked="0"/>
    </xf>
    <xf numFmtId="0" fontId="23" fillId="2" borderId="0" xfId="0" applyFont="1" applyFill="1" applyAlignment="1" applyProtection="1">
      <alignment horizontal="justify" vertical="top" wrapText="1"/>
    </xf>
    <xf numFmtId="0" fontId="8" fillId="9" borderId="13" xfId="0" applyFont="1" applyFill="1" applyBorder="1" applyAlignment="1" applyProtection="1">
      <alignment horizontal="left" vertical="center" wrapText="1"/>
    </xf>
    <xf numFmtId="0" fontId="8" fillId="9" borderId="14" xfId="0" applyFont="1" applyFill="1" applyBorder="1" applyAlignment="1" applyProtection="1">
      <alignment horizontal="left" vertical="center" wrapText="1"/>
    </xf>
    <xf numFmtId="0" fontId="8" fillId="9" borderId="12" xfId="0" applyFont="1" applyFill="1" applyBorder="1" applyAlignment="1" applyProtection="1">
      <alignment horizontal="left" vertical="center" wrapText="1"/>
    </xf>
    <xf numFmtId="0" fontId="1" fillId="2" borderId="34" xfId="0" applyFont="1" applyFill="1" applyBorder="1" applyAlignment="1" applyProtection="1">
      <alignment horizontal="left" vertical="top" wrapText="1"/>
      <protection locked="0"/>
    </xf>
    <xf numFmtId="0" fontId="1" fillId="2" borderId="35" xfId="0" applyFont="1" applyFill="1" applyBorder="1" applyAlignment="1" applyProtection="1">
      <alignment horizontal="left" vertical="top"/>
      <protection locked="0"/>
    </xf>
    <xf numFmtId="0" fontId="1" fillId="2" borderId="36" xfId="0" applyFont="1" applyFill="1" applyBorder="1" applyAlignment="1" applyProtection="1">
      <alignment horizontal="left" vertical="top"/>
      <protection locked="0"/>
    </xf>
    <xf numFmtId="0" fontId="3" fillId="16" borderId="38" xfId="0" applyFont="1" applyFill="1" applyBorder="1" applyAlignment="1" applyProtection="1">
      <alignment horizontal="left" vertical="center" wrapText="1"/>
    </xf>
    <xf numFmtId="0" fontId="3" fillId="16" borderId="55" xfId="0" applyFont="1" applyFill="1" applyBorder="1" applyAlignment="1" applyProtection="1">
      <alignment horizontal="left" vertical="center" wrapText="1"/>
    </xf>
    <xf numFmtId="0" fontId="17" fillId="16" borderId="38" xfId="0" applyFont="1" applyFill="1" applyBorder="1" applyAlignment="1" applyProtection="1">
      <alignment horizontal="center" vertical="center" wrapText="1"/>
    </xf>
    <xf numFmtId="0" fontId="8" fillId="9" borderId="51" xfId="0" applyFont="1" applyFill="1" applyBorder="1" applyAlignment="1" applyProtection="1">
      <alignment horizontal="left" vertical="center" wrapText="1"/>
    </xf>
    <xf numFmtId="0" fontId="8" fillId="9" borderId="52" xfId="0" applyFont="1" applyFill="1" applyBorder="1" applyAlignment="1" applyProtection="1">
      <alignment horizontal="left" vertical="center" wrapText="1"/>
    </xf>
    <xf numFmtId="0" fontId="8" fillId="9" borderId="53" xfId="0" applyFont="1" applyFill="1" applyBorder="1" applyAlignment="1" applyProtection="1">
      <alignment horizontal="left" vertical="center" wrapText="1"/>
    </xf>
    <xf numFmtId="0" fontId="19" fillId="4" borderId="40" xfId="0" applyFont="1" applyFill="1" applyBorder="1" applyAlignment="1" applyProtection="1">
      <alignment horizontal="left" vertical="center" wrapText="1"/>
    </xf>
    <xf numFmtId="0" fontId="19" fillId="4" borderId="41" xfId="0" applyFont="1" applyFill="1" applyBorder="1" applyAlignment="1" applyProtection="1">
      <alignment horizontal="left" vertical="center" wrapText="1"/>
    </xf>
    <xf numFmtId="0" fontId="19" fillId="4" borderId="42" xfId="0" applyFont="1" applyFill="1" applyBorder="1" applyAlignment="1" applyProtection="1">
      <alignment horizontal="left" vertical="center" wrapText="1"/>
    </xf>
    <xf numFmtId="0" fontId="4" fillId="2" borderId="39" xfId="0" applyFont="1" applyFill="1" applyBorder="1" applyAlignment="1" applyProtection="1">
      <alignment horizontal="center" vertical="center" wrapText="1"/>
      <protection locked="0"/>
    </xf>
    <xf numFmtId="0" fontId="4" fillId="2" borderId="39" xfId="0" applyFont="1" applyFill="1" applyBorder="1" applyAlignment="1" applyProtection="1">
      <alignment horizontal="left" vertical="top" wrapText="1"/>
      <protection locked="0"/>
    </xf>
    <xf numFmtId="0" fontId="4" fillId="2" borderId="59" xfId="0" applyFont="1" applyFill="1" applyBorder="1" applyAlignment="1" applyProtection="1">
      <alignment horizontal="left" vertical="top" wrapText="1"/>
      <protection locked="0"/>
    </xf>
    <xf numFmtId="0" fontId="17" fillId="16" borderId="58" xfId="0" applyFont="1" applyFill="1" applyBorder="1" applyAlignment="1" applyProtection="1">
      <alignment horizontal="center" vertical="center" wrapText="1"/>
    </xf>
    <xf numFmtId="0" fontId="17" fillId="16" borderId="39" xfId="0" applyFont="1" applyFill="1" applyBorder="1" applyAlignment="1" applyProtection="1">
      <alignment horizontal="center" vertical="center" wrapText="1"/>
    </xf>
    <xf numFmtId="0" fontId="8" fillId="9" borderId="54" xfId="0" applyFont="1" applyFill="1" applyBorder="1" applyAlignment="1" applyProtection="1">
      <alignment horizontal="center" vertical="center" wrapText="1"/>
    </xf>
    <xf numFmtId="0" fontId="8" fillId="9" borderId="38" xfId="0" applyFont="1" applyFill="1" applyBorder="1" applyAlignment="1" applyProtection="1">
      <alignment horizontal="center" vertical="center" wrapText="1"/>
    </xf>
    <xf numFmtId="0" fontId="1" fillId="2" borderId="60" xfId="0" applyFont="1" applyFill="1" applyBorder="1" applyAlignment="1" applyProtection="1">
      <alignment horizontal="left" vertical="top" wrapText="1"/>
      <protection locked="0"/>
    </xf>
    <xf numFmtId="0" fontId="1" fillId="2" borderId="61" xfId="0" applyFont="1" applyFill="1" applyBorder="1" applyAlignment="1" applyProtection="1">
      <alignment horizontal="left" vertical="top" wrapText="1"/>
      <protection locked="0"/>
    </xf>
    <xf numFmtId="0" fontId="1" fillId="2" borderId="62" xfId="0" applyFont="1" applyFill="1" applyBorder="1" applyAlignment="1" applyProtection="1">
      <alignment horizontal="left" vertical="top" wrapText="1"/>
      <protection locked="0"/>
    </xf>
    <xf numFmtId="0" fontId="1" fillId="2" borderId="10" xfId="0" applyFont="1" applyFill="1" applyBorder="1" applyAlignment="1" applyProtection="1">
      <alignment horizontal="left" vertical="top" wrapText="1"/>
      <protection locked="0"/>
    </xf>
    <xf numFmtId="0" fontId="1" fillId="2" borderId="0" xfId="0" applyFont="1" applyFill="1" applyBorder="1" applyAlignment="1" applyProtection="1">
      <alignment horizontal="left" vertical="top" wrapText="1"/>
      <protection locked="0"/>
    </xf>
    <xf numFmtId="0" fontId="1" fillId="2" borderId="11" xfId="0" applyFont="1" applyFill="1" applyBorder="1" applyAlignment="1" applyProtection="1">
      <alignment horizontal="left" vertical="top" wrapText="1"/>
      <protection locked="0"/>
    </xf>
    <xf numFmtId="0" fontId="1" fillId="2" borderId="63" xfId="0" applyFont="1" applyFill="1" applyBorder="1" applyAlignment="1" applyProtection="1">
      <alignment horizontal="left" vertical="top" wrapText="1"/>
      <protection locked="0"/>
    </xf>
    <xf numFmtId="0" fontId="1" fillId="2" borderId="64" xfId="0" applyFont="1" applyFill="1" applyBorder="1" applyAlignment="1" applyProtection="1">
      <alignment horizontal="left" vertical="top" wrapText="1"/>
      <protection locked="0"/>
    </xf>
    <xf numFmtId="0" fontId="1" fillId="2" borderId="65" xfId="0" applyFont="1" applyFill="1" applyBorder="1" applyAlignment="1" applyProtection="1">
      <alignment horizontal="left" vertical="top" wrapText="1"/>
      <protection locked="0"/>
    </xf>
    <xf numFmtId="0" fontId="22" fillId="2" borderId="0" xfId="0" applyFont="1" applyFill="1" applyAlignment="1" applyProtection="1">
      <alignment horizontal="center" vertical="center"/>
    </xf>
    <xf numFmtId="0" fontId="23" fillId="2" borderId="0" xfId="0" applyFont="1" applyFill="1" applyAlignment="1" applyProtection="1">
      <alignment horizontal="justify" vertical="top"/>
    </xf>
    <xf numFmtId="0" fontId="1" fillId="2" borderId="1" xfId="0" applyFont="1" applyFill="1" applyBorder="1" applyAlignment="1" applyProtection="1">
      <alignment horizontal="left" vertical="center" wrapText="1"/>
      <protection locked="0"/>
    </xf>
    <xf numFmtId="0" fontId="1" fillId="2" borderId="33" xfId="0" applyFont="1" applyFill="1" applyBorder="1" applyAlignment="1" applyProtection="1">
      <alignment horizontal="left" vertical="center" wrapText="1"/>
      <protection locked="0"/>
    </xf>
    <xf numFmtId="0" fontId="1" fillId="2" borderId="47" xfId="0" applyFont="1" applyFill="1" applyBorder="1" applyAlignment="1" applyProtection="1">
      <alignment horizontal="left" vertical="center" wrapText="1"/>
      <protection locked="0"/>
    </xf>
    <xf numFmtId="0" fontId="1" fillId="2" borderId="48" xfId="0" applyFont="1" applyFill="1" applyBorder="1" applyAlignment="1" applyProtection="1">
      <alignment horizontal="left" vertical="center" wrapText="1"/>
      <protection locked="0"/>
    </xf>
    <xf numFmtId="0" fontId="8" fillId="9" borderId="13" xfId="0" applyFont="1" applyFill="1" applyBorder="1" applyAlignment="1" applyProtection="1">
      <alignment horizontal="center" vertical="center"/>
    </xf>
    <xf numFmtId="0" fontId="8" fillId="9" borderId="49" xfId="0" applyFont="1" applyFill="1" applyBorder="1" applyAlignment="1" applyProtection="1">
      <alignment horizontal="center" vertical="center"/>
    </xf>
    <xf numFmtId="0" fontId="8" fillId="9" borderId="46" xfId="0" applyFont="1" applyFill="1" applyBorder="1" applyAlignment="1" applyProtection="1">
      <alignment horizontal="center" vertical="center" wrapText="1"/>
    </xf>
    <xf numFmtId="0" fontId="8" fillId="9" borderId="47" xfId="0" applyFont="1" applyFill="1" applyBorder="1" applyAlignment="1" applyProtection="1">
      <alignment horizontal="center" vertical="center" wrapText="1"/>
    </xf>
    <xf numFmtId="0" fontId="3" fillId="16" borderId="44" xfId="0" applyFont="1" applyFill="1" applyBorder="1" applyAlignment="1" applyProtection="1">
      <alignment horizontal="center" vertical="center" wrapText="1"/>
    </xf>
    <xf numFmtId="0" fontId="3" fillId="2" borderId="47" xfId="0" applyFont="1" applyFill="1" applyBorder="1" applyAlignment="1" applyProtection="1">
      <alignment horizontal="left" vertical="center" wrapText="1"/>
      <protection locked="0"/>
    </xf>
    <xf numFmtId="0" fontId="3" fillId="16" borderId="45" xfId="0" applyFont="1" applyFill="1" applyBorder="1" applyAlignment="1" applyProtection="1">
      <alignment horizontal="center" vertical="center" wrapText="1"/>
    </xf>
    <xf numFmtId="0" fontId="22" fillId="2" borderId="0" xfId="0" applyFont="1" applyFill="1" applyAlignment="1" applyProtection="1">
      <alignment horizontal="left" vertical="center"/>
    </xf>
    <xf numFmtId="0" fontId="21" fillId="4" borderId="40" xfId="0" applyFont="1" applyFill="1" applyBorder="1" applyAlignment="1" applyProtection="1">
      <alignment horizontal="left" vertical="center" wrapText="1"/>
    </xf>
    <xf numFmtId="0" fontId="21" fillId="4" borderId="41" xfId="0" applyFont="1" applyFill="1" applyBorder="1" applyAlignment="1" applyProtection="1">
      <alignment horizontal="left" vertical="center" wrapText="1"/>
    </xf>
    <xf numFmtId="0" fontId="21" fillId="4" borderId="42" xfId="0" applyFont="1" applyFill="1" applyBorder="1" applyAlignment="1" applyProtection="1">
      <alignment horizontal="left" vertical="center" wrapText="1"/>
    </xf>
    <xf numFmtId="0" fontId="1" fillId="2" borderId="3" xfId="0" applyFont="1" applyFill="1" applyBorder="1" applyAlignment="1" applyProtection="1">
      <alignment horizontal="left" vertical="center" wrapText="1"/>
      <protection locked="0"/>
    </xf>
    <xf numFmtId="0" fontId="1" fillId="2" borderId="2" xfId="0" applyFont="1" applyFill="1" applyBorder="1" applyAlignment="1" applyProtection="1">
      <alignment horizontal="left" vertical="center" wrapText="1"/>
      <protection locked="0"/>
    </xf>
    <xf numFmtId="0" fontId="1" fillId="2" borderId="4" xfId="0" applyFont="1" applyFill="1" applyBorder="1" applyAlignment="1" applyProtection="1">
      <alignment horizontal="left" vertical="center" wrapText="1"/>
      <protection locked="0"/>
    </xf>
    <xf numFmtId="0" fontId="34" fillId="26" borderId="0" xfId="0" applyFont="1" applyFill="1" applyAlignment="1">
      <alignment horizontal="left" vertical="center"/>
    </xf>
    <xf numFmtId="0" fontId="36" fillId="3" borderId="0" xfId="0" applyFont="1" applyFill="1" applyAlignment="1">
      <alignment horizontal="left" vertical="center"/>
    </xf>
    <xf numFmtId="0" fontId="9" fillId="6" borderId="0" xfId="0" applyFont="1" applyFill="1" applyAlignment="1">
      <alignment horizontal="left" vertical="center" wrapText="1"/>
    </xf>
    <xf numFmtId="49" fontId="11" fillId="2" borderId="0" xfId="0" applyNumberFormat="1" applyFont="1" applyFill="1" applyAlignment="1">
      <alignment horizontal="left" vertical="center" wrapText="1"/>
    </xf>
    <xf numFmtId="49" fontId="8" fillId="9" borderId="15" xfId="0" applyNumberFormat="1" applyFont="1" applyFill="1" applyBorder="1" applyAlignment="1">
      <alignment horizontal="center" vertical="center"/>
    </xf>
    <xf numFmtId="49" fontId="8" fillId="9" borderId="0" xfId="0" applyNumberFormat="1" applyFont="1" applyFill="1" applyAlignment="1">
      <alignment horizontal="center" vertical="center"/>
    </xf>
    <xf numFmtId="0" fontId="16" fillId="4" borderId="26" xfId="0" applyFont="1" applyFill="1" applyBorder="1" applyAlignment="1">
      <alignment horizontal="right" vertical="center" wrapText="1"/>
    </xf>
    <xf numFmtId="0" fontId="16" fillId="4" borderId="27" xfId="0" applyFont="1" applyFill="1" applyBorder="1" applyAlignment="1">
      <alignment horizontal="right" vertical="center" wrapText="1"/>
    </xf>
    <xf numFmtId="0" fontId="2" fillId="32" borderId="74" xfId="0" applyFont="1" applyFill="1" applyBorder="1" applyAlignment="1">
      <alignment vertical="center"/>
    </xf>
    <xf numFmtId="0" fontId="1" fillId="32" borderId="28" xfId="0" applyFont="1" applyFill="1" applyBorder="1" applyAlignment="1">
      <alignment horizontal="center" vertical="center" wrapText="1"/>
    </xf>
    <xf numFmtId="0" fontId="2" fillId="0" borderId="74" xfId="0" applyFont="1" applyFill="1" applyBorder="1" applyAlignment="1">
      <alignment vertical="center" wrapText="1"/>
    </xf>
    <xf numFmtId="0" fontId="45" fillId="25" borderId="0" xfId="0" applyFont="1" applyFill="1" applyBorder="1" applyAlignment="1">
      <alignment horizontal="center" vertical="center" wrapText="1"/>
    </xf>
    <xf numFmtId="164" fontId="8" fillId="4" borderId="79" xfId="0" applyNumberFormat="1" applyFont="1" applyFill="1" applyBorder="1" applyAlignment="1">
      <alignment horizontal="left" vertical="center" wrapText="1"/>
    </xf>
    <xf numFmtId="164" fontId="13" fillId="4" borderId="87" xfId="0" applyNumberFormat="1" applyFont="1" applyFill="1" applyBorder="1" applyAlignment="1">
      <alignment horizontal="left" vertical="center" wrapText="1"/>
    </xf>
    <xf numFmtId="164" fontId="8" fillId="4" borderId="88" xfId="0" applyNumberFormat="1" applyFont="1" applyFill="1" applyBorder="1" applyAlignment="1">
      <alignment horizontal="left" vertical="center" wrapText="1"/>
    </xf>
    <xf numFmtId="0" fontId="3" fillId="2" borderId="89" xfId="0" applyFont="1" applyFill="1" applyBorder="1" applyAlignment="1">
      <alignment horizontal="center" vertical="center" wrapText="1"/>
    </xf>
    <xf numFmtId="0" fontId="3" fillId="2" borderId="90" xfId="0" applyFont="1" applyFill="1" applyBorder="1" applyAlignment="1">
      <alignment horizontal="center" vertical="center" wrapText="1"/>
    </xf>
    <xf numFmtId="0" fontId="3" fillId="2" borderId="91"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32" borderId="91" xfId="0" applyFont="1" applyFill="1" applyBorder="1" applyAlignment="1">
      <alignment horizontal="center" vertical="center" wrapText="1"/>
    </xf>
    <xf numFmtId="0" fontId="3" fillId="32" borderId="0" xfId="0" applyFont="1" applyFill="1" applyBorder="1" applyAlignment="1">
      <alignment horizontal="center" vertical="center" wrapText="1"/>
    </xf>
    <xf numFmtId="0" fontId="3" fillId="32" borderId="89" xfId="0" applyFont="1" applyFill="1" applyBorder="1" applyAlignment="1">
      <alignment horizontal="center" vertical="center" wrapText="1"/>
    </xf>
    <xf numFmtId="0" fontId="3" fillId="32" borderId="90" xfId="0" applyFont="1" applyFill="1" applyBorder="1" applyAlignment="1">
      <alignment horizontal="center" vertical="center" wrapText="1"/>
    </xf>
    <xf numFmtId="0" fontId="3" fillId="16" borderId="91" xfId="0" applyFont="1" applyFill="1" applyBorder="1" applyAlignment="1">
      <alignment horizontal="center" vertical="center" wrapText="1"/>
    </xf>
    <xf numFmtId="0" fontId="3" fillId="16" borderId="0" xfId="0" applyFont="1" applyFill="1" applyBorder="1" applyAlignment="1">
      <alignment horizontal="center" vertical="center" wrapText="1"/>
    </xf>
    <xf numFmtId="0" fontId="3" fillId="16" borderId="89" xfId="0" applyFont="1" applyFill="1" applyBorder="1" applyAlignment="1">
      <alignment horizontal="center" vertical="center" wrapText="1"/>
    </xf>
    <xf numFmtId="0" fontId="3" fillId="16" borderId="90" xfId="0" applyFont="1" applyFill="1" applyBorder="1" applyAlignment="1">
      <alignment horizontal="center" vertical="center" wrapText="1"/>
    </xf>
    <xf numFmtId="0" fontId="41" fillId="2" borderId="0" xfId="1" applyFill="1" applyAlignment="1">
      <alignment wrapText="1"/>
    </xf>
    <xf numFmtId="0" fontId="41" fillId="2" borderId="0" xfId="1" applyFill="1" applyAlignment="1">
      <alignment vertical="center" wrapText="1"/>
    </xf>
    <xf numFmtId="0" fontId="3" fillId="0" borderId="9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89" xfId="0" applyFont="1" applyBorder="1" applyAlignment="1">
      <alignment horizontal="center" vertical="center" wrapText="1"/>
    </xf>
    <xf numFmtId="0" fontId="3" fillId="0" borderId="90" xfId="0" applyFont="1" applyBorder="1" applyAlignment="1">
      <alignment horizontal="center" vertical="center" wrapText="1"/>
    </xf>
    <xf numFmtId="0" fontId="41" fillId="16" borderId="0" xfId="1" applyFill="1" applyAlignment="1">
      <alignment vertical="center" wrapText="1"/>
    </xf>
    <xf numFmtId="0" fontId="43" fillId="32" borderId="0" xfId="0" applyFont="1" applyFill="1" applyAlignment="1">
      <alignment horizontal="center" vertical="center"/>
    </xf>
    <xf numFmtId="0" fontId="47" fillId="32" borderId="0" xfId="0" applyFont="1" applyFill="1" applyAlignment="1">
      <alignment vertical="center"/>
    </xf>
  </cellXfs>
  <cellStyles count="2">
    <cellStyle name="Hipervínculo" xfId="1" builtinId="8"/>
    <cellStyle name="Normal" xfId="0" builtinId="0"/>
  </cellStyles>
  <dxfs count="100">
    <dxf>
      <fill>
        <patternFill>
          <bgColor theme="4" tint="0.59996337778862885"/>
        </patternFill>
      </fill>
    </dxf>
    <dxf>
      <font>
        <color theme="1"/>
      </font>
      <fill>
        <patternFill patternType="none">
          <bgColor auto="1"/>
        </patternFill>
      </fill>
    </dxf>
    <dxf>
      <fill>
        <patternFill>
          <bgColor rgb="FF66FF66"/>
        </patternFill>
      </fill>
    </dxf>
    <dxf>
      <font>
        <color theme="0"/>
      </font>
      <fill>
        <patternFill>
          <bgColor rgb="FFFF0000"/>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ill>
        <patternFill>
          <bgColor rgb="FF66FF66"/>
        </patternFill>
      </fill>
    </dxf>
    <dxf>
      <font>
        <color theme="0"/>
      </font>
      <fill>
        <patternFill>
          <bgColor rgb="FFFF0000"/>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rgb="FF66FF66"/>
        </patternFill>
      </fill>
    </dxf>
    <dxf>
      <font>
        <color theme="0"/>
      </font>
      <fill>
        <patternFill>
          <bgColor rgb="FFFF0000"/>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s>
  <tableStyles count="0" defaultTableStyle="TableStyleMedium2" defaultPivotStyle="PivotStyleLight16"/>
  <colors>
    <mruColors>
      <color rgb="FF0000CC"/>
      <color rgb="FF005790"/>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1</xdr:row>
      <xdr:rowOff>18690</xdr:rowOff>
    </xdr:from>
    <xdr:to>
      <xdr:col>26</xdr:col>
      <xdr:colOff>104775</xdr:colOff>
      <xdr:row>7</xdr:row>
      <xdr:rowOff>47626</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76250" y="63140"/>
          <a:ext cx="6715125" cy="981436"/>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GESTIÓN DE CALIDAD</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INFORME</a:t>
            </a:r>
            <a:r>
              <a:rPr lang="es-CO" sz="1000" b="1" baseline="0">
                <a:latin typeface="Arial" panose="020B0604020202020204" pitchFamily="34" charset="0"/>
                <a:cs typeface="Arial" panose="020B0604020202020204" pitchFamily="34" charset="0"/>
              </a:rPr>
              <a:t> DE AUDITORÍA INTERNA</a:t>
            </a:r>
            <a:endParaRPr lang="es-CO" sz="10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Código: FO-GC-021</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Versión: 07</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Septiembre</a:t>
            </a:r>
            <a:r>
              <a:rPr lang="es-CO" sz="1000" b="1" baseline="0">
                <a:latin typeface="Arial" panose="020B0604020202020204" pitchFamily="34" charset="0"/>
                <a:cs typeface="Arial" panose="020B0604020202020204" pitchFamily="34" charset="0"/>
              </a:rPr>
              <a:t> 2024</a:t>
            </a:r>
            <a:endParaRPr lang="es-CO" sz="1000" b="1">
              <a:latin typeface="Arial" panose="020B0604020202020204" pitchFamily="34" charset="0"/>
              <a:cs typeface="Arial" panose="020B0604020202020204" pitchFamily="34" charset="0"/>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ORD.CALIDAD/OneDrive%20-%20Fundaci&#243;n%20Universitaria%20de%20Popay&#225;n/SGC-FUP/5.%20Evaluaci&#243;n%20del%20Desempe&#241;o/5.4.%20Auditor&#237;a%20Interna/Ciclo%202025/Programa/FO-GC-012%20Programa%20Auditorias%20Internas%20Cambio%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C-012"/>
      <sheetName val="Seguimiento AIC x Fecha"/>
      <sheetName val="Programación x Auditor"/>
      <sheetName val="Seguimiento AIC x Proceso"/>
      <sheetName val="Procesos Vs. Equipos AIC"/>
      <sheetName val="Eq. Auditor"/>
      <sheetName val="Listas Desplegables"/>
    </sheetNames>
    <sheetDataSet>
      <sheetData sheetId="0"/>
      <sheetData sheetId="1"/>
      <sheetData sheetId="2">
        <row r="2">
          <cell r="D2" t="str">
            <v>Principal / Asistente</v>
          </cell>
        </row>
        <row r="3">
          <cell r="C3" t="str">
            <v>Auditor Convocado</v>
          </cell>
          <cell r="D3" t="str">
            <v>Prin</v>
          </cell>
          <cell r="E3" t="str">
            <v>Asis</v>
          </cell>
        </row>
        <row r="4">
          <cell r="C4" t="str">
            <v>*Aida Marcela Correa Benavides</v>
          </cell>
          <cell r="D4">
            <v>2</v>
          </cell>
          <cell r="E4">
            <v>1</v>
          </cell>
        </row>
        <row r="5">
          <cell r="C5" t="str">
            <v>Ana Adela Baos</v>
          </cell>
          <cell r="D5">
            <v>0</v>
          </cell>
          <cell r="E5">
            <v>3</v>
          </cell>
        </row>
        <row r="6">
          <cell r="C6" t="str">
            <v>Andrea Karina Ballagan Estrada</v>
          </cell>
          <cell r="D6">
            <v>0</v>
          </cell>
          <cell r="E6">
            <v>2</v>
          </cell>
        </row>
        <row r="7">
          <cell r="C7" t="str">
            <v>*Carlos Andrés Durán Enríquez</v>
          </cell>
          <cell r="D7">
            <v>3</v>
          </cell>
          <cell r="E7">
            <v>0</v>
          </cell>
        </row>
        <row r="8">
          <cell r="C8" t="str">
            <v>*Daisy Ximena Valencia Palomino</v>
          </cell>
          <cell r="D8">
            <v>3</v>
          </cell>
          <cell r="E8">
            <v>0</v>
          </cell>
        </row>
        <row r="9">
          <cell r="C9" t="str">
            <v xml:space="preserve">*Depsi Johana Córdoba Mompotes </v>
          </cell>
          <cell r="D9">
            <v>3</v>
          </cell>
          <cell r="E9">
            <v>0</v>
          </cell>
        </row>
        <row r="10">
          <cell r="C10" t="str">
            <v>*Diego Fabian Bolaños Sarria</v>
          </cell>
          <cell r="D10">
            <v>3</v>
          </cell>
          <cell r="E10">
            <v>0</v>
          </cell>
        </row>
        <row r="11">
          <cell r="C11" t="str">
            <v>*Gabriela Andrea Rivera Macias</v>
          </cell>
          <cell r="D11">
            <v>2</v>
          </cell>
          <cell r="E11">
            <v>0</v>
          </cell>
        </row>
        <row r="12">
          <cell r="C12" t="str">
            <v>*Julio Cesar Garcia Buitron</v>
          </cell>
          <cell r="D12">
            <v>2</v>
          </cell>
          <cell r="E12">
            <v>0</v>
          </cell>
        </row>
        <row r="13">
          <cell r="C13" t="str">
            <v>*Karen Viviana Quiñones Mosquera</v>
          </cell>
          <cell r="D13">
            <v>2</v>
          </cell>
          <cell r="E13">
            <v>0</v>
          </cell>
        </row>
        <row r="14">
          <cell r="C14" t="str">
            <v>*Liliana Erazo</v>
          </cell>
          <cell r="D14">
            <v>1</v>
          </cell>
          <cell r="E14">
            <v>1</v>
          </cell>
        </row>
        <row r="15">
          <cell r="C15" t="str">
            <v>*Omar Andrés Acosta Caicedo</v>
          </cell>
          <cell r="D15">
            <v>2</v>
          </cell>
          <cell r="E15">
            <v>0</v>
          </cell>
        </row>
        <row r="16">
          <cell r="C16" t="str">
            <v>*Tatiana Mejia Rondon</v>
          </cell>
          <cell r="D16">
            <v>2</v>
          </cell>
          <cell r="E16">
            <v>0</v>
          </cell>
        </row>
        <row r="17">
          <cell r="C17" t="str">
            <v>*Wadys Montilla Ortega</v>
          </cell>
          <cell r="D17">
            <v>3</v>
          </cell>
          <cell r="E17">
            <v>0</v>
          </cell>
        </row>
        <row r="18">
          <cell r="C18" t="str">
            <v>*Luisa Marcela Toro Medina</v>
          </cell>
          <cell r="D18">
            <v>3</v>
          </cell>
          <cell r="E18">
            <v>0</v>
          </cell>
        </row>
        <row r="19">
          <cell r="C19" t="str">
            <v>Jeferson Esteban Cordoba Molano</v>
          </cell>
          <cell r="D19">
            <v>0</v>
          </cell>
          <cell r="E19">
            <v>2</v>
          </cell>
        </row>
        <row r="20">
          <cell r="C20" t="str">
            <v>Diana Carolina Vasquez Zambrano</v>
          </cell>
          <cell r="D20">
            <v>0</v>
          </cell>
          <cell r="E20">
            <v>2</v>
          </cell>
        </row>
        <row r="21">
          <cell r="C21" t="str">
            <v>Yudi Andrea Acalo Higon</v>
          </cell>
          <cell r="D21">
            <v>0</v>
          </cell>
          <cell r="E21">
            <v>2</v>
          </cell>
        </row>
        <row r="22">
          <cell r="C22" t="str">
            <v xml:space="preserve"> Arnol Arias Hoyos </v>
          </cell>
          <cell r="D22">
            <v>0</v>
          </cell>
          <cell r="E22">
            <v>2</v>
          </cell>
        </row>
        <row r="23">
          <cell r="C23" t="str">
            <v xml:space="preserve">Lina Fernanda Gutiérrez Montoya   </v>
          </cell>
          <cell r="D23">
            <v>0</v>
          </cell>
          <cell r="E23">
            <v>2</v>
          </cell>
        </row>
        <row r="24">
          <cell r="C24" t="str">
            <v>Fabian Felipe Mera Hurtado</v>
          </cell>
          <cell r="D24">
            <v>0</v>
          </cell>
          <cell r="E24">
            <v>2</v>
          </cell>
        </row>
        <row r="25">
          <cell r="C25" t="str">
            <v xml:space="preserve">Diego Fernando Ordoñez Trullo   </v>
          </cell>
          <cell r="D25">
            <v>0</v>
          </cell>
          <cell r="E25">
            <v>2</v>
          </cell>
        </row>
        <row r="26">
          <cell r="C26" t="str">
            <v xml:space="preserve">Angela Milena Velásquez Vargas      </v>
          </cell>
          <cell r="D26">
            <v>0</v>
          </cell>
          <cell r="E26">
            <v>2</v>
          </cell>
        </row>
        <row r="27">
          <cell r="C27" t="str">
            <v xml:space="preserve">Julieth Alexandra Chacón Paja
</v>
          </cell>
          <cell r="D27">
            <v>0</v>
          </cell>
          <cell r="E27">
            <v>2</v>
          </cell>
        </row>
        <row r="28">
          <cell r="C28" t="str">
            <v>*Maria Camila Toro Gonzalez</v>
          </cell>
          <cell r="D28">
            <v>3</v>
          </cell>
          <cell r="E28">
            <v>3</v>
          </cell>
        </row>
        <row r="29">
          <cell r="C29" t="str">
            <v>Juan Manuel Prado Quintero</v>
          </cell>
          <cell r="D29">
            <v>0</v>
          </cell>
          <cell r="E29">
            <v>2</v>
          </cell>
        </row>
        <row r="30">
          <cell r="C30" t="str">
            <v>Laura Melissa Muñoz Burbano</v>
          </cell>
          <cell r="D30">
            <v>0</v>
          </cell>
          <cell r="E30">
            <v>2</v>
          </cell>
        </row>
        <row r="31">
          <cell r="C31" t="str">
            <v/>
          </cell>
          <cell r="D31" t="str">
            <v/>
          </cell>
          <cell r="E31" t="str">
            <v/>
          </cell>
        </row>
        <row r="32">
          <cell r="C32" t="str">
            <v/>
          </cell>
          <cell r="D32" t="str">
            <v/>
          </cell>
          <cell r="E32" t="str">
            <v/>
          </cell>
        </row>
        <row r="33">
          <cell r="C33" t="str">
            <v/>
          </cell>
          <cell r="D33" t="str">
            <v/>
          </cell>
          <cell r="E33" t="str">
            <v/>
          </cell>
        </row>
        <row r="34">
          <cell r="C34" t="str">
            <v/>
          </cell>
          <cell r="D34" t="str">
            <v/>
          </cell>
          <cell r="E34" t="str">
            <v/>
          </cell>
        </row>
        <row r="35">
          <cell r="C35" t="str">
            <v/>
          </cell>
          <cell r="D35" t="str">
            <v/>
          </cell>
          <cell r="E35" t="str">
            <v/>
          </cell>
        </row>
        <row r="36">
          <cell r="C36" t="str">
            <v/>
          </cell>
          <cell r="D36" t="str">
            <v/>
          </cell>
          <cell r="E36" t="str">
            <v/>
          </cell>
        </row>
        <row r="37">
          <cell r="C37" t="str">
            <v/>
          </cell>
          <cell r="D37" t="str">
            <v/>
          </cell>
          <cell r="E37" t="str">
            <v/>
          </cell>
        </row>
        <row r="38">
          <cell r="D38" t="str">
            <v/>
          </cell>
          <cell r="E38" t="str">
            <v/>
          </cell>
        </row>
        <row r="39">
          <cell r="C39" t="str">
            <v/>
          </cell>
          <cell r="D39" t="str">
            <v/>
          </cell>
          <cell r="E39" t="str">
            <v/>
          </cell>
        </row>
        <row r="40">
          <cell r="C40" t="str">
            <v/>
          </cell>
          <cell r="D40" t="str">
            <v/>
          </cell>
          <cell r="E40" t="str">
            <v/>
          </cell>
        </row>
        <row r="41">
          <cell r="C41" t="str">
            <v/>
          </cell>
          <cell r="D41" t="str">
            <v/>
          </cell>
          <cell r="E41" t="str">
            <v/>
          </cell>
        </row>
        <row r="42">
          <cell r="C42" t="str">
            <v/>
          </cell>
          <cell r="D42" t="str">
            <v/>
          </cell>
          <cell r="E42" t="str">
            <v/>
          </cell>
        </row>
        <row r="43">
          <cell r="C43" t="str">
            <v/>
          </cell>
          <cell r="D43" t="str">
            <v/>
          </cell>
          <cell r="E43" t="str">
            <v/>
          </cell>
        </row>
        <row r="44">
          <cell r="D44" t="str">
            <v/>
          </cell>
          <cell r="E44" t="str">
            <v/>
          </cell>
        </row>
        <row r="45">
          <cell r="D45" t="str">
            <v/>
          </cell>
          <cell r="E45" t="str">
            <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mailto:auxiliar.grados@fup.edu.co" TargetMode="External"/><Relationship Id="rId13" Type="http://schemas.openxmlformats.org/officeDocument/2006/relationships/hyperlink" Target="mailto:coor.gestiondeinvestigacion@fup.edu.co" TargetMode="External"/><Relationship Id="rId18" Type="http://schemas.openxmlformats.org/officeDocument/2006/relationships/hyperlink" Target="mailto:ori@fup.edu.co" TargetMode="External"/><Relationship Id="rId3" Type="http://schemas.openxmlformats.org/officeDocument/2006/relationships/hyperlink" Target="mailto:asistente.posgrados@fup.edu.co" TargetMode="External"/><Relationship Id="rId21" Type="http://schemas.openxmlformats.org/officeDocument/2006/relationships/hyperlink" Target="mailto:apoyo.integrada@fup.edu.co" TargetMode="External"/><Relationship Id="rId7" Type="http://schemas.openxmlformats.org/officeDocument/2006/relationships/hyperlink" Target="mailto:auxiliar2.tesoreria@fup.edu.co" TargetMode="External"/><Relationship Id="rId12" Type="http://schemas.openxmlformats.org/officeDocument/2006/relationships/hyperlink" Target="mailto:arquitectura@fup.edu.co" TargetMode="External"/><Relationship Id="rId17" Type="http://schemas.openxmlformats.org/officeDocument/2006/relationships/hyperlink" Target="mailto:direccion.aseguramientodelacalidad@fup.edu.co" TargetMode="External"/><Relationship Id="rId2" Type="http://schemas.openxmlformats.org/officeDocument/2006/relationships/hyperlink" Target="mailto:auxiliaracademico.tsocial@fup.edu.co" TargetMode="External"/><Relationship Id="rId16" Type="http://schemas.openxmlformats.org/officeDocument/2006/relationships/hyperlink" Target="mailto:daniel.feriz@docente.fup.edu.co" TargetMode="External"/><Relationship Id="rId20" Type="http://schemas.openxmlformats.org/officeDocument/2006/relationships/hyperlink" Target="mailto:asis.secretariageneral@fup.edu.co" TargetMode="External"/><Relationship Id="rId1" Type="http://schemas.openxmlformats.org/officeDocument/2006/relationships/hyperlink" Target="mailto:compras@fup.edu.co" TargetMode="External"/><Relationship Id="rId6" Type="http://schemas.openxmlformats.org/officeDocument/2006/relationships/hyperlink" Target="mailto:fernanda.arciniegas@docente.fup.edu.co" TargetMode="External"/><Relationship Id="rId11" Type="http://schemas.openxmlformats.org/officeDocument/2006/relationships/hyperlink" Target="mailto:nathalia.hurtado@docente.fup.edu.co" TargetMode="External"/><Relationship Id="rId5" Type="http://schemas.openxmlformats.org/officeDocument/2006/relationships/hyperlink" Target="mailto:sistemas@fup.edu.co" TargetMode="External"/><Relationship Id="rId15" Type="http://schemas.openxmlformats.org/officeDocument/2006/relationships/hyperlink" Target="mailto:direccion.extyproyeccionsocial@fup.edu.co" TargetMode="External"/><Relationship Id="rId23" Type="http://schemas.openxmlformats.org/officeDocument/2006/relationships/printerSettings" Target="../printerSettings/printerSettings3.bin"/><Relationship Id="rId10" Type="http://schemas.openxmlformats.org/officeDocument/2006/relationships/hyperlink" Target="mailto:calidad@fup.edu.co" TargetMode="External"/><Relationship Id="rId19" Type="http://schemas.openxmlformats.org/officeDocument/2006/relationships/hyperlink" Target="mailto:seguridadysaludeneltrabajo@fup.edu.co" TargetMode="External"/><Relationship Id="rId4" Type="http://schemas.openxmlformats.org/officeDocument/2006/relationships/hyperlink" Target="mailto:industrial@fup.edu.co" TargetMode="External"/><Relationship Id="rId9" Type="http://schemas.openxmlformats.org/officeDocument/2006/relationships/hyperlink" Target="mailto:auxiliar1.contabilidad@fup.edu.co" TargetMode="External"/><Relationship Id="rId14" Type="http://schemas.openxmlformats.org/officeDocument/2006/relationships/hyperlink" Target="mailto:apoyo.leac@fup.edu.co" TargetMode="External"/><Relationship Id="rId22" Type="http://schemas.openxmlformats.org/officeDocument/2006/relationships/hyperlink" Target="mailto:auxiliar.sires@fup.edu.c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85"/>
  <sheetViews>
    <sheetView tabSelected="1" zoomScaleNormal="100" workbookViewId="0">
      <pane ySplit="1" topLeftCell="A2" activePane="bottomLeft" state="frozen"/>
      <selection pane="bottomLeft" activeCell="M32" sqref="M32"/>
    </sheetView>
  </sheetViews>
  <sheetFormatPr baseColWidth="10" defaultColWidth="0" defaultRowHeight="12.5" zeroHeight="1" x14ac:dyDescent="0.35"/>
  <cols>
    <col min="1" max="1" width="1.453125" style="129" customWidth="1"/>
    <col min="2" max="28" width="4" style="115" customWidth="1"/>
    <col min="29" max="29" width="1.1796875" style="127" customWidth="1"/>
    <col min="30" max="30" width="3.81640625" style="116" customWidth="1"/>
    <col min="31" max="33" width="8.81640625" style="138" customWidth="1"/>
    <col min="34" max="34" width="16.7265625" style="138" customWidth="1"/>
    <col min="35" max="42" width="8.81640625" style="138" customWidth="1"/>
    <col min="43" max="43" width="1.81640625" style="119" customWidth="1"/>
    <col min="44" max="16384" width="8.81640625" style="118" hidden="1"/>
  </cols>
  <sheetData>
    <row r="1" spans="1:43" ht="3.75" customHeight="1" x14ac:dyDescent="0.35">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Q1" s="117"/>
    </row>
    <row r="2" spans="1:43" x14ac:dyDescent="0.35">
      <c r="AD2" s="337" t="s">
        <v>315</v>
      </c>
      <c r="AE2" s="337"/>
      <c r="AF2" s="337"/>
      <c r="AG2" s="337"/>
      <c r="AH2" s="337"/>
      <c r="AI2" s="337"/>
      <c r="AJ2" s="337"/>
      <c r="AK2" s="337"/>
      <c r="AL2" s="337"/>
      <c r="AM2" s="337"/>
      <c r="AN2" s="337"/>
      <c r="AO2" s="337"/>
      <c r="AP2" s="337"/>
    </row>
    <row r="3" spans="1:43" ht="12.75" customHeight="1" x14ac:dyDescent="0.35">
      <c r="AD3" s="120"/>
      <c r="AE3" s="139"/>
      <c r="AF3" s="139"/>
      <c r="AG3" s="139"/>
      <c r="AH3" s="139"/>
      <c r="AI3" s="139"/>
      <c r="AJ3" s="139"/>
      <c r="AK3" s="139"/>
      <c r="AL3" s="139"/>
      <c r="AM3" s="139"/>
      <c r="AN3" s="139"/>
      <c r="AO3" s="139"/>
      <c r="AP3" s="139"/>
    </row>
    <row r="4" spans="1:43" x14ac:dyDescent="0.35">
      <c r="AD4" s="135"/>
      <c r="AE4" s="350" t="s">
        <v>322</v>
      </c>
      <c r="AF4" s="350"/>
      <c r="AG4" s="350"/>
      <c r="AH4" s="350"/>
      <c r="AI4" s="350"/>
      <c r="AJ4" s="350"/>
      <c r="AK4" s="350"/>
      <c r="AL4" s="350"/>
      <c r="AM4" s="350"/>
      <c r="AN4" s="350"/>
      <c r="AO4" s="350"/>
      <c r="AP4" s="350"/>
    </row>
    <row r="5" spans="1:43" ht="12.75" customHeight="1" x14ac:dyDescent="0.35">
      <c r="AD5" s="120" t="s">
        <v>286</v>
      </c>
      <c r="AE5" s="338" t="s">
        <v>596</v>
      </c>
      <c r="AF5" s="338"/>
      <c r="AG5" s="338"/>
      <c r="AH5" s="338"/>
      <c r="AI5" s="338"/>
      <c r="AJ5" s="338"/>
      <c r="AK5" s="338"/>
      <c r="AL5" s="338"/>
      <c r="AM5" s="338"/>
      <c r="AN5" s="338"/>
      <c r="AO5" s="338"/>
      <c r="AP5" s="338"/>
    </row>
    <row r="6" spans="1:43" ht="12.75" customHeight="1" x14ac:dyDescent="0.35">
      <c r="AD6" s="120" t="s">
        <v>316</v>
      </c>
      <c r="AE6" s="338" t="s">
        <v>288</v>
      </c>
      <c r="AF6" s="338"/>
      <c r="AG6" s="338"/>
      <c r="AH6" s="338"/>
      <c r="AI6" s="338"/>
      <c r="AJ6" s="338"/>
      <c r="AK6" s="338"/>
      <c r="AL6" s="338"/>
      <c r="AM6" s="338"/>
      <c r="AN6" s="338"/>
      <c r="AO6" s="338"/>
      <c r="AP6" s="338"/>
    </row>
    <row r="7" spans="1:43" x14ac:dyDescent="0.35">
      <c r="AD7" s="120" t="s">
        <v>287</v>
      </c>
      <c r="AE7" s="338" t="s">
        <v>328</v>
      </c>
      <c r="AF7" s="338"/>
      <c r="AG7" s="338"/>
      <c r="AH7" s="338"/>
      <c r="AI7" s="338"/>
      <c r="AJ7" s="338"/>
      <c r="AK7" s="338"/>
      <c r="AL7" s="338"/>
      <c r="AM7" s="338"/>
      <c r="AN7" s="338"/>
      <c r="AO7" s="338"/>
      <c r="AP7" s="338"/>
    </row>
    <row r="8" spans="1:43" ht="9.75" customHeight="1" thickBot="1" x14ac:dyDescent="0.4">
      <c r="AD8" s="120" t="s">
        <v>41</v>
      </c>
      <c r="AE8" s="305" t="s">
        <v>329</v>
      </c>
      <c r="AF8" s="305"/>
      <c r="AG8" s="305"/>
      <c r="AH8" s="305"/>
      <c r="AI8" s="305"/>
      <c r="AJ8" s="305"/>
      <c r="AK8" s="305"/>
      <c r="AL8" s="305"/>
      <c r="AM8" s="305"/>
      <c r="AN8" s="305"/>
      <c r="AO8" s="305"/>
      <c r="AP8" s="305"/>
    </row>
    <row r="9" spans="1:43" ht="12" customHeight="1" thickBot="1" x14ac:dyDescent="0.4">
      <c r="B9" s="351" t="s">
        <v>284</v>
      </c>
      <c r="C9" s="352"/>
      <c r="D9" s="352"/>
      <c r="E9" s="352"/>
      <c r="F9" s="352"/>
      <c r="G9" s="352"/>
      <c r="H9" s="352"/>
      <c r="I9" s="352"/>
      <c r="J9" s="352"/>
      <c r="K9" s="352"/>
      <c r="L9" s="352"/>
      <c r="M9" s="352"/>
      <c r="N9" s="352"/>
      <c r="O9" s="352"/>
      <c r="P9" s="352"/>
      <c r="Q9" s="352"/>
      <c r="R9" s="352"/>
      <c r="S9" s="352"/>
      <c r="T9" s="352"/>
      <c r="U9" s="352"/>
      <c r="V9" s="352"/>
      <c r="W9" s="352"/>
      <c r="X9" s="352"/>
      <c r="Y9" s="352"/>
      <c r="Z9" s="352"/>
      <c r="AA9" s="352"/>
      <c r="AB9" s="353"/>
      <c r="AD9" s="120"/>
      <c r="AE9" s="305"/>
      <c r="AF9" s="305"/>
      <c r="AG9" s="305"/>
      <c r="AH9" s="305"/>
      <c r="AI9" s="305"/>
      <c r="AJ9" s="305"/>
      <c r="AK9" s="305"/>
      <c r="AL9" s="305"/>
      <c r="AM9" s="305"/>
      <c r="AN9" s="305"/>
      <c r="AO9" s="305"/>
      <c r="AP9" s="305"/>
      <c r="AQ9" s="121"/>
    </row>
    <row r="10" spans="1:43" s="119" customFormat="1" ht="6" customHeight="1" thickBot="1" x14ac:dyDescent="0.4">
      <c r="A10" s="130"/>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4"/>
      <c r="AD10" s="120"/>
      <c r="AE10" s="305"/>
      <c r="AF10" s="305"/>
      <c r="AG10" s="305"/>
      <c r="AH10" s="305"/>
      <c r="AI10" s="305"/>
      <c r="AJ10" s="305"/>
      <c r="AK10" s="305"/>
      <c r="AL10" s="305"/>
      <c r="AM10" s="305"/>
      <c r="AN10" s="305"/>
      <c r="AO10" s="305"/>
      <c r="AP10" s="305"/>
      <c r="AQ10" s="121"/>
    </row>
    <row r="11" spans="1:43" s="121" customFormat="1" ht="13.5" customHeight="1" x14ac:dyDescent="0.35">
      <c r="A11" s="131"/>
      <c r="B11" s="279" t="s">
        <v>0</v>
      </c>
      <c r="C11" s="280"/>
      <c r="D11" s="280"/>
      <c r="E11" s="280" t="s">
        <v>1</v>
      </c>
      <c r="F11" s="280"/>
      <c r="G11" s="280"/>
      <c r="H11" s="280" t="s">
        <v>2</v>
      </c>
      <c r="I11" s="280"/>
      <c r="J11" s="280"/>
      <c r="K11" s="280"/>
      <c r="L11" s="280" t="s">
        <v>3</v>
      </c>
      <c r="M11" s="280"/>
      <c r="N11" s="280" t="s">
        <v>4</v>
      </c>
      <c r="O11" s="280"/>
      <c r="P11" s="280"/>
      <c r="Q11" s="280"/>
      <c r="R11" s="280"/>
      <c r="S11" s="280"/>
      <c r="T11" s="280"/>
      <c r="U11" s="280"/>
      <c r="V11" s="280" t="s">
        <v>5</v>
      </c>
      <c r="W11" s="280"/>
      <c r="X11" s="280"/>
      <c r="Y11" s="280"/>
      <c r="Z11" s="280"/>
      <c r="AA11" s="280"/>
      <c r="AB11" s="281"/>
      <c r="AC11" s="128"/>
      <c r="AD11" s="120" t="s">
        <v>55</v>
      </c>
      <c r="AE11" s="305" t="s">
        <v>317</v>
      </c>
      <c r="AF11" s="305"/>
      <c r="AG11" s="305"/>
      <c r="AH11" s="305"/>
      <c r="AI11" s="305"/>
      <c r="AJ11" s="305"/>
      <c r="AK11" s="305"/>
      <c r="AL11" s="305"/>
      <c r="AM11" s="305"/>
      <c r="AN11" s="305"/>
      <c r="AO11" s="305"/>
      <c r="AP11" s="305"/>
    </row>
    <row r="12" spans="1:43" s="121" customFormat="1" ht="13.5" customHeight="1" x14ac:dyDescent="0.35">
      <c r="A12" s="131"/>
      <c r="B12" s="284"/>
      <c r="C12" s="285"/>
      <c r="D12" s="285"/>
      <c r="E12" s="288"/>
      <c r="F12" s="288"/>
      <c r="G12" s="288"/>
      <c r="H12" s="290"/>
      <c r="I12" s="290"/>
      <c r="J12" s="290"/>
      <c r="K12" s="290"/>
      <c r="L12" s="292" t="str">
        <f>IFERROR(VLOOKUP(N12,'Auditorias Prog.'!C:E,3,0),"")</f>
        <v/>
      </c>
      <c r="M12" s="292"/>
      <c r="N12" s="290"/>
      <c r="O12" s="290"/>
      <c r="P12" s="290"/>
      <c r="Q12" s="290"/>
      <c r="R12" s="290"/>
      <c r="S12" s="290"/>
      <c r="T12" s="290"/>
      <c r="U12" s="290"/>
      <c r="V12" s="282" t="s">
        <v>6</v>
      </c>
      <c r="W12" s="282"/>
      <c r="X12" s="339"/>
      <c r="Y12" s="339"/>
      <c r="Z12" s="339"/>
      <c r="AA12" s="339"/>
      <c r="AB12" s="340"/>
      <c r="AC12" s="128"/>
      <c r="AD12" s="120" t="s">
        <v>71</v>
      </c>
      <c r="AE12" s="305" t="s">
        <v>318</v>
      </c>
      <c r="AF12" s="305"/>
      <c r="AG12" s="305"/>
      <c r="AH12" s="305"/>
      <c r="AI12" s="305"/>
      <c r="AJ12" s="305"/>
      <c r="AK12" s="305"/>
      <c r="AL12" s="305"/>
      <c r="AM12" s="305"/>
      <c r="AN12" s="305"/>
      <c r="AO12" s="305"/>
      <c r="AP12" s="305"/>
      <c r="AQ12" s="119"/>
    </row>
    <row r="13" spans="1:43" s="121" customFormat="1" ht="24.5" customHeight="1" thickBot="1" x14ac:dyDescent="0.4">
      <c r="A13" s="131"/>
      <c r="B13" s="286"/>
      <c r="C13" s="287"/>
      <c r="D13" s="287"/>
      <c r="E13" s="289"/>
      <c r="F13" s="289"/>
      <c r="G13" s="289"/>
      <c r="H13" s="291"/>
      <c r="I13" s="291"/>
      <c r="J13" s="291"/>
      <c r="K13" s="291"/>
      <c r="L13" s="293"/>
      <c r="M13" s="293"/>
      <c r="N13" s="291"/>
      <c r="O13" s="291"/>
      <c r="P13" s="291"/>
      <c r="Q13" s="291"/>
      <c r="R13" s="291"/>
      <c r="S13" s="291"/>
      <c r="T13" s="291"/>
      <c r="U13" s="291"/>
      <c r="V13" s="283" t="s">
        <v>7</v>
      </c>
      <c r="W13" s="283"/>
      <c r="X13" s="341"/>
      <c r="Y13" s="341"/>
      <c r="Z13" s="341"/>
      <c r="AA13" s="341"/>
      <c r="AB13" s="342"/>
      <c r="AC13" s="128"/>
      <c r="AD13" s="120" t="s">
        <v>87</v>
      </c>
      <c r="AE13" s="305" t="s">
        <v>320</v>
      </c>
      <c r="AF13" s="305"/>
      <c r="AG13" s="305"/>
      <c r="AH13" s="305"/>
      <c r="AI13" s="305"/>
      <c r="AJ13" s="305"/>
      <c r="AK13" s="305"/>
      <c r="AL13" s="305"/>
      <c r="AM13" s="305"/>
      <c r="AN13" s="305"/>
      <c r="AO13" s="305"/>
      <c r="AP13" s="305"/>
      <c r="AQ13" s="119"/>
    </row>
    <row r="14" spans="1:43" s="119" customFormat="1" ht="6" customHeight="1" thickBot="1" x14ac:dyDescent="0.4">
      <c r="A14" s="130"/>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4"/>
      <c r="AD14" s="120"/>
      <c r="AE14" s="139"/>
      <c r="AF14" s="139"/>
      <c r="AG14" s="139"/>
      <c r="AH14" s="139"/>
      <c r="AI14" s="139"/>
      <c r="AJ14" s="139"/>
      <c r="AK14" s="139"/>
      <c r="AL14" s="139"/>
      <c r="AM14" s="139"/>
      <c r="AN14" s="139"/>
      <c r="AO14" s="139"/>
      <c r="AP14" s="139"/>
    </row>
    <row r="15" spans="1:43" s="121" customFormat="1" ht="15" customHeight="1" x14ac:dyDescent="0.35">
      <c r="A15" s="131"/>
      <c r="B15" s="343" t="s">
        <v>293</v>
      </c>
      <c r="C15" s="300"/>
      <c r="D15" s="300"/>
      <c r="E15" s="300"/>
      <c r="F15" s="300"/>
      <c r="G15" s="300"/>
      <c r="H15" s="300"/>
      <c r="I15" s="300"/>
      <c r="J15" s="344"/>
      <c r="K15" s="299" t="s">
        <v>294</v>
      </c>
      <c r="L15" s="300"/>
      <c r="M15" s="300"/>
      <c r="N15" s="300"/>
      <c r="O15" s="300"/>
      <c r="P15" s="300"/>
      <c r="Q15" s="300"/>
      <c r="R15" s="300"/>
      <c r="S15" s="344"/>
      <c r="T15" s="299" t="s">
        <v>295</v>
      </c>
      <c r="U15" s="300"/>
      <c r="V15" s="300"/>
      <c r="W15" s="300"/>
      <c r="X15" s="300"/>
      <c r="Y15" s="300"/>
      <c r="Z15" s="300"/>
      <c r="AA15" s="300"/>
      <c r="AB15" s="301"/>
      <c r="AC15" s="128"/>
      <c r="AD15" s="120" t="s">
        <v>125</v>
      </c>
      <c r="AE15" s="305" t="s">
        <v>319</v>
      </c>
      <c r="AF15" s="305"/>
      <c r="AG15" s="305"/>
      <c r="AH15" s="305"/>
      <c r="AI15" s="305"/>
      <c r="AJ15" s="305"/>
      <c r="AK15" s="305"/>
      <c r="AL15" s="305"/>
      <c r="AM15" s="305"/>
      <c r="AN15" s="305"/>
      <c r="AO15" s="305"/>
      <c r="AP15" s="305"/>
      <c r="AQ15" s="119"/>
    </row>
    <row r="16" spans="1:43" s="121" customFormat="1" ht="60.75" customHeight="1" thickBot="1" x14ac:dyDescent="0.4">
      <c r="A16" s="131"/>
      <c r="B16" s="302"/>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c r="AA16" s="303"/>
      <c r="AB16" s="304"/>
      <c r="AC16" s="128"/>
      <c r="AD16" s="134" t="s">
        <v>321</v>
      </c>
      <c r="AE16" s="305" t="s">
        <v>330</v>
      </c>
      <c r="AF16" s="305"/>
      <c r="AG16" s="305"/>
      <c r="AH16" s="305"/>
      <c r="AI16" s="305"/>
      <c r="AJ16" s="305"/>
      <c r="AK16" s="305"/>
      <c r="AL16" s="305"/>
      <c r="AM16" s="305"/>
      <c r="AN16" s="305"/>
      <c r="AO16" s="305"/>
      <c r="AP16" s="305"/>
      <c r="AQ16" s="119"/>
    </row>
    <row r="17" spans="1:43" s="119" customFormat="1" ht="6" customHeight="1" thickBot="1" x14ac:dyDescent="0.4">
      <c r="A17" s="130"/>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4"/>
      <c r="AD17" s="120"/>
      <c r="AE17" s="139"/>
      <c r="AF17" s="139"/>
      <c r="AG17" s="139"/>
      <c r="AH17" s="139"/>
      <c r="AI17" s="139"/>
      <c r="AJ17" s="139"/>
      <c r="AK17" s="139"/>
      <c r="AL17" s="139"/>
      <c r="AM17" s="139"/>
      <c r="AN17" s="139"/>
      <c r="AO17" s="139"/>
      <c r="AP17" s="139"/>
    </row>
    <row r="18" spans="1:43" s="121" customFormat="1" ht="15" customHeight="1" x14ac:dyDescent="0.35">
      <c r="A18" s="131"/>
      <c r="B18" s="279" t="s">
        <v>296</v>
      </c>
      <c r="C18" s="280"/>
      <c r="D18" s="280"/>
      <c r="E18" s="347" t="s">
        <v>8</v>
      </c>
      <c r="F18" s="347"/>
      <c r="G18" s="347"/>
      <c r="H18" s="347"/>
      <c r="I18" s="347"/>
      <c r="J18" s="347"/>
      <c r="K18" s="347"/>
      <c r="L18" s="347"/>
      <c r="M18" s="347" t="s">
        <v>10</v>
      </c>
      <c r="N18" s="347"/>
      <c r="O18" s="347"/>
      <c r="P18" s="347"/>
      <c r="Q18" s="347"/>
      <c r="R18" s="347"/>
      <c r="S18" s="347"/>
      <c r="T18" s="347"/>
      <c r="U18" s="347" t="s">
        <v>9</v>
      </c>
      <c r="V18" s="347"/>
      <c r="W18" s="347"/>
      <c r="X18" s="347"/>
      <c r="Y18" s="347"/>
      <c r="Z18" s="347"/>
      <c r="AA18" s="347"/>
      <c r="AB18" s="349"/>
      <c r="AC18" s="128"/>
      <c r="AD18" s="120" t="s">
        <v>289</v>
      </c>
      <c r="AE18" s="305" t="s">
        <v>326</v>
      </c>
      <c r="AF18" s="305"/>
      <c r="AG18" s="305"/>
      <c r="AH18" s="305"/>
      <c r="AI18" s="305"/>
      <c r="AJ18" s="305"/>
      <c r="AK18" s="305"/>
      <c r="AL18" s="305"/>
      <c r="AM18" s="305"/>
      <c r="AN18" s="305"/>
      <c r="AO18" s="305"/>
      <c r="AP18" s="305"/>
      <c r="AQ18" s="119"/>
    </row>
    <row r="19" spans="1:43" s="121" customFormat="1" ht="15" customHeight="1" thickBot="1" x14ac:dyDescent="0.4">
      <c r="A19" s="131"/>
      <c r="B19" s="345"/>
      <c r="C19" s="346"/>
      <c r="D19" s="346"/>
      <c r="E19" s="348"/>
      <c r="F19" s="348"/>
      <c r="G19" s="348"/>
      <c r="H19" s="348"/>
      <c r="I19" s="348"/>
      <c r="J19" s="348"/>
      <c r="K19" s="348"/>
      <c r="L19" s="348"/>
      <c r="M19" s="348"/>
      <c r="N19" s="348"/>
      <c r="O19" s="348"/>
      <c r="P19" s="348"/>
      <c r="Q19" s="348"/>
      <c r="R19" s="348"/>
      <c r="S19" s="348"/>
      <c r="T19" s="348"/>
      <c r="U19" s="348"/>
      <c r="V19" s="348"/>
      <c r="W19" s="348"/>
      <c r="X19" s="348"/>
      <c r="Y19" s="348"/>
      <c r="Z19" s="348"/>
      <c r="AA19" s="348"/>
      <c r="AB19" s="348"/>
      <c r="AC19" s="128"/>
      <c r="AD19" s="120"/>
      <c r="AE19" s="305"/>
      <c r="AF19" s="305"/>
      <c r="AG19" s="305"/>
      <c r="AH19" s="305"/>
      <c r="AI19" s="305"/>
      <c r="AJ19" s="305"/>
      <c r="AK19" s="305"/>
      <c r="AL19" s="305"/>
      <c r="AM19" s="305"/>
      <c r="AN19" s="305"/>
      <c r="AO19" s="305"/>
      <c r="AP19" s="305"/>
      <c r="AQ19" s="119"/>
    </row>
    <row r="20" spans="1:43" s="119" customFormat="1" ht="6" customHeight="1" thickBot="1" x14ac:dyDescent="0.4">
      <c r="A20" s="130"/>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4"/>
      <c r="AD20" s="120"/>
      <c r="AE20" s="139"/>
      <c r="AF20" s="139"/>
      <c r="AG20" s="139"/>
      <c r="AH20" s="139"/>
      <c r="AI20" s="139"/>
      <c r="AJ20" s="139"/>
      <c r="AK20" s="139"/>
      <c r="AL20" s="139"/>
      <c r="AM20" s="139"/>
      <c r="AN20" s="139"/>
      <c r="AO20" s="139"/>
      <c r="AP20" s="139"/>
    </row>
    <row r="21" spans="1:43" ht="12" customHeight="1" x14ac:dyDescent="0.35">
      <c r="B21" s="306" t="s">
        <v>297</v>
      </c>
      <c r="C21" s="307"/>
      <c r="D21" s="307"/>
      <c r="E21" s="307"/>
      <c r="F21" s="307"/>
      <c r="G21" s="307"/>
      <c r="H21" s="307"/>
      <c r="I21" s="307"/>
      <c r="J21" s="307"/>
      <c r="K21" s="307"/>
      <c r="L21" s="307"/>
      <c r="M21" s="307"/>
      <c r="N21" s="307"/>
      <c r="O21" s="307"/>
      <c r="P21" s="307"/>
      <c r="Q21" s="307"/>
      <c r="R21" s="307"/>
      <c r="S21" s="307"/>
      <c r="T21" s="307"/>
      <c r="U21" s="307"/>
      <c r="V21" s="307"/>
      <c r="W21" s="307"/>
      <c r="X21" s="307"/>
      <c r="Y21" s="307"/>
      <c r="Z21" s="307"/>
      <c r="AA21" s="307"/>
      <c r="AB21" s="308"/>
      <c r="AD21" s="120" t="s">
        <v>290</v>
      </c>
      <c r="AE21" s="338" t="s">
        <v>327</v>
      </c>
      <c r="AF21" s="338"/>
      <c r="AG21" s="338"/>
      <c r="AH21" s="338"/>
      <c r="AI21" s="338"/>
      <c r="AJ21" s="338"/>
      <c r="AK21" s="338"/>
      <c r="AL21" s="338"/>
      <c r="AM21" s="338"/>
      <c r="AN21" s="338"/>
      <c r="AO21" s="338"/>
      <c r="AP21" s="338"/>
    </row>
    <row r="22" spans="1:43" ht="36" customHeight="1" thickBot="1" x14ac:dyDescent="0.4">
      <c r="B22" s="309"/>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c r="AA22" s="310"/>
      <c r="AB22" s="311"/>
      <c r="AD22" s="125" t="s">
        <v>291</v>
      </c>
      <c r="AE22" s="305" t="s">
        <v>331</v>
      </c>
      <c r="AF22" s="338"/>
      <c r="AG22" s="338"/>
      <c r="AH22" s="338"/>
      <c r="AI22" s="338"/>
      <c r="AJ22" s="338"/>
      <c r="AK22" s="338"/>
      <c r="AL22" s="338"/>
      <c r="AM22" s="338"/>
      <c r="AN22" s="338"/>
      <c r="AO22" s="338"/>
      <c r="AP22" s="338"/>
    </row>
    <row r="23" spans="1:43" ht="6" customHeight="1" thickBot="1" x14ac:dyDescent="0.4">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D23" s="120"/>
      <c r="AE23" s="139"/>
      <c r="AF23" s="139"/>
      <c r="AG23" s="139"/>
      <c r="AH23" s="139"/>
      <c r="AI23" s="139"/>
      <c r="AJ23" s="139"/>
      <c r="AK23" s="139"/>
      <c r="AL23" s="139"/>
      <c r="AM23" s="139"/>
      <c r="AN23" s="139"/>
      <c r="AO23" s="139"/>
      <c r="AP23" s="139"/>
    </row>
    <row r="24" spans="1:43" ht="12" customHeight="1" x14ac:dyDescent="0.35">
      <c r="B24" s="306" t="s">
        <v>298</v>
      </c>
      <c r="C24" s="307"/>
      <c r="D24" s="307"/>
      <c r="E24" s="307"/>
      <c r="F24" s="307"/>
      <c r="G24" s="307"/>
      <c r="H24" s="307"/>
      <c r="I24" s="307"/>
      <c r="J24" s="307"/>
      <c r="K24" s="307"/>
      <c r="L24" s="307"/>
      <c r="M24" s="307"/>
      <c r="N24" s="307"/>
      <c r="O24" s="307"/>
      <c r="P24" s="307"/>
      <c r="Q24" s="307"/>
      <c r="R24" s="307"/>
      <c r="S24" s="307"/>
      <c r="T24" s="307"/>
      <c r="U24" s="307"/>
      <c r="V24" s="307"/>
      <c r="W24" s="307"/>
      <c r="X24" s="307"/>
      <c r="Y24" s="307"/>
      <c r="Z24" s="307"/>
      <c r="AA24" s="307"/>
      <c r="AB24" s="308"/>
      <c r="AD24" s="125" t="s">
        <v>292</v>
      </c>
      <c r="AE24" s="305" t="s">
        <v>332</v>
      </c>
      <c r="AF24" s="305"/>
      <c r="AG24" s="305"/>
      <c r="AH24" s="305"/>
      <c r="AI24" s="305"/>
      <c r="AJ24" s="305"/>
      <c r="AK24" s="305"/>
      <c r="AL24" s="305"/>
      <c r="AM24" s="305"/>
      <c r="AN24" s="305"/>
      <c r="AO24" s="305"/>
      <c r="AP24" s="305"/>
    </row>
    <row r="25" spans="1:43" ht="36.75" customHeight="1" thickBot="1" x14ac:dyDescent="0.4">
      <c r="B25" s="309"/>
      <c r="C25" s="310"/>
      <c r="D25" s="310"/>
      <c r="E25" s="310"/>
      <c r="F25" s="310"/>
      <c r="G25" s="310"/>
      <c r="H25" s="310"/>
      <c r="I25" s="310"/>
      <c r="J25" s="310"/>
      <c r="K25" s="310"/>
      <c r="L25" s="310"/>
      <c r="M25" s="310"/>
      <c r="N25" s="310"/>
      <c r="O25" s="310"/>
      <c r="P25" s="310"/>
      <c r="Q25" s="310"/>
      <c r="R25" s="310"/>
      <c r="S25" s="310"/>
      <c r="T25" s="310"/>
      <c r="U25" s="310"/>
      <c r="V25" s="310"/>
      <c r="W25" s="310"/>
      <c r="X25" s="310"/>
      <c r="Y25" s="310"/>
      <c r="Z25" s="310"/>
      <c r="AA25" s="310"/>
      <c r="AB25" s="311"/>
      <c r="AD25" s="125"/>
      <c r="AE25" s="305"/>
      <c r="AF25" s="305"/>
      <c r="AG25" s="305"/>
      <c r="AH25" s="305"/>
      <c r="AI25" s="305"/>
      <c r="AJ25" s="305"/>
      <c r="AK25" s="305"/>
      <c r="AL25" s="305"/>
      <c r="AM25" s="305"/>
      <c r="AN25" s="305"/>
      <c r="AO25" s="305"/>
      <c r="AP25" s="305"/>
    </row>
    <row r="26" spans="1:43" ht="6" customHeight="1" thickBot="1" x14ac:dyDescent="0.4">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D26" s="125"/>
      <c r="AE26" s="305"/>
      <c r="AF26" s="305"/>
      <c r="AG26" s="305"/>
      <c r="AH26" s="305"/>
      <c r="AI26" s="305"/>
      <c r="AJ26" s="305"/>
      <c r="AK26" s="305"/>
      <c r="AL26" s="305"/>
      <c r="AM26" s="305"/>
      <c r="AN26" s="305"/>
      <c r="AO26" s="305"/>
      <c r="AP26" s="305"/>
    </row>
    <row r="27" spans="1:43" ht="12" customHeight="1" x14ac:dyDescent="0.35">
      <c r="B27" s="306" t="s">
        <v>299</v>
      </c>
      <c r="C27" s="307"/>
      <c r="D27" s="307"/>
      <c r="E27" s="307"/>
      <c r="F27" s="307"/>
      <c r="G27" s="307"/>
      <c r="H27" s="307"/>
      <c r="I27" s="307"/>
      <c r="J27" s="307"/>
      <c r="K27" s="307"/>
      <c r="L27" s="307"/>
      <c r="M27" s="307"/>
      <c r="N27" s="307"/>
      <c r="O27" s="307"/>
      <c r="P27" s="307"/>
      <c r="Q27" s="307"/>
      <c r="R27" s="307"/>
      <c r="S27" s="307"/>
      <c r="T27" s="307"/>
      <c r="U27" s="307"/>
      <c r="V27" s="307"/>
      <c r="W27" s="307"/>
      <c r="X27" s="307"/>
      <c r="Y27" s="307"/>
      <c r="Z27" s="307"/>
      <c r="AA27" s="307"/>
      <c r="AB27" s="308"/>
      <c r="AD27" s="125"/>
      <c r="AE27" s="305"/>
      <c r="AF27" s="305"/>
      <c r="AG27" s="305"/>
      <c r="AH27" s="305"/>
      <c r="AI27" s="305"/>
      <c r="AJ27" s="305"/>
      <c r="AK27" s="305"/>
      <c r="AL27" s="305"/>
      <c r="AM27" s="305"/>
      <c r="AN27" s="305"/>
      <c r="AO27" s="305"/>
      <c r="AP27" s="305"/>
    </row>
    <row r="28" spans="1:43" ht="36.75" customHeight="1" thickBot="1" x14ac:dyDescent="0.4">
      <c r="B28" s="309"/>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310"/>
      <c r="AA28" s="310"/>
      <c r="AB28" s="311"/>
      <c r="AD28" s="125"/>
      <c r="AE28" s="305"/>
      <c r="AF28" s="305"/>
      <c r="AG28" s="305"/>
      <c r="AH28" s="305"/>
      <c r="AI28" s="305"/>
      <c r="AJ28" s="305"/>
      <c r="AK28" s="305"/>
      <c r="AL28" s="305"/>
      <c r="AM28" s="305"/>
      <c r="AN28" s="305"/>
      <c r="AO28" s="305"/>
      <c r="AP28" s="305"/>
    </row>
    <row r="29" spans="1:43" ht="6" customHeight="1" thickBot="1" x14ac:dyDescent="0.4">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D29" s="125"/>
      <c r="AE29" s="305"/>
      <c r="AF29" s="305"/>
      <c r="AG29" s="305"/>
      <c r="AH29" s="305"/>
      <c r="AI29" s="305"/>
      <c r="AJ29" s="305"/>
      <c r="AK29" s="305"/>
      <c r="AL29" s="305"/>
      <c r="AM29" s="305"/>
      <c r="AN29" s="305"/>
      <c r="AO29" s="305"/>
      <c r="AP29" s="305"/>
    </row>
    <row r="30" spans="1:43" ht="12" customHeight="1" x14ac:dyDescent="0.35">
      <c r="B30" s="306" t="s">
        <v>300</v>
      </c>
      <c r="C30" s="307"/>
      <c r="D30" s="307"/>
      <c r="E30" s="307"/>
      <c r="F30" s="307"/>
      <c r="G30" s="307"/>
      <c r="H30" s="307"/>
      <c r="I30" s="307"/>
      <c r="J30" s="307"/>
      <c r="K30" s="307"/>
      <c r="L30" s="307"/>
      <c r="M30" s="307"/>
      <c r="N30" s="307"/>
      <c r="O30" s="307"/>
      <c r="P30" s="307"/>
      <c r="Q30" s="307"/>
      <c r="R30" s="307"/>
      <c r="S30" s="307"/>
      <c r="T30" s="307"/>
      <c r="U30" s="307"/>
      <c r="V30" s="307"/>
      <c r="W30" s="307"/>
      <c r="X30" s="307"/>
      <c r="Y30" s="307"/>
      <c r="Z30" s="307"/>
      <c r="AA30" s="307"/>
      <c r="AB30" s="308"/>
      <c r="AD30" s="125"/>
      <c r="AE30" s="305"/>
      <c r="AF30" s="305"/>
      <c r="AG30" s="305"/>
      <c r="AH30" s="305"/>
      <c r="AI30" s="305"/>
      <c r="AJ30" s="305"/>
      <c r="AK30" s="305"/>
      <c r="AL30" s="305"/>
      <c r="AM30" s="305"/>
      <c r="AN30" s="305"/>
      <c r="AO30" s="305"/>
      <c r="AP30" s="305"/>
    </row>
    <row r="31" spans="1:43" ht="36.75" customHeight="1" thickBot="1" x14ac:dyDescent="0.4">
      <c r="B31" s="309"/>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c r="AA31" s="310"/>
      <c r="AB31" s="311"/>
      <c r="AD31" s="125"/>
      <c r="AE31" s="305"/>
      <c r="AF31" s="305"/>
      <c r="AG31" s="305"/>
      <c r="AH31" s="305"/>
      <c r="AI31" s="305"/>
      <c r="AJ31" s="305"/>
      <c r="AK31" s="305"/>
      <c r="AL31" s="305"/>
      <c r="AM31" s="305"/>
      <c r="AN31" s="305"/>
      <c r="AO31" s="305"/>
      <c r="AP31" s="305"/>
    </row>
    <row r="32" spans="1:43" s="119" customFormat="1" ht="6" customHeight="1" thickBot="1" x14ac:dyDescent="0.4">
      <c r="A32" s="130"/>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4"/>
      <c r="AD32" s="125"/>
      <c r="AE32" s="139"/>
      <c r="AF32" s="139"/>
      <c r="AG32" s="139"/>
      <c r="AH32" s="139"/>
      <c r="AI32" s="139"/>
      <c r="AJ32" s="139"/>
      <c r="AK32" s="139"/>
      <c r="AL32" s="139"/>
      <c r="AM32" s="139"/>
      <c r="AN32" s="139"/>
      <c r="AO32" s="139"/>
      <c r="AP32" s="139"/>
    </row>
    <row r="33" spans="1:42" ht="12" customHeight="1" thickBot="1" x14ac:dyDescent="0.4">
      <c r="B33" s="318" t="s">
        <v>11</v>
      </c>
      <c r="C33" s="319"/>
      <c r="D33" s="319"/>
      <c r="E33" s="319"/>
      <c r="F33" s="319"/>
      <c r="G33" s="319"/>
      <c r="H33" s="319"/>
      <c r="I33" s="319"/>
      <c r="J33" s="319"/>
      <c r="K33" s="319"/>
      <c r="L33" s="319"/>
      <c r="M33" s="319"/>
      <c r="N33" s="319"/>
      <c r="O33" s="319"/>
      <c r="P33" s="319"/>
      <c r="Q33" s="319"/>
      <c r="R33" s="319"/>
      <c r="S33" s="319"/>
      <c r="T33" s="319"/>
      <c r="U33" s="319"/>
      <c r="V33" s="319"/>
      <c r="W33" s="319"/>
      <c r="X33" s="319"/>
      <c r="Y33" s="319"/>
      <c r="Z33" s="319"/>
      <c r="AA33" s="319"/>
      <c r="AB33" s="320"/>
      <c r="AD33" s="125" t="s">
        <v>323</v>
      </c>
      <c r="AE33" s="305" t="s">
        <v>333</v>
      </c>
      <c r="AF33" s="305"/>
      <c r="AG33" s="305"/>
      <c r="AH33" s="305"/>
      <c r="AI33" s="305"/>
      <c r="AJ33" s="305"/>
      <c r="AK33" s="305"/>
      <c r="AL33" s="305"/>
      <c r="AM33" s="305"/>
      <c r="AN33" s="305"/>
      <c r="AO33" s="305"/>
      <c r="AP33" s="305"/>
    </row>
    <row r="34" spans="1:42" ht="6" customHeight="1" thickBot="1" x14ac:dyDescent="0.4">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D34" s="125"/>
      <c r="AE34" s="305"/>
      <c r="AF34" s="305"/>
      <c r="AG34" s="305"/>
      <c r="AH34" s="305"/>
      <c r="AI34" s="305"/>
      <c r="AJ34" s="305"/>
      <c r="AK34" s="305"/>
      <c r="AL34" s="305"/>
      <c r="AM34" s="305"/>
      <c r="AN34" s="305"/>
      <c r="AO34" s="305"/>
      <c r="AP34" s="305"/>
    </row>
    <row r="35" spans="1:42" ht="12.75" customHeight="1" x14ac:dyDescent="0.35">
      <c r="B35" s="315" t="s">
        <v>324</v>
      </c>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7"/>
      <c r="AD35" s="125"/>
      <c r="AE35" s="305"/>
      <c r="AF35" s="305"/>
      <c r="AG35" s="305"/>
      <c r="AH35" s="305"/>
      <c r="AI35" s="305"/>
      <c r="AJ35" s="305"/>
      <c r="AK35" s="305"/>
      <c r="AL35" s="305"/>
      <c r="AM35" s="305"/>
      <c r="AN35" s="305"/>
      <c r="AO35" s="305"/>
      <c r="AP35" s="305"/>
    </row>
    <row r="36" spans="1:42" ht="24" customHeight="1" x14ac:dyDescent="0.35">
      <c r="B36" s="326" t="s">
        <v>311</v>
      </c>
      <c r="C36" s="327"/>
      <c r="D36" s="314" t="s">
        <v>285</v>
      </c>
      <c r="E36" s="314"/>
      <c r="F36" s="314" t="s">
        <v>312</v>
      </c>
      <c r="G36" s="314"/>
      <c r="H36" s="314"/>
      <c r="I36" s="314"/>
      <c r="J36" s="312" t="s">
        <v>12</v>
      </c>
      <c r="K36" s="312"/>
      <c r="L36" s="312"/>
      <c r="M36" s="312"/>
      <c r="N36" s="312"/>
      <c r="O36" s="312"/>
      <c r="P36" s="312"/>
      <c r="Q36" s="312"/>
      <c r="R36" s="312"/>
      <c r="S36" s="312"/>
      <c r="T36" s="312"/>
      <c r="U36" s="312"/>
      <c r="V36" s="312"/>
      <c r="W36" s="312"/>
      <c r="X36" s="312"/>
      <c r="Y36" s="312"/>
      <c r="Z36" s="312"/>
      <c r="AA36" s="312"/>
      <c r="AB36" s="313"/>
      <c r="AD36" s="125"/>
      <c r="AE36" s="305"/>
      <c r="AF36" s="305"/>
      <c r="AG36" s="305"/>
      <c r="AH36" s="305"/>
      <c r="AI36" s="305"/>
      <c r="AJ36" s="305"/>
      <c r="AK36" s="305"/>
      <c r="AL36" s="305"/>
      <c r="AM36" s="305"/>
      <c r="AN36" s="305"/>
      <c r="AO36" s="305"/>
      <c r="AP36" s="305"/>
    </row>
    <row r="37" spans="1:42" ht="54" customHeight="1" x14ac:dyDescent="0.35">
      <c r="A37" s="144">
        <f>COUNTA(B$37:B37)</f>
        <v>1</v>
      </c>
      <c r="B37" s="294" t="str">
        <f>IF(J37="","",CONCATENATE($B$12,"-NC-",COUNTA(J$37:J37),"-",IFERROR(VLOOKUP($N$12,'Auditorias Prog.'!$C:$G,5,0),"Error")))</f>
        <v/>
      </c>
      <c r="C37" s="295"/>
      <c r="D37" s="296"/>
      <c r="E37" s="296"/>
      <c r="F37" s="296"/>
      <c r="G37" s="296"/>
      <c r="H37" s="296"/>
      <c r="I37" s="296"/>
      <c r="J37" s="297"/>
      <c r="K37" s="297"/>
      <c r="L37" s="297"/>
      <c r="M37" s="297"/>
      <c r="N37" s="297"/>
      <c r="O37" s="297"/>
      <c r="P37" s="297"/>
      <c r="Q37" s="297"/>
      <c r="R37" s="297"/>
      <c r="S37" s="297"/>
      <c r="T37" s="297"/>
      <c r="U37" s="297"/>
      <c r="V37" s="297"/>
      <c r="W37" s="297"/>
      <c r="X37" s="297"/>
      <c r="Y37" s="297"/>
      <c r="Z37" s="297"/>
      <c r="AA37" s="297"/>
      <c r="AB37" s="298"/>
      <c r="AD37" s="125"/>
      <c r="AE37" s="305"/>
      <c r="AF37" s="305"/>
      <c r="AG37" s="305"/>
      <c r="AH37" s="305"/>
      <c r="AI37" s="305"/>
      <c r="AJ37" s="305"/>
      <c r="AK37" s="305"/>
      <c r="AL37" s="305"/>
      <c r="AM37" s="305"/>
      <c r="AN37" s="305"/>
      <c r="AO37" s="305"/>
      <c r="AP37" s="305"/>
    </row>
    <row r="38" spans="1:42" ht="54" customHeight="1" x14ac:dyDescent="0.35">
      <c r="A38" s="144">
        <f>COUNTA(B$37:B38)</f>
        <v>2</v>
      </c>
      <c r="B38" s="294" t="str">
        <f>IF(J38="","",CONCATENATE($B$12,"-NC-",COUNTA(J$37:J38),"-",IFERROR(VLOOKUP($N$12,'Auditorias Prog.'!$C:$G,5,0),"Error")))</f>
        <v/>
      </c>
      <c r="C38" s="295"/>
      <c r="D38" s="296"/>
      <c r="E38" s="296"/>
      <c r="F38" s="296"/>
      <c r="G38" s="296"/>
      <c r="H38" s="296"/>
      <c r="I38" s="296"/>
      <c r="J38" s="297"/>
      <c r="K38" s="297"/>
      <c r="L38" s="297"/>
      <c r="M38" s="297"/>
      <c r="N38" s="297"/>
      <c r="O38" s="297"/>
      <c r="P38" s="297"/>
      <c r="Q38" s="297"/>
      <c r="R38" s="297"/>
      <c r="S38" s="297"/>
      <c r="T38" s="297"/>
      <c r="U38" s="297"/>
      <c r="V38" s="297"/>
      <c r="W38" s="297"/>
      <c r="X38" s="297"/>
      <c r="Y38" s="297"/>
      <c r="Z38" s="297"/>
      <c r="AA38" s="297"/>
      <c r="AB38" s="298"/>
      <c r="AD38" s="125"/>
      <c r="AE38" s="305"/>
      <c r="AF38" s="305"/>
      <c r="AG38" s="305"/>
      <c r="AH38" s="305"/>
      <c r="AI38" s="305"/>
      <c r="AJ38" s="305"/>
      <c r="AK38" s="305"/>
      <c r="AL38" s="305"/>
      <c r="AM38" s="305"/>
      <c r="AN38" s="305"/>
      <c r="AO38" s="305"/>
      <c r="AP38" s="305"/>
    </row>
    <row r="39" spans="1:42" ht="54" customHeight="1" x14ac:dyDescent="0.35">
      <c r="A39" s="144">
        <f>COUNTA(B$37:B39)</f>
        <v>3</v>
      </c>
      <c r="B39" s="294" t="str">
        <f>IF(J39="","",CONCATENATE($B$12,"-NC-",COUNTA(J$37:J39),"-",IFERROR(VLOOKUP($N$12,'Auditorias Prog.'!$C:$G,5,0),"Error")))</f>
        <v/>
      </c>
      <c r="C39" s="295"/>
      <c r="D39" s="296"/>
      <c r="E39" s="296"/>
      <c r="F39" s="296"/>
      <c r="G39" s="296"/>
      <c r="H39" s="296"/>
      <c r="I39" s="296"/>
      <c r="J39" s="297"/>
      <c r="K39" s="297"/>
      <c r="L39" s="297"/>
      <c r="M39" s="297"/>
      <c r="N39" s="297"/>
      <c r="O39" s="297"/>
      <c r="P39" s="297"/>
      <c r="Q39" s="297"/>
      <c r="R39" s="297"/>
      <c r="S39" s="297"/>
      <c r="T39" s="297"/>
      <c r="U39" s="297"/>
      <c r="V39" s="297"/>
      <c r="W39" s="297"/>
      <c r="X39" s="297"/>
      <c r="Y39" s="297"/>
      <c r="Z39" s="297"/>
      <c r="AA39" s="297"/>
      <c r="AB39" s="298"/>
      <c r="AD39" s="134" t="s">
        <v>334</v>
      </c>
      <c r="AE39" s="305" t="s">
        <v>335</v>
      </c>
      <c r="AF39" s="305"/>
      <c r="AG39" s="305"/>
      <c r="AH39" s="305"/>
      <c r="AI39" s="305"/>
      <c r="AJ39" s="305"/>
      <c r="AK39" s="305"/>
      <c r="AL39" s="305"/>
      <c r="AM39" s="305"/>
      <c r="AN39" s="305"/>
      <c r="AO39" s="305"/>
      <c r="AP39" s="305"/>
    </row>
    <row r="40" spans="1:42" ht="54" customHeight="1" x14ac:dyDescent="0.35">
      <c r="A40" s="144">
        <f>COUNTA(B$37:B40)</f>
        <v>4</v>
      </c>
      <c r="B40" s="294" t="str">
        <f>IF(J40="","",CONCATENATE($B$12,"-NC-",COUNTA(J$37:J40),"-",IFERROR(VLOOKUP($N$12,'Auditorias Prog.'!$C:$G,5,0),"Error")))</f>
        <v/>
      </c>
      <c r="C40" s="295"/>
      <c r="D40" s="296"/>
      <c r="E40" s="296"/>
      <c r="F40" s="296"/>
      <c r="G40" s="296"/>
      <c r="H40" s="296"/>
      <c r="I40" s="296"/>
      <c r="J40" s="297"/>
      <c r="K40" s="297"/>
      <c r="L40" s="297"/>
      <c r="M40" s="297"/>
      <c r="N40" s="297"/>
      <c r="O40" s="297"/>
      <c r="P40" s="297"/>
      <c r="Q40" s="297"/>
      <c r="R40" s="297"/>
      <c r="S40" s="297"/>
      <c r="T40" s="297"/>
      <c r="U40" s="297"/>
      <c r="V40" s="297"/>
      <c r="W40" s="297"/>
      <c r="X40" s="297"/>
      <c r="Y40" s="297"/>
      <c r="Z40" s="297"/>
      <c r="AA40" s="297"/>
      <c r="AB40" s="298"/>
    </row>
    <row r="41" spans="1:42" ht="54" customHeight="1" x14ac:dyDescent="0.35">
      <c r="A41" s="144">
        <f>COUNTA(B$37:B41)</f>
        <v>5</v>
      </c>
      <c r="B41" s="294" t="str">
        <f>IF(J41="","",CONCATENATE($B$12,"-NC-",COUNTA(J$37:J41),"-",IFERROR(VLOOKUP($N$12,'Auditorias Prog.'!$C:$G,5,0),"Error")))</f>
        <v/>
      </c>
      <c r="C41" s="295"/>
      <c r="D41" s="296"/>
      <c r="E41" s="296"/>
      <c r="F41" s="296"/>
      <c r="G41" s="296"/>
      <c r="H41" s="296"/>
      <c r="I41" s="296"/>
      <c r="J41" s="297"/>
      <c r="K41" s="297"/>
      <c r="L41" s="297"/>
      <c r="M41" s="297"/>
      <c r="N41" s="297"/>
      <c r="O41" s="297"/>
      <c r="P41" s="297"/>
      <c r="Q41" s="297"/>
      <c r="R41" s="297"/>
      <c r="S41" s="297"/>
      <c r="T41" s="297"/>
      <c r="U41" s="297"/>
      <c r="V41" s="297"/>
      <c r="W41" s="297"/>
      <c r="X41" s="297"/>
      <c r="Y41" s="297"/>
      <c r="Z41" s="297"/>
      <c r="AA41" s="297"/>
      <c r="AB41" s="298"/>
    </row>
    <row r="42" spans="1:42" ht="54" customHeight="1" x14ac:dyDescent="0.35">
      <c r="A42" s="144">
        <f>COUNTA(B$37:B42)</f>
        <v>6</v>
      </c>
      <c r="B42" s="294" t="str">
        <f>IF(J42="","",CONCATENATE($B$12,"-NC-",COUNTA(J$37:J42),"-",IFERROR(VLOOKUP($N$12,'Auditorias Prog.'!$C:$G,5,0),"Error")))</f>
        <v/>
      </c>
      <c r="C42" s="295"/>
      <c r="D42" s="296"/>
      <c r="E42" s="296"/>
      <c r="F42" s="296"/>
      <c r="G42" s="296"/>
      <c r="H42" s="296"/>
      <c r="I42" s="296"/>
      <c r="J42" s="297"/>
      <c r="K42" s="297"/>
      <c r="L42" s="297"/>
      <c r="M42" s="297"/>
      <c r="N42" s="297"/>
      <c r="O42" s="297"/>
      <c r="P42" s="297"/>
      <c r="Q42" s="297"/>
      <c r="R42" s="297"/>
      <c r="S42" s="297"/>
      <c r="T42" s="297"/>
      <c r="U42" s="297"/>
      <c r="V42" s="297"/>
      <c r="W42" s="297"/>
      <c r="X42" s="297"/>
      <c r="Y42" s="297"/>
      <c r="Z42" s="297"/>
      <c r="AA42" s="297"/>
      <c r="AB42" s="298"/>
    </row>
    <row r="43" spans="1:42" ht="54" customHeight="1" x14ac:dyDescent="0.35">
      <c r="A43" s="144">
        <f>COUNTA(B$37:B43)</f>
        <v>7</v>
      </c>
      <c r="B43" s="294" t="str">
        <f>IF(J43="","",CONCATENATE($B$12,"-NC-",COUNTA(J$37:J43),"-",IFERROR(VLOOKUP($N$12,'Auditorias Prog.'!$C:$G,5,0),"Error")))</f>
        <v/>
      </c>
      <c r="C43" s="295"/>
      <c r="D43" s="296"/>
      <c r="E43" s="296"/>
      <c r="F43" s="296"/>
      <c r="G43" s="296"/>
      <c r="H43" s="296"/>
      <c r="I43" s="296"/>
      <c r="J43" s="297"/>
      <c r="K43" s="297"/>
      <c r="L43" s="297"/>
      <c r="M43" s="297"/>
      <c r="N43" s="297"/>
      <c r="O43" s="297"/>
      <c r="P43" s="297"/>
      <c r="Q43" s="297"/>
      <c r="R43" s="297"/>
      <c r="S43" s="297"/>
      <c r="T43" s="297"/>
      <c r="U43" s="297"/>
      <c r="V43" s="297"/>
      <c r="W43" s="297"/>
      <c r="X43" s="297"/>
      <c r="Y43" s="297"/>
      <c r="Z43" s="297"/>
      <c r="AA43" s="297"/>
      <c r="AB43" s="298"/>
    </row>
    <row r="44" spans="1:42" ht="54" customHeight="1" x14ac:dyDescent="0.35">
      <c r="A44" s="144">
        <f>COUNTA(B$37:B44)</f>
        <v>8</v>
      </c>
      <c r="B44" s="294" t="str">
        <f>IF(J44="","",CONCATENATE($B$12,"-NC-",COUNTA(J$37:J44),"-",IFERROR(VLOOKUP($N$12,'Auditorias Prog.'!$C:$G,5,0),"Error")))</f>
        <v/>
      </c>
      <c r="C44" s="295"/>
      <c r="D44" s="296"/>
      <c r="E44" s="296"/>
      <c r="F44" s="296"/>
      <c r="G44" s="296"/>
      <c r="H44" s="296"/>
      <c r="I44" s="296"/>
      <c r="J44" s="297"/>
      <c r="K44" s="297"/>
      <c r="L44" s="297"/>
      <c r="M44" s="297"/>
      <c r="N44" s="297"/>
      <c r="O44" s="297"/>
      <c r="P44" s="297"/>
      <c r="Q44" s="297"/>
      <c r="R44" s="297"/>
      <c r="S44" s="297"/>
      <c r="T44" s="297"/>
      <c r="U44" s="297"/>
      <c r="V44" s="297"/>
      <c r="W44" s="297"/>
      <c r="X44" s="297"/>
      <c r="Y44" s="297"/>
      <c r="Z44" s="297"/>
      <c r="AA44" s="297"/>
      <c r="AB44" s="298"/>
    </row>
    <row r="45" spans="1:42" ht="54" customHeight="1" x14ac:dyDescent="0.35">
      <c r="A45" s="144">
        <f>COUNTA(B$37:B45)</f>
        <v>9</v>
      </c>
      <c r="B45" s="294" t="str">
        <f>IF(J45="","",CONCATENATE($B$12,"-NC-",COUNTA(J$37:J45),"-",IFERROR(VLOOKUP($N$12,'Auditorias Prog.'!$C:$G,5,0),"Error")))</f>
        <v/>
      </c>
      <c r="C45" s="295"/>
      <c r="D45" s="296"/>
      <c r="E45" s="296"/>
      <c r="F45" s="296"/>
      <c r="G45" s="296"/>
      <c r="H45" s="296"/>
      <c r="I45" s="296"/>
      <c r="J45" s="297"/>
      <c r="K45" s="297"/>
      <c r="L45" s="297"/>
      <c r="M45" s="297"/>
      <c r="N45" s="297"/>
      <c r="O45" s="297"/>
      <c r="P45" s="297"/>
      <c r="Q45" s="297"/>
      <c r="R45" s="297"/>
      <c r="S45" s="297"/>
      <c r="T45" s="297"/>
      <c r="U45" s="297"/>
      <c r="V45" s="297"/>
      <c r="W45" s="297"/>
      <c r="X45" s="297"/>
      <c r="Y45" s="297"/>
      <c r="Z45" s="297"/>
      <c r="AA45" s="297"/>
      <c r="AB45" s="298"/>
    </row>
    <row r="46" spans="1:42" ht="54" customHeight="1" x14ac:dyDescent="0.35">
      <c r="A46" s="144">
        <f>COUNTA(B$37:B46)</f>
        <v>10</v>
      </c>
      <c r="B46" s="324" t="str">
        <f>IF(J46="","",CONCATENATE($B$12,"-NC-",COUNTA(J$37:J46),"-",IFERROR(VLOOKUP($N$12,'Auditorias Prog.'!$C:$G,5,0),"Error")))</f>
        <v/>
      </c>
      <c r="C46" s="325"/>
      <c r="D46" s="321"/>
      <c r="E46" s="321"/>
      <c r="F46" s="321"/>
      <c r="G46" s="321"/>
      <c r="H46" s="321"/>
      <c r="I46" s="321"/>
      <c r="J46" s="322"/>
      <c r="K46" s="322"/>
      <c r="L46" s="322"/>
      <c r="M46" s="322"/>
      <c r="N46" s="322"/>
      <c r="O46" s="322"/>
      <c r="P46" s="322"/>
      <c r="Q46" s="322"/>
      <c r="R46" s="322"/>
      <c r="S46" s="322"/>
      <c r="T46" s="322"/>
      <c r="U46" s="322"/>
      <c r="V46" s="322"/>
      <c r="W46" s="322"/>
      <c r="X46" s="322"/>
      <c r="Y46" s="322"/>
      <c r="Z46" s="322"/>
      <c r="AA46" s="322"/>
      <c r="AB46" s="323"/>
    </row>
    <row r="47" spans="1:42" ht="6" customHeight="1" thickBot="1" x14ac:dyDescent="0.4">
      <c r="A47" s="144">
        <f>COUNTA(B$37:B47)</f>
        <v>10</v>
      </c>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c r="AA47" s="123"/>
      <c r="AB47" s="123"/>
    </row>
    <row r="48" spans="1:42" ht="12.75" customHeight="1" x14ac:dyDescent="0.35">
      <c r="B48" s="315" t="s">
        <v>325</v>
      </c>
      <c r="C48" s="316"/>
      <c r="D48" s="316"/>
      <c r="E48" s="316"/>
      <c r="F48" s="316"/>
      <c r="G48" s="316"/>
      <c r="H48" s="316"/>
      <c r="I48" s="316"/>
      <c r="J48" s="316"/>
      <c r="K48" s="316"/>
      <c r="L48" s="316"/>
      <c r="M48" s="316"/>
      <c r="N48" s="316"/>
      <c r="O48" s="316"/>
      <c r="P48" s="316"/>
      <c r="Q48" s="316"/>
      <c r="R48" s="316"/>
      <c r="S48" s="316"/>
      <c r="T48" s="316"/>
      <c r="U48" s="316"/>
      <c r="V48" s="316"/>
      <c r="W48" s="316"/>
      <c r="X48" s="316"/>
      <c r="Y48" s="316"/>
      <c r="Z48" s="316"/>
      <c r="AA48" s="316"/>
      <c r="AB48" s="317"/>
      <c r="AD48" s="133"/>
    </row>
    <row r="49" spans="1:30" ht="24" customHeight="1" x14ac:dyDescent="0.35">
      <c r="B49" s="326" t="s">
        <v>313</v>
      </c>
      <c r="C49" s="327"/>
      <c r="D49" s="314" t="s">
        <v>285</v>
      </c>
      <c r="E49" s="314"/>
      <c r="F49" s="314" t="s">
        <v>312</v>
      </c>
      <c r="G49" s="314"/>
      <c r="H49" s="314"/>
      <c r="I49" s="314"/>
      <c r="J49" s="312" t="s">
        <v>358</v>
      </c>
      <c r="K49" s="312"/>
      <c r="L49" s="312"/>
      <c r="M49" s="312"/>
      <c r="N49" s="312"/>
      <c r="O49" s="312"/>
      <c r="P49" s="312"/>
      <c r="Q49" s="312"/>
      <c r="R49" s="312"/>
      <c r="S49" s="312"/>
      <c r="T49" s="312"/>
      <c r="U49" s="312"/>
      <c r="V49" s="312"/>
      <c r="W49" s="312"/>
      <c r="X49" s="312"/>
      <c r="Y49" s="312"/>
      <c r="Z49" s="312"/>
      <c r="AA49" s="312"/>
      <c r="AB49" s="313"/>
      <c r="AD49" s="133"/>
    </row>
    <row r="50" spans="1:30" ht="54" customHeight="1" x14ac:dyDescent="0.35">
      <c r="A50" s="144">
        <f>COUNTA(B$50:B50)</f>
        <v>1</v>
      </c>
      <c r="B50" s="294" t="str">
        <f>IF(J50="","",CONCATENATE($B$12,"-OB-",COUNTA(J$50:J50),"-",IFERROR(VLOOKUP($N$12,'Auditorias Prog.'!$C:$G,5,0),"Error")))</f>
        <v/>
      </c>
      <c r="C50" s="295"/>
      <c r="D50" s="296"/>
      <c r="E50" s="296"/>
      <c r="F50" s="296"/>
      <c r="G50" s="296"/>
      <c r="H50" s="296"/>
      <c r="I50" s="296"/>
      <c r="J50" s="297"/>
      <c r="K50" s="297"/>
      <c r="L50" s="297"/>
      <c r="M50" s="297"/>
      <c r="N50" s="297"/>
      <c r="O50" s="297"/>
      <c r="P50" s="297"/>
      <c r="Q50" s="297"/>
      <c r="R50" s="297"/>
      <c r="S50" s="297"/>
      <c r="T50" s="297"/>
      <c r="U50" s="297"/>
      <c r="V50" s="297"/>
      <c r="W50" s="297"/>
      <c r="X50" s="297"/>
      <c r="Y50" s="297"/>
      <c r="Z50" s="297"/>
      <c r="AA50" s="297"/>
      <c r="AB50" s="298"/>
      <c r="AD50" s="133"/>
    </row>
    <row r="51" spans="1:30" ht="54" customHeight="1" x14ac:dyDescent="0.35">
      <c r="A51" s="144">
        <f>COUNTA(B$50:B51)</f>
        <v>2</v>
      </c>
      <c r="B51" s="294" t="str">
        <f>IF(J51="","",CONCATENATE($B$12,"-OB-",COUNTA(J$50:J51),"-",IFERROR(VLOOKUP($N$12,'Auditorias Prog.'!$C:$G,5,0),"Error")))</f>
        <v/>
      </c>
      <c r="C51" s="295"/>
      <c r="D51" s="296"/>
      <c r="E51" s="296"/>
      <c r="F51" s="296"/>
      <c r="G51" s="296"/>
      <c r="H51" s="296"/>
      <c r="I51" s="296"/>
      <c r="J51" s="297"/>
      <c r="K51" s="297"/>
      <c r="L51" s="297"/>
      <c r="M51" s="297"/>
      <c r="N51" s="297"/>
      <c r="O51" s="297"/>
      <c r="P51" s="297"/>
      <c r="Q51" s="297"/>
      <c r="R51" s="297"/>
      <c r="S51" s="297"/>
      <c r="T51" s="297"/>
      <c r="U51" s="297"/>
      <c r="V51" s="297"/>
      <c r="W51" s="297"/>
      <c r="X51" s="297"/>
      <c r="Y51" s="297"/>
      <c r="Z51" s="297"/>
      <c r="AA51" s="297"/>
      <c r="AB51" s="298"/>
      <c r="AD51" s="133"/>
    </row>
    <row r="52" spans="1:30" ht="54" customHeight="1" x14ac:dyDescent="0.35">
      <c r="A52" s="144">
        <f>COUNTA(B$50:B52)</f>
        <v>3</v>
      </c>
      <c r="B52" s="294" t="str">
        <f>IF(J52="","",CONCATENATE($B$12,"-OB-",COUNTA(J$50:J52),"-",IFERROR(VLOOKUP($N$12,'Auditorias Prog.'!$C:$G,5,0),"Error")))</f>
        <v/>
      </c>
      <c r="C52" s="295"/>
      <c r="D52" s="296"/>
      <c r="E52" s="296"/>
      <c r="F52" s="296"/>
      <c r="G52" s="296"/>
      <c r="H52" s="296"/>
      <c r="I52" s="296"/>
      <c r="J52" s="297"/>
      <c r="K52" s="297"/>
      <c r="L52" s="297"/>
      <c r="M52" s="297"/>
      <c r="N52" s="297"/>
      <c r="O52" s="297"/>
      <c r="P52" s="297"/>
      <c r="Q52" s="297"/>
      <c r="R52" s="297"/>
      <c r="S52" s="297"/>
      <c r="T52" s="297"/>
      <c r="U52" s="297"/>
      <c r="V52" s="297"/>
      <c r="W52" s="297"/>
      <c r="X52" s="297"/>
      <c r="Y52" s="297"/>
      <c r="Z52" s="297"/>
      <c r="AA52" s="297"/>
      <c r="AB52" s="298"/>
      <c r="AD52" s="133"/>
    </row>
    <row r="53" spans="1:30" ht="54" customHeight="1" x14ac:dyDescent="0.35">
      <c r="A53" s="144">
        <f>COUNTA(B$50:B53)</f>
        <v>4</v>
      </c>
      <c r="B53" s="294" t="str">
        <f>IF(J53="","",CONCATENATE($B$12,"-OB-",COUNTA(J$50:J53),"-",IFERROR(VLOOKUP($N$12,'Auditorias Prog.'!$C:$G,5,0),"Error")))</f>
        <v/>
      </c>
      <c r="C53" s="295"/>
      <c r="D53" s="296"/>
      <c r="E53" s="296"/>
      <c r="F53" s="296"/>
      <c r="G53" s="296"/>
      <c r="H53" s="296"/>
      <c r="I53" s="296"/>
      <c r="J53" s="297"/>
      <c r="K53" s="297"/>
      <c r="L53" s="297"/>
      <c r="M53" s="297"/>
      <c r="N53" s="297"/>
      <c r="O53" s="297"/>
      <c r="P53" s="297"/>
      <c r="Q53" s="297"/>
      <c r="R53" s="297"/>
      <c r="S53" s="297"/>
      <c r="T53" s="297"/>
      <c r="U53" s="297"/>
      <c r="V53" s="297"/>
      <c r="W53" s="297"/>
      <c r="X53" s="297"/>
      <c r="Y53" s="297"/>
      <c r="Z53" s="297"/>
      <c r="AA53" s="297"/>
      <c r="AB53" s="298"/>
    </row>
    <row r="54" spans="1:30" ht="54" customHeight="1" x14ac:dyDescent="0.35">
      <c r="A54" s="144">
        <f>COUNTA(B$50:B54)</f>
        <v>5</v>
      </c>
      <c r="B54" s="294" t="str">
        <f>IF(J54="","",CONCATENATE($B$12,"-OB-",COUNTA(J$50:J54),"-",IFERROR(VLOOKUP($N$12,'Auditorias Prog.'!$C:$G,5,0),"Error")))</f>
        <v/>
      </c>
      <c r="C54" s="295"/>
      <c r="D54" s="296"/>
      <c r="E54" s="296"/>
      <c r="F54" s="296"/>
      <c r="G54" s="296"/>
      <c r="H54" s="296"/>
      <c r="I54" s="296"/>
      <c r="J54" s="297"/>
      <c r="K54" s="297"/>
      <c r="L54" s="297"/>
      <c r="M54" s="297"/>
      <c r="N54" s="297"/>
      <c r="O54" s="297"/>
      <c r="P54" s="297"/>
      <c r="Q54" s="297"/>
      <c r="R54" s="297"/>
      <c r="S54" s="297"/>
      <c r="T54" s="297"/>
      <c r="U54" s="297"/>
      <c r="V54" s="297"/>
      <c r="W54" s="297"/>
      <c r="X54" s="297"/>
      <c r="Y54" s="297"/>
      <c r="Z54" s="297"/>
      <c r="AA54" s="297"/>
      <c r="AB54" s="298"/>
    </row>
    <row r="55" spans="1:30" ht="54" customHeight="1" x14ac:dyDescent="0.35">
      <c r="A55" s="144">
        <f>COUNTA(B$50:B55)</f>
        <v>6</v>
      </c>
      <c r="B55" s="294" t="str">
        <f>IF(J55="","",CONCATENATE($B$12,"-OB-",COUNTA(J$50:J55),"-",IFERROR(VLOOKUP($N$12,'Auditorias Prog.'!$C:$G,5,0),"Error")))</f>
        <v/>
      </c>
      <c r="C55" s="295"/>
      <c r="D55" s="296"/>
      <c r="E55" s="296"/>
      <c r="F55" s="296"/>
      <c r="G55" s="296"/>
      <c r="H55" s="296"/>
      <c r="I55" s="296"/>
      <c r="J55" s="297"/>
      <c r="K55" s="297"/>
      <c r="L55" s="297"/>
      <c r="M55" s="297"/>
      <c r="N55" s="297"/>
      <c r="O55" s="297"/>
      <c r="P55" s="297"/>
      <c r="Q55" s="297"/>
      <c r="R55" s="297"/>
      <c r="S55" s="297"/>
      <c r="T55" s="297"/>
      <c r="U55" s="297"/>
      <c r="V55" s="297"/>
      <c r="W55" s="297"/>
      <c r="X55" s="297"/>
      <c r="Y55" s="297"/>
      <c r="Z55" s="297"/>
      <c r="AA55" s="297"/>
      <c r="AB55" s="298"/>
    </row>
    <row r="56" spans="1:30" ht="54" customHeight="1" x14ac:dyDescent="0.35">
      <c r="A56" s="144">
        <f>COUNTA(B$50:B56)</f>
        <v>7</v>
      </c>
      <c r="B56" s="294" t="str">
        <f>IF(J56="","",CONCATENATE($B$12,"-OB-",COUNTA(J$50:J56),"-",IFERROR(VLOOKUP($N$12,'Auditorias Prog.'!$C:$G,5,0),"Error")))</f>
        <v/>
      </c>
      <c r="C56" s="295"/>
      <c r="D56" s="296"/>
      <c r="E56" s="296"/>
      <c r="F56" s="296"/>
      <c r="G56" s="296"/>
      <c r="H56" s="296"/>
      <c r="I56" s="296"/>
      <c r="J56" s="297"/>
      <c r="K56" s="297"/>
      <c r="L56" s="297"/>
      <c r="M56" s="297"/>
      <c r="N56" s="297"/>
      <c r="O56" s="297"/>
      <c r="P56" s="297"/>
      <c r="Q56" s="297"/>
      <c r="R56" s="297"/>
      <c r="S56" s="297"/>
      <c r="T56" s="297"/>
      <c r="U56" s="297"/>
      <c r="V56" s="297"/>
      <c r="W56" s="297"/>
      <c r="X56" s="297"/>
      <c r="Y56" s="297"/>
      <c r="Z56" s="297"/>
      <c r="AA56" s="297"/>
      <c r="AB56" s="298"/>
    </row>
    <row r="57" spans="1:30" ht="54" customHeight="1" x14ac:dyDescent="0.35">
      <c r="A57" s="144">
        <f>COUNTA(B$50:B57)</f>
        <v>8</v>
      </c>
      <c r="B57" s="294" t="str">
        <f>IF(J57="","",CONCATENATE($B$12,"-OB-",COUNTA(J$50:J57),"-",IFERROR(VLOOKUP($N$12,'Auditorias Prog.'!$C:$G,5,0),"Error")))</f>
        <v/>
      </c>
      <c r="C57" s="295"/>
      <c r="D57" s="296"/>
      <c r="E57" s="296"/>
      <c r="F57" s="296"/>
      <c r="G57" s="296"/>
      <c r="H57" s="296"/>
      <c r="I57" s="296"/>
      <c r="J57" s="297"/>
      <c r="K57" s="297"/>
      <c r="L57" s="297"/>
      <c r="M57" s="297"/>
      <c r="N57" s="297"/>
      <c r="O57" s="297"/>
      <c r="P57" s="297"/>
      <c r="Q57" s="297"/>
      <c r="R57" s="297"/>
      <c r="S57" s="297"/>
      <c r="T57" s="297"/>
      <c r="U57" s="297"/>
      <c r="V57" s="297"/>
      <c r="W57" s="297"/>
      <c r="X57" s="297"/>
      <c r="Y57" s="297"/>
      <c r="Z57" s="297"/>
      <c r="AA57" s="297"/>
      <c r="AB57" s="298"/>
    </row>
    <row r="58" spans="1:30" ht="54" customHeight="1" x14ac:dyDescent="0.35">
      <c r="A58" s="144">
        <f>COUNTA(B$50:B58)</f>
        <v>9</v>
      </c>
      <c r="B58" s="294" t="str">
        <f>IF(J58="","",CONCATENATE($B$12,"-OB-",COUNTA(J$50:J58),"-",IFERROR(VLOOKUP($N$12,'Auditorias Prog.'!$C:$G,5,0),"Error")))</f>
        <v/>
      </c>
      <c r="C58" s="295"/>
      <c r="D58" s="296"/>
      <c r="E58" s="296"/>
      <c r="F58" s="296"/>
      <c r="G58" s="296"/>
      <c r="H58" s="296"/>
      <c r="I58" s="296"/>
      <c r="J58" s="297"/>
      <c r="K58" s="297"/>
      <c r="L58" s="297"/>
      <c r="M58" s="297"/>
      <c r="N58" s="297"/>
      <c r="O58" s="297"/>
      <c r="P58" s="297"/>
      <c r="Q58" s="297"/>
      <c r="R58" s="297"/>
      <c r="S58" s="297"/>
      <c r="T58" s="297"/>
      <c r="U58" s="297"/>
      <c r="V58" s="297"/>
      <c r="W58" s="297"/>
      <c r="X58" s="297"/>
      <c r="Y58" s="297"/>
      <c r="Z58" s="297"/>
      <c r="AA58" s="297"/>
      <c r="AB58" s="298"/>
    </row>
    <row r="59" spans="1:30" ht="54" customHeight="1" x14ac:dyDescent="0.35">
      <c r="A59" s="144">
        <f>COUNTA(B$50:B59)</f>
        <v>10</v>
      </c>
      <c r="B59" s="324" t="str">
        <f>IF(J59="","",CONCATENATE($B$12,"-OB-",COUNTA(J$50:J59),"-",IFERROR(VLOOKUP($N$12,'Auditorias Prog.'!$C:$G,5,0),"Error")))</f>
        <v/>
      </c>
      <c r="C59" s="325"/>
      <c r="D59" s="321"/>
      <c r="E59" s="321"/>
      <c r="F59" s="321"/>
      <c r="G59" s="321"/>
      <c r="H59" s="321"/>
      <c r="I59" s="321"/>
      <c r="J59" s="322"/>
      <c r="K59" s="322"/>
      <c r="L59" s="322"/>
      <c r="M59" s="322"/>
      <c r="N59" s="322"/>
      <c r="O59" s="322"/>
      <c r="P59" s="322"/>
      <c r="Q59" s="322"/>
      <c r="R59" s="322"/>
      <c r="S59" s="322"/>
      <c r="T59" s="322"/>
      <c r="U59" s="322"/>
      <c r="V59" s="322"/>
      <c r="W59" s="322"/>
      <c r="X59" s="322"/>
      <c r="Y59" s="322"/>
      <c r="Z59" s="322"/>
      <c r="AA59" s="322"/>
      <c r="AB59" s="323"/>
    </row>
    <row r="60" spans="1:30" ht="6" customHeight="1" thickBot="1" x14ac:dyDescent="0.4">
      <c r="A60" s="144">
        <f>COUNTA(B$50:B60)</f>
        <v>10</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row>
    <row r="61" spans="1:30" ht="12" customHeight="1" thickBot="1" x14ac:dyDescent="0.4">
      <c r="B61" s="318" t="s">
        <v>314</v>
      </c>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20"/>
      <c r="AD61" s="133"/>
    </row>
    <row r="62" spans="1:30" ht="6" customHeight="1" thickBot="1" x14ac:dyDescent="0.4">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D62" s="133"/>
    </row>
    <row r="63" spans="1:30" ht="15" customHeight="1" x14ac:dyDescent="0.35">
      <c r="B63" s="328"/>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30"/>
    </row>
    <row r="64" spans="1:30" ht="15" customHeight="1" x14ac:dyDescent="0.35">
      <c r="B64" s="331"/>
      <c r="C64" s="332"/>
      <c r="D64" s="332"/>
      <c r="E64" s="332"/>
      <c r="F64" s="332"/>
      <c r="G64" s="332"/>
      <c r="H64" s="332"/>
      <c r="I64" s="332"/>
      <c r="J64" s="332"/>
      <c r="K64" s="332"/>
      <c r="L64" s="332"/>
      <c r="M64" s="332"/>
      <c r="N64" s="332"/>
      <c r="O64" s="332"/>
      <c r="P64" s="332"/>
      <c r="Q64" s="332"/>
      <c r="R64" s="332"/>
      <c r="S64" s="332"/>
      <c r="T64" s="332"/>
      <c r="U64" s="332"/>
      <c r="V64" s="332"/>
      <c r="W64" s="332"/>
      <c r="X64" s="332"/>
      <c r="Y64" s="332"/>
      <c r="Z64" s="332"/>
      <c r="AA64" s="332"/>
      <c r="AB64" s="333"/>
    </row>
    <row r="65" spans="1:29" ht="21" customHeight="1" thickBot="1" x14ac:dyDescent="0.4">
      <c r="B65" s="334"/>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6"/>
    </row>
    <row r="66" spans="1:29" ht="7.5" customHeight="1" thickBot="1" x14ac:dyDescent="0.4">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row>
    <row r="67" spans="1:29" ht="12.75" customHeight="1" x14ac:dyDescent="0.35">
      <c r="B67" s="343" t="s">
        <v>10</v>
      </c>
      <c r="C67" s="300"/>
      <c r="D67" s="300"/>
      <c r="E67" s="300"/>
      <c r="F67" s="300"/>
      <c r="G67" s="300"/>
      <c r="H67" s="300"/>
      <c r="I67" s="300"/>
      <c r="J67" s="265" t="s">
        <v>13</v>
      </c>
      <c r="K67" s="265"/>
      <c r="L67" s="265"/>
      <c r="M67" s="265"/>
      <c r="N67" s="266"/>
      <c r="O67" s="123"/>
      <c r="P67" s="343" t="s">
        <v>9</v>
      </c>
      <c r="Q67" s="300"/>
      <c r="R67" s="300"/>
      <c r="S67" s="300"/>
      <c r="T67" s="300"/>
      <c r="U67" s="300"/>
      <c r="V67" s="300"/>
      <c r="W67" s="300"/>
      <c r="X67" s="265" t="s">
        <v>13</v>
      </c>
      <c r="Y67" s="265"/>
      <c r="Z67" s="265"/>
      <c r="AA67" s="265"/>
      <c r="AB67" s="266"/>
    </row>
    <row r="68" spans="1:29" ht="25.5" customHeight="1" x14ac:dyDescent="0.35">
      <c r="B68" s="267" t="s">
        <v>6</v>
      </c>
      <c r="C68" s="268"/>
      <c r="D68" s="354">
        <f>M19</f>
        <v>0</v>
      </c>
      <c r="E68" s="355"/>
      <c r="F68" s="355"/>
      <c r="G68" s="355"/>
      <c r="H68" s="355"/>
      <c r="I68" s="356"/>
      <c r="J68" s="271"/>
      <c r="K68" s="271"/>
      <c r="L68" s="271"/>
      <c r="M68" s="271"/>
      <c r="N68" s="272"/>
      <c r="O68" s="123"/>
      <c r="P68" s="267" t="s">
        <v>6</v>
      </c>
      <c r="Q68" s="268"/>
      <c r="R68" s="269">
        <f>U19</f>
        <v>0</v>
      </c>
      <c r="S68" s="270"/>
      <c r="T68" s="270"/>
      <c r="U68" s="270"/>
      <c r="V68" s="270"/>
      <c r="W68" s="270"/>
      <c r="X68" s="271"/>
      <c r="Y68" s="271"/>
      <c r="Z68" s="271"/>
      <c r="AA68" s="271"/>
      <c r="AB68" s="272"/>
    </row>
    <row r="69" spans="1:29" ht="25.5" customHeight="1" thickBot="1" x14ac:dyDescent="0.4">
      <c r="B69" s="275" t="s">
        <v>7</v>
      </c>
      <c r="C69" s="276"/>
      <c r="D69" s="277"/>
      <c r="E69" s="278"/>
      <c r="F69" s="278"/>
      <c r="G69" s="278"/>
      <c r="H69" s="278"/>
      <c r="I69" s="278"/>
      <c r="J69" s="273"/>
      <c r="K69" s="273"/>
      <c r="L69" s="273"/>
      <c r="M69" s="273"/>
      <c r="N69" s="274"/>
      <c r="O69" s="123"/>
      <c r="P69" s="275" t="s">
        <v>7</v>
      </c>
      <c r="Q69" s="276"/>
      <c r="R69" s="277"/>
      <c r="S69" s="278"/>
      <c r="T69" s="278"/>
      <c r="U69" s="278"/>
      <c r="V69" s="278"/>
      <c r="W69" s="278"/>
      <c r="X69" s="273"/>
      <c r="Y69" s="273"/>
      <c r="Z69" s="273"/>
      <c r="AA69" s="273"/>
      <c r="AB69" s="274"/>
    </row>
    <row r="70" spans="1:29" ht="6" customHeight="1" thickBot="1" x14ac:dyDescent="0.4"/>
    <row r="71" spans="1:29" ht="23.5" customHeight="1" x14ac:dyDescent="0.35">
      <c r="B71" s="343" t="s">
        <v>8</v>
      </c>
      <c r="C71" s="300"/>
      <c r="D71" s="300"/>
      <c r="E71" s="300"/>
      <c r="F71" s="300"/>
      <c r="G71" s="300"/>
      <c r="H71" s="300"/>
      <c r="I71" s="300"/>
      <c r="J71" s="265" t="s">
        <v>13</v>
      </c>
      <c r="K71" s="265"/>
      <c r="L71" s="265"/>
      <c r="M71" s="265"/>
      <c r="N71" s="266"/>
      <c r="O71" s="123"/>
      <c r="P71" s="263" t="s">
        <v>553</v>
      </c>
      <c r="Q71" s="264"/>
      <c r="R71" s="264"/>
      <c r="S71" s="264"/>
      <c r="T71" s="264"/>
      <c r="U71" s="264"/>
      <c r="V71" s="264"/>
      <c r="W71" s="264"/>
      <c r="X71" s="265" t="s">
        <v>13</v>
      </c>
      <c r="Y71" s="265"/>
      <c r="Z71" s="265"/>
      <c r="AA71" s="265"/>
      <c r="AB71" s="266"/>
    </row>
    <row r="72" spans="1:29" ht="27.5" customHeight="1" x14ac:dyDescent="0.35">
      <c r="B72" s="267" t="s">
        <v>6</v>
      </c>
      <c r="C72" s="268"/>
      <c r="D72" s="354">
        <f>E19</f>
        <v>0</v>
      </c>
      <c r="E72" s="355"/>
      <c r="F72" s="355"/>
      <c r="G72" s="355"/>
      <c r="H72" s="355"/>
      <c r="I72" s="356"/>
      <c r="J72" s="271"/>
      <c r="K72" s="271"/>
      <c r="L72" s="271"/>
      <c r="M72" s="271"/>
      <c r="N72" s="272"/>
      <c r="O72" s="123"/>
      <c r="P72" s="267" t="s">
        <v>6</v>
      </c>
      <c r="Q72" s="268"/>
      <c r="R72" s="269">
        <f>X12</f>
        <v>0</v>
      </c>
      <c r="S72" s="270"/>
      <c r="T72" s="270"/>
      <c r="U72" s="270"/>
      <c r="V72" s="270"/>
      <c r="W72" s="270"/>
      <c r="X72" s="271"/>
      <c r="Y72" s="271"/>
      <c r="Z72" s="271"/>
      <c r="AA72" s="271"/>
      <c r="AB72" s="272"/>
    </row>
    <row r="73" spans="1:29" ht="27.5" customHeight="1" thickBot="1" x14ac:dyDescent="0.4">
      <c r="B73" s="275" t="s">
        <v>7</v>
      </c>
      <c r="C73" s="276"/>
      <c r="D73" s="277"/>
      <c r="E73" s="278"/>
      <c r="F73" s="278"/>
      <c r="G73" s="278"/>
      <c r="H73" s="278"/>
      <c r="I73" s="278"/>
      <c r="J73" s="273"/>
      <c r="K73" s="273"/>
      <c r="L73" s="273"/>
      <c r="M73" s="273"/>
      <c r="N73" s="274"/>
      <c r="O73" s="123"/>
      <c r="P73" s="275" t="s">
        <v>7</v>
      </c>
      <c r="Q73" s="276"/>
      <c r="R73" s="277"/>
      <c r="S73" s="278"/>
      <c r="T73" s="278"/>
      <c r="U73" s="278"/>
      <c r="V73" s="278"/>
      <c r="W73" s="278"/>
      <c r="X73" s="273"/>
      <c r="Y73" s="273"/>
      <c r="Z73" s="273"/>
      <c r="AA73" s="273"/>
      <c r="AB73" s="274"/>
    </row>
    <row r="74" spans="1:29" ht="7.5" customHeight="1" x14ac:dyDescent="0.35">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row>
    <row r="75" spans="1:29" x14ac:dyDescent="0.35">
      <c r="A75" s="12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26"/>
    </row>
    <row r="76" spans="1:29" x14ac:dyDescent="0.35">
      <c r="A76" s="12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26"/>
    </row>
    <row r="77" spans="1:29" x14ac:dyDescent="0.35">
      <c r="A77" s="12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26"/>
    </row>
    <row r="78" spans="1:29" x14ac:dyDescent="0.35">
      <c r="A78" s="12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26"/>
    </row>
    <row r="79" spans="1:29" x14ac:dyDescent="0.35">
      <c r="A79" s="12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26"/>
    </row>
    <row r="80" spans="1:29" x14ac:dyDescent="0.35">
      <c r="A80" s="12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26"/>
    </row>
    <row r="81" spans="1:29" x14ac:dyDescent="0.35">
      <c r="A81" s="12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26"/>
    </row>
    <row r="82" spans="1:29" x14ac:dyDescent="0.35">
      <c r="A82" s="12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26"/>
    </row>
    <row r="83" spans="1:29" hidden="1" x14ac:dyDescent="0.35"/>
    <row r="84" spans="1:29" hidden="1" x14ac:dyDescent="0.35"/>
    <row r="85" spans="1:29" hidden="1" x14ac:dyDescent="0.35"/>
    <row r="86" spans="1:29" hidden="1" x14ac:dyDescent="0.35"/>
    <row r="87" spans="1:29" hidden="1" x14ac:dyDescent="0.35"/>
    <row r="88" spans="1:29" hidden="1" x14ac:dyDescent="0.35"/>
    <row r="89" spans="1:29" hidden="1" x14ac:dyDescent="0.35"/>
    <row r="90" spans="1:29" hidden="1" x14ac:dyDescent="0.35"/>
    <row r="91" spans="1:29" hidden="1" x14ac:dyDescent="0.35"/>
    <row r="92" spans="1:29" hidden="1" x14ac:dyDescent="0.35"/>
    <row r="93" spans="1:29" hidden="1" x14ac:dyDescent="0.35"/>
    <row r="94" spans="1:29" hidden="1" x14ac:dyDescent="0.35"/>
    <row r="95" spans="1:29" hidden="1" x14ac:dyDescent="0.35"/>
    <row r="96" spans="1:29" hidden="1" x14ac:dyDescent="0.35"/>
    <row r="97" hidden="1" x14ac:dyDescent="0.35"/>
    <row r="98" hidden="1" x14ac:dyDescent="0.35"/>
    <row r="99" hidden="1" x14ac:dyDescent="0.35"/>
    <row r="100" hidden="1" x14ac:dyDescent="0.35"/>
    <row r="101" hidden="1" x14ac:dyDescent="0.35"/>
    <row r="102" hidden="1" x14ac:dyDescent="0.35"/>
    <row r="103" hidden="1" x14ac:dyDescent="0.35"/>
    <row r="104" hidden="1" x14ac:dyDescent="0.35"/>
    <row r="105" hidden="1" x14ac:dyDescent="0.35"/>
    <row r="106" hidden="1" x14ac:dyDescent="0.35"/>
    <row r="107" hidden="1" x14ac:dyDescent="0.35"/>
    <row r="108" hidden="1" x14ac:dyDescent="0.35"/>
    <row r="109" hidden="1" x14ac:dyDescent="0.35"/>
    <row r="110" hidden="1" x14ac:dyDescent="0.35"/>
    <row r="111" hidden="1" x14ac:dyDescent="0.35"/>
    <row r="112" hidden="1" x14ac:dyDescent="0.35"/>
    <row r="113" hidden="1" x14ac:dyDescent="0.35"/>
    <row r="114" hidden="1" x14ac:dyDescent="0.35"/>
    <row r="115" hidden="1" x14ac:dyDescent="0.35"/>
    <row r="116" hidden="1" x14ac:dyDescent="0.35"/>
    <row r="117" hidden="1" x14ac:dyDescent="0.35"/>
    <row r="118" hidden="1" x14ac:dyDescent="0.35"/>
    <row r="119" hidden="1" x14ac:dyDescent="0.35"/>
    <row r="120" hidden="1" x14ac:dyDescent="0.35"/>
    <row r="121" hidden="1" x14ac:dyDescent="0.35"/>
    <row r="122" hidden="1" x14ac:dyDescent="0.35"/>
    <row r="123" hidden="1" x14ac:dyDescent="0.35"/>
    <row r="124" hidden="1" x14ac:dyDescent="0.35"/>
    <row r="125" hidden="1" x14ac:dyDescent="0.35"/>
    <row r="126" hidden="1" x14ac:dyDescent="0.35"/>
    <row r="127" hidden="1" x14ac:dyDescent="0.35"/>
    <row r="128" hidden="1" x14ac:dyDescent="0.35"/>
    <row r="129" hidden="1" x14ac:dyDescent="0.35"/>
    <row r="130" hidden="1" x14ac:dyDescent="0.35"/>
    <row r="131" hidden="1" x14ac:dyDescent="0.35"/>
    <row r="132" hidden="1" x14ac:dyDescent="0.35"/>
    <row r="133" hidden="1" x14ac:dyDescent="0.35"/>
    <row r="134" hidden="1" x14ac:dyDescent="0.35"/>
    <row r="135" hidden="1" x14ac:dyDescent="0.35"/>
    <row r="136" hidden="1" x14ac:dyDescent="0.35"/>
    <row r="137" hidden="1" x14ac:dyDescent="0.35"/>
    <row r="138" hidden="1" x14ac:dyDescent="0.35"/>
    <row r="139" hidden="1" x14ac:dyDescent="0.35"/>
    <row r="140" hidden="1" x14ac:dyDescent="0.35"/>
    <row r="141" hidden="1" x14ac:dyDescent="0.35"/>
    <row r="142" hidden="1" x14ac:dyDescent="0.35"/>
    <row r="143" hidden="1" x14ac:dyDescent="0.35"/>
    <row r="144" hidden="1" x14ac:dyDescent="0.35"/>
    <row r="145" hidden="1" x14ac:dyDescent="0.35"/>
    <row r="146" hidden="1" x14ac:dyDescent="0.35"/>
    <row r="147" hidden="1" x14ac:dyDescent="0.35"/>
    <row r="148" hidden="1" x14ac:dyDescent="0.35"/>
    <row r="149" hidden="1" x14ac:dyDescent="0.35"/>
    <row r="150" hidden="1" x14ac:dyDescent="0.35"/>
    <row r="151" hidden="1" x14ac:dyDescent="0.35"/>
    <row r="152" hidden="1" x14ac:dyDescent="0.35"/>
    <row r="153" hidden="1" x14ac:dyDescent="0.35"/>
    <row r="154" hidden="1" x14ac:dyDescent="0.35"/>
    <row r="155" hidden="1" x14ac:dyDescent="0.35"/>
    <row r="156" hidden="1" x14ac:dyDescent="0.35"/>
    <row r="157" hidden="1" x14ac:dyDescent="0.35"/>
    <row r="158" hidden="1" x14ac:dyDescent="0.35"/>
    <row r="159" hidden="1" x14ac:dyDescent="0.35"/>
    <row r="160" hidden="1" x14ac:dyDescent="0.35"/>
    <row r="161" hidden="1" x14ac:dyDescent="0.35"/>
    <row r="162" hidden="1" x14ac:dyDescent="0.35"/>
    <row r="163" hidden="1" x14ac:dyDescent="0.35"/>
    <row r="164" hidden="1" x14ac:dyDescent="0.35"/>
    <row r="165" hidden="1" x14ac:dyDescent="0.35"/>
    <row r="166" hidden="1" x14ac:dyDescent="0.35"/>
    <row r="167" hidden="1" x14ac:dyDescent="0.35"/>
    <row r="168" hidden="1" x14ac:dyDescent="0.35"/>
    <row r="169" hidden="1" x14ac:dyDescent="0.35"/>
    <row r="170" hidden="1" x14ac:dyDescent="0.35"/>
    <row r="171" hidden="1" x14ac:dyDescent="0.35"/>
    <row r="172" hidden="1" x14ac:dyDescent="0.35"/>
    <row r="173" hidden="1" x14ac:dyDescent="0.35"/>
    <row r="174" hidden="1" x14ac:dyDescent="0.35"/>
    <row r="175" hidden="1" x14ac:dyDescent="0.35"/>
    <row r="176" hidden="1" x14ac:dyDescent="0.35"/>
    <row r="177" spans="2:28" hidden="1" x14ac:dyDescent="0.35"/>
    <row r="178" spans="2:28" hidden="1" x14ac:dyDescent="0.35"/>
    <row r="179" spans="2:28" hidden="1" x14ac:dyDescent="0.35"/>
    <row r="180" spans="2:28" hidden="1" x14ac:dyDescent="0.35"/>
    <row r="181" spans="2:28" hidden="1" x14ac:dyDescent="0.35"/>
    <row r="182" spans="2:28" hidden="1" x14ac:dyDescent="0.35"/>
    <row r="183" spans="2:28" hidden="1" x14ac:dyDescent="0.35"/>
    <row r="184" spans="2:28" hidden="1" x14ac:dyDescent="0.35"/>
    <row r="185" spans="2:28" x14ac:dyDescent="0.35">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row>
  </sheetData>
  <mergeCells count="175">
    <mergeCell ref="B27:AB27"/>
    <mergeCell ref="B28:AB28"/>
    <mergeCell ref="F37:I37"/>
    <mergeCell ref="F38:I38"/>
    <mergeCell ref="F39:I39"/>
    <mergeCell ref="F40:I40"/>
    <mergeCell ref="F41:I41"/>
    <mergeCell ref="J37:AB37"/>
    <mergeCell ref="F43:I43"/>
    <mergeCell ref="J43:AB43"/>
    <mergeCell ref="B50:C50"/>
    <mergeCell ref="D50:E50"/>
    <mergeCell ref="B51:C51"/>
    <mergeCell ref="D51:E51"/>
    <mergeCell ref="D36:E36"/>
    <mergeCell ref="B36:C36"/>
    <mergeCell ref="B37:C37"/>
    <mergeCell ref="D37:E37"/>
    <mergeCell ref="B38:C38"/>
    <mergeCell ref="B39:C39"/>
    <mergeCell ref="B71:I71"/>
    <mergeCell ref="J71:N71"/>
    <mergeCell ref="B72:C72"/>
    <mergeCell ref="D72:I72"/>
    <mergeCell ref="J72:N73"/>
    <mergeCell ref="B73:C73"/>
    <mergeCell ref="D73:I73"/>
    <mergeCell ref="B56:C56"/>
    <mergeCell ref="D56:E56"/>
    <mergeCell ref="B57:C57"/>
    <mergeCell ref="D57:E57"/>
    <mergeCell ref="B58:C58"/>
    <mergeCell ref="D58:E58"/>
    <mergeCell ref="B59:C59"/>
    <mergeCell ref="D59:E59"/>
    <mergeCell ref="B61:AB61"/>
    <mergeCell ref="B67:I67"/>
    <mergeCell ref="J67:N67"/>
    <mergeCell ref="P67:W67"/>
    <mergeCell ref="X67:AB67"/>
    <mergeCell ref="B68:C68"/>
    <mergeCell ref="D68:I68"/>
    <mergeCell ref="J68:N69"/>
    <mergeCell ref="P68:Q68"/>
    <mergeCell ref="AD2:AP2"/>
    <mergeCell ref="AE5:AP5"/>
    <mergeCell ref="N12:U13"/>
    <mergeCell ref="X12:AB12"/>
    <mergeCell ref="X13:AB13"/>
    <mergeCell ref="B15:J15"/>
    <mergeCell ref="K15:S15"/>
    <mergeCell ref="B18:D19"/>
    <mergeCell ref="E18:L18"/>
    <mergeCell ref="E19:L19"/>
    <mergeCell ref="M18:T18"/>
    <mergeCell ref="U18:AB18"/>
    <mergeCell ref="M19:T19"/>
    <mergeCell ref="U19:AB19"/>
    <mergeCell ref="AE4:AP4"/>
    <mergeCell ref="AE6:AP6"/>
    <mergeCell ref="AE7:AP7"/>
    <mergeCell ref="AE8:AP10"/>
    <mergeCell ref="AE11:AP11"/>
    <mergeCell ref="B9:AB9"/>
    <mergeCell ref="AE12:AP12"/>
    <mergeCell ref="AE13:AP13"/>
    <mergeCell ref="AE15:AP15"/>
    <mergeCell ref="AE16:AP16"/>
    <mergeCell ref="F45:I45"/>
    <mergeCell ref="J45:AB45"/>
    <mergeCell ref="F46:I46"/>
    <mergeCell ref="J46:AB46"/>
    <mergeCell ref="D42:E42"/>
    <mergeCell ref="D43:E43"/>
    <mergeCell ref="B41:C41"/>
    <mergeCell ref="F42:I42"/>
    <mergeCell ref="J42:AB42"/>
    <mergeCell ref="B42:C42"/>
    <mergeCell ref="B43:C43"/>
    <mergeCell ref="R68:W68"/>
    <mergeCell ref="X68:AB69"/>
    <mergeCell ref="B69:C69"/>
    <mergeCell ref="D69:I69"/>
    <mergeCell ref="P69:Q69"/>
    <mergeCell ref="R69:W69"/>
    <mergeCell ref="F50:I50"/>
    <mergeCell ref="J50:AB50"/>
    <mergeCell ref="F51:I51"/>
    <mergeCell ref="J51:AB51"/>
    <mergeCell ref="B52:C52"/>
    <mergeCell ref="D52:E52"/>
    <mergeCell ref="B53:C53"/>
    <mergeCell ref="D53:E53"/>
    <mergeCell ref="B54:C54"/>
    <mergeCell ref="D54:E54"/>
    <mergeCell ref="B55:C55"/>
    <mergeCell ref="D55:E55"/>
    <mergeCell ref="B63:AB65"/>
    <mergeCell ref="F52:I52"/>
    <mergeCell ref="J52:AB52"/>
    <mergeCell ref="F53:I53"/>
    <mergeCell ref="J53:AB53"/>
    <mergeCell ref="J57:AB57"/>
    <mergeCell ref="F58:I58"/>
    <mergeCell ref="J58:AB58"/>
    <mergeCell ref="F59:I59"/>
    <mergeCell ref="J59:AB59"/>
    <mergeCell ref="F57:I57"/>
    <mergeCell ref="J49:AB49"/>
    <mergeCell ref="B44:C44"/>
    <mergeCell ref="B45:C45"/>
    <mergeCell ref="B46:C46"/>
    <mergeCell ref="D44:E44"/>
    <mergeCell ref="D45:E45"/>
    <mergeCell ref="D46:E46"/>
    <mergeCell ref="F55:I55"/>
    <mergeCell ref="J55:AB55"/>
    <mergeCell ref="F56:I56"/>
    <mergeCell ref="J56:AB56"/>
    <mergeCell ref="F54:I54"/>
    <mergeCell ref="J54:AB54"/>
    <mergeCell ref="F49:I49"/>
    <mergeCell ref="B48:AB48"/>
    <mergeCell ref="B49:C49"/>
    <mergeCell ref="D49:E49"/>
    <mergeCell ref="F44:I44"/>
    <mergeCell ref="J44:AB44"/>
    <mergeCell ref="J41:AB41"/>
    <mergeCell ref="D41:E41"/>
    <mergeCell ref="T15:AB15"/>
    <mergeCell ref="B16:J16"/>
    <mergeCell ref="K16:S16"/>
    <mergeCell ref="T16:AB16"/>
    <mergeCell ref="AE33:AP38"/>
    <mergeCell ref="AE39:AP39"/>
    <mergeCell ref="B24:AB24"/>
    <mergeCell ref="B25:AB25"/>
    <mergeCell ref="B21:AB21"/>
    <mergeCell ref="B22:AB22"/>
    <mergeCell ref="B30:AB30"/>
    <mergeCell ref="B31:AB31"/>
    <mergeCell ref="J36:AB36"/>
    <mergeCell ref="F36:I36"/>
    <mergeCell ref="J38:AB38"/>
    <mergeCell ref="J39:AB39"/>
    <mergeCell ref="B35:AB35"/>
    <mergeCell ref="B33:AB33"/>
    <mergeCell ref="AE18:AP19"/>
    <mergeCell ref="AE24:AP31"/>
    <mergeCell ref="AE21:AP21"/>
    <mergeCell ref="AE22:AP22"/>
    <mergeCell ref="P71:W71"/>
    <mergeCell ref="X71:AB71"/>
    <mergeCell ref="P72:Q72"/>
    <mergeCell ref="R72:W72"/>
    <mergeCell ref="X72:AB73"/>
    <mergeCell ref="P73:Q73"/>
    <mergeCell ref="R73:W73"/>
    <mergeCell ref="B11:D11"/>
    <mergeCell ref="E11:G11"/>
    <mergeCell ref="L11:M11"/>
    <mergeCell ref="N11:U11"/>
    <mergeCell ref="H11:K11"/>
    <mergeCell ref="V11:AB11"/>
    <mergeCell ref="V12:W12"/>
    <mergeCell ref="V13:W13"/>
    <mergeCell ref="B12:D13"/>
    <mergeCell ref="E12:G13"/>
    <mergeCell ref="H12:K13"/>
    <mergeCell ref="L12:M13"/>
    <mergeCell ref="B40:C40"/>
    <mergeCell ref="D38:E38"/>
    <mergeCell ref="D39:E39"/>
    <mergeCell ref="D40:E40"/>
    <mergeCell ref="J40:AB40"/>
  </mergeCells>
  <dataValidations count="1">
    <dataValidation type="list" allowBlank="1" showInputMessage="1" showErrorMessage="1" sqref="E19:L19">
      <formula1>"Maria Camila Toro / Karen Quiñoñez"</formula1>
    </dataValidation>
  </dataValidation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de &amp;N</oddFooter>
  </headerFooter>
  <drawing r:id="rId2"/>
  <legacyDrawing r:id="rId3"/>
  <extLst>
    <ext xmlns:x14="http://schemas.microsoft.com/office/spreadsheetml/2009/9/main" uri="{CCE6A557-97BC-4b89-ADB6-D9C93CAAB3DF}">
      <x14:dataValidations xmlns:xm="http://schemas.microsoft.com/office/excel/2006/main" count="5">
        <x14:dataValidation type="list" errorStyle="information" allowBlank="1">
          <x14:formula1>
            <xm:f>'Req. ISO 9001-2015'!$B$4:$B$100</xm:f>
          </x14:formula1>
          <xm:sqref>D37:D46 D50:D59</xm:sqref>
        </x14:dataValidation>
        <x14:dataValidation type="list" allowBlank="1" showInputMessage="1" showErrorMessage="1">
          <x14:formula1>
            <xm:f>'Auditorias Prog.'!$J$4:$J$7</xm:f>
          </x14:formula1>
          <xm:sqref>H12:K13</xm:sqref>
        </x14:dataValidation>
        <x14:dataValidation type="list" allowBlank="1" showInputMessage="1" showErrorMessage="1">
          <x14:formula1>
            <xm:f>'Auditorias Prog.'!$C$4:$C$52</xm:f>
          </x14:formula1>
          <xm:sqref>N12:U13</xm:sqref>
        </x14:dataValidation>
        <x14:dataValidation type="list" allowBlank="1" showInputMessage="1" showErrorMessage="1">
          <x14:formula1>
            <xm:f>'Auditorias Prog.'!$D$4:$D$35</xm:f>
          </x14:formula1>
          <xm:sqref>X13:AB13</xm:sqref>
        </x14:dataValidation>
        <x14:dataValidation type="list" allowBlank="1" showInputMessage="1" showErrorMessage="1">
          <x14:formula1>
            <xm:f>'Eq. Auditor (2025)'!$B$3:$B$29</xm:f>
          </x14:formula1>
          <xm:sqref>M19:AB19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CC"/>
  </sheetPr>
  <dimension ref="B1:Q32"/>
  <sheetViews>
    <sheetView workbookViewId="0">
      <pane xSplit="6" ySplit="4" topLeftCell="G5" activePane="bottomRight" state="frozen"/>
      <selection pane="topRight" activeCell="G1" sqref="G1"/>
      <selection pane="bottomLeft" activeCell="A5" sqref="A5"/>
      <selection pane="bottomRight"/>
    </sheetView>
  </sheetViews>
  <sheetFormatPr baseColWidth="10" defaultColWidth="11.453125" defaultRowHeight="12" x14ac:dyDescent="0.35"/>
  <cols>
    <col min="1" max="1" width="1.1796875" style="142" customWidth="1"/>
    <col min="2" max="2" width="4" style="142" hidden="1" customWidth="1"/>
    <col min="3" max="3" width="5.453125" style="142" hidden="1" customWidth="1"/>
    <col min="4" max="4" width="8.54296875" style="3" customWidth="1"/>
    <col min="5" max="5" width="37.26953125" style="3" customWidth="1"/>
    <col min="6" max="6" width="1.1796875" style="159" customWidth="1"/>
    <col min="7" max="7" width="14.1796875" style="157" customWidth="1"/>
    <col min="8" max="8" width="19.1796875" style="157" customWidth="1"/>
    <col min="9" max="9" width="28.54296875" style="157" customWidth="1"/>
    <col min="10" max="11" width="44.81640625" style="157" customWidth="1"/>
    <col min="12" max="12" width="4" style="142" customWidth="1"/>
    <col min="13" max="13" width="14.1796875" style="157" customWidth="1"/>
    <col min="14" max="14" width="19.1796875" style="157" customWidth="1"/>
    <col min="15" max="15" width="28.54296875" style="157" customWidth="1"/>
    <col min="16" max="17" width="44.81640625" style="157" customWidth="1"/>
    <col min="18" max="16384" width="11.453125" style="142"/>
  </cols>
  <sheetData>
    <row r="1" spans="2:17" s="149" customFormat="1" ht="15.75" customHeight="1" x14ac:dyDescent="0.35">
      <c r="D1" s="169" t="str">
        <f>'FO-GC-021'!L12</f>
        <v/>
      </c>
      <c r="E1" s="359">
        <f>'FO-GC-021'!N12</f>
        <v>0</v>
      </c>
      <c r="F1" s="359"/>
      <c r="J1" s="154"/>
      <c r="K1" s="155"/>
      <c r="P1" s="154"/>
      <c r="Q1" s="155"/>
    </row>
    <row r="2" spans="2:17" s="149" customFormat="1" ht="15.75" hidden="1" customHeight="1" x14ac:dyDescent="0.35">
      <c r="C2" s="160"/>
      <c r="D2" s="357" t="e">
        <f>VLOOKUP(E1,'Auditorias Prog.'!C:H,6,0)</f>
        <v>#N/A</v>
      </c>
      <c r="E2" s="357"/>
      <c r="F2" s="357"/>
      <c r="G2" s="153"/>
      <c r="H2" s="155"/>
      <c r="I2" s="155"/>
      <c r="J2" s="154"/>
      <c r="K2" s="155"/>
      <c r="M2" s="153"/>
      <c r="N2" s="155"/>
      <c r="O2" s="155"/>
      <c r="P2" s="154"/>
      <c r="Q2" s="155"/>
    </row>
    <row r="3" spans="2:17" ht="15" customHeight="1" x14ac:dyDescent="0.35">
      <c r="C3" s="358" t="s">
        <v>361</v>
      </c>
      <c r="D3" s="358"/>
      <c r="E3" s="358"/>
      <c r="G3" s="156" t="s">
        <v>362</v>
      </c>
      <c r="H3" s="156"/>
      <c r="M3" s="165" t="s">
        <v>363</v>
      </c>
      <c r="N3" s="156"/>
    </row>
    <row r="4" spans="2:17" ht="21" customHeight="1" x14ac:dyDescent="0.35">
      <c r="B4" s="150" t="s">
        <v>337</v>
      </c>
      <c r="C4" s="143" t="s">
        <v>21</v>
      </c>
      <c r="D4" s="167" t="s">
        <v>338</v>
      </c>
      <c r="E4" s="167" t="s">
        <v>339</v>
      </c>
      <c r="G4" s="164" t="s">
        <v>311</v>
      </c>
      <c r="H4" s="162" t="s">
        <v>285</v>
      </c>
      <c r="I4" s="162" t="s">
        <v>312</v>
      </c>
      <c r="J4" s="162" t="s">
        <v>12</v>
      </c>
      <c r="K4" s="168" t="s">
        <v>359</v>
      </c>
      <c r="M4" s="166" t="s">
        <v>313</v>
      </c>
      <c r="N4" s="162" t="s">
        <v>285</v>
      </c>
      <c r="O4" s="162" t="s">
        <v>312</v>
      </c>
      <c r="P4" s="162" t="s">
        <v>12</v>
      </c>
      <c r="Q4" s="170" t="s">
        <v>359</v>
      </c>
    </row>
    <row r="5" spans="2:17" x14ac:dyDescent="0.35">
      <c r="B5" s="151">
        <v>1</v>
      </c>
      <c r="C5" s="142" t="e">
        <f t="shared" ref="C5:C32" si="0">CONCATENATE(MID($D$2,1,FIND(".",$D$2,1)-1),"-",B5)</f>
        <v>#N/A</v>
      </c>
      <c r="D5" s="158" t="str">
        <f>IFERROR(VLOOKUP($C5,#REF!,2,0),"")</f>
        <v/>
      </c>
      <c r="E5" s="158" t="str">
        <f>IFERROR(VLOOKUP($C5,#REF!,3,0),"")</f>
        <v/>
      </c>
      <c r="F5" s="159">
        <v>1</v>
      </c>
      <c r="G5" s="152" t="str">
        <f>IFERROR(VLOOKUP($F5,'FO-GC-021'!$A$36:$J$47,2,0),"")</f>
        <v/>
      </c>
      <c r="H5" s="152" t="str">
        <f>IF($G5="","",VLOOKUP($F5,'FO-GC-021'!$A$36:$J$47,4,0))</f>
        <v/>
      </c>
      <c r="I5" s="152" t="str">
        <f>IF($G5="","",VLOOKUP($F5,'FO-GC-021'!$A$36:$J$47,6,0))</f>
        <v/>
      </c>
      <c r="J5" s="152" t="str">
        <f>IF($G5="","",VLOOKUP($F5,'FO-GC-021'!$A$36:$J$47,10,0))</f>
        <v/>
      </c>
      <c r="K5" s="171"/>
      <c r="M5" s="152" t="str">
        <f>IFERROR(VLOOKUP($F5,'FO-GC-021'!$A$49:$J$60,2,0),"")</f>
        <v/>
      </c>
      <c r="N5" s="152" t="str">
        <f>IF($G5="","",VLOOKUP($F5,'FO-GC-021'!$A$49:$J$60,4,0))</f>
        <v/>
      </c>
      <c r="O5" s="152" t="str">
        <f>IF($G5="","",VLOOKUP($F5,'FO-GC-021'!$A$49:$J$60,6,0))</f>
        <v/>
      </c>
      <c r="P5" s="152" t="str">
        <f>IF($G5="","",VLOOKUP($F5,'FO-GC-021'!$A$49:$J$60,10,0))</f>
        <v/>
      </c>
      <c r="Q5" s="171"/>
    </row>
    <row r="6" spans="2:17" x14ac:dyDescent="0.35">
      <c r="B6" s="151">
        <f>B5+1</f>
        <v>2</v>
      </c>
      <c r="C6" s="142" t="e">
        <f t="shared" si="0"/>
        <v>#N/A</v>
      </c>
      <c r="D6" s="173" t="str">
        <f>IFERROR(VLOOKUP($C6,#REF!,2,0),"")</f>
        <v/>
      </c>
      <c r="E6" s="173" t="str">
        <f>IFERROR(VLOOKUP($C6,#REF!,3,0),"")</f>
        <v/>
      </c>
      <c r="F6" s="159">
        <f>F5+1</f>
        <v>2</v>
      </c>
      <c r="G6" s="161" t="str">
        <f>IFERROR(VLOOKUP($F6,'FO-GC-021'!$A$36:$J$47,2,0),"")</f>
        <v/>
      </c>
      <c r="H6" s="161" t="str">
        <f>IF($G6="","",VLOOKUP($F6,'FO-GC-021'!$A$36:$J$47,4,0))</f>
        <v/>
      </c>
      <c r="I6" s="161" t="str">
        <f>IF($G6="","",VLOOKUP($F6,'FO-GC-021'!$A$36:$J$47,6,0))</f>
        <v/>
      </c>
      <c r="J6" s="161" t="str">
        <f>IF($G6="","",VLOOKUP($F6,'FO-GC-021'!$A$36:$J$47,10,0))</f>
        <v/>
      </c>
      <c r="K6" s="172"/>
      <c r="M6" s="163" t="str">
        <f>IFERROR(VLOOKUP($F6,'FO-GC-021'!$A$49:$J$60,2,0),"")</f>
        <v/>
      </c>
      <c r="N6" s="163" t="str">
        <f>IF($G6="","",VLOOKUP($F6,'FO-GC-021'!$A$49:$J$60,4,0))</f>
        <v/>
      </c>
      <c r="O6" s="163" t="str">
        <f>IF($G6="","",VLOOKUP($F6,'FO-GC-021'!$A$49:$J$60,6,0))</f>
        <v/>
      </c>
      <c r="P6" s="163" t="str">
        <f>IF($G6="","",VLOOKUP($F6,'FO-GC-021'!$A$49:$J$60,10,0))</f>
        <v/>
      </c>
      <c r="Q6" s="172"/>
    </row>
    <row r="7" spans="2:17" x14ac:dyDescent="0.35">
      <c r="B7" s="151">
        <f t="shared" ref="B7:B32" si="1">B6+1</f>
        <v>3</v>
      </c>
      <c r="C7" s="142" t="e">
        <f t="shared" si="0"/>
        <v>#N/A</v>
      </c>
      <c r="D7" s="158" t="str">
        <f>IFERROR(VLOOKUP($C7,#REF!,2,0),"")</f>
        <v/>
      </c>
      <c r="E7" s="158" t="str">
        <f>IFERROR(VLOOKUP($C7,#REF!,3,0),"")</f>
        <v/>
      </c>
      <c r="F7" s="159">
        <f t="shared" ref="F7:F32" si="2">F6+1</f>
        <v>3</v>
      </c>
      <c r="G7" s="152" t="str">
        <f>IFERROR(VLOOKUP($F7,'FO-GC-021'!$A$36:$J$47,2,0),"")</f>
        <v/>
      </c>
      <c r="H7" s="152" t="str">
        <f>IF($G7="","",VLOOKUP($F7,'FO-GC-021'!$A$36:$J$47,4,0))</f>
        <v/>
      </c>
      <c r="I7" s="152" t="str">
        <f>IF($G7="","",VLOOKUP($F7,'FO-GC-021'!$A$36:$J$47,6,0))</f>
        <v/>
      </c>
      <c r="J7" s="152" t="str">
        <f>IF($G7="","",VLOOKUP($F7,'FO-GC-021'!$A$36:$J$47,10,0))</f>
        <v/>
      </c>
      <c r="K7" s="171"/>
      <c r="M7" s="152" t="str">
        <f>IFERROR(VLOOKUP($F7,'FO-GC-021'!$A$49:$J$60,2,0),"")</f>
        <v/>
      </c>
      <c r="N7" s="152" t="str">
        <f>IF($G7="","",VLOOKUP($F7,'FO-GC-021'!$A$49:$J$60,4,0))</f>
        <v/>
      </c>
      <c r="O7" s="152" t="str">
        <f>IF($G7="","",VLOOKUP($F7,'FO-GC-021'!$A$49:$J$60,6,0))</f>
        <v/>
      </c>
      <c r="P7" s="152" t="str">
        <f>IF($G7="","",VLOOKUP($F7,'FO-GC-021'!$A$49:$J$60,10,0))</f>
        <v/>
      </c>
      <c r="Q7" s="171"/>
    </row>
    <row r="8" spans="2:17" x14ac:dyDescent="0.35">
      <c r="B8" s="151">
        <f t="shared" si="1"/>
        <v>4</v>
      </c>
      <c r="C8" s="142" t="e">
        <f t="shared" si="0"/>
        <v>#N/A</v>
      </c>
      <c r="D8" s="173" t="str">
        <f>IFERROR(VLOOKUP($C8,#REF!,2,0),"")</f>
        <v/>
      </c>
      <c r="E8" s="173" t="str">
        <f>IFERROR(VLOOKUP($C8,#REF!,3,0),"")</f>
        <v/>
      </c>
      <c r="F8" s="159">
        <f t="shared" si="2"/>
        <v>4</v>
      </c>
      <c r="G8" s="161" t="str">
        <f>IFERROR(VLOOKUP($F8,'FO-GC-021'!$A$36:$J$47,2,0),"")</f>
        <v/>
      </c>
      <c r="H8" s="161" t="str">
        <f>IF($G8="","",VLOOKUP($F8,'FO-GC-021'!$A$36:$J$47,4,0))</f>
        <v/>
      </c>
      <c r="I8" s="161" t="str">
        <f>IF($G8="","",VLOOKUP($F8,'FO-GC-021'!$A$36:$J$47,6,0))</f>
        <v/>
      </c>
      <c r="J8" s="161" t="str">
        <f>IF($G8="","",VLOOKUP($F8,'FO-GC-021'!$A$36:$J$47,10,0))</f>
        <v/>
      </c>
      <c r="K8" s="172"/>
      <c r="M8" s="163" t="str">
        <f>IFERROR(VLOOKUP($F8,'FO-GC-021'!$A$49:$J$60,2,0),"")</f>
        <v/>
      </c>
      <c r="N8" s="163" t="str">
        <f>IF($G8="","",VLOOKUP($F8,'FO-GC-021'!$A$49:$J$60,4,0))</f>
        <v/>
      </c>
      <c r="O8" s="163" t="str">
        <f>IF($G8="","",VLOOKUP($F8,'FO-GC-021'!$A$49:$J$60,6,0))</f>
        <v/>
      </c>
      <c r="P8" s="163" t="str">
        <f>IF($G8="","",VLOOKUP($F8,'FO-GC-021'!$A$49:$J$60,10,0))</f>
        <v/>
      </c>
      <c r="Q8" s="172"/>
    </row>
    <row r="9" spans="2:17" x14ac:dyDescent="0.35">
      <c r="B9" s="151">
        <f t="shared" si="1"/>
        <v>5</v>
      </c>
      <c r="C9" s="142" t="e">
        <f t="shared" si="0"/>
        <v>#N/A</v>
      </c>
      <c r="D9" s="158" t="str">
        <f>IFERROR(VLOOKUP($C9,#REF!,2,0),"")</f>
        <v/>
      </c>
      <c r="E9" s="158" t="str">
        <f>IFERROR(VLOOKUP($C9,#REF!,3,0),"")</f>
        <v/>
      </c>
      <c r="F9" s="159">
        <f t="shared" si="2"/>
        <v>5</v>
      </c>
      <c r="G9" s="152" t="str">
        <f>IFERROR(VLOOKUP($F9,'FO-GC-021'!$A$36:$J$47,2,0),"")</f>
        <v/>
      </c>
      <c r="H9" s="152" t="str">
        <f>IF($G9="","",VLOOKUP($F9,'FO-GC-021'!$A$36:$J$47,4,0))</f>
        <v/>
      </c>
      <c r="I9" s="152" t="str">
        <f>IF($G9="","",VLOOKUP($F9,'FO-GC-021'!$A$36:$J$47,6,0))</f>
        <v/>
      </c>
      <c r="J9" s="152" t="str">
        <f>IF($G9="","",VLOOKUP($F9,'FO-GC-021'!$A$36:$J$47,10,0))</f>
        <v/>
      </c>
      <c r="K9" s="171"/>
      <c r="M9" s="152" t="str">
        <f>IFERROR(VLOOKUP($F9,'FO-GC-021'!$A$49:$J$60,2,0),"")</f>
        <v/>
      </c>
      <c r="N9" s="152" t="str">
        <f>IF($G9="","",VLOOKUP($F9,'FO-GC-021'!$A$49:$J$60,4,0))</f>
        <v/>
      </c>
      <c r="O9" s="152" t="str">
        <f>IF($G9="","",VLOOKUP($F9,'FO-GC-021'!$A$49:$J$60,6,0))</f>
        <v/>
      </c>
      <c r="P9" s="152" t="str">
        <f>IF($G9="","",VLOOKUP($F9,'FO-GC-021'!$A$49:$J$60,10,0))</f>
        <v/>
      </c>
      <c r="Q9" s="171"/>
    </row>
    <row r="10" spans="2:17" x14ac:dyDescent="0.35">
      <c r="B10" s="151">
        <f t="shared" si="1"/>
        <v>6</v>
      </c>
      <c r="C10" s="142" t="e">
        <f t="shared" si="0"/>
        <v>#N/A</v>
      </c>
      <c r="D10" s="173" t="str">
        <f>IFERROR(VLOOKUP($C10,#REF!,2,0),"")</f>
        <v/>
      </c>
      <c r="E10" s="173" t="str">
        <f>IFERROR(VLOOKUP($C10,#REF!,3,0),"")</f>
        <v/>
      </c>
      <c r="F10" s="159">
        <f t="shared" si="2"/>
        <v>6</v>
      </c>
      <c r="G10" s="161" t="str">
        <f>IFERROR(VLOOKUP($F10,'FO-GC-021'!$A$36:$J$47,2,0),"")</f>
        <v/>
      </c>
      <c r="H10" s="161" t="str">
        <f>IF($G10="","",VLOOKUP($F10,'FO-GC-021'!$A$36:$J$47,4,0))</f>
        <v/>
      </c>
      <c r="I10" s="161" t="str">
        <f>IF($G10="","",VLOOKUP($F10,'FO-GC-021'!$A$36:$J$47,6,0))</f>
        <v/>
      </c>
      <c r="J10" s="161" t="str">
        <f>IF($G10="","",VLOOKUP($F10,'FO-GC-021'!$A$36:$J$47,10,0))</f>
        <v/>
      </c>
      <c r="K10" s="172"/>
      <c r="M10" s="163" t="str">
        <f>IFERROR(VLOOKUP($F10,'FO-GC-021'!$A$49:$J$60,2,0),"")</f>
        <v/>
      </c>
      <c r="N10" s="163" t="str">
        <f>IF($G10="","",VLOOKUP($F10,'FO-GC-021'!$A$49:$J$60,4,0))</f>
        <v/>
      </c>
      <c r="O10" s="163" t="str">
        <f>IF($G10="","",VLOOKUP($F10,'FO-GC-021'!$A$49:$J$60,6,0))</f>
        <v/>
      </c>
      <c r="P10" s="163" t="str">
        <f>IF($G10="","",VLOOKUP($F10,'FO-GC-021'!$A$49:$J$60,10,0))</f>
        <v/>
      </c>
      <c r="Q10" s="172"/>
    </row>
    <row r="11" spans="2:17" x14ac:dyDescent="0.35">
      <c r="B11" s="151">
        <f t="shared" si="1"/>
        <v>7</v>
      </c>
      <c r="C11" s="142" t="e">
        <f t="shared" si="0"/>
        <v>#N/A</v>
      </c>
      <c r="D11" s="158" t="str">
        <f>IFERROR(VLOOKUP($C11,#REF!,2,0),"")</f>
        <v/>
      </c>
      <c r="E11" s="158" t="str">
        <f>IFERROR(VLOOKUP($C11,#REF!,3,0),"")</f>
        <v/>
      </c>
      <c r="F11" s="159">
        <f t="shared" si="2"/>
        <v>7</v>
      </c>
      <c r="G11" s="152" t="str">
        <f>IFERROR(VLOOKUP($F11,'FO-GC-021'!$A$36:$J$47,2,0),"")</f>
        <v/>
      </c>
      <c r="H11" s="152" t="str">
        <f>IF($G11="","",VLOOKUP($F11,'FO-GC-021'!$A$36:$J$47,4,0))</f>
        <v/>
      </c>
      <c r="I11" s="152" t="str">
        <f>IF($G11="","",VLOOKUP($F11,'FO-GC-021'!$A$36:$J$47,6,0))</f>
        <v/>
      </c>
      <c r="J11" s="152" t="str">
        <f>IF($G11="","",VLOOKUP($F11,'FO-GC-021'!$A$36:$J$47,10,0))</f>
        <v/>
      </c>
      <c r="K11" s="171"/>
      <c r="M11" s="152" t="str">
        <f>IFERROR(VLOOKUP($F11,'FO-GC-021'!$A$49:$J$60,2,0),"")</f>
        <v/>
      </c>
      <c r="N11" s="152" t="str">
        <f>IF($G11="","",VLOOKUP($F11,'FO-GC-021'!$A$49:$J$60,4,0))</f>
        <v/>
      </c>
      <c r="O11" s="152" t="str">
        <f>IF($G11="","",VLOOKUP($F11,'FO-GC-021'!$A$49:$J$60,6,0))</f>
        <v/>
      </c>
      <c r="P11" s="152" t="str">
        <f>IF($G11="","",VLOOKUP($F11,'FO-GC-021'!$A$49:$J$60,10,0))</f>
        <v/>
      </c>
      <c r="Q11" s="171"/>
    </row>
    <row r="12" spans="2:17" x14ac:dyDescent="0.35">
      <c r="B12" s="151">
        <f t="shared" si="1"/>
        <v>8</v>
      </c>
      <c r="C12" s="142" t="e">
        <f t="shared" si="0"/>
        <v>#N/A</v>
      </c>
      <c r="D12" s="173" t="str">
        <f>IFERROR(VLOOKUP($C12,#REF!,2,0),"")</f>
        <v/>
      </c>
      <c r="E12" s="173" t="str">
        <f>IFERROR(VLOOKUP($C12,#REF!,3,0),"")</f>
        <v/>
      </c>
      <c r="F12" s="159">
        <f t="shared" si="2"/>
        <v>8</v>
      </c>
      <c r="G12" s="161" t="str">
        <f>IFERROR(VLOOKUP($F12,'FO-GC-021'!$A$36:$J$47,2,0),"")</f>
        <v/>
      </c>
      <c r="H12" s="161" t="str">
        <f>IF($G12="","",VLOOKUP($F12,'FO-GC-021'!$A$36:$J$47,4,0))</f>
        <v/>
      </c>
      <c r="I12" s="161" t="str">
        <f>IF($G12="","",VLOOKUP($F12,'FO-GC-021'!$A$36:$J$47,6,0))</f>
        <v/>
      </c>
      <c r="J12" s="161" t="str">
        <f>IF($G12="","",VLOOKUP($F12,'FO-GC-021'!$A$36:$J$47,10,0))</f>
        <v/>
      </c>
      <c r="K12" s="172"/>
      <c r="M12" s="163" t="str">
        <f>IFERROR(VLOOKUP($F12,'FO-GC-021'!$A$49:$J$60,2,0),"")</f>
        <v/>
      </c>
      <c r="N12" s="163" t="str">
        <f>IF($G12="","",VLOOKUP($F12,'FO-GC-021'!$A$49:$J$60,4,0))</f>
        <v/>
      </c>
      <c r="O12" s="163" t="str">
        <f>IF($G12="","",VLOOKUP($F12,'FO-GC-021'!$A$49:$J$60,6,0))</f>
        <v/>
      </c>
      <c r="P12" s="163" t="str">
        <f>IF($G12="","",VLOOKUP($F12,'FO-GC-021'!$A$49:$J$60,10,0))</f>
        <v/>
      </c>
      <c r="Q12" s="172"/>
    </row>
    <row r="13" spans="2:17" x14ac:dyDescent="0.35">
      <c r="B13" s="151">
        <f t="shared" si="1"/>
        <v>9</v>
      </c>
      <c r="C13" s="142" t="e">
        <f t="shared" si="0"/>
        <v>#N/A</v>
      </c>
      <c r="D13" s="158" t="str">
        <f>IFERROR(VLOOKUP($C13,#REF!,2,0),"")</f>
        <v/>
      </c>
      <c r="E13" s="158" t="str">
        <f>IFERROR(VLOOKUP($C13,#REF!,3,0),"")</f>
        <v/>
      </c>
      <c r="F13" s="159">
        <f t="shared" si="2"/>
        <v>9</v>
      </c>
      <c r="G13" s="152" t="str">
        <f>IFERROR(VLOOKUP($F13,'FO-GC-021'!$A$36:$J$47,2,0),"")</f>
        <v/>
      </c>
      <c r="H13" s="152" t="str">
        <f>IF($G13="","",VLOOKUP($F13,'FO-GC-021'!$A$36:$J$47,4,0))</f>
        <v/>
      </c>
      <c r="I13" s="152" t="str">
        <f>IF($G13="","",VLOOKUP($F13,'FO-GC-021'!$A$36:$J$47,6,0))</f>
        <v/>
      </c>
      <c r="J13" s="152" t="str">
        <f>IF($G13="","",VLOOKUP($F13,'FO-GC-021'!$A$36:$J$47,10,0))</f>
        <v/>
      </c>
      <c r="K13" s="171"/>
      <c r="M13" s="152" t="str">
        <f>IFERROR(VLOOKUP($F13,'FO-GC-021'!$A$49:$J$60,2,0),"")</f>
        <v/>
      </c>
      <c r="N13" s="152" t="str">
        <f>IF($G13="","",VLOOKUP($F13,'FO-GC-021'!$A$49:$J$60,4,0))</f>
        <v/>
      </c>
      <c r="O13" s="152" t="str">
        <f>IF($G13="","",VLOOKUP($F13,'FO-GC-021'!$A$49:$J$60,6,0))</f>
        <v/>
      </c>
      <c r="P13" s="152" t="str">
        <f>IF($G13="","",VLOOKUP($F13,'FO-GC-021'!$A$49:$J$60,10,0))</f>
        <v/>
      </c>
      <c r="Q13" s="171"/>
    </row>
    <row r="14" spans="2:17" x14ac:dyDescent="0.35">
      <c r="B14" s="151">
        <f t="shared" si="1"/>
        <v>10</v>
      </c>
      <c r="C14" s="142" t="e">
        <f t="shared" si="0"/>
        <v>#N/A</v>
      </c>
      <c r="D14" s="173" t="str">
        <f>IFERROR(VLOOKUP($C14,#REF!,2,0),"")</f>
        <v/>
      </c>
      <c r="E14" s="173" t="str">
        <f>IFERROR(VLOOKUP($C14,#REF!,3,0),"")</f>
        <v/>
      </c>
      <c r="F14" s="159">
        <f t="shared" si="2"/>
        <v>10</v>
      </c>
      <c r="G14" s="161" t="str">
        <f>IFERROR(VLOOKUP($F14,'FO-GC-021'!$A$36:$J$47,2,0),"")</f>
        <v/>
      </c>
      <c r="H14" s="161" t="str">
        <f>IF($G14="","",VLOOKUP($F14,'FO-GC-021'!$A$36:$J$47,4,0))</f>
        <v/>
      </c>
      <c r="I14" s="161" t="str">
        <f>IF($G14="","",VLOOKUP($F14,'FO-GC-021'!$A$36:$J$47,6,0))</f>
        <v/>
      </c>
      <c r="J14" s="161" t="str">
        <f>IF($G14="","",VLOOKUP($F14,'FO-GC-021'!$A$36:$J$47,10,0))</f>
        <v/>
      </c>
      <c r="K14" s="172"/>
      <c r="M14" s="163" t="str">
        <f>IFERROR(VLOOKUP($F14,'FO-GC-021'!$A$49:$J$60,2,0),"")</f>
        <v/>
      </c>
      <c r="N14" s="163" t="str">
        <f>IF($G14="","",VLOOKUP($F14,'FO-GC-021'!$A$49:$J$60,4,0))</f>
        <v/>
      </c>
      <c r="O14" s="163" t="str">
        <f>IF($G14="","",VLOOKUP($F14,'FO-GC-021'!$A$49:$J$60,6,0))</f>
        <v/>
      </c>
      <c r="P14" s="163" t="str">
        <f>IF($G14="","",VLOOKUP($F14,'FO-GC-021'!$A$49:$J$60,10,0))</f>
        <v/>
      </c>
      <c r="Q14" s="172"/>
    </row>
    <row r="15" spans="2:17" x14ac:dyDescent="0.35">
      <c r="B15" s="151">
        <f t="shared" si="1"/>
        <v>11</v>
      </c>
      <c r="C15" s="142" t="e">
        <f t="shared" si="0"/>
        <v>#N/A</v>
      </c>
      <c r="D15" s="158" t="str">
        <f>IFERROR(VLOOKUP($C15,#REF!,2,0),"")</f>
        <v/>
      </c>
      <c r="E15" s="158" t="str">
        <f>IFERROR(VLOOKUP($C15,#REF!,3,0),"")</f>
        <v/>
      </c>
      <c r="F15" s="159">
        <f t="shared" si="2"/>
        <v>11</v>
      </c>
      <c r="G15" s="152" t="str">
        <f>IFERROR(VLOOKUP($F15,'FO-GC-021'!$A$36:$J$47,2,0),"")</f>
        <v/>
      </c>
      <c r="H15" s="152" t="str">
        <f>IF($G15="","",VLOOKUP($F15,'FO-GC-021'!$A$36:$J$47,4,0))</f>
        <v/>
      </c>
      <c r="I15" s="152" t="str">
        <f>IF($G15="","",VLOOKUP($F15,'FO-GC-021'!$A$36:$J$47,6,0))</f>
        <v/>
      </c>
      <c r="J15" s="152" t="str">
        <f>IF($G15="","",VLOOKUP($F15,'FO-GC-021'!$A$36:$J$47,10,0))</f>
        <v/>
      </c>
      <c r="K15" s="171"/>
      <c r="M15" s="152" t="str">
        <f>IFERROR(VLOOKUP($F15,'FO-GC-021'!$A$49:$J$60,2,0),"")</f>
        <v/>
      </c>
      <c r="N15" s="152" t="str">
        <f>IF($G15="","",VLOOKUP($F15,'FO-GC-021'!$A$49:$J$60,4,0))</f>
        <v/>
      </c>
      <c r="O15" s="152" t="str">
        <f>IF($G15="","",VLOOKUP($F15,'FO-GC-021'!$A$49:$J$60,6,0))</f>
        <v/>
      </c>
      <c r="P15" s="152" t="str">
        <f>IF($G15="","",VLOOKUP($F15,'FO-GC-021'!$A$49:$J$60,10,0))</f>
        <v/>
      </c>
      <c r="Q15" s="171"/>
    </row>
    <row r="16" spans="2:17" x14ac:dyDescent="0.35">
      <c r="B16" s="151">
        <f t="shared" si="1"/>
        <v>12</v>
      </c>
      <c r="C16" s="142" t="e">
        <f t="shared" si="0"/>
        <v>#N/A</v>
      </c>
      <c r="D16" s="173" t="str">
        <f>IFERROR(VLOOKUP($C16,#REF!,2,0),"")</f>
        <v/>
      </c>
      <c r="E16" s="173" t="str">
        <f>IFERROR(VLOOKUP($C16,#REF!,3,0),"")</f>
        <v/>
      </c>
      <c r="F16" s="159">
        <f t="shared" si="2"/>
        <v>12</v>
      </c>
      <c r="G16" s="161" t="str">
        <f>IFERROR(VLOOKUP($F16,'FO-GC-021'!$A$36:$J$47,2,0),"")</f>
        <v/>
      </c>
      <c r="H16" s="161" t="str">
        <f>IF($G16="","",VLOOKUP($F16,'FO-GC-021'!$A$36:$J$47,4,0))</f>
        <v/>
      </c>
      <c r="I16" s="161" t="str">
        <f>IF($G16="","",VLOOKUP($F16,'FO-GC-021'!$A$36:$J$47,6,0))</f>
        <v/>
      </c>
      <c r="J16" s="161" t="str">
        <f>IF($G16="","",VLOOKUP($F16,'FO-GC-021'!$A$36:$J$47,10,0))</f>
        <v/>
      </c>
      <c r="K16" s="172"/>
      <c r="M16" s="163" t="str">
        <f>IFERROR(VLOOKUP($F16,'FO-GC-021'!$A$49:$J$60,2,0),"")</f>
        <v/>
      </c>
      <c r="N16" s="163" t="str">
        <f>IF($G16="","",VLOOKUP($F16,'FO-GC-021'!$A$49:$J$60,4,0))</f>
        <v/>
      </c>
      <c r="O16" s="163" t="str">
        <f>IF($G16="","",VLOOKUP($F16,'FO-GC-021'!$A$49:$J$60,6,0))</f>
        <v/>
      </c>
      <c r="P16" s="163" t="str">
        <f>IF($G16="","",VLOOKUP($F16,'FO-GC-021'!$A$49:$J$60,10,0))</f>
        <v/>
      </c>
      <c r="Q16" s="172"/>
    </row>
    <row r="17" spans="2:17" x14ac:dyDescent="0.35">
      <c r="B17" s="151">
        <f t="shared" si="1"/>
        <v>13</v>
      </c>
      <c r="C17" s="142" t="e">
        <f t="shared" si="0"/>
        <v>#N/A</v>
      </c>
      <c r="D17" s="158" t="str">
        <f>IFERROR(VLOOKUP($C17,#REF!,2,0),"")</f>
        <v/>
      </c>
      <c r="E17" s="158" t="str">
        <f>IFERROR(VLOOKUP($C17,#REF!,3,0),"")</f>
        <v/>
      </c>
      <c r="F17" s="159">
        <f t="shared" si="2"/>
        <v>13</v>
      </c>
      <c r="G17" s="152" t="str">
        <f>IFERROR(VLOOKUP($F17,'FO-GC-021'!$A$36:$J$47,2,0),"")</f>
        <v/>
      </c>
      <c r="H17" s="152" t="str">
        <f>IF($G17="","",VLOOKUP($F17,'FO-GC-021'!$A$36:$J$47,4,0))</f>
        <v/>
      </c>
      <c r="I17" s="152" t="str">
        <f>IF($G17="","",VLOOKUP($F17,'FO-GC-021'!$A$36:$J$47,6,0))</f>
        <v/>
      </c>
      <c r="J17" s="152" t="str">
        <f>IF($G17="","",VLOOKUP($F17,'FO-GC-021'!$A$36:$J$47,10,0))</f>
        <v/>
      </c>
      <c r="K17" s="171"/>
      <c r="M17" s="152" t="str">
        <f>IFERROR(VLOOKUP($F17,'FO-GC-021'!$A$49:$J$60,2,0),"")</f>
        <v/>
      </c>
      <c r="N17" s="152" t="str">
        <f>IF($G17="","",VLOOKUP($F17,'FO-GC-021'!$A$49:$J$60,4,0))</f>
        <v/>
      </c>
      <c r="O17" s="152" t="str">
        <f>IF($G17="","",VLOOKUP($F17,'FO-GC-021'!$A$49:$J$60,6,0))</f>
        <v/>
      </c>
      <c r="P17" s="152" t="str">
        <f>IF($G17="","",VLOOKUP($F17,'FO-GC-021'!$A$49:$J$60,10,0))</f>
        <v/>
      </c>
      <c r="Q17" s="171"/>
    </row>
    <row r="18" spans="2:17" x14ac:dyDescent="0.35">
      <c r="B18" s="151">
        <f t="shared" si="1"/>
        <v>14</v>
      </c>
      <c r="C18" s="142" t="e">
        <f t="shared" si="0"/>
        <v>#N/A</v>
      </c>
      <c r="D18" s="173" t="str">
        <f>IFERROR(VLOOKUP($C18,#REF!,2,0),"")</f>
        <v/>
      </c>
      <c r="E18" s="173" t="str">
        <f>IFERROR(VLOOKUP($C18,#REF!,3,0),"")</f>
        <v/>
      </c>
      <c r="F18" s="159">
        <f t="shared" si="2"/>
        <v>14</v>
      </c>
      <c r="G18" s="161" t="str">
        <f>IFERROR(VLOOKUP($F18,'FO-GC-021'!$A$36:$J$47,2,0),"")</f>
        <v/>
      </c>
      <c r="H18" s="161" t="str">
        <f>IF($G18="","",VLOOKUP($F18,'FO-GC-021'!$A$36:$J$47,4,0))</f>
        <v/>
      </c>
      <c r="I18" s="161" t="str">
        <f>IF($G18="","",VLOOKUP($F18,'FO-GC-021'!$A$36:$J$47,6,0))</f>
        <v/>
      </c>
      <c r="J18" s="161" t="str">
        <f>IF($G18="","",VLOOKUP($F18,'FO-GC-021'!$A$36:$J$47,10,0))</f>
        <v/>
      </c>
      <c r="K18" s="172"/>
      <c r="M18" s="163" t="str">
        <f>IFERROR(VLOOKUP($F18,'FO-GC-021'!$A$49:$J$60,2,0),"")</f>
        <v/>
      </c>
      <c r="N18" s="163" t="str">
        <f>IF($G18="","",VLOOKUP($F18,'FO-GC-021'!$A$49:$J$60,4,0))</f>
        <v/>
      </c>
      <c r="O18" s="163" t="str">
        <f>IF($G18="","",VLOOKUP($F18,'FO-GC-021'!$A$49:$J$60,6,0))</f>
        <v/>
      </c>
      <c r="P18" s="163" t="str">
        <f>IF($G18="","",VLOOKUP($F18,'FO-GC-021'!$A$49:$J$60,10,0))</f>
        <v/>
      </c>
      <c r="Q18" s="172"/>
    </row>
    <row r="19" spans="2:17" x14ac:dyDescent="0.35">
      <c r="B19" s="151">
        <f t="shared" si="1"/>
        <v>15</v>
      </c>
      <c r="C19" s="142" t="e">
        <f t="shared" si="0"/>
        <v>#N/A</v>
      </c>
      <c r="D19" s="158" t="str">
        <f>IFERROR(VLOOKUP($C19,#REF!,2,0),"")</f>
        <v/>
      </c>
      <c r="E19" s="158" t="str">
        <f>IFERROR(VLOOKUP($C19,#REF!,3,0),"")</f>
        <v/>
      </c>
      <c r="F19" s="159">
        <f t="shared" si="2"/>
        <v>15</v>
      </c>
      <c r="G19" s="152" t="str">
        <f>IFERROR(VLOOKUP($F19,'FO-GC-021'!$A$36:$J$47,2,0),"")</f>
        <v/>
      </c>
      <c r="H19" s="152" t="str">
        <f>IF($G19="","",VLOOKUP($F19,'FO-GC-021'!$A$36:$J$47,4,0))</f>
        <v/>
      </c>
      <c r="I19" s="152" t="str">
        <f>IF($G19="","",VLOOKUP($F19,'FO-GC-021'!$A$36:$J$47,6,0))</f>
        <v/>
      </c>
      <c r="J19" s="152" t="str">
        <f>IF($G19="","",VLOOKUP($F19,'FO-GC-021'!$A$36:$J$47,10,0))</f>
        <v/>
      </c>
      <c r="K19" s="171"/>
      <c r="M19" s="152" t="str">
        <f>IFERROR(VLOOKUP($F19,'FO-GC-021'!$A$49:$J$60,2,0),"")</f>
        <v/>
      </c>
      <c r="N19" s="152" t="str">
        <f>IF($G19="","",VLOOKUP($F19,'FO-GC-021'!$A$49:$J$60,4,0))</f>
        <v/>
      </c>
      <c r="O19" s="152" t="str">
        <f>IF($G19="","",VLOOKUP($F19,'FO-GC-021'!$A$49:$J$60,6,0))</f>
        <v/>
      </c>
      <c r="P19" s="152" t="str">
        <f>IF($G19="","",VLOOKUP($F19,'FO-GC-021'!$A$49:$J$60,10,0))</f>
        <v/>
      </c>
      <c r="Q19" s="171"/>
    </row>
    <row r="20" spans="2:17" x14ac:dyDescent="0.35">
      <c r="B20" s="151">
        <f t="shared" si="1"/>
        <v>16</v>
      </c>
      <c r="C20" s="142" t="e">
        <f t="shared" si="0"/>
        <v>#N/A</v>
      </c>
      <c r="D20" s="173" t="str">
        <f>IFERROR(VLOOKUP($C20,#REF!,2,0),"")</f>
        <v/>
      </c>
      <c r="E20" s="173" t="str">
        <f>IFERROR(VLOOKUP($C20,#REF!,3,0),"")</f>
        <v/>
      </c>
      <c r="F20" s="159">
        <f t="shared" si="2"/>
        <v>16</v>
      </c>
      <c r="G20" s="161" t="str">
        <f>IFERROR(VLOOKUP($F20,'FO-GC-021'!$A$36:$J$47,2,0),"")</f>
        <v/>
      </c>
      <c r="H20" s="161" t="str">
        <f>IF($G20="","",VLOOKUP($F20,'FO-GC-021'!$A$36:$J$47,4,0))</f>
        <v/>
      </c>
      <c r="I20" s="161" t="str">
        <f>IF($G20="","",VLOOKUP($F20,'FO-GC-021'!$A$36:$J$47,6,0))</f>
        <v/>
      </c>
      <c r="J20" s="161" t="str">
        <f>IF($G20="","",VLOOKUP($F20,'FO-GC-021'!$A$36:$J$47,10,0))</f>
        <v/>
      </c>
      <c r="K20" s="172"/>
      <c r="M20" s="163" t="str">
        <f>IFERROR(VLOOKUP($F20,'FO-GC-021'!$A$49:$J$60,2,0),"")</f>
        <v/>
      </c>
      <c r="N20" s="163" t="str">
        <f>IF($G20="","",VLOOKUP($F20,'FO-GC-021'!$A$49:$J$60,4,0))</f>
        <v/>
      </c>
      <c r="O20" s="163" t="str">
        <f>IF($G20="","",VLOOKUP($F20,'FO-GC-021'!$A$49:$J$60,6,0))</f>
        <v/>
      </c>
      <c r="P20" s="163" t="str">
        <f>IF($G20="","",VLOOKUP($F20,'FO-GC-021'!$A$49:$J$60,10,0))</f>
        <v/>
      </c>
      <c r="Q20" s="172"/>
    </row>
    <row r="21" spans="2:17" x14ac:dyDescent="0.35">
      <c r="B21" s="151">
        <f t="shared" si="1"/>
        <v>17</v>
      </c>
      <c r="C21" s="142" t="e">
        <f t="shared" si="0"/>
        <v>#N/A</v>
      </c>
      <c r="D21" s="158" t="str">
        <f>IFERROR(VLOOKUP($C21,#REF!,2,0),"")</f>
        <v/>
      </c>
      <c r="E21" s="158" t="str">
        <f>IFERROR(VLOOKUP($C21,#REF!,3,0),"")</f>
        <v/>
      </c>
      <c r="F21" s="159">
        <f t="shared" si="2"/>
        <v>17</v>
      </c>
      <c r="G21" s="152" t="str">
        <f>IFERROR(VLOOKUP($F21,'FO-GC-021'!$A$36:$J$47,2,0),"")</f>
        <v/>
      </c>
      <c r="H21" s="152" t="str">
        <f>IF($G21="","",VLOOKUP($F21,'FO-GC-021'!$A$36:$J$47,4,0))</f>
        <v/>
      </c>
      <c r="I21" s="152" t="str">
        <f>IF($G21="","",VLOOKUP($F21,'FO-GC-021'!$A$36:$J$47,6,0))</f>
        <v/>
      </c>
      <c r="J21" s="152" t="str">
        <f>IF($G21="","",VLOOKUP($F21,'FO-GC-021'!$A$36:$J$47,10,0))</f>
        <v/>
      </c>
      <c r="K21" s="171"/>
      <c r="M21" s="152" t="str">
        <f>IFERROR(VLOOKUP($F21,'FO-GC-021'!$A$49:$J$60,2,0),"")</f>
        <v/>
      </c>
      <c r="N21" s="152" t="str">
        <f>IF($G21="","",VLOOKUP($F21,'FO-GC-021'!$A$49:$J$60,4,0))</f>
        <v/>
      </c>
      <c r="O21" s="152" t="str">
        <f>IF($G21="","",VLOOKUP($F21,'FO-GC-021'!$A$49:$J$60,6,0))</f>
        <v/>
      </c>
      <c r="P21" s="152" t="str">
        <f>IF($G21="","",VLOOKUP($F21,'FO-GC-021'!$A$49:$J$60,10,0))</f>
        <v/>
      </c>
      <c r="Q21" s="171"/>
    </row>
    <row r="22" spans="2:17" x14ac:dyDescent="0.35">
      <c r="B22" s="151">
        <f t="shared" si="1"/>
        <v>18</v>
      </c>
      <c r="C22" s="142" t="e">
        <f t="shared" si="0"/>
        <v>#N/A</v>
      </c>
      <c r="D22" s="173" t="str">
        <f>IFERROR(VLOOKUP($C22,#REF!,2,0),"")</f>
        <v/>
      </c>
      <c r="E22" s="173" t="str">
        <f>IFERROR(VLOOKUP($C22,#REF!,3,0),"")</f>
        <v/>
      </c>
      <c r="F22" s="159">
        <f t="shared" si="2"/>
        <v>18</v>
      </c>
      <c r="G22" s="161" t="str">
        <f>IFERROR(VLOOKUP($F22,'FO-GC-021'!$A$36:$J$47,2,0),"")</f>
        <v/>
      </c>
      <c r="H22" s="161" t="str">
        <f>IF($G22="","",VLOOKUP($F22,'FO-GC-021'!$A$36:$J$47,4,0))</f>
        <v/>
      </c>
      <c r="I22" s="161" t="str">
        <f>IF($G22="","",VLOOKUP($F22,'FO-GC-021'!$A$36:$J$47,6,0))</f>
        <v/>
      </c>
      <c r="J22" s="161" t="str">
        <f>IF($G22="","",VLOOKUP($F22,'FO-GC-021'!$A$36:$J$47,10,0))</f>
        <v/>
      </c>
      <c r="K22" s="172"/>
      <c r="M22" s="163" t="str">
        <f>IFERROR(VLOOKUP($F22,'FO-GC-021'!$A$49:$J$60,2,0),"")</f>
        <v/>
      </c>
      <c r="N22" s="163" t="str">
        <f>IF($G22="","",VLOOKUP($F22,'FO-GC-021'!$A$49:$J$60,4,0))</f>
        <v/>
      </c>
      <c r="O22" s="163" t="str">
        <f>IF($G22="","",VLOOKUP($F22,'FO-GC-021'!$A$49:$J$60,6,0))</f>
        <v/>
      </c>
      <c r="P22" s="163" t="str">
        <f>IF($G22="","",VLOOKUP($F22,'FO-GC-021'!$A$49:$J$60,10,0))</f>
        <v/>
      </c>
      <c r="Q22" s="172"/>
    </row>
    <row r="23" spans="2:17" x14ac:dyDescent="0.35">
      <c r="B23" s="151">
        <f t="shared" si="1"/>
        <v>19</v>
      </c>
      <c r="C23" s="142" t="e">
        <f t="shared" si="0"/>
        <v>#N/A</v>
      </c>
      <c r="D23" s="158" t="str">
        <f>IFERROR(VLOOKUP($C23,#REF!,2,0),"")</f>
        <v/>
      </c>
      <c r="E23" s="158" t="str">
        <f>IFERROR(VLOOKUP($C23,#REF!,3,0),"")</f>
        <v/>
      </c>
      <c r="F23" s="159">
        <f t="shared" si="2"/>
        <v>19</v>
      </c>
      <c r="G23" s="152" t="str">
        <f>IFERROR(VLOOKUP($F23,'FO-GC-021'!$A$36:$J$47,2,0),"")</f>
        <v/>
      </c>
      <c r="H23" s="152" t="str">
        <f>IF($G23="","",VLOOKUP($F23,'FO-GC-021'!$A$36:$J$47,4,0))</f>
        <v/>
      </c>
      <c r="I23" s="152" t="str">
        <f>IF($G23="","",VLOOKUP($F23,'FO-GC-021'!$A$36:$J$47,6,0))</f>
        <v/>
      </c>
      <c r="J23" s="152" t="str">
        <f>IF($G23="","",VLOOKUP($F23,'FO-GC-021'!$A$36:$J$47,10,0))</f>
        <v/>
      </c>
      <c r="K23" s="171"/>
      <c r="M23" s="152" t="str">
        <f>IFERROR(VLOOKUP($F23,'FO-GC-021'!$A$49:$J$60,2,0),"")</f>
        <v/>
      </c>
      <c r="N23" s="152" t="str">
        <f>IF($G23="","",VLOOKUP($F23,'FO-GC-021'!$A$49:$J$60,4,0))</f>
        <v/>
      </c>
      <c r="O23" s="152" t="str">
        <f>IF($G23="","",VLOOKUP($F23,'FO-GC-021'!$A$49:$J$60,6,0))</f>
        <v/>
      </c>
      <c r="P23" s="152" t="str">
        <f>IF($G23="","",VLOOKUP($F23,'FO-GC-021'!$A$49:$J$60,10,0))</f>
        <v/>
      </c>
      <c r="Q23" s="171"/>
    </row>
    <row r="24" spans="2:17" x14ac:dyDescent="0.35">
      <c r="B24" s="151">
        <f t="shared" si="1"/>
        <v>20</v>
      </c>
      <c r="C24" s="142" t="e">
        <f t="shared" si="0"/>
        <v>#N/A</v>
      </c>
      <c r="D24" s="173" t="str">
        <f>IFERROR(VLOOKUP($C24,#REF!,2,0),"")</f>
        <v/>
      </c>
      <c r="E24" s="173" t="str">
        <f>IFERROR(VLOOKUP($C24,#REF!,3,0),"")</f>
        <v/>
      </c>
      <c r="F24" s="159">
        <f t="shared" si="2"/>
        <v>20</v>
      </c>
      <c r="G24" s="161" t="str">
        <f>IFERROR(VLOOKUP($F24,'FO-GC-021'!$A$36:$J$47,2,0),"")</f>
        <v/>
      </c>
      <c r="H24" s="161" t="str">
        <f>IF($G24="","",VLOOKUP($F24,'FO-GC-021'!$A$36:$J$47,4,0))</f>
        <v/>
      </c>
      <c r="I24" s="161" t="str">
        <f>IF($G24="","",VLOOKUP($F24,'FO-GC-021'!$A$36:$J$47,6,0))</f>
        <v/>
      </c>
      <c r="J24" s="161" t="str">
        <f>IF($G24="","",VLOOKUP($F24,'FO-GC-021'!$A$36:$J$47,10,0))</f>
        <v/>
      </c>
      <c r="K24" s="172"/>
      <c r="M24" s="163" t="str">
        <f>IFERROR(VLOOKUP($F24,'FO-GC-021'!$A$49:$J$60,2,0),"")</f>
        <v/>
      </c>
      <c r="N24" s="163" t="str">
        <f>IF($G24="","",VLOOKUP($F24,'FO-GC-021'!$A$49:$J$60,4,0))</f>
        <v/>
      </c>
      <c r="O24" s="163" t="str">
        <f>IF($G24="","",VLOOKUP($F24,'FO-GC-021'!$A$49:$J$60,6,0))</f>
        <v/>
      </c>
      <c r="P24" s="163" t="str">
        <f>IF($G24="","",VLOOKUP($F24,'FO-GC-021'!$A$49:$J$60,10,0))</f>
        <v/>
      </c>
      <c r="Q24" s="172"/>
    </row>
    <row r="25" spans="2:17" x14ac:dyDescent="0.35">
      <c r="B25" s="151">
        <f t="shared" si="1"/>
        <v>21</v>
      </c>
      <c r="C25" s="142" t="e">
        <f t="shared" si="0"/>
        <v>#N/A</v>
      </c>
      <c r="D25" s="158" t="str">
        <f>IFERROR(VLOOKUP($C25,#REF!,2,0),"")</f>
        <v/>
      </c>
      <c r="E25" s="158" t="str">
        <f>IFERROR(VLOOKUP($C25,#REF!,3,0),"")</f>
        <v/>
      </c>
      <c r="F25" s="159">
        <f t="shared" si="2"/>
        <v>21</v>
      </c>
      <c r="G25" s="152" t="str">
        <f>IFERROR(VLOOKUP($F25,'FO-GC-021'!$A$36:$J$47,2,0),"")</f>
        <v/>
      </c>
      <c r="H25" s="152" t="str">
        <f>IF($G25="","",VLOOKUP($F25,'FO-GC-021'!$A$36:$J$47,4,0))</f>
        <v/>
      </c>
      <c r="I25" s="152" t="str">
        <f>IF($G25="","",VLOOKUP($F25,'FO-GC-021'!$A$36:$J$47,6,0))</f>
        <v/>
      </c>
      <c r="J25" s="152" t="str">
        <f>IF($G25="","",VLOOKUP($F25,'FO-GC-021'!$A$36:$J$47,10,0))</f>
        <v/>
      </c>
      <c r="K25" s="171"/>
      <c r="M25" s="152" t="str">
        <f>IFERROR(VLOOKUP($F25,'FO-GC-021'!$A$49:$J$60,2,0),"")</f>
        <v/>
      </c>
      <c r="N25" s="152" t="str">
        <f>IF($G25="","",VLOOKUP($F25,'FO-GC-021'!$A$49:$J$60,4,0))</f>
        <v/>
      </c>
      <c r="O25" s="152" t="str">
        <f>IF($G25="","",VLOOKUP($F25,'FO-GC-021'!$A$49:$J$60,6,0))</f>
        <v/>
      </c>
      <c r="P25" s="152" t="str">
        <f>IF($G25="","",VLOOKUP($F25,'FO-GC-021'!$A$49:$J$60,10,0))</f>
        <v/>
      </c>
      <c r="Q25" s="171"/>
    </row>
    <row r="26" spans="2:17" x14ac:dyDescent="0.35">
      <c r="B26" s="151">
        <f t="shared" si="1"/>
        <v>22</v>
      </c>
      <c r="C26" s="142" t="e">
        <f t="shared" si="0"/>
        <v>#N/A</v>
      </c>
      <c r="D26" s="173" t="str">
        <f>IFERROR(VLOOKUP($C26,#REF!,2,0),"")</f>
        <v/>
      </c>
      <c r="E26" s="173" t="str">
        <f>IFERROR(VLOOKUP($C26,#REF!,3,0),"")</f>
        <v/>
      </c>
      <c r="F26" s="159">
        <f t="shared" si="2"/>
        <v>22</v>
      </c>
      <c r="G26" s="161" t="str">
        <f>IFERROR(VLOOKUP($F26,'FO-GC-021'!$A$36:$J$47,2,0),"")</f>
        <v/>
      </c>
      <c r="H26" s="161" t="str">
        <f>IF($G26="","",VLOOKUP($F26,'FO-GC-021'!$A$36:$J$47,4,0))</f>
        <v/>
      </c>
      <c r="I26" s="161" t="str">
        <f>IF($G26="","",VLOOKUP($F26,'FO-GC-021'!$A$36:$J$47,6,0))</f>
        <v/>
      </c>
      <c r="J26" s="161" t="str">
        <f>IF($G26="","",VLOOKUP($F26,'FO-GC-021'!$A$36:$J$47,10,0))</f>
        <v/>
      </c>
      <c r="K26" s="172"/>
      <c r="M26" s="163" t="str">
        <f>IFERROR(VLOOKUP($F26,'FO-GC-021'!$A$49:$J$60,2,0),"")</f>
        <v/>
      </c>
      <c r="N26" s="163" t="str">
        <f>IF($G26="","",VLOOKUP($F26,'FO-GC-021'!$A$49:$J$60,4,0))</f>
        <v/>
      </c>
      <c r="O26" s="163" t="str">
        <f>IF($G26="","",VLOOKUP($F26,'FO-GC-021'!$A$49:$J$60,6,0))</f>
        <v/>
      </c>
      <c r="P26" s="163" t="str">
        <f>IF($G26="","",VLOOKUP($F26,'FO-GC-021'!$A$49:$J$60,10,0))</f>
        <v/>
      </c>
      <c r="Q26" s="172"/>
    </row>
    <row r="27" spans="2:17" x14ac:dyDescent="0.35">
      <c r="B27" s="151">
        <f t="shared" si="1"/>
        <v>23</v>
      </c>
      <c r="C27" s="142" t="e">
        <f t="shared" si="0"/>
        <v>#N/A</v>
      </c>
      <c r="D27" s="158" t="str">
        <f>IFERROR(VLOOKUP($C27,#REF!,2,0),"")</f>
        <v/>
      </c>
      <c r="E27" s="158" t="str">
        <f>IFERROR(VLOOKUP($C27,#REF!,3,0),"")</f>
        <v/>
      </c>
      <c r="F27" s="159">
        <f t="shared" si="2"/>
        <v>23</v>
      </c>
      <c r="G27" s="152" t="str">
        <f>IFERROR(VLOOKUP($F27,'FO-GC-021'!$A$36:$J$47,2,0),"")</f>
        <v/>
      </c>
      <c r="H27" s="152" t="str">
        <f>IF($G27="","",VLOOKUP($F27,'FO-GC-021'!$A$36:$J$47,4,0))</f>
        <v/>
      </c>
      <c r="I27" s="152" t="str">
        <f>IF($G27="","",VLOOKUP($F27,'FO-GC-021'!$A$36:$J$47,6,0))</f>
        <v/>
      </c>
      <c r="J27" s="152" t="str">
        <f>IF($G27="","",VLOOKUP($F27,'FO-GC-021'!$A$36:$J$47,10,0))</f>
        <v/>
      </c>
      <c r="K27" s="171"/>
      <c r="M27" s="152" t="str">
        <f>IFERROR(VLOOKUP($F27,'FO-GC-021'!$A$49:$J$60,2,0),"")</f>
        <v/>
      </c>
      <c r="N27" s="152" t="str">
        <f>IF($G27="","",VLOOKUP($F27,'FO-GC-021'!$A$49:$J$60,4,0))</f>
        <v/>
      </c>
      <c r="O27" s="152" t="str">
        <f>IF($G27="","",VLOOKUP($F27,'FO-GC-021'!$A$49:$J$60,6,0))</f>
        <v/>
      </c>
      <c r="P27" s="152" t="str">
        <f>IF($G27="","",VLOOKUP($F27,'FO-GC-021'!$A$49:$J$60,10,0))</f>
        <v/>
      </c>
      <c r="Q27" s="171"/>
    </row>
    <row r="28" spans="2:17" x14ac:dyDescent="0.35">
      <c r="B28" s="151">
        <f t="shared" si="1"/>
        <v>24</v>
      </c>
      <c r="C28" s="142" t="e">
        <f t="shared" si="0"/>
        <v>#N/A</v>
      </c>
      <c r="D28" s="173" t="str">
        <f>IFERROR(VLOOKUP($C28,#REF!,2,0),"")</f>
        <v/>
      </c>
      <c r="E28" s="173" t="str">
        <f>IFERROR(VLOOKUP($C28,#REF!,3,0),"")</f>
        <v/>
      </c>
      <c r="F28" s="159">
        <f t="shared" si="2"/>
        <v>24</v>
      </c>
      <c r="G28" s="161" t="str">
        <f>IFERROR(VLOOKUP($F28,'FO-GC-021'!$A$36:$J$47,2,0),"")</f>
        <v/>
      </c>
      <c r="H28" s="161" t="str">
        <f>IF($G28="","",VLOOKUP($F28,'FO-GC-021'!$A$36:$J$47,4,0))</f>
        <v/>
      </c>
      <c r="I28" s="161" t="str">
        <f>IF($G28="","",VLOOKUP($F28,'FO-GC-021'!$A$36:$J$47,6,0))</f>
        <v/>
      </c>
      <c r="J28" s="161" t="str">
        <f>IF($G28="","",VLOOKUP($F28,'FO-GC-021'!$A$36:$J$47,10,0))</f>
        <v/>
      </c>
      <c r="K28" s="172"/>
      <c r="M28" s="163" t="str">
        <f>IFERROR(VLOOKUP($F28,'FO-GC-021'!$A$49:$J$60,2,0),"")</f>
        <v/>
      </c>
      <c r="N28" s="163" t="str">
        <f>IF($G28="","",VLOOKUP($F28,'FO-GC-021'!$A$49:$J$60,4,0))</f>
        <v/>
      </c>
      <c r="O28" s="163" t="str">
        <f>IF($G28="","",VLOOKUP($F28,'FO-GC-021'!$A$49:$J$60,6,0))</f>
        <v/>
      </c>
      <c r="P28" s="163" t="str">
        <f>IF($G28="","",VLOOKUP($F28,'FO-GC-021'!$A$49:$J$60,10,0))</f>
        <v/>
      </c>
      <c r="Q28" s="172"/>
    </row>
    <row r="29" spans="2:17" x14ac:dyDescent="0.35">
      <c r="B29" s="151">
        <f t="shared" si="1"/>
        <v>25</v>
      </c>
      <c r="C29" s="142" t="e">
        <f t="shared" si="0"/>
        <v>#N/A</v>
      </c>
      <c r="D29" s="158" t="str">
        <f>IFERROR(VLOOKUP($C29,#REF!,2,0),"")</f>
        <v/>
      </c>
      <c r="E29" s="158" t="str">
        <f>IFERROR(VLOOKUP($C29,#REF!,3,0),"")</f>
        <v/>
      </c>
      <c r="F29" s="159">
        <f t="shared" si="2"/>
        <v>25</v>
      </c>
      <c r="G29" s="152" t="str">
        <f>IFERROR(VLOOKUP($F29,'FO-GC-021'!$A$36:$J$47,2,0),"")</f>
        <v/>
      </c>
      <c r="H29" s="152" t="str">
        <f>IF($G29="","",VLOOKUP($F29,'FO-GC-021'!$A$36:$J$47,4,0))</f>
        <v/>
      </c>
      <c r="I29" s="152" t="str">
        <f>IF($G29="","",VLOOKUP($F29,'FO-GC-021'!$A$36:$J$47,6,0))</f>
        <v/>
      </c>
      <c r="J29" s="152" t="str">
        <f>IF($G29="","",VLOOKUP($F29,'FO-GC-021'!$A$36:$J$47,10,0))</f>
        <v/>
      </c>
      <c r="K29" s="171"/>
      <c r="M29" s="152" t="str">
        <f>IFERROR(VLOOKUP($F29,'FO-GC-021'!$A$49:$J$60,2,0),"")</f>
        <v/>
      </c>
      <c r="N29" s="152" t="str">
        <f>IF($G29="","",VLOOKUP($F29,'FO-GC-021'!$A$49:$J$60,4,0))</f>
        <v/>
      </c>
      <c r="O29" s="152" t="str">
        <f>IF($G29="","",VLOOKUP($F29,'FO-GC-021'!$A$49:$J$60,6,0))</f>
        <v/>
      </c>
      <c r="P29" s="152" t="str">
        <f>IF($G29="","",VLOOKUP($F29,'FO-GC-021'!$A$49:$J$60,10,0))</f>
        <v/>
      </c>
      <c r="Q29" s="171"/>
    </row>
    <row r="30" spans="2:17" x14ac:dyDescent="0.35">
      <c r="B30" s="151">
        <f t="shared" si="1"/>
        <v>26</v>
      </c>
      <c r="C30" s="142" t="e">
        <f t="shared" si="0"/>
        <v>#N/A</v>
      </c>
      <c r="D30" s="173" t="str">
        <f>IFERROR(VLOOKUP($C30,#REF!,2,0),"")</f>
        <v/>
      </c>
      <c r="E30" s="173" t="str">
        <f>IFERROR(VLOOKUP($C30,#REF!,3,0),"")</f>
        <v/>
      </c>
      <c r="F30" s="159">
        <f t="shared" si="2"/>
        <v>26</v>
      </c>
      <c r="G30" s="161" t="str">
        <f>IFERROR(VLOOKUP($F30,'FO-GC-021'!$A$36:$J$47,2,0),"")</f>
        <v/>
      </c>
      <c r="H30" s="161" t="str">
        <f>IF($G30="","",VLOOKUP($F30,'FO-GC-021'!$A$36:$J$47,4,0))</f>
        <v/>
      </c>
      <c r="I30" s="161" t="str">
        <f>IF($G30="","",VLOOKUP($F30,'FO-GC-021'!$A$36:$J$47,6,0))</f>
        <v/>
      </c>
      <c r="J30" s="161" t="str">
        <f>IF($G30="","",VLOOKUP($F30,'FO-GC-021'!$A$36:$J$47,10,0))</f>
        <v/>
      </c>
      <c r="K30" s="172"/>
      <c r="M30" s="163" t="str">
        <f>IFERROR(VLOOKUP($F30,'FO-GC-021'!$A$49:$J$60,2,0),"")</f>
        <v/>
      </c>
      <c r="N30" s="163" t="str">
        <f>IF($G30="","",VLOOKUP($F30,'FO-GC-021'!$A$49:$J$60,4,0))</f>
        <v/>
      </c>
      <c r="O30" s="163" t="str">
        <f>IF($G30="","",VLOOKUP($F30,'FO-GC-021'!$A$49:$J$60,6,0))</f>
        <v/>
      </c>
      <c r="P30" s="163" t="str">
        <f>IF($G30="","",VLOOKUP($F30,'FO-GC-021'!$A$49:$J$60,10,0))</f>
        <v/>
      </c>
      <c r="Q30" s="172"/>
    </row>
    <row r="31" spans="2:17" x14ac:dyDescent="0.35">
      <c r="B31" s="151">
        <f t="shared" si="1"/>
        <v>27</v>
      </c>
      <c r="C31" s="142" t="e">
        <f t="shared" si="0"/>
        <v>#N/A</v>
      </c>
      <c r="D31" s="158" t="str">
        <f>IFERROR(VLOOKUP($C31,#REF!,2,0),"")</f>
        <v/>
      </c>
      <c r="E31" s="158" t="str">
        <f>IFERROR(VLOOKUP($C31,#REF!,3,0),"")</f>
        <v/>
      </c>
      <c r="F31" s="159">
        <f t="shared" si="2"/>
        <v>27</v>
      </c>
      <c r="G31" s="152" t="str">
        <f>IFERROR(VLOOKUP($F31,'FO-GC-021'!$A$36:$J$47,2,0),"")</f>
        <v/>
      </c>
      <c r="H31" s="152" t="str">
        <f>IF($G31="","",VLOOKUP($F31,'FO-GC-021'!$A$36:$J$47,4,0))</f>
        <v/>
      </c>
      <c r="I31" s="152" t="str">
        <f>IF($G31="","",VLOOKUP($F31,'FO-GC-021'!$A$36:$J$47,6,0))</f>
        <v/>
      </c>
      <c r="J31" s="152" t="str">
        <f>IF($G31="","",VLOOKUP($F31,'FO-GC-021'!$A$36:$J$47,10,0))</f>
        <v/>
      </c>
      <c r="K31" s="171"/>
      <c r="M31" s="152" t="str">
        <f>IFERROR(VLOOKUP($F31,'FO-GC-021'!$A$49:$J$60,2,0),"")</f>
        <v/>
      </c>
      <c r="N31" s="152" t="str">
        <f>IF($G31="","",VLOOKUP($F31,'FO-GC-021'!$A$49:$J$60,4,0))</f>
        <v/>
      </c>
      <c r="O31" s="152" t="str">
        <f>IF($G31="","",VLOOKUP($F31,'FO-GC-021'!$A$49:$J$60,6,0))</f>
        <v/>
      </c>
      <c r="P31" s="152" t="str">
        <f>IF($G31="","",VLOOKUP($F31,'FO-GC-021'!$A$49:$J$60,10,0))</f>
        <v/>
      </c>
      <c r="Q31" s="171"/>
    </row>
    <row r="32" spans="2:17" x14ac:dyDescent="0.35">
      <c r="B32" s="151">
        <f t="shared" si="1"/>
        <v>28</v>
      </c>
      <c r="C32" s="142" t="e">
        <f t="shared" si="0"/>
        <v>#N/A</v>
      </c>
      <c r="D32" s="173" t="str">
        <f>IFERROR(VLOOKUP($C32,#REF!,2,0),"")</f>
        <v/>
      </c>
      <c r="E32" s="173" t="str">
        <f>IFERROR(VLOOKUP($C32,#REF!,3,0),"")</f>
        <v/>
      </c>
      <c r="F32" s="159">
        <f t="shared" si="2"/>
        <v>28</v>
      </c>
      <c r="G32" s="161" t="str">
        <f>IFERROR(VLOOKUP($F32,'FO-GC-021'!$A$36:$J$47,2,0),"")</f>
        <v/>
      </c>
      <c r="H32" s="161" t="str">
        <f>IF($G32="","",VLOOKUP($F32,'FO-GC-021'!$A$36:$J$47,4,0))</f>
        <v/>
      </c>
      <c r="I32" s="161" t="str">
        <f>IF($G32="","",VLOOKUP($F32,'FO-GC-021'!$A$36:$J$47,6,0))</f>
        <v/>
      </c>
      <c r="J32" s="161" t="str">
        <f>IF($G32="","",VLOOKUP($F32,'FO-GC-021'!$A$36:$J$47,10,0))</f>
        <v/>
      </c>
      <c r="K32" s="172"/>
      <c r="M32" s="163" t="str">
        <f>IFERROR(VLOOKUP($F32,'FO-GC-021'!$A$49:$J$60,2,0),"")</f>
        <v/>
      </c>
      <c r="N32" s="163" t="str">
        <f>IF($G32="","",VLOOKUP($F32,'FO-GC-021'!$A$49:$J$60,4,0))</f>
        <v/>
      </c>
      <c r="O32" s="163" t="str">
        <f>IF($G32="","",VLOOKUP($F32,'FO-GC-021'!$A$49:$J$60,6,0))</f>
        <v/>
      </c>
      <c r="P32" s="163" t="str">
        <f>IF($G32="","",VLOOKUP($F32,'FO-GC-021'!$A$49:$J$60,10,0))</f>
        <v/>
      </c>
      <c r="Q32" s="172"/>
    </row>
  </sheetData>
  <sheetProtection sheet="1" objects="1" scenarios="1"/>
  <mergeCells count="3">
    <mergeCell ref="D2:F2"/>
    <mergeCell ref="C3:E3"/>
    <mergeCell ref="E1:F1"/>
  </mergeCells>
  <dataValidations count="1">
    <dataValidation type="list" allowBlank="1" showInputMessage="1" showErrorMessage="1" sqref="K5:K32 Q5:Q32">
      <formula1>$E$5:$E$32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Y100"/>
  <sheetViews>
    <sheetView zoomScaleNormal="100" workbookViewId="0">
      <pane xSplit="4" ySplit="3" topLeftCell="E4" activePane="bottomRight" state="frozen"/>
      <selection activeCell="D1" sqref="D1"/>
      <selection pane="topRight" activeCell="D1" sqref="D1"/>
      <selection pane="bottomLeft" activeCell="D1" sqref="D1"/>
      <selection pane="bottomRight" activeCell="C32" sqref="C32"/>
    </sheetView>
  </sheetViews>
  <sheetFormatPr baseColWidth="10" defaultColWidth="0" defaultRowHeight="11.5" outlineLevelRow="1" x14ac:dyDescent="0.35"/>
  <cols>
    <col min="1" max="1" width="1.453125" style="14" customWidth="1"/>
    <col min="2" max="2" width="11" style="91" customWidth="1"/>
    <col min="3" max="3" width="56.453125" style="92" customWidth="1"/>
    <col min="4" max="4" width="1.1796875" style="2" customWidth="1"/>
    <col min="5" max="5" width="1.453125" style="14" customWidth="1"/>
    <col min="6" max="25" width="0" style="14" hidden="1" customWidth="1"/>
    <col min="26" max="16384" width="11.453125" style="14" hidden="1"/>
  </cols>
  <sheetData>
    <row r="1" spans="1:4" s="5" customFormat="1" ht="15.5" x14ac:dyDescent="0.35">
      <c r="A1" s="4"/>
      <c r="B1" s="360" t="s">
        <v>38</v>
      </c>
      <c r="C1" s="360"/>
      <c r="D1" s="4"/>
    </row>
    <row r="2" spans="1:4" s="7" customFormat="1" ht="13.5" customHeight="1" x14ac:dyDescent="0.35">
      <c r="A2" s="361" t="s">
        <v>39</v>
      </c>
      <c r="B2" s="362"/>
      <c r="C2" s="6" t="s">
        <v>40</v>
      </c>
      <c r="D2" s="4"/>
    </row>
    <row r="3" spans="1:4" s="7" customFormat="1" ht="6" customHeight="1" x14ac:dyDescent="0.35">
      <c r="A3" s="8"/>
      <c r="B3" s="9"/>
      <c r="C3" s="10"/>
      <c r="D3" s="4"/>
    </row>
    <row r="4" spans="1:4" x14ac:dyDescent="0.35">
      <c r="A4" s="11">
        <v>9</v>
      </c>
      <c r="B4" s="12" t="s">
        <v>41</v>
      </c>
      <c r="C4" s="13" t="s">
        <v>42</v>
      </c>
      <c r="D4" s="4"/>
    </row>
    <row r="5" spans="1:4" x14ac:dyDescent="0.35">
      <c r="A5" s="11" t="e">
        <f>COUNTIF(#REF!,"X")</f>
        <v>#REF!</v>
      </c>
      <c r="B5" s="15" t="s">
        <v>43</v>
      </c>
      <c r="C5" s="16" t="s">
        <v>44</v>
      </c>
    </row>
    <row r="6" spans="1:4" x14ac:dyDescent="0.35">
      <c r="A6" s="11" t="e">
        <f>COUNTIF(#REF!,"X")</f>
        <v>#REF!</v>
      </c>
      <c r="B6" s="17" t="s">
        <v>45</v>
      </c>
      <c r="C6" s="18" t="s">
        <v>46</v>
      </c>
    </row>
    <row r="7" spans="1:4" x14ac:dyDescent="0.35">
      <c r="A7" s="11" t="e">
        <f>COUNTIF(#REF!,"X")</f>
        <v>#REF!</v>
      </c>
      <c r="B7" s="15" t="s">
        <v>47</v>
      </c>
      <c r="C7" s="16" t="s">
        <v>48</v>
      </c>
    </row>
    <row r="8" spans="1:4" x14ac:dyDescent="0.35">
      <c r="A8" s="11" t="e">
        <f>COUNTIF(#REF!,"X")</f>
        <v>#REF!</v>
      </c>
      <c r="B8" s="17" t="s">
        <v>49</v>
      </c>
      <c r="C8" s="18" t="s">
        <v>50</v>
      </c>
    </row>
    <row r="9" spans="1:4" ht="23" outlineLevel="1" x14ac:dyDescent="0.35">
      <c r="A9" s="11" t="e">
        <f>COUNTIF(#REF!,"X")</f>
        <v>#REF!</v>
      </c>
      <c r="B9" s="19" t="s">
        <v>51</v>
      </c>
      <c r="C9" s="20" t="s">
        <v>52</v>
      </c>
    </row>
    <row r="10" spans="1:4" ht="23" outlineLevel="1" x14ac:dyDescent="0.35">
      <c r="A10" s="11" t="e">
        <f>COUNTIF(#REF!,"X")</f>
        <v>#REF!</v>
      </c>
      <c r="B10" s="21" t="s">
        <v>53</v>
      </c>
      <c r="C10" s="22" t="s">
        <v>54</v>
      </c>
    </row>
    <row r="11" spans="1:4" s="7" customFormat="1" x14ac:dyDescent="0.35">
      <c r="A11" s="23" t="e">
        <f>COUNTIF(#REF!,"X")</f>
        <v>#REF!</v>
      </c>
      <c r="C11" s="24"/>
      <c r="D11" s="25"/>
    </row>
    <row r="12" spans="1:4" s="30" customFormat="1" x14ac:dyDescent="0.35">
      <c r="A12" s="26">
        <v>9</v>
      </c>
      <c r="B12" s="27" t="s">
        <v>55</v>
      </c>
      <c r="C12" s="28" t="s">
        <v>56</v>
      </c>
      <c r="D12" s="29"/>
    </row>
    <row r="13" spans="1:4" x14ac:dyDescent="0.35">
      <c r="A13" s="26" t="e">
        <f>COUNTIF(#REF!,"X")</f>
        <v>#REF!</v>
      </c>
      <c r="B13" s="31" t="s">
        <v>57</v>
      </c>
      <c r="C13" s="32" t="s">
        <v>58</v>
      </c>
    </row>
    <row r="14" spans="1:4" ht="23" outlineLevel="1" x14ac:dyDescent="0.35">
      <c r="A14" s="26" t="e">
        <f>COUNTIF(#REF!,"X")</f>
        <v>#REF!</v>
      </c>
      <c r="B14" s="33" t="s">
        <v>59</v>
      </c>
      <c r="C14" s="34" t="s">
        <v>60</v>
      </c>
    </row>
    <row r="15" spans="1:4" ht="34.5" outlineLevel="1" x14ac:dyDescent="0.35">
      <c r="A15" s="26" t="e">
        <f>COUNTIF(#REF!,"X")</f>
        <v>#REF!</v>
      </c>
      <c r="B15" s="35" t="s">
        <v>61</v>
      </c>
      <c r="C15" s="36" t="s">
        <v>62</v>
      </c>
    </row>
    <row r="16" spans="1:4" x14ac:dyDescent="0.35">
      <c r="A16" s="26" t="e">
        <f>COUNTIF(#REF!,"X")</f>
        <v>#REF!</v>
      </c>
      <c r="B16" s="37" t="s">
        <v>63</v>
      </c>
      <c r="C16" s="38" t="s">
        <v>64</v>
      </c>
    </row>
    <row r="17" spans="1:4" outlineLevel="1" x14ac:dyDescent="0.35">
      <c r="A17" s="26" t="e">
        <f>COUNTIF(#REF!,"X")</f>
        <v>#REF!</v>
      </c>
      <c r="B17" s="35" t="s">
        <v>65</v>
      </c>
      <c r="C17" s="36" t="s">
        <v>66</v>
      </c>
    </row>
    <row r="18" spans="1:4" outlineLevel="1" x14ac:dyDescent="0.35">
      <c r="A18" s="26" t="e">
        <f>COUNTIF(#REF!,"X")</f>
        <v>#REF!</v>
      </c>
      <c r="B18" s="33" t="s">
        <v>67</v>
      </c>
      <c r="C18" s="34" t="s">
        <v>68</v>
      </c>
    </row>
    <row r="19" spans="1:4" ht="34.5" x14ac:dyDescent="0.35">
      <c r="A19" s="26" t="e">
        <f>COUNTIF(#REF!,"X")</f>
        <v>#REF!</v>
      </c>
      <c r="B19" s="31" t="s">
        <v>69</v>
      </c>
      <c r="C19" s="32" t="s">
        <v>70</v>
      </c>
    </row>
    <row r="20" spans="1:4" s="7" customFormat="1" x14ac:dyDescent="0.35">
      <c r="A20" s="23" t="e">
        <f>COUNTIF(#REF!,"X")</f>
        <v>#REF!</v>
      </c>
      <c r="C20" s="24"/>
      <c r="D20" s="25"/>
    </row>
    <row r="21" spans="1:4" x14ac:dyDescent="0.35">
      <c r="A21" s="39">
        <v>9</v>
      </c>
      <c r="B21" s="40" t="s">
        <v>71</v>
      </c>
      <c r="C21" s="41" t="s">
        <v>72</v>
      </c>
    </row>
    <row r="22" spans="1:4" x14ac:dyDescent="0.35">
      <c r="A22" s="39" t="e">
        <f>COUNTIF(#REF!,"X")</f>
        <v>#REF!</v>
      </c>
      <c r="B22" s="42" t="s">
        <v>73</v>
      </c>
      <c r="C22" s="43" t="s">
        <v>74</v>
      </c>
    </row>
    <row r="23" spans="1:4" ht="23" outlineLevel="1" x14ac:dyDescent="0.35">
      <c r="A23" s="39" t="e">
        <f>COUNTIF(#REF!,"X")</f>
        <v>#REF!</v>
      </c>
      <c r="B23" s="44" t="s">
        <v>75</v>
      </c>
      <c r="C23" s="45" t="s">
        <v>76</v>
      </c>
    </row>
    <row r="24" spans="1:4" ht="69" outlineLevel="1" x14ac:dyDescent="0.35">
      <c r="A24" s="39" t="e">
        <f>COUNTIF(#REF!,"X")</f>
        <v>#REF!</v>
      </c>
      <c r="B24" s="46" t="s">
        <v>77</v>
      </c>
      <c r="C24" s="47" t="s">
        <v>78</v>
      </c>
    </row>
    <row r="25" spans="1:4" x14ac:dyDescent="0.35">
      <c r="A25" s="39" t="e">
        <f>COUNTIF(#REF!,"X")</f>
        <v>#REF!</v>
      </c>
      <c r="B25" s="48" t="s">
        <v>79</v>
      </c>
      <c r="C25" s="49" t="s">
        <v>80</v>
      </c>
    </row>
    <row r="26" spans="1:4" outlineLevel="1" x14ac:dyDescent="0.35">
      <c r="A26" s="39" t="e">
        <f>COUNTIF(#REF!,"X")</f>
        <v>#REF!</v>
      </c>
      <c r="B26" s="46" t="s">
        <v>81</v>
      </c>
      <c r="C26" s="47" t="s">
        <v>82</v>
      </c>
    </row>
    <row r="27" spans="1:4" ht="34.5" outlineLevel="1" x14ac:dyDescent="0.35">
      <c r="A27" s="39" t="e">
        <f>COUNTIF(#REF!,"X")</f>
        <v>#REF!</v>
      </c>
      <c r="B27" s="44" t="s">
        <v>83</v>
      </c>
      <c r="C27" s="45" t="s">
        <v>84</v>
      </c>
    </row>
    <row r="28" spans="1:4" ht="34.5" x14ac:dyDescent="0.35">
      <c r="A28" s="39" t="e">
        <f>COUNTIF(#REF!,"X")</f>
        <v>#REF!</v>
      </c>
      <c r="B28" s="42" t="s">
        <v>85</v>
      </c>
      <c r="C28" s="43" t="s">
        <v>86</v>
      </c>
    </row>
    <row r="29" spans="1:4" s="7" customFormat="1" x14ac:dyDescent="0.35">
      <c r="A29" s="23" t="e">
        <f>COUNTIF(#REF!,"X")</f>
        <v>#REF!</v>
      </c>
      <c r="C29" s="24"/>
      <c r="D29" s="25"/>
    </row>
    <row r="30" spans="1:4" x14ac:dyDescent="0.35">
      <c r="A30" s="50">
        <v>9</v>
      </c>
      <c r="B30" s="51" t="s">
        <v>87</v>
      </c>
      <c r="C30" s="52" t="s">
        <v>88</v>
      </c>
    </row>
    <row r="31" spans="1:4" x14ac:dyDescent="0.35">
      <c r="A31" s="50" t="e">
        <f>COUNTIF(#REF!,"X")</f>
        <v>#REF!</v>
      </c>
      <c r="B31" s="53" t="s">
        <v>89</v>
      </c>
      <c r="C31" s="54" t="s">
        <v>90</v>
      </c>
    </row>
    <row r="32" spans="1:4" ht="46" outlineLevel="1" x14ac:dyDescent="0.35">
      <c r="A32" s="50" t="e">
        <f>COUNTIF(#REF!,"X")</f>
        <v>#REF!</v>
      </c>
      <c r="B32" s="55" t="s">
        <v>91</v>
      </c>
      <c r="C32" s="56" t="s">
        <v>92</v>
      </c>
    </row>
    <row r="33" spans="1:3" ht="34.5" outlineLevel="1" x14ac:dyDescent="0.35">
      <c r="A33" s="50" t="e">
        <f>COUNTIF(#REF!,"X")</f>
        <v>#REF!</v>
      </c>
      <c r="B33" s="57" t="s">
        <v>93</v>
      </c>
      <c r="C33" s="58" t="s">
        <v>94</v>
      </c>
    </row>
    <row r="34" spans="1:3" ht="34.5" outlineLevel="1" x14ac:dyDescent="0.35">
      <c r="A34" s="50" t="e">
        <f>COUNTIF(#REF!,"X")</f>
        <v>#REF!</v>
      </c>
      <c r="B34" s="55" t="s">
        <v>95</v>
      </c>
      <c r="C34" s="56" t="s">
        <v>96</v>
      </c>
    </row>
    <row r="35" spans="1:3" ht="34.5" outlineLevel="1" x14ac:dyDescent="0.35">
      <c r="A35" s="50" t="e">
        <f>COUNTIF(#REF!,"X")</f>
        <v>#REF!</v>
      </c>
      <c r="B35" s="57" t="s">
        <v>97</v>
      </c>
      <c r="C35" s="58" t="s">
        <v>98</v>
      </c>
    </row>
    <row r="36" spans="1:3" outlineLevel="1" x14ac:dyDescent="0.35">
      <c r="A36" s="50" t="e">
        <f>COUNTIF(#REF!,"X")</f>
        <v>#REF!</v>
      </c>
      <c r="B36" s="55" t="s">
        <v>99</v>
      </c>
      <c r="C36" s="56" t="s">
        <v>100</v>
      </c>
    </row>
    <row r="37" spans="1:3" outlineLevel="1" x14ac:dyDescent="0.35">
      <c r="A37" s="50" t="e">
        <f>COUNTIF(#REF!,"X")</f>
        <v>#REF!</v>
      </c>
      <c r="B37" s="59" t="s">
        <v>101</v>
      </c>
      <c r="C37" s="60" t="s">
        <v>102</v>
      </c>
    </row>
    <row r="38" spans="1:3" outlineLevel="1" x14ac:dyDescent="0.35">
      <c r="A38" s="50" t="e">
        <f>COUNTIF(#REF!,"X")</f>
        <v>#REF!</v>
      </c>
      <c r="B38" s="61" t="s">
        <v>103</v>
      </c>
      <c r="C38" s="62" t="s">
        <v>104</v>
      </c>
    </row>
    <row r="39" spans="1:3" ht="34.5" outlineLevel="1" x14ac:dyDescent="0.35">
      <c r="A39" s="50" t="e">
        <f>COUNTIF(#REF!,"X")</f>
        <v>#REF!</v>
      </c>
      <c r="B39" s="57" t="s">
        <v>105</v>
      </c>
      <c r="C39" s="54" t="s">
        <v>106</v>
      </c>
    </row>
    <row r="40" spans="1:3" ht="69" x14ac:dyDescent="0.35">
      <c r="A40" s="50" t="e">
        <f>COUNTIF(#REF!,"X")</f>
        <v>#REF!</v>
      </c>
      <c r="B40" s="63" t="s">
        <v>107</v>
      </c>
      <c r="C40" s="64" t="s">
        <v>108</v>
      </c>
    </row>
    <row r="41" spans="1:3" ht="23" x14ac:dyDescent="0.35">
      <c r="A41" s="50" t="e">
        <f>COUNTIF(#REF!,"X")</f>
        <v>#REF!</v>
      </c>
      <c r="B41" s="53" t="s">
        <v>109</v>
      </c>
      <c r="C41" s="54" t="s">
        <v>110</v>
      </c>
    </row>
    <row r="42" spans="1:3" ht="23" x14ac:dyDescent="0.35">
      <c r="A42" s="50" t="e">
        <f>COUNTIF(#REF!,"X")</f>
        <v>#REF!</v>
      </c>
      <c r="B42" s="63" t="s">
        <v>111</v>
      </c>
      <c r="C42" s="64" t="s">
        <v>112</v>
      </c>
    </row>
    <row r="43" spans="1:3" x14ac:dyDescent="0.35">
      <c r="A43" s="50" t="e">
        <f>COUNTIF(#REF!,"X")</f>
        <v>#REF!</v>
      </c>
      <c r="B43" s="53" t="s">
        <v>113</v>
      </c>
      <c r="C43" s="54" t="s">
        <v>114</v>
      </c>
    </row>
    <row r="44" spans="1:3" ht="34.5" outlineLevel="1" x14ac:dyDescent="0.35">
      <c r="A44" s="50" t="e">
        <f>COUNTIF(#REF!,"X")</f>
        <v>#REF!</v>
      </c>
      <c r="B44" s="55" t="s">
        <v>115</v>
      </c>
      <c r="C44" s="56" t="s">
        <v>116</v>
      </c>
    </row>
    <row r="45" spans="1:3" ht="23" outlineLevel="1" x14ac:dyDescent="0.35">
      <c r="A45" s="50" t="e">
        <f>COUNTIF(#REF!,"X")</f>
        <v>#REF!</v>
      </c>
      <c r="B45" s="57" t="s">
        <v>117</v>
      </c>
      <c r="C45" s="58" t="s">
        <v>118</v>
      </c>
    </row>
    <row r="46" spans="1:3" outlineLevel="1" x14ac:dyDescent="0.35">
      <c r="A46" s="50" t="e">
        <f>COUNTIF(#REF!,"X")</f>
        <v>#REF!</v>
      </c>
      <c r="B46" s="55" t="s">
        <v>119</v>
      </c>
      <c r="C46" s="56" t="s">
        <v>120</v>
      </c>
    </row>
    <row r="47" spans="1:3" ht="23" outlineLevel="1" x14ac:dyDescent="0.35">
      <c r="A47" s="50" t="e">
        <f>COUNTIF(#REF!,"X")</f>
        <v>#REF!</v>
      </c>
      <c r="B47" s="65" t="s">
        <v>121</v>
      </c>
      <c r="C47" s="58" t="s">
        <v>122</v>
      </c>
    </row>
    <row r="48" spans="1:3" ht="23" outlineLevel="1" x14ac:dyDescent="0.35">
      <c r="A48" s="50" t="e">
        <f>COUNTIF(#REF!,"X")</f>
        <v>#REF!</v>
      </c>
      <c r="B48" s="55" t="s">
        <v>123</v>
      </c>
      <c r="C48" s="56" t="s">
        <v>124</v>
      </c>
    </row>
    <row r="49" spans="1:4" s="7" customFormat="1" x14ac:dyDescent="0.35">
      <c r="A49" s="23" t="e">
        <f>COUNTIF(#REF!,"X")</f>
        <v>#REF!</v>
      </c>
      <c r="C49" s="24"/>
      <c r="D49" s="25"/>
    </row>
    <row r="50" spans="1:4" x14ac:dyDescent="0.35">
      <c r="A50" s="50">
        <v>9</v>
      </c>
      <c r="B50" s="51" t="s">
        <v>125</v>
      </c>
      <c r="C50" s="52" t="s">
        <v>126</v>
      </c>
    </row>
    <row r="51" spans="1:4" ht="57.5" x14ac:dyDescent="0.35">
      <c r="A51" s="50" t="e">
        <f>COUNTIF(#REF!,"X")</f>
        <v>#REF!</v>
      </c>
      <c r="B51" s="53" t="s">
        <v>127</v>
      </c>
      <c r="C51" s="54" t="s">
        <v>128</v>
      </c>
    </row>
    <row r="52" spans="1:4" x14ac:dyDescent="0.35">
      <c r="A52" s="50" t="e">
        <f>COUNTIF(#REF!,"X")</f>
        <v>#REF!</v>
      </c>
      <c r="B52" s="63" t="s">
        <v>129</v>
      </c>
      <c r="C52" s="64" t="s">
        <v>130</v>
      </c>
    </row>
    <row r="53" spans="1:4" ht="46" outlineLevel="1" x14ac:dyDescent="0.35">
      <c r="A53" s="50" t="e">
        <f>COUNTIF(#REF!,"X")</f>
        <v>#REF!</v>
      </c>
      <c r="B53" s="57" t="s">
        <v>131</v>
      </c>
      <c r="C53" s="58" t="s">
        <v>132</v>
      </c>
    </row>
    <row r="54" spans="1:4" outlineLevel="1" x14ac:dyDescent="0.35">
      <c r="A54" s="50" t="e">
        <f>COUNTIF(#REF!,"X")</f>
        <v>#REF!</v>
      </c>
      <c r="B54" s="55" t="s">
        <v>133</v>
      </c>
      <c r="C54" s="56" t="s">
        <v>134</v>
      </c>
    </row>
    <row r="55" spans="1:4" outlineLevel="1" x14ac:dyDescent="0.35">
      <c r="A55" s="50" t="e">
        <f>COUNTIF(#REF!,"X")</f>
        <v>#REF!</v>
      </c>
      <c r="B55" s="57" t="s">
        <v>135</v>
      </c>
      <c r="C55" s="58" t="s">
        <v>136</v>
      </c>
    </row>
    <row r="56" spans="1:4" ht="46" outlineLevel="1" x14ac:dyDescent="0.35">
      <c r="A56" s="50" t="e">
        <f>COUNTIF(#REF!,"X")</f>
        <v>#REF!</v>
      </c>
      <c r="B56" s="61" t="s">
        <v>137</v>
      </c>
      <c r="C56" s="62" t="s">
        <v>138</v>
      </c>
    </row>
    <row r="57" spans="1:4" ht="23" outlineLevel="1" x14ac:dyDescent="0.35">
      <c r="A57" s="50" t="e">
        <f>COUNTIF(#REF!,"X")</f>
        <v>#REF!</v>
      </c>
      <c r="B57" s="59" t="s">
        <v>139</v>
      </c>
      <c r="C57" s="60" t="s">
        <v>140</v>
      </c>
    </row>
    <row r="58" spans="1:4" outlineLevel="1" x14ac:dyDescent="0.35">
      <c r="A58" s="50" t="e">
        <f>COUNTIF(#REF!,"X")</f>
        <v>#REF!</v>
      </c>
      <c r="B58" s="55" t="s">
        <v>141</v>
      </c>
      <c r="C58" s="56" t="s">
        <v>142</v>
      </c>
    </row>
    <row r="59" spans="1:4" x14ac:dyDescent="0.35">
      <c r="A59" s="50" t="e">
        <f>COUNTIF(#REF!,"X")</f>
        <v>#REF!</v>
      </c>
      <c r="B59" s="53" t="s">
        <v>143</v>
      </c>
      <c r="C59" s="54" t="s">
        <v>144</v>
      </c>
    </row>
    <row r="60" spans="1:4" ht="34.5" outlineLevel="1" x14ac:dyDescent="0.35">
      <c r="A60" s="50" t="e">
        <f>COUNTIF(#REF!,"X")</f>
        <v>#REF!</v>
      </c>
      <c r="B60" s="55" t="s">
        <v>145</v>
      </c>
      <c r="C60" s="56" t="s">
        <v>146</v>
      </c>
    </row>
    <row r="61" spans="1:4" outlineLevel="1" x14ac:dyDescent="0.35">
      <c r="A61" s="50" t="e">
        <f>COUNTIF(#REF!,"X")</f>
        <v>#REF!</v>
      </c>
      <c r="B61" s="57" t="s">
        <v>147</v>
      </c>
      <c r="C61" s="58" t="s">
        <v>148</v>
      </c>
    </row>
    <row r="62" spans="1:4" outlineLevel="1" x14ac:dyDescent="0.35">
      <c r="A62" s="50" t="e">
        <f>COUNTIF(#REF!,"X")</f>
        <v>#REF!</v>
      </c>
      <c r="B62" s="55" t="s">
        <v>149</v>
      </c>
      <c r="C62" s="56" t="s">
        <v>150</v>
      </c>
    </row>
    <row r="63" spans="1:4" outlineLevel="1" x14ac:dyDescent="0.35">
      <c r="A63" s="50" t="e">
        <f>COUNTIF(#REF!,"X")</f>
        <v>#REF!</v>
      </c>
      <c r="B63" s="57" t="s">
        <v>151</v>
      </c>
      <c r="C63" s="58" t="s">
        <v>152</v>
      </c>
    </row>
    <row r="64" spans="1:4" outlineLevel="1" x14ac:dyDescent="0.35">
      <c r="A64" s="50" t="e">
        <f>COUNTIF(#REF!,"X")</f>
        <v>#REF!</v>
      </c>
      <c r="B64" s="55" t="s">
        <v>153</v>
      </c>
      <c r="C64" s="56" t="s">
        <v>154</v>
      </c>
    </row>
    <row r="65" spans="1:3" outlineLevel="1" x14ac:dyDescent="0.35">
      <c r="A65" s="50" t="e">
        <f>COUNTIF(#REF!,"X")</f>
        <v>#REF!</v>
      </c>
      <c r="B65" s="57" t="s">
        <v>155</v>
      </c>
      <c r="C65" s="58" t="s">
        <v>156</v>
      </c>
    </row>
    <row r="66" spans="1:3" ht="23" x14ac:dyDescent="0.35">
      <c r="A66" s="50" t="e">
        <f>COUNTIF(#REF!,"X")</f>
        <v>#REF!</v>
      </c>
      <c r="B66" s="63" t="s">
        <v>157</v>
      </c>
      <c r="C66" s="64" t="s">
        <v>158</v>
      </c>
    </row>
    <row r="67" spans="1:3" ht="80.5" outlineLevel="1" x14ac:dyDescent="0.35">
      <c r="A67" s="50" t="e">
        <f>COUNTIF(#REF!,"X")</f>
        <v>#REF!</v>
      </c>
      <c r="B67" s="57" t="s">
        <v>159</v>
      </c>
      <c r="C67" s="58" t="s">
        <v>160</v>
      </c>
    </row>
    <row r="68" spans="1:3" ht="46" outlineLevel="1" x14ac:dyDescent="0.35">
      <c r="A68" s="50" t="e">
        <f>COUNTIF(#REF!,"X")</f>
        <v>#REF!</v>
      </c>
      <c r="B68" s="55" t="s">
        <v>161</v>
      </c>
      <c r="C68" s="56" t="s">
        <v>162</v>
      </c>
    </row>
    <row r="69" spans="1:3" ht="34.5" outlineLevel="1" x14ac:dyDescent="0.35">
      <c r="A69" s="50" t="e">
        <f>COUNTIF(#REF!,"X")</f>
        <v>#REF!</v>
      </c>
      <c r="B69" s="57" t="s">
        <v>163</v>
      </c>
      <c r="C69" s="58" t="s">
        <v>164</v>
      </c>
    </row>
    <row r="70" spans="1:3" x14ac:dyDescent="0.35">
      <c r="A70" s="50" t="e">
        <f>COUNTIF(#REF!,"X")</f>
        <v>#REF!</v>
      </c>
      <c r="B70" s="63" t="s">
        <v>165</v>
      </c>
      <c r="C70" s="64" t="s">
        <v>166</v>
      </c>
    </row>
    <row r="71" spans="1:3" ht="34.5" outlineLevel="1" x14ac:dyDescent="0.35">
      <c r="A71" s="50" t="e">
        <f>COUNTIF(#REF!,"X")</f>
        <v>#REF!</v>
      </c>
      <c r="B71" s="57" t="s">
        <v>167</v>
      </c>
      <c r="C71" s="58" t="s">
        <v>168</v>
      </c>
    </row>
    <row r="72" spans="1:3" ht="34.5" outlineLevel="1" x14ac:dyDescent="0.35">
      <c r="A72" s="50" t="e">
        <f>COUNTIF(#REF!,"X")</f>
        <v>#REF!</v>
      </c>
      <c r="B72" s="55" t="s">
        <v>169</v>
      </c>
      <c r="C72" s="56" t="s">
        <v>170</v>
      </c>
    </row>
    <row r="73" spans="1:3" outlineLevel="1" x14ac:dyDescent="0.35">
      <c r="A73" s="50" t="e">
        <f>COUNTIF(#REF!,"X")</f>
        <v>#REF!</v>
      </c>
      <c r="B73" s="57" t="s">
        <v>171</v>
      </c>
      <c r="C73" s="58" t="s">
        <v>172</v>
      </c>
    </row>
    <row r="74" spans="1:3" ht="34.5" outlineLevel="1" x14ac:dyDescent="0.35">
      <c r="A74" s="50" t="e">
        <f>COUNTIF(#REF!,"X")</f>
        <v>#REF!</v>
      </c>
      <c r="B74" s="55" t="s">
        <v>173</v>
      </c>
      <c r="C74" s="56" t="s">
        <v>174</v>
      </c>
    </row>
    <row r="75" spans="1:3" ht="57.5" outlineLevel="1" x14ac:dyDescent="0.35">
      <c r="A75" s="50" t="e">
        <f>COUNTIF(#REF!,"X")</f>
        <v>#REF!</v>
      </c>
      <c r="B75" s="57" t="s">
        <v>175</v>
      </c>
      <c r="C75" s="58" t="s">
        <v>176</v>
      </c>
    </row>
    <row r="76" spans="1:3" ht="23" outlineLevel="1" x14ac:dyDescent="0.35">
      <c r="A76" s="50" t="e">
        <f>COUNTIF(#REF!,"X")</f>
        <v>#REF!</v>
      </c>
      <c r="B76" s="55" t="s">
        <v>177</v>
      </c>
      <c r="C76" s="56" t="s">
        <v>178</v>
      </c>
    </row>
    <row r="77" spans="1:3" ht="34.5" x14ac:dyDescent="0.35">
      <c r="A77" s="50" t="e">
        <f>COUNTIF(#REF!,"X")</f>
        <v>#REF!</v>
      </c>
      <c r="B77" s="53" t="s">
        <v>179</v>
      </c>
      <c r="C77" s="54" t="s">
        <v>180</v>
      </c>
    </row>
    <row r="78" spans="1:3" x14ac:dyDescent="0.35">
      <c r="A78" s="50" t="e">
        <f>COUNTIF(#REF!,"X")</f>
        <v>#REF!</v>
      </c>
      <c r="B78" s="63" t="s">
        <v>181</v>
      </c>
      <c r="C78" s="64" t="s">
        <v>182</v>
      </c>
    </row>
    <row r="79" spans="1:3" ht="34.5" outlineLevel="1" x14ac:dyDescent="0.35">
      <c r="A79" s="50" t="e">
        <f>COUNTIF(#REF!,"X")</f>
        <v>#REF!</v>
      </c>
      <c r="B79" s="57" t="s">
        <v>183</v>
      </c>
      <c r="C79" s="58" t="s">
        <v>184</v>
      </c>
    </row>
    <row r="80" spans="1:3" ht="46" outlineLevel="1" x14ac:dyDescent="0.35">
      <c r="A80" s="50" t="e">
        <f>COUNTIF(#REF!,"X")</f>
        <v>#REF!</v>
      </c>
      <c r="B80" s="55" t="s">
        <v>185</v>
      </c>
      <c r="C80" s="56" t="s">
        <v>186</v>
      </c>
    </row>
    <row r="81" spans="1:4" s="7" customFormat="1" x14ac:dyDescent="0.35">
      <c r="A81" s="23" t="e">
        <f>COUNTIF(#REF!,"X")</f>
        <v>#REF!</v>
      </c>
      <c r="C81" s="24"/>
      <c r="D81" s="25"/>
    </row>
    <row r="82" spans="1:4" x14ac:dyDescent="0.35">
      <c r="A82" s="66">
        <v>9</v>
      </c>
      <c r="B82" s="67" t="s">
        <v>187</v>
      </c>
      <c r="C82" s="68" t="s">
        <v>188</v>
      </c>
    </row>
    <row r="83" spans="1:4" x14ac:dyDescent="0.35">
      <c r="A83" s="66" t="e">
        <f>COUNTIF(#REF!,"X")</f>
        <v>#REF!</v>
      </c>
      <c r="B83" s="69" t="s">
        <v>189</v>
      </c>
      <c r="C83" s="70" t="s">
        <v>190</v>
      </c>
    </row>
    <row r="84" spans="1:4" ht="57.5" outlineLevel="1" x14ac:dyDescent="0.35">
      <c r="A84" s="66" t="e">
        <f>COUNTIF(#REF!,"X")</f>
        <v>#REF!</v>
      </c>
      <c r="B84" s="71" t="s">
        <v>191</v>
      </c>
      <c r="C84" s="72" t="s">
        <v>192</v>
      </c>
    </row>
    <row r="85" spans="1:4" ht="46" outlineLevel="1" x14ac:dyDescent="0.35">
      <c r="A85" s="66" t="e">
        <f>COUNTIF(#REF!,"X")</f>
        <v>#REF!</v>
      </c>
      <c r="B85" s="73" t="s">
        <v>193</v>
      </c>
      <c r="C85" s="74" t="s">
        <v>194</v>
      </c>
    </row>
    <row r="86" spans="1:4" ht="92" outlineLevel="1" x14ac:dyDescent="0.35">
      <c r="A86" s="66" t="e">
        <f>COUNTIF(#REF!,"X")</f>
        <v>#REF!</v>
      </c>
      <c r="B86" s="71" t="s">
        <v>195</v>
      </c>
      <c r="C86" s="72" t="s">
        <v>196</v>
      </c>
    </row>
    <row r="87" spans="1:4" x14ac:dyDescent="0.35">
      <c r="A87" s="66" t="e">
        <f>COUNTIF(#REF!,"X")</f>
        <v>#REF!</v>
      </c>
      <c r="B87" s="69" t="s">
        <v>197</v>
      </c>
      <c r="C87" s="70" t="s">
        <v>198</v>
      </c>
    </row>
    <row r="88" spans="1:4" ht="46" outlineLevel="1" x14ac:dyDescent="0.35">
      <c r="A88" s="66" t="e">
        <f>COUNTIF(#REF!,"X")</f>
        <v>#REF!</v>
      </c>
      <c r="B88" s="71" t="s">
        <v>199</v>
      </c>
      <c r="C88" s="72" t="s">
        <v>200</v>
      </c>
    </row>
    <row r="89" spans="1:4" ht="69" outlineLevel="1" x14ac:dyDescent="0.35">
      <c r="A89" s="66" t="e">
        <f>COUNTIF(#REF!,"X")</f>
        <v>#REF!</v>
      </c>
      <c r="B89" s="73" t="s">
        <v>201</v>
      </c>
      <c r="C89" s="74" t="s">
        <v>202</v>
      </c>
    </row>
    <row r="90" spans="1:4" x14ac:dyDescent="0.35">
      <c r="A90" s="66" t="e">
        <f>COUNTIF(#REF!,"X")</f>
        <v>#REF!</v>
      </c>
      <c r="B90" s="75" t="s">
        <v>203</v>
      </c>
      <c r="C90" s="76" t="s">
        <v>204</v>
      </c>
    </row>
    <row r="91" spans="1:4" ht="23" outlineLevel="1" x14ac:dyDescent="0.35">
      <c r="A91" s="66" t="e">
        <f>COUNTIF(#REF!,"X")</f>
        <v>#REF!</v>
      </c>
      <c r="B91" s="73" t="s">
        <v>205</v>
      </c>
      <c r="C91" s="74" t="s">
        <v>206</v>
      </c>
    </row>
    <row r="92" spans="1:4" outlineLevel="1" x14ac:dyDescent="0.35">
      <c r="A92" s="66" t="e">
        <f>COUNTIF(#REF!,"X")</f>
        <v>#REF!</v>
      </c>
      <c r="B92" s="71" t="s">
        <v>207</v>
      </c>
      <c r="C92" s="72" t="s">
        <v>208</v>
      </c>
    </row>
    <row r="93" spans="1:4" outlineLevel="1" x14ac:dyDescent="0.35">
      <c r="A93" s="66" t="e">
        <f>COUNTIF(#REF!,"X")</f>
        <v>#REF!</v>
      </c>
      <c r="B93" s="73" t="s">
        <v>209</v>
      </c>
      <c r="C93" s="74" t="s">
        <v>210</v>
      </c>
    </row>
    <row r="94" spans="1:4" s="7" customFormat="1" x14ac:dyDescent="0.35">
      <c r="A94" s="23" t="e">
        <f>COUNTIF(#REF!,"X")</f>
        <v>#REF!</v>
      </c>
      <c r="C94" s="24"/>
      <c r="D94" s="25"/>
    </row>
    <row r="95" spans="1:4" x14ac:dyDescent="0.35">
      <c r="A95" s="77">
        <v>9</v>
      </c>
      <c r="B95" s="78" t="s">
        <v>211</v>
      </c>
      <c r="C95" s="79" t="s">
        <v>212</v>
      </c>
    </row>
    <row r="96" spans="1:4" ht="34.5" x14ac:dyDescent="0.35">
      <c r="A96" s="77" t="e">
        <f>COUNTIF(#REF!,"X")</f>
        <v>#REF!</v>
      </c>
      <c r="B96" s="80" t="s">
        <v>213</v>
      </c>
      <c r="C96" s="81" t="s">
        <v>214</v>
      </c>
    </row>
    <row r="97" spans="1:3" x14ac:dyDescent="0.35">
      <c r="A97" s="77" t="e">
        <f>COUNTIF(#REF!,"X")</f>
        <v>#REF!</v>
      </c>
      <c r="B97" s="82" t="s">
        <v>215</v>
      </c>
      <c r="C97" s="83" t="s">
        <v>216</v>
      </c>
    </row>
    <row r="98" spans="1:3" ht="69" outlineLevel="1" x14ac:dyDescent="0.35">
      <c r="A98" s="77" t="e">
        <f>COUNTIF(#REF!,"X")</f>
        <v>#REF!</v>
      </c>
      <c r="B98" s="84" t="s">
        <v>217</v>
      </c>
      <c r="C98" s="85" t="s">
        <v>218</v>
      </c>
    </row>
    <row r="99" spans="1:3" ht="34.5" outlineLevel="1" x14ac:dyDescent="0.35">
      <c r="A99" s="77" t="e">
        <f>COUNTIF(#REF!,"X")</f>
        <v>#REF!</v>
      </c>
      <c r="B99" s="86" t="s">
        <v>219</v>
      </c>
      <c r="C99" s="87" t="s">
        <v>220</v>
      </c>
    </row>
    <row r="100" spans="1:3" ht="12" thickBot="1" x14ac:dyDescent="0.4">
      <c r="A100" s="88" t="e">
        <f>COUNTIF(#REF!,"X")</f>
        <v>#REF!</v>
      </c>
      <c r="B100" s="89" t="s">
        <v>221</v>
      </c>
      <c r="C100" s="90" t="s">
        <v>222</v>
      </c>
    </row>
  </sheetData>
  <sheetProtection sheet="1" objects="1" scenarios="1"/>
  <autoFilter ref="A3:D100"/>
  <mergeCells count="2">
    <mergeCell ref="B1:C1"/>
    <mergeCell ref="A2:B2"/>
  </mergeCells>
  <printOptions horizontalCentered="1"/>
  <pageMargins left="0.39370078740157483" right="0.39370078740157483" top="0.55118110236220474" bottom="0.39370078740157483" header="0.31496062992125984" footer="0.31496062992125984"/>
  <pageSetup scale="85"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W77"/>
  <sheetViews>
    <sheetView zoomScale="80" zoomScaleNormal="80" workbookViewId="0">
      <pane xSplit="6" ySplit="3" topLeftCell="G4" activePane="bottomRight" state="frozen"/>
      <selection pane="topRight" activeCell="G1" sqref="G1"/>
      <selection pane="bottomLeft" activeCell="A4" sqref="A4"/>
      <selection pane="bottomRight" activeCell="B3" sqref="B3:B29"/>
    </sheetView>
  </sheetViews>
  <sheetFormatPr baseColWidth="10" defaultColWidth="0" defaultRowHeight="14.5" zeroHeight="1" x14ac:dyDescent="0.35"/>
  <cols>
    <col min="1" max="1" width="5.7265625" style="183" customWidth="1"/>
    <col min="2" max="2" width="43" style="184" customWidth="1"/>
    <col min="3" max="3" width="3.26953125" style="185" customWidth="1"/>
    <col min="4" max="4" width="1.453125" customWidth="1"/>
    <col min="5" max="5" width="4.54296875" style="103" customWidth="1"/>
    <col min="6" max="6" width="30.1796875" customWidth="1"/>
    <col min="7" max="7" width="44.26953125" customWidth="1"/>
    <col min="8" max="8" width="48.7265625" style="204" customWidth="1"/>
    <col min="9" max="9" width="7.26953125" style="104" customWidth="1"/>
    <col min="10" max="10" width="7.453125" style="104" customWidth="1"/>
    <col min="11" max="11" width="10" style="104" customWidth="1"/>
    <col min="12" max="12" width="6.7265625" style="104" customWidth="1"/>
    <col min="13" max="21" width="7.1796875" style="104" customWidth="1"/>
    <col min="22" max="22" width="1.81640625" style="102" customWidth="1"/>
    <col min="23" max="23" width="11.81640625" hidden="1" customWidth="1"/>
    <col min="24" max="16384" width="11.453125" hidden="1"/>
  </cols>
  <sheetData>
    <row r="1" spans="1:22" ht="15" customHeight="1" x14ac:dyDescent="0.35">
      <c r="D1" s="1"/>
      <c r="E1" s="363" t="s">
        <v>240</v>
      </c>
      <c r="F1" s="364"/>
      <c r="G1" s="186">
        <v>2022</v>
      </c>
      <c r="H1" s="93"/>
      <c r="I1" s="93"/>
      <c r="J1" s="187"/>
      <c r="K1" s="187"/>
      <c r="L1" s="187"/>
      <c r="M1" s="188">
        <f>SUM(M$3:M$62)</f>
        <v>18</v>
      </c>
      <c r="N1" s="188">
        <f>SUM(N$3:N$62)</f>
        <v>32</v>
      </c>
      <c r="O1" s="188">
        <f>SUM(O$3:O$62)</f>
        <v>0</v>
      </c>
      <c r="P1" s="188">
        <f>SUM(P$3:P$62)</f>
        <v>48</v>
      </c>
      <c r="Q1" s="188">
        <f>SUM(Q$3:Q$62)</f>
        <v>2</v>
      </c>
      <c r="R1" s="189"/>
      <c r="S1" s="189"/>
      <c r="T1" s="368"/>
      <c r="U1" s="368"/>
      <c r="V1" s="1"/>
    </row>
    <row r="2" spans="1:22" ht="20.149999999999999" customHeight="1" x14ac:dyDescent="0.35">
      <c r="D2" s="1"/>
      <c r="E2" s="94" t="s">
        <v>21</v>
      </c>
      <c r="F2" s="94" t="s">
        <v>22</v>
      </c>
      <c r="G2" s="95" t="s">
        <v>7</v>
      </c>
      <c r="H2" s="95" t="s">
        <v>241</v>
      </c>
      <c r="I2" s="96" t="s">
        <v>242</v>
      </c>
      <c r="J2" s="190" t="s">
        <v>486</v>
      </c>
      <c r="K2" s="191" t="s">
        <v>487</v>
      </c>
      <c r="L2" s="192" t="s">
        <v>488</v>
      </c>
      <c r="M2" s="193" t="s">
        <v>489</v>
      </c>
      <c r="N2" s="194" t="s">
        <v>490</v>
      </c>
      <c r="O2" s="195" t="s">
        <v>491</v>
      </c>
      <c r="P2" s="194" t="s">
        <v>492</v>
      </c>
      <c r="Q2" s="195" t="s">
        <v>493</v>
      </c>
      <c r="R2" s="194" t="s">
        <v>494</v>
      </c>
      <c r="S2" s="369" t="s">
        <v>495</v>
      </c>
      <c r="T2" s="370" t="s">
        <v>575</v>
      </c>
      <c r="U2" s="371" t="s">
        <v>576</v>
      </c>
      <c r="V2" s="1"/>
    </row>
    <row r="3" spans="1:22" ht="20.149999999999999" customHeight="1" x14ac:dyDescent="0.35">
      <c r="A3" s="183">
        <f t="shared" ref="A3:A42" si="0">E3</f>
        <v>1</v>
      </c>
      <c r="B3" s="196" t="str">
        <f t="shared" ref="B3:B42" si="1">IFERROR(CONCATENATE(IF(MID(VLOOKUP(A3,C:I,7,0),1,1)="P","*",""),VLOOKUP(A3,C:F,4,0)),"")</f>
        <v>*Aida Marcela Correa Benavides</v>
      </c>
      <c r="C3" s="185">
        <f>IF(J3="Si",COUNTIF(J$3:J3,"Si"),"")</f>
        <v>1</v>
      </c>
      <c r="D3" s="97" t="str">
        <f>TEXT(ISEVEN(E3),0)</f>
        <v>FALSO</v>
      </c>
      <c r="E3" s="98">
        <f>IF(F3="","",COUNTA(F$3:F3))</f>
        <v>1</v>
      </c>
      <c r="F3" s="99" t="s">
        <v>23</v>
      </c>
      <c r="G3" s="114" t="s">
        <v>437</v>
      </c>
      <c r="H3" s="177" t="s">
        <v>438</v>
      </c>
      <c r="I3" s="101" t="s">
        <v>244</v>
      </c>
      <c r="J3" s="98" t="s">
        <v>496</v>
      </c>
      <c r="K3" s="197" t="s">
        <v>497</v>
      </c>
      <c r="L3" s="197">
        <f t="shared" ref="L3:L57" si="2">SUM(M3:V3)</f>
        <v>12</v>
      </c>
      <c r="M3" s="198"/>
      <c r="N3" s="199">
        <v>2</v>
      </c>
      <c r="O3" s="200"/>
      <c r="P3" s="199">
        <v>2</v>
      </c>
      <c r="Q3" s="200"/>
      <c r="R3" s="201">
        <v>3</v>
      </c>
      <c r="S3" s="201">
        <v>2</v>
      </c>
      <c r="T3" s="372">
        <v>3</v>
      </c>
      <c r="U3" s="373"/>
      <c r="V3" s="1"/>
    </row>
    <row r="4" spans="1:22" ht="12" customHeight="1" x14ac:dyDescent="0.35">
      <c r="A4" s="183">
        <f t="shared" si="0"/>
        <v>2</v>
      </c>
      <c r="B4" s="202" t="str">
        <f t="shared" si="1"/>
        <v>Ana Adela Baos</v>
      </c>
      <c r="C4" s="185" t="str">
        <f>IF(J4="Si",COUNTIF(J$3:J4,"Si"),"")</f>
        <v/>
      </c>
      <c r="D4" s="97" t="str">
        <f t="shared" ref="D4:D58" si="3">TEXT(ISEVEN(E4),0)</f>
        <v>VERDADERO</v>
      </c>
      <c r="E4" s="98">
        <f>IF(F4="","",COUNTA(F$3:F4))</f>
        <v>2</v>
      </c>
      <c r="F4" s="203" t="s">
        <v>498</v>
      </c>
      <c r="G4" s="114" t="s">
        <v>499</v>
      </c>
      <c r="H4" s="204" t="s">
        <v>500</v>
      </c>
      <c r="I4" s="101" t="s">
        <v>245</v>
      </c>
      <c r="J4" s="98" t="s">
        <v>577</v>
      </c>
      <c r="K4" s="197"/>
      <c r="L4" s="197">
        <f t="shared" si="2"/>
        <v>0</v>
      </c>
      <c r="M4" s="198"/>
      <c r="N4" s="199"/>
      <c r="O4" s="200"/>
      <c r="P4" s="199" t="str">
        <f>IFERROR(VLOOKUP(CONCATENATE(IF(MID($I4,1,1)="P","*",""),$F4),'[1]Programación x Auditor'!$C:$E,2,0),"")</f>
        <v/>
      </c>
      <c r="Q4" s="200" t="str">
        <f>IFERROR(VLOOKUP(CONCATENATE(IF(MID($I4,1,1)="P","*",""),$F4),'[1]Programación x Auditor'!$C:$E,3,0),"")</f>
        <v/>
      </c>
      <c r="R4" s="374"/>
      <c r="S4" s="375"/>
      <c r="T4" s="372"/>
      <c r="U4" s="373"/>
      <c r="V4" s="1"/>
    </row>
    <row r="5" spans="1:22" ht="15" customHeight="1" x14ac:dyDescent="0.35">
      <c r="A5" s="183">
        <f t="shared" si="0"/>
        <v>3</v>
      </c>
      <c r="B5" s="202" t="str">
        <f t="shared" si="1"/>
        <v>Andrea Karina Ballagan Estrada</v>
      </c>
      <c r="C5" s="185" t="str">
        <f>IF(J5="Si",COUNTIF(J$3:J5,"Si"),"")</f>
        <v/>
      </c>
      <c r="D5" s="97" t="str">
        <f t="shared" si="3"/>
        <v>FALSO</v>
      </c>
      <c r="E5" s="98">
        <f>IF(F5="","",COUNTA(F$3:F5))</f>
        <v>3</v>
      </c>
      <c r="F5" s="205" t="s">
        <v>501</v>
      </c>
      <c r="G5" s="114" t="s">
        <v>499</v>
      </c>
      <c r="H5" s="178" t="s">
        <v>502</v>
      </c>
      <c r="I5" s="101" t="s">
        <v>245</v>
      </c>
      <c r="J5" s="98" t="s">
        <v>577</v>
      </c>
      <c r="K5" s="197" t="s">
        <v>503</v>
      </c>
      <c r="L5" s="197">
        <f t="shared" si="2"/>
        <v>6</v>
      </c>
      <c r="M5" s="198"/>
      <c r="N5" s="199">
        <v>2</v>
      </c>
      <c r="O5" s="200"/>
      <c r="P5" s="199">
        <v>2</v>
      </c>
      <c r="Q5" s="200"/>
      <c r="R5" s="374"/>
      <c r="S5" s="375">
        <v>2</v>
      </c>
      <c r="T5" s="372"/>
      <c r="U5" s="373"/>
      <c r="V5" s="1"/>
    </row>
    <row r="6" spans="1:22" ht="15" customHeight="1" x14ac:dyDescent="0.35">
      <c r="A6" s="183">
        <f t="shared" si="0"/>
        <v>4</v>
      </c>
      <c r="B6" s="202" t="str">
        <f t="shared" si="1"/>
        <v>*Carlos Andrés Durán Enríquez</v>
      </c>
      <c r="C6" s="185">
        <f>IF(J6="Si",COUNTIF(J$3:J6,"Si"),"")</f>
        <v>2</v>
      </c>
      <c r="D6" s="97" t="str">
        <f t="shared" si="3"/>
        <v>VERDADERO</v>
      </c>
      <c r="E6" s="98">
        <f>IF(F6="","",COUNTA(F$3:F6))</f>
        <v>4</v>
      </c>
      <c r="F6" s="100" t="s">
        <v>578</v>
      </c>
      <c r="G6" s="114" t="s">
        <v>439</v>
      </c>
      <c r="H6" s="177" t="s">
        <v>579</v>
      </c>
      <c r="I6" s="101" t="s">
        <v>245</v>
      </c>
      <c r="J6" s="98" t="s">
        <v>496</v>
      </c>
      <c r="K6" s="197" t="s">
        <v>503</v>
      </c>
      <c r="L6" s="197">
        <f t="shared" si="2"/>
        <v>5</v>
      </c>
      <c r="M6" s="198">
        <v>2</v>
      </c>
      <c r="N6" s="199"/>
      <c r="O6" s="200"/>
      <c r="P6" s="199">
        <f>IFERROR(VLOOKUP(CONCATENATE(IF(MID($I6,1,1)="P","*",""),$F6),'[1]Programación x Auditor'!$C:$E,2,0),"")</f>
        <v>0</v>
      </c>
      <c r="Q6" s="200"/>
      <c r="R6" s="374"/>
      <c r="S6" s="375">
        <v>2</v>
      </c>
      <c r="T6" s="372"/>
      <c r="U6" s="373">
        <v>1</v>
      </c>
      <c r="V6" s="1"/>
    </row>
    <row r="7" spans="1:22" ht="16.5" customHeight="1" x14ac:dyDescent="0.35">
      <c r="A7" s="183">
        <f t="shared" si="0"/>
        <v>5</v>
      </c>
      <c r="B7" s="202" t="str">
        <f t="shared" si="1"/>
        <v>*Daisy Ximena Valencia Palomino</v>
      </c>
      <c r="C7" s="185">
        <f>IF(J7="Si",COUNTIF(J$3:J7,"Si"),"")</f>
        <v>3</v>
      </c>
      <c r="D7" s="97" t="str">
        <f t="shared" si="3"/>
        <v>FALSO</v>
      </c>
      <c r="E7" s="98">
        <f>IF(F7="","",COUNTA(F$3:F7))</f>
        <v>5</v>
      </c>
      <c r="F7" s="100" t="s">
        <v>504</v>
      </c>
      <c r="G7" s="114" t="s">
        <v>505</v>
      </c>
      <c r="H7" s="206" t="s">
        <v>506</v>
      </c>
      <c r="I7" s="101" t="s">
        <v>245</v>
      </c>
      <c r="J7" s="98" t="s">
        <v>496</v>
      </c>
      <c r="K7" s="197" t="s">
        <v>503</v>
      </c>
      <c r="L7" s="197">
        <f t="shared" si="2"/>
        <v>7</v>
      </c>
      <c r="M7" s="198"/>
      <c r="N7" s="199"/>
      <c r="O7" s="200"/>
      <c r="P7" s="199">
        <v>2</v>
      </c>
      <c r="Q7" s="200">
        <f>IFERROR(VLOOKUP(CONCATENATE(IF(MID($I7,1,1)="P","*",""),$F7),'[1]Programación x Auditor'!$C:$E,3,0),"")</f>
        <v>2</v>
      </c>
      <c r="R7" s="374"/>
      <c r="S7" s="375">
        <v>2</v>
      </c>
      <c r="T7" s="372"/>
      <c r="U7" s="373">
        <v>1</v>
      </c>
      <c r="V7" s="1"/>
    </row>
    <row r="8" spans="1:22" ht="14.15" customHeight="1" x14ac:dyDescent="0.35">
      <c r="A8" s="183">
        <f t="shared" si="0"/>
        <v>6</v>
      </c>
      <c r="B8" s="202" t="str">
        <f t="shared" si="1"/>
        <v xml:space="preserve">*Depsi Johana Córdoba Mompotes </v>
      </c>
      <c r="C8" s="185">
        <f>IF(J8="Si",COUNTIF(J$3:J8,"Si"),"")</f>
        <v>4</v>
      </c>
      <c r="D8" s="97" t="str">
        <f t="shared" si="3"/>
        <v>VERDADERO</v>
      </c>
      <c r="E8" s="98">
        <f>IF(F8="","",COUNTA(F$3:F8))</f>
        <v>6</v>
      </c>
      <c r="F8" s="99" t="s">
        <v>25</v>
      </c>
      <c r="G8" s="114" t="s">
        <v>440</v>
      </c>
      <c r="H8" s="178" t="s">
        <v>580</v>
      </c>
      <c r="I8" s="101" t="s">
        <v>244</v>
      </c>
      <c r="J8" s="98" t="s">
        <v>496</v>
      </c>
      <c r="K8" s="197" t="s">
        <v>497</v>
      </c>
      <c r="L8" s="197">
        <f t="shared" si="2"/>
        <v>11</v>
      </c>
      <c r="M8" s="198"/>
      <c r="N8" s="199">
        <v>2</v>
      </c>
      <c r="O8" s="200"/>
      <c r="P8" s="199">
        <v>2</v>
      </c>
      <c r="Q8" s="200"/>
      <c r="R8" s="201">
        <v>2</v>
      </c>
      <c r="S8" s="201">
        <v>2</v>
      </c>
      <c r="T8" s="372">
        <v>3</v>
      </c>
      <c r="U8" s="373"/>
      <c r="V8" s="1"/>
    </row>
    <row r="9" spans="1:22" ht="16" customHeight="1" x14ac:dyDescent="0.35">
      <c r="A9" s="183">
        <f t="shared" si="0"/>
        <v>7</v>
      </c>
      <c r="B9" s="202" t="str">
        <f t="shared" si="1"/>
        <v>*Diego Fabian Bolaños Sarria</v>
      </c>
      <c r="C9" s="185" t="str">
        <f>IF(J9="Si",COUNTIF(J$3:J9,"Si"),"")</f>
        <v/>
      </c>
      <c r="D9" s="97" t="str">
        <f t="shared" si="3"/>
        <v>FALSO</v>
      </c>
      <c r="E9" s="98">
        <f>IF(F9="","",COUNTA(F$3:F9))</f>
        <v>7</v>
      </c>
      <c r="F9" s="100" t="s">
        <v>26</v>
      </c>
      <c r="G9" s="114" t="s">
        <v>246</v>
      </c>
      <c r="H9" s="178"/>
      <c r="I9" s="101" t="s">
        <v>244</v>
      </c>
      <c r="J9" s="98" t="s">
        <v>577</v>
      </c>
      <c r="K9" s="197" t="s">
        <v>497</v>
      </c>
      <c r="L9" s="197">
        <f t="shared" si="2"/>
        <v>8</v>
      </c>
      <c r="M9" s="198"/>
      <c r="N9" s="199">
        <v>2</v>
      </c>
      <c r="O9" s="200"/>
      <c r="P9" s="199">
        <v>2</v>
      </c>
      <c r="Q9" s="200"/>
      <c r="R9" s="201"/>
      <c r="S9" s="201">
        <v>1</v>
      </c>
      <c r="T9" s="372">
        <v>3</v>
      </c>
      <c r="U9" s="373"/>
      <c r="V9" s="1"/>
    </row>
    <row r="10" spans="1:22" ht="17.149999999999999" customHeight="1" x14ac:dyDescent="0.35">
      <c r="A10" s="183">
        <f t="shared" si="0"/>
        <v>8</v>
      </c>
      <c r="B10" s="202" t="str">
        <f t="shared" si="1"/>
        <v>*Gabriela Andrea Rivera Macias</v>
      </c>
      <c r="C10" s="185" t="str">
        <f>IF(J10="Si",COUNTIF(J$3:J10,"Si"),"")</f>
        <v/>
      </c>
      <c r="D10" s="97" t="str">
        <f t="shared" si="3"/>
        <v>VERDADERO</v>
      </c>
      <c r="E10" s="98">
        <f>IF(F10="","",COUNTA(F$3:F10))</f>
        <v>8</v>
      </c>
      <c r="F10" s="99" t="s">
        <v>18</v>
      </c>
      <c r="G10" s="114" t="s">
        <v>27</v>
      </c>
      <c r="H10" s="178"/>
      <c r="I10" s="101" t="s">
        <v>244</v>
      </c>
      <c r="J10" s="98" t="s">
        <v>577</v>
      </c>
      <c r="K10" s="197" t="s">
        <v>497</v>
      </c>
      <c r="L10" s="197">
        <f t="shared" si="2"/>
        <v>8</v>
      </c>
      <c r="M10" s="198">
        <v>2</v>
      </c>
      <c r="N10" s="199"/>
      <c r="O10" s="200"/>
      <c r="P10" s="199">
        <v>2</v>
      </c>
      <c r="Q10" s="200"/>
      <c r="R10" s="201">
        <v>1</v>
      </c>
      <c r="S10" s="201"/>
      <c r="T10" s="372">
        <v>3</v>
      </c>
      <c r="U10" s="373"/>
      <c r="V10" s="1"/>
    </row>
    <row r="11" spans="1:22" ht="17.5" customHeight="1" x14ac:dyDescent="0.35">
      <c r="A11" s="183">
        <f t="shared" si="0"/>
        <v>9</v>
      </c>
      <c r="B11" s="202" t="str">
        <f t="shared" si="1"/>
        <v>*Julio Cesar Garcia Buitron</v>
      </c>
      <c r="C11" s="185">
        <f>IF(J11="Si",COUNTIF(J$3:J11,"Si"),"")</f>
        <v>5</v>
      </c>
      <c r="D11" s="97" t="str">
        <f t="shared" si="3"/>
        <v>FALSO</v>
      </c>
      <c r="E11" s="98">
        <f>IF(F11="","",COUNTA(F$3:F11))</f>
        <v>9</v>
      </c>
      <c r="F11" s="100" t="s">
        <v>20</v>
      </c>
      <c r="G11" s="114" t="s">
        <v>247</v>
      </c>
      <c r="H11" s="178" t="s">
        <v>248</v>
      </c>
      <c r="I11" s="101" t="s">
        <v>244</v>
      </c>
      <c r="J11" s="98" t="s">
        <v>496</v>
      </c>
      <c r="K11" s="197" t="s">
        <v>497</v>
      </c>
      <c r="L11" s="197">
        <f t="shared" si="2"/>
        <v>9</v>
      </c>
      <c r="M11" s="198"/>
      <c r="N11" s="199">
        <v>3</v>
      </c>
      <c r="O11" s="200"/>
      <c r="P11" s="199">
        <v>2</v>
      </c>
      <c r="Q11" s="200"/>
      <c r="R11" s="201">
        <v>2</v>
      </c>
      <c r="S11" s="201"/>
      <c r="T11" s="372">
        <v>2</v>
      </c>
      <c r="U11" s="373"/>
      <c r="V11" s="1"/>
    </row>
    <row r="12" spans="1:22" ht="17.5" customHeight="1" x14ac:dyDescent="0.35">
      <c r="A12" s="183">
        <f t="shared" si="0"/>
        <v>10</v>
      </c>
      <c r="B12" s="202" t="str">
        <f t="shared" si="1"/>
        <v>*Karen Viviana Quiñones Mosquera</v>
      </c>
      <c r="C12" s="185" t="str">
        <f>IF(J12="Si",COUNTIF(J$3:J12,"Si"),"")</f>
        <v/>
      </c>
      <c r="D12" s="97" t="str">
        <f t="shared" si="3"/>
        <v>VERDADERO</v>
      </c>
      <c r="E12" s="98">
        <f>IF(F12="","",COUNTA(F$3:F12))</f>
        <v>10</v>
      </c>
      <c r="F12" s="99" t="s">
        <v>28</v>
      </c>
      <c r="G12" s="114" t="s">
        <v>29</v>
      </c>
      <c r="H12" s="206" t="s">
        <v>581</v>
      </c>
      <c r="I12" s="101" t="s">
        <v>244</v>
      </c>
      <c r="J12" s="98" t="s">
        <v>577</v>
      </c>
      <c r="K12" s="197" t="s">
        <v>497</v>
      </c>
      <c r="L12" s="197">
        <f t="shared" si="2"/>
        <v>11</v>
      </c>
      <c r="M12" s="198">
        <v>2</v>
      </c>
      <c r="N12" s="199">
        <v>2</v>
      </c>
      <c r="O12" s="200"/>
      <c r="P12" s="199">
        <v>2</v>
      </c>
      <c r="Q12" s="200"/>
      <c r="R12" s="201">
        <v>2</v>
      </c>
      <c r="S12" s="201">
        <v>1</v>
      </c>
      <c r="T12" s="372">
        <v>2</v>
      </c>
      <c r="U12" s="373"/>
      <c r="V12" s="1"/>
    </row>
    <row r="13" spans="1:22" ht="20.149999999999999" customHeight="1" x14ac:dyDescent="0.35">
      <c r="A13" s="183">
        <f t="shared" si="0"/>
        <v>11</v>
      </c>
      <c r="B13" s="202" t="str">
        <f t="shared" si="1"/>
        <v>*Liliana Erazo</v>
      </c>
      <c r="C13" s="185">
        <f>IF(J13="Si",COUNTIF(J$3:J13,"Si"),"")</f>
        <v>6</v>
      </c>
      <c r="D13" s="97" t="str">
        <f t="shared" si="3"/>
        <v>FALSO</v>
      </c>
      <c r="E13" s="98">
        <f>IF(F13="","",COUNTA(F$3:F13))</f>
        <v>11</v>
      </c>
      <c r="F13" s="99" t="s">
        <v>249</v>
      </c>
      <c r="G13" s="114" t="s">
        <v>250</v>
      </c>
      <c r="H13" s="206" t="s">
        <v>582</v>
      </c>
      <c r="I13" s="101" t="s">
        <v>244</v>
      </c>
      <c r="J13" s="98" t="s">
        <v>496</v>
      </c>
      <c r="K13" s="197" t="s">
        <v>503</v>
      </c>
      <c r="L13" s="197">
        <f t="shared" si="2"/>
        <v>8</v>
      </c>
      <c r="M13" s="198"/>
      <c r="N13" s="199"/>
      <c r="O13" s="200"/>
      <c r="P13" s="199">
        <v>2</v>
      </c>
      <c r="Q13" s="200"/>
      <c r="R13" s="201">
        <v>3</v>
      </c>
      <c r="S13" s="201"/>
      <c r="T13" s="372">
        <v>3</v>
      </c>
      <c r="U13" s="373"/>
      <c r="V13" s="1"/>
    </row>
    <row r="14" spans="1:22" ht="20.149999999999999" customHeight="1" x14ac:dyDescent="0.35">
      <c r="A14" s="183">
        <f t="shared" si="0"/>
        <v>12</v>
      </c>
      <c r="B14" s="202" t="str">
        <f t="shared" si="1"/>
        <v>*Omar Andrés Acosta Caicedo</v>
      </c>
      <c r="C14" s="185">
        <f>IF(J14="Si",COUNTIF(J$3:J14,"Si"),"")</f>
        <v>7</v>
      </c>
      <c r="D14" s="97" t="str">
        <f t="shared" si="3"/>
        <v>VERDADERO</v>
      </c>
      <c r="E14" s="98">
        <f>IF(F14="","",COUNTA(F$3:F14))</f>
        <v>12</v>
      </c>
      <c r="F14" s="99" t="s">
        <v>30</v>
      </c>
      <c r="G14" s="114" t="s">
        <v>251</v>
      </c>
      <c r="H14" s="179" t="s">
        <v>583</v>
      </c>
      <c r="I14" s="101" t="s">
        <v>244</v>
      </c>
      <c r="J14" s="98" t="s">
        <v>496</v>
      </c>
      <c r="K14" s="197" t="s">
        <v>497</v>
      </c>
      <c r="L14" s="197">
        <f t="shared" si="2"/>
        <v>10</v>
      </c>
      <c r="M14" s="198">
        <v>2</v>
      </c>
      <c r="N14" s="199">
        <v>2</v>
      </c>
      <c r="O14" s="200"/>
      <c r="P14" s="199">
        <v>2</v>
      </c>
      <c r="Q14" s="200"/>
      <c r="R14" s="201">
        <v>1</v>
      </c>
      <c r="S14" s="201"/>
      <c r="T14" s="372">
        <v>3</v>
      </c>
      <c r="U14" s="373"/>
      <c r="V14" s="1"/>
    </row>
    <row r="15" spans="1:22" ht="15" customHeight="1" x14ac:dyDescent="0.35">
      <c r="A15" s="183">
        <f t="shared" si="0"/>
        <v>13</v>
      </c>
      <c r="B15" s="202" t="str">
        <f t="shared" si="1"/>
        <v>*Tatiana Mejia Rondon</v>
      </c>
      <c r="C15" s="185">
        <f>IF(J15="Si",COUNTIF(J$3:J15,"Si"),"")</f>
        <v>8</v>
      </c>
      <c r="D15" s="97" t="str">
        <f t="shared" si="3"/>
        <v>FALSO</v>
      </c>
      <c r="E15" s="98">
        <f>IF(F15="","",COUNTA(F$3:F15))</f>
        <v>13</v>
      </c>
      <c r="F15" s="100" t="s">
        <v>507</v>
      </c>
      <c r="G15" s="114" t="s">
        <v>508</v>
      </c>
      <c r="H15" s="179" t="s">
        <v>584</v>
      </c>
      <c r="I15" s="101" t="s">
        <v>244</v>
      </c>
      <c r="J15" s="98" t="s">
        <v>496</v>
      </c>
      <c r="K15" s="197"/>
      <c r="L15" s="197">
        <f t="shared" si="2"/>
        <v>6</v>
      </c>
      <c r="M15" s="198">
        <v>2</v>
      </c>
      <c r="N15" s="199">
        <v>2</v>
      </c>
      <c r="O15" s="200"/>
      <c r="P15" s="199">
        <f>IFERROR(VLOOKUP(CONCATENATE(IF(MID($I15,1,1)="P","*",""),$F15),'[1]Programación x Auditor'!$C:$E,2,0),"")</f>
        <v>2</v>
      </c>
      <c r="Q15" s="200">
        <f>IFERROR(VLOOKUP(CONCATENATE(IF(MID($I15,1,1)="P","*",""),$F15),'[1]Programación x Auditor'!$C:$E,3,0),"")</f>
        <v>0</v>
      </c>
      <c r="R15" s="374"/>
      <c r="S15" s="375"/>
      <c r="T15" s="372"/>
      <c r="U15" s="373"/>
      <c r="V15" s="1"/>
    </row>
    <row r="16" spans="1:22" ht="15" customHeight="1" x14ac:dyDescent="0.35">
      <c r="A16" s="183">
        <f t="shared" si="0"/>
        <v>14</v>
      </c>
      <c r="B16" s="202" t="str">
        <f t="shared" si="1"/>
        <v>*Wadys Montilla Ortega</v>
      </c>
      <c r="C16" s="185" t="str">
        <f>IF(J16="Si",COUNTIF(J$3:J16,"Si"),"")</f>
        <v/>
      </c>
      <c r="D16" s="97" t="str">
        <f t="shared" si="3"/>
        <v>VERDADERO</v>
      </c>
      <c r="E16" s="98">
        <f>IF(F16="","",COUNTA(F$3:F16))</f>
        <v>14</v>
      </c>
      <c r="F16" s="99" t="s">
        <v>509</v>
      </c>
      <c r="G16" s="114" t="s">
        <v>510</v>
      </c>
      <c r="H16" s="100"/>
      <c r="I16" s="101" t="s">
        <v>245</v>
      </c>
      <c r="J16" s="98" t="s">
        <v>577</v>
      </c>
      <c r="K16" s="197" t="s">
        <v>503</v>
      </c>
      <c r="L16" s="197">
        <f t="shared" si="2"/>
        <v>3</v>
      </c>
      <c r="M16" s="198"/>
      <c r="N16" s="199"/>
      <c r="O16" s="200"/>
      <c r="P16" s="199">
        <v>2</v>
      </c>
      <c r="Q16" s="200" t="str">
        <f>IFERROR(VLOOKUP(CONCATENATE(IF(MID($I16,1,1)="P","*",""),$F16),'[1]Programación x Auditor'!$C:$E,3,0),"")</f>
        <v/>
      </c>
      <c r="R16" s="374"/>
      <c r="S16" s="375"/>
      <c r="T16" s="372"/>
      <c r="U16" s="373">
        <v>1</v>
      </c>
      <c r="V16" s="1"/>
    </row>
    <row r="17" spans="1:22" ht="15" customHeight="1" x14ac:dyDescent="0.35">
      <c r="A17" s="183">
        <f t="shared" si="0"/>
        <v>15</v>
      </c>
      <c r="B17" s="202" t="str">
        <f t="shared" si="1"/>
        <v>*Luisa Marcela Toro Medina</v>
      </c>
      <c r="C17" s="185" t="str">
        <f>IF(J17="Si",COUNTIF(J$3:J17,"Si"),"")</f>
        <v/>
      </c>
      <c r="D17" s="97" t="str">
        <f t="shared" si="3"/>
        <v>FALSO</v>
      </c>
      <c r="E17" s="98">
        <f>IF(F17="","",COUNTA(F$3:F17))</f>
        <v>15</v>
      </c>
      <c r="F17" s="100" t="s">
        <v>511</v>
      </c>
      <c r="G17" s="114" t="s">
        <v>24</v>
      </c>
      <c r="H17" s="100" t="s">
        <v>585</v>
      </c>
      <c r="I17" s="101" t="s">
        <v>245</v>
      </c>
      <c r="J17" s="98" t="s">
        <v>577</v>
      </c>
      <c r="K17" s="197"/>
      <c r="L17" s="197">
        <f t="shared" si="2"/>
        <v>3</v>
      </c>
      <c r="M17" s="198"/>
      <c r="N17" s="199"/>
      <c r="O17" s="200"/>
      <c r="P17" s="199" t="str">
        <f>IFERROR(VLOOKUP(CONCATENATE(IF(MID($I17,1,1)="P","*",""),$F17),'[1]Programación x Auditor'!$C:$E,2,0),"")</f>
        <v/>
      </c>
      <c r="Q17" s="200" t="str">
        <f>IFERROR(VLOOKUP(CONCATENATE(IF(MID($I17,1,1)="P","*",""),$F17),'[1]Programación x Auditor'!$C:$E,3,0),"")</f>
        <v/>
      </c>
      <c r="R17" s="374"/>
      <c r="S17" s="375">
        <v>2</v>
      </c>
      <c r="T17" s="372"/>
      <c r="U17" s="373">
        <v>1</v>
      </c>
      <c r="V17" s="1"/>
    </row>
    <row r="18" spans="1:22" ht="15.65" customHeight="1" x14ac:dyDescent="0.35">
      <c r="A18" s="183">
        <f t="shared" si="0"/>
        <v>16</v>
      </c>
      <c r="B18" s="202" t="str">
        <f t="shared" si="1"/>
        <v>Jeferson Esteban Cordoba Molano</v>
      </c>
      <c r="C18" s="185" t="str">
        <f>IF(J18="Si",COUNTIF(J$3:J18,"Si"),"")</f>
        <v/>
      </c>
      <c r="D18" s="97" t="str">
        <f t="shared" si="3"/>
        <v>VERDADERO</v>
      </c>
      <c r="E18" s="98">
        <f>IF(F18="","",COUNTA(F$3:F18))</f>
        <v>16</v>
      </c>
      <c r="F18" s="99" t="s">
        <v>512</v>
      </c>
      <c r="G18" s="114" t="s">
        <v>513</v>
      </c>
      <c r="H18" s="100" t="s">
        <v>586</v>
      </c>
      <c r="I18" s="101" t="s">
        <v>244</v>
      </c>
      <c r="J18" s="98" t="s">
        <v>577</v>
      </c>
      <c r="K18" s="197" t="s">
        <v>503</v>
      </c>
      <c r="L18" s="197">
        <f t="shared" si="2"/>
        <v>9</v>
      </c>
      <c r="M18" s="198"/>
      <c r="N18" s="199"/>
      <c r="O18" s="200"/>
      <c r="P18" s="199">
        <v>2</v>
      </c>
      <c r="Q18" s="200" t="str">
        <f>IFERROR(VLOOKUP(CONCATENATE(IF(MID($I18,1,1)="P","*",""),$F18),'[1]Programación x Auditor'!$C:$E,3,0),"")</f>
        <v/>
      </c>
      <c r="R18" s="201">
        <v>3</v>
      </c>
      <c r="S18" s="201">
        <v>2</v>
      </c>
      <c r="T18" s="372">
        <v>1</v>
      </c>
      <c r="U18" s="373">
        <v>1</v>
      </c>
      <c r="V18" s="1"/>
    </row>
    <row r="19" spans="1:22" ht="15.65" customHeight="1" x14ac:dyDescent="0.35">
      <c r="A19" s="183">
        <f t="shared" si="0"/>
        <v>17</v>
      </c>
      <c r="B19" s="202" t="str">
        <f t="shared" si="1"/>
        <v>Diana Carolina Vasquez Zambrano</v>
      </c>
      <c r="C19" s="185" t="str">
        <f>IF(J19="Si",COUNTIF(J$3:J19,"Si"),"")</f>
        <v/>
      </c>
      <c r="D19" s="97" t="str">
        <f t="shared" si="3"/>
        <v>FALSO</v>
      </c>
      <c r="E19" s="98">
        <f>IF(F19="","",COUNTA(F$3:F19))</f>
        <v>17</v>
      </c>
      <c r="F19" s="99" t="s">
        <v>514</v>
      </c>
      <c r="G19" s="114" t="s">
        <v>515</v>
      </c>
      <c r="H19" s="100" t="s">
        <v>516</v>
      </c>
      <c r="I19" s="101" t="s">
        <v>244</v>
      </c>
      <c r="J19" s="98" t="s">
        <v>577</v>
      </c>
      <c r="K19" s="197" t="s">
        <v>503</v>
      </c>
      <c r="L19" s="197">
        <f t="shared" si="2"/>
        <v>5</v>
      </c>
      <c r="M19" s="198"/>
      <c r="N19" s="199">
        <v>2</v>
      </c>
      <c r="O19" s="200"/>
      <c r="P19" s="199" t="str">
        <f>IFERROR(VLOOKUP(CONCATENATE(IF(MID($I19,1,1)="P","*",""),$F19),'[1]Programación x Auditor'!$C:$E,2,0),"")</f>
        <v/>
      </c>
      <c r="Q19" s="200" t="str">
        <f>IFERROR(VLOOKUP(CONCATENATE(IF(MID($I19,1,1)="P","*",""),$F19),'[1]Programación x Auditor'!$C:$E,3,0),"")</f>
        <v/>
      </c>
      <c r="R19" s="201"/>
      <c r="S19" s="201">
        <v>2</v>
      </c>
      <c r="T19" s="372">
        <v>1</v>
      </c>
      <c r="U19" s="373"/>
      <c r="V19" s="1"/>
    </row>
    <row r="20" spans="1:22" ht="17.5" customHeight="1" x14ac:dyDescent="0.35">
      <c r="A20" s="183">
        <f t="shared" si="0"/>
        <v>18</v>
      </c>
      <c r="B20" s="202" t="str">
        <f t="shared" si="1"/>
        <v>Yudi Andrea Acalo Higon</v>
      </c>
      <c r="C20" s="185">
        <f>IF(J20="Si",COUNTIF(J$3:J20,"Si"),"")</f>
        <v>9</v>
      </c>
      <c r="D20" s="97" t="str">
        <f t="shared" si="3"/>
        <v>VERDADERO</v>
      </c>
      <c r="E20" s="98">
        <f>IF(F20="","",COUNTA(F$3:F20))</f>
        <v>18</v>
      </c>
      <c r="F20" s="100" t="s">
        <v>31</v>
      </c>
      <c r="G20" s="114" t="s">
        <v>32</v>
      </c>
      <c r="H20" s="100" t="s">
        <v>17</v>
      </c>
      <c r="I20" s="101" t="s">
        <v>244</v>
      </c>
      <c r="J20" s="98" t="s">
        <v>496</v>
      </c>
      <c r="K20" s="197" t="s">
        <v>497</v>
      </c>
      <c r="L20" s="197">
        <f t="shared" si="2"/>
        <v>10</v>
      </c>
      <c r="M20" s="198">
        <v>2</v>
      </c>
      <c r="N20" s="199">
        <v>2</v>
      </c>
      <c r="O20" s="200"/>
      <c r="P20" s="199">
        <v>1</v>
      </c>
      <c r="Q20" s="200"/>
      <c r="R20" s="201">
        <v>2</v>
      </c>
      <c r="S20" s="201"/>
      <c r="T20" s="372">
        <v>3</v>
      </c>
      <c r="U20" s="373"/>
      <c r="V20" s="1"/>
    </row>
    <row r="21" spans="1:22" ht="15" customHeight="1" x14ac:dyDescent="0.35">
      <c r="A21" s="183">
        <f t="shared" si="0"/>
        <v>19</v>
      </c>
      <c r="B21" s="202" t="str">
        <f t="shared" si="1"/>
        <v xml:space="preserve"> Arnol Arias Hoyos </v>
      </c>
      <c r="C21" s="185" t="str">
        <f>IF(J21="Si",COUNTIF(J$3:J21,"Si"),"")</f>
        <v/>
      </c>
      <c r="D21" s="97" t="str">
        <f t="shared" si="3"/>
        <v>FALSO</v>
      </c>
      <c r="E21" s="98">
        <f>IF(F21="","",COUNTA(F$3:F21))</f>
        <v>19</v>
      </c>
      <c r="F21" s="99" t="s">
        <v>517</v>
      </c>
      <c r="G21" s="114" t="s">
        <v>518</v>
      </c>
      <c r="H21" s="100" t="s">
        <v>519</v>
      </c>
      <c r="I21" s="101" t="s">
        <v>245</v>
      </c>
      <c r="J21" s="98" t="s">
        <v>577</v>
      </c>
      <c r="K21" s="197" t="s">
        <v>497</v>
      </c>
      <c r="L21" s="197">
        <f t="shared" si="2"/>
        <v>6</v>
      </c>
      <c r="M21" s="198"/>
      <c r="N21" s="199">
        <v>2</v>
      </c>
      <c r="O21" s="200"/>
      <c r="P21" s="199">
        <v>1</v>
      </c>
      <c r="Q21" s="200"/>
      <c r="R21" s="374"/>
      <c r="S21" s="375">
        <v>2</v>
      </c>
      <c r="T21" s="372"/>
      <c r="U21" s="373">
        <v>1</v>
      </c>
      <c r="V21" s="1"/>
    </row>
    <row r="22" spans="1:22" ht="16.5" customHeight="1" x14ac:dyDescent="0.35">
      <c r="A22" s="183">
        <f t="shared" si="0"/>
        <v>20</v>
      </c>
      <c r="B22" s="202" t="str">
        <f t="shared" si="1"/>
        <v xml:space="preserve">Lina Fernanda Gutiérrez Montoya   </v>
      </c>
      <c r="C22" s="185">
        <f>IF(J22="Si",COUNTIF(J$3:J22,"Si"),"")</f>
        <v>10</v>
      </c>
      <c r="D22" s="97" t="str">
        <f t="shared" si="3"/>
        <v>VERDADERO</v>
      </c>
      <c r="E22" s="98">
        <f>IF(F22="","",COUNTA(F$3:F22))</f>
        <v>20</v>
      </c>
      <c r="F22" s="100" t="s">
        <v>33</v>
      </c>
      <c r="G22" s="207" t="s">
        <v>441</v>
      </c>
      <c r="H22" s="179" t="s">
        <v>442</v>
      </c>
      <c r="I22" s="101" t="s">
        <v>244</v>
      </c>
      <c r="J22" s="98" t="s">
        <v>496</v>
      </c>
      <c r="K22" s="197" t="s">
        <v>497</v>
      </c>
      <c r="L22" s="197">
        <f t="shared" si="2"/>
        <v>12</v>
      </c>
      <c r="M22" s="198"/>
      <c r="N22" s="199">
        <v>1</v>
      </c>
      <c r="O22" s="200"/>
      <c r="P22" s="199">
        <v>2</v>
      </c>
      <c r="Q22" s="200"/>
      <c r="R22" s="201">
        <v>3</v>
      </c>
      <c r="S22" s="201">
        <v>2</v>
      </c>
      <c r="T22" s="372">
        <v>4</v>
      </c>
      <c r="U22" s="373"/>
      <c r="V22" s="1"/>
    </row>
    <row r="23" spans="1:22" x14ac:dyDescent="0.35">
      <c r="A23" s="183">
        <f t="shared" si="0"/>
        <v>21</v>
      </c>
      <c r="B23" s="202" t="str">
        <f t="shared" si="1"/>
        <v>Fabian Felipe Mera Hurtado</v>
      </c>
      <c r="C23" s="185" t="str">
        <f>IF(J23="Si",COUNTIF(J$3:J23,"Si"),"")</f>
        <v/>
      </c>
      <c r="D23" s="97" t="str">
        <f t="shared" si="3"/>
        <v>FALSO</v>
      </c>
      <c r="E23" s="98">
        <f>IF(F23="","",COUNTA(F$3:F23))</f>
        <v>21</v>
      </c>
      <c r="F23" s="100" t="s">
        <v>520</v>
      </c>
      <c r="G23" s="114" t="s">
        <v>521</v>
      </c>
      <c r="H23" s="100" t="s">
        <v>522</v>
      </c>
      <c r="I23" s="101" t="s">
        <v>244</v>
      </c>
      <c r="J23" s="98" t="s">
        <v>577</v>
      </c>
      <c r="K23" s="197" t="s">
        <v>503</v>
      </c>
      <c r="L23" s="197">
        <f t="shared" si="2"/>
        <v>9</v>
      </c>
      <c r="M23" s="198"/>
      <c r="N23" s="199"/>
      <c r="O23" s="200"/>
      <c r="P23" s="199">
        <v>2</v>
      </c>
      <c r="Q23" s="200" t="str">
        <f>IFERROR(VLOOKUP(CONCATENATE(IF(MID($I23,1,1)="P","*",""),$F23),'[1]Programación x Auditor'!$C:$E,3,0),"")</f>
        <v/>
      </c>
      <c r="R23" s="201">
        <v>3</v>
      </c>
      <c r="S23" s="201">
        <v>3</v>
      </c>
      <c r="T23" s="372">
        <v>1</v>
      </c>
      <c r="U23" s="373"/>
      <c r="V23" s="1"/>
    </row>
    <row r="24" spans="1:22" ht="15" customHeight="1" x14ac:dyDescent="0.35">
      <c r="A24" s="183">
        <f t="shared" si="0"/>
        <v>22</v>
      </c>
      <c r="B24" s="202" t="str">
        <f t="shared" si="1"/>
        <v xml:space="preserve">Diego Fernando Ordoñez Trullo   </v>
      </c>
      <c r="C24" s="185" t="str">
        <f>IF(J24="Si",COUNTIF(J$3:J24,"Si"),"")</f>
        <v/>
      </c>
      <c r="D24" s="97" t="str">
        <f t="shared" si="3"/>
        <v>VERDADERO</v>
      </c>
      <c r="E24" s="98">
        <f>IF(F24="","",COUNTA(F$3:F24))</f>
        <v>22</v>
      </c>
      <c r="F24" s="99" t="s">
        <v>523</v>
      </c>
      <c r="G24" s="114" t="s">
        <v>524</v>
      </c>
      <c r="H24" s="100" t="s">
        <v>525</v>
      </c>
      <c r="I24" s="101" t="s">
        <v>245</v>
      </c>
      <c r="J24" s="98" t="s">
        <v>577</v>
      </c>
      <c r="K24" s="197"/>
      <c r="L24" s="197">
        <f t="shared" si="2"/>
        <v>0</v>
      </c>
      <c r="M24" s="198"/>
      <c r="N24" s="199"/>
      <c r="O24" s="200"/>
      <c r="P24" s="199" t="str">
        <f>IFERROR(VLOOKUP(CONCATENATE(IF(MID($I24,1,1)="P","*",""),$F24),'[1]Programación x Auditor'!$C:$E,2,0),"")</f>
        <v/>
      </c>
      <c r="Q24" s="200" t="str">
        <f>IFERROR(VLOOKUP(CONCATENATE(IF(MID($I24,1,1)="P","*",""),$F24),'[1]Programación x Auditor'!$C:$E,3,0),"")</f>
        <v/>
      </c>
      <c r="R24" s="374"/>
      <c r="S24" s="375"/>
      <c r="T24" s="372"/>
      <c r="U24" s="373"/>
      <c r="V24" s="1"/>
    </row>
    <row r="25" spans="1:22" ht="15.65" customHeight="1" x14ac:dyDescent="0.35">
      <c r="A25" s="183">
        <f t="shared" si="0"/>
        <v>23</v>
      </c>
      <c r="B25" s="202" t="str">
        <f t="shared" si="1"/>
        <v xml:space="preserve">Angela Milena Velásquez Vargas      </v>
      </c>
      <c r="C25" s="185">
        <f>IF(J25="Si",COUNTIF(J$3:J25,"Si"),"")</f>
        <v>11</v>
      </c>
      <c r="D25" s="97" t="str">
        <f t="shared" si="3"/>
        <v>FALSO</v>
      </c>
      <c r="E25" s="98">
        <f>IF(F25="","",COUNTA(F$3:F25))</f>
        <v>23</v>
      </c>
      <c r="F25" s="99" t="s">
        <v>252</v>
      </c>
      <c r="G25" s="114" t="s">
        <v>443</v>
      </c>
      <c r="H25" s="179" t="s">
        <v>243</v>
      </c>
      <c r="I25" s="101" t="s">
        <v>244</v>
      </c>
      <c r="J25" s="98" t="s">
        <v>496</v>
      </c>
      <c r="K25" s="197" t="s">
        <v>497</v>
      </c>
      <c r="L25" s="197">
        <f t="shared" si="2"/>
        <v>10</v>
      </c>
      <c r="M25" s="198">
        <v>2</v>
      </c>
      <c r="N25" s="199">
        <v>1</v>
      </c>
      <c r="O25" s="200"/>
      <c r="P25" s="199">
        <v>2</v>
      </c>
      <c r="Q25" s="200"/>
      <c r="R25" s="201">
        <v>3</v>
      </c>
      <c r="S25" s="201"/>
      <c r="T25" s="372">
        <v>1</v>
      </c>
      <c r="U25" s="373">
        <v>1</v>
      </c>
    </row>
    <row r="26" spans="1:22" ht="17.25" customHeight="1" x14ac:dyDescent="0.35">
      <c r="A26" s="183">
        <f t="shared" si="0"/>
        <v>24</v>
      </c>
      <c r="B26" s="202" t="str">
        <f t="shared" si="1"/>
        <v xml:space="preserve">Julieth Alexandra Chacón Paja
</v>
      </c>
      <c r="C26" s="185" t="str">
        <f>IF(J26="Si",COUNTIF(J$3:J26,"Si"),"")</f>
        <v/>
      </c>
      <c r="D26" s="97" t="str">
        <f t="shared" si="3"/>
        <v>VERDADERO</v>
      </c>
      <c r="E26" s="98">
        <f>IF(F26="","",COUNTA(F$3:F26))</f>
        <v>24</v>
      </c>
      <c r="F26" s="100" t="s">
        <v>526</v>
      </c>
      <c r="G26" s="114" t="s">
        <v>24</v>
      </c>
      <c r="H26" s="100" t="s">
        <v>527</v>
      </c>
      <c r="I26" s="101" t="s">
        <v>245</v>
      </c>
      <c r="J26" s="98" t="s">
        <v>577</v>
      </c>
      <c r="K26" s="197" t="s">
        <v>528</v>
      </c>
      <c r="L26" s="197">
        <f t="shared" si="2"/>
        <v>0</v>
      </c>
      <c r="M26" s="198"/>
      <c r="N26" s="199"/>
      <c r="O26" s="200"/>
      <c r="P26" s="199" t="str">
        <f>IFERROR(VLOOKUP(CONCATENATE(IF(MID($I26,1,1)="P","*",""),$F26),'[1]Programación x Auditor'!$C:$E,2,0),"")</f>
        <v/>
      </c>
      <c r="Q26" s="200" t="str">
        <f>IFERROR(VLOOKUP(CONCATENATE(IF(MID($I26,1,1)="P","*",""),$F26),'[1]Programación x Auditor'!$C:$E,3,0),"")</f>
        <v/>
      </c>
      <c r="R26" s="374"/>
      <c r="S26" s="375"/>
      <c r="T26" s="372"/>
      <c r="U26" s="373"/>
    </row>
    <row r="27" spans="1:22" ht="15" customHeight="1" x14ac:dyDescent="0.35">
      <c r="A27" s="183">
        <f>E27</f>
        <v>25</v>
      </c>
      <c r="B27" s="202" t="str">
        <f t="shared" si="1"/>
        <v>*Maria Camila Toro Gonzalez</v>
      </c>
      <c r="C27" s="185" t="str">
        <f>IF(J27="Si",COUNTIF(J$3:J27,"Si"),"")</f>
        <v/>
      </c>
      <c r="D27" s="97" t="str">
        <f t="shared" si="3"/>
        <v>FALSO</v>
      </c>
      <c r="E27" s="98">
        <f>IF(F27="","",COUNTA(F$3:F27))</f>
        <v>25</v>
      </c>
      <c r="F27" s="100" t="s">
        <v>529</v>
      </c>
      <c r="G27" s="114" t="s">
        <v>24</v>
      </c>
      <c r="H27" s="100" t="s">
        <v>530</v>
      </c>
      <c r="I27" s="101" t="s">
        <v>245</v>
      </c>
      <c r="J27" s="98" t="s">
        <v>577</v>
      </c>
      <c r="K27" s="197" t="s">
        <v>503</v>
      </c>
      <c r="L27" s="197">
        <f t="shared" si="2"/>
        <v>5</v>
      </c>
      <c r="M27" s="198">
        <v>2</v>
      </c>
      <c r="N27" s="199">
        <v>2</v>
      </c>
      <c r="O27" s="200"/>
      <c r="P27" s="199" t="str">
        <f>IFERROR(VLOOKUP(CONCATENATE(IF(MID($I27,1,1)="P","*",""),$F27),'[1]Programación x Auditor'!$C:$E,2,0),"")</f>
        <v/>
      </c>
      <c r="Q27" s="200" t="str">
        <f>IFERROR(VLOOKUP(CONCATENATE(IF(MID($I27,1,1)="P","*",""),$F27),'[1]Programación x Auditor'!$C:$E,3,0),"")</f>
        <v/>
      </c>
      <c r="R27" s="374"/>
      <c r="S27" s="375">
        <v>1</v>
      </c>
      <c r="T27" s="372"/>
      <c r="U27" s="373"/>
    </row>
    <row r="28" spans="1:22" ht="15" customHeight="1" x14ac:dyDescent="0.35">
      <c r="A28" s="183">
        <f t="shared" si="0"/>
        <v>26</v>
      </c>
      <c r="B28" s="202" t="str">
        <f t="shared" si="1"/>
        <v>Juan Manuel Prado Quintero</v>
      </c>
      <c r="C28" s="185" t="str">
        <f>IF(J28="Si",COUNTIF(J$3:J28,"Si"),"")</f>
        <v/>
      </c>
      <c r="D28" s="97" t="str">
        <f t="shared" si="3"/>
        <v>VERDADERO</v>
      </c>
      <c r="E28" s="98">
        <f>IF(F28="","",COUNTA(F$3:F28))</f>
        <v>26</v>
      </c>
      <c r="F28" s="99" t="s">
        <v>531</v>
      </c>
      <c r="G28" s="114" t="s">
        <v>24</v>
      </c>
      <c r="H28" s="100" t="s">
        <v>532</v>
      </c>
      <c r="I28" s="101" t="s">
        <v>245</v>
      </c>
      <c r="J28" s="98" t="s">
        <v>577</v>
      </c>
      <c r="K28" s="197" t="s">
        <v>503</v>
      </c>
      <c r="L28" s="197">
        <f t="shared" si="2"/>
        <v>6</v>
      </c>
      <c r="M28" s="198"/>
      <c r="N28" s="199"/>
      <c r="O28" s="200"/>
      <c r="P28" s="199">
        <v>2</v>
      </c>
      <c r="Q28" s="200" t="str">
        <f>IFERROR(VLOOKUP(CONCATENATE(IF(MID($I28,1,1)="P","*",""),$F28),'[1]Programación x Auditor'!$C:$E,3,0),"")</f>
        <v/>
      </c>
      <c r="R28" s="374">
        <v>3</v>
      </c>
      <c r="S28" s="375"/>
      <c r="T28" s="372"/>
      <c r="U28" s="373">
        <v>1</v>
      </c>
    </row>
    <row r="29" spans="1:22" ht="16.5" customHeight="1" x14ac:dyDescent="0.35">
      <c r="A29" s="183">
        <f t="shared" si="0"/>
        <v>27</v>
      </c>
      <c r="B29" s="202" t="str">
        <f t="shared" si="1"/>
        <v>Laura Melissa Muñoz Burbano</v>
      </c>
      <c r="C29" s="185" t="str">
        <f>IF(J29="Si",COUNTIF(J$3:J29,"Si"),"")</f>
        <v/>
      </c>
      <c r="D29" s="97" t="str">
        <f t="shared" si="3"/>
        <v>FALSO</v>
      </c>
      <c r="E29" s="98">
        <f>IF(F29="","",COUNTA(F$3:F29))</f>
        <v>27</v>
      </c>
      <c r="F29" s="99" t="s">
        <v>34</v>
      </c>
      <c r="G29" s="114" t="s">
        <v>253</v>
      </c>
      <c r="H29" s="100" t="s">
        <v>587</v>
      </c>
      <c r="I29" s="101" t="s">
        <v>244</v>
      </c>
      <c r="J29" s="98" t="s">
        <v>577</v>
      </c>
      <c r="K29" s="197" t="s">
        <v>497</v>
      </c>
      <c r="L29" s="197">
        <f t="shared" si="2"/>
        <v>10</v>
      </c>
      <c r="M29" s="198"/>
      <c r="N29" s="199">
        <v>2</v>
      </c>
      <c r="O29" s="200"/>
      <c r="P29" s="199">
        <v>2</v>
      </c>
      <c r="Q29" s="200"/>
      <c r="R29" s="201">
        <v>3</v>
      </c>
      <c r="S29" s="201"/>
      <c r="T29" s="372">
        <v>1</v>
      </c>
      <c r="U29" s="373">
        <v>2</v>
      </c>
    </row>
    <row r="30" spans="1:22" ht="17.5" customHeight="1" x14ac:dyDescent="0.35">
      <c r="A30" s="183">
        <f t="shared" si="0"/>
        <v>28</v>
      </c>
      <c r="B30" s="202" t="str">
        <f t="shared" si="1"/>
        <v/>
      </c>
      <c r="C30" s="185">
        <f>IF(J30="Si",COUNTIF(J$3:J30,"Si"),"")</f>
        <v>12</v>
      </c>
      <c r="D30" s="97" t="str">
        <f t="shared" si="3"/>
        <v>VERDADERO</v>
      </c>
      <c r="E30" s="98">
        <f>IF(F30="","",COUNTA(F$3:F30))</f>
        <v>28</v>
      </c>
      <c r="F30" s="100" t="s">
        <v>35</v>
      </c>
      <c r="G30" s="114" t="s">
        <v>444</v>
      </c>
      <c r="H30" s="179" t="s">
        <v>445</v>
      </c>
      <c r="I30" s="101" t="s">
        <v>244</v>
      </c>
      <c r="J30" s="98" t="s">
        <v>496</v>
      </c>
      <c r="K30" s="197" t="s">
        <v>497</v>
      </c>
      <c r="L30" s="197">
        <f t="shared" si="2"/>
        <v>9</v>
      </c>
      <c r="M30" s="198"/>
      <c r="N30" s="199"/>
      <c r="O30" s="200"/>
      <c r="P30" s="199">
        <v>2</v>
      </c>
      <c r="Q30" s="200"/>
      <c r="R30" s="201">
        <v>3</v>
      </c>
      <c r="S30" s="201">
        <v>2</v>
      </c>
      <c r="T30" s="372">
        <v>2</v>
      </c>
      <c r="U30" s="373"/>
    </row>
    <row r="31" spans="1:22" ht="15" customHeight="1" x14ac:dyDescent="0.35">
      <c r="A31" s="183">
        <f t="shared" si="0"/>
        <v>29</v>
      </c>
      <c r="B31" s="202" t="str">
        <f t="shared" si="1"/>
        <v/>
      </c>
      <c r="C31" s="185" t="str">
        <f>IF(J31="Si",COUNTIF(J$3:J31,"Si"),"")</f>
        <v/>
      </c>
      <c r="D31" s="97" t="str">
        <f t="shared" si="3"/>
        <v>FALSO</v>
      </c>
      <c r="E31" s="98">
        <f>IF(F31="","",COUNTA(F$3:F31))</f>
        <v>29</v>
      </c>
      <c r="F31" s="99" t="s">
        <v>533</v>
      </c>
      <c r="G31" s="114" t="s">
        <v>510</v>
      </c>
      <c r="H31" s="100" t="s">
        <v>534</v>
      </c>
      <c r="I31" s="101" t="s">
        <v>245</v>
      </c>
      <c r="J31" s="98" t="s">
        <v>577</v>
      </c>
      <c r="K31" s="197"/>
      <c r="L31" s="197">
        <f t="shared" si="2"/>
        <v>1</v>
      </c>
      <c r="M31" s="198"/>
      <c r="N31" s="199"/>
      <c r="O31" s="200"/>
      <c r="P31" s="199" t="str">
        <f>IFERROR(VLOOKUP(CONCATENATE(IF(MID($I31,1,1)="P","*",""),$F31),'[1]Programación x Auditor'!$C:$E,2,0),"")</f>
        <v/>
      </c>
      <c r="Q31" s="200" t="str">
        <f>IFERROR(VLOOKUP(CONCATENATE(IF(MID($I31,1,1)="P","*",""),$F31),'[1]Programación x Auditor'!$C:$E,3,0),"")</f>
        <v/>
      </c>
      <c r="R31" s="374"/>
      <c r="S31" s="375"/>
      <c r="T31" s="372"/>
      <c r="U31" s="373">
        <v>1</v>
      </c>
    </row>
    <row r="32" spans="1:22" s="222" customFormat="1" ht="20.149999999999999" customHeight="1" x14ac:dyDescent="0.35">
      <c r="A32" s="208">
        <f t="shared" si="0"/>
        <v>30</v>
      </c>
      <c r="B32" s="209" t="str">
        <f t="shared" si="1"/>
        <v/>
      </c>
      <c r="C32" s="210" t="str">
        <f>IF(J32="Si",COUNTIF(J$3:J32,"Si"),"")</f>
        <v/>
      </c>
      <c r="D32" s="211" t="str">
        <f t="shared" si="3"/>
        <v>VERDADERO</v>
      </c>
      <c r="E32" s="212">
        <f>IF(F32="","",COUNTA(F$3:F32))</f>
        <v>30</v>
      </c>
      <c r="F32" s="213" t="s">
        <v>535</v>
      </c>
      <c r="G32" s="214" t="s">
        <v>536</v>
      </c>
      <c r="H32" s="215" t="s">
        <v>537</v>
      </c>
      <c r="I32" s="216" t="s">
        <v>245</v>
      </c>
      <c r="J32" s="212" t="s">
        <v>577</v>
      </c>
      <c r="K32" s="217"/>
      <c r="L32" s="217">
        <f t="shared" si="2"/>
        <v>8</v>
      </c>
      <c r="M32" s="218"/>
      <c r="N32" s="219">
        <v>2</v>
      </c>
      <c r="O32" s="220"/>
      <c r="P32" s="219">
        <v>2</v>
      </c>
      <c r="Q32" s="220"/>
      <c r="R32" s="376">
        <v>3</v>
      </c>
      <c r="S32" s="377">
        <v>1</v>
      </c>
      <c r="T32" s="378"/>
      <c r="U32" s="379"/>
    </row>
    <row r="33" spans="1:21" ht="17.5" customHeight="1" x14ac:dyDescent="0.35">
      <c r="A33" s="183">
        <f t="shared" si="0"/>
        <v>31</v>
      </c>
      <c r="B33" s="202" t="str">
        <f t="shared" si="1"/>
        <v/>
      </c>
      <c r="C33" s="185">
        <f>IF(J33="Si",COUNTIF(J$3:J33,"Si"),"")</f>
        <v>13</v>
      </c>
      <c r="D33" s="97" t="str">
        <f t="shared" si="3"/>
        <v>FALSO</v>
      </c>
      <c r="E33" s="98">
        <f>IF(F33="","",COUNTA(F$3:F33))</f>
        <v>31</v>
      </c>
      <c r="F33" s="100" t="s">
        <v>254</v>
      </c>
      <c r="G33" s="114" t="s">
        <v>446</v>
      </c>
      <c r="H33" s="179" t="s">
        <v>588</v>
      </c>
      <c r="I33" s="101" t="s">
        <v>244</v>
      </c>
      <c r="J33" s="98" t="s">
        <v>496</v>
      </c>
      <c r="K33" s="197" t="s">
        <v>503</v>
      </c>
      <c r="L33" s="197">
        <f t="shared" si="2"/>
        <v>9</v>
      </c>
      <c r="M33" s="198"/>
      <c r="N33" s="199"/>
      <c r="O33" s="200"/>
      <c r="P33" s="199">
        <v>2</v>
      </c>
      <c r="Q33" s="200"/>
      <c r="R33" s="201">
        <v>3</v>
      </c>
      <c r="S33" s="201">
        <v>2</v>
      </c>
      <c r="T33" s="372"/>
      <c r="U33" s="373">
        <v>2</v>
      </c>
    </row>
    <row r="34" spans="1:21" ht="18.649999999999999" customHeight="1" x14ac:dyDescent="0.35">
      <c r="A34" s="183">
        <f t="shared" si="0"/>
        <v>32</v>
      </c>
      <c r="B34" s="202" t="str">
        <f t="shared" si="1"/>
        <v/>
      </c>
      <c r="C34" s="185">
        <f>IF(J34="Si",COUNTIF(J$3:J34,"Si"),"")</f>
        <v>14</v>
      </c>
      <c r="D34" s="97" t="str">
        <f t="shared" si="3"/>
        <v>VERDADERO</v>
      </c>
      <c r="E34" s="98">
        <f>IF(F34="","",COUNTA(F$3:F34))</f>
        <v>32</v>
      </c>
      <c r="F34" s="99" t="s">
        <v>36</v>
      </c>
      <c r="G34" s="114" t="s">
        <v>37</v>
      </c>
      <c r="H34" s="179" t="s">
        <v>19</v>
      </c>
      <c r="I34" s="101" t="s">
        <v>244</v>
      </c>
      <c r="J34" s="98" t="s">
        <v>496</v>
      </c>
      <c r="K34" s="197" t="s">
        <v>497</v>
      </c>
      <c r="L34" s="197">
        <f t="shared" si="2"/>
        <v>10</v>
      </c>
      <c r="M34" s="198">
        <v>2</v>
      </c>
      <c r="N34" s="199">
        <v>1</v>
      </c>
      <c r="O34" s="200"/>
      <c r="P34" s="199">
        <v>2</v>
      </c>
      <c r="Q34" s="200"/>
      <c r="R34" s="201">
        <v>2</v>
      </c>
      <c r="S34" s="201"/>
      <c r="T34" s="372">
        <v>3</v>
      </c>
      <c r="U34" s="373"/>
    </row>
    <row r="35" spans="1:21" ht="20.5" customHeight="1" x14ac:dyDescent="0.35">
      <c r="A35" s="183">
        <f t="shared" si="0"/>
        <v>33</v>
      </c>
      <c r="B35" s="202" t="str">
        <f t="shared" si="1"/>
        <v/>
      </c>
      <c r="C35" s="185" t="str">
        <f>IF(J35="Si",COUNTIF(J$3:J35,"Si"),"")</f>
        <v/>
      </c>
      <c r="D35" s="97" t="str">
        <f t="shared" si="3"/>
        <v>FALSO</v>
      </c>
      <c r="E35" s="212">
        <f>IF(F35="","",COUNTA(F$3:F35))</f>
        <v>33</v>
      </c>
      <c r="F35" s="215" t="s">
        <v>256</v>
      </c>
      <c r="G35" s="214" t="s">
        <v>257</v>
      </c>
      <c r="H35" s="215" t="s">
        <v>258</v>
      </c>
      <c r="I35" s="216" t="s">
        <v>244</v>
      </c>
      <c r="J35" s="212" t="s">
        <v>577</v>
      </c>
      <c r="K35" s="217" t="s">
        <v>503</v>
      </c>
      <c r="L35" s="217">
        <f t="shared" si="2"/>
        <v>8</v>
      </c>
      <c r="M35" s="218"/>
      <c r="N35" s="219"/>
      <c r="O35" s="220"/>
      <c r="P35" s="219">
        <v>2</v>
      </c>
      <c r="Q35" s="220"/>
      <c r="R35" s="221">
        <v>3</v>
      </c>
      <c r="S35" s="221"/>
      <c r="T35" s="378">
        <v>3</v>
      </c>
      <c r="U35" s="379"/>
    </row>
    <row r="36" spans="1:21" ht="18" customHeight="1" x14ac:dyDescent="0.35">
      <c r="A36" s="183">
        <f t="shared" si="0"/>
        <v>34</v>
      </c>
      <c r="B36" s="202" t="str">
        <f t="shared" si="1"/>
        <v/>
      </c>
      <c r="C36" s="185">
        <f>IF(J36="Si",COUNTIF(J$3:J36,"Si"),"")</f>
        <v>15</v>
      </c>
      <c r="D36" s="97"/>
      <c r="E36" s="98">
        <f>IF(F36="","",COUNTA(F$3:F36))</f>
        <v>34</v>
      </c>
      <c r="F36" s="223" t="s">
        <v>447</v>
      </c>
      <c r="G36" s="224" t="s">
        <v>448</v>
      </c>
      <c r="H36" s="225" t="s">
        <v>449</v>
      </c>
      <c r="I36" s="180" t="s">
        <v>244</v>
      </c>
      <c r="J36" s="98" t="s">
        <v>496</v>
      </c>
      <c r="K36" s="197" t="s">
        <v>503</v>
      </c>
      <c r="L36" s="197">
        <f t="shared" si="2"/>
        <v>7</v>
      </c>
      <c r="M36" s="198"/>
      <c r="N36" s="199"/>
      <c r="O36" s="200"/>
      <c r="P36" s="199"/>
      <c r="Q36" s="200"/>
      <c r="R36" s="201">
        <v>3</v>
      </c>
      <c r="S36" s="201"/>
      <c r="T36" s="372">
        <v>4</v>
      </c>
      <c r="U36" s="373"/>
    </row>
    <row r="37" spans="1:21" ht="15" customHeight="1" x14ac:dyDescent="0.35">
      <c r="A37" s="183">
        <f t="shared" si="0"/>
        <v>35</v>
      </c>
      <c r="B37" s="202"/>
      <c r="C37" s="185" t="str">
        <f>IF(J37="Si",COUNTIF(J$3:J37,"Si"),"")</f>
        <v/>
      </c>
      <c r="D37" s="97"/>
      <c r="E37" s="226">
        <f>IF(F37="","",COUNTA(F$3:F37))</f>
        <v>35</v>
      </c>
      <c r="F37" s="227" t="s">
        <v>538</v>
      </c>
      <c r="G37" s="228" t="s">
        <v>24</v>
      </c>
      <c r="H37" s="229" t="s">
        <v>539</v>
      </c>
      <c r="I37" s="230" t="s">
        <v>245</v>
      </c>
      <c r="J37" s="98" t="s">
        <v>577</v>
      </c>
      <c r="K37" s="197" t="s">
        <v>528</v>
      </c>
      <c r="L37" s="197">
        <f t="shared" si="2"/>
        <v>1</v>
      </c>
      <c r="M37" s="198"/>
      <c r="N37" s="199"/>
      <c r="O37" s="200"/>
      <c r="P37" s="199"/>
      <c r="Q37" s="200"/>
      <c r="R37" s="374"/>
      <c r="S37" s="375"/>
      <c r="T37" s="372"/>
      <c r="U37" s="373">
        <v>1</v>
      </c>
    </row>
    <row r="38" spans="1:21" ht="15" customHeight="1" x14ac:dyDescent="0.35">
      <c r="A38" s="183">
        <f t="shared" si="0"/>
        <v>36</v>
      </c>
      <c r="B38" s="202" t="str">
        <f t="shared" si="1"/>
        <v/>
      </c>
      <c r="C38" s="185">
        <f>IF(J38="Si",COUNTIF(J$3:J38,"Si"),"")</f>
        <v>16</v>
      </c>
      <c r="D38" s="97"/>
      <c r="E38" s="226">
        <f>IF(F38="","",COUNTA(F$3:F38))</f>
        <v>36</v>
      </c>
      <c r="F38" s="231" t="s">
        <v>450</v>
      </c>
      <c r="G38" s="231" t="s">
        <v>451</v>
      </c>
      <c r="H38" s="181" t="s">
        <v>452</v>
      </c>
      <c r="I38" s="101" t="s">
        <v>245</v>
      </c>
      <c r="J38" s="232" t="s">
        <v>496</v>
      </c>
      <c r="K38" s="197" t="s">
        <v>528</v>
      </c>
      <c r="L38" s="197">
        <f t="shared" si="2"/>
        <v>2</v>
      </c>
      <c r="M38" s="233"/>
      <c r="N38" s="234"/>
      <c r="O38" s="235"/>
      <c r="P38" s="234"/>
      <c r="Q38" s="235"/>
      <c r="R38" s="380"/>
      <c r="S38" s="381"/>
      <c r="T38" s="382"/>
      <c r="U38" s="383">
        <v>2</v>
      </c>
    </row>
    <row r="39" spans="1:21" ht="15" customHeight="1" x14ac:dyDescent="0.35">
      <c r="A39" s="183">
        <f t="shared" si="0"/>
        <v>37</v>
      </c>
      <c r="B39" s="202" t="str">
        <f t="shared" si="1"/>
        <v/>
      </c>
      <c r="C39" s="185">
        <f>IF(J39="Si",COUNTIF(J$3:J39,"Si"),"")</f>
        <v>17</v>
      </c>
      <c r="D39" s="97"/>
      <c r="E39" s="226">
        <f>IF(F39="","",COUNTA(F$3:F39))</f>
        <v>37</v>
      </c>
      <c r="F39" s="2" t="s">
        <v>540</v>
      </c>
      <c r="G39" s="2" t="s">
        <v>457</v>
      </c>
      <c r="H39" s="384" t="s">
        <v>589</v>
      </c>
      <c r="I39" s="101" t="s">
        <v>245</v>
      </c>
      <c r="J39" s="98" t="s">
        <v>496</v>
      </c>
      <c r="K39" s="197" t="s">
        <v>528</v>
      </c>
      <c r="L39" s="197">
        <f t="shared" si="2"/>
        <v>1</v>
      </c>
      <c r="M39" s="198"/>
      <c r="N39" s="199"/>
      <c r="O39" s="200"/>
      <c r="P39" s="199"/>
      <c r="Q39" s="200"/>
      <c r="R39" s="374"/>
      <c r="S39" s="375"/>
      <c r="T39" s="372"/>
      <c r="U39" s="373">
        <v>1</v>
      </c>
    </row>
    <row r="40" spans="1:21" ht="15" customHeight="1" x14ac:dyDescent="0.35">
      <c r="A40" s="183">
        <f t="shared" si="0"/>
        <v>38</v>
      </c>
      <c r="B40" s="202" t="str">
        <f t="shared" si="1"/>
        <v/>
      </c>
      <c r="C40" s="185">
        <f>IF(J40="Si",COUNTIF(J$3:J40,"Si"),"")</f>
        <v>18</v>
      </c>
      <c r="D40" s="97"/>
      <c r="E40" s="226">
        <f>IF(F40="","",COUNTA(F$3:F40))</f>
        <v>38</v>
      </c>
      <c r="F40" s="236" t="s">
        <v>453</v>
      </c>
      <c r="G40" s="231" t="s">
        <v>454</v>
      </c>
      <c r="H40" s="237" t="s">
        <v>455</v>
      </c>
      <c r="I40" s="101" t="s">
        <v>245</v>
      </c>
      <c r="J40" s="232" t="s">
        <v>496</v>
      </c>
      <c r="K40" s="197" t="s">
        <v>528</v>
      </c>
      <c r="L40" s="197">
        <f t="shared" si="2"/>
        <v>2</v>
      </c>
      <c r="M40" s="233"/>
      <c r="N40" s="234"/>
      <c r="O40" s="235"/>
      <c r="P40" s="234"/>
      <c r="Q40" s="235"/>
      <c r="R40" s="380"/>
      <c r="S40" s="381"/>
      <c r="T40" s="382"/>
      <c r="U40" s="383">
        <v>2</v>
      </c>
    </row>
    <row r="41" spans="1:21" ht="15" customHeight="1" x14ac:dyDescent="0.35">
      <c r="A41" s="183">
        <f t="shared" si="0"/>
        <v>39</v>
      </c>
      <c r="B41" s="202" t="str">
        <f t="shared" si="1"/>
        <v/>
      </c>
      <c r="C41" s="185" t="str">
        <f>IF(J41="Si",COUNTIF(J$3:J41,"Si"),"")</f>
        <v/>
      </c>
      <c r="D41" s="97"/>
      <c r="E41" s="226">
        <f>IF(F41="","",COUNTA(F$3:F41))</f>
        <v>39</v>
      </c>
      <c r="F41" s="2" t="s">
        <v>456</v>
      </c>
      <c r="G41" s="2" t="s">
        <v>457</v>
      </c>
      <c r="H41" s="182" t="s">
        <v>458</v>
      </c>
      <c r="I41" s="101" t="s">
        <v>245</v>
      </c>
      <c r="J41" s="98" t="s">
        <v>577</v>
      </c>
      <c r="K41" s="197" t="s">
        <v>528</v>
      </c>
      <c r="L41" s="197">
        <f t="shared" si="2"/>
        <v>2</v>
      </c>
      <c r="M41" s="198"/>
      <c r="N41" s="199"/>
      <c r="O41" s="200"/>
      <c r="P41" s="199"/>
      <c r="Q41" s="200"/>
      <c r="R41" s="374"/>
      <c r="S41" s="375"/>
      <c r="T41" s="372"/>
      <c r="U41" s="373">
        <v>2</v>
      </c>
    </row>
    <row r="42" spans="1:21" ht="15" customHeight="1" x14ac:dyDescent="0.35">
      <c r="A42" s="183">
        <f t="shared" si="0"/>
        <v>40</v>
      </c>
      <c r="B42" s="202" t="str">
        <f t="shared" si="1"/>
        <v/>
      </c>
      <c r="C42" s="185">
        <f>IF(J42="Si",COUNTIF(J$3:J42,"Si"),"")</f>
        <v>19</v>
      </c>
      <c r="D42" s="97"/>
      <c r="E42" s="226">
        <f>IF(F42="","",COUNTA(F$3:F42))</f>
        <v>40</v>
      </c>
      <c r="F42" s="231" t="s">
        <v>459</v>
      </c>
      <c r="G42" s="231" t="s">
        <v>460</v>
      </c>
      <c r="H42" s="237" t="s">
        <v>461</v>
      </c>
      <c r="I42" s="101" t="s">
        <v>245</v>
      </c>
      <c r="J42" s="232" t="s">
        <v>496</v>
      </c>
      <c r="K42" s="197" t="s">
        <v>528</v>
      </c>
      <c r="L42" s="197">
        <f t="shared" si="2"/>
        <v>3</v>
      </c>
      <c r="M42" s="233"/>
      <c r="N42" s="234"/>
      <c r="O42" s="235"/>
      <c r="P42" s="234"/>
      <c r="Q42" s="235"/>
      <c r="R42" s="380"/>
      <c r="S42" s="381"/>
      <c r="T42" s="382"/>
      <c r="U42" s="383">
        <v>3</v>
      </c>
    </row>
    <row r="43" spans="1:21" ht="15" customHeight="1" x14ac:dyDescent="0.35">
      <c r="B43" s="202"/>
      <c r="C43" s="185" t="str">
        <f>IF(J43="Si",COUNTIF(J$3:J43,"Si"),"")</f>
        <v/>
      </c>
      <c r="D43" s="97"/>
      <c r="E43" s="226">
        <f>IF(F43="","",COUNTA(F$3:F43))</f>
        <v>41</v>
      </c>
      <c r="F43" s="2" t="s">
        <v>541</v>
      </c>
      <c r="G43" s="2" t="s">
        <v>542</v>
      </c>
      <c r="H43" s="385" t="s">
        <v>590</v>
      </c>
      <c r="I43" s="101" t="s">
        <v>245</v>
      </c>
      <c r="J43" s="239" t="s">
        <v>577</v>
      </c>
      <c r="K43" s="197" t="s">
        <v>528</v>
      </c>
      <c r="L43" s="197">
        <f t="shared" si="2"/>
        <v>1</v>
      </c>
      <c r="M43" s="240"/>
      <c r="N43" s="241"/>
      <c r="O43" s="242"/>
      <c r="P43" s="241"/>
      <c r="Q43" s="242"/>
      <c r="R43" s="386"/>
      <c r="S43" s="387"/>
      <c r="T43" s="388"/>
      <c r="U43" s="389">
        <v>1</v>
      </c>
    </row>
    <row r="44" spans="1:21" ht="15" customHeight="1" x14ac:dyDescent="0.35">
      <c r="B44" s="202"/>
      <c r="C44" s="185" t="str">
        <f>IF(J44="Si",COUNTIF(J$3:J44,"Si"),"")</f>
        <v/>
      </c>
      <c r="D44" s="97"/>
      <c r="E44" s="226">
        <f>IF(F44="","",COUNTA(F$3:F44))</f>
        <v>42</v>
      </c>
      <c r="F44" s="246" t="s">
        <v>462</v>
      </c>
      <c r="G44" s="246" t="s">
        <v>463</v>
      </c>
      <c r="H44" s="247" t="s">
        <v>464</v>
      </c>
      <c r="I44" s="216" t="s">
        <v>245</v>
      </c>
      <c r="J44" s="212" t="s">
        <v>577</v>
      </c>
      <c r="K44" s="217" t="s">
        <v>528</v>
      </c>
      <c r="L44" s="217">
        <f t="shared" si="2"/>
        <v>3</v>
      </c>
      <c r="M44" s="218"/>
      <c r="N44" s="219"/>
      <c r="O44" s="220"/>
      <c r="P44" s="219"/>
      <c r="Q44" s="220"/>
      <c r="R44" s="376"/>
      <c r="S44" s="377"/>
      <c r="T44" s="378"/>
      <c r="U44" s="379">
        <v>3</v>
      </c>
    </row>
    <row r="45" spans="1:21" ht="15" customHeight="1" x14ac:dyDescent="0.35">
      <c r="B45" s="202"/>
      <c r="C45" s="185">
        <f>IF(J45="Si",COUNTIF(J$3:J45,"Si"),"")</f>
        <v>20</v>
      </c>
      <c r="D45" s="97"/>
      <c r="E45" s="226">
        <f>IF(F45="","",COUNTA(F$3:F45))</f>
        <v>43</v>
      </c>
      <c r="F45" s="2" t="s">
        <v>465</v>
      </c>
      <c r="G45" s="2" t="s">
        <v>451</v>
      </c>
      <c r="H45" s="238" t="s">
        <v>466</v>
      </c>
      <c r="I45" s="101" t="s">
        <v>245</v>
      </c>
      <c r="J45" s="239" t="s">
        <v>496</v>
      </c>
      <c r="K45" s="197" t="s">
        <v>528</v>
      </c>
      <c r="L45" s="197">
        <f t="shared" si="2"/>
        <v>2</v>
      </c>
      <c r="M45" s="240"/>
      <c r="N45" s="241"/>
      <c r="O45" s="242"/>
      <c r="P45" s="241"/>
      <c r="Q45" s="242"/>
      <c r="R45" s="386"/>
      <c r="S45" s="387"/>
      <c r="T45" s="388"/>
      <c r="U45" s="389">
        <v>2</v>
      </c>
    </row>
    <row r="46" spans="1:21" ht="15" customHeight="1" x14ac:dyDescent="0.35">
      <c r="B46" s="202"/>
      <c r="C46" s="185">
        <f>IF(J46="Si",COUNTIF(J$3:J46,"Si"),"")</f>
        <v>21</v>
      </c>
      <c r="D46" s="97"/>
      <c r="E46" s="226">
        <f>IF(F46="","",COUNTA(F$3:F46))</f>
        <v>44</v>
      </c>
      <c r="F46" s="231" t="s">
        <v>543</v>
      </c>
      <c r="G46" s="231" t="s">
        <v>544</v>
      </c>
      <c r="H46" s="390" t="s">
        <v>591</v>
      </c>
      <c r="I46" s="101" t="s">
        <v>245</v>
      </c>
      <c r="J46" s="232" t="s">
        <v>496</v>
      </c>
      <c r="K46" s="197" t="s">
        <v>528</v>
      </c>
      <c r="L46" s="197">
        <f t="shared" si="2"/>
        <v>1</v>
      </c>
      <c r="M46" s="233"/>
      <c r="N46" s="234"/>
      <c r="O46" s="235"/>
      <c r="P46" s="234"/>
      <c r="Q46" s="235"/>
      <c r="R46" s="380"/>
      <c r="S46" s="381"/>
      <c r="T46" s="382"/>
      <c r="U46" s="383">
        <v>1</v>
      </c>
    </row>
    <row r="47" spans="1:21" s="222" customFormat="1" ht="14.5" customHeight="1" x14ac:dyDescent="0.35">
      <c r="A47" s="391"/>
      <c r="B47" s="392"/>
      <c r="C47" s="243" t="str">
        <f>IF(J47="Si",COUNTIF(J$3:J47,"Si"),"")</f>
        <v/>
      </c>
      <c r="D47" s="244"/>
      <c r="E47" s="245">
        <f>IF(F47="","",COUNTA(F$3:F47))</f>
        <v>45</v>
      </c>
      <c r="F47" s="246" t="s">
        <v>545</v>
      </c>
      <c r="G47" s="246" t="s">
        <v>245</v>
      </c>
      <c r="H47" s="247" t="s">
        <v>546</v>
      </c>
      <c r="I47" s="216" t="s">
        <v>245</v>
      </c>
      <c r="J47" s="212" t="s">
        <v>577</v>
      </c>
      <c r="K47" s="197" t="s">
        <v>528</v>
      </c>
      <c r="L47" s="197">
        <f t="shared" si="2"/>
        <v>0</v>
      </c>
      <c r="M47" s="218"/>
      <c r="N47" s="219"/>
      <c r="O47" s="220"/>
      <c r="P47" s="219"/>
      <c r="Q47" s="220"/>
      <c r="R47" s="376"/>
      <c r="S47" s="377"/>
      <c r="T47" s="378"/>
      <c r="U47" s="379"/>
    </row>
    <row r="48" spans="1:21" ht="15" customHeight="1" x14ac:dyDescent="0.35">
      <c r="B48" s="202"/>
      <c r="C48" s="185">
        <f>IF(J48="Si",COUNTIF(J$3:J48,"Si"),"")</f>
        <v>22</v>
      </c>
      <c r="D48" s="97"/>
      <c r="E48" s="226">
        <f>IF(F48="","",COUNTA(F$3:F48))</f>
        <v>46</v>
      </c>
      <c r="F48" s="231" t="s">
        <v>467</v>
      </c>
      <c r="G48" s="231" t="s">
        <v>468</v>
      </c>
      <c r="H48" s="237" t="s">
        <v>592</v>
      </c>
      <c r="I48" s="101" t="s">
        <v>245</v>
      </c>
      <c r="J48" s="232" t="s">
        <v>496</v>
      </c>
      <c r="K48" s="197" t="s">
        <v>528</v>
      </c>
      <c r="L48" s="197">
        <f t="shared" si="2"/>
        <v>2</v>
      </c>
      <c r="M48" s="233"/>
      <c r="N48" s="234"/>
      <c r="O48" s="235"/>
      <c r="P48" s="234"/>
      <c r="Q48" s="235"/>
      <c r="R48" s="380"/>
      <c r="S48" s="381"/>
      <c r="T48" s="382"/>
      <c r="U48" s="383">
        <v>2</v>
      </c>
    </row>
    <row r="49" spans="1:22" s="222" customFormat="1" ht="15" customHeight="1" x14ac:dyDescent="0.35">
      <c r="A49" s="391"/>
      <c r="B49" s="392"/>
      <c r="C49" s="243" t="str">
        <f>IF(J49="Si",COUNTIF(J$3:J49,"Si"),"")</f>
        <v/>
      </c>
      <c r="D49" s="244"/>
      <c r="E49" s="245">
        <f>IF(F49="","",COUNTA(F$3:F49))</f>
        <v>47</v>
      </c>
      <c r="F49" s="246" t="s">
        <v>593</v>
      </c>
      <c r="G49" s="246" t="s">
        <v>594</v>
      </c>
      <c r="H49" s="247" t="s">
        <v>595</v>
      </c>
      <c r="I49" s="216" t="s">
        <v>245</v>
      </c>
      <c r="J49" s="212" t="s">
        <v>577</v>
      </c>
      <c r="K49" s="197"/>
      <c r="L49" s="197">
        <f t="shared" si="2"/>
        <v>0</v>
      </c>
      <c r="M49" s="218"/>
      <c r="N49" s="219"/>
      <c r="O49" s="220"/>
      <c r="P49" s="219"/>
      <c r="Q49" s="220"/>
      <c r="R49" s="376"/>
      <c r="S49" s="377"/>
      <c r="T49" s="378"/>
      <c r="U49" s="379"/>
    </row>
    <row r="50" spans="1:22" ht="15" customHeight="1" x14ac:dyDescent="0.35">
      <c r="B50" s="202"/>
      <c r="C50" s="185">
        <f>IF(J50="Si",COUNTIF(J$3:J50,"Si"),"")</f>
        <v>23</v>
      </c>
      <c r="D50" s="97"/>
      <c r="E50" s="226">
        <f>IF(F50="","",COUNTA(F$3:F50))</f>
        <v>48</v>
      </c>
      <c r="F50" s="231" t="s">
        <v>469</v>
      </c>
      <c r="G50" s="231" t="s">
        <v>470</v>
      </c>
      <c r="H50" s="237" t="s">
        <v>471</v>
      </c>
      <c r="I50" s="101" t="s">
        <v>245</v>
      </c>
      <c r="J50" s="232" t="s">
        <v>496</v>
      </c>
      <c r="K50" s="197" t="s">
        <v>528</v>
      </c>
      <c r="L50" s="197">
        <f t="shared" si="2"/>
        <v>2</v>
      </c>
      <c r="M50" s="233"/>
      <c r="N50" s="234"/>
      <c r="O50" s="235"/>
      <c r="P50" s="234"/>
      <c r="Q50" s="235"/>
      <c r="R50" s="380"/>
      <c r="S50" s="381"/>
      <c r="T50" s="382"/>
      <c r="U50" s="383">
        <v>2</v>
      </c>
    </row>
    <row r="51" spans="1:22" ht="15" customHeight="1" x14ac:dyDescent="0.35">
      <c r="B51" s="202"/>
      <c r="C51" s="185">
        <f>IF(J51="Si",COUNTIF(J$3:J51,"Si"),"")</f>
        <v>24</v>
      </c>
      <c r="D51" s="97"/>
      <c r="E51" s="226">
        <f>IF(F51="","",COUNTA(F$3:F51))</f>
        <v>49</v>
      </c>
      <c r="F51" s="2" t="s">
        <v>547</v>
      </c>
      <c r="G51" s="2" t="s">
        <v>24</v>
      </c>
      <c r="H51" s="238" t="s">
        <v>472</v>
      </c>
      <c r="I51" s="101" t="s">
        <v>245</v>
      </c>
      <c r="J51" s="239" t="s">
        <v>496</v>
      </c>
      <c r="K51" s="197" t="s">
        <v>528</v>
      </c>
      <c r="L51" s="197">
        <f t="shared" si="2"/>
        <v>2</v>
      </c>
      <c r="M51" s="240"/>
      <c r="N51" s="241"/>
      <c r="O51" s="242"/>
      <c r="P51" s="241"/>
      <c r="Q51" s="242"/>
      <c r="R51" s="386"/>
      <c r="S51" s="387"/>
      <c r="T51" s="388"/>
      <c r="U51" s="389">
        <v>2</v>
      </c>
    </row>
    <row r="52" spans="1:22" ht="15" customHeight="1" x14ac:dyDescent="0.35">
      <c r="B52" s="202"/>
      <c r="C52" s="185" t="str">
        <f>IF(J52="Si",COUNTIF(J$3:J52,"Si"),"")</f>
        <v/>
      </c>
      <c r="D52" s="97"/>
      <c r="E52" s="226">
        <f>IF(F52="","",COUNTA(F$3:F52))</f>
        <v>50</v>
      </c>
      <c r="F52" s="231" t="s">
        <v>473</v>
      </c>
      <c r="G52" s="231" t="s">
        <v>474</v>
      </c>
      <c r="H52" s="237" t="s">
        <v>475</v>
      </c>
      <c r="I52" s="101" t="s">
        <v>245</v>
      </c>
      <c r="J52" s="232" t="s">
        <v>577</v>
      </c>
      <c r="K52" s="197" t="s">
        <v>528</v>
      </c>
      <c r="L52" s="197">
        <f t="shared" si="2"/>
        <v>1</v>
      </c>
      <c r="M52" s="233"/>
      <c r="N52" s="234"/>
      <c r="O52" s="235"/>
      <c r="P52" s="234"/>
      <c r="Q52" s="235"/>
      <c r="R52" s="380"/>
      <c r="S52" s="381"/>
      <c r="T52" s="382"/>
      <c r="U52" s="383">
        <v>1</v>
      </c>
    </row>
    <row r="53" spans="1:22" ht="15" customHeight="1" x14ac:dyDescent="0.35">
      <c r="B53" s="202"/>
      <c r="C53" s="185" t="str">
        <f>IF(J53="Si",COUNTIF(J$3:J53,"Si"),"")</f>
        <v/>
      </c>
      <c r="D53" s="97"/>
      <c r="E53" s="226">
        <f>IF(F53="","",COUNTA(F$3:F53))</f>
        <v>51</v>
      </c>
      <c r="F53" s="2" t="s">
        <v>476</v>
      </c>
      <c r="G53" s="2" t="s">
        <v>477</v>
      </c>
      <c r="H53" s="182" t="s">
        <v>478</v>
      </c>
      <c r="I53" s="101" t="s">
        <v>245</v>
      </c>
      <c r="J53" s="239" t="s">
        <v>577</v>
      </c>
      <c r="K53" s="197" t="s">
        <v>528</v>
      </c>
      <c r="L53" s="197">
        <f t="shared" si="2"/>
        <v>2</v>
      </c>
      <c r="M53" s="240"/>
      <c r="N53" s="241"/>
      <c r="O53" s="242"/>
      <c r="P53" s="241"/>
      <c r="Q53" s="242"/>
      <c r="R53" s="386"/>
      <c r="S53" s="387"/>
      <c r="T53" s="388"/>
      <c r="U53" s="389">
        <v>2</v>
      </c>
    </row>
    <row r="54" spans="1:22" ht="15" customHeight="1" x14ac:dyDescent="0.35">
      <c r="B54" s="202"/>
      <c r="C54" s="185">
        <f>IF(J54="Si",COUNTIF(J$3:J54,"Si"),"")</f>
        <v>25</v>
      </c>
      <c r="D54" s="97"/>
      <c r="E54" s="226">
        <f>IF(F54="","",COUNTA(F$3:F54))</f>
        <v>52</v>
      </c>
      <c r="F54" s="231" t="s">
        <v>479</v>
      </c>
      <c r="G54" s="231" t="s">
        <v>480</v>
      </c>
      <c r="H54" s="181" t="s">
        <v>16</v>
      </c>
      <c r="I54" s="101" t="s">
        <v>244</v>
      </c>
      <c r="J54" s="232" t="s">
        <v>496</v>
      </c>
      <c r="K54" s="197" t="s">
        <v>528</v>
      </c>
      <c r="L54" s="197">
        <f t="shared" si="2"/>
        <v>6</v>
      </c>
      <c r="M54" s="233"/>
      <c r="N54" s="234"/>
      <c r="O54" s="235"/>
      <c r="P54" s="234"/>
      <c r="Q54" s="235"/>
      <c r="R54" s="380"/>
      <c r="S54" s="381"/>
      <c r="T54" s="382"/>
      <c r="U54" s="383">
        <v>6</v>
      </c>
    </row>
    <row r="55" spans="1:22" ht="15" customHeight="1" x14ac:dyDescent="0.35">
      <c r="B55" s="202"/>
      <c r="C55" s="185">
        <f>IF(J55="Si",COUNTIF(J$3:J55,"Si"),"")</f>
        <v>26</v>
      </c>
      <c r="D55" s="97"/>
      <c r="E55" s="226">
        <f>IF(F55="","",COUNTA(F$3:F55))</f>
        <v>53</v>
      </c>
      <c r="F55" s="2" t="s">
        <v>481</v>
      </c>
      <c r="G55" s="2" t="s">
        <v>482</v>
      </c>
      <c r="H55" s="182" t="s">
        <v>483</v>
      </c>
      <c r="I55" s="101" t="s">
        <v>245</v>
      </c>
      <c r="J55" s="239" t="s">
        <v>496</v>
      </c>
      <c r="K55" s="197" t="s">
        <v>528</v>
      </c>
      <c r="L55" s="197">
        <f t="shared" si="2"/>
        <v>2</v>
      </c>
      <c r="M55" s="240"/>
      <c r="N55" s="241"/>
      <c r="O55" s="242"/>
      <c r="P55" s="241"/>
      <c r="Q55" s="242"/>
      <c r="R55" s="386"/>
      <c r="S55" s="387"/>
      <c r="T55" s="388"/>
      <c r="U55" s="389">
        <v>2</v>
      </c>
    </row>
    <row r="56" spans="1:22" ht="15" customHeight="1" x14ac:dyDescent="0.35">
      <c r="B56" s="202"/>
      <c r="C56" s="185" t="str">
        <f>IF(J56="Si",COUNTIF(J$3:J56,"Si"),"")</f>
        <v/>
      </c>
      <c r="D56" s="97"/>
      <c r="E56" s="226">
        <f>IF(F56="","",COUNTA(F$3:F56))</f>
        <v>54</v>
      </c>
      <c r="F56" s="231" t="s">
        <v>548</v>
      </c>
      <c r="G56" s="231" t="s">
        <v>24</v>
      </c>
      <c r="H56" s="181" t="s">
        <v>549</v>
      </c>
      <c r="I56" s="101" t="s">
        <v>245</v>
      </c>
      <c r="J56" s="232" t="s">
        <v>577</v>
      </c>
      <c r="K56" s="197" t="s">
        <v>528</v>
      </c>
      <c r="L56" s="197">
        <f t="shared" si="2"/>
        <v>0</v>
      </c>
      <c r="M56" s="233"/>
      <c r="N56" s="234"/>
      <c r="O56" s="235"/>
      <c r="P56" s="234"/>
      <c r="Q56" s="235"/>
      <c r="R56" s="380"/>
      <c r="S56" s="381"/>
      <c r="T56" s="382"/>
      <c r="U56" s="383"/>
    </row>
    <row r="57" spans="1:22" ht="15" customHeight="1" x14ac:dyDescent="0.35">
      <c r="B57" s="202"/>
      <c r="C57" s="185">
        <f>IF(J57="Si",COUNTIF(J$3:J57,"Si"),"")</f>
        <v>27</v>
      </c>
      <c r="D57" s="97"/>
      <c r="E57" s="226">
        <f>IF(F57="","",COUNTA(F$3:F57))</f>
        <v>55</v>
      </c>
      <c r="F57" s="2" t="s">
        <v>484</v>
      </c>
      <c r="G57" s="2" t="s">
        <v>485</v>
      </c>
      <c r="H57" s="248" t="s">
        <v>255</v>
      </c>
      <c r="I57" s="101" t="s">
        <v>245</v>
      </c>
      <c r="J57" s="239" t="s">
        <v>496</v>
      </c>
      <c r="K57" s="197" t="s">
        <v>528</v>
      </c>
      <c r="L57" s="197">
        <f t="shared" si="2"/>
        <v>2</v>
      </c>
      <c r="M57" s="240"/>
      <c r="N57" s="241"/>
      <c r="O57" s="242"/>
      <c r="P57" s="241"/>
      <c r="Q57" s="242"/>
      <c r="R57" s="386"/>
      <c r="S57" s="387"/>
      <c r="T57" s="388"/>
      <c r="U57" s="389">
        <v>2</v>
      </c>
    </row>
    <row r="58" spans="1:22" ht="17.25" customHeight="1" x14ac:dyDescent="0.35">
      <c r="B58" s="202"/>
      <c r="C58" s="185" t="str">
        <f>IF(J58="Si",COUNTIF(J$3:J58,"Si"),"")</f>
        <v/>
      </c>
      <c r="D58" s="97" t="e">
        <f t="shared" si="3"/>
        <v>#VALUE!</v>
      </c>
      <c r="E58" s="98" t="str">
        <f>IF(F58="","",COUNTA(F$3:F58))</f>
        <v/>
      </c>
      <c r="F58" s="223"/>
      <c r="G58" s="224"/>
      <c r="H58" s="225"/>
      <c r="I58" s="180"/>
      <c r="J58" s="98"/>
      <c r="K58" s="197"/>
      <c r="L58" s="249"/>
      <c r="M58" s="250"/>
      <c r="N58" s="251"/>
      <c r="O58" s="252"/>
      <c r="P58" s="251" t="str">
        <f>IFERROR(VLOOKUP(CONCATENATE(IF(MID($I58,1,1)="P","*",""),$F58),'[1]Programación x Auditor'!$C:$E,2,0),"")</f>
        <v/>
      </c>
      <c r="Q58" s="252" t="str">
        <f>IFERROR(VLOOKUP(CONCATENATE(IF(MID($I58,1,1)="P","*",""),$F58),'[1]Programación x Auditor'!$C:$E,3,0),"")</f>
        <v/>
      </c>
      <c r="R58" s="253">
        <v>3</v>
      </c>
      <c r="S58" s="253"/>
      <c r="T58" s="253"/>
      <c r="U58" s="253"/>
    </row>
    <row r="59" spans="1:22" ht="17.25" customHeight="1" x14ac:dyDescent="0.35">
      <c r="B59" s="202"/>
      <c r="C59" s="185" t="str">
        <f>IF(J59="Si",COUNTIF(J$3:J59,"Si"),"")</f>
        <v/>
      </c>
      <c r="D59" s="97"/>
      <c r="E59" s="201"/>
      <c r="F59" s="238"/>
      <c r="G59" s="254"/>
      <c r="H59" s="238"/>
      <c r="I59" s="238"/>
      <c r="J59" s="201"/>
      <c r="K59" s="201"/>
      <c r="L59" s="201"/>
      <c r="M59" s="201"/>
      <c r="N59" s="201"/>
      <c r="O59" s="201"/>
      <c r="P59" s="201"/>
      <c r="Q59" s="201"/>
      <c r="R59" s="201"/>
      <c r="S59" s="201"/>
      <c r="T59" s="201"/>
      <c r="U59" s="201"/>
    </row>
    <row r="60" spans="1:22" x14ac:dyDescent="0.35">
      <c r="B60" s="202"/>
      <c r="C60" s="185" t="str">
        <f>IF(J60="Si",COUNTIF(J$3:J60,"Si"),"")</f>
        <v/>
      </c>
      <c r="D60" s="97"/>
      <c r="E60" s="97"/>
      <c r="F60" s="97"/>
      <c r="G60" s="97"/>
      <c r="H60" s="255"/>
      <c r="I60" s="97"/>
      <c r="J60" s="97"/>
      <c r="K60" s="97"/>
      <c r="L60" s="97"/>
      <c r="M60" s="97"/>
      <c r="N60" s="97"/>
      <c r="O60" s="97"/>
      <c r="P60" s="97"/>
      <c r="Q60" s="97"/>
      <c r="R60" s="97"/>
      <c r="S60" s="97"/>
      <c r="T60" s="97"/>
      <c r="U60" s="97"/>
      <c r="V60" s="97"/>
    </row>
    <row r="61" spans="1:22" x14ac:dyDescent="0.35">
      <c r="B61" s="202"/>
      <c r="C61" s="185" t="str">
        <f>IF(J61="Si",COUNTIF(J$3:J61,"Si"),"")</f>
        <v/>
      </c>
      <c r="D61" s="97"/>
      <c r="E61" s="98"/>
      <c r="F61" s="100" t="s">
        <v>8</v>
      </c>
      <c r="G61" s="100"/>
      <c r="H61" s="114"/>
      <c r="I61" s="101" t="s">
        <v>238</v>
      </c>
      <c r="J61" s="98"/>
      <c r="K61" s="197"/>
      <c r="L61" s="197">
        <f>SUM(M61:V61)</f>
        <v>0</v>
      </c>
      <c r="M61" s="198"/>
      <c r="N61" s="199"/>
      <c r="O61" s="200"/>
      <c r="P61" s="199"/>
      <c r="Q61" s="200"/>
      <c r="R61" s="201"/>
      <c r="S61" s="201"/>
      <c r="T61" s="201"/>
      <c r="U61" s="201"/>
    </row>
    <row r="62" spans="1:22" x14ac:dyDescent="0.35">
      <c r="B62" s="202"/>
      <c r="C62" s="185" t="str">
        <f>IF(J62="Si",COUNTIF(J$3:J62,"Si"),"")</f>
        <v/>
      </c>
      <c r="D62" s="97"/>
      <c r="E62" s="98"/>
      <c r="F62" s="100" t="s">
        <v>550</v>
      </c>
      <c r="G62" s="100"/>
      <c r="H62" s="114"/>
      <c r="I62" s="256" t="s">
        <v>238</v>
      </c>
      <c r="J62" s="257"/>
      <c r="K62" s="197" t="s">
        <v>551</v>
      </c>
      <c r="L62" s="197">
        <f>SUM(M62:V62)</f>
        <v>0</v>
      </c>
      <c r="M62" s="198"/>
      <c r="N62" s="199"/>
      <c r="O62" s="200"/>
      <c r="P62" s="199"/>
      <c r="Q62" s="200"/>
      <c r="R62" s="201"/>
      <c r="S62" s="201"/>
      <c r="T62" s="201"/>
      <c r="U62" s="201"/>
    </row>
    <row r="63" spans="1:22" x14ac:dyDescent="0.35">
      <c r="D63" s="102"/>
      <c r="E63" s="102"/>
      <c r="F63" s="102"/>
      <c r="G63" s="102"/>
      <c r="H63" s="258"/>
      <c r="I63" s="259" t="s">
        <v>528</v>
      </c>
      <c r="J63" s="260">
        <f>COUNTIF(K3:K57,I63)</f>
        <v>21</v>
      </c>
      <c r="K63" s="261">
        <v>17</v>
      </c>
      <c r="L63" s="261"/>
      <c r="M63" s="102"/>
      <c r="N63" s="102"/>
      <c r="O63" s="102"/>
      <c r="P63" s="102"/>
      <c r="Q63" s="102"/>
      <c r="R63" s="102"/>
      <c r="S63" s="102"/>
      <c r="T63" s="102"/>
      <c r="U63" s="102"/>
    </row>
    <row r="64" spans="1:22" x14ac:dyDescent="0.35">
      <c r="D64" s="102"/>
      <c r="E64" s="102"/>
      <c r="F64" s="102"/>
      <c r="G64" s="102"/>
      <c r="H64" s="258"/>
      <c r="I64" s="259" t="s">
        <v>503</v>
      </c>
      <c r="J64" s="260">
        <f>COUNTIF(K3:K57,I64)</f>
        <v>13</v>
      </c>
      <c r="K64" s="261">
        <v>18</v>
      </c>
      <c r="L64" s="261"/>
      <c r="M64" s="102"/>
      <c r="N64" s="102"/>
      <c r="O64" s="102"/>
      <c r="P64" s="102"/>
      <c r="Q64" s="102"/>
      <c r="R64" s="102"/>
      <c r="S64" s="102"/>
      <c r="T64" s="102"/>
      <c r="U64" s="102"/>
    </row>
    <row r="65" spans="4:21" x14ac:dyDescent="0.35">
      <c r="D65" s="102"/>
      <c r="E65" s="102"/>
      <c r="F65" s="102"/>
      <c r="G65" s="102"/>
      <c r="H65" s="258"/>
      <c r="I65" s="259" t="s">
        <v>497</v>
      </c>
      <c r="J65" s="260">
        <f>COUNTIF(K3:K57,I65)</f>
        <v>14</v>
      </c>
      <c r="K65" s="261">
        <v>9</v>
      </c>
      <c r="L65" s="261"/>
      <c r="M65" s="102"/>
      <c r="N65" s="102"/>
      <c r="O65" s="102"/>
      <c r="P65" s="102"/>
      <c r="Q65" s="102"/>
      <c r="R65" s="102"/>
      <c r="S65" s="102"/>
      <c r="T65" s="102"/>
      <c r="U65" s="102"/>
    </row>
    <row r="66" spans="4:21" x14ac:dyDescent="0.35">
      <c r="I66" s="262" t="s">
        <v>552</v>
      </c>
      <c r="J66" s="262">
        <f>SUM(J63:J65)</f>
        <v>48</v>
      </c>
    </row>
    <row r="67" spans="4:21" x14ac:dyDescent="0.35"/>
    <row r="68" spans="4:21" x14ac:dyDescent="0.35"/>
    <row r="69" spans="4:21" x14ac:dyDescent="0.35"/>
    <row r="70" spans="4:21" x14ac:dyDescent="0.35"/>
    <row r="71" spans="4:21" x14ac:dyDescent="0.35"/>
    <row r="72" spans="4:21" x14ac:dyDescent="0.35"/>
    <row r="73" spans="4:21" x14ac:dyDescent="0.35"/>
    <row r="74" spans="4:21" x14ac:dyDescent="0.35"/>
    <row r="75" spans="4:21" x14ac:dyDescent="0.35"/>
    <row r="76" spans="4:21" x14ac:dyDescent="0.35"/>
    <row r="77" spans="4:21" x14ac:dyDescent="0.35"/>
  </sheetData>
  <autoFilter ref="E2:Q62">
    <sortState ref="E3:O47">
      <sortCondition ref="F2:F47"/>
    </sortState>
  </autoFilter>
  <mergeCells count="2">
    <mergeCell ref="E1:F1"/>
    <mergeCell ref="T1:U1"/>
  </mergeCells>
  <conditionalFormatting sqref="M3:U3 F3:H3 F14:G21 F5:H13 J5:U22 H15:H32 F26:G26 J26:U26 I3:I35 J35:U35 F37:H57 F22 I37:I59 L36:U36 J37:U57">
    <cfRule type="expression" dxfId="65" priority="66">
      <formula>#REF!&gt;0</formula>
    </cfRule>
  </conditionalFormatting>
  <conditionalFormatting sqref="F4 M4:U4">
    <cfRule type="expression" dxfId="64" priority="65">
      <formula>#REF!&gt;0</formula>
    </cfRule>
  </conditionalFormatting>
  <conditionalFormatting sqref="G4">
    <cfRule type="expression" dxfId="63" priority="64">
      <formula>#REF!&gt;0</formula>
    </cfRule>
  </conditionalFormatting>
  <conditionalFormatting sqref="H4 F23:G23">
    <cfRule type="expression" dxfId="62" priority="63">
      <formula>#REF!&gt;0</formula>
    </cfRule>
  </conditionalFormatting>
  <conditionalFormatting sqref="M61:U62 E58:G59 E3:H13 H14:H33 E14:G21 E37:H57 I3:U35 E22:F22 E36 L36:U36 E23:G35 I37:U59">
    <cfRule type="expression" dxfId="61" priority="62">
      <formula>$D3="VERDADERO"</formula>
    </cfRule>
  </conditionalFormatting>
  <conditionalFormatting sqref="M3:U22 M26:U26 M35:U57">
    <cfRule type="containsText" dxfId="60" priority="60" operator="containsText" text="Si">
      <formula>NOT(ISERROR(SEARCH("Si",M3)))</formula>
    </cfRule>
    <cfRule type="cellIs" dxfId="59" priority="61" operator="equal">
      <formula>"No"</formula>
    </cfRule>
  </conditionalFormatting>
  <conditionalFormatting sqref="F24:G24">
    <cfRule type="expression" dxfId="58" priority="59">
      <formula>#REF!&gt;0</formula>
    </cfRule>
  </conditionalFormatting>
  <conditionalFormatting sqref="M23:U23">
    <cfRule type="expression" dxfId="57" priority="58">
      <formula>#REF!&gt;0</formula>
    </cfRule>
  </conditionalFormatting>
  <conditionalFormatting sqref="M23:U23">
    <cfRule type="containsText" dxfId="56" priority="56" operator="containsText" text="Si">
      <formula>NOT(ISERROR(SEARCH("Si",M23)))</formula>
    </cfRule>
    <cfRule type="cellIs" dxfId="55" priority="57" operator="equal">
      <formula>"No"</formula>
    </cfRule>
  </conditionalFormatting>
  <conditionalFormatting sqref="M24:U24">
    <cfRule type="expression" dxfId="54" priority="55">
      <formula>#REF!&gt;0</formula>
    </cfRule>
  </conditionalFormatting>
  <conditionalFormatting sqref="M24:U24">
    <cfRule type="containsText" dxfId="53" priority="53" operator="containsText" text="Si">
      <formula>NOT(ISERROR(SEARCH("Si",M24)))</formula>
    </cfRule>
    <cfRule type="cellIs" dxfId="52" priority="54" operator="equal">
      <formula>"No"</formula>
    </cfRule>
  </conditionalFormatting>
  <conditionalFormatting sqref="I22">
    <cfRule type="expression" dxfId="51" priority="52">
      <formula>#REF!&gt;0</formula>
    </cfRule>
  </conditionalFormatting>
  <conditionalFormatting sqref="I4">
    <cfRule type="expression" dxfId="50" priority="51">
      <formula>#REF!&gt;0</formula>
    </cfRule>
  </conditionalFormatting>
  <conditionalFormatting sqref="I23">
    <cfRule type="expression" dxfId="49" priority="50">
      <formula>#REF!&gt;0</formula>
    </cfRule>
  </conditionalFormatting>
  <conditionalFormatting sqref="F25:G25 F27:G27 F29:G29 F31:G31 F33:G34 F58:G59">
    <cfRule type="expression" dxfId="48" priority="49">
      <formula>#REF!&gt;0</formula>
    </cfRule>
  </conditionalFormatting>
  <conditionalFormatting sqref="F28:G28 F30:G30 F32:G32 F35:G35">
    <cfRule type="expression" dxfId="47" priority="48">
      <formula>#REF!&gt;0</formula>
    </cfRule>
  </conditionalFormatting>
  <conditionalFormatting sqref="M25:U25 M27:U27 M29:U29 M31:U31 M33:U34 M58:U59">
    <cfRule type="expression" dxfId="46" priority="47">
      <formula>#REF!&gt;0</formula>
    </cfRule>
  </conditionalFormatting>
  <conditionalFormatting sqref="M25:U25 M27:U27 M29:U29 M31:U31 M33:U34 M58:U59">
    <cfRule type="containsText" dxfId="45" priority="45" operator="containsText" text="Si">
      <formula>NOT(ISERROR(SEARCH("Si",M25)))</formula>
    </cfRule>
    <cfRule type="cellIs" dxfId="44" priority="46" operator="equal">
      <formula>"No"</formula>
    </cfRule>
  </conditionalFormatting>
  <conditionalFormatting sqref="M28:U28 M30:U30 M32:U32">
    <cfRule type="expression" dxfId="43" priority="44">
      <formula>#REF!&gt;0</formula>
    </cfRule>
  </conditionalFormatting>
  <conditionalFormatting sqref="M28:U28 M30:U30 M32:U32">
    <cfRule type="containsText" dxfId="42" priority="42" operator="containsText" text="Si">
      <formula>NOT(ISERROR(SEARCH("Si",M28)))</formula>
    </cfRule>
    <cfRule type="cellIs" dxfId="41" priority="43" operator="equal">
      <formula>"No"</formula>
    </cfRule>
  </conditionalFormatting>
  <conditionalFormatting sqref="J3:L3">
    <cfRule type="expression" dxfId="40" priority="41">
      <formula>#REF!&gt;0</formula>
    </cfRule>
  </conditionalFormatting>
  <conditionalFormatting sqref="J4:L4">
    <cfRule type="expression" dxfId="39" priority="40">
      <formula>#REF!&gt;0</formula>
    </cfRule>
  </conditionalFormatting>
  <conditionalFormatting sqref="J23:L23">
    <cfRule type="expression" dxfId="38" priority="39">
      <formula>#REF!&gt;0</formula>
    </cfRule>
  </conditionalFormatting>
  <conditionalFormatting sqref="J24:L24">
    <cfRule type="expression" dxfId="37" priority="38">
      <formula>#REF!&gt;0</formula>
    </cfRule>
  </conditionalFormatting>
  <conditionalFormatting sqref="J25:L25 J27:L27 J29:L29 J31:L31 J33:L34 J58:L59">
    <cfRule type="expression" dxfId="36" priority="37">
      <formula>#REF!&gt;0</formula>
    </cfRule>
  </conditionalFormatting>
  <conditionalFormatting sqref="J28:L28 J30:L30 J32:L32">
    <cfRule type="expression" dxfId="35" priority="36">
      <formula>#REF!&gt;0</formula>
    </cfRule>
  </conditionalFormatting>
  <conditionalFormatting sqref="E61:E62">
    <cfRule type="expression" dxfId="34" priority="35">
      <formula>$D61="VERDADERO"</formula>
    </cfRule>
  </conditionalFormatting>
  <conditionalFormatting sqref="I61:I62">
    <cfRule type="expression" dxfId="33" priority="34">
      <formula>$D61="VERDADERO"</formula>
    </cfRule>
  </conditionalFormatting>
  <conditionalFormatting sqref="I61:I62">
    <cfRule type="expression" dxfId="32" priority="33">
      <formula>#REF!&gt;0</formula>
    </cfRule>
  </conditionalFormatting>
  <conditionalFormatting sqref="I61:I62">
    <cfRule type="expression" dxfId="31" priority="32">
      <formula>#REF!&gt;0</formula>
    </cfRule>
  </conditionalFormatting>
  <conditionalFormatting sqref="F61:G61">
    <cfRule type="expression" dxfId="30" priority="31">
      <formula>#REF!&gt;0</formula>
    </cfRule>
  </conditionalFormatting>
  <conditionalFormatting sqref="F61:G62">
    <cfRule type="expression" dxfId="29" priority="30">
      <formula>$D61="VERDADERO"</formula>
    </cfRule>
  </conditionalFormatting>
  <conditionalFormatting sqref="F62:G62">
    <cfRule type="expression" dxfId="28" priority="29">
      <formula>#REF!&gt;0</formula>
    </cfRule>
  </conditionalFormatting>
  <conditionalFormatting sqref="M61:U61">
    <cfRule type="expression" dxfId="27" priority="28">
      <formula>#REF!&gt;0</formula>
    </cfRule>
  </conditionalFormatting>
  <conditionalFormatting sqref="M61:U61">
    <cfRule type="containsText" dxfId="26" priority="26" operator="containsText" text="Si">
      <formula>NOT(ISERROR(SEARCH("Si",M61)))</formula>
    </cfRule>
    <cfRule type="cellIs" dxfId="25" priority="27" operator="equal">
      <formula>"No"</formula>
    </cfRule>
  </conditionalFormatting>
  <conditionalFormatting sqref="M62:U62">
    <cfRule type="expression" dxfId="24" priority="25">
      <formula>#REF!&gt;0</formula>
    </cfRule>
  </conditionalFormatting>
  <conditionalFormatting sqref="M62:U62">
    <cfRule type="containsText" dxfId="23" priority="23" operator="containsText" text="Si">
      <formula>NOT(ISERROR(SEARCH("Si",M62)))</formula>
    </cfRule>
    <cfRule type="cellIs" dxfId="22" priority="24" operator="equal">
      <formula>"No"</formula>
    </cfRule>
  </conditionalFormatting>
  <conditionalFormatting sqref="J61:L61">
    <cfRule type="expression" dxfId="21" priority="22">
      <formula>#REF!&gt;0</formula>
    </cfRule>
  </conditionalFormatting>
  <conditionalFormatting sqref="J61:L62">
    <cfRule type="expression" dxfId="20" priority="21">
      <formula>$D61="VERDADERO"</formula>
    </cfRule>
  </conditionalFormatting>
  <conditionalFormatting sqref="J62:L62">
    <cfRule type="expression" dxfId="19" priority="20">
      <formula>#REF!&gt;0</formula>
    </cfRule>
  </conditionalFormatting>
  <conditionalFormatting sqref="J61:L62 J3:L35 J37:L59 L36">
    <cfRule type="containsText" dxfId="18" priority="18" operator="containsText" text="No">
      <formula>NOT(ISERROR(SEARCH("No",J3)))</formula>
    </cfRule>
    <cfRule type="containsText" dxfId="17" priority="19" operator="containsText" text="Si">
      <formula>NOT(ISERROR(SEARCH("Si",J3)))</formula>
    </cfRule>
  </conditionalFormatting>
  <conditionalFormatting sqref="E61:E62 E3:E59">
    <cfRule type="expression" dxfId="16" priority="16">
      <formula>$J3="No"</formula>
    </cfRule>
    <cfRule type="expression" dxfId="15" priority="17">
      <formula>$J3="Si"</formula>
    </cfRule>
  </conditionalFormatting>
  <conditionalFormatting sqref="H14">
    <cfRule type="expression" dxfId="14" priority="15">
      <formula>#REF!&gt;0</formula>
    </cfRule>
  </conditionalFormatting>
  <conditionalFormatting sqref="H33">
    <cfRule type="expression" dxfId="13" priority="14">
      <formula>#REF!&gt;0</formula>
    </cfRule>
  </conditionalFormatting>
  <conditionalFormatting sqref="H34 H58:H59 H61">
    <cfRule type="expression" dxfId="12" priority="13">
      <formula>#REF!&gt;0</formula>
    </cfRule>
  </conditionalFormatting>
  <conditionalFormatting sqref="H34:H35 H61:H62 H58:H59">
    <cfRule type="expression" dxfId="11" priority="12">
      <formula>$D34="VERDADERO"</formula>
    </cfRule>
  </conditionalFormatting>
  <conditionalFormatting sqref="H35 H62">
    <cfRule type="expression" dxfId="10" priority="11">
      <formula>#REF!&gt;0</formula>
    </cfRule>
  </conditionalFormatting>
  <conditionalFormatting sqref="G22">
    <cfRule type="expression" dxfId="9" priority="10">
      <formula>#REF!&gt;0</formula>
    </cfRule>
  </conditionalFormatting>
  <conditionalFormatting sqref="G22">
    <cfRule type="expression" dxfId="8" priority="9">
      <formula>$D22="VERDADERO"</formula>
    </cfRule>
  </conditionalFormatting>
  <conditionalFormatting sqref="I36">
    <cfRule type="expression" dxfId="7" priority="8">
      <formula>#REF!&gt;0</formula>
    </cfRule>
  </conditionalFormatting>
  <conditionalFormatting sqref="F36:G36 I36:K36">
    <cfRule type="expression" dxfId="6" priority="7">
      <formula>$D36="VERDADERO"</formula>
    </cfRule>
  </conditionalFormatting>
  <conditionalFormatting sqref="F36:G36">
    <cfRule type="expression" dxfId="5" priority="6">
      <formula>#REF!&gt;0</formula>
    </cfRule>
  </conditionalFormatting>
  <conditionalFormatting sqref="J36:K36">
    <cfRule type="expression" dxfId="4" priority="5">
      <formula>#REF!&gt;0</formula>
    </cfRule>
  </conditionalFormatting>
  <conditionalFormatting sqref="J36:K36">
    <cfRule type="containsText" dxfId="3" priority="3" operator="containsText" text="No">
      <formula>NOT(ISERROR(SEARCH("No",J36)))</formula>
    </cfRule>
    <cfRule type="containsText" dxfId="2" priority="4" operator="containsText" text="Si">
      <formula>NOT(ISERROR(SEARCH("Si",J36)))</formula>
    </cfRule>
  </conditionalFormatting>
  <conditionalFormatting sqref="H36">
    <cfRule type="expression" dxfId="1" priority="2">
      <formula>#REF!&gt;0</formula>
    </cfRule>
  </conditionalFormatting>
  <conditionalFormatting sqref="H36">
    <cfRule type="expression" dxfId="0" priority="1">
      <formula>$D36="VERDADERO"</formula>
    </cfRule>
  </conditionalFormatting>
  <dataValidations count="2">
    <dataValidation type="list" allowBlank="1" showInputMessage="1" showErrorMessage="1" sqref="J3:J59">
      <formula1>"Si,No"</formula1>
    </dataValidation>
    <dataValidation type="list" allowBlank="1" showInputMessage="1" showErrorMessage="1" sqref="I3:I59 J61:J62">
      <formula1>"Principal,Asistente"</formula1>
    </dataValidation>
  </dataValidations>
  <hyperlinks>
    <hyperlink ref="H3" r:id="rId1"/>
    <hyperlink ref="H7" r:id="rId2"/>
    <hyperlink ref="H25" r:id="rId3"/>
    <hyperlink ref="H30" r:id="rId4"/>
    <hyperlink ref="H34" r:id="rId5"/>
    <hyperlink ref="H37" r:id="rId6"/>
    <hyperlink ref="H38" r:id="rId7"/>
    <hyperlink ref="H41" r:id="rId8"/>
    <hyperlink ref="H53" r:id="rId9"/>
    <hyperlink ref="H54" r:id="rId10"/>
    <hyperlink ref="H56" r:id="rId11"/>
    <hyperlink ref="H55" r:id="rId12"/>
    <hyperlink ref="H22" r:id="rId13"/>
    <hyperlink ref="H6" r:id="rId14" display="apoyo.leac@fup.edu.co"/>
    <hyperlink ref="H33" r:id="rId15"/>
    <hyperlink ref="H12" r:id="rId16"/>
    <hyperlink ref="H13" r:id="rId17"/>
    <hyperlink ref="H14" r:id="rId18" display="ori@fup.edu.co"/>
    <hyperlink ref="H15" r:id="rId19"/>
    <hyperlink ref="H39" r:id="rId20"/>
    <hyperlink ref="H43" r:id="rId21"/>
    <hyperlink ref="H46" r:id="rId22"/>
  </hyperlinks>
  <printOptions horizontalCentered="1"/>
  <pageMargins left="0.23622047244094491" right="0.23622047244094491" top="0.74803149606299213" bottom="0.74803149606299213" header="0.31496062992125984" footer="0.31496062992125984"/>
  <pageSetup scale="90" orientation="landscape"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M63"/>
  <sheetViews>
    <sheetView workbookViewId="0">
      <pane ySplit="3" topLeftCell="A22" activePane="bottomLeft" state="frozen"/>
      <selection pane="bottomLeft" activeCell="D49" sqref="D49"/>
    </sheetView>
  </sheetViews>
  <sheetFormatPr baseColWidth="10" defaultColWidth="0" defaultRowHeight="14.5" zeroHeight="1" x14ac:dyDescent="0.35"/>
  <cols>
    <col min="1" max="1" width="3.54296875" customWidth="1"/>
    <col min="3" max="4" width="42" customWidth="1"/>
    <col min="5" max="5" width="7.81640625" style="103" customWidth="1"/>
    <col min="6" max="7" width="11.54296875" style="103" customWidth="1"/>
    <col min="8" max="8" width="32.453125" style="113" hidden="1" customWidth="1"/>
    <col min="9" max="9" width="1.81640625" style="102" customWidth="1"/>
    <col min="10" max="10" width="23.26953125" style="113" customWidth="1"/>
    <col min="11" max="11" width="3.54296875" style="113" customWidth="1"/>
    <col min="12" max="12" width="1.81640625" style="102" customWidth="1"/>
    <col min="13" max="13" width="11.81640625" hidden="1" customWidth="1"/>
    <col min="14" max="16384" width="11.453125" hidden="1"/>
  </cols>
  <sheetData>
    <row r="1" spans="1:12" s="102" customFormat="1" ht="7.5" customHeight="1" x14ac:dyDescent="0.35">
      <c r="E1" s="105"/>
      <c r="F1" s="105"/>
      <c r="G1" s="105"/>
      <c r="H1" s="106"/>
      <c r="J1" s="106"/>
      <c r="K1" s="106"/>
    </row>
    <row r="2" spans="1:12" ht="15" customHeight="1" x14ac:dyDescent="0.35">
      <c r="A2" s="1"/>
      <c r="C2" s="136" t="s">
        <v>278</v>
      </c>
      <c r="D2" s="137"/>
      <c r="E2" s="137" t="s">
        <v>357</v>
      </c>
      <c r="F2" s="141">
        <f>'FO-GC-021'!B12</f>
        <v>0</v>
      </c>
      <c r="G2" s="107"/>
      <c r="H2" s="145"/>
      <c r="I2" s="1"/>
      <c r="J2" s="140" t="s">
        <v>336</v>
      </c>
      <c r="K2" s="106"/>
      <c r="L2" s="1"/>
    </row>
    <row r="3" spans="1:12" x14ac:dyDescent="0.35">
      <c r="A3" s="1"/>
      <c r="C3" s="94" t="s">
        <v>225</v>
      </c>
      <c r="D3" s="94" t="s">
        <v>279</v>
      </c>
      <c r="E3" s="108" t="s">
        <v>223</v>
      </c>
      <c r="F3" s="108" t="s">
        <v>280</v>
      </c>
      <c r="G3" s="108" t="s">
        <v>224</v>
      </c>
      <c r="H3" s="146" t="s">
        <v>360</v>
      </c>
      <c r="I3" s="1"/>
      <c r="J3" s="109" t="s">
        <v>281</v>
      </c>
      <c r="K3" s="106"/>
      <c r="L3" s="1"/>
    </row>
    <row r="4" spans="1:12" x14ac:dyDescent="0.35">
      <c r="A4" s="97" t="str">
        <f t="shared" ref="A4:A35" si="0">TEXT(ISEVEN(E4),0)</f>
        <v>FALSO</v>
      </c>
      <c r="C4" s="176" t="s">
        <v>365</v>
      </c>
      <c r="D4" s="176" t="s">
        <v>369</v>
      </c>
      <c r="E4" s="98">
        <f>IF(C4="","",COUNTA(C$4:C4))</f>
        <v>1</v>
      </c>
      <c r="F4" s="110" t="s">
        <v>282</v>
      </c>
      <c r="G4" s="110" t="s">
        <v>374</v>
      </c>
      <c r="H4" s="147" t="s">
        <v>340</v>
      </c>
      <c r="I4" s="1"/>
      <c r="J4" s="111" t="s">
        <v>259</v>
      </c>
      <c r="K4" s="106"/>
      <c r="L4" s="1"/>
    </row>
    <row r="5" spans="1:12" x14ac:dyDescent="0.35">
      <c r="A5" s="97" t="str">
        <f t="shared" si="0"/>
        <v>VERDADERO</v>
      </c>
      <c r="C5" s="176" t="s">
        <v>383</v>
      </c>
      <c r="D5" s="176" t="s">
        <v>561</v>
      </c>
      <c r="E5" s="98">
        <f>IF(C5="","",COUNTA(C$4:C5))</f>
        <v>2</v>
      </c>
      <c r="F5" s="110" t="s">
        <v>282</v>
      </c>
      <c r="G5" s="110" t="s">
        <v>375</v>
      </c>
      <c r="H5" s="147" t="s">
        <v>341</v>
      </c>
      <c r="I5" s="1"/>
      <c r="J5" s="111" t="s">
        <v>260</v>
      </c>
      <c r="K5" s="106"/>
      <c r="L5" s="1"/>
    </row>
    <row r="6" spans="1:12" x14ac:dyDescent="0.35">
      <c r="A6" s="97" t="str">
        <f t="shared" si="0"/>
        <v>FALSO</v>
      </c>
      <c r="C6" s="176" t="s">
        <v>384</v>
      </c>
      <c r="D6" s="176" t="s">
        <v>562</v>
      </c>
      <c r="E6" s="98">
        <f>IF(C6="","",COUNTA(C$4:C6))</f>
        <v>3</v>
      </c>
      <c r="F6" s="110" t="s">
        <v>282</v>
      </c>
      <c r="G6" s="110" t="s">
        <v>305</v>
      </c>
      <c r="H6" s="147" t="s">
        <v>342</v>
      </c>
      <c r="I6" s="1"/>
      <c r="J6" s="111" t="s">
        <v>261</v>
      </c>
      <c r="K6" s="106"/>
      <c r="L6" s="1"/>
    </row>
    <row r="7" spans="1:12" x14ac:dyDescent="0.35">
      <c r="A7" s="97" t="str">
        <f t="shared" si="0"/>
        <v>VERDADERO</v>
      </c>
      <c r="C7" s="176" t="s">
        <v>274</v>
      </c>
      <c r="D7" s="176" t="s">
        <v>399</v>
      </c>
      <c r="E7" s="98">
        <f>IF(C7="","",COUNTA(C$4:C7))</f>
        <v>4</v>
      </c>
      <c r="F7" s="110" t="s">
        <v>282</v>
      </c>
      <c r="G7" s="110" t="s">
        <v>307</v>
      </c>
      <c r="H7" s="147" t="s">
        <v>343</v>
      </c>
      <c r="I7" s="1"/>
      <c r="J7" s="111" t="s">
        <v>263</v>
      </c>
      <c r="K7" s="106"/>
      <c r="L7" s="1"/>
    </row>
    <row r="8" spans="1:12" x14ac:dyDescent="0.35">
      <c r="A8" s="97" t="str">
        <f t="shared" si="0"/>
        <v>FALSO</v>
      </c>
      <c r="C8" s="176" t="s">
        <v>385</v>
      </c>
      <c r="D8" s="176" t="s">
        <v>400</v>
      </c>
      <c r="E8" s="98">
        <f>IF(C8="","",COUNTA(C$4:C8))</f>
        <v>5</v>
      </c>
      <c r="F8" s="110" t="s">
        <v>283</v>
      </c>
      <c r="G8" s="110" t="s">
        <v>378</v>
      </c>
      <c r="H8" s="147" t="s">
        <v>347</v>
      </c>
      <c r="I8" s="1"/>
      <c r="J8" s="111"/>
      <c r="K8" s="106"/>
      <c r="L8" s="1"/>
    </row>
    <row r="9" spans="1:12" x14ac:dyDescent="0.35">
      <c r="A9" s="97" t="str">
        <f t="shared" si="0"/>
        <v>VERDADERO</v>
      </c>
      <c r="C9" s="176" t="s">
        <v>366</v>
      </c>
      <c r="D9" s="176" t="s">
        <v>370</v>
      </c>
      <c r="E9" s="98">
        <f>IF(C9="","",COUNTA(C$4:C9))</f>
        <v>6</v>
      </c>
      <c r="F9" s="110" t="s">
        <v>283</v>
      </c>
      <c r="G9" s="110" t="s">
        <v>379</v>
      </c>
      <c r="H9" s="147" t="s">
        <v>347</v>
      </c>
      <c r="I9" s="1"/>
      <c r="K9" s="106"/>
      <c r="L9" s="1"/>
    </row>
    <row r="10" spans="1:12" x14ac:dyDescent="0.35">
      <c r="A10" s="97" t="str">
        <f t="shared" si="0"/>
        <v>FALSO</v>
      </c>
      <c r="C10" s="176" t="s">
        <v>386</v>
      </c>
      <c r="D10" s="176" t="s">
        <v>275</v>
      </c>
      <c r="E10" s="98">
        <f>IF(C10="","",COUNTA(C$4:C10))</f>
        <v>7</v>
      </c>
      <c r="F10" s="110" t="s">
        <v>283</v>
      </c>
      <c r="G10" s="110" t="s">
        <v>415</v>
      </c>
      <c r="H10" s="147" t="s">
        <v>347</v>
      </c>
      <c r="I10" s="1"/>
      <c r="K10" s="106"/>
      <c r="L10" s="1"/>
    </row>
    <row r="11" spans="1:12" x14ac:dyDescent="0.35">
      <c r="A11" s="97" t="str">
        <f t="shared" si="0"/>
        <v>VERDADERO</v>
      </c>
      <c r="C11" s="176" t="s">
        <v>387</v>
      </c>
      <c r="D11" s="176" t="s">
        <v>401</v>
      </c>
      <c r="E11" s="98">
        <f>IF(C11="","",COUNTA(C$4:C11))</f>
        <v>8</v>
      </c>
      <c r="F11" s="110" t="s">
        <v>283</v>
      </c>
      <c r="G11" s="110" t="s">
        <v>371</v>
      </c>
      <c r="H11" s="147" t="s">
        <v>347</v>
      </c>
      <c r="I11" s="1"/>
      <c r="J11" s="111"/>
      <c r="K11" s="106"/>
      <c r="L11" s="1"/>
    </row>
    <row r="12" spans="1:12" x14ac:dyDescent="0.35">
      <c r="A12" s="97" t="str">
        <f t="shared" si="0"/>
        <v>FALSO</v>
      </c>
      <c r="C12" s="176" t="s">
        <v>14</v>
      </c>
      <c r="D12" s="176" t="s">
        <v>402</v>
      </c>
      <c r="E12" s="98">
        <f>IF(C12="","",COUNTA(C$4:C12))</f>
        <v>9</v>
      </c>
      <c r="F12" s="110" t="s">
        <v>283</v>
      </c>
      <c r="G12" s="110" t="s">
        <v>308</v>
      </c>
      <c r="H12" s="147" t="s">
        <v>347</v>
      </c>
      <c r="I12" s="1"/>
      <c r="J12" s="112"/>
      <c r="K12" s="106"/>
      <c r="L12" s="1"/>
    </row>
    <row r="13" spans="1:12" x14ac:dyDescent="0.35">
      <c r="A13" s="97" t="str">
        <f t="shared" si="0"/>
        <v>VERDADERO</v>
      </c>
      <c r="C13" s="176" t="s">
        <v>262</v>
      </c>
      <c r="D13" s="176" t="s">
        <v>403</v>
      </c>
      <c r="E13" s="98">
        <f>IF(C13="","",COUNTA(C$4:C13))</f>
        <v>10</v>
      </c>
      <c r="F13" s="110" t="s">
        <v>283</v>
      </c>
      <c r="G13" s="110" t="s">
        <v>304</v>
      </c>
      <c r="H13" s="147" t="s">
        <v>347</v>
      </c>
      <c r="I13" s="1"/>
      <c r="J13" s="112"/>
      <c r="K13" s="112"/>
      <c r="L13" s="1"/>
    </row>
    <row r="14" spans="1:12" x14ac:dyDescent="0.35">
      <c r="A14" s="97" t="str">
        <f t="shared" si="0"/>
        <v>FALSO</v>
      </c>
      <c r="C14" s="176" t="s">
        <v>388</v>
      </c>
      <c r="D14" s="176" t="s">
        <v>561</v>
      </c>
      <c r="E14" s="98">
        <f>IF(C14="","",COUNTA(C$4:C14))</f>
        <v>11</v>
      </c>
      <c r="F14" s="110" t="s">
        <v>283</v>
      </c>
      <c r="G14" s="110" t="s">
        <v>372</v>
      </c>
      <c r="H14" s="147" t="s">
        <v>347</v>
      </c>
      <c r="I14" s="1"/>
      <c r="J14" s="112"/>
      <c r="K14" s="112"/>
      <c r="L14" s="1"/>
    </row>
    <row r="15" spans="1:12" x14ac:dyDescent="0.35">
      <c r="A15" s="97" t="str">
        <f t="shared" si="0"/>
        <v>VERDADERO</v>
      </c>
      <c r="C15" s="176" t="s">
        <v>389</v>
      </c>
      <c r="D15" s="176" t="s">
        <v>404</v>
      </c>
      <c r="E15" s="98">
        <f>IF(C15="","",COUNTA(C$4:C15))</f>
        <v>12</v>
      </c>
      <c r="F15" s="110" t="s">
        <v>283</v>
      </c>
      <c r="G15" s="110" t="s">
        <v>416</v>
      </c>
      <c r="H15" s="147" t="s">
        <v>347</v>
      </c>
      <c r="I15" s="1"/>
      <c r="J15" s="112"/>
      <c r="K15" s="112"/>
      <c r="L15" s="1"/>
    </row>
    <row r="16" spans="1:12" x14ac:dyDescent="0.35">
      <c r="A16" s="97" t="str">
        <f t="shared" si="0"/>
        <v>FALSO</v>
      </c>
      <c r="C16" s="176" t="s">
        <v>390</v>
      </c>
      <c r="D16" s="176" t="s">
        <v>405</v>
      </c>
      <c r="E16" s="98">
        <f>IF(C16="","",COUNTA(C$4:C16))</f>
        <v>13</v>
      </c>
      <c r="F16" s="110" t="s">
        <v>283</v>
      </c>
      <c r="G16" s="110" t="s">
        <v>376</v>
      </c>
      <c r="H16" s="147" t="s">
        <v>347</v>
      </c>
      <c r="I16" s="1"/>
      <c r="J16" s="112"/>
      <c r="K16" s="112"/>
      <c r="L16" s="1"/>
    </row>
    <row r="17" spans="1:12" x14ac:dyDescent="0.35">
      <c r="A17" s="97" t="str">
        <f t="shared" si="0"/>
        <v>VERDADERO</v>
      </c>
      <c r="C17" s="176" t="s">
        <v>276</v>
      </c>
      <c r="D17" s="176" t="s">
        <v>406</v>
      </c>
      <c r="E17" s="98">
        <f>IF(C17="","",COUNTA(C$4:C17))</f>
        <v>14</v>
      </c>
      <c r="F17" s="110" t="s">
        <v>283</v>
      </c>
      <c r="G17" s="110" t="s">
        <v>306</v>
      </c>
      <c r="H17" s="147" t="s">
        <v>347</v>
      </c>
      <c r="I17" s="1"/>
      <c r="J17" s="112"/>
      <c r="K17" s="112"/>
      <c r="L17" s="1"/>
    </row>
    <row r="18" spans="1:12" x14ac:dyDescent="0.35">
      <c r="A18" s="97" t="str">
        <f t="shared" si="0"/>
        <v>FALSO</v>
      </c>
      <c r="C18" s="176" t="s">
        <v>239</v>
      </c>
      <c r="D18" s="176" t="s">
        <v>563</v>
      </c>
      <c r="E18" s="98">
        <f>IF(C18="","",COUNTA(C$4:C18))</f>
        <v>15</v>
      </c>
      <c r="F18" s="110" t="s">
        <v>283</v>
      </c>
      <c r="G18" s="110" t="s">
        <v>301</v>
      </c>
      <c r="H18" s="147" t="s">
        <v>347</v>
      </c>
      <c r="I18" s="1"/>
      <c r="J18" s="112"/>
      <c r="K18" s="112"/>
      <c r="L18" s="1"/>
    </row>
    <row r="19" spans="1:12" x14ac:dyDescent="0.35">
      <c r="A19" s="97" t="str">
        <f t="shared" si="0"/>
        <v>VERDADERO</v>
      </c>
      <c r="C19" s="176" t="s">
        <v>364</v>
      </c>
      <c r="D19" s="176" t="s">
        <v>564</v>
      </c>
      <c r="E19" s="98">
        <f>IF(C19="","",COUNTA(C$4:C19))</f>
        <v>16</v>
      </c>
      <c r="F19" s="110" t="s">
        <v>283</v>
      </c>
      <c r="G19" s="110" t="s">
        <v>417</v>
      </c>
      <c r="H19" s="147" t="s">
        <v>347</v>
      </c>
      <c r="I19" s="1"/>
      <c r="J19" s="112"/>
      <c r="K19" s="112"/>
      <c r="L19" s="1"/>
    </row>
    <row r="20" spans="1:12" x14ac:dyDescent="0.35">
      <c r="A20" s="97" t="str">
        <f t="shared" si="0"/>
        <v>FALSO</v>
      </c>
      <c r="C20" s="176" t="s">
        <v>391</v>
      </c>
      <c r="D20" s="176" t="s">
        <v>565</v>
      </c>
      <c r="E20" s="98">
        <f>IF(C20="","",COUNTA(C$4:C20))</f>
        <v>17</v>
      </c>
      <c r="F20" s="110" t="s">
        <v>283</v>
      </c>
      <c r="G20" s="110" t="s">
        <v>377</v>
      </c>
      <c r="H20" s="147" t="s">
        <v>347</v>
      </c>
      <c r="I20" s="1"/>
      <c r="J20" s="112"/>
      <c r="K20" s="112"/>
      <c r="L20" s="1"/>
    </row>
    <row r="21" spans="1:12" x14ac:dyDescent="0.35">
      <c r="A21" s="97" t="str">
        <f t="shared" si="0"/>
        <v>VERDADERO</v>
      </c>
      <c r="C21" s="176" t="s">
        <v>367</v>
      </c>
      <c r="D21" s="176" t="s">
        <v>566</v>
      </c>
      <c r="E21" s="98">
        <f>IF(C21="","",COUNTA(C$4:C21))</f>
        <v>18</v>
      </c>
      <c r="F21" s="110" t="s">
        <v>283</v>
      </c>
      <c r="G21" s="110" t="s">
        <v>309</v>
      </c>
      <c r="H21" s="147" t="s">
        <v>347</v>
      </c>
      <c r="I21" s="1"/>
      <c r="J21" s="112"/>
      <c r="K21" s="112"/>
      <c r="L21" s="1"/>
    </row>
    <row r="22" spans="1:12" x14ac:dyDescent="0.35">
      <c r="A22" s="97" t="str">
        <f t="shared" si="0"/>
        <v>FALSO</v>
      </c>
      <c r="C22" s="176" t="s">
        <v>392</v>
      </c>
      <c r="D22" s="176" t="s">
        <v>567</v>
      </c>
      <c r="E22" s="98">
        <f>IF(C22="","",COUNTA(C$4:C22))</f>
        <v>19</v>
      </c>
      <c r="F22" s="110" t="s">
        <v>282</v>
      </c>
      <c r="G22" s="110" t="s">
        <v>310</v>
      </c>
      <c r="H22" s="147" t="s">
        <v>346</v>
      </c>
      <c r="I22" s="1"/>
      <c r="J22" s="112"/>
      <c r="K22" s="112"/>
      <c r="L22" s="1"/>
    </row>
    <row r="23" spans="1:12" x14ac:dyDescent="0.35">
      <c r="A23" s="97" t="str">
        <f t="shared" si="0"/>
        <v>VERDADERO</v>
      </c>
      <c r="C23" s="176" t="s">
        <v>393</v>
      </c>
      <c r="D23" s="176" t="s">
        <v>407</v>
      </c>
      <c r="E23" s="98">
        <f>IF(C23="","",COUNTA(C$4:C23))</f>
        <v>20</v>
      </c>
      <c r="F23" s="110" t="s">
        <v>282</v>
      </c>
      <c r="G23" s="110" t="s">
        <v>380</v>
      </c>
      <c r="H23" s="147" t="s">
        <v>344</v>
      </c>
      <c r="I23" s="1"/>
      <c r="J23" s="112"/>
      <c r="K23" s="112"/>
      <c r="L23" s="1"/>
    </row>
    <row r="24" spans="1:12" x14ac:dyDescent="0.35">
      <c r="A24" s="97" t="str">
        <f t="shared" si="0"/>
        <v>FALSO</v>
      </c>
      <c r="C24" s="176" t="s">
        <v>394</v>
      </c>
      <c r="D24" s="176" t="s">
        <v>408</v>
      </c>
      <c r="E24" s="98">
        <f>IF(C24="","",COUNTA(C$4:C24))</f>
        <v>21</v>
      </c>
      <c r="F24" s="110" t="s">
        <v>282</v>
      </c>
      <c r="G24" s="110" t="s">
        <v>414</v>
      </c>
      <c r="H24" s="147" t="s">
        <v>345</v>
      </c>
      <c r="I24" s="1"/>
      <c r="J24" s="112"/>
      <c r="K24" s="112"/>
      <c r="L24" s="1"/>
    </row>
    <row r="25" spans="1:12" x14ac:dyDescent="0.35">
      <c r="A25" s="97" t="str">
        <f t="shared" si="0"/>
        <v>VERDADERO</v>
      </c>
      <c r="C25" s="176" t="s">
        <v>395</v>
      </c>
      <c r="D25" s="176" t="s">
        <v>409</v>
      </c>
      <c r="E25" s="98">
        <f>IF(C25="","",COUNTA(C$4:C25))</f>
        <v>22</v>
      </c>
      <c r="F25" s="110" t="s">
        <v>282</v>
      </c>
      <c r="G25" s="110" t="s">
        <v>381</v>
      </c>
      <c r="H25" s="147" t="s">
        <v>348</v>
      </c>
      <c r="I25" s="1"/>
      <c r="J25" s="112"/>
      <c r="K25" s="112"/>
      <c r="L25" s="1"/>
    </row>
    <row r="26" spans="1:12" ht="25" x14ac:dyDescent="0.35">
      <c r="A26" s="97" t="str">
        <f t="shared" si="0"/>
        <v>FALSO</v>
      </c>
      <c r="C26" s="176" t="s">
        <v>15</v>
      </c>
      <c r="D26" s="367" t="s">
        <v>568</v>
      </c>
      <c r="E26" s="98">
        <f>IF(C26="","",COUNTA(C$4:C26))</f>
        <v>23</v>
      </c>
      <c r="F26" s="110" t="s">
        <v>282</v>
      </c>
      <c r="G26" s="110" t="s">
        <v>302</v>
      </c>
      <c r="H26" s="147" t="s">
        <v>352</v>
      </c>
      <c r="I26" s="1"/>
      <c r="J26" s="112"/>
      <c r="K26" s="112"/>
      <c r="L26" s="1"/>
    </row>
    <row r="27" spans="1:12" x14ac:dyDescent="0.35">
      <c r="A27" s="97" t="str">
        <f t="shared" si="0"/>
        <v>VERDADERO</v>
      </c>
      <c r="C27" s="176" t="s">
        <v>396</v>
      </c>
      <c r="D27" s="176" t="s">
        <v>277</v>
      </c>
      <c r="E27" s="98">
        <f>IF(C27="","",COUNTA(C$4:C27))</f>
        <v>24</v>
      </c>
      <c r="F27" s="110" t="s">
        <v>282</v>
      </c>
      <c r="G27" s="110" t="s">
        <v>382</v>
      </c>
      <c r="H27" s="147" t="s">
        <v>355</v>
      </c>
      <c r="J27" s="112"/>
      <c r="K27" s="112"/>
    </row>
    <row r="28" spans="1:12" x14ac:dyDescent="0.35">
      <c r="A28" s="97" t="str">
        <f t="shared" si="0"/>
        <v>FALSO</v>
      </c>
      <c r="C28" s="176" t="s">
        <v>368</v>
      </c>
      <c r="D28" s="176" t="s">
        <v>569</v>
      </c>
      <c r="E28" s="98">
        <f>IF(C28="","",COUNTA(C$4:C28))</f>
        <v>25</v>
      </c>
      <c r="F28" s="110" t="s">
        <v>282</v>
      </c>
      <c r="G28" s="110" t="s">
        <v>303</v>
      </c>
      <c r="H28" s="147" t="s">
        <v>354</v>
      </c>
      <c r="J28" s="112"/>
      <c r="K28" s="112"/>
    </row>
    <row r="29" spans="1:12" x14ac:dyDescent="0.35">
      <c r="A29" s="97"/>
      <c r="C29" s="176" t="s">
        <v>226</v>
      </c>
      <c r="D29" s="176" t="s">
        <v>560</v>
      </c>
      <c r="E29" s="98">
        <f>IF(C29="","",COUNTA(C$4:C29))</f>
        <v>26</v>
      </c>
      <c r="F29" s="110" t="s">
        <v>282</v>
      </c>
      <c r="G29" s="110" t="s">
        <v>373</v>
      </c>
      <c r="H29" s="147"/>
      <c r="J29" s="112"/>
      <c r="K29" s="112"/>
    </row>
    <row r="30" spans="1:12" x14ac:dyDescent="0.35">
      <c r="A30" s="97" t="str">
        <f t="shared" si="0"/>
        <v>FALSO</v>
      </c>
      <c r="C30" s="176" t="s">
        <v>554</v>
      </c>
      <c r="D30" s="176" t="s">
        <v>410</v>
      </c>
      <c r="E30" s="98">
        <f>IF(C30="","",COUNTA(C$4:C30))</f>
        <v>27</v>
      </c>
      <c r="F30" s="110" t="s">
        <v>283</v>
      </c>
      <c r="G30" s="110" t="s">
        <v>418</v>
      </c>
      <c r="H30" s="147" t="s">
        <v>350</v>
      </c>
      <c r="J30" s="112"/>
      <c r="K30" s="112"/>
    </row>
    <row r="31" spans="1:12" x14ac:dyDescent="0.35">
      <c r="A31" s="97" t="str">
        <f t="shared" si="0"/>
        <v>VERDADERO</v>
      </c>
      <c r="C31" s="176" t="s">
        <v>555</v>
      </c>
      <c r="D31" s="176" t="s">
        <v>570</v>
      </c>
      <c r="E31" s="98">
        <f>IF(C31="","",COUNTA(C$4:C31))</f>
        <v>28</v>
      </c>
      <c r="F31" s="110" t="s">
        <v>283</v>
      </c>
      <c r="G31" s="110" t="s">
        <v>419</v>
      </c>
      <c r="H31" s="147" t="s">
        <v>351</v>
      </c>
      <c r="J31" s="112"/>
      <c r="K31" s="112"/>
    </row>
    <row r="32" spans="1:12" x14ac:dyDescent="0.35">
      <c r="A32" s="97" t="str">
        <f t="shared" si="0"/>
        <v>FALSO</v>
      </c>
      <c r="C32" s="176" t="s">
        <v>556</v>
      </c>
      <c r="D32" s="176" t="s">
        <v>571</v>
      </c>
      <c r="E32" s="98">
        <f>IF(C32="","",COUNTA(C$4:C32))</f>
        <v>29</v>
      </c>
      <c r="F32" s="110" t="s">
        <v>283</v>
      </c>
      <c r="G32" s="110" t="s">
        <v>420</v>
      </c>
      <c r="H32" s="147" t="s">
        <v>349</v>
      </c>
      <c r="J32" s="112"/>
      <c r="K32" s="112"/>
    </row>
    <row r="33" spans="1:13" x14ac:dyDescent="0.35">
      <c r="A33" s="97" t="str">
        <f t="shared" si="0"/>
        <v>VERDADERO</v>
      </c>
      <c r="C33" s="176" t="s">
        <v>557</v>
      </c>
      <c r="D33" s="176" t="s">
        <v>572</v>
      </c>
      <c r="E33" s="98">
        <f>IF(C33="","",COUNTA(C$4:C33))</f>
        <v>30</v>
      </c>
      <c r="F33" s="110" t="s">
        <v>283</v>
      </c>
      <c r="G33" s="110" t="s">
        <v>421</v>
      </c>
      <c r="H33" s="147" t="s">
        <v>353</v>
      </c>
      <c r="J33" s="112"/>
      <c r="K33" s="112"/>
    </row>
    <row r="34" spans="1:13" x14ac:dyDescent="0.35">
      <c r="A34" s="97" t="str">
        <f t="shared" si="0"/>
        <v>FALSO</v>
      </c>
      <c r="C34" s="176" t="s">
        <v>558</v>
      </c>
      <c r="D34" s="176" t="s">
        <v>573</v>
      </c>
      <c r="E34" s="98">
        <f>IF(C34="","",COUNTA(C$4:C34))</f>
        <v>31</v>
      </c>
      <c r="F34" s="110" t="s">
        <v>283</v>
      </c>
      <c r="G34" s="110" t="s">
        <v>422</v>
      </c>
      <c r="H34" s="147" t="s">
        <v>356</v>
      </c>
      <c r="J34" s="112"/>
      <c r="K34" s="112"/>
    </row>
    <row r="35" spans="1:13" x14ac:dyDescent="0.35">
      <c r="A35" s="97" t="str">
        <f t="shared" si="0"/>
        <v>VERDADERO</v>
      </c>
      <c r="C35" s="176" t="s">
        <v>559</v>
      </c>
      <c r="D35" s="176" t="s">
        <v>574</v>
      </c>
      <c r="E35" s="98">
        <f>IF(C35="","",COUNTA(C$4:C35))</f>
        <v>32</v>
      </c>
      <c r="F35" s="110" t="s">
        <v>283</v>
      </c>
      <c r="G35" s="110" t="s">
        <v>423</v>
      </c>
      <c r="H35" s="148"/>
      <c r="J35" s="112"/>
      <c r="K35" s="112"/>
    </row>
    <row r="36" spans="1:13" x14ac:dyDescent="0.35">
      <c r="A36" s="97"/>
      <c r="C36" s="365" t="s">
        <v>227</v>
      </c>
      <c r="D36" s="365" t="s">
        <v>264</v>
      </c>
      <c r="E36" s="212">
        <f>IF(C36="","",COUNTA(C$4:C36))</f>
        <v>33</v>
      </c>
      <c r="F36" s="366" t="s">
        <v>282</v>
      </c>
      <c r="G36" s="366" t="s">
        <v>424</v>
      </c>
      <c r="H36" s="112"/>
      <c r="I36" s="97"/>
      <c r="J36" s="112"/>
      <c r="K36" s="112"/>
      <c r="L36" s="97"/>
    </row>
    <row r="37" spans="1:13" x14ac:dyDescent="0.35">
      <c r="A37" s="97"/>
      <c r="C37" s="365" t="s">
        <v>228</v>
      </c>
      <c r="D37" s="365" t="s">
        <v>265</v>
      </c>
      <c r="E37" s="212">
        <f>IF(C37="","",COUNTA(C$4:C37))</f>
        <v>34</v>
      </c>
      <c r="F37" s="366" t="s">
        <v>282</v>
      </c>
      <c r="G37" s="366" t="s">
        <v>425</v>
      </c>
      <c r="H37" s="148"/>
      <c r="J37" s="112"/>
      <c r="K37" s="112"/>
    </row>
    <row r="38" spans="1:13" s="102" customFormat="1" x14ac:dyDescent="0.35">
      <c r="A38" s="97"/>
      <c r="C38" s="365" t="s">
        <v>229</v>
      </c>
      <c r="D38" s="365" t="s">
        <v>266</v>
      </c>
      <c r="E38" s="212">
        <f>IF(C38="","",COUNTA(C$4:C38))</f>
        <v>35</v>
      </c>
      <c r="F38" s="366" t="s">
        <v>282</v>
      </c>
      <c r="G38" s="366" t="s">
        <v>426</v>
      </c>
      <c r="H38" s="148"/>
      <c r="J38" s="112"/>
      <c r="K38" s="112"/>
      <c r="M38"/>
    </row>
    <row r="39" spans="1:13" s="102" customFormat="1" x14ac:dyDescent="0.35">
      <c r="C39" s="365" t="s">
        <v>230</v>
      </c>
      <c r="D39" s="365" t="s">
        <v>411</v>
      </c>
      <c r="E39" s="212">
        <f>IF(C39="","",COUNTA(C$4:C39))</f>
        <v>36</v>
      </c>
      <c r="F39" s="366" t="s">
        <v>282</v>
      </c>
      <c r="G39" s="366" t="s">
        <v>427</v>
      </c>
      <c r="H39" s="106"/>
      <c r="J39" s="112"/>
      <c r="K39" s="112"/>
      <c r="M39"/>
    </row>
    <row r="40" spans="1:13" x14ac:dyDescent="0.35">
      <c r="C40" s="365" t="s">
        <v>231</v>
      </c>
      <c r="D40" s="365" t="s">
        <v>267</v>
      </c>
      <c r="E40" s="212">
        <f>IF(C40="","",COUNTA(C$4:C40))</f>
        <v>37</v>
      </c>
      <c r="F40" s="366" t="s">
        <v>282</v>
      </c>
      <c r="G40" s="366" t="s">
        <v>428</v>
      </c>
      <c r="J40" s="112"/>
      <c r="K40" s="112"/>
    </row>
    <row r="41" spans="1:13" x14ac:dyDescent="0.35">
      <c r="C41" s="365" t="s">
        <v>232</v>
      </c>
      <c r="D41" s="365" t="s">
        <v>412</v>
      </c>
      <c r="E41" s="212">
        <f>IF(C41="","",COUNTA(C$4:C41))</f>
        <v>38</v>
      </c>
      <c r="F41" s="366" t="s">
        <v>282</v>
      </c>
      <c r="G41" s="366" t="s">
        <v>429</v>
      </c>
      <c r="J41" s="112"/>
      <c r="K41" s="112"/>
    </row>
    <row r="42" spans="1:13" x14ac:dyDescent="0.35">
      <c r="C42" s="365" t="s">
        <v>397</v>
      </c>
      <c r="D42" s="365" t="s">
        <v>413</v>
      </c>
      <c r="E42" s="212">
        <f>IF(C42="","",COUNTA(C$4:C42))</f>
        <v>39</v>
      </c>
      <c r="F42" s="366" t="s">
        <v>282</v>
      </c>
      <c r="G42" s="366" t="s">
        <v>430</v>
      </c>
    </row>
    <row r="43" spans="1:13" x14ac:dyDescent="0.35">
      <c r="C43" s="365" t="s">
        <v>233</v>
      </c>
      <c r="D43" s="365" t="s">
        <v>268</v>
      </c>
      <c r="E43" s="212">
        <f>IF(C43="","",COUNTA(C$4:C43))</f>
        <v>40</v>
      </c>
      <c r="F43" s="366" t="s">
        <v>282</v>
      </c>
      <c r="G43" s="366" t="s">
        <v>431</v>
      </c>
      <c r="J43" s="99"/>
    </row>
    <row r="44" spans="1:13" x14ac:dyDescent="0.35">
      <c r="C44" s="365" t="s">
        <v>234</v>
      </c>
      <c r="D44" s="365" t="s">
        <v>269</v>
      </c>
      <c r="E44" s="212">
        <v>44</v>
      </c>
      <c r="F44" s="366" t="s">
        <v>282</v>
      </c>
      <c r="G44" s="366" t="s">
        <v>432</v>
      </c>
      <c r="J44" s="175"/>
    </row>
    <row r="45" spans="1:13" x14ac:dyDescent="0.35">
      <c r="C45" s="365" t="s">
        <v>235</v>
      </c>
      <c r="D45" s="365" t="s">
        <v>270</v>
      </c>
      <c r="E45" s="212">
        <f>IF(C45="","",COUNTA(C$4:C45))</f>
        <v>42</v>
      </c>
      <c r="F45" s="366" t="s">
        <v>282</v>
      </c>
      <c r="G45" s="366" t="s">
        <v>433</v>
      </c>
    </row>
    <row r="46" spans="1:13" x14ac:dyDescent="0.35">
      <c r="C46" s="365" t="s">
        <v>236</v>
      </c>
      <c r="D46" s="365" t="s">
        <v>271</v>
      </c>
      <c r="E46" s="212">
        <f>IF(C46="","",COUNTA(C$4:C46))</f>
        <v>43</v>
      </c>
      <c r="F46" s="366" t="s">
        <v>282</v>
      </c>
      <c r="G46" s="366" t="s">
        <v>434</v>
      </c>
    </row>
    <row r="47" spans="1:13" x14ac:dyDescent="0.35">
      <c r="C47" s="365" t="s">
        <v>237</v>
      </c>
      <c r="D47" s="365" t="s">
        <v>272</v>
      </c>
      <c r="E47" s="212">
        <f>IF(C47="","",COUNTA(C$4:C47))</f>
        <v>44</v>
      </c>
      <c r="F47" s="366" t="s">
        <v>282</v>
      </c>
      <c r="G47" s="366" t="s">
        <v>435</v>
      </c>
    </row>
    <row r="48" spans="1:13" x14ac:dyDescent="0.35">
      <c r="C48" s="365" t="s">
        <v>398</v>
      </c>
      <c r="D48" s="365" t="s">
        <v>273</v>
      </c>
      <c r="E48" s="212">
        <f>IF(C48="","",COUNTA(C$4:C48))</f>
        <v>45</v>
      </c>
      <c r="F48" s="366" t="s">
        <v>282</v>
      </c>
      <c r="G48" s="366" t="s">
        <v>436</v>
      </c>
    </row>
    <row r="49" spans="3:7" x14ac:dyDescent="0.35">
      <c r="C49" s="174"/>
      <c r="D49" s="99"/>
      <c r="E49" s="98"/>
      <c r="F49" s="110"/>
      <c r="G49" s="110"/>
    </row>
    <row r="50" spans="3:7" x14ac:dyDescent="0.35">
      <c r="C50" s="174"/>
      <c r="D50" s="100"/>
      <c r="E50" s="98"/>
      <c r="F50" s="110"/>
      <c r="G50" s="110"/>
    </row>
    <row r="51" spans="3:7" x14ac:dyDescent="0.35">
      <c r="C51" s="174"/>
      <c r="D51" s="99"/>
      <c r="E51" s="98"/>
      <c r="F51" s="110"/>
      <c r="G51" s="110"/>
    </row>
    <row r="52" spans="3:7" x14ac:dyDescent="0.35">
      <c r="C52" s="174"/>
      <c r="D52" s="99"/>
      <c r="E52" s="98"/>
      <c r="F52" s="110"/>
      <c r="G52" s="110"/>
    </row>
    <row r="53" spans="3:7" hidden="1" x14ac:dyDescent="0.35">
      <c r="C53" s="174"/>
      <c r="D53" s="99"/>
    </row>
    <row r="54" spans="3:7" hidden="1" x14ac:dyDescent="0.35">
      <c r="C54" s="174"/>
    </row>
    <row r="55" spans="3:7" hidden="1" x14ac:dyDescent="0.35">
      <c r="C55" s="174"/>
    </row>
    <row r="56" spans="3:7" hidden="1" x14ac:dyDescent="0.35">
      <c r="C56" s="174"/>
    </row>
    <row r="57" spans="3:7" hidden="1" x14ac:dyDescent="0.35">
      <c r="C57" s="174"/>
    </row>
    <row r="58" spans="3:7" hidden="1" x14ac:dyDescent="0.35">
      <c r="C58" s="174"/>
    </row>
    <row r="59" spans="3:7" hidden="1" x14ac:dyDescent="0.35">
      <c r="C59" s="174"/>
    </row>
    <row r="60" spans="3:7" x14ac:dyDescent="0.35"/>
    <row r="61" spans="3:7" x14ac:dyDescent="0.35"/>
    <row r="62" spans="3:7" x14ac:dyDescent="0.35"/>
    <row r="63" spans="3:7" x14ac:dyDescent="0.35"/>
  </sheetData>
  <autoFilter ref="B3:C38">
    <sortState ref="B4:C47">
      <sortCondition ref="C3:C47"/>
    </sortState>
  </autoFilter>
  <conditionalFormatting sqref="E4 J4 D49:D53 J43:J44 J11 J6:J8 E6:H24 E29 E31:E35">
    <cfRule type="expression" dxfId="99" priority="82">
      <formula>#REF!&gt;0</formula>
    </cfRule>
  </conditionalFormatting>
  <conditionalFormatting sqref="E5 J5 E30">
    <cfRule type="expression" dxfId="98" priority="81">
      <formula>#REF!&gt;0</formula>
    </cfRule>
  </conditionalFormatting>
  <conditionalFormatting sqref="E25">
    <cfRule type="expression" dxfId="97" priority="80">
      <formula>#REF!&gt;0</formula>
    </cfRule>
  </conditionalFormatting>
  <conditionalFormatting sqref="J4:J6 J11 G4:H30 E4:F52">
    <cfRule type="expression" dxfId="96" priority="79">
      <formula>$A4="VERDADERO"</formula>
    </cfRule>
  </conditionalFormatting>
  <conditionalFormatting sqref="E26:E30 E32:E52">
    <cfRule type="expression" dxfId="95" priority="78">
      <formula>#REF!&gt;0</formula>
    </cfRule>
  </conditionalFormatting>
  <conditionalFormatting sqref="E31">
    <cfRule type="expression" dxfId="94" priority="75">
      <formula>#REF!&gt;0</formula>
    </cfRule>
  </conditionalFormatting>
  <conditionalFormatting sqref="J11 J4:J8 G4:H30 E4:F52">
    <cfRule type="expression" dxfId="93" priority="83">
      <formula>#REF!="No"</formula>
    </cfRule>
    <cfRule type="expression" dxfId="92" priority="84">
      <formula>#REF!="Si"</formula>
    </cfRule>
  </conditionalFormatting>
  <conditionalFormatting sqref="F4">
    <cfRule type="expression" dxfId="91" priority="63">
      <formula>#REF!&gt;0</formula>
    </cfRule>
  </conditionalFormatting>
  <conditionalFormatting sqref="F5">
    <cfRule type="expression" dxfId="90" priority="62">
      <formula>#REF!&gt;0</formula>
    </cfRule>
  </conditionalFormatting>
  <conditionalFormatting sqref="F25">
    <cfRule type="expression" dxfId="89" priority="61">
      <formula>#REF!&gt;0</formula>
    </cfRule>
  </conditionalFormatting>
  <conditionalFormatting sqref="F26">
    <cfRule type="expression" dxfId="88" priority="59">
      <formula>#REF!&gt;0</formula>
    </cfRule>
  </conditionalFormatting>
  <conditionalFormatting sqref="F27 F30:F52">
    <cfRule type="expression" dxfId="87" priority="58">
      <formula>#REF!&gt;0</formula>
    </cfRule>
  </conditionalFormatting>
  <conditionalFormatting sqref="F31 F33 F28:F29">
    <cfRule type="expression" dxfId="86" priority="56">
      <formula>#REF!&gt;0</formula>
    </cfRule>
  </conditionalFormatting>
  <conditionalFormatting sqref="H31:H35 G31:G52">
    <cfRule type="expression" dxfId="85" priority="49">
      <formula>$A31="VERDADERO"</formula>
    </cfRule>
  </conditionalFormatting>
  <conditionalFormatting sqref="H31:H35 G31:G52">
    <cfRule type="expression" dxfId="84" priority="50">
      <formula>#REF!="No"</formula>
    </cfRule>
    <cfRule type="expression" dxfId="83" priority="51">
      <formula>#REF!="Si"</formula>
    </cfRule>
  </conditionalFormatting>
  <conditionalFormatting sqref="G4:H4">
    <cfRule type="expression" dxfId="82" priority="46">
      <formula>#REF!&gt;0</formula>
    </cfRule>
  </conditionalFormatting>
  <conditionalFormatting sqref="G5:H5">
    <cfRule type="expression" dxfId="81" priority="45">
      <formula>#REF!&gt;0</formula>
    </cfRule>
  </conditionalFormatting>
  <conditionalFormatting sqref="G25:H25">
    <cfRule type="expression" dxfId="80" priority="44">
      <formula>#REF!&gt;0</formula>
    </cfRule>
  </conditionalFormatting>
  <conditionalFormatting sqref="G26:H26">
    <cfRule type="expression" dxfId="79" priority="43">
      <formula>#REF!&gt;0</formula>
    </cfRule>
  </conditionalFormatting>
  <conditionalFormatting sqref="G27:H27 G30:H30 H32 H34:H35 G31:G52">
    <cfRule type="expression" dxfId="78" priority="42">
      <formula>#REF!&gt;0</formula>
    </cfRule>
  </conditionalFormatting>
  <conditionalFormatting sqref="H31 H33 G28:H29">
    <cfRule type="expression" dxfId="77" priority="41">
      <formula>#REF!&gt;0</formula>
    </cfRule>
  </conditionalFormatting>
  <conditionalFormatting sqref="H37:H38">
    <cfRule type="expression" dxfId="76" priority="40">
      <formula>$A37="VERDADERO"</formula>
    </cfRule>
  </conditionalFormatting>
  <conditionalFormatting sqref="H37">
    <cfRule type="expression" dxfId="75" priority="39">
      <formula>#REF!&gt;0</formula>
    </cfRule>
  </conditionalFormatting>
  <conditionalFormatting sqref="H37:H38">
    <cfRule type="expression" dxfId="74" priority="38">
      <formula>$A37="VERDADERO"</formula>
    </cfRule>
  </conditionalFormatting>
  <conditionalFormatting sqref="H38">
    <cfRule type="expression" dxfId="73" priority="37">
      <formula>#REF!&gt;0</formula>
    </cfRule>
  </conditionalFormatting>
  <conditionalFormatting sqref="H37:H38">
    <cfRule type="expression" dxfId="72" priority="47">
      <formula>#REF!="No"</formula>
    </cfRule>
    <cfRule type="expression" dxfId="71" priority="48">
      <formula>#REF!="Si"</formula>
    </cfRule>
  </conditionalFormatting>
  <conditionalFormatting sqref="D49:D51">
    <cfRule type="expression" dxfId="70" priority="125">
      <formula>$A18="VERDADERO"</formula>
    </cfRule>
  </conditionalFormatting>
  <conditionalFormatting sqref="J43:J44">
    <cfRule type="expression" dxfId="69" priority="145">
      <formula>$A15="VERDADERO"</formula>
    </cfRule>
  </conditionalFormatting>
  <conditionalFormatting sqref="D52:D53">
    <cfRule type="expression" dxfId="68" priority="159">
      <formula>$A20="VERDADERO"</formula>
    </cfRule>
  </conditionalFormatting>
  <conditionalFormatting sqref="J8">
    <cfRule type="expression" dxfId="67" priority="164">
      <formula>$A9="VERDADERO"</formula>
    </cfRule>
  </conditionalFormatting>
  <conditionalFormatting sqref="J7">
    <cfRule type="expression" dxfId="66" priority="172">
      <formula>$A10="VERDADERO"</formula>
    </cfRule>
  </conditionalFormatting>
  <printOptions horizontalCentered="1"/>
  <pageMargins left="0.23622047244094491" right="0.23622047244094491" top="0.74803149606299213" bottom="0.74803149606299213" header="0.31496062992125984" footer="0.31496062992125984"/>
  <pageSetup scale="90" orientation="landscape"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#REF!</xm:f>
          </x14:formula1>
          <xm:sqref>H4:H37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FO-GC-021</vt:lpstr>
      <vt:lpstr>Resumen AI</vt:lpstr>
      <vt:lpstr>Req. ISO 9001-2015</vt:lpstr>
      <vt:lpstr>Eq. Auditor (2025)</vt:lpstr>
      <vt:lpstr>Auditorias Prog.</vt:lpstr>
      <vt:lpstr>'Auditorias Prog.'!Área_de_impresión</vt:lpstr>
      <vt:lpstr>'Eq. Auditor (2025)'!Área_de_impresión</vt:lpstr>
      <vt:lpstr>'FO-GC-021'!Área_de_impresión</vt:lpstr>
      <vt:lpstr>'Req. ISO 9001-2015'!Área_de_impresión</vt:lpstr>
      <vt:lpstr>'Auditorias Prog.'!Títulos_a_imprimir</vt:lpstr>
      <vt:lpstr>'Eq. Auditor (2025)'!Títulos_a_imprimir</vt:lpstr>
      <vt:lpstr>'FO-GC-021'!Títulos_a_imprimir</vt:lpstr>
      <vt:lpstr>'Req. ISO 9001-2015'!Títulos_a_imprimir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cp:lastPrinted>2023-03-10T17:46:12Z</cp:lastPrinted>
  <dcterms:created xsi:type="dcterms:W3CDTF">2021-04-09T22:02:03Z</dcterms:created>
  <dcterms:modified xsi:type="dcterms:W3CDTF">2025-06-19T15:14:43Z</dcterms:modified>
  <cp:category/>
  <cp:contentStatus/>
</cp:coreProperties>
</file>