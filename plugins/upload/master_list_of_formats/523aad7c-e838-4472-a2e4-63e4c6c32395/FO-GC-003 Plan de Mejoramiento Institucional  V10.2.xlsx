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COORD.CALIDAD\OneDrive - Fundación Universitaria de Popayán\COORDINACIÓN CALIDAD - FUP\DOC-SGC-FUP\HERRAMIENTA  ISO CALIDAD 3\4.4 Gestión de Calidad\FO\"/>
    </mc:Choice>
  </mc:AlternateContent>
  <bookViews>
    <workbookView xWindow="0" yWindow="0" windowWidth="28800" windowHeight="11130" activeTab="1"/>
  </bookViews>
  <sheets>
    <sheet name="INSTRUCCIONES" sheetId="11" r:id="rId1"/>
    <sheet name="FO-GC-003" sheetId="9" r:id="rId2"/>
    <sheet name="ANÁLISIS 5PQs" sheetId="10" r:id="rId3"/>
    <sheet name="DATOS" sheetId="8" state="hidden" r:id="rId4"/>
  </sheets>
  <definedNames>
    <definedName name="_xlnm.Print_Area" localSheetId="2">'ANÁLISIS 5PQs'!$E$5:$AE$127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9" i="9" l="1"/>
  <c r="K9" i="10" l="1"/>
  <c r="G7" i="10"/>
  <c r="B112" i="10" l="1"/>
  <c r="B105" i="10"/>
  <c r="B98" i="10"/>
  <c r="B91" i="10"/>
  <c r="B84" i="10"/>
  <c r="B77" i="10"/>
  <c r="B70" i="10"/>
  <c r="B63" i="10"/>
  <c r="B56" i="10"/>
  <c r="B49" i="10"/>
  <c r="B42" i="10"/>
  <c r="B35" i="10"/>
  <c r="B28" i="10"/>
  <c r="B21" i="10"/>
  <c r="B14" i="10"/>
  <c r="L15" i="10" l="1"/>
  <c r="W110" i="10" l="1"/>
  <c r="S110" i="10"/>
  <c r="O110" i="10"/>
  <c r="K110" i="10"/>
  <c r="W103" i="10"/>
  <c r="S103" i="10"/>
  <c r="O103" i="10"/>
  <c r="K103" i="10"/>
  <c r="W96" i="10"/>
  <c r="S96" i="10"/>
  <c r="O96" i="10"/>
  <c r="K96" i="10"/>
  <c r="W89" i="10"/>
  <c r="S89" i="10"/>
  <c r="O89" i="10"/>
  <c r="K89" i="10"/>
  <c r="W82" i="10"/>
  <c r="S82" i="10"/>
  <c r="O82" i="10"/>
  <c r="K82" i="10"/>
  <c r="W75" i="10"/>
  <c r="S75" i="10"/>
  <c r="O75" i="10"/>
  <c r="K75" i="10"/>
  <c r="W68" i="10"/>
  <c r="S68" i="10"/>
  <c r="O68" i="10"/>
  <c r="K68" i="10"/>
  <c r="W61" i="10"/>
  <c r="S61" i="10"/>
  <c r="O61" i="10"/>
  <c r="K61" i="10"/>
  <c r="W54" i="10"/>
  <c r="S54" i="10"/>
  <c r="O54" i="10"/>
  <c r="K54" i="10"/>
  <c r="W47" i="10"/>
  <c r="S47" i="10"/>
  <c r="O47" i="10"/>
  <c r="K47" i="10"/>
  <c r="W40" i="10"/>
  <c r="S40" i="10"/>
  <c r="O40" i="10"/>
  <c r="K40" i="10"/>
  <c r="W33" i="10"/>
  <c r="S33" i="10"/>
  <c r="O33" i="10"/>
  <c r="K33" i="10"/>
  <c r="W26" i="10"/>
  <c r="S26" i="10"/>
  <c r="O26" i="10"/>
  <c r="K26" i="10"/>
  <c r="W19" i="10"/>
  <c r="S19" i="10"/>
  <c r="O19" i="10"/>
  <c r="K19" i="10"/>
  <c r="W12" i="10" l="1"/>
  <c r="S12" i="10"/>
  <c r="O12" i="10"/>
  <c r="K12" i="10"/>
  <c r="U127" i="10"/>
  <c r="U126" i="10" s="1"/>
  <c r="U125" i="10" s="1"/>
  <c r="Q127" i="10"/>
  <c r="Q126" i="10" s="1"/>
  <c r="Q125" i="10" s="1"/>
  <c r="M127" i="10"/>
  <c r="M126" i="10" s="1"/>
  <c r="M125" i="10" s="1"/>
  <c r="I127" i="10"/>
  <c r="I126" i="10" s="1"/>
  <c r="I125" i="10" s="1"/>
  <c r="V125" i="10"/>
  <c r="T125" i="10"/>
  <c r="R125" i="10"/>
  <c r="P125" i="10"/>
  <c r="N125" i="10"/>
  <c r="L125" i="10"/>
  <c r="J125" i="10"/>
  <c r="H125" i="10"/>
  <c r="V121" i="10"/>
  <c r="T121" i="10"/>
  <c r="R121" i="10"/>
  <c r="P121" i="10"/>
  <c r="N121" i="10"/>
  <c r="L121" i="10"/>
  <c r="J121" i="10"/>
  <c r="H121" i="10"/>
  <c r="V117" i="10"/>
  <c r="T117" i="10"/>
  <c r="R117" i="10"/>
  <c r="P117" i="10"/>
  <c r="N117" i="10"/>
  <c r="L117" i="10"/>
  <c r="J117" i="10"/>
  <c r="H117" i="10"/>
  <c r="V113" i="10"/>
  <c r="T113" i="10"/>
  <c r="R113" i="10"/>
  <c r="P113" i="10"/>
  <c r="N113" i="10"/>
  <c r="L113" i="10"/>
  <c r="J113" i="10"/>
  <c r="H113" i="10"/>
  <c r="V106" i="10"/>
  <c r="T106" i="10"/>
  <c r="R106" i="10"/>
  <c r="P106" i="10"/>
  <c r="N106" i="10"/>
  <c r="L106" i="10"/>
  <c r="J106" i="10"/>
  <c r="H106" i="10"/>
  <c r="V99" i="10"/>
  <c r="T99" i="10"/>
  <c r="R99" i="10"/>
  <c r="P99" i="10"/>
  <c r="N99" i="10"/>
  <c r="L99" i="10"/>
  <c r="J99" i="10"/>
  <c r="H99" i="10"/>
  <c r="V92" i="10"/>
  <c r="T92" i="10"/>
  <c r="R92" i="10"/>
  <c r="P92" i="10"/>
  <c r="N92" i="10"/>
  <c r="L92" i="10"/>
  <c r="J92" i="10"/>
  <c r="H92" i="10"/>
  <c r="V85" i="10"/>
  <c r="T85" i="10"/>
  <c r="R85" i="10"/>
  <c r="P85" i="10"/>
  <c r="N85" i="10"/>
  <c r="L85" i="10"/>
  <c r="J85" i="10"/>
  <c r="H85" i="10"/>
  <c r="V78" i="10"/>
  <c r="T78" i="10"/>
  <c r="R78" i="10"/>
  <c r="P78" i="10"/>
  <c r="N78" i="10"/>
  <c r="L78" i="10"/>
  <c r="J78" i="10"/>
  <c r="H78" i="10"/>
  <c r="V71" i="10"/>
  <c r="T71" i="10"/>
  <c r="R71" i="10"/>
  <c r="P71" i="10"/>
  <c r="N71" i="10"/>
  <c r="L71" i="10"/>
  <c r="J71" i="10"/>
  <c r="H71" i="10"/>
  <c r="V64" i="10"/>
  <c r="T64" i="10"/>
  <c r="R64" i="10"/>
  <c r="P64" i="10"/>
  <c r="N64" i="10"/>
  <c r="L64" i="10"/>
  <c r="J64" i="10"/>
  <c r="H64" i="10"/>
  <c r="V57" i="10"/>
  <c r="T57" i="10"/>
  <c r="R57" i="10"/>
  <c r="P57" i="10"/>
  <c r="N57" i="10"/>
  <c r="L57" i="10"/>
  <c r="J57" i="10"/>
  <c r="H57" i="10"/>
  <c r="V50" i="10"/>
  <c r="T50" i="10"/>
  <c r="R50" i="10"/>
  <c r="P50" i="10"/>
  <c r="N50" i="10"/>
  <c r="L50" i="10"/>
  <c r="J50" i="10"/>
  <c r="H50" i="10"/>
  <c r="V43" i="10"/>
  <c r="T43" i="10"/>
  <c r="R43" i="10"/>
  <c r="P43" i="10"/>
  <c r="N43" i="10"/>
  <c r="L43" i="10"/>
  <c r="J43" i="10"/>
  <c r="H43" i="10"/>
  <c r="V36" i="10"/>
  <c r="T36" i="10"/>
  <c r="R36" i="10"/>
  <c r="P36" i="10"/>
  <c r="N36" i="10"/>
  <c r="L36" i="10"/>
  <c r="J36" i="10"/>
  <c r="H36" i="10"/>
  <c r="V29" i="10"/>
  <c r="T29" i="10"/>
  <c r="R29" i="10"/>
  <c r="P29" i="10"/>
  <c r="N29" i="10"/>
  <c r="L29" i="10"/>
  <c r="J29" i="10"/>
  <c r="H29" i="10"/>
  <c r="V22" i="10"/>
  <c r="T22" i="10"/>
  <c r="R22" i="10"/>
  <c r="P22" i="10"/>
  <c r="N22" i="10"/>
  <c r="L22" i="10"/>
  <c r="J22" i="10"/>
  <c r="H22" i="10"/>
  <c r="V15" i="10"/>
  <c r="T15" i="10"/>
  <c r="R15" i="10"/>
  <c r="P15" i="10"/>
  <c r="N15" i="10"/>
  <c r="J15" i="10"/>
  <c r="H15" i="10"/>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7" i="8"/>
  <c r="Q124" i="10" l="1"/>
  <c r="U124" i="10"/>
  <c r="U123" i="10" s="1"/>
  <c r="U122" i="10" s="1"/>
  <c r="U121" i="10" s="1"/>
  <c r="U120" i="10" s="1"/>
  <c r="U119" i="10" s="1"/>
  <c r="U118" i="10" s="1"/>
  <c r="U117" i="10" s="1"/>
  <c r="U116" i="10" s="1"/>
  <c r="U115" i="10" s="1"/>
  <c r="U114" i="10" s="1"/>
  <c r="U113" i="10" s="1"/>
  <c r="U112" i="10" s="1"/>
  <c r="U111" i="10" s="1"/>
  <c r="U107" i="10" s="1"/>
  <c r="U106" i="10" s="1"/>
  <c r="U105" i="10" s="1"/>
  <c r="U104" i="10" s="1"/>
  <c r="U100" i="10" s="1"/>
  <c r="U99" i="10" s="1"/>
  <c r="U98" i="10" s="1"/>
  <c r="U97" i="10" s="1"/>
  <c r="U93" i="10" s="1"/>
  <c r="U92" i="10" s="1"/>
  <c r="U91" i="10" s="1"/>
  <c r="U90" i="10" s="1"/>
  <c r="U86" i="10" s="1"/>
  <c r="U85" i="10" s="1"/>
  <c r="U84" i="10" s="1"/>
  <c r="U83" i="10" s="1"/>
  <c r="U79" i="10" s="1"/>
  <c r="U78" i="10" s="1"/>
  <c r="U77" i="10" s="1"/>
  <c r="U76" i="10" s="1"/>
  <c r="U72" i="10" s="1"/>
  <c r="U71" i="10" s="1"/>
  <c r="U70" i="10" s="1"/>
  <c r="U69" i="10" s="1"/>
  <c r="U65" i="10" s="1"/>
  <c r="U64" i="10" s="1"/>
  <c r="U63" i="10" s="1"/>
  <c r="U62" i="10" s="1"/>
  <c r="U58" i="10" s="1"/>
  <c r="U57" i="10" s="1"/>
  <c r="U56" i="10" s="1"/>
  <c r="U55" i="10" s="1"/>
  <c r="U51" i="10" s="1"/>
  <c r="U50" i="10" s="1"/>
  <c r="U49" i="10" s="1"/>
  <c r="U48" i="10" s="1"/>
  <c r="U44" i="10" s="1"/>
  <c r="U43" i="10" s="1"/>
  <c r="U42" i="10" s="1"/>
  <c r="U41" i="10" s="1"/>
  <c r="U37" i="10" s="1"/>
  <c r="U36" i="10" s="1"/>
  <c r="U35" i="10" s="1"/>
  <c r="U34" i="10" s="1"/>
  <c r="U30" i="10" s="1"/>
  <c r="U29" i="10" s="1"/>
  <c r="U28" i="10" s="1"/>
  <c r="U27" i="10" s="1"/>
  <c r="U23" i="10" s="1"/>
  <c r="U22" i="10" s="1"/>
  <c r="U21" i="10" s="1"/>
  <c r="U17" i="10" s="1"/>
  <c r="I124" i="10"/>
  <c r="I123" i="10" s="1"/>
  <c r="I122" i="10" s="1"/>
  <c r="I121" i="10" s="1"/>
  <c r="I120" i="10" s="1"/>
  <c r="I119" i="10" s="1"/>
  <c r="I118" i="10" s="1"/>
  <c r="I117" i="10" s="1"/>
  <c r="I116" i="10" s="1"/>
  <c r="I115" i="10" s="1"/>
  <c r="I114" i="10" s="1"/>
  <c r="I113" i="10" s="1"/>
  <c r="I112" i="10" s="1"/>
  <c r="I111" i="10" s="1"/>
  <c r="I107" i="10" s="1"/>
  <c r="I106" i="10" s="1"/>
  <c r="I105" i="10" s="1"/>
  <c r="I104" i="10" s="1"/>
  <c r="I100" i="10" s="1"/>
  <c r="I99" i="10" s="1"/>
  <c r="I98" i="10" s="1"/>
  <c r="I97" i="10" s="1"/>
  <c r="I93" i="10" s="1"/>
  <c r="I92" i="10" s="1"/>
  <c r="I91" i="10" s="1"/>
  <c r="I90" i="10" s="1"/>
  <c r="I86" i="10" s="1"/>
  <c r="I85" i="10" s="1"/>
  <c r="I84" i="10" s="1"/>
  <c r="I83" i="10" s="1"/>
  <c r="I79" i="10" s="1"/>
  <c r="I78" i="10" s="1"/>
  <c r="I77" i="10" s="1"/>
  <c r="I76" i="10" s="1"/>
  <c r="I72" i="10" s="1"/>
  <c r="I71" i="10" s="1"/>
  <c r="I70" i="10" s="1"/>
  <c r="I69" i="10" s="1"/>
  <c r="I65" i="10" s="1"/>
  <c r="I64" i="10" s="1"/>
  <c r="I63" i="10" s="1"/>
  <c r="I62" i="10" s="1"/>
  <c r="I58" i="10" s="1"/>
  <c r="I57" i="10" s="1"/>
  <c r="I56" i="10" s="1"/>
  <c r="I55" i="10" s="1"/>
  <c r="I51" i="10" s="1"/>
  <c r="I50" i="10" s="1"/>
  <c r="I49" i="10" s="1"/>
  <c r="I48" i="10" s="1"/>
  <c r="I44" i="10" s="1"/>
  <c r="I43" i="10" s="1"/>
  <c r="I42" i="10" s="1"/>
  <c r="I41" i="10" s="1"/>
  <c r="I37" i="10" s="1"/>
  <c r="I36" i="10" s="1"/>
  <c r="I35" i="10" s="1"/>
  <c r="I34" i="10" s="1"/>
  <c r="I30" i="10" s="1"/>
  <c r="I29" i="10" s="1"/>
  <c r="I28" i="10" s="1"/>
  <c r="I27" i="10" s="1"/>
  <c r="I23" i="10" s="1"/>
  <c r="I22" i="10" s="1"/>
  <c r="I21" i="10" s="1"/>
  <c r="I17" i="10" s="1"/>
  <c r="I16" i="10" s="1"/>
  <c r="I15" i="10" s="1"/>
  <c r="I14" i="10" s="1"/>
  <c r="M124" i="10"/>
  <c r="M123" i="10" s="1"/>
  <c r="M122" i="10" s="1"/>
  <c r="M121" i="10" s="1"/>
  <c r="M120" i="10" s="1"/>
  <c r="M119" i="10" s="1"/>
  <c r="M118" i="10" s="1"/>
  <c r="M117" i="10" s="1"/>
  <c r="M116" i="10" s="1"/>
  <c r="M115" i="10" s="1"/>
  <c r="M114" i="10" s="1"/>
  <c r="M113" i="10" s="1"/>
  <c r="M112" i="10" s="1"/>
  <c r="M111" i="10" s="1"/>
  <c r="M107" i="10" s="1"/>
  <c r="M106" i="10" s="1"/>
  <c r="M105" i="10" s="1"/>
  <c r="M104" i="10" s="1"/>
  <c r="M100" i="10" s="1"/>
  <c r="M99" i="10" s="1"/>
  <c r="M98" i="10" s="1"/>
  <c r="M97" i="10" s="1"/>
  <c r="M93" i="10" s="1"/>
  <c r="M92" i="10" s="1"/>
  <c r="M91" i="10" s="1"/>
  <c r="M90" i="10" s="1"/>
  <c r="M86" i="10" s="1"/>
  <c r="M85" i="10" s="1"/>
  <c r="M84" i="10" s="1"/>
  <c r="M83" i="10" s="1"/>
  <c r="M79" i="10" s="1"/>
  <c r="M78" i="10" s="1"/>
  <c r="M77" i="10" s="1"/>
  <c r="M76" i="10" s="1"/>
  <c r="M72" i="10" s="1"/>
  <c r="M71" i="10" s="1"/>
  <c r="M70" i="10" s="1"/>
  <c r="M69" i="10" s="1"/>
  <c r="M65" i="10" s="1"/>
  <c r="M64" i="10" s="1"/>
  <c r="M63" i="10" s="1"/>
  <c r="M62" i="10" s="1"/>
  <c r="M58" i="10" s="1"/>
  <c r="M57" i="10" s="1"/>
  <c r="M56" i="10" s="1"/>
  <c r="M55" i="10" s="1"/>
  <c r="M51" i="10" s="1"/>
  <c r="M50" i="10" s="1"/>
  <c r="M49" i="10" s="1"/>
  <c r="M48" i="10" s="1"/>
  <c r="M44" i="10" s="1"/>
  <c r="M43" i="10" s="1"/>
  <c r="M42" i="10" s="1"/>
  <c r="M41" i="10" s="1"/>
  <c r="M37" i="10" s="1"/>
  <c r="M36" i="10" s="1"/>
  <c r="M35" i="10" s="1"/>
  <c r="M34" i="10" s="1"/>
  <c r="M30" i="10" s="1"/>
  <c r="M29" i="10" s="1"/>
  <c r="M28" i="10" s="1"/>
  <c r="M27" i="10" s="1"/>
  <c r="M23" i="10" s="1"/>
  <c r="M22" i="10" s="1"/>
  <c r="M21" i="10" s="1"/>
  <c r="M17" i="10" s="1"/>
  <c r="M16" i="10" s="1"/>
  <c r="M15" i="10" s="1"/>
  <c r="M14" i="10" s="1"/>
  <c r="Q123" i="10"/>
  <c r="Q122" i="10" s="1"/>
  <c r="Q121" i="10" s="1"/>
  <c r="Q120" i="10" s="1"/>
  <c r="U16" i="10" l="1"/>
  <c r="U15" i="10" s="1"/>
  <c r="U14" i="10" s="1"/>
  <c r="Z120" i="10"/>
  <c r="AA120" i="10" s="1"/>
  <c r="Z124" i="10"/>
  <c r="AA124" i="10" s="1"/>
  <c r="Q119" i="10"/>
  <c r="Q118" i="10" s="1"/>
  <c r="Q117" i="10" s="1"/>
  <c r="Q116" i="10" s="1"/>
  <c r="Z116" i="10" s="1"/>
  <c r="AA116" i="10" l="1"/>
  <c r="Q115" i="10"/>
  <c r="Q114" i="10" s="1"/>
  <c r="Q113" i="10" s="1"/>
  <c r="Q112" i="10" s="1"/>
  <c r="Z112" i="10" s="1"/>
  <c r="Q111" i="10" l="1"/>
  <c r="Q107" i="10" s="1"/>
  <c r="Q106" i="10" s="1"/>
  <c r="Q105" i="10" s="1"/>
  <c r="Z105" i="10" s="1"/>
  <c r="AA112" i="10"/>
  <c r="Q104" i="10" l="1"/>
  <c r="Q100" i="10" s="1"/>
  <c r="Q99" i="10" s="1"/>
  <c r="Q98" i="10" s="1"/>
  <c r="Z98" i="10" s="1"/>
  <c r="AA105" i="10"/>
  <c r="L65" i="9" s="1"/>
  <c r="AA98" i="10" l="1"/>
  <c r="L61" i="9" s="1"/>
  <c r="Q97" i="10"/>
  <c r="Q93" i="10" s="1"/>
  <c r="Q92" i="10" s="1"/>
  <c r="Q91" i="10" s="1"/>
  <c r="Z91" i="10" s="1"/>
  <c r="AA91" i="10" l="1"/>
  <c r="L57" i="9" s="1"/>
  <c r="Q90" i="10"/>
  <c r="Q86" i="10" s="1"/>
  <c r="Q85" i="10" s="1"/>
  <c r="Q84" i="10" s="1"/>
  <c r="Z84" i="10" s="1"/>
  <c r="Q83" i="10" l="1"/>
  <c r="Q79" i="10" s="1"/>
  <c r="Q78" i="10" s="1"/>
  <c r="Q77" i="10" s="1"/>
  <c r="Z77" i="10" s="1"/>
  <c r="AA84" i="10"/>
  <c r="L53" i="9" s="1"/>
  <c r="Q76" i="10" l="1"/>
  <c r="Q72" i="10" s="1"/>
  <c r="Q71" i="10" s="1"/>
  <c r="Q70" i="10" s="1"/>
  <c r="Z70" i="10" s="1"/>
  <c r="AA77" i="10"/>
  <c r="L49" i="9" s="1"/>
  <c r="AA70" i="10" l="1"/>
  <c r="L45" i="9" s="1"/>
  <c r="Q69" i="10"/>
  <c r="Q65" i="10" s="1"/>
  <c r="Q64" i="10" s="1"/>
  <c r="Q63" i="10" s="1"/>
  <c r="Z63" i="10" s="1"/>
  <c r="AA63" i="10" l="1"/>
  <c r="L41" i="9" s="1"/>
  <c r="Q62" i="10"/>
  <c r="Q58" i="10" s="1"/>
  <c r="Q57" i="10" s="1"/>
  <c r="Q56" i="10" s="1"/>
  <c r="Z56" i="10" s="1"/>
  <c r="Q55" i="10" l="1"/>
  <c r="Q51" i="10" s="1"/>
  <c r="Q50" i="10" s="1"/>
  <c r="Q49" i="10" s="1"/>
  <c r="Z49" i="10" s="1"/>
  <c r="AA56" i="10"/>
  <c r="L37" i="9" s="1"/>
  <c r="Q48" i="10" l="1"/>
  <c r="Q44" i="10" s="1"/>
  <c r="Q43" i="10" s="1"/>
  <c r="Q42" i="10" s="1"/>
  <c r="Z42" i="10" s="1"/>
  <c r="AA49" i="10"/>
  <c r="L33" i="9" s="1"/>
  <c r="Q41" i="10" l="1"/>
  <c r="Q37" i="10" s="1"/>
  <c r="Q36" i="10" s="1"/>
  <c r="Q35" i="10" s="1"/>
  <c r="Z35" i="10" s="1"/>
  <c r="AA42" i="10"/>
  <c r="L29" i="9" s="1"/>
  <c r="AA35" i="10" l="1"/>
  <c r="L25" i="9" s="1"/>
  <c r="Q34" i="10"/>
  <c r="Q30" i="10" s="1"/>
  <c r="Q29" i="10" s="1"/>
  <c r="Q28" i="10" s="1"/>
  <c r="Z28" i="10" s="1"/>
  <c r="Q27" i="10" l="1"/>
  <c r="Q23" i="10" s="1"/>
  <c r="Q22" i="10" s="1"/>
  <c r="Q21" i="10" s="1"/>
  <c r="Z21" i="10" s="1"/>
  <c r="AA28" i="10"/>
  <c r="L21" i="9" s="1"/>
  <c r="AA21" i="10" l="1"/>
  <c r="L17" i="9" s="1"/>
  <c r="Q17" i="10"/>
  <c r="Q16" i="10" l="1"/>
  <c r="Q15" i="10" s="1"/>
  <c r="Q14" i="10" s="1"/>
  <c r="Z14" i="10" l="1"/>
  <c r="AA14" i="10" s="1"/>
  <c r="L13" i="9" s="1"/>
</calcChain>
</file>

<file path=xl/comments1.xml><?xml version="1.0" encoding="utf-8"?>
<comments xmlns="http://schemas.openxmlformats.org/spreadsheetml/2006/main">
  <authors>
    <author>ASISTENTE CALIDAD</author>
  </authors>
  <commentList>
    <comment ref="L11" authorId="0" shapeId="0">
      <text>
        <r>
          <rPr>
            <sz val="9"/>
            <color indexed="81"/>
            <rFont val="Tahoma"/>
            <family val="2"/>
          </rPr>
          <t xml:space="preserve">Para estabecer la causa raíz del hallazgo, dirijase a la hoja </t>
        </r>
        <r>
          <rPr>
            <b/>
            <sz val="9"/>
            <color indexed="81"/>
            <rFont val="Tahoma"/>
            <family val="2"/>
          </rPr>
          <t>ANÁLISIS 5PQs</t>
        </r>
      </text>
    </comment>
  </commentList>
</comments>
</file>

<file path=xl/comments2.xml><?xml version="1.0" encoding="utf-8"?>
<comments xmlns="http://schemas.openxmlformats.org/spreadsheetml/2006/main">
  <authors>
    <author>COORDINACION CALIDAD</author>
  </authors>
  <commentList>
    <comment ref="G35" authorId="0" shapeId="0">
      <text>
        <r>
          <rPr>
            <b/>
            <sz val="9"/>
            <color indexed="81"/>
            <rFont val="Tahoma"/>
            <family val="2"/>
          </rPr>
          <t>COORDINACION CALIDAD:</t>
        </r>
        <r>
          <rPr>
            <sz val="9"/>
            <color indexed="81"/>
            <rFont val="Tahoma"/>
            <family val="2"/>
          </rPr>
          <t xml:space="preserve">
Incluir actividades de Gestión Logística y de Compras</t>
        </r>
      </text>
    </comment>
  </commentList>
</comments>
</file>

<file path=xl/sharedStrings.xml><?xml version="1.0" encoding="utf-8"?>
<sst xmlns="http://schemas.openxmlformats.org/spreadsheetml/2006/main" count="380" uniqueCount="244">
  <si>
    <t>INSTRUCCIONES PARA EL CORRECTO DILIGENCIAMIENTO DEL FO-GC-003 PLAN DE MEJORAMIENTO INSTITUCIONAL</t>
  </si>
  <si>
    <t>PROCESO</t>
  </si>
  <si>
    <t>Escoja de la lista desplegable el proceso en el cual se identificó el hallazgo</t>
  </si>
  <si>
    <t>PROGRAMA ACADÉMICO</t>
  </si>
  <si>
    <t>Escoja de la lista desplegable el programa académico en el cual se identificó el hallazgo</t>
  </si>
  <si>
    <t>FUENTE</t>
  </si>
  <si>
    <r>
      <rPr>
        <b/>
        <sz val="10"/>
        <rFont val="Calibri Light"/>
        <family val="2"/>
        <scheme val="major"/>
      </rPr>
      <t>Escoja de la lista desplegable la fuente del hallazgo, es decir en qué tipo de ejercicio se identificó el hallazgo o la ausencia de cumplimiento de los requisitos normativos, se va a encontrar:</t>
    </r>
    <r>
      <rPr>
        <sz val="10"/>
        <rFont val="Calibri Light"/>
        <family val="2"/>
        <scheme val="major"/>
      </rPr>
      <t xml:space="preserve">
</t>
    </r>
    <r>
      <rPr>
        <b/>
        <sz val="10"/>
        <rFont val="Calibri Light"/>
        <family val="2"/>
        <scheme val="major"/>
      </rPr>
      <t>PQRs:</t>
    </r>
    <r>
      <rPr>
        <sz val="10"/>
        <rFont val="Calibri Light"/>
        <family val="2"/>
        <scheme val="major"/>
      </rPr>
      <t xml:space="preserve"> Cuando se identifique una PQRs que obligue a realizar cambios en el proceso.
</t>
    </r>
    <r>
      <rPr>
        <b/>
        <sz val="10"/>
        <rFont val="Calibri Light"/>
        <family val="2"/>
        <scheme val="major"/>
      </rPr>
      <t>AUDITORÍA INTERNA:</t>
    </r>
    <r>
      <rPr>
        <sz val="10"/>
        <rFont val="Calibri Light"/>
        <family val="2"/>
        <scheme val="major"/>
      </rPr>
      <t xml:space="preserve"> cuando el hallazgo provenga de un ejercicio de Auditoría Interna.
</t>
    </r>
    <r>
      <rPr>
        <b/>
        <sz val="10"/>
        <rFont val="Calibri Light"/>
        <family val="2"/>
        <scheme val="major"/>
      </rPr>
      <t>AUDITORÍA EXTERNA:</t>
    </r>
    <r>
      <rPr>
        <sz val="10"/>
        <rFont val="Calibri Light"/>
        <family val="2"/>
        <scheme val="major"/>
      </rPr>
      <t xml:space="preserve"> cuando el hallazgo provenga de un ejercicio de Auditoría Externa.
</t>
    </r>
    <r>
      <rPr>
        <b/>
        <sz val="10"/>
        <rFont val="Calibri Light"/>
        <family val="2"/>
        <scheme val="major"/>
      </rPr>
      <t xml:space="preserve">AUDITORÍA DE CONTROL INTERNO: </t>
    </r>
    <r>
      <rPr>
        <sz val="10"/>
        <rFont val="Calibri Light"/>
        <family val="2"/>
        <scheme val="major"/>
      </rPr>
      <t xml:space="preserve">cuando el hallazgo provenga de un ejercicio de Auditoría de control Interno. 
</t>
    </r>
    <r>
      <rPr>
        <b/>
        <sz val="10"/>
        <rFont val="Calibri Light"/>
        <family val="2"/>
        <scheme val="major"/>
      </rPr>
      <t>Nota:</t>
    </r>
    <r>
      <rPr>
        <sz val="10"/>
        <rFont val="Calibri Light"/>
        <family val="2"/>
        <scheme val="major"/>
      </rPr>
      <t xml:space="preserve"> Si la fuente de hallazgo se da en Evaluación Docente, debe diligenciar la casilla denominada CRITERIO SOBRE EL CUAL VA A REALIZAN EL PLAN DE MEJORAMIENTO, al igual que indicar el nombre del docente.
</t>
    </r>
    <r>
      <rPr>
        <b/>
        <sz val="10"/>
        <rFont val="Calibri Light"/>
        <family val="2"/>
        <scheme val="major"/>
      </rPr>
      <t/>
    </r>
  </si>
  <si>
    <t xml:space="preserve"> </t>
  </si>
  <si>
    <t>FECHA DE IDENTIFICACIÓN DEL HALLAZGO</t>
  </si>
  <si>
    <r>
      <t xml:space="preserve">Escriba la fecha en la cual se hizo la identificación del hallazgo en formato </t>
    </r>
    <r>
      <rPr>
        <b/>
        <sz val="10"/>
        <rFont val="Calibri Light"/>
        <family val="2"/>
        <scheme val="major"/>
      </rPr>
      <t>(DD/MM/AAAA)</t>
    </r>
  </si>
  <si>
    <t>TIPO DE HALLAZGO</t>
  </si>
  <si>
    <r>
      <rPr>
        <b/>
        <sz val="10"/>
        <rFont val="Calibri Light"/>
        <family val="2"/>
        <scheme val="major"/>
      </rPr>
      <t>Escoja de la lista desplegable el tipo de hallazgo, se va a encontrar:</t>
    </r>
    <r>
      <rPr>
        <sz val="10"/>
        <rFont val="Calibri Light"/>
        <family val="2"/>
        <scheme val="major"/>
      </rPr>
      <t xml:space="preserve">
</t>
    </r>
    <r>
      <rPr>
        <b/>
        <sz val="10"/>
        <rFont val="Calibri Light"/>
        <family val="2"/>
        <scheme val="major"/>
      </rPr>
      <t>NO CONFORMIDAD:</t>
    </r>
    <r>
      <rPr>
        <sz val="10"/>
        <rFont val="Calibri Light"/>
        <family val="2"/>
        <scheme val="major"/>
      </rPr>
      <t xml:space="preserve"> Cuando el hallazgo responda a una NC con alguno de los requisitos de la NTC ISO 9001:2015
</t>
    </r>
    <r>
      <rPr>
        <b/>
        <sz val="10"/>
        <rFont val="Calibri Light"/>
        <family val="2"/>
        <scheme val="major"/>
      </rPr>
      <t xml:space="preserve">OPORTUNIDAD DE MEJORA: </t>
    </r>
    <r>
      <rPr>
        <sz val="10"/>
        <rFont val="Calibri Light"/>
        <family val="2"/>
        <scheme val="major"/>
      </rPr>
      <t xml:space="preserve">Cuando se identifica una oportunidad de hacer las cosas mejor en el proceso.
</t>
    </r>
    <r>
      <rPr>
        <b/>
        <sz val="10"/>
        <rFont val="Calibri Light"/>
        <family val="2"/>
        <scheme val="major"/>
      </rPr>
      <t>SALIDA NO CONFORME:</t>
    </r>
    <r>
      <rPr>
        <sz val="10"/>
        <rFont val="Calibri Light"/>
        <family val="2"/>
        <scheme val="major"/>
      </rPr>
      <t xml:space="preserve"> Cuando un producto o servicio ha sido liberado (con intención o sin ella) y ha llegado a manos de las partes interesadas (indistintamente de a que grupo pertenezcam).</t>
    </r>
  </si>
  <si>
    <t>DESCRIPCIÓN</t>
  </si>
  <si>
    <t>REQUISITO DE LA NORMA - FACTOR Y/O CARACTERÍSTICA</t>
  </si>
  <si>
    <r>
      <t xml:space="preserve">En caso de que el hallazgo sea </t>
    </r>
    <r>
      <rPr>
        <b/>
        <sz val="10"/>
        <rFont val="Calibri Light"/>
        <family val="2"/>
        <scheme val="major"/>
      </rPr>
      <t>NO CONFORMIDAD</t>
    </r>
    <r>
      <rPr>
        <sz val="10"/>
        <rFont val="Calibri Light"/>
        <family val="2"/>
        <scheme val="major"/>
      </rPr>
      <t xml:space="preserve"> escriba aquí el requisito de la Norma ISO 9001:2015 que está incumpliendo, esto lo encuentra en su Informe de auditoría.
En caso de que el Hallazgo sea </t>
    </r>
    <r>
      <rPr>
        <b/>
        <sz val="10"/>
        <rFont val="Calibri Light"/>
        <family val="2"/>
        <scheme val="major"/>
      </rPr>
      <t>OPORTUNIDAD DE MEJORA</t>
    </r>
    <r>
      <rPr>
        <sz val="10"/>
        <rFont val="Calibri Light"/>
        <family val="2"/>
        <scheme val="major"/>
      </rPr>
      <t xml:space="preserve"> escriba aquí XXXXX
En caso de que el hallazgo sea </t>
    </r>
    <r>
      <rPr>
        <b/>
        <sz val="10"/>
        <rFont val="Calibri Light"/>
        <family val="2"/>
        <scheme val="major"/>
      </rPr>
      <t>SALIDA NO CONFORME</t>
    </r>
    <r>
      <rPr>
        <sz val="10"/>
        <rFont val="Calibri Light"/>
        <family val="2"/>
        <scheme val="major"/>
      </rPr>
      <t xml:space="preserve"> escriba aquí </t>
    </r>
    <r>
      <rPr>
        <b/>
        <sz val="10"/>
        <color rgb="FFFF0000"/>
        <rFont val="Calibri Light"/>
        <family val="2"/>
        <scheme val="major"/>
      </rPr>
      <t>8.7 CONTROL DE LAS SALIDAS NO CONFORMES.</t>
    </r>
  </si>
  <si>
    <t>DESCRIPCIÓN DEL HALLAZGO</t>
  </si>
  <si>
    <t>Escriba aquí la descripción de la No conformidad que aparece en su informe de Auditoría o con sus palabras describa el hallazgo, oportunidad de mejora, salida no conforme o incumplimiento de factores de autoevaluación.</t>
  </si>
  <si>
    <t>PROBLEMA</t>
  </si>
  <si>
    <r>
      <t xml:space="preserve">En esta casilla usted encontrará la información diligenciada en la </t>
    </r>
    <r>
      <rPr>
        <b/>
        <sz val="10"/>
        <rFont val="Calibri Light"/>
        <family val="2"/>
        <scheme val="major"/>
      </rPr>
      <t>DESCRIPCIÓN DEL HALLAZGO</t>
    </r>
    <r>
      <rPr>
        <sz val="10"/>
        <rFont val="Calibri Light"/>
        <family val="2"/>
        <scheme val="major"/>
      </rPr>
      <t xml:space="preserve"> de la pestaña </t>
    </r>
    <r>
      <rPr>
        <b/>
        <sz val="10"/>
        <rFont val="Calibri Light"/>
        <family val="2"/>
        <scheme val="major"/>
      </rPr>
      <t>FO-GC-003 PLAN DE MEJORA; e</t>
    </r>
    <r>
      <rPr>
        <sz val="10"/>
        <rFont val="Calibri Light"/>
        <family val="2"/>
        <scheme val="major"/>
      </rPr>
      <t xml:space="preserve">l problema es la base sobre la cual se formulará la primera pregunta que usted responderá en función de </t>
    </r>
    <r>
      <rPr>
        <b/>
        <i/>
        <sz val="10"/>
        <rFont val="Calibri Light"/>
        <family val="2"/>
        <scheme val="major"/>
      </rPr>
      <t>Por qué se presentó el problema.</t>
    </r>
  </si>
  <si>
    <t>TIPO DE ACCIÓN A TOMAR</t>
  </si>
  <si>
    <r>
      <t xml:space="preserve">Selecciones si la acción a tomar es de tipo:
</t>
    </r>
    <r>
      <rPr>
        <b/>
        <sz val="10"/>
        <rFont val="Calibri Light"/>
        <family val="2"/>
        <scheme val="major"/>
      </rPr>
      <t>CORRECTIVO:</t>
    </r>
    <r>
      <rPr>
        <sz val="10"/>
        <rFont val="Calibri Light"/>
        <family val="2"/>
        <scheme val="major"/>
      </rPr>
      <t xml:space="preserve"> Cuando se implementa para eliminar la causa de una No Conformidad y evitar que vuelva a ocurrir y cuando después de una revisión, auditoría, medición no se han alcanzado los resultados esperados o no se ha dado el cumplimiento satisfactorio de los requisitos (factores, condiciones o características).
</t>
    </r>
    <r>
      <rPr>
        <b/>
        <sz val="10"/>
        <rFont val="Calibri Light"/>
        <family val="2"/>
        <scheme val="major"/>
      </rPr>
      <t>DE MEJORA:</t>
    </r>
    <r>
      <rPr>
        <sz val="10"/>
        <rFont val="Calibri Light"/>
        <family val="2"/>
        <scheme val="major"/>
      </rPr>
      <t xml:space="preserve"> Cuando posterior a los resultados satisfactorios en los procesos de medición de los procesos se identifican oportunidades de mejorar en el proceso.
</t>
    </r>
    <r>
      <rPr>
        <b/>
        <sz val="10"/>
        <rFont val="Calibri Light"/>
        <family val="2"/>
        <scheme val="major"/>
      </rPr>
      <t>Nota:</t>
    </r>
    <r>
      <rPr>
        <sz val="10"/>
        <rFont val="Calibri Light"/>
        <family val="2"/>
        <scheme val="major"/>
      </rPr>
      <t xml:space="preserve"> Si su respuesta en este punto fue ACCIÓN INMEDIATA CORRECCIÓN, Describa brevemente cúal fue la acción tomada en la casilla siguiente</t>
    </r>
  </si>
  <si>
    <t>ANÁLISIS DE CAUSAS</t>
  </si>
  <si>
    <t>PARA EL ANÁLISIS DE CAUSA DIRÍJASE A LA PESTAÑA ANÁLISIS 5PQs Y SIGA LOS SIGUIENTES PASOS:</t>
  </si>
  <si>
    <t>EL HALLAZGO SE HABÍA PRESENTADO ANTES?</t>
  </si>
  <si>
    <t xml:space="preserve">Indique aquí con una X si este hallazgo se había presentado anteriormente o si es primera vez que surge </t>
  </si>
  <si>
    <t>SE PUEDE VOLVER A PRESENTAR?</t>
  </si>
  <si>
    <t>Indique si el hallazgo encontrado actualmente se puede volver a presentar a futuro</t>
  </si>
  <si>
    <t>ES NECESARIO HACER CAMBIOS A</t>
  </si>
  <si>
    <t>Marque con una X si es necesario hacer cambio a alguna de las siguientes opciones:
*Matriz de Riesgos y Oportunidades
*Sistema de Gestión de Calidad (SGC)
*Ninguna de las anteriores</t>
  </si>
  <si>
    <t>PRIMER POR QUÉ</t>
  </si>
  <si>
    <r>
      <t xml:space="preserve">Escriba en esta casilla la respuesta al primer por qué, en este caso será: </t>
    </r>
    <r>
      <rPr>
        <b/>
        <sz val="10"/>
        <rFont val="Calibri Light"/>
        <family val="2"/>
        <scheme val="major"/>
      </rPr>
      <t xml:space="preserve">Por qué se presentó el problema </t>
    </r>
  </si>
  <si>
    <t>DESCRIPCIÓN DE LA ACCION A TOMAR</t>
  </si>
  <si>
    <t>META/OBJETIVO</t>
  </si>
  <si>
    <t>Escriba aquí, qué es lo que pretende lograr con la implementación de la acción. (Esta meta u objetivo debe agregar valor a la calidad del proceso, ser concreta y de ser necesario incluir una cifra en su formulación) Ej: Reducir la deserción en un punto teniendo en cuenta la linea base a 2022.</t>
  </si>
  <si>
    <t xml:space="preserve">2do POR QUÉ: </t>
  </si>
  <si>
    <r>
      <t xml:space="preserve">El formato está diseñado para que de forma automática se formule la pregunta con la cual usted responderá el SEGUNDO por qué, escriba entonces la respuesta que corresponde al </t>
    </r>
    <r>
      <rPr>
        <b/>
        <i/>
        <sz val="10"/>
        <rFont val="Calibri Light"/>
        <family val="2"/>
        <scheme val="major"/>
      </rPr>
      <t>segundo</t>
    </r>
    <r>
      <rPr>
        <sz val="10"/>
        <rFont val="Calibri Light"/>
        <family val="2"/>
        <scheme val="major"/>
      </rPr>
      <t xml:space="preserve"> por qué.</t>
    </r>
  </si>
  <si>
    <t>DETALLE DE ACTIVIDADES</t>
  </si>
  <si>
    <t>Escriba aquí en detalle la o las actividades que debe ejecutar para el logro de la meta formulada en la casilla anterior.</t>
  </si>
  <si>
    <t xml:space="preserve">3cer POR QUÉ: </t>
  </si>
  <si>
    <r>
      <t xml:space="preserve">El formato está diseñado para que de forma automática se formule la pregunta con la cual usted responderá el TERCER por qué, escriba entonces la respuesta que corresponde al </t>
    </r>
    <r>
      <rPr>
        <b/>
        <i/>
        <sz val="10"/>
        <rFont val="Calibri Light"/>
        <family val="2"/>
        <scheme val="major"/>
      </rPr>
      <t>tercer</t>
    </r>
    <r>
      <rPr>
        <sz val="10"/>
        <rFont val="Calibri Light"/>
        <family val="2"/>
        <scheme val="major"/>
      </rPr>
      <t xml:space="preserve"> por qué.</t>
    </r>
  </si>
  <si>
    <t>ENTREGABLE O RESULTADO</t>
  </si>
  <si>
    <t>Escriba aquí la evidencia que se presentará como resultado de la implementación de la acción. Ejemplo: Informe de Auditorías - Resolución Rectoral con actualización de política.</t>
  </si>
  <si>
    <t xml:space="preserve">4to POR QUÉ: </t>
  </si>
  <si>
    <r>
      <t xml:space="preserve">El formato está diseñado para que de forma automática se formule la pregunta con la cual usted responderá el CUARTO por qué, escriba entonces la respuesta que corresponde al </t>
    </r>
    <r>
      <rPr>
        <b/>
        <i/>
        <sz val="10"/>
        <rFont val="Calibri Light"/>
        <family val="2"/>
        <scheme val="major"/>
      </rPr>
      <t>cuarto</t>
    </r>
    <r>
      <rPr>
        <sz val="10"/>
        <rFont val="Calibri Light"/>
        <family val="2"/>
        <scheme val="major"/>
      </rPr>
      <t xml:space="preserve"> por qué.</t>
    </r>
  </si>
  <si>
    <t>RECURSOS</t>
  </si>
  <si>
    <r>
      <t xml:space="preserve">Escriba a quí el tipo de recurso que va a requerir en la implementación de la actividad, puede ser: </t>
    </r>
    <r>
      <rPr>
        <b/>
        <sz val="10"/>
        <rFont val="Calibri Light"/>
        <family val="2"/>
        <scheme val="major"/>
      </rPr>
      <t>HUMANOS</t>
    </r>
    <r>
      <rPr>
        <sz val="10"/>
        <rFont val="Calibri Light"/>
        <family val="2"/>
        <scheme val="major"/>
      </rPr>
      <t xml:space="preserve"> - </t>
    </r>
    <r>
      <rPr>
        <b/>
        <sz val="10"/>
        <rFont val="Calibri Light"/>
        <family val="2"/>
        <scheme val="major"/>
      </rPr>
      <t>MATERIALES</t>
    </r>
    <r>
      <rPr>
        <sz val="10"/>
        <rFont val="Calibri Light"/>
        <family val="2"/>
        <scheme val="major"/>
      </rPr>
      <t xml:space="preserve"> - </t>
    </r>
    <r>
      <rPr>
        <b/>
        <sz val="10"/>
        <rFont val="Calibri Light"/>
        <family val="2"/>
        <scheme val="major"/>
      </rPr>
      <t>TÉCNICOS</t>
    </r>
    <r>
      <rPr>
        <sz val="10"/>
        <rFont val="Calibri Light"/>
        <family val="2"/>
        <scheme val="major"/>
      </rPr>
      <t xml:space="preserve"> </t>
    </r>
    <r>
      <rPr>
        <b/>
        <sz val="10"/>
        <rFont val="Calibri Light"/>
        <family val="2"/>
        <scheme val="major"/>
      </rPr>
      <t>Y FINANCIEROS</t>
    </r>
    <r>
      <rPr>
        <sz val="10"/>
        <rFont val="Calibri Light"/>
        <family val="2"/>
        <scheme val="major"/>
      </rPr>
      <t>.</t>
    </r>
  </si>
  <si>
    <t xml:space="preserve">5to POR QUÉ: </t>
  </si>
  <si>
    <r>
      <t xml:space="preserve">El formato está diseñado para que de forma automática se formule la pregunta con la cual usted responderá el QUINTO por qué, escriba entonces la respuesta que corresponde al </t>
    </r>
    <r>
      <rPr>
        <b/>
        <i/>
        <sz val="10"/>
        <rFont val="Calibri Light"/>
        <family val="2"/>
        <scheme val="major"/>
      </rPr>
      <t>quinto</t>
    </r>
    <r>
      <rPr>
        <sz val="10"/>
        <rFont val="Calibri Light"/>
        <family val="2"/>
        <scheme val="major"/>
      </rPr>
      <t xml:space="preserve"> por qué.</t>
    </r>
  </si>
  <si>
    <t>RESPONSABLE</t>
  </si>
  <si>
    <t>Escriba aquí el responsable (Nombre y Cargo) de quien es responsable de la ejecución de las acciones formuladas</t>
  </si>
  <si>
    <t>CAUSA RAÍZ</t>
  </si>
  <si>
    <r>
      <t xml:space="preserve">La Causa Raíz se calcula de forma automática y corresponderá al ULTIMO por qué respondido, </t>
    </r>
    <r>
      <rPr>
        <b/>
        <sz val="10"/>
        <color rgb="FFFF0000"/>
        <rFont val="Calibri Light"/>
        <family val="2"/>
        <scheme val="major"/>
      </rPr>
      <t>NO ESTÁ EN LA OBLIGACIÓN</t>
    </r>
    <r>
      <rPr>
        <sz val="10"/>
        <rFont val="Calibri Light"/>
        <family val="2"/>
        <scheme val="major"/>
      </rPr>
      <t xml:space="preserve"> de dar respuesta a los cinco por qué, si considera que ha llegado a la causa raíz el sistema le mostrará la causa raíz en esta casilla. El resultado se mostrará directamente en su formato de plan de mejoramiento por lo que no necesita diligenciar nada más.
Retorne a la pestaña de </t>
    </r>
    <r>
      <rPr>
        <b/>
        <sz val="10"/>
        <rFont val="Calibri Light"/>
        <family val="2"/>
        <scheme val="major"/>
      </rPr>
      <t>FO-GC-00x PLAN DE MEJORA</t>
    </r>
    <r>
      <rPr>
        <sz val="10"/>
        <rFont val="Calibri Light"/>
        <family val="2"/>
        <scheme val="major"/>
      </rPr>
      <t xml:space="preserve"> y continúe el diigenciamiento</t>
    </r>
  </si>
  <si>
    <t>FECHA MÁXIMA DE IMPLEMENTACIÓN</t>
  </si>
  <si>
    <r>
      <t xml:space="preserve">Escriba aquí cuál es la fecha en la que se pretende alcanzar el objetivo en formato </t>
    </r>
    <r>
      <rPr>
        <b/>
        <sz val="10"/>
        <rFont val="Calibri Light"/>
        <family val="2"/>
        <scheme val="major"/>
      </rPr>
      <t>(DD/MM/AAAA)</t>
    </r>
  </si>
  <si>
    <t>RECUPERACIÓN DE EVIDENCIA</t>
  </si>
  <si>
    <r>
      <t xml:space="preserve">Aquí encontrará un enlace lo direcciona a un DRIVE en donde deberá identificar la carpeta que corresponde a su proceso y en la que deben reposar todas las evidencias de implementación de su plan de mejoramiento y sobre la cual se realizará el posterior seguimiento. </t>
    </r>
    <r>
      <rPr>
        <b/>
        <sz val="10"/>
        <color rgb="FFFF0000"/>
        <rFont val="Calibri Light"/>
        <family val="2"/>
        <scheme val="major"/>
      </rPr>
      <t>TENGA POR FAVOR CUIDADO EN LA SELECCIÓN DE SU CARPETA.</t>
    </r>
  </si>
  <si>
    <t>SEGUIMIENTO PROGRAMADO</t>
  </si>
  <si>
    <t>FECHA SEGUIMIENTO
(DD/MM/AAAA)</t>
  </si>
  <si>
    <r>
      <t xml:space="preserve">Escriba aquí cuál es la fecha en la que se realiza el seguimeinto </t>
    </r>
    <r>
      <rPr>
        <b/>
        <sz val="10"/>
        <rFont val="Calibri Light"/>
        <family val="2"/>
        <scheme val="major"/>
      </rPr>
      <t>(DD/MM/AAAA)</t>
    </r>
  </si>
  <si>
    <t>CUMPLIÓ - CIERRE DEL HALLAZGO</t>
  </si>
  <si>
    <t>Determine si para la fecha del seguimiento se han desarrollado las actividades propuestas. De ser así dele cierre al PLAN DE MEJORAMIENTO</t>
  </si>
  <si>
    <t>NO CUMPLIÓ</t>
  </si>
  <si>
    <r>
      <t xml:space="preserve">Si las actividades propuestas no se han desarrollado deberá marcar con una </t>
    </r>
    <r>
      <rPr>
        <b/>
        <sz val="10"/>
        <rFont val="Calibri Light"/>
        <family val="2"/>
        <scheme val="major"/>
      </rPr>
      <t xml:space="preserve">"X". </t>
    </r>
  </si>
  <si>
    <t>REPROGRAMACIÓN DE SEGUIMIENTO</t>
  </si>
  <si>
    <r>
      <t xml:space="preserve">Si el </t>
    </r>
    <r>
      <rPr>
        <b/>
        <sz val="10"/>
        <rFont val="Calibri Light"/>
        <family val="2"/>
        <scheme val="major"/>
      </rPr>
      <t>PLAN DE MEJORAMIENTO</t>
    </r>
    <r>
      <rPr>
        <sz val="10"/>
        <rFont val="Calibri Light"/>
        <family val="2"/>
        <scheme val="major"/>
      </rPr>
      <t xml:space="preserve"> no se ha cerrado, deberá reprogramar y dar fecha </t>
    </r>
    <r>
      <rPr>
        <b/>
        <sz val="10"/>
        <rFont val="Calibri Light"/>
        <family val="2"/>
        <scheme val="major"/>
      </rPr>
      <t>(DD/MM/AAAA),</t>
    </r>
    <r>
      <rPr>
        <sz val="10"/>
        <rFont val="Calibri Light"/>
        <family val="2"/>
        <scheme val="major"/>
      </rPr>
      <t xml:space="preserve"> para proximo seguimiento </t>
    </r>
  </si>
  <si>
    <t>1. PROCESO</t>
  </si>
  <si>
    <t>2. PROGRAMA ACADÉMICO</t>
  </si>
  <si>
    <t>PLAN DE MEJORAMIENTO INSTITUCIONAL</t>
  </si>
  <si>
    <t>HALLAZGO</t>
  </si>
  <si>
    <t>DEFINICION DE LAS ACCIONES A TOMAR</t>
  </si>
  <si>
    <t>PLAN DE ACCIÓN</t>
  </si>
  <si>
    <t>SEGUIMIENTO</t>
  </si>
  <si>
    <t>N°</t>
  </si>
  <si>
    <t>3.FUENTE</t>
  </si>
  <si>
    <r>
      <t xml:space="preserve">CRITERIO SOBRE EL CUAL VA A REALIZAN EL PLAN DE MEJORAMIENTO
</t>
    </r>
    <r>
      <rPr>
        <b/>
        <u/>
        <sz val="9"/>
        <color rgb="FFFF0000"/>
        <rFont val="Arial Narrow"/>
        <family val="2"/>
      </rPr>
      <t>(Diligencie sólo si la FUENTE es EVALUACIÓN DOCENTE)</t>
    </r>
  </si>
  <si>
    <r>
      <t xml:space="preserve">NOMBRE DEL DOCENTE
</t>
    </r>
    <r>
      <rPr>
        <b/>
        <u/>
        <sz val="9"/>
        <color rgb="FFFF0000"/>
        <rFont val="Arial Narrow"/>
        <family val="2"/>
      </rPr>
      <t>(Diligencie sólo si la FUENTE es EVALUACIÓN DOCENTE)</t>
    </r>
  </si>
  <si>
    <t>4.FECHA DE IDENTIFICACIÓN DEL HALLAZGO
(DD/MM/AAAA)</t>
  </si>
  <si>
    <t>5.TIPO DE HALLAZGO</t>
  </si>
  <si>
    <t>6.DESCRIPCION</t>
  </si>
  <si>
    <t>7. TIPO DE ACCIÓN A TOMAR
(Reacción frente al hallazgo)</t>
  </si>
  <si>
    <t>Si su respuesta en el punto 7 fue ACCIÓN INMEDIATA CORRECCIÓN, Describa brevemente cúal fue la acción tomada</t>
  </si>
  <si>
    <t>8.ANÁLISIS DE CAUSAS
(IDENTIFICACIÓN CAUSA RAÍZ)</t>
  </si>
  <si>
    <t>9. EL HALLAZGO SE HABÍA PRESENTADO ANTES?(Marque con una X)</t>
  </si>
  <si>
    <t>10. SE PUEDE VOLVER A PRESENTAR?(Marque con una X)</t>
  </si>
  <si>
    <t>11. ES NECESARIO HACER CAMBIOS A:
(Marque con una X)</t>
  </si>
  <si>
    <t>12.DESCRIPCIÓN DE LA ACCION A TOMAR
(Tenga en cuenta que incluir cuando aplique las acciones de ajuste a matriz de riesgos ocambios al SGC cuando aplique)</t>
  </si>
  <si>
    <t>13.RECURSOS</t>
  </si>
  <si>
    <t>14.RESPONSABLE</t>
  </si>
  <si>
    <t>15.FECHA MÁXIMA DE IMPLEMENTACIÓN</t>
  </si>
  <si>
    <t>16. RECUPERACIÓN DE EVIDENCIA</t>
  </si>
  <si>
    <t>17. SEGUIMIENTO PROGRAMADO</t>
  </si>
  <si>
    <t>REQUISITO DE LA NORMA - CRITERIO DE EVALUACIÓN</t>
  </si>
  <si>
    <t>SI</t>
  </si>
  <si>
    <t>NO</t>
  </si>
  <si>
    <t>NO SÉ</t>
  </si>
  <si>
    <t>MATRIZ DE RIESGOS Y OPORTUNIDADES DEL PROCESO</t>
  </si>
  <si>
    <t>AL SISTEMA DE GESTIÓN DE CALIDAD</t>
  </si>
  <si>
    <t>NINGUNO</t>
  </si>
  <si>
    <t>META</t>
  </si>
  <si>
    <t>NOMBRE</t>
  </si>
  <si>
    <t>CARGO</t>
  </si>
  <si>
    <t>(DD/MM/AAAA)</t>
  </si>
  <si>
    <t>HALLAZGO AUDITORÍA INTERNA</t>
  </si>
  <si>
    <t>NO CONFORMIDAD</t>
  </si>
  <si>
    <t>ACCIÓN DE MEJORA</t>
  </si>
  <si>
    <t xml:space="preserve">https://fupedu-my.sharepoint.com/:f:/g/personal/calidad_fup_edu_co/ErIPOjWRnmJDpNIfwYwCIckBBEZ8c-UUMbURkJEeSKieOw?e=dq0eCs  </t>
  </si>
  <si>
    <t>ACCIÓN INMEDIATA CORRECCIÓN</t>
  </si>
  <si>
    <t>ANÁLISIS DE CAUSAS - 5 POR QUÉS</t>
  </si>
  <si>
    <t>PORQUE</t>
  </si>
  <si>
    <t>TIPO
DE
HALLAZGO</t>
  </si>
  <si>
    <t>Seleccionar</t>
  </si>
  <si>
    <t xml:space="preserve">1.DO - </t>
  </si>
  <si>
    <t>Docencia</t>
  </si>
  <si>
    <t>PQRs</t>
  </si>
  <si>
    <t xml:space="preserve">1.1. RA - </t>
  </si>
  <si>
    <t>Registro Académico</t>
  </si>
  <si>
    <t>OPORTUNIDAD DE MEJORA</t>
  </si>
  <si>
    <t>ACCIÓN CORRECTIVA</t>
  </si>
  <si>
    <t xml:space="preserve">1.2. CU - </t>
  </si>
  <si>
    <t>Gestión Curricular</t>
  </si>
  <si>
    <t>HALLAZGO AUDITORIA EXTERNA</t>
  </si>
  <si>
    <t>SALIDA NO CONFORME</t>
  </si>
  <si>
    <t xml:space="preserve">2. IN - </t>
  </si>
  <si>
    <t>Investigación, Desarrollo e Innovación</t>
  </si>
  <si>
    <t>HALLAZGO AUDITORÍA CONTROL INTERNO</t>
  </si>
  <si>
    <t>3. EP -</t>
  </si>
  <si>
    <t>Extensión y Proyección Social</t>
  </si>
  <si>
    <t xml:space="preserve">3.1. EM - </t>
  </si>
  <si>
    <t>Emprendimiento</t>
  </si>
  <si>
    <t>REVISIÓN POR LA DIRECCIÓN</t>
  </si>
  <si>
    <t xml:space="preserve">3.2. GE - </t>
  </si>
  <si>
    <t>Gestión de Egresados</t>
  </si>
  <si>
    <t>ANÁLISIS DE DATOS INTERNO EN EL PROCESO</t>
  </si>
  <si>
    <t xml:space="preserve">3.3. EC - </t>
  </si>
  <si>
    <t>Educación Continuada</t>
  </si>
  <si>
    <t>EVALUACIÓN SEMESTRAL DE PROFESORES</t>
  </si>
  <si>
    <t xml:space="preserve">3.4. PE - </t>
  </si>
  <si>
    <t>Gestión de Proyectos de Extensión</t>
  </si>
  <si>
    <t xml:space="preserve">3.5. EF - </t>
  </si>
  <si>
    <t>Escuela de Formación para el TDH</t>
  </si>
  <si>
    <t>CRITERIOS DE EVALUACIÓN</t>
  </si>
  <si>
    <t xml:space="preserve">4 . DE - </t>
  </si>
  <si>
    <t>Direccionamiento Estratégico</t>
  </si>
  <si>
    <t>1 El Profesor respecto a la metodología:</t>
  </si>
  <si>
    <t xml:space="preserve">4.1. PL - </t>
  </si>
  <si>
    <t>Planeación Institucional</t>
  </si>
  <si>
    <t>1.1 ¿El tiempo asignado para la evaluación es adecuado?</t>
  </si>
  <si>
    <t xml:space="preserve">4.2. SI - </t>
  </si>
  <si>
    <t>Gestión de Sistemas de Información</t>
  </si>
  <si>
    <t>1.2 ¿Entrega plan de la asignatura al inicio del curso? (Contenido programático)</t>
  </si>
  <si>
    <t xml:space="preserve">4.3. PF - </t>
  </si>
  <si>
    <t>Gestión de Proyectos Institucionales</t>
  </si>
  <si>
    <t>PROGRAMAS ACADÉMICOS</t>
  </si>
  <si>
    <t>1.3 ¿Es claro en el planteamiento de las evaluaciones?</t>
  </si>
  <si>
    <t xml:space="preserve">4.4. GC - </t>
  </si>
  <si>
    <t>Gestión de Calidad</t>
  </si>
  <si>
    <t>PPN-Arquitectura</t>
  </si>
  <si>
    <t>1.4 ¿La bibliografía o fuentes de información suministrada es coherente con la temática del curso?</t>
  </si>
  <si>
    <t xml:space="preserve">5. AC - </t>
  </si>
  <si>
    <t>Aseguramiento de la Calidad</t>
  </si>
  <si>
    <t>PPN-Ingeniería de Sistemas</t>
  </si>
  <si>
    <t>1.5 ¿La retroalimentación de las evaluaciones y trabajos permite evidenciar los errores del estudiante y mejorar resultados de aprendizaje?</t>
  </si>
  <si>
    <t xml:space="preserve">5.1. AU - </t>
  </si>
  <si>
    <t>Autoevaluación Institucional</t>
  </si>
  <si>
    <t xml:space="preserve">PPN-Ingeniería Industrial </t>
  </si>
  <si>
    <t>1.6 ¿Promueve la investigación?</t>
  </si>
  <si>
    <t xml:space="preserve">5.2. RC - </t>
  </si>
  <si>
    <t>Registro Calificado</t>
  </si>
  <si>
    <t>PPN-Ingeniería Agroecológica</t>
  </si>
  <si>
    <t>1.7 ¿Realiza diferentes evaluaciones por cada nota sumativa?</t>
  </si>
  <si>
    <t xml:space="preserve">6. VN - </t>
  </si>
  <si>
    <t>Visibilidad Nacional e Internacional</t>
  </si>
  <si>
    <t>PPN-Comunicación Social</t>
  </si>
  <si>
    <t>1.8 ¿Socializa las fechas de parciales según calendario académico?</t>
  </si>
  <si>
    <t xml:space="preserve">6.1. VN - </t>
  </si>
  <si>
    <t>Relaciones Interinstitucionales - ORI</t>
  </si>
  <si>
    <t>PPN-Derecho</t>
  </si>
  <si>
    <t>2 El Profesor respecto a las relaciones interpersonales:</t>
  </si>
  <si>
    <t xml:space="preserve">6.2. MA - </t>
  </si>
  <si>
    <t>Mercadeo - Admisiones</t>
  </si>
  <si>
    <t>PPN-Psicología</t>
  </si>
  <si>
    <t>2.1 ¿El ambiente de trabajo promovido por el docente aportó al aprendizaje?</t>
  </si>
  <si>
    <t xml:space="preserve">6.3. CO - </t>
  </si>
  <si>
    <t>Comunicaciones Institucional</t>
  </si>
  <si>
    <t>PPN-Trabajo Social</t>
  </si>
  <si>
    <t>2.2 ¿Respeta a los estudiantes?</t>
  </si>
  <si>
    <t xml:space="preserve">7. BI - </t>
  </si>
  <si>
    <t>Bienestar Institucional</t>
  </si>
  <si>
    <t>PPN-Administración de Empresas</t>
  </si>
  <si>
    <t>2.3 ¿Respeta los acuerdos establecidos?</t>
  </si>
  <si>
    <t xml:space="preserve">8. GH - </t>
  </si>
  <si>
    <t>Gestión Humana</t>
  </si>
  <si>
    <t>PPN-Contaduría Pública</t>
  </si>
  <si>
    <t>2.4 ¿Tiene buenas relaciones interpersonales dentro y fuera de la clase?</t>
  </si>
  <si>
    <t xml:space="preserve">8.1. TH - </t>
  </si>
  <si>
    <t>Gestión del Talento Humano</t>
  </si>
  <si>
    <t>PPN-Administracción de Empresas Agropecuarias</t>
  </si>
  <si>
    <t>2.5 ¿Tiene disposición para atender consultas?</t>
  </si>
  <si>
    <t xml:space="preserve">8.2. ST - </t>
  </si>
  <si>
    <t>Gestión de Seguridad y Salud en el Trabajo</t>
  </si>
  <si>
    <t>PPN-Ecología</t>
  </si>
  <si>
    <t>3 El Profesor respecto al compromiso:</t>
  </si>
  <si>
    <t xml:space="preserve">9. GF - </t>
  </si>
  <si>
    <t>Gestión Administrativa y Financiera</t>
  </si>
  <si>
    <t>PPN-LEAC</t>
  </si>
  <si>
    <t>3.1 ¿Asiste puntual a las clases?</t>
  </si>
  <si>
    <t xml:space="preserve">9.1. GF - </t>
  </si>
  <si>
    <t>Gestión Financiera</t>
  </si>
  <si>
    <t>STQ-Arquitectura</t>
  </si>
  <si>
    <t>3.2 ¿Cumple con los plazos establecidos para el registro de notas?</t>
  </si>
  <si>
    <t xml:space="preserve">9.2. GA - </t>
  </si>
  <si>
    <t>Gestión Administrativa</t>
  </si>
  <si>
    <t>STQ-LEAC</t>
  </si>
  <si>
    <t>3.3 ¿Es puntual en la entrega y socialización de calificaciones?</t>
  </si>
  <si>
    <t xml:space="preserve">9.3. CT - </t>
  </si>
  <si>
    <t>Gestión Contable y Tesorería</t>
  </si>
  <si>
    <t>STQ-Ingeniería Industrial</t>
  </si>
  <si>
    <t>3.4 ¿Es puntual en los tiempos previstos con el planeador y bitácora de la materia?</t>
  </si>
  <si>
    <t xml:space="preserve">10. GL - </t>
  </si>
  <si>
    <t>Gestión Legal y Documental</t>
  </si>
  <si>
    <t>STQ-Derecho</t>
  </si>
  <si>
    <t>4 El Profesor respecto al dominio del tema:</t>
  </si>
  <si>
    <t xml:space="preserve">10.1. GL - </t>
  </si>
  <si>
    <t>Gestión Legal</t>
  </si>
  <si>
    <t xml:space="preserve">STQ-Trabajo Social </t>
  </si>
  <si>
    <t>4.1 ¿Domina y es competente en la tematica?</t>
  </si>
  <si>
    <t xml:space="preserve">10.2. GD - </t>
  </si>
  <si>
    <t>Gestión Documental</t>
  </si>
  <si>
    <t>STQ-Psicología</t>
  </si>
  <si>
    <t>4.2 ¿Es objetivo en sus evaluaciones?</t>
  </si>
  <si>
    <t xml:space="preserve">11. GR - </t>
  </si>
  <si>
    <t>Gestión de Recursos</t>
  </si>
  <si>
    <t>4.3 ¿Fomenta la participación y la creatividad?</t>
  </si>
  <si>
    <t xml:space="preserve">11.1. RE - </t>
  </si>
  <si>
    <t>Recursos Educativos</t>
  </si>
  <si>
    <t>4.4 ¿Hace uso de tecnologías de la información y otros recursos para apoyar el proceso de aprendizaje?</t>
  </si>
  <si>
    <t xml:space="preserve">11.2. RT - </t>
  </si>
  <si>
    <t>Recursos Tecnológicos</t>
  </si>
  <si>
    <t>4.5 ¿La explicación es clara y comprensible?</t>
  </si>
  <si>
    <t xml:space="preserve">11.3. RF - </t>
  </si>
  <si>
    <t>Recursos Físicos</t>
  </si>
  <si>
    <t>4.6 ¿Muestra interés por la formación integral del estudiante?</t>
  </si>
  <si>
    <t>4.7 ¿Relaciona la temática con temas de actualidad y contexto?</t>
  </si>
  <si>
    <t>4.8 ¿Utiliza diferentes formas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</si>
</sst>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6" x14ac:knownFonts="1">
    <font>
      <sz val="10"/>
      <name val="Arial"/>
      <family val="2"/>
    </font>
    <font>
      <sz val="10"/>
      <name val="Arial"/>
      <family val="2"/>
    </font>
    <font>
      <sz val="9"/>
      <name val="Arial"/>
      <family val="2"/>
    </font>
    <font>
      <sz val="8"/>
      <name val="Arial"/>
      <family val="2"/>
    </font>
    <font>
      <b/>
      <sz val="8"/>
      <name val="Arial"/>
      <family val="2"/>
    </font>
    <font>
      <b/>
      <sz val="9"/>
      <name val="Arial"/>
      <family val="2"/>
    </font>
    <font>
      <b/>
      <sz val="8"/>
      <color rgb="FF0000CC"/>
      <name val="Arial"/>
      <family val="2"/>
    </font>
    <font>
      <sz val="8"/>
      <color theme="1"/>
      <name val="Arial"/>
      <family val="2"/>
    </font>
    <font>
      <b/>
      <sz val="9"/>
      <color indexed="81"/>
      <name val="Tahoma"/>
      <family val="2"/>
    </font>
    <font>
      <sz val="9"/>
      <color indexed="81"/>
      <name val="Tahoma"/>
      <family val="2"/>
    </font>
    <font>
      <sz val="11"/>
      <color theme="1"/>
      <name val="Calibri"/>
      <family val="2"/>
    </font>
    <font>
      <b/>
      <sz val="11"/>
      <color rgb="FF3F3F3F"/>
      <name val="Calibri"/>
      <family val="2"/>
    </font>
    <font>
      <sz val="11"/>
      <color theme="1"/>
      <name val="Calibri Light"/>
      <family val="2"/>
      <scheme val="major"/>
    </font>
    <font>
      <b/>
      <sz val="24"/>
      <color theme="0"/>
      <name val="Calibri Light"/>
      <family val="2"/>
      <scheme val="major"/>
    </font>
    <font>
      <b/>
      <sz val="14"/>
      <color theme="0"/>
      <name val="Calibri Light"/>
      <family val="2"/>
      <scheme val="major"/>
    </font>
    <font>
      <b/>
      <sz val="22"/>
      <color theme="1"/>
      <name val="Calibri Light"/>
      <family val="2"/>
      <scheme val="major"/>
    </font>
    <font>
      <b/>
      <sz val="22"/>
      <color theme="0"/>
      <name val="Calibri Light"/>
      <family val="2"/>
      <scheme val="major"/>
    </font>
    <font>
      <b/>
      <sz val="11"/>
      <color rgb="FF3F3F3F"/>
      <name val="Calibri Light"/>
      <family val="2"/>
      <scheme val="major"/>
    </font>
    <font>
      <sz val="10"/>
      <color theme="1"/>
      <name val="Calibri Light"/>
      <family val="2"/>
      <scheme val="major"/>
    </font>
    <font>
      <b/>
      <sz val="10"/>
      <color theme="1"/>
      <name val="Calibri Light"/>
      <family val="2"/>
      <scheme val="major"/>
    </font>
    <font>
      <sz val="10"/>
      <color theme="0"/>
      <name val="Calibri Light"/>
      <family val="2"/>
      <scheme val="major"/>
    </font>
    <font>
      <sz val="10"/>
      <name val="Calibri Light"/>
      <family val="2"/>
      <scheme val="major"/>
    </font>
    <font>
      <b/>
      <sz val="6"/>
      <color indexed="8"/>
      <name val="Calibri Light"/>
      <family val="2"/>
      <scheme val="major"/>
    </font>
    <font>
      <b/>
      <sz val="11"/>
      <color theme="1"/>
      <name val="Calibri Light"/>
      <family val="2"/>
      <scheme val="major"/>
    </font>
    <font>
      <b/>
      <sz val="10"/>
      <color theme="0"/>
      <name val="Calibri Light"/>
      <family val="2"/>
      <scheme val="major"/>
    </font>
    <font>
      <b/>
      <sz val="10"/>
      <color rgb="FFFF0000"/>
      <name val="Calibri Light"/>
      <family val="2"/>
      <scheme val="major"/>
    </font>
    <font>
      <b/>
      <sz val="8"/>
      <color theme="0"/>
      <name val="Arial Black"/>
      <family val="2"/>
    </font>
    <font>
      <b/>
      <sz val="8"/>
      <color indexed="8"/>
      <name val="Calibri Light"/>
      <family val="2"/>
      <scheme val="major"/>
    </font>
    <font>
      <b/>
      <sz val="9"/>
      <color indexed="8"/>
      <name val="Calibri Light"/>
      <family val="2"/>
      <scheme val="major"/>
    </font>
    <font>
      <b/>
      <sz val="7"/>
      <color indexed="8"/>
      <name val="Calibri Light"/>
      <family val="2"/>
      <scheme val="major"/>
    </font>
    <font>
      <b/>
      <sz val="10"/>
      <name val="Calibri Light"/>
      <family val="2"/>
      <scheme val="major"/>
    </font>
    <font>
      <b/>
      <i/>
      <sz val="10"/>
      <name val="Calibri Light"/>
      <family val="2"/>
      <scheme val="major"/>
    </font>
    <font>
      <b/>
      <sz val="8"/>
      <color rgb="FF00B050"/>
      <name val="Arial Black"/>
      <family val="2"/>
    </font>
    <font>
      <b/>
      <sz val="11"/>
      <color theme="0"/>
      <name val="Calibri Light"/>
      <family val="2"/>
      <scheme val="major"/>
    </font>
    <font>
      <b/>
      <sz val="8"/>
      <name val="Calibri Light"/>
      <family val="2"/>
      <scheme val="major"/>
    </font>
    <font>
      <b/>
      <sz val="10"/>
      <color theme="0"/>
      <name val="Arial"/>
      <family val="2"/>
    </font>
    <font>
      <b/>
      <sz val="8"/>
      <name val="Arial Narrow"/>
      <family val="2"/>
    </font>
    <font>
      <sz val="8"/>
      <name val="Arial Narrow"/>
      <family val="2"/>
    </font>
    <font>
      <sz val="7"/>
      <name val="Arial Narrow"/>
      <family val="2"/>
    </font>
    <font>
      <b/>
      <sz val="7"/>
      <color theme="0"/>
      <name val="Arial Narrow"/>
      <family val="2"/>
    </font>
    <font>
      <b/>
      <sz val="7"/>
      <name val="Arial Narrow"/>
      <family val="2"/>
    </font>
    <font>
      <sz val="7"/>
      <name val="Calibri Light"/>
      <family val="2"/>
      <scheme val="major"/>
    </font>
    <font>
      <b/>
      <sz val="22"/>
      <name val="Calibri Light"/>
      <family val="2"/>
      <scheme val="major"/>
    </font>
    <font>
      <sz val="9"/>
      <name val="Arial Narrow"/>
      <family val="2"/>
    </font>
    <font>
      <b/>
      <sz val="9"/>
      <name val="Arial Narrow"/>
      <family val="2"/>
    </font>
    <font>
      <b/>
      <sz val="9"/>
      <color indexed="8"/>
      <name val="Arial Narrow"/>
      <family val="2"/>
    </font>
    <font>
      <sz val="10"/>
      <name val="Arial Narrow"/>
      <family val="2"/>
    </font>
    <font>
      <b/>
      <sz val="10"/>
      <color theme="0"/>
      <name val="Arial Narrow"/>
      <family val="2"/>
    </font>
    <font>
      <b/>
      <sz val="10"/>
      <color rgb="FF002060"/>
      <name val="Arial Narrow"/>
      <family val="2"/>
    </font>
    <font>
      <u/>
      <sz val="10"/>
      <color theme="10"/>
      <name val="Arial"/>
      <family val="2"/>
    </font>
    <font>
      <b/>
      <u/>
      <sz val="9"/>
      <color rgb="FFFF0000"/>
      <name val="Arial Narrow"/>
      <family val="2"/>
    </font>
    <font>
      <sz val="9"/>
      <color theme="1"/>
      <name val="Calibri"/>
      <family val="2"/>
      <scheme val="minor"/>
    </font>
    <font>
      <b/>
      <sz val="8"/>
      <color indexed="8"/>
      <name val="Arial Narrow"/>
      <family val="2"/>
    </font>
    <font>
      <b/>
      <sz val="7"/>
      <color indexed="8"/>
      <name val="Arial Narrow"/>
      <family val="2"/>
    </font>
    <font>
      <b/>
      <sz val="10"/>
      <name val="Arial"/>
      <family val="2"/>
    </font>
    <font>
      <sz val="10"/>
      <name val="Calibri Light"/>
      <family val="2"/>
    </font>
  </fonts>
  <fills count="2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2F2F2"/>
      </patternFill>
    </fill>
    <fill>
      <patternFill patternType="solid">
        <fgColor rgb="FFFFFFCC"/>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00B0F0"/>
        <bgColor indexed="64"/>
      </patternFill>
    </fill>
    <fill>
      <patternFill patternType="lightTrellis">
        <bgColor rgb="FF33CCFF"/>
      </patternFill>
    </fill>
    <fill>
      <patternFill patternType="solid">
        <fgColor rgb="FF7030A0"/>
        <bgColor indexed="64"/>
      </patternFill>
    </fill>
    <fill>
      <patternFill patternType="solid">
        <fgColor rgb="FFFF00FF"/>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002060"/>
        <bgColor indexed="64"/>
      </patternFill>
    </fill>
    <fill>
      <patternFill patternType="solid">
        <fgColor rgb="FF33CCFF"/>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005490"/>
        <bgColor indexed="64"/>
      </patternFill>
    </fill>
    <fill>
      <patternFill patternType="solid">
        <fgColor theme="2"/>
        <bgColor indexed="64"/>
      </patternFill>
    </fill>
    <fill>
      <patternFill patternType="solid">
        <fgColor theme="0" tint="-4.9989318521683403E-2"/>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rgb="FF3F3F3F"/>
      </left>
      <right style="thin">
        <color rgb="FF3F3F3F"/>
      </right>
      <top style="thin">
        <color rgb="FF3F3F3F"/>
      </top>
      <bottom style="thin">
        <color rgb="FF3F3F3F"/>
      </bottom>
      <diagonal/>
    </border>
    <border>
      <left style="thin">
        <color rgb="FF0000CC"/>
      </left>
      <right style="thin">
        <color rgb="FF0000CC"/>
      </right>
      <top style="thin">
        <color rgb="FF0000CC"/>
      </top>
      <bottom style="hair">
        <color rgb="FF0000CC"/>
      </bottom>
      <diagonal/>
    </border>
    <border>
      <left style="thin">
        <color rgb="FF0000CC"/>
      </left>
      <right style="thin">
        <color rgb="FF0000CC"/>
      </right>
      <top style="hair">
        <color rgb="FF0000CC"/>
      </top>
      <bottom style="hair">
        <color rgb="FF0000CC"/>
      </bottom>
      <diagonal/>
    </border>
    <border>
      <left style="thin">
        <color rgb="FF0000CC"/>
      </left>
      <right style="thin">
        <color rgb="FF0000CC"/>
      </right>
      <top style="hair">
        <color rgb="FF0000CC"/>
      </top>
      <bottom/>
      <diagonal/>
    </border>
    <border>
      <left style="thin">
        <color rgb="FF0000CC"/>
      </left>
      <right style="thin">
        <color rgb="FF0000CC"/>
      </right>
      <top style="hair">
        <color rgb="FF0000CC"/>
      </top>
      <bottom style="thin">
        <color rgb="FF0000CC"/>
      </bottom>
      <diagonal/>
    </border>
    <border>
      <left style="thin">
        <color rgb="FF0000CC"/>
      </left>
      <right style="thin">
        <color rgb="FF0000CC"/>
      </right>
      <top style="thin">
        <color rgb="FF0000CC"/>
      </top>
      <bottom style="thin">
        <color rgb="FF0000CC"/>
      </bottom>
      <diagonal/>
    </border>
    <border>
      <left style="thin">
        <color rgb="FF0000CC"/>
      </left>
      <right style="thin">
        <color rgb="FF0000CC"/>
      </right>
      <top/>
      <bottom style="hair">
        <color rgb="FF0000CC"/>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dotted">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style="dotted">
        <color indexed="64"/>
      </top>
      <bottom style="dotted">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hair">
        <color rgb="FF3F3F3F"/>
      </left>
      <right style="hair">
        <color rgb="FF3F3F3F"/>
      </right>
      <top style="hair">
        <color rgb="FF3F3F3F"/>
      </top>
      <bottom style="hair">
        <color rgb="FF3F3F3F"/>
      </bottom>
      <diagonal/>
    </border>
    <border>
      <left style="thin">
        <color rgb="FF3F3F3F"/>
      </left>
      <right style="thin">
        <color rgb="FF3F3F3F"/>
      </right>
      <top style="thin">
        <color rgb="FF3F3F3F"/>
      </top>
      <bottom/>
      <diagonal/>
    </border>
    <border>
      <left style="hair">
        <color rgb="FF3F3F3F"/>
      </left>
      <right style="hair">
        <color rgb="FF3F3F3F"/>
      </right>
      <top/>
      <bottom style="hair">
        <color rgb="FF3F3F3F"/>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thin">
        <color indexed="64"/>
      </bottom>
      <diagonal/>
    </border>
    <border>
      <left style="dotted">
        <color indexed="64"/>
      </left>
      <right style="medium">
        <color indexed="64"/>
      </right>
      <top style="medium">
        <color indexed="64"/>
      </top>
      <bottom style="dotted">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hair">
        <color indexed="64"/>
      </right>
      <top style="thin">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thin">
        <color indexed="64"/>
      </bottom>
      <diagonal/>
    </border>
    <border>
      <left/>
      <right style="medium">
        <color indexed="64"/>
      </right>
      <top style="dotted">
        <color indexed="64"/>
      </top>
      <bottom/>
      <diagonal/>
    </border>
    <border>
      <left style="dotted">
        <color indexed="64"/>
      </left>
      <right style="medium">
        <color indexed="64"/>
      </right>
      <top/>
      <bottom style="dotted">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double">
        <color indexed="64"/>
      </bottom>
      <diagonal/>
    </border>
    <border>
      <left style="thin">
        <color indexed="64"/>
      </left>
      <right style="thin">
        <color indexed="64"/>
      </right>
      <top/>
      <bottom style="thin">
        <color rgb="FF000000"/>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s>
  <cellStyleXfs count="5">
    <xf numFmtId="0" fontId="0" fillId="0" borderId="0"/>
    <xf numFmtId="0" fontId="1" fillId="0" borderId="0"/>
    <xf numFmtId="0" fontId="10" fillId="0" borderId="0"/>
    <xf numFmtId="0" fontId="11" fillId="6" borderId="5" applyNumberFormat="0" applyAlignment="0" applyProtection="0"/>
    <xf numFmtId="0" fontId="49" fillId="0" borderId="0" applyNumberFormat="0" applyFill="0" applyBorder="0" applyAlignment="0" applyProtection="0"/>
  </cellStyleXfs>
  <cellXfs count="266">
    <xf numFmtId="0" fontId="0" fillId="0" borderId="0" xfId="0"/>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0" fillId="0" borderId="0" xfId="0" applyAlignment="1">
      <alignment vertical="center"/>
    </xf>
    <xf numFmtId="0" fontId="3" fillId="0" borderId="0" xfId="0" applyFont="1" applyAlignment="1">
      <alignment vertical="center"/>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6" fillId="7" borderId="6" xfId="0" applyFont="1" applyFill="1" applyBorder="1" applyAlignment="1">
      <alignment horizontal="left" vertical="center" wrapText="1"/>
    </xf>
    <xf numFmtId="0" fontId="6" fillId="7" borderId="6" xfId="0" applyFont="1" applyFill="1" applyBorder="1" applyAlignment="1">
      <alignment vertical="center" wrapText="1"/>
    </xf>
    <xf numFmtId="0" fontId="7" fillId="7" borderId="7" xfId="0" applyFont="1" applyFill="1" applyBorder="1" applyAlignment="1">
      <alignment horizontal="left" vertical="center" wrapText="1"/>
    </xf>
    <xf numFmtId="0" fontId="7" fillId="7" borderId="7" xfId="0" applyFont="1" applyFill="1" applyBorder="1" applyAlignment="1">
      <alignment vertical="center" wrapText="1"/>
    </xf>
    <xf numFmtId="0" fontId="7" fillId="7" borderId="8" xfId="0" applyFont="1" applyFill="1" applyBorder="1" applyAlignment="1">
      <alignment horizontal="left" vertical="center" wrapText="1"/>
    </xf>
    <xf numFmtId="0" fontId="7" fillId="7" borderId="8" xfId="0" applyFont="1" applyFill="1" applyBorder="1" applyAlignment="1">
      <alignment vertical="center" wrapText="1"/>
    </xf>
    <xf numFmtId="0" fontId="7" fillId="7" borderId="9" xfId="0" applyFont="1" applyFill="1" applyBorder="1" applyAlignment="1">
      <alignment horizontal="left" vertical="center" wrapText="1"/>
    </xf>
    <xf numFmtId="0" fontId="7" fillId="7" borderId="9" xfId="0" applyFont="1" applyFill="1" applyBorder="1" applyAlignment="1">
      <alignment vertical="center" wrapText="1"/>
    </xf>
    <xf numFmtId="0" fontId="6" fillId="8" borderId="6" xfId="0" applyFont="1" applyFill="1" applyBorder="1" applyAlignment="1">
      <alignment horizontal="left" vertical="center" wrapText="1"/>
    </xf>
    <xf numFmtId="0" fontId="6" fillId="8" borderId="6" xfId="0" applyFont="1" applyFill="1" applyBorder="1" applyAlignment="1">
      <alignment vertical="center" wrapText="1"/>
    </xf>
    <xf numFmtId="0" fontId="7" fillId="8" borderId="7" xfId="0" applyFont="1" applyFill="1" applyBorder="1" applyAlignment="1">
      <alignment horizontal="left" vertical="center" wrapText="1"/>
    </xf>
    <xf numFmtId="0" fontId="7" fillId="8" borderId="7" xfId="0" applyFont="1" applyFill="1" applyBorder="1" applyAlignment="1">
      <alignment vertical="center" wrapText="1"/>
    </xf>
    <xf numFmtId="0" fontId="7" fillId="8" borderId="9" xfId="0" applyFont="1" applyFill="1" applyBorder="1" applyAlignment="1">
      <alignment horizontal="left" vertical="center" wrapText="1"/>
    </xf>
    <xf numFmtId="0" fontId="7" fillId="8" borderId="9" xfId="0" applyFont="1" applyFill="1" applyBorder="1" applyAlignment="1">
      <alignment vertical="center" wrapText="1"/>
    </xf>
    <xf numFmtId="0" fontId="6" fillId="8" borderId="10" xfId="0" applyFont="1" applyFill="1" applyBorder="1" applyAlignment="1">
      <alignment horizontal="left" vertical="center" wrapText="1"/>
    </xf>
    <xf numFmtId="0" fontId="6" fillId="8" borderId="10" xfId="0" applyFont="1" applyFill="1" applyBorder="1" applyAlignment="1">
      <alignment vertical="center" wrapText="1"/>
    </xf>
    <xf numFmtId="0" fontId="6" fillId="9" borderId="6" xfId="0" applyFont="1" applyFill="1" applyBorder="1" applyAlignment="1">
      <alignment horizontal="left" vertical="center" wrapText="1"/>
    </xf>
    <xf numFmtId="0" fontId="6" fillId="9" borderId="6" xfId="0" applyFont="1" applyFill="1" applyBorder="1" applyAlignment="1">
      <alignment vertical="center" wrapText="1"/>
    </xf>
    <xf numFmtId="0" fontId="7" fillId="9" borderId="7" xfId="0" applyFont="1" applyFill="1" applyBorder="1" applyAlignment="1">
      <alignment horizontal="left" vertical="center" wrapText="1"/>
    </xf>
    <xf numFmtId="0" fontId="7" fillId="9" borderId="7" xfId="0" applyFont="1" applyFill="1" applyBorder="1" applyAlignment="1">
      <alignment vertical="center" wrapText="1"/>
    </xf>
    <xf numFmtId="0" fontId="7" fillId="9" borderId="9" xfId="0" applyFont="1" applyFill="1" applyBorder="1" applyAlignment="1">
      <alignment horizontal="left" vertical="center" wrapText="1"/>
    </xf>
    <xf numFmtId="0" fontId="7" fillId="9" borderId="9" xfId="0" applyFont="1" applyFill="1" applyBorder="1" applyAlignment="1">
      <alignment vertical="center" wrapText="1"/>
    </xf>
    <xf numFmtId="0" fontId="6" fillId="9" borderId="11" xfId="0" applyFont="1" applyFill="1" applyBorder="1" applyAlignment="1">
      <alignment horizontal="left" vertical="center" wrapText="1"/>
    </xf>
    <xf numFmtId="0" fontId="6" fillId="9" borderId="11" xfId="0" applyFont="1" applyFill="1" applyBorder="1" applyAlignment="1">
      <alignment vertical="center" wrapText="1"/>
    </xf>
    <xf numFmtId="0" fontId="0" fillId="0" borderId="0" xfId="0" applyAlignment="1">
      <alignment horizontal="center" vertical="center" wrapText="1"/>
    </xf>
    <xf numFmtId="0" fontId="12" fillId="0" borderId="0" xfId="2" applyFont="1" applyAlignment="1">
      <alignment horizontal="center" vertical="center"/>
    </xf>
    <xf numFmtId="0" fontId="12" fillId="0" borderId="0" xfId="2" applyFont="1"/>
    <xf numFmtId="0" fontId="12" fillId="0" borderId="0" xfId="2" applyFont="1" applyAlignment="1">
      <alignment vertical="center"/>
    </xf>
    <xf numFmtId="0" fontId="18" fillId="0" borderId="0" xfId="2" applyFont="1"/>
    <xf numFmtId="0" fontId="18" fillId="0" borderId="0" xfId="2" applyFont="1" applyAlignment="1">
      <alignment horizontal="center" vertical="center"/>
    </xf>
    <xf numFmtId="0" fontId="18" fillId="0" borderId="0" xfId="2" applyFont="1" applyAlignment="1">
      <alignment vertical="center"/>
    </xf>
    <xf numFmtId="0" fontId="18" fillId="0" borderId="0" xfId="2" applyFont="1" applyAlignment="1">
      <alignment horizontal="left" vertical="center"/>
    </xf>
    <xf numFmtId="0" fontId="20" fillId="0" borderId="0" xfId="2" applyFont="1" applyAlignment="1">
      <alignment horizontal="left" vertical="center"/>
    </xf>
    <xf numFmtId="0" fontId="18" fillId="0" borderId="0" xfId="2" applyFont="1" applyAlignment="1">
      <alignment horizontal="center" vertical="center" wrapText="1"/>
    </xf>
    <xf numFmtId="0" fontId="19" fillId="0" borderId="0" xfId="2" applyFont="1" applyAlignment="1">
      <alignment horizontal="center" vertical="center" textRotation="90"/>
    </xf>
    <xf numFmtId="0" fontId="18" fillId="0" borderId="0" xfId="2" applyFont="1" applyAlignment="1" applyProtection="1">
      <alignment horizontal="center" vertical="center" wrapText="1"/>
      <protection locked="0"/>
    </xf>
    <xf numFmtId="0" fontId="18" fillId="0" borderId="0" xfId="2" applyFont="1" applyAlignment="1" applyProtection="1">
      <alignment horizontal="center" vertical="center"/>
      <protection locked="0"/>
    </xf>
    <xf numFmtId="0" fontId="21" fillId="0" borderId="0" xfId="0" applyFont="1" applyAlignment="1">
      <alignment vertical="center" wrapText="1"/>
    </xf>
    <xf numFmtId="0" fontId="21" fillId="0" borderId="0" xfId="0" applyFont="1" applyAlignment="1">
      <alignment horizontal="center" vertical="center" wrapText="1"/>
    </xf>
    <xf numFmtId="0" fontId="23" fillId="0" borderId="0" xfId="2" applyFont="1" applyAlignment="1">
      <alignment horizontal="center" vertical="center"/>
    </xf>
    <xf numFmtId="0" fontId="19" fillId="0" borderId="0" xfId="2" applyFont="1" applyAlignment="1">
      <alignment horizontal="center" vertical="center"/>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17" fillId="4" borderId="5" xfId="3" applyFont="1" applyFill="1" applyAlignment="1" applyProtection="1">
      <alignment horizontal="center" vertical="center"/>
    </xf>
    <xf numFmtId="0" fontId="33" fillId="17" borderId="5" xfId="3" applyFont="1" applyFill="1" applyAlignment="1" applyProtection="1">
      <alignment horizontal="center" vertical="center"/>
    </xf>
    <xf numFmtId="0" fontId="27" fillId="12" borderId="3" xfId="0" applyFont="1" applyFill="1" applyBorder="1" applyAlignment="1">
      <alignment horizontal="left" vertical="center" wrapText="1"/>
    </xf>
    <xf numFmtId="0" fontId="29" fillId="12" borderId="3" xfId="0" applyFont="1" applyFill="1" applyBorder="1" applyAlignment="1">
      <alignment horizontal="left" vertical="center" wrapText="1"/>
    </xf>
    <xf numFmtId="0" fontId="30" fillId="0" borderId="0" xfId="0" applyFont="1" applyAlignment="1">
      <alignment vertical="center" wrapText="1"/>
    </xf>
    <xf numFmtId="0" fontId="3" fillId="0" borderId="1" xfId="0" applyFont="1" applyBorder="1" applyAlignment="1">
      <alignment vertical="center"/>
    </xf>
    <xf numFmtId="0" fontId="37"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horizontal="center" vertical="center" wrapText="1"/>
    </xf>
    <xf numFmtId="0" fontId="34" fillId="25" borderId="30" xfId="0" applyFont="1" applyFill="1" applyBorder="1" applyAlignment="1">
      <alignment horizontal="left" vertical="center" wrapText="1"/>
    </xf>
    <xf numFmtId="0" fontId="21" fillId="24" borderId="0" xfId="0" applyFont="1" applyFill="1" applyAlignment="1">
      <alignment vertical="center" wrapText="1"/>
    </xf>
    <xf numFmtId="0" fontId="21" fillId="24" borderId="0" xfId="0" applyFont="1" applyFill="1" applyAlignment="1">
      <alignment horizontal="center" vertical="center" wrapText="1"/>
    </xf>
    <xf numFmtId="0" fontId="21" fillId="24" borderId="0" xfId="0" applyFont="1" applyFill="1" applyAlignment="1">
      <alignment horizontal="center" vertical="center"/>
    </xf>
    <xf numFmtId="0" fontId="21" fillId="0" borderId="36" xfId="0" applyFont="1" applyBorder="1" applyAlignment="1">
      <alignment horizontal="center" vertical="center" wrapText="1"/>
    </xf>
    <xf numFmtId="0" fontId="21" fillId="0" borderId="37" xfId="0" applyFont="1" applyBorder="1" applyAlignment="1">
      <alignment vertical="center" wrapText="1"/>
    </xf>
    <xf numFmtId="0" fontId="32" fillId="0" borderId="37" xfId="0" applyFont="1" applyBorder="1" applyAlignment="1">
      <alignment vertical="center" wrapText="1"/>
    </xf>
    <xf numFmtId="0" fontId="21" fillId="21" borderId="41" xfId="0" applyFont="1" applyFill="1" applyBorder="1" applyAlignment="1">
      <alignment vertical="center" wrapText="1"/>
    </xf>
    <xf numFmtId="0" fontId="21" fillId="0" borderId="42" xfId="0" applyFont="1" applyBorder="1" applyAlignment="1">
      <alignment horizontal="center" vertical="center" wrapText="1"/>
    </xf>
    <xf numFmtId="0" fontId="21" fillId="0" borderId="45" xfId="0" applyFont="1" applyBorder="1" applyAlignment="1">
      <alignment vertical="center" wrapText="1"/>
    </xf>
    <xf numFmtId="0" fontId="33" fillId="17" borderId="46" xfId="3" applyFont="1" applyFill="1" applyBorder="1" applyAlignment="1" applyProtection="1">
      <alignment horizontal="center" vertical="center"/>
    </xf>
    <xf numFmtId="0" fontId="21" fillId="0" borderId="47" xfId="0" applyFont="1" applyBorder="1" applyAlignment="1">
      <alignment vertical="center" wrapText="1"/>
    </xf>
    <xf numFmtId="0" fontId="17" fillId="4" borderId="48" xfId="3" applyFont="1" applyFill="1" applyBorder="1" applyAlignment="1" applyProtection="1">
      <alignment horizontal="center" vertical="center"/>
    </xf>
    <xf numFmtId="0" fontId="21" fillId="0" borderId="49" xfId="0" applyFont="1" applyBorder="1" applyAlignment="1">
      <alignment vertical="center" wrapText="1"/>
    </xf>
    <xf numFmtId="0" fontId="30" fillId="13" borderId="36" xfId="0" applyFont="1" applyFill="1" applyBorder="1" applyAlignment="1">
      <alignment horizontal="center" vertical="center"/>
    </xf>
    <xf numFmtId="0" fontId="21" fillId="0" borderId="50" xfId="0" applyFont="1" applyBorder="1" applyAlignment="1">
      <alignment vertical="center" wrapText="1"/>
    </xf>
    <xf numFmtId="0" fontId="24" fillId="15" borderId="36" xfId="0" applyFont="1" applyFill="1" applyBorder="1" applyAlignment="1">
      <alignment horizontal="center" vertical="center"/>
    </xf>
    <xf numFmtId="0" fontId="30" fillId="5" borderId="36" xfId="0" applyFont="1" applyFill="1" applyBorder="1" applyAlignment="1">
      <alignment horizontal="center" vertical="center"/>
    </xf>
    <xf numFmtId="0" fontId="30" fillId="16" borderId="36" xfId="0" applyFont="1" applyFill="1" applyBorder="1" applyAlignment="1">
      <alignment horizontal="center" vertical="center"/>
    </xf>
    <xf numFmtId="0" fontId="24" fillId="17" borderId="42" xfId="0" applyFont="1" applyFill="1" applyBorder="1" applyAlignment="1">
      <alignment horizontal="center" vertical="center"/>
    </xf>
    <xf numFmtId="0" fontId="21" fillId="0" borderId="51" xfId="0" applyFont="1" applyBorder="1" applyAlignment="1">
      <alignment vertical="center" wrapText="1"/>
    </xf>
    <xf numFmtId="0" fontId="21" fillId="2" borderId="37" xfId="0" applyFont="1" applyFill="1" applyBorder="1" applyAlignment="1">
      <alignment vertical="center" wrapText="1"/>
    </xf>
    <xf numFmtId="0" fontId="0" fillId="0" borderId="1" xfId="0" applyBorder="1" applyAlignment="1">
      <alignment vertical="center"/>
    </xf>
    <xf numFmtId="0" fontId="35" fillId="26" borderId="1" xfId="0" applyFont="1" applyFill="1" applyBorder="1" applyAlignment="1">
      <alignment horizontal="center" vertical="center"/>
    </xf>
    <xf numFmtId="0" fontId="21" fillId="0" borderId="0" xfId="0" applyFont="1" applyAlignment="1" applyProtection="1">
      <alignment vertical="center" wrapText="1"/>
      <protection locked="0"/>
    </xf>
    <xf numFmtId="0" fontId="21" fillId="0" borderId="25" xfId="0" applyFont="1" applyBorder="1" applyAlignment="1" applyProtection="1">
      <alignment vertical="center" wrapText="1"/>
      <protection locked="0"/>
    </xf>
    <xf numFmtId="0" fontId="21" fillId="0" borderId="28" xfId="0" applyFont="1" applyBorder="1" applyAlignment="1" applyProtection="1">
      <alignment vertical="center" wrapText="1"/>
      <protection locked="0"/>
    </xf>
    <xf numFmtId="0" fontId="21" fillId="0" borderId="26" xfId="0" applyFont="1" applyBorder="1" applyAlignment="1" applyProtection="1">
      <alignment vertical="center" wrapText="1"/>
      <protection locked="0"/>
    </xf>
    <xf numFmtId="0" fontId="21" fillId="0" borderId="27" xfId="0" applyFont="1" applyBorder="1" applyAlignment="1" applyProtection="1">
      <alignment vertical="center" wrapText="1"/>
      <protection locked="0"/>
    </xf>
    <xf numFmtId="0" fontId="30" fillId="0" borderId="0" xfId="0" applyFont="1" applyAlignment="1" applyProtection="1">
      <alignment vertical="center" wrapText="1"/>
      <protection locked="0"/>
    </xf>
    <xf numFmtId="0" fontId="21" fillId="0" borderId="0" xfId="0" applyFont="1" applyAlignment="1" applyProtection="1">
      <alignment horizontal="center" vertical="center" wrapText="1"/>
      <protection locked="0"/>
    </xf>
    <xf numFmtId="0" fontId="21" fillId="0" borderId="25" xfId="0" applyFont="1" applyBorder="1" applyAlignment="1" applyProtection="1">
      <alignment horizontal="center" vertical="center" wrapText="1"/>
      <protection locked="0"/>
    </xf>
    <xf numFmtId="0" fontId="21" fillId="0" borderId="28" xfId="0" applyFont="1" applyBorder="1" applyAlignment="1" applyProtection="1">
      <alignment horizontal="center" vertical="center" wrapText="1"/>
      <protection locked="0"/>
    </xf>
    <xf numFmtId="0" fontId="21" fillId="0" borderId="26" xfId="0" applyFont="1" applyBorder="1" applyAlignment="1" applyProtection="1">
      <alignment horizontal="center" vertical="center" wrapText="1"/>
      <protection locked="0"/>
    </xf>
    <xf numFmtId="15" fontId="21" fillId="0" borderId="25" xfId="0" applyNumberFormat="1" applyFont="1" applyBorder="1" applyAlignment="1" applyProtection="1">
      <alignment horizontal="center" vertical="center" wrapText="1"/>
      <protection locked="0"/>
    </xf>
    <xf numFmtId="0" fontId="21" fillId="0" borderId="27" xfId="0" applyFont="1" applyBorder="1" applyAlignment="1" applyProtection="1">
      <alignment horizontal="center" vertical="center" wrapText="1"/>
      <protection locked="0"/>
    </xf>
    <xf numFmtId="0" fontId="38" fillId="0" borderId="0" xfId="0" applyFont="1" applyAlignment="1">
      <alignment vertical="center" wrapText="1"/>
    </xf>
    <xf numFmtId="0" fontId="40" fillId="0" borderId="0" xfId="0" applyFont="1" applyAlignment="1">
      <alignment vertical="center" wrapText="1"/>
    </xf>
    <xf numFmtId="0" fontId="38" fillId="0" borderId="0" xfId="0" applyFont="1" applyAlignment="1">
      <alignment horizontal="center" vertical="center" wrapText="1"/>
    </xf>
    <xf numFmtId="0" fontId="39" fillId="11" borderId="0" xfId="0" applyFont="1" applyFill="1" applyAlignment="1">
      <alignment horizontal="center" vertical="center" wrapText="1"/>
    </xf>
    <xf numFmtId="0" fontId="17" fillId="23" borderId="53" xfId="3" applyFont="1" applyFill="1" applyBorder="1" applyAlignment="1" applyProtection="1">
      <alignment horizontal="center" vertical="center"/>
    </xf>
    <xf numFmtId="0" fontId="33" fillId="15" borderId="53" xfId="3" applyFont="1" applyFill="1" applyBorder="1" applyAlignment="1" applyProtection="1">
      <alignment horizontal="center" vertical="center"/>
    </xf>
    <xf numFmtId="0" fontId="17" fillId="5" borderId="53" xfId="3" applyFont="1" applyFill="1" applyBorder="1" applyAlignment="1" applyProtection="1">
      <alignment horizontal="center" vertical="center"/>
    </xf>
    <xf numFmtId="0" fontId="33" fillId="16" borderId="53" xfId="3" applyFont="1" applyFill="1" applyBorder="1" applyAlignment="1" applyProtection="1">
      <alignment horizontal="center" vertical="center"/>
    </xf>
    <xf numFmtId="0" fontId="12" fillId="0" borderId="52" xfId="2" applyFont="1" applyBorder="1" applyAlignment="1">
      <alignment horizontal="center" vertical="center" wrapText="1"/>
    </xf>
    <xf numFmtId="0" fontId="33" fillId="17" borderId="52" xfId="3" applyFont="1" applyFill="1" applyBorder="1" applyAlignment="1" applyProtection="1">
      <alignment horizontal="center" vertical="center" wrapText="1"/>
    </xf>
    <xf numFmtId="0" fontId="17" fillId="13" borderId="53" xfId="3" applyFont="1" applyFill="1" applyBorder="1" applyAlignment="1" applyProtection="1">
      <alignment horizontal="center" vertical="center"/>
    </xf>
    <xf numFmtId="0" fontId="12" fillId="0" borderId="54" xfId="2" applyFont="1" applyBorder="1" applyAlignment="1">
      <alignment horizontal="center" vertical="center" wrapText="1"/>
    </xf>
    <xf numFmtId="0" fontId="17" fillId="23" borderId="52" xfId="3" applyFont="1" applyFill="1" applyBorder="1" applyAlignment="1" applyProtection="1">
      <alignment horizontal="center" vertical="center"/>
    </xf>
    <xf numFmtId="0" fontId="15" fillId="10" borderId="34" xfId="2" applyFont="1" applyFill="1" applyBorder="1" applyAlignment="1">
      <alignment horizontal="center" vertical="center"/>
    </xf>
    <xf numFmtId="0" fontId="16" fillId="10" borderId="0" xfId="2" applyFont="1" applyFill="1" applyAlignment="1">
      <alignment horizontal="center" vertical="center"/>
    </xf>
    <xf numFmtId="0" fontId="16" fillId="10" borderId="35" xfId="2" applyFont="1" applyFill="1" applyBorder="1" applyAlignment="1">
      <alignment horizontal="center" vertical="center"/>
    </xf>
    <xf numFmtId="0" fontId="16" fillId="10" borderId="55" xfId="2" applyFont="1" applyFill="1" applyBorder="1" applyAlignment="1">
      <alignment horizontal="center" vertical="center"/>
    </xf>
    <xf numFmtId="0" fontId="16" fillId="10" borderId="56" xfId="2" applyFont="1" applyFill="1" applyBorder="1" applyAlignment="1">
      <alignment horizontal="center" vertical="center"/>
    </xf>
    <xf numFmtId="0" fontId="16" fillId="10" borderId="57" xfId="2" applyFont="1" applyFill="1" applyBorder="1" applyAlignment="1">
      <alignment horizontal="center" vertical="center"/>
    </xf>
    <xf numFmtId="0" fontId="43" fillId="0" borderId="0" xfId="0" applyFont="1" applyAlignment="1">
      <alignment vertical="center" wrapText="1"/>
    </xf>
    <xf numFmtId="0" fontId="44" fillId="21" borderId="1" xfId="0" applyFont="1" applyFill="1" applyBorder="1" applyAlignment="1">
      <alignment horizontal="center" vertical="center" wrapText="1"/>
    </xf>
    <xf numFmtId="0" fontId="45" fillId="9" borderId="1" xfId="0" applyFont="1" applyFill="1" applyBorder="1" applyAlignment="1">
      <alignment horizontal="center" vertical="center" wrapText="1"/>
    </xf>
    <xf numFmtId="0" fontId="44" fillId="9" borderId="1" xfId="0" applyFont="1" applyFill="1" applyBorder="1" applyAlignment="1">
      <alignment horizontal="center" vertical="center" wrapText="1"/>
    </xf>
    <xf numFmtId="0" fontId="45" fillId="21" borderId="1" xfId="0" applyFont="1" applyFill="1" applyBorder="1" applyAlignment="1">
      <alignment horizontal="center" vertical="center" wrapText="1"/>
    </xf>
    <xf numFmtId="0" fontId="46" fillId="0" borderId="0" xfId="0" applyFont="1" applyAlignment="1">
      <alignment vertical="center" wrapText="1"/>
    </xf>
    <xf numFmtId="0" fontId="47" fillId="19" borderId="24" xfId="0" applyFont="1" applyFill="1" applyBorder="1" applyAlignment="1">
      <alignment horizontal="center" vertical="center" wrapText="1"/>
    </xf>
    <xf numFmtId="0" fontId="41" fillId="0" borderId="0" xfId="0" applyFont="1" applyAlignment="1" applyProtection="1">
      <alignment horizontal="center" vertical="center" wrapText="1"/>
      <protection locked="0"/>
    </xf>
    <xf numFmtId="0" fontId="27" fillId="25" borderId="60" xfId="0" applyFont="1" applyFill="1" applyBorder="1" applyAlignment="1">
      <alignment horizontal="left" vertical="center" wrapText="1"/>
    </xf>
    <xf numFmtId="0" fontId="21" fillId="21" borderId="61" xfId="0" applyFont="1" applyFill="1" applyBorder="1" applyAlignment="1">
      <alignment vertical="center" wrapText="1"/>
    </xf>
    <xf numFmtId="0" fontId="34" fillId="25" borderId="64" xfId="0" applyFont="1" applyFill="1" applyBorder="1" applyAlignment="1">
      <alignment horizontal="left" vertical="center" wrapText="1"/>
    </xf>
    <xf numFmtId="0" fontId="21" fillId="21" borderId="65" xfId="0" applyFont="1" applyFill="1" applyBorder="1" applyAlignment="1">
      <alignment vertical="center" wrapText="1"/>
    </xf>
    <xf numFmtId="0" fontId="51" fillId="28" borderId="66" xfId="0" applyFont="1" applyFill="1" applyBorder="1"/>
    <xf numFmtId="0" fontId="51" fillId="27" borderId="67" xfId="0" applyFont="1" applyFill="1" applyBorder="1"/>
    <xf numFmtId="0" fontId="51" fillId="27" borderId="66" xfId="0" applyFont="1" applyFill="1" applyBorder="1"/>
    <xf numFmtId="0" fontId="44" fillId="20" borderId="1" xfId="0" applyFont="1" applyFill="1" applyBorder="1" applyAlignment="1">
      <alignment horizontal="center" vertical="center" wrapText="1"/>
    </xf>
    <xf numFmtId="0" fontId="52" fillId="21" borderId="1" xfId="0" applyFont="1" applyFill="1" applyBorder="1" applyAlignment="1">
      <alignment horizontal="center" vertical="center" wrapText="1"/>
    </xf>
    <xf numFmtId="0" fontId="53" fillId="9" borderId="1" xfId="0" applyFont="1" applyFill="1" applyBorder="1" applyAlignment="1">
      <alignment horizontal="center" vertical="center" wrapText="1"/>
    </xf>
    <xf numFmtId="0" fontId="21" fillId="0" borderId="69" xfId="0" applyFont="1" applyBorder="1" applyAlignment="1">
      <alignment vertical="center" wrapText="1"/>
    </xf>
    <xf numFmtId="0" fontId="21" fillId="0" borderId="70" xfId="0" applyFont="1" applyBorder="1" applyAlignment="1">
      <alignment vertical="center" wrapText="1"/>
    </xf>
    <xf numFmtId="0" fontId="21" fillId="0" borderId="71" xfId="0" applyFont="1" applyBorder="1" applyAlignment="1">
      <alignment vertical="center" wrapText="1"/>
    </xf>
    <xf numFmtId="0" fontId="21" fillId="0" borderId="72" xfId="0" applyFont="1" applyBorder="1" applyAlignment="1">
      <alignment vertical="center" wrapText="1"/>
    </xf>
    <xf numFmtId="0" fontId="54" fillId="0" borderId="0" xfId="0" applyFont="1"/>
    <xf numFmtId="0" fontId="55" fillId="0" borderId="74" xfId="0" applyFont="1" applyFill="1" applyBorder="1" applyAlignment="1">
      <alignment wrapText="1"/>
    </xf>
    <xf numFmtId="0" fontId="55" fillId="0" borderId="75" xfId="0" applyFont="1" applyFill="1" applyBorder="1" applyAlignment="1">
      <alignment wrapText="1"/>
    </xf>
    <xf numFmtId="0" fontId="28" fillId="12" borderId="3" xfId="0" applyFont="1" applyFill="1" applyBorder="1" applyAlignment="1">
      <alignment horizontal="left" vertical="center" wrapText="1"/>
    </xf>
    <xf numFmtId="0" fontId="28" fillId="12" borderId="29" xfId="0" applyFont="1" applyFill="1" applyBorder="1" applyAlignment="1">
      <alignment horizontal="left" vertical="center" wrapText="1"/>
    </xf>
    <xf numFmtId="0" fontId="27" fillId="12" borderId="43" xfId="0" applyFont="1" applyFill="1" applyBorder="1" applyAlignment="1">
      <alignment horizontal="left" vertical="center" wrapText="1"/>
    </xf>
    <xf numFmtId="0" fontId="27" fillId="12" borderId="44" xfId="0" applyFont="1" applyFill="1" applyBorder="1" applyAlignment="1">
      <alignment horizontal="left" vertical="center" wrapText="1"/>
    </xf>
    <xf numFmtId="0" fontId="24" fillId="22" borderId="31" xfId="0" applyFont="1" applyFill="1" applyBorder="1" applyAlignment="1">
      <alignment horizontal="center" vertical="center" wrapText="1"/>
    </xf>
    <xf numFmtId="0" fontId="24" fillId="22" borderId="32" xfId="0" applyFont="1" applyFill="1" applyBorder="1" applyAlignment="1">
      <alignment horizontal="center" vertical="center" wrapText="1"/>
    </xf>
    <xf numFmtId="0" fontId="24" fillId="22" borderId="33" xfId="0" applyFont="1" applyFill="1" applyBorder="1" applyAlignment="1">
      <alignment horizontal="center" vertical="center" wrapText="1"/>
    </xf>
    <xf numFmtId="0" fontId="24" fillId="22" borderId="34" xfId="0" applyFont="1" applyFill="1" applyBorder="1" applyAlignment="1">
      <alignment horizontal="center" vertical="center" wrapText="1"/>
    </xf>
    <xf numFmtId="0" fontId="24" fillId="22" borderId="0" xfId="0" applyFont="1" applyFill="1" applyAlignment="1">
      <alignment horizontal="center" vertical="center" wrapText="1"/>
    </xf>
    <xf numFmtId="0" fontId="24" fillId="22" borderId="35" xfId="0" applyFont="1" applyFill="1" applyBorder="1" applyAlignment="1">
      <alignment horizontal="center" vertical="center" wrapText="1"/>
    </xf>
    <xf numFmtId="0" fontId="27" fillId="12" borderId="1" xfId="0" applyFont="1" applyFill="1" applyBorder="1" applyAlignment="1">
      <alignment horizontal="left" vertical="center" wrapText="1"/>
    </xf>
    <xf numFmtId="0" fontId="27" fillId="12" borderId="3" xfId="0" applyFont="1" applyFill="1" applyBorder="1" applyAlignment="1">
      <alignment horizontal="left" vertical="center" wrapText="1"/>
    </xf>
    <xf numFmtId="0" fontId="28" fillId="12" borderId="1" xfId="0" applyFont="1" applyFill="1" applyBorder="1" applyAlignment="1">
      <alignment horizontal="left" vertical="center" wrapText="1"/>
    </xf>
    <xf numFmtId="0" fontId="29" fillId="12" borderId="1" xfId="0" applyFont="1" applyFill="1" applyBorder="1" applyAlignment="1">
      <alignment horizontal="left" vertical="center" wrapText="1"/>
    </xf>
    <xf numFmtId="0" fontId="29" fillId="12" borderId="3" xfId="0" applyFont="1" applyFill="1" applyBorder="1" applyAlignment="1">
      <alignment horizontal="left" vertical="center" wrapText="1"/>
    </xf>
    <xf numFmtId="0" fontId="22" fillId="12" borderId="1" xfId="0" applyFont="1" applyFill="1" applyBorder="1" applyAlignment="1">
      <alignment horizontal="center" vertical="center" textRotation="90" wrapText="1"/>
    </xf>
    <xf numFmtId="0" fontId="27" fillId="12" borderId="29" xfId="0" applyFont="1" applyFill="1" applyBorder="1" applyAlignment="1">
      <alignment horizontal="left" vertical="center" wrapText="1"/>
    </xf>
    <xf numFmtId="0" fontId="34" fillId="0" borderId="3" xfId="0" applyFont="1" applyBorder="1" applyAlignment="1">
      <alignment horizontal="left" vertical="center" wrapText="1"/>
    </xf>
    <xf numFmtId="0" fontId="34" fillId="0" borderId="2" xfId="0" applyFont="1" applyBorder="1" applyAlignment="1">
      <alignment horizontal="left" vertical="center" wrapText="1"/>
    </xf>
    <xf numFmtId="0" fontId="27" fillId="25" borderId="59" xfId="0" applyFont="1" applyFill="1" applyBorder="1" applyAlignment="1">
      <alignment horizontal="center" vertical="center" textRotation="90" wrapText="1"/>
    </xf>
    <xf numFmtId="0" fontId="27" fillId="25" borderId="13" xfId="0" applyFont="1" applyFill="1" applyBorder="1" applyAlignment="1">
      <alignment horizontal="center" vertical="center" textRotation="90" wrapText="1"/>
    </xf>
    <xf numFmtId="0" fontId="27" fillId="25" borderId="63" xfId="0" applyFont="1" applyFill="1" applyBorder="1" applyAlignment="1">
      <alignment horizontal="center" vertical="center" textRotation="90" wrapText="1"/>
    </xf>
    <xf numFmtId="0" fontId="21" fillId="25" borderId="58" xfId="0" applyFont="1" applyFill="1" applyBorder="1" applyAlignment="1">
      <alignment horizontal="center" vertical="center" wrapText="1"/>
    </xf>
    <xf numFmtId="0" fontId="21" fillId="25" borderId="40" xfId="0" applyFont="1" applyFill="1" applyBorder="1" applyAlignment="1">
      <alignment horizontal="center" vertical="center" wrapText="1"/>
    </xf>
    <xf numFmtId="0" fontId="21" fillId="25" borderId="62" xfId="0" applyFont="1" applyFill="1" applyBorder="1" applyAlignment="1">
      <alignment horizontal="center" vertical="center" wrapText="1"/>
    </xf>
    <xf numFmtId="0" fontId="21" fillId="0" borderId="38" xfId="0" applyFont="1" applyBorder="1" applyAlignment="1">
      <alignment horizontal="center" vertical="center" wrapText="1"/>
    </xf>
    <xf numFmtId="0" fontId="21" fillId="0" borderId="40" xfId="0" applyFont="1" applyBorder="1" applyAlignment="1">
      <alignment horizontal="center" vertical="center" wrapText="1"/>
    </xf>
    <xf numFmtId="0" fontId="21" fillId="0" borderId="39" xfId="0" applyFont="1" applyBorder="1" applyAlignment="1">
      <alignment horizontal="center" vertical="center" wrapText="1"/>
    </xf>
    <xf numFmtId="0" fontId="21" fillId="0" borderId="12" xfId="0" applyFont="1" applyBorder="1" applyAlignment="1" applyProtection="1">
      <alignment horizontal="center" vertical="center" wrapText="1"/>
      <protection locked="0"/>
    </xf>
    <xf numFmtId="0" fontId="21" fillId="0" borderId="13" xfId="0" applyFont="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locked="0"/>
    </xf>
    <xf numFmtId="0" fontId="45" fillId="21" borderId="3" xfId="0" applyFont="1" applyFill="1" applyBorder="1" applyAlignment="1">
      <alignment horizontal="center" vertical="center" wrapText="1"/>
    </xf>
    <xf numFmtId="0" fontId="45" fillId="21" borderId="2" xfId="0" applyFont="1" applyFill="1" applyBorder="1" applyAlignment="1">
      <alignment horizontal="center" vertical="center" wrapText="1"/>
    </xf>
    <xf numFmtId="0" fontId="45" fillId="21" borderId="24" xfId="0" applyFont="1" applyFill="1" applyBorder="1" applyAlignment="1">
      <alignment horizontal="center" vertical="center" wrapText="1"/>
    </xf>
    <xf numFmtId="0" fontId="55" fillId="0" borderId="12" xfId="0" applyFont="1" applyFill="1" applyBorder="1" applyAlignment="1">
      <alignment wrapText="1"/>
    </xf>
    <xf numFmtId="0" fontId="55" fillId="0" borderId="13" xfId="0" applyFont="1" applyFill="1" applyBorder="1" applyAlignment="1">
      <alignment wrapText="1"/>
    </xf>
    <xf numFmtId="0" fontId="55" fillId="0" borderId="73" xfId="0" applyFont="1" applyFill="1" applyBorder="1" applyAlignment="1">
      <alignment wrapText="1"/>
    </xf>
    <xf numFmtId="0" fontId="48" fillId="13" borderId="1" xfId="0" applyFont="1" applyFill="1" applyBorder="1" applyAlignment="1">
      <alignment horizontal="center" vertical="center" wrapText="1"/>
    </xf>
    <xf numFmtId="0" fontId="47" fillId="17" borderId="0" xfId="0" applyFont="1" applyFill="1" applyAlignment="1">
      <alignment horizontal="center" vertical="center" wrapText="1"/>
    </xf>
    <xf numFmtId="0" fontId="47" fillId="17" borderId="4" xfId="0" applyFont="1" applyFill="1" applyBorder="1" applyAlignment="1">
      <alignment horizontal="center" vertical="center" wrapText="1"/>
    </xf>
    <xf numFmtId="0" fontId="47" fillId="11" borderId="0" xfId="0" applyFont="1" applyFill="1" applyAlignment="1">
      <alignment horizontal="center" vertical="center" wrapText="1"/>
    </xf>
    <xf numFmtId="0" fontId="30" fillId="0" borderId="12" xfId="0" applyFont="1" applyBorder="1" applyAlignment="1" applyProtection="1">
      <alignment horizontal="center" vertical="center" wrapText="1"/>
      <protection locked="0"/>
    </xf>
    <xf numFmtId="0" fontId="30" fillId="0" borderId="13" xfId="0" applyFont="1" applyBorder="1" applyAlignment="1" applyProtection="1">
      <alignment horizontal="center" vertical="center" wrapText="1"/>
      <protection locked="0"/>
    </xf>
    <xf numFmtId="0" fontId="30" fillId="0" borderId="14"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wrapText="1"/>
      <protection locked="0"/>
    </xf>
    <xf numFmtId="0" fontId="47" fillId="19" borderId="3" xfId="0" applyFont="1" applyFill="1" applyBorder="1" applyAlignment="1">
      <alignment horizontal="center" vertical="center" wrapText="1"/>
    </xf>
    <xf numFmtId="0" fontId="47" fillId="19" borderId="2" xfId="0" applyFont="1" applyFill="1" applyBorder="1" applyAlignment="1">
      <alignment horizontal="center" vertical="center" wrapText="1"/>
    </xf>
    <xf numFmtId="0" fontId="47" fillId="19" borderId="24" xfId="0" applyFont="1" applyFill="1" applyBorder="1" applyAlignment="1">
      <alignment horizontal="center" vertical="center" wrapText="1"/>
    </xf>
    <xf numFmtId="0" fontId="21" fillId="0" borderId="25" xfId="0" applyFont="1" applyBorder="1" applyAlignment="1" applyProtection="1">
      <alignment horizontal="center" vertical="center" wrapText="1"/>
      <protection locked="0"/>
    </xf>
    <xf numFmtId="0" fontId="21" fillId="0" borderId="28" xfId="0" applyFont="1" applyBorder="1" applyAlignment="1" applyProtection="1">
      <alignment horizontal="center" vertical="center" wrapText="1"/>
      <protection locked="0"/>
    </xf>
    <xf numFmtId="0" fontId="21" fillId="0" borderId="26" xfId="0" applyFont="1" applyBorder="1" applyAlignment="1" applyProtection="1">
      <alignment horizontal="center" vertical="center" wrapText="1"/>
      <protection locked="0"/>
    </xf>
    <xf numFmtId="15" fontId="21" fillId="0" borderId="25" xfId="0" applyNumberFormat="1" applyFont="1" applyBorder="1" applyAlignment="1" applyProtection="1">
      <alignment horizontal="center" vertical="center" wrapText="1"/>
      <protection locked="0"/>
    </xf>
    <xf numFmtId="15" fontId="21" fillId="0" borderId="28" xfId="0" applyNumberFormat="1" applyFont="1" applyBorder="1" applyAlignment="1" applyProtection="1">
      <alignment horizontal="center" vertical="center" wrapText="1"/>
      <protection locked="0"/>
    </xf>
    <xf numFmtId="15" fontId="21" fillId="0" borderId="26" xfId="0" applyNumberFormat="1" applyFont="1" applyBorder="1" applyAlignment="1" applyProtection="1">
      <alignment horizontal="center" vertical="center" wrapText="1"/>
      <protection locked="0"/>
    </xf>
    <xf numFmtId="0" fontId="21" fillId="0" borderId="25" xfId="0" applyFont="1" applyBorder="1" applyAlignment="1">
      <alignment horizontal="center" vertical="center" wrapText="1"/>
    </xf>
    <xf numFmtId="0" fontId="21" fillId="0" borderId="28" xfId="0" applyFont="1" applyBorder="1" applyAlignment="1">
      <alignment horizontal="center" vertical="center" wrapText="1"/>
    </xf>
    <xf numFmtId="0" fontId="21" fillId="0" borderId="26" xfId="0" applyFont="1" applyBorder="1" applyAlignment="1">
      <alignment horizontal="center" vertical="center" wrapText="1"/>
    </xf>
    <xf numFmtId="0" fontId="44" fillId="9" borderId="3" xfId="0" applyFont="1" applyFill="1" applyBorder="1" applyAlignment="1">
      <alignment horizontal="center" vertical="center" wrapText="1"/>
    </xf>
    <xf numFmtId="0" fontId="44" fillId="9" borderId="2" xfId="0" applyFont="1" applyFill="1" applyBorder="1" applyAlignment="1">
      <alignment horizontal="center" vertical="center" wrapText="1"/>
    </xf>
    <xf numFmtId="0" fontId="44" fillId="9" borderId="1" xfId="0" applyFont="1" applyFill="1" applyBorder="1" applyAlignment="1">
      <alignment horizontal="center" vertical="center" wrapText="1"/>
    </xf>
    <xf numFmtId="0" fontId="45" fillId="9"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36" fillId="21" borderId="12" xfId="0" applyFont="1" applyFill="1" applyBorder="1" applyAlignment="1">
      <alignment horizontal="center" vertical="center" textRotation="90" wrapText="1"/>
    </xf>
    <xf numFmtId="0" fontId="36" fillId="21" borderId="14" xfId="0" applyFont="1" applyFill="1" applyBorder="1" applyAlignment="1">
      <alignment horizontal="center" vertical="center" textRotation="90" wrapText="1"/>
    </xf>
    <xf numFmtId="0" fontId="45" fillId="21" borderId="1" xfId="0" applyFont="1" applyFill="1" applyBorder="1" applyAlignment="1">
      <alignment horizontal="center" vertical="center" wrapText="1"/>
    </xf>
    <xf numFmtId="0" fontId="44" fillId="21" borderId="1" xfId="0" applyFont="1" applyFill="1" applyBorder="1" applyAlignment="1">
      <alignment horizontal="center" vertical="center" wrapText="1"/>
    </xf>
    <xf numFmtId="0" fontId="44" fillId="9" borderId="24" xfId="0" applyFont="1" applyFill="1" applyBorder="1" applyAlignment="1">
      <alignment horizontal="center" vertical="center" wrapText="1"/>
    </xf>
    <xf numFmtId="0" fontId="41" fillId="0" borderId="3" xfId="0" applyFont="1" applyBorder="1" applyAlignment="1" applyProtection="1">
      <alignment horizontal="center" vertical="center" wrapText="1"/>
      <protection locked="0"/>
    </xf>
    <xf numFmtId="0" fontId="41" fillId="0" borderId="2" xfId="0" applyFont="1" applyBorder="1" applyAlignment="1" applyProtection="1">
      <alignment horizontal="center" vertical="center" wrapText="1"/>
      <protection locked="0"/>
    </xf>
    <xf numFmtId="0" fontId="41" fillId="0" borderId="24" xfId="0" applyFont="1" applyBorder="1" applyAlignment="1" applyProtection="1">
      <alignment horizontal="center" vertical="center" wrapText="1"/>
      <protection locked="0"/>
    </xf>
    <xf numFmtId="0" fontId="44" fillId="9" borderId="12" xfId="0" applyFont="1" applyFill="1" applyBorder="1" applyAlignment="1">
      <alignment horizontal="center" vertical="center" wrapText="1"/>
    </xf>
    <xf numFmtId="0" fontId="44" fillId="9" borderId="14" xfId="0" applyFont="1" applyFill="1" applyBorder="1" applyAlignment="1">
      <alignment horizontal="center" vertical="center" wrapText="1"/>
    </xf>
    <xf numFmtId="0" fontId="39" fillId="11" borderId="0" xfId="0" applyFont="1" applyFill="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27" xfId="0" applyFont="1" applyBorder="1" applyAlignment="1" applyProtection="1">
      <alignment horizontal="center" vertical="center" wrapText="1"/>
      <protection locked="0"/>
    </xf>
    <xf numFmtId="15" fontId="21" fillId="0" borderId="27" xfId="0" applyNumberFormat="1" applyFont="1" applyBorder="1" applyAlignment="1" applyProtection="1">
      <alignment horizontal="center" vertical="center" wrapText="1"/>
      <protection locked="0"/>
    </xf>
    <xf numFmtId="0" fontId="49" fillId="9" borderId="12" xfId="4" applyNumberFormat="1" applyFill="1" applyBorder="1" applyAlignment="1" applyProtection="1">
      <alignment horizontal="center" vertical="center" textRotation="90" wrapText="1"/>
    </xf>
    <xf numFmtId="0" fontId="49" fillId="9" borderId="13" xfId="4" applyNumberFormat="1" applyFill="1" applyBorder="1" applyAlignment="1" applyProtection="1">
      <alignment horizontal="center" vertical="center" textRotation="90" wrapText="1"/>
    </xf>
    <xf numFmtId="0" fontId="49" fillId="9" borderId="14" xfId="4" applyNumberFormat="1" applyFill="1" applyBorder="1" applyAlignment="1" applyProtection="1">
      <alignment horizontal="center" vertical="center" textRotation="90" wrapText="1"/>
    </xf>
    <xf numFmtId="0" fontId="47" fillId="18" borderId="20" xfId="0" applyFont="1" applyFill="1" applyBorder="1" applyAlignment="1">
      <alignment horizontal="center" vertical="center" wrapText="1"/>
    </xf>
    <xf numFmtId="0" fontId="47" fillId="18" borderId="68" xfId="0" applyFont="1" applyFill="1" applyBorder="1" applyAlignment="1">
      <alignment horizontal="center" vertical="center" wrapText="1"/>
    </xf>
    <xf numFmtId="0" fontId="47" fillId="18" borderId="21" xfId="0" applyFont="1" applyFill="1" applyBorder="1" applyAlignment="1">
      <alignment horizontal="center" vertical="center" wrapText="1"/>
    </xf>
    <xf numFmtId="0" fontId="44" fillId="20" borderId="12" xfId="0" applyFont="1" applyFill="1" applyBorder="1" applyAlignment="1">
      <alignment horizontal="center" vertical="center" wrapText="1"/>
    </xf>
    <xf numFmtId="0" fontId="44" fillId="20" borderId="14" xfId="0" applyFont="1" applyFill="1" applyBorder="1" applyAlignment="1">
      <alignment horizontal="center" vertical="center" wrapText="1"/>
    </xf>
    <xf numFmtId="0" fontId="44" fillId="20" borderId="3" xfId="0" applyFont="1" applyFill="1" applyBorder="1" applyAlignment="1">
      <alignment horizontal="center" vertical="center" wrapText="1"/>
    </xf>
    <xf numFmtId="0" fontId="44" fillId="20" borderId="2" xfId="0" applyFont="1" applyFill="1" applyBorder="1" applyAlignment="1">
      <alignment horizontal="center" vertical="center" wrapText="1"/>
    </xf>
    <xf numFmtId="0" fontId="44" fillId="20" borderId="24" xfId="0" applyFont="1" applyFill="1" applyBorder="1" applyAlignment="1">
      <alignment horizontal="center" vertical="center" wrapText="1"/>
    </xf>
    <xf numFmtId="0" fontId="44" fillId="21" borderId="3" xfId="0" applyFont="1" applyFill="1" applyBorder="1" applyAlignment="1">
      <alignment horizontal="center" vertical="center" wrapText="1"/>
    </xf>
    <xf numFmtId="0" fontId="44" fillId="21" borderId="2" xfId="0" applyFont="1" applyFill="1" applyBorder="1" applyAlignment="1">
      <alignment horizontal="center" vertical="center" wrapText="1"/>
    </xf>
    <xf numFmtId="0" fontId="44" fillId="21" borderId="24" xfId="0" applyFont="1" applyFill="1" applyBorder="1" applyAlignment="1">
      <alignment horizontal="center" vertical="center" wrapText="1"/>
    </xf>
    <xf numFmtId="0" fontId="18" fillId="0" borderId="12" xfId="2" applyFont="1" applyBorder="1" applyAlignment="1" applyProtection="1">
      <alignment horizontal="center" vertical="center" wrapText="1"/>
      <protection locked="0"/>
    </xf>
    <xf numFmtId="0" fontId="18" fillId="0" borderId="13" xfId="2" applyFont="1" applyBorder="1" applyAlignment="1" applyProtection="1">
      <alignment horizontal="center" vertical="center" wrapText="1"/>
      <protection locked="0"/>
    </xf>
    <xf numFmtId="0" fontId="18" fillId="0" borderId="14" xfId="2" applyFont="1" applyBorder="1" applyAlignment="1" applyProtection="1">
      <alignment horizontal="center" vertical="center" wrapText="1"/>
      <protection locked="0"/>
    </xf>
    <xf numFmtId="0" fontId="18" fillId="0" borderId="12" xfId="2" applyFont="1" applyBorder="1" applyAlignment="1">
      <alignment horizontal="center" vertical="center" wrapText="1"/>
    </xf>
    <xf numFmtId="0" fontId="18" fillId="0" borderId="13" xfId="2" applyFont="1" applyBorder="1" applyAlignment="1">
      <alignment horizontal="center" vertical="center" wrapText="1"/>
    </xf>
    <xf numFmtId="0" fontId="18" fillId="0" borderId="14" xfId="2" applyFont="1" applyBorder="1" applyAlignment="1">
      <alignment horizontal="center" vertical="center" wrapText="1"/>
    </xf>
    <xf numFmtId="0" fontId="26" fillId="14" borderId="4" xfId="2" applyFont="1" applyFill="1" applyBorder="1" applyAlignment="1">
      <alignment horizontal="center" vertical="center" textRotation="90"/>
    </xf>
    <xf numFmtId="0" fontId="18" fillId="0" borderId="1" xfId="2" applyFont="1" applyBorder="1" applyAlignment="1">
      <alignment horizontal="center" vertical="center" wrapText="1"/>
    </xf>
    <xf numFmtId="0" fontId="33" fillId="17" borderId="15" xfId="3" applyFont="1" applyFill="1" applyBorder="1" applyAlignment="1" applyProtection="1">
      <alignment horizontal="center" vertical="center"/>
    </xf>
    <xf numFmtId="0" fontId="33" fillId="17" borderId="16" xfId="3" applyFont="1" applyFill="1" applyBorder="1" applyAlignment="1" applyProtection="1">
      <alignment horizontal="center" vertical="center"/>
    </xf>
    <xf numFmtId="0" fontId="14" fillId="2" borderId="0" xfId="2" applyFont="1" applyFill="1" applyAlignment="1">
      <alignment horizontal="right"/>
    </xf>
    <xf numFmtId="0" fontId="15" fillId="0" borderId="0" xfId="2" applyFont="1" applyAlignment="1">
      <alignment horizontal="center" vertical="center"/>
    </xf>
    <xf numFmtId="0" fontId="42" fillId="2" borderId="56" xfId="2" applyFont="1" applyFill="1" applyBorder="1" applyAlignment="1">
      <alignment horizontal="center" vertical="center"/>
    </xf>
    <xf numFmtId="0" fontId="19" fillId="0" borderId="0" xfId="2" applyFont="1" applyAlignment="1">
      <alignment horizontal="center" vertical="center"/>
    </xf>
    <xf numFmtId="0" fontId="13" fillId="10" borderId="31" xfId="2" applyFont="1" applyFill="1" applyBorder="1" applyAlignment="1">
      <alignment horizontal="center" vertical="center"/>
    </xf>
    <xf numFmtId="0" fontId="13" fillId="10" borderId="32" xfId="2" applyFont="1" applyFill="1" applyBorder="1" applyAlignment="1">
      <alignment horizontal="center" vertical="center"/>
    </xf>
    <xf numFmtId="0" fontId="13" fillId="10" borderId="33" xfId="2" applyFont="1" applyFill="1" applyBorder="1" applyAlignment="1">
      <alignment horizontal="center" vertical="center"/>
    </xf>
    <xf numFmtId="0" fontId="13" fillId="10" borderId="34" xfId="2" applyFont="1" applyFill="1" applyBorder="1" applyAlignment="1">
      <alignment horizontal="center" vertical="center"/>
    </xf>
    <xf numFmtId="0" fontId="13" fillId="10" borderId="0" xfId="2" applyFont="1" applyFill="1" applyAlignment="1">
      <alignment horizontal="center" vertical="center"/>
    </xf>
    <xf numFmtId="0" fontId="13" fillId="10" borderId="35" xfId="2" applyFont="1" applyFill="1" applyBorder="1" applyAlignment="1">
      <alignment horizontal="center" vertical="center"/>
    </xf>
    <xf numFmtId="0" fontId="33" fillId="17" borderId="3" xfId="2" applyFont="1" applyFill="1" applyBorder="1" applyAlignment="1">
      <alignment horizontal="center" vertical="center" wrapText="1"/>
    </xf>
    <xf numFmtId="0" fontId="33" fillId="17" borderId="2" xfId="2" applyFont="1" applyFill="1" applyBorder="1" applyAlignment="1">
      <alignment horizontal="center" vertical="center" wrapText="1"/>
    </xf>
    <xf numFmtId="0" fontId="33" fillId="17" borderId="24" xfId="2" applyFont="1" applyFill="1" applyBorder="1" applyAlignment="1">
      <alignment horizontal="center" vertical="center" wrapText="1"/>
    </xf>
    <xf numFmtId="0" fontId="33" fillId="17" borderId="3" xfId="2" applyFont="1" applyFill="1" applyBorder="1" applyAlignment="1">
      <alignment horizontal="center" vertical="center"/>
    </xf>
    <xf numFmtId="0" fontId="33" fillId="17" borderId="24" xfId="2" applyFont="1" applyFill="1" applyBorder="1" applyAlignment="1">
      <alignment horizontal="center" vertical="center"/>
    </xf>
    <xf numFmtId="0" fontId="18" fillId="0" borderId="17" xfId="2" applyFont="1" applyBorder="1" applyAlignment="1">
      <alignment horizontal="center" vertical="center" wrapText="1"/>
    </xf>
    <xf numFmtId="0" fontId="18" fillId="0" borderId="18" xfId="2" applyFont="1" applyBorder="1" applyAlignment="1">
      <alignment horizontal="center" vertical="center" wrapText="1"/>
    </xf>
    <xf numFmtId="0" fontId="18" fillId="0" borderId="19" xfId="2" applyFont="1" applyBorder="1" applyAlignment="1">
      <alignment horizontal="center" vertical="center" wrapText="1"/>
    </xf>
    <xf numFmtId="0" fontId="18" fillId="0" borderId="4" xfId="2" applyFont="1" applyBorder="1" applyAlignment="1">
      <alignment horizontal="center" vertical="center" wrapText="1"/>
    </xf>
    <xf numFmtId="0" fontId="18" fillId="0" borderId="20" xfId="2" applyFont="1" applyBorder="1" applyAlignment="1">
      <alignment horizontal="center" vertical="center" wrapText="1"/>
    </xf>
    <xf numFmtId="0" fontId="18" fillId="0" borderId="21" xfId="2" applyFont="1" applyBorder="1" applyAlignment="1">
      <alignment horizontal="center" vertical="center" wrapText="1"/>
    </xf>
  </cellXfs>
  <cellStyles count="5">
    <cellStyle name="Hyperlink" xfId="4"/>
    <cellStyle name="Normal" xfId="0" builtinId="0"/>
    <cellStyle name="Normal 2" xfId="1"/>
    <cellStyle name="Normal 3" xfId="2"/>
    <cellStyle name="Salida 2" xfId="3"/>
  </cellStyles>
  <dxfs count="179">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3" tint="-0.24994659260841701"/>
        </patternFill>
      </fill>
    </dxf>
    <dxf>
      <font>
        <color theme="0"/>
      </font>
      <fill>
        <patternFill>
          <bgColor rgb="FF002060"/>
        </patternFill>
      </fill>
    </dxf>
    <dxf>
      <font>
        <b val="0"/>
        <i val="0"/>
        <color theme="0"/>
      </font>
      <fill>
        <patternFill>
          <bgColor rgb="FF002060"/>
        </patternFill>
      </fill>
    </dxf>
    <dxf>
      <font>
        <color theme="1"/>
      </font>
    </dxf>
    <dxf>
      <fill>
        <patternFill patternType="none">
          <bgColor auto="1"/>
        </patternFill>
      </fill>
    </dxf>
    <dxf>
      <font>
        <color theme="0"/>
      </font>
      <fill>
        <patternFill>
          <bgColor rgb="FF002060"/>
        </patternFill>
      </fill>
    </dxf>
    <dxf>
      <fill>
        <patternFill>
          <bgColor theme="9" tint="0.59996337778862885"/>
        </patternFill>
      </fill>
    </dxf>
    <dxf>
      <font>
        <color auto="1"/>
      </font>
      <fill>
        <patternFill>
          <bgColor theme="4" tint="0.59996337778862885"/>
        </patternFill>
      </fill>
    </dxf>
    <dxf>
      <fill>
        <patternFill>
          <bgColor theme="4" tint="0.59996337778862885"/>
        </patternFill>
      </fill>
    </dxf>
    <dxf>
      <font>
        <b/>
        <i val="0"/>
        <color theme="0"/>
      </font>
      <fill>
        <patternFill>
          <bgColor rgb="FF002060"/>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9" tint="0.59996337778862885"/>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ont>
        <color rgb="FF002060"/>
      </font>
      <fill>
        <patternFill>
          <bgColor rgb="FF002060"/>
        </patternFill>
      </fill>
    </dxf>
    <dxf>
      <fill>
        <patternFill patternType="solid">
          <bgColor rgb="FFF3FAFF"/>
        </patternFill>
      </fill>
    </dxf>
    <dxf>
      <font>
        <color rgb="FF002060"/>
      </font>
      <fill>
        <patternFill>
          <bgColor rgb="FF002060"/>
        </patternFill>
      </fill>
    </dxf>
  </dxfs>
  <tableStyles count="0" defaultTableStyle="TableStyleMedium2" defaultPivotStyle="PivotStyleLight16"/>
  <colors>
    <mruColors>
      <color rgb="FF005490"/>
      <color rgb="FFFF00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5</xdr:col>
      <xdr:colOff>22225</xdr:colOff>
      <xdr:row>11</xdr:row>
      <xdr:rowOff>106363</xdr:rowOff>
    </xdr:from>
    <xdr:to>
      <xdr:col>5</xdr:col>
      <xdr:colOff>698500</xdr:colOff>
      <xdr:row>11</xdr:row>
      <xdr:rowOff>611187</xdr:rowOff>
    </xdr:to>
    <xdr:sp macro="" textlink="">
      <xdr:nvSpPr>
        <xdr:cNvPr id="2" name="Flecha derecha 1">
          <a:extLst>
            <a:ext uri="{FF2B5EF4-FFF2-40B4-BE49-F238E27FC236}">
              <a16:creationId xmlns:a16="http://schemas.microsoft.com/office/drawing/2014/main" id="{00000000-0008-0000-0000-000002000000}"/>
            </a:ext>
          </a:extLst>
        </xdr:cNvPr>
        <xdr:cNvSpPr/>
      </xdr:nvSpPr>
      <xdr:spPr>
        <a:xfrm>
          <a:off x="8689975" y="5813426"/>
          <a:ext cx="676275" cy="50482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38100</xdr:colOff>
      <xdr:row>24</xdr:row>
      <xdr:rowOff>57150</xdr:rowOff>
    </xdr:from>
    <xdr:to>
      <xdr:col>6</xdr:col>
      <xdr:colOff>371475</xdr:colOff>
      <xdr:row>27</xdr:row>
      <xdr:rowOff>247650</xdr:rowOff>
    </xdr:to>
    <xdr:sp macro="" textlink="">
      <xdr:nvSpPr>
        <xdr:cNvPr id="5" name="Flecha izquierda 4">
          <a:extLst>
            <a:ext uri="{FF2B5EF4-FFF2-40B4-BE49-F238E27FC236}">
              <a16:creationId xmlns:a16="http://schemas.microsoft.com/office/drawing/2014/main" id="{00000000-0008-0000-0000-000005000000}"/>
            </a:ext>
          </a:extLst>
        </xdr:cNvPr>
        <xdr:cNvSpPr/>
      </xdr:nvSpPr>
      <xdr:spPr>
        <a:xfrm flipH="1">
          <a:off x="8705850" y="11934825"/>
          <a:ext cx="1057275" cy="1104900"/>
        </a:xfrm>
        <a:prstGeom prst="leftArrow">
          <a:avLst>
            <a:gd name="adj1" fmla="val 50000"/>
            <a:gd name="adj2" fmla="val 52703"/>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409575</xdr:colOff>
      <xdr:row>24</xdr:row>
      <xdr:rowOff>190500</xdr:rowOff>
    </xdr:from>
    <xdr:to>
      <xdr:col>7</xdr:col>
      <xdr:colOff>390525</xdr:colOff>
      <xdr:row>27</xdr:row>
      <xdr:rowOff>57150</xdr:rowOff>
    </xdr:to>
    <xdr:sp macro="" textlink="">
      <xdr:nvSpPr>
        <xdr:cNvPr id="6" name="CuadroTexto 5">
          <a:extLst>
            <a:ext uri="{FF2B5EF4-FFF2-40B4-BE49-F238E27FC236}">
              <a16:creationId xmlns:a16="http://schemas.microsoft.com/office/drawing/2014/main" id="{00000000-0008-0000-0000-000006000000}"/>
            </a:ext>
          </a:extLst>
        </xdr:cNvPr>
        <xdr:cNvSpPr txBox="1"/>
      </xdr:nvSpPr>
      <xdr:spPr>
        <a:xfrm>
          <a:off x="9801225" y="12068175"/>
          <a:ext cx="1171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a:t>Espacio</a:t>
          </a:r>
          <a:r>
            <a:rPr lang="es-CO" sz="1100" b="1" baseline="0"/>
            <a:t> exclusivo para diligenciar por el SGC</a:t>
          </a:r>
          <a:endParaRPr lang="es-CO"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1074324</xdr:colOff>
      <xdr:row>0</xdr:row>
      <xdr:rowOff>154292</xdr:rowOff>
    </xdr:from>
    <xdr:to>
      <xdr:col>23</xdr:col>
      <xdr:colOff>224743</xdr:colOff>
      <xdr:row>3</xdr:row>
      <xdr:rowOff>96321</xdr:rowOff>
    </xdr:to>
    <xdr:grpSp>
      <xdr:nvGrpSpPr>
        <xdr:cNvPr id="18" name="Grupo 17">
          <a:extLst>
            <a:ext uri="{FF2B5EF4-FFF2-40B4-BE49-F238E27FC236}">
              <a16:creationId xmlns:a16="http://schemas.microsoft.com/office/drawing/2014/main" id="{00000000-0008-0000-0100-000012000000}"/>
            </a:ext>
          </a:extLst>
        </xdr:cNvPr>
        <xdr:cNvGrpSpPr/>
      </xdr:nvGrpSpPr>
      <xdr:grpSpPr>
        <a:xfrm>
          <a:off x="22659385" y="154292"/>
          <a:ext cx="10472469" cy="704029"/>
          <a:chOff x="0" y="0"/>
          <a:chExt cx="6410325" cy="1000486"/>
        </a:xfrm>
      </xdr:grpSpPr>
      <xdr:sp macro="" textlink="">
        <xdr:nvSpPr>
          <xdr:cNvPr id="19" name="CuadroTexto 2">
            <a:extLst>
              <a:ext uri="{FF2B5EF4-FFF2-40B4-BE49-F238E27FC236}">
                <a16:creationId xmlns:a16="http://schemas.microsoft.com/office/drawing/2014/main" id="{00000000-0008-0000-0100-000013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20" name="CuadroTexto 3">
            <a:extLst>
              <a:ext uri="{FF2B5EF4-FFF2-40B4-BE49-F238E27FC236}">
                <a16:creationId xmlns:a16="http://schemas.microsoft.com/office/drawing/2014/main" id="{00000000-0008-0000-0100-000014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900" b="1">
                <a:solidFill>
                  <a:srgbClr val="000000"/>
                </a:solidFill>
                <a:effectLst/>
                <a:latin typeface="Arial" panose="020B0604020202020204" pitchFamily="34" charset="0"/>
                <a:ea typeface="Times New Roman" panose="02020603050405020304" pitchFamily="18" charset="0"/>
              </a:rPr>
              <a:t>GESTIÓN DE CALIDAD</a:t>
            </a:r>
            <a:endParaRPr lang="es-CO" sz="1000">
              <a:effectLst/>
              <a:latin typeface="Times New Roman" panose="02020603050405020304" pitchFamily="18" charset="0"/>
              <a:ea typeface="Times New Roman" panose="02020603050405020304" pitchFamily="18" charset="0"/>
            </a:endParaRPr>
          </a:p>
        </xdr:txBody>
      </xdr:sp>
      <xdr:sp macro="" textlink="">
        <xdr:nvSpPr>
          <xdr:cNvPr id="21" name="CuadroTexto 4">
            <a:extLst>
              <a:ext uri="{FF2B5EF4-FFF2-40B4-BE49-F238E27FC236}">
                <a16:creationId xmlns:a16="http://schemas.microsoft.com/office/drawing/2014/main" id="{00000000-0008-0000-0100-000015000000}"/>
              </a:ext>
            </a:extLst>
          </xdr:cNvPr>
          <xdr:cNvSpPr txBox="1">
            <a:spLocks noChangeAspect="1"/>
          </xdr:cNvSpPr>
        </xdr:nvSpPr>
        <xdr:spPr>
          <a:xfrm>
            <a:off x="1181101" y="496963"/>
            <a:ext cx="3695700" cy="50352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900" b="1">
                <a:solidFill>
                  <a:srgbClr val="000000"/>
                </a:solidFill>
                <a:effectLst/>
                <a:latin typeface="Arial" panose="020B0604020202020204" pitchFamily="34" charset="0"/>
                <a:ea typeface="Times New Roman" panose="02020603050405020304" pitchFamily="18" charset="0"/>
              </a:rPr>
              <a:t>PLAN DE MEJORAMIENTO INSTITUCIONAL</a:t>
            </a:r>
            <a:endParaRPr lang="es-CO" sz="1000">
              <a:effectLst/>
              <a:latin typeface="Times New Roman" panose="02020603050405020304" pitchFamily="18" charset="0"/>
              <a:ea typeface="Times New Roman" panose="02020603050405020304" pitchFamily="18" charset="0"/>
            </a:endParaRPr>
          </a:p>
        </xdr:txBody>
      </xdr:sp>
      <xdr:pic>
        <xdr:nvPicPr>
          <xdr:cNvPr id="22" name="Imagen 21">
            <a:extLst>
              <a:ext uri="{FF2B5EF4-FFF2-40B4-BE49-F238E27FC236}">
                <a16:creationId xmlns:a16="http://schemas.microsoft.com/office/drawing/2014/main" id="{00000000-0008-0000-0100-00001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319260" y="28935"/>
            <a:ext cx="521653" cy="952501"/>
          </a:xfrm>
          <a:prstGeom prst="rect">
            <a:avLst/>
          </a:prstGeom>
          <a:ln>
            <a:noFill/>
          </a:ln>
          <a:extLst>
            <a:ext uri="{53640926-AAD7-44D8-BBD7-CCE9431645EC}">
              <a14:shadowObscured xmlns:a14="http://schemas.microsoft.com/office/drawing/2010/main"/>
            </a:ext>
          </a:extLst>
        </xdr:spPr>
      </xdr:pic>
      <xdr:sp macro="" textlink="">
        <xdr:nvSpPr>
          <xdr:cNvPr id="23" name="CuadroTexto 6">
            <a:extLst>
              <a:ext uri="{FF2B5EF4-FFF2-40B4-BE49-F238E27FC236}">
                <a16:creationId xmlns:a16="http://schemas.microsoft.com/office/drawing/2014/main" id="{00000000-0008-0000-0100-000017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CO" sz="1000" b="1">
                <a:solidFill>
                  <a:srgbClr val="000000"/>
                </a:solidFill>
                <a:effectLst/>
                <a:latin typeface="Arial" panose="020B0604020202020204" pitchFamily="34" charset="0"/>
                <a:ea typeface="Times New Roman" panose="02020603050405020304" pitchFamily="18" charset="0"/>
              </a:rPr>
              <a:t>Código: FO-GC-003</a:t>
            </a:r>
            <a:endParaRPr lang="es-CO" sz="1050">
              <a:effectLst/>
              <a:latin typeface="Times New Roman" panose="02020603050405020304" pitchFamily="18" charset="0"/>
              <a:ea typeface="Times New Roman" panose="02020603050405020304" pitchFamily="18" charset="0"/>
            </a:endParaRPr>
          </a:p>
        </xdr:txBody>
      </xdr:sp>
      <xdr:sp macro="" textlink="">
        <xdr:nvSpPr>
          <xdr:cNvPr id="24" name="CuadroTexto 7">
            <a:extLst>
              <a:ext uri="{FF2B5EF4-FFF2-40B4-BE49-F238E27FC236}">
                <a16:creationId xmlns:a16="http://schemas.microsoft.com/office/drawing/2014/main" id="{00000000-0008-0000-0100-000018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CO" sz="1000" b="1">
                <a:solidFill>
                  <a:srgbClr val="000000"/>
                </a:solidFill>
                <a:effectLst/>
                <a:latin typeface="Arial" panose="020B0604020202020204" pitchFamily="34" charset="0"/>
                <a:ea typeface="Times New Roman" panose="02020603050405020304" pitchFamily="18" charset="0"/>
              </a:rPr>
              <a:t>Versión: 10</a:t>
            </a:r>
            <a:endParaRPr lang="es-CO" sz="1050">
              <a:effectLst/>
              <a:latin typeface="Times New Roman" panose="02020603050405020304" pitchFamily="18" charset="0"/>
              <a:ea typeface="Times New Roman" panose="02020603050405020304" pitchFamily="18" charset="0"/>
            </a:endParaRPr>
          </a:p>
        </xdr:txBody>
      </xdr:sp>
      <xdr:sp macro="" textlink="">
        <xdr:nvSpPr>
          <xdr:cNvPr id="25" name="CuadroTexto 8">
            <a:extLst>
              <a:ext uri="{FF2B5EF4-FFF2-40B4-BE49-F238E27FC236}">
                <a16:creationId xmlns:a16="http://schemas.microsoft.com/office/drawing/2014/main" id="{00000000-0008-0000-0100-000019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CO" sz="800" b="1">
                <a:solidFill>
                  <a:srgbClr val="000000"/>
                </a:solidFill>
                <a:effectLst/>
                <a:latin typeface="Arial" panose="020B0604020202020204" pitchFamily="34" charset="0"/>
                <a:ea typeface="Times New Roman" panose="02020603050405020304" pitchFamily="18" charset="0"/>
              </a:rPr>
              <a:t>Fecha:</a:t>
            </a:r>
            <a:r>
              <a:rPr lang="es-CO" sz="800" b="1" baseline="0">
                <a:solidFill>
                  <a:srgbClr val="000000"/>
                </a:solidFill>
                <a:effectLst/>
                <a:latin typeface="Arial" panose="020B0604020202020204" pitchFamily="34" charset="0"/>
                <a:ea typeface="Times New Roman" panose="02020603050405020304" pitchFamily="18" charset="0"/>
              </a:rPr>
              <a:t> noviembre</a:t>
            </a:r>
            <a:r>
              <a:rPr lang="es-CO" sz="800" b="1">
                <a:solidFill>
                  <a:srgbClr val="000000"/>
                </a:solidFill>
                <a:effectLst/>
                <a:latin typeface="Arial" panose="020B0604020202020204" pitchFamily="34" charset="0"/>
                <a:ea typeface="Times New Roman" panose="02020603050405020304" pitchFamily="18" charset="0"/>
              </a:rPr>
              <a:t> 2023</a:t>
            </a:r>
            <a:endParaRPr lang="es-CO" sz="1050">
              <a:effectLst/>
              <a:latin typeface="Times New Roman" panose="02020603050405020304" pitchFamily="18" charset="0"/>
              <a:ea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fupedu-my.sharepoint.com/:f:/g/personal/calidad_fup_edu_co/ErIPOjWRnmJDpNIfwYwCIckBBEZ8c-UUMbURkJEeSKieOw?e=dq0eCs" TargetMode="External"/><Relationship Id="rId1" Type="http://schemas.openxmlformats.org/officeDocument/2006/relationships/hyperlink" Target="https://fupedu-my.sharepoint.com/:f:/g/personal/calidad_fup_edu_co/ErIPOjWRnmJDpNIfwYwCIckBBEZ8c-UUMbURkJEeSKieOw?e=dq0eC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showGridLines="0" topLeftCell="B1" zoomScale="120" zoomScaleNormal="120" workbookViewId="0">
      <selection activeCell="E18" sqref="E18"/>
    </sheetView>
  </sheetViews>
  <sheetFormatPr baseColWidth="10" defaultColWidth="0" defaultRowHeight="13" zeroHeight="1" x14ac:dyDescent="0.25"/>
  <cols>
    <col min="1" max="1" width="10.81640625" style="48" customWidth="1"/>
    <col min="2" max="2" width="4.7265625" style="65" customWidth="1"/>
    <col min="3" max="3" width="4.1796875" style="64" customWidth="1"/>
    <col min="4" max="4" width="23.54296875" style="64" customWidth="1"/>
    <col min="5" max="5" width="86.7265625" style="64" customWidth="1"/>
    <col min="6" max="6" width="10.81640625" style="64" customWidth="1"/>
    <col min="7" max="7" width="17.81640625" style="66" customWidth="1"/>
    <col min="8" max="8" width="73.54296875" style="64" customWidth="1"/>
    <col min="9" max="9" width="10.81640625" style="64" customWidth="1"/>
    <col min="10" max="16384" width="10.81640625" style="48" hidden="1"/>
  </cols>
  <sheetData>
    <row r="1" spans="1:8" x14ac:dyDescent="0.25">
      <c r="A1" s="64"/>
    </row>
    <row r="2" spans="1:8" x14ac:dyDescent="0.25">
      <c r="A2" s="64"/>
    </row>
    <row r="3" spans="1:8" ht="13.5" thickBot="1" x14ac:dyDescent="0.3">
      <c r="A3" s="64"/>
    </row>
    <row r="4" spans="1:8" x14ac:dyDescent="0.25">
      <c r="A4" s="64"/>
      <c r="B4" s="147" t="s">
        <v>0</v>
      </c>
      <c r="C4" s="148"/>
      <c r="D4" s="148"/>
      <c r="E4" s="149"/>
    </row>
    <row r="5" spans="1:8" x14ac:dyDescent="0.25">
      <c r="A5" s="64"/>
      <c r="B5" s="150"/>
      <c r="C5" s="151"/>
      <c r="D5" s="151"/>
      <c r="E5" s="152"/>
    </row>
    <row r="6" spans="1:8" ht="13" customHeight="1" x14ac:dyDescent="0.25">
      <c r="A6" s="64"/>
      <c r="B6" s="67">
        <v>1</v>
      </c>
      <c r="C6" s="155" t="s">
        <v>1</v>
      </c>
      <c r="D6" s="143"/>
      <c r="E6" s="68" t="s">
        <v>2</v>
      </c>
    </row>
    <row r="7" spans="1:8" ht="13" customHeight="1" x14ac:dyDescent="0.25">
      <c r="A7" s="64"/>
      <c r="B7" s="67">
        <v>2</v>
      </c>
      <c r="C7" s="143" t="s">
        <v>3</v>
      </c>
      <c r="D7" s="144"/>
      <c r="E7" s="84" t="s">
        <v>4</v>
      </c>
    </row>
    <row r="8" spans="1:8" ht="130" x14ac:dyDescent="0.25">
      <c r="A8" s="64"/>
      <c r="B8" s="67">
        <v>3</v>
      </c>
      <c r="C8" s="155" t="s">
        <v>5</v>
      </c>
      <c r="D8" s="143"/>
      <c r="E8" s="68" t="s">
        <v>6</v>
      </c>
      <c r="H8" s="64" t="s">
        <v>7</v>
      </c>
    </row>
    <row r="9" spans="1:8" ht="20.25" customHeight="1" x14ac:dyDescent="0.25">
      <c r="A9" s="64"/>
      <c r="B9" s="67">
        <v>4</v>
      </c>
      <c r="C9" s="156" t="s">
        <v>8</v>
      </c>
      <c r="D9" s="157"/>
      <c r="E9" s="68" t="s">
        <v>9</v>
      </c>
    </row>
    <row r="10" spans="1:8" ht="110.15" customHeight="1" x14ac:dyDescent="0.25">
      <c r="A10" s="64"/>
      <c r="B10" s="67">
        <v>5</v>
      </c>
      <c r="C10" s="155" t="s">
        <v>10</v>
      </c>
      <c r="D10" s="143"/>
      <c r="E10" s="68" t="s">
        <v>11</v>
      </c>
    </row>
    <row r="11" spans="1:8" ht="78" customHeight="1" thickBot="1" x14ac:dyDescent="0.3">
      <c r="A11" s="64"/>
      <c r="B11" s="168">
        <v>6</v>
      </c>
      <c r="C11" s="158" t="s">
        <v>12</v>
      </c>
      <c r="D11" s="57" t="s">
        <v>13</v>
      </c>
      <c r="E11" s="68" t="s">
        <v>14</v>
      </c>
    </row>
    <row r="12" spans="1:8" ht="53.25" customHeight="1" thickBot="1" x14ac:dyDescent="0.3">
      <c r="A12" s="64"/>
      <c r="B12" s="170"/>
      <c r="C12" s="158"/>
      <c r="D12" s="57" t="s">
        <v>15</v>
      </c>
      <c r="E12" s="68" t="s">
        <v>16</v>
      </c>
      <c r="G12" s="73" t="s">
        <v>17</v>
      </c>
      <c r="H12" s="74" t="s">
        <v>18</v>
      </c>
    </row>
    <row r="13" spans="1:8" ht="119.25" customHeight="1" x14ac:dyDescent="0.25">
      <c r="A13" s="64"/>
      <c r="B13" s="67">
        <v>7</v>
      </c>
      <c r="C13" s="153" t="s">
        <v>19</v>
      </c>
      <c r="D13" s="154"/>
      <c r="E13" s="68" t="s">
        <v>20</v>
      </c>
    </row>
    <row r="14" spans="1:8" ht="13" customHeight="1" x14ac:dyDescent="0.25">
      <c r="A14" s="64"/>
      <c r="B14" s="67">
        <v>8</v>
      </c>
      <c r="C14" s="154" t="s">
        <v>21</v>
      </c>
      <c r="D14" s="159"/>
      <c r="E14" s="69" t="s">
        <v>22</v>
      </c>
    </row>
    <row r="15" spans="1:8" ht="20.25" customHeight="1" x14ac:dyDescent="0.25">
      <c r="A15" s="64"/>
      <c r="B15" s="67">
        <v>9</v>
      </c>
      <c r="C15" s="153" t="s">
        <v>23</v>
      </c>
      <c r="D15" s="153"/>
      <c r="E15" s="136" t="s">
        <v>24</v>
      </c>
    </row>
    <row r="16" spans="1:8" ht="20.25" customHeight="1" thickBot="1" x14ac:dyDescent="0.3">
      <c r="A16" s="64"/>
      <c r="B16" s="67">
        <v>10</v>
      </c>
      <c r="C16" s="153" t="s">
        <v>25</v>
      </c>
      <c r="D16" s="154"/>
      <c r="E16" s="138" t="s">
        <v>26</v>
      </c>
    </row>
    <row r="17" spans="1:8" ht="71.25" customHeight="1" thickBot="1" x14ac:dyDescent="0.3">
      <c r="A17" s="64"/>
      <c r="B17" s="67">
        <v>11</v>
      </c>
      <c r="C17" s="160" t="s">
        <v>27</v>
      </c>
      <c r="D17" s="161"/>
      <c r="E17" s="139" t="s">
        <v>28</v>
      </c>
      <c r="G17" s="75" t="s">
        <v>29</v>
      </c>
      <c r="H17" s="76" t="s">
        <v>30</v>
      </c>
    </row>
    <row r="18" spans="1:8" ht="42" customHeight="1" thickTop="1" x14ac:dyDescent="0.25">
      <c r="A18" s="64"/>
      <c r="B18" s="168">
        <v>12</v>
      </c>
      <c r="C18" s="158" t="s">
        <v>31</v>
      </c>
      <c r="D18" s="56" t="s">
        <v>32</v>
      </c>
      <c r="E18" s="137" t="s">
        <v>33</v>
      </c>
      <c r="G18" s="77" t="s">
        <v>34</v>
      </c>
      <c r="H18" s="78" t="s">
        <v>35</v>
      </c>
    </row>
    <row r="19" spans="1:8" ht="32.5" customHeight="1" x14ac:dyDescent="0.25">
      <c r="A19" s="64"/>
      <c r="B19" s="169"/>
      <c r="C19" s="158"/>
      <c r="D19" s="56" t="s">
        <v>36</v>
      </c>
      <c r="E19" s="68" t="s">
        <v>37</v>
      </c>
      <c r="G19" s="79" t="s">
        <v>38</v>
      </c>
      <c r="H19" s="78" t="s">
        <v>39</v>
      </c>
    </row>
    <row r="20" spans="1:8" ht="39" customHeight="1" x14ac:dyDescent="0.25">
      <c r="A20" s="64"/>
      <c r="B20" s="170"/>
      <c r="C20" s="158"/>
      <c r="D20" s="56" t="s">
        <v>40</v>
      </c>
      <c r="E20" s="68" t="s">
        <v>41</v>
      </c>
      <c r="G20" s="80" t="s">
        <v>42</v>
      </c>
      <c r="H20" s="78" t="s">
        <v>43</v>
      </c>
    </row>
    <row r="21" spans="1:8" ht="42" customHeight="1" x14ac:dyDescent="0.25">
      <c r="A21" s="64"/>
      <c r="B21" s="67">
        <v>13</v>
      </c>
      <c r="C21" s="153" t="s">
        <v>44</v>
      </c>
      <c r="D21" s="154"/>
      <c r="E21" s="68" t="s">
        <v>45</v>
      </c>
      <c r="G21" s="81" t="s">
        <v>46</v>
      </c>
      <c r="H21" s="78" t="s">
        <v>47</v>
      </c>
    </row>
    <row r="22" spans="1:8" ht="65.5" thickBot="1" x14ac:dyDescent="0.3">
      <c r="A22" s="64"/>
      <c r="B22" s="67">
        <v>14</v>
      </c>
      <c r="C22" s="153" t="s">
        <v>48</v>
      </c>
      <c r="D22" s="154"/>
      <c r="E22" s="68" t="s">
        <v>49</v>
      </c>
      <c r="G22" s="82" t="s">
        <v>50</v>
      </c>
      <c r="H22" s="83" t="s">
        <v>51</v>
      </c>
    </row>
    <row r="23" spans="1:8" ht="24" customHeight="1" x14ac:dyDescent="0.25">
      <c r="A23" s="64"/>
      <c r="B23" s="67">
        <v>15</v>
      </c>
      <c r="C23" s="153" t="s">
        <v>52</v>
      </c>
      <c r="D23" s="154"/>
      <c r="E23" s="68" t="s">
        <v>53</v>
      </c>
    </row>
    <row r="24" spans="1:8" ht="40.5" customHeight="1" thickBot="1" x14ac:dyDescent="0.3">
      <c r="A24" s="64"/>
      <c r="B24" s="71">
        <v>16</v>
      </c>
      <c r="C24" s="145" t="s">
        <v>54</v>
      </c>
      <c r="D24" s="146"/>
      <c r="E24" s="72" t="s">
        <v>55</v>
      </c>
    </row>
    <row r="25" spans="1:8" ht="24" customHeight="1" x14ac:dyDescent="0.25">
      <c r="A25" s="64"/>
      <c r="B25" s="165">
        <v>17</v>
      </c>
      <c r="C25" s="162" t="s">
        <v>56</v>
      </c>
      <c r="D25" s="126" t="s">
        <v>57</v>
      </c>
      <c r="E25" s="127" t="s">
        <v>58</v>
      </c>
    </row>
    <row r="26" spans="1:8" ht="24" customHeight="1" x14ac:dyDescent="0.25">
      <c r="A26" s="64"/>
      <c r="B26" s="166"/>
      <c r="C26" s="163"/>
      <c r="D26" s="63" t="s">
        <v>59</v>
      </c>
      <c r="E26" s="70" t="s">
        <v>60</v>
      </c>
    </row>
    <row r="27" spans="1:8" ht="24" customHeight="1" x14ac:dyDescent="0.25">
      <c r="A27" s="64"/>
      <c r="B27" s="166"/>
      <c r="C27" s="163"/>
      <c r="D27" s="63" t="s">
        <v>61</v>
      </c>
      <c r="E27" s="70" t="s">
        <v>62</v>
      </c>
    </row>
    <row r="28" spans="1:8" ht="24" customHeight="1" thickBot="1" x14ac:dyDescent="0.3">
      <c r="A28" s="64"/>
      <c r="B28" s="167"/>
      <c r="C28" s="164"/>
      <c r="D28" s="128" t="s">
        <v>63</v>
      </c>
      <c r="E28" s="129" t="s">
        <v>64</v>
      </c>
    </row>
    <row r="29" spans="1:8" x14ac:dyDescent="0.25">
      <c r="A29" s="64"/>
    </row>
    <row r="30" spans="1:8" x14ac:dyDescent="0.25">
      <c r="A30" s="64"/>
    </row>
    <row r="31" spans="1:8" x14ac:dyDescent="0.25"/>
  </sheetData>
  <sheetProtection algorithmName="SHA-512" hashValue="zjuUMdVHJnNaJEM05IrsyaZkZcUGLns4lL2OkUzZ0DRSyvmNzXJOeO0guke6Qxr2rHpXIiupEDNruWr/ZVEOMQ==" saltValue="cx1jwzU9pdR4xEvGgf2A7w==" spinCount="100000" sheet="1" objects="1" scenarios="1"/>
  <mergeCells count="21">
    <mergeCell ref="C25:C28"/>
    <mergeCell ref="B25:B28"/>
    <mergeCell ref="B18:B20"/>
    <mergeCell ref="B11:B12"/>
    <mergeCell ref="C13:D13"/>
    <mergeCell ref="C18:C20"/>
    <mergeCell ref="C7:D7"/>
    <mergeCell ref="C24:D24"/>
    <mergeCell ref="B4:E5"/>
    <mergeCell ref="C21:D21"/>
    <mergeCell ref="C22:D22"/>
    <mergeCell ref="C23:D23"/>
    <mergeCell ref="C6:D6"/>
    <mergeCell ref="C8:D8"/>
    <mergeCell ref="C9:D9"/>
    <mergeCell ref="C10:D10"/>
    <mergeCell ref="C11:C12"/>
    <mergeCell ref="C14:D14"/>
    <mergeCell ref="C15:D15"/>
    <mergeCell ref="C16:D16"/>
    <mergeCell ref="C17:D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M263"/>
  <sheetViews>
    <sheetView showGridLines="0" tabSelected="1" zoomScale="90" zoomScaleNormal="90" workbookViewId="0">
      <pane ySplit="12" topLeftCell="A13" activePane="bottomLeft" state="frozen"/>
      <selection pane="bottomLeft" activeCell="I21" sqref="I21:I24"/>
    </sheetView>
  </sheetViews>
  <sheetFormatPr baseColWidth="10" defaultColWidth="0" defaultRowHeight="13" zeroHeight="1" x14ac:dyDescent="0.25"/>
  <cols>
    <col min="1" max="1" width="2" style="48" customWidth="1"/>
    <col min="2" max="2" width="4.7265625" style="58" customWidth="1"/>
    <col min="3" max="4" width="18.1796875" style="49" customWidth="1"/>
    <col min="5" max="5" width="21.26953125" style="49" customWidth="1"/>
    <col min="6" max="6" width="16" style="49" customWidth="1"/>
    <col min="7" max="7" width="13.1796875" style="49" customWidth="1"/>
    <col min="8" max="8" width="16" style="49" customWidth="1"/>
    <col min="9" max="9" width="57.54296875" style="48" customWidth="1"/>
    <col min="10" max="10" width="29.81640625" style="48" bestFit="1" customWidth="1"/>
    <col min="11" max="11" width="57.54296875" style="48" customWidth="1"/>
    <col min="12" max="12" width="20" style="48" customWidth="1"/>
    <col min="13" max="15" width="9.54296875" style="48" customWidth="1"/>
    <col min="16" max="17" width="10.54296875" style="48" customWidth="1"/>
    <col min="18" max="21" width="12.26953125" style="48" customWidth="1"/>
    <col min="22" max="22" width="71.7265625" style="48" customWidth="1"/>
    <col min="23" max="24" width="25.7265625" style="48" customWidth="1"/>
    <col min="25" max="26" width="15.7265625" style="49" customWidth="1"/>
    <col min="27" max="27" width="20.7265625" style="49" customWidth="1"/>
    <col min="28" max="28" width="7.453125" style="49" customWidth="1"/>
    <col min="29" max="29" width="21.81640625" style="49" customWidth="1"/>
    <col min="30" max="32" width="20.7265625" style="48" customWidth="1"/>
    <col min="33" max="33" width="10.81640625" style="48" customWidth="1"/>
    <col min="34" max="39" width="0" style="48" hidden="1" customWidth="1"/>
    <col min="40" max="16384" width="10.81640625" style="48" hidden="1"/>
  </cols>
  <sheetData>
    <row r="1" spans="2:32" ht="20.149999999999999" customHeight="1" x14ac:dyDescent="0.25"/>
    <row r="2" spans="2:32" ht="20.149999999999999" customHeight="1" x14ac:dyDescent="0.25"/>
    <row r="3" spans="2:32" ht="20.149999999999999" customHeight="1" x14ac:dyDescent="0.25"/>
    <row r="4" spans="2:32" ht="12" customHeight="1" x14ac:dyDescent="0.25"/>
    <row r="5" spans="2:32" ht="20.149999999999999" hidden="1" customHeight="1" x14ac:dyDescent="0.25"/>
    <row r="6" spans="2:32" ht="20.149999999999999" hidden="1" customHeight="1" x14ac:dyDescent="0.25"/>
    <row r="7" spans="2:32" s="99" customFormat="1" ht="20.149999999999999" customHeight="1" x14ac:dyDescent="0.25">
      <c r="B7" s="100"/>
      <c r="C7" s="101"/>
      <c r="D7" s="101"/>
      <c r="E7" s="101"/>
      <c r="F7" s="101"/>
      <c r="G7" s="102" t="s">
        <v>65</v>
      </c>
      <c r="H7" s="210"/>
      <c r="I7" s="211"/>
      <c r="J7" s="211"/>
      <c r="K7" s="211"/>
      <c r="L7" s="211"/>
      <c r="M7" s="211"/>
      <c r="N7" s="211"/>
      <c r="O7" s="211"/>
      <c r="P7" s="211"/>
      <c r="Q7" s="212"/>
      <c r="V7" s="215" t="s">
        <v>66</v>
      </c>
      <c r="W7" s="215"/>
      <c r="X7" s="187"/>
      <c r="Y7" s="187"/>
      <c r="Z7" s="187"/>
      <c r="AA7" s="187"/>
      <c r="AB7" s="125"/>
    </row>
    <row r="8" spans="2:32" s="60" customFormat="1" ht="6.75" customHeight="1" x14ac:dyDescent="0.25">
      <c r="B8" s="61"/>
      <c r="C8" s="62"/>
      <c r="D8" s="62"/>
      <c r="E8" s="62"/>
      <c r="F8" s="62"/>
      <c r="G8" s="62"/>
      <c r="H8" s="62"/>
      <c r="Y8" s="62"/>
      <c r="Z8" s="62"/>
      <c r="AA8" s="62"/>
      <c r="AB8" s="62"/>
      <c r="AC8" s="62"/>
    </row>
    <row r="9" spans="2:32" s="123" customFormat="1" ht="13" customHeight="1" x14ac:dyDescent="0.25">
      <c r="B9" s="183" t="s">
        <v>67</v>
      </c>
      <c r="C9" s="183"/>
      <c r="D9" s="183"/>
      <c r="E9" s="183"/>
      <c r="F9" s="183"/>
      <c r="G9" s="183"/>
      <c r="H9" s="183"/>
      <c r="I9" s="183"/>
      <c r="J9" s="183"/>
      <c r="K9" s="183"/>
      <c r="L9" s="183"/>
      <c r="M9" s="183"/>
      <c r="N9" s="183"/>
      <c r="O9" s="183"/>
      <c r="P9" s="183"/>
      <c r="Q9" s="183"/>
      <c r="R9" s="183"/>
      <c r="S9" s="183"/>
      <c r="T9" s="183"/>
      <c r="U9" s="183"/>
      <c r="V9" s="183"/>
      <c r="W9" s="183"/>
      <c r="X9" s="183"/>
      <c r="Y9" s="183"/>
      <c r="Z9" s="183"/>
      <c r="AA9" s="183"/>
      <c r="AB9" s="183"/>
      <c r="AC9" s="183"/>
      <c r="AD9" s="183"/>
      <c r="AE9" s="183"/>
      <c r="AF9" s="183"/>
    </row>
    <row r="10" spans="2:32" s="123" customFormat="1" ht="12.75" customHeight="1" x14ac:dyDescent="0.25">
      <c r="B10" s="181" t="s">
        <v>68</v>
      </c>
      <c r="C10" s="181"/>
      <c r="D10" s="181"/>
      <c r="E10" s="181"/>
      <c r="F10" s="181"/>
      <c r="G10" s="181"/>
      <c r="H10" s="181"/>
      <c r="I10" s="182"/>
      <c r="J10" s="224" t="s">
        <v>69</v>
      </c>
      <c r="K10" s="225"/>
      <c r="L10" s="225"/>
      <c r="M10" s="225"/>
      <c r="N10" s="225"/>
      <c r="O10" s="225"/>
      <c r="P10" s="225"/>
      <c r="Q10" s="226"/>
      <c r="R10" s="188" t="s">
        <v>70</v>
      </c>
      <c r="S10" s="189"/>
      <c r="T10" s="189"/>
      <c r="U10" s="189"/>
      <c r="V10" s="189"/>
      <c r="W10" s="189"/>
      <c r="X10" s="189"/>
      <c r="Y10" s="189"/>
      <c r="Z10" s="189"/>
      <c r="AA10" s="190"/>
      <c r="AB10" s="124"/>
      <c r="AC10" s="180" t="s">
        <v>71</v>
      </c>
      <c r="AD10" s="180"/>
      <c r="AE10" s="180"/>
      <c r="AF10" s="180"/>
    </row>
    <row r="11" spans="2:32" s="118" customFormat="1" ht="51.65" customHeight="1" x14ac:dyDescent="0.25">
      <c r="B11" s="213" t="s">
        <v>72</v>
      </c>
      <c r="C11" s="202" t="s">
        <v>73</v>
      </c>
      <c r="D11" s="213" t="s">
        <v>74</v>
      </c>
      <c r="E11" s="213" t="s">
        <v>75</v>
      </c>
      <c r="F11" s="203" t="s">
        <v>76</v>
      </c>
      <c r="G11" s="203" t="s">
        <v>77</v>
      </c>
      <c r="H11" s="200" t="s">
        <v>78</v>
      </c>
      <c r="I11" s="209"/>
      <c r="J11" s="227" t="s">
        <v>79</v>
      </c>
      <c r="K11" s="227" t="s">
        <v>80</v>
      </c>
      <c r="L11" s="204" t="s">
        <v>81</v>
      </c>
      <c r="M11" s="229" t="s">
        <v>82</v>
      </c>
      <c r="N11" s="230"/>
      <c r="O11" s="231"/>
      <c r="P11" s="229" t="s">
        <v>83</v>
      </c>
      <c r="Q11" s="231"/>
      <c r="R11" s="232" t="s">
        <v>84</v>
      </c>
      <c r="S11" s="233"/>
      <c r="T11" s="234"/>
      <c r="U11" s="174" t="s">
        <v>85</v>
      </c>
      <c r="V11" s="175"/>
      <c r="W11" s="176"/>
      <c r="X11" s="207" t="s">
        <v>86</v>
      </c>
      <c r="Y11" s="208" t="s">
        <v>87</v>
      </c>
      <c r="Z11" s="208"/>
      <c r="AA11" s="119" t="s">
        <v>88</v>
      </c>
      <c r="AB11" s="205" t="s">
        <v>89</v>
      </c>
      <c r="AC11" s="200" t="s">
        <v>90</v>
      </c>
      <c r="AD11" s="201"/>
      <c r="AE11" s="201"/>
      <c r="AF11" s="201"/>
    </row>
    <row r="12" spans="2:32" s="118" customFormat="1" ht="43" customHeight="1" x14ac:dyDescent="0.25">
      <c r="B12" s="214"/>
      <c r="C12" s="202"/>
      <c r="D12" s="214"/>
      <c r="E12" s="214"/>
      <c r="F12" s="203"/>
      <c r="G12" s="203"/>
      <c r="H12" s="135" t="s">
        <v>91</v>
      </c>
      <c r="I12" s="121" t="s">
        <v>15</v>
      </c>
      <c r="J12" s="228"/>
      <c r="K12" s="228"/>
      <c r="L12" s="204"/>
      <c r="M12" s="133" t="s">
        <v>92</v>
      </c>
      <c r="N12" s="133" t="s">
        <v>93</v>
      </c>
      <c r="O12" s="133" t="s">
        <v>94</v>
      </c>
      <c r="P12" s="133" t="s">
        <v>92</v>
      </c>
      <c r="Q12" s="133" t="s">
        <v>93</v>
      </c>
      <c r="R12" s="134" t="s">
        <v>95</v>
      </c>
      <c r="S12" s="122" t="s">
        <v>96</v>
      </c>
      <c r="T12" s="122" t="s">
        <v>97</v>
      </c>
      <c r="U12" s="122" t="s">
        <v>98</v>
      </c>
      <c r="V12" s="122" t="s">
        <v>36</v>
      </c>
      <c r="W12" s="122" t="s">
        <v>40</v>
      </c>
      <c r="X12" s="207"/>
      <c r="Y12" s="122" t="s">
        <v>99</v>
      </c>
      <c r="Z12" s="122" t="s">
        <v>100</v>
      </c>
      <c r="AA12" s="122" t="s">
        <v>101</v>
      </c>
      <c r="AB12" s="206"/>
      <c r="AC12" s="120" t="s">
        <v>57</v>
      </c>
      <c r="AD12" s="121" t="s">
        <v>59</v>
      </c>
      <c r="AE12" s="121" t="s">
        <v>61</v>
      </c>
      <c r="AF12" s="121" t="s">
        <v>63</v>
      </c>
    </row>
    <row r="13" spans="2:32" s="87" customFormat="1" ht="25" customHeight="1" x14ac:dyDescent="0.25">
      <c r="B13" s="184">
        <v>1</v>
      </c>
      <c r="C13" s="191"/>
      <c r="D13" s="171"/>
      <c r="E13" s="171"/>
      <c r="F13" s="194"/>
      <c r="G13" s="191"/>
      <c r="H13" s="191"/>
      <c r="I13" s="191"/>
      <c r="J13" s="171"/>
      <c r="K13" s="171"/>
      <c r="L13" s="197" t="str">
        <f>IF('ANÁLISIS 5PQs'!AA14&lt;&gt;"",'ANÁLISIS 5PQs'!AA14,"")</f>
        <v/>
      </c>
      <c r="M13" s="216"/>
      <c r="N13" s="216"/>
      <c r="O13" s="216"/>
      <c r="P13" s="216"/>
      <c r="Q13" s="191"/>
      <c r="R13" s="191"/>
      <c r="S13" s="191"/>
      <c r="T13" s="191"/>
      <c r="U13" s="171"/>
      <c r="V13" s="88"/>
      <c r="W13" s="88"/>
      <c r="X13" s="88"/>
      <c r="Y13" s="94"/>
      <c r="Z13" s="94"/>
      <c r="AA13" s="97"/>
      <c r="AB13" s="221" t="s">
        <v>105</v>
      </c>
      <c r="AC13" s="97"/>
      <c r="AD13" s="94"/>
      <c r="AE13" s="94"/>
      <c r="AF13" s="94"/>
    </row>
    <row r="14" spans="2:32" s="87" customFormat="1" ht="25" customHeight="1" x14ac:dyDescent="0.25">
      <c r="B14" s="185"/>
      <c r="C14" s="192"/>
      <c r="D14" s="172"/>
      <c r="E14" s="172"/>
      <c r="F14" s="195"/>
      <c r="G14" s="192"/>
      <c r="H14" s="192"/>
      <c r="I14" s="192"/>
      <c r="J14" s="172"/>
      <c r="K14" s="172"/>
      <c r="L14" s="198"/>
      <c r="M14" s="217"/>
      <c r="N14" s="217"/>
      <c r="O14" s="217"/>
      <c r="P14" s="217"/>
      <c r="Q14" s="192"/>
      <c r="R14" s="192"/>
      <c r="S14" s="192"/>
      <c r="T14" s="192"/>
      <c r="U14" s="172"/>
      <c r="V14" s="89"/>
      <c r="W14" s="89"/>
      <c r="X14" s="89"/>
      <c r="Y14" s="95"/>
      <c r="Z14" s="95"/>
      <c r="AA14" s="97"/>
      <c r="AB14" s="222"/>
      <c r="AC14" s="97"/>
      <c r="AD14" s="95"/>
      <c r="AE14" s="95"/>
      <c r="AF14" s="95"/>
    </row>
    <row r="15" spans="2:32" s="87" customFormat="1" ht="25" customHeight="1" x14ac:dyDescent="0.25">
      <c r="B15" s="185"/>
      <c r="C15" s="192"/>
      <c r="D15" s="172"/>
      <c r="E15" s="172"/>
      <c r="F15" s="195"/>
      <c r="G15" s="192"/>
      <c r="H15" s="192"/>
      <c r="I15" s="192"/>
      <c r="J15" s="172"/>
      <c r="K15" s="172"/>
      <c r="L15" s="198"/>
      <c r="M15" s="217"/>
      <c r="N15" s="217"/>
      <c r="O15" s="217"/>
      <c r="P15" s="217"/>
      <c r="Q15" s="192"/>
      <c r="R15" s="192"/>
      <c r="S15" s="192"/>
      <c r="T15" s="192"/>
      <c r="U15" s="172"/>
      <c r="V15" s="89"/>
      <c r="W15" s="89"/>
      <c r="X15" s="89"/>
      <c r="Y15" s="95"/>
      <c r="Z15" s="95"/>
      <c r="AA15" s="95"/>
      <c r="AB15" s="222"/>
      <c r="AC15" s="95"/>
      <c r="AD15" s="95"/>
      <c r="AE15" s="95"/>
      <c r="AF15" s="95"/>
    </row>
    <row r="16" spans="2:32" s="87" customFormat="1" ht="38.15" customHeight="1" x14ac:dyDescent="0.25">
      <c r="B16" s="186"/>
      <c r="C16" s="193"/>
      <c r="D16" s="173"/>
      <c r="E16" s="173"/>
      <c r="F16" s="196"/>
      <c r="G16" s="193"/>
      <c r="H16" s="193"/>
      <c r="I16" s="193"/>
      <c r="J16" s="173"/>
      <c r="K16" s="173"/>
      <c r="L16" s="199"/>
      <c r="M16" s="218"/>
      <c r="N16" s="218"/>
      <c r="O16" s="218"/>
      <c r="P16" s="218"/>
      <c r="Q16" s="193"/>
      <c r="R16" s="193"/>
      <c r="S16" s="193"/>
      <c r="T16" s="193"/>
      <c r="U16" s="173"/>
      <c r="V16" s="90"/>
      <c r="W16" s="90"/>
      <c r="X16" s="90"/>
      <c r="Y16" s="96"/>
      <c r="Z16" s="96"/>
      <c r="AA16" s="96"/>
      <c r="AB16" s="222"/>
      <c r="AC16" s="96"/>
      <c r="AD16" s="96"/>
      <c r="AE16" s="96"/>
      <c r="AF16" s="96"/>
    </row>
    <row r="17" spans="2:32" s="87" customFormat="1" ht="25" customHeight="1" x14ac:dyDescent="0.3">
      <c r="B17" s="184">
        <v>2</v>
      </c>
      <c r="C17" s="191"/>
      <c r="D17" s="171"/>
      <c r="E17" s="171"/>
      <c r="F17" s="194"/>
      <c r="G17" s="191"/>
      <c r="H17" s="191"/>
      <c r="I17" s="191"/>
      <c r="J17" s="171"/>
      <c r="K17" s="171"/>
      <c r="L17" s="197" t="str">
        <f>IF('ANÁLISIS 5PQs'!AA21&lt;&gt;"",'ANÁLISIS 5PQs'!AA21,"")</f>
        <v/>
      </c>
      <c r="M17" s="216"/>
      <c r="N17" s="216"/>
      <c r="O17" s="216"/>
      <c r="P17" s="216"/>
      <c r="Q17" s="191"/>
      <c r="R17" s="191"/>
      <c r="S17" s="191"/>
      <c r="T17" s="191"/>
      <c r="U17" s="177"/>
      <c r="V17" s="141"/>
      <c r="W17" s="141"/>
      <c r="X17" s="141"/>
      <c r="Y17" s="141"/>
      <c r="Z17" s="141"/>
      <c r="AA17" s="97"/>
      <c r="AB17" s="222"/>
      <c r="AC17" s="97"/>
      <c r="AD17" s="94"/>
      <c r="AE17" s="94"/>
      <c r="AF17" s="94"/>
    </row>
    <row r="18" spans="2:32" s="87" customFormat="1" ht="25" customHeight="1" x14ac:dyDescent="0.3">
      <c r="B18" s="185"/>
      <c r="C18" s="192"/>
      <c r="D18" s="172"/>
      <c r="E18" s="172"/>
      <c r="F18" s="195"/>
      <c r="G18" s="192"/>
      <c r="H18" s="192"/>
      <c r="I18" s="192"/>
      <c r="J18" s="172"/>
      <c r="K18" s="172"/>
      <c r="L18" s="198"/>
      <c r="M18" s="217"/>
      <c r="N18" s="217"/>
      <c r="O18" s="217"/>
      <c r="P18" s="217"/>
      <c r="Q18" s="192"/>
      <c r="R18" s="192"/>
      <c r="S18" s="192"/>
      <c r="T18" s="192"/>
      <c r="U18" s="178"/>
      <c r="V18" s="142"/>
      <c r="W18" s="142"/>
      <c r="X18" s="142"/>
      <c r="Y18" s="142"/>
      <c r="Z18" s="142"/>
      <c r="AA18" s="95"/>
      <c r="AB18" s="222"/>
      <c r="AC18" s="95"/>
      <c r="AD18" s="95"/>
      <c r="AE18" s="95"/>
      <c r="AF18" s="95"/>
    </row>
    <row r="19" spans="2:32" s="87" customFormat="1" ht="25" customHeight="1" x14ac:dyDescent="0.3">
      <c r="B19" s="185"/>
      <c r="C19" s="192"/>
      <c r="D19" s="172"/>
      <c r="E19" s="172"/>
      <c r="F19" s="195"/>
      <c r="G19" s="192"/>
      <c r="H19" s="192"/>
      <c r="I19" s="192"/>
      <c r="J19" s="172"/>
      <c r="K19" s="172"/>
      <c r="L19" s="198"/>
      <c r="M19" s="217"/>
      <c r="N19" s="217"/>
      <c r="O19" s="217"/>
      <c r="P19" s="217"/>
      <c r="Q19" s="192"/>
      <c r="R19" s="192"/>
      <c r="S19" s="192"/>
      <c r="T19" s="192"/>
      <c r="U19" s="178"/>
      <c r="V19" s="142"/>
      <c r="W19" s="142"/>
      <c r="X19" s="142"/>
      <c r="Y19" s="142"/>
      <c r="Z19" s="142"/>
      <c r="AA19" s="95"/>
      <c r="AB19" s="222"/>
      <c r="AC19" s="95"/>
      <c r="AD19" s="95"/>
      <c r="AE19" s="95"/>
      <c r="AF19" s="95"/>
    </row>
    <row r="20" spans="2:32" s="87" customFormat="1" ht="25" customHeight="1" x14ac:dyDescent="0.3">
      <c r="B20" s="185"/>
      <c r="C20" s="193"/>
      <c r="D20" s="173"/>
      <c r="E20" s="173"/>
      <c r="F20" s="196"/>
      <c r="G20" s="193"/>
      <c r="H20" s="193"/>
      <c r="I20" s="193"/>
      <c r="J20" s="173"/>
      <c r="K20" s="173"/>
      <c r="L20" s="199"/>
      <c r="M20" s="218"/>
      <c r="N20" s="218"/>
      <c r="O20" s="218"/>
      <c r="P20" s="218"/>
      <c r="Q20" s="193"/>
      <c r="R20" s="193"/>
      <c r="S20" s="193"/>
      <c r="T20" s="193"/>
      <c r="U20" s="179"/>
      <c r="V20" s="142"/>
      <c r="W20" s="142"/>
      <c r="X20" s="142"/>
      <c r="Y20" s="142"/>
      <c r="Z20" s="142"/>
      <c r="AA20" s="96"/>
      <c r="AB20" s="222"/>
      <c r="AC20" s="96"/>
      <c r="AD20" s="96"/>
      <c r="AE20" s="96"/>
      <c r="AF20" s="96"/>
    </row>
    <row r="21" spans="2:32" s="87" customFormat="1" ht="25" customHeight="1" x14ac:dyDescent="0.25">
      <c r="B21" s="184">
        <v>3</v>
      </c>
      <c r="C21" s="191"/>
      <c r="D21" s="171"/>
      <c r="E21" s="171"/>
      <c r="F21" s="194"/>
      <c r="G21" s="191"/>
      <c r="H21" s="191"/>
      <c r="I21" s="191"/>
      <c r="J21" s="171"/>
      <c r="K21" s="171"/>
      <c r="L21" s="197" t="str">
        <f>IF('ANÁLISIS 5PQs'!AA28&lt;&gt;"",'ANÁLISIS 5PQs'!AA28,"")</f>
        <v/>
      </c>
      <c r="M21" s="216"/>
      <c r="N21" s="216"/>
      <c r="O21" s="216"/>
      <c r="P21" s="216"/>
      <c r="Q21" s="191"/>
      <c r="R21" s="191"/>
      <c r="S21" s="191"/>
      <c r="T21" s="191"/>
      <c r="U21" s="171"/>
      <c r="V21" s="88"/>
      <c r="W21" s="88"/>
      <c r="X21" s="88"/>
      <c r="Y21" s="94"/>
      <c r="Z21" s="94"/>
      <c r="AA21" s="97"/>
      <c r="AB21" s="222"/>
      <c r="AC21" s="97"/>
      <c r="AD21" s="94"/>
      <c r="AE21" s="94"/>
      <c r="AF21" s="94"/>
    </row>
    <row r="22" spans="2:32" s="87" customFormat="1" ht="25" customHeight="1" x14ac:dyDescent="0.25">
      <c r="B22" s="185"/>
      <c r="C22" s="192"/>
      <c r="D22" s="172"/>
      <c r="E22" s="172"/>
      <c r="F22" s="195"/>
      <c r="G22" s="192"/>
      <c r="H22" s="192"/>
      <c r="I22" s="192"/>
      <c r="J22" s="172"/>
      <c r="K22" s="172"/>
      <c r="L22" s="198"/>
      <c r="M22" s="217"/>
      <c r="N22" s="217"/>
      <c r="O22" s="217"/>
      <c r="P22" s="217"/>
      <c r="Q22" s="192"/>
      <c r="R22" s="192"/>
      <c r="S22" s="192"/>
      <c r="T22" s="192"/>
      <c r="U22" s="172"/>
      <c r="V22" s="89"/>
      <c r="W22" s="89"/>
      <c r="X22" s="89"/>
      <c r="Y22" s="95"/>
      <c r="Z22" s="95"/>
      <c r="AA22" s="97"/>
      <c r="AB22" s="222"/>
      <c r="AC22" s="97"/>
      <c r="AD22" s="95"/>
      <c r="AE22" s="95"/>
      <c r="AF22" s="95"/>
    </row>
    <row r="23" spans="2:32" s="87" customFormat="1" ht="25" customHeight="1" x14ac:dyDescent="0.25">
      <c r="B23" s="185"/>
      <c r="C23" s="192"/>
      <c r="D23" s="172"/>
      <c r="E23" s="172"/>
      <c r="F23" s="195"/>
      <c r="G23" s="192"/>
      <c r="H23" s="192"/>
      <c r="I23" s="192"/>
      <c r="J23" s="172"/>
      <c r="K23" s="172"/>
      <c r="L23" s="198"/>
      <c r="M23" s="217"/>
      <c r="N23" s="217"/>
      <c r="O23" s="217"/>
      <c r="P23" s="217"/>
      <c r="Q23" s="192"/>
      <c r="R23" s="192"/>
      <c r="S23" s="192"/>
      <c r="T23" s="192"/>
      <c r="U23" s="172"/>
      <c r="V23" s="89"/>
      <c r="W23" s="89"/>
      <c r="X23" s="89"/>
      <c r="Y23" s="95"/>
      <c r="Z23" s="95"/>
      <c r="AA23" s="95"/>
      <c r="AB23" s="222"/>
      <c r="AC23" s="95"/>
      <c r="AD23" s="95"/>
      <c r="AE23" s="95"/>
      <c r="AF23" s="95"/>
    </row>
    <row r="24" spans="2:32" s="87" customFormat="1" ht="25" customHeight="1" x14ac:dyDescent="0.25">
      <c r="B24" s="185"/>
      <c r="C24" s="193"/>
      <c r="D24" s="173"/>
      <c r="E24" s="173"/>
      <c r="F24" s="196"/>
      <c r="G24" s="193"/>
      <c r="H24" s="193"/>
      <c r="I24" s="193"/>
      <c r="J24" s="173"/>
      <c r="K24" s="173"/>
      <c r="L24" s="199"/>
      <c r="M24" s="218"/>
      <c r="N24" s="218"/>
      <c r="O24" s="218"/>
      <c r="P24" s="218"/>
      <c r="Q24" s="193"/>
      <c r="R24" s="193"/>
      <c r="S24" s="193"/>
      <c r="T24" s="193"/>
      <c r="U24" s="173"/>
      <c r="V24" s="90"/>
      <c r="W24" s="90"/>
      <c r="X24" s="90"/>
      <c r="Y24" s="96"/>
      <c r="Z24" s="96"/>
      <c r="AA24" s="96"/>
      <c r="AB24" s="222"/>
      <c r="AC24" s="96"/>
      <c r="AD24" s="96"/>
      <c r="AE24" s="96"/>
      <c r="AF24" s="96"/>
    </row>
    <row r="25" spans="2:32" s="87" customFormat="1" ht="25.5" customHeight="1" x14ac:dyDescent="0.25">
      <c r="B25" s="184">
        <v>4</v>
      </c>
      <c r="C25" s="191"/>
      <c r="D25" s="171"/>
      <c r="E25" s="171"/>
      <c r="F25" s="194"/>
      <c r="G25" s="191"/>
      <c r="H25" s="191"/>
      <c r="I25" s="191"/>
      <c r="J25" s="171"/>
      <c r="K25" s="171"/>
      <c r="L25" s="197" t="str">
        <f>IF('ANÁLISIS 5PQs'!AA35&lt;&gt;"",'ANÁLISIS 5PQs'!AA35,"")</f>
        <v/>
      </c>
      <c r="M25" s="216"/>
      <c r="N25" s="216"/>
      <c r="O25" s="216"/>
      <c r="P25" s="216"/>
      <c r="Q25" s="191"/>
      <c r="R25" s="191"/>
      <c r="S25" s="191"/>
      <c r="T25" s="191"/>
      <c r="U25" s="171"/>
      <c r="V25" s="88"/>
      <c r="W25" s="88"/>
      <c r="X25" s="88"/>
      <c r="Y25" s="94"/>
      <c r="Z25" s="94"/>
      <c r="AA25" s="94"/>
      <c r="AB25" s="222"/>
      <c r="AC25" s="94"/>
      <c r="AD25" s="94"/>
      <c r="AE25" s="94"/>
      <c r="AF25" s="94"/>
    </row>
    <row r="26" spans="2:32" s="87" customFormat="1" ht="25" customHeight="1" x14ac:dyDescent="0.25">
      <c r="B26" s="185"/>
      <c r="C26" s="192"/>
      <c r="D26" s="172"/>
      <c r="E26" s="172"/>
      <c r="F26" s="195"/>
      <c r="G26" s="192"/>
      <c r="H26" s="192"/>
      <c r="I26" s="192"/>
      <c r="J26" s="172"/>
      <c r="K26" s="172"/>
      <c r="L26" s="198"/>
      <c r="M26" s="217"/>
      <c r="N26" s="217"/>
      <c r="O26" s="217"/>
      <c r="P26" s="217"/>
      <c r="Q26" s="192"/>
      <c r="R26" s="192"/>
      <c r="S26" s="192"/>
      <c r="T26" s="192"/>
      <c r="U26" s="172"/>
      <c r="V26" s="89"/>
      <c r="W26" s="89"/>
      <c r="X26" s="89"/>
      <c r="Y26" s="95"/>
      <c r="Z26" s="95"/>
      <c r="AA26" s="95"/>
      <c r="AB26" s="222"/>
      <c r="AC26" s="95"/>
      <c r="AD26" s="95"/>
      <c r="AE26" s="95"/>
      <c r="AF26" s="95"/>
    </row>
    <row r="27" spans="2:32" s="87" customFormat="1" ht="25" customHeight="1" x14ac:dyDescent="0.25">
      <c r="B27" s="185"/>
      <c r="C27" s="192"/>
      <c r="D27" s="172"/>
      <c r="E27" s="172"/>
      <c r="F27" s="195"/>
      <c r="G27" s="192"/>
      <c r="H27" s="192"/>
      <c r="I27" s="192"/>
      <c r="J27" s="172"/>
      <c r="K27" s="172"/>
      <c r="L27" s="198"/>
      <c r="M27" s="217"/>
      <c r="N27" s="217"/>
      <c r="O27" s="217"/>
      <c r="P27" s="217"/>
      <c r="Q27" s="192"/>
      <c r="R27" s="192"/>
      <c r="S27" s="192"/>
      <c r="T27" s="192"/>
      <c r="U27" s="172"/>
      <c r="V27" s="89"/>
      <c r="W27" s="89"/>
      <c r="X27" s="89"/>
      <c r="Y27" s="95"/>
      <c r="Z27" s="95"/>
      <c r="AA27" s="95"/>
      <c r="AB27" s="222"/>
      <c r="AC27" s="95"/>
      <c r="AD27" s="95"/>
      <c r="AE27" s="95"/>
      <c r="AF27" s="95"/>
    </row>
    <row r="28" spans="2:32" s="87" customFormat="1" ht="25" customHeight="1" x14ac:dyDescent="0.25">
      <c r="B28" s="185"/>
      <c r="C28" s="193"/>
      <c r="D28" s="173"/>
      <c r="E28" s="173"/>
      <c r="F28" s="196"/>
      <c r="G28" s="193"/>
      <c r="H28" s="193"/>
      <c r="I28" s="193"/>
      <c r="J28" s="173"/>
      <c r="K28" s="173"/>
      <c r="L28" s="199"/>
      <c r="M28" s="218"/>
      <c r="N28" s="218"/>
      <c r="O28" s="218"/>
      <c r="P28" s="218"/>
      <c r="Q28" s="193"/>
      <c r="R28" s="193"/>
      <c r="S28" s="193"/>
      <c r="T28" s="193"/>
      <c r="U28" s="173"/>
      <c r="V28" s="90"/>
      <c r="W28" s="90"/>
      <c r="X28" s="90"/>
      <c r="Y28" s="96"/>
      <c r="Z28" s="96"/>
      <c r="AA28" s="96"/>
      <c r="AB28" s="222"/>
      <c r="AC28" s="96"/>
      <c r="AD28" s="96"/>
      <c r="AE28" s="96"/>
      <c r="AF28" s="96"/>
    </row>
    <row r="29" spans="2:32" s="87" customFormat="1" ht="25" customHeight="1" x14ac:dyDescent="0.25">
      <c r="B29" s="184">
        <v>5</v>
      </c>
      <c r="C29" s="191"/>
      <c r="D29" s="171"/>
      <c r="E29" s="171"/>
      <c r="F29" s="194"/>
      <c r="G29" s="191"/>
      <c r="H29" s="191"/>
      <c r="I29" s="191"/>
      <c r="J29" s="171"/>
      <c r="K29" s="171"/>
      <c r="L29" s="197" t="str">
        <f>IF('ANÁLISIS 5PQs'!AA42&lt;&gt;"",'ANÁLISIS 5PQs'!AA42,"")</f>
        <v/>
      </c>
      <c r="M29" s="216"/>
      <c r="N29" s="216"/>
      <c r="O29" s="216"/>
      <c r="P29" s="216"/>
      <c r="Q29" s="191"/>
      <c r="R29" s="191"/>
      <c r="S29" s="191"/>
      <c r="T29" s="191"/>
      <c r="U29" s="171"/>
      <c r="V29" s="88"/>
      <c r="W29" s="88"/>
      <c r="X29" s="88"/>
      <c r="Y29" s="94"/>
      <c r="Z29" s="94"/>
      <c r="AA29" s="94"/>
      <c r="AB29" s="222"/>
      <c r="AC29" s="94"/>
      <c r="AD29" s="94"/>
      <c r="AE29" s="94"/>
      <c r="AF29" s="94"/>
    </row>
    <row r="30" spans="2:32" s="87" customFormat="1" ht="25" customHeight="1" x14ac:dyDescent="0.25">
      <c r="B30" s="185"/>
      <c r="C30" s="192"/>
      <c r="D30" s="172"/>
      <c r="E30" s="172"/>
      <c r="F30" s="195"/>
      <c r="G30" s="192"/>
      <c r="H30" s="192"/>
      <c r="I30" s="192"/>
      <c r="J30" s="172"/>
      <c r="K30" s="172"/>
      <c r="L30" s="198"/>
      <c r="M30" s="217"/>
      <c r="N30" s="217"/>
      <c r="O30" s="217"/>
      <c r="P30" s="217"/>
      <c r="Q30" s="192"/>
      <c r="R30" s="192"/>
      <c r="S30" s="192"/>
      <c r="T30" s="192"/>
      <c r="U30" s="172"/>
      <c r="V30" s="89"/>
      <c r="W30" s="89"/>
      <c r="X30" s="89"/>
      <c r="Y30" s="95"/>
      <c r="Z30" s="95"/>
      <c r="AA30" s="95"/>
      <c r="AB30" s="222"/>
      <c r="AC30" s="95"/>
      <c r="AD30" s="95"/>
      <c r="AE30" s="95"/>
      <c r="AF30" s="95"/>
    </row>
    <row r="31" spans="2:32" s="87" customFormat="1" ht="25" customHeight="1" x14ac:dyDescent="0.25">
      <c r="B31" s="185"/>
      <c r="C31" s="192"/>
      <c r="D31" s="172"/>
      <c r="E31" s="172"/>
      <c r="F31" s="195"/>
      <c r="G31" s="192"/>
      <c r="H31" s="192"/>
      <c r="I31" s="192"/>
      <c r="J31" s="172"/>
      <c r="K31" s="172"/>
      <c r="L31" s="198"/>
      <c r="M31" s="217"/>
      <c r="N31" s="217"/>
      <c r="O31" s="217"/>
      <c r="P31" s="217"/>
      <c r="Q31" s="192"/>
      <c r="R31" s="192"/>
      <c r="S31" s="192"/>
      <c r="T31" s="192"/>
      <c r="U31" s="172"/>
      <c r="V31" s="89"/>
      <c r="W31" s="89"/>
      <c r="X31" s="89"/>
      <c r="Y31" s="95"/>
      <c r="Z31" s="95"/>
      <c r="AA31" s="95"/>
      <c r="AB31" s="222"/>
      <c r="AC31" s="95"/>
      <c r="AD31" s="95"/>
      <c r="AE31" s="95"/>
      <c r="AF31" s="95"/>
    </row>
    <row r="32" spans="2:32" s="87" customFormat="1" ht="25" customHeight="1" x14ac:dyDescent="0.25">
      <c r="B32" s="185"/>
      <c r="C32" s="193"/>
      <c r="D32" s="173"/>
      <c r="E32" s="173"/>
      <c r="F32" s="196"/>
      <c r="G32" s="193"/>
      <c r="H32" s="193"/>
      <c r="I32" s="193"/>
      <c r="J32" s="173"/>
      <c r="K32" s="173"/>
      <c r="L32" s="199"/>
      <c r="M32" s="218"/>
      <c r="N32" s="218"/>
      <c r="O32" s="218"/>
      <c r="P32" s="218"/>
      <c r="Q32" s="193"/>
      <c r="R32" s="193"/>
      <c r="S32" s="193"/>
      <c r="T32" s="193"/>
      <c r="U32" s="173"/>
      <c r="V32" s="90"/>
      <c r="W32" s="90"/>
      <c r="X32" s="90"/>
      <c r="Y32" s="96"/>
      <c r="Z32" s="96"/>
      <c r="AA32" s="96"/>
      <c r="AB32" s="222"/>
      <c r="AC32" s="96"/>
      <c r="AD32" s="96"/>
      <c r="AE32" s="96"/>
      <c r="AF32" s="96"/>
    </row>
    <row r="33" spans="2:32" s="87" customFormat="1" ht="25" customHeight="1" x14ac:dyDescent="0.25">
      <c r="B33" s="184">
        <v>6</v>
      </c>
      <c r="C33" s="191"/>
      <c r="D33" s="171"/>
      <c r="E33" s="171"/>
      <c r="F33" s="194"/>
      <c r="G33" s="191"/>
      <c r="H33" s="191"/>
      <c r="I33" s="191"/>
      <c r="J33" s="171"/>
      <c r="K33" s="171"/>
      <c r="L33" s="197" t="str">
        <f>IF('ANÁLISIS 5PQs'!AA49&lt;&gt;"",'ANÁLISIS 5PQs'!AA49,"")</f>
        <v/>
      </c>
      <c r="M33" s="216"/>
      <c r="N33" s="216"/>
      <c r="O33" s="216"/>
      <c r="P33" s="216"/>
      <c r="Q33" s="191"/>
      <c r="R33" s="191"/>
      <c r="S33" s="191"/>
      <c r="T33" s="191"/>
      <c r="U33" s="171"/>
      <c r="V33" s="88"/>
      <c r="W33" s="88"/>
      <c r="X33" s="88"/>
      <c r="Y33" s="94"/>
      <c r="Z33" s="94"/>
      <c r="AA33" s="94"/>
      <c r="AB33" s="222"/>
      <c r="AC33" s="94"/>
      <c r="AD33" s="94"/>
      <c r="AE33" s="94"/>
      <c r="AF33" s="94"/>
    </row>
    <row r="34" spans="2:32" s="87" customFormat="1" ht="25" customHeight="1" x14ac:dyDescent="0.25">
      <c r="B34" s="185"/>
      <c r="C34" s="192"/>
      <c r="D34" s="172"/>
      <c r="E34" s="172"/>
      <c r="F34" s="195"/>
      <c r="G34" s="192"/>
      <c r="H34" s="192"/>
      <c r="I34" s="192"/>
      <c r="J34" s="172"/>
      <c r="K34" s="172"/>
      <c r="L34" s="198"/>
      <c r="M34" s="217"/>
      <c r="N34" s="217"/>
      <c r="O34" s="217"/>
      <c r="P34" s="217"/>
      <c r="Q34" s="192"/>
      <c r="R34" s="192"/>
      <c r="S34" s="192"/>
      <c r="T34" s="192"/>
      <c r="U34" s="172"/>
      <c r="V34" s="89"/>
      <c r="W34" s="89"/>
      <c r="X34" s="89"/>
      <c r="Y34" s="95"/>
      <c r="Z34" s="95"/>
      <c r="AA34" s="95"/>
      <c r="AB34" s="222"/>
      <c r="AC34" s="95"/>
      <c r="AD34" s="95"/>
      <c r="AE34" s="95"/>
      <c r="AF34" s="95"/>
    </row>
    <row r="35" spans="2:32" s="87" customFormat="1" ht="25" customHeight="1" x14ac:dyDescent="0.25">
      <c r="B35" s="185"/>
      <c r="C35" s="192"/>
      <c r="D35" s="172"/>
      <c r="E35" s="172"/>
      <c r="F35" s="195"/>
      <c r="G35" s="192"/>
      <c r="H35" s="192"/>
      <c r="I35" s="192"/>
      <c r="J35" s="172"/>
      <c r="K35" s="172"/>
      <c r="L35" s="198"/>
      <c r="M35" s="217"/>
      <c r="N35" s="217"/>
      <c r="O35" s="217"/>
      <c r="P35" s="217"/>
      <c r="Q35" s="192"/>
      <c r="R35" s="192"/>
      <c r="S35" s="192"/>
      <c r="T35" s="192"/>
      <c r="U35" s="172"/>
      <c r="V35" s="89"/>
      <c r="W35" s="89"/>
      <c r="X35" s="89"/>
      <c r="Y35" s="95"/>
      <c r="Z35" s="95"/>
      <c r="AA35" s="95"/>
      <c r="AB35" s="222"/>
      <c r="AC35" s="95"/>
      <c r="AD35" s="95"/>
      <c r="AE35" s="95"/>
      <c r="AF35" s="95"/>
    </row>
    <row r="36" spans="2:32" s="87" customFormat="1" ht="25" customHeight="1" x14ac:dyDescent="0.25">
      <c r="B36" s="185"/>
      <c r="C36" s="193"/>
      <c r="D36" s="173"/>
      <c r="E36" s="173"/>
      <c r="F36" s="196"/>
      <c r="G36" s="193"/>
      <c r="H36" s="193"/>
      <c r="I36" s="193"/>
      <c r="J36" s="173"/>
      <c r="K36" s="173"/>
      <c r="L36" s="199"/>
      <c r="M36" s="218"/>
      <c r="N36" s="218"/>
      <c r="O36" s="218"/>
      <c r="P36" s="218"/>
      <c r="Q36" s="193"/>
      <c r="R36" s="193"/>
      <c r="S36" s="193"/>
      <c r="T36" s="193"/>
      <c r="U36" s="173"/>
      <c r="V36" s="90"/>
      <c r="W36" s="90"/>
      <c r="X36" s="90"/>
      <c r="Y36" s="96"/>
      <c r="Z36" s="96"/>
      <c r="AA36" s="96"/>
      <c r="AB36" s="222"/>
      <c r="AC36" s="96"/>
      <c r="AD36" s="96"/>
      <c r="AE36" s="96"/>
      <c r="AF36" s="96"/>
    </row>
    <row r="37" spans="2:32" s="87" customFormat="1" ht="25" customHeight="1" x14ac:dyDescent="0.25">
      <c r="B37" s="184">
        <v>7</v>
      </c>
      <c r="C37" s="191"/>
      <c r="D37" s="171"/>
      <c r="E37" s="171"/>
      <c r="F37" s="194"/>
      <c r="G37" s="191"/>
      <c r="H37" s="191"/>
      <c r="I37" s="191"/>
      <c r="J37" s="171"/>
      <c r="K37" s="171"/>
      <c r="L37" s="197" t="str">
        <f>IF('ANÁLISIS 5PQs'!AA56&lt;&gt;"",'ANÁLISIS 5PQs'!AA56,"")</f>
        <v/>
      </c>
      <c r="M37" s="216"/>
      <c r="N37" s="216"/>
      <c r="O37" s="216"/>
      <c r="P37" s="216"/>
      <c r="Q37" s="191"/>
      <c r="R37" s="191"/>
      <c r="S37" s="191"/>
      <c r="T37" s="191"/>
      <c r="U37" s="171"/>
      <c r="V37" s="88"/>
      <c r="W37" s="88"/>
      <c r="X37" s="88"/>
      <c r="Y37" s="94"/>
      <c r="Z37" s="94"/>
      <c r="AA37" s="94"/>
      <c r="AB37" s="222"/>
      <c r="AC37" s="94"/>
      <c r="AD37" s="94"/>
      <c r="AE37" s="94"/>
      <c r="AF37" s="94"/>
    </row>
    <row r="38" spans="2:32" s="87" customFormat="1" ht="25" customHeight="1" x14ac:dyDescent="0.25">
      <c r="B38" s="185"/>
      <c r="C38" s="192"/>
      <c r="D38" s="172"/>
      <c r="E38" s="172"/>
      <c r="F38" s="195"/>
      <c r="G38" s="192"/>
      <c r="H38" s="192"/>
      <c r="I38" s="192"/>
      <c r="J38" s="172"/>
      <c r="K38" s="172"/>
      <c r="L38" s="198"/>
      <c r="M38" s="217"/>
      <c r="N38" s="217"/>
      <c r="O38" s="217"/>
      <c r="P38" s="217"/>
      <c r="Q38" s="192"/>
      <c r="R38" s="192"/>
      <c r="S38" s="192"/>
      <c r="T38" s="192"/>
      <c r="U38" s="172"/>
      <c r="V38" s="89"/>
      <c r="W38" s="89"/>
      <c r="X38" s="89"/>
      <c r="Y38" s="95"/>
      <c r="Z38" s="95"/>
      <c r="AA38" s="95"/>
      <c r="AB38" s="222"/>
      <c r="AC38" s="95"/>
      <c r="AD38" s="95"/>
      <c r="AE38" s="95"/>
      <c r="AF38" s="95"/>
    </row>
    <row r="39" spans="2:32" s="87" customFormat="1" ht="25" customHeight="1" x14ac:dyDescent="0.25">
      <c r="B39" s="185"/>
      <c r="C39" s="192"/>
      <c r="D39" s="172"/>
      <c r="E39" s="172"/>
      <c r="F39" s="195"/>
      <c r="G39" s="192"/>
      <c r="H39" s="192"/>
      <c r="I39" s="192"/>
      <c r="J39" s="172"/>
      <c r="K39" s="172"/>
      <c r="L39" s="198"/>
      <c r="M39" s="217"/>
      <c r="N39" s="217"/>
      <c r="O39" s="217"/>
      <c r="P39" s="217"/>
      <c r="Q39" s="192"/>
      <c r="R39" s="192"/>
      <c r="S39" s="192"/>
      <c r="T39" s="192"/>
      <c r="U39" s="172"/>
      <c r="V39" s="89"/>
      <c r="W39" s="89"/>
      <c r="X39" s="89"/>
      <c r="Y39" s="95"/>
      <c r="Z39" s="95"/>
      <c r="AA39" s="95"/>
      <c r="AB39" s="222"/>
      <c r="AC39" s="95"/>
      <c r="AD39" s="95"/>
      <c r="AE39" s="95"/>
      <c r="AF39" s="95"/>
    </row>
    <row r="40" spans="2:32" s="87" customFormat="1" ht="25" customHeight="1" x14ac:dyDescent="0.25">
      <c r="B40" s="185"/>
      <c r="C40" s="193"/>
      <c r="D40" s="173"/>
      <c r="E40" s="173"/>
      <c r="F40" s="196"/>
      <c r="G40" s="193"/>
      <c r="H40" s="193"/>
      <c r="I40" s="193"/>
      <c r="J40" s="173"/>
      <c r="K40" s="173"/>
      <c r="L40" s="199"/>
      <c r="M40" s="218"/>
      <c r="N40" s="218"/>
      <c r="O40" s="218"/>
      <c r="P40" s="218"/>
      <c r="Q40" s="193"/>
      <c r="R40" s="193"/>
      <c r="S40" s="193"/>
      <c r="T40" s="193"/>
      <c r="U40" s="173"/>
      <c r="V40" s="90"/>
      <c r="W40" s="90"/>
      <c r="X40" s="90"/>
      <c r="Y40" s="96"/>
      <c r="Z40" s="96"/>
      <c r="AA40" s="96"/>
      <c r="AB40" s="222"/>
      <c r="AC40" s="96"/>
      <c r="AD40" s="96"/>
      <c r="AE40" s="96"/>
      <c r="AF40" s="96"/>
    </row>
    <row r="41" spans="2:32" s="87" customFormat="1" ht="25" customHeight="1" x14ac:dyDescent="0.25">
      <c r="B41" s="184">
        <v>8</v>
      </c>
      <c r="C41" s="191"/>
      <c r="D41" s="171"/>
      <c r="E41" s="171"/>
      <c r="F41" s="194"/>
      <c r="G41" s="191"/>
      <c r="H41" s="191"/>
      <c r="I41" s="191"/>
      <c r="J41" s="171"/>
      <c r="K41" s="171"/>
      <c r="L41" s="197" t="str">
        <f>IF('ANÁLISIS 5PQs'!AA63&lt;&gt;"",'ANÁLISIS 5PQs'!AA63,"")</f>
        <v/>
      </c>
      <c r="M41" s="216"/>
      <c r="N41" s="216"/>
      <c r="O41" s="216"/>
      <c r="P41" s="216"/>
      <c r="Q41" s="191"/>
      <c r="R41" s="191"/>
      <c r="S41" s="191"/>
      <c r="T41" s="191"/>
      <c r="U41" s="171"/>
      <c r="V41" s="88"/>
      <c r="W41" s="88"/>
      <c r="X41" s="88"/>
      <c r="Y41" s="94"/>
      <c r="Z41" s="94"/>
      <c r="AA41" s="94"/>
      <c r="AB41" s="222"/>
      <c r="AC41" s="94"/>
      <c r="AD41" s="94"/>
      <c r="AE41" s="94"/>
      <c r="AF41" s="94"/>
    </row>
    <row r="42" spans="2:32" s="87" customFormat="1" ht="25" customHeight="1" x14ac:dyDescent="0.25">
      <c r="B42" s="185"/>
      <c r="C42" s="192"/>
      <c r="D42" s="172"/>
      <c r="E42" s="172"/>
      <c r="F42" s="195"/>
      <c r="G42" s="192"/>
      <c r="H42" s="192"/>
      <c r="I42" s="192"/>
      <c r="J42" s="172"/>
      <c r="K42" s="172"/>
      <c r="L42" s="198"/>
      <c r="M42" s="217"/>
      <c r="N42" s="217"/>
      <c r="O42" s="217"/>
      <c r="P42" s="217"/>
      <c r="Q42" s="192"/>
      <c r="R42" s="192"/>
      <c r="S42" s="192"/>
      <c r="T42" s="192"/>
      <c r="U42" s="172"/>
      <c r="V42" s="89"/>
      <c r="W42" s="89"/>
      <c r="X42" s="89"/>
      <c r="Y42" s="95"/>
      <c r="Z42" s="95"/>
      <c r="AA42" s="95"/>
      <c r="AB42" s="222"/>
      <c r="AC42" s="95"/>
      <c r="AD42" s="95"/>
      <c r="AE42" s="95"/>
      <c r="AF42" s="95"/>
    </row>
    <row r="43" spans="2:32" s="87" customFormat="1" ht="25" customHeight="1" x14ac:dyDescent="0.25">
      <c r="B43" s="185"/>
      <c r="C43" s="192"/>
      <c r="D43" s="172"/>
      <c r="E43" s="172"/>
      <c r="F43" s="195"/>
      <c r="G43" s="192"/>
      <c r="H43" s="192"/>
      <c r="I43" s="192"/>
      <c r="J43" s="172"/>
      <c r="K43" s="172"/>
      <c r="L43" s="198"/>
      <c r="M43" s="217"/>
      <c r="N43" s="217"/>
      <c r="O43" s="217"/>
      <c r="P43" s="217"/>
      <c r="Q43" s="192"/>
      <c r="R43" s="192"/>
      <c r="S43" s="192"/>
      <c r="T43" s="192"/>
      <c r="U43" s="172"/>
      <c r="V43" s="89"/>
      <c r="W43" s="89"/>
      <c r="X43" s="89"/>
      <c r="Y43" s="95"/>
      <c r="Z43" s="95"/>
      <c r="AA43" s="95"/>
      <c r="AB43" s="222"/>
      <c r="AC43" s="95"/>
      <c r="AD43" s="95"/>
      <c r="AE43" s="95"/>
      <c r="AF43" s="95"/>
    </row>
    <row r="44" spans="2:32" s="87" customFormat="1" ht="25" customHeight="1" x14ac:dyDescent="0.25">
      <c r="B44" s="185"/>
      <c r="C44" s="193"/>
      <c r="D44" s="173"/>
      <c r="E44" s="173"/>
      <c r="F44" s="220"/>
      <c r="G44" s="219"/>
      <c r="H44" s="219"/>
      <c r="I44" s="219"/>
      <c r="J44" s="173"/>
      <c r="K44" s="173"/>
      <c r="L44" s="199"/>
      <c r="M44" s="218"/>
      <c r="N44" s="218"/>
      <c r="O44" s="218"/>
      <c r="P44" s="218"/>
      <c r="Q44" s="219"/>
      <c r="R44" s="219"/>
      <c r="S44" s="193"/>
      <c r="T44" s="193"/>
      <c r="U44" s="173"/>
      <c r="V44" s="91"/>
      <c r="W44" s="91"/>
      <c r="X44" s="91"/>
      <c r="Y44" s="98"/>
      <c r="Z44" s="98"/>
      <c r="AA44" s="98"/>
      <c r="AB44" s="222"/>
      <c r="AC44" s="98"/>
      <c r="AD44" s="98"/>
      <c r="AE44" s="98"/>
      <c r="AF44" s="98"/>
    </row>
    <row r="45" spans="2:32" s="87" customFormat="1" ht="25" customHeight="1" x14ac:dyDescent="0.25">
      <c r="B45" s="184">
        <v>9</v>
      </c>
      <c r="C45" s="191"/>
      <c r="D45" s="171"/>
      <c r="E45" s="171"/>
      <c r="F45" s="194"/>
      <c r="G45" s="191"/>
      <c r="H45" s="191"/>
      <c r="I45" s="191"/>
      <c r="J45" s="171"/>
      <c r="K45" s="171"/>
      <c r="L45" s="197" t="str">
        <f>IF('ANÁLISIS 5PQs'!AA70&lt;&gt;"",'ANÁLISIS 5PQs'!AA70,"")</f>
        <v/>
      </c>
      <c r="M45" s="216"/>
      <c r="N45" s="216"/>
      <c r="O45" s="216"/>
      <c r="P45" s="216"/>
      <c r="Q45" s="191"/>
      <c r="R45" s="191"/>
      <c r="S45" s="191"/>
      <c r="T45" s="191"/>
      <c r="U45" s="171"/>
      <c r="V45" s="88"/>
      <c r="W45" s="88"/>
      <c r="X45" s="88"/>
      <c r="Y45" s="94"/>
      <c r="Z45" s="94"/>
      <c r="AA45" s="94"/>
      <c r="AB45" s="222"/>
      <c r="AC45" s="94"/>
      <c r="AD45" s="94"/>
      <c r="AE45" s="94"/>
      <c r="AF45" s="94"/>
    </row>
    <row r="46" spans="2:32" s="87" customFormat="1" ht="25" customHeight="1" x14ac:dyDescent="0.25">
      <c r="B46" s="185"/>
      <c r="C46" s="192"/>
      <c r="D46" s="172"/>
      <c r="E46" s="172"/>
      <c r="F46" s="195"/>
      <c r="G46" s="192"/>
      <c r="H46" s="192"/>
      <c r="I46" s="192"/>
      <c r="J46" s="172"/>
      <c r="K46" s="172"/>
      <c r="L46" s="198"/>
      <c r="M46" s="217"/>
      <c r="N46" s="217"/>
      <c r="O46" s="217"/>
      <c r="P46" s="217"/>
      <c r="Q46" s="192"/>
      <c r="R46" s="192"/>
      <c r="S46" s="192"/>
      <c r="T46" s="192"/>
      <c r="U46" s="172"/>
      <c r="V46" s="89"/>
      <c r="W46" s="89"/>
      <c r="X46" s="89"/>
      <c r="Y46" s="95"/>
      <c r="Z46" s="95"/>
      <c r="AA46" s="95"/>
      <c r="AB46" s="222"/>
      <c r="AC46" s="95"/>
      <c r="AD46" s="95"/>
      <c r="AE46" s="95"/>
      <c r="AF46" s="95"/>
    </row>
    <row r="47" spans="2:32" s="87" customFormat="1" ht="25" customHeight="1" x14ac:dyDescent="0.25">
      <c r="B47" s="185"/>
      <c r="C47" s="192"/>
      <c r="D47" s="172"/>
      <c r="E47" s="172"/>
      <c r="F47" s="195"/>
      <c r="G47" s="192"/>
      <c r="H47" s="192"/>
      <c r="I47" s="192"/>
      <c r="J47" s="172"/>
      <c r="K47" s="172"/>
      <c r="L47" s="198"/>
      <c r="M47" s="217"/>
      <c r="N47" s="217"/>
      <c r="O47" s="217"/>
      <c r="P47" s="217"/>
      <c r="Q47" s="192"/>
      <c r="R47" s="192"/>
      <c r="S47" s="192"/>
      <c r="T47" s="192"/>
      <c r="U47" s="172"/>
      <c r="V47" s="89"/>
      <c r="W47" s="89"/>
      <c r="X47" s="89"/>
      <c r="Y47" s="95"/>
      <c r="Z47" s="95"/>
      <c r="AA47" s="95"/>
      <c r="AB47" s="222"/>
      <c r="AC47" s="95"/>
      <c r="AD47" s="95"/>
      <c r="AE47" s="95"/>
      <c r="AF47" s="95"/>
    </row>
    <row r="48" spans="2:32" s="87" customFormat="1" ht="25" customHeight="1" x14ac:dyDescent="0.25">
      <c r="B48" s="185"/>
      <c r="C48" s="193"/>
      <c r="D48" s="173"/>
      <c r="E48" s="173"/>
      <c r="F48" s="220"/>
      <c r="G48" s="219"/>
      <c r="H48" s="219"/>
      <c r="I48" s="219"/>
      <c r="J48" s="173"/>
      <c r="K48" s="173"/>
      <c r="L48" s="199"/>
      <c r="M48" s="218"/>
      <c r="N48" s="218"/>
      <c r="O48" s="218"/>
      <c r="P48" s="218"/>
      <c r="Q48" s="219"/>
      <c r="R48" s="219"/>
      <c r="S48" s="193"/>
      <c r="T48" s="193"/>
      <c r="U48" s="173"/>
      <c r="V48" s="91"/>
      <c r="W48" s="91"/>
      <c r="X48" s="91"/>
      <c r="Y48" s="98"/>
      <c r="Z48" s="98"/>
      <c r="AA48" s="98"/>
      <c r="AB48" s="222"/>
      <c r="AC48" s="98"/>
      <c r="AD48" s="98"/>
      <c r="AE48" s="98"/>
      <c r="AF48" s="98"/>
    </row>
    <row r="49" spans="2:32" s="87" customFormat="1" ht="25" customHeight="1" x14ac:dyDescent="0.25">
      <c r="B49" s="184">
        <v>10</v>
      </c>
      <c r="C49" s="191"/>
      <c r="D49" s="171"/>
      <c r="E49" s="171"/>
      <c r="F49" s="194"/>
      <c r="G49" s="191"/>
      <c r="H49" s="191"/>
      <c r="I49" s="191"/>
      <c r="J49" s="171"/>
      <c r="K49" s="171"/>
      <c r="L49" s="197" t="str">
        <f>IF('ANÁLISIS 5PQs'!AA77&lt;&gt;"",'ANÁLISIS 5PQs'!AA77,"")</f>
        <v/>
      </c>
      <c r="M49" s="216"/>
      <c r="N49" s="216"/>
      <c r="O49" s="216"/>
      <c r="P49" s="216"/>
      <c r="Q49" s="191"/>
      <c r="R49" s="191"/>
      <c r="S49" s="191"/>
      <c r="T49" s="191"/>
      <c r="U49" s="171"/>
      <c r="V49" s="88"/>
      <c r="W49" s="88"/>
      <c r="X49" s="88"/>
      <c r="Y49" s="94"/>
      <c r="Z49" s="94"/>
      <c r="AA49" s="94"/>
      <c r="AB49" s="222"/>
      <c r="AC49" s="94"/>
      <c r="AD49" s="94"/>
      <c r="AE49" s="94"/>
      <c r="AF49" s="94"/>
    </row>
    <row r="50" spans="2:32" s="87" customFormat="1" ht="25" customHeight="1" x14ac:dyDescent="0.25">
      <c r="B50" s="185"/>
      <c r="C50" s="192"/>
      <c r="D50" s="172"/>
      <c r="E50" s="172"/>
      <c r="F50" s="195"/>
      <c r="G50" s="192"/>
      <c r="H50" s="192"/>
      <c r="I50" s="192"/>
      <c r="J50" s="172"/>
      <c r="K50" s="172"/>
      <c r="L50" s="198"/>
      <c r="M50" s="217"/>
      <c r="N50" s="217"/>
      <c r="O50" s="217"/>
      <c r="P50" s="217"/>
      <c r="Q50" s="192"/>
      <c r="R50" s="192"/>
      <c r="S50" s="192"/>
      <c r="T50" s="192"/>
      <c r="U50" s="172"/>
      <c r="V50" s="89"/>
      <c r="W50" s="89"/>
      <c r="X50" s="89"/>
      <c r="Y50" s="95"/>
      <c r="Z50" s="95"/>
      <c r="AA50" s="95"/>
      <c r="AB50" s="222"/>
      <c r="AC50" s="95"/>
      <c r="AD50" s="95"/>
      <c r="AE50" s="95"/>
      <c r="AF50" s="95"/>
    </row>
    <row r="51" spans="2:32" s="87" customFormat="1" ht="25" customHeight="1" x14ac:dyDescent="0.25">
      <c r="B51" s="185"/>
      <c r="C51" s="192"/>
      <c r="D51" s="172"/>
      <c r="E51" s="172"/>
      <c r="F51" s="195"/>
      <c r="G51" s="192"/>
      <c r="H51" s="192"/>
      <c r="I51" s="192"/>
      <c r="J51" s="172"/>
      <c r="K51" s="172"/>
      <c r="L51" s="198"/>
      <c r="M51" s="217"/>
      <c r="N51" s="217"/>
      <c r="O51" s="217"/>
      <c r="P51" s="217"/>
      <c r="Q51" s="192"/>
      <c r="R51" s="192"/>
      <c r="S51" s="192"/>
      <c r="T51" s="192"/>
      <c r="U51" s="172"/>
      <c r="V51" s="89"/>
      <c r="W51" s="89"/>
      <c r="X51" s="89"/>
      <c r="Y51" s="95"/>
      <c r="Z51" s="95"/>
      <c r="AA51" s="95"/>
      <c r="AB51" s="222"/>
      <c r="AC51" s="95"/>
      <c r="AD51" s="95"/>
      <c r="AE51" s="95"/>
      <c r="AF51" s="95"/>
    </row>
    <row r="52" spans="2:32" s="87" customFormat="1" ht="25" customHeight="1" x14ac:dyDescent="0.25">
      <c r="B52" s="185"/>
      <c r="C52" s="193"/>
      <c r="D52" s="173"/>
      <c r="E52" s="173"/>
      <c r="F52" s="220"/>
      <c r="G52" s="219"/>
      <c r="H52" s="219"/>
      <c r="I52" s="219"/>
      <c r="J52" s="173"/>
      <c r="K52" s="173"/>
      <c r="L52" s="199"/>
      <c r="M52" s="218"/>
      <c r="N52" s="218"/>
      <c r="O52" s="218"/>
      <c r="P52" s="218"/>
      <c r="Q52" s="219"/>
      <c r="R52" s="219"/>
      <c r="S52" s="193"/>
      <c r="T52" s="193"/>
      <c r="U52" s="173"/>
      <c r="V52" s="91"/>
      <c r="W52" s="91"/>
      <c r="X52" s="91"/>
      <c r="Y52" s="98"/>
      <c r="Z52" s="98"/>
      <c r="AA52" s="98"/>
      <c r="AB52" s="222"/>
      <c r="AC52" s="98"/>
      <c r="AD52" s="98"/>
      <c r="AE52" s="98"/>
      <c r="AF52" s="98"/>
    </row>
    <row r="53" spans="2:32" s="87" customFormat="1" ht="25" customHeight="1" x14ac:dyDescent="0.25">
      <c r="B53" s="184">
        <v>11</v>
      </c>
      <c r="C53" s="191"/>
      <c r="D53" s="171"/>
      <c r="E53" s="171"/>
      <c r="F53" s="194"/>
      <c r="G53" s="191"/>
      <c r="H53" s="191"/>
      <c r="I53" s="191"/>
      <c r="J53" s="171"/>
      <c r="K53" s="171"/>
      <c r="L53" s="197" t="str">
        <f>IF('ANÁLISIS 5PQs'!AA84&lt;&gt;"",'ANÁLISIS 5PQs'!AA84,"")</f>
        <v/>
      </c>
      <c r="M53" s="216"/>
      <c r="N53" s="216"/>
      <c r="O53" s="216"/>
      <c r="P53" s="216"/>
      <c r="Q53" s="191"/>
      <c r="R53" s="191"/>
      <c r="S53" s="191"/>
      <c r="T53" s="191"/>
      <c r="U53" s="171"/>
      <c r="V53" s="88"/>
      <c r="W53" s="88"/>
      <c r="X53" s="88"/>
      <c r="Y53" s="94"/>
      <c r="Z53" s="94"/>
      <c r="AA53" s="94"/>
      <c r="AB53" s="222"/>
      <c r="AC53" s="94"/>
      <c r="AD53" s="94"/>
      <c r="AE53" s="94"/>
      <c r="AF53" s="94"/>
    </row>
    <row r="54" spans="2:32" s="87" customFormat="1" ht="25" customHeight="1" x14ac:dyDescent="0.25">
      <c r="B54" s="185"/>
      <c r="C54" s="192"/>
      <c r="D54" s="172"/>
      <c r="E54" s="172"/>
      <c r="F54" s="195"/>
      <c r="G54" s="192"/>
      <c r="H54" s="192"/>
      <c r="I54" s="192"/>
      <c r="J54" s="172"/>
      <c r="K54" s="172"/>
      <c r="L54" s="198"/>
      <c r="M54" s="217"/>
      <c r="N54" s="217"/>
      <c r="O54" s="217"/>
      <c r="P54" s="217"/>
      <c r="Q54" s="192"/>
      <c r="R54" s="192"/>
      <c r="S54" s="192"/>
      <c r="T54" s="192"/>
      <c r="U54" s="172"/>
      <c r="V54" s="89"/>
      <c r="W54" s="89"/>
      <c r="X54" s="89"/>
      <c r="Y54" s="95"/>
      <c r="Z54" s="95"/>
      <c r="AA54" s="95"/>
      <c r="AB54" s="222"/>
      <c r="AC54" s="95"/>
      <c r="AD54" s="95"/>
      <c r="AE54" s="95"/>
      <c r="AF54" s="95"/>
    </row>
    <row r="55" spans="2:32" s="87" customFormat="1" ht="25" customHeight="1" x14ac:dyDescent="0.25">
      <c r="B55" s="185"/>
      <c r="C55" s="192"/>
      <c r="D55" s="172"/>
      <c r="E55" s="172"/>
      <c r="F55" s="195"/>
      <c r="G55" s="192"/>
      <c r="H55" s="192"/>
      <c r="I55" s="192"/>
      <c r="J55" s="172"/>
      <c r="K55" s="172"/>
      <c r="L55" s="198"/>
      <c r="M55" s="217"/>
      <c r="N55" s="217"/>
      <c r="O55" s="217"/>
      <c r="P55" s="217"/>
      <c r="Q55" s="192"/>
      <c r="R55" s="192"/>
      <c r="S55" s="192"/>
      <c r="T55" s="192"/>
      <c r="U55" s="172"/>
      <c r="V55" s="89"/>
      <c r="W55" s="89"/>
      <c r="X55" s="89"/>
      <c r="Y55" s="95"/>
      <c r="Z55" s="95"/>
      <c r="AA55" s="95"/>
      <c r="AB55" s="222"/>
      <c r="AC55" s="95"/>
      <c r="AD55" s="95"/>
      <c r="AE55" s="95"/>
      <c r="AF55" s="95"/>
    </row>
    <row r="56" spans="2:32" s="87" customFormat="1" ht="25" customHeight="1" x14ac:dyDescent="0.25">
      <c r="B56" s="185"/>
      <c r="C56" s="193"/>
      <c r="D56" s="173"/>
      <c r="E56" s="173"/>
      <c r="F56" s="220"/>
      <c r="G56" s="219"/>
      <c r="H56" s="219"/>
      <c r="I56" s="219"/>
      <c r="J56" s="173"/>
      <c r="K56" s="173"/>
      <c r="L56" s="199"/>
      <c r="M56" s="218"/>
      <c r="N56" s="218"/>
      <c r="O56" s="218"/>
      <c r="P56" s="218"/>
      <c r="Q56" s="219"/>
      <c r="R56" s="219"/>
      <c r="S56" s="193"/>
      <c r="T56" s="193"/>
      <c r="U56" s="173"/>
      <c r="V56" s="91"/>
      <c r="W56" s="91"/>
      <c r="X56" s="91"/>
      <c r="Y56" s="98"/>
      <c r="Z56" s="98"/>
      <c r="AA56" s="98"/>
      <c r="AB56" s="222"/>
      <c r="AC56" s="98"/>
      <c r="AD56" s="98"/>
      <c r="AE56" s="98"/>
      <c r="AF56" s="98"/>
    </row>
    <row r="57" spans="2:32" s="87" customFormat="1" ht="25" customHeight="1" x14ac:dyDescent="0.25">
      <c r="B57" s="184">
        <v>12</v>
      </c>
      <c r="C57" s="191"/>
      <c r="D57" s="171"/>
      <c r="E57" s="171"/>
      <c r="F57" s="194"/>
      <c r="G57" s="191"/>
      <c r="H57" s="191"/>
      <c r="I57" s="191"/>
      <c r="J57" s="171"/>
      <c r="K57" s="171"/>
      <c r="L57" s="197" t="str">
        <f>IF('ANÁLISIS 5PQs'!AA91&lt;&gt;"",'ANÁLISIS 5PQs'!AA91,"")</f>
        <v/>
      </c>
      <c r="M57" s="216"/>
      <c r="N57" s="216"/>
      <c r="O57" s="216"/>
      <c r="P57" s="216"/>
      <c r="Q57" s="191"/>
      <c r="R57" s="191"/>
      <c r="S57" s="191"/>
      <c r="T57" s="191"/>
      <c r="U57" s="171"/>
      <c r="V57" s="88"/>
      <c r="W57" s="88"/>
      <c r="X57" s="88"/>
      <c r="Y57" s="94"/>
      <c r="Z57" s="94"/>
      <c r="AA57" s="94"/>
      <c r="AB57" s="222"/>
      <c r="AC57" s="94"/>
      <c r="AD57" s="94"/>
      <c r="AE57" s="94"/>
      <c r="AF57" s="94"/>
    </row>
    <row r="58" spans="2:32" s="87" customFormat="1" ht="25" customHeight="1" x14ac:dyDescent="0.25">
      <c r="B58" s="185"/>
      <c r="C58" s="192"/>
      <c r="D58" s="172"/>
      <c r="E58" s="172"/>
      <c r="F58" s="195"/>
      <c r="G58" s="192"/>
      <c r="H58" s="192"/>
      <c r="I58" s="192"/>
      <c r="J58" s="172"/>
      <c r="K58" s="172"/>
      <c r="L58" s="198"/>
      <c r="M58" s="217"/>
      <c r="N58" s="217"/>
      <c r="O58" s="217"/>
      <c r="P58" s="217"/>
      <c r="Q58" s="192"/>
      <c r="R58" s="192"/>
      <c r="S58" s="192"/>
      <c r="T58" s="192"/>
      <c r="U58" s="172"/>
      <c r="V58" s="89"/>
      <c r="W58" s="89"/>
      <c r="X58" s="89"/>
      <c r="Y58" s="95"/>
      <c r="Z58" s="95"/>
      <c r="AA58" s="95"/>
      <c r="AB58" s="222"/>
      <c r="AC58" s="95"/>
      <c r="AD58" s="95"/>
      <c r="AE58" s="95"/>
      <c r="AF58" s="95"/>
    </row>
    <row r="59" spans="2:32" s="87" customFormat="1" ht="25" customHeight="1" x14ac:dyDescent="0.25">
      <c r="B59" s="185"/>
      <c r="C59" s="192"/>
      <c r="D59" s="172"/>
      <c r="E59" s="172"/>
      <c r="F59" s="195"/>
      <c r="G59" s="192"/>
      <c r="H59" s="192"/>
      <c r="I59" s="192"/>
      <c r="J59" s="172"/>
      <c r="K59" s="172"/>
      <c r="L59" s="198"/>
      <c r="M59" s="217"/>
      <c r="N59" s="217"/>
      <c r="O59" s="217"/>
      <c r="P59" s="217"/>
      <c r="Q59" s="192"/>
      <c r="R59" s="192"/>
      <c r="S59" s="192"/>
      <c r="T59" s="192"/>
      <c r="U59" s="172"/>
      <c r="V59" s="89"/>
      <c r="W59" s="89"/>
      <c r="X59" s="89"/>
      <c r="Y59" s="95"/>
      <c r="Z59" s="95"/>
      <c r="AA59" s="95"/>
      <c r="AB59" s="222"/>
      <c r="AC59" s="95"/>
      <c r="AD59" s="95"/>
      <c r="AE59" s="95"/>
      <c r="AF59" s="95"/>
    </row>
    <row r="60" spans="2:32" s="87" customFormat="1" ht="25" customHeight="1" x14ac:dyDescent="0.25">
      <c r="B60" s="185"/>
      <c r="C60" s="193"/>
      <c r="D60" s="173"/>
      <c r="E60" s="173"/>
      <c r="F60" s="220"/>
      <c r="G60" s="219"/>
      <c r="H60" s="219"/>
      <c r="I60" s="219"/>
      <c r="J60" s="173"/>
      <c r="K60" s="173"/>
      <c r="L60" s="199"/>
      <c r="M60" s="218"/>
      <c r="N60" s="218"/>
      <c r="O60" s="218"/>
      <c r="P60" s="218"/>
      <c r="Q60" s="219"/>
      <c r="R60" s="219"/>
      <c r="S60" s="193"/>
      <c r="T60" s="193"/>
      <c r="U60" s="173"/>
      <c r="V60" s="91"/>
      <c r="W60" s="91"/>
      <c r="X60" s="91"/>
      <c r="Y60" s="98"/>
      <c r="Z60" s="98"/>
      <c r="AA60" s="98"/>
      <c r="AB60" s="222"/>
      <c r="AC60" s="98"/>
      <c r="AD60" s="98"/>
      <c r="AE60" s="98"/>
      <c r="AF60" s="98"/>
    </row>
    <row r="61" spans="2:32" s="87" customFormat="1" ht="25" customHeight="1" x14ac:dyDescent="0.25">
      <c r="B61" s="184">
        <v>13</v>
      </c>
      <c r="C61" s="191"/>
      <c r="D61" s="171"/>
      <c r="E61" s="171"/>
      <c r="F61" s="194"/>
      <c r="G61" s="191"/>
      <c r="H61" s="191"/>
      <c r="I61" s="191"/>
      <c r="J61" s="171"/>
      <c r="K61" s="171"/>
      <c r="L61" s="197" t="str">
        <f>IF('ANÁLISIS 5PQs'!AA98&lt;&gt;"",'ANÁLISIS 5PQs'!AA98,"")</f>
        <v/>
      </c>
      <c r="M61" s="216"/>
      <c r="N61" s="216"/>
      <c r="O61" s="216"/>
      <c r="P61" s="216"/>
      <c r="Q61" s="191"/>
      <c r="R61" s="191"/>
      <c r="S61" s="191"/>
      <c r="T61" s="191"/>
      <c r="U61" s="171"/>
      <c r="V61" s="88"/>
      <c r="W61" s="88"/>
      <c r="X61" s="88"/>
      <c r="Y61" s="94"/>
      <c r="Z61" s="94"/>
      <c r="AA61" s="94"/>
      <c r="AB61" s="222"/>
      <c r="AC61" s="94"/>
      <c r="AD61" s="94"/>
      <c r="AE61" s="94"/>
      <c r="AF61" s="94"/>
    </row>
    <row r="62" spans="2:32" s="87" customFormat="1" ht="25" customHeight="1" x14ac:dyDescent="0.25">
      <c r="B62" s="185"/>
      <c r="C62" s="192"/>
      <c r="D62" s="172"/>
      <c r="E62" s="172"/>
      <c r="F62" s="195"/>
      <c r="G62" s="192"/>
      <c r="H62" s="192"/>
      <c r="I62" s="192"/>
      <c r="J62" s="172"/>
      <c r="K62" s="172"/>
      <c r="L62" s="198"/>
      <c r="M62" s="217"/>
      <c r="N62" s="217"/>
      <c r="O62" s="217"/>
      <c r="P62" s="217"/>
      <c r="Q62" s="192"/>
      <c r="R62" s="192"/>
      <c r="S62" s="192"/>
      <c r="T62" s="192"/>
      <c r="U62" s="172"/>
      <c r="V62" s="89"/>
      <c r="W62" s="89"/>
      <c r="X62" s="89"/>
      <c r="Y62" s="95"/>
      <c r="Z62" s="95"/>
      <c r="AA62" s="95"/>
      <c r="AB62" s="222"/>
      <c r="AC62" s="95"/>
      <c r="AD62" s="95"/>
      <c r="AE62" s="95"/>
      <c r="AF62" s="95"/>
    </row>
    <row r="63" spans="2:32" s="87" customFormat="1" ht="25" customHeight="1" x14ac:dyDescent="0.25">
      <c r="B63" s="185"/>
      <c r="C63" s="192"/>
      <c r="D63" s="172"/>
      <c r="E63" s="172"/>
      <c r="F63" s="195"/>
      <c r="G63" s="192"/>
      <c r="H63" s="192"/>
      <c r="I63" s="192"/>
      <c r="J63" s="172"/>
      <c r="K63" s="172"/>
      <c r="L63" s="198"/>
      <c r="M63" s="217"/>
      <c r="N63" s="217"/>
      <c r="O63" s="217"/>
      <c r="P63" s="217"/>
      <c r="Q63" s="192"/>
      <c r="R63" s="192"/>
      <c r="S63" s="192"/>
      <c r="T63" s="192"/>
      <c r="U63" s="172"/>
      <c r="V63" s="89"/>
      <c r="W63" s="89"/>
      <c r="X63" s="89"/>
      <c r="Y63" s="95"/>
      <c r="Z63" s="95"/>
      <c r="AA63" s="95"/>
      <c r="AB63" s="222"/>
      <c r="AC63" s="95"/>
      <c r="AD63" s="95"/>
      <c r="AE63" s="95"/>
      <c r="AF63" s="95"/>
    </row>
    <row r="64" spans="2:32" s="87" customFormat="1" ht="25" customHeight="1" x14ac:dyDescent="0.25">
      <c r="B64" s="186"/>
      <c r="C64" s="193"/>
      <c r="D64" s="173"/>
      <c r="E64" s="173"/>
      <c r="F64" s="220"/>
      <c r="G64" s="219"/>
      <c r="H64" s="219"/>
      <c r="I64" s="219"/>
      <c r="J64" s="173"/>
      <c r="K64" s="173"/>
      <c r="L64" s="199"/>
      <c r="M64" s="218"/>
      <c r="N64" s="218"/>
      <c r="O64" s="218"/>
      <c r="P64" s="218"/>
      <c r="Q64" s="219"/>
      <c r="R64" s="219"/>
      <c r="S64" s="193"/>
      <c r="T64" s="193"/>
      <c r="U64" s="173"/>
      <c r="V64" s="91"/>
      <c r="W64" s="91"/>
      <c r="X64" s="91"/>
      <c r="Y64" s="98"/>
      <c r="Z64" s="98"/>
      <c r="AA64" s="98"/>
      <c r="AB64" s="222"/>
      <c r="AC64" s="98"/>
      <c r="AD64" s="98"/>
      <c r="AE64" s="98"/>
      <c r="AF64" s="98"/>
    </row>
    <row r="65" spans="1:33" s="87" customFormat="1" ht="25" customHeight="1" x14ac:dyDescent="0.25">
      <c r="B65" s="184">
        <v>14</v>
      </c>
      <c r="C65" s="191"/>
      <c r="D65" s="171"/>
      <c r="E65" s="171"/>
      <c r="F65" s="194"/>
      <c r="G65" s="191"/>
      <c r="H65" s="191"/>
      <c r="I65" s="191"/>
      <c r="J65" s="171"/>
      <c r="K65" s="171"/>
      <c r="L65" s="197" t="str">
        <f>IF('ANÁLISIS 5PQs'!AA105&lt;&gt;"",'ANÁLISIS 5PQs'!AA105,"")</f>
        <v/>
      </c>
      <c r="M65" s="216"/>
      <c r="N65" s="216"/>
      <c r="O65" s="216"/>
      <c r="P65" s="216"/>
      <c r="Q65" s="191"/>
      <c r="R65" s="191"/>
      <c r="S65" s="191"/>
      <c r="T65" s="191"/>
      <c r="U65" s="171"/>
      <c r="V65" s="88"/>
      <c r="W65" s="88"/>
      <c r="X65" s="88"/>
      <c r="Y65" s="94"/>
      <c r="Z65" s="94"/>
      <c r="AA65" s="94"/>
      <c r="AB65" s="222"/>
      <c r="AC65" s="94"/>
      <c r="AD65" s="94"/>
      <c r="AE65" s="94"/>
      <c r="AF65" s="94"/>
    </row>
    <row r="66" spans="1:33" s="87" customFormat="1" ht="25" customHeight="1" x14ac:dyDescent="0.25">
      <c r="B66" s="185"/>
      <c r="C66" s="192"/>
      <c r="D66" s="172"/>
      <c r="E66" s="172"/>
      <c r="F66" s="195"/>
      <c r="G66" s="192"/>
      <c r="H66" s="192"/>
      <c r="I66" s="192"/>
      <c r="J66" s="172"/>
      <c r="K66" s="172"/>
      <c r="L66" s="198"/>
      <c r="M66" s="217"/>
      <c r="N66" s="217"/>
      <c r="O66" s="217"/>
      <c r="P66" s="217"/>
      <c r="Q66" s="192"/>
      <c r="R66" s="192"/>
      <c r="S66" s="192"/>
      <c r="T66" s="192"/>
      <c r="U66" s="172"/>
      <c r="V66" s="89"/>
      <c r="W66" s="89"/>
      <c r="X66" s="89"/>
      <c r="Y66" s="95"/>
      <c r="Z66" s="95"/>
      <c r="AA66" s="95"/>
      <c r="AB66" s="222"/>
      <c r="AC66" s="95"/>
      <c r="AD66" s="95"/>
      <c r="AE66" s="95"/>
      <c r="AF66" s="95"/>
    </row>
    <row r="67" spans="1:33" s="87" customFormat="1" ht="25" customHeight="1" x14ac:dyDescent="0.25">
      <c r="B67" s="185"/>
      <c r="C67" s="192"/>
      <c r="D67" s="172"/>
      <c r="E67" s="172"/>
      <c r="F67" s="195"/>
      <c r="G67" s="192"/>
      <c r="H67" s="192"/>
      <c r="I67" s="192"/>
      <c r="J67" s="172"/>
      <c r="K67" s="172"/>
      <c r="L67" s="198"/>
      <c r="M67" s="217"/>
      <c r="N67" s="217"/>
      <c r="O67" s="217"/>
      <c r="P67" s="217"/>
      <c r="Q67" s="192"/>
      <c r="R67" s="192"/>
      <c r="S67" s="192"/>
      <c r="T67" s="192"/>
      <c r="U67" s="172"/>
      <c r="V67" s="89"/>
      <c r="W67" s="89"/>
      <c r="X67" s="89"/>
      <c r="Y67" s="95"/>
      <c r="Z67" s="95"/>
      <c r="AA67" s="95"/>
      <c r="AB67" s="222"/>
      <c r="AC67" s="95"/>
      <c r="AD67" s="95"/>
      <c r="AE67" s="95"/>
      <c r="AF67" s="95"/>
    </row>
    <row r="68" spans="1:33" s="87" customFormat="1" ht="25" customHeight="1" x14ac:dyDescent="0.25">
      <c r="B68" s="186"/>
      <c r="C68" s="193"/>
      <c r="D68" s="173"/>
      <c r="E68" s="173"/>
      <c r="F68" s="220"/>
      <c r="G68" s="219"/>
      <c r="H68" s="219"/>
      <c r="I68" s="219"/>
      <c r="J68" s="173"/>
      <c r="K68" s="173"/>
      <c r="L68" s="199"/>
      <c r="M68" s="218"/>
      <c r="N68" s="218"/>
      <c r="O68" s="218"/>
      <c r="P68" s="218"/>
      <c r="Q68" s="219"/>
      <c r="R68" s="219"/>
      <c r="S68" s="193"/>
      <c r="T68" s="193"/>
      <c r="U68" s="173"/>
      <c r="V68" s="91"/>
      <c r="W68" s="91"/>
      <c r="X68" s="91"/>
      <c r="Y68" s="98"/>
      <c r="Z68" s="98"/>
      <c r="AA68" s="98"/>
      <c r="AB68" s="222"/>
      <c r="AC68" s="98"/>
      <c r="AD68" s="98"/>
      <c r="AE68" s="98"/>
      <c r="AF68" s="98"/>
    </row>
    <row r="69" spans="1:33" s="87" customFormat="1" ht="25" customHeight="1" x14ac:dyDescent="0.25">
      <c r="B69" s="184">
        <v>15</v>
      </c>
      <c r="C69" s="191"/>
      <c r="D69" s="171"/>
      <c r="E69" s="171"/>
      <c r="F69" s="194"/>
      <c r="G69" s="191"/>
      <c r="H69" s="191"/>
      <c r="I69" s="191"/>
      <c r="J69" s="171"/>
      <c r="K69" s="171"/>
      <c r="L69" s="197" t="str">
        <f>IF('ANÁLISIS 5PQs'!AA109&lt;&gt;"",'ANÁLISIS 5PQs'!AA109,"")</f>
        <v/>
      </c>
      <c r="M69" s="216"/>
      <c r="N69" s="216"/>
      <c r="O69" s="216"/>
      <c r="P69" s="216"/>
      <c r="Q69" s="191"/>
      <c r="R69" s="191"/>
      <c r="S69" s="191"/>
      <c r="T69" s="191"/>
      <c r="U69" s="171"/>
      <c r="V69" s="88"/>
      <c r="W69" s="88"/>
      <c r="X69" s="88"/>
      <c r="Y69" s="94"/>
      <c r="Z69" s="94"/>
      <c r="AA69" s="94"/>
      <c r="AB69" s="222"/>
      <c r="AC69" s="94"/>
      <c r="AD69" s="94"/>
      <c r="AE69" s="94"/>
      <c r="AF69" s="94"/>
    </row>
    <row r="70" spans="1:33" s="87" customFormat="1" ht="25" customHeight="1" x14ac:dyDescent="0.25">
      <c r="B70" s="185"/>
      <c r="C70" s="192"/>
      <c r="D70" s="172"/>
      <c r="E70" s="172"/>
      <c r="F70" s="195"/>
      <c r="G70" s="192"/>
      <c r="H70" s="192"/>
      <c r="I70" s="192"/>
      <c r="J70" s="172"/>
      <c r="K70" s="172"/>
      <c r="L70" s="198"/>
      <c r="M70" s="217"/>
      <c r="N70" s="217"/>
      <c r="O70" s="217"/>
      <c r="P70" s="217"/>
      <c r="Q70" s="192"/>
      <c r="R70" s="192"/>
      <c r="S70" s="192"/>
      <c r="T70" s="192"/>
      <c r="U70" s="172"/>
      <c r="V70" s="89"/>
      <c r="W70" s="89"/>
      <c r="X70" s="89"/>
      <c r="Y70" s="95"/>
      <c r="Z70" s="95"/>
      <c r="AA70" s="95"/>
      <c r="AB70" s="222"/>
      <c r="AC70" s="95"/>
      <c r="AD70" s="95"/>
      <c r="AE70" s="95"/>
      <c r="AF70" s="95"/>
    </row>
    <row r="71" spans="1:33" s="87" customFormat="1" ht="25" customHeight="1" x14ac:dyDescent="0.25">
      <c r="B71" s="185"/>
      <c r="C71" s="192"/>
      <c r="D71" s="172"/>
      <c r="E71" s="172"/>
      <c r="F71" s="195"/>
      <c r="G71" s="192"/>
      <c r="H71" s="192"/>
      <c r="I71" s="192"/>
      <c r="J71" s="172"/>
      <c r="K71" s="172"/>
      <c r="L71" s="198"/>
      <c r="M71" s="217"/>
      <c r="N71" s="217"/>
      <c r="O71" s="217"/>
      <c r="P71" s="217"/>
      <c r="Q71" s="192"/>
      <c r="R71" s="192"/>
      <c r="S71" s="192"/>
      <c r="T71" s="192"/>
      <c r="U71" s="172"/>
      <c r="V71" s="89"/>
      <c r="W71" s="89"/>
      <c r="X71" s="89"/>
      <c r="Y71" s="95"/>
      <c r="Z71" s="95"/>
      <c r="AA71" s="95"/>
      <c r="AB71" s="222"/>
      <c r="AC71" s="95"/>
      <c r="AD71" s="95"/>
      <c r="AE71" s="95"/>
      <c r="AF71" s="95"/>
    </row>
    <row r="72" spans="1:33" s="87" customFormat="1" ht="25" customHeight="1" x14ac:dyDescent="0.25">
      <c r="B72" s="186"/>
      <c r="C72" s="193"/>
      <c r="D72" s="173"/>
      <c r="E72" s="173"/>
      <c r="F72" s="220"/>
      <c r="G72" s="219"/>
      <c r="H72" s="219"/>
      <c r="I72" s="219"/>
      <c r="J72" s="173"/>
      <c r="K72" s="173"/>
      <c r="L72" s="199"/>
      <c r="M72" s="218"/>
      <c r="N72" s="218"/>
      <c r="O72" s="218"/>
      <c r="P72" s="218"/>
      <c r="Q72" s="219"/>
      <c r="R72" s="219"/>
      <c r="S72" s="193"/>
      <c r="T72" s="193"/>
      <c r="U72" s="173"/>
      <c r="V72" s="91"/>
      <c r="W72" s="91"/>
      <c r="X72" s="91"/>
      <c r="Y72" s="98"/>
      <c r="Z72" s="98"/>
      <c r="AA72" s="98"/>
      <c r="AB72" s="223"/>
      <c r="AC72" s="98"/>
      <c r="AD72" s="98"/>
      <c r="AE72" s="98"/>
      <c r="AF72" s="98"/>
    </row>
    <row r="73" spans="1:33" x14ac:dyDescent="0.25">
      <c r="A73" s="87"/>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87"/>
    </row>
    <row r="74" spans="1:33" x14ac:dyDescent="0.25">
      <c r="A74" s="87"/>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87"/>
    </row>
    <row r="75" spans="1:33" x14ac:dyDescent="0.25">
      <c r="A75" s="87"/>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87"/>
    </row>
    <row r="76" spans="1:33" x14ac:dyDescent="0.25">
      <c r="A76" s="87"/>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87"/>
    </row>
    <row r="77" spans="1:33" x14ac:dyDescent="0.25">
      <c r="A77" s="87"/>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87"/>
    </row>
    <row r="78" spans="1:33" hidden="1" x14ac:dyDescent="0.25">
      <c r="I78" s="49"/>
      <c r="J78" s="49"/>
      <c r="K78" s="49"/>
      <c r="L78" s="49"/>
      <c r="M78" s="49"/>
      <c r="N78" s="49"/>
      <c r="O78" s="49"/>
      <c r="P78" s="49"/>
      <c r="Q78" s="49"/>
      <c r="R78" s="49"/>
      <c r="S78" s="49"/>
      <c r="T78" s="49"/>
      <c r="U78" s="49"/>
      <c r="V78" s="49"/>
      <c r="W78" s="49"/>
      <c r="X78" s="49"/>
      <c r="AD78" s="49"/>
      <c r="AE78" s="49"/>
      <c r="AF78" s="49"/>
    </row>
    <row r="79" spans="1:33" hidden="1" x14ac:dyDescent="0.25">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row>
    <row r="80" spans="1:33" hidden="1" x14ac:dyDescent="0.25">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row>
    <row r="81" spans="3:32" hidden="1" x14ac:dyDescent="0.25">
      <c r="C81" s="53"/>
      <c r="D81" s="53"/>
      <c r="E81" s="53"/>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row>
    <row r="82" spans="3:32" hidden="1" x14ac:dyDescent="0.25">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row>
    <row r="83" spans="3:32" hidden="1" x14ac:dyDescent="0.25">
      <c r="C83" s="53"/>
      <c r="D83" s="53"/>
      <c r="E83" s="53"/>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row>
    <row r="84" spans="3:32" hidden="1" x14ac:dyDescent="0.25">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row>
    <row r="85" spans="3:32" hidden="1" x14ac:dyDescent="0.25">
      <c r="C85" s="53"/>
      <c r="D85" s="53"/>
      <c r="E85" s="53"/>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row>
    <row r="86" spans="3:32" hidden="1" x14ac:dyDescent="0.25">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row>
    <row r="87" spans="3:32" hidden="1" x14ac:dyDescent="0.25">
      <c r="C87" s="53"/>
      <c r="D87" s="53"/>
      <c r="E87" s="53"/>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row>
    <row r="88" spans="3:32" hidden="1" x14ac:dyDescent="0.25">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row>
    <row r="89" spans="3:32" hidden="1" x14ac:dyDescent="0.25">
      <c r="C89" s="53"/>
      <c r="D89" s="53"/>
      <c r="E89" s="53"/>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row>
    <row r="90" spans="3:32" hidden="1" x14ac:dyDescent="0.25">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row>
    <row r="91" spans="3:32" hidden="1" x14ac:dyDescent="0.25">
      <c r="C91" s="53"/>
      <c r="D91" s="53"/>
      <c r="E91" s="53"/>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row>
    <row r="92" spans="3:32" hidden="1" x14ac:dyDescent="0.25">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row>
    <row r="93" spans="3:32" hidden="1" x14ac:dyDescent="0.25">
      <c r="C93" s="53"/>
      <c r="D93" s="53"/>
      <c r="E93" s="53"/>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row>
    <row r="94" spans="3:32" hidden="1" x14ac:dyDescent="0.25">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row>
    <row r="95" spans="3:32" hidden="1" x14ac:dyDescent="0.25">
      <c r="C95" s="53"/>
      <c r="D95" s="53"/>
      <c r="E95" s="53"/>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row>
    <row r="96" spans="3:32" hidden="1" x14ac:dyDescent="0.25">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row>
    <row r="97" spans="3:32" hidden="1" x14ac:dyDescent="0.25">
      <c r="C97" s="53"/>
      <c r="D97" s="53"/>
      <c r="E97" s="53"/>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row>
    <row r="98" spans="3:32" hidden="1" x14ac:dyDescent="0.25">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row>
    <row r="99" spans="3:32" hidden="1" x14ac:dyDescent="0.25">
      <c r="C99" s="53"/>
      <c r="D99" s="53"/>
      <c r="E99" s="53"/>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row>
    <row r="100" spans="3:32" hidden="1" x14ac:dyDescent="0.25">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row>
    <row r="101" spans="3:32" hidden="1" x14ac:dyDescent="0.25">
      <c r="C101" s="53"/>
      <c r="D101" s="53"/>
      <c r="E101" s="53"/>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row>
    <row r="102" spans="3:32" hidden="1" x14ac:dyDescent="0.25">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row>
    <row r="103" spans="3:32" hidden="1" x14ac:dyDescent="0.25">
      <c r="C103" s="53"/>
      <c r="D103" s="53"/>
      <c r="E103" s="53"/>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row>
    <row r="104" spans="3:32" hidden="1" x14ac:dyDescent="0.25">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row>
    <row r="105" spans="3:32" hidden="1" x14ac:dyDescent="0.25">
      <c r="C105" s="53"/>
      <c r="D105" s="53"/>
      <c r="E105" s="53"/>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row>
    <row r="106" spans="3:32" hidden="1" x14ac:dyDescent="0.25">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row>
    <row r="107" spans="3:32" hidden="1" x14ac:dyDescent="0.25">
      <c r="C107" s="53"/>
      <c r="D107" s="53"/>
      <c r="E107" s="53"/>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row>
    <row r="108" spans="3:32" hidden="1" x14ac:dyDescent="0.25">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row>
    <row r="109" spans="3:32" hidden="1" x14ac:dyDescent="0.25">
      <c r="C109" s="53"/>
      <c r="D109" s="53"/>
      <c r="E109" s="53"/>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row>
    <row r="110" spans="3:32" hidden="1" x14ac:dyDescent="0.25">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row>
    <row r="111" spans="3:32" hidden="1" x14ac:dyDescent="0.25">
      <c r="C111" s="53"/>
      <c r="D111" s="53"/>
      <c r="E111" s="53"/>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row>
    <row r="112" spans="3:32" hidden="1" x14ac:dyDescent="0.25">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row>
    <row r="113" spans="3:32" hidden="1" x14ac:dyDescent="0.25">
      <c r="C113" s="53"/>
      <c r="D113" s="53"/>
      <c r="E113" s="53"/>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row>
    <row r="114" spans="3:32" hidden="1" x14ac:dyDescent="0.25">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row>
    <row r="115" spans="3:32" hidden="1" x14ac:dyDescent="0.25">
      <c r="C115" s="53"/>
      <c r="D115" s="53"/>
      <c r="E115" s="53"/>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row>
    <row r="116" spans="3:32" hidden="1" x14ac:dyDescent="0.25">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row>
    <row r="117" spans="3:32" hidden="1" x14ac:dyDescent="0.25">
      <c r="C117" s="53"/>
      <c r="D117" s="53"/>
      <c r="E117" s="53"/>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row>
    <row r="118" spans="3:32" hidden="1" x14ac:dyDescent="0.25">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row>
    <row r="119" spans="3:32" hidden="1" x14ac:dyDescent="0.25">
      <c r="C119" s="53"/>
      <c r="D119" s="53"/>
      <c r="E119" s="53"/>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row>
    <row r="120" spans="3:32" hidden="1" x14ac:dyDescent="0.25">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row>
    <row r="121" spans="3:32" hidden="1" x14ac:dyDescent="0.25">
      <c r="C121" s="53"/>
      <c r="D121" s="53"/>
      <c r="E121" s="53"/>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row>
    <row r="122" spans="3:32" hidden="1" x14ac:dyDescent="0.25">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row>
    <row r="123" spans="3:32" hidden="1" x14ac:dyDescent="0.25">
      <c r="C123" s="53"/>
      <c r="D123" s="53"/>
      <c r="E123" s="53"/>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row>
    <row r="124" spans="3:32" hidden="1" x14ac:dyDescent="0.25">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row>
    <row r="125" spans="3:32" hidden="1" x14ac:dyDescent="0.25">
      <c r="C125" s="53"/>
      <c r="D125" s="53"/>
      <c r="E125" s="53"/>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row>
    <row r="126" spans="3:32" hidden="1" x14ac:dyDescent="0.25">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row>
    <row r="127" spans="3:32" hidden="1" x14ac:dyDescent="0.25">
      <c r="C127" s="53"/>
      <c r="D127" s="53"/>
      <c r="E127" s="53"/>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row>
    <row r="128" spans="3:32" hidden="1" x14ac:dyDescent="0.25">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row>
    <row r="129" spans="3:32" hidden="1" x14ac:dyDescent="0.25">
      <c r="C129" s="53"/>
      <c r="D129" s="53"/>
      <c r="E129" s="53"/>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row>
    <row r="130" spans="3:32" hidden="1" x14ac:dyDescent="0.25">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row>
    <row r="131" spans="3:32" hidden="1" x14ac:dyDescent="0.25">
      <c r="C131" s="53"/>
      <c r="D131" s="53"/>
      <c r="E131" s="53"/>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row>
    <row r="132" spans="3:32" hidden="1" x14ac:dyDescent="0.25">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row>
    <row r="133" spans="3:32" hidden="1" x14ac:dyDescent="0.25">
      <c r="C133" s="53"/>
      <c r="D133" s="53"/>
      <c r="E133" s="53"/>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row>
    <row r="134" spans="3:32" hidden="1" x14ac:dyDescent="0.25">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row>
    <row r="135" spans="3:32" hidden="1" x14ac:dyDescent="0.25">
      <c r="C135" s="53"/>
      <c r="D135" s="53"/>
      <c r="E135" s="53"/>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row>
    <row r="136" spans="3:32" hidden="1" x14ac:dyDescent="0.25">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row>
    <row r="137" spans="3:32" hidden="1" x14ac:dyDescent="0.25">
      <c r="C137" s="53"/>
      <c r="D137" s="53"/>
      <c r="E137" s="53"/>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row>
    <row r="138" spans="3:32" hidden="1" x14ac:dyDescent="0.25">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row>
    <row r="139" spans="3:32" hidden="1" x14ac:dyDescent="0.25">
      <c r="C139" s="53"/>
      <c r="D139" s="53"/>
      <c r="E139" s="53"/>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row>
    <row r="140" spans="3:32" hidden="1" x14ac:dyDescent="0.25">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row>
    <row r="141" spans="3:32" hidden="1" x14ac:dyDescent="0.25">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row>
    <row r="142" spans="3:32" hidden="1" x14ac:dyDescent="0.25">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row>
    <row r="143" spans="3:32" hidden="1" x14ac:dyDescent="0.25">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row>
    <row r="144" spans="3:32" hidden="1" x14ac:dyDescent="0.25">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row>
    <row r="145" spans="3:32" hidden="1" x14ac:dyDescent="0.25">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row>
    <row r="146" spans="3:32" hidden="1" x14ac:dyDescent="0.25">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row>
    <row r="147" spans="3:32" hidden="1" x14ac:dyDescent="0.25">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row>
    <row r="148" spans="3:32" hidden="1" x14ac:dyDescent="0.25">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row>
    <row r="149" spans="3:32" hidden="1" x14ac:dyDescent="0.25">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row>
    <row r="150" spans="3:32" hidden="1" x14ac:dyDescent="0.25">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row>
    <row r="151" spans="3:32" hidden="1" x14ac:dyDescent="0.25">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row>
    <row r="152" spans="3:32" hidden="1" x14ac:dyDescent="0.25">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row>
    <row r="153" spans="3:32" hidden="1" x14ac:dyDescent="0.25">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row>
    <row r="154" spans="3:32" hidden="1" x14ac:dyDescent="0.25">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row>
    <row r="155" spans="3:32" hidden="1" x14ac:dyDescent="0.25">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row>
    <row r="156" spans="3:32" hidden="1" x14ac:dyDescent="0.25">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row>
    <row r="157" spans="3:32" hidden="1" x14ac:dyDescent="0.25">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row>
    <row r="158" spans="3:32" hidden="1" x14ac:dyDescent="0.25">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row>
    <row r="159" spans="3:32" hidden="1" x14ac:dyDescent="0.25">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row>
    <row r="160" spans="3:32" hidden="1" x14ac:dyDescent="0.25">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row>
    <row r="161" spans="3:32" hidden="1" x14ac:dyDescent="0.25">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row>
    <row r="162" spans="3:32" hidden="1" x14ac:dyDescent="0.25">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row>
    <row r="163" spans="3:32" hidden="1" x14ac:dyDescent="0.25">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row>
    <row r="164" spans="3:32" hidden="1" x14ac:dyDescent="0.25">
      <c r="I164" s="49"/>
      <c r="J164" s="49"/>
      <c r="K164" s="49"/>
      <c r="L164" s="49"/>
      <c r="M164" s="49"/>
      <c r="N164" s="49"/>
      <c r="O164" s="49"/>
      <c r="P164" s="49"/>
      <c r="Q164" s="49"/>
      <c r="R164" s="49"/>
      <c r="S164" s="49"/>
      <c r="T164" s="49"/>
      <c r="U164" s="49"/>
      <c r="V164" s="49"/>
      <c r="W164" s="49"/>
      <c r="X164" s="49"/>
      <c r="AD164" s="49"/>
      <c r="AE164" s="49"/>
      <c r="AF164" s="49"/>
    </row>
    <row r="165" spans="3:32" hidden="1" x14ac:dyDescent="0.25">
      <c r="I165" s="49"/>
      <c r="J165" s="49"/>
      <c r="K165" s="49"/>
      <c r="L165" s="49"/>
      <c r="M165" s="49"/>
      <c r="N165" s="49"/>
      <c r="O165" s="49"/>
      <c r="P165" s="49"/>
      <c r="Q165" s="49"/>
      <c r="R165" s="49"/>
      <c r="S165" s="49"/>
      <c r="T165" s="49"/>
      <c r="U165" s="49"/>
      <c r="V165" s="49"/>
      <c r="W165" s="49"/>
      <c r="X165" s="49"/>
      <c r="AD165" s="49"/>
      <c r="AE165" s="49"/>
      <c r="AF165" s="49"/>
    </row>
    <row r="166" spans="3:32" hidden="1" x14ac:dyDescent="0.25">
      <c r="I166" s="49"/>
      <c r="J166" s="49"/>
      <c r="K166" s="49"/>
      <c r="L166" s="49"/>
      <c r="M166" s="49"/>
      <c r="N166" s="49"/>
      <c r="O166" s="49"/>
      <c r="P166" s="49"/>
      <c r="Q166" s="49"/>
      <c r="R166" s="49"/>
      <c r="S166" s="49"/>
      <c r="T166" s="49"/>
      <c r="U166" s="49"/>
      <c r="V166" s="49"/>
      <c r="W166" s="49"/>
      <c r="X166" s="49"/>
      <c r="AD166" s="49"/>
      <c r="AE166" s="49"/>
      <c r="AF166" s="49"/>
    </row>
    <row r="167" spans="3:32" hidden="1" x14ac:dyDescent="0.25">
      <c r="I167" s="49"/>
      <c r="J167" s="49"/>
      <c r="K167" s="49"/>
      <c r="L167" s="49"/>
      <c r="M167" s="49"/>
      <c r="N167" s="49"/>
      <c r="O167" s="49"/>
      <c r="P167" s="49"/>
      <c r="Q167" s="49"/>
      <c r="R167" s="49"/>
      <c r="S167" s="49"/>
      <c r="T167" s="49"/>
      <c r="U167" s="49"/>
      <c r="V167" s="49"/>
      <c r="W167" s="49"/>
      <c r="X167" s="49"/>
      <c r="AD167" s="49"/>
      <c r="AE167" s="49"/>
      <c r="AF167" s="49"/>
    </row>
    <row r="168" spans="3:32" hidden="1" x14ac:dyDescent="0.25">
      <c r="I168" s="49"/>
      <c r="J168" s="49"/>
      <c r="K168" s="49"/>
      <c r="L168" s="49"/>
      <c r="M168" s="49"/>
      <c r="N168" s="49"/>
      <c r="O168" s="49"/>
      <c r="P168" s="49"/>
      <c r="Q168" s="49"/>
      <c r="R168" s="49"/>
      <c r="S168" s="49"/>
      <c r="T168" s="49"/>
      <c r="U168" s="49"/>
      <c r="V168" s="49"/>
      <c r="W168" s="49"/>
      <c r="X168" s="49"/>
      <c r="AD168" s="49"/>
      <c r="AE168" s="49"/>
      <c r="AF168" s="49"/>
    </row>
    <row r="169" spans="3:32" hidden="1" x14ac:dyDescent="0.25">
      <c r="I169" s="49"/>
      <c r="J169" s="49"/>
      <c r="K169" s="49"/>
      <c r="L169" s="49"/>
      <c r="M169" s="49"/>
      <c r="N169" s="49"/>
      <c r="O169" s="49"/>
      <c r="P169" s="49"/>
      <c r="Q169" s="49"/>
      <c r="R169" s="49"/>
      <c r="S169" s="49"/>
      <c r="T169" s="49"/>
      <c r="U169" s="49"/>
      <c r="V169" s="49"/>
      <c r="W169" s="49"/>
      <c r="X169" s="49"/>
      <c r="AD169" s="49"/>
      <c r="AE169" s="49"/>
      <c r="AF169" s="49"/>
    </row>
    <row r="170" spans="3:32" hidden="1" x14ac:dyDescent="0.25">
      <c r="I170" s="49"/>
      <c r="J170" s="49"/>
      <c r="K170" s="49"/>
      <c r="L170" s="49"/>
      <c r="M170" s="49"/>
      <c r="N170" s="49"/>
      <c r="O170" s="49"/>
      <c r="P170" s="49"/>
      <c r="Q170" s="49"/>
      <c r="R170" s="49"/>
      <c r="S170" s="49"/>
      <c r="T170" s="49"/>
      <c r="U170" s="49"/>
      <c r="V170" s="49"/>
      <c r="W170" s="49"/>
      <c r="X170" s="49"/>
      <c r="AD170" s="49"/>
      <c r="AE170" s="49"/>
      <c r="AF170" s="49"/>
    </row>
    <row r="171" spans="3:32" hidden="1" x14ac:dyDescent="0.25">
      <c r="I171" s="49"/>
      <c r="J171" s="49"/>
      <c r="K171" s="49"/>
      <c r="L171" s="49"/>
      <c r="M171" s="49"/>
      <c r="N171" s="49"/>
      <c r="O171" s="49"/>
      <c r="P171" s="49"/>
      <c r="Q171" s="49"/>
      <c r="R171" s="49"/>
      <c r="S171" s="49"/>
      <c r="T171" s="49"/>
      <c r="U171" s="49"/>
      <c r="V171" s="49"/>
      <c r="W171" s="49"/>
      <c r="X171" s="49"/>
      <c r="AD171" s="49"/>
      <c r="AE171" s="49"/>
      <c r="AF171" s="49"/>
    </row>
    <row r="172" spans="3:32" hidden="1" x14ac:dyDescent="0.25">
      <c r="I172" s="49"/>
      <c r="J172" s="49"/>
      <c r="K172" s="49"/>
      <c r="L172" s="49"/>
      <c r="M172" s="49"/>
      <c r="N172" s="49"/>
      <c r="O172" s="49"/>
      <c r="P172" s="49"/>
      <c r="Q172" s="49"/>
      <c r="R172" s="49"/>
      <c r="S172" s="49"/>
      <c r="T172" s="49"/>
      <c r="U172" s="49"/>
      <c r="V172" s="49"/>
      <c r="W172" s="49"/>
      <c r="X172" s="49"/>
      <c r="AD172" s="49"/>
      <c r="AE172" s="49"/>
      <c r="AF172" s="49"/>
    </row>
    <row r="173" spans="3:32" hidden="1" x14ac:dyDescent="0.25">
      <c r="I173" s="49"/>
      <c r="J173" s="49"/>
      <c r="K173" s="49"/>
      <c r="L173" s="49"/>
      <c r="M173" s="49"/>
      <c r="N173" s="49"/>
      <c r="O173" s="49"/>
      <c r="P173" s="49"/>
      <c r="Q173" s="49"/>
      <c r="R173" s="49"/>
      <c r="S173" s="49"/>
      <c r="T173" s="49"/>
      <c r="U173" s="49"/>
      <c r="V173" s="49"/>
      <c r="W173" s="49"/>
      <c r="X173" s="49"/>
      <c r="AD173" s="49"/>
      <c r="AE173" s="49"/>
      <c r="AF173" s="49"/>
    </row>
    <row r="174" spans="3:32" hidden="1" x14ac:dyDescent="0.25">
      <c r="I174" s="49"/>
      <c r="J174" s="49"/>
      <c r="K174" s="49"/>
      <c r="L174" s="49"/>
      <c r="M174" s="49"/>
      <c r="N174" s="49"/>
      <c r="O174" s="49"/>
      <c r="P174" s="49"/>
      <c r="Q174" s="49"/>
      <c r="R174" s="49"/>
      <c r="S174" s="49"/>
      <c r="T174" s="49"/>
      <c r="U174" s="49"/>
      <c r="V174" s="49"/>
      <c r="W174" s="49"/>
      <c r="X174" s="49"/>
      <c r="AD174" s="49"/>
      <c r="AE174" s="49"/>
      <c r="AF174" s="49"/>
    </row>
    <row r="175" spans="3:32" hidden="1" x14ac:dyDescent="0.25">
      <c r="I175" s="49"/>
      <c r="J175" s="49"/>
      <c r="K175" s="49"/>
      <c r="L175" s="49"/>
      <c r="M175" s="49"/>
      <c r="N175" s="49"/>
      <c r="O175" s="49"/>
      <c r="P175" s="49"/>
      <c r="Q175" s="49"/>
      <c r="R175" s="49"/>
      <c r="S175" s="49"/>
      <c r="T175" s="49"/>
      <c r="U175" s="49"/>
      <c r="V175" s="49"/>
      <c r="W175" s="49"/>
      <c r="X175" s="49"/>
      <c r="AD175" s="49"/>
      <c r="AE175" s="49"/>
      <c r="AF175" s="49"/>
    </row>
    <row r="176" spans="3:32" hidden="1" x14ac:dyDescent="0.25">
      <c r="I176" s="49"/>
      <c r="J176" s="49"/>
      <c r="K176" s="49"/>
      <c r="L176" s="49"/>
      <c r="M176" s="49"/>
      <c r="N176" s="49"/>
      <c r="O176" s="49"/>
      <c r="P176" s="49"/>
      <c r="Q176" s="49"/>
      <c r="R176" s="49"/>
      <c r="S176" s="49"/>
      <c r="T176" s="49"/>
      <c r="U176" s="49"/>
      <c r="V176" s="49"/>
      <c r="W176" s="49"/>
      <c r="X176" s="49"/>
      <c r="AD176" s="49"/>
      <c r="AE176" s="49"/>
      <c r="AF176" s="49"/>
    </row>
    <row r="177" spans="9:32" hidden="1" x14ac:dyDescent="0.25">
      <c r="I177" s="49"/>
      <c r="J177" s="49"/>
      <c r="K177" s="49"/>
      <c r="L177" s="49"/>
      <c r="M177" s="49"/>
      <c r="N177" s="49"/>
      <c r="O177" s="49"/>
      <c r="P177" s="49"/>
      <c r="Q177" s="49"/>
      <c r="R177" s="49"/>
      <c r="S177" s="49"/>
      <c r="T177" s="49"/>
      <c r="U177" s="49"/>
      <c r="V177" s="49"/>
      <c r="W177" s="49"/>
      <c r="X177" s="49"/>
      <c r="AD177" s="49"/>
      <c r="AE177" s="49"/>
      <c r="AF177" s="49"/>
    </row>
    <row r="178" spans="9:32" hidden="1" x14ac:dyDescent="0.25">
      <c r="I178" s="49"/>
      <c r="J178" s="49"/>
      <c r="K178" s="49"/>
      <c r="L178" s="49"/>
      <c r="M178" s="49"/>
      <c r="N178" s="49"/>
      <c r="O178" s="49"/>
      <c r="P178" s="49"/>
      <c r="Q178" s="49"/>
      <c r="R178" s="49"/>
      <c r="S178" s="49"/>
      <c r="T178" s="49"/>
      <c r="U178" s="49"/>
      <c r="V178" s="49"/>
      <c r="W178" s="49"/>
      <c r="X178" s="49"/>
      <c r="AD178" s="49"/>
      <c r="AE178" s="49"/>
      <c r="AF178" s="49"/>
    </row>
    <row r="179" spans="9:32" hidden="1" x14ac:dyDescent="0.25">
      <c r="I179" s="49"/>
      <c r="J179" s="49"/>
      <c r="K179" s="49"/>
      <c r="L179" s="49"/>
      <c r="M179" s="49"/>
      <c r="N179" s="49"/>
      <c r="O179" s="49"/>
      <c r="P179" s="49"/>
      <c r="Q179" s="49"/>
      <c r="R179" s="49"/>
      <c r="S179" s="49"/>
      <c r="T179" s="49"/>
      <c r="U179" s="49"/>
      <c r="V179" s="49"/>
      <c r="W179" s="49"/>
      <c r="X179" s="49"/>
      <c r="AD179" s="49"/>
      <c r="AE179" s="49"/>
      <c r="AF179" s="49"/>
    </row>
    <row r="180" spans="9:32" hidden="1" x14ac:dyDescent="0.25">
      <c r="I180" s="49"/>
      <c r="J180" s="49"/>
      <c r="K180" s="49"/>
      <c r="L180" s="49"/>
      <c r="M180" s="49"/>
      <c r="N180" s="49"/>
      <c r="O180" s="49"/>
      <c r="P180" s="49"/>
      <c r="Q180" s="49"/>
      <c r="R180" s="49"/>
      <c r="S180" s="49"/>
      <c r="T180" s="49"/>
      <c r="U180" s="49"/>
      <c r="V180" s="49"/>
      <c r="W180" s="49"/>
      <c r="X180" s="49"/>
      <c r="AD180" s="49"/>
      <c r="AE180" s="49"/>
      <c r="AF180" s="49"/>
    </row>
    <row r="181" spans="9:32" hidden="1" x14ac:dyDescent="0.25">
      <c r="I181" s="49"/>
      <c r="J181" s="49"/>
      <c r="K181" s="49"/>
      <c r="L181" s="49"/>
      <c r="M181" s="49"/>
      <c r="N181" s="49"/>
      <c r="O181" s="49"/>
      <c r="P181" s="49"/>
      <c r="Q181" s="49"/>
      <c r="R181" s="49"/>
      <c r="S181" s="49"/>
      <c r="T181" s="49"/>
      <c r="U181" s="49"/>
      <c r="V181" s="49"/>
      <c r="W181" s="49"/>
      <c r="X181" s="49"/>
      <c r="AD181" s="49"/>
      <c r="AE181" s="49"/>
      <c r="AF181" s="49"/>
    </row>
    <row r="182" spans="9:32" hidden="1" x14ac:dyDescent="0.25">
      <c r="I182" s="49"/>
      <c r="J182" s="49"/>
      <c r="K182" s="49"/>
      <c r="L182" s="49"/>
      <c r="M182" s="49"/>
      <c r="N182" s="49"/>
      <c r="O182" s="49"/>
      <c r="P182" s="49"/>
      <c r="Q182" s="49"/>
      <c r="R182" s="49"/>
      <c r="S182" s="49"/>
      <c r="T182" s="49"/>
      <c r="U182" s="49"/>
      <c r="V182" s="49"/>
      <c r="W182" s="49"/>
      <c r="X182" s="49"/>
      <c r="AD182" s="49"/>
      <c r="AE182" s="49"/>
      <c r="AF182" s="49"/>
    </row>
    <row r="183" spans="9:32" hidden="1" x14ac:dyDescent="0.25">
      <c r="I183" s="49"/>
      <c r="J183" s="49"/>
      <c r="K183" s="49"/>
      <c r="L183" s="49"/>
      <c r="M183" s="49"/>
      <c r="N183" s="49"/>
      <c r="O183" s="49"/>
      <c r="P183" s="49"/>
      <c r="Q183" s="49"/>
      <c r="R183" s="49"/>
      <c r="S183" s="49"/>
      <c r="T183" s="49"/>
      <c r="U183" s="49"/>
      <c r="V183" s="49"/>
      <c r="W183" s="49"/>
      <c r="X183" s="49"/>
      <c r="AD183" s="49"/>
      <c r="AE183" s="49"/>
      <c r="AF183" s="49"/>
    </row>
    <row r="184" spans="9:32" hidden="1" x14ac:dyDescent="0.25">
      <c r="I184" s="49"/>
      <c r="J184" s="49"/>
      <c r="K184" s="49"/>
      <c r="L184" s="49"/>
      <c r="M184" s="49"/>
      <c r="N184" s="49"/>
      <c r="O184" s="49"/>
      <c r="P184" s="49"/>
      <c r="Q184" s="49"/>
      <c r="R184" s="49"/>
      <c r="S184" s="49"/>
      <c r="T184" s="49"/>
      <c r="U184" s="49"/>
      <c r="V184" s="49"/>
      <c r="W184" s="49"/>
      <c r="X184" s="49"/>
      <c r="AD184" s="49"/>
      <c r="AE184" s="49"/>
      <c r="AF184" s="49"/>
    </row>
    <row r="185" spans="9:32" hidden="1" x14ac:dyDescent="0.25">
      <c r="I185" s="49"/>
      <c r="J185" s="49"/>
      <c r="K185" s="49"/>
      <c r="L185" s="49"/>
      <c r="M185" s="49"/>
      <c r="N185" s="49"/>
      <c r="O185" s="49"/>
      <c r="P185" s="49"/>
      <c r="Q185" s="49"/>
      <c r="R185" s="49"/>
      <c r="S185" s="49"/>
      <c r="T185" s="49"/>
      <c r="U185" s="49"/>
      <c r="V185" s="49"/>
      <c r="W185" s="49"/>
      <c r="X185" s="49"/>
      <c r="AD185" s="49"/>
      <c r="AE185" s="49"/>
      <c r="AF185" s="49"/>
    </row>
    <row r="186" spans="9:32" hidden="1" x14ac:dyDescent="0.25">
      <c r="I186" s="49"/>
      <c r="J186" s="49"/>
      <c r="K186" s="49"/>
      <c r="L186" s="49"/>
      <c r="M186" s="49"/>
      <c r="N186" s="49"/>
      <c r="O186" s="49"/>
      <c r="P186" s="49"/>
      <c r="Q186" s="49"/>
      <c r="R186" s="49"/>
      <c r="S186" s="49"/>
      <c r="T186" s="49"/>
      <c r="U186" s="49"/>
      <c r="V186" s="49"/>
      <c r="W186" s="49"/>
      <c r="X186" s="49"/>
      <c r="AD186" s="49"/>
      <c r="AE186" s="49"/>
      <c r="AF186" s="49"/>
    </row>
    <row r="187" spans="9:32" hidden="1" x14ac:dyDescent="0.25">
      <c r="I187" s="49"/>
      <c r="J187" s="49"/>
      <c r="K187" s="49"/>
      <c r="L187" s="49"/>
      <c r="M187" s="49"/>
      <c r="N187" s="49"/>
      <c r="O187" s="49"/>
      <c r="P187" s="49"/>
      <c r="Q187" s="49"/>
      <c r="R187" s="49"/>
      <c r="S187" s="49"/>
      <c r="T187" s="49"/>
      <c r="U187" s="49"/>
      <c r="V187" s="49"/>
      <c r="W187" s="49"/>
      <c r="X187" s="49"/>
      <c r="AD187" s="49"/>
      <c r="AE187" s="49"/>
      <c r="AF187" s="49"/>
    </row>
    <row r="188" spans="9:32" hidden="1" x14ac:dyDescent="0.25">
      <c r="I188" s="49"/>
      <c r="J188" s="49"/>
      <c r="K188" s="49"/>
      <c r="L188" s="49"/>
      <c r="M188" s="49"/>
      <c r="N188" s="49"/>
      <c r="O188" s="49"/>
      <c r="P188" s="49"/>
      <c r="Q188" s="49"/>
      <c r="R188" s="49"/>
      <c r="S188" s="49"/>
      <c r="T188" s="49"/>
      <c r="U188" s="49"/>
      <c r="V188" s="49"/>
      <c r="W188" s="49"/>
      <c r="X188" s="49"/>
      <c r="AD188" s="49"/>
      <c r="AE188" s="49"/>
      <c r="AF188" s="49"/>
    </row>
    <row r="189" spans="9:32" hidden="1" x14ac:dyDescent="0.25">
      <c r="I189" s="49"/>
      <c r="J189" s="49"/>
      <c r="K189" s="49"/>
      <c r="L189" s="49"/>
      <c r="M189" s="49"/>
      <c r="N189" s="49"/>
      <c r="O189" s="49"/>
      <c r="P189" s="49"/>
      <c r="Q189" s="49"/>
      <c r="R189" s="49"/>
      <c r="S189" s="49"/>
      <c r="T189" s="49"/>
      <c r="U189" s="49"/>
      <c r="V189" s="49"/>
      <c r="W189" s="49"/>
      <c r="X189" s="49"/>
      <c r="AD189" s="49"/>
      <c r="AE189" s="49"/>
      <c r="AF189" s="49"/>
    </row>
    <row r="190" spans="9:32" hidden="1" x14ac:dyDescent="0.25">
      <c r="I190" s="49"/>
      <c r="J190" s="49"/>
      <c r="K190" s="49"/>
      <c r="L190" s="49"/>
      <c r="M190" s="49"/>
      <c r="N190" s="49"/>
      <c r="O190" s="49"/>
      <c r="P190" s="49"/>
      <c r="Q190" s="49"/>
      <c r="R190" s="49"/>
      <c r="S190" s="49"/>
      <c r="T190" s="49"/>
      <c r="U190" s="49"/>
      <c r="V190" s="49"/>
      <c r="W190" s="49"/>
      <c r="X190" s="49"/>
      <c r="AD190" s="49"/>
      <c r="AE190" s="49"/>
      <c r="AF190" s="49"/>
    </row>
    <row r="191" spans="9:32" hidden="1" x14ac:dyDescent="0.25">
      <c r="I191" s="49"/>
      <c r="J191" s="49"/>
      <c r="K191" s="49"/>
      <c r="L191" s="49"/>
      <c r="M191" s="49"/>
      <c r="N191" s="49"/>
      <c r="O191" s="49"/>
      <c r="P191" s="49"/>
      <c r="Q191" s="49"/>
      <c r="R191" s="49"/>
      <c r="S191" s="49"/>
      <c r="T191" s="49"/>
      <c r="U191" s="49"/>
      <c r="V191" s="49"/>
      <c r="W191" s="49"/>
      <c r="X191" s="49"/>
      <c r="AD191" s="49"/>
      <c r="AE191" s="49"/>
      <c r="AF191" s="49"/>
    </row>
    <row r="192" spans="9:32" hidden="1" x14ac:dyDescent="0.25">
      <c r="I192" s="49"/>
      <c r="J192" s="49"/>
      <c r="K192" s="49"/>
      <c r="L192" s="49"/>
      <c r="M192" s="49"/>
      <c r="N192" s="49"/>
      <c r="O192" s="49"/>
      <c r="P192" s="49"/>
      <c r="Q192" s="49"/>
      <c r="R192" s="49"/>
      <c r="S192" s="49"/>
      <c r="T192" s="49"/>
      <c r="U192" s="49"/>
      <c r="V192" s="49"/>
      <c r="W192" s="49"/>
      <c r="X192" s="49"/>
      <c r="AD192" s="49"/>
      <c r="AE192" s="49"/>
      <c r="AF192" s="49"/>
    </row>
    <row r="193" spans="9:32" hidden="1" x14ac:dyDescent="0.25">
      <c r="I193" s="49"/>
      <c r="J193" s="49"/>
      <c r="K193" s="49"/>
      <c r="L193" s="49"/>
      <c r="M193" s="49"/>
      <c r="N193" s="49"/>
      <c r="O193" s="49"/>
      <c r="P193" s="49"/>
      <c r="Q193" s="49"/>
      <c r="R193" s="49"/>
      <c r="S193" s="49"/>
      <c r="T193" s="49"/>
      <c r="U193" s="49"/>
      <c r="V193" s="49"/>
      <c r="W193" s="49"/>
      <c r="X193" s="49"/>
      <c r="AD193" s="49"/>
      <c r="AE193" s="49"/>
      <c r="AF193" s="49"/>
    </row>
    <row r="194" spans="9:32" hidden="1" x14ac:dyDescent="0.25">
      <c r="I194" s="49"/>
      <c r="J194" s="49"/>
      <c r="K194" s="49"/>
      <c r="L194" s="49"/>
      <c r="M194" s="49"/>
      <c r="N194" s="49"/>
      <c r="O194" s="49"/>
      <c r="P194" s="49"/>
      <c r="Q194" s="49"/>
      <c r="R194" s="49"/>
      <c r="S194" s="49"/>
      <c r="T194" s="49"/>
      <c r="U194" s="49"/>
      <c r="V194" s="49"/>
      <c r="W194" s="49"/>
      <c r="X194" s="49"/>
      <c r="AD194" s="49"/>
      <c r="AE194" s="49"/>
      <c r="AF194" s="49"/>
    </row>
    <row r="195" spans="9:32" hidden="1" x14ac:dyDescent="0.25">
      <c r="I195" s="49"/>
      <c r="J195" s="49"/>
      <c r="K195" s="49"/>
      <c r="L195" s="49"/>
      <c r="M195" s="49"/>
      <c r="N195" s="49"/>
      <c r="O195" s="49"/>
      <c r="P195" s="49"/>
      <c r="Q195" s="49"/>
      <c r="R195" s="49"/>
      <c r="S195" s="49"/>
      <c r="T195" s="49"/>
      <c r="U195" s="49"/>
      <c r="V195" s="49"/>
      <c r="W195" s="49"/>
      <c r="X195" s="49"/>
      <c r="AD195" s="49"/>
      <c r="AE195" s="49"/>
      <c r="AF195" s="49"/>
    </row>
    <row r="196" spans="9:32" hidden="1" x14ac:dyDescent="0.25">
      <c r="I196" s="49"/>
      <c r="J196" s="49"/>
      <c r="K196" s="49"/>
      <c r="L196" s="49"/>
      <c r="M196" s="49"/>
      <c r="N196" s="49"/>
      <c r="O196" s="49"/>
      <c r="P196" s="49"/>
      <c r="Q196" s="49"/>
      <c r="R196" s="49"/>
      <c r="S196" s="49"/>
      <c r="T196" s="49"/>
      <c r="U196" s="49"/>
      <c r="V196" s="49"/>
      <c r="W196" s="49"/>
      <c r="X196" s="49"/>
      <c r="AD196" s="49"/>
      <c r="AE196" s="49"/>
      <c r="AF196" s="49"/>
    </row>
    <row r="197" spans="9:32" hidden="1" x14ac:dyDescent="0.25">
      <c r="I197" s="49"/>
      <c r="J197" s="49"/>
      <c r="K197" s="49"/>
      <c r="L197" s="49"/>
      <c r="M197" s="49"/>
      <c r="N197" s="49"/>
      <c r="O197" s="49"/>
      <c r="P197" s="49"/>
      <c r="Q197" s="49"/>
      <c r="R197" s="49"/>
      <c r="S197" s="49"/>
      <c r="T197" s="49"/>
      <c r="U197" s="49"/>
      <c r="V197" s="49"/>
      <c r="W197" s="49"/>
      <c r="X197" s="49"/>
      <c r="AD197" s="49"/>
      <c r="AE197" s="49"/>
      <c r="AF197" s="49"/>
    </row>
    <row r="198" spans="9:32" hidden="1" x14ac:dyDescent="0.25">
      <c r="I198" s="49"/>
      <c r="J198" s="49"/>
      <c r="K198" s="49"/>
      <c r="L198" s="49"/>
      <c r="M198" s="49"/>
      <c r="N198" s="49"/>
      <c r="O198" s="49"/>
      <c r="P198" s="49"/>
      <c r="Q198" s="49"/>
      <c r="R198" s="49"/>
      <c r="S198" s="49"/>
      <c r="T198" s="49"/>
      <c r="U198" s="49"/>
      <c r="V198" s="49"/>
      <c r="W198" s="49"/>
      <c r="X198" s="49"/>
      <c r="AD198" s="49"/>
      <c r="AE198" s="49"/>
      <c r="AF198" s="49"/>
    </row>
    <row r="199" spans="9:32" hidden="1" x14ac:dyDescent="0.25">
      <c r="I199" s="49"/>
      <c r="J199" s="49"/>
      <c r="K199" s="49"/>
      <c r="L199" s="49"/>
      <c r="M199" s="49"/>
      <c r="N199" s="49"/>
      <c r="O199" s="49"/>
      <c r="P199" s="49"/>
      <c r="Q199" s="49"/>
      <c r="R199" s="49"/>
      <c r="S199" s="49"/>
      <c r="T199" s="49"/>
      <c r="U199" s="49"/>
      <c r="V199" s="49"/>
      <c r="W199" s="49"/>
      <c r="X199" s="49"/>
      <c r="AD199" s="49"/>
      <c r="AE199" s="49"/>
      <c r="AF199" s="49"/>
    </row>
    <row r="200" spans="9:32" hidden="1" x14ac:dyDescent="0.25">
      <c r="I200" s="49"/>
      <c r="J200" s="49"/>
      <c r="K200" s="49"/>
      <c r="L200" s="49"/>
      <c r="M200" s="49"/>
      <c r="N200" s="49"/>
      <c r="O200" s="49"/>
      <c r="P200" s="49"/>
      <c r="Q200" s="49"/>
      <c r="R200" s="49"/>
      <c r="S200" s="49"/>
      <c r="T200" s="49"/>
      <c r="U200" s="49"/>
      <c r="V200" s="49"/>
      <c r="W200" s="49"/>
      <c r="X200" s="49"/>
      <c r="AD200" s="49"/>
      <c r="AE200" s="49"/>
      <c r="AF200" s="49"/>
    </row>
    <row r="201" spans="9:32" hidden="1" x14ac:dyDescent="0.25">
      <c r="I201" s="49"/>
      <c r="J201" s="49"/>
      <c r="K201" s="49"/>
      <c r="L201" s="49"/>
      <c r="M201" s="49"/>
      <c r="N201" s="49"/>
      <c r="O201" s="49"/>
      <c r="P201" s="49"/>
      <c r="Q201" s="49"/>
      <c r="R201" s="49"/>
      <c r="S201" s="49"/>
      <c r="T201" s="49"/>
      <c r="U201" s="49"/>
      <c r="V201" s="49"/>
      <c r="W201" s="49"/>
      <c r="X201" s="49"/>
      <c r="AD201" s="49"/>
      <c r="AE201" s="49"/>
      <c r="AF201" s="49"/>
    </row>
    <row r="202" spans="9:32" hidden="1" x14ac:dyDescent="0.25">
      <c r="I202" s="49"/>
      <c r="J202" s="49"/>
      <c r="K202" s="49"/>
      <c r="L202" s="49"/>
      <c r="M202" s="49"/>
      <c r="N202" s="49"/>
      <c r="O202" s="49"/>
      <c r="P202" s="49"/>
      <c r="Q202" s="49"/>
      <c r="R202" s="49"/>
      <c r="S202" s="49"/>
      <c r="T202" s="49"/>
      <c r="U202" s="49"/>
      <c r="V202" s="49"/>
      <c r="W202" s="49"/>
      <c r="X202" s="49"/>
      <c r="AD202" s="49"/>
      <c r="AE202" s="49"/>
      <c r="AF202" s="49"/>
    </row>
    <row r="203" spans="9:32" hidden="1" x14ac:dyDescent="0.25">
      <c r="I203" s="49"/>
      <c r="J203" s="49"/>
      <c r="K203" s="49"/>
      <c r="L203" s="49"/>
      <c r="M203" s="49"/>
      <c r="N203" s="49"/>
      <c r="O203" s="49"/>
      <c r="P203" s="49"/>
      <c r="Q203" s="49"/>
      <c r="R203" s="49"/>
      <c r="S203" s="49"/>
      <c r="T203" s="49"/>
      <c r="U203" s="49"/>
      <c r="V203" s="49"/>
      <c r="W203" s="49"/>
      <c r="X203" s="49"/>
      <c r="AD203" s="49"/>
      <c r="AE203" s="49"/>
      <c r="AF203" s="49"/>
    </row>
    <row r="204" spans="9:32" hidden="1" x14ac:dyDescent="0.25">
      <c r="I204" s="49"/>
      <c r="J204" s="49"/>
      <c r="K204" s="49"/>
      <c r="L204" s="49"/>
      <c r="M204" s="49"/>
      <c r="N204" s="49"/>
      <c r="O204" s="49"/>
      <c r="P204" s="49"/>
      <c r="Q204" s="49"/>
      <c r="R204" s="49"/>
      <c r="S204" s="49"/>
      <c r="T204" s="49"/>
      <c r="U204" s="49"/>
      <c r="V204" s="49"/>
      <c r="W204" s="49"/>
      <c r="X204" s="49"/>
      <c r="AD204" s="49"/>
      <c r="AE204" s="49"/>
      <c r="AF204" s="49"/>
    </row>
    <row r="205" spans="9:32" hidden="1" x14ac:dyDescent="0.25">
      <c r="I205" s="49"/>
      <c r="J205" s="49"/>
      <c r="K205" s="49"/>
      <c r="L205" s="49"/>
      <c r="M205" s="49"/>
      <c r="N205" s="49"/>
      <c r="O205" s="49"/>
      <c r="P205" s="49"/>
      <c r="Q205" s="49"/>
      <c r="R205" s="49"/>
      <c r="S205" s="49"/>
      <c r="T205" s="49"/>
      <c r="U205" s="49"/>
      <c r="V205" s="49"/>
      <c r="W205" s="49"/>
      <c r="X205" s="49"/>
      <c r="AD205" s="49"/>
      <c r="AE205" s="49"/>
      <c r="AF205" s="49"/>
    </row>
    <row r="206" spans="9:32" hidden="1" x14ac:dyDescent="0.25">
      <c r="I206" s="49"/>
      <c r="J206" s="49"/>
      <c r="K206" s="49"/>
      <c r="L206" s="49"/>
      <c r="M206" s="49"/>
      <c r="N206" s="49"/>
      <c r="O206" s="49"/>
      <c r="P206" s="49"/>
      <c r="Q206" s="49"/>
      <c r="R206" s="49"/>
      <c r="S206" s="49"/>
      <c r="T206" s="49"/>
      <c r="U206" s="49"/>
      <c r="V206" s="49"/>
      <c r="W206" s="49"/>
      <c r="X206" s="49"/>
      <c r="AD206" s="49"/>
      <c r="AE206" s="49"/>
      <c r="AF206" s="49"/>
    </row>
    <row r="207" spans="9:32" hidden="1" x14ac:dyDescent="0.25">
      <c r="I207" s="49"/>
      <c r="J207" s="49"/>
      <c r="K207" s="49"/>
      <c r="L207" s="49"/>
      <c r="M207" s="49"/>
      <c r="N207" s="49"/>
      <c r="O207" s="49"/>
      <c r="P207" s="49"/>
      <c r="Q207" s="49"/>
      <c r="R207" s="49"/>
      <c r="S207" s="49"/>
      <c r="T207" s="49"/>
      <c r="U207" s="49"/>
      <c r="V207" s="49"/>
      <c r="W207" s="49"/>
      <c r="X207" s="49"/>
      <c r="AD207" s="49"/>
      <c r="AE207" s="49"/>
      <c r="AF207" s="49"/>
    </row>
    <row r="208" spans="9:32" hidden="1" x14ac:dyDescent="0.25">
      <c r="I208" s="49"/>
      <c r="J208" s="49"/>
      <c r="K208" s="49"/>
      <c r="L208" s="49"/>
      <c r="M208" s="49"/>
      <c r="N208" s="49"/>
      <c r="O208" s="49"/>
      <c r="P208" s="49"/>
      <c r="Q208" s="49"/>
      <c r="R208" s="49"/>
      <c r="S208" s="49"/>
      <c r="T208" s="49"/>
      <c r="U208" s="49"/>
      <c r="V208" s="49"/>
      <c r="W208" s="49"/>
      <c r="X208" s="49"/>
      <c r="AD208" s="49"/>
      <c r="AE208" s="49"/>
      <c r="AF208" s="49"/>
    </row>
    <row r="209" spans="9:32" hidden="1" x14ac:dyDescent="0.25">
      <c r="I209" s="49"/>
      <c r="J209" s="49"/>
      <c r="K209" s="49"/>
      <c r="L209" s="49"/>
      <c r="M209" s="49"/>
      <c r="N209" s="49"/>
      <c r="O209" s="49"/>
      <c r="P209" s="49"/>
      <c r="Q209" s="49"/>
      <c r="R209" s="49"/>
      <c r="S209" s="49"/>
      <c r="T209" s="49"/>
      <c r="U209" s="49"/>
      <c r="V209" s="49"/>
      <c r="W209" s="49"/>
      <c r="X209" s="49"/>
      <c r="AD209" s="49"/>
      <c r="AE209" s="49"/>
      <c r="AF209" s="49"/>
    </row>
    <row r="210" spans="9:32" hidden="1" x14ac:dyDescent="0.25">
      <c r="I210" s="49"/>
      <c r="J210" s="49"/>
      <c r="K210" s="49"/>
      <c r="L210" s="49"/>
      <c r="M210" s="49"/>
      <c r="N210" s="49"/>
      <c r="O210" s="49"/>
      <c r="P210" s="49"/>
      <c r="Q210" s="49"/>
      <c r="R210" s="49"/>
      <c r="S210" s="49"/>
      <c r="T210" s="49"/>
      <c r="U210" s="49"/>
      <c r="V210" s="49"/>
      <c r="W210" s="49"/>
      <c r="X210" s="49"/>
      <c r="AD210" s="49"/>
      <c r="AE210" s="49"/>
      <c r="AF210" s="49"/>
    </row>
    <row r="211" spans="9:32" hidden="1" x14ac:dyDescent="0.25">
      <c r="I211" s="49"/>
      <c r="J211" s="49"/>
      <c r="K211" s="49"/>
      <c r="L211" s="49"/>
      <c r="M211" s="49"/>
      <c r="N211" s="49"/>
      <c r="O211" s="49"/>
      <c r="P211" s="49"/>
      <c r="Q211" s="49"/>
      <c r="R211" s="49"/>
      <c r="S211" s="49"/>
      <c r="T211" s="49"/>
      <c r="U211" s="49"/>
      <c r="V211" s="49"/>
      <c r="W211" s="49"/>
      <c r="X211" s="49"/>
      <c r="AD211" s="49"/>
      <c r="AE211" s="49"/>
      <c r="AF211" s="49"/>
    </row>
    <row r="212" spans="9:32" hidden="1" x14ac:dyDescent="0.25">
      <c r="I212" s="49"/>
      <c r="J212" s="49"/>
      <c r="K212" s="49"/>
      <c r="L212" s="49"/>
      <c r="M212" s="49"/>
      <c r="N212" s="49"/>
      <c r="O212" s="49"/>
      <c r="P212" s="49"/>
      <c r="Q212" s="49"/>
      <c r="R212" s="49"/>
      <c r="S212" s="49"/>
      <c r="T212" s="49"/>
      <c r="U212" s="49"/>
      <c r="V212" s="49"/>
      <c r="W212" s="49"/>
      <c r="X212" s="49"/>
      <c r="AD212" s="49"/>
      <c r="AE212" s="49"/>
      <c r="AF212" s="49"/>
    </row>
    <row r="213" spans="9:32" hidden="1" x14ac:dyDescent="0.25">
      <c r="I213" s="49"/>
      <c r="J213" s="49"/>
      <c r="K213" s="49"/>
      <c r="L213" s="49"/>
      <c r="M213" s="49"/>
      <c r="N213" s="49"/>
      <c r="O213" s="49"/>
      <c r="P213" s="49"/>
      <c r="Q213" s="49"/>
      <c r="R213" s="49"/>
      <c r="S213" s="49"/>
      <c r="T213" s="49"/>
      <c r="U213" s="49"/>
      <c r="V213" s="49"/>
      <c r="W213" s="49"/>
      <c r="X213" s="49"/>
      <c r="AD213" s="49"/>
      <c r="AE213" s="49"/>
      <c r="AF213" s="49"/>
    </row>
    <row r="214" spans="9:32" hidden="1" x14ac:dyDescent="0.25">
      <c r="I214" s="49"/>
      <c r="J214" s="49"/>
      <c r="K214" s="49"/>
      <c r="L214" s="49"/>
      <c r="M214" s="49"/>
      <c r="N214" s="49"/>
      <c r="O214" s="49"/>
      <c r="P214" s="49"/>
      <c r="Q214" s="49"/>
      <c r="R214" s="49"/>
      <c r="S214" s="49"/>
      <c r="T214" s="49"/>
      <c r="U214" s="49"/>
      <c r="V214" s="49"/>
      <c r="W214" s="49"/>
      <c r="X214" s="49"/>
      <c r="AD214" s="49"/>
      <c r="AE214" s="49"/>
      <c r="AF214" s="49"/>
    </row>
    <row r="215" spans="9:32" hidden="1" x14ac:dyDescent="0.25">
      <c r="I215" s="49"/>
      <c r="J215" s="49"/>
      <c r="K215" s="49"/>
      <c r="L215" s="49"/>
      <c r="M215" s="49"/>
      <c r="N215" s="49"/>
      <c r="O215" s="49"/>
      <c r="P215" s="49"/>
      <c r="Q215" s="49"/>
      <c r="R215" s="49"/>
      <c r="S215" s="49"/>
      <c r="T215" s="49"/>
      <c r="U215" s="49"/>
      <c r="V215" s="49"/>
      <c r="W215" s="49"/>
      <c r="X215" s="49"/>
      <c r="AD215" s="49"/>
      <c r="AE215" s="49"/>
      <c r="AF215" s="49"/>
    </row>
    <row r="216" spans="9:32" hidden="1" x14ac:dyDescent="0.25">
      <c r="I216" s="49"/>
      <c r="J216" s="49"/>
      <c r="K216" s="49"/>
      <c r="L216" s="49"/>
      <c r="M216" s="49"/>
      <c r="N216" s="49"/>
      <c r="O216" s="49"/>
      <c r="P216" s="49"/>
      <c r="Q216" s="49"/>
      <c r="R216" s="49"/>
      <c r="S216" s="49"/>
      <c r="T216" s="49"/>
      <c r="U216" s="49"/>
      <c r="V216" s="49"/>
      <c r="W216" s="49"/>
      <c r="X216" s="49"/>
      <c r="AD216" s="49"/>
      <c r="AE216" s="49"/>
      <c r="AF216" s="49"/>
    </row>
    <row r="217" spans="9:32" hidden="1" x14ac:dyDescent="0.25">
      <c r="I217" s="49"/>
      <c r="J217" s="49"/>
      <c r="K217" s="49"/>
      <c r="L217" s="49"/>
      <c r="M217" s="49"/>
      <c r="N217" s="49"/>
      <c r="O217" s="49"/>
      <c r="P217" s="49"/>
      <c r="Q217" s="49"/>
      <c r="R217" s="49"/>
      <c r="S217" s="49"/>
      <c r="T217" s="49"/>
      <c r="U217" s="49"/>
      <c r="V217" s="49"/>
      <c r="W217" s="49"/>
      <c r="X217" s="49"/>
      <c r="AD217" s="49"/>
      <c r="AE217" s="49"/>
      <c r="AF217" s="49"/>
    </row>
    <row r="218" spans="9:32" hidden="1" x14ac:dyDescent="0.25">
      <c r="I218" s="49"/>
      <c r="J218" s="49"/>
      <c r="K218" s="49"/>
      <c r="L218" s="49"/>
      <c r="M218" s="49"/>
      <c r="N218" s="49"/>
      <c r="O218" s="49"/>
      <c r="P218" s="49"/>
      <c r="Q218" s="49"/>
      <c r="R218" s="49"/>
      <c r="S218" s="49"/>
      <c r="T218" s="49"/>
      <c r="U218" s="49"/>
      <c r="V218" s="49"/>
      <c r="W218" s="49"/>
      <c r="X218" s="49"/>
      <c r="AD218" s="49"/>
      <c r="AE218" s="49"/>
      <c r="AF218" s="49"/>
    </row>
    <row r="219" spans="9:32" hidden="1" x14ac:dyDescent="0.25">
      <c r="I219" s="49"/>
      <c r="J219" s="49"/>
      <c r="K219" s="49"/>
      <c r="L219" s="49"/>
      <c r="M219" s="49"/>
      <c r="N219" s="49"/>
      <c r="O219" s="49"/>
      <c r="P219" s="49"/>
      <c r="Q219" s="49"/>
      <c r="R219" s="49"/>
      <c r="S219" s="49"/>
      <c r="T219" s="49"/>
      <c r="U219" s="49"/>
      <c r="V219" s="49"/>
      <c r="W219" s="49"/>
      <c r="X219" s="49"/>
      <c r="AD219" s="49"/>
      <c r="AE219" s="49"/>
      <c r="AF219" s="49"/>
    </row>
    <row r="220" spans="9:32" hidden="1" x14ac:dyDescent="0.25">
      <c r="I220" s="49"/>
      <c r="J220" s="49"/>
      <c r="K220" s="49"/>
      <c r="L220" s="49"/>
      <c r="M220" s="49"/>
      <c r="N220" s="49"/>
      <c r="O220" s="49"/>
      <c r="P220" s="49"/>
      <c r="Q220" s="49"/>
      <c r="R220" s="49"/>
      <c r="S220" s="49"/>
      <c r="T220" s="49"/>
      <c r="U220" s="49"/>
      <c r="V220" s="49"/>
      <c r="W220" s="49"/>
      <c r="X220" s="49"/>
      <c r="AD220" s="49"/>
      <c r="AE220" s="49"/>
      <c r="AF220" s="49"/>
    </row>
    <row r="221" spans="9:32" hidden="1" x14ac:dyDescent="0.25">
      <c r="I221" s="49"/>
      <c r="J221" s="49"/>
      <c r="K221" s="49"/>
      <c r="L221" s="49"/>
      <c r="M221" s="49"/>
      <c r="N221" s="49"/>
      <c r="O221" s="49"/>
      <c r="P221" s="49"/>
      <c r="Q221" s="49"/>
      <c r="R221" s="49"/>
      <c r="S221" s="49"/>
      <c r="T221" s="49"/>
      <c r="U221" s="49"/>
      <c r="V221" s="49"/>
      <c r="W221" s="49"/>
      <c r="X221" s="49"/>
      <c r="AD221" s="49"/>
      <c r="AE221" s="49"/>
      <c r="AF221" s="49"/>
    </row>
    <row r="222" spans="9:32" hidden="1" x14ac:dyDescent="0.25">
      <c r="I222" s="49"/>
      <c r="J222" s="49"/>
      <c r="K222" s="49"/>
      <c r="L222" s="49"/>
      <c r="M222" s="49"/>
      <c r="N222" s="49"/>
      <c r="O222" s="49"/>
      <c r="P222" s="49"/>
      <c r="Q222" s="49"/>
      <c r="R222" s="49"/>
      <c r="S222" s="49"/>
      <c r="T222" s="49"/>
      <c r="U222" s="49"/>
      <c r="V222" s="49"/>
      <c r="W222" s="49"/>
      <c r="X222" s="49"/>
      <c r="AD222" s="49"/>
      <c r="AE222" s="49"/>
      <c r="AF222" s="49"/>
    </row>
    <row r="223" spans="9:32" hidden="1" x14ac:dyDescent="0.25">
      <c r="I223" s="49"/>
      <c r="J223" s="49"/>
      <c r="K223" s="49"/>
      <c r="L223" s="49"/>
      <c r="M223" s="49"/>
      <c r="N223" s="49"/>
      <c r="O223" s="49"/>
      <c r="P223" s="49"/>
      <c r="Q223" s="49"/>
      <c r="R223" s="49"/>
      <c r="S223" s="49"/>
      <c r="T223" s="49"/>
      <c r="U223" s="49"/>
      <c r="V223" s="49"/>
      <c r="W223" s="49"/>
      <c r="X223" s="49"/>
      <c r="AD223" s="49"/>
      <c r="AE223" s="49"/>
      <c r="AF223" s="49"/>
    </row>
    <row r="224" spans="9:32" hidden="1" x14ac:dyDescent="0.25">
      <c r="I224" s="49"/>
      <c r="J224" s="49"/>
      <c r="K224" s="49"/>
      <c r="L224" s="49"/>
      <c r="M224" s="49"/>
      <c r="N224" s="49"/>
      <c r="O224" s="49"/>
      <c r="P224" s="49"/>
      <c r="Q224" s="49"/>
      <c r="R224" s="49"/>
      <c r="S224" s="49"/>
      <c r="T224" s="49"/>
      <c r="U224" s="49"/>
      <c r="V224" s="49"/>
      <c r="W224" s="49"/>
      <c r="X224" s="49"/>
      <c r="AD224" s="49"/>
      <c r="AE224" s="49"/>
      <c r="AF224" s="49"/>
    </row>
    <row r="225" spans="9:32" hidden="1" x14ac:dyDescent="0.25">
      <c r="I225" s="49"/>
      <c r="J225" s="49"/>
      <c r="K225" s="49"/>
      <c r="L225" s="49"/>
      <c r="M225" s="49"/>
      <c r="N225" s="49"/>
      <c r="O225" s="49"/>
      <c r="P225" s="49"/>
      <c r="Q225" s="49"/>
      <c r="R225" s="49"/>
      <c r="S225" s="49"/>
      <c r="T225" s="49"/>
      <c r="U225" s="49"/>
      <c r="V225" s="49"/>
      <c r="W225" s="49"/>
      <c r="X225" s="49"/>
      <c r="AD225" s="49"/>
      <c r="AE225" s="49"/>
      <c r="AF225" s="49"/>
    </row>
    <row r="226" spans="9:32" hidden="1" x14ac:dyDescent="0.25">
      <c r="I226" s="49"/>
      <c r="J226" s="49"/>
      <c r="K226" s="49"/>
      <c r="L226" s="49"/>
      <c r="M226" s="49"/>
      <c r="N226" s="49"/>
      <c r="O226" s="49"/>
      <c r="P226" s="49"/>
      <c r="Q226" s="49"/>
      <c r="R226" s="49"/>
      <c r="S226" s="49"/>
      <c r="T226" s="49"/>
      <c r="U226" s="49"/>
      <c r="V226" s="49"/>
      <c r="W226" s="49"/>
      <c r="X226" s="49"/>
      <c r="AD226" s="49"/>
      <c r="AE226" s="49"/>
      <c r="AF226" s="49"/>
    </row>
    <row r="227" spans="9:32" hidden="1" x14ac:dyDescent="0.25">
      <c r="I227" s="49"/>
      <c r="J227" s="49"/>
      <c r="K227" s="49"/>
      <c r="L227" s="49"/>
      <c r="M227" s="49"/>
      <c r="N227" s="49"/>
      <c r="O227" s="49"/>
      <c r="P227" s="49"/>
      <c r="Q227" s="49"/>
      <c r="R227" s="49"/>
      <c r="S227" s="49"/>
      <c r="T227" s="49"/>
      <c r="U227" s="49"/>
      <c r="V227" s="49"/>
      <c r="W227" s="49"/>
      <c r="X227" s="49"/>
      <c r="AD227" s="49"/>
      <c r="AE227" s="49"/>
      <c r="AF227" s="49"/>
    </row>
    <row r="228" spans="9:32" hidden="1" x14ac:dyDescent="0.25">
      <c r="I228" s="49"/>
      <c r="J228" s="49"/>
      <c r="K228" s="49"/>
      <c r="L228" s="49"/>
      <c r="M228" s="49"/>
      <c r="N228" s="49"/>
      <c r="O228" s="49"/>
      <c r="P228" s="49"/>
      <c r="Q228" s="49"/>
      <c r="R228" s="49"/>
      <c r="S228" s="49"/>
      <c r="T228" s="49"/>
      <c r="U228" s="49"/>
      <c r="V228" s="49"/>
      <c r="W228" s="49"/>
      <c r="X228" s="49"/>
      <c r="AD228" s="49"/>
      <c r="AE228" s="49"/>
      <c r="AF228" s="49"/>
    </row>
    <row r="229" spans="9:32" hidden="1" x14ac:dyDescent="0.25">
      <c r="I229" s="49"/>
      <c r="J229" s="49"/>
      <c r="K229" s="49"/>
      <c r="L229" s="49"/>
      <c r="M229" s="49"/>
      <c r="N229" s="49"/>
      <c r="O229" s="49"/>
      <c r="P229" s="49"/>
      <c r="Q229" s="49"/>
      <c r="R229" s="49"/>
      <c r="S229" s="49"/>
      <c r="T229" s="49"/>
      <c r="U229" s="49"/>
      <c r="V229" s="49"/>
      <c r="W229" s="49"/>
      <c r="X229" s="49"/>
      <c r="AD229" s="49"/>
      <c r="AE229" s="49"/>
      <c r="AF229" s="49"/>
    </row>
    <row r="230" spans="9:32" hidden="1" x14ac:dyDescent="0.25">
      <c r="I230" s="49"/>
      <c r="J230" s="49"/>
      <c r="K230" s="49"/>
      <c r="L230" s="49"/>
      <c r="M230" s="49"/>
      <c r="N230" s="49"/>
      <c r="O230" s="49"/>
      <c r="P230" s="49"/>
      <c r="Q230" s="49"/>
      <c r="R230" s="49"/>
      <c r="S230" s="49"/>
      <c r="T230" s="49"/>
      <c r="U230" s="49"/>
      <c r="V230" s="49"/>
      <c r="W230" s="49"/>
      <c r="X230" s="49"/>
      <c r="AD230" s="49"/>
      <c r="AE230" s="49"/>
      <c r="AF230" s="49"/>
    </row>
    <row r="231" spans="9:32" hidden="1" x14ac:dyDescent="0.25">
      <c r="I231" s="49"/>
      <c r="J231" s="49"/>
      <c r="K231" s="49"/>
      <c r="L231" s="49"/>
      <c r="M231" s="49"/>
      <c r="N231" s="49"/>
      <c r="O231" s="49"/>
      <c r="P231" s="49"/>
      <c r="Q231" s="49"/>
      <c r="R231" s="49"/>
      <c r="S231" s="49"/>
      <c r="T231" s="49"/>
      <c r="U231" s="49"/>
      <c r="V231" s="49"/>
      <c r="W231" s="49"/>
      <c r="X231" s="49"/>
      <c r="AD231" s="49"/>
      <c r="AE231" s="49"/>
      <c r="AF231" s="49"/>
    </row>
    <row r="232" spans="9:32" hidden="1" x14ac:dyDescent="0.25">
      <c r="I232" s="49"/>
      <c r="J232" s="49"/>
      <c r="K232" s="49"/>
      <c r="L232" s="49"/>
      <c r="M232" s="49"/>
      <c r="N232" s="49"/>
      <c r="O232" s="49"/>
      <c r="P232" s="49"/>
      <c r="Q232" s="49"/>
      <c r="R232" s="49"/>
      <c r="S232" s="49"/>
      <c r="T232" s="49"/>
      <c r="U232" s="49"/>
      <c r="V232" s="49"/>
      <c r="W232" s="49"/>
      <c r="X232" s="49"/>
      <c r="AD232" s="49"/>
      <c r="AE232" s="49"/>
      <c r="AF232" s="49"/>
    </row>
    <row r="233" spans="9:32" hidden="1" x14ac:dyDescent="0.25">
      <c r="I233" s="49"/>
      <c r="J233" s="49"/>
      <c r="K233" s="49"/>
      <c r="L233" s="49"/>
      <c r="M233" s="49"/>
      <c r="N233" s="49"/>
      <c r="O233" s="49"/>
      <c r="P233" s="49"/>
      <c r="Q233" s="49"/>
      <c r="R233" s="49"/>
      <c r="S233" s="49"/>
      <c r="T233" s="49"/>
      <c r="U233" s="49"/>
      <c r="V233" s="49"/>
      <c r="W233" s="49"/>
      <c r="X233" s="49"/>
      <c r="AD233" s="49"/>
      <c r="AE233" s="49"/>
      <c r="AF233" s="49"/>
    </row>
    <row r="234" spans="9:32" hidden="1" x14ac:dyDescent="0.25">
      <c r="I234" s="49"/>
      <c r="J234" s="49"/>
      <c r="K234" s="49"/>
      <c r="L234" s="49"/>
      <c r="M234" s="49"/>
      <c r="N234" s="49"/>
      <c r="O234" s="49"/>
      <c r="P234" s="49"/>
      <c r="Q234" s="49"/>
      <c r="R234" s="49"/>
      <c r="S234" s="49"/>
      <c r="T234" s="49"/>
      <c r="U234" s="49"/>
      <c r="V234" s="49"/>
      <c r="W234" s="49"/>
      <c r="X234" s="49"/>
      <c r="AD234" s="49"/>
      <c r="AE234" s="49"/>
      <c r="AF234" s="49"/>
    </row>
    <row r="235" spans="9:32" hidden="1" x14ac:dyDescent="0.25">
      <c r="I235" s="49"/>
      <c r="J235" s="49"/>
      <c r="K235" s="49"/>
      <c r="L235" s="49"/>
      <c r="M235" s="49"/>
      <c r="N235" s="49"/>
      <c r="O235" s="49"/>
      <c r="P235" s="49"/>
      <c r="Q235" s="49"/>
      <c r="R235" s="49"/>
      <c r="S235" s="49"/>
      <c r="T235" s="49"/>
      <c r="U235" s="49"/>
      <c r="V235" s="49"/>
      <c r="W235" s="49"/>
      <c r="X235" s="49"/>
      <c r="AD235" s="49"/>
      <c r="AE235" s="49"/>
      <c r="AF235" s="49"/>
    </row>
    <row r="236" spans="9:32" hidden="1" x14ac:dyDescent="0.25">
      <c r="I236" s="49"/>
      <c r="J236" s="49"/>
      <c r="K236" s="49"/>
      <c r="L236" s="49"/>
      <c r="M236" s="49"/>
      <c r="N236" s="49"/>
      <c r="O236" s="49"/>
      <c r="P236" s="49"/>
      <c r="Q236" s="49"/>
      <c r="R236" s="49"/>
      <c r="S236" s="49"/>
      <c r="T236" s="49"/>
      <c r="U236" s="49"/>
      <c r="V236" s="49"/>
      <c r="W236" s="49"/>
      <c r="X236" s="49"/>
      <c r="AD236" s="49"/>
      <c r="AE236" s="49"/>
      <c r="AF236" s="49"/>
    </row>
    <row r="237" spans="9:32" hidden="1" x14ac:dyDescent="0.25">
      <c r="I237" s="49"/>
      <c r="J237" s="49"/>
      <c r="K237" s="49"/>
      <c r="L237" s="49"/>
      <c r="M237" s="49"/>
      <c r="N237" s="49"/>
      <c r="O237" s="49"/>
      <c r="P237" s="49"/>
      <c r="Q237" s="49"/>
      <c r="R237" s="49"/>
      <c r="S237" s="49"/>
      <c r="T237" s="49"/>
      <c r="U237" s="49"/>
      <c r="V237" s="49"/>
      <c r="W237" s="49"/>
      <c r="X237" s="49"/>
      <c r="AD237" s="49"/>
      <c r="AE237" s="49"/>
      <c r="AF237" s="49"/>
    </row>
    <row r="238" spans="9:32" hidden="1" x14ac:dyDescent="0.25">
      <c r="I238" s="49"/>
      <c r="J238" s="49"/>
      <c r="K238" s="49"/>
      <c r="L238" s="49"/>
      <c r="M238" s="49"/>
      <c r="N238" s="49"/>
      <c r="O238" s="49"/>
      <c r="P238" s="49"/>
      <c r="Q238" s="49"/>
      <c r="R238" s="49"/>
      <c r="S238" s="49"/>
      <c r="T238" s="49"/>
      <c r="U238" s="49"/>
      <c r="V238" s="49"/>
      <c r="W238" s="49"/>
      <c r="X238" s="49"/>
      <c r="AD238" s="49"/>
      <c r="AE238" s="49"/>
      <c r="AF238" s="49"/>
    </row>
    <row r="239" spans="9:32" hidden="1" x14ac:dyDescent="0.25">
      <c r="I239" s="49"/>
      <c r="J239" s="49"/>
      <c r="K239" s="49"/>
      <c r="L239" s="49"/>
      <c r="M239" s="49"/>
      <c r="N239" s="49"/>
      <c r="O239" s="49"/>
      <c r="P239" s="49"/>
      <c r="Q239" s="49"/>
      <c r="R239" s="49"/>
      <c r="S239" s="49"/>
      <c r="T239" s="49"/>
      <c r="U239" s="49"/>
      <c r="V239" s="49"/>
      <c r="W239" s="49"/>
      <c r="X239" s="49"/>
      <c r="AD239" s="49"/>
      <c r="AE239" s="49"/>
      <c r="AF239" s="49"/>
    </row>
    <row r="240" spans="9:32" hidden="1" x14ac:dyDescent="0.25">
      <c r="I240" s="49"/>
      <c r="J240" s="49"/>
      <c r="K240" s="49"/>
      <c r="L240" s="49"/>
      <c r="M240" s="49"/>
      <c r="N240" s="49"/>
      <c r="O240" s="49"/>
      <c r="P240" s="49"/>
      <c r="Q240" s="49"/>
      <c r="R240" s="49"/>
      <c r="S240" s="49"/>
      <c r="T240" s="49"/>
      <c r="U240" s="49"/>
      <c r="V240" s="49"/>
      <c r="W240" s="49"/>
      <c r="X240" s="49"/>
      <c r="AD240" s="49"/>
      <c r="AE240" s="49"/>
      <c r="AF240" s="49"/>
    </row>
    <row r="241" spans="9:32" hidden="1" x14ac:dyDescent="0.25">
      <c r="I241" s="49"/>
      <c r="J241" s="49"/>
      <c r="K241" s="49"/>
      <c r="L241" s="49"/>
      <c r="M241" s="49"/>
      <c r="N241" s="49"/>
      <c r="O241" s="49"/>
      <c r="P241" s="49"/>
      <c r="Q241" s="49"/>
      <c r="R241" s="49"/>
      <c r="S241" s="49"/>
      <c r="T241" s="49"/>
      <c r="U241" s="49"/>
      <c r="V241" s="49"/>
      <c r="W241" s="49"/>
      <c r="X241" s="49"/>
      <c r="AD241" s="49"/>
      <c r="AE241" s="49"/>
      <c r="AF241" s="49"/>
    </row>
    <row r="242" spans="9:32" hidden="1" x14ac:dyDescent="0.25">
      <c r="I242" s="49"/>
      <c r="J242" s="49"/>
      <c r="K242" s="49"/>
      <c r="L242" s="49"/>
      <c r="M242" s="49"/>
      <c r="N242" s="49"/>
      <c r="O242" s="49"/>
      <c r="P242" s="49"/>
      <c r="Q242" s="49"/>
      <c r="R242" s="49"/>
      <c r="S242" s="49"/>
      <c r="T242" s="49"/>
      <c r="U242" s="49"/>
      <c r="V242" s="49"/>
      <c r="W242" s="49"/>
      <c r="X242" s="49"/>
      <c r="AD242" s="49"/>
      <c r="AE242" s="49"/>
      <c r="AF242" s="49"/>
    </row>
    <row r="243" spans="9:32" hidden="1" x14ac:dyDescent="0.25">
      <c r="I243" s="49"/>
      <c r="J243" s="49"/>
      <c r="K243" s="49"/>
      <c r="L243" s="49"/>
      <c r="M243" s="49"/>
      <c r="N243" s="49"/>
      <c r="O243" s="49"/>
      <c r="P243" s="49"/>
      <c r="Q243" s="49"/>
      <c r="R243" s="49"/>
      <c r="S243" s="49"/>
      <c r="T243" s="49"/>
      <c r="U243" s="49"/>
      <c r="V243" s="49"/>
      <c r="W243" s="49"/>
      <c r="X243" s="49"/>
      <c r="AD243" s="49"/>
      <c r="AE243" s="49"/>
      <c r="AF243" s="49"/>
    </row>
    <row r="244" spans="9:32" hidden="1" x14ac:dyDescent="0.25">
      <c r="I244" s="49"/>
      <c r="J244" s="49"/>
      <c r="K244" s="49"/>
      <c r="L244" s="49"/>
      <c r="M244" s="49"/>
      <c r="N244" s="49"/>
      <c r="O244" s="49"/>
      <c r="P244" s="49"/>
      <c r="Q244" s="49"/>
      <c r="R244" s="49"/>
      <c r="S244" s="49"/>
      <c r="T244" s="49"/>
      <c r="U244" s="49"/>
      <c r="V244" s="49"/>
      <c r="W244" s="49"/>
      <c r="X244" s="49"/>
      <c r="AD244" s="49"/>
      <c r="AE244" s="49"/>
      <c r="AF244" s="49"/>
    </row>
    <row r="245" spans="9:32" hidden="1" x14ac:dyDescent="0.25">
      <c r="I245" s="49"/>
      <c r="J245" s="49"/>
      <c r="K245" s="49"/>
      <c r="L245" s="49"/>
      <c r="M245" s="49"/>
      <c r="N245" s="49"/>
      <c r="O245" s="49"/>
      <c r="P245" s="49"/>
      <c r="Q245" s="49"/>
      <c r="R245" s="49"/>
      <c r="S245" s="49"/>
      <c r="T245" s="49"/>
      <c r="U245" s="49"/>
      <c r="V245" s="49"/>
      <c r="W245" s="49"/>
      <c r="X245" s="49"/>
      <c r="AD245" s="49"/>
      <c r="AE245" s="49"/>
      <c r="AF245" s="49"/>
    </row>
    <row r="246" spans="9:32" hidden="1" x14ac:dyDescent="0.25">
      <c r="I246" s="49"/>
      <c r="J246" s="49"/>
      <c r="K246" s="49"/>
      <c r="L246" s="49"/>
      <c r="M246" s="49"/>
      <c r="N246" s="49"/>
      <c r="O246" s="49"/>
      <c r="P246" s="49"/>
      <c r="Q246" s="49"/>
      <c r="R246" s="49"/>
      <c r="S246" s="49"/>
      <c r="T246" s="49"/>
      <c r="U246" s="49"/>
      <c r="V246" s="49"/>
      <c r="W246" s="49"/>
      <c r="X246" s="49"/>
      <c r="AD246" s="49"/>
      <c r="AE246" s="49"/>
      <c r="AF246" s="49"/>
    </row>
    <row r="247" spans="9:32" hidden="1" x14ac:dyDescent="0.25">
      <c r="I247" s="49"/>
      <c r="J247" s="49"/>
      <c r="K247" s="49"/>
      <c r="L247" s="49"/>
      <c r="M247" s="49"/>
      <c r="N247" s="49"/>
      <c r="O247" s="49"/>
      <c r="P247" s="49"/>
      <c r="Q247" s="49"/>
      <c r="R247" s="49"/>
      <c r="S247" s="49"/>
      <c r="T247" s="49"/>
      <c r="U247" s="49"/>
      <c r="V247" s="49"/>
      <c r="W247" s="49"/>
      <c r="X247" s="49"/>
      <c r="AD247" s="49"/>
      <c r="AE247" s="49"/>
      <c r="AF247" s="49"/>
    </row>
    <row r="248" spans="9:32" hidden="1" x14ac:dyDescent="0.25">
      <c r="I248" s="49"/>
      <c r="J248" s="49"/>
      <c r="K248" s="49"/>
      <c r="L248" s="49"/>
      <c r="M248" s="49"/>
      <c r="N248" s="49"/>
      <c r="O248" s="49"/>
      <c r="P248" s="49"/>
      <c r="Q248" s="49"/>
      <c r="R248" s="49"/>
      <c r="S248" s="49"/>
      <c r="T248" s="49"/>
      <c r="U248" s="49"/>
      <c r="V248" s="49"/>
      <c r="W248" s="49"/>
      <c r="X248" s="49"/>
      <c r="AD248" s="49"/>
      <c r="AE248" s="49"/>
      <c r="AF248" s="49"/>
    </row>
    <row r="249" spans="9:32" hidden="1" x14ac:dyDescent="0.25">
      <c r="I249" s="49"/>
      <c r="J249" s="49"/>
      <c r="K249" s="49"/>
      <c r="L249" s="49"/>
      <c r="M249" s="49"/>
      <c r="N249" s="49"/>
      <c r="O249" s="49"/>
      <c r="P249" s="49"/>
      <c r="Q249" s="49"/>
      <c r="R249" s="49"/>
      <c r="S249" s="49"/>
      <c r="T249" s="49"/>
      <c r="U249" s="49"/>
      <c r="V249" s="49"/>
      <c r="W249" s="49"/>
      <c r="X249" s="49"/>
      <c r="AD249" s="49"/>
      <c r="AE249" s="49"/>
      <c r="AF249" s="49"/>
    </row>
    <row r="250" spans="9:32" hidden="1" x14ac:dyDescent="0.25">
      <c r="I250" s="49"/>
      <c r="J250" s="49"/>
      <c r="K250" s="49"/>
      <c r="L250" s="49"/>
      <c r="M250" s="49"/>
      <c r="N250" s="49"/>
      <c r="O250" s="49"/>
      <c r="P250" s="49"/>
      <c r="Q250" s="49"/>
      <c r="R250" s="49"/>
      <c r="S250" s="49"/>
      <c r="T250" s="49"/>
      <c r="U250" s="49"/>
      <c r="V250" s="49"/>
      <c r="W250" s="49"/>
      <c r="X250" s="49"/>
      <c r="AD250" s="49"/>
      <c r="AE250" s="49"/>
      <c r="AF250" s="49"/>
    </row>
    <row r="251" spans="9:32" hidden="1" x14ac:dyDescent="0.25">
      <c r="I251" s="49"/>
      <c r="J251" s="49"/>
      <c r="K251" s="49"/>
      <c r="L251" s="49"/>
      <c r="M251" s="49"/>
      <c r="N251" s="49"/>
      <c r="O251" s="49"/>
      <c r="P251" s="49"/>
      <c r="Q251" s="49"/>
      <c r="R251" s="49"/>
      <c r="S251" s="49"/>
      <c r="T251" s="49"/>
      <c r="U251" s="49"/>
      <c r="V251" s="49"/>
      <c r="W251" s="49"/>
      <c r="X251" s="49"/>
      <c r="AD251" s="49"/>
      <c r="AE251" s="49"/>
      <c r="AF251" s="49"/>
    </row>
    <row r="252" spans="9:32" hidden="1" x14ac:dyDescent="0.25">
      <c r="I252" s="49"/>
      <c r="J252" s="49"/>
      <c r="K252" s="49"/>
      <c r="L252" s="49"/>
      <c r="M252" s="49"/>
      <c r="N252" s="49"/>
      <c r="O252" s="49"/>
      <c r="P252" s="49"/>
      <c r="Q252" s="49"/>
      <c r="R252" s="49"/>
      <c r="S252" s="49"/>
      <c r="T252" s="49"/>
      <c r="U252" s="49"/>
      <c r="V252" s="49"/>
      <c r="W252" s="49"/>
      <c r="X252" s="49"/>
      <c r="AD252" s="49"/>
      <c r="AE252" s="49"/>
      <c r="AF252" s="49"/>
    </row>
    <row r="253" spans="9:32" hidden="1" x14ac:dyDescent="0.25">
      <c r="I253" s="49"/>
      <c r="J253" s="49"/>
      <c r="K253" s="49"/>
      <c r="L253" s="49"/>
      <c r="M253" s="49"/>
      <c r="N253" s="49"/>
      <c r="O253" s="49"/>
      <c r="P253" s="49"/>
      <c r="Q253" s="49"/>
      <c r="R253" s="49"/>
      <c r="S253" s="49"/>
      <c r="T253" s="49"/>
      <c r="U253" s="49"/>
      <c r="V253" s="49"/>
      <c r="W253" s="49"/>
      <c r="X253" s="49"/>
      <c r="AD253" s="49"/>
      <c r="AE253" s="49"/>
      <c r="AF253" s="49"/>
    </row>
    <row r="254" spans="9:32" hidden="1" x14ac:dyDescent="0.25">
      <c r="I254" s="49"/>
      <c r="J254" s="49"/>
      <c r="K254" s="49"/>
      <c r="L254" s="49"/>
      <c r="M254" s="49"/>
      <c r="N254" s="49"/>
      <c r="O254" s="49"/>
      <c r="P254" s="49"/>
      <c r="Q254" s="49"/>
      <c r="R254" s="49"/>
      <c r="S254" s="49"/>
      <c r="T254" s="49"/>
      <c r="U254" s="49"/>
      <c r="V254" s="49"/>
      <c r="W254" s="49"/>
      <c r="X254" s="49"/>
      <c r="AD254" s="49"/>
      <c r="AE254" s="49"/>
      <c r="AF254" s="49"/>
    </row>
    <row r="255" spans="9:32" hidden="1" x14ac:dyDescent="0.25">
      <c r="I255" s="49"/>
      <c r="J255" s="49"/>
      <c r="K255" s="49"/>
      <c r="L255" s="49"/>
      <c r="M255" s="49"/>
      <c r="N255" s="49"/>
      <c r="O255" s="49"/>
      <c r="P255" s="49"/>
      <c r="Q255" s="49"/>
      <c r="R255" s="49"/>
      <c r="S255" s="49"/>
      <c r="T255" s="49"/>
      <c r="U255" s="49"/>
      <c r="V255" s="49"/>
      <c r="W255" s="49"/>
      <c r="X255" s="49"/>
      <c r="AD255" s="49"/>
      <c r="AE255" s="49"/>
      <c r="AF255" s="49"/>
    </row>
    <row r="256" spans="9:32" hidden="1" x14ac:dyDescent="0.25">
      <c r="I256" s="49"/>
      <c r="J256" s="49"/>
      <c r="K256" s="49"/>
      <c r="L256" s="49"/>
      <c r="M256" s="49"/>
      <c r="N256" s="49"/>
      <c r="O256" s="49"/>
      <c r="P256" s="49"/>
      <c r="Q256" s="49"/>
      <c r="R256" s="49"/>
      <c r="S256" s="49"/>
      <c r="T256" s="49"/>
      <c r="U256" s="49"/>
      <c r="V256" s="49"/>
      <c r="W256" s="49"/>
      <c r="X256" s="49"/>
      <c r="AD256" s="49"/>
      <c r="AE256" s="49"/>
      <c r="AF256" s="49"/>
    </row>
    <row r="257" spans="9:32" hidden="1" x14ac:dyDescent="0.25">
      <c r="I257" s="49"/>
      <c r="J257" s="49"/>
      <c r="K257" s="49"/>
      <c r="L257" s="49"/>
      <c r="M257" s="49"/>
      <c r="N257" s="49"/>
      <c r="O257" s="49"/>
      <c r="P257" s="49"/>
      <c r="Q257" s="49"/>
      <c r="R257" s="49"/>
      <c r="S257" s="49"/>
      <c r="T257" s="49"/>
      <c r="U257" s="49"/>
      <c r="V257" s="49"/>
      <c r="W257" s="49"/>
      <c r="X257" s="49"/>
      <c r="AD257" s="49"/>
      <c r="AE257" s="49"/>
      <c r="AF257" s="49"/>
    </row>
    <row r="258" spans="9:32" hidden="1" x14ac:dyDescent="0.25">
      <c r="I258" s="49"/>
      <c r="J258" s="49"/>
      <c r="K258" s="49"/>
      <c r="L258" s="49"/>
      <c r="M258" s="49"/>
      <c r="N258" s="49"/>
      <c r="O258" s="49"/>
      <c r="P258" s="49"/>
      <c r="Q258" s="49"/>
      <c r="R258" s="49"/>
      <c r="S258" s="49"/>
      <c r="T258" s="49"/>
      <c r="U258" s="49"/>
      <c r="V258" s="49"/>
      <c r="W258" s="49"/>
      <c r="X258" s="49"/>
      <c r="AD258" s="49"/>
      <c r="AE258" s="49"/>
      <c r="AF258" s="49"/>
    </row>
    <row r="259" spans="9:32" hidden="1" x14ac:dyDescent="0.25">
      <c r="I259" s="49"/>
      <c r="J259" s="49"/>
      <c r="K259" s="49"/>
      <c r="L259" s="49"/>
      <c r="M259" s="49"/>
      <c r="N259" s="49"/>
      <c r="O259" s="49"/>
      <c r="P259" s="49"/>
      <c r="Q259" s="49"/>
      <c r="R259" s="49"/>
      <c r="S259" s="49"/>
      <c r="T259" s="49"/>
      <c r="U259" s="49"/>
      <c r="V259" s="49"/>
      <c r="W259" s="49"/>
      <c r="X259" s="49"/>
      <c r="AD259" s="49"/>
      <c r="AE259" s="49"/>
      <c r="AF259" s="49"/>
    </row>
    <row r="260" spans="9:32" hidden="1" x14ac:dyDescent="0.25">
      <c r="I260" s="49"/>
      <c r="J260" s="49"/>
      <c r="K260" s="49"/>
      <c r="L260" s="49"/>
      <c r="M260" s="49"/>
      <c r="N260" s="49"/>
      <c r="O260" s="49"/>
      <c r="P260" s="49"/>
      <c r="Q260" s="49"/>
      <c r="R260" s="49"/>
      <c r="S260" s="49"/>
      <c r="T260" s="49"/>
      <c r="U260" s="49"/>
      <c r="V260" s="49"/>
      <c r="W260" s="49"/>
      <c r="X260" s="49"/>
      <c r="AD260" s="49"/>
      <c r="AE260" s="49"/>
      <c r="AF260" s="49"/>
    </row>
    <row r="261" spans="9:32" hidden="1" x14ac:dyDescent="0.25">
      <c r="I261" s="49"/>
      <c r="J261" s="49"/>
      <c r="K261" s="49"/>
      <c r="L261" s="49"/>
      <c r="M261" s="49"/>
      <c r="N261" s="49"/>
      <c r="O261" s="49"/>
      <c r="P261" s="49"/>
      <c r="Q261" s="49"/>
      <c r="R261" s="49"/>
      <c r="S261" s="49"/>
      <c r="T261" s="49"/>
      <c r="U261" s="49"/>
      <c r="V261" s="49"/>
      <c r="W261" s="49"/>
      <c r="X261" s="49"/>
      <c r="AD261" s="49"/>
      <c r="AE261" s="49"/>
      <c r="AF261" s="49"/>
    </row>
    <row r="262" spans="9:32" hidden="1" x14ac:dyDescent="0.25">
      <c r="I262" s="49"/>
      <c r="J262" s="49"/>
      <c r="K262" s="49"/>
      <c r="L262" s="49"/>
      <c r="M262" s="49"/>
      <c r="N262" s="49"/>
      <c r="O262" s="49"/>
      <c r="P262" s="49"/>
      <c r="Q262" s="49"/>
      <c r="R262" s="49"/>
      <c r="S262" s="49"/>
      <c r="T262" s="49"/>
      <c r="U262" s="49"/>
      <c r="V262" s="49"/>
      <c r="W262" s="49"/>
      <c r="X262" s="49"/>
      <c r="AD262" s="49"/>
      <c r="AE262" s="49"/>
      <c r="AF262" s="49"/>
    </row>
    <row r="263" spans="9:32" hidden="1" x14ac:dyDescent="0.25">
      <c r="I263" s="49"/>
      <c r="J263" s="49"/>
      <c r="K263" s="49"/>
      <c r="L263" s="49"/>
      <c r="M263" s="49"/>
      <c r="N263" s="49"/>
      <c r="O263" s="49"/>
      <c r="P263" s="49"/>
      <c r="Q263" s="49"/>
      <c r="R263" s="49"/>
      <c r="S263" s="49"/>
      <c r="T263" s="49"/>
      <c r="U263" s="49"/>
      <c r="V263" s="49"/>
      <c r="W263" s="49"/>
      <c r="X263" s="49"/>
      <c r="AD263" s="49"/>
      <c r="AE263" s="49"/>
      <c r="AF263" s="49"/>
    </row>
  </sheetData>
  <mergeCells count="327">
    <mergeCell ref="T57:T60"/>
    <mergeCell ref="T61:T64"/>
    <mergeCell ref="T65:T68"/>
    <mergeCell ref="T69:T72"/>
    <mergeCell ref="T21:T24"/>
    <mergeCell ref="T25:T28"/>
    <mergeCell ref="T29:T32"/>
    <mergeCell ref="T33:T36"/>
    <mergeCell ref="T37:T40"/>
    <mergeCell ref="T41:T44"/>
    <mergeCell ref="T45:T48"/>
    <mergeCell ref="T49:T52"/>
    <mergeCell ref="T53:T56"/>
    <mergeCell ref="P49:P52"/>
    <mergeCell ref="P53:P56"/>
    <mergeCell ref="P57:P60"/>
    <mergeCell ref="P61:P64"/>
    <mergeCell ref="P65:P68"/>
    <mergeCell ref="P69:P72"/>
    <mergeCell ref="R11:T11"/>
    <mergeCell ref="S13:S16"/>
    <mergeCell ref="T13:T16"/>
    <mergeCell ref="S17:S20"/>
    <mergeCell ref="S21:S24"/>
    <mergeCell ref="S25:S28"/>
    <mergeCell ref="S29:S32"/>
    <mergeCell ref="S33:S36"/>
    <mergeCell ref="S37:S40"/>
    <mergeCell ref="S41:S44"/>
    <mergeCell ref="S45:S48"/>
    <mergeCell ref="S49:S52"/>
    <mergeCell ref="S53:S56"/>
    <mergeCell ref="S57:S60"/>
    <mergeCell ref="S61:S64"/>
    <mergeCell ref="S65:S68"/>
    <mergeCell ref="S69:S72"/>
    <mergeCell ref="T17:T20"/>
    <mergeCell ref="P13:P16"/>
    <mergeCell ref="P17:P20"/>
    <mergeCell ref="P21:P24"/>
    <mergeCell ref="P25:P28"/>
    <mergeCell ref="P29:P32"/>
    <mergeCell ref="P33:P36"/>
    <mergeCell ref="P37:P40"/>
    <mergeCell ref="P41:P44"/>
    <mergeCell ref="P45:P48"/>
    <mergeCell ref="N65:N68"/>
    <mergeCell ref="N69:N72"/>
    <mergeCell ref="O13:O16"/>
    <mergeCell ref="O17:O20"/>
    <mergeCell ref="O21:O24"/>
    <mergeCell ref="O25:O28"/>
    <mergeCell ref="O29:O32"/>
    <mergeCell ref="O33:O36"/>
    <mergeCell ref="O37:O40"/>
    <mergeCell ref="O41:O44"/>
    <mergeCell ref="O45:O48"/>
    <mergeCell ref="O49:O52"/>
    <mergeCell ref="O53:O56"/>
    <mergeCell ref="O57:O60"/>
    <mergeCell ref="O61:O64"/>
    <mergeCell ref="O65:O68"/>
    <mergeCell ref="O69:O72"/>
    <mergeCell ref="K69:K72"/>
    <mergeCell ref="M13:M16"/>
    <mergeCell ref="M17:M20"/>
    <mergeCell ref="M21:M24"/>
    <mergeCell ref="M25:M28"/>
    <mergeCell ref="M29:M32"/>
    <mergeCell ref="M33:M36"/>
    <mergeCell ref="M37:M40"/>
    <mergeCell ref="M41:M44"/>
    <mergeCell ref="J69:J72"/>
    <mergeCell ref="K11:K12"/>
    <mergeCell ref="M11:O11"/>
    <mergeCell ref="P11:Q11"/>
    <mergeCell ref="M45:M48"/>
    <mergeCell ref="M49:M52"/>
    <mergeCell ref="M53:M56"/>
    <mergeCell ref="M57:M60"/>
    <mergeCell ref="M61:M64"/>
    <mergeCell ref="M65:M68"/>
    <mergeCell ref="M69:M72"/>
    <mergeCell ref="K13:K16"/>
    <mergeCell ref="K17:K20"/>
    <mergeCell ref="K21:K24"/>
    <mergeCell ref="K25:K28"/>
    <mergeCell ref="K29:K32"/>
    <mergeCell ref="K33:K36"/>
    <mergeCell ref="K37:K40"/>
    <mergeCell ref="K41:K44"/>
    <mergeCell ref="K45:K48"/>
    <mergeCell ref="K49:K52"/>
    <mergeCell ref="K53:K56"/>
    <mergeCell ref="K57:K60"/>
    <mergeCell ref="Q65:Q68"/>
    <mergeCell ref="J49:J52"/>
    <mergeCell ref="J53:J56"/>
    <mergeCell ref="J57:J60"/>
    <mergeCell ref="J61:J64"/>
    <mergeCell ref="J65:J68"/>
    <mergeCell ref="K61:K64"/>
    <mergeCell ref="K65:K68"/>
    <mergeCell ref="J10:Q10"/>
    <mergeCell ref="J11:J12"/>
    <mergeCell ref="J13:J16"/>
    <mergeCell ref="J17:J20"/>
    <mergeCell ref="J21:J24"/>
    <mergeCell ref="J25:J28"/>
    <mergeCell ref="J29:J32"/>
    <mergeCell ref="J33:J36"/>
    <mergeCell ref="J37:J40"/>
    <mergeCell ref="N13:N16"/>
    <mergeCell ref="N17:N20"/>
    <mergeCell ref="N21:N24"/>
    <mergeCell ref="N25:N28"/>
    <mergeCell ref="N29:N32"/>
    <mergeCell ref="N49:N52"/>
    <mergeCell ref="N53:N56"/>
    <mergeCell ref="N57:N60"/>
    <mergeCell ref="B11:B12"/>
    <mergeCell ref="D65:D68"/>
    <mergeCell ref="D69:D72"/>
    <mergeCell ref="AB13:AB72"/>
    <mergeCell ref="B61:B64"/>
    <mergeCell ref="B65:B68"/>
    <mergeCell ref="C65:C68"/>
    <mergeCell ref="F65:F68"/>
    <mergeCell ref="B41:B44"/>
    <mergeCell ref="B45:B48"/>
    <mergeCell ref="R65:R68"/>
    <mergeCell ref="B69:B72"/>
    <mergeCell ref="C69:C72"/>
    <mergeCell ref="F69:F72"/>
    <mergeCell ref="G69:G72"/>
    <mergeCell ref="H69:H72"/>
    <mergeCell ref="I69:I72"/>
    <mergeCell ref="L69:L72"/>
    <mergeCell ref="Q69:Q72"/>
    <mergeCell ref="R69:R72"/>
    <mergeCell ref="G65:G68"/>
    <mergeCell ref="H65:H68"/>
    <mergeCell ref="I65:I68"/>
    <mergeCell ref="L65:L68"/>
    <mergeCell ref="D49:D52"/>
    <mergeCell ref="E25:E28"/>
    <mergeCell ref="E29:E32"/>
    <mergeCell ref="B49:B52"/>
    <mergeCell ref="B53:B56"/>
    <mergeCell ref="B57:B60"/>
    <mergeCell ref="B21:B24"/>
    <mergeCell ref="B25:B28"/>
    <mergeCell ref="B29:B32"/>
    <mergeCell ref="B33:B36"/>
    <mergeCell ref="B37:B40"/>
    <mergeCell ref="D11:D12"/>
    <mergeCell ref="D13:D16"/>
    <mergeCell ref="D17:D20"/>
    <mergeCell ref="D21:D24"/>
    <mergeCell ref="D25:D28"/>
    <mergeCell ref="D29:D32"/>
    <mergeCell ref="D33:D36"/>
    <mergeCell ref="D37:D40"/>
    <mergeCell ref="D41:D44"/>
    <mergeCell ref="R53:R56"/>
    <mergeCell ref="C49:C52"/>
    <mergeCell ref="F49:F52"/>
    <mergeCell ref="G49:G52"/>
    <mergeCell ref="H49:H52"/>
    <mergeCell ref="I49:I52"/>
    <mergeCell ref="L49:L52"/>
    <mergeCell ref="Q49:Q52"/>
    <mergeCell ref="Q57:Q60"/>
    <mergeCell ref="C53:C56"/>
    <mergeCell ref="F53:F56"/>
    <mergeCell ref="G53:G56"/>
    <mergeCell ref="H53:H56"/>
    <mergeCell ref="I53:I56"/>
    <mergeCell ref="L53:L56"/>
    <mergeCell ref="Q53:Q56"/>
    <mergeCell ref="R57:R60"/>
    <mergeCell ref="R49:R52"/>
    <mergeCell ref="D53:D56"/>
    <mergeCell ref="D57:D60"/>
    <mergeCell ref="E49:E52"/>
    <mergeCell ref="E53:E56"/>
    <mergeCell ref="I57:I60"/>
    <mergeCell ref="L57:L60"/>
    <mergeCell ref="C61:C64"/>
    <mergeCell ref="F61:F64"/>
    <mergeCell ref="G61:G64"/>
    <mergeCell ref="H61:H64"/>
    <mergeCell ref="I61:I64"/>
    <mergeCell ref="L61:L64"/>
    <mergeCell ref="Q61:Q64"/>
    <mergeCell ref="R61:R64"/>
    <mergeCell ref="C57:C60"/>
    <mergeCell ref="F57:F60"/>
    <mergeCell ref="G57:G60"/>
    <mergeCell ref="H57:H60"/>
    <mergeCell ref="D61:D64"/>
    <mergeCell ref="E57:E60"/>
    <mergeCell ref="E61:E64"/>
    <mergeCell ref="N61:N64"/>
    <mergeCell ref="R41:R44"/>
    <mergeCell ref="C45:C48"/>
    <mergeCell ref="F45:F48"/>
    <mergeCell ref="G45:G48"/>
    <mergeCell ref="H45:H48"/>
    <mergeCell ref="I45:I48"/>
    <mergeCell ref="L45:L48"/>
    <mergeCell ref="Q45:Q48"/>
    <mergeCell ref="R45:R48"/>
    <mergeCell ref="C41:C44"/>
    <mergeCell ref="F41:F44"/>
    <mergeCell ref="G41:G44"/>
    <mergeCell ref="H41:H44"/>
    <mergeCell ref="I41:I44"/>
    <mergeCell ref="L41:L44"/>
    <mergeCell ref="Q41:Q44"/>
    <mergeCell ref="E41:E44"/>
    <mergeCell ref="E45:E48"/>
    <mergeCell ref="D45:D48"/>
    <mergeCell ref="N41:N44"/>
    <mergeCell ref="N45:N48"/>
    <mergeCell ref="J41:J44"/>
    <mergeCell ref="J45:J48"/>
    <mergeCell ref="R33:R36"/>
    <mergeCell ref="C37:C40"/>
    <mergeCell ref="F37:F40"/>
    <mergeCell ref="G37:G40"/>
    <mergeCell ref="H37:H40"/>
    <mergeCell ref="I37:I40"/>
    <mergeCell ref="L37:L40"/>
    <mergeCell ref="Q37:Q40"/>
    <mergeCell ref="R37:R40"/>
    <mergeCell ref="C33:C36"/>
    <mergeCell ref="F33:F36"/>
    <mergeCell ref="G33:G36"/>
    <mergeCell ref="H33:H36"/>
    <mergeCell ref="Q33:Q36"/>
    <mergeCell ref="E33:E36"/>
    <mergeCell ref="E37:E40"/>
    <mergeCell ref="I33:I36"/>
    <mergeCell ref="L33:L36"/>
    <mergeCell ref="N33:N36"/>
    <mergeCell ref="N37:N40"/>
    <mergeCell ref="R25:R28"/>
    <mergeCell ref="C29:C32"/>
    <mergeCell ref="F29:F32"/>
    <mergeCell ref="G29:G32"/>
    <mergeCell ref="H29:H32"/>
    <mergeCell ref="I29:I32"/>
    <mergeCell ref="L29:L32"/>
    <mergeCell ref="Q29:Q32"/>
    <mergeCell ref="R29:R32"/>
    <mergeCell ref="C25:C28"/>
    <mergeCell ref="F25:F28"/>
    <mergeCell ref="G25:G28"/>
    <mergeCell ref="H25:H28"/>
    <mergeCell ref="I25:I28"/>
    <mergeCell ref="L25:L28"/>
    <mergeCell ref="Q25:Q28"/>
    <mergeCell ref="Y11:Z11"/>
    <mergeCell ref="Q17:Q20"/>
    <mergeCell ref="R17:R20"/>
    <mergeCell ref="H11:I11"/>
    <mergeCell ref="H7:Q7"/>
    <mergeCell ref="C21:C24"/>
    <mergeCell ref="F21:F24"/>
    <mergeCell ref="G21:G24"/>
    <mergeCell ref="H21:H24"/>
    <mergeCell ref="I21:I24"/>
    <mergeCell ref="L21:L24"/>
    <mergeCell ref="Q21:Q24"/>
    <mergeCell ref="E11:E12"/>
    <mergeCell ref="E13:E16"/>
    <mergeCell ref="E17:E20"/>
    <mergeCell ref="E21:E24"/>
    <mergeCell ref="V7:W7"/>
    <mergeCell ref="R21:R24"/>
    <mergeCell ref="C17:C20"/>
    <mergeCell ref="F17:F20"/>
    <mergeCell ref="G17:G20"/>
    <mergeCell ref="H17:H20"/>
    <mergeCell ref="I17:I20"/>
    <mergeCell ref="L17:L20"/>
    <mergeCell ref="E65:E68"/>
    <mergeCell ref="E69:E72"/>
    <mergeCell ref="AC10:AF10"/>
    <mergeCell ref="B10:I10"/>
    <mergeCell ref="B9:AF9"/>
    <mergeCell ref="B13:B16"/>
    <mergeCell ref="B17:B20"/>
    <mergeCell ref="X7:AA7"/>
    <mergeCell ref="R10:AA10"/>
    <mergeCell ref="C13:C16"/>
    <mergeCell ref="F13:F16"/>
    <mergeCell ref="G13:G16"/>
    <mergeCell ref="I13:I16"/>
    <mergeCell ref="H13:H16"/>
    <mergeCell ref="L13:L16"/>
    <mergeCell ref="Q13:Q16"/>
    <mergeCell ref="R13:R16"/>
    <mergeCell ref="AC11:AF11"/>
    <mergeCell ref="C11:C12"/>
    <mergeCell ref="F11:F12"/>
    <mergeCell ref="G11:G12"/>
    <mergeCell ref="L11:L12"/>
    <mergeCell ref="AB11:AB12"/>
    <mergeCell ref="X11:X12"/>
    <mergeCell ref="U45:U48"/>
    <mergeCell ref="U49:U52"/>
    <mergeCell ref="U53:U56"/>
    <mergeCell ref="U57:U60"/>
    <mergeCell ref="U61:U64"/>
    <mergeCell ref="U65:U68"/>
    <mergeCell ref="U69:U72"/>
    <mergeCell ref="U11:W11"/>
    <mergeCell ref="U13:U16"/>
    <mergeCell ref="U17:U20"/>
    <mergeCell ref="U21:U24"/>
    <mergeCell ref="U25:U28"/>
    <mergeCell ref="U29:U32"/>
    <mergeCell ref="U33:U36"/>
    <mergeCell ref="U37:U40"/>
    <mergeCell ref="U41:U44"/>
  </mergeCells>
  <hyperlinks>
    <hyperlink ref="AB13" r:id="rId1"/>
    <hyperlink ref="AB13:AB72" r:id="rId2" display="https://fupedu-my.sharepoint.com/:f:/g/personal/calidad_fup_edu_co/ErIPOjWRnmJDpNIfwYwCIckBBEZ8c-UUMbURkJEeSKieOw?e=dq0eCs  "/>
  </hyperlinks>
  <printOptions horizontalCentered="1"/>
  <pageMargins left="0.39370078740157483" right="0.39370078740157483" top="0.39370078740157483" bottom="0.78740157480314965" header="0.31496062992125984" footer="0.31496062992125984"/>
  <pageSetup scale="29" orientation="landscape" r:id="rId3"/>
  <drawing r:id="rId4"/>
  <legacyDrawing r:id="rId5"/>
  <extLst>
    <ext xmlns:x14="http://schemas.microsoft.com/office/spreadsheetml/2009/9/main" uri="{CCE6A557-97BC-4b89-ADB6-D9C93CAAB3DF}">
      <x14:dataValidations xmlns:xm="http://schemas.microsoft.com/office/excel/2006/main" count="6">
        <x14:dataValidation type="list" allowBlank="1" showInputMessage="1" showErrorMessage="1">
          <x14:formula1>
            <xm:f>DATOS!$C$8:$C$10</xm:f>
          </x14:formula1>
          <xm:sqref>G13:G15 G17:G19 G21:G23 G25:G27 G29:G31 G33:G35 G37:G39 G41:G43 G45:G47 G49:G51 G53:G55 G57:G59 G61:G63 G65:G67 G69:G71</xm:sqref>
        </x14:dataValidation>
        <x14:dataValidation type="list" allowBlank="1" showInputMessage="1" showErrorMessage="1">
          <x14:formula1>
            <xm:f>DATOS!$B$22:$B$40</xm:f>
          </x14:formula1>
          <xm:sqref>X7:AB7</xm:sqref>
        </x14:dataValidation>
        <x14:dataValidation type="list" allowBlank="1" showInputMessage="1" showErrorMessage="1">
          <x14:formula1>
            <xm:f>DATOS!$D$18:$D$49</xm:f>
          </x14:formula1>
          <xm:sqref>D13:D72</xm:sqref>
        </x14:dataValidation>
        <x14:dataValidation type="list" allowBlank="1" showInputMessage="1" showErrorMessage="1">
          <x14:formula1>
            <xm:f>DATOS!$B$8:$B$16</xm:f>
          </x14:formula1>
          <xm:sqref>C73:E140 C13:C72</xm:sqref>
        </x14:dataValidation>
        <x14:dataValidation type="list" allowBlank="1" showInputMessage="1" showErrorMessage="1">
          <x14:formula1>
            <xm:f>DATOS!$H$7:$H$43</xm:f>
          </x14:formula1>
          <xm:sqref>H7:Q7</xm:sqref>
        </x14:dataValidation>
        <x14:dataValidation type="list" allowBlank="1" showInputMessage="1" showErrorMessage="1">
          <x14:formula1>
            <xm:f>DATOS!$D$8:$D$10</xm:f>
          </x14:formula1>
          <xm:sqref>J13:J72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58"/>
  <sheetViews>
    <sheetView showGridLines="0" zoomScale="60" zoomScaleNormal="60" workbookViewId="0">
      <selection activeCell="W21" sqref="W21:W23"/>
    </sheetView>
  </sheetViews>
  <sheetFormatPr baseColWidth="10" defaultColWidth="0" defaultRowHeight="14.5" zeroHeight="1" x14ac:dyDescent="0.35"/>
  <cols>
    <col min="1" max="1" width="4.1796875" style="50" customWidth="1"/>
    <col min="2" max="2" width="10.81640625" style="37" customWidth="1"/>
    <col min="3" max="3" width="42.453125" style="37" customWidth="1"/>
    <col min="4" max="5" width="0.81640625" style="37" customWidth="1"/>
    <col min="6" max="6" width="3.1796875" style="36" customWidth="1"/>
    <col min="7" max="7" width="35.7265625" style="36" customWidth="1"/>
    <col min="8" max="10" width="0.81640625" style="36" customWidth="1"/>
    <col min="11" max="11" width="35.7265625" style="36" customWidth="1"/>
    <col min="12" max="14" width="0.81640625" style="36" customWidth="1"/>
    <col min="15" max="15" width="35.7265625" style="36" customWidth="1"/>
    <col min="16" max="18" width="0.81640625" style="36" customWidth="1"/>
    <col min="19" max="19" width="35.7265625" style="36" customWidth="1"/>
    <col min="20" max="22" width="0.81640625" style="36" customWidth="1"/>
    <col min="23" max="23" width="35.7265625" style="36" customWidth="1"/>
    <col min="24" max="26" width="0.81640625" style="38" customWidth="1"/>
    <col min="27" max="27" width="35.7265625" style="38" customWidth="1"/>
    <col min="28" max="30" width="0.81640625" style="38" customWidth="1"/>
    <col min="31" max="33" width="0.81640625" style="37" customWidth="1"/>
    <col min="34" max="34" width="10.81640625" style="37" customWidth="1"/>
    <col min="35" max="16384" width="10.81640625" style="37" hidden="1"/>
  </cols>
  <sheetData>
    <row r="1" spans="1:31" x14ac:dyDescent="0.35"/>
    <row r="2" spans="1:31" x14ac:dyDescent="0.35"/>
    <row r="3" spans="1:31" x14ac:dyDescent="0.35"/>
    <row r="4" spans="1:31" ht="15" thickBot="1" x14ac:dyDescent="0.4"/>
    <row r="5" spans="1:31" ht="12.75" customHeight="1" x14ac:dyDescent="0.35">
      <c r="F5" s="249" t="s">
        <v>107</v>
      </c>
      <c r="G5" s="250"/>
      <c r="H5" s="250"/>
      <c r="I5" s="250"/>
      <c r="J5" s="250"/>
      <c r="K5" s="250"/>
      <c r="L5" s="250"/>
      <c r="M5" s="250"/>
      <c r="N5" s="250"/>
      <c r="O5" s="250"/>
      <c r="P5" s="250"/>
      <c r="Q5" s="250"/>
      <c r="R5" s="250"/>
      <c r="S5" s="250"/>
      <c r="T5" s="250"/>
      <c r="U5" s="250"/>
      <c r="V5" s="250"/>
      <c r="W5" s="250"/>
      <c r="X5" s="250"/>
      <c r="Y5" s="250"/>
      <c r="Z5" s="250"/>
      <c r="AA5" s="250"/>
      <c r="AB5" s="250"/>
      <c r="AC5" s="250"/>
      <c r="AD5" s="251"/>
      <c r="AE5" s="245"/>
    </row>
    <row r="6" spans="1:31" ht="15" customHeight="1" x14ac:dyDescent="0.35">
      <c r="F6" s="252"/>
      <c r="G6" s="253"/>
      <c r="H6" s="253"/>
      <c r="I6" s="253"/>
      <c r="J6" s="253"/>
      <c r="K6" s="253"/>
      <c r="L6" s="253"/>
      <c r="M6" s="253"/>
      <c r="N6" s="253"/>
      <c r="O6" s="253"/>
      <c r="P6" s="253"/>
      <c r="Q6" s="253"/>
      <c r="R6" s="253"/>
      <c r="S6" s="253"/>
      <c r="T6" s="253"/>
      <c r="U6" s="253"/>
      <c r="V6" s="253"/>
      <c r="W6" s="253"/>
      <c r="X6" s="253"/>
      <c r="Y6" s="253"/>
      <c r="Z6" s="253"/>
      <c r="AA6" s="253"/>
      <c r="AB6" s="253"/>
      <c r="AC6" s="253"/>
      <c r="AD6" s="254"/>
      <c r="AE6" s="245"/>
    </row>
    <row r="7" spans="1:31" ht="15" customHeight="1" x14ac:dyDescent="0.35">
      <c r="F7" s="112"/>
      <c r="G7" s="246" t="str">
        <f>IF('FO-GC-003'!H7&lt;&gt;"",'FO-GC-003'!H7,"")</f>
        <v/>
      </c>
      <c r="H7" s="246"/>
      <c r="I7" s="246"/>
      <c r="J7" s="246"/>
      <c r="K7" s="246"/>
      <c r="L7" s="246"/>
      <c r="M7" s="246"/>
      <c r="N7" s="246"/>
      <c r="O7" s="246"/>
      <c r="P7" s="246"/>
      <c r="Q7" s="246"/>
      <c r="R7" s="246"/>
      <c r="S7" s="246"/>
      <c r="T7" s="246"/>
      <c r="U7" s="246"/>
      <c r="V7" s="246"/>
      <c r="W7" s="246"/>
      <c r="X7" s="246"/>
      <c r="Y7" s="246"/>
      <c r="Z7" s="246"/>
      <c r="AA7" s="246"/>
      <c r="AB7" s="113"/>
      <c r="AC7" s="113"/>
      <c r="AD7" s="114"/>
      <c r="AE7" s="245"/>
    </row>
    <row r="8" spans="1:31" ht="15" customHeight="1" x14ac:dyDescent="0.35">
      <c r="F8" s="112"/>
      <c r="G8" s="246"/>
      <c r="H8" s="246"/>
      <c r="I8" s="246"/>
      <c r="J8" s="246"/>
      <c r="K8" s="246"/>
      <c r="L8" s="246"/>
      <c r="M8" s="246"/>
      <c r="N8" s="246"/>
      <c r="O8" s="246"/>
      <c r="P8" s="246"/>
      <c r="Q8" s="246"/>
      <c r="R8" s="246"/>
      <c r="S8" s="246"/>
      <c r="T8" s="246"/>
      <c r="U8" s="246"/>
      <c r="V8" s="246"/>
      <c r="W8" s="246"/>
      <c r="X8" s="246"/>
      <c r="Y8" s="246"/>
      <c r="Z8" s="246"/>
      <c r="AA8" s="246"/>
      <c r="AB8" s="113"/>
      <c r="AC8" s="113"/>
      <c r="AD8" s="114"/>
      <c r="AE8" s="245"/>
    </row>
    <row r="9" spans="1:31" ht="33" customHeight="1" thickBot="1" x14ac:dyDescent="0.4">
      <c r="F9" s="115"/>
      <c r="G9" s="116"/>
      <c r="H9" s="116"/>
      <c r="I9" s="116"/>
      <c r="J9" s="116"/>
      <c r="K9" s="247" t="str">
        <f>IF('FO-GC-003'!X7&lt;&gt;"",'FO-GC-003'!X7,"")</f>
        <v/>
      </c>
      <c r="L9" s="247"/>
      <c r="M9" s="247"/>
      <c r="N9" s="247"/>
      <c r="O9" s="247"/>
      <c r="P9" s="247"/>
      <c r="Q9" s="247"/>
      <c r="R9" s="247"/>
      <c r="S9" s="247"/>
      <c r="T9" s="247"/>
      <c r="U9" s="247"/>
      <c r="V9" s="247"/>
      <c r="W9" s="247"/>
      <c r="X9" s="116"/>
      <c r="Y9" s="116"/>
      <c r="Z9" s="116"/>
      <c r="AA9" s="116"/>
      <c r="AB9" s="116"/>
      <c r="AC9" s="116"/>
      <c r="AD9" s="117"/>
      <c r="AE9" s="245"/>
    </row>
    <row r="10" spans="1:31" ht="10" customHeight="1" x14ac:dyDescent="0.35"/>
    <row r="11" spans="1:31" ht="15.65" customHeight="1" x14ac:dyDescent="0.35">
      <c r="K11" s="109" t="s">
        <v>34</v>
      </c>
      <c r="O11" s="104" t="s">
        <v>38</v>
      </c>
      <c r="S11" s="105" t="s">
        <v>42</v>
      </c>
      <c r="W11" s="106" t="s">
        <v>46</v>
      </c>
    </row>
    <row r="12" spans="1:31" ht="50.15" customHeight="1" x14ac:dyDescent="0.35">
      <c r="B12" s="243" t="s">
        <v>17</v>
      </c>
      <c r="C12" s="244"/>
      <c r="D12" s="38"/>
      <c r="E12" s="38"/>
      <c r="G12" s="54" t="s">
        <v>29</v>
      </c>
      <c r="K12" s="107">
        <f>G14</f>
        <v>0</v>
      </c>
      <c r="O12" s="107">
        <f>K14</f>
        <v>0</v>
      </c>
      <c r="S12" s="107">
        <f>O14</f>
        <v>0</v>
      </c>
      <c r="W12" s="107">
        <f>S14</f>
        <v>0</v>
      </c>
      <c r="X12" s="36"/>
      <c r="Y12" s="36"/>
      <c r="Z12" s="36"/>
      <c r="AA12" s="55" t="s">
        <v>50</v>
      </c>
      <c r="AB12" s="36"/>
      <c r="AC12" s="36"/>
      <c r="AD12" s="36"/>
    </row>
    <row r="13" spans="1:31" ht="10" customHeight="1" x14ac:dyDescent="0.35"/>
    <row r="14" spans="1:31" s="39" customFormat="1" ht="20.149999999999999" customHeight="1" x14ac:dyDescent="0.3">
      <c r="A14" s="248">
        <v>1</v>
      </c>
      <c r="B14" s="242" t="str">
        <f>IF('FO-GC-003'!I13&lt;&gt;"",'FO-GC-003'!I13,"")</f>
        <v/>
      </c>
      <c r="C14" s="242"/>
      <c r="F14" s="241" t="s">
        <v>108</v>
      </c>
      <c r="G14" s="235"/>
      <c r="H14" s="40"/>
      <c r="I14" s="40" t="str">
        <f>IF(AND(I15&lt;&gt;"",J15&lt;&gt;""),IF(AND(G14&lt;&gt;"",K14&lt;&gt;""),"","x"),IF(AND(G14="",K14="",I16="x",I17="x"),"x",""))</f>
        <v/>
      </c>
      <c r="J14" s="40"/>
      <c r="K14" s="235"/>
      <c r="L14" s="40"/>
      <c r="M14" s="40" t="e">
        <f>IF(AND(M15&lt;&gt;"",N15&lt;&gt;""),IF(AND(K14&lt;&gt;"",O14&lt;&gt;""),"","x"),IF(AND(K14="",O14="",M16="x",M17="x"),"x",""))</f>
        <v>#REF!</v>
      </c>
      <c r="N14" s="40"/>
      <c r="O14" s="235"/>
      <c r="P14" s="40"/>
      <c r="Q14" s="40" t="e">
        <f>IF(AND(Q15&lt;&gt;"",R15&lt;&gt;""),IF(AND(O14&lt;&gt;"",S14&lt;&gt;""),"","x"),IF(AND(O14="",S14="",Q16="x",Q17="x"),"x",""))</f>
        <v>#REF!</v>
      </c>
      <c r="R14" s="40"/>
      <c r="S14" s="235"/>
      <c r="T14" s="40"/>
      <c r="U14" s="40" t="e">
        <f>IF(AND(U15&lt;&gt;"",V15&lt;&gt;""),IF(AND(S14&lt;&gt;"",W14&lt;&gt;""),"","x"),IF(AND(S14="",W14="",U16="x",U17="x"),"x",""))</f>
        <v>#REF!</v>
      </c>
      <c r="V14" s="40"/>
      <c r="W14" s="235"/>
      <c r="X14" s="41"/>
      <c r="Y14" s="42"/>
      <c r="Z14" s="43" t="e">
        <f>IF(LOOKUP(2,1/(G14:W14&lt;&gt;""),G14:W14)="x","",LOOKUP(2,1/(G14:W14&lt;&gt;""),G14:W14))</f>
        <v>#N/A</v>
      </c>
      <c r="AA14" s="238" t="str">
        <f>IF(ISNA($Z14),"",$Z14)</f>
        <v/>
      </c>
      <c r="AB14" s="41"/>
      <c r="AC14" s="41"/>
      <c r="AD14" s="41"/>
    </row>
    <row r="15" spans="1:31" s="39" customFormat="1" ht="7" customHeight="1" x14ac:dyDescent="0.3">
      <c r="A15" s="248"/>
      <c r="B15" s="242"/>
      <c r="C15" s="242"/>
      <c r="F15" s="241"/>
      <c r="G15" s="236"/>
      <c r="H15" s="40" t="str">
        <f>IF(AND(G14&lt;&gt;"",K14&lt;&gt;""),"x","")</f>
        <v/>
      </c>
      <c r="I15" s="40" t="str">
        <f>IF(K14&lt;&gt;"","x",IF(I16="x","x",""))</f>
        <v/>
      </c>
      <c r="J15" s="40" t="str">
        <f>IF(K14&lt;&gt;"","x","")</f>
        <v/>
      </c>
      <c r="K15" s="236"/>
      <c r="L15" s="40" t="str">
        <f>IF(AND(K14&lt;&gt;"",O14&lt;&gt;""),"x","")</f>
        <v/>
      </c>
      <c r="M15" s="40" t="e">
        <f>IF(O14&lt;&gt;"","x",IF(M16="x","x",""))</f>
        <v>#REF!</v>
      </c>
      <c r="N15" s="40" t="str">
        <f>IF(O14&lt;&gt;"","x","")</f>
        <v/>
      </c>
      <c r="O15" s="236"/>
      <c r="P15" s="40" t="str">
        <f>IF(AND(O14&lt;&gt;"",S14&lt;&gt;""),"x","")</f>
        <v/>
      </c>
      <c r="Q15" s="40" t="e">
        <f>IF(S14&lt;&gt;"","x",IF(Q16="x","x",""))</f>
        <v>#REF!</v>
      </c>
      <c r="R15" s="40" t="str">
        <f>IF(S14&lt;&gt;"","x","")</f>
        <v/>
      </c>
      <c r="S15" s="236"/>
      <c r="T15" s="40" t="str">
        <f>IF(AND(S14&lt;&gt;"",W14&lt;&gt;""),"x","")</f>
        <v/>
      </c>
      <c r="U15" s="40" t="e">
        <f>IF(W14&lt;&gt;"","x",IF(U16="x","x",""))</f>
        <v>#REF!</v>
      </c>
      <c r="V15" s="40" t="str">
        <f>IF(W14&lt;&gt;"","x","")</f>
        <v/>
      </c>
      <c r="W15" s="236"/>
      <c r="X15" s="42"/>
      <c r="Y15" s="42"/>
      <c r="Z15" s="42"/>
      <c r="AA15" s="239"/>
      <c r="AB15" s="41"/>
      <c r="AC15" s="41"/>
      <c r="AD15" s="41"/>
    </row>
    <row r="16" spans="1:31" s="39" customFormat="1" ht="130" customHeight="1" x14ac:dyDescent="0.3">
      <c r="A16" s="248"/>
      <c r="B16" s="242"/>
      <c r="C16" s="242"/>
      <c r="F16" s="241"/>
      <c r="G16" s="237"/>
      <c r="H16" s="40"/>
      <c r="I16" s="40" t="str">
        <f>IF(I17="x","x","")</f>
        <v/>
      </c>
      <c r="J16" s="40"/>
      <c r="K16" s="237"/>
      <c r="L16" s="40"/>
      <c r="M16" s="40" t="e">
        <f>IF(M17="x","x","")</f>
        <v>#REF!</v>
      </c>
      <c r="N16" s="40"/>
      <c r="O16" s="237"/>
      <c r="P16" s="40"/>
      <c r="Q16" s="40" t="e">
        <f>IF(Q17="x","x","")</f>
        <v>#REF!</v>
      </c>
      <c r="R16" s="40"/>
      <c r="S16" s="237"/>
      <c r="T16" s="40"/>
      <c r="U16" s="40" t="e">
        <f>IF(U17="x","x","")</f>
        <v>#REF!</v>
      </c>
      <c r="V16" s="40"/>
      <c r="W16" s="237"/>
      <c r="X16" s="42"/>
      <c r="Y16" s="42"/>
      <c r="Z16" s="42"/>
      <c r="AA16" s="240"/>
      <c r="AB16" s="41"/>
      <c r="AC16" s="41"/>
      <c r="AD16" s="41"/>
    </row>
    <row r="17" spans="1:30" s="42" customFormat="1" ht="7" customHeight="1" x14ac:dyDescent="0.25">
      <c r="A17" s="51"/>
      <c r="F17" s="40"/>
      <c r="G17" s="40"/>
      <c r="H17" s="40"/>
      <c r="I17" s="40" t="str">
        <f>IF(AND(I21&lt;&gt;"",I22&lt;&gt;""),"x","")</f>
        <v/>
      </c>
      <c r="J17" s="40"/>
      <c r="K17" s="40"/>
      <c r="L17" s="40"/>
      <c r="M17" s="40" t="e">
        <f>IF(AND(M21&lt;&gt;"",M22&lt;&gt;""),"x","")</f>
        <v>#REF!</v>
      </c>
      <c r="N17" s="40"/>
      <c r="O17" s="40"/>
      <c r="P17" s="40"/>
      <c r="Q17" s="40" t="e">
        <f>IF(AND(Q21&lt;&gt;"",Q22&lt;&gt;""),"x","")</f>
        <v>#REF!</v>
      </c>
      <c r="R17" s="40"/>
      <c r="S17" s="40"/>
      <c r="T17" s="40"/>
      <c r="U17" s="40" t="e">
        <f>IF(AND(U21&lt;&gt;"",U22&lt;&gt;""),"x","")</f>
        <v>#REF!</v>
      </c>
      <c r="V17" s="40"/>
      <c r="W17" s="40"/>
    </row>
    <row r="18" spans="1:30" s="42" customFormat="1" ht="18" customHeight="1" x14ac:dyDescent="0.25">
      <c r="A18" s="51"/>
      <c r="F18" s="40"/>
      <c r="G18" s="36"/>
      <c r="H18" s="36"/>
      <c r="I18" s="36"/>
      <c r="J18" s="36"/>
      <c r="K18" s="103" t="s">
        <v>34</v>
      </c>
      <c r="L18" s="36"/>
      <c r="M18" s="36"/>
      <c r="N18" s="36"/>
      <c r="O18" s="104" t="s">
        <v>38</v>
      </c>
      <c r="P18" s="36"/>
      <c r="Q18" s="36"/>
      <c r="R18" s="36"/>
      <c r="S18" s="105" t="s">
        <v>42</v>
      </c>
      <c r="T18" s="36"/>
      <c r="U18" s="36"/>
      <c r="V18" s="36"/>
      <c r="W18" s="106" t="s">
        <v>46</v>
      </c>
    </row>
    <row r="19" spans="1:30" s="42" customFormat="1" ht="50.15" customHeight="1" x14ac:dyDescent="0.25">
      <c r="A19" s="51"/>
      <c r="B19" s="243" t="s">
        <v>17</v>
      </c>
      <c r="C19" s="244"/>
      <c r="F19" s="40"/>
      <c r="G19" s="54" t="s">
        <v>29</v>
      </c>
      <c r="H19" s="36"/>
      <c r="I19" s="36"/>
      <c r="J19" s="36"/>
      <c r="K19" s="107">
        <f>G21</f>
        <v>0</v>
      </c>
      <c r="L19" s="36"/>
      <c r="M19" s="36"/>
      <c r="N19" s="36"/>
      <c r="O19" s="107">
        <f>K21</f>
        <v>0</v>
      </c>
      <c r="P19" s="36"/>
      <c r="Q19" s="36"/>
      <c r="R19" s="36"/>
      <c r="S19" s="107">
        <f>O21</f>
        <v>0</v>
      </c>
      <c r="T19" s="36"/>
      <c r="U19" s="36"/>
      <c r="V19" s="36"/>
      <c r="W19" s="107">
        <f>S21</f>
        <v>0</v>
      </c>
      <c r="AA19" s="55" t="s">
        <v>50</v>
      </c>
    </row>
    <row r="20" spans="1:30" s="42" customFormat="1" ht="7" customHeight="1" x14ac:dyDescent="0.25">
      <c r="A20" s="51"/>
      <c r="F20" s="40"/>
      <c r="G20" s="40"/>
      <c r="H20" s="40"/>
      <c r="I20" s="40"/>
      <c r="J20" s="40"/>
      <c r="K20" s="40"/>
      <c r="L20" s="40"/>
      <c r="M20" s="40"/>
      <c r="N20" s="40"/>
      <c r="O20" s="40"/>
      <c r="P20" s="40"/>
      <c r="Q20" s="40"/>
      <c r="R20" s="40"/>
      <c r="S20" s="40"/>
      <c r="T20" s="40"/>
      <c r="U20" s="40"/>
      <c r="V20" s="40"/>
      <c r="W20" s="40"/>
    </row>
    <row r="21" spans="1:30" s="39" customFormat="1" ht="20.149999999999999" customHeight="1" x14ac:dyDescent="0.3">
      <c r="A21" s="248">
        <v>2</v>
      </c>
      <c r="B21" s="242" t="str">
        <f>IF('FO-GC-003'!I17&lt;&gt;"",'FO-GC-003'!I17,"")</f>
        <v/>
      </c>
      <c r="C21" s="242"/>
      <c r="F21" s="241" t="s">
        <v>108</v>
      </c>
      <c r="G21" s="235"/>
      <c r="H21" s="40"/>
      <c r="I21" s="40" t="str">
        <f>IF(AND(I22&lt;&gt;"",J22&lt;&gt;""),IF(AND(G21&lt;&gt;"",K21&lt;&gt;""),"","x"),IF(AND(G21="",K21="",I23="x",I27="x"),"x",""))</f>
        <v/>
      </c>
      <c r="J21" s="40"/>
      <c r="K21" s="235"/>
      <c r="L21" s="40"/>
      <c r="M21" s="40" t="e">
        <f>IF(AND(M22&lt;&gt;"",N22&lt;&gt;""),IF(AND(K21&lt;&gt;"",O21&lt;&gt;""),"","x"),IF(AND(K21="",O21="",M23="x",M27="x"),"x",""))</f>
        <v>#REF!</v>
      </c>
      <c r="N21" s="40"/>
      <c r="O21" s="235"/>
      <c r="P21" s="40"/>
      <c r="Q21" s="40" t="e">
        <f>IF(AND(Q22&lt;&gt;"",R22&lt;&gt;""),IF(AND(O21&lt;&gt;"",S21&lt;&gt;""),"","x"),IF(AND(O21="",S21="",Q23="x",Q27="x"),"x",""))</f>
        <v>#REF!</v>
      </c>
      <c r="R21" s="40"/>
      <c r="S21" s="235"/>
      <c r="T21" s="40"/>
      <c r="U21" s="40" t="e">
        <f>IF(AND(U22&lt;&gt;"",V22&lt;&gt;""),IF(AND(S21&lt;&gt;"",W21&lt;&gt;""),"","x"),IF(AND(S21="",W21="",U23="x",U27="x"),"x",""))</f>
        <v>#REF!</v>
      </c>
      <c r="V21" s="40"/>
      <c r="W21" s="235"/>
      <c r="X21" s="42"/>
      <c r="Y21" s="42"/>
      <c r="Z21" s="43" t="e">
        <f>IF(LOOKUP(2,1/(G21:W21&lt;&gt;""),G21:W21)="x","",LOOKUP(2,1/(G21:W21&lt;&gt;""),G21:W21))</f>
        <v>#N/A</v>
      </c>
      <c r="AA21" s="238" t="str">
        <f>IF(ISNA($Z21),"",$Z21)</f>
        <v/>
      </c>
      <c r="AB21" s="41"/>
      <c r="AC21" s="41"/>
      <c r="AD21" s="41"/>
    </row>
    <row r="22" spans="1:30" s="42" customFormat="1" ht="7" customHeight="1" x14ac:dyDescent="0.25">
      <c r="A22" s="248"/>
      <c r="B22" s="242"/>
      <c r="C22" s="242"/>
      <c r="F22" s="241"/>
      <c r="G22" s="236"/>
      <c r="H22" s="40" t="str">
        <f>IF(AND(G21&lt;&gt;"",K21&lt;&gt;""),"x","")</f>
        <v/>
      </c>
      <c r="I22" s="40" t="str">
        <f>IF(K21&lt;&gt;"","x",IF(I23="x","x",""))</f>
        <v/>
      </c>
      <c r="J22" s="40" t="str">
        <f>IF(K21&lt;&gt;"","x","")</f>
        <v/>
      </c>
      <c r="K22" s="236"/>
      <c r="L22" s="40" t="str">
        <f>IF(AND(K21&lt;&gt;"",O21&lt;&gt;""),"x","")</f>
        <v/>
      </c>
      <c r="M22" s="40" t="e">
        <f>IF(O21&lt;&gt;"","x",IF(M23="x","x",""))</f>
        <v>#REF!</v>
      </c>
      <c r="N22" s="40" t="str">
        <f>IF(O21&lt;&gt;"","x","")</f>
        <v/>
      </c>
      <c r="O22" s="236"/>
      <c r="P22" s="40" t="str">
        <f>IF(AND(O21&lt;&gt;"",S21&lt;&gt;""),"x","")</f>
        <v/>
      </c>
      <c r="Q22" s="40" t="e">
        <f>IF(S21&lt;&gt;"","x",IF(Q23="x","x",""))</f>
        <v>#REF!</v>
      </c>
      <c r="R22" s="40" t="str">
        <f>IF(S21&lt;&gt;"","x","")</f>
        <v/>
      </c>
      <c r="S22" s="236"/>
      <c r="T22" s="40" t="str">
        <f>IF(AND(S21&lt;&gt;"",W21&lt;&gt;""),"x","")</f>
        <v/>
      </c>
      <c r="U22" s="40" t="e">
        <f>IF(W21&lt;&gt;"","x",IF(U23="x","x",""))</f>
        <v>#REF!</v>
      </c>
      <c r="V22" s="40" t="str">
        <f>IF(W21&lt;&gt;"","x","")</f>
        <v/>
      </c>
      <c r="W22" s="236"/>
      <c r="AA22" s="239"/>
    </row>
    <row r="23" spans="1:30" s="42" customFormat="1" ht="20.149999999999999" customHeight="1" x14ac:dyDescent="0.25">
      <c r="A23" s="248"/>
      <c r="B23" s="242"/>
      <c r="C23" s="242"/>
      <c r="F23" s="241"/>
      <c r="G23" s="237"/>
      <c r="H23" s="40"/>
      <c r="I23" s="40" t="str">
        <f>IF(I27="x","x","")</f>
        <v/>
      </c>
      <c r="J23" s="40"/>
      <c r="K23" s="237"/>
      <c r="L23" s="40"/>
      <c r="M23" s="40" t="e">
        <f>IF(M27="x","x","")</f>
        <v>#REF!</v>
      </c>
      <c r="N23" s="40"/>
      <c r="O23" s="237"/>
      <c r="P23" s="40"/>
      <c r="Q23" s="40" t="e">
        <f>IF(Q27="x","x","")</f>
        <v>#REF!</v>
      </c>
      <c r="R23" s="40"/>
      <c r="S23" s="237"/>
      <c r="T23" s="40"/>
      <c r="U23" s="40" t="e">
        <f>IF(U27="x","x","")</f>
        <v>#REF!</v>
      </c>
      <c r="V23" s="40"/>
      <c r="W23" s="237"/>
      <c r="AA23" s="240"/>
      <c r="AB23" s="41"/>
    </row>
    <row r="24" spans="1:30" s="42" customFormat="1" ht="6" customHeight="1" x14ac:dyDescent="0.25">
      <c r="A24" s="51"/>
      <c r="B24" s="44"/>
      <c r="C24" s="44"/>
      <c r="F24" s="45"/>
      <c r="G24" s="46"/>
      <c r="H24" s="40"/>
      <c r="I24" s="40"/>
      <c r="J24" s="40"/>
      <c r="K24" s="46"/>
      <c r="L24" s="40"/>
      <c r="M24" s="40"/>
      <c r="N24" s="40"/>
      <c r="O24" s="46"/>
      <c r="P24" s="40"/>
      <c r="Q24" s="40"/>
      <c r="R24" s="40"/>
      <c r="S24" s="46"/>
      <c r="T24" s="40"/>
      <c r="U24" s="40"/>
      <c r="V24" s="40"/>
      <c r="W24" s="46"/>
      <c r="AA24" s="44"/>
      <c r="AB24" s="41"/>
    </row>
    <row r="25" spans="1:30" s="42" customFormat="1" ht="20.149999999999999" customHeight="1" x14ac:dyDescent="0.25">
      <c r="A25" s="51"/>
      <c r="B25" s="44"/>
      <c r="C25" s="44"/>
      <c r="F25" s="45"/>
      <c r="G25" s="36"/>
      <c r="H25" s="36"/>
      <c r="I25" s="36"/>
      <c r="J25" s="36"/>
      <c r="K25" s="103" t="s">
        <v>34</v>
      </c>
      <c r="L25" s="36"/>
      <c r="M25" s="36"/>
      <c r="N25" s="36"/>
      <c r="O25" s="104" t="s">
        <v>38</v>
      </c>
      <c r="P25" s="36"/>
      <c r="Q25" s="36"/>
      <c r="R25" s="36"/>
      <c r="S25" s="105" t="s">
        <v>42</v>
      </c>
      <c r="T25" s="36"/>
      <c r="U25" s="36"/>
      <c r="V25" s="36"/>
      <c r="W25" s="106" t="s">
        <v>46</v>
      </c>
      <c r="AA25" s="44"/>
      <c r="AB25" s="41"/>
    </row>
    <row r="26" spans="1:30" s="42" customFormat="1" ht="50.15" customHeight="1" x14ac:dyDescent="0.25">
      <c r="A26" s="51"/>
      <c r="B26" s="255" t="s">
        <v>17</v>
      </c>
      <c r="C26" s="256"/>
      <c r="D26" s="257"/>
      <c r="F26" s="45"/>
      <c r="G26" s="54" t="s">
        <v>29</v>
      </c>
      <c r="H26" s="36"/>
      <c r="I26" s="36"/>
      <c r="J26" s="36"/>
      <c r="K26" s="107">
        <f>G28</f>
        <v>0</v>
      </c>
      <c r="L26" s="36"/>
      <c r="M26" s="36"/>
      <c r="N26" s="36"/>
      <c r="O26" s="107">
        <f>K28</f>
        <v>0</v>
      </c>
      <c r="P26" s="36"/>
      <c r="Q26" s="36"/>
      <c r="R26" s="36"/>
      <c r="S26" s="107">
        <f>O28</f>
        <v>0</v>
      </c>
      <c r="T26" s="36"/>
      <c r="U26" s="36"/>
      <c r="V26" s="36"/>
      <c r="W26" s="107">
        <f>S28</f>
        <v>0</v>
      </c>
      <c r="AA26" s="55" t="s">
        <v>50</v>
      </c>
      <c r="AB26" s="41"/>
    </row>
    <row r="27" spans="1:30" s="42" customFormat="1" ht="7" customHeight="1" x14ac:dyDescent="0.25">
      <c r="A27" s="51"/>
      <c r="F27" s="40"/>
      <c r="G27" s="40"/>
      <c r="H27" s="40"/>
      <c r="I27" s="40" t="str">
        <f>IF(AND(I28&lt;&gt;"",I29&lt;&gt;""),"x","")</f>
        <v/>
      </c>
      <c r="J27" s="40"/>
      <c r="K27" s="40"/>
      <c r="L27" s="40"/>
      <c r="M27" s="40" t="e">
        <f>IF(AND(M28&lt;&gt;"",M29&lt;&gt;""),"x","")</f>
        <v>#REF!</v>
      </c>
      <c r="N27" s="40"/>
      <c r="O27" s="40"/>
      <c r="P27" s="40"/>
      <c r="Q27" s="40" t="e">
        <f>IF(AND(Q28&lt;&gt;"",Q29&lt;&gt;""),"x","")</f>
        <v>#REF!</v>
      </c>
      <c r="R27" s="40"/>
      <c r="S27" s="40"/>
      <c r="T27" s="40"/>
      <c r="U27" s="40" t="e">
        <f>IF(AND(U28&lt;&gt;"",U29&lt;&gt;""),"x","")</f>
        <v>#REF!</v>
      </c>
      <c r="V27" s="40"/>
      <c r="W27" s="40"/>
    </row>
    <row r="28" spans="1:30" s="39" customFormat="1" ht="20.149999999999999" customHeight="1" x14ac:dyDescent="0.3">
      <c r="A28" s="248">
        <v>3</v>
      </c>
      <c r="B28" s="260" t="str">
        <f>IF('FO-GC-003'!I21&lt;&gt;"",'FO-GC-003'!I21,"")</f>
        <v/>
      </c>
      <c r="C28" s="261"/>
      <c r="F28" s="241" t="s">
        <v>108</v>
      </c>
      <c r="G28" s="235"/>
      <c r="H28" s="40"/>
      <c r="I28" s="40" t="str">
        <f>IF(AND(I29&lt;&gt;"",J29&lt;&gt;""),IF(AND(G28&lt;&gt;"",K28&lt;&gt;""),"","x"),IF(AND(G28="",K28="",I30="x",I34="x"),"x",""))</f>
        <v/>
      </c>
      <c r="J28" s="40"/>
      <c r="K28" s="235"/>
      <c r="L28" s="40"/>
      <c r="M28" s="40" t="e">
        <f>IF(AND(M29&lt;&gt;"",N29&lt;&gt;""),IF(AND(K28&lt;&gt;"",O28&lt;&gt;""),"","x"),IF(AND(K28="",O28="",M30="x",M34="x"),"x",""))</f>
        <v>#REF!</v>
      </c>
      <c r="N28" s="40"/>
      <c r="O28" s="235"/>
      <c r="P28" s="40"/>
      <c r="Q28" s="40" t="e">
        <f>IF(AND(Q29&lt;&gt;"",R29&lt;&gt;""),IF(AND(O28&lt;&gt;"",S28&lt;&gt;""),"","x"),IF(AND(O28="",S28="",Q30="x",Q34="x"),"x",""))</f>
        <v>#REF!</v>
      </c>
      <c r="R28" s="40"/>
      <c r="S28" s="235"/>
      <c r="T28" s="40"/>
      <c r="U28" s="40" t="e">
        <f>IF(AND(U29&lt;&gt;"",V29&lt;&gt;""),IF(AND(S28&lt;&gt;"",W28&lt;&gt;""),"","x"),IF(AND(S28="",W28="",U30="x",U34="x"),"x",""))</f>
        <v>#REF!</v>
      </c>
      <c r="V28" s="40"/>
      <c r="W28" s="235"/>
      <c r="X28" s="41"/>
      <c r="Y28" s="42"/>
      <c r="Z28" s="43" t="e">
        <f>IF(LOOKUP(2,1/(G28:W28&lt;&gt;""),G28:W28)="x","",LOOKUP(2,1/(G28:W28&lt;&gt;""),G28:W28))</f>
        <v>#N/A</v>
      </c>
      <c r="AA28" s="238" t="str">
        <f>IF(ISNA($Z28),"",$Z28)</f>
        <v/>
      </c>
      <c r="AB28" s="41"/>
      <c r="AC28" s="41"/>
      <c r="AD28" s="41"/>
    </row>
    <row r="29" spans="1:30" s="42" customFormat="1" ht="7" customHeight="1" x14ac:dyDescent="0.25">
      <c r="A29" s="248"/>
      <c r="B29" s="262"/>
      <c r="C29" s="263"/>
      <c r="F29" s="241"/>
      <c r="G29" s="236"/>
      <c r="H29" s="40" t="str">
        <f>IF(AND(G28&lt;&gt;"",K28&lt;&gt;""),"x","")</f>
        <v/>
      </c>
      <c r="I29" s="40" t="str">
        <f>IF(K28&lt;&gt;"","x",IF(I30="x","x",""))</f>
        <v/>
      </c>
      <c r="J29" s="40" t="str">
        <f>IF(K28&lt;&gt;"","x","")</f>
        <v/>
      </c>
      <c r="K29" s="236"/>
      <c r="L29" s="40" t="str">
        <f>IF(AND(K28&lt;&gt;"",O28&lt;&gt;""),"x","")</f>
        <v/>
      </c>
      <c r="M29" s="40" t="e">
        <f>IF(O28&lt;&gt;"","x",IF(M30="x","x",""))</f>
        <v>#REF!</v>
      </c>
      <c r="N29" s="40" t="str">
        <f>IF(O28&lt;&gt;"","x","")</f>
        <v/>
      </c>
      <c r="O29" s="236"/>
      <c r="P29" s="40" t="str">
        <f>IF(AND(O28&lt;&gt;"",S28&lt;&gt;""),"x","")</f>
        <v/>
      </c>
      <c r="Q29" s="40" t="e">
        <f>IF(S28&lt;&gt;"","x",IF(Q30="x","x",""))</f>
        <v>#REF!</v>
      </c>
      <c r="R29" s="40" t="str">
        <f>IF(S28&lt;&gt;"","x","")</f>
        <v/>
      </c>
      <c r="S29" s="236"/>
      <c r="T29" s="40" t="str">
        <f>IF(AND(S28&lt;&gt;"",W28&lt;&gt;""),"x","")</f>
        <v/>
      </c>
      <c r="U29" s="40" t="e">
        <f>IF(W28&lt;&gt;"","x",IF(U30="x","x",""))</f>
        <v>#REF!</v>
      </c>
      <c r="V29" s="40" t="str">
        <f>IF(W28&lt;&gt;"","x","")</f>
        <v/>
      </c>
      <c r="W29" s="236"/>
      <c r="AA29" s="239"/>
    </row>
    <row r="30" spans="1:30" s="39" customFormat="1" ht="20.149999999999999" customHeight="1" x14ac:dyDescent="0.3">
      <c r="A30" s="248"/>
      <c r="B30" s="264"/>
      <c r="C30" s="265"/>
      <c r="F30" s="241"/>
      <c r="G30" s="237"/>
      <c r="H30" s="40"/>
      <c r="I30" s="40" t="str">
        <f>IF(I34="x","x","")</f>
        <v/>
      </c>
      <c r="J30" s="40"/>
      <c r="K30" s="237"/>
      <c r="L30" s="40"/>
      <c r="M30" s="40" t="e">
        <f>IF(M34="x","x","")</f>
        <v>#REF!</v>
      </c>
      <c r="N30" s="40"/>
      <c r="O30" s="237"/>
      <c r="P30" s="40"/>
      <c r="Q30" s="40" t="e">
        <f>IF(Q34="x","x","")</f>
        <v>#REF!</v>
      </c>
      <c r="R30" s="40"/>
      <c r="S30" s="237"/>
      <c r="T30" s="40"/>
      <c r="U30" s="40" t="e">
        <f>IF(U34="x","x","")</f>
        <v>#REF!</v>
      </c>
      <c r="V30" s="40"/>
      <c r="W30" s="237"/>
      <c r="X30" s="42"/>
      <c r="Y30" s="42"/>
      <c r="Z30" s="42"/>
      <c r="AA30" s="240"/>
      <c r="AB30" s="41"/>
      <c r="AC30" s="41"/>
      <c r="AD30" s="41"/>
    </row>
    <row r="31" spans="1:30" s="39" customFormat="1" ht="7" customHeight="1" x14ac:dyDescent="0.3">
      <c r="A31" s="51"/>
      <c r="F31" s="40"/>
      <c r="G31" s="46"/>
      <c r="H31" s="40"/>
      <c r="I31" s="40"/>
      <c r="J31" s="40"/>
      <c r="K31" s="46"/>
      <c r="L31" s="40"/>
      <c r="M31" s="40"/>
      <c r="N31" s="40"/>
      <c r="O31" s="46"/>
      <c r="P31" s="40"/>
      <c r="Q31" s="40"/>
      <c r="R31" s="40"/>
      <c r="S31" s="46"/>
      <c r="T31" s="40"/>
      <c r="U31" s="40"/>
      <c r="V31" s="40"/>
      <c r="W31" s="46"/>
      <c r="X31" s="42"/>
      <c r="Y31" s="42"/>
      <c r="Z31" s="42"/>
      <c r="AA31" s="44"/>
      <c r="AB31" s="41"/>
      <c r="AC31" s="41"/>
      <c r="AD31" s="41"/>
    </row>
    <row r="32" spans="1:30" s="39" customFormat="1" ht="20.149999999999999" customHeight="1" x14ac:dyDescent="0.3">
      <c r="A32" s="51"/>
      <c r="F32" s="40"/>
      <c r="G32" s="36"/>
      <c r="H32" s="36"/>
      <c r="I32" s="36"/>
      <c r="J32" s="36"/>
      <c r="K32" s="103" t="s">
        <v>34</v>
      </c>
      <c r="L32" s="36"/>
      <c r="M32" s="36"/>
      <c r="N32" s="36"/>
      <c r="O32" s="104" t="s">
        <v>38</v>
      </c>
      <c r="P32" s="36"/>
      <c r="Q32" s="36"/>
      <c r="R32" s="36"/>
      <c r="S32" s="105" t="s">
        <v>42</v>
      </c>
      <c r="T32" s="36"/>
      <c r="U32" s="36"/>
      <c r="V32" s="36"/>
      <c r="W32" s="106" t="s">
        <v>46</v>
      </c>
      <c r="X32" s="42"/>
      <c r="Y32" s="42"/>
      <c r="Z32" s="42"/>
      <c r="AA32" s="44"/>
      <c r="AB32" s="41"/>
      <c r="AC32" s="41"/>
      <c r="AD32" s="41"/>
    </row>
    <row r="33" spans="1:30" s="39" customFormat="1" ht="50.15" customHeight="1" x14ac:dyDescent="0.3">
      <c r="A33" s="51"/>
      <c r="B33" s="258" t="s">
        <v>17</v>
      </c>
      <c r="C33" s="259"/>
      <c r="F33" s="40"/>
      <c r="G33" s="54" t="s">
        <v>29</v>
      </c>
      <c r="H33" s="36"/>
      <c r="I33" s="36"/>
      <c r="J33" s="36"/>
      <c r="K33" s="107">
        <f>G35</f>
        <v>0</v>
      </c>
      <c r="L33" s="36"/>
      <c r="M33" s="36"/>
      <c r="N33" s="36"/>
      <c r="O33" s="107">
        <f>K35</f>
        <v>0</v>
      </c>
      <c r="P33" s="36"/>
      <c r="Q33" s="36"/>
      <c r="R33" s="36"/>
      <c r="S33" s="107">
        <f>O35</f>
        <v>0</v>
      </c>
      <c r="T33" s="36"/>
      <c r="U33" s="36"/>
      <c r="V33" s="36"/>
      <c r="W33" s="107">
        <f>S35</f>
        <v>0</v>
      </c>
      <c r="X33" s="42"/>
      <c r="Y33" s="42"/>
      <c r="Z33" s="42"/>
      <c r="AA33" s="55" t="s">
        <v>50</v>
      </c>
      <c r="AB33" s="41"/>
      <c r="AC33" s="41"/>
      <c r="AD33" s="41"/>
    </row>
    <row r="34" spans="1:30" s="39" customFormat="1" ht="7" customHeight="1" x14ac:dyDescent="0.3">
      <c r="A34" s="51"/>
      <c r="F34" s="40"/>
      <c r="G34" s="40"/>
      <c r="H34" s="40"/>
      <c r="I34" s="40" t="str">
        <f>IF(AND(I35&lt;&gt;"",I36&lt;&gt;""),"x","")</f>
        <v/>
      </c>
      <c r="J34" s="40"/>
      <c r="K34" s="40"/>
      <c r="L34" s="40"/>
      <c r="M34" s="40" t="e">
        <f>IF(AND(M35&lt;&gt;"",M36&lt;&gt;""),"x","")</f>
        <v>#REF!</v>
      </c>
      <c r="N34" s="40"/>
      <c r="O34" s="40"/>
      <c r="P34" s="40"/>
      <c r="Q34" s="40" t="e">
        <f>IF(AND(Q35&lt;&gt;"",Q36&lt;&gt;""),"x","")</f>
        <v>#REF!</v>
      </c>
      <c r="R34" s="40"/>
      <c r="S34" s="40"/>
      <c r="T34" s="40"/>
      <c r="U34" s="40" t="e">
        <f>IF(AND(U35&lt;&gt;"",U36&lt;&gt;""),"x","")</f>
        <v>#REF!</v>
      </c>
      <c r="V34" s="40"/>
      <c r="W34" s="40"/>
      <c r="X34" s="42"/>
      <c r="Y34" s="42"/>
      <c r="Z34" s="42"/>
      <c r="AA34" s="41"/>
      <c r="AB34" s="41"/>
      <c r="AC34" s="41"/>
      <c r="AD34" s="41"/>
    </row>
    <row r="35" spans="1:30" s="39" customFormat="1" ht="20.149999999999999" customHeight="1" x14ac:dyDescent="0.3">
      <c r="A35" s="248">
        <v>4</v>
      </c>
      <c r="B35" s="242" t="str">
        <f>IF('FO-GC-003'!I25&lt;&gt;"",'FO-GC-003'!I25,"")</f>
        <v/>
      </c>
      <c r="C35" s="242"/>
      <c r="F35" s="241" t="s">
        <v>108</v>
      </c>
      <c r="G35" s="235"/>
      <c r="H35" s="40"/>
      <c r="I35" s="40" t="str">
        <f>IF(AND(I36&lt;&gt;"",J36&lt;&gt;""),IF(AND(G35&lt;&gt;"",K35&lt;&gt;""),"","x"),IF(AND(G35="",K35="",I37="x",I41="x"),"x",""))</f>
        <v/>
      </c>
      <c r="J35" s="40"/>
      <c r="K35" s="235"/>
      <c r="L35" s="40"/>
      <c r="M35" s="40" t="e">
        <f>IF(AND(M36&lt;&gt;"",N36&lt;&gt;""),IF(AND(K35&lt;&gt;"",O35&lt;&gt;""),"","x"),IF(AND(K35="",O35="",M37="x",M41="x"),"x",""))</f>
        <v>#REF!</v>
      </c>
      <c r="N35" s="40"/>
      <c r="O35" s="235"/>
      <c r="P35" s="40"/>
      <c r="Q35" s="40" t="e">
        <f>IF(AND(Q36&lt;&gt;"",R36&lt;&gt;""),IF(AND(O35&lt;&gt;"",S35&lt;&gt;""),"","x"),IF(AND(O35="",S35="",Q37="x",Q41="x"),"x",""))</f>
        <v>#REF!</v>
      </c>
      <c r="R35" s="40"/>
      <c r="S35" s="235"/>
      <c r="T35" s="40"/>
      <c r="U35" s="40" t="e">
        <f>IF(AND(U36&lt;&gt;"",V36&lt;&gt;""),IF(AND(S35&lt;&gt;"",W35&lt;&gt;""),"","x"),IF(AND(S35="",W35="",U37="x",U41="x"),"x",""))</f>
        <v>#REF!</v>
      </c>
      <c r="V35" s="40"/>
      <c r="W35" s="235"/>
      <c r="X35" s="42"/>
      <c r="Y35" s="42"/>
      <c r="Z35" s="43" t="e">
        <f>IF(LOOKUP(2,1/(G35:W35&lt;&gt;""),G35:W35)="x","",LOOKUP(2,1/(G35:W35&lt;&gt;""),G35:W35))</f>
        <v>#N/A</v>
      </c>
      <c r="AA35" s="238" t="str">
        <f>IF(ISNA($Z35),"",$Z35)</f>
        <v/>
      </c>
      <c r="AB35" s="41"/>
      <c r="AC35" s="41"/>
      <c r="AD35" s="41"/>
    </row>
    <row r="36" spans="1:30" s="42" customFormat="1" ht="7" customHeight="1" x14ac:dyDescent="0.25">
      <c r="A36" s="248"/>
      <c r="B36" s="242"/>
      <c r="C36" s="242"/>
      <c r="F36" s="241"/>
      <c r="G36" s="236"/>
      <c r="H36" s="40" t="str">
        <f>IF(AND(G35&lt;&gt;"",K35&lt;&gt;""),"x","")</f>
        <v/>
      </c>
      <c r="I36" s="40" t="str">
        <f>IF(K35&lt;&gt;"","x",IF(I37="x","x",""))</f>
        <v/>
      </c>
      <c r="J36" s="40" t="str">
        <f>IF(K35&lt;&gt;"","x","")</f>
        <v/>
      </c>
      <c r="K36" s="236"/>
      <c r="L36" s="40" t="str">
        <f>IF(AND(K35&lt;&gt;"",O35&lt;&gt;""),"x","")</f>
        <v/>
      </c>
      <c r="M36" s="40" t="e">
        <f>IF(O35&lt;&gt;"","x",IF(M37="x","x",""))</f>
        <v>#REF!</v>
      </c>
      <c r="N36" s="40" t="str">
        <f>IF(O35&lt;&gt;"","x","")</f>
        <v/>
      </c>
      <c r="O36" s="236"/>
      <c r="P36" s="40" t="str">
        <f>IF(AND(O35&lt;&gt;"",S35&lt;&gt;""),"x","")</f>
        <v/>
      </c>
      <c r="Q36" s="40" t="e">
        <f>IF(S35&lt;&gt;"","x",IF(Q37="x","x",""))</f>
        <v>#REF!</v>
      </c>
      <c r="R36" s="40" t="str">
        <f>IF(S35&lt;&gt;"","x","")</f>
        <v/>
      </c>
      <c r="S36" s="236"/>
      <c r="T36" s="40" t="str">
        <f>IF(AND(S35&lt;&gt;"",W35&lt;&gt;""),"x","")</f>
        <v/>
      </c>
      <c r="U36" s="40" t="e">
        <f>IF(W35&lt;&gt;"","x",IF(U37="x","x",""))</f>
        <v>#REF!</v>
      </c>
      <c r="V36" s="40" t="str">
        <f>IF(W35&lt;&gt;"","x","")</f>
        <v/>
      </c>
      <c r="W36" s="236"/>
      <c r="AA36" s="239"/>
    </row>
    <row r="37" spans="1:30" s="42" customFormat="1" ht="20.149999999999999" customHeight="1" x14ac:dyDescent="0.25">
      <c r="A37" s="248"/>
      <c r="B37" s="242"/>
      <c r="C37" s="242"/>
      <c r="F37" s="241"/>
      <c r="G37" s="237"/>
      <c r="H37" s="40"/>
      <c r="I37" s="40" t="str">
        <f>IF(I41="x","x","")</f>
        <v/>
      </c>
      <c r="J37" s="40"/>
      <c r="K37" s="237"/>
      <c r="L37" s="40"/>
      <c r="M37" s="40" t="e">
        <f>IF(M41="x","x","")</f>
        <v>#REF!</v>
      </c>
      <c r="N37" s="40"/>
      <c r="O37" s="237"/>
      <c r="P37" s="40"/>
      <c r="Q37" s="40" t="e">
        <f>IF(Q41="x","x","")</f>
        <v>#REF!</v>
      </c>
      <c r="R37" s="40"/>
      <c r="S37" s="237"/>
      <c r="T37" s="40"/>
      <c r="U37" s="40" t="e">
        <f>IF(U41="x","x","")</f>
        <v>#REF!</v>
      </c>
      <c r="V37" s="40"/>
      <c r="W37" s="237"/>
      <c r="AA37" s="240"/>
      <c r="AB37" s="41"/>
    </row>
    <row r="38" spans="1:30" s="42" customFormat="1" ht="7" customHeight="1" x14ac:dyDescent="0.25">
      <c r="A38" s="51"/>
      <c r="F38" s="40"/>
      <c r="G38" s="46"/>
      <c r="H38" s="40"/>
      <c r="I38" s="40"/>
      <c r="J38" s="40"/>
      <c r="K38" s="46"/>
      <c r="L38" s="40"/>
      <c r="M38" s="40"/>
      <c r="N38" s="40"/>
      <c r="O38" s="46"/>
      <c r="P38" s="40"/>
      <c r="Q38" s="40"/>
      <c r="R38" s="40"/>
      <c r="S38" s="46"/>
      <c r="T38" s="40"/>
      <c r="U38" s="40"/>
      <c r="V38" s="40"/>
      <c r="W38" s="46"/>
      <c r="AA38" s="44"/>
      <c r="AB38" s="41"/>
    </row>
    <row r="39" spans="1:30" s="42" customFormat="1" ht="20.149999999999999" customHeight="1" x14ac:dyDescent="0.25">
      <c r="A39" s="51"/>
      <c r="F39" s="40"/>
      <c r="G39" s="36"/>
      <c r="H39" s="36"/>
      <c r="I39" s="36"/>
      <c r="J39" s="36"/>
      <c r="K39" s="103" t="s">
        <v>34</v>
      </c>
      <c r="L39" s="36"/>
      <c r="M39" s="36"/>
      <c r="N39" s="36"/>
      <c r="O39" s="104" t="s">
        <v>38</v>
      </c>
      <c r="P39" s="36"/>
      <c r="Q39" s="36"/>
      <c r="R39" s="36"/>
      <c r="S39" s="105" t="s">
        <v>42</v>
      </c>
      <c r="T39" s="36"/>
      <c r="U39" s="36"/>
      <c r="V39" s="36"/>
      <c r="W39" s="106" t="s">
        <v>46</v>
      </c>
      <c r="AA39" s="44"/>
      <c r="AB39" s="41"/>
    </row>
    <row r="40" spans="1:30" s="42" customFormat="1" ht="50.15" customHeight="1" x14ac:dyDescent="0.25">
      <c r="A40" s="51"/>
      <c r="B40" s="258" t="s">
        <v>17</v>
      </c>
      <c r="C40" s="259"/>
      <c r="F40" s="40"/>
      <c r="G40" s="54" t="s">
        <v>29</v>
      </c>
      <c r="H40" s="36"/>
      <c r="I40" s="36"/>
      <c r="J40" s="36"/>
      <c r="K40" s="107">
        <f>G42</f>
        <v>0</v>
      </c>
      <c r="L40" s="36"/>
      <c r="M40" s="36"/>
      <c r="N40" s="36"/>
      <c r="O40" s="107">
        <f>K42</f>
        <v>0</v>
      </c>
      <c r="P40" s="36"/>
      <c r="Q40" s="36"/>
      <c r="R40" s="36"/>
      <c r="S40" s="107">
        <f>O42</f>
        <v>0</v>
      </c>
      <c r="T40" s="36"/>
      <c r="U40" s="36"/>
      <c r="V40" s="36"/>
      <c r="W40" s="107">
        <f>S42</f>
        <v>0</v>
      </c>
      <c r="AA40" s="55" t="s">
        <v>50</v>
      </c>
      <c r="AB40" s="41"/>
    </row>
    <row r="41" spans="1:30" s="39" customFormat="1" ht="7" customHeight="1" x14ac:dyDescent="0.3">
      <c r="A41" s="51"/>
      <c r="F41" s="40"/>
      <c r="G41" s="40"/>
      <c r="H41" s="40"/>
      <c r="I41" s="40" t="str">
        <f>IF(AND(I42&lt;&gt;"",I43&lt;&gt;""),"x","")</f>
        <v/>
      </c>
      <c r="J41" s="40"/>
      <c r="K41" s="40"/>
      <c r="L41" s="40"/>
      <c r="M41" s="40" t="e">
        <f>IF(AND(M42&lt;&gt;"",M43&lt;&gt;""),"x","")</f>
        <v>#REF!</v>
      </c>
      <c r="N41" s="40"/>
      <c r="O41" s="40"/>
      <c r="P41" s="40"/>
      <c r="Q41" s="40" t="e">
        <f>IF(AND(Q42&lt;&gt;"",Q43&lt;&gt;""),"x","")</f>
        <v>#REF!</v>
      </c>
      <c r="R41" s="40"/>
      <c r="S41" s="40"/>
      <c r="T41" s="40"/>
      <c r="U41" s="40" t="e">
        <f>IF(AND(U42&lt;&gt;"",U43&lt;&gt;""),"x","")</f>
        <v>#REF!</v>
      </c>
      <c r="V41" s="40"/>
      <c r="W41" s="40"/>
      <c r="X41" s="41"/>
      <c r="Y41" s="42"/>
      <c r="Z41" s="42"/>
      <c r="AA41" s="42"/>
      <c r="AB41" s="41"/>
      <c r="AC41" s="41"/>
      <c r="AD41" s="41"/>
    </row>
    <row r="42" spans="1:30" s="39" customFormat="1" ht="20.149999999999999" customHeight="1" x14ac:dyDescent="0.3">
      <c r="A42" s="248">
        <v>5</v>
      </c>
      <c r="B42" s="242" t="str">
        <f>IF('FO-GC-003'!I29&lt;&gt;"",'FO-GC-003'!I29,"")</f>
        <v/>
      </c>
      <c r="C42" s="242"/>
      <c r="F42" s="241" t="s">
        <v>108</v>
      </c>
      <c r="G42" s="235"/>
      <c r="H42" s="40"/>
      <c r="I42" s="40" t="str">
        <f>IF(AND(I43&lt;&gt;"",J43&lt;&gt;""),IF(AND(G42&lt;&gt;"",K42&lt;&gt;""),"","x"),IF(AND(G42="",K42="",I44="x",I48="x"),"x",""))</f>
        <v/>
      </c>
      <c r="J42" s="40"/>
      <c r="K42" s="235"/>
      <c r="L42" s="40"/>
      <c r="M42" s="40" t="e">
        <f>IF(AND(M43&lt;&gt;"",N43&lt;&gt;""),IF(AND(K42&lt;&gt;"",O42&lt;&gt;""),"","x"),IF(AND(K42="",O42="",M44="x",M48="x"),"x",""))</f>
        <v>#REF!</v>
      </c>
      <c r="N42" s="40"/>
      <c r="O42" s="235"/>
      <c r="P42" s="40"/>
      <c r="Q42" s="40" t="e">
        <f>IF(AND(Q43&lt;&gt;"",R43&lt;&gt;""),IF(AND(O42&lt;&gt;"",S42&lt;&gt;""),"","x"),IF(AND(O42="",S42="",Q44="x",Q48="x"),"x",""))</f>
        <v>#REF!</v>
      </c>
      <c r="R42" s="40"/>
      <c r="S42" s="235"/>
      <c r="T42" s="40"/>
      <c r="U42" s="40" t="e">
        <f>IF(AND(U43&lt;&gt;"",V43&lt;&gt;""),IF(AND(S42&lt;&gt;"",W42&lt;&gt;""),"","x"),IF(AND(S42="",W42="",U44="x",U48="x"),"x",""))</f>
        <v>#REF!</v>
      </c>
      <c r="V42" s="40"/>
      <c r="W42" s="235"/>
      <c r="X42" s="42"/>
      <c r="Y42" s="42"/>
      <c r="Z42" s="43" t="e">
        <f>IF(LOOKUP(2,1/(G42:W42&lt;&gt;""),G42:W42)="x","",LOOKUP(2,1/(G42:W42&lt;&gt;""),G42:W42))</f>
        <v>#N/A</v>
      </c>
      <c r="AA42" s="238" t="str">
        <f>IF(ISNA($Z42),"",$Z42)</f>
        <v/>
      </c>
      <c r="AB42" s="41"/>
      <c r="AC42" s="41"/>
      <c r="AD42" s="41"/>
    </row>
    <row r="43" spans="1:30" s="42" customFormat="1" ht="7" customHeight="1" x14ac:dyDescent="0.25">
      <c r="A43" s="248"/>
      <c r="B43" s="242"/>
      <c r="C43" s="242"/>
      <c r="F43" s="241"/>
      <c r="G43" s="236"/>
      <c r="H43" s="40" t="str">
        <f>IF(AND(G42&lt;&gt;"",K42&lt;&gt;""),"x","")</f>
        <v/>
      </c>
      <c r="I43" s="40" t="str">
        <f>IF(K42&lt;&gt;"","x",IF(I44="x","x",""))</f>
        <v/>
      </c>
      <c r="J43" s="40" t="str">
        <f>IF(K42&lt;&gt;"","x","")</f>
        <v/>
      </c>
      <c r="K43" s="236"/>
      <c r="L43" s="40" t="str">
        <f>IF(AND(K42&lt;&gt;"",O42&lt;&gt;""),"x","")</f>
        <v/>
      </c>
      <c r="M43" s="40" t="e">
        <f>IF(O42&lt;&gt;"","x",IF(M44="x","x",""))</f>
        <v>#REF!</v>
      </c>
      <c r="N43" s="40" t="str">
        <f>IF(O42&lt;&gt;"","x","")</f>
        <v/>
      </c>
      <c r="O43" s="236"/>
      <c r="P43" s="40" t="str">
        <f>IF(AND(O42&lt;&gt;"",S42&lt;&gt;""),"x","")</f>
        <v/>
      </c>
      <c r="Q43" s="40" t="e">
        <f>IF(S42&lt;&gt;"","x",IF(Q44="x","x",""))</f>
        <v>#REF!</v>
      </c>
      <c r="R43" s="40" t="str">
        <f>IF(S42&lt;&gt;"","x","")</f>
        <v/>
      </c>
      <c r="S43" s="236"/>
      <c r="T43" s="40" t="str">
        <f>IF(AND(S42&lt;&gt;"",W42&lt;&gt;""),"x","")</f>
        <v/>
      </c>
      <c r="U43" s="40" t="e">
        <f>IF(W42&lt;&gt;"","x",IF(U44="x","x",""))</f>
        <v>#REF!</v>
      </c>
      <c r="V43" s="40" t="str">
        <f>IF(W42&lt;&gt;"","x","")</f>
        <v/>
      </c>
      <c r="W43" s="236"/>
      <c r="AA43" s="239"/>
    </row>
    <row r="44" spans="1:30" s="39" customFormat="1" ht="20.149999999999999" customHeight="1" x14ac:dyDescent="0.3">
      <c r="A44" s="248"/>
      <c r="B44" s="242"/>
      <c r="C44" s="242"/>
      <c r="F44" s="241"/>
      <c r="G44" s="237"/>
      <c r="H44" s="40"/>
      <c r="I44" s="40" t="str">
        <f>IF(I48="x","x","")</f>
        <v/>
      </c>
      <c r="J44" s="40"/>
      <c r="K44" s="237"/>
      <c r="L44" s="40"/>
      <c r="M44" s="40" t="e">
        <f>IF(M48="x","x","")</f>
        <v>#REF!</v>
      </c>
      <c r="N44" s="40"/>
      <c r="O44" s="237"/>
      <c r="P44" s="40"/>
      <c r="Q44" s="40" t="e">
        <f>IF(Q48="x","x","")</f>
        <v>#REF!</v>
      </c>
      <c r="R44" s="40"/>
      <c r="S44" s="237"/>
      <c r="T44" s="40"/>
      <c r="U44" s="40" t="e">
        <f>IF(U48="x","x","")</f>
        <v>#REF!</v>
      </c>
      <c r="V44" s="40"/>
      <c r="W44" s="237"/>
      <c r="X44" s="42"/>
      <c r="Y44" s="42"/>
      <c r="Z44" s="42"/>
      <c r="AA44" s="240"/>
      <c r="AB44" s="41"/>
      <c r="AC44" s="41"/>
      <c r="AD44" s="41"/>
    </row>
    <row r="45" spans="1:30" s="39" customFormat="1" ht="7" customHeight="1" x14ac:dyDescent="0.3">
      <c r="A45" s="51"/>
      <c r="F45" s="40"/>
      <c r="G45" s="46"/>
      <c r="H45" s="40"/>
      <c r="I45" s="40"/>
      <c r="J45" s="40"/>
      <c r="K45" s="46"/>
      <c r="L45" s="40"/>
      <c r="M45" s="40"/>
      <c r="N45" s="40"/>
      <c r="O45" s="46"/>
      <c r="P45" s="40"/>
      <c r="Q45" s="40"/>
      <c r="R45" s="40"/>
      <c r="S45" s="46"/>
      <c r="T45" s="40"/>
      <c r="U45" s="40"/>
      <c r="V45" s="40"/>
      <c r="W45" s="46"/>
      <c r="X45" s="42"/>
      <c r="Y45" s="42"/>
      <c r="Z45" s="42"/>
      <c r="AA45" s="44"/>
      <c r="AB45" s="41"/>
      <c r="AC45" s="41"/>
      <c r="AD45" s="41"/>
    </row>
    <row r="46" spans="1:30" s="39" customFormat="1" ht="20.149999999999999" customHeight="1" x14ac:dyDescent="0.3">
      <c r="A46" s="51"/>
      <c r="F46" s="40"/>
      <c r="G46" s="36"/>
      <c r="H46" s="36"/>
      <c r="I46" s="36"/>
      <c r="J46" s="36"/>
      <c r="K46" s="103" t="s">
        <v>34</v>
      </c>
      <c r="L46" s="36"/>
      <c r="M46" s="36"/>
      <c r="N46" s="36"/>
      <c r="O46" s="104" t="s">
        <v>38</v>
      </c>
      <c r="P46" s="36"/>
      <c r="Q46" s="36"/>
      <c r="R46" s="36"/>
      <c r="S46" s="105" t="s">
        <v>42</v>
      </c>
      <c r="T46" s="36"/>
      <c r="U46" s="36"/>
      <c r="V46" s="36"/>
      <c r="W46" s="106" t="s">
        <v>46</v>
      </c>
      <c r="X46" s="42"/>
      <c r="Y46" s="42"/>
      <c r="Z46" s="42"/>
      <c r="AA46" s="44"/>
      <c r="AB46" s="41"/>
      <c r="AC46" s="41"/>
      <c r="AD46" s="41"/>
    </row>
    <row r="47" spans="1:30" s="39" customFormat="1" ht="50.15" customHeight="1" x14ac:dyDescent="0.3">
      <c r="A47" s="51"/>
      <c r="B47" s="258" t="s">
        <v>17</v>
      </c>
      <c r="C47" s="259"/>
      <c r="F47" s="40"/>
      <c r="G47" s="54" t="s">
        <v>29</v>
      </c>
      <c r="H47" s="36"/>
      <c r="I47" s="36"/>
      <c r="J47" s="36"/>
      <c r="K47" s="107">
        <f>G49</f>
        <v>0</v>
      </c>
      <c r="L47" s="36"/>
      <c r="M47" s="36"/>
      <c r="N47" s="36"/>
      <c r="O47" s="107">
        <f>K49</f>
        <v>0</v>
      </c>
      <c r="P47" s="36"/>
      <c r="Q47" s="36"/>
      <c r="R47" s="36"/>
      <c r="S47" s="107">
        <f>O49</f>
        <v>0</v>
      </c>
      <c r="T47" s="36"/>
      <c r="U47" s="36"/>
      <c r="V47" s="36"/>
      <c r="W47" s="107">
        <f>S49</f>
        <v>0</v>
      </c>
      <c r="X47" s="42"/>
      <c r="Y47" s="42"/>
      <c r="Z47" s="42"/>
      <c r="AA47" s="55" t="s">
        <v>50</v>
      </c>
      <c r="AB47" s="41"/>
      <c r="AC47" s="41"/>
      <c r="AD47" s="41"/>
    </row>
    <row r="48" spans="1:30" s="39" customFormat="1" ht="7" customHeight="1" x14ac:dyDescent="0.3">
      <c r="A48" s="51"/>
      <c r="F48" s="40"/>
      <c r="G48" s="40"/>
      <c r="H48" s="40"/>
      <c r="I48" s="40" t="str">
        <f>IF(AND(I49&lt;&gt;"",I50&lt;&gt;""),"x","")</f>
        <v/>
      </c>
      <c r="J48" s="40"/>
      <c r="K48" s="40"/>
      <c r="L48" s="40"/>
      <c r="M48" s="40" t="e">
        <f>IF(AND(M49&lt;&gt;"",M50&lt;&gt;""),"x","")</f>
        <v>#REF!</v>
      </c>
      <c r="N48" s="40"/>
      <c r="O48" s="40"/>
      <c r="P48" s="40"/>
      <c r="Q48" s="40" t="e">
        <f>IF(AND(Q49&lt;&gt;"",Q50&lt;&gt;""),"x","")</f>
        <v>#REF!</v>
      </c>
      <c r="R48" s="40"/>
      <c r="S48" s="40"/>
      <c r="T48" s="40"/>
      <c r="U48" s="40" t="e">
        <f>IF(AND(U49&lt;&gt;"",U50&lt;&gt;""),"x","")</f>
        <v>#REF!</v>
      </c>
      <c r="V48" s="40"/>
      <c r="W48" s="40"/>
      <c r="X48" s="42"/>
      <c r="Y48" s="42"/>
      <c r="Z48" s="42"/>
      <c r="AA48" s="42"/>
      <c r="AB48" s="41"/>
      <c r="AC48" s="41"/>
      <c r="AD48" s="41"/>
    </row>
    <row r="49" spans="1:30" s="39" customFormat="1" ht="20.149999999999999" customHeight="1" x14ac:dyDescent="0.3">
      <c r="A49" s="248">
        <v>6</v>
      </c>
      <c r="B49" s="242" t="str">
        <f>IF('FO-GC-003'!I33&lt;&gt;"",'FO-GC-003'!I33,"")</f>
        <v/>
      </c>
      <c r="C49" s="242"/>
      <c r="F49" s="241" t="s">
        <v>108</v>
      </c>
      <c r="G49" s="235"/>
      <c r="H49" s="40"/>
      <c r="I49" s="40" t="str">
        <f>IF(AND(I50&lt;&gt;"",J50&lt;&gt;""),IF(AND(G49&lt;&gt;"",K49&lt;&gt;""),"","x"),IF(AND(G49="",K49="",I51="x",I55="x"),"x",""))</f>
        <v/>
      </c>
      <c r="J49" s="40"/>
      <c r="K49" s="235"/>
      <c r="L49" s="40"/>
      <c r="M49" s="40" t="e">
        <f>IF(AND(M50&lt;&gt;"",N50&lt;&gt;""),IF(AND(K49&lt;&gt;"",O49&lt;&gt;""),"","x"),IF(AND(K49="",O49="",M51="x",M55="x"),"x",""))</f>
        <v>#REF!</v>
      </c>
      <c r="N49" s="40"/>
      <c r="O49" s="235"/>
      <c r="P49" s="40"/>
      <c r="Q49" s="40" t="e">
        <f>IF(AND(Q50&lt;&gt;"",R50&lt;&gt;""),IF(AND(O49&lt;&gt;"",S49&lt;&gt;""),"","x"),IF(AND(O49="",S49="",Q51="x",Q55="x"),"x",""))</f>
        <v>#REF!</v>
      </c>
      <c r="R49" s="40"/>
      <c r="S49" s="235"/>
      <c r="T49" s="40"/>
      <c r="U49" s="40" t="e">
        <f>IF(AND(U50&lt;&gt;"",V50&lt;&gt;""),IF(AND(S49&lt;&gt;"",W49&lt;&gt;""),"","x"),IF(AND(S49="",W49="",U51="x",U55="x"),"x",""))</f>
        <v>#REF!</v>
      </c>
      <c r="V49" s="40"/>
      <c r="W49" s="235"/>
      <c r="X49" s="41"/>
      <c r="Y49" s="42"/>
      <c r="Z49" s="43" t="e">
        <f>IF(LOOKUP(2,1/(G49:W49&lt;&gt;""),G49:W49)="x","",LOOKUP(2,1/(G49:W49&lt;&gt;""),G49:W49))</f>
        <v>#N/A</v>
      </c>
      <c r="AA49" s="238" t="str">
        <f>IF(ISNA($Z49),"",$Z49)</f>
        <v/>
      </c>
      <c r="AB49" s="41"/>
      <c r="AC49" s="41"/>
      <c r="AD49" s="41"/>
    </row>
    <row r="50" spans="1:30" s="42" customFormat="1" ht="7" customHeight="1" x14ac:dyDescent="0.25">
      <c r="A50" s="248"/>
      <c r="B50" s="242"/>
      <c r="C50" s="242"/>
      <c r="F50" s="241"/>
      <c r="G50" s="236"/>
      <c r="H50" s="40" t="str">
        <f>IF(AND(G49&lt;&gt;"",K49&lt;&gt;""),"x","")</f>
        <v/>
      </c>
      <c r="I50" s="40" t="str">
        <f>IF(K49&lt;&gt;"","x",IF(I51="x","x",""))</f>
        <v/>
      </c>
      <c r="J50" s="40" t="str">
        <f>IF(K49&lt;&gt;"","x","")</f>
        <v/>
      </c>
      <c r="K50" s="236"/>
      <c r="L50" s="40" t="str">
        <f>IF(AND(K49&lt;&gt;"",O49&lt;&gt;""),"x","")</f>
        <v/>
      </c>
      <c r="M50" s="40" t="e">
        <f>IF(O49&lt;&gt;"","x",IF(M51="x","x",""))</f>
        <v>#REF!</v>
      </c>
      <c r="N50" s="40" t="str">
        <f>IF(O49&lt;&gt;"","x","")</f>
        <v/>
      </c>
      <c r="O50" s="236"/>
      <c r="P50" s="40" t="str">
        <f>IF(AND(O49&lt;&gt;"",S49&lt;&gt;""),"x","")</f>
        <v/>
      </c>
      <c r="Q50" s="40" t="e">
        <f>IF(S49&lt;&gt;"","x",IF(Q51="x","x",""))</f>
        <v>#REF!</v>
      </c>
      <c r="R50" s="40" t="str">
        <f>IF(S49&lt;&gt;"","x","")</f>
        <v/>
      </c>
      <c r="S50" s="236"/>
      <c r="T50" s="40" t="str">
        <f>IF(AND(S49&lt;&gt;"",W49&lt;&gt;""),"x","")</f>
        <v/>
      </c>
      <c r="U50" s="40" t="e">
        <f>IF(W49&lt;&gt;"","x",IF(U51="x","x",""))</f>
        <v>#REF!</v>
      </c>
      <c r="V50" s="40" t="str">
        <f>IF(W49&lt;&gt;"","x","")</f>
        <v/>
      </c>
      <c r="W50" s="236"/>
      <c r="AA50" s="239"/>
    </row>
    <row r="51" spans="1:30" s="39" customFormat="1" ht="20.149999999999999" customHeight="1" x14ac:dyDescent="0.3">
      <c r="A51" s="248"/>
      <c r="B51" s="242"/>
      <c r="C51" s="242"/>
      <c r="F51" s="241"/>
      <c r="G51" s="237"/>
      <c r="H51" s="40"/>
      <c r="I51" s="40" t="str">
        <f>IF(I55="x","x","")</f>
        <v/>
      </c>
      <c r="J51" s="40"/>
      <c r="K51" s="237"/>
      <c r="L51" s="40"/>
      <c r="M51" s="40" t="e">
        <f>IF(M55="x","x","")</f>
        <v>#REF!</v>
      </c>
      <c r="N51" s="40"/>
      <c r="O51" s="237"/>
      <c r="P51" s="40"/>
      <c r="Q51" s="40" t="e">
        <f>IF(Q55="x","x","")</f>
        <v>#REF!</v>
      </c>
      <c r="R51" s="40"/>
      <c r="S51" s="237"/>
      <c r="T51" s="40"/>
      <c r="U51" s="40" t="e">
        <f>IF(U55="x","x","")</f>
        <v>#REF!</v>
      </c>
      <c r="V51" s="40"/>
      <c r="W51" s="237"/>
      <c r="X51" s="42"/>
      <c r="Y51" s="42"/>
      <c r="Z51" s="42"/>
      <c r="AA51" s="240"/>
      <c r="AB51" s="41"/>
      <c r="AC51" s="41"/>
      <c r="AD51" s="41"/>
    </row>
    <row r="52" spans="1:30" s="39" customFormat="1" ht="7" customHeight="1" x14ac:dyDescent="0.3">
      <c r="A52" s="51"/>
      <c r="F52" s="40"/>
      <c r="G52" s="46"/>
      <c r="H52" s="40"/>
      <c r="I52" s="40"/>
      <c r="J52" s="40"/>
      <c r="K52" s="46"/>
      <c r="L52" s="40"/>
      <c r="M52" s="40"/>
      <c r="N52" s="40"/>
      <c r="O52" s="46"/>
      <c r="P52" s="40"/>
      <c r="Q52" s="40"/>
      <c r="R52" s="40"/>
      <c r="S52" s="46"/>
      <c r="T52" s="40"/>
      <c r="U52" s="40"/>
      <c r="V52" s="40"/>
      <c r="W52" s="46"/>
      <c r="X52" s="42"/>
      <c r="Y52" s="42"/>
      <c r="Z52" s="42"/>
      <c r="AA52" s="44"/>
      <c r="AB52" s="41"/>
      <c r="AC52" s="41"/>
      <c r="AD52" s="41"/>
    </row>
    <row r="53" spans="1:30" s="39" customFormat="1" ht="20.149999999999999" customHeight="1" x14ac:dyDescent="0.3">
      <c r="A53" s="51"/>
      <c r="F53" s="40"/>
      <c r="G53" s="36"/>
      <c r="H53" s="36"/>
      <c r="I53" s="36"/>
      <c r="J53" s="36"/>
      <c r="K53" s="103" t="s">
        <v>34</v>
      </c>
      <c r="L53" s="36"/>
      <c r="M53" s="36"/>
      <c r="N53" s="36"/>
      <c r="O53" s="104" t="s">
        <v>38</v>
      </c>
      <c r="P53" s="36"/>
      <c r="Q53" s="36"/>
      <c r="R53" s="36"/>
      <c r="S53" s="105" t="s">
        <v>42</v>
      </c>
      <c r="T53" s="36"/>
      <c r="U53" s="36"/>
      <c r="V53" s="36"/>
      <c r="W53" s="106" t="s">
        <v>46</v>
      </c>
      <c r="X53" s="42"/>
      <c r="Y53" s="42"/>
      <c r="Z53" s="42"/>
      <c r="AA53" s="44"/>
      <c r="AB53" s="41"/>
      <c r="AC53" s="41"/>
      <c r="AD53" s="41"/>
    </row>
    <row r="54" spans="1:30" s="39" customFormat="1" ht="50.15" customHeight="1" x14ac:dyDescent="0.3">
      <c r="A54" s="51"/>
      <c r="B54" s="258" t="s">
        <v>17</v>
      </c>
      <c r="C54" s="259"/>
      <c r="F54" s="40"/>
      <c r="G54" s="54" t="s">
        <v>29</v>
      </c>
      <c r="H54" s="36"/>
      <c r="I54" s="36"/>
      <c r="J54" s="36"/>
      <c r="K54" s="107">
        <f>G56</f>
        <v>0</v>
      </c>
      <c r="L54" s="36"/>
      <c r="M54" s="36"/>
      <c r="N54" s="36"/>
      <c r="O54" s="107">
        <f>K56</f>
        <v>0</v>
      </c>
      <c r="P54" s="36"/>
      <c r="Q54" s="36"/>
      <c r="R54" s="36"/>
      <c r="S54" s="107">
        <f>O56</f>
        <v>0</v>
      </c>
      <c r="T54" s="36"/>
      <c r="U54" s="36"/>
      <c r="V54" s="36"/>
      <c r="W54" s="107">
        <f>S56</f>
        <v>0</v>
      </c>
      <c r="X54" s="42"/>
      <c r="Y54" s="42"/>
      <c r="Z54" s="42"/>
      <c r="AA54" s="55" t="s">
        <v>50</v>
      </c>
      <c r="AB54" s="41"/>
      <c r="AC54" s="41"/>
      <c r="AD54" s="41"/>
    </row>
    <row r="55" spans="1:30" s="39" customFormat="1" ht="7" customHeight="1" x14ac:dyDescent="0.3">
      <c r="A55" s="51"/>
      <c r="F55" s="40"/>
      <c r="G55" s="40"/>
      <c r="H55" s="40"/>
      <c r="I55" s="40" t="str">
        <f>IF(AND(I56&lt;&gt;"",I57&lt;&gt;""),"x","")</f>
        <v/>
      </c>
      <c r="J55" s="40"/>
      <c r="K55" s="40"/>
      <c r="L55" s="40"/>
      <c r="M55" s="40" t="e">
        <f>IF(AND(M56&lt;&gt;"",M57&lt;&gt;""),"x","")</f>
        <v>#REF!</v>
      </c>
      <c r="N55" s="40"/>
      <c r="O55" s="40"/>
      <c r="P55" s="40"/>
      <c r="Q55" s="40" t="e">
        <f>IF(AND(Q56&lt;&gt;"",Q57&lt;&gt;""),"x","")</f>
        <v>#REF!</v>
      </c>
      <c r="R55" s="40"/>
      <c r="S55" s="40"/>
      <c r="T55" s="40"/>
      <c r="U55" s="40" t="e">
        <f>IF(AND(U56&lt;&gt;"",U57&lt;&gt;""),"x","")</f>
        <v>#REF!</v>
      </c>
      <c r="V55" s="40"/>
      <c r="W55" s="40"/>
      <c r="X55" s="42"/>
      <c r="Y55" s="42"/>
      <c r="Z55" s="42"/>
      <c r="AA55" s="42"/>
      <c r="AB55" s="41"/>
      <c r="AC55" s="41"/>
      <c r="AD55" s="41"/>
    </row>
    <row r="56" spans="1:30" s="39" customFormat="1" ht="20.149999999999999" customHeight="1" x14ac:dyDescent="0.3">
      <c r="A56" s="248">
        <v>7</v>
      </c>
      <c r="B56" s="242" t="str">
        <f>IF('FO-GC-003'!I37&lt;&gt;"",'FO-GC-003'!I37,"")</f>
        <v/>
      </c>
      <c r="C56" s="242"/>
      <c r="F56" s="241" t="s">
        <v>108</v>
      </c>
      <c r="G56" s="235"/>
      <c r="H56" s="40"/>
      <c r="I56" s="40" t="str">
        <f>IF(AND(I57&lt;&gt;"",J57&lt;&gt;""),IF(AND(G56&lt;&gt;"",K56&lt;&gt;""),"","x"),IF(AND(G56="",K56="",I58="x",I62="x"),"x",""))</f>
        <v/>
      </c>
      <c r="J56" s="40"/>
      <c r="K56" s="235"/>
      <c r="L56" s="40"/>
      <c r="M56" s="40" t="e">
        <f>IF(AND(M57&lt;&gt;"",N57&lt;&gt;""),IF(AND(K56&lt;&gt;"",O56&lt;&gt;""),"","x"),IF(AND(K56="",O56="",M58="x",M62="x"),"x",""))</f>
        <v>#REF!</v>
      </c>
      <c r="N56" s="40"/>
      <c r="O56" s="235"/>
      <c r="P56" s="40"/>
      <c r="Q56" s="40" t="e">
        <f>IF(AND(Q57&lt;&gt;"",R57&lt;&gt;""),IF(AND(O56&lt;&gt;"",S56&lt;&gt;""),"","x"),IF(AND(O56="",S56="",Q58="x",Q62="x"),"x",""))</f>
        <v>#REF!</v>
      </c>
      <c r="R56" s="40"/>
      <c r="S56" s="235"/>
      <c r="T56" s="40"/>
      <c r="U56" s="40" t="e">
        <f>IF(AND(U57&lt;&gt;"",V57&lt;&gt;""),IF(AND(S56&lt;&gt;"",W56&lt;&gt;""),"","x"),IF(AND(S56="",W56="",U58="x",U62="x"),"x",""))</f>
        <v>#REF!</v>
      </c>
      <c r="V56" s="40"/>
      <c r="W56" s="235"/>
      <c r="X56" s="41"/>
      <c r="Y56" s="42"/>
      <c r="Z56" s="43" t="e">
        <f>IF(LOOKUP(2,1/(G56:W56&lt;&gt;""),G56:W56)="x","",LOOKUP(2,1/(G56:W56&lt;&gt;""),G56:W56))</f>
        <v>#N/A</v>
      </c>
      <c r="AA56" s="238" t="str">
        <f>IF(ISNA($Z56),"",$Z56)</f>
        <v/>
      </c>
      <c r="AB56" s="41"/>
      <c r="AC56" s="41"/>
      <c r="AD56" s="41"/>
    </row>
    <row r="57" spans="1:30" s="42" customFormat="1" ht="7" customHeight="1" x14ac:dyDescent="0.25">
      <c r="A57" s="248"/>
      <c r="B57" s="242"/>
      <c r="C57" s="242"/>
      <c r="F57" s="241"/>
      <c r="G57" s="236"/>
      <c r="H57" s="40" t="str">
        <f>IF(AND(G56&lt;&gt;"",K56&lt;&gt;""),"x","")</f>
        <v/>
      </c>
      <c r="I57" s="40" t="str">
        <f>IF(K56&lt;&gt;"","x",IF(I58="x","x",""))</f>
        <v/>
      </c>
      <c r="J57" s="40" t="str">
        <f>IF(K56&lt;&gt;"","x","")</f>
        <v/>
      </c>
      <c r="K57" s="236"/>
      <c r="L57" s="40" t="str">
        <f>IF(AND(K56&lt;&gt;"",O56&lt;&gt;""),"x","")</f>
        <v/>
      </c>
      <c r="M57" s="40" t="e">
        <f>IF(O56&lt;&gt;"","x",IF(M58="x","x",""))</f>
        <v>#REF!</v>
      </c>
      <c r="N57" s="40" t="str">
        <f>IF(O56&lt;&gt;"","x","")</f>
        <v/>
      </c>
      <c r="O57" s="236"/>
      <c r="P57" s="40" t="str">
        <f>IF(AND(O56&lt;&gt;"",S56&lt;&gt;""),"x","")</f>
        <v/>
      </c>
      <c r="Q57" s="40" t="e">
        <f>IF(S56&lt;&gt;"","x",IF(Q58="x","x",""))</f>
        <v>#REF!</v>
      </c>
      <c r="R57" s="40" t="str">
        <f>IF(S56&lt;&gt;"","x","")</f>
        <v/>
      </c>
      <c r="S57" s="236"/>
      <c r="T57" s="40" t="str">
        <f>IF(AND(S56&lt;&gt;"",W56&lt;&gt;""),"x","")</f>
        <v/>
      </c>
      <c r="U57" s="40" t="e">
        <f>IF(W56&lt;&gt;"","x",IF(U58="x","x",""))</f>
        <v>#REF!</v>
      </c>
      <c r="V57" s="40" t="str">
        <f>IF(W56&lt;&gt;"","x","")</f>
        <v/>
      </c>
      <c r="W57" s="236"/>
      <c r="AA57" s="239"/>
    </row>
    <row r="58" spans="1:30" s="39" customFormat="1" ht="20.149999999999999" customHeight="1" x14ac:dyDescent="0.3">
      <c r="A58" s="248"/>
      <c r="B58" s="242"/>
      <c r="C58" s="242"/>
      <c r="F58" s="241"/>
      <c r="G58" s="237"/>
      <c r="H58" s="40"/>
      <c r="I58" s="40" t="str">
        <f>IF(I62="x","x","")</f>
        <v/>
      </c>
      <c r="J58" s="40"/>
      <c r="K58" s="237"/>
      <c r="L58" s="40"/>
      <c r="M58" s="40" t="e">
        <f>IF(M62="x","x","")</f>
        <v>#REF!</v>
      </c>
      <c r="N58" s="40"/>
      <c r="O58" s="237"/>
      <c r="P58" s="40"/>
      <c r="Q58" s="40" t="e">
        <f>IF(Q62="x","x","")</f>
        <v>#REF!</v>
      </c>
      <c r="R58" s="40"/>
      <c r="S58" s="237"/>
      <c r="T58" s="40"/>
      <c r="U58" s="40" t="e">
        <f>IF(U62="x","x","")</f>
        <v>#REF!</v>
      </c>
      <c r="V58" s="40"/>
      <c r="W58" s="237"/>
      <c r="X58" s="42"/>
      <c r="Y58" s="42"/>
      <c r="Z58" s="42"/>
      <c r="AA58" s="240"/>
      <c r="AB58" s="41"/>
      <c r="AC58" s="41"/>
      <c r="AD58" s="41"/>
    </row>
    <row r="59" spans="1:30" s="39" customFormat="1" ht="7" customHeight="1" x14ac:dyDescent="0.3">
      <c r="A59" s="51"/>
      <c r="F59" s="40"/>
      <c r="G59" s="46"/>
      <c r="H59" s="40"/>
      <c r="I59" s="40"/>
      <c r="J59" s="40"/>
      <c r="K59" s="46"/>
      <c r="L59" s="40"/>
      <c r="M59" s="40"/>
      <c r="N59" s="40"/>
      <c r="O59" s="46"/>
      <c r="P59" s="40"/>
      <c r="Q59" s="40"/>
      <c r="R59" s="40"/>
      <c r="S59" s="46"/>
      <c r="T59" s="40"/>
      <c r="U59" s="40"/>
      <c r="V59" s="40"/>
      <c r="W59" s="46"/>
      <c r="X59" s="42"/>
      <c r="Y59" s="42"/>
      <c r="Z59" s="42"/>
      <c r="AA59" s="44"/>
      <c r="AB59" s="41"/>
      <c r="AC59" s="41"/>
      <c r="AD59" s="41"/>
    </row>
    <row r="60" spans="1:30" s="39" customFormat="1" ht="20.149999999999999" customHeight="1" x14ac:dyDescent="0.3">
      <c r="A60" s="51"/>
      <c r="F60" s="40"/>
      <c r="G60" s="36"/>
      <c r="H60" s="36"/>
      <c r="I60" s="36"/>
      <c r="J60" s="36"/>
      <c r="K60" s="103" t="s">
        <v>34</v>
      </c>
      <c r="L60" s="36"/>
      <c r="M60" s="36"/>
      <c r="N60" s="36"/>
      <c r="O60" s="104" t="s">
        <v>38</v>
      </c>
      <c r="P60" s="36"/>
      <c r="Q60" s="36"/>
      <c r="R60" s="36"/>
      <c r="S60" s="105" t="s">
        <v>42</v>
      </c>
      <c r="T60" s="36"/>
      <c r="U60" s="36"/>
      <c r="V60" s="36"/>
      <c r="W60" s="106" t="s">
        <v>46</v>
      </c>
      <c r="X60" s="42"/>
      <c r="Y60" s="42"/>
      <c r="Z60" s="42"/>
      <c r="AA60" s="44"/>
      <c r="AB60" s="41"/>
      <c r="AC60" s="41"/>
      <c r="AD60" s="41"/>
    </row>
    <row r="61" spans="1:30" s="39" customFormat="1" ht="50.15" customHeight="1" x14ac:dyDescent="0.3">
      <c r="A61" s="51"/>
      <c r="B61" s="258" t="s">
        <v>17</v>
      </c>
      <c r="C61" s="259"/>
      <c r="F61" s="40"/>
      <c r="G61" s="54" t="s">
        <v>29</v>
      </c>
      <c r="H61" s="36"/>
      <c r="I61" s="36"/>
      <c r="J61" s="36"/>
      <c r="K61" s="107">
        <f>G63</f>
        <v>0</v>
      </c>
      <c r="L61" s="36"/>
      <c r="M61" s="36"/>
      <c r="N61" s="36"/>
      <c r="O61" s="107">
        <f>K63</f>
        <v>0</v>
      </c>
      <c r="P61" s="36"/>
      <c r="Q61" s="36"/>
      <c r="R61" s="36"/>
      <c r="S61" s="107">
        <f>O63</f>
        <v>0</v>
      </c>
      <c r="T61" s="36"/>
      <c r="U61" s="36"/>
      <c r="V61" s="36"/>
      <c r="W61" s="107">
        <f>S63</f>
        <v>0</v>
      </c>
      <c r="X61" s="42"/>
      <c r="Y61" s="42"/>
      <c r="Z61" s="42"/>
      <c r="AA61" s="55" t="s">
        <v>50</v>
      </c>
      <c r="AB61" s="41"/>
      <c r="AC61" s="41"/>
      <c r="AD61" s="41"/>
    </row>
    <row r="62" spans="1:30" s="39" customFormat="1" ht="7" customHeight="1" x14ac:dyDescent="0.3">
      <c r="A62" s="51"/>
      <c r="F62" s="40"/>
      <c r="G62" s="40"/>
      <c r="H62" s="40"/>
      <c r="I62" s="40" t="str">
        <f>IF(AND(I63&lt;&gt;"",I64&lt;&gt;""),"x","")</f>
        <v/>
      </c>
      <c r="J62" s="40"/>
      <c r="K62" s="40"/>
      <c r="L62" s="40"/>
      <c r="M62" s="40" t="e">
        <f>IF(AND(M63&lt;&gt;"",M64&lt;&gt;""),"x","")</f>
        <v>#REF!</v>
      </c>
      <c r="N62" s="40"/>
      <c r="O62" s="40"/>
      <c r="P62" s="40"/>
      <c r="Q62" s="40" t="e">
        <f>IF(AND(Q63&lt;&gt;"",Q64&lt;&gt;""),"x","")</f>
        <v>#REF!</v>
      </c>
      <c r="R62" s="40"/>
      <c r="S62" s="40"/>
      <c r="T62" s="40"/>
      <c r="U62" s="40" t="e">
        <f>IF(AND(U63&lt;&gt;"",U64&lt;&gt;""),"x","")</f>
        <v>#REF!</v>
      </c>
      <c r="V62" s="40"/>
      <c r="W62" s="40"/>
      <c r="X62" s="42"/>
      <c r="Y62" s="42"/>
      <c r="Z62" s="42"/>
      <c r="AA62" s="42"/>
      <c r="AB62" s="41"/>
      <c r="AC62" s="41"/>
      <c r="AD62" s="41"/>
    </row>
    <row r="63" spans="1:30" s="39" customFormat="1" ht="20.149999999999999" customHeight="1" x14ac:dyDescent="0.3">
      <c r="A63" s="248">
        <v>8</v>
      </c>
      <c r="B63" s="242" t="str">
        <f>IF('FO-GC-003'!I41&lt;&gt;"",'FO-GC-003'!I41,"")</f>
        <v/>
      </c>
      <c r="C63" s="242"/>
      <c r="F63" s="241" t="s">
        <v>108</v>
      </c>
      <c r="G63" s="235"/>
      <c r="H63" s="40"/>
      <c r="I63" s="40" t="str">
        <f>IF(AND(I64&lt;&gt;"",J64&lt;&gt;""),IF(AND(G63&lt;&gt;"",K63&lt;&gt;""),"","x"),IF(AND(G63="",K63="",I65="x",I69="x"),"x",""))</f>
        <v/>
      </c>
      <c r="J63" s="40"/>
      <c r="K63" s="235"/>
      <c r="L63" s="40"/>
      <c r="M63" s="40" t="e">
        <f>IF(AND(M64&lt;&gt;"",N64&lt;&gt;""),IF(AND(K63&lt;&gt;"",O63&lt;&gt;""),"","x"),IF(AND(K63="",O63="",M65="x",M69="x"),"x",""))</f>
        <v>#REF!</v>
      </c>
      <c r="N63" s="40"/>
      <c r="O63" s="235"/>
      <c r="P63" s="40"/>
      <c r="Q63" s="40" t="e">
        <f>IF(AND(Q64&lt;&gt;"",R64&lt;&gt;""),IF(AND(O63&lt;&gt;"",S63&lt;&gt;""),"","x"),IF(AND(O63="",S63="",Q65="x",Q69="x"),"x",""))</f>
        <v>#REF!</v>
      </c>
      <c r="R63" s="40"/>
      <c r="S63" s="235"/>
      <c r="T63" s="40"/>
      <c r="U63" s="40" t="e">
        <f>IF(AND(U64&lt;&gt;"",V64&lt;&gt;""),IF(AND(S63&lt;&gt;"",W63&lt;&gt;""),"","x"),IF(AND(S63="",W63="",U65="x",U69="x"),"x",""))</f>
        <v>#REF!</v>
      </c>
      <c r="V63" s="40"/>
      <c r="W63" s="235"/>
      <c r="X63" s="41"/>
      <c r="Y63" s="42"/>
      <c r="Z63" s="43" t="e">
        <f>IF(LOOKUP(2,1/(G63:W63&lt;&gt;""),G63:W63)="x","",LOOKUP(2,1/(G63:W63&lt;&gt;""),G63:W63))</f>
        <v>#N/A</v>
      </c>
      <c r="AA63" s="238" t="str">
        <f>IF(ISNA($Z63),"",$Z63)</f>
        <v/>
      </c>
      <c r="AB63" s="41"/>
      <c r="AC63" s="41"/>
      <c r="AD63" s="41"/>
    </row>
    <row r="64" spans="1:30" s="42" customFormat="1" ht="7" customHeight="1" x14ac:dyDescent="0.25">
      <c r="A64" s="248"/>
      <c r="B64" s="242"/>
      <c r="C64" s="242"/>
      <c r="F64" s="241"/>
      <c r="G64" s="236"/>
      <c r="H64" s="40" t="str">
        <f>IF(AND(G63&lt;&gt;"",K63&lt;&gt;""),"x","")</f>
        <v/>
      </c>
      <c r="I64" s="40" t="str">
        <f>IF(K63&lt;&gt;"","x",IF(I65="x","x",""))</f>
        <v/>
      </c>
      <c r="J64" s="40" t="str">
        <f>IF(K63&lt;&gt;"","x","")</f>
        <v/>
      </c>
      <c r="K64" s="236"/>
      <c r="L64" s="40" t="str">
        <f>IF(AND(K63&lt;&gt;"",O63&lt;&gt;""),"x","")</f>
        <v/>
      </c>
      <c r="M64" s="40" t="e">
        <f>IF(O63&lt;&gt;"","x",IF(M65="x","x",""))</f>
        <v>#REF!</v>
      </c>
      <c r="N64" s="40" t="str">
        <f>IF(O63&lt;&gt;"","x","")</f>
        <v/>
      </c>
      <c r="O64" s="236"/>
      <c r="P64" s="40" t="str">
        <f>IF(AND(O63&lt;&gt;"",S63&lt;&gt;""),"x","")</f>
        <v/>
      </c>
      <c r="Q64" s="40" t="e">
        <f>IF(S63&lt;&gt;"","x",IF(Q65="x","x",""))</f>
        <v>#REF!</v>
      </c>
      <c r="R64" s="40" t="str">
        <f>IF(S63&lt;&gt;"","x","")</f>
        <v/>
      </c>
      <c r="S64" s="236"/>
      <c r="T64" s="40" t="str">
        <f>IF(AND(S63&lt;&gt;"",W63&lt;&gt;""),"x","")</f>
        <v/>
      </c>
      <c r="U64" s="40" t="e">
        <f>IF(W63&lt;&gt;"","x",IF(U65="x","x",""))</f>
        <v>#REF!</v>
      </c>
      <c r="V64" s="40" t="str">
        <f>IF(W63&lt;&gt;"","x","")</f>
        <v/>
      </c>
      <c r="W64" s="236"/>
      <c r="AA64" s="239"/>
    </row>
    <row r="65" spans="1:30" s="39" customFormat="1" ht="20.149999999999999" customHeight="1" x14ac:dyDescent="0.3">
      <c r="A65" s="248"/>
      <c r="B65" s="242"/>
      <c r="C65" s="242"/>
      <c r="F65" s="241"/>
      <c r="G65" s="237"/>
      <c r="H65" s="40"/>
      <c r="I65" s="40" t="str">
        <f>IF(I69="x","x","")</f>
        <v/>
      </c>
      <c r="J65" s="40"/>
      <c r="K65" s="237"/>
      <c r="L65" s="40"/>
      <c r="M65" s="40" t="e">
        <f>IF(M69="x","x","")</f>
        <v>#REF!</v>
      </c>
      <c r="N65" s="40"/>
      <c r="O65" s="237"/>
      <c r="P65" s="40"/>
      <c r="Q65" s="40" t="e">
        <f>IF(Q69="x","x","")</f>
        <v>#REF!</v>
      </c>
      <c r="R65" s="40"/>
      <c r="S65" s="237"/>
      <c r="T65" s="40"/>
      <c r="U65" s="40" t="e">
        <f>IF(U69="x","x","")</f>
        <v>#REF!</v>
      </c>
      <c r="V65" s="40"/>
      <c r="W65" s="237"/>
      <c r="X65" s="42"/>
      <c r="Y65" s="42"/>
      <c r="Z65" s="42"/>
      <c r="AA65" s="240"/>
      <c r="AB65" s="41"/>
      <c r="AC65" s="41"/>
      <c r="AD65" s="41"/>
    </row>
    <row r="66" spans="1:30" s="39" customFormat="1" ht="7" customHeight="1" x14ac:dyDescent="0.3">
      <c r="A66" s="51"/>
      <c r="F66" s="40"/>
      <c r="G66" s="46"/>
      <c r="H66" s="40"/>
      <c r="I66" s="40"/>
      <c r="J66" s="40"/>
      <c r="K66" s="46"/>
      <c r="L66" s="40"/>
      <c r="M66" s="40"/>
      <c r="N66" s="40"/>
      <c r="O66" s="46"/>
      <c r="P66" s="40"/>
      <c r="Q66" s="40"/>
      <c r="R66" s="40"/>
      <c r="S66" s="46"/>
      <c r="T66" s="40"/>
      <c r="U66" s="40"/>
      <c r="V66" s="40"/>
      <c r="W66" s="46"/>
      <c r="X66" s="42"/>
      <c r="Y66" s="42"/>
      <c r="Z66" s="42"/>
      <c r="AA66" s="44"/>
      <c r="AB66" s="41"/>
      <c r="AC66" s="41"/>
      <c r="AD66" s="41"/>
    </row>
    <row r="67" spans="1:30" s="39" customFormat="1" ht="20.149999999999999" customHeight="1" x14ac:dyDescent="0.3">
      <c r="A67" s="51"/>
      <c r="F67" s="40"/>
      <c r="G67" s="36"/>
      <c r="H67" s="36"/>
      <c r="I67" s="36"/>
      <c r="J67" s="36"/>
      <c r="K67" s="103" t="s">
        <v>34</v>
      </c>
      <c r="L67" s="36"/>
      <c r="M67" s="36"/>
      <c r="N67" s="36"/>
      <c r="O67" s="104" t="s">
        <v>38</v>
      </c>
      <c r="P67" s="36"/>
      <c r="Q67" s="36"/>
      <c r="R67" s="36"/>
      <c r="S67" s="105" t="s">
        <v>42</v>
      </c>
      <c r="T67" s="36"/>
      <c r="U67" s="36"/>
      <c r="V67" s="36"/>
      <c r="W67" s="106" t="s">
        <v>46</v>
      </c>
      <c r="X67" s="42"/>
      <c r="Y67" s="42"/>
      <c r="Z67" s="42"/>
      <c r="AA67" s="44"/>
      <c r="AB67" s="41"/>
      <c r="AC67" s="41"/>
      <c r="AD67" s="41"/>
    </row>
    <row r="68" spans="1:30" s="39" customFormat="1" ht="50.15" customHeight="1" x14ac:dyDescent="0.3">
      <c r="A68" s="51"/>
      <c r="B68" s="258" t="s">
        <v>17</v>
      </c>
      <c r="C68" s="259"/>
      <c r="F68" s="40"/>
      <c r="G68" s="54" t="s">
        <v>29</v>
      </c>
      <c r="H68" s="36"/>
      <c r="I68" s="36"/>
      <c r="J68" s="36"/>
      <c r="K68" s="107">
        <f>G70</f>
        <v>0</v>
      </c>
      <c r="L68" s="36"/>
      <c r="M68" s="36"/>
      <c r="N68" s="36"/>
      <c r="O68" s="107">
        <f>K70</f>
        <v>0</v>
      </c>
      <c r="P68" s="36"/>
      <c r="Q68" s="36"/>
      <c r="R68" s="36"/>
      <c r="S68" s="107">
        <f>O70</f>
        <v>0</v>
      </c>
      <c r="T68" s="36"/>
      <c r="U68" s="36"/>
      <c r="V68" s="36"/>
      <c r="W68" s="107">
        <f>S70</f>
        <v>0</v>
      </c>
      <c r="X68" s="42"/>
      <c r="Y68" s="42"/>
      <c r="Z68" s="42"/>
      <c r="AA68" s="55" t="s">
        <v>50</v>
      </c>
      <c r="AB68" s="41"/>
      <c r="AC68" s="41"/>
      <c r="AD68" s="41"/>
    </row>
    <row r="69" spans="1:30" s="39" customFormat="1" ht="7" customHeight="1" x14ac:dyDescent="0.3">
      <c r="A69" s="51"/>
      <c r="F69" s="40"/>
      <c r="G69" s="40"/>
      <c r="H69" s="40"/>
      <c r="I69" s="40" t="str">
        <f>IF(AND(I70&lt;&gt;"",I71&lt;&gt;""),"x","")</f>
        <v/>
      </c>
      <c r="J69" s="40"/>
      <c r="K69" s="40"/>
      <c r="L69" s="40"/>
      <c r="M69" s="40" t="e">
        <f>IF(AND(M70&lt;&gt;"",M71&lt;&gt;""),"x","")</f>
        <v>#REF!</v>
      </c>
      <c r="N69" s="40"/>
      <c r="O69" s="40"/>
      <c r="P69" s="40"/>
      <c r="Q69" s="40" t="e">
        <f>IF(AND(Q70&lt;&gt;"",Q71&lt;&gt;""),"x","")</f>
        <v>#REF!</v>
      </c>
      <c r="R69" s="40"/>
      <c r="S69" s="40"/>
      <c r="T69" s="40"/>
      <c r="U69" s="40" t="e">
        <f>IF(AND(U70&lt;&gt;"",U71&lt;&gt;""),"x","")</f>
        <v>#REF!</v>
      </c>
      <c r="V69" s="40"/>
      <c r="W69" s="40"/>
      <c r="X69" s="42"/>
      <c r="Y69" s="42"/>
      <c r="Z69" s="42"/>
      <c r="AA69" s="42"/>
      <c r="AB69" s="41"/>
      <c r="AC69" s="41"/>
      <c r="AD69" s="41"/>
    </row>
    <row r="70" spans="1:30" s="39" customFormat="1" ht="20.149999999999999" customHeight="1" x14ac:dyDescent="0.3">
      <c r="A70" s="248">
        <v>9</v>
      </c>
      <c r="B70" s="242" t="str">
        <f>IF('FO-GC-003'!I45&lt;&gt;"",'FO-GC-003'!I45,"")</f>
        <v/>
      </c>
      <c r="C70" s="242"/>
      <c r="F70" s="241" t="s">
        <v>108</v>
      </c>
      <c r="G70" s="235"/>
      <c r="H70" s="40"/>
      <c r="I70" s="40" t="str">
        <f>IF(AND(I71&lt;&gt;"",J71&lt;&gt;""),IF(AND(G70&lt;&gt;"",K70&lt;&gt;""),"","x"),IF(AND(G70="",K70="",I72="x",I76="x"),"x",""))</f>
        <v/>
      </c>
      <c r="J70" s="40"/>
      <c r="K70" s="235"/>
      <c r="L70" s="40"/>
      <c r="M70" s="40" t="e">
        <f>IF(AND(M71&lt;&gt;"",N71&lt;&gt;""),IF(AND(K70&lt;&gt;"",O70&lt;&gt;""),"","x"),IF(AND(K70="",O70="",M72="x",M76="x"),"x",""))</f>
        <v>#REF!</v>
      </c>
      <c r="N70" s="40"/>
      <c r="O70" s="235"/>
      <c r="P70" s="40"/>
      <c r="Q70" s="40" t="e">
        <f>IF(AND(Q71&lt;&gt;"",R71&lt;&gt;""),IF(AND(O70&lt;&gt;"",S70&lt;&gt;""),"","x"),IF(AND(O70="",S70="",Q72="x",Q76="x"),"x",""))</f>
        <v>#REF!</v>
      </c>
      <c r="R70" s="40"/>
      <c r="S70" s="235"/>
      <c r="T70" s="40"/>
      <c r="U70" s="40" t="e">
        <f>IF(AND(U71&lt;&gt;"",V71&lt;&gt;""),IF(AND(S70&lt;&gt;"",W70&lt;&gt;""),"","x"),IF(AND(S70="",W70="",U72="x",U76="x"),"x",""))</f>
        <v>#REF!</v>
      </c>
      <c r="V70" s="40"/>
      <c r="W70" s="235"/>
      <c r="X70" s="41"/>
      <c r="Y70" s="42"/>
      <c r="Z70" s="43" t="e">
        <f>IF(LOOKUP(2,1/(G70:W70&lt;&gt;""),G70:W70)="x","",LOOKUP(2,1/(G70:W70&lt;&gt;""),G70:W70))</f>
        <v>#N/A</v>
      </c>
      <c r="AA70" s="238" t="str">
        <f>IF(ISNA($Z70),"",$Z70)</f>
        <v/>
      </c>
      <c r="AB70" s="41"/>
      <c r="AC70" s="41"/>
      <c r="AD70" s="41"/>
    </row>
    <row r="71" spans="1:30" s="42" customFormat="1" ht="7" customHeight="1" x14ac:dyDescent="0.25">
      <c r="A71" s="248"/>
      <c r="B71" s="242"/>
      <c r="C71" s="242"/>
      <c r="F71" s="241"/>
      <c r="G71" s="236"/>
      <c r="H71" s="40" t="str">
        <f>IF(AND(G70&lt;&gt;"",K70&lt;&gt;""),"x","")</f>
        <v/>
      </c>
      <c r="I71" s="40" t="str">
        <f>IF(K70&lt;&gt;"","x",IF(I72="x","x",""))</f>
        <v/>
      </c>
      <c r="J71" s="40" t="str">
        <f>IF(K70&lt;&gt;"","x","")</f>
        <v/>
      </c>
      <c r="K71" s="236"/>
      <c r="L71" s="40" t="str">
        <f>IF(AND(K70&lt;&gt;"",O70&lt;&gt;""),"x","")</f>
        <v/>
      </c>
      <c r="M71" s="40" t="e">
        <f>IF(O70&lt;&gt;"","x",IF(M72="x","x",""))</f>
        <v>#REF!</v>
      </c>
      <c r="N71" s="40" t="str">
        <f>IF(O70&lt;&gt;"","x","")</f>
        <v/>
      </c>
      <c r="O71" s="236"/>
      <c r="P71" s="40" t="str">
        <f>IF(AND(O70&lt;&gt;"",S70&lt;&gt;""),"x","")</f>
        <v/>
      </c>
      <c r="Q71" s="40" t="e">
        <f>IF(S70&lt;&gt;"","x",IF(Q72="x","x",""))</f>
        <v>#REF!</v>
      </c>
      <c r="R71" s="40" t="str">
        <f>IF(S70&lt;&gt;"","x","")</f>
        <v/>
      </c>
      <c r="S71" s="236"/>
      <c r="T71" s="40" t="str">
        <f>IF(AND(S70&lt;&gt;"",W70&lt;&gt;""),"x","")</f>
        <v/>
      </c>
      <c r="U71" s="40" t="e">
        <f>IF(W70&lt;&gt;"","x",IF(U72="x","x",""))</f>
        <v>#REF!</v>
      </c>
      <c r="V71" s="40" t="str">
        <f>IF(W70&lt;&gt;"","x","")</f>
        <v/>
      </c>
      <c r="W71" s="236"/>
      <c r="AA71" s="239"/>
    </row>
    <row r="72" spans="1:30" s="42" customFormat="1" ht="20.149999999999999" customHeight="1" x14ac:dyDescent="0.25">
      <c r="A72" s="248"/>
      <c r="B72" s="242"/>
      <c r="C72" s="242"/>
      <c r="F72" s="241"/>
      <c r="G72" s="237"/>
      <c r="H72" s="40"/>
      <c r="I72" s="40" t="str">
        <f>IF(I76="x","x","")</f>
        <v/>
      </c>
      <c r="J72" s="40"/>
      <c r="K72" s="237"/>
      <c r="L72" s="40"/>
      <c r="M72" s="40" t="e">
        <f>IF(M76="x","x","")</f>
        <v>#REF!</v>
      </c>
      <c r="N72" s="40"/>
      <c r="O72" s="237"/>
      <c r="P72" s="40"/>
      <c r="Q72" s="40" t="e">
        <f>IF(Q76="x","x","")</f>
        <v>#REF!</v>
      </c>
      <c r="R72" s="40"/>
      <c r="S72" s="237"/>
      <c r="T72" s="40"/>
      <c r="U72" s="40" t="e">
        <f>IF(U76="x","x","")</f>
        <v>#REF!</v>
      </c>
      <c r="V72" s="40"/>
      <c r="W72" s="237"/>
      <c r="AA72" s="240"/>
      <c r="AB72" s="41"/>
      <c r="AC72" s="41"/>
      <c r="AD72" s="41"/>
    </row>
    <row r="73" spans="1:30" s="42" customFormat="1" ht="7" customHeight="1" x14ac:dyDescent="0.25">
      <c r="A73" s="51"/>
      <c r="F73" s="40"/>
      <c r="G73" s="46"/>
      <c r="H73" s="40"/>
      <c r="I73" s="40"/>
      <c r="J73" s="40"/>
      <c r="K73" s="46"/>
      <c r="L73" s="40"/>
      <c r="M73" s="40"/>
      <c r="N73" s="40"/>
      <c r="O73" s="46"/>
      <c r="P73" s="40"/>
      <c r="Q73" s="40"/>
      <c r="R73" s="40"/>
      <c r="S73" s="46"/>
      <c r="T73" s="40"/>
      <c r="U73" s="40"/>
      <c r="V73" s="40"/>
      <c r="W73" s="46"/>
      <c r="AA73" s="44"/>
      <c r="AB73" s="41"/>
      <c r="AC73" s="41"/>
      <c r="AD73" s="41"/>
    </row>
    <row r="74" spans="1:30" s="42" customFormat="1" ht="20.149999999999999" customHeight="1" x14ac:dyDescent="0.25">
      <c r="A74" s="51"/>
      <c r="F74" s="40"/>
      <c r="G74" s="36"/>
      <c r="H74" s="36"/>
      <c r="I74" s="36"/>
      <c r="J74" s="36"/>
      <c r="K74" s="103" t="s">
        <v>34</v>
      </c>
      <c r="L74" s="36"/>
      <c r="M74" s="36"/>
      <c r="N74" s="36"/>
      <c r="O74" s="104" t="s">
        <v>38</v>
      </c>
      <c r="P74" s="36"/>
      <c r="Q74" s="36"/>
      <c r="R74" s="36"/>
      <c r="S74" s="105" t="s">
        <v>42</v>
      </c>
      <c r="T74" s="36"/>
      <c r="U74" s="36"/>
      <c r="V74" s="36"/>
      <c r="W74" s="106" t="s">
        <v>46</v>
      </c>
      <c r="AA74" s="44"/>
      <c r="AB74" s="41"/>
      <c r="AC74" s="41"/>
      <c r="AD74" s="41"/>
    </row>
    <row r="75" spans="1:30" s="42" customFormat="1" ht="50.15" customHeight="1" x14ac:dyDescent="0.25">
      <c r="A75" s="51"/>
      <c r="B75" s="258" t="s">
        <v>17</v>
      </c>
      <c r="C75" s="259"/>
      <c r="F75" s="40"/>
      <c r="G75" s="54" t="s">
        <v>29</v>
      </c>
      <c r="H75" s="36"/>
      <c r="I75" s="36"/>
      <c r="J75" s="36"/>
      <c r="K75" s="107">
        <f>G77</f>
        <v>0</v>
      </c>
      <c r="L75" s="36"/>
      <c r="M75" s="36"/>
      <c r="N75" s="36"/>
      <c r="O75" s="107">
        <f>K77</f>
        <v>0</v>
      </c>
      <c r="P75" s="36"/>
      <c r="Q75" s="36"/>
      <c r="R75" s="36"/>
      <c r="S75" s="107">
        <f>O77</f>
        <v>0</v>
      </c>
      <c r="T75" s="36"/>
      <c r="U75" s="36"/>
      <c r="V75" s="36"/>
      <c r="W75" s="107">
        <f>S77</f>
        <v>0</v>
      </c>
      <c r="AA75" s="108" t="s">
        <v>50</v>
      </c>
      <c r="AB75" s="41"/>
      <c r="AC75" s="41"/>
      <c r="AD75" s="41"/>
    </row>
    <row r="76" spans="1:30" s="42" customFormat="1" ht="7" customHeight="1" x14ac:dyDescent="0.25">
      <c r="A76" s="51"/>
      <c r="F76" s="40"/>
      <c r="G76" s="40"/>
      <c r="H76" s="40"/>
      <c r="I76" s="40" t="str">
        <f>IF(AND(I77&lt;&gt;"",I78&lt;&gt;""),"x","")</f>
        <v/>
      </c>
      <c r="J76" s="40"/>
      <c r="K76" s="40"/>
      <c r="L76" s="40"/>
      <c r="M76" s="40" t="e">
        <f>IF(AND(M77&lt;&gt;"",M78&lt;&gt;""),"x","")</f>
        <v>#REF!</v>
      </c>
      <c r="N76" s="40"/>
      <c r="O76" s="40"/>
      <c r="P76" s="40"/>
      <c r="Q76" s="40" t="e">
        <f>IF(AND(Q77&lt;&gt;"",Q78&lt;&gt;""),"x","")</f>
        <v>#REF!</v>
      </c>
      <c r="R76" s="40"/>
      <c r="S76" s="40"/>
      <c r="T76" s="40"/>
      <c r="U76" s="40" t="e">
        <f>IF(AND(U77&lt;&gt;"",U78&lt;&gt;""),"x","")</f>
        <v>#REF!</v>
      </c>
      <c r="V76" s="40"/>
      <c r="W76" s="40"/>
      <c r="AB76" s="41"/>
      <c r="AC76" s="41"/>
      <c r="AD76" s="41"/>
    </row>
    <row r="77" spans="1:30" s="39" customFormat="1" ht="20.149999999999999" customHeight="1" x14ac:dyDescent="0.3">
      <c r="A77" s="248">
        <v>10</v>
      </c>
      <c r="B77" s="242" t="str">
        <f>IF('FO-GC-003'!I49&lt;&gt;"",'FO-GC-003'!I49,"")</f>
        <v/>
      </c>
      <c r="C77" s="242"/>
      <c r="F77" s="241" t="s">
        <v>108</v>
      </c>
      <c r="G77" s="235"/>
      <c r="H77" s="40"/>
      <c r="I77" s="40" t="str">
        <f>IF(AND(I78&lt;&gt;"",J78&lt;&gt;""),IF(AND(G77&lt;&gt;"",K77&lt;&gt;""),"","x"),IF(AND(G77="",K77="",I79="x",I83="x"),"x",""))</f>
        <v/>
      </c>
      <c r="J77" s="40"/>
      <c r="K77" s="235"/>
      <c r="L77" s="40"/>
      <c r="M77" s="40" t="e">
        <f>IF(AND(M78&lt;&gt;"",N78&lt;&gt;""),IF(AND(K77&lt;&gt;"",O77&lt;&gt;""),"","x"),IF(AND(K77="",O77="",M79="x",M83="x"),"x",""))</f>
        <v>#REF!</v>
      </c>
      <c r="N77" s="40"/>
      <c r="O77" s="235"/>
      <c r="P77" s="40"/>
      <c r="Q77" s="40" t="e">
        <f>IF(AND(Q78&lt;&gt;"",R78&lt;&gt;""),IF(AND(O77&lt;&gt;"",S77&lt;&gt;""),"","x"),IF(AND(O77="",S77="",Q79="x",Q83="x"),"x",""))</f>
        <v>#REF!</v>
      </c>
      <c r="R77" s="40"/>
      <c r="S77" s="235"/>
      <c r="T77" s="40"/>
      <c r="U77" s="40" t="e">
        <f>IF(AND(U78&lt;&gt;"",V78&lt;&gt;""),IF(AND(S77&lt;&gt;"",W77&lt;&gt;""),"","x"),IF(AND(S77="",W77="",U79="x",U83="x"),"x",""))</f>
        <v>#REF!</v>
      </c>
      <c r="V77" s="40"/>
      <c r="W77" s="235"/>
      <c r="X77" s="41"/>
      <c r="Y77" s="42"/>
      <c r="Z77" s="43" t="e">
        <f>IF(LOOKUP(2,1/(G77:W77&lt;&gt;""),G77:W77)="x","",LOOKUP(2,1/(G77:W77&lt;&gt;""),G77:W77))</f>
        <v>#N/A</v>
      </c>
      <c r="AA77" s="238" t="str">
        <f>IF(ISNA($Z77),"",$Z77)</f>
        <v/>
      </c>
      <c r="AB77" s="41"/>
      <c r="AC77" s="41"/>
      <c r="AD77" s="41"/>
    </row>
    <row r="78" spans="1:30" s="42" customFormat="1" ht="7" customHeight="1" x14ac:dyDescent="0.25">
      <c r="A78" s="248"/>
      <c r="B78" s="242"/>
      <c r="C78" s="242"/>
      <c r="F78" s="241"/>
      <c r="G78" s="236"/>
      <c r="H78" s="40" t="str">
        <f>IF(AND(G77&lt;&gt;"",K77&lt;&gt;""),"x","")</f>
        <v/>
      </c>
      <c r="I78" s="40" t="str">
        <f>IF(K77&lt;&gt;"","x",IF(I79="x","x",""))</f>
        <v/>
      </c>
      <c r="J78" s="40" t="str">
        <f>IF(K77&lt;&gt;"","x","")</f>
        <v/>
      </c>
      <c r="K78" s="236"/>
      <c r="L78" s="40" t="str">
        <f>IF(AND(K77&lt;&gt;"",O77&lt;&gt;""),"x","")</f>
        <v/>
      </c>
      <c r="M78" s="40" t="e">
        <f>IF(O77&lt;&gt;"","x",IF(M79="x","x",""))</f>
        <v>#REF!</v>
      </c>
      <c r="N78" s="40" t="str">
        <f>IF(O77&lt;&gt;"","x","")</f>
        <v/>
      </c>
      <c r="O78" s="236"/>
      <c r="P78" s="40" t="str">
        <f>IF(AND(O77&lt;&gt;"",S77&lt;&gt;""),"x","")</f>
        <v/>
      </c>
      <c r="Q78" s="40" t="e">
        <f>IF(S77&lt;&gt;"","x",IF(Q79="x","x",""))</f>
        <v>#REF!</v>
      </c>
      <c r="R78" s="40" t="str">
        <f>IF(S77&lt;&gt;"","x","")</f>
        <v/>
      </c>
      <c r="S78" s="236"/>
      <c r="T78" s="40" t="str">
        <f>IF(AND(S77&lt;&gt;"",W77&lt;&gt;""),"x","")</f>
        <v/>
      </c>
      <c r="U78" s="40" t="e">
        <f>IF(W77&lt;&gt;"","x",IF(U79="x","x",""))</f>
        <v>#REF!</v>
      </c>
      <c r="V78" s="40" t="str">
        <f>IF(W77&lt;&gt;"","x","")</f>
        <v/>
      </c>
      <c r="W78" s="236"/>
      <c r="AA78" s="239"/>
    </row>
    <row r="79" spans="1:30" s="39" customFormat="1" ht="20.149999999999999" customHeight="1" x14ac:dyDescent="0.3">
      <c r="A79" s="248"/>
      <c r="B79" s="242"/>
      <c r="C79" s="242"/>
      <c r="F79" s="241"/>
      <c r="G79" s="237"/>
      <c r="H79" s="40"/>
      <c r="I79" s="40" t="str">
        <f>IF(I83="x","x","")</f>
        <v/>
      </c>
      <c r="J79" s="40"/>
      <c r="K79" s="237"/>
      <c r="L79" s="40"/>
      <c r="M79" s="40" t="e">
        <f>IF(M83="x","x","")</f>
        <v>#REF!</v>
      </c>
      <c r="N79" s="40"/>
      <c r="O79" s="237"/>
      <c r="P79" s="40"/>
      <c r="Q79" s="40" t="e">
        <f>IF(Q83="x","x","")</f>
        <v>#REF!</v>
      </c>
      <c r="R79" s="40"/>
      <c r="S79" s="237"/>
      <c r="T79" s="40"/>
      <c r="U79" s="40" t="e">
        <f>IF(U83="x","x","")</f>
        <v>#REF!</v>
      </c>
      <c r="V79" s="40"/>
      <c r="W79" s="237"/>
      <c r="X79" s="42"/>
      <c r="Y79" s="42"/>
      <c r="Z79" s="42"/>
      <c r="AA79" s="240"/>
      <c r="AB79" s="41"/>
      <c r="AC79" s="41"/>
      <c r="AD79" s="41"/>
    </row>
    <row r="80" spans="1:30" s="39" customFormat="1" ht="7" customHeight="1" x14ac:dyDescent="0.3">
      <c r="A80" s="51"/>
      <c r="F80" s="40"/>
      <c r="G80" s="46"/>
      <c r="H80" s="40"/>
      <c r="I80" s="40"/>
      <c r="J80" s="40"/>
      <c r="K80" s="46"/>
      <c r="L80" s="40"/>
      <c r="M80" s="40"/>
      <c r="N80" s="40"/>
      <c r="O80" s="46"/>
      <c r="P80" s="40"/>
      <c r="Q80" s="40"/>
      <c r="R80" s="40"/>
      <c r="S80" s="46"/>
      <c r="T80" s="40"/>
      <c r="U80" s="40"/>
      <c r="V80" s="40"/>
      <c r="W80" s="46"/>
      <c r="X80" s="42"/>
      <c r="Y80" s="42"/>
      <c r="Z80" s="42"/>
      <c r="AA80" s="44"/>
      <c r="AB80" s="41"/>
      <c r="AC80" s="41"/>
      <c r="AD80" s="41"/>
    </row>
    <row r="81" spans="1:30" s="39" customFormat="1" ht="20.149999999999999" customHeight="1" x14ac:dyDescent="0.3">
      <c r="A81" s="51"/>
      <c r="F81" s="40"/>
      <c r="G81" s="36"/>
      <c r="H81" s="36"/>
      <c r="I81" s="36"/>
      <c r="J81" s="36"/>
      <c r="K81" s="103" t="s">
        <v>34</v>
      </c>
      <c r="L81" s="36"/>
      <c r="M81" s="36"/>
      <c r="N81" s="36"/>
      <c r="O81" s="104" t="s">
        <v>38</v>
      </c>
      <c r="P81" s="36"/>
      <c r="Q81" s="36"/>
      <c r="R81" s="36"/>
      <c r="S81" s="105" t="s">
        <v>42</v>
      </c>
      <c r="T81" s="36"/>
      <c r="U81" s="36"/>
      <c r="V81" s="36"/>
      <c r="W81" s="106" t="s">
        <v>46</v>
      </c>
      <c r="X81" s="42"/>
      <c r="Y81" s="42"/>
      <c r="Z81" s="42"/>
      <c r="AA81" s="44"/>
      <c r="AB81" s="41"/>
      <c r="AC81" s="41"/>
      <c r="AD81" s="41"/>
    </row>
    <row r="82" spans="1:30" s="39" customFormat="1" ht="50.15" customHeight="1" x14ac:dyDescent="0.3">
      <c r="A82" s="51"/>
      <c r="B82" s="258" t="s">
        <v>17</v>
      </c>
      <c r="C82" s="259"/>
      <c r="F82" s="40"/>
      <c r="G82" s="54" t="s">
        <v>29</v>
      </c>
      <c r="H82" s="36"/>
      <c r="I82" s="36"/>
      <c r="J82" s="36"/>
      <c r="K82" s="107">
        <f>G84</f>
        <v>0</v>
      </c>
      <c r="L82" s="36"/>
      <c r="M82" s="36"/>
      <c r="N82" s="36"/>
      <c r="O82" s="107">
        <f>K84</f>
        <v>0</v>
      </c>
      <c r="P82" s="36"/>
      <c r="Q82" s="36"/>
      <c r="R82" s="36"/>
      <c r="S82" s="107">
        <f>O84</f>
        <v>0</v>
      </c>
      <c r="T82" s="36"/>
      <c r="U82" s="36"/>
      <c r="V82" s="36"/>
      <c r="W82" s="107">
        <f>S84</f>
        <v>0</v>
      </c>
      <c r="X82" s="42"/>
      <c r="Y82" s="42"/>
      <c r="Z82" s="42"/>
      <c r="AA82" s="55" t="s">
        <v>50</v>
      </c>
      <c r="AB82" s="41"/>
      <c r="AC82" s="41"/>
      <c r="AD82" s="41"/>
    </row>
    <row r="83" spans="1:30" s="39" customFormat="1" ht="6.75" customHeight="1" x14ac:dyDescent="0.3">
      <c r="A83" s="51"/>
      <c r="F83" s="40"/>
      <c r="G83" s="47"/>
      <c r="H83" s="40"/>
      <c r="I83" s="40" t="str">
        <f>IF(AND(I84&lt;&gt;"",I85&lt;&gt;""),"x","")</f>
        <v/>
      </c>
      <c r="J83" s="40"/>
      <c r="K83" s="40"/>
      <c r="L83" s="40"/>
      <c r="M83" s="40" t="e">
        <f>IF(AND(M84&lt;&gt;"",M85&lt;&gt;""),"x","")</f>
        <v>#REF!</v>
      </c>
      <c r="N83" s="40"/>
      <c r="O83" s="40"/>
      <c r="P83" s="40"/>
      <c r="Q83" s="40" t="e">
        <f>IF(AND(Q84&lt;&gt;"",Q85&lt;&gt;""),"x","")</f>
        <v>#REF!</v>
      </c>
      <c r="R83" s="40"/>
      <c r="S83" s="40"/>
      <c r="T83" s="40"/>
      <c r="U83" s="40" t="e">
        <f>IF(AND(U84&lt;&gt;"",U85&lt;&gt;""),"x","")</f>
        <v>#REF!</v>
      </c>
      <c r="V83" s="40"/>
      <c r="W83" s="40"/>
      <c r="X83" s="42"/>
      <c r="Y83" s="42"/>
      <c r="Z83" s="42"/>
      <c r="AA83" s="42"/>
      <c r="AB83" s="41"/>
      <c r="AC83" s="41"/>
      <c r="AD83" s="41"/>
    </row>
    <row r="84" spans="1:30" s="39" customFormat="1" ht="20.149999999999999" customHeight="1" x14ac:dyDescent="0.3">
      <c r="A84" s="248">
        <v>11</v>
      </c>
      <c r="B84" s="242" t="str">
        <f>IF('FO-GC-003'!I53&lt;&gt;"",'FO-GC-003'!I53,"")</f>
        <v/>
      </c>
      <c r="C84" s="242"/>
      <c r="F84" s="241" t="s">
        <v>108</v>
      </c>
      <c r="G84" s="235"/>
      <c r="H84" s="40"/>
      <c r="I84" s="40" t="str">
        <f>IF(AND(I85&lt;&gt;"",J85&lt;&gt;""),IF(AND(G84&lt;&gt;"",K84&lt;&gt;""),"","x"),IF(AND(G84="",K84="",I86="x",I90="x"),"x",""))</f>
        <v/>
      </c>
      <c r="J84" s="40"/>
      <c r="K84" s="235"/>
      <c r="L84" s="40"/>
      <c r="M84" s="40" t="e">
        <f>IF(AND(M85&lt;&gt;"",N85&lt;&gt;""),IF(AND(K84&lt;&gt;"",O84&lt;&gt;""),"","x"),IF(AND(K84="",O84="",M86="x",M90="x"),"x",""))</f>
        <v>#REF!</v>
      </c>
      <c r="N84" s="40"/>
      <c r="O84" s="235"/>
      <c r="P84" s="40"/>
      <c r="Q84" s="40" t="e">
        <f>IF(AND(Q85&lt;&gt;"",R85&lt;&gt;""),IF(AND(O84&lt;&gt;"",S84&lt;&gt;""),"","x"),IF(AND(O84="",S84="",Q86="x",Q90="x"),"x",""))</f>
        <v>#REF!</v>
      </c>
      <c r="R84" s="40"/>
      <c r="S84" s="235"/>
      <c r="T84" s="40"/>
      <c r="U84" s="40" t="e">
        <f>IF(AND(U85&lt;&gt;"",V85&lt;&gt;""),IF(AND(S84&lt;&gt;"",W84&lt;&gt;""),"","x"),IF(AND(S84="",W84="",U86="x",U90="x"),"x",""))</f>
        <v>#REF!</v>
      </c>
      <c r="V84" s="40"/>
      <c r="W84" s="235"/>
      <c r="X84" s="41"/>
      <c r="Y84" s="42"/>
      <c r="Z84" s="43" t="e">
        <f>IF(LOOKUP(2,1/(G84:W84&lt;&gt;""),G84:W84)="x","",LOOKUP(2,1/(G84:W84&lt;&gt;""),G84:W84))</f>
        <v>#N/A</v>
      </c>
      <c r="AA84" s="238" t="str">
        <f>IF(ISNA($Z84),"",$Z84)</f>
        <v/>
      </c>
      <c r="AB84" s="41"/>
      <c r="AC84" s="41"/>
      <c r="AD84" s="41"/>
    </row>
    <row r="85" spans="1:30" s="39" customFormat="1" ht="7" customHeight="1" x14ac:dyDescent="0.3">
      <c r="A85" s="248"/>
      <c r="B85" s="242"/>
      <c r="C85" s="242"/>
      <c r="F85" s="241"/>
      <c r="G85" s="236"/>
      <c r="H85" s="40" t="str">
        <f>IF(AND(G84&lt;&gt;"",K84&lt;&gt;""),"x","")</f>
        <v/>
      </c>
      <c r="I85" s="40" t="str">
        <f>IF(K84&lt;&gt;"","x",IF(I86="x","x",""))</f>
        <v/>
      </c>
      <c r="J85" s="40" t="str">
        <f>IF(K84&lt;&gt;"","x","")</f>
        <v/>
      </c>
      <c r="K85" s="236"/>
      <c r="L85" s="40" t="str">
        <f>IF(AND(K84&lt;&gt;"",O84&lt;&gt;""),"x","")</f>
        <v/>
      </c>
      <c r="M85" s="40" t="e">
        <f>IF(O84&lt;&gt;"","x",IF(M86="x","x",""))</f>
        <v>#REF!</v>
      </c>
      <c r="N85" s="40" t="str">
        <f>IF(O84&lt;&gt;"","x","")</f>
        <v/>
      </c>
      <c r="O85" s="236"/>
      <c r="P85" s="40" t="str">
        <f>IF(AND(O84&lt;&gt;"",S84&lt;&gt;""),"x","")</f>
        <v/>
      </c>
      <c r="Q85" s="40" t="e">
        <f>IF(S84&lt;&gt;"","x",IF(Q86="x","x",""))</f>
        <v>#REF!</v>
      </c>
      <c r="R85" s="40" t="str">
        <f>IF(S84&lt;&gt;"","x","")</f>
        <v/>
      </c>
      <c r="S85" s="236"/>
      <c r="T85" s="40" t="str">
        <f>IF(AND(S84&lt;&gt;"",W84&lt;&gt;""),"x","")</f>
        <v/>
      </c>
      <c r="U85" s="40" t="e">
        <f>IF(W84&lt;&gt;"","x",IF(U86="x","x",""))</f>
        <v>#REF!</v>
      </c>
      <c r="V85" s="40" t="str">
        <f>IF(W84&lt;&gt;"","x","")</f>
        <v/>
      </c>
      <c r="W85" s="236"/>
      <c r="X85" s="42"/>
      <c r="Y85" s="42"/>
      <c r="Z85" s="42"/>
      <c r="AA85" s="239"/>
      <c r="AB85" s="42"/>
      <c r="AC85" s="42"/>
      <c r="AD85" s="42"/>
    </row>
    <row r="86" spans="1:30" s="42" customFormat="1" ht="20.149999999999999" customHeight="1" x14ac:dyDescent="0.25">
      <c r="A86" s="248"/>
      <c r="B86" s="242"/>
      <c r="C86" s="242"/>
      <c r="F86" s="241"/>
      <c r="G86" s="237"/>
      <c r="H86" s="40"/>
      <c r="I86" s="40" t="str">
        <f>IF(I90="x","x","")</f>
        <v/>
      </c>
      <c r="J86" s="40"/>
      <c r="K86" s="237"/>
      <c r="L86" s="40"/>
      <c r="M86" s="40" t="e">
        <f>IF(M90="x","x","")</f>
        <v>#REF!</v>
      </c>
      <c r="N86" s="40"/>
      <c r="O86" s="237"/>
      <c r="P86" s="40"/>
      <c r="Q86" s="40" t="e">
        <f>IF(Q90="x","x","")</f>
        <v>#REF!</v>
      </c>
      <c r="R86" s="40"/>
      <c r="S86" s="237"/>
      <c r="T86" s="40"/>
      <c r="U86" s="40" t="e">
        <f>IF(U90="x","x","")</f>
        <v>#REF!</v>
      </c>
      <c r="V86" s="40"/>
      <c r="W86" s="237"/>
      <c r="AA86" s="240"/>
      <c r="AB86" s="41"/>
      <c r="AC86" s="41"/>
      <c r="AD86" s="41"/>
    </row>
    <row r="87" spans="1:30" s="42" customFormat="1" ht="7" customHeight="1" x14ac:dyDescent="0.25">
      <c r="A87" s="51"/>
      <c r="F87" s="40"/>
      <c r="G87" s="46"/>
      <c r="H87" s="40"/>
      <c r="I87" s="40"/>
      <c r="J87" s="40"/>
      <c r="K87" s="46"/>
      <c r="L87" s="40"/>
      <c r="M87" s="40"/>
      <c r="N87" s="40"/>
      <c r="O87" s="46"/>
      <c r="P87" s="40"/>
      <c r="Q87" s="40"/>
      <c r="R87" s="40"/>
      <c r="S87" s="46"/>
      <c r="T87" s="40"/>
      <c r="U87" s="40"/>
      <c r="V87" s="40"/>
      <c r="W87" s="46"/>
      <c r="AA87" s="44"/>
      <c r="AB87" s="41"/>
      <c r="AC87" s="41"/>
      <c r="AD87" s="41"/>
    </row>
    <row r="88" spans="1:30" s="42" customFormat="1" ht="20.149999999999999" customHeight="1" x14ac:dyDescent="0.25">
      <c r="A88" s="51"/>
      <c r="F88" s="40"/>
      <c r="G88" s="36"/>
      <c r="H88" s="36"/>
      <c r="I88" s="36"/>
      <c r="J88" s="36"/>
      <c r="K88" s="103" t="s">
        <v>34</v>
      </c>
      <c r="L88" s="36"/>
      <c r="M88" s="36"/>
      <c r="N88" s="36"/>
      <c r="O88" s="104" t="s">
        <v>38</v>
      </c>
      <c r="P88" s="36"/>
      <c r="Q88" s="36"/>
      <c r="R88" s="36"/>
      <c r="S88" s="105" t="s">
        <v>42</v>
      </c>
      <c r="T88" s="36"/>
      <c r="U88" s="36"/>
      <c r="V88" s="36"/>
      <c r="W88" s="106" t="s">
        <v>46</v>
      </c>
      <c r="AA88" s="44"/>
      <c r="AB88" s="41"/>
      <c r="AC88" s="41"/>
      <c r="AD88" s="41"/>
    </row>
    <row r="89" spans="1:30" s="42" customFormat="1" ht="50.15" customHeight="1" x14ac:dyDescent="0.25">
      <c r="A89" s="51"/>
      <c r="B89" s="258" t="s">
        <v>17</v>
      </c>
      <c r="C89" s="259"/>
      <c r="F89" s="40"/>
      <c r="G89" s="54" t="s">
        <v>29</v>
      </c>
      <c r="H89" s="36"/>
      <c r="I89" s="36"/>
      <c r="J89" s="36"/>
      <c r="K89" s="107">
        <f>G91</f>
        <v>0</v>
      </c>
      <c r="L89" s="36"/>
      <c r="M89" s="36"/>
      <c r="N89" s="36"/>
      <c r="O89" s="107">
        <f>K91</f>
        <v>0</v>
      </c>
      <c r="P89" s="36"/>
      <c r="Q89" s="36"/>
      <c r="R89" s="36"/>
      <c r="S89" s="107">
        <f>O91</f>
        <v>0</v>
      </c>
      <c r="T89" s="36"/>
      <c r="U89" s="36"/>
      <c r="V89" s="36"/>
      <c r="W89" s="107">
        <f>S91</f>
        <v>0</v>
      </c>
      <c r="AA89" s="55" t="s">
        <v>50</v>
      </c>
      <c r="AB89" s="41"/>
      <c r="AC89" s="41"/>
      <c r="AD89" s="41"/>
    </row>
    <row r="90" spans="1:30" ht="7" customHeight="1" x14ac:dyDescent="0.35">
      <c r="G90" s="40"/>
      <c r="H90" s="40"/>
      <c r="I90" s="40" t="str">
        <f>IF(AND(I91&lt;&gt;"",I92&lt;&gt;""),"x","")</f>
        <v/>
      </c>
      <c r="J90" s="40"/>
      <c r="K90" s="40"/>
      <c r="L90" s="40"/>
      <c r="M90" s="40" t="e">
        <f>IF(AND(M91&lt;&gt;"",M92&lt;&gt;""),"x","")</f>
        <v>#REF!</v>
      </c>
      <c r="N90" s="40"/>
      <c r="O90" s="40"/>
      <c r="P90" s="40"/>
      <c r="Q90" s="40" t="e">
        <f>IF(AND(Q91&lt;&gt;"",Q92&lt;&gt;""),"x","")</f>
        <v>#REF!</v>
      </c>
      <c r="R90" s="40"/>
      <c r="S90" s="40"/>
      <c r="T90" s="40"/>
      <c r="U90" s="40" t="e">
        <f>IF(AND(U91&lt;&gt;"",U92&lt;&gt;""),"x","")</f>
        <v>#REF!</v>
      </c>
      <c r="V90" s="40"/>
      <c r="W90" s="40"/>
      <c r="X90" s="42"/>
      <c r="Y90" s="42"/>
      <c r="Z90" s="42"/>
      <c r="AA90" s="42"/>
      <c r="AB90" s="41"/>
      <c r="AC90" s="41"/>
      <c r="AD90" s="41"/>
    </row>
    <row r="91" spans="1:30" s="39" customFormat="1" ht="20.149999999999999" customHeight="1" x14ac:dyDescent="0.3">
      <c r="A91" s="248">
        <v>12</v>
      </c>
      <c r="B91" s="260" t="str">
        <f>IF('FO-GC-003'!I57&lt;&gt;"",'FO-GC-003'!I57,"")</f>
        <v/>
      </c>
      <c r="C91" s="261"/>
      <c r="F91" s="241" t="s">
        <v>108</v>
      </c>
      <c r="G91" s="235"/>
      <c r="H91" s="40"/>
      <c r="I91" s="40" t="str">
        <f>IF(AND(I92&lt;&gt;"",J92&lt;&gt;""),IF(AND(G91&lt;&gt;"",K91&lt;&gt;""),"","x"),IF(AND(G91="",K91="",I93="x",I97="x"),"x",""))</f>
        <v/>
      </c>
      <c r="J91" s="40"/>
      <c r="K91" s="235"/>
      <c r="L91" s="40"/>
      <c r="M91" s="40" t="e">
        <f>IF(AND(M92&lt;&gt;"",N92&lt;&gt;""),IF(AND(K91&lt;&gt;"",O91&lt;&gt;""),"","x"),IF(AND(K91="",O91="",M93="x",M97="x"),"x",""))</f>
        <v>#REF!</v>
      </c>
      <c r="N91" s="40"/>
      <c r="O91" s="235"/>
      <c r="P91" s="40"/>
      <c r="Q91" s="40" t="e">
        <f>IF(AND(Q92&lt;&gt;"",R92&lt;&gt;""),IF(AND(O91&lt;&gt;"",S91&lt;&gt;""),"","x"),IF(AND(O91="",S91="",Q93="x",Q97="x"),"x",""))</f>
        <v>#REF!</v>
      </c>
      <c r="R91" s="40"/>
      <c r="S91" s="235"/>
      <c r="T91" s="40"/>
      <c r="U91" s="40" t="e">
        <f>IF(AND(U92&lt;&gt;"",V92&lt;&gt;""),IF(AND(S91&lt;&gt;"",W91&lt;&gt;""),"","x"),IF(AND(S91="",W91="",U93="x",U97="x"),"x",""))</f>
        <v>#REF!</v>
      </c>
      <c r="V91" s="40"/>
      <c r="W91" s="235"/>
      <c r="X91" s="41"/>
      <c r="Y91" s="42"/>
      <c r="Z91" s="43" t="e">
        <f>IF(LOOKUP(2,1/(G91:W91&lt;&gt;""),G91:W91)="x","",LOOKUP(2,1/(G91:W91&lt;&gt;""),G91:W91))</f>
        <v>#N/A</v>
      </c>
      <c r="AA91" s="238" t="str">
        <f>IF(ISNA($Z91),"",$Z91)</f>
        <v/>
      </c>
      <c r="AB91" s="41"/>
      <c r="AC91" s="41"/>
      <c r="AD91" s="41"/>
    </row>
    <row r="92" spans="1:30" s="39" customFormat="1" ht="7" customHeight="1" x14ac:dyDescent="0.3">
      <c r="A92" s="248"/>
      <c r="B92" s="262"/>
      <c r="C92" s="263"/>
      <c r="F92" s="241"/>
      <c r="G92" s="236"/>
      <c r="H92" s="40" t="str">
        <f>IF(AND(G91&lt;&gt;"",K91&lt;&gt;""),"x","")</f>
        <v/>
      </c>
      <c r="I92" s="40" t="str">
        <f>IF(K91&lt;&gt;"","x",IF(I93="x","x",""))</f>
        <v/>
      </c>
      <c r="J92" s="40" t="str">
        <f>IF(K91&lt;&gt;"","x","")</f>
        <v/>
      </c>
      <c r="K92" s="236"/>
      <c r="L92" s="40" t="str">
        <f>IF(AND(K91&lt;&gt;"",O91&lt;&gt;""),"x","")</f>
        <v/>
      </c>
      <c r="M92" s="40" t="e">
        <f>IF(O91&lt;&gt;"","x",IF(M93="x","x",""))</f>
        <v>#REF!</v>
      </c>
      <c r="N92" s="40" t="str">
        <f>IF(O91&lt;&gt;"","x","")</f>
        <v/>
      </c>
      <c r="O92" s="236"/>
      <c r="P92" s="40" t="str">
        <f>IF(AND(O91&lt;&gt;"",S91&lt;&gt;""),"x","")</f>
        <v/>
      </c>
      <c r="Q92" s="40" t="e">
        <f>IF(S91&lt;&gt;"","x",IF(Q93="x","x",""))</f>
        <v>#REF!</v>
      </c>
      <c r="R92" s="40" t="str">
        <f>IF(S91&lt;&gt;"","x","")</f>
        <v/>
      </c>
      <c r="S92" s="236"/>
      <c r="T92" s="40" t="str">
        <f>IF(AND(S91&lt;&gt;"",W91&lt;&gt;""),"x","")</f>
        <v/>
      </c>
      <c r="U92" s="40" t="e">
        <f>IF(W91&lt;&gt;"","x",IF(U93="x","x",""))</f>
        <v>#REF!</v>
      </c>
      <c r="V92" s="40" t="str">
        <f>IF(W91&lt;&gt;"","x","")</f>
        <v/>
      </c>
      <c r="W92" s="236"/>
      <c r="X92" s="42"/>
      <c r="Y92" s="42"/>
      <c r="Z92" s="42"/>
      <c r="AA92" s="239"/>
      <c r="AB92" s="42"/>
      <c r="AC92" s="42"/>
      <c r="AD92" s="42"/>
    </row>
    <row r="93" spans="1:30" s="42" customFormat="1" ht="20.149999999999999" customHeight="1" x14ac:dyDescent="0.25">
      <c r="A93" s="248"/>
      <c r="B93" s="264"/>
      <c r="C93" s="265"/>
      <c r="F93" s="241"/>
      <c r="G93" s="237"/>
      <c r="H93" s="40"/>
      <c r="I93" s="40" t="str">
        <f>IF(I97="x","x","")</f>
        <v/>
      </c>
      <c r="J93" s="40"/>
      <c r="K93" s="237"/>
      <c r="L93" s="40"/>
      <c r="M93" s="40" t="e">
        <f>IF(M97="x","x","")</f>
        <v>#REF!</v>
      </c>
      <c r="N93" s="40"/>
      <c r="O93" s="237"/>
      <c r="P93" s="40"/>
      <c r="Q93" s="40" t="e">
        <f>IF(Q97="x","x","")</f>
        <v>#REF!</v>
      </c>
      <c r="R93" s="40"/>
      <c r="S93" s="237"/>
      <c r="T93" s="40"/>
      <c r="U93" s="40" t="e">
        <f>IF(U97="x","x","")</f>
        <v>#REF!</v>
      </c>
      <c r="V93" s="40"/>
      <c r="W93" s="237"/>
      <c r="AA93" s="240"/>
      <c r="AB93" s="41"/>
      <c r="AC93" s="41"/>
      <c r="AD93" s="41"/>
    </row>
    <row r="94" spans="1:30" s="42" customFormat="1" ht="7" customHeight="1" x14ac:dyDescent="0.25">
      <c r="A94" s="51"/>
      <c r="F94" s="40"/>
      <c r="G94" s="46"/>
      <c r="H94" s="40"/>
      <c r="I94" s="40"/>
      <c r="J94" s="40"/>
      <c r="K94" s="46"/>
      <c r="L94" s="40"/>
      <c r="M94" s="40"/>
      <c r="N94" s="40"/>
      <c r="O94" s="46"/>
      <c r="P94" s="40"/>
      <c r="Q94" s="40"/>
      <c r="R94" s="40"/>
      <c r="S94" s="46"/>
      <c r="T94" s="40"/>
      <c r="U94" s="40"/>
      <c r="V94" s="40"/>
      <c r="W94" s="46"/>
      <c r="AA94" s="44"/>
      <c r="AB94" s="41"/>
      <c r="AC94" s="41"/>
      <c r="AD94" s="41"/>
    </row>
    <row r="95" spans="1:30" s="42" customFormat="1" ht="20.149999999999999" customHeight="1" x14ac:dyDescent="0.25">
      <c r="A95" s="51"/>
      <c r="F95" s="40"/>
      <c r="G95" s="36"/>
      <c r="H95" s="36"/>
      <c r="I95" s="36"/>
      <c r="J95" s="36"/>
      <c r="K95" s="103" t="s">
        <v>34</v>
      </c>
      <c r="L95" s="36"/>
      <c r="M95" s="36"/>
      <c r="N95" s="36"/>
      <c r="O95" s="104" t="s">
        <v>38</v>
      </c>
      <c r="P95" s="36"/>
      <c r="Q95" s="36"/>
      <c r="R95" s="36"/>
      <c r="S95" s="105" t="s">
        <v>42</v>
      </c>
      <c r="T95" s="36"/>
      <c r="U95" s="36"/>
      <c r="V95" s="36"/>
      <c r="W95" s="106" t="s">
        <v>46</v>
      </c>
      <c r="AA95" s="44"/>
      <c r="AB95" s="41"/>
      <c r="AC95" s="41"/>
      <c r="AD95" s="41"/>
    </row>
    <row r="96" spans="1:30" s="42" customFormat="1" ht="50.15" customHeight="1" x14ac:dyDescent="0.25">
      <c r="A96" s="51"/>
      <c r="B96" s="258" t="s">
        <v>17</v>
      </c>
      <c r="C96" s="259"/>
      <c r="F96" s="40"/>
      <c r="G96" s="54" t="s">
        <v>29</v>
      </c>
      <c r="H96" s="36"/>
      <c r="I96" s="36"/>
      <c r="J96" s="36"/>
      <c r="K96" s="107">
        <f>G98</f>
        <v>0</v>
      </c>
      <c r="L96" s="36"/>
      <c r="M96" s="36"/>
      <c r="N96" s="36"/>
      <c r="O96" s="107">
        <f>K98</f>
        <v>0</v>
      </c>
      <c r="P96" s="36"/>
      <c r="Q96" s="36"/>
      <c r="R96" s="36"/>
      <c r="S96" s="107">
        <f>O98</f>
        <v>0</v>
      </c>
      <c r="T96" s="36"/>
      <c r="U96" s="36"/>
      <c r="V96" s="36"/>
      <c r="W96" s="107">
        <f>S98</f>
        <v>0</v>
      </c>
      <c r="AA96" s="55" t="s">
        <v>50</v>
      </c>
      <c r="AB96" s="41"/>
      <c r="AC96" s="41"/>
      <c r="AD96" s="41"/>
    </row>
    <row r="97" spans="1:30" s="39" customFormat="1" ht="7" customHeight="1" x14ac:dyDescent="0.3">
      <c r="A97" s="51"/>
      <c r="F97" s="40"/>
      <c r="G97" s="40"/>
      <c r="H97" s="40"/>
      <c r="I97" s="40" t="str">
        <f>IF(AND(I98&lt;&gt;"",I99&lt;&gt;""),"x","")</f>
        <v/>
      </c>
      <c r="J97" s="40"/>
      <c r="K97" s="40"/>
      <c r="L97" s="40"/>
      <c r="M97" s="40" t="e">
        <f>IF(AND(M98&lt;&gt;"",M99&lt;&gt;""),"x","")</f>
        <v>#REF!</v>
      </c>
      <c r="N97" s="40"/>
      <c r="O97" s="40"/>
      <c r="P97" s="40"/>
      <c r="Q97" s="40" t="e">
        <f>IF(AND(Q98&lt;&gt;"",Q99&lt;&gt;""),"x","")</f>
        <v>#REF!</v>
      </c>
      <c r="R97" s="40"/>
      <c r="S97" s="40"/>
      <c r="T97" s="40"/>
      <c r="U97" s="40" t="e">
        <f>IF(AND(U98&lt;&gt;"",U99&lt;&gt;""),"x","")</f>
        <v>#REF!</v>
      </c>
      <c r="V97" s="40"/>
      <c r="W97" s="40"/>
      <c r="X97" s="42"/>
      <c r="Y97" s="42"/>
      <c r="Z97" s="42"/>
      <c r="AA97" s="42"/>
      <c r="AB97" s="41"/>
      <c r="AC97" s="41"/>
      <c r="AD97" s="41"/>
    </row>
    <row r="98" spans="1:30" s="39" customFormat="1" ht="20.149999999999999" customHeight="1" x14ac:dyDescent="0.3">
      <c r="A98" s="248">
        <v>13</v>
      </c>
      <c r="B98" s="260" t="str">
        <f>IF('FO-GC-003'!I61&lt;&gt;"",'FO-GC-003'!I61,"")</f>
        <v/>
      </c>
      <c r="C98" s="261"/>
      <c r="F98" s="241" t="s">
        <v>108</v>
      </c>
      <c r="G98" s="235"/>
      <c r="H98" s="40"/>
      <c r="I98" s="40" t="str">
        <f>IF(AND(I99&lt;&gt;"",J99&lt;&gt;""),IF(AND(G98&lt;&gt;"",K98&lt;&gt;""),"","x"),IF(AND(G98="",K98="",I100="x",I104="x"),"x",""))</f>
        <v/>
      </c>
      <c r="J98" s="40"/>
      <c r="K98" s="235"/>
      <c r="L98" s="40"/>
      <c r="M98" s="40" t="e">
        <f>IF(AND(M99&lt;&gt;"",N99&lt;&gt;""),IF(AND(K98&lt;&gt;"",O98&lt;&gt;""),"","x"),IF(AND(K98="",O98="",M100="x",M104="x"),"x",""))</f>
        <v>#REF!</v>
      </c>
      <c r="N98" s="40"/>
      <c r="O98" s="235"/>
      <c r="P98" s="40"/>
      <c r="Q98" s="40" t="e">
        <f>IF(AND(Q99&lt;&gt;"",R99&lt;&gt;""),IF(AND(O98&lt;&gt;"",S98&lt;&gt;""),"","x"),IF(AND(O98="",S98="",Q100="x",Q104="x"),"x",""))</f>
        <v>#REF!</v>
      </c>
      <c r="R98" s="40"/>
      <c r="S98" s="235"/>
      <c r="T98" s="40"/>
      <c r="U98" s="40" t="e">
        <f>IF(AND(U99&lt;&gt;"",V99&lt;&gt;""),IF(AND(S98&lt;&gt;"",W98&lt;&gt;""),"","x"),IF(AND(S98="",W98="",U100="x",U104="x"),"x",""))</f>
        <v>#REF!</v>
      </c>
      <c r="V98" s="40"/>
      <c r="W98" s="235"/>
      <c r="X98" s="41"/>
      <c r="Y98" s="42"/>
      <c r="Z98" s="43" t="e">
        <f>IF(LOOKUP(2,1/(G98:W98&lt;&gt;""),G98:W98)="x","",LOOKUP(2,1/(G98:W98&lt;&gt;""),G98:W98))</f>
        <v>#N/A</v>
      </c>
      <c r="AA98" s="238" t="str">
        <f>IF(ISNA($Z98),"",$Z98)</f>
        <v/>
      </c>
      <c r="AB98" s="41"/>
      <c r="AC98" s="41"/>
      <c r="AD98" s="41"/>
    </row>
    <row r="99" spans="1:30" s="42" customFormat="1" ht="7" customHeight="1" x14ac:dyDescent="0.25">
      <c r="A99" s="248"/>
      <c r="B99" s="262"/>
      <c r="C99" s="263"/>
      <c r="F99" s="241"/>
      <c r="G99" s="236"/>
      <c r="H99" s="40" t="str">
        <f>IF(AND(G98&lt;&gt;"",K98&lt;&gt;""),"x","")</f>
        <v/>
      </c>
      <c r="I99" s="40" t="str">
        <f>IF(K98&lt;&gt;"","x",IF(I100="x","x",""))</f>
        <v/>
      </c>
      <c r="J99" s="40" t="str">
        <f>IF(K98&lt;&gt;"","x","")</f>
        <v/>
      </c>
      <c r="K99" s="236"/>
      <c r="L99" s="40" t="str">
        <f>IF(AND(K98&lt;&gt;"",O98&lt;&gt;""),"x","")</f>
        <v/>
      </c>
      <c r="M99" s="40" t="e">
        <f>IF(O98&lt;&gt;"","x",IF(M100="x","x",""))</f>
        <v>#REF!</v>
      </c>
      <c r="N99" s="40" t="str">
        <f>IF(O98&lt;&gt;"","x","")</f>
        <v/>
      </c>
      <c r="O99" s="236"/>
      <c r="P99" s="40" t="str">
        <f>IF(AND(O98&lt;&gt;"",S98&lt;&gt;""),"x","")</f>
        <v/>
      </c>
      <c r="Q99" s="40" t="e">
        <f>IF(S98&lt;&gt;"","x",IF(Q100="x","x",""))</f>
        <v>#REF!</v>
      </c>
      <c r="R99" s="40" t="str">
        <f>IF(S98&lt;&gt;"","x","")</f>
        <v/>
      </c>
      <c r="S99" s="236"/>
      <c r="T99" s="40" t="str">
        <f>IF(AND(S98&lt;&gt;"",W98&lt;&gt;""),"x","")</f>
        <v/>
      </c>
      <c r="U99" s="40" t="e">
        <f>IF(W98&lt;&gt;"","x",IF(U100="x","x",""))</f>
        <v>#REF!</v>
      </c>
      <c r="V99" s="40" t="str">
        <f>IF(W98&lt;&gt;"","x","")</f>
        <v/>
      </c>
      <c r="W99" s="236"/>
      <c r="AA99" s="239"/>
    </row>
    <row r="100" spans="1:30" s="39" customFormat="1" ht="20.149999999999999" customHeight="1" x14ac:dyDescent="0.3">
      <c r="A100" s="248"/>
      <c r="B100" s="264"/>
      <c r="C100" s="265"/>
      <c r="F100" s="241"/>
      <c r="G100" s="237"/>
      <c r="H100" s="40"/>
      <c r="I100" s="40" t="str">
        <f>IF(I104="x","x","")</f>
        <v/>
      </c>
      <c r="J100" s="40"/>
      <c r="K100" s="237"/>
      <c r="L100" s="40"/>
      <c r="M100" s="40" t="e">
        <f>IF(M104="x","x","")</f>
        <v>#REF!</v>
      </c>
      <c r="N100" s="40"/>
      <c r="O100" s="237"/>
      <c r="P100" s="40"/>
      <c r="Q100" s="40" t="e">
        <f>IF(Q104="x","x","")</f>
        <v>#REF!</v>
      </c>
      <c r="R100" s="40"/>
      <c r="S100" s="237"/>
      <c r="T100" s="40"/>
      <c r="U100" s="40" t="e">
        <f>IF(U104="x","x","")</f>
        <v>#REF!</v>
      </c>
      <c r="V100" s="40"/>
      <c r="W100" s="237"/>
      <c r="X100" s="42"/>
      <c r="Y100" s="42"/>
      <c r="Z100" s="42"/>
      <c r="AA100" s="240"/>
      <c r="AB100" s="41"/>
      <c r="AC100" s="41"/>
      <c r="AD100" s="41"/>
    </row>
    <row r="101" spans="1:30" s="39" customFormat="1" ht="7" customHeight="1" x14ac:dyDescent="0.3">
      <c r="A101" s="51"/>
      <c r="F101" s="40"/>
      <c r="G101" s="46"/>
      <c r="H101" s="40"/>
      <c r="I101" s="40"/>
      <c r="J101" s="40"/>
      <c r="K101" s="46"/>
      <c r="L101" s="40"/>
      <c r="M101" s="40"/>
      <c r="N101" s="40"/>
      <c r="O101" s="46"/>
      <c r="P101" s="40"/>
      <c r="Q101" s="40"/>
      <c r="R101" s="40"/>
      <c r="S101" s="46"/>
      <c r="T101" s="40"/>
      <c r="U101" s="40"/>
      <c r="V101" s="40"/>
      <c r="W101" s="46"/>
      <c r="X101" s="42"/>
      <c r="Y101" s="42"/>
      <c r="Z101" s="42"/>
      <c r="AA101" s="44"/>
      <c r="AB101" s="41"/>
      <c r="AC101" s="41"/>
      <c r="AD101" s="41"/>
    </row>
    <row r="102" spans="1:30" s="39" customFormat="1" ht="20.149999999999999" customHeight="1" x14ac:dyDescent="0.3">
      <c r="A102" s="51"/>
      <c r="F102" s="40"/>
      <c r="G102" s="36"/>
      <c r="H102" s="36"/>
      <c r="I102" s="36"/>
      <c r="J102" s="36"/>
      <c r="K102" s="111" t="s">
        <v>34</v>
      </c>
      <c r="L102" s="36"/>
      <c r="M102" s="36"/>
      <c r="N102" s="36"/>
      <c r="O102" s="104" t="s">
        <v>38</v>
      </c>
      <c r="P102" s="36"/>
      <c r="Q102" s="36"/>
      <c r="R102" s="36"/>
      <c r="S102" s="105" t="s">
        <v>42</v>
      </c>
      <c r="T102" s="36"/>
      <c r="U102" s="36"/>
      <c r="V102" s="36"/>
      <c r="W102" s="106" t="s">
        <v>46</v>
      </c>
      <c r="X102" s="42"/>
      <c r="Y102" s="42"/>
      <c r="Z102" s="42"/>
      <c r="AA102" s="44"/>
      <c r="AB102" s="41"/>
      <c r="AC102" s="41"/>
      <c r="AD102" s="41"/>
    </row>
    <row r="103" spans="1:30" s="39" customFormat="1" ht="50.15" customHeight="1" x14ac:dyDescent="0.3">
      <c r="A103" s="51"/>
      <c r="B103" s="258" t="s">
        <v>17</v>
      </c>
      <c r="C103" s="259"/>
      <c r="F103" s="40"/>
      <c r="G103" s="54" t="s">
        <v>29</v>
      </c>
      <c r="H103" s="36"/>
      <c r="I103" s="36"/>
      <c r="J103" s="36"/>
      <c r="K103" s="110">
        <f>G105</f>
        <v>0</v>
      </c>
      <c r="L103" s="36"/>
      <c r="M103" s="36"/>
      <c r="N103" s="36"/>
      <c r="O103" s="107">
        <f>K105</f>
        <v>0</v>
      </c>
      <c r="P103" s="36"/>
      <c r="Q103" s="36"/>
      <c r="R103" s="36"/>
      <c r="S103" s="107">
        <f>O105</f>
        <v>0</v>
      </c>
      <c r="T103" s="36"/>
      <c r="U103" s="36"/>
      <c r="V103" s="36"/>
      <c r="W103" s="107">
        <f>S105</f>
        <v>0</v>
      </c>
      <c r="X103" s="42"/>
      <c r="Y103" s="42"/>
      <c r="Z103" s="42"/>
      <c r="AA103" s="55" t="s">
        <v>50</v>
      </c>
      <c r="AB103" s="41"/>
      <c r="AC103" s="41"/>
      <c r="AD103" s="41"/>
    </row>
    <row r="104" spans="1:30" s="39" customFormat="1" ht="7" customHeight="1" x14ac:dyDescent="0.3">
      <c r="A104" s="51"/>
      <c r="F104" s="40"/>
      <c r="G104" s="40"/>
      <c r="H104" s="40"/>
      <c r="I104" s="40" t="str">
        <f>IF(AND(I105&lt;&gt;"",I106&lt;&gt;""),"x","")</f>
        <v/>
      </c>
      <c r="J104" s="40"/>
      <c r="K104" s="40"/>
      <c r="L104" s="40"/>
      <c r="M104" s="40" t="e">
        <f>IF(AND(M105&lt;&gt;"",M106&lt;&gt;""),"x","")</f>
        <v>#REF!</v>
      </c>
      <c r="N104" s="40"/>
      <c r="O104" s="40"/>
      <c r="P104" s="40"/>
      <c r="Q104" s="40" t="e">
        <f>IF(AND(Q105&lt;&gt;"",Q106&lt;&gt;""),"x","")</f>
        <v>#REF!</v>
      </c>
      <c r="R104" s="40"/>
      <c r="S104" s="40"/>
      <c r="T104" s="40"/>
      <c r="U104" s="40" t="e">
        <f>IF(AND(U105&lt;&gt;"",U106&lt;&gt;""),"x","")</f>
        <v>#REF!</v>
      </c>
      <c r="V104" s="40"/>
      <c r="W104" s="40"/>
      <c r="X104" s="42"/>
      <c r="Y104" s="42"/>
      <c r="Z104" s="42"/>
      <c r="AA104" s="42"/>
      <c r="AB104" s="41"/>
      <c r="AC104" s="41"/>
      <c r="AD104" s="41"/>
    </row>
    <row r="105" spans="1:30" s="39" customFormat="1" ht="20.149999999999999" customHeight="1" x14ac:dyDescent="0.3">
      <c r="A105" s="248">
        <v>14</v>
      </c>
      <c r="B105" s="242" t="str">
        <f>IF('FO-GC-003'!I65&lt;&gt;"",'FO-GC-003'!I65,"")</f>
        <v/>
      </c>
      <c r="C105" s="242"/>
      <c r="F105" s="241" t="s">
        <v>108</v>
      </c>
      <c r="G105" s="235"/>
      <c r="H105" s="40"/>
      <c r="I105" s="40" t="str">
        <f>IF(AND(I106&lt;&gt;"",J106&lt;&gt;""),IF(AND(G105&lt;&gt;"",K105&lt;&gt;""),"","x"),IF(AND(G105="",K105="",I107="x",I111="x"),"x",""))</f>
        <v/>
      </c>
      <c r="J105" s="40"/>
      <c r="K105" s="235"/>
      <c r="L105" s="40"/>
      <c r="M105" s="40" t="e">
        <f>IF(AND(M106&lt;&gt;"",N106&lt;&gt;""),IF(AND(K105&lt;&gt;"",O105&lt;&gt;""),"","x"),IF(AND(K105="",O105="",M107="x",M111="x"),"x",""))</f>
        <v>#REF!</v>
      </c>
      <c r="N105" s="40"/>
      <c r="O105" s="235"/>
      <c r="P105" s="40"/>
      <c r="Q105" s="40" t="e">
        <f>IF(AND(Q106&lt;&gt;"",R106&lt;&gt;""),IF(AND(O105&lt;&gt;"",S105&lt;&gt;""),"","x"),IF(AND(O105="",S105="",Q107="x",Q111="x"),"x",""))</f>
        <v>#REF!</v>
      </c>
      <c r="R105" s="40"/>
      <c r="S105" s="235"/>
      <c r="T105" s="40"/>
      <c r="U105" s="40" t="e">
        <f>IF(AND(U106&lt;&gt;"",V106&lt;&gt;""),IF(AND(S105&lt;&gt;"",W105&lt;&gt;""),"","x"),IF(AND(S105="",W105="",U107="x",U111="x"),"x",""))</f>
        <v>#REF!</v>
      </c>
      <c r="V105" s="40"/>
      <c r="W105" s="235"/>
      <c r="X105" s="41"/>
      <c r="Y105" s="42"/>
      <c r="Z105" s="43" t="e">
        <f>IF(LOOKUP(2,1/(G105:W105&lt;&gt;""),G105:W105)="x","",LOOKUP(2,1/(G105:W105&lt;&gt;""),G105:W105))</f>
        <v>#N/A</v>
      </c>
      <c r="AA105" s="238" t="str">
        <f>IF(ISNA($Z105),"",$Z105)</f>
        <v/>
      </c>
      <c r="AB105" s="41"/>
      <c r="AC105" s="41"/>
      <c r="AD105" s="41"/>
    </row>
    <row r="106" spans="1:30" s="42" customFormat="1" ht="7" customHeight="1" x14ac:dyDescent="0.25">
      <c r="A106" s="248"/>
      <c r="B106" s="242"/>
      <c r="C106" s="242"/>
      <c r="F106" s="241"/>
      <c r="G106" s="236"/>
      <c r="H106" s="40" t="str">
        <f>IF(AND(G105&lt;&gt;"",K105&lt;&gt;""),"x","")</f>
        <v/>
      </c>
      <c r="I106" s="40" t="str">
        <f>IF(K105&lt;&gt;"","x",IF(I107="x","x",""))</f>
        <v/>
      </c>
      <c r="J106" s="40" t="str">
        <f>IF(K105&lt;&gt;"","x","")</f>
        <v/>
      </c>
      <c r="K106" s="236"/>
      <c r="L106" s="40" t="str">
        <f>IF(AND(K105&lt;&gt;"",O105&lt;&gt;""),"x","")</f>
        <v/>
      </c>
      <c r="M106" s="40" t="e">
        <f>IF(O105&lt;&gt;"","x",IF(M107="x","x",""))</f>
        <v>#REF!</v>
      </c>
      <c r="N106" s="40" t="str">
        <f>IF(O105&lt;&gt;"","x","")</f>
        <v/>
      </c>
      <c r="O106" s="236"/>
      <c r="P106" s="40" t="str">
        <f>IF(AND(O105&lt;&gt;"",S105&lt;&gt;""),"x","")</f>
        <v/>
      </c>
      <c r="Q106" s="40" t="e">
        <f>IF(S105&lt;&gt;"","x",IF(Q107="x","x",""))</f>
        <v>#REF!</v>
      </c>
      <c r="R106" s="40" t="str">
        <f>IF(S105&lt;&gt;"","x","")</f>
        <v/>
      </c>
      <c r="S106" s="236"/>
      <c r="T106" s="40" t="str">
        <f>IF(AND(S105&lt;&gt;"",W105&lt;&gt;""),"x","")</f>
        <v/>
      </c>
      <c r="U106" s="40" t="e">
        <f>IF(W105&lt;&gt;"","x",IF(U107="x","x",""))</f>
        <v>#REF!</v>
      </c>
      <c r="V106" s="40" t="str">
        <f>IF(W105&lt;&gt;"","x","")</f>
        <v/>
      </c>
      <c r="W106" s="236"/>
      <c r="AA106" s="239"/>
    </row>
    <row r="107" spans="1:30" s="39" customFormat="1" ht="20.149999999999999" customHeight="1" x14ac:dyDescent="0.3">
      <c r="A107" s="248"/>
      <c r="B107" s="242"/>
      <c r="C107" s="242"/>
      <c r="F107" s="241"/>
      <c r="G107" s="237"/>
      <c r="H107" s="40"/>
      <c r="I107" s="40" t="str">
        <f>IF(I111="x","x","")</f>
        <v/>
      </c>
      <c r="J107" s="40"/>
      <c r="K107" s="237"/>
      <c r="L107" s="40"/>
      <c r="M107" s="40" t="e">
        <f>IF(M111="x","x","")</f>
        <v>#REF!</v>
      </c>
      <c r="N107" s="40"/>
      <c r="O107" s="237"/>
      <c r="P107" s="40"/>
      <c r="Q107" s="40" t="e">
        <f>IF(Q111="x","x","")</f>
        <v>#REF!</v>
      </c>
      <c r="R107" s="40"/>
      <c r="S107" s="237"/>
      <c r="T107" s="40"/>
      <c r="U107" s="40" t="e">
        <f>IF(U111="x","x","")</f>
        <v>#REF!</v>
      </c>
      <c r="V107" s="40"/>
      <c r="W107" s="237"/>
      <c r="X107" s="42"/>
      <c r="Y107" s="42"/>
      <c r="Z107" s="42"/>
      <c r="AA107" s="240"/>
      <c r="AB107" s="41"/>
      <c r="AC107" s="41"/>
      <c r="AD107" s="41"/>
    </row>
    <row r="108" spans="1:30" s="39" customFormat="1" ht="7" customHeight="1" x14ac:dyDescent="0.3">
      <c r="A108" s="51"/>
      <c r="F108" s="40"/>
      <c r="G108" s="46"/>
      <c r="H108" s="40"/>
      <c r="I108" s="40"/>
      <c r="J108" s="40"/>
      <c r="K108" s="46"/>
      <c r="L108" s="40"/>
      <c r="M108" s="40"/>
      <c r="N108" s="40"/>
      <c r="O108" s="46"/>
      <c r="P108" s="40"/>
      <c r="Q108" s="40"/>
      <c r="R108" s="40"/>
      <c r="S108" s="46"/>
      <c r="T108" s="40"/>
      <c r="U108" s="40"/>
      <c r="V108" s="40"/>
      <c r="W108" s="46"/>
      <c r="X108" s="42"/>
      <c r="Y108" s="42"/>
      <c r="Z108" s="42"/>
      <c r="AA108" s="44"/>
      <c r="AB108" s="41"/>
      <c r="AC108" s="41"/>
      <c r="AD108" s="41"/>
    </row>
    <row r="109" spans="1:30" s="39" customFormat="1" ht="20.149999999999999" customHeight="1" x14ac:dyDescent="0.3">
      <c r="A109" s="51"/>
      <c r="F109" s="40"/>
      <c r="G109" s="36"/>
      <c r="H109" s="36"/>
      <c r="I109" s="36"/>
      <c r="J109" s="36"/>
      <c r="K109" s="103" t="s">
        <v>34</v>
      </c>
      <c r="L109" s="36"/>
      <c r="M109" s="36"/>
      <c r="N109" s="36"/>
      <c r="O109" s="104" t="s">
        <v>38</v>
      </c>
      <c r="P109" s="36"/>
      <c r="Q109" s="36"/>
      <c r="R109" s="36"/>
      <c r="S109" s="105" t="s">
        <v>42</v>
      </c>
      <c r="T109" s="36"/>
      <c r="U109" s="36"/>
      <c r="V109" s="36"/>
      <c r="W109" s="106" t="s">
        <v>46</v>
      </c>
      <c r="X109" s="42"/>
      <c r="Y109" s="42"/>
      <c r="Z109" s="42"/>
      <c r="AA109" s="44"/>
      <c r="AB109" s="41"/>
      <c r="AC109" s="41"/>
      <c r="AD109" s="41"/>
    </row>
    <row r="110" spans="1:30" s="39" customFormat="1" ht="50.15" customHeight="1" x14ac:dyDescent="0.3">
      <c r="A110" s="51"/>
      <c r="B110" s="258" t="s">
        <v>17</v>
      </c>
      <c r="C110" s="259"/>
      <c r="F110" s="40"/>
      <c r="G110" s="54" t="s">
        <v>29</v>
      </c>
      <c r="H110" s="36"/>
      <c r="I110" s="36"/>
      <c r="J110" s="36"/>
      <c r="K110" s="107">
        <f>G112</f>
        <v>0</v>
      </c>
      <c r="L110" s="36"/>
      <c r="M110" s="36"/>
      <c r="N110" s="36"/>
      <c r="O110" s="107">
        <f>K112</f>
        <v>0</v>
      </c>
      <c r="P110" s="36"/>
      <c r="Q110" s="36"/>
      <c r="R110" s="36"/>
      <c r="S110" s="107">
        <f>O112</f>
        <v>0</v>
      </c>
      <c r="T110" s="36"/>
      <c r="U110" s="36"/>
      <c r="V110" s="36"/>
      <c r="W110" s="107">
        <f>S112</f>
        <v>0</v>
      </c>
      <c r="X110" s="42"/>
      <c r="Y110" s="42"/>
      <c r="Z110" s="42"/>
      <c r="AA110" s="55" t="s">
        <v>50</v>
      </c>
      <c r="AB110" s="41"/>
      <c r="AC110" s="41"/>
      <c r="AD110" s="41"/>
    </row>
    <row r="111" spans="1:30" s="39" customFormat="1" ht="7" customHeight="1" x14ac:dyDescent="0.3">
      <c r="A111" s="51"/>
      <c r="F111" s="40"/>
      <c r="G111" s="40"/>
      <c r="H111" s="40"/>
      <c r="I111" s="40" t="str">
        <f>IF(AND(I112&lt;&gt;"",I113&lt;&gt;""),"x","")</f>
        <v/>
      </c>
      <c r="J111" s="40"/>
      <c r="K111" s="40"/>
      <c r="L111" s="40"/>
      <c r="M111" s="40" t="e">
        <f>IF(AND(M112&lt;&gt;"",M113&lt;&gt;""),"x","")</f>
        <v>#REF!</v>
      </c>
      <c r="N111" s="40"/>
      <c r="O111" s="44"/>
      <c r="P111" s="40"/>
      <c r="Q111" s="40" t="e">
        <f>IF(AND(Q112&lt;&gt;"",Q113&lt;&gt;""),"x","")</f>
        <v>#REF!</v>
      </c>
      <c r="R111" s="40"/>
      <c r="S111" s="40"/>
      <c r="T111" s="40"/>
      <c r="U111" s="40" t="e">
        <f>IF(AND(U112&lt;&gt;"",U113&lt;&gt;""),"x","")</f>
        <v>#REF!</v>
      </c>
      <c r="V111" s="40"/>
      <c r="W111" s="40"/>
      <c r="X111" s="42"/>
      <c r="Y111" s="42"/>
      <c r="Z111" s="42"/>
      <c r="AA111" s="42"/>
      <c r="AB111" s="41"/>
      <c r="AC111" s="41"/>
      <c r="AD111" s="41"/>
    </row>
    <row r="112" spans="1:30" s="39" customFormat="1" ht="20.149999999999999" customHeight="1" x14ac:dyDescent="0.3">
      <c r="A112" s="248">
        <v>15</v>
      </c>
      <c r="B112" s="242" t="str">
        <f>IF('FO-GC-003'!I69&lt;&gt;"",'FO-GC-003'!I69,"")</f>
        <v/>
      </c>
      <c r="C112" s="242"/>
      <c r="F112" s="241" t="s">
        <v>108</v>
      </c>
      <c r="G112" s="235"/>
      <c r="H112" s="40"/>
      <c r="I112" s="40" t="str">
        <f>IF(AND(I113&lt;&gt;"",J113&lt;&gt;""),IF(AND(G112&lt;&gt;"",K112&lt;&gt;""),"","x"),IF(AND(G112="",K112="",I114="x",I115="x"),"x",""))</f>
        <v/>
      </c>
      <c r="J112" s="40"/>
      <c r="K112" s="235"/>
      <c r="L112" s="40"/>
      <c r="M112" s="40" t="e">
        <f>IF(AND(M113&lt;&gt;"",N113&lt;&gt;""),IF(AND(K112&lt;&gt;"",O112&lt;&gt;""),"","x"),IF(AND(K112="",O112="",M114="x",M115="x"),"x",""))</f>
        <v>#REF!</v>
      </c>
      <c r="N112" s="40"/>
      <c r="O112" s="235"/>
      <c r="P112" s="40"/>
      <c r="Q112" s="40" t="e">
        <f>IF(AND(Q113&lt;&gt;"",R113&lt;&gt;""),IF(AND(O112&lt;&gt;"",S112&lt;&gt;""),"","x"),IF(AND(O112="",S112="",Q114="x",Q115="x"),"x",""))</f>
        <v>#REF!</v>
      </c>
      <c r="R112" s="40"/>
      <c r="S112" s="235"/>
      <c r="T112" s="40"/>
      <c r="U112" s="40" t="e">
        <f>IF(AND(U113&lt;&gt;"",V113&lt;&gt;""),IF(AND(S112&lt;&gt;"",W112&lt;&gt;""),"","x"),IF(AND(S112="",W112="",U114="x",U115="x"),"x",""))</f>
        <v>#REF!</v>
      </c>
      <c r="V112" s="40"/>
      <c r="W112" s="235"/>
      <c r="X112" s="41"/>
      <c r="Y112" s="42"/>
      <c r="Z112" s="43" t="e">
        <f>IF(LOOKUP(2,1/(G112:W112&lt;&gt;""),G112:W112)="x","",LOOKUP(2,1/(G112:W112&lt;&gt;""),G112:W112))</f>
        <v>#N/A</v>
      </c>
      <c r="AA112" s="238" t="str">
        <f>IF(ISNA($Z112),"",$Z112)</f>
        <v/>
      </c>
      <c r="AB112" s="41"/>
      <c r="AC112" s="41"/>
      <c r="AD112" s="41"/>
    </row>
    <row r="113" spans="1:30" s="42" customFormat="1" ht="7" customHeight="1" x14ac:dyDescent="0.25">
      <c r="A113" s="248"/>
      <c r="B113" s="242"/>
      <c r="C113" s="242"/>
      <c r="F113" s="241"/>
      <c r="G113" s="236"/>
      <c r="H113" s="40" t="str">
        <f>IF(AND(G112&lt;&gt;"",K112&lt;&gt;""),"x","")</f>
        <v/>
      </c>
      <c r="I113" s="40" t="str">
        <f>IF(K112&lt;&gt;"","x",IF(I114="x","x",""))</f>
        <v/>
      </c>
      <c r="J113" s="40" t="str">
        <f>IF(K112&lt;&gt;"","x","")</f>
        <v/>
      </c>
      <c r="K113" s="236"/>
      <c r="L113" s="40" t="str">
        <f>IF(AND(K112&lt;&gt;"",O112&lt;&gt;""),"x","")</f>
        <v/>
      </c>
      <c r="M113" s="40" t="e">
        <f>IF(O112&lt;&gt;"","x",IF(M114="x","x",""))</f>
        <v>#REF!</v>
      </c>
      <c r="N113" s="40" t="str">
        <f>IF(O112&lt;&gt;"","x","")</f>
        <v/>
      </c>
      <c r="O113" s="236"/>
      <c r="P113" s="40" t="str">
        <f>IF(AND(O112&lt;&gt;"",S112&lt;&gt;""),"x","")</f>
        <v/>
      </c>
      <c r="Q113" s="40" t="e">
        <f>IF(S112&lt;&gt;"","x",IF(Q114="x","x",""))</f>
        <v>#REF!</v>
      </c>
      <c r="R113" s="40" t="str">
        <f>IF(S112&lt;&gt;"","x","")</f>
        <v/>
      </c>
      <c r="S113" s="236"/>
      <c r="T113" s="40" t="str">
        <f>IF(AND(S112&lt;&gt;"",W112&lt;&gt;""),"x","")</f>
        <v/>
      </c>
      <c r="U113" s="40" t="e">
        <f>IF(W112&lt;&gt;"","x",IF(U114="x","x",""))</f>
        <v>#REF!</v>
      </c>
      <c r="V113" s="40" t="str">
        <f>IF(W112&lt;&gt;"","x","")</f>
        <v/>
      </c>
      <c r="W113" s="236"/>
      <c r="AA113" s="239"/>
    </row>
    <row r="114" spans="1:30" s="39" customFormat="1" ht="20.149999999999999" customHeight="1" x14ac:dyDescent="0.3">
      <c r="A114" s="248"/>
      <c r="B114" s="242"/>
      <c r="C114" s="242"/>
      <c r="F114" s="241"/>
      <c r="G114" s="237"/>
      <c r="H114" s="40"/>
      <c r="I114" s="40" t="str">
        <f>IF(I115="x","x","")</f>
        <v/>
      </c>
      <c r="J114" s="40"/>
      <c r="K114" s="237"/>
      <c r="L114" s="40"/>
      <c r="M114" s="40" t="e">
        <f>IF(M115="x","x","")</f>
        <v>#REF!</v>
      </c>
      <c r="N114" s="40"/>
      <c r="O114" s="237"/>
      <c r="P114" s="40"/>
      <c r="Q114" s="40" t="e">
        <f>IF(Q115="x","x","")</f>
        <v>#REF!</v>
      </c>
      <c r="R114" s="40"/>
      <c r="S114" s="237"/>
      <c r="T114" s="40"/>
      <c r="U114" s="40" t="e">
        <f>IF(U115="x","x","")</f>
        <v>#REF!</v>
      </c>
      <c r="V114" s="40"/>
      <c r="W114" s="237"/>
      <c r="X114" s="42"/>
      <c r="Y114" s="42"/>
      <c r="Z114" s="42"/>
      <c r="AA114" s="240"/>
      <c r="AB114" s="41"/>
      <c r="AC114" s="41"/>
      <c r="AD114" s="41"/>
    </row>
    <row r="115" spans="1:30" s="39" customFormat="1" ht="7" customHeight="1" x14ac:dyDescent="0.3">
      <c r="A115" s="51"/>
      <c r="F115" s="40"/>
      <c r="G115" s="40"/>
      <c r="H115" s="40"/>
      <c r="I115" s="40" t="str">
        <f>IF(AND(I116&lt;&gt;"",I117&lt;&gt;""),"x","")</f>
        <v/>
      </c>
      <c r="J115" s="40"/>
      <c r="K115" s="40"/>
      <c r="L115" s="40"/>
      <c r="M115" s="40" t="e">
        <f>IF(AND(M116&lt;&gt;"",M117&lt;&gt;""),"x","")</f>
        <v>#REF!</v>
      </c>
      <c r="N115" s="40"/>
      <c r="O115" s="40"/>
      <c r="P115" s="40"/>
      <c r="Q115" s="40" t="e">
        <f>IF(AND(Q116&lt;&gt;"",Q117&lt;&gt;""),"x","")</f>
        <v>#REF!</v>
      </c>
      <c r="R115" s="40"/>
      <c r="S115" s="40"/>
      <c r="T115" s="40"/>
      <c r="U115" s="40" t="e">
        <f>IF(AND(U116&lt;&gt;"",U117&lt;&gt;""),"x","")</f>
        <v>#REF!</v>
      </c>
      <c r="V115" s="40"/>
      <c r="W115" s="40"/>
      <c r="X115" s="42"/>
      <c r="Y115" s="42"/>
      <c r="Z115" s="42"/>
      <c r="AA115" s="42"/>
      <c r="AB115" s="41"/>
      <c r="AC115" s="41"/>
      <c r="AD115" s="41"/>
    </row>
    <row r="116" spans="1:30" s="39" customFormat="1" ht="20.149999999999999" hidden="1" customHeight="1" x14ac:dyDescent="0.3">
      <c r="A116" s="248"/>
      <c r="F116" s="40"/>
      <c r="G116" s="235"/>
      <c r="H116" s="40"/>
      <c r="I116" s="40" t="str">
        <f>IF(AND(I117&lt;&gt;"",J117&lt;&gt;""),IF(AND(G116&lt;&gt;"",K116&lt;&gt;""),"","x"),IF(AND(G116="",K116="",I118="x",I119="x"),"x",""))</f>
        <v/>
      </c>
      <c r="J116" s="40"/>
      <c r="K116" s="235"/>
      <c r="L116" s="40"/>
      <c r="M116" s="40" t="e">
        <f>IF(AND(M117&lt;&gt;"",N117&lt;&gt;""),IF(AND(K116&lt;&gt;"",O116&lt;&gt;""),"","x"),IF(AND(K116="",O116="",M118="x",M119="x"),"x",""))</f>
        <v>#REF!</v>
      </c>
      <c r="N116" s="40"/>
      <c r="O116" s="235"/>
      <c r="P116" s="40"/>
      <c r="Q116" s="40" t="e">
        <f>IF(AND(Q117&lt;&gt;"",R117&lt;&gt;""),IF(AND(O116&lt;&gt;"",S116&lt;&gt;""),"","x"),IF(AND(O116="",S116="",Q118="x",Q119="x"),"x",""))</f>
        <v>#REF!</v>
      </c>
      <c r="R116" s="40"/>
      <c r="S116" s="235"/>
      <c r="T116" s="40"/>
      <c r="U116" s="40" t="e">
        <f>IF(AND(U117&lt;&gt;"",V117&lt;&gt;""),IF(AND(S116&lt;&gt;"",W116&lt;&gt;""),"","x"),IF(AND(S116="",W116="",U118="x",U119="x"),"x",""))</f>
        <v>#REF!</v>
      </c>
      <c r="V116" s="40"/>
      <c r="W116" s="235"/>
      <c r="X116" s="41"/>
      <c r="Y116" s="42"/>
      <c r="Z116" s="43" t="e">
        <f>IF(LOOKUP(2,1/(G116:W116&lt;&gt;""),G116:W116)="x","",LOOKUP(2,1/(G116:W116&lt;&gt;""),G116:W116))</f>
        <v>#N/A</v>
      </c>
      <c r="AA116" s="238" t="str">
        <f>IF(ISNA($Z116),"",$Z116)</f>
        <v/>
      </c>
      <c r="AB116" s="41"/>
      <c r="AC116" s="41"/>
      <c r="AD116" s="41"/>
    </row>
    <row r="117" spans="1:30" s="42" customFormat="1" ht="7" hidden="1" customHeight="1" x14ac:dyDescent="0.25">
      <c r="A117" s="248"/>
      <c r="F117" s="40"/>
      <c r="G117" s="236"/>
      <c r="H117" s="40" t="str">
        <f>IF(AND(G116&lt;&gt;"",K116&lt;&gt;""),"x","")</f>
        <v/>
      </c>
      <c r="I117" s="40" t="str">
        <f>IF(K116&lt;&gt;"","x",IF(I118="x","x",""))</f>
        <v/>
      </c>
      <c r="J117" s="40" t="str">
        <f>IF(K116&lt;&gt;"","x","")</f>
        <v/>
      </c>
      <c r="K117" s="236"/>
      <c r="L117" s="40" t="str">
        <f>IF(AND(K116&lt;&gt;"",O116&lt;&gt;""),"x","")</f>
        <v/>
      </c>
      <c r="M117" s="40" t="e">
        <f>IF(O116&lt;&gt;"","x",IF(M118="x","x",""))</f>
        <v>#REF!</v>
      </c>
      <c r="N117" s="40" t="str">
        <f>IF(O116&lt;&gt;"","x","")</f>
        <v/>
      </c>
      <c r="O117" s="236"/>
      <c r="P117" s="40" t="str">
        <f>IF(AND(O116&lt;&gt;"",S116&lt;&gt;""),"x","")</f>
        <v/>
      </c>
      <c r="Q117" s="40" t="e">
        <f>IF(S116&lt;&gt;"","x",IF(Q118="x","x",""))</f>
        <v>#REF!</v>
      </c>
      <c r="R117" s="40" t="str">
        <f>IF(S116&lt;&gt;"","x","")</f>
        <v/>
      </c>
      <c r="S117" s="236"/>
      <c r="T117" s="40" t="str">
        <f>IF(AND(S116&lt;&gt;"",W116&lt;&gt;""),"x","")</f>
        <v/>
      </c>
      <c r="U117" s="40" t="e">
        <f>IF(W116&lt;&gt;"","x",IF(U118="x","x",""))</f>
        <v>#REF!</v>
      </c>
      <c r="V117" s="40" t="str">
        <f>IF(W116&lt;&gt;"","x","")</f>
        <v/>
      </c>
      <c r="W117" s="236"/>
      <c r="AA117" s="239"/>
    </row>
    <row r="118" spans="1:30" s="42" customFormat="1" ht="20.149999999999999" hidden="1" customHeight="1" x14ac:dyDescent="0.25">
      <c r="A118" s="248"/>
      <c r="F118" s="40"/>
      <c r="G118" s="237"/>
      <c r="H118" s="40"/>
      <c r="I118" s="40" t="str">
        <f>IF(I119="x","x","")</f>
        <v/>
      </c>
      <c r="J118" s="40"/>
      <c r="K118" s="237"/>
      <c r="L118" s="40"/>
      <c r="M118" s="40" t="e">
        <f>IF(M119="x","x","")</f>
        <v>#REF!</v>
      </c>
      <c r="N118" s="40"/>
      <c r="O118" s="237"/>
      <c r="P118" s="40"/>
      <c r="Q118" s="40" t="e">
        <f>IF(Q119="x","x","")</f>
        <v>#REF!</v>
      </c>
      <c r="R118" s="40"/>
      <c r="S118" s="237"/>
      <c r="T118" s="40"/>
      <c r="U118" s="40" t="e">
        <f>IF(U119="x","x","")</f>
        <v>#REF!</v>
      </c>
      <c r="V118" s="40"/>
      <c r="W118" s="237"/>
      <c r="AA118" s="240"/>
      <c r="AB118" s="41"/>
      <c r="AC118" s="41"/>
      <c r="AD118" s="41"/>
    </row>
    <row r="119" spans="1:30" s="42" customFormat="1" ht="7" hidden="1" customHeight="1" x14ac:dyDescent="0.25">
      <c r="A119" s="51"/>
      <c r="F119" s="40"/>
      <c r="G119" s="40"/>
      <c r="H119" s="40"/>
      <c r="I119" s="40" t="str">
        <f>IF(AND(I120&lt;&gt;"",I121&lt;&gt;""),"x","")</f>
        <v/>
      </c>
      <c r="J119" s="40"/>
      <c r="K119" s="40"/>
      <c r="L119" s="40"/>
      <c r="M119" s="40" t="e">
        <f>IF(AND(M120&lt;&gt;"",M121&lt;&gt;""),"x","")</f>
        <v>#REF!</v>
      </c>
      <c r="N119" s="40"/>
      <c r="O119" s="40"/>
      <c r="P119" s="40"/>
      <c r="Q119" s="40" t="e">
        <f>IF(AND(Q120&lt;&gt;"",Q121&lt;&gt;""),"x","")</f>
        <v>#REF!</v>
      </c>
      <c r="R119" s="40"/>
      <c r="S119" s="40"/>
      <c r="T119" s="40"/>
      <c r="U119" s="40" t="e">
        <f>IF(AND(U120&lt;&gt;"",U121&lt;&gt;""),"x","")</f>
        <v>#REF!</v>
      </c>
      <c r="V119" s="40"/>
      <c r="W119" s="40"/>
      <c r="AB119" s="41"/>
      <c r="AC119" s="41"/>
      <c r="AD119" s="41"/>
    </row>
    <row r="120" spans="1:30" s="39" customFormat="1" ht="20.149999999999999" hidden="1" customHeight="1" x14ac:dyDescent="0.3">
      <c r="A120" s="248"/>
      <c r="F120" s="40"/>
      <c r="G120" s="235"/>
      <c r="H120" s="40"/>
      <c r="I120" s="40" t="str">
        <f>IF(AND(I121&lt;&gt;"",J121&lt;&gt;""),IF(AND(G120&lt;&gt;"",K120&lt;&gt;""),"","x"),IF(AND(G120="",K120="",I122="x",I123="x"),"x",""))</f>
        <v/>
      </c>
      <c r="J120" s="40"/>
      <c r="K120" s="235"/>
      <c r="L120" s="40"/>
      <c r="M120" s="40" t="e">
        <f>IF(AND(M121&lt;&gt;"",N121&lt;&gt;""),IF(AND(K120&lt;&gt;"",O120&lt;&gt;""),"","x"),IF(AND(K120="",O120="",M122="x",M123="x"),"x",""))</f>
        <v>#REF!</v>
      </c>
      <c r="N120" s="40"/>
      <c r="O120" s="235"/>
      <c r="P120" s="40"/>
      <c r="Q120" s="40" t="e">
        <f>IF(AND(Q121&lt;&gt;"",R121&lt;&gt;""),IF(AND(O120&lt;&gt;"",S120&lt;&gt;""),"","x"),IF(AND(O120="",S120="",Q122="x",Q123="x"),"x",""))</f>
        <v>#REF!</v>
      </c>
      <c r="R120" s="40"/>
      <c r="S120" s="235"/>
      <c r="T120" s="40"/>
      <c r="U120" s="40" t="e">
        <f>IF(AND(U121&lt;&gt;"",V121&lt;&gt;""),IF(AND(S120&lt;&gt;"",W120&lt;&gt;""),"","x"),IF(AND(S120="",W120="",U122="x",U123="x"),"x",""))</f>
        <v>#REF!</v>
      </c>
      <c r="V120" s="40"/>
      <c r="W120" s="235"/>
      <c r="X120" s="41"/>
      <c r="Y120" s="42"/>
      <c r="Z120" s="43" t="e">
        <f>IF(LOOKUP(2,1/(G120:W120&lt;&gt;""),G120:W120)="x","",LOOKUP(2,1/(G120:W120&lt;&gt;""),G120:W120))</f>
        <v>#N/A</v>
      </c>
      <c r="AA120" s="238" t="str">
        <f>IF(ISNA($Z120),"",$Z120)</f>
        <v/>
      </c>
      <c r="AB120" s="41"/>
      <c r="AC120" s="41"/>
      <c r="AD120" s="41"/>
    </row>
    <row r="121" spans="1:30" s="42" customFormat="1" ht="7" hidden="1" customHeight="1" x14ac:dyDescent="0.25">
      <c r="A121" s="248"/>
      <c r="F121" s="40"/>
      <c r="G121" s="236"/>
      <c r="H121" s="40" t="str">
        <f>IF(AND(G120&lt;&gt;"",K120&lt;&gt;""),"x","")</f>
        <v/>
      </c>
      <c r="I121" s="40" t="str">
        <f>IF(K120&lt;&gt;"","x",IF(I122="x","x",""))</f>
        <v/>
      </c>
      <c r="J121" s="40" t="str">
        <f>IF(K120&lt;&gt;"","x","")</f>
        <v/>
      </c>
      <c r="K121" s="236"/>
      <c r="L121" s="40" t="str">
        <f>IF(AND(K120&lt;&gt;"",O120&lt;&gt;""),"x","")</f>
        <v/>
      </c>
      <c r="M121" s="40" t="e">
        <f>IF(O120&lt;&gt;"","x",IF(M122="x","x",""))</f>
        <v>#REF!</v>
      </c>
      <c r="N121" s="40" t="str">
        <f>IF(O120&lt;&gt;"","x","")</f>
        <v/>
      </c>
      <c r="O121" s="236"/>
      <c r="P121" s="40" t="str">
        <f>IF(AND(O120&lt;&gt;"",S120&lt;&gt;""),"x","")</f>
        <v/>
      </c>
      <c r="Q121" s="40" t="e">
        <f>IF(S120&lt;&gt;"","x",IF(Q122="x","x",""))</f>
        <v>#REF!</v>
      </c>
      <c r="R121" s="40" t="str">
        <f>IF(S120&lt;&gt;"","x","")</f>
        <v/>
      </c>
      <c r="S121" s="236"/>
      <c r="T121" s="40" t="str">
        <f>IF(AND(S120&lt;&gt;"",W120&lt;&gt;""),"x","")</f>
        <v/>
      </c>
      <c r="U121" s="40" t="e">
        <f>IF(W120&lt;&gt;"","x",IF(U122="x","x",""))</f>
        <v>#REF!</v>
      </c>
      <c r="V121" s="40" t="str">
        <f>IF(W120&lt;&gt;"","x","")</f>
        <v/>
      </c>
      <c r="W121" s="236"/>
      <c r="AA121" s="239"/>
    </row>
    <row r="122" spans="1:30" s="39" customFormat="1" ht="20.149999999999999" hidden="1" customHeight="1" x14ac:dyDescent="0.3">
      <c r="A122" s="248"/>
      <c r="F122" s="40"/>
      <c r="G122" s="237"/>
      <c r="H122" s="40"/>
      <c r="I122" s="40" t="str">
        <f>IF(I123="x","x","")</f>
        <v/>
      </c>
      <c r="J122" s="40"/>
      <c r="K122" s="237"/>
      <c r="L122" s="40"/>
      <c r="M122" s="40" t="e">
        <f>IF(M123="x","x","")</f>
        <v>#REF!</v>
      </c>
      <c r="N122" s="40"/>
      <c r="O122" s="237"/>
      <c r="P122" s="40"/>
      <c r="Q122" s="40" t="e">
        <f>IF(Q123="x","x","")</f>
        <v>#REF!</v>
      </c>
      <c r="R122" s="40"/>
      <c r="S122" s="237"/>
      <c r="T122" s="40"/>
      <c r="U122" s="40" t="e">
        <f>IF(U123="x","x","")</f>
        <v>#REF!</v>
      </c>
      <c r="V122" s="40"/>
      <c r="W122" s="237"/>
      <c r="X122" s="42"/>
      <c r="Y122" s="42"/>
      <c r="Z122" s="42"/>
      <c r="AA122" s="240"/>
      <c r="AB122" s="41"/>
      <c r="AC122" s="41"/>
      <c r="AD122" s="41"/>
    </row>
    <row r="123" spans="1:30" s="39" customFormat="1" ht="7" hidden="1" customHeight="1" x14ac:dyDescent="0.3">
      <c r="A123" s="51"/>
      <c r="F123" s="40"/>
      <c r="G123" s="40"/>
      <c r="H123" s="40"/>
      <c r="I123" s="40" t="str">
        <f>IF(AND(I124&lt;&gt;"",I125&lt;&gt;""),"x","")</f>
        <v/>
      </c>
      <c r="J123" s="40"/>
      <c r="K123" s="40"/>
      <c r="L123" s="40"/>
      <c r="M123" s="40" t="e">
        <f>IF(AND(M124&lt;&gt;"",M125&lt;&gt;""),"x","")</f>
        <v>#REF!</v>
      </c>
      <c r="N123" s="40"/>
      <c r="O123" s="40"/>
      <c r="P123" s="40"/>
      <c r="Q123" s="40" t="e">
        <f>IF(AND(Q124&lt;&gt;"",Q125&lt;&gt;""),"x","")</f>
        <v>#REF!</v>
      </c>
      <c r="R123" s="40"/>
      <c r="S123" s="40"/>
      <c r="T123" s="40"/>
      <c r="U123" s="40" t="e">
        <f>IF(AND(U124&lt;&gt;"",U125&lt;&gt;""),"x","")</f>
        <v>#REF!</v>
      </c>
      <c r="V123" s="40"/>
      <c r="W123" s="40"/>
      <c r="X123" s="42"/>
      <c r="Y123" s="42"/>
      <c r="Z123" s="42"/>
      <c r="AA123" s="42"/>
      <c r="AB123" s="41"/>
      <c r="AC123" s="41"/>
      <c r="AD123" s="41"/>
    </row>
    <row r="124" spans="1:30" s="39" customFormat="1" ht="20.149999999999999" hidden="1" customHeight="1" x14ac:dyDescent="0.3">
      <c r="A124" s="248"/>
      <c r="F124" s="40"/>
      <c r="G124" s="235"/>
      <c r="H124" s="40"/>
      <c r="I124" s="40" t="str">
        <f>IF(AND(I125&lt;&gt;"",J125&lt;&gt;""),IF(AND(G124&lt;&gt;"",K124&lt;&gt;""),"","x"),IF(AND(G124="",K124="",I126="x",I127="x"),"x",""))</f>
        <v/>
      </c>
      <c r="J124" s="40"/>
      <c r="K124" s="235"/>
      <c r="L124" s="40"/>
      <c r="M124" s="40" t="e">
        <f>IF(AND(M125&lt;&gt;"",N125&lt;&gt;""),IF(AND(K124&lt;&gt;"",O124&lt;&gt;""),"","x"),IF(AND(K124="",O124="",M126="x",M127="x"),"x",""))</f>
        <v>#REF!</v>
      </c>
      <c r="N124" s="40"/>
      <c r="O124" s="235"/>
      <c r="P124" s="40"/>
      <c r="Q124" s="40" t="e">
        <f>IF(AND(Q125&lt;&gt;"",R125&lt;&gt;""),IF(AND(O124&lt;&gt;"",S124&lt;&gt;""),"","x"),IF(AND(O124="",S124="",Q126="x",Q127="x"),"x",""))</f>
        <v>#REF!</v>
      </c>
      <c r="R124" s="40"/>
      <c r="S124" s="235"/>
      <c r="T124" s="40"/>
      <c r="U124" s="40" t="e">
        <f>IF(AND(U125&lt;&gt;"",V125&lt;&gt;""),IF(AND(S124&lt;&gt;"",W124&lt;&gt;""),"","x"),IF(AND(S124="",W124="",U126="x",U127="x"),"x",""))</f>
        <v>#REF!</v>
      </c>
      <c r="V124" s="40"/>
      <c r="W124" s="235"/>
      <c r="X124" s="41"/>
      <c r="Y124" s="42"/>
      <c r="Z124" s="43" t="e">
        <f>IF(LOOKUP(2,1/(G124:W124&lt;&gt;""),G124:W124)="x","",LOOKUP(2,1/(G124:W124&lt;&gt;""),G124:W124))</f>
        <v>#N/A</v>
      </c>
      <c r="AA124" s="238" t="str">
        <f>IF(ISNA($Z124),"",$Z124)</f>
        <v/>
      </c>
      <c r="AB124" s="41"/>
      <c r="AC124" s="41"/>
      <c r="AD124" s="41"/>
    </row>
    <row r="125" spans="1:30" s="39" customFormat="1" ht="7" hidden="1" customHeight="1" x14ac:dyDescent="0.3">
      <c r="A125" s="248"/>
      <c r="F125" s="40"/>
      <c r="G125" s="236"/>
      <c r="H125" s="40" t="str">
        <f>IF(AND(G124&lt;&gt;"",K124&lt;&gt;""),"x","")</f>
        <v/>
      </c>
      <c r="I125" s="40" t="str">
        <f>IF(K124&lt;&gt;"","x",IF(I126="x","x",""))</f>
        <v/>
      </c>
      <c r="J125" s="40" t="str">
        <f>IF(K124&lt;&gt;"","x","")</f>
        <v/>
      </c>
      <c r="K125" s="236"/>
      <c r="L125" s="40" t="str">
        <f>IF(AND(K124&lt;&gt;"",O124&lt;&gt;""),"x","")</f>
        <v/>
      </c>
      <c r="M125" s="40" t="e">
        <f>IF(O124&lt;&gt;"","x",IF(M126="x","x",""))</f>
        <v>#REF!</v>
      </c>
      <c r="N125" s="40" t="str">
        <f>IF(O124&lt;&gt;"","x","")</f>
        <v/>
      </c>
      <c r="O125" s="236"/>
      <c r="P125" s="40" t="str">
        <f>IF(AND(O124&lt;&gt;"",S124&lt;&gt;""),"x","")</f>
        <v/>
      </c>
      <c r="Q125" s="40" t="e">
        <f>IF(S124&lt;&gt;"","x",IF(Q126="x","x",""))</f>
        <v>#REF!</v>
      </c>
      <c r="R125" s="40" t="str">
        <f>IF(S124&lt;&gt;"","x","")</f>
        <v/>
      </c>
      <c r="S125" s="236"/>
      <c r="T125" s="40" t="str">
        <f>IF(AND(S124&lt;&gt;"",W124&lt;&gt;""),"x","")</f>
        <v/>
      </c>
      <c r="U125" s="40" t="e">
        <f>IF(W124&lt;&gt;"","x",IF(U126="x","x",""))</f>
        <v>#REF!</v>
      </c>
      <c r="V125" s="40" t="str">
        <f>IF(W124&lt;&gt;"","x","")</f>
        <v/>
      </c>
      <c r="W125" s="236"/>
      <c r="X125" s="42"/>
      <c r="Y125" s="42"/>
      <c r="Z125" s="42"/>
      <c r="AA125" s="239"/>
      <c r="AB125" s="42"/>
      <c r="AC125" s="42"/>
      <c r="AD125" s="42"/>
    </row>
    <row r="126" spans="1:30" s="42" customFormat="1" ht="20.149999999999999" hidden="1" customHeight="1" x14ac:dyDescent="0.25">
      <c r="A126" s="248"/>
      <c r="F126" s="40"/>
      <c r="G126" s="237"/>
      <c r="H126" s="40"/>
      <c r="I126" s="40" t="str">
        <f>IF(I127="x","x","")</f>
        <v/>
      </c>
      <c r="J126" s="40"/>
      <c r="K126" s="237"/>
      <c r="L126" s="40"/>
      <c r="M126" s="40" t="e">
        <f>IF(M127="x","x","")</f>
        <v>#REF!</v>
      </c>
      <c r="N126" s="40"/>
      <c r="O126" s="237"/>
      <c r="P126" s="40"/>
      <c r="Q126" s="40" t="e">
        <f>IF(Q127="x","x","")</f>
        <v>#REF!</v>
      </c>
      <c r="R126" s="40"/>
      <c r="S126" s="237"/>
      <c r="T126" s="40"/>
      <c r="U126" s="40" t="e">
        <f>IF(U127="x","x","")</f>
        <v>#REF!</v>
      </c>
      <c r="V126" s="40"/>
      <c r="W126" s="237"/>
      <c r="AA126" s="240"/>
      <c r="AB126" s="41"/>
      <c r="AC126" s="41"/>
      <c r="AD126" s="41"/>
    </row>
    <row r="127" spans="1:30" ht="7" hidden="1" customHeight="1" x14ac:dyDescent="0.35">
      <c r="G127" s="40"/>
      <c r="H127" s="40"/>
      <c r="I127" s="40" t="str">
        <f>IF(AND(I128&lt;&gt;"",I129&lt;&gt;""),"x","")</f>
        <v/>
      </c>
      <c r="J127" s="40"/>
      <c r="K127" s="40"/>
      <c r="L127" s="40"/>
      <c r="M127" s="40" t="e">
        <f>IF(AND(#REF!&lt;&gt;"",#REF!&lt;&gt;""),"x","")</f>
        <v>#REF!</v>
      </c>
      <c r="N127" s="40"/>
      <c r="O127" s="40"/>
      <c r="P127" s="40"/>
      <c r="Q127" s="40" t="e">
        <f>IF(AND(#REF!&lt;&gt;"",#REF!&lt;&gt;""),"x","")</f>
        <v>#REF!</v>
      </c>
      <c r="R127" s="40"/>
      <c r="S127" s="40"/>
      <c r="T127" s="40"/>
      <c r="U127" s="40" t="e">
        <f>IF(AND(#REF!&lt;&gt;"",#REF!&lt;&gt;""),"x","")</f>
        <v>#REF!</v>
      </c>
      <c r="V127" s="40"/>
      <c r="W127" s="40"/>
      <c r="X127" s="42"/>
      <c r="Y127" s="42"/>
      <c r="Z127" s="42"/>
      <c r="AA127" s="42"/>
      <c r="AB127" s="41"/>
      <c r="AC127" s="41"/>
      <c r="AD127" s="41"/>
    </row>
    <row r="128" spans="1:30" ht="7" hidden="1" customHeight="1" x14ac:dyDescent="0.35"/>
    <row r="158" x14ac:dyDescent="0.35"/>
  </sheetData>
  <sheetProtection algorithmName="SHA-512" hashValue="0WNcIebvxazidibXtD/EHN9MDHGVhijVdqTz32qAIb3Hu60Bn/8ZAl32pC9X+Lo17ZqmPicPWV2eqSFrRi7oSw==" saltValue="L1QcK/xt9hes94PwZ5nGuA==" spinCount="100000" sheet="1" formatCells="0" formatColumns="0" formatRows="0" selectLockedCells="1"/>
  <mergeCells count="175">
    <mergeCell ref="B110:C110"/>
    <mergeCell ref="B47:C47"/>
    <mergeCell ref="B54:C54"/>
    <mergeCell ref="B61:C61"/>
    <mergeCell ref="B68:C68"/>
    <mergeCell ref="B75:C75"/>
    <mergeCell ref="B82:C82"/>
    <mergeCell ref="B89:C89"/>
    <mergeCell ref="B96:C96"/>
    <mergeCell ref="B103:C103"/>
    <mergeCell ref="F91:F93"/>
    <mergeCell ref="F98:F100"/>
    <mergeCell ref="F105:F107"/>
    <mergeCell ref="F112:F114"/>
    <mergeCell ref="F28:F30"/>
    <mergeCell ref="F35:F37"/>
    <mergeCell ref="F42:F44"/>
    <mergeCell ref="F49:F51"/>
    <mergeCell ref="F56:F58"/>
    <mergeCell ref="F63:F65"/>
    <mergeCell ref="F70:F72"/>
    <mergeCell ref="F77:F79"/>
    <mergeCell ref="F84:F86"/>
    <mergeCell ref="A124:A126"/>
    <mergeCell ref="B28:C30"/>
    <mergeCell ref="B35:C37"/>
    <mergeCell ref="B42:C44"/>
    <mergeCell ref="B49:C51"/>
    <mergeCell ref="B56:C58"/>
    <mergeCell ref="B63:C65"/>
    <mergeCell ref="B70:C72"/>
    <mergeCell ref="B77:C79"/>
    <mergeCell ref="B84:C86"/>
    <mergeCell ref="B91:C93"/>
    <mergeCell ref="B98:C100"/>
    <mergeCell ref="B105:C107"/>
    <mergeCell ref="B112:C114"/>
    <mergeCell ref="A70:A72"/>
    <mergeCell ref="A77:A79"/>
    <mergeCell ref="A84:A86"/>
    <mergeCell ref="A91:A93"/>
    <mergeCell ref="A98:A100"/>
    <mergeCell ref="A105:A107"/>
    <mergeCell ref="A112:A114"/>
    <mergeCell ref="A116:A118"/>
    <mergeCell ref="A120:A122"/>
    <mergeCell ref="B33:C33"/>
    <mergeCell ref="A14:A16"/>
    <mergeCell ref="A21:A23"/>
    <mergeCell ref="A28:A30"/>
    <mergeCell ref="A35:A37"/>
    <mergeCell ref="A42:A44"/>
    <mergeCell ref="A49:A51"/>
    <mergeCell ref="A56:A58"/>
    <mergeCell ref="A63:A65"/>
    <mergeCell ref="F5:AD6"/>
    <mergeCell ref="G21:G23"/>
    <mergeCell ref="K21:K23"/>
    <mergeCell ref="O21:O23"/>
    <mergeCell ref="S21:S23"/>
    <mergeCell ref="W21:W23"/>
    <mergeCell ref="AA21:AA23"/>
    <mergeCell ref="G49:G51"/>
    <mergeCell ref="K49:K51"/>
    <mergeCell ref="O49:O51"/>
    <mergeCell ref="S49:S51"/>
    <mergeCell ref="W49:W51"/>
    <mergeCell ref="AA49:AA51"/>
    <mergeCell ref="B19:C19"/>
    <mergeCell ref="B26:D26"/>
    <mergeCell ref="B40:C40"/>
    <mergeCell ref="AE5:AE9"/>
    <mergeCell ref="G7:AA8"/>
    <mergeCell ref="G14:G16"/>
    <mergeCell ref="K14:K16"/>
    <mergeCell ref="O14:O16"/>
    <mergeCell ref="S14:S16"/>
    <mergeCell ref="W14:W16"/>
    <mergeCell ref="AA14:AA16"/>
    <mergeCell ref="G28:G30"/>
    <mergeCell ref="K28:K30"/>
    <mergeCell ref="O28:O30"/>
    <mergeCell ref="S28:S30"/>
    <mergeCell ref="W28:W30"/>
    <mergeCell ref="AA28:AA30"/>
    <mergeCell ref="K9:W9"/>
    <mergeCell ref="G42:G44"/>
    <mergeCell ref="K42:K44"/>
    <mergeCell ref="O42:O44"/>
    <mergeCell ref="S42:S44"/>
    <mergeCell ref="W42:W44"/>
    <mergeCell ref="AA42:AA44"/>
    <mergeCell ref="G35:G37"/>
    <mergeCell ref="K35:K37"/>
    <mergeCell ref="O35:O37"/>
    <mergeCell ref="S35:S37"/>
    <mergeCell ref="W35:W37"/>
    <mergeCell ref="AA35:AA37"/>
    <mergeCell ref="G56:G58"/>
    <mergeCell ref="K56:K58"/>
    <mergeCell ref="O56:O58"/>
    <mergeCell ref="S56:S58"/>
    <mergeCell ref="W56:W58"/>
    <mergeCell ref="AA56:AA58"/>
    <mergeCell ref="G70:G72"/>
    <mergeCell ref="K70:K72"/>
    <mergeCell ref="O70:O72"/>
    <mergeCell ref="S70:S72"/>
    <mergeCell ref="W70:W72"/>
    <mergeCell ref="AA70:AA72"/>
    <mergeCell ref="G63:G65"/>
    <mergeCell ref="K63:K65"/>
    <mergeCell ref="O63:O65"/>
    <mergeCell ref="S63:S65"/>
    <mergeCell ref="W63:W65"/>
    <mergeCell ref="AA63:AA65"/>
    <mergeCell ref="K77:K79"/>
    <mergeCell ref="O77:O79"/>
    <mergeCell ref="S77:S79"/>
    <mergeCell ref="W77:W79"/>
    <mergeCell ref="AA77:AA79"/>
    <mergeCell ref="G84:G86"/>
    <mergeCell ref="K84:K86"/>
    <mergeCell ref="O84:O86"/>
    <mergeCell ref="S84:S86"/>
    <mergeCell ref="W84:W86"/>
    <mergeCell ref="AA84:AA86"/>
    <mergeCell ref="G116:G118"/>
    <mergeCell ref="K116:K118"/>
    <mergeCell ref="O116:O118"/>
    <mergeCell ref="S116:S118"/>
    <mergeCell ref="W116:W118"/>
    <mergeCell ref="AA116:AA118"/>
    <mergeCell ref="G112:G114"/>
    <mergeCell ref="K112:K114"/>
    <mergeCell ref="O112:O114"/>
    <mergeCell ref="S112:S114"/>
    <mergeCell ref="W112:W114"/>
    <mergeCell ref="AA112:AA114"/>
    <mergeCell ref="G105:G107"/>
    <mergeCell ref="K105:K107"/>
    <mergeCell ref="O105:O107"/>
    <mergeCell ref="S105:S107"/>
    <mergeCell ref="W105:W107"/>
    <mergeCell ref="AA105:AA107"/>
    <mergeCell ref="F14:F16"/>
    <mergeCell ref="B14:C16"/>
    <mergeCell ref="B12:C12"/>
    <mergeCell ref="B21:C23"/>
    <mergeCell ref="F21:F23"/>
    <mergeCell ref="G98:G100"/>
    <mergeCell ref="K98:K100"/>
    <mergeCell ref="O98:O100"/>
    <mergeCell ref="S98:S100"/>
    <mergeCell ref="W98:W100"/>
    <mergeCell ref="AA98:AA100"/>
    <mergeCell ref="G91:G93"/>
    <mergeCell ref="K91:K93"/>
    <mergeCell ref="O91:O93"/>
    <mergeCell ref="S91:S93"/>
    <mergeCell ref="W91:W93"/>
    <mergeCell ref="AA91:AA93"/>
    <mergeCell ref="G77:G79"/>
    <mergeCell ref="G124:G126"/>
    <mergeCell ref="K124:K126"/>
    <mergeCell ref="O124:O126"/>
    <mergeCell ref="S124:S126"/>
    <mergeCell ref="W124:W126"/>
    <mergeCell ref="AA124:AA126"/>
    <mergeCell ref="G120:G122"/>
    <mergeCell ref="K120:K122"/>
    <mergeCell ref="O120:O122"/>
    <mergeCell ref="S120:S122"/>
    <mergeCell ref="W120:W122"/>
    <mergeCell ref="AA120:AA122"/>
  </mergeCells>
  <conditionalFormatting sqref="H10:J17 L10:N17 P10:R17 T10:V17 T20:V24 P20:R24 L20:N24 H20:J24 H27:J31 L27:N31 P27:R31 T27:V31 T34:V38 P34:R38 L34:N38 H34:J38 H41:J45 L41:N45 P41:R45 T41:V45 T48:V52 P48:R52 L48:N52 H48:J52 H55:J59 L55:N59 P55:R59 T55:V59 T62:V66 P62:R66 L62:N66 H62:J66 H69:J73 L69:N73 P69:R73 T69:V73 T76:V80 P76:R80 L76:N80 H76:J80 H83:J87 L83:N87 P83:R87 T83:V87 T90:V94 P90:R94 L90:N94 H90:J94 H97:J101 L97:N101 P97:R101 T97:V101 T104:V108 P104:R108 L104:N108 H104:J108 H111:J1048576 L111:N1048576 P111:R1048576 T111:V1048576">
    <cfRule type="containsText" dxfId="178" priority="43" operator="containsText" text="x">
      <formula>NOT(ISERROR(SEARCH("x",H10)))</formula>
    </cfRule>
  </conditionalFormatting>
  <conditionalFormatting sqref="S14:S17 O14:O17 S90:S94 W14:W17 G14:G17 K14:K17 AA14:AA18 K20:K24 G20:G24 W20:W24 O20:O24 S20:S24 S27:S31 O27:O31 W27:W31 G27:G31 K27:K31 K34:K38 G34:G38 W34:W38 O34:O38 S34:S38 S41:S45 O41:O45 W41:W45 G41:G45 K41:K45 K48:K52 G48:G52 W48:W52 O48:O52 S48:S52 S55:S59 O55:O59 W55:W59 G55:G59 K55:K59 K62:K66 G62:G66 W62:W66 O62:O66 S62:S66 S69:S73 O69:O73 W69:W73 G69:G73 K69:K73 K76:K80 G76:G80 W76:W80 O76:O80 S76:S80 S83:S84 O83:O87 W83:W87 G83:G87 K83:K87 K90:K94 G90:G94 W90:W94 O90:O94 O97:O101 W97:W101 G97:G101 K97:K101 S97:S101 S104:S108 K104:K108 G104:G108 W104:W108 O104:O108 O111:O127 W111:W127 G111:G127 K111:K127 S111:S127 AA20:AA25 AA27:AA32 AA34:AA39 AA41:AA46 AA48:AA53 AA55:AA60 AA62:AA67 AA69:AA74 AA76:AA81 AA83:AA88 AA90:AA95 AA97:AA102 AA104:AA109 AA111:AA127">
    <cfRule type="notContainsBlanks" dxfId="177" priority="44">
      <formula>LEN(TRIM(G14))&gt;0</formula>
    </cfRule>
  </conditionalFormatting>
  <conditionalFormatting sqref="H18:J19 L19:N19 P19:R19 T19:V19">
    <cfRule type="containsText" dxfId="176" priority="42" operator="containsText" text="x">
      <formula>NOT(ISERROR(SEARCH("x",H18)))</formula>
    </cfRule>
  </conditionalFormatting>
  <conditionalFormatting sqref="H25:J26 L26:N26 P26:R26 T26:V26">
    <cfRule type="containsText" dxfId="175" priority="41" operator="containsText" text="x">
      <formula>NOT(ISERROR(SEARCH("x",H25)))</formula>
    </cfRule>
  </conditionalFormatting>
  <conditionalFormatting sqref="H32:J33 L33:N33 P33:R33 T33:V33">
    <cfRule type="containsText" dxfId="174" priority="40" operator="containsText" text="x">
      <formula>NOT(ISERROR(SEARCH("x",H32)))</formula>
    </cfRule>
  </conditionalFormatting>
  <conditionalFormatting sqref="H39:J40 L40:N40 P40:R40 T40:V40">
    <cfRule type="containsText" dxfId="173" priority="39" operator="containsText" text="x">
      <formula>NOT(ISERROR(SEARCH("x",H39)))</formula>
    </cfRule>
  </conditionalFormatting>
  <conditionalFormatting sqref="H46:J47 L47:N47 P47:R47 T47:V47">
    <cfRule type="containsText" dxfId="172" priority="38" operator="containsText" text="x">
      <formula>NOT(ISERROR(SEARCH("x",H46)))</formula>
    </cfRule>
  </conditionalFormatting>
  <conditionalFormatting sqref="H53:J54 L54:N54 P54:R54 T54:V54">
    <cfRule type="containsText" dxfId="171" priority="37" operator="containsText" text="x">
      <formula>NOT(ISERROR(SEARCH("x",H53)))</formula>
    </cfRule>
  </conditionalFormatting>
  <conditionalFormatting sqref="H60:J61 L61:N61 P61:R61 T61:V61">
    <cfRule type="containsText" dxfId="170" priority="36" operator="containsText" text="x">
      <formula>NOT(ISERROR(SEARCH("x",H60)))</formula>
    </cfRule>
  </conditionalFormatting>
  <conditionalFormatting sqref="H67:J68 L68:N68 P68:R68 T68:V68">
    <cfRule type="containsText" dxfId="169" priority="35" operator="containsText" text="x">
      <formula>NOT(ISERROR(SEARCH("x",H67)))</formula>
    </cfRule>
  </conditionalFormatting>
  <conditionalFormatting sqref="H74:J75 L75:N75 P75:R75 T75:V75">
    <cfRule type="containsText" dxfId="168" priority="34" operator="containsText" text="x">
      <formula>NOT(ISERROR(SEARCH("x",H74)))</formula>
    </cfRule>
  </conditionalFormatting>
  <conditionalFormatting sqref="H81:J82 L82:N82 P82:R82 T82:V82">
    <cfRule type="containsText" dxfId="167" priority="33" operator="containsText" text="x">
      <formula>NOT(ISERROR(SEARCH("x",H81)))</formula>
    </cfRule>
  </conditionalFormatting>
  <conditionalFormatting sqref="H88:J89 L89:N89 P89:R89 T89:V89">
    <cfRule type="containsText" dxfId="166" priority="32" operator="containsText" text="x">
      <formula>NOT(ISERROR(SEARCH("x",H88)))</formula>
    </cfRule>
  </conditionalFormatting>
  <conditionalFormatting sqref="H95:J96 L96:N96 P96:R96 T96:V96">
    <cfRule type="containsText" dxfId="165" priority="31" operator="containsText" text="x">
      <formula>NOT(ISERROR(SEARCH("x",H95)))</formula>
    </cfRule>
  </conditionalFormatting>
  <conditionalFormatting sqref="H102:J103 L103:N103 P103:R103 T103:V103">
    <cfRule type="containsText" dxfId="164" priority="30" operator="containsText" text="x">
      <formula>NOT(ISERROR(SEARCH("x",H102)))</formula>
    </cfRule>
  </conditionalFormatting>
  <conditionalFormatting sqref="H109:J110 L110:N110 P110:R110 T110:V110">
    <cfRule type="containsText" dxfId="163" priority="29" operator="containsText" text="x">
      <formula>NOT(ISERROR(SEARCH("x",H109)))</formula>
    </cfRule>
  </conditionalFormatting>
  <conditionalFormatting sqref="L18:N18 P18:R18 T18:V18">
    <cfRule type="containsText" dxfId="162" priority="28" operator="containsText" text="x">
      <formula>NOT(ISERROR(SEARCH("x",L18)))</formula>
    </cfRule>
  </conditionalFormatting>
  <conditionalFormatting sqref="L25:N25 P25:R25 T25:V25">
    <cfRule type="containsText" dxfId="161" priority="27" operator="containsText" text="x">
      <formula>NOT(ISERROR(SEARCH("x",L25)))</formula>
    </cfRule>
  </conditionalFormatting>
  <conditionalFormatting sqref="L32:N32 P32:R32 T32:V32">
    <cfRule type="containsText" dxfId="160" priority="26" operator="containsText" text="x">
      <formula>NOT(ISERROR(SEARCH("x",L32)))</formula>
    </cfRule>
  </conditionalFormatting>
  <conditionalFormatting sqref="L39:N39 P39:R39 T39:V39">
    <cfRule type="containsText" dxfId="159" priority="25" operator="containsText" text="x">
      <formula>NOT(ISERROR(SEARCH("x",L39)))</formula>
    </cfRule>
  </conditionalFormatting>
  <conditionalFormatting sqref="L46:N46 P46:R46 T46:V46">
    <cfRule type="containsText" dxfId="158" priority="24" operator="containsText" text="x">
      <formula>NOT(ISERROR(SEARCH("x",L46)))</formula>
    </cfRule>
  </conditionalFormatting>
  <conditionalFormatting sqref="L53:N53 P53:R53 T53:V53">
    <cfRule type="containsText" dxfId="157" priority="23" operator="containsText" text="x">
      <formula>NOT(ISERROR(SEARCH("x",L53)))</formula>
    </cfRule>
  </conditionalFormatting>
  <conditionalFormatting sqref="L60:N60 P60:R60 T60:V60">
    <cfRule type="containsText" dxfId="156" priority="22" operator="containsText" text="x">
      <formula>NOT(ISERROR(SEARCH("x",L60)))</formula>
    </cfRule>
  </conditionalFormatting>
  <conditionalFormatting sqref="L67:N67 P67:R67 T67:V67">
    <cfRule type="containsText" dxfId="155" priority="21" operator="containsText" text="x">
      <formula>NOT(ISERROR(SEARCH("x",L67)))</formula>
    </cfRule>
  </conditionalFormatting>
  <conditionalFormatting sqref="L74:N74 P74:R74 T74:V74">
    <cfRule type="containsText" dxfId="154" priority="20" operator="containsText" text="x">
      <formula>NOT(ISERROR(SEARCH("x",L74)))</formula>
    </cfRule>
  </conditionalFormatting>
  <conditionalFormatting sqref="L81:N81 P81:R81 T81:V81">
    <cfRule type="containsText" dxfId="153" priority="19" operator="containsText" text="x">
      <formula>NOT(ISERROR(SEARCH("x",L81)))</formula>
    </cfRule>
  </conditionalFormatting>
  <conditionalFormatting sqref="L88:N88 P88:R88 T88:V88">
    <cfRule type="containsText" dxfId="152" priority="18" operator="containsText" text="x">
      <formula>NOT(ISERROR(SEARCH("x",L88)))</formula>
    </cfRule>
  </conditionalFormatting>
  <conditionalFormatting sqref="L95:N95 P95:R95 T95:V95">
    <cfRule type="containsText" dxfId="151" priority="17" operator="containsText" text="x">
      <formula>NOT(ISERROR(SEARCH("x",L95)))</formula>
    </cfRule>
  </conditionalFormatting>
  <conditionalFormatting sqref="L102:N102 P102:R102 T102:V102">
    <cfRule type="containsText" dxfId="150" priority="16" operator="containsText" text="x">
      <formula>NOT(ISERROR(SEARCH("x",L102)))</formula>
    </cfRule>
  </conditionalFormatting>
  <conditionalFormatting sqref="L109:N109 P109:R109 T109:V109">
    <cfRule type="containsText" dxfId="149" priority="15" operator="containsText" text="x">
      <formula>NOT(ISERROR(SEARCH("x",L109)))</formula>
    </cfRule>
  </conditionalFormatting>
  <conditionalFormatting sqref="G14:G16">
    <cfRule type="notContainsBlanks" dxfId="148" priority="8">
      <formula>LEN(TRIM(G14))&gt;0</formula>
    </cfRule>
    <cfRule type="notContainsBlanks" dxfId="147" priority="9">
      <formula>LEN(TRIM(G14))&gt;0</formula>
    </cfRule>
    <cfRule type="notContainsBlanks" dxfId="146" priority="14">
      <formula>LEN(TRIM(G14))&gt;0</formula>
    </cfRule>
  </conditionalFormatting>
  <conditionalFormatting sqref="K14:K16 O14:O16 S14:S16 W14:W16">
    <cfRule type="notContainsBlanks" dxfId="145" priority="13">
      <formula>LEN(TRIM(K14))&gt;0</formula>
    </cfRule>
  </conditionalFormatting>
  <conditionalFormatting sqref="B14:C16">
    <cfRule type="notContainsBlanks" dxfId="144" priority="7">
      <formula>LEN(TRIM(B14))&gt;0</formula>
    </cfRule>
    <cfRule type="notContainsBlanks" dxfId="143" priority="12">
      <formula>LEN(TRIM(B14))&gt;0</formula>
    </cfRule>
  </conditionalFormatting>
  <conditionalFormatting sqref="B14:C16 B21:C23 B28:C30 B35:C37 B42:C44 B49:C51 B56:C58 B63:C65 B70:C72 B77:C79 B84:C86 B91:C93 B98:C100 B105:C107 B112:C114">
    <cfRule type="notContainsBlanks" dxfId="142" priority="11">
      <formula>LEN(TRIM(B14))&gt;0</formula>
    </cfRule>
  </conditionalFormatting>
  <conditionalFormatting sqref="G14:G16 G21:G23 G28:G30 G35:G37 G42:G44 G49:G51 G56:G58 G63:G65 G70:G72 G77:G79 G84:G86 G91:G93 G98:G100 G105:G107 G112:G114">
    <cfRule type="notContainsBlanks" dxfId="141" priority="10">
      <formula>LEN(TRIM(G14))&gt;0</formula>
    </cfRule>
  </conditionalFormatting>
  <conditionalFormatting sqref="O14:O16 G14:G16 K14:K16 S14:S16 W14:W16">
    <cfRule type="notContainsBlanks" dxfId="140" priority="6">
      <formula>LEN(TRIM(G14))&gt;0</formula>
    </cfRule>
  </conditionalFormatting>
  <conditionalFormatting sqref="W14:W16 S14:S16 O14:O16 K14:K16 G14:G16 B14:C16">
    <cfRule type="notContainsBlanks" dxfId="139" priority="5">
      <formula>LEN(TRIM(B14))&gt;0</formula>
    </cfRule>
  </conditionalFormatting>
  <conditionalFormatting sqref="B14:C16 G14:G16 K14:K16 O14:O16 S14:S16 W14:W16">
    <cfRule type="notContainsBlanks" dxfId="138" priority="4">
      <formula>LEN(TRIM(B14))&gt;0</formula>
    </cfRule>
  </conditionalFormatting>
  <conditionalFormatting sqref="G14:G16 B14:C16 K14:K16 O14:O16 S14:S16 W14:W16 AA14:AA16">
    <cfRule type="notContainsBlanks" dxfId="137" priority="3">
      <formula>LEN(TRIM(B14))&gt;0</formula>
    </cfRule>
  </conditionalFormatting>
  <conditionalFormatting sqref="B21:C23 G21:G23 K21:K23 O21:O23 S21:S23 W21:W23 AA21:AA23 AA28:AA30 W28:W30 S28:S30 O28:O30 K28:K30 G28:G30 B28:C30 B35:C37 G35:G37 K35:K37 O35:O37 S35:S37 W35:W37 AA35:AA37 AA42:AA44 W42:W44 S42:S44 O42:O44 B42:C44 G42:G44 K42:K44 B49:C51 G49:G51 K49:K51 O49:O51 S49:S51 W49:W51 AA49:AA52 AA56:AA58 W56:W58 S56:S58 O56:O58 K56:K58 G56:G58 B56:C58 B63:C65 G63:G65 K63:K65 O63:O65 S63:S65 W63:W65 AA63:AA65 AA70:AA72 W70:W72 S70:S72 O70:O72 K70:K72 G70:G72 B70:C72 B77:C79 G77:G79 B84:C86 G84:G86 K77:K79 K84:K86 O77:O79 O84:O86 S77:S79 S84:S86 W77:W79 W84:W86 AA77:AA79 AA84:AA86 AA91:AA93 W91:W93 S91:S93 O91:O93 K91:K93 G91:G93 B91:C93 B98:C100 G98:G100 K98:K100 O98:O100 S98:S100 W98:W100 AA98:AA101 AA105:AA107 W105:W107 S105:S107 O105:O107 K105:K107 G105:G107 B105:C107 B112:C114 G112:G114 K112:K114 O112:O114 S112:S114 W112:W114 AA112:AA114">
    <cfRule type="notContainsBlanks" dxfId="136" priority="2">
      <formula>LEN(TRIM(B21))&gt;0</formula>
    </cfRule>
  </conditionalFormatting>
  <conditionalFormatting sqref="K9:W9">
    <cfRule type="containsBlanks" dxfId="135" priority="1">
      <formula>LEN(TRIM(K9))=0</formula>
    </cfRule>
  </conditionalFormatting>
  <printOptions horizontalCentered="1" verticalCentered="1"/>
  <pageMargins left="0" right="0.23622047244094491" top="0" bottom="0" header="0" footer="0"/>
  <pageSetup paperSize="8" scale="51" orientation="landscape"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B6:H54"/>
  <sheetViews>
    <sheetView topLeftCell="B19" workbookViewId="0">
      <selection activeCell="D52" sqref="D52"/>
    </sheetView>
  </sheetViews>
  <sheetFormatPr baseColWidth="10" defaultColWidth="11.453125" defaultRowHeight="12.5" x14ac:dyDescent="0.25"/>
  <cols>
    <col min="2" max="2" width="43" customWidth="1"/>
    <col min="3" max="3" width="19.7265625" customWidth="1"/>
    <col min="4" max="4" width="95.1796875" customWidth="1"/>
    <col min="7" max="7" width="26" customWidth="1"/>
    <col min="8" max="8" width="38.54296875" style="35" customWidth="1"/>
    <col min="10" max="10" width="11.453125" customWidth="1"/>
  </cols>
  <sheetData>
    <row r="6" spans="2:8" ht="31.5" x14ac:dyDescent="0.25">
      <c r="B6" s="9" t="s">
        <v>5</v>
      </c>
      <c r="C6" s="10" t="s">
        <v>109</v>
      </c>
      <c r="D6" s="10" t="s">
        <v>19</v>
      </c>
      <c r="F6" s="8" t="s">
        <v>110</v>
      </c>
      <c r="G6" s="8" t="s">
        <v>110</v>
      </c>
      <c r="H6" s="8" t="s">
        <v>1</v>
      </c>
    </row>
    <row r="7" spans="2:8" x14ac:dyDescent="0.25">
      <c r="B7" s="2" t="s">
        <v>110</v>
      </c>
      <c r="C7" s="2" t="s">
        <v>110</v>
      </c>
      <c r="D7" s="2" t="s">
        <v>110</v>
      </c>
      <c r="F7" s="11" t="s">
        <v>111</v>
      </c>
      <c r="G7" s="12" t="s">
        <v>112</v>
      </c>
      <c r="H7" s="12" t="str">
        <f>CONCATENATE(F7," ",G7)</f>
        <v>1.DO -  Docencia</v>
      </c>
    </row>
    <row r="8" spans="2:8" s="6" customFormat="1" x14ac:dyDescent="0.25">
      <c r="B8" s="1" t="s">
        <v>113</v>
      </c>
      <c r="C8" s="4" t="s">
        <v>103</v>
      </c>
      <c r="D8" s="4" t="s">
        <v>106</v>
      </c>
      <c r="F8" s="13" t="s">
        <v>114</v>
      </c>
      <c r="G8" s="14" t="s">
        <v>115</v>
      </c>
      <c r="H8" s="14" t="str">
        <f t="shared" ref="H8:H43" si="0">CONCATENATE(F8," ",G8)</f>
        <v>1.1. RA -  Registro Académico</v>
      </c>
    </row>
    <row r="9" spans="2:8" s="6" customFormat="1" ht="20" x14ac:dyDescent="0.25">
      <c r="B9" s="1" t="s">
        <v>102</v>
      </c>
      <c r="C9" s="3" t="s">
        <v>116</v>
      </c>
      <c r="D9" s="3" t="s">
        <v>117</v>
      </c>
      <c r="F9" s="15" t="s">
        <v>118</v>
      </c>
      <c r="G9" s="16" t="s">
        <v>119</v>
      </c>
      <c r="H9" s="16" t="str">
        <f t="shared" si="0"/>
        <v>1.2. CU -  Gestión Curricular</v>
      </c>
    </row>
    <row r="10" spans="2:8" s="6" customFormat="1" ht="21" x14ac:dyDescent="0.25">
      <c r="B10" s="1" t="s">
        <v>120</v>
      </c>
      <c r="C10" s="59" t="s">
        <v>121</v>
      </c>
      <c r="D10" s="7" t="s">
        <v>104</v>
      </c>
      <c r="F10" s="11" t="s">
        <v>122</v>
      </c>
      <c r="G10" s="12" t="s">
        <v>123</v>
      </c>
      <c r="H10" s="12" t="str">
        <f t="shared" si="0"/>
        <v>2. IN -  Investigación, Desarrollo e Innovación</v>
      </c>
    </row>
    <row r="11" spans="2:8" s="6" customFormat="1" x14ac:dyDescent="0.25">
      <c r="B11" s="1" t="s">
        <v>124</v>
      </c>
      <c r="C11" s="7"/>
      <c r="D11" s="7"/>
      <c r="F11" s="11" t="s">
        <v>125</v>
      </c>
      <c r="G11" s="12" t="s">
        <v>126</v>
      </c>
      <c r="H11" s="12" t="str">
        <f t="shared" si="0"/>
        <v>3. EP - Extensión y Proyección Social</v>
      </c>
    </row>
    <row r="12" spans="2:8" s="6" customFormat="1" x14ac:dyDescent="0.25">
      <c r="B12" s="1" t="s">
        <v>121</v>
      </c>
      <c r="C12" s="7"/>
      <c r="D12" s="7"/>
      <c r="F12" s="13" t="s">
        <v>127</v>
      </c>
      <c r="G12" s="14" t="s">
        <v>128</v>
      </c>
      <c r="H12" s="14" t="str">
        <f t="shared" si="0"/>
        <v>3.1. EM -  Emprendimiento</v>
      </c>
    </row>
    <row r="13" spans="2:8" s="6" customFormat="1" x14ac:dyDescent="0.25">
      <c r="B13" s="1" t="s">
        <v>129</v>
      </c>
      <c r="C13" s="7"/>
      <c r="D13" s="7"/>
      <c r="F13" s="13" t="s">
        <v>130</v>
      </c>
      <c r="G13" s="14" t="s">
        <v>131</v>
      </c>
      <c r="H13" s="14" t="str">
        <f t="shared" si="0"/>
        <v>3.2. GE -  Gestión de Egresados</v>
      </c>
    </row>
    <row r="14" spans="2:8" s="6" customFormat="1" x14ac:dyDescent="0.25">
      <c r="B14" s="1" t="s">
        <v>132</v>
      </c>
      <c r="C14" s="7"/>
      <c r="D14" s="7"/>
      <c r="F14" s="13" t="s">
        <v>133</v>
      </c>
      <c r="G14" s="14" t="s">
        <v>134</v>
      </c>
      <c r="H14" s="14" t="str">
        <f t="shared" si="0"/>
        <v>3.3. EC -  Educación Continuada</v>
      </c>
    </row>
    <row r="15" spans="2:8" s="6" customFormat="1" x14ac:dyDescent="0.25">
      <c r="B15" s="1" t="s">
        <v>135</v>
      </c>
      <c r="C15" s="7"/>
      <c r="D15" s="7"/>
      <c r="F15" s="13" t="s">
        <v>136</v>
      </c>
      <c r="G15" s="14" t="s">
        <v>137</v>
      </c>
      <c r="H15" s="14" t="str">
        <f t="shared" si="0"/>
        <v>3.4. PE -  Gestión de Proyectos de Extensión</v>
      </c>
    </row>
    <row r="16" spans="2:8" s="6" customFormat="1" x14ac:dyDescent="0.25">
      <c r="B16" s="1"/>
      <c r="C16" s="7"/>
      <c r="D16" s="7"/>
      <c r="F16" s="17" t="s">
        <v>138</v>
      </c>
      <c r="G16" s="18" t="s">
        <v>139</v>
      </c>
      <c r="H16" s="18" t="str">
        <f t="shared" si="0"/>
        <v>3.5. EF -  Escuela de Formación para el TDH</v>
      </c>
    </row>
    <row r="17" spans="2:8" s="6" customFormat="1" x14ac:dyDescent="0.25">
      <c r="D17" s="7" t="s">
        <v>140</v>
      </c>
      <c r="F17" s="19" t="s">
        <v>141</v>
      </c>
      <c r="G17" s="20" t="s">
        <v>142</v>
      </c>
      <c r="H17" s="20" t="str">
        <f t="shared" si="0"/>
        <v>4 . DE -  Direccionamiento Estratégico</v>
      </c>
    </row>
    <row r="18" spans="2:8" s="6" customFormat="1" ht="13" x14ac:dyDescent="0.3">
      <c r="D18" s="140" t="s">
        <v>143</v>
      </c>
      <c r="F18" s="21" t="s">
        <v>144</v>
      </c>
      <c r="G18" s="22" t="s">
        <v>145</v>
      </c>
      <c r="H18" s="22" t="str">
        <f t="shared" si="0"/>
        <v>4.1. PL -  Planeación Institucional</v>
      </c>
    </row>
    <row r="19" spans="2:8" s="6" customFormat="1" x14ac:dyDescent="0.25">
      <c r="D19" t="s">
        <v>146</v>
      </c>
      <c r="F19" s="21" t="s">
        <v>147</v>
      </c>
      <c r="G19" s="22" t="s">
        <v>148</v>
      </c>
      <c r="H19" s="22" t="str">
        <f t="shared" si="0"/>
        <v>4.2. SI -  Gestión de Sistemas de Información</v>
      </c>
    </row>
    <row r="20" spans="2:8" s="6" customFormat="1" ht="12.65" customHeight="1" x14ac:dyDescent="0.25">
      <c r="D20" t="s">
        <v>149</v>
      </c>
      <c r="F20" s="21" t="s">
        <v>150</v>
      </c>
      <c r="G20" s="22" t="s">
        <v>151</v>
      </c>
      <c r="H20" s="22" t="str">
        <f t="shared" si="0"/>
        <v>4.3. PF -  Gestión de Proyectos Institucionales</v>
      </c>
    </row>
    <row r="21" spans="2:8" s="6" customFormat="1" ht="12.75" customHeight="1" x14ac:dyDescent="0.25">
      <c r="B21" s="86" t="s">
        <v>152</v>
      </c>
      <c r="D21" t="s">
        <v>153</v>
      </c>
      <c r="F21" s="23" t="s">
        <v>154</v>
      </c>
      <c r="G21" s="24" t="s">
        <v>155</v>
      </c>
      <c r="H21" s="24" t="str">
        <f t="shared" si="0"/>
        <v>4.4. GC -  Gestión de Calidad</v>
      </c>
    </row>
    <row r="22" spans="2:8" s="6" customFormat="1" x14ac:dyDescent="0.25">
      <c r="B22" s="85" t="s">
        <v>156</v>
      </c>
      <c r="D22" t="s">
        <v>157</v>
      </c>
      <c r="F22" s="19" t="s">
        <v>158</v>
      </c>
      <c r="G22" s="20" t="s">
        <v>159</v>
      </c>
      <c r="H22" s="20" t="str">
        <f t="shared" si="0"/>
        <v>5. AC -  Aseguramiento de la Calidad</v>
      </c>
    </row>
    <row r="23" spans="2:8" s="6" customFormat="1" x14ac:dyDescent="0.25">
      <c r="B23" s="85" t="s">
        <v>160</v>
      </c>
      <c r="D23" t="s">
        <v>161</v>
      </c>
      <c r="F23" s="21" t="s">
        <v>162</v>
      </c>
      <c r="G23" s="22" t="s">
        <v>163</v>
      </c>
      <c r="H23" s="22" t="str">
        <f t="shared" si="0"/>
        <v>5.1. AU -  Autoevaluación Institucional</v>
      </c>
    </row>
    <row r="24" spans="2:8" s="6" customFormat="1" ht="12.75" customHeight="1" x14ac:dyDescent="0.25">
      <c r="B24" s="85" t="s">
        <v>164</v>
      </c>
      <c r="D24" t="s">
        <v>165</v>
      </c>
      <c r="F24" s="21" t="s">
        <v>166</v>
      </c>
      <c r="G24" s="22" t="s">
        <v>167</v>
      </c>
      <c r="H24" s="22" t="str">
        <f t="shared" si="0"/>
        <v>5.2. RC -  Registro Calificado</v>
      </c>
    </row>
    <row r="25" spans="2:8" s="6" customFormat="1" x14ac:dyDescent="0.25">
      <c r="B25" s="85" t="s">
        <v>168</v>
      </c>
      <c r="D25" t="s">
        <v>169</v>
      </c>
      <c r="F25" s="19" t="s">
        <v>170</v>
      </c>
      <c r="G25" s="20" t="s">
        <v>171</v>
      </c>
      <c r="H25" s="20" t="str">
        <f t="shared" si="0"/>
        <v>6. VN -  Visibilidad Nacional e Internacional</v>
      </c>
    </row>
    <row r="26" spans="2:8" s="6" customFormat="1" x14ac:dyDescent="0.25">
      <c r="B26" s="85" t="s">
        <v>172</v>
      </c>
      <c r="D26" t="s">
        <v>173</v>
      </c>
      <c r="F26" s="21" t="s">
        <v>174</v>
      </c>
      <c r="G26" s="22" t="s">
        <v>175</v>
      </c>
      <c r="H26" s="22" t="str">
        <f t="shared" si="0"/>
        <v>6.1. VN -  Relaciones Interinstitucionales - ORI</v>
      </c>
    </row>
    <row r="27" spans="2:8" s="6" customFormat="1" ht="13" x14ac:dyDescent="0.3">
      <c r="B27" s="85" t="s">
        <v>176</v>
      </c>
      <c r="D27" s="140" t="s">
        <v>177</v>
      </c>
      <c r="F27" s="21" t="s">
        <v>178</v>
      </c>
      <c r="G27" s="22" t="s">
        <v>179</v>
      </c>
      <c r="H27" s="22" t="str">
        <f t="shared" si="0"/>
        <v>6.2. MA -  Mercadeo - Admisiones</v>
      </c>
    </row>
    <row r="28" spans="2:8" s="6" customFormat="1" ht="12.75" customHeight="1" x14ac:dyDescent="0.25">
      <c r="B28" s="85" t="s">
        <v>180</v>
      </c>
      <c r="D28" t="s">
        <v>181</v>
      </c>
      <c r="F28" s="23" t="s">
        <v>182</v>
      </c>
      <c r="G28" s="24" t="s">
        <v>183</v>
      </c>
      <c r="H28" s="24" t="str">
        <f t="shared" si="0"/>
        <v>6.3. CO -  Comunicaciones Institucional</v>
      </c>
    </row>
    <row r="29" spans="2:8" s="6" customFormat="1" x14ac:dyDescent="0.25">
      <c r="B29" s="85" t="s">
        <v>184</v>
      </c>
      <c r="D29" t="s">
        <v>185</v>
      </c>
      <c r="F29" s="25" t="s">
        <v>186</v>
      </c>
      <c r="G29" s="26" t="s">
        <v>187</v>
      </c>
      <c r="H29" s="26" t="str">
        <f t="shared" si="0"/>
        <v>7. BI -  Bienestar Institucional</v>
      </c>
    </row>
    <row r="30" spans="2:8" s="6" customFormat="1" ht="12.75" customHeight="1" x14ac:dyDescent="0.25">
      <c r="B30" s="85" t="s">
        <v>188</v>
      </c>
      <c r="D30" t="s">
        <v>189</v>
      </c>
      <c r="F30" s="19" t="s">
        <v>190</v>
      </c>
      <c r="G30" s="20" t="s">
        <v>191</v>
      </c>
      <c r="H30" s="20" t="str">
        <f t="shared" si="0"/>
        <v>8. GH -  Gestión Humana</v>
      </c>
    </row>
    <row r="31" spans="2:8" s="6" customFormat="1" x14ac:dyDescent="0.25">
      <c r="B31" s="85" t="s">
        <v>192</v>
      </c>
      <c r="D31" t="s">
        <v>193</v>
      </c>
      <c r="F31" s="21" t="s">
        <v>194</v>
      </c>
      <c r="G31" s="22" t="s">
        <v>195</v>
      </c>
      <c r="H31" s="22" t="str">
        <f t="shared" si="0"/>
        <v>8.1. TH -  Gestión del Talento Humano</v>
      </c>
    </row>
    <row r="32" spans="2:8" s="6" customFormat="1" ht="20" x14ac:dyDescent="0.25">
      <c r="B32" s="85" t="s">
        <v>196</v>
      </c>
      <c r="D32" t="s">
        <v>197</v>
      </c>
      <c r="F32" s="23" t="s">
        <v>198</v>
      </c>
      <c r="G32" s="24" t="s">
        <v>199</v>
      </c>
      <c r="H32" s="24" t="str">
        <f t="shared" si="0"/>
        <v>8.2. ST -  Gestión de Seguridad y Salud en el Trabajo</v>
      </c>
    </row>
    <row r="33" spans="2:8" s="6" customFormat="1" ht="13" x14ac:dyDescent="0.3">
      <c r="B33" s="85" t="s">
        <v>200</v>
      </c>
      <c r="D33" s="140" t="s">
        <v>201</v>
      </c>
      <c r="F33" s="27" t="s">
        <v>202</v>
      </c>
      <c r="G33" s="28" t="s">
        <v>203</v>
      </c>
      <c r="H33" s="28" t="str">
        <f t="shared" si="0"/>
        <v>9. GF -  Gestión Administrativa y Financiera</v>
      </c>
    </row>
    <row r="34" spans="2:8" s="6" customFormat="1" x14ac:dyDescent="0.25">
      <c r="B34" s="85" t="s">
        <v>204</v>
      </c>
      <c r="D34" t="s">
        <v>205</v>
      </c>
      <c r="F34" s="29" t="s">
        <v>206</v>
      </c>
      <c r="G34" s="30" t="s">
        <v>207</v>
      </c>
      <c r="H34" s="30" t="str">
        <f t="shared" si="0"/>
        <v>9.1. GF -  Gestión Financiera</v>
      </c>
    </row>
    <row r="35" spans="2:8" s="6" customFormat="1" x14ac:dyDescent="0.25">
      <c r="B35" s="85" t="s">
        <v>208</v>
      </c>
      <c r="D35" t="s">
        <v>209</v>
      </c>
      <c r="F35" s="29" t="s">
        <v>210</v>
      </c>
      <c r="G35" s="30" t="s">
        <v>211</v>
      </c>
      <c r="H35" s="30" t="str">
        <f t="shared" si="0"/>
        <v>9.2. GA -  Gestión Administrativa</v>
      </c>
    </row>
    <row r="36" spans="2:8" s="6" customFormat="1" x14ac:dyDescent="0.25">
      <c r="B36" s="85" t="s">
        <v>212</v>
      </c>
      <c r="D36" t="s">
        <v>213</v>
      </c>
      <c r="F36" s="31" t="s">
        <v>214</v>
      </c>
      <c r="G36" s="32" t="s">
        <v>215</v>
      </c>
      <c r="H36" s="32" t="str">
        <f t="shared" si="0"/>
        <v>9.3. CT -  Gestión Contable y Tesorería</v>
      </c>
    </row>
    <row r="37" spans="2:8" s="6" customFormat="1" x14ac:dyDescent="0.25">
      <c r="B37" s="85" t="s">
        <v>216</v>
      </c>
      <c r="D37" t="s">
        <v>217</v>
      </c>
      <c r="F37" s="27" t="s">
        <v>218</v>
      </c>
      <c r="G37" s="28" t="s">
        <v>219</v>
      </c>
      <c r="H37" s="28" t="str">
        <f t="shared" si="0"/>
        <v>10. GL -  Gestión Legal y Documental</v>
      </c>
    </row>
    <row r="38" spans="2:8" s="6" customFormat="1" ht="13" customHeight="1" x14ac:dyDescent="0.3">
      <c r="B38" s="85" t="s">
        <v>220</v>
      </c>
      <c r="D38" s="140" t="s">
        <v>221</v>
      </c>
      <c r="F38" s="29" t="s">
        <v>222</v>
      </c>
      <c r="G38" s="30" t="s">
        <v>223</v>
      </c>
      <c r="H38" s="30" t="str">
        <f t="shared" si="0"/>
        <v>10.1. GL -  Gestión Legal</v>
      </c>
    </row>
    <row r="39" spans="2:8" s="6" customFormat="1" x14ac:dyDescent="0.25">
      <c r="B39" s="85" t="s">
        <v>224</v>
      </c>
      <c r="D39" t="s">
        <v>225</v>
      </c>
      <c r="F39" s="31" t="s">
        <v>226</v>
      </c>
      <c r="G39" s="32" t="s">
        <v>227</v>
      </c>
      <c r="H39" s="32" t="str">
        <f t="shared" si="0"/>
        <v>10.2. GD -  Gestión Documental</v>
      </c>
    </row>
    <row r="40" spans="2:8" s="6" customFormat="1" x14ac:dyDescent="0.25">
      <c r="B40" s="85" t="s">
        <v>228</v>
      </c>
      <c r="D40" t="s">
        <v>229</v>
      </c>
      <c r="F40" s="33" t="s">
        <v>230</v>
      </c>
      <c r="G40" s="34" t="s">
        <v>231</v>
      </c>
      <c r="H40" s="34" t="str">
        <f t="shared" si="0"/>
        <v>11. GR -  Gestión de Recursos</v>
      </c>
    </row>
    <row r="41" spans="2:8" s="6" customFormat="1" x14ac:dyDescent="0.25">
      <c r="D41" t="s">
        <v>232</v>
      </c>
      <c r="F41" s="29" t="s">
        <v>233</v>
      </c>
      <c r="G41" s="30" t="s">
        <v>234</v>
      </c>
      <c r="H41" s="30" t="str">
        <f t="shared" si="0"/>
        <v>11.1. RE -  Recursos Educativos</v>
      </c>
    </row>
    <row r="42" spans="2:8" s="6" customFormat="1" x14ac:dyDescent="0.25">
      <c r="D42" t="s">
        <v>235</v>
      </c>
      <c r="F42" s="29" t="s">
        <v>236</v>
      </c>
      <c r="G42" s="30" t="s">
        <v>237</v>
      </c>
      <c r="H42" s="30" t="str">
        <f t="shared" si="0"/>
        <v>11.2. RT -  Recursos Tecnológicos</v>
      </c>
    </row>
    <row r="43" spans="2:8" s="6" customFormat="1" ht="12.65" customHeight="1" x14ac:dyDescent="0.25">
      <c r="D43" t="s">
        <v>238</v>
      </c>
      <c r="F43" s="29" t="s">
        <v>239</v>
      </c>
      <c r="G43" s="30" t="s">
        <v>240</v>
      </c>
      <c r="H43" s="30" t="str">
        <f t="shared" si="0"/>
        <v>11.3. RF -  Recursos Físicos</v>
      </c>
    </row>
    <row r="44" spans="2:8" s="6" customFormat="1" x14ac:dyDescent="0.25">
      <c r="D44" t="s">
        <v>241</v>
      </c>
      <c r="F44" s="5"/>
      <c r="G44" s="5"/>
      <c r="H44" s="35"/>
    </row>
    <row r="45" spans="2:8" s="6" customFormat="1" x14ac:dyDescent="0.25">
      <c r="D45" t="s">
        <v>242</v>
      </c>
      <c r="F45" s="5"/>
      <c r="G45" s="5"/>
      <c r="H45" s="35"/>
    </row>
    <row r="46" spans="2:8" s="6" customFormat="1" ht="12.75" customHeight="1" x14ac:dyDescent="0.25">
      <c r="D46" t="s">
        <v>243</v>
      </c>
      <c r="F46" s="5"/>
      <c r="G46" s="5"/>
      <c r="H46" s="35"/>
    </row>
    <row r="47" spans="2:8" s="6" customFormat="1" ht="12.65" customHeight="1" x14ac:dyDescent="0.3">
      <c r="D47" s="132"/>
      <c r="F47" s="5"/>
      <c r="G47" s="5"/>
      <c r="H47" s="35"/>
    </row>
    <row r="48" spans="2:8" s="6" customFormat="1" x14ac:dyDescent="0.3">
      <c r="D48" s="130"/>
      <c r="F48" s="5"/>
      <c r="G48" s="5"/>
      <c r="H48" s="35"/>
    </row>
    <row r="49" spans="4:8" s="6" customFormat="1" ht="13" thickBot="1" x14ac:dyDescent="0.35">
      <c r="D49" s="131"/>
      <c r="F49" s="5"/>
      <c r="G49" s="5"/>
      <c r="H49" s="35"/>
    </row>
    <row r="50" spans="4:8" x14ac:dyDescent="0.25">
      <c r="E50" s="6"/>
    </row>
    <row r="51" spans="4:8" x14ac:dyDescent="0.25">
      <c r="E51" s="6"/>
    </row>
    <row r="52" spans="4:8" x14ac:dyDescent="0.25">
      <c r="E52" s="6"/>
    </row>
    <row r="53" spans="4:8" x14ac:dyDescent="0.25">
      <c r="E53" s="6"/>
    </row>
    <row r="54" spans="4:8" x14ac:dyDescent="0.25">
      <c r="E54" s="6"/>
    </row>
  </sheetData>
  <sheetProtection algorithmName="SHA-512" hashValue="FXdDRSNEOqQxBE0Pqrresb9XOFuXbol7MSbpKqzTmoGhDWGl6EfZMdV3FrL5tn+H+nbBffFMHDNk8e9w9JcXuw==" saltValue="2nUWJIBq1a6xad9Fulg7ZA==" spinCount="100000" sheet="1" objects="1" scenarios="1"/>
  <conditionalFormatting sqref="F27:F28 F34:G34 F37:G37 F39:G41 F7:G16 F18:F19 F22:F25">
    <cfRule type="expression" dxfId="134" priority="132">
      <formula>#REF!&gt;0</formula>
    </cfRule>
  </conditionalFormatting>
  <conditionalFormatting sqref="G16 G18:G19 G25">
    <cfRule type="expression" dxfId="133" priority="130">
      <formula>#REF!&gt;0</formula>
    </cfRule>
  </conditionalFormatting>
  <conditionalFormatting sqref="F18:G19 F25:G25 F27:F28 F38">
    <cfRule type="expression" dxfId="132" priority="129">
      <formula>#REF!&gt;0</formula>
    </cfRule>
  </conditionalFormatting>
  <conditionalFormatting sqref="F16">
    <cfRule type="expression" dxfId="131" priority="128">
      <formula>#REF!&gt;0</formula>
    </cfRule>
  </conditionalFormatting>
  <conditionalFormatting sqref="F7:G7">
    <cfRule type="expression" dxfId="130" priority="127">
      <formula>$A7="VERDADERO"</formula>
    </cfRule>
  </conditionalFormatting>
  <conditionalFormatting sqref="G18:G19 G25">
    <cfRule type="expression" dxfId="129" priority="126">
      <formula>#REF!&gt;0</formula>
    </cfRule>
  </conditionalFormatting>
  <conditionalFormatting sqref="G32 F19 F29:F30 F32:F34">
    <cfRule type="expression" dxfId="128" priority="125">
      <formula>#REF!&gt;0</formula>
    </cfRule>
  </conditionalFormatting>
  <conditionalFormatting sqref="F25">
    <cfRule type="expression" dxfId="127" priority="124">
      <formula>#REF!&gt;0</formula>
    </cfRule>
  </conditionalFormatting>
  <conditionalFormatting sqref="F27:F28">
    <cfRule type="expression" dxfId="126" priority="123">
      <formula>#REF!&gt;0</formula>
    </cfRule>
  </conditionalFormatting>
  <conditionalFormatting sqref="G7">
    <cfRule type="expression" dxfId="125" priority="122">
      <formula>#REF!&gt;0</formula>
    </cfRule>
  </conditionalFormatting>
  <conditionalFormatting sqref="F27:F28 F22:F24">
    <cfRule type="expression" dxfId="124" priority="131">
      <formula>$A48="VERDADERO"</formula>
    </cfRule>
  </conditionalFormatting>
  <conditionalFormatting sqref="F30 F33 F34:G34 F32:G32 G22:G24 F42:G43">
    <cfRule type="expression" dxfId="123" priority="121">
      <formula>$A18="VERDADERO"</formula>
    </cfRule>
  </conditionalFormatting>
  <conditionalFormatting sqref="F37:G37">
    <cfRule type="expression" dxfId="122" priority="120">
      <formula>$A31="VERDADERO"</formula>
    </cfRule>
  </conditionalFormatting>
  <conditionalFormatting sqref="F17:G17">
    <cfRule type="expression" dxfId="121" priority="119">
      <formula>#REF!&gt;0</formula>
    </cfRule>
  </conditionalFormatting>
  <conditionalFormatting sqref="F38 F39:G39 F17:G17">
    <cfRule type="expression" dxfId="120" priority="118">
      <formula>$A12="VERDADERO"</formula>
    </cfRule>
  </conditionalFormatting>
  <conditionalFormatting sqref="G22">
    <cfRule type="expression" dxfId="119" priority="117">
      <formula>#REF!&gt;0</formula>
    </cfRule>
  </conditionalFormatting>
  <conditionalFormatting sqref="G23:G24">
    <cfRule type="expression" dxfId="118" priority="116">
      <formula>#REF!&gt;0</formula>
    </cfRule>
  </conditionalFormatting>
  <conditionalFormatting sqref="G27:G28">
    <cfRule type="expression" dxfId="117" priority="115">
      <formula>#REF!&gt;0</formula>
    </cfRule>
  </conditionalFormatting>
  <conditionalFormatting sqref="G27:G28">
    <cfRule type="expression" dxfId="116" priority="114">
      <formula>#REF!&gt;0</formula>
    </cfRule>
  </conditionalFormatting>
  <conditionalFormatting sqref="G29">
    <cfRule type="expression" dxfId="115" priority="112">
      <formula>#REF!&gt;0</formula>
    </cfRule>
  </conditionalFormatting>
  <conditionalFormatting sqref="G29">
    <cfRule type="expression" dxfId="114" priority="111">
      <formula>#REF!&gt;0</formula>
    </cfRule>
  </conditionalFormatting>
  <conditionalFormatting sqref="G29">
    <cfRule type="expression" dxfId="113" priority="110">
      <formula>#REF!&gt;0</formula>
    </cfRule>
  </conditionalFormatting>
  <conditionalFormatting sqref="G29">
    <cfRule type="expression" dxfId="112" priority="113">
      <formula>$A55="VERDADERO"</formula>
    </cfRule>
  </conditionalFormatting>
  <conditionalFormatting sqref="F29">
    <cfRule type="expression" dxfId="111" priority="109">
      <formula>#REF!="VERDADERO"</formula>
    </cfRule>
  </conditionalFormatting>
  <conditionalFormatting sqref="G30">
    <cfRule type="expression" dxfId="110" priority="107">
      <formula>#REF!&gt;0</formula>
    </cfRule>
  </conditionalFormatting>
  <conditionalFormatting sqref="G30">
    <cfRule type="expression" dxfId="109" priority="106">
      <formula>#REF!&gt;0</formula>
    </cfRule>
  </conditionalFormatting>
  <conditionalFormatting sqref="G30">
    <cfRule type="expression" dxfId="108" priority="105">
      <formula>#REF!&gt;0</formula>
    </cfRule>
  </conditionalFormatting>
  <conditionalFormatting sqref="G30">
    <cfRule type="expression" dxfId="107" priority="108">
      <formula>$A56="VERDADERO"</formula>
    </cfRule>
  </conditionalFormatting>
  <conditionalFormatting sqref="G33">
    <cfRule type="expression" dxfId="106" priority="103">
      <formula>#REF!&gt;0</formula>
    </cfRule>
  </conditionalFormatting>
  <conditionalFormatting sqref="G33">
    <cfRule type="expression" dxfId="105" priority="102">
      <formula>#REF!&gt;0</formula>
    </cfRule>
  </conditionalFormatting>
  <conditionalFormatting sqref="G33">
    <cfRule type="expression" dxfId="104" priority="101">
      <formula>#REF!&gt;0</formula>
    </cfRule>
  </conditionalFormatting>
  <conditionalFormatting sqref="G33">
    <cfRule type="expression" dxfId="103" priority="104">
      <formula>$A58="VERDADERO"</formula>
    </cfRule>
  </conditionalFormatting>
  <conditionalFormatting sqref="G27:G28">
    <cfRule type="expression" dxfId="102" priority="100">
      <formula>$A24="VERDADERO"</formula>
    </cfRule>
  </conditionalFormatting>
  <conditionalFormatting sqref="G38">
    <cfRule type="expression" dxfId="101" priority="98">
      <formula>#REF!&gt;0</formula>
    </cfRule>
  </conditionalFormatting>
  <conditionalFormatting sqref="F40:G41">
    <cfRule type="expression" dxfId="100" priority="99">
      <formula>$A38="VERDADERO"</formula>
    </cfRule>
  </conditionalFormatting>
  <conditionalFormatting sqref="G38">
    <cfRule type="expression" dxfId="99" priority="97">
      <formula>#REF!&gt;0</formula>
    </cfRule>
  </conditionalFormatting>
  <conditionalFormatting sqref="F38:G38">
    <cfRule type="expression" dxfId="98" priority="96">
      <formula>$A31="VERDADERO"</formula>
    </cfRule>
  </conditionalFormatting>
  <conditionalFormatting sqref="F26">
    <cfRule type="expression" dxfId="97" priority="95">
      <formula>#REF!&gt;0</formula>
    </cfRule>
  </conditionalFormatting>
  <conditionalFormatting sqref="F26">
    <cfRule type="expression" dxfId="96" priority="93">
      <formula>#REF!&gt;0</formula>
    </cfRule>
  </conditionalFormatting>
  <conditionalFormatting sqref="F26">
    <cfRule type="expression" dxfId="95" priority="92">
      <formula>#REF!&gt;0</formula>
    </cfRule>
  </conditionalFormatting>
  <conditionalFormatting sqref="F26">
    <cfRule type="expression" dxfId="94" priority="94">
      <formula>$A52="VERDADERO"</formula>
    </cfRule>
  </conditionalFormatting>
  <conditionalFormatting sqref="G26">
    <cfRule type="expression" dxfId="93" priority="91">
      <formula>#REF!&gt;0</formula>
    </cfRule>
  </conditionalFormatting>
  <conditionalFormatting sqref="G26">
    <cfRule type="expression" dxfId="92" priority="90">
      <formula>$A23="VERDADERO"</formula>
    </cfRule>
  </conditionalFormatting>
  <conditionalFormatting sqref="G26">
    <cfRule type="expression" dxfId="91" priority="89">
      <formula>#REF!&gt;0</formula>
    </cfRule>
  </conditionalFormatting>
  <conditionalFormatting sqref="F31:G31">
    <cfRule type="expression" dxfId="90" priority="88">
      <formula>#REF!&gt;0</formula>
    </cfRule>
  </conditionalFormatting>
  <conditionalFormatting sqref="F31:G31">
    <cfRule type="expression" dxfId="89" priority="87">
      <formula>$A27="VERDADERO"</formula>
    </cfRule>
  </conditionalFormatting>
  <conditionalFormatting sqref="F35:G36">
    <cfRule type="expression" dxfId="88" priority="86">
      <formula>#REF!&gt;0</formula>
    </cfRule>
  </conditionalFormatting>
  <conditionalFormatting sqref="F35:F36">
    <cfRule type="expression" dxfId="87" priority="85">
      <formula>#REF!&gt;0</formula>
    </cfRule>
  </conditionalFormatting>
  <conditionalFormatting sqref="F35:G36">
    <cfRule type="expression" dxfId="86" priority="84">
      <formula>$A31="VERDADERO"</formula>
    </cfRule>
  </conditionalFormatting>
  <conditionalFormatting sqref="F42:G42">
    <cfRule type="expression" dxfId="85" priority="83">
      <formula>#REF!&gt;0</formula>
    </cfRule>
  </conditionalFormatting>
  <conditionalFormatting sqref="G42">
    <cfRule type="expression" dxfId="84" priority="82">
      <formula>#REF!&gt;0</formula>
    </cfRule>
  </conditionalFormatting>
  <conditionalFormatting sqref="F43:G43">
    <cfRule type="expression" dxfId="83" priority="81">
      <formula>#REF!&gt;0</formula>
    </cfRule>
  </conditionalFormatting>
  <conditionalFormatting sqref="G43">
    <cfRule type="expression" dxfId="82" priority="80">
      <formula>#REF!&gt;0</formula>
    </cfRule>
  </conditionalFormatting>
  <conditionalFormatting sqref="F8:G10">
    <cfRule type="expression" dxfId="81" priority="133">
      <formula>#REF!="VERDADERO"</formula>
    </cfRule>
  </conditionalFormatting>
  <conditionalFormatting sqref="F11:G15">
    <cfRule type="expression" dxfId="80" priority="134">
      <formula>#REF!="VERDADERO"</formula>
    </cfRule>
  </conditionalFormatting>
  <conditionalFormatting sqref="F18:G18 F16:G16">
    <cfRule type="expression" dxfId="79" priority="135">
      <formula>#REF!="VERDADERO"</formula>
    </cfRule>
  </conditionalFormatting>
  <conditionalFormatting sqref="F43:G43">
    <cfRule type="expression" dxfId="78" priority="79">
      <formula>#REF!&gt;0</formula>
    </cfRule>
  </conditionalFormatting>
  <conditionalFormatting sqref="G43">
    <cfRule type="expression" dxfId="77" priority="78">
      <formula>#REF!&gt;0</formula>
    </cfRule>
  </conditionalFormatting>
  <conditionalFormatting sqref="G7">
    <cfRule type="expression" dxfId="76" priority="77">
      <formula>#REF!="VERDADERO"</formula>
    </cfRule>
  </conditionalFormatting>
  <conditionalFormatting sqref="G7">
    <cfRule type="expression" dxfId="75" priority="76">
      <formula>#REF!="VERDADERO"</formula>
    </cfRule>
  </conditionalFormatting>
  <conditionalFormatting sqref="G7">
    <cfRule type="expression" dxfId="74" priority="75">
      <formula>#REF!="VERDADERO"</formula>
    </cfRule>
  </conditionalFormatting>
  <conditionalFormatting sqref="F21">
    <cfRule type="expression" dxfId="73" priority="73">
      <formula>#REF!&gt;0</formula>
    </cfRule>
  </conditionalFormatting>
  <conditionalFormatting sqref="G20">
    <cfRule type="expression" dxfId="72" priority="64">
      <formula>#REF!&gt;0</formula>
    </cfRule>
  </conditionalFormatting>
  <conditionalFormatting sqref="F21">
    <cfRule type="expression" dxfId="71" priority="72">
      <formula>#REF!&gt;0</formula>
    </cfRule>
  </conditionalFormatting>
  <conditionalFormatting sqref="G20">
    <cfRule type="expression" dxfId="70" priority="62">
      <formula>#REF!&gt;0</formula>
    </cfRule>
  </conditionalFormatting>
  <conditionalFormatting sqref="F21">
    <cfRule type="expression" dxfId="69" priority="71">
      <formula>#REF!&gt;0</formula>
    </cfRule>
  </conditionalFormatting>
  <conditionalFormatting sqref="F21 F25:G25 F19:G19">
    <cfRule type="expression" dxfId="68" priority="74">
      <formula>$A46="VERDADERO"</formula>
    </cfRule>
  </conditionalFormatting>
  <conditionalFormatting sqref="G21">
    <cfRule type="expression" dxfId="67" priority="69">
      <formula>#REF!&gt;0</formula>
    </cfRule>
  </conditionalFormatting>
  <conditionalFormatting sqref="G21">
    <cfRule type="expression" dxfId="66" priority="68">
      <formula>#REF!&gt;0</formula>
    </cfRule>
  </conditionalFormatting>
  <conditionalFormatting sqref="G21">
    <cfRule type="expression" dxfId="65" priority="67">
      <formula>#REF!&gt;0</formula>
    </cfRule>
  </conditionalFormatting>
  <conditionalFormatting sqref="G21">
    <cfRule type="expression" dxfId="64" priority="70">
      <formula>$A48="VERDADERO"</formula>
    </cfRule>
  </conditionalFormatting>
  <conditionalFormatting sqref="F20">
    <cfRule type="expression" dxfId="63" priority="65">
      <formula>#REF!&gt;0</formula>
    </cfRule>
  </conditionalFormatting>
  <conditionalFormatting sqref="F20:G20">
    <cfRule type="expression" dxfId="62" priority="63">
      <formula>#REF!&gt;0</formula>
    </cfRule>
  </conditionalFormatting>
  <conditionalFormatting sqref="F20">
    <cfRule type="expression" dxfId="61" priority="61">
      <formula>#REF!&gt;0</formula>
    </cfRule>
  </conditionalFormatting>
  <conditionalFormatting sqref="F20:G20">
    <cfRule type="expression" dxfId="60" priority="66">
      <formula>$A47="VERDADERO"</formula>
    </cfRule>
  </conditionalFormatting>
  <conditionalFormatting sqref="H20">
    <cfRule type="expression" dxfId="59" priority="1">
      <formula>#REF!&gt;0</formula>
    </cfRule>
  </conditionalFormatting>
  <conditionalFormatting sqref="H34 H37 H39:H41 H7:H16">
    <cfRule type="expression" dxfId="58" priority="57">
      <formula>#REF!&gt;0</formula>
    </cfRule>
  </conditionalFormatting>
  <conditionalFormatting sqref="H16 H18:H19 H25">
    <cfRule type="expression" dxfId="57" priority="56">
      <formula>#REF!&gt;0</formula>
    </cfRule>
  </conditionalFormatting>
  <conditionalFormatting sqref="H18:H19 H25">
    <cfRule type="expression" dxfId="56" priority="55">
      <formula>#REF!&gt;0</formula>
    </cfRule>
  </conditionalFormatting>
  <conditionalFormatting sqref="H7">
    <cfRule type="expression" dxfId="55" priority="54">
      <formula>$A7="VERDADERO"</formula>
    </cfRule>
  </conditionalFormatting>
  <conditionalFormatting sqref="H18:H19 H25">
    <cfRule type="expression" dxfId="54" priority="53">
      <formula>#REF!&gt;0</formula>
    </cfRule>
  </conditionalFormatting>
  <conditionalFormatting sqref="H32">
    <cfRule type="expression" dxfId="53" priority="52">
      <formula>#REF!&gt;0</formula>
    </cfRule>
  </conditionalFormatting>
  <conditionalFormatting sqref="H7">
    <cfRule type="expression" dxfId="52" priority="51">
      <formula>#REF!&gt;0</formula>
    </cfRule>
  </conditionalFormatting>
  <conditionalFormatting sqref="H34 H32 H22:H24 H42:H43">
    <cfRule type="expression" dxfId="51" priority="50">
      <formula>$A18="VERDADERO"</formula>
    </cfRule>
  </conditionalFormatting>
  <conditionalFormatting sqref="H37">
    <cfRule type="expression" dxfId="50" priority="49">
      <formula>$A31="VERDADERO"</formula>
    </cfRule>
  </conditionalFormatting>
  <conditionalFormatting sqref="H17">
    <cfRule type="expression" dxfId="49" priority="48">
      <formula>#REF!&gt;0</formula>
    </cfRule>
  </conditionalFormatting>
  <conditionalFormatting sqref="H39 H17">
    <cfRule type="expression" dxfId="48" priority="47">
      <formula>$A12="VERDADERO"</formula>
    </cfRule>
  </conditionalFormatting>
  <conditionalFormatting sqref="H22">
    <cfRule type="expression" dxfId="47" priority="46">
      <formula>#REF!&gt;0</formula>
    </cfRule>
  </conditionalFormatting>
  <conditionalFormatting sqref="H23:H24">
    <cfRule type="expression" dxfId="46" priority="45">
      <formula>#REF!&gt;0</formula>
    </cfRule>
  </conditionalFormatting>
  <conditionalFormatting sqref="H27:H28">
    <cfRule type="expression" dxfId="45" priority="44">
      <formula>#REF!&gt;0</formula>
    </cfRule>
  </conditionalFormatting>
  <conditionalFormatting sqref="H27:H28">
    <cfRule type="expression" dxfId="44" priority="43">
      <formula>#REF!&gt;0</formula>
    </cfRule>
  </conditionalFormatting>
  <conditionalFormatting sqref="H29">
    <cfRule type="expression" dxfId="43" priority="41">
      <formula>#REF!&gt;0</formula>
    </cfRule>
  </conditionalFormatting>
  <conditionalFormatting sqref="H29">
    <cfRule type="expression" dxfId="42" priority="40">
      <formula>#REF!&gt;0</formula>
    </cfRule>
  </conditionalFormatting>
  <conditionalFormatting sqref="H29">
    <cfRule type="expression" dxfId="41" priority="39">
      <formula>#REF!&gt;0</formula>
    </cfRule>
  </conditionalFormatting>
  <conditionalFormatting sqref="H29">
    <cfRule type="expression" dxfId="40" priority="42">
      <formula>$A55="VERDADERO"</formula>
    </cfRule>
  </conditionalFormatting>
  <conditionalFormatting sqref="H30">
    <cfRule type="expression" dxfId="39" priority="37">
      <formula>#REF!&gt;0</formula>
    </cfRule>
  </conditionalFormatting>
  <conditionalFormatting sqref="H30">
    <cfRule type="expression" dxfId="38" priority="36">
      <formula>#REF!&gt;0</formula>
    </cfRule>
  </conditionalFormatting>
  <conditionalFormatting sqref="H30">
    <cfRule type="expression" dxfId="37" priority="35">
      <formula>#REF!&gt;0</formula>
    </cfRule>
  </conditionalFormatting>
  <conditionalFormatting sqref="H30">
    <cfRule type="expression" dxfId="36" priority="38">
      <formula>$A56="VERDADERO"</formula>
    </cfRule>
  </conditionalFormatting>
  <conditionalFormatting sqref="H33">
    <cfRule type="expression" dxfId="35" priority="33">
      <formula>#REF!&gt;0</formula>
    </cfRule>
  </conditionalFormatting>
  <conditionalFormatting sqref="H33">
    <cfRule type="expression" dxfId="34" priority="32">
      <formula>#REF!&gt;0</formula>
    </cfRule>
  </conditionalFormatting>
  <conditionalFormatting sqref="H33">
    <cfRule type="expression" dxfId="33" priority="31">
      <formula>#REF!&gt;0</formula>
    </cfRule>
  </conditionalFormatting>
  <conditionalFormatting sqref="H33">
    <cfRule type="expression" dxfId="32" priority="34">
      <formula>$A58="VERDADERO"</formula>
    </cfRule>
  </conditionalFormatting>
  <conditionalFormatting sqref="H27:H28">
    <cfRule type="expression" dxfId="31" priority="30">
      <formula>$A24="VERDADERO"</formula>
    </cfRule>
  </conditionalFormatting>
  <conditionalFormatting sqref="H38">
    <cfRule type="expression" dxfId="30" priority="28">
      <formula>#REF!&gt;0</formula>
    </cfRule>
  </conditionalFormatting>
  <conditionalFormatting sqref="H40:H41">
    <cfRule type="expression" dxfId="29" priority="29">
      <formula>$A38="VERDADERO"</formula>
    </cfRule>
  </conditionalFormatting>
  <conditionalFormatting sqref="H38">
    <cfRule type="expression" dxfId="28" priority="27">
      <formula>#REF!&gt;0</formula>
    </cfRule>
  </conditionalFormatting>
  <conditionalFormatting sqref="H38">
    <cfRule type="expression" dxfId="27" priority="26">
      <formula>$A31="VERDADERO"</formula>
    </cfRule>
  </conditionalFormatting>
  <conditionalFormatting sqref="H26">
    <cfRule type="expression" dxfId="26" priority="25">
      <formula>#REF!&gt;0</formula>
    </cfRule>
  </conditionalFormatting>
  <conditionalFormatting sqref="H26">
    <cfRule type="expression" dxfId="25" priority="24">
      <formula>$A23="VERDADERO"</formula>
    </cfRule>
  </conditionalFormatting>
  <conditionalFormatting sqref="H26">
    <cfRule type="expression" dxfId="24" priority="23">
      <formula>#REF!&gt;0</formula>
    </cfRule>
  </conditionalFormatting>
  <conditionalFormatting sqref="H31">
    <cfRule type="expression" dxfId="23" priority="22">
      <formula>#REF!&gt;0</formula>
    </cfRule>
  </conditionalFormatting>
  <conditionalFormatting sqref="H31">
    <cfRule type="expression" dxfId="22" priority="21">
      <formula>$A27="VERDADERO"</formula>
    </cfRule>
  </conditionalFormatting>
  <conditionalFormatting sqref="H35:H36">
    <cfRule type="expression" dxfId="21" priority="20">
      <formula>#REF!&gt;0</formula>
    </cfRule>
  </conditionalFormatting>
  <conditionalFormatting sqref="H35:H36">
    <cfRule type="expression" dxfId="20" priority="19">
      <formula>$A31="VERDADERO"</formula>
    </cfRule>
  </conditionalFormatting>
  <conditionalFormatting sqref="H42">
    <cfRule type="expression" dxfId="19" priority="18">
      <formula>#REF!&gt;0</formula>
    </cfRule>
  </conditionalFormatting>
  <conditionalFormatting sqref="H42">
    <cfRule type="expression" dxfId="18" priority="17">
      <formula>#REF!&gt;0</formula>
    </cfRule>
  </conditionalFormatting>
  <conditionalFormatting sqref="H43">
    <cfRule type="expression" dxfId="17" priority="16">
      <formula>#REF!&gt;0</formula>
    </cfRule>
  </conditionalFormatting>
  <conditionalFormatting sqref="H43">
    <cfRule type="expression" dxfId="16" priority="15">
      <formula>#REF!&gt;0</formula>
    </cfRule>
  </conditionalFormatting>
  <conditionalFormatting sqref="H8:H10">
    <cfRule type="expression" dxfId="15" priority="58">
      <formula>#REF!="VERDADERO"</formula>
    </cfRule>
  </conditionalFormatting>
  <conditionalFormatting sqref="H11:H15">
    <cfRule type="expression" dxfId="14" priority="59">
      <formula>#REF!="VERDADERO"</formula>
    </cfRule>
  </conditionalFormatting>
  <conditionalFormatting sqref="H18 H16">
    <cfRule type="expression" dxfId="13" priority="60">
      <formula>#REF!="VERDADERO"</formula>
    </cfRule>
  </conditionalFormatting>
  <conditionalFormatting sqref="H43">
    <cfRule type="expression" dxfId="12" priority="14">
      <formula>#REF!&gt;0</formula>
    </cfRule>
  </conditionalFormatting>
  <conditionalFormatting sqref="H43">
    <cfRule type="expression" dxfId="11" priority="13">
      <formula>#REF!&gt;0</formula>
    </cfRule>
  </conditionalFormatting>
  <conditionalFormatting sqref="H7">
    <cfRule type="expression" dxfId="10" priority="12">
      <formula>#REF!="VERDADERO"</formula>
    </cfRule>
  </conditionalFormatting>
  <conditionalFormatting sqref="H7">
    <cfRule type="expression" dxfId="9" priority="11">
      <formula>#REF!="VERDADERO"</formula>
    </cfRule>
  </conditionalFormatting>
  <conditionalFormatting sqref="H7">
    <cfRule type="expression" dxfId="8" priority="10">
      <formula>#REF!="VERDADERO"</formula>
    </cfRule>
  </conditionalFormatting>
  <conditionalFormatting sqref="H20">
    <cfRule type="expression" dxfId="7" priority="3">
      <formula>#REF!&gt;0</formula>
    </cfRule>
  </conditionalFormatting>
  <conditionalFormatting sqref="H25 H19">
    <cfRule type="expression" dxfId="6" priority="9">
      <formula>$A46="VERDADERO"</formula>
    </cfRule>
  </conditionalFormatting>
  <conditionalFormatting sqref="H21">
    <cfRule type="expression" dxfId="5" priority="7">
      <formula>#REF!&gt;0</formula>
    </cfRule>
  </conditionalFormatting>
  <conditionalFormatting sqref="H21">
    <cfRule type="expression" dxfId="4" priority="6">
      <formula>#REF!&gt;0</formula>
    </cfRule>
  </conditionalFormatting>
  <conditionalFormatting sqref="H21">
    <cfRule type="expression" dxfId="3" priority="5">
      <formula>#REF!&gt;0</formula>
    </cfRule>
  </conditionalFormatting>
  <conditionalFormatting sqref="H21">
    <cfRule type="expression" dxfId="2" priority="8">
      <formula>$A48="VERDADERO"</formula>
    </cfRule>
  </conditionalFormatting>
  <conditionalFormatting sqref="H20">
    <cfRule type="expression" dxfId="1" priority="2">
      <formula>#REF!&gt;0</formula>
    </cfRule>
  </conditionalFormatting>
  <conditionalFormatting sqref="H20">
    <cfRule type="expression" dxfId="0" priority="4">
      <formula>$A47="VERDADERO"</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INSTRUCCIONES</vt:lpstr>
      <vt:lpstr>FO-GC-003</vt:lpstr>
      <vt:lpstr>ANÁLISIS 5PQs</vt:lpstr>
      <vt:lpstr>DATOS</vt:lpstr>
      <vt:lpstr>'ANÁLISIS 5PQs'!Área_de_impresión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 Aristizabal Montúfar</dc:creator>
  <cp:keywords/>
  <dc:description/>
  <cp:lastModifiedBy>COORDINACION CALIDAD</cp:lastModifiedBy>
  <cp:revision/>
  <dcterms:created xsi:type="dcterms:W3CDTF">2019-02-18T14:35:30Z</dcterms:created>
  <dcterms:modified xsi:type="dcterms:W3CDTF">2025-07-29T22:21:59Z</dcterms:modified>
  <cp:category/>
  <cp:contentStatus/>
</cp:coreProperties>
</file>