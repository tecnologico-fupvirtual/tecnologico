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9.1 Gestión Financiera\FO\"/>
    </mc:Choice>
  </mc:AlternateContent>
  <bookViews>
    <workbookView xWindow="0" yWindow="0" windowWidth="19200" windowHeight="6470"/>
  </bookViews>
  <sheets>
    <sheet name="FORMATO DE PRESUPUESTOS" sheetId="2" r:id="rId1"/>
    <sheet name="OTROS_OBSERVACIONES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2" l="1"/>
  <c r="E44" i="2"/>
  <c r="E43" i="2"/>
  <c r="E42" i="2"/>
  <c r="E46" i="2" s="1"/>
  <c r="E39" i="2"/>
  <c r="E38" i="2"/>
  <c r="E37" i="2"/>
  <c r="E36" i="2"/>
  <c r="E35" i="2"/>
  <c r="E34" i="2"/>
  <c r="E31" i="2"/>
  <c r="E30" i="2"/>
  <c r="E29" i="2"/>
  <c r="E28" i="2"/>
  <c r="E25" i="2"/>
  <c r="E24" i="2"/>
  <c r="E23" i="2"/>
  <c r="E22" i="2"/>
  <c r="D18" i="2"/>
  <c r="E17" i="2"/>
  <c r="E16" i="2"/>
  <c r="E15" i="2"/>
  <c r="E14" i="2"/>
  <c r="E13" i="2"/>
  <c r="E26" i="2" l="1"/>
  <c r="E18" i="2"/>
  <c r="E40" i="2"/>
  <c r="E32" i="2"/>
  <c r="C53" i="2" l="1"/>
  <c r="E53" i="2"/>
  <c r="E50" i="2"/>
  <c r="E48" i="2" l="1"/>
  <c r="E49" i="2"/>
  <c r="E51" i="2" l="1"/>
  <c r="E54" i="2" s="1"/>
  <c r="E56" i="2" s="1"/>
  <c r="C56" i="2" l="1"/>
  <c r="E55" i="2"/>
  <c r="C55" i="2" s="1"/>
  <c r="C54" i="2"/>
</calcChain>
</file>

<file path=xl/sharedStrings.xml><?xml version="1.0" encoding="utf-8"?>
<sst xmlns="http://schemas.openxmlformats.org/spreadsheetml/2006/main" count="70" uniqueCount="66">
  <si>
    <t>INTENSIDAD (Horas)</t>
  </si>
  <si>
    <r>
      <t xml:space="preserve">Educación Continuada </t>
    </r>
    <r>
      <rPr>
        <sz val="10"/>
        <color theme="0"/>
        <rFont val="Arial Narrow"/>
        <family val="2"/>
      </rPr>
      <t xml:space="preserve">(Seleccione la Opción) OBLIGATORIO </t>
    </r>
  </si>
  <si>
    <t>HORAS PRESENCIALES</t>
  </si>
  <si>
    <t>HORAS TUTORIAS</t>
  </si>
  <si>
    <t>NOMBRE DEL DIPLOMADO, SEMINARIO U OTROS A CURSAR:</t>
  </si>
  <si>
    <t>Número Asistentes</t>
  </si>
  <si>
    <t>INGRESOS</t>
  </si>
  <si>
    <t>CANTIDAD ASISTENTES</t>
  </si>
  <si>
    <t>Vr. Unitario</t>
  </si>
  <si>
    <t>VALOR TOTAL</t>
  </si>
  <si>
    <t>Particulares</t>
  </si>
  <si>
    <t>estudiantes y egresados FUP</t>
  </si>
  <si>
    <t>Comunidad FUP</t>
  </si>
  <si>
    <t>convenio otras entidades (si aplica)</t>
  </si>
  <si>
    <t>Matrícula con Opción de Grado</t>
  </si>
  <si>
    <t>TOTAL INGRESOS</t>
  </si>
  <si>
    <t>EGRESOS</t>
  </si>
  <si>
    <t>Cantidad</t>
  </si>
  <si>
    <t>Mercadeo</t>
  </si>
  <si>
    <t>Publicidad (flayer,brochure,markering digital)</t>
  </si>
  <si>
    <t>Certificados</t>
  </si>
  <si>
    <t>Refrigerios</t>
  </si>
  <si>
    <t>Otros</t>
  </si>
  <si>
    <t>Total mercadeo</t>
  </si>
  <si>
    <t>Docencia</t>
  </si>
  <si>
    <t>Hora docente Formador  (Doctorado)</t>
  </si>
  <si>
    <t>Hora docente Formador  (Magister)</t>
  </si>
  <si>
    <t>Hora docente Formador (Especialista)</t>
  </si>
  <si>
    <t>Total Docencia</t>
  </si>
  <si>
    <t>Víaticos</t>
  </si>
  <si>
    <t>alimentación (desayuno)</t>
  </si>
  <si>
    <t>alimentación (almuerzo)</t>
  </si>
  <si>
    <t>alimentación (cena)</t>
  </si>
  <si>
    <t>hospedaje</t>
  </si>
  <si>
    <t>transporte (terrestre)</t>
  </si>
  <si>
    <t>transporte (aéreo)</t>
  </si>
  <si>
    <t>Total Víaticos</t>
  </si>
  <si>
    <t>Material Didáctico</t>
  </si>
  <si>
    <t>Copias</t>
  </si>
  <si>
    <t>material de trabajo (borrador, marcadores, etc)</t>
  </si>
  <si>
    <t>agendas - lapiceros</t>
  </si>
  <si>
    <t>Total material Didáctico</t>
  </si>
  <si>
    <t xml:space="preserve">Administración FUP </t>
  </si>
  <si>
    <t>Uso de Ayuda audiovisuales (10% de los ingresos)</t>
  </si>
  <si>
    <t>Imprevistos (2% de los ingresos)</t>
  </si>
  <si>
    <t>Administración FUP (10% de los ingresos)</t>
  </si>
  <si>
    <t>TOTAL Administración FUP</t>
  </si>
  <si>
    <t>TOTAL EGRESOS</t>
  </si>
  <si>
    <t>TOTAL UTILIDAD</t>
  </si>
  <si>
    <t>PUNTO DE EQUILIBRIO</t>
  </si>
  <si>
    <t>SOLICITANTE</t>
  </si>
  <si>
    <t>Nombre y Apellido</t>
  </si>
  <si>
    <t>Cargo</t>
  </si>
  <si>
    <t>Uso exclusivo de la Administración.</t>
  </si>
  <si>
    <t>Se requiere apertura de C.Co</t>
  </si>
  <si>
    <t>Aprobado</t>
  </si>
  <si>
    <t>Si</t>
  </si>
  <si>
    <t>No</t>
  </si>
  <si>
    <t xml:space="preserve">VICERRECTORÍA ACADÉMICA </t>
  </si>
  <si>
    <t xml:space="preserve">EDUCACIÓN CONTINUA </t>
  </si>
  <si>
    <t xml:space="preserve">CONTABILIDAD </t>
  </si>
  <si>
    <t>SI EN EGRESOS INDICO "OTROS", ESPECIFIQUE CUÁLES.</t>
  </si>
  <si>
    <t>OTROS_MERCADEO</t>
  </si>
  <si>
    <t xml:space="preserve">OTROS_MATERIAL DIDÁCTICO </t>
  </si>
  <si>
    <t xml:space="preserve">OBSERVACIONES (INDIQUE CUÁL ITEM) </t>
  </si>
  <si>
    <t xml:space="preserve">Hora docente Formador (Interno)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</si>
</sst>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rgb="FF000000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sz val="10"/>
      <color theme="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4" fontId="4" fillId="2" borderId="0" xfId="1" applyFont="1" applyFill="1" applyAlignment="1" applyProtection="1">
      <alignment horizontal="center" vertical="center"/>
    </xf>
    <xf numFmtId="164" fontId="4" fillId="2" borderId="0" xfId="1" applyNumberFormat="1" applyFont="1" applyFill="1" applyAlignment="1" applyProtection="1">
      <alignment horizontal="center" vertical="center"/>
    </xf>
    <xf numFmtId="0" fontId="5" fillId="3" borderId="51" xfId="0" applyFont="1" applyFill="1" applyBorder="1" applyAlignment="1">
      <alignment vertical="center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0" fontId="5" fillId="3" borderId="18" xfId="0" applyFont="1" applyFill="1" applyBorder="1" applyAlignment="1">
      <alignment vertical="center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5" fillId="3" borderId="54" xfId="0" applyFont="1" applyFill="1" applyBorder="1" applyAlignment="1">
      <alignment vertical="center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5" fillId="3" borderId="45" xfId="0" applyFont="1" applyFill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44" fontId="5" fillId="3" borderId="10" xfId="1" applyFont="1" applyFill="1" applyBorder="1" applyAlignment="1" applyProtection="1">
      <alignment horizontal="center" vertical="center"/>
    </xf>
    <xf numFmtId="164" fontId="5" fillId="3" borderId="11" xfId="1" applyNumberFormat="1" applyFont="1" applyFill="1" applyBorder="1" applyAlignment="1" applyProtection="1">
      <alignment horizontal="center" vertical="center"/>
    </xf>
    <xf numFmtId="0" fontId="9" fillId="2" borderId="26" xfId="0" applyFont="1" applyFill="1" applyBorder="1" applyAlignment="1">
      <alignment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44" fontId="7" fillId="0" borderId="1" xfId="1" applyFont="1" applyFill="1" applyBorder="1" applyAlignment="1" applyProtection="1">
      <alignment horizontal="center" vertical="center"/>
      <protection locked="0"/>
    </xf>
    <xf numFmtId="0" fontId="9" fillId="2" borderId="18" xfId="0" applyFont="1" applyFill="1" applyBorder="1" applyAlignment="1">
      <alignment vertical="center"/>
    </xf>
    <xf numFmtId="0" fontId="9" fillId="2" borderId="3" xfId="0" applyFont="1" applyFill="1" applyBorder="1" applyAlignment="1" applyProtection="1">
      <alignment horizontal="center" vertical="center"/>
      <protection locked="0"/>
    </xf>
    <xf numFmtId="44" fontId="7" fillId="0" borderId="3" xfId="1" applyFont="1" applyFill="1" applyBorder="1" applyAlignment="1" applyProtection="1">
      <alignment horizontal="center" vertical="center"/>
      <protection locked="0"/>
    </xf>
    <xf numFmtId="0" fontId="9" fillId="2" borderId="28" xfId="0" applyFont="1" applyFill="1" applyBorder="1" applyAlignment="1">
      <alignment vertical="center"/>
    </xf>
    <xf numFmtId="0" fontId="9" fillId="2" borderId="5" xfId="0" applyFont="1" applyFill="1" applyBorder="1" applyAlignment="1" applyProtection="1">
      <alignment horizontal="center" vertical="center"/>
      <protection locked="0"/>
    </xf>
    <xf numFmtId="44" fontId="7" fillId="0" borderId="5" xfId="1" applyFont="1" applyFill="1" applyBorder="1" applyAlignment="1" applyProtection="1">
      <alignment horizontal="center" vertical="center"/>
      <protection locked="0"/>
    </xf>
    <xf numFmtId="0" fontId="9" fillId="0" borderId="26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4" fillId="0" borderId="18" xfId="0" applyFont="1" applyBorder="1"/>
    <xf numFmtId="0" fontId="4" fillId="0" borderId="28" xfId="0" applyFont="1" applyBorder="1"/>
    <xf numFmtId="0" fontId="4" fillId="0" borderId="26" xfId="0" applyFont="1" applyBorder="1"/>
    <xf numFmtId="0" fontId="6" fillId="2" borderId="44" xfId="0" applyFont="1" applyFill="1" applyBorder="1" applyAlignment="1">
      <alignment vertical="center"/>
    </xf>
    <xf numFmtId="0" fontId="6" fillId="2" borderId="33" xfId="0" applyFont="1" applyFill="1" applyBorder="1" applyAlignment="1">
      <alignment vertical="center"/>
    </xf>
    <xf numFmtId="164" fontId="6" fillId="2" borderId="57" xfId="0" applyNumberFormat="1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vertical="center"/>
    </xf>
    <xf numFmtId="164" fontId="6" fillId="2" borderId="58" xfId="0" applyNumberFormat="1" applyFont="1" applyFill="1" applyBorder="1" applyAlignment="1">
      <alignment horizontal="center" vertical="center"/>
    </xf>
    <xf numFmtId="44" fontId="4" fillId="2" borderId="0" xfId="1" applyFont="1" applyFill="1" applyAlignment="1" applyProtection="1">
      <alignment vertical="center"/>
    </xf>
    <xf numFmtId="164" fontId="4" fillId="2" borderId="0" xfId="1" applyNumberFormat="1" applyFont="1" applyFill="1" applyAlignment="1" applyProtection="1">
      <alignment vertical="center"/>
    </xf>
    <xf numFmtId="0" fontId="4" fillId="2" borderId="43" xfId="0" applyFont="1" applyFill="1" applyBorder="1" applyAlignment="1">
      <alignment vertical="center"/>
    </xf>
    <xf numFmtId="0" fontId="4" fillId="2" borderId="43" xfId="0" applyFont="1" applyFill="1" applyBorder="1" applyAlignment="1" applyProtection="1">
      <alignment vertical="center"/>
      <protection locked="0"/>
    </xf>
    <xf numFmtId="44" fontId="4" fillId="2" borderId="43" xfId="1" applyFont="1" applyFill="1" applyBorder="1" applyAlignment="1" applyProtection="1">
      <alignment vertical="center"/>
    </xf>
    <xf numFmtId="164" fontId="4" fillId="2" borderId="43" xfId="1" applyNumberFormat="1" applyFont="1" applyFill="1" applyBorder="1" applyAlignment="1" applyProtection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4" fillId="2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44" fontId="4" fillId="0" borderId="0" xfId="1" applyFont="1" applyAlignment="1" applyProtection="1">
      <alignment horizontal="center"/>
    </xf>
    <xf numFmtId="164" fontId="4" fillId="0" borderId="0" xfId="1" applyNumberFormat="1" applyFont="1" applyAlignment="1" applyProtection="1">
      <alignment horizontal="center"/>
    </xf>
    <xf numFmtId="0" fontId="5" fillId="3" borderId="53" xfId="0" applyFont="1" applyFill="1" applyBorder="1"/>
    <xf numFmtId="0" fontId="5" fillId="3" borderId="53" xfId="0" applyFont="1" applyFill="1" applyBorder="1" applyAlignment="1">
      <alignment horizontal="center"/>
    </xf>
    <xf numFmtId="164" fontId="5" fillId="3" borderId="46" xfId="1" applyNumberFormat="1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1" xfId="1" applyNumberFormat="1" applyFont="1" applyBorder="1" applyAlignment="1" applyProtection="1">
      <protection locked="0"/>
    </xf>
    <xf numFmtId="164" fontId="4" fillId="0" borderId="27" xfId="1" applyNumberFormat="1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 vertical="center"/>
      <protection locked="0"/>
    </xf>
    <xf numFmtId="164" fontId="4" fillId="0" borderId="3" xfId="1" applyNumberFormat="1" applyFont="1" applyBorder="1" applyAlignment="1" applyProtection="1">
      <protection locked="0"/>
    </xf>
    <xf numFmtId="164" fontId="4" fillId="0" borderId="19" xfId="1" applyNumberFormat="1" applyFont="1" applyBorder="1" applyAlignment="1" applyProtection="1">
      <alignment horizontal="center"/>
    </xf>
    <xf numFmtId="0" fontId="4" fillId="0" borderId="8" xfId="0" applyFont="1" applyBorder="1" applyAlignment="1" applyProtection="1">
      <alignment horizontal="center" vertical="center"/>
      <protection locked="0"/>
    </xf>
    <xf numFmtId="0" fontId="7" fillId="0" borderId="28" xfId="0" applyFont="1" applyBorder="1"/>
    <xf numFmtId="0" fontId="4" fillId="0" borderId="5" xfId="0" applyFont="1" applyBorder="1" applyAlignment="1" applyProtection="1">
      <alignment horizontal="center" vertical="center"/>
      <protection locked="0"/>
    </xf>
    <xf numFmtId="164" fontId="4" fillId="4" borderId="55" xfId="1" applyNumberFormat="1" applyFont="1" applyFill="1" applyBorder="1" applyAlignment="1" applyProtection="1"/>
    <xf numFmtId="164" fontId="7" fillId="4" borderId="25" xfId="1" applyNumberFormat="1" applyFont="1" applyFill="1" applyBorder="1" applyAlignment="1" applyProtection="1">
      <alignment horizontal="center"/>
    </xf>
    <xf numFmtId="0" fontId="4" fillId="0" borderId="15" xfId="0" applyFont="1" applyBorder="1"/>
    <xf numFmtId="0" fontId="4" fillId="0" borderId="16" xfId="0" applyFont="1" applyBorder="1" applyAlignment="1" applyProtection="1">
      <alignment horizontal="center"/>
      <protection locked="0"/>
    </xf>
    <xf numFmtId="44" fontId="4" fillId="0" borderId="16" xfId="1" applyFont="1" applyBorder="1" applyAlignment="1" applyProtection="1">
      <alignment horizontal="center"/>
      <protection locked="0"/>
    </xf>
    <xf numFmtId="164" fontId="4" fillId="0" borderId="17" xfId="1" applyNumberFormat="1" applyFont="1" applyFill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164" fontId="4" fillId="0" borderId="19" xfId="1" applyNumberFormat="1" applyFont="1" applyFill="1" applyBorder="1" applyAlignment="1" applyProtection="1">
      <alignment horizontal="center"/>
    </xf>
    <xf numFmtId="0" fontId="4" fillId="0" borderId="20" xfId="0" applyFont="1" applyBorder="1"/>
    <xf numFmtId="0" fontId="4" fillId="0" borderId="8" xfId="0" applyFont="1" applyBorder="1" applyAlignment="1" applyProtection="1">
      <alignment horizontal="center"/>
      <protection locked="0"/>
    </xf>
    <xf numFmtId="164" fontId="4" fillId="0" borderId="21" xfId="1" applyNumberFormat="1" applyFont="1" applyFill="1" applyBorder="1" applyAlignment="1" applyProtection="1">
      <alignment horizontal="center"/>
    </xf>
    <xf numFmtId="164" fontId="4" fillId="0" borderId="29" xfId="1" applyNumberFormat="1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44" fontId="4" fillId="0" borderId="1" xfId="1" applyFont="1" applyBorder="1" applyAlignment="1" applyProtection="1">
      <alignment horizontal="center"/>
      <protection locked="0"/>
    </xf>
    <xf numFmtId="44" fontId="4" fillId="0" borderId="3" xfId="1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44" fontId="4" fillId="0" borderId="5" xfId="1" applyFont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center"/>
    </xf>
    <xf numFmtId="44" fontId="4" fillId="2" borderId="0" xfId="1" applyFont="1" applyFill="1" applyAlignment="1" applyProtection="1">
      <alignment horizontal="center"/>
    </xf>
    <xf numFmtId="164" fontId="4" fillId="2" borderId="0" xfId="1" applyNumberFormat="1" applyFont="1" applyFill="1" applyAlignment="1" applyProtection="1">
      <alignment horizontal="center"/>
    </xf>
    <xf numFmtId="164" fontId="4" fillId="0" borderId="56" xfId="0" applyNumberFormat="1" applyFont="1" applyBorder="1"/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vertical="center"/>
      <protection locked="0"/>
    </xf>
    <xf numFmtId="0" fontId="7" fillId="2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/>
    </xf>
    <xf numFmtId="0" fontId="2" fillId="0" borderId="50" xfId="0" applyFont="1" applyBorder="1"/>
    <xf numFmtId="164" fontId="7" fillId="4" borderId="7" xfId="1" applyNumberFormat="1" applyFont="1" applyFill="1" applyBorder="1" applyAlignment="1" applyProtection="1">
      <alignment horizontal="center" vertical="center"/>
    </xf>
    <xf numFmtId="164" fontId="7" fillId="0" borderId="7" xfId="1" applyNumberFormat="1" applyFont="1" applyBorder="1" applyAlignment="1" applyProtection="1">
      <alignment horizontal="center"/>
      <protection locked="0"/>
    </xf>
    <xf numFmtId="0" fontId="7" fillId="4" borderId="12" xfId="0" applyFont="1" applyFill="1" applyBorder="1" applyAlignment="1">
      <alignment horizontal="left"/>
    </xf>
    <xf numFmtId="0" fontId="7" fillId="4" borderId="13" xfId="0" applyFont="1" applyFill="1" applyBorder="1" applyAlignment="1">
      <alignment horizontal="left"/>
    </xf>
    <xf numFmtId="0" fontId="7" fillId="4" borderId="14" xfId="0" applyFont="1" applyFill="1" applyBorder="1" applyAlignment="1">
      <alignment horizontal="left"/>
    </xf>
    <xf numFmtId="164" fontId="5" fillId="3" borderId="53" xfId="1" applyNumberFormat="1" applyFont="1" applyFill="1" applyBorder="1" applyAlignment="1" applyProtection="1">
      <alignment horizontal="center" vertical="center" wrapText="1"/>
    </xf>
    <xf numFmtId="164" fontId="5" fillId="3" borderId="46" xfId="1" applyNumberFormat="1" applyFont="1" applyFill="1" applyBorder="1" applyAlignment="1" applyProtection="1">
      <alignment horizontal="center" vertical="center" wrapText="1"/>
    </xf>
    <xf numFmtId="164" fontId="7" fillId="0" borderId="7" xfId="1" applyNumberFormat="1" applyFont="1" applyFill="1" applyBorder="1" applyAlignment="1" applyProtection="1">
      <alignment horizontal="center" vertical="center" wrapText="1"/>
      <protection locked="0"/>
    </xf>
    <xf numFmtId="164" fontId="7" fillId="0" borderId="48" xfId="1" applyNumberFormat="1" applyFont="1" applyFill="1" applyBorder="1" applyAlignment="1" applyProtection="1">
      <alignment horizontal="center" vertical="center" wrapText="1"/>
      <protection locked="0"/>
    </xf>
    <xf numFmtId="44" fontId="5" fillId="3" borderId="7" xfId="1" applyFont="1" applyFill="1" applyBorder="1" applyAlignment="1" applyProtection="1">
      <alignment horizontal="center" wrapText="1"/>
    </xf>
    <xf numFmtId="44" fontId="5" fillId="3" borderId="48" xfId="1" applyFont="1" applyFill="1" applyBorder="1" applyAlignment="1" applyProtection="1">
      <alignment horizontal="center" wrapText="1"/>
    </xf>
    <xf numFmtId="44" fontId="8" fillId="2" borderId="55" xfId="1" applyFont="1" applyFill="1" applyBorder="1" applyAlignment="1" applyProtection="1">
      <alignment horizontal="center" vertical="center" wrapText="1"/>
      <protection locked="0"/>
    </xf>
    <xf numFmtId="44" fontId="8" fillId="2" borderId="25" xfId="1" applyFont="1" applyFill="1" applyBorder="1" applyAlignment="1" applyProtection="1">
      <alignment horizontal="center" vertical="center" wrapText="1"/>
      <protection locked="0"/>
    </xf>
    <xf numFmtId="0" fontId="6" fillId="4" borderId="22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7" fillId="4" borderId="22" xfId="0" applyFont="1" applyFill="1" applyBorder="1" applyAlignment="1">
      <alignment horizontal="left"/>
    </xf>
    <xf numFmtId="0" fontId="7" fillId="4" borderId="23" xfId="0" applyFont="1" applyFill="1" applyBorder="1" applyAlignment="1">
      <alignment horizontal="left"/>
    </xf>
    <xf numFmtId="0" fontId="7" fillId="4" borderId="24" xfId="0" applyFont="1" applyFill="1" applyBorder="1" applyAlignment="1">
      <alignment horizontal="left"/>
    </xf>
    <xf numFmtId="0" fontId="6" fillId="4" borderId="12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left" vertical="center"/>
    </xf>
    <xf numFmtId="0" fontId="9" fillId="2" borderId="30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left" vertical="center"/>
    </xf>
    <xf numFmtId="0" fontId="9" fillId="2" borderId="32" xfId="0" applyFont="1" applyFill="1" applyBorder="1" applyAlignment="1">
      <alignment horizontal="left" vertical="center"/>
    </xf>
    <xf numFmtId="0" fontId="9" fillId="2" borderId="33" xfId="0" applyFont="1" applyFill="1" applyBorder="1" applyAlignment="1">
      <alignment horizontal="left" vertical="center"/>
    </xf>
    <xf numFmtId="0" fontId="9" fillId="2" borderId="34" xfId="0" applyFont="1" applyFill="1" applyBorder="1" applyAlignment="1">
      <alignment horizontal="left" vertical="center"/>
    </xf>
    <xf numFmtId="0" fontId="9" fillId="2" borderId="35" xfId="0" applyFont="1" applyFill="1" applyBorder="1" applyAlignment="1">
      <alignment horizontal="left" vertical="center"/>
    </xf>
    <xf numFmtId="0" fontId="9" fillId="2" borderId="36" xfId="0" applyFont="1" applyFill="1" applyBorder="1" applyAlignment="1">
      <alignment horizontal="left" vertical="center"/>
    </xf>
    <xf numFmtId="0" fontId="9" fillId="2" borderId="37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7" fillId="2" borderId="39" xfId="0" applyFont="1" applyFill="1" applyBorder="1" applyAlignment="1" applyProtection="1">
      <alignment horizontal="left"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0" fontId="7" fillId="2" borderId="41" xfId="0" applyFont="1" applyFill="1" applyBorder="1" applyAlignment="1" applyProtection="1">
      <alignment horizontal="left" vertical="center"/>
      <protection locked="0"/>
    </xf>
    <xf numFmtId="0" fontId="7" fillId="2" borderId="42" xfId="0" applyFont="1" applyFill="1" applyBorder="1" applyAlignment="1" applyProtection="1">
      <alignment horizontal="left" vertical="center"/>
      <protection locked="0"/>
    </xf>
    <xf numFmtId="164" fontId="6" fillId="2" borderId="45" xfId="0" applyNumberFormat="1" applyFont="1" applyFill="1" applyBorder="1" applyAlignment="1">
      <alignment horizontal="center" vertical="center"/>
    </xf>
    <xf numFmtId="164" fontId="6" fillId="2" borderId="46" xfId="0" applyNumberFormat="1" applyFont="1" applyFill="1" applyBorder="1" applyAlignment="1">
      <alignment horizontal="center" vertical="center"/>
    </xf>
    <xf numFmtId="164" fontId="6" fillId="2" borderId="47" xfId="1" applyNumberFormat="1" applyFont="1" applyFill="1" applyBorder="1" applyAlignment="1" applyProtection="1">
      <alignment horizontal="center" vertical="center"/>
    </xf>
    <xf numFmtId="164" fontId="6" fillId="2" borderId="48" xfId="1" applyNumberFormat="1" applyFont="1" applyFill="1" applyBorder="1" applyAlignment="1" applyProtection="1">
      <alignment horizontal="center" vertical="center"/>
    </xf>
    <xf numFmtId="164" fontId="6" fillId="2" borderId="49" xfId="1" applyNumberFormat="1" applyFont="1" applyFill="1" applyBorder="1" applyAlignment="1" applyProtection="1">
      <alignment horizontal="center" vertical="center"/>
    </xf>
    <xf numFmtId="164" fontId="6" fillId="2" borderId="25" xfId="1" applyNumberFormat="1" applyFont="1" applyFill="1" applyBorder="1" applyAlignment="1" applyProtection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left" vertical="center"/>
    </xf>
    <xf numFmtId="0" fontId="7" fillId="4" borderId="3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38" xfId="0" applyFont="1" applyFill="1" applyBorder="1" applyAlignment="1">
      <alignment horizontal="left" vertic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3" fillId="5" borderId="59" xfId="0" applyFont="1" applyFill="1" applyBorder="1" applyAlignment="1">
      <alignment horizontal="center"/>
    </xf>
    <xf numFmtId="0" fontId="0" fillId="5" borderId="60" xfId="0" applyFill="1" applyBorder="1" applyAlignment="1">
      <alignment horizontal="center"/>
    </xf>
    <xf numFmtId="0" fontId="0" fillId="5" borderId="61" xfId="0" applyFill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752100</xdr:colOff>
      <xdr:row>0</xdr:row>
      <xdr:rowOff>38100</xdr:rowOff>
    </xdr:from>
    <xdr:to>
      <xdr:col>5</xdr:col>
      <xdr:colOff>60325</xdr:colOff>
      <xdr:row>5</xdr:row>
      <xdr:rowOff>95250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8050" y="38100"/>
          <a:ext cx="7258425" cy="882650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FINANCIERA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PRESUPUESTO EDUCACIÓN CONTINUADA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FO-GF-042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09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Enero 2025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190499</xdr:rowOff>
    </xdr:from>
    <xdr:to>
      <xdr:col>7</xdr:col>
      <xdr:colOff>0</xdr:colOff>
      <xdr:row>3</xdr:row>
      <xdr:rowOff>180974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0" y="184149"/>
          <a:ext cx="8204200" cy="549275"/>
          <a:chOff x="761999" y="200025"/>
          <a:chExt cx="5324475" cy="590550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 txBox="1">
            <a:spLocks noChangeAspect="1"/>
          </xdr:cNvSpPr>
        </xdr:nvSpPr>
        <xdr:spPr>
          <a:xfrm>
            <a:off x="761999" y="200238"/>
            <a:ext cx="1289520" cy="59033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>
            <a:spLocks noChangeAspect="1"/>
          </xdr:cNvSpPr>
        </xdr:nvSpPr>
        <xdr:spPr>
          <a:xfrm>
            <a:off x="2051519" y="200025"/>
            <a:ext cx="4034954" cy="29755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FINANCIERA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>
            <a:spLocks noChangeAspect="1"/>
          </xdr:cNvSpPr>
        </xdr:nvSpPr>
        <xdr:spPr>
          <a:xfrm>
            <a:off x="2051521" y="498217"/>
            <a:ext cx="4034953" cy="29235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PRESUPUESTO EDUCACIÓN CONTINUADA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956965" y="264729"/>
            <a:ext cx="879320" cy="49727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tabSelected="1" zoomScaleNormal="100" workbookViewId="0">
      <selection activeCell="H25" sqref="H25"/>
    </sheetView>
  </sheetViews>
  <sheetFormatPr baseColWidth="10" defaultColWidth="11.453125" defaultRowHeight="13" x14ac:dyDescent="0.3"/>
  <cols>
    <col min="1" max="1" width="1.36328125" style="47" customWidth="1"/>
    <col min="2" max="2" width="42.26953125" style="47" bestFit="1" customWidth="1"/>
    <col min="3" max="3" width="21.26953125" style="47" bestFit="1" customWidth="1"/>
    <col min="4" max="4" width="24.26953125" style="47" bestFit="1" customWidth="1"/>
    <col min="5" max="5" width="15.26953125" style="47" bestFit="1" customWidth="1"/>
    <col min="6" max="6" width="2.08984375" style="47" customWidth="1"/>
    <col min="7" max="16384" width="11.453125" style="47"/>
  </cols>
  <sheetData>
    <row r="1" spans="1:6" x14ac:dyDescent="0.3">
      <c r="A1" s="46"/>
      <c r="B1" s="1"/>
      <c r="C1" s="2"/>
      <c r="D1" s="3"/>
      <c r="E1" s="4"/>
      <c r="F1" s="46"/>
    </row>
    <row r="2" spans="1:6" x14ac:dyDescent="0.3">
      <c r="A2" s="46"/>
      <c r="B2" s="1"/>
      <c r="C2" s="2"/>
      <c r="D2" s="3"/>
      <c r="E2" s="4"/>
      <c r="F2" s="46"/>
    </row>
    <row r="3" spans="1:6" x14ac:dyDescent="0.3">
      <c r="A3" s="46"/>
      <c r="B3" s="1"/>
      <c r="C3" s="2"/>
      <c r="D3" s="3"/>
      <c r="E3" s="4"/>
      <c r="F3" s="46"/>
    </row>
    <row r="4" spans="1:6" x14ac:dyDescent="0.3">
      <c r="A4" s="46"/>
      <c r="B4" s="1"/>
      <c r="C4" s="2"/>
      <c r="D4" s="3"/>
      <c r="E4" s="4"/>
      <c r="F4" s="46"/>
    </row>
    <row r="5" spans="1:6" x14ac:dyDescent="0.3">
      <c r="A5" s="46"/>
      <c r="B5" s="1"/>
      <c r="C5" s="2"/>
      <c r="D5" s="3"/>
      <c r="E5" s="4"/>
      <c r="F5" s="46"/>
    </row>
    <row r="6" spans="1:6" ht="13.5" thickBot="1" x14ac:dyDescent="0.35">
      <c r="A6" s="46"/>
      <c r="B6" s="1"/>
      <c r="C6" s="2"/>
      <c r="D6" s="3"/>
      <c r="E6" s="4"/>
      <c r="F6" s="46"/>
    </row>
    <row r="7" spans="1:6" ht="36.75" customHeight="1" x14ac:dyDescent="0.3">
      <c r="A7" s="46"/>
      <c r="B7" s="5" t="s">
        <v>0</v>
      </c>
      <c r="C7" s="6">
        <v>0</v>
      </c>
      <c r="D7" s="94" t="s">
        <v>1</v>
      </c>
      <c r="E7" s="95"/>
      <c r="F7" s="46"/>
    </row>
    <row r="8" spans="1:6" ht="18.75" customHeight="1" x14ac:dyDescent="0.3">
      <c r="A8" s="46"/>
      <c r="B8" s="7" t="s">
        <v>2</v>
      </c>
      <c r="C8" s="8">
        <v>0</v>
      </c>
      <c r="D8" s="96"/>
      <c r="E8" s="97"/>
      <c r="F8" s="46"/>
    </row>
    <row r="9" spans="1:6" ht="24.75" customHeight="1" x14ac:dyDescent="0.3">
      <c r="A9" s="46"/>
      <c r="B9" s="7" t="s">
        <v>3</v>
      </c>
      <c r="C9" s="8">
        <v>0</v>
      </c>
      <c r="D9" s="98" t="s">
        <v>4</v>
      </c>
      <c r="E9" s="99"/>
      <c r="F9" s="46"/>
    </row>
    <row r="10" spans="1:6" ht="13.5" thickBot="1" x14ac:dyDescent="0.35">
      <c r="A10" s="46"/>
      <c r="B10" s="9" t="s">
        <v>5</v>
      </c>
      <c r="C10" s="10">
        <v>0</v>
      </c>
      <c r="D10" s="100"/>
      <c r="E10" s="101"/>
      <c r="F10" s="46"/>
    </row>
    <row r="11" spans="1:6" ht="13.5" thickBot="1" x14ac:dyDescent="0.35">
      <c r="A11" s="46"/>
      <c r="C11" s="48"/>
      <c r="D11" s="49"/>
      <c r="E11" s="50"/>
      <c r="F11" s="46"/>
    </row>
    <row r="12" spans="1:6" x14ac:dyDescent="0.3">
      <c r="A12" s="46"/>
      <c r="B12" s="11" t="s">
        <v>6</v>
      </c>
      <c r="C12" s="51" t="s">
        <v>7</v>
      </c>
      <c r="D12" s="52" t="s">
        <v>8</v>
      </c>
      <c r="E12" s="53" t="s">
        <v>9</v>
      </c>
      <c r="F12" s="46"/>
    </row>
    <row r="13" spans="1:6" x14ac:dyDescent="0.3">
      <c r="A13" s="46"/>
      <c r="B13" s="12" t="s">
        <v>10</v>
      </c>
      <c r="C13" s="54"/>
      <c r="D13" s="55"/>
      <c r="E13" s="56">
        <f>+C13*D13</f>
        <v>0</v>
      </c>
      <c r="F13" s="46"/>
    </row>
    <row r="14" spans="1:6" x14ac:dyDescent="0.3">
      <c r="A14" s="46"/>
      <c r="B14" s="13" t="s">
        <v>11</v>
      </c>
      <c r="C14" s="57"/>
      <c r="D14" s="58"/>
      <c r="E14" s="59">
        <f t="shared" ref="E14:E17" si="0">+C14*D14</f>
        <v>0</v>
      </c>
      <c r="F14" s="46"/>
    </row>
    <row r="15" spans="1:6" x14ac:dyDescent="0.3">
      <c r="A15" s="46"/>
      <c r="B15" s="14" t="s">
        <v>12</v>
      </c>
      <c r="C15" s="60"/>
      <c r="D15" s="58"/>
      <c r="E15" s="59">
        <f t="shared" si="0"/>
        <v>0</v>
      </c>
      <c r="F15" s="46"/>
    </row>
    <row r="16" spans="1:6" x14ac:dyDescent="0.3">
      <c r="A16" s="46"/>
      <c r="B16" s="14" t="s">
        <v>13</v>
      </c>
      <c r="C16" s="60"/>
      <c r="D16" s="58"/>
      <c r="E16" s="59">
        <f t="shared" si="0"/>
        <v>0</v>
      </c>
      <c r="F16" s="46"/>
    </row>
    <row r="17" spans="1:6" x14ac:dyDescent="0.3">
      <c r="A17" s="46"/>
      <c r="B17" s="61" t="s">
        <v>14</v>
      </c>
      <c r="C17" s="62"/>
      <c r="D17" s="58"/>
      <c r="E17" s="59">
        <f t="shared" si="0"/>
        <v>0</v>
      </c>
      <c r="F17" s="46"/>
    </row>
    <row r="18" spans="1:6" ht="13.5" thickBot="1" x14ac:dyDescent="0.35">
      <c r="A18" s="46"/>
      <c r="B18" s="102" t="s">
        <v>15</v>
      </c>
      <c r="C18" s="103"/>
      <c r="D18" s="63">
        <f>SUM(D13:D17)</f>
        <v>0</v>
      </c>
      <c r="E18" s="64">
        <f>SUM(E13:E17)</f>
        <v>0</v>
      </c>
      <c r="F18" s="46"/>
    </row>
    <row r="19" spans="1:6" ht="13.5" thickBot="1" x14ac:dyDescent="0.35">
      <c r="A19" s="46"/>
      <c r="C19" s="48"/>
      <c r="D19" s="49"/>
      <c r="E19" s="50"/>
      <c r="F19" s="46"/>
    </row>
    <row r="20" spans="1:6" ht="13.5" thickBot="1" x14ac:dyDescent="0.35">
      <c r="A20" s="46"/>
      <c r="B20" s="15" t="s">
        <v>16</v>
      </c>
      <c r="C20" s="16" t="s">
        <v>17</v>
      </c>
      <c r="D20" s="17" t="s">
        <v>8</v>
      </c>
      <c r="E20" s="18" t="s">
        <v>9</v>
      </c>
      <c r="F20" s="46"/>
    </row>
    <row r="21" spans="1:6" x14ac:dyDescent="0.3">
      <c r="A21" s="46"/>
      <c r="B21" s="91" t="s">
        <v>18</v>
      </c>
      <c r="C21" s="92"/>
      <c r="D21" s="92"/>
      <c r="E21" s="93"/>
      <c r="F21" s="46"/>
    </row>
    <row r="22" spans="1:6" x14ac:dyDescent="0.3">
      <c r="A22" s="46"/>
      <c r="B22" s="65" t="s">
        <v>19</v>
      </c>
      <c r="C22" s="66"/>
      <c r="D22" s="67"/>
      <c r="E22" s="68">
        <f>+C22*D22</f>
        <v>0</v>
      </c>
      <c r="F22" s="46"/>
    </row>
    <row r="23" spans="1:6" x14ac:dyDescent="0.3">
      <c r="A23" s="46"/>
      <c r="B23" s="30" t="s">
        <v>20</v>
      </c>
      <c r="C23" s="69"/>
      <c r="D23" s="67"/>
      <c r="E23" s="70">
        <f t="shared" ref="E23:E25" si="1">+C23*D23</f>
        <v>0</v>
      </c>
      <c r="F23" s="46"/>
    </row>
    <row r="24" spans="1:6" x14ac:dyDescent="0.3">
      <c r="A24" s="46"/>
      <c r="B24" s="30" t="s">
        <v>21</v>
      </c>
      <c r="C24" s="69"/>
      <c r="D24" s="67"/>
      <c r="E24" s="70">
        <f t="shared" si="1"/>
        <v>0</v>
      </c>
      <c r="F24" s="46"/>
    </row>
    <row r="25" spans="1:6" x14ac:dyDescent="0.3">
      <c r="A25" s="46"/>
      <c r="B25" s="71" t="s">
        <v>22</v>
      </c>
      <c r="C25" s="72"/>
      <c r="D25" s="67"/>
      <c r="E25" s="73">
        <f t="shared" si="1"/>
        <v>0</v>
      </c>
      <c r="F25" s="46"/>
    </row>
    <row r="26" spans="1:6" ht="13.5" thickBot="1" x14ac:dyDescent="0.35">
      <c r="A26" s="46"/>
      <c r="B26" s="107" t="s">
        <v>23</v>
      </c>
      <c r="C26" s="108"/>
      <c r="D26" s="109"/>
      <c r="E26" s="64">
        <f>SUM(E22:E25)</f>
        <v>0</v>
      </c>
      <c r="F26" s="46"/>
    </row>
    <row r="27" spans="1:6" x14ac:dyDescent="0.3">
      <c r="A27" s="46"/>
      <c r="B27" s="91" t="s">
        <v>24</v>
      </c>
      <c r="C27" s="92"/>
      <c r="D27" s="92"/>
      <c r="E27" s="93"/>
      <c r="F27" s="46"/>
    </row>
    <row r="28" spans="1:6" x14ac:dyDescent="0.3">
      <c r="A28" s="46"/>
      <c r="B28" s="19" t="s">
        <v>25</v>
      </c>
      <c r="C28" s="20"/>
      <c r="D28" s="21">
        <v>105000</v>
      </c>
      <c r="E28" s="56">
        <f>+C28*D28</f>
        <v>0</v>
      </c>
      <c r="F28" s="46"/>
    </row>
    <row r="29" spans="1:6" x14ac:dyDescent="0.3">
      <c r="A29" s="46"/>
      <c r="B29" s="22" t="s">
        <v>26</v>
      </c>
      <c r="C29" s="23"/>
      <c r="D29" s="24">
        <v>84000</v>
      </c>
      <c r="E29" s="59">
        <f t="shared" ref="E29:E31" si="2">+C29*D29</f>
        <v>0</v>
      </c>
      <c r="F29" s="46"/>
    </row>
    <row r="30" spans="1:6" x14ac:dyDescent="0.3">
      <c r="A30" s="46"/>
      <c r="B30" s="22" t="s">
        <v>27</v>
      </c>
      <c r="C30" s="23"/>
      <c r="D30" s="24">
        <v>63000</v>
      </c>
      <c r="E30" s="59">
        <f t="shared" si="2"/>
        <v>0</v>
      </c>
      <c r="F30" s="46"/>
    </row>
    <row r="31" spans="1:6" x14ac:dyDescent="0.3">
      <c r="A31" s="46"/>
      <c r="B31" s="25" t="s">
        <v>65</v>
      </c>
      <c r="C31" s="26"/>
      <c r="D31" s="27"/>
      <c r="E31" s="74">
        <f t="shared" si="2"/>
        <v>0</v>
      </c>
      <c r="F31" s="46"/>
    </row>
    <row r="32" spans="1:6" ht="13.5" thickBot="1" x14ac:dyDescent="0.35">
      <c r="A32" s="46"/>
      <c r="B32" s="107" t="s">
        <v>28</v>
      </c>
      <c r="C32" s="108"/>
      <c r="D32" s="109"/>
      <c r="E32" s="64">
        <f>SUM(E28:E31)</f>
        <v>0</v>
      </c>
      <c r="F32" s="46"/>
    </row>
    <row r="33" spans="1:6" x14ac:dyDescent="0.3">
      <c r="A33" s="46"/>
      <c r="B33" s="110" t="s">
        <v>29</v>
      </c>
      <c r="C33" s="111"/>
      <c r="D33" s="111"/>
      <c r="E33" s="112"/>
      <c r="F33" s="46"/>
    </row>
    <row r="34" spans="1:6" x14ac:dyDescent="0.3">
      <c r="A34" s="46"/>
      <c r="B34" s="28" t="s">
        <v>30</v>
      </c>
      <c r="C34" s="75">
        <v>0</v>
      </c>
      <c r="D34" s="76"/>
      <c r="E34" s="56">
        <f>+C34*D34</f>
        <v>0</v>
      </c>
      <c r="F34" s="46"/>
    </row>
    <row r="35" spans="1:6" x14ac:dyDescent="0.3">
      <c r="A35" s="46"/>
      <c r="B35" s="29" t="s">
        <v>31</v>
      </c>
      <c r="C35" s="69">
        <v>0</v>
      </c>
      <c r="D35" s="77"/>
      <c r="E35" s="59">
        <f t="shared" ref="E35:E39" si="3">+C35*D35</f>
        <v>0</v>
      </c>
      <c r="F35" s="46"/>
    </row>
    <row r="36" spans="1:6" x14ac:dyDescent="0.3">
      <c r="A36" s="46"/>
      <c r="B36" s="29" t="s">
        <v>32</v>
      </c>
      <c r="C36" s="69">
        <v>0</v>
      </c>
      <c r="D36" s="77"/>
      <c r="E36" s="59">
        <f t="shared" si="3"/>
        <v>0</v>
      </c>
      <c r="F36" s="46"/>
    </row>
    <row r="37" spans="1:6" x14ac:dyDescent="0.3">
      <c r="A37" s="46"/>
      <c r="B37" s="30" t="s">
        <v>33</v>
      </c>
      <c r="C37" s="69">
        <v>0</v>
      </c>
      <c r="D37" s="77"/>
      <c r="E37" s="59">
        <f>+C37*D37</f>
        <v>0</v>
      </c>
      <c r="F37" s="46"/>
    </row>
    <row r="38" spans="1:6" x14ac:dyDescent="0.3">
      <c r="A38" s="46"/>
      <c r="B38" s="30" t="s">
        <v>34</v>
      </c>
      <c r="C38" s="69">
        <v>0</v>
      </c>
      <c r="D38" s="77"/>
      <c r="E38" s="59">
        <f t="shared" si="3"/>
        <v>0</v>
      </c>
      <c r="F38" s="46"/>
    </row>
    <row r="39" spans="1:6" x14ac:dyDescent="0.3">
      <c r="A39" s="46"/>
      <c r="B39" s="31" t="s">
        <v>35</v>
      </c>
      <c r="C39" s="78">
        <v>0</v>
      </c>
      <c r="D39" s="79"/>
      <c r="E39" s="74">
        <f t="shared" si="3"/>
        <v>0</v>
      </c>
      <c r="F39" s="46"/>
    </row>
    <row r="40" spans="1:6" ht="13.5" thickBot="1" x14ac:dyDescent="0.35">
      <c r="A40" s="46"/>
      <c r="B40" s="104" t="s">
        <v>36</v>
      </c>
      <c r="C40" s="105"/>
      <c r="D40" s="106"/>
      <c r="E40" s="64">
        <f>SUM(E34:E39)</f>
        <v>0</v>
      </c>
      <c r="F40" s="46"/>
    </row>
    <row r="41" spans="1:6" x14ac:dyDescent="0.3">
      <c r="A41" s="46"/>
      <c r="B41" s="91" t="s">
        <v>37</v>
      </c>
      <c r="C41" s="92"/>
      <c r="D41" s="92"/>
      <c r="E41" s="93"/>
      <c r="F41" s="46"/>
    </row>
    <row r="42" spans="1:6" x14ac:dyDescent="0.3">
      <c r="A42" s="46"/>
      <c r="B42" s="32" t="s">
        <v>38</v>
      </c>
      <c r="C42" s="75">
        <v>0</v>
      </c>
      <c r="D42" s="76"/>
      <c r="E42" s="56">
        <f>+C42*D42</f>
        <v>0</v>
      </c>
      <c r="F42" s="46"/>
    </row>
    <row r="43" spans="1:6" x14ac:dyDescent="0.3">
      <c r="A43" s="46"/>
      <c r="B43" s="30" t="s">
        <v>39</v>
      </c>
      <c r="C43" s="69">
        <v>0</v>
      </c>
      <c r="D43" s="77"/>
      <c r="E43" s="59">
        <f t="shared" ref="E43:E45" si="4">+C43*D43</f>
        <v>0</v>
      </c>
      <c r="F43" s="46"/>
    </row>
    <row r="44" spans="1:6" x14ac:dyDescent="0.3">
      <c r="A44" s="46"/>
      <c r="B44" s="31" t="s">
        <v>40</v>
      </c>
      <c r="C44" s="78">
        <v>0</v>
      </c>
      <c r="D44" s="79"/>
      <c r="E44" s="74">
        <f t="shared" si="4"/>
        <v>0</v>
      </c>
      <c r="F44" s="46"/>
    </row>
    <row r="45" spans="1:6" x14ac:dyDescent="0.3">
      <c r="A45" s="46"/>
      <c r="B45" s="31" t="s">
        <v>22</v>
      </c>
      <c r="C45" s="78">
        <v>0</v>
      </c>
      <c r="D45" s="79"/>
      <c r="E45" s="74">
        <f t="shared" si="4"/>
        <v>0</v>
      </c>
      <c r="F45" s="46"/>
    </row>
    <row r="46" spans="1:6" ht="13.5" thickBot="1" x14ac:dyDescent="0.35">
      <c r="A46" s="46"/>
      <c r="B46" s="107" t="s">
        <v>41</v>
      </c>
      <c r="C46" s="108"/>
      <c r="D46" s="109"/>
      <c r="E46" s="64">
        <f>SUM(E42:E45)</f>
        <v>0</v>
      </c>
      <c r="F46" s="46"/>
    </row>
    <row r="47" spans="1:6" x14ac:dyDescent="0.3">
      <c r="A47" s="46"/>
      <c r="B47" s="110" t="s">
        <v>42</v>
      </c>
      <c r="C47" s="111"/>
      <c r="D47" s="111"/>
      <c r="E47" s="112"/>
      <c r="F47" s="46"/>
    </row>
    <row r="48" spans="1:6" x14ac:dyDescent="0.3">
      <c r="A48" s="46"/>
      <c r="B48" s="113" t="s">
        <v>43</v>
      </c>
      <c r="C48" s="114"/>
      <c r="D48" s="115"/>
      <c r="E48" s="56">
        <f>+C53*0.1</f>
        <v>0</v>
      </c>
      <c r="F48" s="46"/>
    </row>
    <row r="49" spans="1:8" x14ac:dyDescent="0.3">
      <c r="A49" s="46"/>
      <c r="B49" s="116" t="s">
        <v>44</v>
      </c>
      <c r="C49" s="117"/>
      <c r="D49" s="118"/>
      <c r="E49" s="59">
        <f>+C53*0.02</f>
        <v>0</v>
      </c>
      <c r="F49" s="46"/>
    </row>
    <row r="50" spans="1:8" x14ac:dyDescent="0.3">
      <c r="A50" s="46"/>
      <c r="B50" s="119" t="s">
        <v>45</v>
      </c>
      <c r="C50" s="120"/>
      <c r="D50" s="121"/>
      <c r="E50" s="74">
        <f>+C53*0.1</f>
        <v>0</v>
      </c>
      <c r="F50" s="46"/>
    </row>
    <row r="51" spans="1:8" ht="13.5" thickBot="1" x14ac:dyDescent="0.35">
      <c r="A51" s="46"/>
      <c r="B51" s="104" t="s">
        <v>46</v>
      </c>
      <c r="C51" s="105"/>
      <c r="D51" s="106"/>
      <c r="E51" s="64">
        <f>SUM(E48:E50)</f>
        <v>0</v>
      </c>
      <c r="F51" s="46"/>
    </row>
    <row r="52" spans="1:8" ht="13.5" thickBot="1" x14ac:dyDescent="0.35">
      <c r="A52" s="46"/>
      <c r="B52" s="46"/>
      <c r="C52" s="80"/>
      <c r="D52" s="81"/>
      <c r="E52" s="82"/>
      <c r="F52" s="46"/>
    </row>
    <row r="53" spans="1:8" x14ac:dyDescent="0.3">
      <c r="A53" s="46"/>
      <c r="B53" s="33" t="s">
        <v>15</v>
      </c>
      <c r="C53" s="126">
        <f>+SUM(E18)</f>
        <v>0</v>
      </c>
      <c r="D53" s="127"/>
      <c r="E53" s="83">
        <f>+E18</f>
        <v>0</v>
      </c>
      <c r="F53" s="46"/>
    </row>
    <row r="54" spans="1:8" x14ac:dyDescent="0.3">
      <c r="A54" s="46"/>
      <c r="B54" s="34" t="s">
        <v>47</v>
      </c>
      <c r="C54" s="128">
        <f>IFERROR(E54,0)</f>
        <v>0</v>
      </c>
      <c r="D54" s="129"/>
      <c r="E54" s="35">
        <f>+E26+E32+E40+E46+E51</f>
        <v>0</v>
      </c>
      <c r="F54" s="46"/>
    </row>
    <row r="55" spans="1:8" x14ac:dyDescent="0.3">
      <c r="A55" s="46"/>
      <c r="B55" s="34" t="s">
        <v>48</v>
      </c>
      <c r="C55" s="128">
        <f>IFERROR(E55,0)</f>
        <v>0</v>
      </c>
      <c r="D55" s="129"/>
      <c r="E55" s="35">
        <f>+C53-E54</f>
        <v>0</v>
      </c>
      <c r="F55" s="46"/>
    </row>
    <row r="56" spans="1:8" ht="13.5" thickBot="1" x14ac:dyDescent="0.35">
      <c r="A56" s="46"/>
      <c r="B56" s="36" t="s">
        <v>49</v>
      </c>
      <c r="C56" s="130">
        <f>IFERROR(E56,0)</f>
        <v>0</v>
      </c>
      <c r="D56" s="131"/>
      <c r="E56" s="37" t="e">
        <f>E54/D18</f>
        <v>#DIV/0!</v>
      </c>
      <c r="F56" s="46"/>
    </row>
    <row r="57" spans="1:8" ht="13.5" thickBot="1" x14ac:dyDescent="0.35">
      <c r="A57" s="46"/>
      <c r="B57" s="46"/>
      <c r="C57" s="80"/>
      <c r="D57" s="81"/>
      <c r="E57" s="82"/>
      <c r="F57" s="46"/>
    </row>
    <row r="58" spans="1:8" x14ac:dyDescent="0.3">
      <c r="A58" s="46"/>
      <c r="B58" s="132" t="s">
        <v>50</v>
      </c>
      <c r="C58" s="133"/>
      <c r="D58" s="133"/>
      <c r="E58" s="134"/>
      <c r="F58" s="46"/>
      <c r="G58" s="87"/>
      <c r="H58" s="87"/>
    </row>
    <row r="59" spans="1:8" x14ac:dyDescent="0.3">
      <c r="A59" s="46"/>
      <c r="B59" s="135" t="s">
        <v>51</v>
      </c>
      <c r="C59" s="136"/>
      <c r="D59" s="137" t="s">
        <v>52</v>
      </c>
      <c r="E59" s="138"/>
      <c r="F59" s="46"/>
      <c r="G59" s="87"/>
      <c r="H59" s="87"/>
    </row>
    <row r="60" spans="1:8" ht="13.5" thickBot="1" x14ac:dyDescent="0.35">
      <c r="A60" s="46"/>
      <c r="B60" s="122"/>
      <c r="C60" s="123"/>
      <c r="D60" s="124"/>
      <c r="E60" s="125"/>
      <c r="F60" s="46"/>
      <c r="G60" s="87"/>
      <c r="H60" s="87"/>
    </row>
    <row r="61" spans="1:8" x14ac:dyDescent="0.3">
      <c r="A61" s="46"/>
      <c r="B61" s="1"/>
      <c r="C61" s="1"/>
      <c r="D61" s="38"/>
      <c r="E61" s="39"/>
      <c r="F61" s="1"/>
      <c r="G61" s="87"/>
      <c r="H61" s="87"/>
    </row>
    <row r="62" spans="1:8" x14ac:dyDescent="0.3">
      <c r="A62" s="46"/>
      <c r="B62" s="40"/>
      <c r="C62" s="41"/>
      <c r="D62" s="42"/>
      <c r="E62" s="43"/>
      <c r="F62" s="1"/>
      <c r="G62" s="87"/>
      <c r="H62" s="87"/>
    </row>
    <row r="63" spans="1:8" x14ac:dyDescent="0.3">
      <c r="A63" s="46"/>
      <c r="B63" s="44" t="s">
        <v>53</v>
      </c>
      <c r="C63" s="1"/>
      <c r="D63" s="38"/>
      <c r="E63" s="39"/>
      <c r="F63" s="1"/>
      <c r="G63" s="87"/>
      <c r="H63" s="87"/>
    </row>
    <row r="64" spans="1:8" x14ac:dyDescent="0.3">
      <c r="A64" s="46"/>
      <c r="B64" s="1"/>
      <c r="C64" s="1"/>
      <c r="D64" s="45" t="s">
        <v>54</v>
      </c>
      <c r="E64" s="84"/>
      <c r="F64" s="84"/>
      <c r="G64" s="87"/>
      <c r="H64" s="87"/>
    </row>
    <row r="65" spans="1:8" x14ac:dyDescent="0.3">
      <c r="A65" s="46"/>
      <c r="B65" s="44" t="s">
        <v>55</v>
      </c>
      <c r="C65" s="1"/>
      <c r="D65" s="89" t="s">
        <v>56</v>
      </c>
      <c r="E65" s="90"/>
      <c r="F65" s="1"/>
      <c r="G65" s="87"/>
      <c r="H65" s="87"/>
    </row>
    <row r="66" spans="1:8" x14ac:dyDescent="0.3">
      <c r="A66" s="46"/>
      <c r="B66" s="44"/>
      <c r="C66" s="1"/>
      <c r="D66" s="89" t="s">
        <v>57</v>
      </c>
      <c r="E66" s="90"/>
      <c r="F66" s="1"/>
      <c r="G66" s="87"/>
      <c r="H66" s="87"/>
    </row>
    <row r="67" spans="1:8" x14ac:dyDescent="0.3">
      <c r="A67" s="46"/>
      <c r="B67" s="44"/>
      <c r="C67" s="1"/>
      <c r="D67" s="38"/>
      <c r="E67" s="39"/>
      <c r="F67" s="1"/>
      <c r="G67" s="87"/>
      <c r="H67" s="87"/>
    </row>
    <row r="68" spans="1:8" x14ac:dyDescent="0.3">
      <c r="A68" s="46"/>
      <c r="B68" s="41"/>
      <c r="C68" s="1"/>
      <c r="D68" s="38"/>
      <c r="E68" s="39"/>
      <c r="F68" s="1"/>
      <c r="G68" s="87"/>
      <c r="H68" s="87"/>
    </row>
    <row r="69" spans="1:8" x14ac:dyDescent="0.3">
      <c r="A69" s="46"/>
      <c r="B69" s="85" t="s">
        <v>58</v>
      </c>
      <c r="C69" s="1"/>
      <c r="D69" s="38"/>
      <c r="E69" s="39"/>
      <c r="F69" s="1"/>
      <c r="G69" s="87"/>
      <c r="H69" s="87"/>
    </row>
    <row r="70" spans="1:8" x14ac:dyDescent="0.3">
      <c r="A70" s="46"/>
      <c r="B70" s="86"/>
      <c r="C70" s="86"/>
      <c r="D70" s="81"/>
      <c r="E70" s="82"/>
      <c r="F70" s="46"/>
    </row>
    <row r="71" spans="1:8" x14ac:dyDescent="0.3">
      <c r="A71" s="46"/>
      <c r="B71" s="86"/>
      <c r="C71" s="86"/>
      <c r="D71" s="81"/>
      <c r="E71" s="82"/>
      <c r="F71" s="46"/>
    </row>
    <row r="72" spans="1:8" x14ac:dyDescent="0.3">
      <c r="A72" s="46"/>
      <c r="B72" s="86"/>
      <c r="C72" s="86"/>
      <c r="D72" s="81"/>
      <c r="E72" s="82"/>
      <c r="F72" s="46"/>
    </row>
    <row r="73" spans="1:8" x14ac:dyDescent="0.3">
      <c r="A73" s="46"/>
      <c r="B73" s="41"/>
      <c r="C73" s="80"/>
      <c r="D73" s="46"/>
      <c r="E73" s="82"/>
      <c r="F73" s="46"/>
    </row>
    <row r="74" spans="1:8" x14ac:dyDescent="0.3">
      <c r="A74" s="46"/>
      <c r="B74" s="85" t="s">
        <v>59</v>
      </c>
      <c r="C74" s="46"/>
      <c r="D74" s="46"/>
      <c r="E74" s="46"/>
      <c r="F74" s="46"/>
    </row>
    <row r="75" spans="1:8" x14ac:dyDescent="0.3">
      <c r="A75" s="46"/>
      <c r="B75" s="46"/>
      <c r="C75" s="46"/>
      <c r="D75" s="46"/>
      <c r="E75" s="46"/>
      <c r="F75" s="46"/>
    </row>
    <row r="76" spans="1:8" x14ac:dyDescent="0.3">
      <c r="A76" s="46"/>
      <c r="B76" s="46"/>
      <c r="C76" s="46"/>
      <c r="D76" s="46"/>
      <c r="E76" s="46"/>
      <c r="F76" s="46"/>
    </row>
    <row r="77" spans="1:8" x14ac:dyDescent="0.3">
      <c r="A77" s="46"/>
      <c r="B77" s="46"/>
      <c r="C77" s="46"/>
      <c r="D77" s="46"/>
      <c r="E77" s="46"/>
      <c r="F77" s="46"/>
    </row>
    <row r="78" spans="1:8" x14ac:dyDescent="0.3">
      <c r="A78" s="46"/>
      <c r="B78" s="41"/>
      <c r="C78" s="46"/>
      <c r="D78" s="46"/>
      <c r="E78" s="46"/>
      <c r="F78" s="46"/>
    </row>
    <row r="79" spans="1:8" x14ac:dyDescent="0.3">
      <c r="A79" s="46"/>
      <c r="B79" s="85" t="s">
        <v>60</v>
      </c>
      <c r="C79" s="46"/>
      <c r="D79" s="46"/>
      <c r="E79" s="46"/>
      <c r="F79" s="46"/>
    </row>
    <row r="80" spans="1:8" x14ac:dyDescent="0.3">
      <c r="A80" s="46"/>
      <c r="B80" s="46"/>
      <c r="C80" s="46"/>
      <c r="D80" s="46"/>
      <c r="E80" s="46"/>
      <c r="F80" s="46"/>
    </row>
    <row r="81" spans="1:6" x14ac:dyDescent="0.3">
      <c r="A81" s="46"/>
      <c r="B81" s="46"/>
      <c r="C81" s="46"/>
      <c r="D81" s="46"/>
      <c r="E81" s="46"/>
      <c r="F81" s="46"/>
    </row>
    <row r="82" spans="1:6" x14ac:dyDescent="0.3">
      <c r="A82" s="46"/>
      <c r="B82" s="46"/>
      <c r="C82" s="46"/>
      <c r="D82" s="46"/>
      <c r="E82" s="46"/>
      <c r="F82" s="46"/>
    </row>
    <row r="83" spans="1:6" x14ac:dyDescent="0.3">
      <c r="A83" s="46"/>
      <c r="B83" s="46"/>
      <c r="C83" s="46"/>
      <c r="D83" s="46"/>
      <c r="E83" s="46"/>
      <c r="F83" s="46"/>
    </row>
    <row r="84" spans="1:6" x14ac:dyDescent="0.3">
      <c r="A84" s="46"/>
      <c r="B84" s="46"/>
      <c r="C84" s="46"/>
      <c r="D84" s="46"/>
      <c r="E84" s="46"/>
      <c r="F84" s="46"/>
    </row>
    <row r="85" spans="1:6" x14ac:dyDescent="0.3">
      <c r="A85" s="46"/>
      <c r="B85" s="46"/>
      <c r="C85" s="46"/>
      <c r="D85" s="46"/>
      <c r="E85" s="46"/>
      <c r="F85" s="46"/>
    </row>
    <row r="86" spans="1:6" x14ac:dyDescent="0.3">
      <c r="A86" s="46"/>
      <c r="B86" s="46"/>
      <c r="C86" s="46"/>
      <c r="D86" s="46"/>
      <c r="E86" s="46"/>
      <c r="F86" s="46"/>
    </row>
    <row r="87" spans="1:6" x14ac:dyDescent="0.3">
      <c r="A87" s="46"/>
      <c r="B87" s="46"/>
      <c r="C87" s="46"/>
      <c r="D87" s="46"/>
      <c r="E87" s="46"/>
      <c r="F87" s="46"/>
    </row>
  </sheetData>
  <mergeCells count="27">
    <mergeCell ref="B60:C60"/>
    <mergeCell ref="D60:E60"/>
    <mergeCell ref="C53:D53"/>
    <mergeCell ref="C54:D54"/>
    <mergeCell ref="C55:D55"/>
    <mergeCell ref="C56:D56"/>
    <mergeCell ref="B58:E58"/>
    <mergeCell ref="B59:C59"/>
    <mergeCell ref="D59:E59"/>
    <mergeCell ref="B51:D51"/>
    <mergeCell ref="B26:D26"/>
    <mergeCell ref="B27:E27"/>
    <mergeCell ref="B32:D32"/>
    <mergeCell ref="B33:E33"/>
    <mergeCell ref="B40:D40"/>
    <mergeCell ref="B41:E41"/>
    <mergeCell ref="B46:D46"/>
    <mergeCell ref="B47:E47"/>
    <mergeCell ref="B48:D48"/>
    <mergeCell ref="B49:D49"/>
    <mergeCell ref="B50:D50"/>
    <mergeCell ref="B21:E21"/>
    <mergeCell ref="D7:E7"/>
    <mergeCell ref="D8:E8"/>
    <mergeCell ref="D9:E9"/>
    <mergeCell ref="D10:E10"/>
    <mergeCell ref="B18:C18"/>
  </mergeCells>
  <conditionalFormatting sqref="E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D8">
      <formula1>"Diplomado, Curso,Seminario,Taller,Otros"</formula1>
    </dataValidation>
    <dataValidation type="list" allowBlank="1" showInputMessage="1" showErrorMessage="1" sqref="E65:E66">
      <formula1>"X"</formula1>
    </dataValidation>
  </dataValidations>
  <pageMargins left="0.7" right="0.7" top="0.75" bottom="0.75" header="0.3" footer="0.3"/>
  <pageSetup paperSize="9"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8"/>
  <sheetViews>
    <sheetView workbookViewId="0">
      <selection activeCell="J11" sqref="J11"/>
    </sheetView>
  </sheetViews>
  <sheetFormatPr baseColWidth="10" defaultColWidth="11.453125" defaultRowHeight="14.5" x14ac:dyDescent="0.35"/>
  <cols>
    <col min="1" max="1" width="36.453125" bestFit="1" customWidth="1"/>
    <col min="2" max="2" width="23.7265625" customWidth="1"/>
  </cols>
  <sheetData>
    <row r="4" spans="1:7" ht="15" thickBot="1" x14ac:dyDescent="0.4"/>
    <row r="5" spans="1:7" ht="15" thickBot="1" x14ac:dyDescent="0.4">
      <c r="A5" s="142" t="s">
        <v>61</v>
      </c>
      <c r="B5" s="143"/>
      <c r="C5" s="143"/>
      <c r="D5" s="143"/>
      <c r="E5" s="143"/>
      <c r="F5" s="143"/>
      <c r="G5" s="144"/>
    </row>
    <row r="6" spans="1:7" ht="15" thickBot="1" x14ac:dyDescent="0.4">
      <c r="A6" s="145" t="s">
        <v>62</v>
      </c>
      <c r="B6" s="146"/>
      <c r="C6" s="139"/>
      <c r="D6" s="140"/>
      <c r="E6" s="140"/>
      <c r="F6" s="140"/>
      <c r="G6" s="141"/>
    </row>
    <row r="7" spans="1:7" ht="15" thickBot="1" x14ac:dyDescent="0.4">
      <c r="A7" s="145" t="s">
        <v>63</v>
      </c>
      <c r="B7" s="146"/>
      <c r="C7" s="139"/>
      <c r="D7" s="140"/>
      <c r="E7" s="140"/>
      <c r="F7" s="140"/>
      <c r="G7" s="141"/>
    </row>
    <row r="8" spans="1:7" ht="15" thickBot="1" x14ac:dyDescent="0.4">
      <c r="A8" s="88" t="s">
        <v>64</v>
      </c>
      <c r="B8" s="88"/>
      <c r="C8" s="139"/>
      <c r="D8" s="140"/>
      <c r="E8" s="140"/>
      <c r="F8" s="140"/>
      <c r="G8" s="141"/>
    </row>
  </sheetData>
  <mergeCells count="6">
    <mergeCell ref="C8:G8"/>
    <mergeCell ref="A5:G5"/>
    <mergeCell ref="A6:B6"/>
    <mergeCell ref="A7:B7"/>
    <mergeCell ref="C6:G6"/>
    <mergeCell ref="C7:G7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 PRESUPUESTOS</vt:lpstr>
      <vt:lpstr>OTROS_OBSERVACIONES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</dc:creator>
  <cp:keywords/>
  <dc:description/>
  <cp:lastModifiedBy>COORDINACION CALIDAD</cp:lastModifiedBy>
  <cp:revision/>
  <cp:lastPrinted>2024-02-27T14:50:47Z</cp:lastPrinted>
  <dcterms:created xsi:type="dcterms:W3CDTF">2023-03-09T16:09:00Z</dcterms:created>
  <dcterms:modified xsi:type="dcterms:W3CDTF">2025-01-28T13:28:11Z</dcterms:modified>
  <cp:category/>
  <cp:contentStatus/>
</cp:coreProperties>
</file>