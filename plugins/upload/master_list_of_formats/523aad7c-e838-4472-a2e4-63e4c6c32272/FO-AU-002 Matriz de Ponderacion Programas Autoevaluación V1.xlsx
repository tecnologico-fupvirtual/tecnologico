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18"/>
  <workbookPr/>
  <mc:AlternateContent xmlns:mc="http://schemas.openxmlformats.org/markup-compatibility/2006">
    <mc:Choice Requires="x15">
      <x15ac:absPath xmlns:x15ac="http://schemas.microsoft.com/office/spreadsheetml/2010/11/ac" url="C:\Users\Calidad\OneDrive - Fundación Universitaria de Popayán\Escritorio\Aux Aseguramiento\AUT\CALIDAD\"/>
    </mc:Choice>
  </mc:AlternateContent>
  <xr:revisionPtr revIDLastSave="0" documentId="8_{6B477893-D9BF-4DB8-B680-03AC6F1F07AA}" xr6:coauthVersionLast="47" xr6:coauthVersionMax="47" xr10:uidLastSave="{00000000-0000-0000-0000-000000000000}"/>
  <bookViews>
    <workbookView xWindow="0" yWindow="0" windowWidth="20490" windowHeight="7050" firstSheet="1" activeTab="1" xr2:uid="{00000000-000D-0000-FFFF-FFFF00000000}"/>
  </bookViews>
  <sheets>
    <sheet name="INICIO" sheetId="35" r:id="rId1"/>
    <sheet name="F1" sheetId="13" r:id="rId2"/>
    <sheet name="F2" sheetId="23" r:id="rId3"/>
    <sheet name="F3" sheetId="24" r:id="rId4"/>
    <sheet name="F4" sheetId="25" r:id="rId5"/>
    <sheet name="F5" sheetId="38" r:id="rId6"/>
    <sheet name="F6" sheetId="39" r:id="rId7"/>
    <sheet name="F7" sheetId="26" r:id="rId8"/>
    <sheet name="F8" sheetId="27" r:id="rId9"/>
    <sheet name="F9" sheetId="28" r:id="rId10"/>
    <sheet name="F10" sheetId="31" r:id="rId11"/>
    <sheet name="F11" sheetId="29" r:id="rId12"/>
    <sheet name="F12" sheetId="37" r:id="rId13"/>
    <sheet name="Res." sheetId="32" r:id="rId14"/>
    <sheet name="D.Car." sheetId="34" r:id="rId15"/>
    <sheet name="Hoja1" sheetId="1" state="hidden" r:id="rId16"/>
    <sheet name="Hoja2" sheetId="33" state="hidden" r:id="rId17"/>
  </sheets>
  <externalReferences>
    <externalReference r:id="rId18"/>
  </externalReferences>
  <definedNames>
    <definedName name="OBE">[1]Convencionales!$J$3:$J$17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34" l="1"/>
  <c r="D6" i="34"/>
  <c r="B6" i="34"/>
  <c r="B62" i="32" l="1"/>
  <c r="B55" i="32"/>
  <c r="F46" i="32"/>
  <c r="F45" i="32"/>
  <c r="B36" i="32"/>
  <c r="B26" i="32"/>
  <c r="B23" i="32"/>
  <c r="B51" i="32"/>
  <c r="B48" i="32"/>
  <c r="B45" i="32"/>
  <c r="B41" i="32"/>
  <c r="B14" i="32"/>
  <c r="B8" i="32"/>
  <c r="B5" i="32"/>
  <c r="A13" i="37" l="1"/>
  <c r="F63" i="32" s="1"/>
  <c r="A12" i="37"/>
  <c r="F62" i="32" s="1"/>
  <c r="B17" i="29"/>
  <c r="B18" i="29"/>
  <c r="G57" i="32" s="1"/>
  <c r="B19" i="29"/>
  <c r="G58" i="32" s="1"/>
  <c r="B20" i="29"/>
  <c r="G59" i="32" s="1"/>
  <c r="B21" i="29"/>
  <c r="G60" i="32" s="1"/>
  <c r="A17" i="29"/>
  <c r="F56" i="32" s="1"/>
  <c r="A18" i="29"/>
  <c r="F57" i="32" s="1"/>
  <c r="A19" i="29"/>
  <c r="F58" i="32" s="1"/>
  <c r="A20" i="29"/>
  <c r="F59" i="32" s="1"/>
  <c r="A21" i="29"/>
  <c r="F60" i="32" s="1"/>
  <c r="A16" i="29"/>
  <c r="F55" i="32" s="1"/>
  <c r="A14" i="31"/>
  <c r="F52" i="32" s="1"/>
  <c r="A15" i="31"/>
  <c r="F53" i="32" s="1"/>
  <c r="A13" i="31"/>
  <c r="F51" i="32" s="1"/>
  <c r="A13" i="28"/>
  <c r="F49" i="32" s="1"/>
  <c r="A12" i="28"/>
  <c r="F48" i="32" s="1"/>
  <c r="B14" i="26"/>
  <c r="G42" i="32" s="1"/>
  <c r="B15" i="26"/>
  <c r="G43" i="32" s="1"/>
  <c r="A14" i="26"/>
  <c r="F42" i="32" s="1"/>
  <c r="A15" i="26"/>
  <c r="F43" i="32" s="1"/>
  <c r="A13" i="26"/>
  <c r="F41" i="32" s="1"/>
  <c r="B15" i="39"/>
  <c r="G37" i="32" s="1"/>
  <c r="B16" i="39"/>
  <c r="G38" i="32" s="1"/>
  <c r="A15" i="39"/>
  <c r="F37" i="32" s="1"/>
  <c r="A16" i="39"/>
  <c r="F38" i="32" s="1"/>
  <c r="A17" i="39"/>
  <c r="F39" i="32" s="1"/>
  <c r="B17" i="39"/>
  <c r="G39" i="32" s="1"/>
  <c r="B14" i="39"/>
  <c r="A14" i="39"/>
  <c r="F36" i="32" s="1"/>
  <c r="B26" i="38"/>
  <c r="G33" i="32" s="1"/>
  <c r="B27" i="38"/>
  <c r="G34" i="32" s="1"/>
  <c r="A20" i="38"/>
  <c r="F27" i="32" s="1"/>
  <c r="A21" i="38"/>
  <c r="F28" i="32" s="1"/>
  <c r="A22" i="38"/>
  <c r="F29" i="32" s="1"/>
  <c r="A23" i="38"/>
  <c r="F30" i="32" s="1"/>
  <c r="A24" i="38"/>
  <c r="F31" i="32" s="1"/>
  <c r="A25" i="38"/>
  <c r="F32" i="32" s="1"/>
  <c r="A26" i="38"/>
  <c r="F33" i="32" s="1"/>
  <c r="A27" i="38"/>
  <c r="F34" i="32" s="1"/>
  <c r="A19" i="38"/>
  <c r="F26" i="32" s="1"/>
  <c r="B25" i="38"/>
  <c r="G32" i="32" s="1"/>
  <c r="B24" i="38"/>
  <c r="G31" i="32" s="1"/>
  <c r="B23" i="38"/>
  <c r="G30" i="32" s="1"/>
  <c r="B22" i="38"/>
  <c r="G29" i="32" s="1"/>
  <c r="B21" i="38"/>
  <c r="G28" i="32" s="1"/>
  <c r="B20" i="38"/>
  <c r="G27" i="32" s="1"/>
  <c r="B19" i="38"/>
  <c r="G56" i="32" l="1"/>
  <c r="G46" i="32"/>
  <c r="C17" i="39"/>
  <c r="H39" i="32" s="1"/>
  <c r="C14" i="39"/>
  <c r="H36" i="32" s="1"/>
  <c r="G36" i="32"/>
  <c r="C36" i="32" s="1"/>
  <c r="C16" i="39"/>
  <c r="H38" i="32" s="1"/>
  <c r="C15" i="39"/>
  <c r="H37" i="32" s="1"/>
  <c r="C19" i="38"/>
  <c r="H26" i="32" s="1"/>
  <c r="G26" i="32"/>
  <c r="C26" i="32" s="1"/>
  <c r="C22" i="38"/>
  <c r="H29" i="32" s="1"/>
  <c r="C20" i="38"/>
  <c r="H27" i="32" s="1"/>
  <c r="C27" i="38"/>
  <c r="H34" i="32" s="1"/>
  <c r="C25" i="38"/>
  <c r="H32" i="32" s="1"/>
  <c r="C23" i="38"/>
  <c r="H30" i="32" s="1"/>
  <c r="C24" i="38"/>
  <c r="H31" i="32" s="1"/>
  <c r="C21" i="38"/>
  <c r="H28" i="32" s="1"/>
  <c r="C26" i="38"/>
  <c r="H33" i="32" s="1"/>
  <c r="B12" i="25" l="1"/>
  <c r="G23" i="32" s="1"/>
  <c r="A13" i="25"/>
  <c r="F24" i="32" s="1"/>
  <c r="A12" i="25"/>
  <c r="F23" i="32" s="1"/>
  <c r="A19" i="24"/>
  <c r="F15" i="32" s="1"/>
  <c r="A20" i="24"/>
  <c r="F16" i="32" s="1"/>
  <c r="A21" i="24"/>
  <c r="F17" i="32" s="1"/>
  <c r="A22" i="24"/>
  <c r="F18" i="32" s="1"/>
  <c r="A23" i="24"/>
  <c r="F19" i="32" s="1"/>
  <c r="A24" i="24"/>
  <c r="F20" i="32" s="1"/>
  <c r="A25" i="24"/>
  <c r="F21" i="32" s="1"/>
  <c r="A18" i="24"/>
  <c r="F14" i="32" s="1"/>
  <c r="B19" i="23"/>
  <c r="G12" i="32" s="1"/>
  <c r="B18" i="23"/>
  <c r="G11" i="32" s="1"/>
  <c r="A18" i="23"/>
  <c r="F11" i="32" s="1"/>
  <c r="A19" i="23"/>
  <c r="F12" i="32" s="1"/>
  <c r="A16" i="23"/>
  <c r="F9" i="32" s="1"/>
  <c r="A17" i="23"/>
  <c r="F10" i="32" s="1"/>
  <c r="A15" i="23"/>
  <c r="F8" i="32" s="1"/>
  <c r="B13" i="13"/>
  <c r="B12" i="13"/>
  <c r="A13" i="13"/>
  <c r="F6" i="32" s="1"/>
  <c r="A12" i="13"/>
  <c r="F5" i="32" s="1"/>
  <c r="C13" i="13" l="1"/>
  <c r="H6" i="32" s="1"/>
  <c r="C12" i="13"/>
  <c r="H5" i="32" s="1"/>
  <c r="B13" i="37"/>
  <c r="G63" i="32" s="1"/>
  <c r="B12" i="37"/>
  <c r="C12" i="37" l="1"/>
  <c r="H62" i="32" s="1"/>
  <c r="G62" i="32"/>
  <c r="C62" i="32" s="1"/>
  <c r="C13" i="37"/>
  <c r="H63" i="32" s="1"/>
  <c r="B15" i="31" l="1"/>
  <c r="G53" i="32" s="1"/>
  <c r="B14" i="31"/>
  <c r="G52" i="32" s="1"/>
  <c r="B13" i="31"/>
  <c r="B16" i="29"/>
  <c r="B13" i="28"/>
  <c r="G49" i="32" s="1"/>
  <c r="B12" i="28"/>
  <c r="G48" i="32" s="1"/>
  <c r="B13" i="27"/>
  <c r="B12" i="27"/>
  <c r="B13" i="26"/>
  <c r="B13" i="25"/>
  <c r="G24" i="32" s="1"/>
  <c r="B24" i="24"/>
  <c r="G20" i="32" s="1"/>
  <c r="B25" i="24"/>
  <c r="G21" i="32" s="1"/>
  <c r="B23" i="24"/>
  <c r="G19" i="32" s="1"/>
  <c r="B22" i="24"/>
  <c r="G18" i="32" s="1"/>
  <c r="B21" i="24"/>
  <c r="G17" i="32" s="1"/>
  <c r="B20" i="24"/>
  <c r="G16" i="32" s="1"/>
  <c r="B19" i="24"/>
  <c r="G15" i="32" s="1"/>
  <c r="B18" i="24"/>
  <c r="B17" i="23"/>
  <c r="G10" i="32" s="1"/>
  <c r="B16" i="23"/>
  <c r="G9" i="32" s="1"/>
  <c r="B15" i="23"/>
  <c r="C48" i="32" l="1"/>
  <c r="C12" i="27"/>
  <c r="G41" i="32"/>
  <c r="C41" i="32" s="1"/>
  <c r="C14" i="26"/>
  <c r="H42" i="32" s="1"/>
  <c r="C15" i="26"/>
  <c r="H43" i="32" s="1"/>
  <c r="C23" i="32"/>
  <c r="C12" i="25"/>
  <c r="H23" i="32" s="1"/>
  <c r="C18" i="23"/>
  <c r="H11" i="32" s="1"/>
  <c r="G55" i="32"/>
  <c r="C55" i="32" s="1"/>
  <c r="C17" i="29"/>
  <c r="C18" i="29"/>
  <c r="H57" i="32" s="1"/>
  <c r="C19" i="29"/>
  <c r="H58" i="32" s="1"/>
  <c r="C20" i="29"/>
  <c r="H59" i="32" s="1"/>
  <c r="C21" i="29"/>
  <c r="H60" i="32" s="1"/>
  <c r="C13" i="31"/>
  <c r="H51" i="32" s="1"/>
  <c r="C13" i="28"/>
  <c r="H49" i="32" s="1"/>
  <c r="C12" i="28"/>
  <c r="H48" i="32" s="1"/>
  <c r="C13" i="27"/>
  <c r="C13" i="26"/>
  <c r="H41" i="32" s="1"/>
  <c r="C13" i="25"/>
  <c r="H24" i="32" s="1"/>
  <c r="C16" i="23"/>
  <c r="H9" i="32" s="1"/>
  <c r="C14" i="31"/>
  <c r="H52" i="32" s="1"/>
  <c r="C15" i="31"/>
  <c r="H53" i="32" s="1"/>
  <c r="G51" i="32"/>
  <c r="C51" i="32" s="1"/>
  <c r="C16" i="29"/>
  <c r="G45" i="32"/>
  <c r="C21" i="24"/>
  <c r="H17" i="32" s="1"/>
  <c r="C25" i="24"/>
  <c r="H21" i="32" s="1"/>
  <c r="C22" i="24"/>
  <c r="H18" i="32" s="1"/>
  <c r="C18" i="24"/>
  <c r="H14" i="32" s="1"/>
  <c r="C19" i="24"/>
  <c r="H15" i="32" s="1"/>
  <c r="C23" i="24"/>
  <c r="H19" i="32" s="1"/>
  <c r="C20" i="24"/>
  <c r="H16" i="32" s="1"/>
  <c r="C24" i="24"/>
  <c r="H20" i="32" s="1"/>
  <c r="C17" i="23"/>
  <c r="H10" i="32" s="1"/>
  <c r="C19" i="23"/>
  <c r="H12" i="32" s="1"/>
  <c r="C15" i="23"/>
  <c r="H8" i="32" s="1"/>
  <c r="G8" i="32"/>
  <c r="C8" i="32" s="1"/>
  <c r="G14" i="32"/>
  <c r="G5" i="32"/>
  <c r="H56" i="32" l="1"/>
  <c r="H46" i="32"/>
  <c r="H55" i="32"/>
  <c r="H45" i="32"/>
  <c r="C45" i="32"/>
  <c r="C14" i="32"/>
  <c r="G6" i="32"/>
  <c r="G65" i="32" s="1"/>
  <c r="C5" i="32" l="1"/>
  <c r="C65" i="32" s="1"/>
  <c r="D23" i="32" s="1"/>
  <c r="B2" i="25" s="1"/>
  <c r="D48" i="32" l="1"/>
  <c r="B2" i="28" s="1"/>
  <c r="D55" i="32"/>
  <c r="B2" i="29" s="1"/>
  <c r="D62" i="32"/>
  <c r="B2" i="37" s="1"/>
  <c r="D14" i="32"/>
  <c r="B2" i="24" s="1"/>
  <c r="D45" i="32"/>
  <c r="B2" i="27" s="1"/>
  <c r="D8" i="32"/>
  <c r="B2" i="23" s="1"/>
  <c r="D26" i="32"/>
  <c r="B2" i="38" s="1"/>
  <c r="D51" i="32"/>
  <c r="D36" i="32"/>
  <c r="D41" i="32"/>
  <c r="B2" i="26" s="1"/>
  <c r="D5" i="32"/>
  <c r="B2" i="13" s="1"/>
  <c r="B2" i="39" l="1"/>
  <c r="D65" i="32"/>
  <c r="B2"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Autoevaluacion</author>
  </authors>
  <commentList>
    <comment ref="C2" authorId="0" shapeId="0" xr:uid="{00000000-0006-0000-0100-000001000000}">
      <text>
        <r>
          <rPr>
            <b/>
            <sz val="9"/>
            <color indexed="81"/>
            <rFont val="Tahoma"/>
            <family val="2"/>
          </rPr>
          <t xml:space="preserve">Describa brevemente el ¿Por qué?  de la ponderación del FACTOR
</t>
        </r>
      </text>
    </comment>
    <comment ref="D12" authorId="0" shapeId="0" xr:uid="{00000000-0006-0000-0100-000002000000}">
      <text>
        <r>
          <rPr>
            <b/>
            <sz val="9"/>
            <color indexed="81"/>
            <rFont val="Tahoma"/>
            <family val="2"/>
          </rPr>
          <t>Describa brevemente el ¿Por qué? de la ponderación de cada una de la CARACTERÍSTICAS</t>
        </r>
      </text>
    </comment>
    <comment ref="D13" authorId="0" shapeId="0" xr:uid="{00000000-0006-0000-0100-000003000000}">
      <text>
        <r>
          <rPr>
            <b/>
            <sz val="9"/>
            <color indexed="81"/>
            <rFont val="Tahoma"/>
            <family val="2"/>
          </rPr>
          <t>Describa brevemente el ¿Por qué? de la ponderación de cada una de la CARACTERÍSTICAS</t>
        </r>
      </text>
    </comment>
  </commentList>
</comments>
</file>

<file path=xl/sharedStrings.xml><?xml version="1.0" encoding="utf-8"?>
<sst xmlns="http://schemas.openxmlformats.org/spreadsheetml/2006/main" count="521" uniqueCount="287">
  <si>
    <t>Programa:</t>
  </si>
  <si>
    <t xml:space="preserve">Elija </t>
  </si>
  <si>
    <t>Nombre Director(a):</t>
  </si>
  <si>
    <t>Ir</t>
  </si>
  <si>
    <t>Sede:</t>
  </si>
  <si>
    <t xml:space="preserve">Nombre </t>
  </si>
  <si>
    <t>Cargo</t>
  </si>
  <si>
    <t xml:space="preserve">Participantes: </t>
  </si>
  <si>
    <t>P1</t>
  </si>
  <si>
    <t>P2</t>
  </si>
  <si>
    <t>P3</t>
  </si>
  <si>
    <t>P4</t>
  </si>
  <si>
    <t>P5</t>
  </si>
  <si>
    <t>P6</t>
  </si>
  <si>
    <t>P7</t>
  </si>
  <si>
    <t>P8</t>
  </si>
  <si>
    <t>P9</t>
  </si>
  <si>
    <t>P10</t>
  </si>
  <si>
    <t>P11</t>
  </si>
  <si>
    <t>P12</t>
  </si>
  <si>
    <t xml:space="preserve">Fecha de elaboración: </t>
  </si>
  <si>
    <t>DD</t>
  </si>
  <si>
    <t>MM</t>
  </si>
  <si>
    <t>AAAA</t>
  </si>
  <si>
    <t xml:space="preserve">Periodo: </t>
  </si>
  <si>
    <t>Factor</t>
  </si>
  <si>
    <t>%</t>
  </si>
  <si>
    <t>Justificación</t>
  </si>
  <si>
    <t>F1. PROYECTO EDUCATIVO DEL PROGRAMA E IDENTIDAD INSTITUCIONAL</t>
  </si>
  <si>
    <t>NIVEL DE IMPORTANCIA DE LA CARACTERÍSTICA</t>
  </si>
  <si>
    <t>Característica</t>
  </si>
  <si>
    <t>1.  Proyecto educativo  del programa</t>
  </si>
  <si>
    <t>2. Relevancia académica y pertinencia social del programa académico</t>
  </si>
  <si>
    <t>NIV</t>
  </si>
  <si>
    <t>F2. ESTUDIANTES</t>
  </si>
  <si>
    <t>3. Participación en actividades de formación integral</t>
  </si>
  <si>
    <t>4. Orientación y seguimiento a estudiantes</t>
  </si>
  <si>
    <t>5. Capacidad de trabajo autónomo</t>
  </si>
  <si>
    <t>6. Reglamento estudiantil y política académica</t>
  </si>
  <si>
    <t>7. Estímulos y apoyos para estudiantes</t>
  </si>
  <si>
    <t>F3. PROFESORES</t>
  </si>
  <si>
    <t>8. Selección, vinculación y permanencia</t>
  </si>
  <si>
    <t xml:space="preserve">9. Estatuto profesoral </t>
  </si>
  <si>
    <t>10. Número, dedicación, nivel de formación y experiencia de los profesores</t>
  </si>
  <si>
    <t xml:space="preserve">11. Desarrollo profesoral </t>
  </si>
  <si>
    <t>12. Estímulos a la trayectoria profesoral</t>
  </si>
  <si>
    <t xml:space="preserve">13. Producción, pertinencia, utilización e impacto de material docente </t>
  </si>
  <si>
    <t>14. Remuneración por méritos</t>
  </si>
  <si>
    <t xml:space="preserve">15. Evaluación de profesores </t>
  </si>
  <si>
    <t>F4. EGRESADOS</t>
  </si>
  <si>
    <t>16. Seguimiento a los egresados</t>
  </si>
  <si>
    <t>17. Impacto de los egresados en el medio social y académico</t>
  </si>
  <si>
    <t>F5. ASPECTOS ACADÉMICOS Y RESULTADOS DE APRENDIZAJE</t>
  </si>
  <si>
    <t>18. Integralidad de los aspectos currículares</t>
  </si>
  <si>
    <t>19. Flexibilidad de los aspectos currículares</t>
  </si>
  <si>
    <t xml:space="preserve">20. Interdisciplinariedad </t>
  </si>
  <si>
    <t>21. Estrategias Pedagógicas</t>
  </si>
  <si>
    <t>22. Sistema de evaluación de estudiantes</t>
  </si>
  <si>
    <t>23. Resultados de aprendizaje</t>
  </si>
  <si>
    <t>24. Competencias</t>
  </si>
  <si>
    <t xml:space="preserve">25. Evaluación y autoregulación del programa académico </t>
  </si>
  <si>
    <t>26. Vinculación e interacción social</t>
  </si>
  <si>
    <t>F6. PERMANENCIA Y GRADUACIÓN</t>
  </si>
  <si>
    <t>27. Políticas estrategias y estructura para la permanencia y graduación</t>
  </si>
  <si>
    <t>28. Caracterización de estudiantes y sistema de alertas tempranas</t>
  </si>
  <si>
    <t xml:space="preserve">29. Ajustes a los aspectos curriculares </t>
  </si>
  <si>
    <t>30. Mecanismos de Selección</t>
  </si>
  <si>
    <t>F7. INTERACCIÓN CON EL ENTORNO NACIONAL E INTERNACIONAL</t>
  </si>
  <si>
    <t>31. Inserción del programa en contextos académicos nacionales e internacionales</t>
  </si>
  <si>
    <t>32.  Relaciones externas de profesores y estudiantes</t>
  </si>
  <si>
    <t>33. Habilidades comunicativas en segunda lengua</t>
  </si>
  <si>
    <t>F8. APORTES EN LA INVESTIGACIÓN, LA INNOVACIÓN, EL DESARROLLO TECNOLÓGICO Y LA CREACIÓN, ASOCIADOS AL PROGRAMA ACDÉMICO</t>
  </si>
  <si>
    <t>34. Formación para la investigación, desarrollo tecnológico, la innovación y la creación</t>
  </si>
  <si>
    <t>35. Compromiso con la investigación, desarrollo tecnológico, la innovación y la creación</t>
  </si>
  <si>
    <t>29. Formación para la investigación, la innovación y la creación artística y cultural</t>
  </si>
  <si>
    <t>30. Compromiso con la investigación, la innovación y la creación artística y cultural</t>
  </si>
  <si>
    <t>F9. BIENESTAR DE LA COMUNIDAD ACADÉMICA DEL PROGRAMA</t>
  </si>
  <si>
    <t>36. Programas y servicios</t>
  </si>
  <si>
    <t>37. Participación y seguimiento</t>
  </si>
  <si>
    <t>F10. MEDIOS EDUCATIVOS Y AMBIENTES DE APRENDIZAJE</t>
  </si>
  <si>
    <t>38. Estrategias y recursos de apoyo a profesores</t>
  </si>
  <si>
    <t>39. Estrategias y recursos de apoyo a estudiantes</t>
  </si>
  <si>
    <t>40. Recursos bibliográficos y de información</t>
  </si>
  <si>
    <t>F11. ORGANIZACIÓN, ADMINISTRACIÓN Y FINANCIACIÓN DEL PROGRAMA ACADÉMICO</t>
  </si>
  <si>
    <t>41. Organización y administración</t>
  </si>
  <si>
    <t>42. Dirección y gestión</t>
  </si>
  <si>
    <t>43. Sistemas de comunicación e información</t>
  </si>
  <si>
    <t>44. Estudiantes y capacidad institucional</t>
  </si>
  <si>
    <t>45. Financiación del programa académico</t>
  </si>
  <si>
    <t>46. Aseguramiento de la alta calidad y la mejora continua</t>
  </si>
  <si>
    <t>F12. RECURSOS FÍSICOS Y TECNOLÓGICOS</t>
  </si>
  <si>
    <t>47. Recursos de infraestructura física y tecnológica</t>
  </si>
  <si>
    <t>48. Recursos informáticos y de comunicación</t>
  </si>
  <si>
    <t xml:space="preserve">PONDERACIÓN </t>
  </si>
  <si>
    <t xml:space="preserve">Factor </t>
  </si>
  <si>
    <t>Peso</t>
  </si>
  <si>
    <t>Peso Fac.</t>
  </si>
  <si>
    <t>Calificación</t>
  </si>
  <si>
    <t>Peso Car.</t>
  </si>
  <si>
    <t xml:space="preserve">Característica  </t>
  </si>
  <si>
    <t xml:space="preserve">NOMBRE </t>
  </si>
  <si>
    <t xml:space="preserve">DESCRIPCIÓN </t>
  </si>
  <si>
    <t>ASPECTOS A EVALUAR</t>
  </si>
  <si>
    <t>Administración de Empresas Agropecuarias</t>
  </si>
  <si>
    <t>Enero</t>
  </si>
  <si>
    <t>I</t>
  </si>
  <si>
    <t>Popayán</t>
  </si>
  <si>
    <t>Administración de Empresas</t>
  </si>
  <si>
    <t>Febrero</t>
  </si>
  <si>
    <t>II</t>
  </si>
  <si>
    <t>Santander de Quilichao</t>
  </si>
  <si>
    <t>Arquitectura</t>
  </si>
  <si>
    <t>Marzo</t>
  </si>
  <si>
    <t>Comunicación Social</t>
  </si>
  <si>
    <t>Abril</t>
  </si>
  <si>
    <t>Contaduría Pública</t>
  </si>
  <si>
    <t>Mayo</t>
  </si>
  <si>
    <t>Derecho</t>
  </si>
  <si>
    <t>Junio</t>
  </si>
  <si>
    <t>Ecología</t>
  </si>
  <si>
    <t>Julio</t>
  </si>
  <si>
    <t>Ingeniería Agroecológica</t>
  </si>
  <si>
    <t>Agosto</t>
  </si>
  <si>
    <t>Ingeniería de Sistemas</t>
  </si>
  <si>
    <t>Septiembre</t>
  </si>
  <si>
    <t>Ingeniería Industrial</t>
  </si>
  <si>
    <t>Octubre</t>
  </si>
  <si>
    <t>Licenciatura en Educación Artística y Cultural</t>
  </si>
  <si>
    <t>Noviembre</t>
  </si>
  <si>
    <t>Psicología</t>
  </si>
  <si>
    <t>Diciembre</t>
  </si>
  <si>
    <t>Trabajo Social</t>
  </si>
  <si>
    <t>Comunicación Social - Virtual</t>
  </si>
  <si>
    <t>Esp. Data Analytics para Marketing Digital</t>
  </si>
  <si>
    <t>Esp. Derecho Procesal</t>
  </si>
  <si>
    <t>Esp. Comunicación para el desarrollo territorial</t>
  </si>
  <si>
    <t>Esp. en Gerencia de Agronegocios Sostenibles</t>
  </si>
  <si>
    <t>Esp. Derecho Constitucional</t>
  </si>
  <si>
    <t>Esp. en Gerencia Social</t>
  </si>
  <si>
    <t xml:space="preserve">Esp. Gerencia del Talento Humano </t>
  </si>
  <si>
    <t>#</t>
  </si>
  <si>
    <t xml:space="preserve">Descripción </t>
  </si>
  <si>
    <t>Aspectos a Evaluar</t>
  </si>
  <si>
    <t>1. PROYECTO EDUCATIVO DEL PROGRAMA</t>
  </si>
  <si>
    <t>"Para el programa académico se ha definido un proyecto educativo que es coherente con la misión y la identidad
institucional, así como con los campos de acción de las profesiones o disciplinas, y que orienta el desarrollo de labores
formativas, académicas, docentes, científicas y culturales. Según el nivel de formación y modalidad, el proyecto educativo del programa define claramente los objetivos de formación y los resultados de aprendizaje contemplados en los aspectos curriculares, las políticas y estrategias de planeación y evaluación curricular, y la propuesta de mejoramiento continuo en el marco del sistema interno de aseguramiento de la calidad. Los documentos en los cuales se desarrolla el proyecto educativo del programa o lo que haga sus veces deben ser de conocimiento público”.
En el caso de los programas académicos del área de la salud, además, se tendrá en cuenta la relación y coherencia que debe existir entre la institución de educación superior y los escenarios de práctica donde se realizan las prácticas
formativas.</t>
  </si>
  <si>
    <t xml:space="preserve">1) Demostrar coherencia del Proyecto Educativo del Programa (PEP) o el que haga sus veces, con los lineamientos y políticas institucionales, así como en la definición de objetivos de formación y resultados de aprendizaje y la manera cómo el PEP ha ido mejorando, como resultado de los procesos de aseguramiento de la calidad, la consolidación de la identidad institucional y la relación que mantiene con la comunidad y sus grupos de interés. </t>
  </si>
  <si>
    <t>2. RELEVANCIA ACADÉMICA Y PERTINENCIA SOCIAL DEL PROGRAMA ACADÉMICO</t>
  </si>
  <si>
    <t>De acuerdo con el nivel de formación en el que se oferta, el programa académico responde a necesidades locales,
regionales, nacionales o internacionales previamente definidas y sustentadas, independientemente de la(s) modalidad(es) en la(s) que se oferta”.</t>
  </si>
  <si>
    <t>1) Análisis sobre las tendencias, necesidades y líneas de desarrollo de la disciplina o profesión, en el contexto regional, nacional e internacional.
2) Estudio de la pertinencia social del programa desde la perspectiva de la comunidad académica y de sus grupos de interés con el fin de identificar necesidades y requerimientos del entorno local, regional o nacional en términos productivos y de competitividad, tecnológicos, culturales, científicos y de talento humano.
3) Evidencia de las transformaciones sociales pertinentes para el contexto y el territorio en el que se ofrece el programa académico, y del entorno tanto nacional como internacional.</t>
  </si>
  <si>
    <t>3.PARTICIPACIÓN EN ACTIVIDADES DE
FORMACIÓN INTEGRAL</t>
  </si>
  <si>
    <t>Se demuestra la participación de los estudiantes en actividades de investigación, desarrollo tecnológico, innovación,
creación artística y cultural, y deportivas, así como en proyectos de desarrollo empresarial, relacionamiento nacional e
internacional y en otras acciones de formación complementaria, en un ambiente propicio para la formación integral, de
acuerdo con el nivel deformación y la modalidad del programa académico</t>
  </si>
  <si>
    <t>1) Apreciación de los estudiantes en relación con su participación en las actividades de investigación, desarrollo tecnológico, creación artística, culturales, deportivas y de extensión, que contribuyen a su formación integral, junto con las acciones emprendidas como resultado de dichas apreciaciones.
2) Resultados del análisis de la participación y principales logros de los estudiantes en actividades de investigación, desarrollo tecnológico, innovación, creación artística, culturales y deportivas y de extensión.
3) Resultados del análisis de la participación y principales logros de los estudiantes en proyectos de desarrollo empresarial, relacionamiento nacional e internacional.
4) Resultados del análisis de la participación y principales logros de los estudiantes en otras acciones de formación complementaria, que promuevan la comprensión de la realidad social, la empatía, la ética, habilidades blandas, así como el relacionamiento con otras culturas y lenguas, de acuerdo con el nivel de formación y la modalidad del programa.
6) Apreciación de los estudiantes y profesores sobre las actividades de formación integral.</t>
  </si>
  <si>
    <t>4. ORIENTACIÓN Y SEGUIMIENTO A ESTUDIANTES</t>
  </si>
  <si>
    <t>El programa académico demuestra procesos de orientación y seguimiento académico a sus estudiantes, con impacto
evidente en su formación de acuerdo con la caracterización realizada en el momento del ingreso</t>
  </si>
  <si>
    <t>1)  Evidencia de los efectos en la formación de los estudiantes, a partir de los procesos de orientación y seguimiento de los estudiantes, teniendo como referencia sus características de ingreso.</t>
  </si>
  <si>
    <t>5. CAPACIDAD DE TRABAJO AUTÓNOMO</t>
  </si>
  <si>
    <t>Los estudiantes evidencian habilidades y destrezas para el trabajo autónomo que el programa académico reconoce,
evalúa, fomenta y desarrolla en el proceso de aprendizaje. La Institución genera los medios, espacios y ambientes
necesarios para promover el trabajo autónomo; promueve estrategias de seguimiento y desarrolla actividades de
mejoramiento de estas</t>
  </si>
  <si>
    <t>1) Evidencia de los resultados de las estrategias de seguimiento y evaluación de los resultados de aprendizaje en el desarrollo de capacidades para el del trabajo autónomo del estudiante.</t>
  </si>
  <si>
    <t>6. REGLAMENTO ESTUDIANTIL Y POLÍTICA ACADÉMICA</t>
  </si>
  <si>
    <t>La institución demuestra la divulgación, aplicación y actualización de los reglamentos estudiantiles y las políticas
académicas aprobados, en los que se definen, entre otros aspectos, los deberes y derechos, el régimen disciplinario, la participación de la comunidad académica en la toma de decisiones y las condiciones y exigencias académicas de
permanencia y graduación, de acuerdo con el nivel de formación y la modalidad del programa académico</t>
  </si>
  <si>
    <t>1) Apreciación de estudiantes y profesores del programa sobre la pertinencia, vigencia y aplicación del reglamento estudiantil y las políticas académicas y, sobre las estrategias de divulgación de dicha reglamentación, junto con las acciones emprendidas como resultado de dichas apreciaciones.
2) Evidencia de los mecanismos para la aplicación, actualización y divulgación del reglamento estudiantil.</t>
  </si>
  <si>
    <t>7. ESTÍMULOS Y APOYOS PARA ESTUDIANTES</t>
  </si>
  <si>
    <t>La institución demuestra la aplicación de un estatuto que promueve la trayectoria profesoral, la inclusión, el
reconocimiento de los méritos y el ascenso en el escalafón, de acuerdo con el nivel de formación y modalidad del
programa académico</t>
  </si>
  <si>
    <t>1) Evidencia de los beneficios generados por el otorgamiento de estímulos académicos y apoyos socioeconómicos a los estudiantes.
2) Apreciación de los estudiantes del programa frente a la aplicación de los estímulos académicos y apoyos socioeconómicos, y el cumplimiento institucional de estas medidas, junto con las acciones emprendidas como resultado de dichas apreciaciones.</t>
  </si>
  <si>
    <t>8. SELECCIÓN, VINCULACIÓN Y PERMANENCIA</t>
  </si>
  <si>
    <t>La institución demuestra la aplicación transparente y eficaz de los criterios establecidos para la selección, vinculación y permanencia de profesores, de acuerdo con el nivel de formación y modalidad del programa académico</t>
  </si>
  <si>
    <t>1) Evidencia de la aplicación de los procesos de selección, vinculación y permanencia de los profesores, en coherencia con el nivel de formación, modalidad del programa académico y lugar de desarrollo.
2) Apreciación de los profesores sobre la aplicación, pertinencia y vigencia de las políticas, normas y criterios académicos establecidos por la institución para su selección, vinculación y permanencia, junto con las acciones emprendidas como resultado de dichas apreciaciones.</t>
  </si>
  <si>
    <t>9. ESTATUTO PROFESORAL</t>
  </si>
  <si>
    <t>La institución demuestra la aplicación de un estatuto que promueve la trayectoria profesoral, la inclusión, el reconocimiento de los méritos y el ascenso en el escalafón, de acuerdo con el nivel de formación y modalidad del programa académico.</t>
  </si>
  <si>
    <t>1) Evidencia que demuestren los resultados de la aplicación del estatuto profesoral, o el que haga sus veces, sobre la trayectoria profesoral, la inclusión, el reconocimiento de méritos y el ascenso en el escalafón, de acuerdo con el nivel de formación y la modalidad del programa.
2) Resultados en el mejoramiento de la calidad del programa, a partir de la aplicación de un estatuto que promueve la trayectoria profesoral, la inclusión, el reconocimiento de los méritos y el ascenso en el escalafón.
3) Apreciación de los profesores sobre la aplicación y pertinencia del estatuto profesoral y de las políticas que establecen distinciones, estímulos que promueven la trayectoria profesoral, junto con las acciones emprendidas como resultado de dichas apreciaciones.</t>
  </si>
  <si>
    <t>10. . NÚMERO, DEDICACIÓN, NIVEL DE
FORMACIÓN Y EXPERIENCIA</t>
  </si>
  <si>
    <t>"El programa académico cuenta con un número de profesores con la dedicación, nivel de formación y experiencia requeridos para el desarrollo de las labores formativas, académicas, docentes, científicas, culturales y de extensión, con el fin de atenderla totalidad de los estudiantes matriculados, de acuerdo con el nivel de formación y modalidad del programa académico, directamente o a través de la facultad, escuela o departamento respectivo.</t>
  </si>
  <si>
    <t>1) Evidencia de la coherencia entre el número, dedicación, nivel de formación y experiencia de los profesores de tiempo completo, con el número de estudiantes, nivel de formación y modalidad del programa académico.
2) Evidencia de la existencia de un núcleo básico de profesores de tiempo completo, preferiblemente con contratación a término indefinido, y su relación con la formación de la comunidad académica del programa y el cumplimiento con alta calidad de las funciones esenciales del programa.
3) Evidencia de la vinculación de una planta profesoral pertinente con el área disciplinar del programa con título de especialistas, magísteres y/o doctores con experiencia o formación pedagógica y profesional certificada, que garantice el logro de los resultados de aprendizaje de los estudiantes y el cumplimiento de las funciones asignadas en condiciones de calidad, atendiendo a estándares internacionales, en coherencia con el nivel de formación y modalidad del programa.</t>
  </si>
  <si>
    <t>11. DESARROLLO PROFESORAL</t>
  </si>
  <si>
    <t>En relación con las políticas de la institución, las necesidades y los objetivos de formación del programa académico, se demuestran los resultados del desarrollo profesoral, de acuerdo con el nivel de formación y la modalidad del programa académico. El desarrollo profesoral atiende a la diversidad de los estudiantes, a las modalidades de la docencia y a los requerimientos de internacionalización y de inter y multiculturalidad de profesores y estudiantes</t>
  </si>
  <si>
    <t>1) Análisis de los resultados de la aplicación de políticas y estrategias institucionales en materia de desarrollo integral del profesorado, que incluya la capacitación y la actualización en los aspectos académicos, profesionales y pedagógicos relacionados con la naturaleza, nivel de formación y modalidad del programa.
2) Evidencia de cómo el desarrollo profesoral atiende a la diversidad de los estudiantes, a las modalidades de la docencia y a los requerimientos de internacionalización y de inter y multiculturalidad de profesores y estudiantes.
3) Apreciación de directivos y profesores del programa sobre los resultados que han tenido las acciones orientadas al desarrollo integral de los profesores, en el mejoramiento de las competencias pedagógicas, científicas y sociales para el sostenimiento de las funciones misionales, junto con las acciones emprendidas como resultado de dichas apreciaciones.</t>
  </si>
  <si>
    <t>12. ESTÍMULOS A LA TRAYECTORIA PROFESORAL</t>
  </si>
  <si>
    <t>La institución y el programa académico demuestran la divulgación, aplicación y actualización de criterios académicos en un régimen de estímulos que reconoce y favorece el ejercicio calificado de las labores formativas, académicas, docentes, científicas y culturales</t>
  </si>
  <si>
    <t>1) Evidencia de los efectos generados en el desempeño de las labores de docencia, investigación y extensión con el otorgamiento de estímulos a los profesores.
2) Apreciación de directivos y profesores del programa, sobre el efecto que ha tenido el régimen de estímulos al profesorado en el ejercicio cualificado de la docencia, la investigación, la innovación, la creación artística y cultural, la extensión o proyección social, en los aportes al desarrollo técnico y tecnológico y la cooperación internacional, junto con las acciones emprendidas como resultado de dichas apreciaciones.</t>
  </si>
  <si>
    <t>13. PRODUCCIÓN, PERTINENCIA, UTILIZACIÓN E
IMPACTO DE MATERIAL DOCENTE</t>
  </si>
  <si>
    <t>"Los profesores producen materiales propios del nivel de formación para el desarrollo de las diversas actividades académicas, que soportan los ambientes de aprendizaje y que se evalúan periódicamente con base en criterios y mecanismos académicos previamente definidos, de acuerdo con el nivel de formación y la modalidad del programa académico</t>
  </si>
  <si>
    <t>1) Evidencia de la efectividad de los criterios de evaluación del material producido por los profesores en la calidad de los aprendizajes de los estudiantes, de acuerdo con el nivel de formación y modalidad del programa académico.
2) Apreciación de los estudiantes y directivos del programa sobre la pertinencia y calidad del material académico producido, de acuerdo con el nivel de formación y la modalidad del programa, junto con las acciones emprendidas como resultado de dichas apreciaciones.
3) Presentación de los resultados de evaluación de los materiales académicos producidos por los profesores para el desarrollo de las diversas actividades académicas, que soportan los ambientes de aprendizaje, de acuerdo con el nivel de formación y modalidad.</t>
  </si>
  <si>
    <t>14. . REMUNERACIÓN POR MÉRITOS</t>
  </si>
  <si>
    <t>La remuneración que reciben los profesores está de acuerdo con sus méritos académicos y profesionales, el aporte en el desarrollo de los componentes formativos, pedagógicos y de evaluación, la interacción y relevancia social, el nivel de formación y la modalidad del programa académico</t>
  </si>
  <si>
    <t>1) La remuneración que reciben los profesores está de acuerdo con sus méritos académicos y profesionales, el aporte en el desarrollo de los componentes formativos, pedagógicos y de evaluación, la interacción y relevancia social, el nivel de formación y la modalidad del programa académico.</t>
  </si>
  <si>
    <t>15.  EVALUACIÓN DE PROFESORES</t>
  </si>
  <si>
    <t>El programa académico demuestra procesos periódicos y permanentes de evaluación integral de los profesores, con alcance a las distintas actividades y desempeños en las labores formativas, académicas, docentes, científicas, culturales y de extensión. Dichos procesos son establecidos, difundidos y conocidos previamente, e involucran e integran las labores formativas, académicas y todas las demás incorporadas en el proyecto educativo del programa académico, teniendo en cuenta el nivel de formación y la modalidad de este</t>
  </si>
  <si>
    <t>1) Apreciación de los profesores, directivos y estudiantes sobre los criterios y mecanismos para la evaluación de los profesores; su transparencia, equidad y eficacia y; su coherencia con la naturaleza de la institución, el nivel de formación y la modalidad del programa, junto con las acciones emprendidas como resultado de dichas apreciaciones.
2) Demostración del mejoramiento continuo del programa, a partir de las evaluaciones permanentes realizadas a los profesores, en coherencia con el nivel de formación y modalidad.</t>
  </si>
  <si>
    <t>16. SEGUIMIENTO DE LOS EGRESADOS</t>
  </si>
  <si>
    <t>El programa académico deberá demostrar que realiza seguimiento a la ubicación del sector y a las actividades que desarrollan sus egresados, en términos de los resultados de aprendizaje y de manera coherente con los fines de la institución y del programa académico</t>
  </si>
  <si>
    <t>1) Resultado de los estudios sistémicos aplicados sobre el desarrollo profesional y laboral de los egresados, el alcance de las competencias adquiridas, la correspondencia entre el desempeño de los egresados y el perfil de egreso o resultados de aprendizaje del programa.
2) Apreciación de los egresados en relación con el perfil de formación, las competencias adquiridas y las posibilidades que les ha ofrecido su formación para su desarrollo profesional y laboral, junto con las acciones emprendidas como resultado de dichas apreciaciones.</t>
  </si>
  <si>
    <t>17. IMPACTO DE LOS EGRESADOS EN EL MEDIO
SOCIAL Y ACADÉMICO</t>
  </si>
  <si>
    <t>El programa académico deberá demostrar el reconocimiento de la alta calidad de la formación recibida, el desempeño destacado y el aporte de los egresados a la solución de los problemas económicos, ambientales, tecnológicos, sociales y culturales, a través del ejercicio de la disciplina, profesión, ocupación u oficio correspondiente, de acuerdo con el nivel de
formación y modalidad del programa académico</t>
  </si>
  <si>
    <t>1) Evidencia del impacto de los egresados en el medio social y académico, científico y cultural, como un mecanismo para establecer los aportes del programa a la solución de problemas de la sociedad y/o la creación e innovación de conocimiento.
2) Apreciación de empleadores sobre el desempeño destacado de los egresados y su aporte en la solución de los problemas académicos, ambientales, tecnológicos, sociales y culturales, junto con las acciones emprendidas como resultado de dichas apreciaciones.</t>
  </si>
  <si>
    <t>18. INTEGRALIDAD DE LOS ASPECTOS
CURRICULARES</t>
  </si>
  <si>
    <t>El programa académico deberá demostrar que los aspectos curriculares contribuyen a la formación en valores, actitudes, aptitudes, conocimientos, métodos, capacidades y habilidades, de acuerdo con el estado del arte y con el ejercicio de la disciplina, profesión, ocupación u oficio, y que busca la formación integral del estudiante en coherencia con la misión institucional y los objetivos propios del programa académico. El desempeño de los estudiantes se hace evidente a través del logro de los resultados de aprendizaje previamente definidos, que responden a las competencias necesarias para habilitarlo en el desempeño laboral</t>
  </si>
  <si>
    <t>1) Resultados de la aplicación de ejercicios continuos de evaluación de la integralidad del currículo que conduzcan a la realización de ajustes y mejoras que impactan a la formación en valores, actitudes, aptitudes, conocimientos, métodos, capacidades y habilidades, de acuerdo con el estado del arte y con el ejercicio de la disciplina, profesión, ocupación u oficio, y que busca la formación integral del estudiante en coherencia con la misión institucional y los objetivos propios del programa académico.
2) Evaluación de las estrategias y acciones del programa para el mejoramiento de las competencias definidas por el programa.</t>
  </si>
  <si>
    <t>19. FLEXIBILIDAD DE LOS ASPECTOS
CURRICULARES</t>
  </si>
  <si>
    <t>El programa académico deberá demostrar que los aspectos curriculares son flexibles y pertinentes, y que se mantienen actualizados para facilitar la movilidad de los estudiantes, a través de rutas de formación que ellos mismos construyen, a partir de su propia trayectoria y de sus intereses y aspiraciones. Dichas rutas pueden ser transitadas dentro de la misma
oferta institucional o fuera de ella, en el ámbito nacional e internacional. Todas las actividades que son incorporadas a las rutas de aprendizaje contribuyen ampliamente a la formación integral, y promueven la interdisciplinariedad</t>
  </si>
  <si>
    <t>1) Evidencia de procesos de flexibilización como, doble titulación; articulación pregrado-posgrado; reconocimiento de créditos, homologación y oferta de cursos electivos en distintas modalidades y lugares de desarrollo entre otros, que permiten al estudiante interactuar con otros programas a nivel institucional, nacional e internacional.
2) Apreciación de estudiantes, profesores y egresados sobre las rutas de formación alternativas y adoptadas por los estudiantes a partir de sus necesidades e intereses, derivadas de las estrategias de flexibilidad curricular definidas por la institución, junto con las acciones emprendidas como resultado de dichas apreciaciones.</t>
  </si>
  <si>
    <t>20. INTERDISCIPLINARIEDAD</t>
  </si>
  <si>
    <t>El programa académico deberá demostrar aspectos curriculares que promuevan y estimulen la interdisciplinariedad a través de la interacción con otras disciplinas. Por lo tanto, diseña estrategias y las implementa, y permite al estudiante cursarlas sin que el tiempo de permanencia se vea afectado”</t>
  </si>
  <si>
    <t>1) Evidencia de la implementación de las estrategias que promueven y estimulan la interdisciplinariedad curricular del programa, y el resultado de su aplicación en las diferentes rutas formativas seguidas por los estudiantes.
2) Apreciación de los estudiantes y profesores frente a los mecanismos y criterios dispuestos por la institución para la interdisciplinariedad curricular del programa, los resultados de su a análisis y la evidencia de los logros en el mejoramiento en la calidad del programa.</t>
  </si>
  <si>
    <t>21. ESTRATEGIAS PEDAGÓGICAS</t>
  </si>
  <si>
    <t>El programa académico deberá demostrar coherencia entre las estrategias pedagógicas utilizadas, el nivel de formación y la modalidad del programa académico. Las estrategias pedagógicas deberán ser diseñadas de acuerdo con los resultados de aprendizaje previstos y atendiendo a los aportes de la investigación pedagógica y de los procesos de actualización de
los profesores. En el caso de los programas académicos del área de la salud, a través de los convenios docencia–servicio, se deberán demostrar estrategias de enseñanza-aprendizaje en escenarios de práctica idóneos y suficientes que soporten esta formación</t>
  </si>
  <si>
    <t>1) Apreciación de profesores y estudiantes sobre la coherencia de las estrategias pedagógicas utilizadas que facilitan el logro de los resultados de aprendizaje esperados, incluyendo los escenarios de práctica para los programas que lo requieren, valorando la calidad, la pertinencia, el acompañamiento y el cumplimiento de la normatividad específica para su desarrollo, junto con las acciones emprendidas como resultado de dichas apreciaciones.
2) Evidencia de la evaluación y el mejoramiento de las estrategias y prácticas pedagógicas, a partir de los aportes de la investigación pedagógica y de los procesos de actualización de los profesores</t>
  </si>
  <si>
    <t>22. SISTEMA DE EVALUACIÓN DE ESTUDIANTES</t>
  </si>
  <si>
    <t>El programa académico deberá demostrar que utiliza un sistema de evaluación de estudiantes basado en políticas y normas claras, universales y transparentes. Dicho sistema debe valorar periódicamente, o de manera formativa y permanente, el logro de los resultados de aprendizaje, de las actitudes, de los conocimientos, de las capacidades y de las habilidades adquiridas, según los aspectos curriculares, y debe ser aplicado de acuerdo con el nivel de formación y la modalidad. Los sistemas de evaluación integran la innovación para generar transformaciones profundas en el aprendizaje
y acogen dinámicas en referencia a cambios en el conocimiento</t>
  </si>
  <si>
    <t>1) Apreciación de profesores y estudiantes sobre los sistemas de evaluación de los resultados de aprendizaje que desarrolla o implementa el programa, junto con las acciones emprendidas como resultado de dichas apreciaciones.
2) Evidencia de los resultados obtenidos a partir de la implementación de los sistemas de evaluación de estudiantes basado en políticas y normas claras, universales y transparentes.
3) Evidencia de sistemas de evaluación que integran la innovación para generar transformaciones profundas en el aprendizaje, y que acogen dinámicas en referencia a cambios en el conocimiento.</t>
  </si>
  <si>
    <t>23. RESULTADOS DE APRENDIZAJE</t>
  </si>
  <si>
    <t>"El programa académico deberá demostrar la existencia de un proceso de mejoramiento continuo, en el cual se evalúa, de manera periódica, y en diferentes momentos a lo largo del plan de estudios, el grado en que los estudiantes alcanzan los resultados de aprendizaje y, con base en dicha evaluación, se toman acciones de ajuste a los aspectos curriculares y a las
metodologías de enseñanza-aprendizaje</t>
  </si>
  <si>
    <t>1) Evidencia de la aplicación de una política institucional que establezca parámetros para la formulación, evaluación y mejora continua de los resultados de aprendizaje establecidos en el programa, en alineación con el perfil de formación y acorde con el nivel y la modalidad de formación.
2) Evidencia del proceso de mejoramiento continuo relacionado con la evaluación entre los resultados de aprendizaje esperados y los alcanzados por los estudiantes, el sistema de evaluación de estudiantes y las acciones de ajuste de los aspectos curriculares y las metodologías de enseñanza - aprendizaje derivadas de dicha evaluación.</t>
  </si>
  <si>
    <t>24. COMPETENCIAS</t>
  </si>
  <si>
    <t>El programa académico de alta calidad realiza una definición explícita de las competencias que pretende desarrollar en sus estudiantes y demuestra coherencia entre las competencias definidas y el nivel de formación, resultados de aprendizaje definidos y demás aspectos curriculares</t>
  </si>
  <si>
    <t>1) Evidencia del resultado de la aplicación de estrategias para el desarrollo de las competencias previstas acordes con el perfil de formación del programa.</t>
  </si>
  <si>
    <t>25. EVALUACIÓN Y AUTORREGULACIÓN DEL
PROGRAMA ACADÉMICO</t>
  </si>
  <si>
    <t>El programa académico deberá demostrar la existencia de una cultura de la alta calidad que aplique criterios y procedimientos claros para la evaluación permanente de los objetivos, procesos y logros del programa académico, en un ambiente de mejoramiento continuo y de innovación en el cual se evalúan de manera periódica, entre otros, el grado en el que los estudiantes alcanzan los resultados de aprendizaje y la pertinencia de sus contenidos con relación al contexto en el que se desarrolla</t>
  </si>
  <si>
    <t>1) Evidencia del cumplimiento de planes de mejoramiento y de innovación producto del proceso de autoevaluación del programa.
2) Apreciación de los profesores y estudiantes sobre la calidad y pertinencia del proceso de evaluación y autorregulación del programa, junto con las acciones emprendidas como resultado de dichas apreciaciones.</t>
  </si>
  <si>
    <t>26. VINCULACIÓN E INTERACCIÓN SOCIAL</t>
  </si>
  <si>
    <t>El programa académico deberá demostrar el impacto de las estrategias o mecanismos y/o actividades de interacción social que, desde los aspectos curriculares, establecen su vinculación con la sociedad</t>
  </si>
  <si>
    <t>1)  Evidencia de la participación de los profesores y estudiantes en la proyección social del programa.
2) Evidencia del efecto de las estrategias y acciones de proyección social como un mecanismo para establecer los aportes del programa a la solución de problemas de la sociedad y a las mejoras de los aspectos curriculares.</t>
  </si>
  <si>
    <t>27. POLÍTICAS, ESTRATEGIAS Y ESTRUCTURA PARA
LA PERMANENCIA Y LA GRADUACIÓN</t>
  </si>
  <si>
    <t>"El programa académico deberá demostrar el impacto de sus políticas, estrategias, estructura, la existencia y los resultados de los programas de apoyo para la permanencia y graduación de los estudiantes, incluyendo, entre otros, procesos de inducción, orientación vocacional y adaptación a la vida universitaria, orientación para el trabajo de grado y práctica laboral</t>
  </si>
  <si>
    <t>1) Análisis del efecto de las políticas, estrategias y acciones orientadas al mejoramiento de la permanencia y la graduación en el programa, que incluyan el comportamiento en los últimos seis años o en la vigencia de la acreditación si se trata de una renovación, de la tasa de deserción interanual, tasa de deserción por cohorte y la tasa de graduación acumulada del programa.</t>
  </si>
  <si>
    <t>28. CARACTERIZACIÓN DE ESTUDIANTES Y SISTEMA
DE ALERTAS TEMPRANAS</t>
  </si>
  <si>
    <t>El programa académico deberá demostrar el impacto de la caracterización de sus estudiantes, en cuanto a condiciones de ingreso, desempeño y permanencia en este. El sistema de alertas tempranas deberá dar cuenta de su efectividad en el diagnóstico y atención diferenciada de los estudiantes con relación a los índices de permanencia y graduación</t>
  </si>
  <si>
    <t>1) Evidencia de la existencia e implementación de un sistema de alertas tempranas que permita reconocer las particularidades de los estudiantes según su contexto sociocultural y la puesta en marcha de acciones que faciliten su proceso formativo, de acuerdo, al menos, con las normas nacionales vigentes en materia de inclusión y diversidad.
2) Apreciación de estudiantes y profesores sobre la contribución de las estrategias del sistema de alertas tempranas en su permanencia y graduación, junto con las acciones emprendidas como resultado de dichas apreciaciones. 
3) Presentación del análisis de los resultados derivados del sistema de alertas tempranas y su impacto en el currículo, para mejorar el desempeño académico de los estudiantes, su permanencia y graduación.</t>
  </si>
  <si>
    <t>29. AJUSTES A LOS ASPECTOS CURRICULARES</t>
  </si>
  <si>
    <t>El programa académico deberá demostrar el impacto de la caracterización de sus estudiantes, en cuanto a condiciones
de ingreso, desempeño y permanencia en este. El sistema de alertas tempranas deberá dar cuenta de su efectividad en el
diagnóstico y atención diferenciada de los estudiantes con relación a los índices de permanencia y graduación</t>
  </si>
  <si>
    <t>1) Evidencia de la evaluación y el mejoramiento de los aspectos curriculares derivados de los análisis del desempeño académico de los estudiantes, la permanencia y la graduación.</t>
  </si>
  <si>
    <t>30.  MECANISMOS DE SELECCIÓN</t>
  </si>
  <si>
    <t>El programa académico deberá demostrar el análisis de la relación entre los mecanismos de selección, la permanencia y graduación, así como los ajustes a los procesos de selección derivados de dichos análisis</t>
  </si>
  <si>
    <t>1) Evidencia y análisis de la evolución de la matrícula total de estudiantes del programa y de la relación entre aspirantes inscritos, admitidos y matriculados en cada periodo, a fin de establecer la tasa de selectividad y/o absorción del programa.
2) Análisis de la correlación entre los mecanismos de selección, de desempeño académico, permanencia y graduación que resulte en ajustes a los procesos de selección del programa.</t>
  </si>
  <si>
    <t>31. INSERCIÓN DEL PROGRAMAEN CONTEXTOS
ACADÉMICOS NACIONALES E INTERNACIONALES</t>
  </si>
  <si>
    <t>El programa académico deberá demostrar que en la organización y actualización de sus aspectos curriculares toma como referencia las tendencias, el estado del arte de la disciplina o profesión y los indicadores de calidad reconocidos por la comunidad académica nacional e internacional</t>
  </si>
  <si>
    <t>1) Evidencia del efecto de la aplicación de políticas y estrategias de cooperación con comunidades, nacionales e internacionales, en el desarrollo de labores formativas, académicas, docentes, científicas, culturales, deportivas y de extensión, así como en aspectos curriculares y en la revisión de tendencias y referentes nacionales e internacionales que contribuyan al mejoramiento continuo del programa.</t>
  </si>
  <si>
    <t>32. RELACIONES EXTERNAS DE PROFESORES Y
ESTUDIANTES</t>
  </si>
  <si>
    <t>El programa académico deberá demostrar el impacto de la cooperación académica y científica de profesores y
estudiantes con otras instituciones o entidades nacionales y extranjeras, para el desarrollo de labores formativas,
académicas, docentes, científicas, culturales y de extensión</t>
  </si>
  <si>
    <t>1) Evidencia y análisis de los resultados de la cooperación académica y científica del programa, mediante convenios, proyectos conjuntos, intercambios de profesores, estudiantes y la participación en redes científicas, culturales y de extensión.
2) Apreciación de profesores, estudiantes y egresados sobre los resultados de la cooperación académica y científica derivados de la aplicación de políticas y estrategias que favorezcan la interacción de profesores y estudiantes con sus homólogos, a nivel nacional e internacional, junto con las acciones emprendidas como resultado de dichas apreciaciones.</t>
  </si>
  <si>
    <t>33.HABILIDADES COMUNICATIVAS EN UNA
SEGUNDA LENGUA</t>
  </si>
  <si>
    <t>El programa académico deberá demostrar el efecto de las estrategias empleadas para el desarrollo de las habilidades en una segunda lengua durante el proceso de formación de los estudiantes y en la interacción con comunidades no hispanohablantes, teniendo en cuenta la diversidad cultural del país</t>
  </si>
  <si>
    <t>1) Evidencia de la incidencia de las estrategias empleadas para el desarrollo de las competencias comunicativas en una segunda lengua y las interacciones de profesores y estudiantes con otras comunidades no hispanohablantes de acuerdo con el nivel de formación y modalidad del programa.</t>
  </si>
  <si>
    <t>34. FORMACIÓN PARA LA INVESTIGACIÓN,
DESARROLLO TECNOLÓGICO, LA INNOVACIÓN Y LA CREACIÓN</t>
  </si>
  <si>
    <t>El programa académico deberá demostrar que promueve desde la interacción profesor-estudiante, el desarrollo de capacidades de indagación y búsqueda, pensamiento crítico, creativo e innovador y la formación en diferentes métodos para la investigación, la innovación y la creación, de acuerdo con el nivel de formación y la modalidad del programa
académico</t>
  </si>
  <si>
    <t>1) Evidencia de las estrategias implementadas para el desarrollo de las competencias investigativas, de innovación o creación artística y cultural de los estudiantes, en coherencia con la naturaleza, nivel de formación y la modalidad de oferta del programa.
2) Apreciación de los estudiantes acerca de la formación para la investigación, el desarrollo de un pensamiento crítico, creativo e innovador, así como el desarrollo tecnológico, la innovación y la creación promovida en el programa, junto con las acciones emprendidas como resultado de dichas apreciaciones.</t>
  </si>
  <si>
    <t>35. COMPROMISO CON LA INVESTIGACIÓN,
DESARROLLO TECNOLÓGICO, LA INNOVACIÓN Y LA CREACIÓN</t>
  </si>
  <si>
    <t>El programa académico deberá demostrar que los profesores realizan actividades de investigación, desarrollo
tecnológico, innovación o creación, reconocidas por el Sistema Nacional de Ciencia y Tecnología, y cuenta con
condiciones y recursos institucionales para el desarrollo de dichas actividades. El programa académico deberá evidenciar
que los productos resultantes de estas actividades fortalecen los aspectos curriculares, la formación de los estudiantes y
contribuyen a la generación de nuevo conocimiento o a la solución de problemas de la sociedad</t>
  </si>
  <si>
    <t>1) Evidencia de la existencia de un reglamento de propiedad intelectual, de grupos de investigación categorizados y de profesores investigadores reconocidos en las convocatorias de medición de Minciencias, acorde con el Proyecto Educativo del Programa, el nivel de formación y la modalidad del programa.
2) Evidencia de resultados de investigación, desarrollo tecnológico, innovación o creación de los profesores del programa, que contribuyan al fortalecimiento de los aspectos curriculares, la formación de los estudiantes y a la generación de nuevo conocimiento o a la solución de problemas de la sociedad, en coherencia con el Proyecto Educativo del Programa, el nivel de formación y la modalidad del programa.</t>
  </si>
  <si>
    <t>36. PROGRAMAS Y SERVICIOS</t>
  </si>
  <si>
    <t>El programa académico deberá demostrar la implementación de políticas de bienestar, definidas institucionalmente, para buscar el desarrollo humano y el mejoramiento de la calidad de vida de la persona y del grupo institucional como un todo (estudiantes, docentes y personal administrativo). Estas acciones deberán tener en cuenta las condiciones y necesidades
de cada estamento, en cada uno de los lugares donde desarrolle sus labores, de acuerdo con el nivel de formación y la modalidad del programa académico, en el marco del pluralismo, la diversidad y la inclusión”</t>
  </si>
  <si>
    <t>1) Análisis sistemáticos de la participación de estudiantes y profesores en las actividades de bienestar en cada uno de los escenarios de práctica.
2) Apreciación de los estudiantes, profesores y personal administrativo sobre la incidencia de la implementación de políticas, programas y servicios de bienestar, en coherencia con las condiciones y necesidades de la comunidad en cada uno de los lugares y escenarios de práctica donde desarrolla sus labores, en correspondencia con el nivel de formación y la modalidad del programa, junto con las acciones emprendidas como resultado de dichas apreciaciones.</t>
  </si>
  <si>
    <t>37. PARTICIPACIÓN Y SEGUIMIENTO</t>
  </si>
  <si>
    <t>El programa académico deberá demostrar que cuenta con una estructura orgánica y con una infraestructura para el desarrollo de los planes y las actividades ofrecidas institucionalmente en el mismo, así como para el fomento y seguimiento de la participación de los estudiantes en dichos programas y en el uso de la infraestructura disponible para el
bienestar</t>
  </si>
  <si>
    <t>1) Análisis sistemáticos de la participación de la comunidad del programa en los planes y las actividades de bienestar, de acuerdo con las particularidades de la población estudiantil, académica y administrativa.
2) Evaluación de la calidad y pertinencia de la infraestructura, espacios y servicios de bienestar por parte de la comunidad del programa, junto con las acciones emprendidas como resultado de dicha evaluación.</t>
  </si>
  <si>
    <t>38. ESTRATEGIAS Y RECURSOS DE APOYO A
PROFESORES</t>
  </si>
  <si>
    <t>El programa académico deberá demostrar que dispone de recursos de apoyo y que ha puesto en marcha estrategias pedagógicas, tecnológicas y de acompañamiento para fortalecer a los profesores en sus habilidades de comunicación y de interacción con los estudiantes, con el fin de lograr el mejoramiento permanente de sus laboresde docencia, investigación, desarrollo tecnológico, innovación y creación, en coherencia con los propósitos de aprendizaje según el nivel de formación y la modalidad del programa académico</t>
  </si>
  <si>
    <t>1) Demostración de los resultados y la incidencia de la implementación de las estrategias y recursos de apoyo (pedagógico-didáctico) en los contextos de actuación de los profesores para el mejoramiento de sus prácticas de enseñanza-aprendizaje teniendo en cuenta la diversidad y la inclusión.
2) Apreciación de los profesores y los estudiantes en relación con las estrategias pedagógicas, tecnológicas y de acompañamiento dispuestas por el programa para el desarrollo de las habilidades comunicativas y de interacción de los profesores con los estudiantes, junto con las acciones emprendidas como resultado de dichas apreciaciones.</t>
  </si>
  <si>
    <t>39. ESTRATEGIAS Y RECURSOS DE APOYO A
ESTUDIANTES</t>
  </si>
  <si>
    <t>El programa académico deberá demostrar la disponibilidad, acceso, uso y apropiación, por parte de los estudiantes, de espacios, recursos, herramientas y equipos para enriquecer los procesos de enseñanza y aprendizaje, según el nivel de formación y la modalidad del programa académico, atendiendo a su contexto y a los principios de pluralismo, diversidad e
inclusión”</t>
  </si>
  <si>
    <t>1) Evidencia de la disponibilidad y capacidad de talleres, laboratorios, equipos, medios audiovisuales, sitios de práctica, estaciones y granjas experimentales, escenarios de simulación virtual, entre otros, para el adecuado desarrollo de la actividad docente, investigativa y de extensión, según requerimientos del programa.
2) Apreciación de los estudiantes sobre la utilidad y pertinencia de las estrategias y recursos de apoyo brindados por la institución para el desarrollo de su proceso formativo en diferentes contextos, junto con las acciones emprendidas como resultado de dichas apreciaciones.</t>
  </si>
  <si>
    <t>40. RECURSOS BIBLIOGRÁFICOS Y DE INFORMACIÓN</t>
  </si>
  <si>
    <t>El programa académico deberá demostrar que cuenta con recursos bibliográficos y de información para atender la totalidad de estudiantes, de acuerdo con el nivel de formación y la modalidad del programa académico</t>
  </si>
  <si>
    <t>1) Análisis de la correspondencia entre la inversión en recursos bibliográficos y de información, su utilización por parte de la comunidad del programa, demostrando la suficiencia y pertinencia para el desarrollo de actividades de docencia, investigación y extensión, de acuerdo con el nivel de formación y modalidad del programa.
2)Apreciación de estudiantes y profesores acerca de la pertinencia, actualización y suficiencia del material bibliográfico con que cuenta el programa, para apoyar el desarrollo de las distintas actividades académicas, de acuerdo con su nivel de formación y modalidad, junto con las acciones emprendidas como resultado de dichas apreciaciones.</t>
  </si>
  <si>
    <t>41. ORGANIZACIÓN Y ADMINISTRACIÓN</t>
  </si>
  <si>
    <t>El programa académico deberá demostrar que su estructura organizacional cuenta con un (unos)cuerpo(s) colegiado(s) donde participan por lo menos representantes de los profesores, los estudiantes y los egresados, y que, además, tiene implementados los mecanismos administrativos necesarios para el aseguramiento de la alta calidad</t>
  </si>
  <si>
    <t>1) Evidencia de la participación de representantes de la comunidad académica, a través de estructuras organizacionales definidas por la institución, y de su contribución, en el desarrollo y mejoramiento del programa.
2) Apreciación de estudiantes, profesores y egresados sobre su participación en cuerpos colegiados, y en decisiones orientadas al mejoramiento del programa, junto con las acciones emprendidas como resultado de dichas apreciaciones.</t>
  </si>
  <si>
    <t>42. DIRECCIÓN Y GESTIÓN</t>
  </si>
  <si>
    <t>El programa académico deberá demostrar que tiene liderazgo en la gestión, con orientaciones definidas y conocidas por profesores y estudiantes, las cuales contribuyen a la dinámica administrativa y académica. También deberá demostrar la existencia de procesos, trámites y procedimientos claros y conocidos por la comunidad académica y los grupos de interés relacionados con el programa académico</t>
  </si>
  <si>
    <t>1) Evidencia de los mecanismos existentes para la dirección y gestión del programa que contribuyen al mejoramiento de las dinámicas administrativas y académicas y al relacionamiento con los grupos de interés.
2) Apreciación de profesores y estudiantes sobre la eficiencia, eficacia y orientación de los procesos administrativos hacia el desarrollo de las labores formativas, académicas, docentes, científicas, culturales y de extensión, junto con las acciones emprendidas como resultado de dichas apreciaciones.</t>
  </si>
  <si>
    <t>43. SISTEMAS DE COMUNICACIÓN E
INFORMACIÓN</t>
  </si>
  <si>
    <t>El programa académico deberá demostrar que cuenta con mecanismos que facilitan la comunicación entre todos los
miembros de su comunidad y con sistemas de información establecidos y accesibles, en el marco de los derechos de la
protección de datos</t>
  </si>
  <si>
    <t>1) Presentación de estudios de satisfacción de profesores y estudiantes del programa acerca de la suficiencia y calidad de los recursos y sistemas de comunicación e información.
2) Presentación de estadísticas y análisis del uso de los sistemas de comunicación e información, y de la implementación de estrategias que garanticen la conectividad a los miembros de la comunidad académica del programa.
3) Evidencia de la aplicación de mecanismos de gestión documental, organización, actualización y seguridad de los registros y archivos académicos de estudiantes, profesores, personal directivo y administrativo.</t>
  </si>
  <si>
    <t xml:space="preserve"> ESTUDIANTES Y CAPACIDAD INSTITUCIONAL</t>
  </si>
  <si>
    <t>El programa académico deberá demostrar que la totalidad de los estudiantes matriculados es compatible con las capacidades institucionales en materia de sus recursos humanos, técnicos, tecnológicos y financieros, entre otros, necesarios para favorecer la permanencia, el desarrollo académico y la graduación de los estudiantes</t>
  </si>
  <si>
    <t>1) Presentación de estadísticas y análisis de las capacidades institucionales en materia de recursos humanos (planta docente y personal administrativo), técnicos, tecnológicos y financieros, que favorecen la permanencia, el desarrollo académico y la graduación de los estudiantes.
2) Apreciación de profesores y estudiantes del programa con respecto a la correspondencia entre las capacidades institucionales en materia de sus recursos humanos, técnicos, tecnológicos y financieros, y el número de estudiantes matriculados, en cumplimiento del Proyecto Educativo del Programa, junto con las acciones emprendidas como resultado de dichas apreciaciones.</t>
  </si>
  <si>
    <t>45. FINANCIACIÓN DEL PROGRAMA ACADÉMICO</t>
  </si>
  <si>
    <t>El programa académico deberá demostrar que dispone de recursos financieros para su funcionamiento e inversión, de acuerdo con el nivel de formación y la modalidad, así como con la naturaleza jurídica de la Institución, su identidad, misión, tipología y contexto</t>
  </si>
  <si>
    <t>1) Demostración de la consistencia entre la asignación y distribución presupuestal del programa, y el desarrollo de las actividades de docencia, investigación, creación artística y cultural, deportiva, proyección social, bienestar institucional e internacionalización, y la implementación de los planes de mejoramiento.
2) Presentación de la proyección y la ejecución del presupuesto de inversión y de funcionamiento del programa y los mecanismos de seguimiento y control.</t>
  </si>
  <si>
    <t>46. ASEGURAMIENTO DE LA ALTA CALIDAD Y
MEJORA CONTINUA</t>
  </si>
  <si>
    <t>"El programa académico deberá demostrar que tiene una cultura de mejoramiento continuo, que aplica criterios y procedimientos para la evaluación periódica y participativa de sus estrategias, procesos y resultados de aprendizaje, y que formula y desarrolla sus objetivos, planes y proyectos, de acuerdo con el nivel de formación y la modalidad</t>
  </si>
  <si>
    <t>1) Evidencia de la consolidación de un Sistema Interno de Aseguramiento de la Calidad que permita verificar, mediante unos procesos periódicos y participativos de autoevaluación, la alta calidad en cada uno de los factores y características del modelo del Consejo Nacional de Acreditación, en el programa.</t>
  </si>
  <si>
    <t>47. RECURSOS DE INFRAESTRUCTURA FÍSICA Y TECNOLÓGICA</t>
  </si>
  <si>
    <t>El programa académico deberá demostrar que cuenta, entre otros, con espacios físicos, aulas, laboratorios, talleres, centros de simulación, plataformas tecnológicas, biblioteca y salas de estudio, para el cumplimiento de sus labores formativas, académicas, docentes, científicas y culturales, acordes con sus objetivos, con el nivel de formación y la modalidad”</t>
  </si>
  <si>
    <t>1) Demostración de la existencia de aulas, laboratorios, talleres, centros de simulación, plataformas tecnológicas, biblioteca y salas de estudio, para el cumplimiento de las labores formativas, académicas, docentes, científicas, culturales y de extensión, en coherencia con el nivel de formación y la modalidad de oferta del programa.
2) Evidencia de planes y proyectos realizados o en ejecución, para la conservación, expansión, mejoras y mantenimiento de la planta física para el programa, de acuerdo con las normas técnicas respectivas y con el nivel de formación y la modalidad de oferta del programa.</t>
  </si>
  <si>
    <t>48 .RECURSOS INFORMÁTICOS Y DE COMUNICACIÓN</t>
  </si>
  <si>
    <t>El programa académico deberá demostrar que cuenta con las plataformas informáticas y los equipos computacionales y
de telecomunicaciones (hardware y software licenciado) actualizados y adecuados para el diseño y la producción de
contenidos, la implementación de estrategias pedagógicas y el continuo apoyo y seguimiento de las actividades académicas de los estudiantes, acordes con el nivel de formación y la modalidad</t>
  </si>
  <si>
    <t>1) Evidencia de la coherencia entre los recursos informáticos y de comunicación con las necesidades para el desarrollo y cumplimiento de las labores formativas, académicas, docentes, científicas, culturales del programa en el lugar de desarrollo y en los escenarios de práctica.
2) Apreciación de directivos, profesores y estudiantes del programa sobre la pertinencia, correspondencia y suficiencia de los recursos informáticos y de comunicación con que cuenta el programa.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</si>
</sst>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font>
      <sz val="11"/>
      <color theme="1"/>
      <name val="Calibri"/>
      <family val="2"/>
      <scheme val="minor"/>
    </font>
    <font>
      <sz val="11"/>
      <color theme="1"/>
      <name val="Tahoma"/>
      <family val="2"/>
    </font>
    <font>
      <sz val="10"/>
      <color theme="1"/>
      <name val="Tahoma"/>
      <family val="2"/>
    </font>
    <font>
      <b/>
      <sz val="11"/>
      <color theme="0"/>
      <name val="Tahoma"/>
      <family val="2"/>
    </font>
    <font>
      <sz val="11"/>
      <color rgb="FFFFFF00"/>
      <name val="Calibri"/>
      <family val="2"/>
      <scheme val="minor"/>
    </font>
    <font>
      <sz val="11"/>
      <color theme="0"/>
      <name val="Tahoma"/>
      <family val="2"/>
    </font>
    <font>
      <b/>
      <sz val="11"/>
      <color theme="1"/>
      <name val="Tahoma"/>
      <family val="2"/>
    </font>
    <font>
      <sz val="11"/>
      <color theme="1"/>
      <name val="Calibri"/>
      <family val="2"/>
      <scheme val="minor"/>
    </font>
    <font>
      <b/>
      <sz val="14"/>
      <name val="Tahoma"/>
      <family val="2"/>
    </font>
    <font>
      <b/>
      <sz val="10"/>
      <color theme="0"/>
      <name val="Tahoma"/>
      <family val="2"/>
    </font>
    <font>
      <b/>
      <sz val="12"/>
      <name val="Tahoma"/>
      <family val="2"/>
    </font>
    <font>
      <sz val="11"/>
      <color theme="2"/>
      <name val="Tahoma"/>
      <family val="2"/>
    </font>
    <font>
      <b/>
      <sz val="10"/>
      <color theme="1"/>
      <name val="Tahoma"/>
      <family val="2"/>
    </font>
    <font>
      <sz val="9"/>
      <color theme="1"/>
      <name val="Tahoma"/>
      <family val="2"/>
    </font>
    <font>
      <sz val="8"/>
      <color theme="1"/>
      <name val="Tahoma"/>
      <family val="2"/>
    </font>
    <font>
      <b/>
      <sz val="11"/>
      <color rgb="FFFFFF00"/>
      <name val="Tahoma"/>
      <family val="2"/>
    </font>
    <font>
      <b/>
      <sz val="10"/>
      <name val="Tahoma"/>
      <family val="2"/>
    </font>
    <font>
      <b/>
      <sz val="9"/>
      <color theme="0"/>
      <name val="Tahoma"/>
      <family val="2"/>
    </font>
    <font>
      <sz val="9"/>
      <color theme="1"/>
      <name val="Calibri"/>
      <family val="2"/>
      <scheme val="minor"/>
    </font>
    <font>
      <b/>
      <sz val="9"/>
      <color theme="1"/>
      <name val="Tahoma"/>
      <family val="2"/>
    </font>
    <font>
      <sz val="8"/>
      <color rgb="FF000000"/>
      <name val="Tahoma"/>
      <family val="2"/>
    </font>
    <font>
      <b/>
      <sz val="10"/>
      <color rgb="FFA62424"/>
      <name val="Tahoma"/>
      <family val="2"/>
    </font>
    <font>
      <b/>
      <sz val="9"/>
      <color rgb="FFA62424"/>
      <name val="Tahoma"/>
      <family val="2"/>
    </font>
    <font>
      <b/>
      <u/>
      <sz val="11"/>
      <color theme="0"/>
      <name val="Tahoma"/>
      <family val="2"/>
    </font>
    <font>
      <b/>
      <sz val="10"/>
      <color theme="7" tint="0.79998168889431442"/>
      <name val="Tahoma"/>
      <family val="2"/>
    </font>
    <font>
      <sz val="10"/>
      <color theme="7" tint="0.79998168889431442"/>
      <name val="Tahoma"/>
      <family val="2"/>
    </font>
    <font>
      <sz val="11"/>
      <name val="Tahoma"/>
      <family val="2"/>
    </font>
    <font>
      <b/>
      <sz val="8"/>
      <color theme="0"/>
      <name val="Tahoma"/>
      <family val="2"/>
    </font>
    <font>
      <sz val="8"/>
      <name val="Arial"/>
      <family val="2"/>
    </font>
    <font>
      <b/>
      <sz val="11"/>
      <name val="Tahoma"/>
      <family val="2"/>
    </font>
    <font>
      <b/>
      <sz val="9"/>
      <color indexed="81"/>
      <name val="Tahoma"/>
      <family val="2"/>
    </font>
  </fonts>
  <fills count="13">
    <fill>
      <patternFill patternType="none"/>
    </fill>
    <fill>
      <patternFill patternType="gray125"/>
    </fill>
    <fill>
      <patternFill patternType="solid">
        <fgColor rgb="FF005790"/>
        <bgColor indexed="64"/>
      </patternFill>
    </fill>
    <fill>
      <patternFill patternType="solid">
        <fgColor theme="1"/>
        <bgColor indexed="64"/>
      </patternFill>
    </fill>
    <fill>
      <patternFill patternType="solid">
        <fgColor theme="0" tint="-0.14999847407452621"/>
        <bgColor indexed="64"/>
      </patternFill>
    </fill>
    <fill>
      <patternFill patternType="solid">
        <fgColor rgb="FFA62424"/>
        <bgColor indexed="64"/>
      </patternFill>
    </fill>
    <fill>
      <patternFill patternType="solid">
        <fgColor theme="0"/>
        <bgColor indexed="64"/>
      </patternFill>
    </fill>
    <fill>
      <patternFill patternType="solid">
        <fgColor theme="4" tint="0.39997558519241921"/>
        <bgColor indexed="64"/>
      </patternFill>
    </fill>
    <fill>
      <patternFill patternType="solid">
        <fgColor theme="6" tint="0.59999389629810485"/>
        <bgColor indexed="64"/>
      </patternFill>
    </fill>
    <fill>
      <patternFill patternType="solid">
        <fgColor rgb="FF005490"/>
        <bgColor indexed="64"/>
      </patternFill>
    </fill>
    <fill>
      <patternFill patternType="solid">
        <fgColor rgb="FFFFFFCC"/>
      </patternFill>
    </fill>
    <fill>
      <patternFill patternType="solid">
        <fgColor theme="4" tint="0.79998168889431442"/>
        <bgColor indexed="64"/>
      </patternFill>
    </fill>
    <fill>
      <patternFill patternType="solid">
        <fgColor theme="6" tint="0.79998168889431442"/>
        <bgColor indexed="64"/>
      </patternFill>
    </fill>
  </fills>
  <borders count="3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theme="2" tint="-0.24994659260841701"/>
      </bottom>
      <diagonal/>
    </border>
    <border>
      <left style="thin">
        <color rgb="FFB2B2B2"/>
      </left>
      <right style="thin">
        <color rgb="FFB2B2B2"/>
      </right>
      <top style="thin">
        <color rgb="FFB2B2B2"/>
      </top>
      <bottom style="thin">
        <color rgb="FFB2B2B2"/>
      </bottom>
      <diagonal/>
    </border>
    <border>
      <left style="double">
        <color indexed="64"/>
      </left>
      <right style="double">
        <color indexed="64"/>
      </right>
      <top style="double">
        <color indexed="64"/>
      </top>
      <bottom style="double">
        <color indexed="64"/>
      </bottom>
      <diagonal/>
    </border>
    <border>
      <left/>
      <right/>
      <top style="double">
        <color indexed="64"/>
      </top>
      <bottom style="double">
        <color indexed="64"/>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rgb="FFFFFF00"/>
      </left>
      <right style="double">
        <color rgb="FFFFFF00"/>
      </right>
      <top style="double">
        <color rgb="FFFFFF00"/>
      </top>
      <bottom style="double">
        <color rgb="FFFFFF00"/>
      </bottom>
      <diagonal/>
    </border>
    <border>
      <left style="double">
        <color theme="8" tint="0.59996337778862885"/>
      </left>
      <right style="double">
        <color theme="8" tint="0.59996337778862885"/>
      </right>
      <top style="double">
        <color theme="8" tint="0.59996337778862885"/>
      </top>
      <bottom style="double">
        <color theme="8" tint="0.59996337778862885"/>
      </bottom>
      <diagonal/>
    </border>
    <border>
      <left/>
      <right style="double">
        <color theme="0" tint="-0.14996795556505021"/>
      </right>
      <top/>
      <bottom style="double">
        <color theme="0" tint="-0.14996795556505021"/>
      </bottom>
      <diagonal/>
    </border>
    <border>
      <left style="double">
        <color theme="0" tint="-0.14996795556505021"/>
      </left>
      <right style="double">
        <color theme="0" tint="-0.14996795556505021"/>
      </right>
      <top/>
      <bottom style="double">
        <color theme="0" tint="-0.14996795556505021"/>
      </bottom>
      <diagonal/>
    </border>
    <border>
      <left style="thin">
        <color rgb="FFB2B2B2"/>
      </left>
      <right/>
      <top style="thin">
        <color rgb="FFB2B2B2"/>
      </top>
      <bottom style="thin">
        <color rgb="FFB2B2B2"/>
      </bottom>
      <diagonal/>
    </border>
    <border>
      <left/>
      <right/>
      <top style="thin">
        <color rgb="FFB2B2B2"/>
      </top>
      <bottom style="thin">
        <color rgb="FFB2B2B2"/>
      </bottom>
      <diagonal/>
    </border>
    <border>
      <left/>
      <right style="thin">
        <color rgb="FFB2B2B2"/>
      </right>
      <top style="thin">
        <color rgb="FFB2B2B2"/>
      </top>
      <bottom style="thin">
        <color rgb="FFB2B2B2"/>
      </bottom>
      <diagonal/>
    </border>
    <border>
      <left/>
      <right style="double">
        <color theme="0" tint="-0.14996795556505021"/>
      </right>
      <top/>
      <bottom style="double">
        <color theme="0" tint="-0.14993743705557422"/>
      </bottom>
      <diagonal/>
    </border>
    <border>
      <left/>
      <right/>
      <top style="medium">
        <color rgb="FF005490"/>
      </top>
      <bottom style="medium">
        <color rgb="FF005490"/>
      </bottom>
      <diagonal/>
    </border>
    <border>
      <left/>
      <right/>
      <top style="thin">
        <color rgb="FF005490"/>
      </top>
      <bottom style="thin">
        <color rgb="FF005490"/>
      </bottom>
      <diagonal/>
    </border>
  </borders>
  <cellStyleXfs count="3">
    <xf numFmtId="0" fontId="0" fillId="0" borderId="0"/>
    <xf numFmtId="9" fontId="7" fillId="0" borderId="0" applyFont="0" applyFill="0" applyBorder="0" applyAlignment="0" applyProtection="0"/>
    <xf numFmtId="0" fontId="7" fillId="10" borderId="16" applyNumberFormat="0" applyFont="0" applyAlignment="0" applyProtection="0"/>
  </cellStyleXfs>
  <cellXfs count="213">
    <xf numFmtId="0" fontId="0" fillId="0" borderId="0" xfId="0"/>
    <xf numFmtId="0" fontId="1" fillId="0" borderId="0" xfId="0" applyFont="1"/>
    <xf numFmtId="0" fontId="1" fillId="0" borderId="0" xfId="0" applyFont="1" applyAlignment="1">
      <alignment vertical="center"/>
    </xf>
    <xf numFmtId="0" fontId="3" fillId="2" borderId="3" xfId="0" applyFont="1" applyFill="1" applyBorder="1" applyAlignment="1">
      <alignment horizontal="center" vertical="center"/>
    </xf>
    <xf numFmtId="0" fontId="1" fillId="0" borderId="0" xfId="0" applyFont="1" applyAlignment="1">
      <alignment wrapText="1"/>
    </xf>
    <xf numFmtId="0" fontId="4" fillId="3" borderId="0" xfId="0" applyFont="1" applyFill="1"/>
    <xf numFmtId="0" fontId="3" fillId="2" borderId="3"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9" fillId="2" borderId="3" xfId="0" applyFont="1" applyFill="1" applyBorder="1" applyAlignment="1">
      <alignment horizontal="center" vertical="center"/>
    </xf>
    <xf numFmtId="9" fontId="1" fillId="0" borderId="0" xfId="0" applyNumberFormat="1" applyFont="1"/>
    <xf numFmtId="164" fontId="1" fillId="0" borderId="0" xfId="0" applyNumberFormat="1" applyFont="1" applyAlignment="1">
      <alignment wrapText="1"/>
    </xf>
    <xf numFmtId="9" fontId="11" fillId="6" borderId="0" xfId="1" applyFont="1" applyFill="1"/>
    <xf numFmtId="0" fontId="3" fillId="2" borderId="3"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2" fillId="0" borderId="0" xfId="0" applyFont="1"/>
    <xf numFmtId="0" fontId="1" fillId="0" borderId="1"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3" fillId="2" borderId="2" xfId="0" applyFont="1" applyFill="1" applyBorder="1" applyAlignment="1">
      <alignment horizontal="left" vertical="center" wrapText="1"/>
    </xf>
    <xf numFmtId="0" fontId="17" fillId="9" borderId="2" xfId="0" applyFont="1" applyFill="1" applyBorder="1" applyAlignment="1">
      <alignment horizontal="center" vertical="center"/>
    </xf>
    <xf numFmtId="0" fontId="18" fillId="0" borderId="0" xfId="0" applyFont="1"/>
    <xf numFmtId="0" fontId="20" fillId="0" borderId="2" xfId="0" applyFont="1" applyBorder="1" applyAlignment="1">
      <alignment horizontal="justify" vertical="center"/>
    </xf>
    <xf numFmtId="0" fontId="14" fillId="0" borderId="2" xfId="0" applyFont="1" applyBorder="1" applyAlignment="1">
      <alignment horizontal="left" vertical="center" wrapText="1"/>
    </xf>
    <xf numFmtId="0" fontId="14" fillId="0" borderId="2" xfId="0" applyFont="1" applyBorder="1" applyAlignment="1">
      <alignment vertical="center" wrapText="1"/>
    </xf>
    <xf numFmtId="0" fontId="19" fillId="0" borderId="2" xfId="0" applyFont="1" applyBorder="1" applyAlignment="1">
      <alignment horizontal="center" vertical="center"/>
    </xf>
    <xf numFmtId="0" fontId="0" fillId="2" borderId="0" xfId="0" applyFill="1"/>
    <xf numFmtId="0" fontId="6" fillId="6" borderId="21" xfId="0" applyFont="1" applyFill="1" applyBorder="1" applyAlignment="1">
      <alignment horizontal="center" vertical="center"/>
    </xf>
    <xf numFmtId="0" fontId="21" fillId="11" borderId="17" xfId="0" applyFont="1" applyFill="1" applyBorder="1" applyAlignment="1">
      <alignment horizontal="center" vertical="center" wrapText="1"/>
    </xf>
    <xf numFmtId="0" fontId="4" fillId="3" borderId="0" xfId="0" applyFont="1" applyFill="1" applyAlignment="1">
      <alignment horizontal="center"/>
    </xf>
    <xf numFmtId="0" fontId="4" fillId="3" borderId="0" xfId="0" applyFont="1" applyFill="1" applyAlignment="1">
      <alignment horizontal="center" vertical="center"/>
    </xf>
    <xf numFmtId="0" fontId="1" fillId="9" borderId="0" xfId="0" applyFont="1" applyFill="1"/>
    <xf numFmtId="0" fontId="6" fillId="9" borderId="0" xfId="0" applyFont="1" applyFill="1" applyAlignment="1">
      <alignment horizontal="center"/>
    </xf>
    <xf numFmtId="0" fontId="5" fillId="9" borderId="0" xfId="0" applyFont="1" applyFill="1" applyAlignment="1">
      <alignment vertical="center"/>
    </xf>
    <xf numFmtId="0" fontId="5" fillId="9" borderId="0" xfId="0" applyFont="1" applyFill="1"/>
    <xf numFmtId="0" fontId="3" fillId="9" borderId="0" xfId="0" applyFont="1" applyFill="1" applyAlignment="1">
      <alignment vertical="center"/>
    </xf>
    <xf numFmtId="0" fontId="3" fillId="9" borderId="0" xfId="0" applyFont="1" applyFill="1"/>
    <xf numFmtId="0" fontId="4" fillId="3" borderId="0" xfId="0" applyFont="1" applyFill="1" applyAlignment="1">
      <alignment vertical="center"/>
    </xf>
    <xf numFmtId="0" fontId="3" fillId="9" borderId="0" xfId="0" applyFont="1" applyFill="1" applyAlignment="1">
      <alignment horizontal="center" vertical="center"/>
    </xf>
    <xf numFmtId="0" fontId="23" fillId="9" borderId="0" xfId="0" applyFont="1" applyFill="1" applyAlignment="1">
      <alignment vertical="center"/>
    </xf>
    <xf numFmtId="0" fontId="5" fillId="9" borderId="0" xfId="0" applyFont="1" applyFill="1" applyAlignment="1">
      <alignment vertical="center" wrapText="1"/>
    </xf>
    <xf numFmtId="0" fontId="15" fillId="9" borderId="23" xfId="0" applyFont="1" applyFill="1" applyBorder="1" applyAlignment="1" applyProtection="1">
      <alignment horizontal="center" vertical="center"/>
      <protection locked="0"/>
    </xf>
    <xf numFmtId="0" fontId="3" fillId="9" borderId="24" xfId="0" applyFont="1" applyFill="1" applyBorder="1" applyAlignment="1" applyProtection="1">
      <alignment horizontal="center" vertical="center"/>
      <protection locked="0"/>
    </xf>
    <xf numFmtId="0" fontId="3" fillId="9" borderId="28" xfId="0" applyFont="1" applyFill="1" applyBorder="1" applyAlignment="1" applyProtection="1">
      <alignment horizontal="center" vertical="center"/>
      <protection locked="0"/>
    </xf>
    <xf numFmtId="0" fontId="6" fillId="8" borderId="2" xfId="0" applyFont="1" applyFill="1" applyBorder="1" applyAlignment="1" applyProtection="1">
      <alignment horizontal="center" vertical="center" wrapText="1"/>
      <protection locked="0"/>
    </xf>
    <xf numFmtId="0" fontId="6" fillId="8" borderId="2" xfId="0" applyFont="1" applyFill="1" applyBorder="1" applyAlignment="1" applyProtection="1">
      <alignment horizontal="center" vertical="center" wrapText="1"/>
      <protection locked="0" hidden="1"/>
    </xf>
    <xf numFmtId="0" fontId="6" fillId="0" borderId="22" xfId="0" applyFont="1" applyBorder="1" applyAlignment="1" applyProtection="1">
      <alignment horizontal="center" vertical="center"/>
      <protection locked="0"/>
    </xf>
    <xf numFmtId="0" fontId="1" fillId="0" borderId="0" xfId="0" applyFont="1" applyProtection="1">
      <protection locked="0" hidden="1"/>
    </xf>
    <xf numFmtId="0" fontId="1" fillId="6" borderId="0" xfId="0" applyFont="1" applyFill="1" applyAlignment="1" applyProtection="1">
      <alignment horizontal="left" vertical="center" wrapText="1"/>
      <protection locked="0" hidden="1"/>
    </xf>
    <xf numFmtId="164" fontId="8" fillId="6" borderId="0" xfId="1" applyNumberFormat="1" applyFont="1" applyFill="1" applyBorder="1" applyAlignment="1" applyProtection="1">
      <alignment horizontal="center" vertical="center"/>
      <protection locked="0" hidden="1"/>
    </xf>
    <xf numFmtId="165" fontId="10" fillId="6" borderId="0" xfId="1" applyNumberFormat="1" applyFont="1" applyFill="1" applyBorder="1" applyAlignment="1" applyProtection="1">
      <alignment horizontal="center" vertical="center"/>
      <protection locked="0" hidden="1"/>
    </xf>
    <xf numFmtId="0" fontId="1" fillId="6" borderId="0" xfId="0" applyFont="1" applyFill="1" applyProtection="1">
      <protection locked="0" hidden="1"/>
    </xf>
    <xf numFmtId="164" fontId="1" fillId="6" borderId="4" xfId="0" applyNumberFormat="1" applyFont="1" applyFill="1" applyBorder="1" applyAlignment="1" applyProtection="1">
      <alignment vertical="center"/>
      <protection locked="0" hidden="1"/>
    </xf>
    <xf numFmtId="165" fontId="12" fillId="6" borderId="8" xfId="1" applyNumberFormat="1" applyFont="1" applyFill="1" applyBorder="1" applyAlignment="1" applyProtection="1">
      <alignment horizontal="center" vertical="center"/>
      <protection locked="0" hidden="1"/>
    </xf>
    <xf numFmtId="0" fontId="3" fillId="9" borderId="1" xfId="0" applyFont="1" applyFill="1" applyBorder="1" applyAlignment="1" applyProtection="1">
      <alignment horizontal="center" vertical="center"/>
      <protection locked="0" hidden="1"/>
    </xf>
    <xf numFmtId="0" fontId="3" fillId="9" borderId="4" xfId="0" applyFont="1" applyFill="1" applyBorder="1" applyAlignment="1" applyProtection="1">
      <alignment horizontal="center" vertical="center"/>
      <protection locked="0" hidden="1"/>
    </xf>
    <xf numFmtId="0" fontId="3" fillId="9" borderId="5" xfId="0" applyFont="1" applyFill="1" applyBorder="1" applyAlignment="1" applyProtection="1">
      <alignment horizontal="center" vertical="center"/>
      <protection locked="0" hidden="1"/>
    </xf>
    <xf numFmtId="0" fontId="1" fillId="0" borderId="0" xfId="0" applyFont="1" applyAlignment="1" applyProtection="1">
      <alignment vertical="center"/>
      <protection locked="0" hidden="1"/>
    </xf>
    <xf numFmtId="0" fontId="3" fillId="9" borderId="2" xfId="0" applyFont="1" applyFill="1" applyBorder="1" applyAlignment="1" applyProtection="1">
      <alignment horizontal="center" vertical="center"/>
      <protection locked="0" hidden="1"/>
    </xf>
    <xf numFmtId="0" fontId="1" fillId="0" borderId="15" xfId="0" applyFont="1" applyBorder="1" applyProtection="1">
      <protection locked="0" hidden="1"/>
    </xf>
    <xf numFmtId="164" fontId="1" fillId="4" borderId="4" xfId="0" applyNumberFormat="1" applyFont="1" applyFill="1" applyBorder="1" applyAlignment="1" applyProtection="1">
      <alignment vertical="center"/>
      <protection locked="0" hidden="1"/>
    </xf>
    <xf numFmtId="164" fontId="16" fillId="6" borderId="0" xfId="1" applyNumberFormat="1" applyFont="1" applyFill="1" applyBorder="1" applyAlignment="1" applyProtection="1">
      <alignment horizontal="center" vertical="center"/>
      <protection locked="0" hidden="1"/>
    </xf>
    <xf numFmtId="165" fontId="12" fillId="6" borderId="4" xfId="1" applyNumberFormat="1" applyFont="1" applyFill="1" applyBorder="1" applyAlignment="1" applyProtection="1">
      <alignment horizontal="center" vertical="center"/>
      <protection locked="0" hidden="1"/>
    </xf>
    <xf numFmtId="0" fontId="1" fillId="6" borderId="8" xfId="0" applyFont="1" applyFill="1" applyBorder="1" applyProtection="1">
      <protection locked="0" hidden="1"/>
    </xf>
    <xf numFmtId="0" fontId="1" fillId="6" borderId="4" xfId="0" applyFont="1" applyFill="1" applyBorder="1" applyProtection="1">
      <protection locked="0" hidden="1"/>
    </xf>
    <xf numFmtId="164" fontId="8" fillId="6" borderId="8" xfId="1" applyNumberFormat="1" applyFont="1" applyFill="1" applyBorder="1" applyAlignment="1" applyProtection="1">
      <alignment horizontal="center" vertical="center"/>
      <protection locked="0" hidden="1"/>
    </xf>
    <xf numFmtId="0" fontId="1" fillId="6" borderId="7" xfId="0" applyFont="1" applyFill="1" applyBorder="1" applyProtection="1">
      <protection locked="0" hidden="1"/>
    </xf>
    <xf numFmtId="164" fontId="1" fillId="6" borderId="7" xfId="0" applyNumberFormat="1" applyFont="1" applyFill="1" applyBorder="1" applyAlignment="1" applyProtection="1">
      <alignment vertical="center"/>
      <protection locked="0" hidden="1"/>
    </xf>
    <xf numFmtId="165" fontId="12" fillId="6" borderId="7" xfId="1" applyNumberFormat="1" applyFont="1" applyFill="1" applyBorder="1" applyAlignment="1" applyProtection="1">
      <alignment horizontal="center" vertical="center"/>
      <protection locked="0" hidden="1"/>
    </xf>
    <xf numFmtId="164" fontId="5" fillId="5" borderId="4" xfId="0" applyNumberFormat="1" applyFont="1" applyFill="1" applyBorder="1" applyAlignment="1" applyProtection="1">
      <alignment horizontal="center" vertical="center"/>
      <protection locked="0" hidden="1"/>
    </xf>
    <xf numFmtId="9" fontId="3" fillId="9" borderId="17" xfId="0" applyNumberFormat="1" applyFont="1" applyFill="1" applyBorder="1" applyAlignment="1" applyProtection="1">
      <alignment horizontal="center" vertical="center"/>
      <protection locked="0" hidden="1"/>
    </xf>
    <xf numFmtId="164" fontId="1" fillId="6" borderId="8" xfId="0" applyNumberFormat="1" applyFont="1" applyFill="1" applyBorder="1" applyAlignment="1" applyProtection="1">
      <alignment vertical="center"/>
      <protection locked="0" hidden="1"/>
    </xf>
    <xf numFmtId="165" fontId="12" fillId="6" borderId="0" xfId="1" applyNumberFormat="1" applyFont="1" applyFill="1" applyBorder="1" applyAlignment="1" applyProtection="1">
      <alignment horizontal="center" vertical="center"/>
      <protection locked="0" hidden="1"/>
    </xf>
    <xf numFmtId="0" fontId="12" fillId="11" borderId="17" xfId="0" applyFont="1" applyFill="1" applyBorder="1" applyAlignment="1" applyProtection="1">
      <alignment vertical="center" wrapText="1"/>
      <protection hidden="1"/>
    </xf>
    <xf numFmtId="0" fontId="1" fillId="0" borderId="0" xfId="0" applyFont="1" applyProtection="1">
      <protection locked="0"/>
    </xf>
    <xf numFmtId="0" fontId="1" fillId="0" borderId="0" xfId="0" applyFont="1" applyAlignment="1" applyProtection="1">
      <alignment vertical="center"/>
      <protection locked="0"/>
    </xf>
    <xf numFmtId="165" fontId="12" fillId="7" borderId="2" xfId="0" applyNumberFormat="1" applyFont="1" applyFill="1" applyBorder="1" applyAlignment="1" applyProtection="1">
      <alignment horizontal="center" vertical="center" wrapText="1"/>
      <protection hidden="1"/>
    </xf>
    <xf numFmtId="164" fontId="9" fillId="2" borderId="3" xfId="0" applyNumberFormat="1" applyFont="1" applyFill="1" applyBorder="1" applyAlignment="1" applyProtection="1">
      <alignment horizontal="center" vertical="center"/>
      <protection hidden="1"/>
    </xf>
    <xf numFmtId="0" fontId="18" fillId="0" borderId="0" xfId="0" applyFont="1" applyAlignment="1">
      <alignment horizontal="center" vertical="center"/>
    </xf>
    <xf numFmtId="0" fontId="18" fillId="0" borderId="0" xfId="0" applyFont="1" applyAlignment="1">
      <alignment horizontal="left" vertical="center"/>
    </xf>
    <xf numFmtId="0" fontId="18" fillId="0" borderId="30" xfId="0" applyFont="1" applyBorder="1" applyAlignment="1">
      <alignment horizontal="left" vertical="center"/>
    </xf>
    <xf numFmtId="0" fontId="13" fillId="0" borderId="30" xfId="0" applyFont="1" applyBorder="1" applyAlignment="1">
      <alignment horizontal="left" vertical="center"/>
    </xf>
    <xf numFmtId="0" fontId="19" fillId="11" borderId="30" xfId="0" applyFont="1" applyFill="1" applyBorder="1" applyAlignment="1">
      <alignment horizontal="center" vertical="center"/>
    </xf>
    <xf numFmtId="2" fontId="1" fillId="0" borderId="0" xfId="0" applyNumberFormat="1" applyFont="1" applyProtection="1">
      <protection locked="0"/>
    </xf>
    <xf numFmtId="0" fontId="13" fillId="8" borderId="1" xfId="0" applyFont="1" applyFill="1" applyBorder="1" applyAlignment="1" applyProtection="1">
      <alignment horizontal="left" vertical="center" wrapText="1"/>
      <protection locked="0"/>
    </xf>
    <xf numFmtId="0" fontId="13" fillId="8" borderId="4" xfId="0" applyFont="1" applyFill="1" applyBorder="1" applyAlignment="1" applyProtection="1">
      <alignment horizontal="left" vertical="center" wrapText="1"/>
      <protection locked="0"/>
    </xf>
    <xf numFmtId="0" fontId="13" fillId="8" borderId="5" xfId="0" applyFont="1" applyFill="1" applyBorder="1" applyAlignment="1" applyProtection="1">
      <alignment horizontal="left" vertical="center" wrapText="1"/>
      <protection locked="0"/>
    </xf>
    <xf numFmtId="0" fontId="13" fillId="8" borderId="1" xfId="0" applyFont="1" applyFill="1" applyBorder="1" applyAlignment="1" applyProtection="1">
      <alignment horizontal="left" vertical="center" wrapText="1"/>
      <protection locked="0" hidden="1"/>
    </xf>
    <xf numFmtId="0" fontId="13" fillId="8" borderId="4" xfId="0" applyFont="1" applyFill="1" applyBorder="1" applyAlignment="1" applyProtection="1">
      <alignment horizontal="left" vertical="center" wrapText="1"/>
      <protection locked="0" hidden="1"/>
    </xf>
    <xf numFmtId="0" fontId="13" fillId="8" borderId="5" xfId="0" applyFont="1" applyFill="1" applyBorder="1" applyAlignment="1" applyProtection="1">
      <alignment horizontal="left" vertical="center" wrapText="1"/>
      <protection locked="0" hidden="1"/>
    </xf>
    <xf numFmtId="164" fontId="16" fillId="4" borderId="8" xfId="1" applyNumberFormat="1" applyFont="1" applyFill="1" applyBorder="1" applyAlignment="1" applyProtection="1">
      <alignment horizontal="center" vertical="center"/>
      <protection locked="0" hidden="1"/>
    </xf>
    <xf numFmtId="165" fontId="1" fillId="0" borderId="0" xfId="1" applyNumberFormat="1" applyFont="1" applyFill="1" applyBorder="1" applyAlignment="1" applyProtection="1">
      <alignment horizontal="center" vertical="center"/>
      <protection locked="0" hidden="1"/>
    </xf>
    <xf numFmtId="0" fontId="1" fillId="0" borderId="2" xfId="0" applyFont="1" applyBorder="1" applyProtection="1">
      <protection locked="0" hidden="1"/>
    </xf>
    <xf numFmtId="0" fontId="1" fillId="0" borderId="3" xfId="0" applyFont="1" applyBorder="1" applyProtection="1">
      <protection locked="0" hidden="1"/>
    </xf>
    <xf numFmtId="164" fontId="1" fillId="0" borderId="7" xfId="0" applyNumberFormat="1" applyFont="1" applyBorder="1" applyAlignment="1" applyProtection="1">
      <alignment vertical="center"/>
      <protection locked="0" hidden="1"/>
    </xf>
    <xf numFmtId="165" fontId="26" fillId="0" borderId="15" xfId="1" applyNumberFormat="1" applyFont="1" applyFill="1" applyBorder="1" applyAlignment="1" applyProtection="1">
      <alignment horizontal="center" vertical="center"/>
      <protection locked="0" hidden="1"/>
    </xf>
    <xf numFmtId="0" fontId="27" fillId="5" borderId="6" xfId="0" applyFont="1" applyFill="1" applyBorder="1" applyAlignment="1" applyProtection="1">
      <alignment horizontal="center" vertical="center"/>
      <protection locked="0" hidden="1"/>
    </xf>
    <xf numFmtId="0" fontId="20" fillId="0" borderId="2" xfId="0" applyFont="1" applyBorder="1" applyAlignment="1">
      <alignment horizontal="justify" vertical="center" wrapText="1"/>
    </xf>
    <xf numFmtId="0" fontId="20" fillId="0" borderId="2" xfId="0" applyFont="1" applyBorder="1" applyAlignment="1">
      <alignment horizontal="left" vertical="center" wrapText="1"/>
    </xf>
    <xf numFmtId="0" fontId="14" fillId="0" borderId="2" xfId="0" applyFont="1" applyBorder="1" applyAlignment="1">
      <alignment horizontal="justify" vertical="center" wrapText="1"/>
    </xf>
    <xf numFmtId="0" fontId="18" fillId="0" borderId="2" xfId="0" applyFont="1" applyBorder="1"/>
    <xf numFmtId="0" fontId="18" fillId="0" borderId="2" xfId="0" applyFont="1" applyBorder="1" applyAlignment="1">
      <alignment horizontal="left" vertical="center"/>
    </xf>
    <xf numFmtId="0" fontId="28" fillId="0" borderId="2" xfId="0" applyFont="1" applyBorder="1" applyAlignment="1">
      <alignment vertical="center" wrapText="1"/>
    </xf>
    <xf numFmtId="0" fontId="18" fillId="0" borderId="2" xfId="0" applyFont="1" applyBorder="1" applyAlignment="1">
      <alignment wrapText="1"/>
    </xf>
    <xf numFmtId="0" fontId="18" fillId="0" borderId="2" xfId="0" applyFont="1" applyBorder="1" applyAlignment="1">
      <alignment horizontal="left" vertical="center" wrapText="1"/>
    </xf>
    <xf numFmtId="0" fontId="18" fillId="0" borderId="2" xfId="0" applyFont="1" applyBorder="1" applyAlignment="1">
      <alignment horizontal="left" wrapText="1"/>
    </xf>
    <xf numFmtId="0" fontId="16" fillId="6" borderId="16" xfId="2" applyFont="1" applyFill="1" applyAlignment="1" applyProtection="1">
      <alignment horizontal="center" vertical="center"/>
    </xf>
    <xf numFmtId="0" fontId="9" fillId="6" borderId="0" xfId="0" applyFont="1" applyFill="1" applyAlignment="1">
      <alignment horizontal="center" vertical="center"/>
    </xf>
    <xf numFmtId="165" fontId="1" fillId="6" borderId="0" xfId="1" applyNumberFormat="1" applyFont="1" applyFill="1" applyBorder="1" applyAlignment="1" applyProtection="1">
      <alignment horizontal="center" vertical="center"/>
      <protection hidden="1"/>
    </xf>
    <xf numFmtId="0" fontId="6" fillId="6" borderId="0" xfId="0" applyFont="1" applyFill="1" applyAlignment="1" applyProtection="1">
      <alignment horizontal="center" vertical="center"/>
      <protection locked="0"/>
    </xf>
    <xf numFmtId="164" fontId="1" fillId="6" borderId="0" xfId="1" applyNumberFormat="1" applyFont="1" applyFill="1" applyBorder="1" applyAlignment="1" applyProtection="1">
      <alignment horizontal="center" vertical="center"/>
      <protection hidden="1"/>
    </xf>
    <xf numFmtId="0" fontId="9" fillId="6" borderId="0" xfId="0" applyFont="1" applyFill="1" applyAlignment="1">
      <alignment vertical="center"/>
    </xf>
    <xf numFmtId="164" fontId="6" fillId="6" borderId="0" xfId="0" applyNumberFormat="1" applyFont="1" applyFill="1" applyAlignment="1" applyProtection="1">
      <alignment vertical="center"/>
      <protection hidden="1"/>
    </xf>
    <xf numFmtId="0" fontId="1" fillId="6" borderId="0" xfId="0" applyFont="1" applyFill="1" applyAlignment="1" applyProtection="1">
      <alignment vertical="center" wrapText="1"/>
      <protection hidden="1"/>
    </xf>
    <xf numFmtId="0" fontId="16" fillId="6" borderId="0" xfId="0" applyFont="1" applyFill="1" applyAlignment="1">
      <alignment horizontal="center" vertical="center"/>
    </xf>
    <xf numFmtId="165" fontId="26" fillId="6" borderId="0" xfId="1" applyNumberFormat="1" applyFont="1" applyFill="1" applyBorder="1" applyAlignment="1" applyProtection="1">
      <alignment horizontal="center" vertical="center"/>
      <protection hidden="1"/>
    </xf>
    <xf numFmtId="0" fontId="29" fillId="6" borderId="0" xfId="0" applyFont="1" applyFill="1" applyAlignment="1" applyProtection="1">
      <alignment horizontal="center" vertical="center"/>
      <protection locked="0"/>
    </xf>
    <xf numFmtId="164" fontId="26" fillId="6" borderId="0" xfId="1" applyNumberFormat="1" applyFont="1" applyFill="1" applyBorder="1" applyAlignment="1" applyProtection="1">
      <alignment horizontal="center" vertical="center"/>
      <protection hidden="1"/>
    </xf>
    <xf numFmtId="0" fontId="16" fillId="6" borderId="0" xfId="0" applyFont="1" applyFill="1" applyAlignment="1">
      <alignment vertical="center"/>
    </xf>
    <xf numFmtId="164" fontId="29" fillId="6" borderId="0" xfId="0" applyNumberFormat="1" applyFont="1" applyFill="1" applyAlignment="1" applyProtection="1">
      <alignment vertical="center"/>
      <protection hidden="1"/>
    </xf>
    <xf numFmtId="0" fontId="26" fillId="6" borderId="0" xfId="0" applyFont="1" applyFill="1" applyAlignment="1" applyProtection="1">
      <alignment vertical="center" wrapText="1"/>
      <protection hidden="1"/>
    </xf>
    <xf numFmtId="0" fontId="6" fillId="6" borderId="0" xfId="0" applyFont="1" applyFill="1" applyAlignment="1" applyProtection="1">
      <alignment horizontal="center" vertical="center"/>
      <protection locked="0" hidden="1"/>
    </xf>
    <xf numFmtId="164" fontId="3" fillId="9" borderId="0" xfId="0" applyNumberFormat="1" applyFont="1" applyFill="1" applyAlignment="1" applyProtection="1">
      <alignment vertical="center"/>
      <protection locked="0" hidden="1"/>
    </xf>
    <xf numFmtId="0" fontId="13" fillId="0" borderId="0" xfId="0" applyFont="1" applyAlignment="1">
      <alignment horizontal="left" vertical="center"/>
    </xf>
    <xf numFmtId="49" fontId="19" fillId="0" borderId="0" xfId="0" applyNumberFormat="1" applyFont="1" applyAlignment="1">
      <alignment horizontal="center" vertical="center"/>
    </xf>
    <xf numFmtId="0" fontId="19" fillId="0" borderId="30" xfId="0" applyFont="1" applyBorder="1" applyAlignment="1">
      <alignment horizontal="center" vertical="center"/>
    </xf>
    <xf numFmtId="0" fontId="18" fillId="0" borderId="1" xfId="0" applyFont="1" applyBorder="1" applyAlignment="1">
      <alignment wrapText="1"/>
    </xf>
    <xf numFmtId="0" fontId="19" fillId="0" borderId="0" xfId="0" applyFont="1" applyAlignment="1">
      <alignment horizontal="center" vertical="center"/>
    </xf>
    <xf numFmtId="164" fontId="1" fillId="4" borderId="1" xfId="0" applyNumberFormat="1" applyFont="1" applyFill="1" applyBorder="1" applyAlignment="1" applyProtection="1">
      <alignment vertical="center"/>
      <protection locked="0" hidden="1"/>
    </xf>
    <xf numFmtId="164" fontId="1" fillId="4" borderId="8" xfId="0" applyNumberFormat="1" applyFont="1" applyFill="1" applyBorder="1" applyAlignment="1" applyProtection="1">
      <alignment vertical="center"/>
      <protection locked="0" hidden="1"/>
    </xf>
    <xf numFmtId="165" fontId="3" fillId="9" borderId="2" xfId="1" applyNumberFormat="1" applyFont="1" applyFill="1" applyBorder="1" applyAlignment="1" applyProtection="1">
      <alignment horizontal="center" vertical="center"/>
      <protection locked="0" hidden="1"/>
    </xf>
    <xf numFmtId="165" fontId="1" fillId="0" borderId="2" xfId="1" applyNumberFormat="1" applyFont="1" applyFill="1" applyBorder="1" applyAlignment="1" applyProtection="1">
      <alignment vertical="center"/>
      <protection locked="0" hidden="1"/>
    </xf>
    <xf numFmtId="165" fontId="1" fillId="0" borderId="0" xfId="1" applyNumberFormat="1" applyFont="1" applyBorder="1" applyProtection="1">
      <protection locked="0" hidden="1"/>
    </xf>
    <xf numFmtId="165" fontId="1" fillId="0" borderId="0" xfId="1" applyNumberFormat="1" applyFont="1" applyProtection="1">
      <protection locked="0" hidden="1"/>
    </xf>
    <xf numFmtId="0" fontId="24" fillId="9" borderId="25" xfId="2" applyFont="1" applyFill="1" applyBorder="1" applyAlignment="1" applyProtection="1">
      <alignment vertical="center"/>
      <protection locked="0"/>
    </xf>
    <xf numFmtId="0" fontId="24" fillId="9" borderId="26" xfId="2" applyFont="1" applyFill="1" applyBorder="1" applyAlignment="1" applyProtection="1">
      <alignment vertical="center"/>
      <protection locked="0"/>
    </xf>
    <xf numFmtId="0" fontId="24" fillId="9" borderId="27" xfId="2" applyFont="1" applyFill="1" applyBorder="1" applyAlignment="1" applyProtection="1">
      <alignment vertical="center"/>
      <protection locked="0"/>
    </xf>
    <xf numFmtId="0" fontId="24" fillId="9" borderId="25" xfId="2" applyFont="1" applyFill="1" applyBorder="1" applyAlignment="1" applyProtection="1">
      <alignment horizontal="left" vertical="center"/>
      <protection locked="0"/>
    </xf>
    <xf numFmtId="0" fontId="24" fillId="9" borderId="26" xfId="2" applyFont="1" applyFill="1" applyBorder="1" applyAlignment="1" applyProtection="1">
      <alignment horizontal="left" vertical="center"/>
      <protection locked="0"/>
    </xf>
    <xf numFmtId="0" fontId="24" fillId="9" borderId="27" xfId="2" applyFont="1" applyFill="1" applyBorder="1" applyAlignment="1" applyProtection="1">
      <alignment horizontal="left" vertical="center"/>
      <protection locked="0"/>
    </xf>
    <xf numFmtId="0" fontId="5" fillId="9" borderId="0" xfId="0" applyFont="1" applyFill="1" applyAlignment="1">
      <alignment horizontal="center"/>
    </xf>
    <xf numFmtId="0" fontId="25" fillId="9" borderId="25" xfId="2" applyFont="1" applyFill="1" applyBorder="1" applyAlignment="1" applyProtection="1">
      <alignment horizontal="left" vertical="center"/>
      <protection locked="0"/>
    </xf>
    <xf numFmtId="0" fontId="16" fillId="6" borderId="25" xfId="2" applyFont="1" applyFill="1" applyBorder="1" applyAlignment="1" applyProtection="1">
      <alignment horizontal="center" vertical="center"/>
      <protection locked="0"/>
    </xf>
    <xf numFmtId="0" fontId="16" fillId="6" borderId="26" xfId="2" applyFont="1" applyFill="1" applyBorder="1" applyAlignment="1" applyProtection="1">
      <alignment horizontal="center" vertical="center"/>
      <protection locked="0"/>
    </xf>
    <xf numFmtId="0" fontId="16" fillId="6" borderId="27" xfId="2" applyFont="1" applyFill="1" applyBorder="1" applyAlignment="1" applyProtection="1">
      <alignment horizontal="center" vertical="center"/>
      <protection locked="0"/>
    </xf>
    <xf numFmtId="0" fontId="1" fillId="9" borderId="0" xfId="0" applyFont="1" applyFill="1" applyAlignment="1">
      <alignment horizontal="center"/>
    </xf>
    <xf numFmtId="0" fontId="23" fillId="9" borderId="0" xfId="0" applyFont="1" applyFill="1" applyAlignment="1">
      <alignment horizontal="center" vertical="center"/>
    </xf>
    <xf numFmtId="0" fontId="5" fillId="9" borderId="0" xfId="0" applyFont="1" applyFill="1" applyAlignment="1">
      <alignment horizontal="center" vertical="center" wrapText="1"/>
    </xf>
    <xf numFmtId="0" fontId="16" fillId="6" borderId="25" xfId="2" applyFont="1" applyFill="1" applyBorder="1" applyAlignment="1" applyProtection="1">
      <alignment horizontal="center" vertical="center"/>
    </xf>
    <xf numFmtId="0" fontId="16" fillId="6" borderId="26" xfId="2" applyFont="1" applyFill="1" applyBorder="1" applyAlignment="1" applyProtection="1">
      <alignment horizontal="center" vertical="center"/>
    </xf>
    <xf numFmtId="0" fontId="16" fillId="6" borderId="27" xfId="2" applyFont="1" applyFill="1" applyBorder="1" applyAlignment="1" applyProtection="1">
      <alignment horizontal="center" vertical="center"/>
    </xf>
    <xf numFmtId="0" fontId="13" fillId="8" borderId="1" xfId="0" applyFont="1" applyFill="1" applyBorder="1" applyAlignment="1" applyProtection="1">
      <alignment horizontal="left" vertical="center" wrapText="1"/>
      <protection locked="0"/>
    </xf>
    <xf numFmtId="0" fontId="13" fillId="8" borderId="4" xfId="0" applyFont="1" applyFill="1" applyBorder="1" applyAlignment="1" applyProtection="1">
      <alignment horizontal="left" vertical="center" wrapText="1"/>
      <protection locked="0"/>
    </xf>
    <xf numFmtId="0" fontId="13" fillId="8" borderId="5" xfId="0" applyFont="1" applyFill="1" applyBorder="1" applyAlignment="1" applyProtection="1">
      <alignment horizontal="left" vertical="center" wrapText="1"/>
      <protection locked="0"/>
    </xf>
    <xf numFmtId="0" fontId="3" fillId="2" borderId="13"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1" fillId="0" borderId="1" xfId="0" applyFont="1" applyBorder="1" applyAlignment="1">
      <alignment horizontal="left" vertical="center"/>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1"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9" fillId="2" borderId="1"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5" xfId="0" applyFont="1" applyFill="1" applyBorder="1" applyAlignment="1">
      <alignment horizontal="center" vertical="center" wrapText="1"/>
    </xf>
    <xf numFmtId="165" fontId="14" fillId="8" borderId="1" xfId="0" applyNumberFormat="1" applyFont="1" applyFill="1" applyBorder="1" applyAlignment="1" applyProtection="1">
      <alignment horizontal="left" vertical="center" wrapText="1"/>
      <protection locked="0"/>
    </xf>
    <xf numFmtId="165" fontId="14" fillId="8" borderId="4" xfId="0" applyNumberFormat="1" applyFont="1" applyFill="1" applyBorder="1" applyAlignment="1" applyProtection="1">
      <alignment horizontal="left" vertical="center" wrapText="1"/>
      <protection locked="0"/>
    </xf>
    <xf numFmtId="165" fontId="14" fillId="8" borderId="5" xfId="0" applyNumberFormat="1" applyFont="1" applyFill="1" applyBorder="1" applyAlignment="1" applyProtection="1">
      <alignment horizontal="left" vertical="center" wrapText="1"/>
      <protection locked="0"/>
    </xf>
    <xf numFmtId="0" fontId="3" fillId="2" borderId="9"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11" xfId="0" applyFont="1" applyFill="1" applyBorder="1" applyAlignment="1">
      <alignment horizontal="center" vertical="center"/>
    </xf>
    <xf numFmtId="0" fontId="9" fillId="0" borderId="0" xfId="0" applyFont="1" applyAlignment="1">
      <alignment horizontal="center" vertical="center"/>
    </xf>
    <xf numFmtId="0" fontId="3" fillId="9" borderId="10" xfId="0" applyFont="1" applyFill="1" applyBorder="1" applyAlignment="1">
      <alignment horizontal="center" vertical="center"/>
    </xf>
    <xf numFmtId="0" fontId="3" fillId="9" borderId="0" xfId="0" applyFont="1" applyFill="1" applyAlignment="1">
      <alignment horizontal="center" vertical="center"/>
    </xf>
    <xf numFmtId="0" fontId="9" fillId="6" borderId="0" xfId="0" applyFont="1" applyFill="1" applyAlignment="1">
      <alignment horizontal="center" vertical="center"/>
    </xf>
    <xf numFmtId="0" fontId="13" fillId="8" borderId="1" xfId="0" applyFont="1" applyFill="1" applyBorder="1" applyAlignment="1" applyProtection="1">
      <alignment horizontal="left" vertical="center" wrapText="1"/>
      <protection locked="0" hidden="1"/>
    </xf>
    <xf numFmtId="0" fontId="13" fillId="8" borderId="4" xfId="0" applyFont="1" applyFill="1" applyBorder="1" applyAlignment="1" applyProtection="1">
      <alignment horizontal="left" vertical="center" wrapText="1"/>
      <protection locked="0" hidden="1"/>
    </xf>
    <xf numFmtId="0" fontId="13" fillId="8" borderId="5" xfId="0" applyFont="1" applyFill="1" applyBorder="1" applyAlignment="1" applyProtection="1">
      <alignment horizontal="left" vertical="center" wrapText="1"/>
      <protection locked="0" hidden="1"/>
    </xf>
    <xf numFmtId="0" fontId="3" fillId="2" borderId="10"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10" xfId="0" applyFont="1" applyFill="1" applyBorder="1" applyAlignment="1">
      <alignment horizontal="center" vertical="center"/>
    </xf>
    <xf numFmtId="0" fontId="3" fillId="2" borderId="0" xfId="0" applyFont="1" applyFill="1" applyAlignment="1">
      <alignment horizontal="center" vertical="center"/>
    </xf>
    <xf numFmtId="0" fontId="3" fillId="2" borderId="13" xfId="0" applyFont="1" applyFill="1" applyBorder="1" applyAlignment="1">
      <alignment horizontal="center" vertical="center" wrapText="1"/>
    </xf>
    <xf numFmtId="0" fontId="3" fillId="2" borderId="8" xfId="0" applyFont="1" applyFill="1" applyBorder="1" applyAlignment="1">
      <alignment horizontal="center" vertical="center" wrapText="1"/>
    </xf>
    <xf numFmtId="165" fontId="10" fillId="4" borderId="11" xfId="1" applyNumberFormat="1" applyFont="1" applyFill="1" applyBorder="1" applyAlignment="1" applyProtection="1">
      <alignment horizontal="center" vertical="center"/>
      <protection locked="0" hidden="1"/>
    </xf>
    <xf numFmtId="165" fontId="10" fillId="4" borderId="14" xfId="1" applyNumberFormat="1" applyFont="1" applyFill="1" applyBorder="1" applyAlignment="1" applyProtection="1">
      <alignment horizontal="center" vertical="center"/>
      <protection locked="0" hidden="1"/>
    </xf>
    <xf numFmtId="165" fontId="10" fillId="4" borderId="12" xfId="1" applyNumberFormat="1" applyFont="1" applyFill="1" applyBorder="1" applyAlignment="1" applyProtection="1">
      <alignment horizontal="center" vertical="center"/>
      <protection locked="0" hidden="1"/>
    </xf>
    <xf numFmtId="0" fontId="1" fillId="4" borderId="9" xfId="0" applyFont="1" applyFill="1" applyBorder="1" applyAlignment="1" applyProtection="1">
      <alignment horizontal="left" vertical="center" wrapText="1"/>
      <protection locked="0" hidden="1"/>
    </xf>
    <xf numFmtId="0" fontId="1" fillId="4" borderId="10" xfId="0" applyFont="1" applyFill="1" applyBorder="1" applyAlignment="1" applyProtection="1">
      <alignment horizontal="left" vertical="center" wrapText="1"/>
      <protection locked="0" hidden="1"/>
    </xf>
    <xf numFmtId="0" fontId="1" fillId="4" borderId="13" xfId="0" applyFont="1" applyFill="1" applyBorder="1" applyAlignment="1" applyProtection="1">
      <alignment horizontal="left" vertical="center" wrapText="1"/>
      <protection locked="0" hidden="1"/>
    </xf>
    <xf numFmtId="164" fontId="16" fillId="4" borderId="7" xfId="1" applyNumberFormat="1" applyFont="1" applyFill="1" applyBorder="1" applyAlignment="1" applyProtection="1">
      <alignment horizontal="center" vertical="center"/>
      <protection locked="0" hidden="1"/>
    </xf>
    <xf numFmtId="164" fontId="16" fillId="4" borderId="0" xfId="1" applyNumberFormat="1" applyFont="1" applyFill="1" applyBorder="1" applyAlignment="1" applyProtection="1">
      <alignment horizontal="center" vertical="center"/>
      <protection locked="0" hidden="1"/>
    </xf>
    <xf numFmtId="164" fontId="16" fillId="4" borderId="8" xfId="1" applyNumberFormat="1" applyFont="1" applyFill="1" applyBorder="1" applyAlignment="1" applyProtection="1">
      <alignment horizontal="center" vertical="center"/>
      <protection locked="0" hidden="1"/>
    </xf>
    <xf numFmtId="0" fontId="1" fillId="4" borderId="9" xfId="0" applyFont="1" applyFill="1" applyBorder="1" applyAlignment="1" applyProtection="1">
      <alignment horizontal="left" vertical="center"/>
      <protection locked="0" hidden="1"/>
    </xf>
    <xf numFmtId="0" fontId="1" fillId="4" borderId="10" xfId="0" applyFont="1" applyFill="1" applyBorder="1" applyAlignment="1" applyProtection="1">
      <alignment horizontal="left" vertical="center"/>
      <protection locked="0" hidden="1"/>
    </xf>
    <xf numFmtId="0" fontId="1" fillId="4" borderId="13" xfId="0" applyFont="1" applyFill="1" applyBorder="1" applyAlignment="1" applyProtection="1">
      <alignment horizontal="left" vertical="center"/>
      <protection locked="0" hidden="1"/>
    </xf>
    <xf numFmtId="0" fontId="3" fillId="2" borderId="1" xfId="0" applyFont="1" applyFill="1" applyBorder="1" applyAlignment="1" applyProtection="1">
      <alignment horizontal="center" vertical="center"/>
      <protection locked="0" hidden="1"/>
    </xf>
    <xf numFmtId="0" fontId="3" fillId="2" borderId="4" xfId="0" applyFont="1" applyFill="1" applyBorder="1" applyAlignment="1" applyProtection="1">
      <alignment horizontal="center" vertical="center"/>
      <protection locked="0" hidden="1"/>
    </xf>
    <xf numFmtId="0" fontId="3" fillId="2" borderId="5" xfId="0" applyFont="1" applyFill="1" applyBorder="1" applyAlignment="1" applyProtection="1">
      <alignment horizontal="center" vertical="center"/>
      <protection locked="0" hidden="1"/>
    </xf>
    <xf numFmtId="0" fontId="13" fillId="12" borderId="19" xfId="0" applyFont="1" applyFill="1" applyBorder="1" applyAlignment="1" applyProtection="1">
      <alignment horizontal="left" vertical="center" wrapText="1"/>
      <protection hidden="1"/>
    </xf>
    <xf numFmtId="0" fontId="13" fillId="12" borderId="18" xfId="0" applyFont="1" applyFill="1" applyBorder="1" applyAlignment="1" applyProtection="1">
      <alignment horizontal="left" vertical="center" wrapText="1"/>
      <protection hidden="1"/>
    </xf>
    <xf numFmtId="0" fontId="13" fillId="12" borderId="20" xfId="0" applyFont="1" applyFill="1" applyBorder="1" applyAlignment="1" applyProtection="1">
      <alignment horizontal="left" vertical="center" wrapText="1"/>
      <protection hidden="1"/>
    </xf>
    <xf numFmtId="0" fontId="22" fillId="12" borderId="19" xfId="0" applyFont="1" applyFill="1" applyBorder="1" applyAlignment="1">
      <alignment horizontal="center" vertical="center" wrapText="1"/>
    </xf>
    <xf numFmtId="0" fontId="22" fillId="12" borderId="18" xfId="0" applyFont="1" applyFill="1" applyBorder="1" applyAlignment="1">
      <alignment horizontal="center" vertical="center" wrapText="1"/>
    </xf>
    <xf numFmtId="0" fontId="22" fillId="12" borderId="20" xfId="0" applyFont="1" applyFill="1" applyBorder="1" applyAlignment="1">
      <alignment horizontal="center" vertical="center" wrapText="1"/>
    </xf>
    <xf numFmtId="0" fontId="19" fillId="0" borderId="29" xfId="0" applyFont="1" applyBorder="1" applyAlignment="1">
      <alignment horizontal="center" vertical="center"/>
    </xf>
    <xf numFmtId="0" fontId="18" fillId="0" borderId="10" xfId="0" applyFont="1" applyBorder="1" applyAlignment="1">
      <alignment horizontal="center" wrapText="1"/>
    </xf>
    <xf numFmtId="0" fontId="18" fillId="0" borderId="0" xfId="0" applyFont="1" applyAlignment="1">
      <alignment horizontal="center" wrapText="1"/>
    </xf>
  </cellXfs>
  <cellStyles count="3">
    <cellStyle name="Normal" xfId="0" builtinId="0"/>
    <cellStyle name="Notas" xfId="2" builtinId="10"/>
    <cellStyle name="Porcentaje" xfId="1" builtinId="5"/>
  </cellStyles>
  <dxfs count="5">
    <dxf>
      <font>
        <color theme="0"/>
      </font>
    </dxf>
    <dxf>
      <font>
        <color theme="2" tint="-0.24994659260841701"/>
      </font>
    </dxf>
    <dxf>
      <font>
        <color theme="2" tint="-0.24994659260841701"/>
      </font>
    </dxf>
    <dxf>
      <font>
        <color theme="2" tint="-0.24994659260841701"/>
      </font>
    </dxf>
    <dxf>
      <font>
        <color theme="2" tint="-0.24994659260841701"/>
      </font>
    </dxf>
  </dxfs>
  <tableStyles count="0" defaultTableStyle="TableStyleMedium2" defaultPivotStyle="PivotStyleLight16"/>
  <colors>
    <mruColors>
      <color rgb="FF005490"/>
      <color rgb="FF005790"/>
      <color rgb="FFA62424"/>
      <color rgb="FFFF9999"/>
      <color rgb="FFFFFFCC"/>
      <color rgb="FF669900"/>
      <color rgb="FF339966"/>
      <color rgb="FFFFCCCC"/>
      <color rgb="FFFF7C80"/>
      <color rgb="FF6181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hyperlink" Target="#'F8'!A1"/><Relationship Id="rId13" Type="http://schemas.openxmlformats.org/officeDocument/2006/relationships/hyperlink" Target="#'F11'!A1"/><Relationship Id="rId3" Type="http://schemas.openxmlformats.org/officeDocument/2006/relationships/hyperlink" Target="#'F3'!A1"/><Relationship Id="rId7" Type="http://schemas.openxmlformats.org/officeDocument/2006/relationships/hyperlink" Target="#'F7'!A1"/><Relationship Id="rId12" Type="http://schemas.openxmlformats.org/officeDocument/2006/relationships/hyperlink" Target="#D.Car.!A1"/><Relationship Id="rId2" Type="http://schemas.openxmlformats.org/officeDocument/2006/relationships/hyperlink" Target="#'F2'!A1"/><Relationship Id="rId1" Type="http://schemas.openxmlformats.org/officeDocument/2006/relationships/hyperlink" Target="#'F1'!A1"/><Relationship Id="rId6" Type="http://schemas.openxmlformats.org/officeDocument/2006/relationships/hyperlink" Target="#'F6'!A1"/><Relationship Id="rId11" Type="http://schemas.openxmlformats.org/officeDocument/2006/relationships/hyperlink" Target="#Res.!A1"/><Relationship Id="rId5" Type="http://schemas.openxmlformats.org/officeDocument/2006/relationships/hyperlink" Target="#'F5'!A1"/><Relationship Id="rId15" Type="http://schemas.openxmlformats.org/officeDocument/2006/relationships/image" Target="../media/image1.jpg"/><Relationship Id="rId10" Type="http://schemas.openxmlformats.org/officeDocument/2006/relationships/hyperlink" Target="#'F10'!A1"/><Relationship Id="rId4" Type="http://schemas.openxmlformats.org/officeDocument/2006/relationships/hyperlink" Target="#'F4'!A1"/><Relationship Id="rId9" Type="http://schemas.openxmlformats.org/officeDocument/2006/relationships/hyperlink" Target="#'F9'!A1"/><Relationship Id="rId14" Type="http://schemas.openxmlformats.org/officeDocument/2006/relationships/hyperlink" Target="#'F12'!A1"/></Relationships>
</file>

<file path=xl/drawings/_rels/drawing2.xml.rels><?xml version="1.0" encoding="UTF-8" standalone="yes"?>
<Relationships xmlns="http://schemas.openxmlformats.org/package/2006/relationships"><Relationship Id="rId3" Type="http://schemas.openxmlformats.org/officeDocument/2006/relationships/hyperlink" Target="#D.Car.!A1"/><Relationship Id="rId2" Type="http://schemas.openxmlformats.org/officeDocument/2006/relationships/hyperlink" Target="#INICIO!A1"/><Relationship Id="rId1" Type="http://schemas.openxmlformats.org/officeDocument/2006/relationships/hyperlink" Target="#'F2'!A1"/></Relationships>
</file>

<file path=xl/drawings/_rels/drawing3.xml.rels><?xml version="1.0" encoding="UTF-8" standalone="yes"?>
<Relationships xmlns="http://schemas.openxmlformats.org/package/2006/relationships"><Relationship Id="rId3" Type="http://schemas.openxmlformats.org/officeDocument/2006/relationships/hyperlink" Target="#D.Car.!A1"/><Relationship Id="rId2" Type="http://schemas.openxmlformats.org/officeDocument/2006/relationships/hyperlink" Target="#'F1'!A1"/><Relationship Id="rId1" Type="http://schemas.openxmlformats.org/officeDocument/2006/relationships/hyperlink" Target="#'F3'!A1"/></Relationships>
</file>

<file path=xl/drawings/_rels/drawing4.xml.rels><?xml version="1.0" encoding="UTF-8" standalone="yes"?>
<Relationships xmlns="http://schemas.openxmlformats.org/package/2006/relationships"><Relationship Id="rId3" Type="http://schemas.openxmlformats.org/officeDocument/2006/relationships/hyperlink" Target="#D.Car.!A1"/><Relationship Id="rId2" Type="http://schemas.openxmlformats.org/officeDocument/2006/relationships/hyperlink" Target="#'F2'!A1"/><Relationship Id="rId1" Type="http://schemas.openxmlformats.org/officeDocument/2006/relationships/hyperlink" Target="#'F4'!A1"/></Relationships>
</file>

<file path=xl/drawings/_rels/drawing5.xml.rels><?xml version="1.0" encoding="UTF-8" standalone="yes"?>
<Relationships xmlns="http://schemas.openxmlformats.org/package/2006/relationships"><Relationship Id="rId3" Type="http://schemas.openxmlformats.org/officeDocument/2006/relationships/hyperlink" Target="#D.Car.!A1"/><Relationship Id="rId2" Type="http://schemas.openxmlformats.org/officeDocument/2006/relationships/hyperlink" Target="#'F3'!A1"/><Relationship Id="rId1" Type="http://schemas.openxmlformats.org/officeDocument/2006/relationships/hyperlink" Target="#'F5'!A1"/></Relationships>
</file>

<file path=xl/drawings/_rels/drawing6.xml.rels><?xml version="1.0" encoding="UTF-8" standalone="yes"?>
<Relationships xmlns="http://schemas.openxmlformats.org/package/2006/relationships"><Relationship Id="rId3" Type="http://schemas.openxmlformats.org/officeDocument/2006/relationships/hyperlink" Target="#D.Car.!A1"/><Relationship Id="rId2" Type="http://schemas.openxmlformats.org/officeDocument/2006/relationships/hyperlink" Target="#'F3'!A1"/><Relationship Id="rId1" Type="http://schemas.openxmlformats.org/officeDocument/2006/relationships/hyperlink" Target="#'F5'!A1"/></Relationships>
</file>

<file path=xl/drawings/_rels/drawing7.xml.rels><?xml version="1.0" encoding="UTF-8" standalone="yes"?>
<Relationships xmlns="http://schemas.openxmlformats.org/package/2006/relationships"><Relationship Id="rId3" Type="http://schemas.openxmlformats.org/officeDocument/2006/relationships/hyperlink" Target="#D.Car.!A1"/><Relationship Id="rId2" Type="http://schemas.openxmlformats.org/officeDocument/2006/relationships/hyperlink" Target="#'F3'!A1"/><Relationship Id="rId1" Type="http://schemas.openxmlformats.org/officeDocument/2006/relationships/hyperlink" Target="#'F5'!A1"/></Relationships>
</file>

<file path=xl/drawings/_rels/drawing8.xml.rels><?xml version="1.0" encoding="UTF-8" standalone="yes"?>
<Relationships xmlns="http://schemas.openxmlformats.org/package/2006/relationships"><Relationship Id="rId3" Type="http://schemas.openxmlformats.org/officeDocument/2006/relationships/hyperlink" Target="#D.Car.!A1"/><Relationship Id="rId2" Type="http://schemas.openxmlformats.org/officeDocument/2006/relationships/hyperlink" Target="#'F4'!A1"/><Relationship Id="rId1" Type="http://schemas.openxmlformats.org/officeDocument/2006/relationships/hyperlink" Target="#'F6'!A1"/></Relationships>
</file>

<file path=xl/drawings/_rels/drawing9.xml.rels><?xml version="1.0" encoding="UTF-8" standalone="yes"?>
<Relationships xmlns="http://schemas.openxmlformats.org/package/2006/relationships"><Relationship Id="rId3" Type="http://schemas.openxmlformats.org/officeDocument/2006/relationships/hyperlink" Target="#D.Car.!A1"/><Relationship Id="rId2" Type="http://schemas.openxmlformats.org/officeDocument/2006/relationships/hyperlink" Target="#'F5'!A1"/><Relationship Id="rId1" Type="http://schemas.openxmlformats.org/officeDocument/2006/relationships/hyperlink" Target="#'F7'!A1"/></Relationships>
</file>

<file path=xl/drawings/_rels/drawing10.xml.rels><?xml version="1.0" encoding="UTF-8" standalone="yes"?>
<Relationships xmlns="http://schemas.openxmlformats.org/package/2006/relationships"><Relationship Id="rId3" Type="http://schemas.openxmlformats.org/officeDocument/2006/relationships/hyperlink" Target="#D.Car.!A1"/><Relationship Id="rId2" Type="http://schemas.openxmlformats.org/officeDocument/2006/relationships/hyperlink" Target="#'F6'!A1"/><Relationship Id="rId1" Type="http://schemas.openxmlformats.org/officeDocument/2006/relationships/hyperlink" Target="#'F8'!A1"/></Relationships>
</file>

<file path=xl/drawings/_rels/drawing11.xml.rels><?xml version="1.0" encoding="UTF-8" standalone="yes"?>
<Relationships xmlns="http://schemas.openxmlformats.org/package/2006/relationships"><Relationship Id="rId3" Type="http://schemas.openxmlformats.org/officeDocument/2006/relationships/hyperlink" Target="#D.Car.!A1"/><Relationship Id="rId2" Type="http://schemas.openxmlformats.org/officeDocument/2006/relationships/hyperlink" Target="#'F9'!A1"/><Relationship Id="rId1" Type="http://schemas.openxmlformats.org/officeDocument/2006/relationships/hyperlink" Target="#Res.!A1"/></Relationships>
</file>

<file path=xl/drawings/_rels/drawing12.xml.rels><?xml version="1.0" encoding="UTF-8" standalone="yes"?>
<Relationships xmlns="http://schemas.openxmlformats.org/package/2006/relationships"><Relationship Id="rId3" Type="http://schemas.openxmlformats.org/officeDocument/2006/relationships/hyperlink" Target="#D.Car.!A1"/><Relationship Id="rId2" Type="http://schemas.openxmlformats.org/officeDocument/2006/relationships/hyperlink" Target="#'F7'!A1"/><Relationship Id="rId1" Type="http://schemas.openxmlformats.org/officeDocument/2006/relationships/hyperlink" Target="#'F9'!A1"/></Relationships>
</file>

<file path=xl/drawings/_rels/drawing13.xml.rels><?xml version="1.0" encoding="UTF-8" standalone="yes"?>
<Relationships xmlns="http://schemas.openxmlformats.org/package/2006/relationships"><Relationship Id="rId3" Type="http://schemas.openxmlformats.org/officeDocument/2006/relationships/hyperlink" Target="#D.Car.!A1"/><Relationship Id="rId2" Type="http://schemas.openxmlformats.org/officeDocument/2006/relationships/hyperlink" Target="#'F9'!A1"/><Relationship Id="rId1" Type="http://schemas.openxmlformats.org/officeDocument/2006/relationships/hyperlink" Target="#Res.!A1"/></Relationships>
</file>

<file path=xl/drawings/_rels/drawing14.xml.rels><?xml version="1.0" encoding="UTF-8" standalone="yes"?>
<Relationships xmlns="http://schemas.openxmlformats.org/package/2006/relationships"><Relationship Id="rId2" Type="http://schemas.openxmlformats.org/officeDocument/2006/relationships/hyperlink" Target="#'F10'!A1"/><Relationship Id="rId1" Type="http://schemas.openxmlformats.org/officeDocument/2006/relationships/hyperlink" Target="#INICIO!A1"/></Relationships>
</file>

<file path=xl/drawings/_rels/drawing15.xml.rels><?xml version="1.0" encoding="UTF-8" standalone="yes"?>
<Relationships xmlns="http://schemas.openxmlformats.org/package/2006/relationships"><Relationship Id="rId1" Type="http://schemas.openxmlformats.org/officeDocument/2006/relationships/hyperlink" Target="#Res.!A1"/></Relationships>
</file>

<file path=xl/drawings/drawing1.xml><?xml version="1.0" encoding="utf-8"?>
<xdr:wsDr xmlns:xdr="http://schemas.openxmlformats.org/drawingml/2006/spreadsheetDrawing" xmlns:a="http://schemas.openxmlformats.org/drawingml/2006/main">
  <xdr:twoCellAnchor>
    <xdr:from>
      <xdr:col>11</xdr:col>
      <xdr:colOff>60861</xdr:colOff>
      <xdr:row>17</xdr:row>
      <xdr:rowOff>190509</xdr:rowOff>
    </xdr:from>
    <xdr:to>
      <xdr:col>11</xdr:col>
      <xdr:colOff>1005929</xdr:colOff>
      <xdr:row>18</xdr:row>
      <xdr:rowOff>154790</xdr:rowOff>
    </xdr:to>
    <xdr:sp macro="" textlink="">
      <xdr:nvSpPr>
        <xdr:cNvPr id="9" name="Rectángulo 8">
          <a:hlinkClick xmlns:r="http://schemas.openxmlformats.org/officeDocument/2006/relationships" r:id="rId1"/>
          <a:extLst>
            <a:ext uri="{FF2B5EF4-FFF2-40B4-BE49-F238E27FC236}">
              <a16:creationId xmlns:a16="http://schemas.microsoft.com/office/drawing/2014/main" id="{00000000-0008-0000-0000-000009000000}"/>
            </a:ext>
          </a:extLst>
        </xdr:cNvPr>
        <xdr:cNvSpPr/>
      </xdr:nvSpPr>
      <xdr:spPr>
        <a:xfrm>
          <a:off x="7335580" y="3690947"/>
          <a:ext cx="945068" cy="250031"/>
        </a:xfrm>
        <a:prstGeom prst="rect">
          <a:avLst/>
        </a:prstGeom>
        <a:solidFill>
          <a:schemeClr val="accent3">
            <a:lumMod val="20000"/>
            <a:lumOff val="80000"/>
          </a:schemeClr>
        </a:solid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a:solidFill>
                <a:schemeClr val="tx1"/>
              </a:solidFill>
              <a:latin typeface="Tahoma" panose="020B0604030504040204" pitchFamily="34" charset="0"/>
              <a:ea typeface="Tahoma" panose="020B0604030504040204" pitchFamily="34" charset="0"/>
              <a:cs typeface="Tahoma" panose="020B0604030504040204" pitchFamily="34" charset="0"/>
            </a:rPr>
            <a:t>F1</a:t>
          </a:r>
        </a:p>
      </xdr:txBody>
    </xdr:sp>
    <xdr:clientData/>
  </xdr:twoCellAnchor>
  <xdr:twoCellAnchor>
    <xdr:from>
      <xdr:col>11</xdr:col>
      <xdr:colOff>57813</xdr:colOff>
      <xdr:row>18</xdr:row>
      <xdr:rowOff>200034</xdr:rowOff>
    </xdr:from>
    <xdr:to>
      <xdr:col>11</xdr:col>
      <xdr:colOff>1002881</xdr:colOff>
      <xdr:row>19</xdr:row>
      <xdr:rowOff>164315</xdr:rowOff>
    </xdr:to>
    <xdr:sp macro="" textlink="">
      <xdr:nvSpPr>
        <xdr:cNvPr id="10" name="Rectángulo 9">
          <a:hlinkClick xmlns:r="http://schemas.openxmlformats.org/officeDocument/2006/relationships" r:id="rId2"/>
          <a:extLst>
            <a:ext uri="{FF2B5EF4-FFF2-40B4-BE49-F238E27FC236}">
              <a16:creationId xmlns:a16="http://schemas.microsoft.com/office/drawing/2014/main" id="{00000000-0008-0000-0000-00000A000000}"/>
            </a:ext>
          </a:extLst>
        </xdr:cNvPr>
        <xdr:cNvSpPr/>
      </xdr:nvSpPr>
      <xdr:spPr>
        <a:xfrm>
          <a:off x="7332532" y="3986222"/>
          <a:ext cx="945068" cy="250031"/>
        </a:xfrm>
        <a:prstGeom prst="rect">
          <a:avLst/>
        </a:prstGeom>
        <a:solidFill>
          <a:schemeClr val="accent3">
            <a:lumMod val="20000"/>
            <a:lumOff val="80000"/>
          </a:schemeClr>
        </a:solid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a:solidFill>
                <a:schemeClr val="tx1"/>
              </a:solidFill>
              <a:latin typeface="Tahoma" panose="020B0604030504040204" pitchFamily="34" charset="0"/>
              <a:ea typeface="Tahoma" panose="020B0604030504040204" pitchFamily="34" charset="0"/>
              <a:cs typeface="Tahoma" panose="020B0604030504040204" pitchFamily="34" charset="0"/>
            </a:rPr>
            <a:t>F2</a:t>
          </a:r>
        </a:p>
      </xdr:txBody>
    </xdr:sp>
    <xdr:clientData/>
  </xdr:twoCellAnchor>
  <xdr:twoCellAnchor>
    <xdr:from>
      <xdr:col>11</xdr:col>
      <xdr:colOff>54765</xdr:colOff>
      <xdr:row>19</xdr:row>
      <xdr:rowOff>209558</xdr:rowOff>
    </xdr:from>
    <xdr:to>
      <xdr:col>11</xdr:col>
      <xdr:colOff>999833</xdr:colOff>
      <xdr:row>20</xdr:row>
      <xdr:rowOff>173839</xdr:rowOff>
    </xdr:to>
    <xdr:sp macro="" textlink="">
      <xdr:nvSpPr>
        <xdr:cNvPr id="11" name="Rectángulo 10">
          <a:hlinkClick xmlns:r="http://schemas.openxmlformats.org/officeDocument/2006/relationships" r:id="rId3"/>
          <a:extLst>
            <a:ext uri="{FF2B5EF4-FFF2-40B4-BE49-F238E27FC236}">
              <a16:creationId xmlns:a16="http://schemas.microsoft.com/office/drawing/2014/main" id="{00000000-0008-0000-0000-00000B000000}"/>
            </a:ext>
          </a:extLst>
        </xdr:cNvPr>
        <xdr:cNvSpPr/>
      </xdr:nvSpPr>
      <xdr:spPr>
        <a:xfrm>
          <a:off x="7329484" y="4281496"/>
          <a:ext cx="945068" cy="250031"/>
        </a:xfrm>
        <a:prstGeom prst="rect">
          <a:avLst/>
        </a:prstGeom>
        <a:solidFill>
          <a:schemeClr val="accent3">
            <a:lumMod val="20000"/>
            <a:lumOff val="80000"/>
          </a:schemeClr>
        </a:solid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a:solidFill>
                <a:schemeClr val="tx1"/>
              </a:solidFill>
              <a:latin typeface="Tahoma" panose="020B0604030504040204" pitchFamily="34" charset="0"/>
              <a:ea typeface="Tahoma" panose="020B0604030504040204" pitchFamily="34" charset="0"/>
              <a:cs typeface="Tahoma" panose="020B0604030504040204" pitchFamily="34" charset="0"/>
            </a:rPr>
            <a:t>F3</a:t>
          </a:r>
        </a:p>
      </xdr:txBody>
    </xdr:sp>
    <xdr:clientData/>
  </xdr:twoCellAnchor>
  <xdr:twoCellAnchor>
    <xdr:from>
      <xdr:col>11</xdr:col>
      <xdr:colOff>55050</xdr:colOff>
      <xdr:row>20</xdr:row>
      <xdr:rowOff>230995</xdr:rowOff>
    </xdr:from>
    <xdr:to>
      <xdr:col>11</xdr:col>
      <xdr:colOff>1000118</xdr:colOff>
      <xdr:row>21</xdr:row>
      <xdr:rowOff>195276</xdr:rowOff>
    </xdr:to>
    <xdr:sp macro="" textlink="">
      <xdr:nvSpPr>
        <xdr:cNvPr id="12" name="Rectángulo 11">
          <a:hlinkClick xmlns:r="http://schemas.openxmlformats.org/officeDocument/2006/relationships" r:id="rId4"/>
          <a:extLst>
            <a:ext uri="{FF2B5EF4-FFF2-40B4-BE49-F238E27FC236}">
              <a16:creationId xmlns:a16="http://schemas.microsoft.com/office/drawing/2014/main" id="{00000000-0008-0000-0000-00000C000000}"/>
            </a:ext>
          </a:extLst>
        </xdr:cNvPr>
        <xdr:cNvSpPr/>
      </xdr:nvSpPr>
      <xdr:spPr>
        <a:xfrm>
          <a:off x="7329769" y="4588683"/>
          <a:ext cx="945068" cy="250031"/>
        </a:xfrm>
        <a:prstGeom prst="rect">
          <a:avLst/>
        </a:prstGeom>
        <a:solidFill>
          <a:schemeClr val="accent3">
            <a:lumMod val="20000"/>
            <a:lumOff val="80000"/>
          </a:schemeClr>
        </a:solid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a:solidFill>
                <a:schemeClr val="tx1"/>
              </a:solidFill>
              <a:latin typeface="Tahoma" panose="020B0604030504040204" pitchFamily="34" charset="0"/>
              <a:ea typeface="Tahoma" panose="020B0604030504040204" pitchFamily="34" charset="0"/>
              <a:cs typeface="Tahoma" panose="020B0604030504040204" pitchFamily="34" charset="0"/>
            </a:rPr>
            <a:t>F4</a:t>
          </a:r>
        </a:p>
      </xdr:txBody>
    </xdr:sp>
    <xdr:clientData/>
  </xdr:twoCellAnchor>
  <xdr:twoCellAnchor>
    <xdr:from>
      <xdr:col>11</xdr:col>
      <xdr:colOff>63917</xdr:colOff>
      <xdr:row>21</xdr:row>
      <xdr:rowOff>240522</xdr:rowOff>
    </xdr:from>
    <xdr:to>
      <xdr:col>11</xdr:col>
      <xdr:colOff>1000133</xdr:colOff>
      <xdr:row>22</xdr:row>
      <xdr:rowOff>202416</xdr:rowOff>
    </xdr:to>
    <xdr:sp macro="" textlink="">
      <xdr:nvSpPr>
        <xdr:cNvPr id="13" name="Rectángulo 12">
          <a:hlinkClick xmlns:r="http://schemas.openxmlformats.org/officeDocument/2006/relationships" r:id="rId5"/>
          <a:extLst>
            <a:ext uri="{FF2B5EF4-FFF2-40B4-BE49-F238E27FC236}">
              <a16:creationId xmlns:a16="http://schemas.microsoft.com/office/drawing/2014/main" id="{00000000-0008-0000-0000-00000D000000}"/>
            </a:ext>
          </a:extLst>
        </xdr:cNvPr>
        <xdr:cNvSpPr/>
      </xdr:nvSpPr>
      <xdr:spPr>
        <a:xfrm>
          <a:off x="7338636" y="4883960"/>
          <a:ext cx="936216" cy="247644"/>
        </a:xfrm>
        <a:prstGeom prst="rect">
          <a:avLst/>
        </a:prstGeom>
        <a:solidFill>
          <a:schemeClr val="accent3">
            <a:lumMod val="20000"/>
            <a:lumOff val="80000"/>
          </a:schemeClr>
        </a:solid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a:solidFill>
                <a:schemeClr val="tx1"/>
              </a:solidFill>
              <a:latin typeface="Tahoma" panose="020B0604030504040204" pitchFamily="34" charset="0"/>
              <a:ea typeface="Tahoma" panose="020B0604030504040204" pitchFamily="34" charset="0"/>
              <a:cs typeface="Tahoma" panose="020B0604030504040204" pitchFamily="34" charset="0"/>
            </a:rPr>
            <a:t>F5</a:t>
          </a:r>
        </a:p>
      </xdr:txBody>
    </xdr:sp>
    <xdr:clientData/>
  </xdr:twoCellAnchor>
  <xdr:twoCellAnchor>
    <xdr:from>
      <xdr:col>11</xdr:col>
      <xdr:colOff>60861</xdr:colOff>
      <xdr:row>22</xdr:row>
      <xdr:rowOff>250049</xdr:rowOff>
    </xdr:from>
    <xdr:to>
      <xdr:col>11</xdr:col>
      <xdr:colOff>1005929</xdr:colOff>
      <xdr:row>23</xdr:row>
      <xdr:rowOff>214330</xdr:rowOff>
    </xdr:to>
    <xdr:sp macro="" textlink="">
      <xdr:nvSpPr>
        <xdr:cNvPr id="14" name="Rectángulo 13">
          <a:hlinkClick xmlns:r="http://schemas.openxmlformats.org/officeDocument/2006/relationships" r:id="rId6"/>
          <a:extLst>
            <a:ext uri="{FF2B5EF4-FFF2-40B4-BE49-F238E27FC236}">
              <a16:creationId xmlns:a16="http://schemas.microsoft.com/office/drawing/2014/main" id="{00000000-0008-0000-0000-00000E000000}"/>
            </a:ext>
          </a:extLst>
        </xdr:cNvPr>
        <xdr:cNvSpPr/>
      </xdr:nvSpPr>
      <xdr:spPr>
        <a:xfrm>
          <a:off x="7335580" y="5179237"/>
          <a:ext cx="945068" cy="250031"/>
        </a:xfrm>
        <a:prstGeom prst="rect">
          <a:avLst/>
        </a:prstGeom>
        <a:solidFill>
          <a:schemeClr val="accent3">
            <a:lumMod val="20000"/>
            <a:lumOff val="80000"/>
          </a:schemeClr>
        </a:solid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a:solidFill>
                <a:schemeClr val="tx1"/>
              </a:solidFill>
              <a:latin typeface="Tahoma" panose="020B0604030504040204" pitchFamily="34" charset="0"/>
              <a:ea typeface="Tahoma" panose="020B0604030504040204" pitchFamily="34" charset="0"/>
              <a:cs typeface="Tahoma" panose="020B0604030504040204" pitchFamily="34" charset="0"/>
            </a:rPr>
            <a:t>F6</a:t>
          </a:r>
        </a:p>
      </xdr:txBody>
    </xdr:sp>
    <xdr:clientData/>
  </xdr:twoCellAnchor>
  <xdr:twoCellAnchor>
    <xdr:from>
      <xdr:col>11</xdr:col>
      <xdr:colOff>57813</xdr:colOff>
      <xdr:row>23</xdr:row>
      <xdr:rowOff>259567</xdr:rowOff>
    </xdr:from>
    <xdr:to>
      <xdr:col>11</xdr:col>
      <xdr:colOff>1002881</xdr:colOff>
      <xdr:row>24</xdr:row>
      <xdr:rowOff>223848</xdr:rowOff>
    </xdr:to>
    <xdr:sp macro="" textlink="">
      <xdr:nvSpPr>
        <xdr:cNvPr id="15" name="Rectángulo 14">
          <a:hlinkClick xmlns:r="http://schemas.openxmlformats.org/officeDocument/2006/relationships" r:id="rId7"/>
          <a:extLst>
            <a:ext uri="{FF2B5EF4-FFF2-40B4-BE49-F238E27FC236}">
              <a16:creationId xmlns:a16="http://schemas.microsoft.com/office/drawing/2014/main" id="{00000000-0008-0000-0000-00000F000000}"/>
            </a:ext>
          </a:extLst>
        </xdr:cNvPr>
        <xdr:cNvSpPr/>
      </xdr:nvSpPr>
      <xdr:spPr>
        <a:xfrm>
          <a:off x="7332532" y="5474505"/>
          <a:ext cx="945068" cy="250031"/>
        </a:xfrm>
        <a:prstGeom prst="rect">
          <a:avLst/>
        </a:prstGeom>
        <a:solidFill>
          <a:schemeClr val="accent3">
            <a:lumMod val="20000"/>
            <a:lumOff val="80000"/>
          </a:schemeClr>
        </a:solid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a:solidFill>
                <a:schemeClr val="tx1"/>
              </a:solidFill>
              <a:latin typeface="Tahoma" panose="020B0604030504040204" pitchFamily="34" charset="0"/>
              <a:ea typeface="Tahoma" panose="020B0604030504040204" pitchFamily="34" charset="0"/>
              <a:cs typeface="Tahoma" panose="020B0604030504040204" pitchFamily="34" charset="0"/>
            </a:rPr>
            <a:t>F7</a:t>
          </a:r>
        </a:p>
      </xdr:txBody>
    </xdr:sp>
    <xdr:clientData/>
  </xdr:twoCellAnchor>
  <xdr:twoCellAnchor>
    <xdr:from>
      <xdr:col>11</xdr:col>
      <xdr:colOff>54762</xdr:colOff>
      <xdr:row>24</xdr:row>
      <xdr:rowOff>269095</xdr:rowOff>
    </xdr:from>
    <xdr:to>
      <xdr:col>11</xdr:col>
      <xdr:colOff>999830</xdr:colOff>
      <xdr:row>25</xdr:row>
      <xdr:rowOff>233376</xdr:rowOff>
    </xdr:to>
    <xdr:sp macro="" textlink="">
      <xdr:nvSpPr>
        <xdr:cNvPr id="16" name="Rectángulo 15">
          <a:hlinkClick xmlns:r="http://schemas.openxmlformats.org/officeDocument/2006/relationships" r:id="rId8"/>
          <a:extLst>
            <a:ext uri="{FF2B5EF4-FFF2-40B4-BE49-F238E27FC236}">
              <a16:creationId xmlns:a16="http://schemas.microsoft.com/office/drawing/2014/main" id="{00000000-0008-0000-0000-000010000000}"/>
            </a:ext>
          </a:extLst>
        </xdr:cNvPr>
        <xdr:cNvSpPr/>
      </xdr:nvSpPr>
      <xdr:spPr>
        <a:xfrm>
          <a:off x="7329481" y="5769783"/>
          <a:ext cx="945068" cy="250031"/>
        </a:xfrm>
        <a:prstGeom prst="rect">
          <a:avLst/>
        </a:prstGeom>
        <a:solidFill>
          <a:schemeClr val="accent3">
            <a:lumMod val="20000"/>
            <a:lumOff val="80000"/>
          </a:schemeClr>
        </a:solid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a:solidFill>
                <a:schemeClr val="tx1"/>
              </a:solidFill>
              <a:latin typeface="Tahoma" panose="020B0604030504040204" pitchFamily="34" charset="0"/>
              <a:ea typeface="Tahoma" panose="020B0604030504040204" pitchFamily="34" charset="0"/>
              <a:cs typeface="Tahoma" panose="020B0604030504040204" pitchFamily="34" charset="0"/>
            </a:rPr>
            <a:t>F8</a:t>
          </a:r>
        </a:p>
      </xdr:txBody>
    </xdr:sp>
    <xdr:clientData/>
  </xdr:twoCellAnchor>
  <xdr:twoCellAnchor>
    <xdr:from>
      <xdr:col>11</xdr:col>
      <xdr:colOff>55053</xdr:colOff>
      <xdr:row>26</xdr:row>
      <xdr:rowOff>4775</xdr:rowOff>
    </xdr:from>
    <xdr:to>
      <xdr:col>11</xdr:col>
      <xdr:colOff>1000121</xdr:colOff>
      <xdr:row>26</xdr:row>
      <xdr:rowOff>254806</xdr:rowOff>
    </xdr:to>
    <xdr:sp macro="" textlink="">
      <xdr:nvSpPr>
        <xdr:cNvPr id="17" name="Rectángulo 16">
          <a:hlinkClick xmlns:r="http://schemas.openxmlformats.org/officeDocument/2006/relationships" r:id="rId9"/>
          <a:extLst>
            <a:ext uri="{FF2B5EF4-FFF2-40B4-BE49-F238E27FC236}">
              <a16:creationId xmlns:a16="http://schemas.microsoft.com/office/drawing/2014/main" id="{00000000-0008-0000-0000-000011000000}"/>
            </a:ext>
          </a:extLst>
        </xdr:cNvPr>
        <xdr:cNvSpPr/>
      </xdr:nvSpPr>
      <xdr:spPr>
        <a:xfrm>
          <a:off x="7329772" y="6076963"/>
          <a:ext cx="945068" cy="250031"/>
        </a:xfrm>
        <a:prstGeom prst="rect">
          <a:avLst/>
        </a:prstGeom>
        <a:solidFill>
          <a:schemeClr val="accent3">
            <a:lumMod val="20000"/>
            <a:lumOff val="80000"/>
          </a:schemeClr>
        </a:solid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a:solidFill>
                <a:schemeClr val="tx1"/>
              </a:solidFill>
              <a:latin typeface="Tahoma" panose="020B0604030504040204" pitchFamily="34" charset="0"/>
              <a:ea typeface="Tahoma" panose="020B0604030504040204" pitchFamily="34" charset="0"/>
              <a:cs typeface="Tahoma" panose="020B0604030504040204" pitchFamily="34" charset="0"/>
            </a:rPr>
            <a:t>F9</a:t>
          </a:r>
        </a:p>
      </xdr:txBody>
    </xdr:sp>
    <xdr:clientData/>
  </xdr:twoCellAnchor>
  <xdr:twoCellAnchor>
    <xdr:from>
      <xdr:col>11</xdr:col>
      <xdr:colOff>63909</xdr:colOff>
      <xdr:row>27</xdr:row>
      <xdr:rowOff>14298</xdr:rowOff>
    </xdr:from>
    <xdr:to>
      <xdr:col>11</xdr:col>
      <xdr:colOff>1000128</xdr:colOff>
      <xdr:row>27</xdr:row>
      <xdr:rowOff>273848</xdr:rowOff>
    </xdr:to>
    <xdr:sp macro="" textlink="">
      <xdr:nvSpPr>
        <xdr:cNvPr id="18" name="Rectángulo 17">
          <a:hlinkClick xmlns:r="http://schemas.openxmlformats.org/officeDocument/2006/relationships" r:id="rId10"/>
          <a:extLst>
            <a:ext uri="{FF2B5EF4-FFF2-40B4-BE49-F238E27FC236}">
              <a16:creationId xmlns:a16="http://schemas.microsoft.com/office/drawing/2014/main" id="{00000000-0008-0000-0000-000012000000}"/>
            </a:ext>
          </a:extLst>
        </xdr:cNvPr>
        <xdr:cNvSpPr/>
      </xdr:nvSpPr>
      <xdr:spPr>
        <a:xfrm>
          <a:off x="7338628" y="6372236"/>
          <a:ext cx="936219" cy="259550"/>
        </a:xfrm>
        <a:prstGeom prst="rect">
          <a:avLst/>
        </a:prstGeom>
        <a:solidFill>
          <a:schemeClr val="accent3">
            <a:lumMod val="20000"/>
            <a:lumOff val="80000"/>
          </a:schemeClr>
        </a:solid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a:solidFill>
                <a:schemeClr val="tx1"/>
              </a:solidFill>
              <a:latin typeface="Tahoma" panose="020B0604030504040204" pitchFamily="34" charset="0"/>
              <a:ea typeface="Tahoma" panose="020B0604030504040204" pitchFamily="34" charset="0"/>
              <a:cs typeface="Tahoma" panose="020B0604030504040204" pitchFamily="34" charset="0"/>
            </a:rPr>
            <a:t>F10</a:t>
          </a:r>
        </a:p>
      </xdr:txBody>
    </xdr:sp>
    <xdr:clientData/>
  </xdr:twoCellAnchor>
  <xdr:twoCellAnchor>
    <xdr:from>
      <xdr:col>11</xdr:col>
      <xdr:colOff>37048</xdr:colOff>
      <xdr:row>31</xdr:row>
      <xdr:rowOff>226229</xdr:rowOff>
    </xdr:from>
    <xdr:to>
      <xdr:col>11</xdr:col>
      <xdr:colOff>982116</xdr:colOff>
      <xdr:row>32</xdr:row>
      <xdr:rowOff>190510</xdr:rowOff>
    </xdr:to>
    <xdr:sp macro="" textlink="">
      <xdr:nvSpPr>
        <xdr:cNvPr id="19" name="Rectángulo 18">
          <a:hlinkClick xmlns:r="http://schemas.openxmlformats.org/officeDocument/2006/relationships" r:id="rId11"/>
          <a:extLst>
            <a:ext uri="{FF2B5EF4-FFF2-40B4-BE49-F238E27FC236}">
              <a16:creationId xmlns:a16="http://schemas.microsoft.com/office/drawing/2014/main" id="{00000000-0008-0000-0000-000013000000}"/>
            </a:ext>
          </a:extLst>
        </xdr:cNvPr>
        <xdr:cNvSpPr/>
      </xdr:nvSpPr>
      <xdr:spPr>
        <a:xfrm>
          <a:off x="7311767" y="7727167"/>
          <a:ext cx="945068" cy="250031"/>
        </a:xfrm>
        <a:prstGeom prst="rect">
          <a:avLst/>
        </a:prstGeom>
        <a:solidFill>
          <a:schemeClr val="accent3">
            <a:lumMod val="20000"/>
            <a:lumOff val="80000"/>
          </a:schemeClr>
        </a:solid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a:solidFill>
                <a:schemeClr val="tx1"/>
              </a:solidFill>
              <a:latin typeface="Tahoma" panose="020B0604030504040204" pitchFamily="34" charset="0"/>
              <a:ea typeface="Tahoma" panose="020B0604030504040204" pitchFamily="34" charset="0"/>
              <a:cs typeface="Tahoma" panose="020B0604030504040204" pitchFamily="34" charset="0"/>
            </a:rPr>
            <a:t>Result.</a:t>
          </a:r>
        </a:p>
      </xdr:txBody>
    </xdr:sp>
    <xdr:clientData/>
  </xdr:twoCellAnchor>
  <xdr:twoCellAnchor>
    <xdr:from>
      <xdr:col>12</xdr:col>
      <xdr:colOff>129249</xdr:colOff>
      <xdr:row>17</xdr:row>
      <xdr:rowOff>200035</xdr:rowOff>
    </xdr:from>
    <xdr:to>
      <xdr:col>13</xdr:col>
      <xdr:colOff>312317</xdr:colOff>
      <xdr:row>19</xdr:row>
      <xdr:rowOff>164316</xdr:rowOff>
    </xdr:to>
    <xdr:sp macro="" textlink="">
      <xdr:nvSpPr>
        <xdr:cNvPr id="20" name="Rectángulo 19">
          <a:hlinkClick xmlns:r="http://schemas.openxmlformats.org/officeDocument/2006/relationships" r:id="rId12"/>
          <a:extLst>
            <a:ext uri="{FF2B5EF4-FFF2-40B4-BE49-F238E27FC236}">
              <a16:creationId xmlns:a16="http://schemas.microsoft.com/office/drawing/2014/main" id="{00000000-0008-0000-0000-000014000000}"/>
            </a:ext>
          </a:extLst>
        </xdr:cNvPr>
        <xdr:cNvSpPr/>
      </xdr:nvSpPr>
      <xdr:spPr>
        <a:xfrm>
          <a:off x="8487437" y="3700473"/>
          <a:ext cx="945068" cy="535781"/>
        </a:xfrm>
        <a:prstGeom prst="rect">
          <a:avLst/>
        </a:prstGeom>
        <a:solidFill>
          <a:schemeClr val="accent3">
            <a:lumMod val="20000"/>
            <a:lumOff val="80000"/>
          </a:schemeClr>
        </a:solid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50" b="1">
              <a:solidFill>
                <a:schemeClr val="tx1"/>
              </a:solidFill>
              <a:latin typeface="Tahoma" panose="020B0604030504040204" pitchFamily="34" charset="0"/>
              <a:ea typeface="Tahoma" panose="020B0604030504040204" pitchFamily="34" charset="0"/>
              <a:cs typeface="Tahoma" panose="020B0604030504040204" pitchFamily="34" charset="0"/>
            </a:rPr>
            <a:t>Desc.Carac</a:t>
          </a:r>
        </a:p>
      </xdr:txBody>
    </xdr:sp>
    <xdr:clientData/>
  </xdr:twoCellAnchor>
  <xdr:twoCellAnchor>
    <xdr:from>
      <xdr:col>11</xdr:col>
      <xdr:colOff>59532</xdr:colOff>
      <xdr:row>28</xdr:row>
      <xdr:rowOff>71437</xdr:rowOff>
    </xdr:from>
    <xdr:to>
      <xdr:col>11</xdr:col>
      <xdr:colOff>995751</xdr:colOff>
      <xdr:row>29</xdr:row>
      <xdr:rowOff>45237</xdr:rowOff>
    </xdr:to>
    <xdr:sp macro="" textlink="">
      <xdr:nvSpPr>
        <xdr:cNvPr id="21" name="Rectángulo 20">
          <a:hlinkClick xmlns:r="http://schemas.openxmlformats.org/officeDocument/2006/relationships" r:id="rId10"/>
          <a:extLst>
            <a:ext uri="{FF2B5EF4-FFF2-40B4-BE49-F238E27FC236}">
              <a16:creationId xmlns:a16="http://schemas.microsoft.com/office/drawing/2014/main" id="{00000000-0008-0000-0000-000015000000}"/>
            </a:ext>
          </a:extLst>
        </xdr:cNvPr>
        <xdr:cNvSpPr/>
      </xdr:nvSpPr>
      <xdr:spPr>
        <a:xfrm>
          <a:off x="7334251" y="6715125"/>
          <a:ext cx="936219" cy="259550"/>
        </a:xfrm>
        <a:prstGeom prst="rect">
          <a:avLst/>
        </a:prstGeom>
        <a:solidFill>
          <a:schemeClr val="accent3">
            <a:lumMod val="20000"/>
            <a:lumOff val="80000"/>
          </a:schemeClr>
        </a:solid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a:solidFill>
                <a:schemeClr val="tx1"/>
              </a:solidFill>
              <a:latin typeface="Tahoma" panose="020B0604030504040204" pitchFamily="34" charset="0"/>
              <a:ea typeface="Tahoma" panose="020B0604030504040204" pitchFamily="34" charset="0"/>
              <a:cs typeface="Tahoma" panose="020B0604030504040204" pitchFamily="34" charset="0"/>
            </a:rPr>
            <a:t>F10</a:t>
          </a:r>
        </a:p>
      </xdr:txBody>
    </xdr:sp>
    <xdr:clientData/>
  </xdr:twoCellAnchor>
  <xdr:twoCellAnchor>
    <xdr:from>
      <xdr:col>11</xdr:col>
      <xdr:colOff>57150</xdr:colOff>
      <xdr:row>29</xdr:row>
      <xdr:rowOff>116678</xdr:rowOff>
    </xdr:from>
    <xdr:to>
      <xdr:col>11</xdr:col>
      <xdr:colOff>993369</xdr:colOff>
      <xdr:row>30</xdr:row>
      <xdr:rowOff>90478</xdr:rowOff>
    </xdr:to>
    <xdr:sp macro="" textlink="">
      <xdr:nvSpPr>
        <xdr:cNvPr id="22" name="Rectángulo 21">
          <a:hlinkClick xmlns:r="http://schemas.openxmlformats.org/officeDocument/2006/relationships" r:id="rId13"/>
          <a:extLst>
            <a:ext uri="{FF2B5EF4-FFF2-40B4-BE49-F238E27FC236}">
              <a16:creationId xmlns:a16="http://schemas.microsoft.com/office/drawing/2014/main" id="{00000000-0008-0000-0000-000016000000}"/>
            </a:ext>
          </a:extLst>
        </xdr:cNvPr>
        <xdr:cNvSpPr/>
      </xdr:nvSpPr>
      <xdr:spPr>
        <a:xfrm>
          <a:off x="7331869" y="7046116"/>
          <a:ext cx="936219" cy="259550"/>
        </a:xfrm>
        <a:prstGeom prst="rect">
          <a:avLst/>
        </a:prstGeom>
        <a:solidFill>
          <a:schemeClr val="accent3">
            <a:lumMod val="20000"/>
            <a:lumOff val="80000"/>
          </a:schemeClr>
        </a:solid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a:solidFill>
                <a:schemeClr val="tx1"/>
              </a:solidFill>
              <a:latin typeface="Tahoma" panose="020B0604030504040204" pitchFamily="34" charset="0"/>
              <a:ea typeface="Tahoma" panose="020B0604030504040204" pitchFamily="34" charset="0"/>
              <a:cs typeface="Tahoma" panose="020B0604030504040204" pitchFamily="34" charset="0"/>
            </a:rPr>
            <a:t>F11</a:t>
          </a:r>
        </a:p>
      </xdr:txBody>
    </xdr:sp>
    <xdr:clientData/>
  </xdr:twoCellAnchor>
  <xdr:twoCellAnchor>
    <xdr:from>
      <xdr:col>11</xdr:col>
      <xdr:colOff>42866</xdr:colOff>
      <xdr:row>30</xdr:row>
      <xdr:rowOff>185734</xdr:rowOff>
    </xdr:from>
    <xdr:to>
      <xdr:col>11</xdr:col>
      <xdr:colOff>979085</xdr:colOff>
      <xdr:row>31</xdr:row>
      <xdr:rowOff>159534</xdr:rowOff>
    </xdr:to>
    <xdr:sp macro="" textlink="">
      <xdr:nvSpPr>
        <xdr:cNvPr id="23" name="Rectángulo 22">
          <a:hlinkClick xmlns:r="http://schemas.openxmlformats.org/officeDocument/2006/relationships" r:id="rId14"/>
          <a:extLst>
            <a:ext uri="{FF2B5EF4-FFF2-40B4-BE49-F238E27FC236}">
              <a16:creationId xmlns:a16="http://schemas.microsoft.com/office/drawing/2014/main" id="{00000000-0008-0000-0000-000017000000}"/>
            </a:ext>
          </a:extLst>
        </xdr:cNvPr>
        <xdr:cNvSpPr/>
      </xdr:nvSpPr>
      <xdr:spPr>
        <a:xfrm>
          <a:off x="7317585" y="7400922"/>
          <a:ext cx="936219" cy="259550"/>
        </a:xfrm>
        <a:prstGeom prst="rect">
          <a:avLst/>
        </a:prstGeom>
        <a:solidFill>
          <a:schemeClr val="accent3">
            <a:lumMod val="20000"/>
            <a:lumOff val="80000"/>
          </a:schemeClr>
        </a:solid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a:solidFill>
                <a:schemeClr val="tx1"/>
              </a:solidFill>
              <a:latin typeface="Tahoma" panose="020B0604030504040204" pitchFamily="34" charset="0"/>
              <a:ea typeface="Tahoma" panose="020B0604030504040204" pitchFamily="34" charset="0"/>
              <a:cs typeface="Tahoma" panose="020B0604030504040204" pitchFamily="34" charset="0"/>
            </a:rPr>
            <a:t>F12</a:t>
          </a:r>
        </a:p>
      </xdr:txBody>
    </xdr:sp>
    <xdr:clientData/>
  </xdr:twoCellAnchor>
  <xdr:twoCellAnchor>
    <xdr:from>
      <xdr:col>1</xdr:col>
      <xdr:colOff>821531</xdr:colOff>
      <xdr:row>2</xdr:row>
      <xdr:rowOff>107156</xdr:rowOff>
    </xdr:from>
    <xdr:to>
      <xdr:col>12</xdr:col>
      <xdr:colOff>11906</xdr:colOff>
      <xdr:row>9</xdr:row>
      <xdr:rowOff>0</xdr:rowOff>
    </xdr:to>
    <xdr:grpSp>
      <xdr:nvGrpSpPr>
        <xdr:cNvPr id="24" name="Grupo 23">
          <a:extLst>
            <a:ext uri="{FF2B5EF4-FFF2-40B4-BE49-F238E27FC236}">
              <a16:creationId xmlns:a16="http://schemas.microsoft.com/office/drawing/2014/main" id="{00000000-0008-0000-0000-000018000000}"/>
            </a:ext>
          </a:extLst>
        </xdr:cNvPr>
        <xdr:cNvGrpSpPr/>
      </xdr:nvGrpSpPr>
      <xdr:grpSpPr>
        <a:xfrm>
          <a:off x="1050131" y="469106"/>
          <a:ext cx="7334250" cy="1226344"/>
          <a:chOff x="0" y="0"/>
          <a:chExt cx="6410325" cy="1000486"/>
        </a:xfrm>
      </xdr:grpSpPr>
      <xdr:sp macro="" textlink="">
        <xdr:nvSpPr>
          <xdr:cNvPr id="25" name="CuadroTexto 2">
            <a:extLst>
              <a:ext uri="{FF2B5EF4-FFF2-40B4-BE49-F238E27FC236}">
                <a16:creationId xmlns:a16="http://schemas.microsoft.com/office/drawing/2014/main" id="{00000000-0008-0000-0000-000019000000}"/>
              </a:ext>
            </a:extLst>
          </xdr:cNvPr>
          <xdr:cNvSpPr txBox="1">
            <a:spLocks noChangeAspect="1"/>
          </xdr:cNvSpPr>
        </xdr:nvSpPr>
        <xdr:spPr>
          <a:xfrm>
            <a:off x="0" y="361"/>
            <a:ext cx="1181099" cy="100012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endParaRPr lang="es-CO"/>
          </a:p>
        </xdr:txBody>
      </xdr:sp>
      <xdr:sp macro="" textlink="">
        <xdr:nvSpPr>
          <xdr:cNvPr id="26" name="CuadroTexto 3">
            <a:extLst>
              <a:ext uri="{FF2B5EF4-FFF2-40B4-BE49-F238E27FC236}">
                <a16:creationId xmlns:a16="http://schemas.microsoft.com/office/drawing/2014/main" id="{00000000-0008-0000-0000-00001A000000}"/>
              </a:ext>
            </a:extLst>
          </xdr:cNvPr>
          <xdr:cNvSpPr txBox="1">
            <a:spLocks noChangeAspect="1"/>
          </xdr:cNvSpPr>
        </xdr:nvSpPr>
        <xdr:spPr>
          <a:xfrm>
            <a:off x="1181099" y="0"/>
            <a:ext cx="3695701" cy="50410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pPr algn="ctr">
              <a:spcAft>
                <a:spcPts val="0"/>
              </a:spcAft>
            </a:pPr>
            <a:r>
              <a:rPr lang="es-ES" sz="1100" b="1">
                <a:solidFill>
                  <a:srgbClr val="000000"/>
                </a:solidFill>
                <a:effectLst/>
                <a:latin typeface="Arial" panose="020B0604020202020204" pitchFamily="34" charset="0"/>
                <a:ea typeface="Times New Roman" panose="02020603050405020304" pitchFamily="18" charset="0"/>
              </a:rPr>
              <a:t>AUTOEVALUACIÓN INSTITUCIONAL</a:t>
            </a:r>
            <a:endParaRPr lang="es-CO" sz="1200">
              <a:effectLst/>
              <a:latin typeface="Times New Roman" panose="02020603050405020304" pitchFamily="18" charset="0"/>
              <a:ea typeface="Times New Roman" panose="02020603050405020304" pitchFamily="18" charset="0"/>
            </a:endParaRPr>
          </a:p>
        </xdr:txBody>
      </xdr:sp>
      <xdr:sp macro="" textlink="">
        <xdr:nvSpPr>
          <xdr:cNvPr id="27" name="CuadroTexto 4">
            <a:extLst>
              <a:ext uri="{FF2B5EF4-FFF2-40B4-BE49-F238E27FC236}">
                <a16:creationId xmlns:a16="http://schemas.microsoft.com/office/drawing/2014/main" id="{00000000-0008-0000-0000-00001B000000}"/>
              </a:ext>
            </a:extLst>
          </xdr:cNvPr>
          <xdr:cNvSpPr txBox="1">
            <a:spLocks noChangeAspect="1"/>
          </xdr:cNvSpPr>
        </xdr:nvSpPr>
        <xdr:spPr>
          <a:xfrm>
            <a:off x="1181101" y="505185"/>
            <a:ext cx="3695700" cy="49530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pPr algn="ctr">
              <a:spcAft>
                <a:spcPts val="0"/>
              </a:spcAft>
            </a:pPr>
            <a:r>
              <a:rPr lang="es-ES" sz="1100" b="1">
                <a:solidFill>
                  <a:srgbClr val="000000"/>
                </a:solidFill>
                <a:effectLst/>
                <a:latin typeface="Arial" panose="020B0604020202020204" pitchFamily="34" charset="0"/>
                <a:ea typeface="Times New Roman" panose="02020603050405020304" pitchFamily="18" charset="0"/>
              </a:rPr>
              <a:t>MATRIZ DE PONDERACIÓN PROGRAMAS ACADÉMICOS</a:t>
            </a:r>
            <a:endParaRPr lang="es-CO" sz="1200">
              <a:effectLst/>
              <a:latin typeface="Times New Roman" panose="02020603050405020304" pitchFamily="18" charset="0"/>
              <a:ea typeface="Times New Roman" panose="02020603050405020304" pitchFamily="18" charset="0"/>
            </a:endParaRPr>
          </a:p>
        </xdr:txBody>
      </xdr:sp>
      <xdr:pic>
        <xdr:nvPicPr>
          <xdr:cNvPr id="28" name="Imagen 27">
            <a:extLst>
              <a:ext uri="{FF2B5EF4-FFF2-40B4-BE49-F238E27FC236}">
                <a16:creationId xmlns:a16="http://schemas.microsoft.com/office/drawing/2014/main" id="{00000000-0008-0000-0000-00001C000000}"/>
              </a:ext>
            </a:extLst>
          </xdr:cNvPr>
          <xdr:cNvPicPr>
            <a:picLocks noChangeAspect="1"/>
          </xdr:cNvPicPr>
        </xdr:nvPicPr>
        <xdr:blipFill rotWithShape="1">
          <a:blip xmlns:r="http://schemas.openxmlformats.org/officeDocument/2006/relationships" r:embed="rId15">
            <a:extLst>
              <a:ext uri="{28A0092B-C50C-407E-A947-70E740481C1C}">
                <a14:useLocalDpi xmlns:a14="http://schemas.microsoft.com/office/drawing/2010/main" val="0"/>
              </a:ext>
            </a:extLst>
          </a:blip>
          <a:srcRect t="10238" b="9428"/>
          <a:stretch/>
        </xdr:blipFill>
        <xdr:spPr bwMode="auto">
          <a:xfrm>
            <a:off x="152400" y="28934"/>
            <a:ext cx="910590" cy="952501"/>
          </a:xfrm>
          <a:prstGeom prst="rect">
            <a:avLst/>
          </a:prstGeom>
          <a:ln>
            <a:noFill/>
          </a:ln>
          <a:extLst>
            <a:ext uri="{53640926-AAD7-44D8-BBD7-CCE9431645EC}">
              <a14:shadowObscured xmlns:a14="http://schemas.microsoft.com/office/drawing/2010/main"/>
            </a:ext>
          </a:extLst>
        </xdr:spPr>
      </xdr:pic>
      <xdr:sp macro="" textlink="">
        <xdr:nvSpPr>
          <xdr:cNvPr id="29" name="CuadroTexto 6">
            <a:extLst>
              <a:ext uri="{FF2B5EF4-FFF2-40B4-BE49-F238E27FC236}">
                <a16:creationId xmlns:a16="http://schemas.microsoft.com/office/drawing/2014/main" id="{00000000-0008-0000-0000-00001D000000}"/>
              </a:ext>
            </a:extLst>
          </xdr:cNvPr>
          <xdr:cNvSpPr txBox="1">
            <a:spLocks noChangeAspect="1"/>
          </xdr:cNvSpPr>
        </xdr:nvSpPr>
        <xdr:spPr>
          <a:xfrm>
            <a:off x="4876800" y="35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pPr algn="ctr">
              <a:spcAft>
                <a:spcPts val="0"/>
              </a:spcAft>
            </a:pPr>
            <a:r>
              <a:rPr lang="es-ES" sz="1100" b="1">
                <a:solidFill>
                  <a:srgbClr val="000000"/>
                </a:solidFill>
                <a:effectLst/>
                <a:latin typeface="Arial" panose="020B0604020202020204" pitchFamily="34" charset="0"/>
                <a:ea typeface="Times New Roman" panose="02020603050405020304" pitchFamily="18" charset="0"/>
              </a:rPr>
              <a:t>Código: FO-AU-002</a:t>
            </a:r>
            <a:endParaRPr lang="es-CO" sz="1200">
              <a:effectLst/>
              <a:latin typeface="Times New Roman" panose="02020603050405020304" pitchFamily="18" charset="0"/>
              <a:ea typeface="Times New Roman" panose="02020603050405020304" pitchFamily="18" charset="0"/>
            </a:endParaRPr>
          </a:p>
        </xdr:txBody>
      </xdr:sp>
      <xdr:sp macro="" textlink="">
        <xdr:nvSpPr>
          <xdr:cNvPr id="30" name="CuadroTexto 7">
            <a:extLst>
              <a:ext uri="{FF2B5EF4-FFF2-40B4-BE49-F238E27FC236}">
                <a16:creationId xmlns:a16="http://schemas.microsoft.com/office/drawing/2014/main" id="{00000000-0008-0000-0000-00001E000000}"/>
              </a:ext>
            </a:extLst>
          </xdr:cNvPr>
          <xdr:cNvSpPr txBox="1">
            <a:spLocks noChangeAspect="1"/>
          </xdr:cNvSpPr>
        </xdr:nvSpPr>
        <xdr:spPr>
          <a:xfrm>
            <a:off x="4876800" y="333734"/>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pPr algn="ctr">
              <a:spcAft>
                <a:spcPts val="0"/>
              </a:spcAft>
            </a:pPr>
            <a:r>
              <a:rPr lang="es-ES" sz="1100" b="1">
                <a:solidFill>
                  <a:srgbClr val="000000"/>
                </a:solidFill>
                <a:effectLst/>
                <a:latin typeface="Arial" panose="020B0604020202020204" pitchFamily="34" charset="0"/>
                <a:ea typeface="Times New Roman" panose="02020603050405020304" pitchFamily="18" charset="0"/>
              </a:rPr>
              <a:t>Versión: 01</a:t>
            </a:r>
            <a:endParaRPr lang="es-CO" sz="1200">
              <a:effectLst/>
              <a:latin typeface="Times New Roman" panose="02020603050405020304" pitchFamily="18" charset="0"/>
              <a:ea typeface="Times New Roman" panose="02020603050405020304" pitchFamily="18" charset="0"/>
            </a:endParaRPr>
          </a:p>
        </xdr:txBody>
      </xdr:sp>
      <xdr:sp macro="" textlink="">
        <xdr:nvSpPr>
          <xdr:cNvPr id="31" name="CuadroTexto 8">
            <a:extLst>
              <a:ext uri="{FF2B5EF4-FFF2-40B4-BE49-F238E27FC236}">
                <a16:creationId xmlns:a16="http://schemas.microsoft.com/office/drawing/2014/main" id="{00000000-0008-0000-0000-00001F000000}"/>
              </a:ext>
            </a:extLst>
          </xdr:cNvPr>
          <xdr:cNvSpPr txBox="1">
            <a:spLocks noChangeAspect="1"/>
          </xdr:cNvSpPr>
        </xdr:nvSpPr>
        <xdr:spPr>
          <a:xfrm>
            <a:off x="4876800" y="66710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7200" tIns="7200" rIns="7200" bIns="7200" rtlCol="0" anchor="ctr"/>
          <a:lstStyle/>
          <a:p>
            <a:pPr algn="ctr">
              <a:spcAft>
                <a:spcPts val="0"/>
              </a:spcAft>
            </a:pPr>
            <a:r>
              <a:rPr lang="es-ES" sz="1000" b="1">
                <a:solidFill>
                  <a:srgbClr val="000000"/>
                </a:solidFill>
                <a:effectLst/>
                <a:latin typeface="Arial" panose="020B0604020202020204" pitchFamily="34" charset="0"/>
                <a:ea typeface="Times New Roman" panose="02020603050405020304" pitchFamily="18" charset="0"/>
              </a:rPr>
              <a:t>Fecha: Octubre 2023</a:t>
            </a:r>
            <a:endParaRPr lang="es-CO" sz="1200">
              <a:effectLst/>
              <a:latin typeface="Times New Roman" panose="02020603050405020304" pitchFamily="18" charset="0"/>
              <a:ea typeface="Times New Roman" panose="02020603050405020304" pitchFamily="18"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19</xdr:col>
      <xdr:colOff>332097</xdr:colOff>
      <xdr:row>1</xdr:row>
      <xdr:rowOff>322611</xdr:rowOff>
    </xdr:from>
    <xdr:to>
      <xdr:col>20</xdr:col>
      <xdr:colOff>444498</xdr:colOff>
      <xdr:row>1</xdr:row>
      <xdr:rowOff>550333</xdr:rowOff>
    </xdr:to>
    <xdr:sp macro="" textlink="">
      <xdr:nvSpPr>
        <xdr:cNvPr id="2" name="Bisel 1">
          <a:hlinkClick xmlns:r="http://schemas.openxmlformats.org/officeDocument/2006/relationships" r:id="rId1"/>
          <a:extLst>
            <a:ext uri="{FF2B5EF4-FFF2-40B4-BE49-F238E27FC236}">
              <a16:creationId xmlns:a16="http://schemas.microsoft.com/office/drawing/2014/main" id="{00000000-0008-0000-0100-000002000000}"/>
            </a:ext>
          </a:extLst>
        </xdr:cNvPr>
        <xdr:cNvSpPr/>
      </xdr:nvSpPr>
      <xdr:spPr>
        <a:xfrm>
          <a:off x="11561014" y="513111"/>
          <a:ext cx="874401" cy="227722"/>
        </a:xfrm>
        <a:prstGeom prst="bevel">
          <a:avLst/>
        </a:prstGeom>
        <a:solidFill>
          <a:schemeClr val="accent6">
            <a:lumMod val="40000"/>
            <a:lumOff val="60000"/>
          </a:schemeClr>
        </a:solidFill>
        <a:ln>
          <a:solidFill>
            <a:schemeClr val="accent6">
              <a:lumMod val="60000"/>
              <a:lumOff val="4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SIGUIENTE</a:t>
          </a:r>
          <a:endParaRPr lang="es-CO" sz="6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19</xdr:col>
      <xdr:colOff>326987</xdr:colOff>
      <xdr:row>0</xdr:row>
      <xdr:rowOff>166414</xdr:rowOff>
    </xdr:from>
    <xdr:to>
      <xdr:col>20</xdr:col>
      <xdr:colOff>441372</xdr:colOff>
      <xdr:row>1</xdr:row>
      <xdr:rowOff>218208</xdr:rowOff>
    </xdr:to>
    <xdr:sp macro="" textlink="">
      <xdr:nvSpPr>
        <xdr:cNvPr id="3" name="Bisel 2">
          <a:hlinkClick xmlns:r="http://schemas.openxmlformats.org/officeDocument/2006/relationships" r:id="rId2"/>
          <a:extLst>
            <a:ext uri="{FF2B5EF4-FFF2-40B4-BE49-F238E27FC236}">
              <a16:creationId xmlns:a16="http://schemas.microsoft.com/office/drawing/2014/main" id="{00000000-0008-0000-0100-000003000000}"/>
            </a:ext>
          </a:extLst>
        </xdr:cNvPr>
        <xdr:cNvSpPr/>
      </xdr:nvSpPr>
      <xdr:spPr>
        <a:xfrm>
          <a:off x="11555904" y="166414"/>
          <a:ext cx="876385" cy="242294"/>
        </a:xfrm>
        <a:prstGeom prst="bevel">
          <a:avLst/>
        </a:prstGeom>
        <a:solidFill>
          <a:schemeClr val="accent2">
            <a:lumMod val="20000"/>
            <a:lumOff val="80000"/>
          </a:schemeClr>
        </a:solidFill>
        <a:ln>
          <a:solidFill>
            <a:schemeClr val="accent2">
              <a:lumMod val="40000"/>
              <a:lumOff val="6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marL="0" indent="0"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ATRAS</a:t>
          </a:r>
        </a:p>
      </xdr:txBody>
    </xdr:sp>
    <xdr:clientData/>
  </xdr:twoCellAnchor>
  <xdr:twoCellAnchor>
    <xdr:from>
      <xdr:col>16</xdr:col>
      <xdr:colOff>148168</xdr:colOff>
      <xdr:row>13</xdr:row>
      <xdr:rowOff>52917</xdr:rowOff>
    </xdr:from>
    <xdr:to>
      <xdr:col>19</xdr:col>
      <xdr:colOff>0</xdr:colOff>
      <xdr:row>14</xdr:row>
      <xdr:rowOff>52919</xdr:rowOff>
    </xdr:to>
    <xdr:sp macro="" textlink="">
      <xdr:nvSpPr>
        <xdr:cNvPr id="6" name="Bisel 5">
          <a:hlinkClick xmlns:r="http://schemas.openxmlformats.org/officeDocument/2006/relationships" r:id="rId3"/>
          <a:extLst>
            <a:ext uri="{FF2B5EF4-FFF2-40B4-BE49-F238E27FC236}">
              <a16:creationId xmlns:a16="http://schemas.microsoft.com/office/drawing/2014/main" id="{00000000-0008-0000-0100-000006000000}"/>
            </a:ext>
          </a:extLst>
        </xdr:cNvPr>
        <xdr:cNvSpPr/>
      </xdr:nvSpPr>
      <xdr:spPr>
        <a:xfrm>
          <a:off x="9080501" y="5693834"/>
          <a:ext cx="2148416" cy="179918"/>
        </a:xfrm>
        <a:prstGeom prst="bevel">
          <a:avLst/>
        </a:prstGeom>
        <a:solidFill>
          <a:schemeClr val="accent6">
            <a:lumMod val="40000"/>
            <a:lumOff val="6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IR</a:t>
          </a:r>
          <a:r>
            <a:rPr lang="es-CO" sz="700"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DESCRIPCIÓN DE LA CARACTERÍSTICA</a:t>
          </a:r>
          <a:endPar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19</xdr:col>
      <xdr:colOff>343780</xdr:colOff>
      <xdr:row>1</xdr:row>
      <xdr:rowOff>346697</xdr:rowOff>
    </xdr:from>
    <xdr:to>
      <xdr:col>20</xdr:col>
      <xdr:colOff>456181</xdr:colOff>
      <xdr:row>1</xdr:row>
      <xdr:rowOff>574419</xdr:rowOff>
    </xdr:to>
    <xdr:sp macro="" textlink="">
      <xdr:nvSpPr>
        <xdr:cNvPr id="2" name="Bisel 1">
          <a:hlinkClick xmlns:r="http://schemas.openxmlformats.org/officeDocument/2006/relationships" r:id="rId1"/>
          <a:extLst>
            <a:ext uri="{FF2B5EF4-FFF2-40B4-BE49-F238E27FC236}">
              <a16:creationId xmlns:a16="http://schemas.microsoft.com/office/drawing/2014/main" id="{00000000-0008-0000-0200-000002000000}"/>
            </a:ext>
          </a:extLst>
        </xdr:cNvPr>
        <xdr:cNvSpPr/>
      </xdr:nvSpPr>
      <xdr:spPr>
        <a:xfrm>
          <a:off x="11572697" y="537197"/>
          <a:ext cx="874401" cy="227722"/>
        </a:xfrm>
        <a:prstGeom prst="bevel">
          <a:avLst/>
        </a:prstGeom>
        <a:solidFill>
          <a:schemeClr val="accent6">
            <a:lumMod val="40000"/>
            <a:lumOff val="60000"/>
          </a:schemeClr>
        </a:solidFill>
        <a:ln>
          <a:solidFill>
            <a:schemeClr val="accent6">
              <a:lumMod val="60000"/>
              <a:lumOff val="4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SIGUIENTE</a:t>
          </a:r>
          <a:endParaRPr lang="es-CO" sz="6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19</xdr:col>
      <xdr:colOff>338670</xdr:colOff>
      <xdr:row>1</xdr:row>
      <xdr:rowOff>0</xdr:rowOff>
    </xdr:from>
    <xdr:to>
      <xdr:col>20</xdr:col>
      <xdr:colOff>453055</xdr:colOff>
      <xdr:row>1</xdr:row>
      <xdr:rowOff>242294</xdr:rowOff>
    </xdr:to>
    <xdr:sp macro="" textlink="">
      <xdr:nvSpPr>
        <xdr:cNvPr id="3" name="Bisel 2">
          <a:hlinkClick xmlns:r="http://schemas.openxmlformats.org/officeDocument/2006/relationships" r:id="rId2"/>
          <a:extLst>
            <a:ext uri="{FF2B5EF4-FFF2-40B4-BE49-F238E27FC236}">
              <a16:creationId xmlns:a16="http://schemas.microsoft.com/office/drawing/2014/main" id="{00000000-0008-0000-0200-000003000000}"/>
            </a:ext>
          </a:extLst>
        </xdr:cNvPr>
        <xdr:cNvSpPr/>
      </xdr:nvSpPr>
      <xdr:spPr>
        <a:xfrm>
          <a:off x="11567587" y="190500"/>
          <a:ext cx="876385" cy="242294"/>
        </a:xfrm>
        <a:prstGeom prst="bevel">
          <a:avLst/>
        </a:prstGeom>
        <a:solidFill>
          <a:schemeClr val="accent2">
            <a:lumMod val="20000"/>
            <a:lumOff val="80000"/>
          </a:schemeClr>
        </a:solidFill>
        <a:ln>
          <a:solidFill>
            <a:schemeClr val="accent2">
              <a:lumMod val="40000"/>
              <a:lumOff val="6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marL="0" indent="0"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ATRAS</a:t>
          </a:r>
        </a:p>
      </xdr:txBody>
    </xdr:sp>
    <xdr:clientData/>
  </xdr:twoCellAnchor>
  <xdr:twoCellAnchor>
    <xdr:from>
      <xdr:col>16</xdr:col>
      <xdr:colOff>158748</xdr:colOff>
      <xdr:row>19</xdr:row>
      <xdr:rowOff>63497</xdr:rowOff>
    </xdr:from>
    <xdr:to>
      <xdr:col>19</xdr:col>
      <xdr:colOff>10580</xdr:colOff>
      <xdr:row>20</xdr:row>
      <xdr:rowOff>63499</xdr:rowOff>
    </xdr:to>
    <xdr:sp macro="" textlink="">
      <xdr:nvSpPr>
        <xdr:cNvPr id="4" name="Bisel 3">
          <a:hlinkClick xmlns:r="http://schemas.openxmlformats.org/officeDocument/2006/relationships" r:id="rId3"/>
          <a:extLst>
            <a:ext uri="{FF2B5EF4-FFF2-40B4-BE49-F238E27FC236}">
              <a16:creationId xmlns:a16="http://schemas.microsoft.com/office/drawing/2014/main" id="{00000000-0008-0000-0200-000004000000}"/>
            </a:ext>
          </a:extLst>
        </xdr:cNvPr>
        <xdr:cNvSpPr/>
      </xdr:nvSpPr>
      <xdr:spPr>
        <a:xfrm>
          <a:off x="9091081" y="6783914"/>
          <a:ext cx="2148416" cy="179918"/>
        </a:xfrm>
        <a:prstGeom prst="bevel">
          <a:avLst/>
        </a:prstGeom>
        <a:solidFill>
          <a:schemeClr val="accent6">
            <a:lumMod val="40000"/>
            <a:lumOff val="6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IR</a:t>
          </a:r>
          <a:r>
            <a:rPr lang="es-CO" sz="700"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DESCRIPCIÓN DE LA CARACTERÍSTICA</a:t>
          </a:r>
          <a:endPar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19</xdr:col>
      <xdr:colOff>333199</xdr:colOff>
      <xdr:row>1</xdr:row>
      <xdr:rowOff>346697</xdr:rowOff>
    </xdr:from>
    <xdr:to>
      <xdr:col>20</xdr:col>
      <xdr:colOff>445600</xdr:colOff>
      <xdr:row>1</xdr:row>
      <xdr:rowOff>574419</xdr:rowOff>
    </xdr:to>
    <xdr:sp macro="" textlink="">
      <xdr:nvSpPr>
        <xdr:cNvPr id="4" name="Bisel 3">
          <a:hlinkClick xmlns:r="http://schemas.openxmlformats.org/officeDocument/2006/relationships" r:id="rId1"/>
          <a:extLst>
            <a:ext uri="{FF2B5EF4-FFF2-40B4-BE49-F238E27FC236}">
              <a16:creationId xmlns:a16="http://schemas.microsoft.com/office/drawing/2014/main" id="{00000000-0008-0000-0300-000004000000}"/>
            </a:ext>
          </a:extLst>
        </xdr:cNvPr>
        <xdr:cNvSpPr/>
      </xdr:nvSpPr>
      <xdr:spPr>
        <a:xfrm>
          <a:off x="12535782" y="537197"/>
          <a:ext cx="874401" cy="227722"/>
        </a:xfrm>
        <a:prstGeom prst="bevel">
          <a:avLst/>
        </a:prstGeom>
        <a:solidFill>
          <a:schemeClr val="accent6">
            <a:lumMod val="40000"/>
            <a:lumOff val="60000"/>
          </a:schemeClr>
        </a:solidFill>
        <a:ln>
          <a:solidFill>
            <a:schemeClr val="accent6">
              <a:lumMod val="60000"/>
              <a:lumOff val="4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SIGUIENTE</a:t>
          </a:r>
          <a:endParaRPr lang="es-CO" sz="6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19</xdr:col>
      <xdr:colOff>328089</xdr:colOff>
      <xdr:row>1</xdr:row>
      <xdr:rowOff>0</xdr:rowOff>
    </xdr:from>
    <xdr:to>
      <xdr:col>20</xdr:col>
      <xdr:colOff>442474</xdr:colOff>
      <xdr:row>1</xdr:row>
      <xdr:rowOff>242294</xdr:rowOff>
    </xdr:to>
    <xdr:sp macro="" textlink="">
      <xdr:nvSpPr>
        <xdr:cNvPr id="5" name="Bisel 4">
          <a:hlinkClick xmlns:r="http://schemas.openxmlformats.org/officeDocument/2006/relationships" r:id="rId2"/>
          <a:extLst>
            <a:ext uri="{FF2B5EF4-FFF2-40B4-BE49-F238E27FC236}">
              <a16:creationId xmlns:a16="http://schemas.microsoft.com/office/drawing/2014/main" id="{00000000-0008-0000-0300-000005000000}"/>
            </a:ext>
          </a:extLst>
        </xdr:cNvPr>
        <xdr:cNvSpPr/>
      </xdr:nvSpPr>
      <xdr:spPr>
        <a:xfrm>
          <a:off x="12530672" y="190500"/>
          <a:ext cx="876385" cy="242294"/>
        </a:xfrm>
        <a:prstGeom prst="bevel">
          <a:avLst/>
        </a:prstGeom>
        <a:solidFill>
          <a:schemeClr val="accent2">
            <a:lumMod val="20000"/>
            <a:lumOff val="80000"/>
          </a:schemeClr>
        </a:solidFill>
        <a:ln>
          <a:solidFill>
            <a:schemeClr val="accent2">
              <a:lumMod val="40000"/>
              <a:lumOff val="6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marL="0" indent="0"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ATRAS</a:t>
          </a:r>
        </a:p>
      </xdr:txBody>
    </xdr:sp>
    <xdr:clientData/>
  </xdr:twoCellAnchor>
  <xdr:twoCellAnchor>
    <xdr:from>
      <xdr:col>16</xdr:col>
      <xdr:colOff>148171</xdr:colOff>
      <xdr:row>25</xdr:row>
      <xdr:rowOff>63498</xdr:rowOff>
    </xdr:from>
    <xdr:to>
      <xdr:col>19</xdr:col>
      <xdr:colOff>4</xdr:colOff>
      <xdr:row>26</xdr:row>
      <xdr:rowOff>63500</xdr:rowOff>
    </xdr:to>
    <xdr:sp macro="" textlink="">
      <xdr:nvSpPr>
        <xdr:cNvPr id="6" name="Bisel 5">
          <a:hlinkClick xmlns:r="http://schemas.openxmlformats.org/officeDocument/2006/relationships" r:id="rId3"/>
          <a:extLst>
            <a:ext uri="{FF2B5EF4-FFF2-40B4-BE49-F238E27FC236}">
              <a16:creationId xmlns:a16="http://schemas.microsoft.com/office/drawing/2014/main" id="{00000000-0008-0000-0300-000006000000}"/>
            </a:ext>
          </a:extLst>
        </xdr:cNvPr>
        <xdr:cNvSpPr/>
      </xdr:nvSpPr>
      <xdr:spPr>
        <a:xfrm>
          <a:off x="10054171" y="11101915"/>
          <a:ext cx="2148416" cy="179918"/>
        </a:xfrm>
        <a:prstGeom prst="bevel">
          <a:avLst/>
        </a:prstGeom>
        <a:solidFill>
          <a:schemeClr val="accent6">
            <a:lumMod val="40000"/>
            <a:lumOff val="6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IR</a:t>
          </a:r>
          <a:r>
            <a:rPr lang="es-CO" sz="700"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DESCRIPCIÓN DE LA CARACTERÍSTICA</a:t>
          </a:r>
          <a:endPar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19</xdr:col>
      <xdr:colOff>322613</xdr:colOff>
      <xdr:row>1</xdr:row>
      <xdr:rowOff>336113</xdr:rowOff>
    </xdr:from>
    <xdr:to>
      <xdr:col>20</xdr:col>
      <xdr:colOff>435014</xdr:colOff>
      <xdr:row>1</xdr:row>
      <xdr:rowOff>563835</xdr:rowOff>
    </xdr:to>
    <xdr:sp macro="" textlink="">
      <xdr:nvSpPr>
        <xdr:cNvPr id="4" name="Bisel 3">
          <a:hlinkClick xmlns:r="http://schemas.openxmlformats.org/officeDocument/2006/relationships" r:id="rId1"/>
          <a:extLst>
            <a:ext uri="{FF2B5EF4-FFF2-40B4-BE49-F238E27FC236}">
              <a16:creationId xmlns:a16="http://schemas.microsoft.com/office/drawing/2014/main" id="{00000000-0008-0000-0400-000004000000}"/>
            </a:ext>
          </a:extLst>
        </xdr:cNvPr>
        <xdr:cNvSpPr/>
      </xdr:nvSpPr>
      <xdr:spPr>
        <a:xfrm>
          <a:off x="11001196" y="526613"/>
          <a:ext cx="874401" cy="227722"/>
        </a:xfrm>
        <a:prstGeom prst="bevel">
          <a:avLst/>
        </a:prstGeom>
        <a:solidFill>
          <a:schemeClr val="accent6">
            <a:lumMod val="40000"/>
            <a:lumOff val="60000"/>
          </a:schemeClr>
        </a:solidFill>
        <a:ln>
          <a:solidFill>
            <a:schemeClr val="accent6">
              <a:lumMod val="60000"/>
              <a:lumOff val="4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SIGUIENTE</a:t>
          </a:r>
          <a:endParaRPr lang="es-CO" sz="6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19</xdr:col>
      <xdr:colOff>317503</xdr:colOff>
      <xdr:row>0</xdr:row>
      <xdr:rowOff>179916</xdr:rowOff>
    </xdr:from>
    <xdr:to>
      <xdr:col>20</xdr:col>
      <xdr:colOff>431888</xdr:colOff>
      <xdr:row>1</xdr:row>
      <xdr:rowOff>231710</xdr:rowOff>
    </xdr:to>
    <xdr:sp macro="" textlink="">
      <xdr:nvSpPr>
        <xdr:cNvPr id="5" name="Bisel 4">
          <a:hlinkClick xmlns:r="http://schemas.openxmlformats.org/officeDocument/2006/relationships" r:id="rId2"/>
          <a:extLst>
            <a:ext uri="{FF2B5EF4-FFF2-40B4-BE49-F238E27FC236}">
              <a16:creationId xmlns:a16="http://schemas.microsoft.com/office/drawing/2014/main" id="{00000000-0008-0000-0400-000005000000}"/>
            </a:ext>
          </a:extLst>
        </xdr:cNvPr>
        <xdr:cNvSpPr/>
      </xdr:nvSpPr>
      <xdr:spPr>
        <a:xfrm>
          <a:off x="10996086" y="179916"/>
          <a:ext cx="876385" cy="242294"/>
        </a:xfrm>
        <a:prstGeom prst="bevel">
          <a:avLst/>
        </a:prstGeom>
        <a:solidFill>
          <a:schemeClr val="accent2">
            <a:lumMod val="20000"/>
            <a:lumOff val="80000"/>
          </a:schemeClr>
        </a:solidFill>
        <a:ln>
          <a:solidFill>
            <a:schemeClr val="accent2">
              <a:lumMod val="40000"/>
              <a:lumOff val="6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marL="0" indent="0"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ATRAS</a:t>
          </a:r>
        </a:p>
      </xdr:txBody>
    </xdr:sp>
    <xdr:clientData/>
  </xdr:twoCellAnchor>
  <xdr:twoCellAnchor>
    <xdr:from>
      <xdr:col>16</xdr:col>
      <xdr:colOff>158751</xdr:colOff>
      <xdr:row>13</xdr:row>
      <xdr:rowOff>63502</xdr:rowOff>
    </xdr:from>
    <xdr:to>
      <xdr:col>19</xdr:col>
      <xdr:colOff>10584</xdr:colOff>
      <xdr:row>14</xdr:row>
      <xdr:rowOff>63504</xdr:rowOff>
    </xdr:to>
    <xdr:sp macro="" textlink="">
      <xdr:nvSpPr>
        <xdr:cNvPr id="6" name="Bisel 5">
          <a:hlinkClick xmlns:r="http://schemas.openxmlformats.org/officeDocument/2006/relationships" r:id="rId3"/>
          <a:extLst>
            <a:ext uri="{FF2B5EF4-FFF2-40B4-BE49-F238E27FC236}">
              <a16:creationId xmlns:a16="http://schemas.microsoft.com/office/drawing/2014/main" id="{00000000-0008-0000-0400-000006000000}"/>
            </a:ext>
          </a:extLst>
        </xdr:cNvPr>
        <xdr:cNvSpPr/>
      </xdr:nvSpPr>
      <xdr:spPr>
        <a:xfrm>
          <a:off x="8540751" y="14340419"/>
          <a:ext cx="2148416" cy="179918"/>
        </a:xfrm>
        <a:prstGeom prst="bevel">
          <a:avLst/>
        </a:prstGeom>
        <a:solidFill>
          <a:schemeClr val="accent6">
            <a:lumMod val="40000"/>
            <a:lumOff val="6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IR</a:t>
          </a:r>
          <a:r>
            <a:rPr lang="es-CO" sz="700"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DESCRIPCIÓN DE LA CARACTERÍSTICA</a:t>
          </a:r>
          <a:endPar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19</xdr:col>
      <xdr:colOff>322613</xdr:colOff>
      <xdr:row>1</xdr:row>
      <xdr:rowOff>336113</xdr:rowOff>
    </xdr:from>
    <xdr:to>
      <xdr:col>20</xdr:col>
      <xdr:colOff>435014</xdr:colOff>
      <xdr:row>1</xdr:row>
      <xdr:rowOff>563835</xdr:rowOff>
    </xdr:to>
    <xdr:sp macro="" textlink="">
      <xdr:nvSpPr>
        <xdr:cNvPr id="2" name="Bisel 1">
          <a:hlinkClick xmlns:r="http://schemas.openxmlformats.org/officeDocument/2006/relationships" r:id="rId1"/>
          <a:extLst>
            <a:ext uri="{FF2B5EF4-FFF2-40B4-BE49-F238E27FC236}">
              <a16:creationId xmlns:a16="http://schemas.microsoft.com/office/drawing/2014/main" id="{00000000-0008-0000-0500-000002000000}"/>
            </a:ext>
          </a:extLst>
        </xdr:cNvPr>
        <xdr:cNvSpPr/>
      </xdr:nvSpPr>
      <xdr:spPr>
        <a:xfrm>
          <a:off x="10952513" y="526613"/>
          <a:ext cx="874401" cy="227722"/>
        </a:xfrm>
        <a:prstGeom prst="bevel">
          <a:avLst/>
        </a:prstGeom>
        <a:solidFill>
          <a:schemeClr val="accent6">
            <a:lumMod val="40000"/>
            <a:lumOff val="60000"/>
          </a:schemeClr>
        </a:solidFill>
        <a:ln>
          <a:solidFill>
            <a:schemeClr val="accent6">
              <a:lumMod val="60000"/>
              <a:lumOff val="4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SIGUIENTE</a:t>
          </a:r>
          <a:endParaRPr lang="es-CO" sz="6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19</xdr:col>
      <xdr:colOff>317503</xdr:colOff>
      <xdr:row>0</xdr:row>
      <xdr:rowOff>179916</xdr:rowOff>
    </xdr:from>
    <xdr:to>
      <xdr:col>20</xdr:col>
      <xdr:colOff>431888</xdr:colOff>
      <xdr:row>1</xdr:row>
      <xdr:rowOff>231710</xdr:rowOff>
    </xdr:to>
    <xdr:sp macro="" textlink="">
      <xdr:nvSpPr>
        <xdr:cNvPr id="3" name="Bisel 2">
          <a:hlinkClick xmlns:r="http://schemas.openxmlformats.org/officeDocument/2006/relationships" r:id="rId2"/>
          <a:extLst>
            <a:ext uri="{FF2B5EF4-FFF2-40B4-BE49-F238E27FC236}">
              <a16:creationId xmlns:a16="http://schemas.microsoft.com/office/drawing/2014/main" id="{00000000-0008-0000-0500-000003000000}"/>
            </a:ext>
          </a:extLst>
        </xdr:cNvPr>
        <xdr:cNvSpPr/>
      </xdr:nvSpPr>
      <xdr:spPr>
        <a:xfrm>
          <a:off x="10947403" y="179916"/>
          <a:ext cx="876385" cy="242294"/>
        </a:xfrm>
        <a:prstGeom prst="bevel">
          <a:avLst/>
        </a:prstGeom>
        <a:solidFill>
          <a:schemeClr val="accent2">
            <a:lumMod val="20000"/>
            <a:lumOff val="80000"/>
          </a:schemeClr>
        </a:solidFill>
        <a:ln>
          <a:solidFill>
            <a:schemeClr val="accent2">
              <a:lumMod val="40000"/>
              <a:lumOff val="6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marL="0" indent="0"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ATRAS</a:t>
          </a:r>
        </a:p>
      </xdr:txBody>
    </xdr:sp>
    <xdr:clientData/>
  </xdr:twoCellAnchor>
  <xdr:twoCellAnchor>
    <xdr:from>
      <xdr:col>16</xdr:col>
      <xdr:colOff>158751</xdr:colOff>
      <xdr:row>27</xdr:row>
      <xdr:rowOff>63502</xdr:rowOff>
    </xdr:from>
    <xdr:to>
      <xdr:col>19</xdr:col>
      <xdr:colOff>10584</xdr:colOff>
      <xdr:row>28</xdr:row>
      <xdr:rowOff>63504</xdr:rowOff>
    </xdr:to>
    <xdr:sp macro="" textlink="">
      <xdr:nvSpPr>
        <xdr:cNvPr id="4" name="Bisel 3">
          <a:hlinkClick xmlns:r="http://schemas.openxmlformats.org/officeDocument/2006/relationships" r:id="rId3"/>
          <a:extLst>
            <a:ext uri="{FF2B5EF4-FFF2-40B4-BE49-F238E27FC236}">
              <a16:creationId xmlns:a16="http://schemas.microsoft.com/office/drawing/2014/main" id="{00000000-0008-0000-0500-000004000000}"/>
            </a:ext>
          </a:extLst>
        </xdr:cNvPr>
        <xdr:cNvSpPr/>
      </xdr:nvSpPr>
      <xdr:spPr>
        <a:xfrm>
          <a:off x="8493126" y="14303377"/>
          <a:ext cx="2147358" cy="180977"/>
        </a:xfrm>
        <a:prstGeom prst="bevel">
          <a:avLst/>
        </a:prstGeom>
        <a:solidFill>
          <a:schemeClr val="accent6">
            <a:lumMod val="40000"/>
            <a:lumOff val="6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IR</a:t>
          </a:r>
          <a:r>
            <a:rPr lang="es-CO" sz="700"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DESCRIPCIÓN DE LA CARACTERÍSTICA</a:t>
          </a:r>
          <a:endPar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19</xdr:col>
      <xdr:colOff>322613</xdr:colOff>
      <xdr:row>1</xdr:row>
      <xdr:rowOff>336113</xdr:rowOff>
    </xdr:from>
    <xdr:to>
      <xdr:col>20</xdr:col>
      <xdr:colOff>435014</xdr:colOff>
      <xdr:row>1</xdr:row>
      <xdr:rowOff>563835</xdr:rowOff>
    </xdr:to>
    <xdr:sp macro="" textlink="">
      <xdr:nvSpPr>
        <xdr:cNvPr id="2" name="Bisel 1">
          <a:hlinkClick xmlns:r="http://schemas.openxmlformats.org/officeDocument/2006/relationships" r:id="rId1"/>
          <a:extLst>
            <a:ext uri="{FF2B5EF4-FFF2-40B4-BE49-F238E27FC236}">
              <a16:creationId xmlns:a16="http://schemas.microsoft.com/office/drawing/2014/main" id="{00000000-0008-0000-0600-000002000000}"/>
            </a:ext>
          </a:extLst>
        </xdr:cNvPr>
        <xdr:cNvSpPr/>
      </xdr:nvSpPr>
      <xdr:spPr>
        <a:xfrm>
          <a:off x="11666888" y="526613"/>
          <a:ext cx="874401" cy="227722"/>
        </a:xfrm>
        <a:prstGeom prst="bevel">
          <a:avLst/>
        </a:prstGeom>
        <a:solidFill>
          <a:schemeClr val="accent6">
            <a:lumMod val="40000"/>
            <a:lumOff val="60000"/>
          </a:schemeClr>
        </a:solidFill>
        <a:ln>
          <a:solidFill>
            <a:schemeClr val="accent6">
              <a:lumMod val="60000"/>
              <a:lumOff val="4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SIGUIENTE</a:t>
          </a:r>
          <a:endParaRPr lang="es-CO" sz="6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19</xdr:col>
      <xdr:colOff>317503</xdr:colOff>
      <xdr:row>0</xdr:row>
      <xdr:rowOff>179916</xdr:rowOff>
    </xdr:from>
    <xdr:to>
      <xdr:col>20</xdr:col>
      <xdr:colOff>431888</xdr:colOff>
      <xdr:row>1</xdr:row>
      <xdr:rowOff>231710</xdr:rowOff>
    </xdr:to>
    <xdr:sp macro="" textlink="">
      <xdr:nvSpPr>
        <xdr:cNvPr id="3" name="Bisel 2">
          <a:hlinkClick xmlns:r="http://schemas.openxmlformats.org/officeDocument/2006/relationships" r:id="rId2"/>
          <a:extLst>
            <a:ext uri="{FF2B5EF4-FFF2-40B4-BE49-F238E27FC236}">
              <a16:creationId xmlns:a16="http://schemas.microsoft.com/office/drawing/2014/main" id="{00000000-0008-0000-0600-000003000000}"/>
            </a:ext>
          </a:extLst>
        </xdr:cNvPr>
        <xdr:cNvSpPr/>
      </xdr:nvSpPr>
      <xdr:spPr>
        <a:xfrm>
          <a:off x="11661778" y="179916"/>
          <a:ext cx="876385" cy="242294"/>
        </a:xfrm>
        <a:prstGeom prst="bevel">
          <a:avLst/>
        </a:prstGeom>
        <a:solidFill>
          <a:schemeClr val="accent2">
            <a:lumMod val="20000"/>
            <a:lumOff val="80000"/>
          </a:schemeClr>
        </a:solidFill>
        <a:ln>
          <a:solidFill>
            <a:schemeClr val="accent2">
              <a:lumMod val="40000"/>
              <a:lumOff val="6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marL="0" indent="0"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ATRAS</a:t>
          </a:r>
        </a:p>
      </xdr:txBody>
    </xdr:sp>
    <xdr:clientData/>
  </xdr:twoCellAnchor>
  <xdr:twoCellAnchor>
    <xdr:from>
      <xdr:col>16</xdr:col>
      <xdr:colOff>158751</xdr:colOff>
      <xdr:row>17</xdr:row>
      <xdr:rowOff>63502</xdr:rowOff>
    </xdr:from>
    <xdr:to>
      <xdr:col>19</xdr:col>
      <xdr:colOff>10584</xdr:colOff>
      <xdr:row>18</xdr:row>
      <xdr:rowOff>63504</xdr:rowOff>
    </xdr:to>
    <xdr:sp macro="" textlink="">
      <xdr:nvSpPr>
        <xdr:cNvPr id="4" name="Bisel 3">
          <a:hlinkClick xmlns:r="http://schemas.openxmlformats.org/officeDocument/2006/relationships" r:id="rId3"/>
          <a:extLst>
            <a:ext uri="{FF2B5EF4-FFF2-40B4-BE49-F238E27FC236}">
              <a16:creationId xmlns:a16="http://schemas.microsoft.com/office/drawing/2014/main" id="{00000000-0008-0000-0600-000004000000}"/>
            </a:ext>
          </a:extLst>
        </xdr:cNvPr>
        <xdr:cNvSpPr/>
      </xdr:nvSpPr>
      <xdr:spPr>
        <a:xfrm>
          <a:off x="9207501" y="4616452"/>
          <a:ext cx="2147358" cy="180977"/>
        </a:xfrm>
        <a:prstGeom prst="bevel">
          <a:avLst/>
        </a:prstGeom>
        <a:solidFill>
          <a:schemeClr val="accent6">
            <a:lumMod val="40000"/>
            <a:lumOff val="6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IR</a:t>
          </a:r>
          <a:r>
            <a:rPr lang="es-CO" sz="700"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DESCRIPCIÓN DE LA CARACTERÍSTICA</a:t>
          </a:r>
          <a:endPar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19</xdr:col>
      <xdr:colOff>333196</xdr:colOff>
      <xdr:row>1</xdr:row>
      <xdr:rowOff>336114</xdr:rowOff>
    </xdr:from>
    <xdr:to>
      <xdr:col>20</xdr:col>
      <xdr:colOff>445597</xdr:colOff>
      <xdr:row>1</xdr:row>
      <xdr:rowOff>563836</xdr:rowOff>
    </xdr:to>
    <xdr:sp macro="" textlink="">
      <xdr:nvSpPr>
        <xdr:cNvPr id="4" name="Bisel 3">
          <a:hlinkClick xmlns:r="http://schemas.openxmlformats.org/officeDocument/2006/relationships" r:id="rId1"/>
          <a:extLst>
            <a:ext uri="{FF2B5EF4-FFF2-40B4-BE49-F238E27FC236}">
              <a16:creationId xmlns:a16="http://schemas.microsoft.com/office/drawing/2014/main" id="{00000000-0008-0000-0700-000004000000}"/>
            </a:ext>
          </a:extLst>
        </xdr:cNvPr>
        <xdr:cNvSpPr/>
      </xdr:nvSpPr>
      <xdr:spPr>
        <a:xfrm>
          <a:off x="12948529" y="526614"/>
          <a:ext cx="874401" cy="227722"/>
        </a:xfrm>
        <a:prstGeom prst="bevel">
          <a:avLst/>
        </a:prstGeom>
        <a:solidFill>
          <a:schemeClr val="accent6">
            <a:lumMod val="40000"/>
            <a:lumOff val="60000"/>
          </a:schemeClr>
        </a:solidFill>
        <a:ln>
          <a:solidFill>
            <a:schemeClr val="accent6">
              <a:lumMod val="60000"/>
              <a:lumOff val="4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SIGUIENTE</a:t>
          </a:r>
          <a:endParaRPr lang="es-CO" sz="6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19</xdr:col>
      <xdr:colOff>328086</xdr:colOff>
      <xdr:row>0</xdr:row>
      <xdr:rowOff>179917</xdr:rowOff>
    </xdr:from>
    <xdr:to>
      <xdr:col>20</xdr:col>
      <xdr:colOff>442471</xdr:colOff>
      <xdr:row>1</xdr:row>
      <xdr:rowOff>231711</xdr:rowOff>
    </xdr:to>
    <xdr:sp macro="" textlink="">
      <xdr:nvSpPr>
        <xdr:cNvPr id="5" name="Bisel 4">
          <a:hlinkClick xmlns:r="http://schemas.openxmlformats.org/officeDocument/2006/relationships" r:id="rId2"/>
          <a:extLst>
            <a:ext uri="{FF2B5EF4-FFF2-40B4-BE49-F238E27FC236}">
              <a16:creationId xmlns:a16="http://schemas.microsoft.com/office/drawing/2014/main" id="{00000000-0008-0000-0700-000005000000}"/>
            </a:ext>
          </a:extLst>
        </xdr:cNvPr>
        <xdr:cNvSpPr/>
      </xdr:nvSpPr>
      <xdr:spPr>
        <a:xfrm>
          <a:off x="12943419" y="179917"/>
          <a:ext cx="876385" cy="242294"/>
        </a:xfrm>
        <a:prstGeom prst="bevel">
          <a:avLst/>
        </a:prstGeom>
        <a:solidFill>
          <a:schemeClr val="accent2">
            <a:lumMod val="20000"/>
            <a:lumOff val="80000"/>
          </a:schemeClr>
        </a:solidFill>
        <a:ln>
          <a:solidFill>
            <a:schemeClr val="accent2">
              <a:lumMod val="40000"/>
              <a:lumOff val="6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marL="0" indent="0"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ATRAS</a:t>
          </a:r>
        </a:p>
      </xdr:txBody>
    </xdr:sp>
    <xdr:clientData/>
  </xdr:twoCellAnchor>
  <xdr:twoCellAnchor>
    <xdr:from>
      <xdr:col>16</xdr:col>
      <xdr:colOff>169336</xdr:colOff>
      <xdr:row>15</xdr:row>
      <xdr:rowOff>63498</xdr:rowOff>
    </xdr:from>
    <xdr:to>
      <xdr:col>19</xdr:col>
      <xdr:colOff>21169</xdr:colOff>
      <xdr:row>16</xdr:row>
      <xdr:rowOff>63500</xdr:rowOff>
    </xdr:to>
    <xdr:sp macro="" textlink="">
      <xdr:nvSpPr>
        <xdr:cNvPr id="6" name="Bisel 5">
          <a:hlinkClick xmlns:r="http://schemas.openxmlformats.org/officeDocument/2006/relationships" r:id="rId3"/>
          <a:extLst>
            <a:ext uri="{FF2B5EF4-FFF2-40B4-BE49-F238E27FC236}">
              <a16:creationId xmlns:a16="http://schemas.microsoft.com/office/drawing/2014/main" id="{00000000-0008-0000-0700-000006000000}"/>
            </a:ext>
          </a:extLst>
        </xdr:cNvPr>
        <xdr:cNvSpPr/>
      </xdr:nvSpPr>
      <xdr:spPr>
        <a:xfrm>
          <a:off x="10488086" y="4624915"/>
          <a:ext cx="2148416" cy="179918"/>
        </a:xfrm>
        <a:prstGeom prst="bevel">
          <a:avLst/>
        </a:prstGeom>
        <a:solidFill>
          <a:schemeClr val="accent6">
            <a:lumMod val="40000"/>
            <a:lumOff val="6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IR</a:t>
          </a:r>
          <a:r>
            <a:rPr lang="es-CO" sz="700"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DESCRIPCIÓN DE LA CARACTERÍSTICA</a:t>
          </a:r>
          <a:endPar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19</xdr:col>
      <xdr:colOff>333192</xdr:colOff>
      <xdr:row>1</xdr:row>
      <xdr:rowOff>336114</xdr:rowOff>
    </xdr:from>
    <xdr:to>
      <xdr:col>20</xdr:col>
      <xdr:colOff>445593</xdr:colOff>
      <xdr:row>1</xdr:row>
      <xdr:rowOff>563836</xdr:rowOff>
    </xdr:to>
    <xdr:sp macro="" textlink="">
      <xdr:nvSpPr>
        <xdr:cNvPr id="4" name="Bisel 3">
          <a:hlinkClick xmlns:r="http://schemas.openxmlformats.org/officeDocument/2006/relationships" r:id="rId1"/>
          <a:extLst>
            <a:ext uri="{FF2B5EF4-FFF2-40B4-BE49-F238E27FC236}">
              <a16:creationId xmlns:a16="http://schemas.microsoft.com/office/drawing/2014/main" id="{00000000-0008-0000-0800-000004000000}"/>
            </a:ext>
          </a:extLst>
        </xdr:cNvPr>
        <xdr:cNvSpPr/>
      </xdr:nvSpPr>
      <xdr:spPr>
        <a:xfrm>
          <a:off x="12948525" y="526614"/>
          <a:ext cx="874401" cy="227722"/>
        </a:xfrm>
        <a:prstGeom prst="bevel">
          <a:avLst/>
        </a:prstGeom>
        <a:solidFill>
          <a:schemeClr val="accent6">
            <a:lumMod val="40000"/>
            <a:lumOff val="60000"/>
          </a:schemeClr>
        </a:solidFill>
        <a:ln>
          <a:solidFill>
            <a:schemeClr val="accent6">
              <a:lumMod val="60000"/>
              <a:lumOff val="4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SIGUIENTE</a:t>
          </a:r>
          <a:endParaRPr lang="es-CO" sz="6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19</xdr:col>
      <xdr:colOff>328082</xdr:colOff>
      <xdr:row>0</xdr:row>
      <xdr:rowOff>179917</xdr:rowOff>
    </xdr:from>
    <xdr:to>
      <xdr:col>20</xdr:col>
      <xdr:colOff>442467</xdr:colOff>
      <xdr:row>1</xdr:row>
      <xdr:rowOff>231711</xdr:rowOff>
    </xdr:to>
    <xdr:sp macro="" textlink="">
      <xdr:nvSpPr>
        <xdr:cNvPr id="5" name="Bisel 4">
          <a:hlinkClick xmlns:r="http://schemas.openxmlformats.org/officeDocument/2006/relationships" r:id="rId2"/>
          <a:extLst>
            <a:ext uri="{FF2B5EF4-FFF2-40B4-BE49-F238E27FC236}">
              <a16:creationId xmlns:a16="http://schemas.microsoft.com/office/drawing/2014/main" id="{00000000-0008-0000-0800-000005000000}"/>
            </a:ext>
          </a:extLst>
        </xdr:cNvPr>
        <xdr:cNvSpPr/>
      </xdr:nvSpPr>
      <xdr:spPr>
        <a:xfrm>
          <a:off x="12943415" y="179917"/>
          <a:ext cx="876385" cy="242294"/>
        </a:xfrm>
        <a:prstGeom prst="bevel">
          <a:avLst/>
        </a:prstGeom>
        <a:solidFill>
          <a:schemeClr val="accent2">
            <a:lumMod val="20000"/>
            <a:lumOff val="80000"/>
          </a:schemeClr>
        </a:solidFill>
        <a:ln>
          <a:solidFill>
            <a:schemeClr val="accent2">
              <a:lumMod val="40000"/>
              <a:lumOff val="6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marL="0" indent="0"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ATRAS</a:t>
          </a:r>
        </a:p>
      </xdr:txBody>
    </xdr:sp>
    <xdr:clientData/>
  </xdr:twoCellAnchor>
  <xdr:twoCellAnchor>
    <xdr:from>
      <xdr:col>16</xdr:col>
      <xdr:colOff>169339</xdr:colOff>
      <xdr:row>13</xdr:row>
      <xdr:rowOff>63499</xdr:rowOff>
    </xdr:from>
    <xdr:to>
      <xdr:col>19</xdr:col>
      <xdr:colOff>21172</xdr:colOff>
      <xdr:row>14</xdr:row>
      <xdr:rowOff>63501</xdr:rowOff>
    </xdr:to>
    <xdr:sp macro="" textlink="">
      <xdr:nvSpPr>
        <xdr:cNvPr id="6" name="Bisel 5">
          <a:hlinkClick xmlns:r="http://schemas.openxmlformats.org/officeDocument/2006/relationships" r:id="rId3"/>
          <a:extLst>
            <a:ext uri="{FF2B5EF4-FFF2-40B4-BE49-F238E27FC236}">
              <a16:creationId xmlns:a16="http://schemas.microsoft.com/office/drawing/2014/main" id="{00000000-0008-0000-0800-000006000000}"/>
            </a:ext>
          </a:extLst>
        </xdr:cNvPr>
        <xdr:cNvSpPr/>
      </xdr:nvSpPr>
      <xdr:spPr>
        <a:xfrm>
          <a:off x="10488089" y="4624916"/>
          <a:ext cx="2148416" cy="179918"/>
        </a:xfrm>
        <a:prstGeom prst="bevel">
          <a:avLst/>
        </a:prstGeom>
        <a:solidFill>
          <a:schemeClr val="accent6">
            <a:lumMod val="40000"/>
            <a:lumOff val="6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IR</a:t>
          </a:r>
          <a:r>
            <a:rPr lang="es-CO" sz="700"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DESCRIPCIÓN DE LA CARACTERÍSTICA</a:t>
          </a:r>
          <a:endPar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19</xdr:col>
      <xdr:colOff>343771</xdr:colOff>
      <xdr:row>1</xdr:row>
      <xdr:rowOff>336114</xdr:rowOff>
    </xdr:from>
    <xdr:to>
      <xdr:col>20</xdr:col>
      <xdr:colOff>456172</xdr:colOff>
      <xdr:row>1</xdr:row>
      <xdr:rowOff>563836</xdr:rowOff>
    </xdr:to>
    <xdr:sp macro="" textlink="">
      <xdr:nvSpPr>
        <xdr:cNvPr id="4" name="Bisel 3">
          <a:hlinkClick xmlns:r="http://schemas.openxmlformats.org/officeDocument/2006/relationships" r:id="rId1"/>
          <a:extLst>
            <a:ext uri="{FF2B5EF4-FFF2-40B4-BE49-F238E27FC236}">
              <a16:creationId xmlns:a16="http://schemas.microsoft.com/office/drawing/2014/main" id="{00000000-0008-0000-0900-000004000000}"/>
            </a:ext>
          </a:extLst>
        </xdr:cNvPr>
        <xdr:cNvSpPr/>
      </xdr:nvSpPr>
      <xdr:spPr>
        <a:xfrm>
          <a:off x="11742021" y="526614"/>
          <a:ext cx="874401" cy="227722"/>
        </a:xfrm>
        <a:prstGeom prst="bevel">
          <a:avLst/>
        </a:prstGeom>
        <a:solidFill>
          <a:schemeClr val="accent6">
            <a:lumMod val="40000"/>
            <a:lumOff val="60000"/>
          </a:schemeClr>
        </a:solidFill>
        <a:ln>
          <a:solidFill>
            <a:schemeClr val="accent6">
              <a:lumMod val="60000"/>
              <a:lumOff val="4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SIGUIENTE</a:t>
          </a:r>
          <a:endParaRPr lang="es-CO" sz="6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19</xdr:col>
      <xdr:colOff>338661</xdr:colOff>
      <xdr:row>0</xdr:row>
      <xdr:rowOff>179917</xdr:rowOff>
    </xdr:from>
    <xdr:to>
      <xdr:col>20</xdr:col>
      <xdr:colOff>453046</xdr:colOff>
      <xdr:row>1</xdr:row>
      <xdr:rowOff>231711</xdr:rowOff>
    </xdr:to>
    <xdr:sp macro="" textlink="">
      <xdr:nvSpPr>
        <xdr:cNvPr id="5" name="Bisel 4">
          <a:hlinkClick xmlns:r="http://schemas.openxmlformats.org/officeDocument/2006/relationships" r:id="rId2"/>
          <a:extLst>
            <a:ext uri="{FF2B5EF4-FFF2-40B4-BE49-F238E27FC236}">
              <a16:creationId xmlns:a16="http://schemas.microsoft.com/office/drawing/2014/main" id="{00000000-0008-0000-0900-000005000000}"/>
            </a:ext>
          </a:extLst>
        </xdr:cNvPr>
        <xdr:cNvSpPr/>
      </xdr:nvSpPr>
      <xdr:spPr>
        <a:xfrm>
          <a:off x="11736911" y="179917"/>
          <a:ext cx="876385" cy="242294"/>
        </a:xfrm>
        <a:prstGeom prst="bevel">
          <a:avLst/>
        </a:prstGeom>
        <a:solidFill>
          <a:schemeClr val="accent2">
            <a:lumMod val="20000"/>
            <a:lumOff val="80000"/>
          </a:schemeClr>
        </a:solidFill>
        <a:ln>
          <a:solidFill>
            <a:schemeClr val="accent2">
              <a:lumMod val="40000"/>
              <a:lumOff val="6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marL="0" indent="0"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ATRAS</a:t>
          </a:r>
        </a:p>
      </xdr:txBody>
    </xdr:sp>
    <xdr:clientData/>
  </xdr:twoCellAnchor>
  <xdr:twoCellAnchor>
    <xdr:from>
      <xdr:col>16</xdr:col>
      <xdr:colOff>158752</xdr:colOff>
      <xdr:row>13</xdr:row>
      <xdr:rowOff>63501</xdr:rowOff>
    </xdr:from>
    <xdr:to>
      <xdr:col>19</xdr:col>
      <xdr:colOff>10585</xdr:colOff>
      <xdr:row>14</xdr:row>
      <xdr:rowOff>63503</xdr:rowOff>
    </xdr:to>
    <xdr:sp macro="" textlink="">
      <xdr:nvSpPr>
        <xdr:cNvPr id="6" name="Bisel 5">
          <a:hlinkClick xmlns:r="http://schemas.openxmlformats.org/officeDocument/2006/relationships" r:id="rId3"/>
          <a:extLst>
            <a:ext uri="{FF2B5EF4-FFF2-40B4-BE49-F238E27FC236}">
              <a16:creationId xmlns:a16="http://schemas.microsoft.com/office/drawing/2014/main" id="{00000000-0008-0000-0900-000006000000}"/>
            </a:ext>
          </a:extLst>
        </xdr:cNvPr>
        <xdr:cNvSpPr/>
      </xdr:nvSpPr>
      <xdr:spPr>
        <a:xfrm>
          <a:off x="9260419" y="4624918"/>
          <a:ext cx="2148416" cy="179918"/>
        </a:xfrm>
        <a:prstGeom prst="bevel">
          <a:avLst/>
        </a:prstGeom>
        <a:solidFill>
          <a:schemeClr val="accent6">
            <a:lumMod val="40000"/>
            <a:lumOff val="6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IR</a:t>
          </a:r>
          <a:r>
            <a:rPr lang="es-CO" sz="700"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DESCRIPCIÓN DE LA CARACTERÍSTICA</a:t>
          </a:r>
          <a:endPar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19</xdr:col>
      <xdr:colOff>341282</xdr:colOff>
      <xdr:row>1</xdr:row>
      <xdr:rowOff>346697</xdr:rowOff>
    </xdr:from>
    <xdr:to>
      <xdr:col>20</xdr:col>
      <xdr:colOff>453683</xdr:colOff>
      <xdr:row>1</xdr:row>
      <xdr:rowOff>574419</xdr:rowOff>
    </xdr:to>
    <xdr:sp macro="" textlink="">
      <xdr:nvSpPr>
        <xdr:cNvPr id="4" name="Bisel 3">
          <a:hlinkClick xmlns:r="http://schemas.openxmlformats.org/officeDocument/2006/relationships" r:id="rId1"/>
          <a:extLst>
            <a:ext uri="{FF2B5EF4-FFF2-40B4-BE49-F238E27FC236}">
              <a16:creationId xmlns:a16="http://schemas.microsoft.com/office/drawing/2014/main" id="{00000000-0008-0000-0A00-000004000000}"/>
            </a:ext>
          </a:extLst>
        </xdr:cNvPr>
        <xdr:cNvSpPr/>
      </xdr:nvSpPr>
      <xdr:spPr>
        <a:xfrm>
          <a:off x="11468723" y="537197"/>
          <a:ext cx="874401" cy="227722"/>
        </a:xfrm>
        <a:prstGeom prst="bevel">
          <a:avLst/>
        </a:prstGeom>
        <a:solidFill>
          <a:schemeClr val="accent6">
            <a:lumMod val="40000"/>
            <a:lumOff val="60000"/>
          </a:schemeClr>
        </a:solidFill>
        <a:ln>
          <a:solidFill>
            <a:schemeClr val="accent6">
              <a:lumMod val="60000"/>
              <a:lumOff val="4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SIGUIENTE</a:t>
          </a:r>
          <a:endParaRPr lang="es-CO" sz="6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19</xdr:col>
      <xdr:colOff>336172</xdr:colOff>
      <xdr:row>1</xdr:row>
      <xdr:rowOff>0</xdr:rowOff>
    </xdr:from>
    <xdr:to>
      <xdr:col>20</xdr:col>
      <xdr:colOff>450557</xdr:colOff>
      <xdr:row>1</xdr:row>
      <xdr:rowOff>242294</xdr:rowOff>
    </xdr:to>
    <xdr:sp macro="" textlink="">
      <xdr:nvSpPr>
        <xdr:cNvPr id="5" name="Bisel 4">
          <a:hlinkClick xmlns:r="http://schemas.openxmlformats.org/officeDocument/2006/relationships" r:id="rId2"/>
          <a:extLst>
            <a:ext uri="{FF2B5EF4-FFF2-40B4-BE49-F238E27FC236}">
              <a16:creationId xmlns:a16="http://schemas.microsoft.com/office/drawing/2014/main" id="{00000000-0008-0000-0A00-000005000000}"/>
            </a:ext>
          </a:extLst>
        </xdr:cNvPr>
        <xdr:cNvSpPr/>
      </xdr:nvSpPr>
      <xdr:spPr>
        <a:xfrm>
          <a:off x="11463613" y="190500"/>
          <a:ext cx="876385" cy="242294"/>
        </a:xfrm>
        <a:prstGeom prst="bevel">
          <a:avLst/>
        </a:prstGeom>
        <a:solidFill>
          <a:schemeClr val="accent2">
            <a:lumMod val="20000"/>
            <a:lumOff val="80000"/>
          </a:schemeClr>
        </a:solidFill>
        <a:ln>
          <a:solidFill>
            <a:schemeClr val="accent2">
              <a:lumMod val="40000"/>
              <a:lumOff val="6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marL="0" indent="0"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ATRAS</a:t>
          </a:r>
        </a:p>
      </xdr:txBody>
    </xdr:sp>
    <xdr:clientData/>
  </xdr:twoCellAnchor>
  <xdr:twoCellAnchor>
    <xdr:from>
      <xdr:col>16</xdr:col>
      <xdr:colOff>156884</xdr:colOff>
      <xdr:row>15</xdr:row>
      <xdr:rowOff>56029</xdr:rowOff>
    </xdr:from>
    <xdr:to>
      <xdr:col>18</xdr:col>
      <xdr:colOff>1364005</xdr:colOff>
      <xdr:row>16</xdr:row>
      <xdr:rowOff>56653</xdr:rowOff>
    </xdr:to>
    <xdr:sp macro="" textlink="">
      <xdr:nvSpPr>
        <xdr:cNvPr id="6" name="Bisel 5">
          <a:hlinkClick xmlns:r="http://schemas.openxmlformats.org/officeDocument/2006/relationships" r:id="rId3"/>
          <a:extLst>
            <a:ext uri="{FF2B5EF4-FFF2-40B4-BE49-F238E27FC236}">
              <a16:creationId xmlns:a16="http://schemas.microsoft.com/office/drawing/2014/main" id="{00000000-0008-0000-0A00-000006000000}"/>
            </a:ext>
          </a:extLst>
        </xdr:cNvPr>
        <xdr:cNvSpPr/>
      </xdr:nvSpPr>
      <xdr:spPr>
        <a:xfrm>
          <a:off x="8975913" y="5670176"/>
          <a:ext cx="2148416" cy="179918"/>
        </a:xfrm>
        <a:prstGeom prst="bevel">
          <a:avLst/>
        </a:prstGeom>
        <a:solidFill>
          <a:schemeClr val="accent6">
            <a:lumMod val="40000"/>
            <a:lumOff val="6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IR</a:t>
          </a:r>
          <a:r>
            <a:rPr lang="es-CO" sz="700"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DESCRIPCIÓN DE LA CARACTERÍSTICA</a:t>
          </a:r>
          <a:endPar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19</xdr:col>
      <xdr:colOff>352489</xdr:colOff>
      <xdr:row>1</xdr:row>
      <xdr:rowOff>346699</xdr:rowOff>
    </xdr:from>
    <xdr:to>
      <xdr:col>20</xdr:col>
      <xdr:colOff>464890</xdr:colOff>
      <xdr:row>1</xdr:row>
      <xdr:rowOff>574421</xdr:rowOff>
    </xdr:to>
    <xdr:sp macro="" textlink="">
      <xdr:nvSpPr>
        <xdr:cNvPr id="4" name="Bisel 3">
          <a:hlinkClick xmlns:r="http://schemas.openxmlformats.org/officeDocument/2006/relationships" r:id="rId1"/>
          <a:extLst>
            <a:ext uri="{FF2B5EF4-FFF2-40B4-BE49-F238E27FC236}">
              <a16:creationId xmlns:a16="http://schemas.microsoft.com/office/drawing/2014/main" id="{00000000-0008-0000-0B00-000004000000}"/>
            </a:ext>
          </a:extLst>
        </xdr:cNvPr>
        <xdr:cNvSpPr/>
      </xdr:nvSpPr>
      <xdr:spPr>
        <a:xfrm>
          <a:off x="11872136" y="537199"/>
          <a:ext cx="874401" cy="227722"/>
        </a:xfrm>
        <a:prstGeom prst="bevel">
          <a:avLst/>
        </a:prstGeom>
        <a:solidFill>
          <a:schemeClr val="accent6">
            <a:lumMod val="40000"/>
            <a:lumOff val="60000"/>
          </a:schemeClr>
        </a:solidFill>
        <a:ln>
          <a:solidFill>
            <a:schemeClr val="accent6">
              <a:lumMod val="60000"/>
              <a:lumOff val="4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SIGUIENTE</a:t>
          </a:r>
          <a:endParaRPr lang="es-CO" sz="6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19</xdr:col>
      <xdr:colOff>347379</xdr:colOff>
      <xdr:row>1</xdr:row>
      <xdr:rowOff>2</xdr:rowOff>
    </xdr:from>
    <xdr:to>
      <xdr:col>20</xdr:col>
      <xdr:colOff>461764</xdr:colOff>
      <xdr:row>1</xdr:row>
      <xdr:rowOff>242296</xdr:rowOff>
    </xdr:to>
    <xdr:sp macro="" textlink="">
      <xdr:nvSpPr>
        <xdr:cNvPr id="5" name="Bisel 4">
          <a:hlinkClick xmlns:r="http://schemas.openxmlformats.org/officeDocument/2006/relationships" r:id="rId2"/>
          <a:extLst>
            <a:ext uri="{FF2B5EF4-FFF2-40B4-BE49-F238E27FC236}">
              <a16:creationId xmlns:a16="http://schemas.microsoft.com/office/drawing/2014/main" id="{00000000-0008-0000-0B00-000005000000}"/>
            </a:ext>
          </a:extLst>
        </xdr:cNvPr>
        <xdr:cNvSpPr/>
      </xdr:nvSpPr>
      <xdr:spPr>
        <a:xfrm>
          <a:off x="11867026" y="190502"/>
          <a:ext cx="876385" cy="242294"/>
        </a:xfrm>
        <a:prstGeom prst="bevel">
          <a:avLst/>
        </a:prstGeom>
        <a:solidFill>
          <a:schemeClr val="accent2">
            <a:lumMod val="20000"/>
            <a:lumOff val="80000"/>
          </a:schemeClr>
        </a:solidFill>
        <a:ln>
          <a:solidFill>
            <a:schemeClr val="accent2">
              <a:lumMod val="40000"/>
              <a:lumOff val="6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marL="0" indent="0"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ATRAS</a:t>
          </a:r>
        </a:p>
      </xdr:txBody>
    </xdr:sp>
    <xdr:clientData/>
  </xdr:twoCellAnchor>
  <xdr:twoCellAnchor>
    <xdr:from>
      <xdr:col>16</xdr:col>
      <xdr:colOff>168088</xdr:colOff>
      <xdr:row>21</xdr:row>
      <xdr:rowOff>56030</xdr:rowOff>
    </xdr:from>
    <xdr:to>
      <xdr:col>19</xdr:col>
      <xdr:colOff>8092</xdr:colOff>
      <xdr:row>22</xdr:row>
      <xdr:rowOff>56654</xdr:rowOff>
    </xdr:to>
    <xdr:sp macro="" textlink="">
      <xdr:nvSpPr>
        <xdr:cNvPr id="6" name="Bisel 5">
          <a:hlinkClick xmlns:r="http://schemas.openxmlformats.org/officeDocument/2006/relationships" r:id="rId3"/>
          <a:extLst>
            <a:ext uri="{FF2B5EF4-FFF2-40B4-BE49-F238E27FC236}">
              <a16:creationId xmlns:a16="http://schemas.microsoft.com/office/drawing/2014/main" id="{00000000-0008-0000-0B00-000006000000}"/>
            </a:ext>
          </a:extLst>
        </xdr:cNvPr>
        <xdr:cNvSpPr/>
      </xdr:nvSpPr>
      <xdr:spPr>
        <a:xfrm>
          <a:off x="9379323" y="5670177"/>
          <a:ext cx="2148416" cy="179918"/>
        </a:xfrm>
        <a:prstGeom prst="bevel">
          <a:avLst/>
        </a:prstGeom>
        <a:solidFill>
          <a:schemeClr val="accent6">
            <a:lumMod val="40000"/>
            <a:lumOff val="6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IR</a:t>
          </a:r>
          <a:r>
            <a:rPr lang="es-CO" sz="700"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DESCRIPCIÓN DE LA CARACTERÍSTICA</a:t>
          </a:r>
          <a:endPar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19</xdr:col>
      <xdr:colOff>341282</xdr:colOff>
      <xdr:row>1</xdr:row>
      <xdr:rowOff>346697</xdr:rowOff>
    </xdr:from>
    <xdr:to>
      <xdr:col>20</xdr:col>
      <xdr:colOff>453683</xdr:colOff>
      <xdr:row>1</xdr:row>
      <xdr:rowOff>574419</xdr:rowOff>
    </xdr:to>
    <xdr:sp macro="" textlink="">
      <xdr:nvSpPr>
        <xdr:cNvPr id="2" name="Bisel 1">
          <a:hlinkClick xmlns:r="http://schemas.openxmlformats.org/officeDocument/2006/relationships" r:id="rId1"/>
          <a:extLst>
            <a:ext uri="{FF2B5EF4-FFF2-40B4-BE49-F238E27FC236}">
              <a16:creationId xmlns:a16="http://schemas.microsoft.com/office/drawing/2014/main" id="{00000000-0008-0000-0C00-000002000000}"/>
            </a:ext>
          </a:extLst>
        </xdr:cNvPr>
        <xdr:cNvSpPr/>
      </xdr:nvSpPr>
      <xdr:spPr>
        <a:xfrm>
          <a:off x="11399807" y="537197"/>
          <a:ext cx="874401" cy="227722"/>
        </a:xfrm>
        <a:prstGeom prst="bevel">
          <a:avLst/>
        </a:prstGeom>
        <a:solidFill>
          <a:schemeClr val="accent6">
            <a:lumMod val="40000"/>
            <a:lumOff val="60000"/>
          </a:schemeClr>
        </a:solidFill>
        <a:ln>
          <a:solidFill>
            <a:schemeClr val="accent6">
              <a:lumMod val="60000"/>
              <a:lumOff val="4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SIGUIENTE</a:t>
          </a:r>
          <a:endParaRPr lang="es-CO" sz="6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19</xdr:col>
      <xdr:colOff>336172</xdr:colOff>
      <xdr:row>1</xdr:row>
      <xdr:rowOff>0</xdr:rowOff>
    </xdr:from>
    <xdr:to>
      <xdr:col>20</xdr:col>
      <xdr:colOff>450557</xdr:colOff>
      <xdr:row>1</xdr:row>
      <xdr:rowOff>242294</xdr:rowOff>
    </xdr:to>
    <xdr:sp macro="" textlink="">
      <xdr:nvSpPr>
        <xdr:cNvPr id="3" name="Bisel 2">
          <a:hlinkClick xmlns:r="http://schemas.openxmlformats.org/officeDocument/2006/relationships" r:id="rId2"/>
          <a:extLst>
            <a:ext uri="{FF2B5EF4-FFF2-40B4-BE49-F238E27FC236}">
              <a16:creationId xmlns:a16="http://schemas.microsoft.com/office/drawing/2014/main" id="{00000000-0008-0000-0C00-000003000000}"/>
            </a:ext>
          </a:extLst>
        </xdr:cNvPr>
        <xdr:cNvSpPr/>
      </xdr:nvSpPr>
      <xdr:spPr>
        <a:xfrm>
          <a:off x="11394697" y="190500"/>
          <a:ext cx="876385" cy="242294"/>
        </a:xfrm>
        <a:prstGeom prst="bevel">
          <a:avLst/>
        </a:prstGeom>
        <a:solidFill>
          <a:schemeClr val="accent2">
            <a:lumMod val="20000"/>
            <a:lumOff val="80000"/>
          </a:schemeClr>
        </a:solidFill>
        <a:ln>
          <a:solidFill>
            <a:schemeClr val="accent2">
              <a:lumMod val="40000"/>
              <a:lumOff val="6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marL="0" indent="0"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ATRAS</a:t>
          </a:r>
        </a:p>
      </xdr:txBody>
    </xdr:sp>
    <xdr:clientData/>
  </xdr:twoCellAnchor>
  <xdr:twoCellAnchor>
    <xdr:from>
      <xdr:col>16</xdr:col>
      <xdr:colOff>156884</xdr:colOff>
      <xdr:row>13</xdr:row>
      <xdr:rowOff>56029</xdr:rowOff>
    </xdr:from>
    <xdr:to>
      <xdr:col>18</xdr:col>
      <xdr:colOff>1364005</xdr:colOff>
      <xdr:row>14</xdr:row>
      <xdr:rowOff>56653</xdr:rowOff>
    </xdr:to>
    <xdr:sp macro="" textlink="">
      <xdr:nvSpPr>
        <xdr:cNvPr id="4" name="Bisel 3">
          <a:hlinkClick xmlns:r="http://schemas.openxmlformats.org/officeDocument/2006/relationships" r:id="rId3"/>
          <a:extLst>
            <a:ext uri="{FF2B5EF4-FFF2-40B4-BE49-F238E27FC236}">
              <a16:creationId xmlns:a16="http://schemas.microsoft.com/office/drawing/2014/main" id="{00000000-0008-0000-0C00-000004000000}"/>
            </a:ext>
          </a:extLst>
        </xdr:cNvPr>
        <xdr:cNvSpPr/>
      </xdr:nvSpPr>
      <xdr:spPr>
        <a:xfrm>
          <a:off x="8919884" y="5685304"/>
          <a:ext cx="2140571" cy="181599"/>
        </a:xfrm>
        <a:prstGeom prst="bevel">
          <a:avLst/>
        </a:prstGeom>
        <a:solidFill>
          <a:schemeClr val="accent6">
            <a:lumMod val="40000"/>
            <a:lumOff val="60000"/>
          </a:schemeClr>
        </a:solidFill>
        <a:ln w="3175">
          <a:solidFill>
            <a:schemeClr val="accent6">
              <a:lumMod val="5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IR</a:t>
          </a:r>
          <a:r>
            <a:rPr lang="es-CO" sz="700"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DESCRIPCIÓN DE LA CARACTERÍSTICA</a:t>
          </a:r>
          <a:endParaRPr lang="es-CO" sz="7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10</xdr:col>
      <xdr:colOff>502529</xdr:colOff>
      <xdr:row>2</xdr:row>
      <xdr:rowOff>8031</xdr:rowOff>
    </xdr:from>
    <xdr:to>
      <xdr:col>11</xdr:col>
      <xdr:colOff>614930</xdr:colOff>
      <xdr:row>2</xdr:row>
      <xdr:rowOff>235753</xdr:rowOff>
    </xdr:to>
    <xdr:sp macro="" textlink="">
      <xdr:nvSpPr>
        <xdr:cNvPr id="4" name="Bisel 3">
          <a:hlinkClick xmlns:r="http://schemas.openxmlformats.org/officeDocument/2006/relationships" r:id="rId1"/>
          <a:extLst>
            <a:ext uri="{FF2B5EF4-FFF2-40B4-BE49-F238E27FC236}">
              <a16:creationId xmlns:a16="http://schemas.microsoft.com/office/drawing/2014/main" id="{00000000-0008-0000-0D00-000004000000}"/>
            </a:ext>
          </a:extLst>
        </xdr:cNvPr>
        <xdr:cNvSpPr/>
      </xdr:nvSpPr>
      <xdr:spPr>
        <a:xfrm>
          <a:off x="13213112" y="240864"/>
          <a:ext cx="874401" cy="227722"/>
        </a:xfrm>
        <a:prstGeom prst="bevel">
          <a:avLst/>
        </a:prstGeom>
        <a:solidFill>
          <a:schemeClr val="accent6">
            <a:lumMod val="40000"/>
            <a:lumOff val="60000"/>
          </a:schemeClr>
        </a:solidFill>
        <a:ln>
          <a:solidFill>
            <a:schemeClr val="accent6">
              <a:lumMod val="60000"/>
              <a:lumOff val="4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INICIO</a:t>
          </a:r>
          <a:endParaRPr lang="es-CO" sz="6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9</xdr:col>
      <xdr:colOff>317502</xdr:colOff>
      <xdr:row>1</xdr:row>
      <xdr:rowOff>42333</xdr:rowOff>
    </xdr:from>
    <xdr:to>
      <xdr:col>10</xdr:col>
      <xdr:colOff>431887</xdr:colOff>
      <xdr:row>2</xdr:row>
      <xdr:rowOff>231711</xdr:rowOff>
    </xdr:to>
    <xdr:sp macro="" textlink="">
      <xdr:nvSpPr>
        <xdr:cNvPr id="5" name="Bisel 4">
          <a:hlinkClick xmlns:r="http://schemas.openxmlformats.org/officeDocument/2006/relationships" r:id="rId2"/>
          <a:extLst>
            <a:ext uri="{FF2B5EF4-FFF2-40B4-BE49-F238E27FC236}">
              <a16:creationId xmlns:a16="http://schemas.microsoft.com/office/drawing/2014/main" id="{00000000-0008-0000-0D00-000005000000}"/>
            </a:ext>
          </a:extLst>
        </xdr:cNvPr>
        <xdr:cNvSpPr/>
      </xdr:nvSpPr>
      <xdr:spPr>
        <a:xfrm>
          <a:off x="12266085" y="222250"/>
          <a:ext cx="876385" cy="242294"/>
        </a:xfrm>
        <a:prstGeom prst="bevel">
          <a:avLst/>
        </a:prstGeom>
        <a:solidFill>
          <a:schemeClr val="accent2">
            <a:lumMod val="20000"/>
            <a:lumOff val="80000"/>
          </a:schemeClr>
        </a:solidFill>
        <a:ln>
          <a:solidFill>
            <a:schemeClr val="accent2">
              <a:lumMod val="40000"/>
              <a:lumOff val="6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marL="0" indent="0"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ATRAS</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5</xdr:col>
      <xdr:colOff>320674</xdr:colOff>
      <xdr:row>0</xdr:row>
      <xdr:rowOff>104774</xdr:rowOff>
    </xdr:from>
    <xdr:to>
      <xdr:col>10</xdr:col>
      <xdr:colOff>74083</xdr:colOff>
      <xdr:row>2</xdr:row>
      <xdr:rowOff>19050</xdr:rowOff>
    </xdr:to>
    <xdr:sp macro="" textlink="">
      <xdr:nvSpPr>
        <xdr:cNvPr id="2" name="CuadroTexto 1">
          <a:extLst>
            <a:ext uri="{FF2B5EF4-FFF2-40B4-BE49-F238E27FC236}">
              <a16:creationId xmlns:a16="http://schemas.microsoft.com/office/drawing/2014/main" id="{00000000-0008-0000-0E00-000002000000}"/>
            </a:ext>
          </a:extLst>
        </xdr:cNvPr>
        <xdr:cNvSpPr txBox="1"/>
      </xdr:nvSpPr>
      <xdr:spPr>
        <a:xfrm>
          <a:off x="3696757" y="104774"/>
          <a:ext cx="1552576" cy="506943"/>
        </a:xfrm>
        <a:prstGeom prst="roundRect">
          <a:avLst/>
        </a:prstGeom>
        <a:solidFill>
          <a:schemeClr val="accent1">
            <a:lumMod val="40000"/>
            <a:lumOff val="60000"/>
          </a:schemeClr>
        </a:solidFill>
        <a:ln/>
        <a:effectLst>
          <a:glow rad="139700">
            <a:schemeClr val="accent1">
              <a:satMod val="175000"/>
              <a:alpha val="40000"/>
            </a:schemeClr>
          </a:glow>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r>
            <a:rPr lang="es-CO" sz="1050" b="1">
              <a:solidFill>
                <a:srgbClr val="002060"/>
              </a:solidFill>
              <a:latin typeface="Tahoma" panose="020B0604030504040204" pitchFamily="34" charset="0"/>
              <a:ea typeface="Tahoma" panose="020B0604030504040204" pitchFamily="34" charset="0"/>
              <a:cs typeface="Tahoma" panose="020B0604030504040204" pitchFamily="34" charset="0"/>
            </a:rPr>
            <a:t>Digite el número de la característica </a:t>
          </a:r>
        </a:p>
      </xdr:txBody>
    </xdr:sp>
    <xdr:clientData/>
  </xdr:twoCellAnchor>
  <xdr:twoCellAnchor>
    <xdr:from>
      <xdr:col>4</xdr:col>
      <xdr:colOff>116416</xdr:colOff>
      <xdr:row>1</xdr:row>
      <xdr:rowOff>0</xdr:rowOff>
    </xdr:from>
    <xdr:to>
      <xdr:col>5</xdr:col>
      <xdr:colOff>116416</xdr:colOff>
      <xdr:row>1</xdr:row>
      <xdr:rowOff>296333</xdr:rowOff>
    </xdr:to>
    <xdr:sp macro="" textlink="">
      <xdr:nvSpPr>
        <xdr:cNvPr id="3" name="Flecha izquierda 2">
          <a:extLst>
            <a:ext uri="{FF2B5EF4-FFF2-40B4-BE49-F238E27FC236}">
              <a16:creationId xmlns:a16="http://schemas.microsoft.com/office/drawing/2014/main" id="{00000000-0008-0000-0E00-000003000000}"/>
            </a:ext>
          </a:extLst>
        </xdr:cNvPr>
        <xdr:cNvSpPr/>
      </xdr:nvSpPr>
      <xdr:spPr>
        <a:xfrm>
          <a:off x="3132666" y="243417"/>
          <a:ext cx="359833" cy="296333"/>
        </a:xfrm>
        <a:prstGeom prst="leftArrow">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12</xdr:col>
      <xdr:colOff>322609</xdr:colOff>
      <xdr:row>1</xdr:row>
      <xdr:rowOff>272615</xdr:rowOff>
    </xdr:from>
    <xdr:to>
      <xdr:col>13</xdr:col>
      <xdr:colOff>435010</xdr:colOff>
      <xdr:row>2</xdr:row>
      <xdr:rowOff>151087</xdr:rowOff>
    </xdr:to>
    <xdr:sp macro="" textlink="">
      <xdr:nvSpPr>
        <xdr:cNvPr id="6" name="Bisel 5">
          <a:hlinkClick xmlns:r="http://schemas.openxmlformats.org/officeDocument/2006/relationships" r:id="rId1"/>
          <a:extLst>
            <a:ext uri="{FF2B5EF4-FFF2-40B4-BE49-F238E27FC236}">
              <a16:creationId xmlns:a16="http://schemas.microsoft.com/office/drawing/2014/main" id="{00000000-0008-0000-0E00-000006000000}"/>
            </a:ext>
          </a:extLst>
        </xdr:cNvPr>
        <xdr:cNvSpPr/>
      </xdr:nvSpPr>
      <xdr:spPr>
        <a:xfrm>
          <a:off x="8873942" y="516032"/>
          <a:ext cx="874401" cy="227722"/>
        </a:xfrm>
        <a:prstGeom prst="bevel">
          <a:avLst/>
        </a:prstGeom>
        <a:solidFill>
          <a:schemeClr val="accent6">
            <a:lumMod val="40000"/>
            <a:lumOff val="60000"/>
          </a:schemeClr>
        </a:solidFill>
        <a:ln>
          <a:solidFill>
            <a:schemeClr val="accent6">
              <a:lumMod val="60000"/>
              <a:lumOff val="4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SIGUIENTE</a:t>
          </a:r>
          <a:endParaRPr lang="es-CO" sz="600"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12</xdr:col>
      <xdr:colOff>317499</xdr:colOff>
      <xdr:row>0</xdr:row>
      <xdr:rowOff>169335</xdr:rowOff>
    </xdr:from>
    <xdr:to>
      <xdr:col>13</xdr:col>
      <xdr:colOff>431884</xdr:colOff>
      <xdr:row>1</xdr:row>
      <xdr:rowOff>168212</xdr:rowOff>
    </xdr:to>
    <xdr:sp macro="" textlink="">
      <xdr:nvSpPr>
        <xdr:cNvPr id="7" name="Bisel 6">
          <a:hlinkClick xmlns:r="http://schemas.openxmlformats.org/officeDocument/2006/relationships" r:id="rId1"/>
          <a:extLst>
            <a:ext uri="{FF2B5EF4-FFF2-40B4-BE49-F238E27FC236}">
              <a16:creationId xmlns:a16="http://schemas.microsoft.com/office/drawing/2014/main" id="{00000000-0008-0000-0E00-000007000000}"/>
            </a:ext>
          </a:extLst>
        </xdr:cNvPr>
        <xdr:cNvSpPr/>
      </xdr:nvSpPr>
      <xdr:spPr>
        <a:xfrm>
          <a:off x="8868832" y="169335"/>
          <a:ext cx="876385" cy="242294"/>
        </a:xfrm>
        <a:prstGeom prst="bevel">
          <a:avLst/>
        </a:prstGeom>
        <a:solidFill>
          <a:schemeClr val="accent2">
            <a:lumMod val="20000"/>
            <a:lumOff val="80000"/>
          </a:schemeClr>
        </a:solidFill>
        <a:ln>
          <a:solidFill>
            <a:schemeClr val="accent2">
              <a:lumMod val="40000"/>
              <a:lumOff val="60000"/>
            </a:schemeClr>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marL="0" indent="0" algn="ctr"/>
          <a:r>
            <a:rPr lang="es-CO" sz="8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ATRAS</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C1\disco%20d\Users\asis.aseguramiento\Dropbox\Presupuestos\Presupuestos%202019\Programas%20Acad&#233;micos\Programas%20Acad&#233;micos%20de%20Posgrados\FUG_2019%20Posgrado%20Psicologia%20Social%20Comunitari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ncionales"/>
      <sheetName val="BaseSalarial"/>
      <sheetName val="INICIO"/>
      <sheetName val="ADM"/>
      <sheetName val="D-TC"/>
      <sheetName val="D-MT"/>
      <sheetName val="D-TP"/>
      <sheetName val="INV"/>
      <sheetName val="PRS"/>
      <sheetName val="INT"/>
      <sheetName val="AEA"/>
      <sheetName val="M&amp;E"/>
      <sheetName val="PRESUPUEST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L36"/>
  <sheetViews>
    <sheetView showGridLines="0" zoomScale="80" zoomScaleNormal="80" workbookViewId="0">
      <selection activeCell="U17" sqref="U17"/>
    </sheetView>
  </sheetViews>
  <sheetFormatPr defaultColWidth="11.42578125" defaultRowHeight="14.25"/>
  <cols>
    <col min="1" max="1" width="3.42578125" style="30" customWidth="1"/>
    <col min="2" max="2" width="20.140625" style="30" customWidth="1"/>
    <col min="3" max="3" width="5.42578125" style="30" customWidth="1"/>
    <col min="4" max="4" width="9.85546875" style="30" customWidth="1"/>
    <col min="5" max="5" width="13.5703125" style="30" customWidth="1"/>
    <col min="6" max="6" width="9.140625" style="30" customWidth="1"/>
    <col min="7" max="7" width="11.42578125" style="30" customWidth="1"/>
    <col min="8" max="10" width="11.42578125" style="30"/>
    <col min="11" max="11" width="2" style="30" customWidth="1"/>
    <col min="12" max="12" width="16.28515625" style="30" customWidth="1"/>
    <col min="13" max="16384" width="11.42578125" style="30"/>
  </cols>
  <sheetData>
    <row r="3" spans="2:11" ht="15" customHeight="1">
      <c r="C3" s="31"/>
      <c r="D3" s="31"/>
      <c r="E3" s="31"/>
      <c r="F3" s="31"/>
      <c r="G3" s="31"/>
      <c r="H3" s="31"/>
      <c r="I3" s="31"/>
      <c r="J3" s="31"/>
    </row>
    <row r="4" spans="2:11" ht="15" customHeight="1">
      <c r="C4" s="31"/>
      <c r="D4" s="31"/>
      <c r="E4" s="31"/>
      <c r="F4" s="31"/>
      <c r="G4" s="31"/>
      <c r="H4" s="31"/>
      <c r="I4" s="31"/>
      <c r="J4" s="31"/>
    </row>
    <row r="5" spans="2:11" ht="15" customHeight="1">
      <c r="C5" s="31"/>
      <c r="D5" s="31"/>
      <c r="E5" s="31"/>
      <c r="F5" s="31"/>
      <c r="G5" s="31"/>
      <c r="H5" s="31"/>
      <c r="I5" s="31"/>
      <c r="J5" s="31"/>
    </row>
    <row r="6" spans="2:11" ht="15" customHeight="1">
      <c r="C6" s="31"/>
      <c r="D6" s="31"/>
      <c r="E6" s="31"/>
      <c r="F6" s="31"/>
      <c r="G6" s="31"/>
      <c r="H6" s="31"/>
      <c r="I6" s="31"/>
      <c r="J6" s="31"/>
    </row>
    <row r="7" spans="2:11" ht="15" customHeight="1">
      <c r="C7" s="31"/>
      <c r="D7" s="31"/>
      <c r="E7" s="31"/>
      <c r="F7" s="31"/>
      <c r="G7" s="31"/>
      <c r="H7" s="31"/>
      <c r="I7" s="31"/>
      <c r="J7" s="31"/>
    </row>
    <row r="8" spans="2:11" ht="15" customHeight="1">
      <c r="C8" s="31"/>
      <c r="D8" s="31"/>
      <c r="E8" s="31"/>
      <c r="F8" s="31"/>
      <c r="G8" s="31"/>
      <c r="H8" s="31"/>
      <c r="I8" s="31"/>
      <c r="J8" s="31"/>
    </row>
    <row r="9" spans="2:11" ht="15" customHeight="1">
      <c r="C9" s="31"/>
      <c r="D9" s="31"/>
      <c r="E9" s="31"/>
      <c r="F9" s="31"/>
      <c r="G9" s="31"/>
      <c r="H9" s="31"/>
      <c r="I9" s="31"/>
      <c r="J9" s="31"/>
    </row>
    <row r="10" spans="2:11" ht="18" hidden="1" customHeight="1">
      <c r="C10" s="31"/>
      <c r="D10" s="31"/>
      <c r="E10" s="31"/>
      <c r="F10" s="31"/>
      <c r="G10" s="31"/>
      <c r="H10" s="31"/>
      <c r="I10" s="31"/>
      <c r="J10" s="31"/>
    </row>
    <row r="11" spans="2:11" ht="18" hidden="1" customHeight="1">
      <c r="C11" s="39"/>
      <c r="D11" s="146"/>
      <c r="E11" s="146"/>
      <c r="F11" s="146"/>
      <c r="G11" s="146"/>
      <c r="H11" s="146"/>
      <c r="I11" s="146"/>
      <c r="J11" s="146"/>
      <c r="K11" s="39"/>
    </row>
    <row r="12" spans="2:11" ht="18" hidden="1" customHeight="1"/>
    <row r="13" spans="2:11" ht="15" hidden="1" customHeight="1">
      <c r="C13" s="38"/>
      <c r="D13" s="145"/>
      <c r="E13" s="145"/>
      <c r="F13" s="145"/>
      <c r="G13" s="145"/>
      <c r="H13" s="145"/>
      <c r="I13" s="145"/>
      <c r="J13" s="145"/>
      <c r="K13" s="38"/>
    </row>
    <row r="14" spans="2:11" ht="15" customHeight="1">
      <c r="C14" s="33"/>
      <c r="D14" s="139"/>
      <c r="E14" s="139"/>
      <c r="F14" s="139"/>
      <c r="G14" s="139"/>
      <c r="H14" s="139"/>
      <c r="I14" s="139"/>
      <c r="J14" s="139"/>
      <c r="K14" s="33"/>
    </row>
    <row r="16" spans="2:11" ht="22.5" customHeight="1">
      <c r="B16" s="34" t="s">
        <v>0</v>
      </c>
      <c r="C16" s="33"/>
      <c r="D16" s="141" t="s">
        <v>1</v>
      </c>
      <c r="E16" s="142"/>
      <c r="F16" s="142"/>
      <c r="G16" s="142"/>
      <c r="H16" s="142"/>
      <c r="I16" s="142"/>
      <c r="J16" s="143"/>
    </row>
    <row r="17" spans="2:12" ht="22.5" customHeight="1">
      <c r="B17" s="34" t="s">
        <v>2</v>
      </c>
      <c r="C17" s="33"/>
      <c r="D17" s="141"/>
      <c r="E17" s="142"/>
      <c r="F17" s="142"/>
      <c r="G17" s="142"/>
      <c r="H17" s="142"/>
      <c r="I17" s="142"/>
      <c r="J17" s="143"/>
      <c r="L17" s="37" t="s">
        <v>3</v>
      </c>
    </row>
    <row r="18" spans="2:12" ht="22.5" customHeight="1">
      <c r="B18" s="34" t="s">
        <v>4</v>
      </c>
      <c r="D18" s="141" t="s">
        <v>1</v>
      </c>
      <c r="E18" s="142"/>
      <c r="F18" s="142"/>
      <c r="G18" s="142"/>
      <c r="H18" s="142"/>
      <c r="I18" s="142"/>
      <c r="J18" s="143"/>
    </row>
    <row r="19" spans="2:12" ht="22.5" customHeight="1">
      <c r="C19" s="144"/>
      <c r="D19" s="144"/>
      <c r="E19" s="144"/>
      <c r="F19" s="144"/>
      <c r="G19" s="144"/>
    </row>
    <row r="20" spans="2:12" ht="22.5" customHeight="1">
      <c r="B20" s="32"/>
      <c r="C20" s="32"/>
      <c r="D20" s="147" t="s">
        <v>5</v>
      </c>
      <c r="E20" s="148"/>
      <c r="F20" s="148"/>
      <c r="G20" s="149"/>
      <c r="H20" s="147" t="s">
        <v>6</v>
      </c>
      <c r="I20" s="148"/>
      <c r="J20" s="149"/>
    </row>
    <row r="21" spans="2:12" ht="22.5" customHeight="1">
      <c r="B21" s="34" t="s">
        <v>7</v>
      </c>
      <c r="C21" s="105" t="s">
        <v>8</v>
      </c>
      <c r="D21" s="133"/>
      <c r="E21" s="134"/>
      <c r="F21" s="134"/>
      <c r="G21" s="135"/>
      <c r="H21" s="136"/>
      <c r="I21" s="137"/>
      <c r="J21" s="138"/>
    </row>
    <row r="22" spans="2:12" ht="22.5" customHeight="1">
      <c r="B22" s="32"/>
      <c r="C22" s="105" t="s">
        <v>9</v>
      </c>
      <c r="D22" s="133"/>
      <c r="E22" s="134"/>
      <c r="F22" s="134"/>
      <c r="G22" s="135"/>
      <c r="H22" s="136"/>
      <c r="I22" s="137"/>
      <c r="J22" s="138"/>
    </row>
    <row r="23" spans="2:12" ht="22.5" customHeight="1">
      <c r="B23" s="32"/>
      <c r="C23" s="105" t="s">
        <v>10</v>
      </c>
      <c r="D23" s="133"/>
      <c r="E23" s="134"/>
      <c r="F23" s="134"/>
      <c r="G23" s="135"/>
      <c r="H23" s="136"/>
      <c r="I23" s="137"/>
      <c r="J23" s="138"/>
    </row>
    <row r="24" spans="2:12" ht="22.5" customHeight="1">
      <c r="C24" s="105" t="s">
        <v>11</v>
      </c>
      <c r="D24" s="133"/>
      <c r="E24" s="134"/>
      <c r="F24" s="134"/>
      <c r="G24" s="135"/>
      <c r="H24" s="140"/>
      <c r="I24" s="137"/>
      <c r="J24" s="138"/>
    </row>
    <row r="25" spans="2:12" ht="22.5" customHeight="1">
      <c r="B25" s="32"/>
      <c r="C25" s="105" t="s">
        <v>12</v>
      </c>
      <c r="D25" s="133"/>
      <c r="E25" s="134"/>
      <c r="F25" s="134"/>
      <c r="G25" s="135"/>
      <c r="H25" s="136"/>
      <c r="I25" s="137"/>
      <c r="J25" s="138"/>
    </row>
    <row r="26" spans="2:12" ht="22.5" customHeight="1">
      <c r="B26" s="32"/>
      <c r="C26" s="105" t="s">
        <v>13</v>
      </c>
      <c r="D26" s="133"/>
      <c r="E26" s="134"/>
      <c r="F26" s="134"/>
      <c r="G26" s="135"/>
      <c r="H26" s="136"/>
      <c r="I26" s="137"/>
      <c r="J26" s="138"/>
    </row>
    <row r="27" spans="2:12" ht="22.5" customHeight="1">
      <c r="B27" s="32"/>
      <c r="C27" s="105" t="s">
        <v>14</v>
      </c>
      <c r="D27" s="133"/>
      <c r="E27" s="134"/>
      <c r="F27" s="134"/>
      <c r="G27" s="135"/>
      <c r="H27" s="136"/>
      <c r="I27" s="137"/>
      <c r="J27" s="138"/>
    </row>
    <row r="28" spans="2:12" ht="22.5" customHeight="1">
      <c r="B28" s="32"/>
      <c r="C28" s="105" t="s">
        <v>15</v>
      </c>
      <c r="D28" s="133"/>
      <c r="E28" s="134"/>
      <c r="F28" s="134"/>
      <c r="G28" s="135"/>
      <c r="H28" s="136"/>
      <c r="I28" s="137"/>
      <c r="J28" s="138"/>
    </row>
    <row r="29" spans="2:12" ht="22.5" customHeight="1">
      <c r="B29" s="32"/>
      <c r="C29" s="105" t="s">
        <v>16</v>
      </c>
      <c r="D29" s="133"/>
      <c r="E29" s="134"/>
      <c r="F29" s="134"/>
      <c r="G29" s="135"/>
      <c r="H29" s="136"/>
      <c r="I29" s="137"/>
      <c r="J29" s="138"/>
    </row>
    <row r="30" spans="2:12" ht="22.5" customHeight="1">
      <c r="B30" s="32"/>
      <c r="C30" s="105" t="s">
        <v>17</v>
      </c>
      <c r="D30" s="133"/>
      <c r="E30" s="134"/>
      <c r="F30" s="134"/>
      <c r="G30" s="135"/>
      <c r="H30" s="136"/>
      <c r="I30" s="137"/>
      <c r="J30" s="138"/>
    </row>
    <row r="31" spans="2:12" ht="22.5" customHeight="1">
      <c r="B31" s="32"/>
      <c r="C31" s="105" t="s">
        <v>18</v>
      </c>
      <c r="D31" s="133"/>
      <c r="E31" s="134"/>
      <c r="F31" s="134"/>
      <c r="G31" s="135"/>
      <c r="H31" s="136"/>
      <c r="I31" s="137"/>
      <c r="J31" s="138"/>
    </row>
    <row r="32" spans="2:12" ht="22.5" customHeight="1">
      <c r="B32" s="32"/>
      <c r="C32" s="105" t="s">
        <v>19</v>
      </c>
      <c r="D32" s="133"/>
      <c r="E32" s="134"/>
      <c r="F32" s="134"/>
      <c r="G32" s="135"/>
      <c r="H32" s="136"/>
      <c r="I32" s="137"/>
      <c r="J32" s="138"/>
    </row>
    <row r="33" spans="2:9" ht="22.5" customHeight="1">
      <c r="B33" s="33"/>
      <c r="C33" s="33"/>
    </row>
    <row r="34" spans="2:9" ht="21" customHeight="1" thickBot="1">
      <c r="B34" s="35" t="s">
        <v>20</v>
      </c>
      <c r="C34" s="33"/>
      <c r="D34" s="40" t="s">
        <v>21</v>
      </c>
      <c r="E34" s="41" t="s">
        <v>22</v>
      </c>
      <c r="F34" s="41" t="s">
        <v>23</v>
      </c>
      <c r="H34" s="34" t="s">
        <v>24</v>
      </c>
      <c r="I34" s="42" t="s">
        <v>1</v>
      </c>
    </row>
    <row r="35" spans="2:9" ht="15" thickTop="1">
      <c r="B35" s="33"/>
      <c r="C35" s="33"/>
    </row>
    <row r="36" spans="2:9">
      <c r="B36" s="33"/>
      <c r="C36" s="33"/>
    </row>
  </sheetData>
  <sheetProtection algorithmName="SHA-512" hashValue="Be81xiUfY9DgyX7WbVLq/Uqcg+wWxpQ3rLdtr3FmB4mSXDvTLBkg/EgBbuOOH0U5yd61W+tG4TTxPx4G/EBDKw==" saltValue="zLqVUCAjA/HItAW1/N5teA==" spinCount="100000" sheet="1" objects="1" scenarios="1"/>
  <mergeCells count="33">
    <mergeCell ref="D13:J13"/>
    <mergeCell ref="D11:J11"/>
    <mergeCell ref="D29:G29"/>
    <mergeCell ref="D30:G30"/>
    <mergeCell ref="D20:G20"/>
    <mergeCell ref="H20:J20"/>
    <mergeCell ref="D16:J16"/>
    <mergeCell ref="H30:J30"/>
    <mergeCell ref="D21:G21"/>
    <mergeCell ref="D22:G22"/>
    <mergeCell ref="D23:G23"/>
    <mergeCell ref="D24:G24"/>
    <mergeCell ref="D25:G25"/>
    <mergeCell ref="D26:G26"/>
    <mergeCell ref="D27:G27"/>
    <mergeCell ref="H29:J29"/>
    <mergeCell ref="D14:J14"/>
    <mergeCell ref="H24:J24"/>
    <mergeCell ref="H25:J25"/>
    <mergeCell ref="H26:J26"/>
    <mergeCell ref="H27:J27"/>
    <mergeCell ref="D18:J18"/>
    <mergeCell ref="D17:J17"/>
    <mergeCell ref="C19:G19"/>
    <mergeCell ref="H21:J21"/>
    <mergeCell ref="H22:J22"/>
    <mergeCell ref="H23:J23"/>
    <mergeCell ref="D31:G31"/>
    <mergeCell ref="H31:J31"/>
    <mergeCell ref="D32:G32"/>
    <mergeCell ref="H32:J32"/>
    <mergeCell ref="H28:J28"/>
    <mergeCell ref="D28:G28"/>
  </mergeCells>
  <conditionalFormatting sqref="D34">
    <cfRule type="containsText" dxfId="4" priority="5" operator="containsText" text="DD">
      <formula>NOT(ISERROR(SEARCH("DD",D34)))</formula>
    </cfRule>
  </conditionalFormatting>
  <conditionalFormatting sqref="F34">
    <cfRule type="containsText" dxfId="3" priority="4" operator="containsText" text="AAAA">
      <formula>NOT(ISERROR(SEARCH("AAAA",F34)))</formula>
    </cfRule>
  </conditionalFormatting>
  <conditionalFormatting sqref="E34">
    <cfRule type="containsText" dxfId="2" priority="3" operator="containsText" text="MM">
      <formula>NOT(ISERROR(SEARCH("MM",E34)))</formula>
    </cfRule>
  </conditionalFormatting>
  <conditionalFormatting sqref="I34">
    <cfRule type="containsText" dxfId="1" priority="1" operator="containsText" text="AAAA">
      <formula>NOT(ISERROR(SEARCH("AAAA",I34)))</formula>
    </cfRule>
  </conditionalFormatting>
  <pageMargins left="0.7" right="0.7" top="0.75" bottom="0.75" header="0.3" footer="0.3"/>
  <pageSetup orientation="portrait" horizontalDpi="360" verticalDpi="360" r:id="rId1"/>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000-000000000000}">
          <x14:formula1>
            <xm:f>Hoja1!$I$1:$I$13</xm:f>
          </x14:formula1>
          <xm:sqref>F34</xm:sqref>
        </x14:dataValidation>
        <x14:dataValidation type="list" allowBlank="1" showInputMessage="1" showErrorMessage="1" xr:uid="{00000000-0002-0000-0000-000001000000}">
          <x14:formula1>
            <xm:f>Hoja1!$H$1:$H$13</xm:f>
          </x14:formula1>
          <xm:sqref>E34</xm:sqref>
        </x14:dataValidation>
        <x14:dataValidation type="list" allowBlank="1" showInputMessage="1" showErrorMessage="1" xr:uid="{00000000-0002-0000-0000-000002000000}">
          <x14:formula1>
            <xm:f>Hoja1!$G$1:$G$32</xm:f>
          </x14:formula1>
          <xm:sqref>D34</xm:sqref>
        </x14:dataValidation>
        <x14:dataValidation type="list" allowBlank="1" showInputMessage="1" showErrorMessage="1" xr:uid="{00000000-0002-0000-0000-000003000000}">
          <x14:formula1>
            <xm:f>Hoja1!$J$1:$J$3</xm:f>
          </x14:formula1>
          <xm:sqref>I34</xm:sqref>
        </x14:dataValidation>
        <x14:dataValidation type="list" allowBlank="1" showInputMessage="1" showErrorMessage="1" xr:uid="{00000000-0002-0000-0000-000004000000}">
          <x14:formula1>
            <xm:f>Hoja1!$K$1:$K$3</xm:f>
          </x14:formula1>
          <xm:sqref>D18:J18</xm:sqref>
        </x14:dataValidation>
        <x14:dataValidation type="list" allowBlank="1" showInputMessage="1" showErrorMessage="1" xr:uid="{00000000-0002-0000-0000-000005000000}">
          <x14:formula1>
            <xm:f>Hoja1!$F$1:$F$22</xm:f>
          </x14:formula1>
          <xm:sqref>D16:J16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5"/>
  <sheetViews>
    <sheetView showGridLines="0" tabSelected="1" zoomScale="90" zoomScaleNormal="90" workbookViewId="0">
      <selection activeCell="M20" sqref="M20"/>
    </sheetView>
  </sheetViews>
  <sheetFormatPr defaultColWidth="11.42578125" defaultRowHeight="14.25"/>
  <cols>
    <col min="1" max="1" width="39" style="1" customWidth="1"/>
    <col min="2" max="3" width="7.7109375" style="14" customWidth="1"/>
    <col min="4" max="13" width="6.140625" style="4" customWidth="1"/>
    <col min="14" max="14" width="3" style="1" customWidth="1"/>
    <col min="15" max="15" width="11.28515625" style="1" customWidth="1"/>
    <col min="16" max="16" width="6" style="1" customWidth="1"/>
    <col min="17" max="17" width="9.28515625" style="1" customWidth="1"/>
    <col min="18" max="18" width="8" style="1" customWidth="1"/>
    <col min="19" max="19" width="20.42578125" style="1" customWidth="1"/>
    <col min="20" max="16384" width="11.42578125" style="1"/>
  </cols>
  <sheetData>
    <row r="1" spans="1:19" ht="15" customHeight="1">
      <c r="A1" s="12" t="s">
        <v>25</v>
      </c>
      <c r="B1" s="13" t="s">
        <v>26</v>
      </c>
      <c r="C1" s="155" t="s">
        <v>27</v>
      </c>
      <c r="D1" s="156"/>
      <c r="E1" s="156"/>
      <c r="F1" s="156"/>
      <c r="G1" s="156"/>
      <c r="H1" s="156"/>
      <c r="I1" s="156"/>
      <c r="J1" s="156"/>
      <c r="K1" s="156"/>
      <c r="L1" s="156"/>
      <c r="M1" s="156"/>
      <c r="N1" s="156"/>
      <c r="O1" s="156"/>
      <c r="P1" s="156"/>
      <c r="Q1" s="156"/>
      <c r="R1" s="156"/>
      <c r="S1" s="157"/>
    </row>
    <row r="2" spans="1:19" ht="68.25" customHeight="1">
      <c r="A2" s="6" t="s">
        <v>28</v>
      </c>
      <c r="B2" s="75" t="e">
        <f>'Res.'!D5</f>
        <v>#DIV/0!</v>
      </c>
      <c r="C2" s="170"/>
      <c r="D2" s="171"/>
      <c r="E2" s="171"/>
      <c r="F2" s="171"/>
      <c r="G2" s="171"/>
      <c r="H2" s="171"/>
      <c r="I2" s="171"/>
      <c r="J2" s="171"/>
      <c r="K2" s="171"/>
      <c r="L2" s="171"/>
      <c r="M2" s="171"/>
      <c r="N2" s="171"/>
      <c r="O2" s="171"/>
      <c r="P2" s="171"/>
      <c r="Q2" s="171"/>
      <c r="R2" s="171"/>
      <c r="S2" s="172"/>
    </row>
    <row r="5" spans="1:19" ht="18.75" customHeight="1">
      <c r="D5" s="167" t="s">
        <v>29</v>
      </c>
      <c r="E5" s="168"/>
      <c r="F5" s="168"/>
      <c r="G5" s="168"/>
      <c r="H5" s="168"/>
      <c r="I5" s="168"/>
      <c r="J5" s="168"/>
      <c r="K5" s="168"/>
      <c r="L5" s="168"/>
      <c r="M5" s="169"/>
      <c r="O5" s="110"/>
      <c r="P5" s="110"/>
      <c r="Q5" s="110"/>
      <c r="R5" s="110"/>
      <c r="S5" s="110"/>
    </row>
    <row r="6" spans="1:19" ht="15" customHeight="1">
      <c r="A6" s="158" t="s">
        <v>30</v>
      </c>
      <c r="B6" s="159"/>
      <c r="C6" s="160"/>
      <c r="D6" s="7" t="s">
        <v>8</v>
      </c>
      <c r="E6" s="7" t="s">
        <v>9</v>
      </c>
      <c r="F6" s="7" t="s">
        <v>10</v>
      </c>
      <c r="G6" s="7" t="s">
        <v>11</v>
      </c>
      <c r="H6" s="7" t="s">
        <v>12</v>
      </c>
      <c r="I6" s="7" t="s">
        <v>13</v>
      </c>
      <c r="J6" s="7" t="s">
        <v>14</v>
      </c>
      <c r="K6" s="7" t="s">
        <v>15</v>
      </c>
      <c r="L6" s="7" t="s">
        <v>16</v>
      </c>
      <c r="M6" s="7" t="s">
        <v>17</v>
      </c>
      <c r="O6" s="106"/>
      <c r="P6" s="106"/>
      <c r="Q6" s="106"/>
      <c r="R6" s="106"/>
      <c r="S6" s="106"/>
    </row>
    <row r="7" spans="1:19" s="2" customFormat="1" ht="18" customHeight="1">
      <c r="A7" s="161" t="s">
        <v>31</v>
      </c>
      <c r="B7" s="162"/>
      <c r="C7" s="163"/>
      <c r="D7" s="43"/>
      <c r="E7" s="43"/>
      <c r="F7" s="43"/>
      <c r="G7" s="43"/>
      <c r="H7" s="43"/>
      <c r="I7" s="43"/>
      <c r="J7" s="43"/>
      <c r="K7" s="43"/>
      <c r="L7" s="43"/>
      <c r="M7" s="43"/>
      <c r="O7" s="107"/>
      <c r="P7" s="108"/>
      <c r="Q7" s="109"/>
      <c r="R7" s="111"/>
      <c r="S7" s="112"/>
    </row>
    <row r="8" spans="1:19" s="2" customFormat="1" ht="27.75" customHeight="1">
      <c r="A8" s="164" t="s">
        <v>32</v>
      </c>
      <c r="B8" s="165"/>
      <c r="C8" s="166"/>
      <c r="D8" s="43"/>
      <c r="E8" s="43"/>
      <c r="F8" s="43"/>
      <c r="G8" s="43"/>
      <c r="H8" s="43"/>
      <c r="I8" s="43"/>
      <c r="J8" s="43"/>
      <c r="K8" s="43"/>
      <c r="L8" s="43"/>
      <c r="M8" s="43"/>
      <c r="O8" s="107"/>
      <c r="P8" s="108"/>
      <c r="Q8" s="109"/>
      <c r="R8" s="111"/>
      <c r="S8" s="112"/>
    </row>
    <row r="11" spans="1:19" ht="15" customHeight="1">
      <c r="A11" s="3" t="s">
        <v>30</v>
      </c>
      <c r="B11" s="8" t="s">
        <v>33</v>
      </c>
      <c r="C11" s="8" t="s">
        <v>26</v>
      </c>
      <c r="D11" s="153" t="s">
        <v>27</v>
      </c>
      <c r="E11" s="154"/>
      <c r="F11" s="154"/>
      <c r="G11" s="154"/>
      <c r="H11" s="154"/>
      <c r="I11" s="154"/>
      <c r="J11" s="154"/>
      <c r="K11" s="154"/>
      <c r="L11" s="154"/>
      <c r="M11" s="154"/>
      <c r="N11" s="154"/>
      <c r="O11" s="154"/>
      <c r="P11" s="154"/>
      <c r="Q11" s="154"/>
      <c r="R11" s="154"/>
      <c r="S11" s="154"/>
    </row>
    <row r="12" spans="1:19" ht="66.75" customHeight="1">
      <c r="A12" s="6" t="str">
        <f>A7</f>
        <v>1.  Proyecto educativo  del programa</v>
      </c>
      <c r="B12" s="76" t="e">
        <f>AVERAGE(D7:M7)</f>
        <v>#DIV/0!</v>
      </c>
      <c r="C12" s="75" t="e">
        <f>B12/SUM($B$12:$B$13)</f>
        <v>#DIV/0!</v>
      </c>
      <c r="D12" s="150"/>
      <c r="E12" s="151"/>
      <c r="F12" s="151"/>
      <c r="G12" s="151"/>
      <c r="H12" s="151"/>
      <c r="I12" s="151"/>
      <c r="J12" s="151"/>
      <c r="K12" s="151"/>
      <c r="L12" s="151"/>
      <c r="M12" s="151"/>
      <c r="N12" s="151"/>
      <c r="O12" s="151"/>
      <c r="P12" s="151"/>
      <c r="Q12" s="151"/>
      <c r="R12" s="151"/>
      <c r="S12" s="152"/>
    </row>
    <row r="13" spans="1:19" ht="66.75" customHeight="1">
      <c r="A13" s="6" t="str">
        <f>A8</f>
        <v>2. Relevancia académica y pertinencia social del programa académico</v>
      </c>
      <c r="B13" s="76" t="e">
        <f>AVERAGE(D8:M8)</f>
        <v>#DIV/0!</v>
      </c>
      <c r="C13" s="75" t="e">
        <f>B13/SUM($B$12:$B$13)</f>
        <v>#DIV/0!</v>
      </c>
      <c r="D13" s="150"/>
      <c r="E13" s="151"/>
      <c r="F13" s="151"/>
      <c r="G13" s="151"/>
      <c r="H13" s="151"/>
      <c r="I13" s="151"/>
      <c r="J13" s="151"/>
      <c r="K13" s="151"/>
      <c r="L13" s="151"/>
      <c r="M13" s="151"/>
      <c r="N13" s="151"/>
      <c r="O13" s="151"/>
      <c r="P13" s="151"/>
      <c r="Q13" s="151"/>
      <c r="R13" s="151"/>
      <c r="S13" s="152"/>
    </row>
    <row r="14" spans="1:19">
      <c r="D14" s="10"/>
      <c r="N14" s="9"/>
    </row>
    <row r="15" spans="1:19">
      <c r="D15" s="10"/>
    </row>
  </sheetData>
  <sheetProtection algorithmName="SHA-512" hashValue="JE+5Icvonz+nqS9yHZEJyIDTgvAzI1mJnyyhSaQLCacuZApoGdQrgbxIYD0T8ozcNUfT1PibuuQvYxHGWwM9pg==" saltValue="e/aLAom6EwyCGv1XRsxycw==" spinCount="100000" sheet="1" objects="1" scenarios="1"/>
  <dataConsolidate/>
  <mergeCells count="9">
    <mergeCell ref="D13:S13"/>
    <mergeCell ref="D11:S11"/>
    <mergeCell ref="C1:S1"/>
    <mergeCell ref="A6:C6"/>
    <mergeCell ref="A7:C7"/>
    <mergeCell ref="A8:C8"/>
    <mergeCell ref="D5:M5"/>
    <mergeCell ref="C2:S2"/>
    <mergeCell ref="D12:S12"/>
  </mergeCells>
  <pageMargins left="0.7" right="0.7" top="0.75" bottom="0.75" header="0.3" footer="0.3"/>
  <pageSetup orientation="portrait" horizontalDpi="360" verticalDpi="360"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Hoja1!$B$1:$B$10</xm:f>
          </x14:formula1>
          <xm:sqref>D7:M8</xm:sqref>
        </x14:dataValidation>
        <x14:dataValidation type="list" allowBlank="1" showInputMessage="1" showErrorMessage="1" xr:uid="{00000000-0002-0000-0100-000001000000}">
          <x14:formula1>
            <xm:f>Hoja1!$D$1:$D$41</xm:f>
          </x14:formula1>
          <xm:sqref>P7:P8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9"/>
  <sheetViews>
    <sheetView showGridLines="0" zoomScale="90" zoomScaleNormal="90" workbookViewId="0">
      <selection activeCell="B2" sqref="B2"/>
    </sheetView>
  </sheetViews>
  <sheetFormatPr defaultColWidth="11.42578125" defaultRowHeight="14.25"/>
  <cols>
    <col min="1" max="1" width="39" style="1" customWidth="1"/>
    <col min="2" max="3" width="7.7109375" style="1" customWidth="1"/>
    <col min="4" max="13" width="6.140625" style="4" customWidth="1"/>
    <col min="14" max="14" width="3" style="1" customWidth="1"/>
    <col min="15" max="15" width="8.42578125" style="1" customWidth="1"/>
    <col min="16" max="17" width="6" style="1" customWidth="1"/>
    <col min="18" max="18" width="8" style="1" customWidth="1"/>
    <col min="19" max="19" width="20.42578125" style="1" customWidth="1"/>
    <col min="20" max="16384" width="11.42578125" style="1"/>
  </cols>
  <sheetData>
    <row r="1" spans="1:19" ht="15" customHeight="1">
      <c r="A1" s="3" t="s">
        <v>25</v>
      </c>
      <c r="B1" s="13" t="s">
        <v>26</v>
      </c>
      <c r="C1" s="173" t="s">
        <v>27</v>
      </c>
      <c r="D1" s="174"/>
      <c r="E1" s="174"/>
      <c r="F1" s="174"/>
      <c r="G1" s="174"/>
      <c r="H1" s="174"/>
      <c r="I1" s="174"/>
      <c r="J1" s="174"/>
      <c r="K1" s="174"/>
      <c r="L1" s="174"/>
      <c r="M1" s="174"/>
      <c r="N1" s="174"/>
      <c r="O1" s="174"/>
      <c r="P1" s="174"/>
      <c r="Q1" s="174"/>
      <c r="R1" s="174"/>
      <c r="S1" s="175"/>
    </row>
    <row r="2" spans="1:19" ht="68.25" customHeight="1">
      <c r="A2" s="6" t="s">
        <v>34</v>
      </c>
      <c r="B2" s="75" t="e">
        <f>'Res.'!D8</f>
        <v>#DIV/0!</v>
      </c>
      <c r="C2" s="150"/>
      <c r="D2" s="151"/>
      <c r="E2" s="151"/>
      <c r="F2" s="151"/>
      <c r="G2" s="151"/>
      <c r="H2" s="151"/>
      <c r="I2" s="151"/>
      <c r="J2" s="151"/>
      <c r="K2" s="151"/>
      <c r="L2" s="151"/>
      <c r="M2" s="151"/>
      <c r="N2" s="151"/>
      <c r="O2" s="151"/>
      <c r="P2" s="151"/>
      <c r="Q2" s="151"/>
      <c r="R2" s="151"/>
      <c r="S2" s="152"/>
    </row>
    <row r="5" spans="1:19" ht="18.75" customHeight="1">
      <c r="B5" s="14"/>
      <c r="C5" s="14"/>
      <c r="D5" s="167" t="s">
        <v>29</v>
      </c>
      <c r="E5" s="168"/>
      <c r="F5" s="168"/>
      <c r="G5" s="168"/>
      <c r="H5" s="168"/>
      <c r="I5" s="168"/>
      <c r="J5" s="168"/>
      <c r="K5" s="168"/>
      <c r="L5" s="168"/>
      <c r="M5" s="169"/>
      <c r="O5" s="176"/>
      <c r="P5" s="176"/>
      <c r="Q5" s="176"/>
      <c r="R5" s="176"/>
      <c r="S5" s="176"/>
    </row>
    <row r="6" spans="1:19" ht="15" customHeight="1">
      <c r="A6" s="158" t="s">
        <v>30</v>
      </c>
      <c r="B6" s="159"/>
      <c r="C6" s="160"/>
      <c r="D6" s="7" t="s">
        <v>8</v>
      </c>
      <c r="E6" s="7" t="s">
        <v>9</v>
      </c>
      <c r="F6" s="7" t="s">
        <v>10</v>
      </c>
      <c r="G6" s="7" t="s">
        <v>11</v>
      </c>
      <c r="H6" s="7" t="s">
        <v>12</v>
      </c>
      <c r="I6" s="7" t="s">
        <v>13</v>
      </c>
      <c r="J6" s="7" t="s">
        <v>14</v>
      </c>
      <c r="K6" s="7" t="s">
        <v>15</v>
      </c>
      <c r="L6" s="7" t="s">
        <v>16</v>
      </c>
      <c r="M6" s="7" t="s">
        <v>17</v>
      </c>
      <c r="O6" s="176"/>
      <c r="P6" s="176"/>
      <c r="Q6" s="176"/>
      <c r="R6" s="176"/>
      <c r="S6" s="176"/>
    </row>
    <row r="7" spans="1:19" s="2" customFormat="1" ht="18" customHeight="1">
      <c r="A7" s="161" t="s">
        <v>35</v>
      </c>
      <c r="B7" s="162"/>
      <c r="C7" s="163"/>
      <c r="D7" s="43"/>
      <c r="E7" s="43"/>
      <c r="F7" s="43"/>
      <c r="G7" s="43"/>
      <c r="H7" s="43"/>
      <c r="I7" s="43"/>
      <c r="J7" s="43"/>
      <c r="K7" s="43"/>
      <c r="L7" s="43"/>
      <c r="M7" s="43"/>
      <c r="O7" s="176"/>
      <c r="P7" s="176"/>
      <c r="Q7" s="176"/>
      <c r="R7" s="176"/>
      <c r="S7" s="176"/>
    </row>
    <row r="8" spans="1:19" s="2" customFormat="1" ht="18" customHeight="1">
      <c r="A8" s="161" t="s">
        <v>36</v>
      </c>
      <c r="B8" s="162"/>
      <c r="C8" s="163"/>
      <c r="D8" s="43"/>
      <c r="E8" s="43"/>
      <c r="F8" s="43"/>
      <c r="G8" s="43"/>
      <c r="H8" s="43"/>
      <c r="I8" s="43"/>
      <c r="J8" s="43"/>
      <c r="K8" s="43"/>
      <c r="L8" s="43"/>
      <c r="M8" s="43"/>
      <c r="O8" s="176"/>
      <c r="P8" s="176"/>
      <c r="Q8" s="176"/>
      <c r="R8" s="176"/>
      <c r="S8" s="176"/>
    </row>
    <row r="9" spans="1:19" s="2" customFormat="1" ht="18" customHeight="1">
      <c r="A9" s="161" t="s">
        <v>37</v>
      </c>
      <c r="B9" s="162"/>
      <c r="C9" s="163"/>
      <c r="D9" s="43"/>
      <c r="E9" s="43"/>
      <c r="F9" s="43"/>
      <c r="G9" s="43"/>
      <c r="H9" s="43"/>
      <c r="I9" s="43"/>
      <c r="J9" s="43"/>
      <c r="K9" s="43"/>
      <c r="L9" s="43"/>
      <c r="M9" s="43"/>
      <c r="O9" s="176"/>
      <c r="P9" s="176"/>
      <c r="Q9" s="176"/>
      <c r="R9" s="176"/>
      <c r="S9" s="176"/>
    </row>
    <row r="10" spans="1:19" s="2" customFormat="1" ht="18" customHeight="1">
      <c r="A10" s="161" t="s">
        <v>38</v>
      </c>
      <c r="B10" s="162"/>
      <c r="C10" s="163"/>
      <c r="D10" s="43"/>
      <c r="E10" s="43"/>
      <c r="F10" s="43"/>
      <c r="G10" s="43"/>
      <c r="H10" s="43"/>
      <c r="I10" s="43"/>
      <c r="J10" s="43"/>
      <c r="K10" s="43"/>
      <c r="L10" s="43"/>
      <c r="M10" s="43"/>
      <c r="O10" s="176"/>
      <c r="P10" s="176"/>
      <c r="Q10" s="176"/>
      <c r="R10" s="176"/>
      <c r="S10" s="176"/>
    </row>
    <row r="11" spans="1:19" s="2" customFormat="1" ht="18" customHeight="1">
      <c r="A11" s="161" t="s">
        <v>39</v>
      </c>
      <c r="B11" s="162"/>
      <c r="C11" s="163"/>
      <c r="D11" s="43"/>
      <c r="E11" s="43"/>
      <c r="F11" s="43"/>
      <c r="G11" s="43"/>
      <c r="H11" s="43"/>
      <c r="I11" s="43"/>
      <c r="J11" s="43"/>
      <c r="K11" s="43"/>
      <c r="L11" s="43"/>
      <c r="M11" s="43"/>
      <c r="N11" s="1"/>
      <c r="O11" s="176"/>
      <c r="P11" s="176"/>
      <c r="Q11" s="176"/>
      <c r="R11" s="176"/>
      <c r="S11" s="176"/>
    </row>
    <row r="12" spans="1:19">
      <c r="O12" s="176"/>
      <c r="P12" s="176"/>
      <c r="Q12" s="176"/>
      <c r="R12" s="176"/>
      <c r="S12" s="176"/>
    </row>
    <row r="14" spans="1:19" ht="15" customHeight="1">
      <c r="A14" s="3" t="s">
        <v>30</v>
      </c>
      <c r="B14" s="8" t="s">
        <v>33</v>
      </c>
      <c r="C14" s="8" t="s">
        <v>26</v>
      </c>
      <c r="D14" s="153" t="s">
        <v>27</v>
      </c>
      <c r="E14" s="154"/>
      <c r="F14" s="154"/>
      <c r="G14" s="154"/>
      <c r="H14" s="154"/>
      <c r="I14" s="154"/>
      <c r="J14" s="154"/>
      <c r="K14" s="154"/>
      <c r="L14" s="154"/>
      <c r="M14" s="154"/>
      <c r="N14" s="154"/>
      <c r="O14" s="154"/>
      <c r="P14" s="154"/>
      <c r="Q14" s="154"/>
      <c r="R14" s="154"/>
      <c r="S14" s="154"/>
    </row>
    <row r="15" spans="1:19" ht="66.75" customHeight="1">
      <c r="A15" s="6" t="str">
        <f>A7</f>
        <v>3. Participación en actividades de formación integral</v>
      </c>
      <c r="B15" s="76" t="e">
        <f>AVERAGE(D7:M7)</f>
        <v>#DIV/0!</v>
      </c>
      <c r="C15" s="75" t="e">
        <f>B15/SUM($B$15:$B$19)</f>
        <v>#DIV/0!</v>
      </c>
      <c r="D15" s="150"/>
      <c r="E15" s="151"/>
      <c r="F15" s="151"/>
      <c r="G15" s="151"/>
      <c r="H15" s="151"/>
      <c r="I15" s="151"/>
      <c r="J15" s="151"/>
      <c r="K15" s="151"/>
      <c r="L15" s="151"/>
      <c r="M15" s="151"/>
      <c r="N15" s="151"/>
      <c r="O15" s="151"/>
      <c r="P15" s="151"/>
      <c r="Q15" s="151"/>
      <c r="R15" s="151"/>
      <c r="S15" s="152"/>
    </row>
    <row r="16" spans="1:19" ht="66.75" customHeight="1">
      <c r="A16" s="6" t="str">
        <f t="shared" ref="A16:A19" si="0">A8</f>
        <v>4. Orientación y seguimiento a estudiantes</v>
      </c>
      <c r="B16" s="76" t="e">
        <f>AVERAGE(D8:M8)</f>
        <v>#DIV/0!</v>
      </c>
      <c r="C16" s="75" t="e">
        <f>B16/SUM($B$15:$B$19)</f>
        <v>#DIV/0!</v>
      </c>
      <c r="D16" s="150"/>
      <c r="E16" s="151"/>
      <c r="F16" s="151"/>
      <c r="G16" s="151"/>
      <c r="H16" s="151"/>
      <c r="I16" s="151"/>
      <c r="J16" s="151"/>
      <c r="K16" s="151"/>
      <c r="L16" s="151"/>
      <c r="M16" s="151"/>
      <c r="N16" s="151"/>
      <c r="O16" s="151"/>
      <c r="P16" s="151"/>
      <c r="Q16" s="151"/>
      <c r="R16" s="151"/>
      <c r="S16" s="152"/>
    </row>
    <row r="17" spans="1:19" ht="66.75" customHeight="1">
      <c r="A17" s="6" t="str">
        <f t="shared" si="0"/>
        <v>5. Capacidad de trabajo autónomo</v>
      </c>
      <c r="B17" s="76" t="e">
        <f>AVERAGE(D9:M9)</f>
        <v>#DIV/0!</v>
      </c>
      <c r="C17" s="75" t="e">
        <f>B17/SUM($B$15:$B$19)</f>
        <v>#DIV/0!</v>
      </c>
      <c r="D17" s="150"/>
      <c r="E17" s="151"/>
      <c r="F17" s="151"/>
      <c r="G17" s="151"/>
      <c r="H17" s="151"/>
      <c r="I17" s="151"/>
      <c r="J17" s="151"/>
      <c r="K17" s="151"/>
      <c r="L17" s="151"/>
      <c r="M17" s="151"/>
      <c r="N17" s="151"/>
      <c r="O17" s="151"/>
      <c r="P17" s="151"/>
      <c r="Q17" s="151"/>
      <c r="R17" s="151"/>
      <c r="S17" s="152"/>
    </row>
    <row r="18" spans="1:19" ht="66.75" customHeight="1">
      <c r="A18" s="6" t="str">
        <f t="shared" si="0"/>
        <v>6. Reglamento estudiantil y política académica</v>
      </c>
      <c r="B18" s="76" t="e">
        <f>AVERAGE(D11:M11)</f>
        <v>#DIV/0!</v>
      </c>
      <c r="C18" s="75" t="e">
        <f>B18/SUM($B$15:$B$19)</f>
        <v>#DIV/0!</v>
      </c>
      <c r="D18" s="83"/>
      <c r="E18" s="84"/>
      <c r="F18" s="84"/>
      <c r="G18" s="84"/>
      <c r="H18" s="84"/>
      <c r="I18" s="84"/>
      <c r="J18" s="84"/>
      <c r="K18" s="84"/>
      <c r="L18" s="84"/>
      <c r="M18" s="84"/>
      <c r="N18" s="84"/>
      <c r="O18" s="84"/>
      <c r="P18" s="84"/>
      <c r="Q18" s="84"/>
      <c r="R18" s="84"/>
      <c r="S18" s="85"/>
    </row>
    <row r="19" spans="1:19" ht="66.75" customHeight="1">
      <c r="A19" s="6" t="str">
        <f t="shared" si="0"/>
        <v>7. Estímulos y apoyos para estudiantes</v>
      </c>
      <c r="B19" s="76" t="e">
        <f>AVERAGE(D11:M11)</f>
        <v>#DIV/0!</v>
      </c>
      <c r="C19" s="75" t="e">
        <f>B19/SUM($B$15:$B$19)</f>
        <v>#DIV/0!</v>
      </c>
      <c r="D19" s="150"/>
      <c r="E19" s="151"/>
      <c r="F19" s="151"/>
      <c r="G19" s="151"/>
      <c r="H19" s="151"/>
      <c r="I19" s="151"/>
      <c r="J19" s="151"/>
      <c r="K19" s="151"/>
      <c r="L19" s="151"/>
      <c r="M19" s="151"/>
      <c r="N19" s="151"/>
      <c r="O19" s="151"/>
      <c r="P19" s="151"/>
      <c r="Q19" s="151"/>
      <c r="R19" s="151"/>
      <c r="S19" s="152"/>
    </row>
  </sheetData>
  <sheetProtection algorithmName="SHA-512" hashValue="CTKcvBqV74DN5Uw8d7Xiiu/VdGbOKr4hAoB6isu+iEWsk9Ph+oOnPEYkLhnKVCA9q5UDSzMQ5XWHOAqfHR/DKg==" saltValue="4VGB6zO9UPvGlUafYXX+KQ==" spinCount="100000" sheet="1" objects="1" scenarios="1"/>
  <dataConsolidate/>
  <mergeCells count="15">
    <mergeCell ref="D19:S19"/>
    <mergeCell ref="C2:S2"/>
    <mergeCell ref="C1:S1"/>
    <mergeCell ref="D15:S15"/>
    <mergeCell ref="D16:S16"/>
    <mergeCell ref="D17:S17"/>
    <mergeCell ref="D14:S14"/>
    <mergeCell ref="A7:C7"/>
    <mergeCell ref="A8:C8"/>
    <mergeCell ref="A9:C9"/>
    <mergeCell ref="A10:C10"/>
    <mergeCell ref="A6:C6"/>
    <mergeCell ref="O5:S12"/>
    <mergeCell ref="D5:M5"/>
    <mergeCell ref="A11:C11"/>
  </mergeCells>
  <pageMargins left="0.7" right="0.7" top="0.75" bottom="0.75" header="0.3" footer="0.3"/>
  <pageSetup orientation="portrait" horizontalDpi="360" verticalDpi="36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Hoja1!$B$1:$B$10</xm:f>
          </x14:formula1>
          <xm:sqref>D7:M11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5"/>
  <sheetViews>
    <sheetView showGridLines="0" zoomScale="90" zoomScaleNormal="90" workbookViewId="0">
      <selection activeCell="X18" sqref="X18"/>
    </sheetView>
  </sheetViews>
  <sheetFormatPr defaultColWidth="11.42578125" defaultRowHeight="14.25"/>
  <cols>
    <col min="1" max="1" width="53.7109375" style="1" customWidth="1"/>
    <col min="2" max="3" width="7.7109375" style="1" customWidth="1"/>
    <col min="4" max="13" width="6.140625" style="4" customWidth="1"/>
    <col min="14" max="14" width="3" style="1" customWidth="1"/>
    <col min="15" max="15" width="8.42578125" style="1" customWidth="1"/>
    <col min="16" max="17" width="6" style="1" customWidth="1"/>
    <col min="18" max="18" width="8" style="1" customWidth="1"/>
    <col min="19" max="19" width="20.42578125" style="1" customWidth="1"/>
    <col min="20" max="16384" width="11.42578125" style="1"/>
  </cols>
  <sheetData>
    <row r="1" spans="1:19" ht="15" customHeight="1">
      <c r="A1" s="3" t="s">
        <v>25</v>
      </c>
      <c r="B1" s="13" t="s">
        <v>26</v>
      </c>
      <c r="C1" s="177" t="s">
        <v>27</v>
      </c>
      <c r="D1" s="178"/>
      <c r="E1" s="178"/>
      <c r="F1" s="178"/>
      <c r="G1" s="178"/>
      <c r="H1" s="178"/>
      <c r="I1" s="178"/>
      <c r="J1" s="178"/>
      <c r="K1" s="178"/>
      <c r="L1" s="178"/>
      <c r="M1" s="178"/>
      <c r="N1" s="178"/>
      <c r="O1" s="178"/>
      <c r="P1" s="178"/>
      <c r="Q1" s="178"/>
      <c r="R1" s="178"/>
      <c r="S1" s="178"/>
    </row>
    <row r="2" spans="1:19" ht="68.25" customHeight="1">
      <c r="A2" s="6" t="s">
        <v>40</v>
      </c>
      <c r="B2" s="75" t="e">
        <f>'Res.'!D14</f>
        <v>#DIV/0!</v>
      </c>
      <c r="C2" s="150"/>
      <c r="D2" s="151"/>
      <c r="E2" s="151"/>
      <c r="F2" s="151"/>
      <c r="G2" s="151"/>
      <c r="H2" s="151"/>
      <c r="I2" s="151"/>
      <c r="J2" s="151"/>
      <c r="K2" s="151"/>
      <c r="L2" s="151"/>
      <c r="M2" s="151"/>
      <c r="N2" s="151"/>
      <c r="O2" s="151"/>
      <c r="P2" s="151"/>
      <c r="Q2" s="151"/>
      <c r="R2" s="151"/>
      <c r="S2" s="152"/>
    </row>
    <row r="5" spans="1:19" ht="18.75" customHeight="1">
      <c r="B5" s="14"/>
      <c r="C5" s="14"/>
      <c r="D5" s="167" t="s">
        <v>29</v>
      </c>
      <c r="E5" s="168"/>
      <c r="F5" s="168"/>
      <c r="G5" s="168"/>
      <c r="H5" s="168"/>
      <c r="I5" s="168"/>
      <c r="J5" s="168"/>
      <c r="K5" s="168"/>
      <c r="L5" s="168"/>
      <c r="M5" s="169"/>
      <c r="O5" s="176"/>
      <c r="P5" s="176"/>
      <c r="Q5" s="176"/>
      <c r="R5" s="176"/>
      <c r="S5" s="176"/>
    </row>
    <row r="6" spans="1:19" ht="15" customHeight="1">
      <c r="A6" s="158" t="s">
        <v>30</v>
      </c>
      <c r="B6" s="159"/>
      <c r="C6" s="160"/>
      <c r="D6" s="7" t="s">
        <v>8</v>
      </c>
      <c r="E6" s="7" t="s">
        <v>9</v>
      </c>
      <c r="F6" s="7" t="s">
        <v>10</v>
      </c>
      <c r="G6" s="7" t="s">
        <v>11</v>
      </c>
      <c r="H6" s="7" t="s">
        <v>12</v>
      </c>
      <c r="I6" s="7" t="s">
        <v>13</v>
      </c>
      <c r="J6" s="7" t="s">
        <v>14</v>
      </c>
      <c r="K6" s="7" t="s">
        <v>15</v>
      </c>
      <c r="L6" s="7" t="s">
        <v>16</v>
      </c>
      <c r="M6" s="7" t="s">
        <v>17</v>
      </c>
      <c r="O6" s="176"/>
      <c r="P6" s="176"/>
      <c r="Q6" s="176"/>
      <c r="R6" s="176"/>
      <c r="S6" s="176"/>
    </row>
    <row r="7" spans="1:19" s="2" customFormat="1" ht="18" customHeight="1">
      <c r="A7" s="161" t="s">
        <v>41</v>
      </c>
      <c r="B7" s="162"/>
      <c r="C7" s="163"/>
      <c r="D7" s="43"/>
      <c r="E7" s="43"/>
      <c r="F7" s="43"/>
      <c r="G7" s="43"/>
      <c r="H7" s="43"/>
      <c r="I7" s="43"/>
      <c r="J7" s="43"/>
      <c r="K7" s="43"/>
      <c r="L7" s="43"/>
      <c r="M7" s="43"/>
      <c r="O7" s="176"/>
      <c r="P7" s="176"/>
      <c r="Q7" s="176"/>
      <c r="R7" s="176"/>
      <c r="S7" s="176"/>
    </row>
    <row r="8" spans="1:19" s="2" customFormat="1" ht="18" customHeight="1">
      <c r="A8" s="161" t="s">
        <v>42</v>
      </c>
      <c r="B8" s="162"/>
      <c r="C8" s="163"/>
      <c r="D8" s="43"/>
      <c r="E8" s="43"/>
      <c r="F8" s="43"/>
      <c r="G8" s="43"/>
      <c r="H8" s="43"/>
      <c r="I8" s="43"/>
      <c r="J8" s="43"/>
      <c r="K8" s="43"/>
      <c r="L8" s="43"/>
      <c r="M8" s="43"/>
      <c r="O8" s="176"/>
      <c r="P8" s="176"/>
      <c r="Q8" s="176"/>
      <c r="R8" s="176"/>
      <c r="S8" s="176"/>
    </row>
    <row r="9" spans="1:19" s="2" customFormat="1" ht="18" customHeight="1">
      <c r="A9" s="15" t="s">
        <v>43</v>
      </c>
      <c r="B9" s="16"/>
      <c r="C9" s="17"/>
      <c r="D9" s="43"/>
      <c r="E9" s="43"/>
      <c r="F9" s="43"/>
      <c r="G9" s="43"/>
      <c r="H9" s="43"/>
      <c r="I9" s="43"/>
      <c r="J9" s="43"/>
      <c r="K9" s="43"/>
      <c r="L9" s="43"/>
      <c r="M9" s="43"/>
      <c r="O9" s="176"/>
      <c r="P9" s="176"/>
      <c r="Q9" s="176"/>
      <c r="R9" s="176"/>
      <c r="S9" s="176"/>
    </row>
    <row r="10" spans="1:19" s="2" customFormat="1" ht="18" customHeight="1">
      <c r="A10" s="15" t="s">
        <v>44</v>
      </c>
      <c r="B10" s="16"/>
      <c r="C10" s="17"/>
      <c r="D10" s="43"/>
      <c r="E10" s="43"/>
      <c r="F10" s="43"/>
      <c r="G10" s="43"/>
      <c r="H10" s="43"/>
      <c r="I10" s="43"/>
      <c r="J10" s="43"/>
      <c r="K10" s="43"/>
      <c r="L10" s="43"/>
      <c r="M10" s="43"/>
      <c r="N10" s="1"/>
      <c r="O10" s="176"/>
      <c r="P10" s="176"/>
      <c r="Q10" s="176"/>
      <c r="R10" s="176"/>
      <c r="S10" s="176"/>
    </row>
    <row r="11" spans="1:19" s="2" customFormat="1" ht="18" customHeight="1">
      <c r="A11" s="15" t="s">
        <v>45</v>
      </c>
      <c r="B11" s="16"/>
      <c r="C11" s="17"/>
      <c r="D11" s="43"/>
      <c r="E11" s="43"/>
      <c r="F11" s="43"/>
      <c r="G11" s="43"/>
      <c r="H11" s="43"/>
      <c r="I11" s="43"/>
      <c r="J11" s="43"/>
      <c r="K11" s="43"/>
      <c r="L11" s="43"/>
      <c r="M11" s="43"/>
      <c r="N11" s="1"/>
      <c r="O11" s="176"/>
      <c r="P11" s="176"/>
      <c r="Q11" s="176"/>
      <c r="R11" s="176"/>
      <c r="S11" s="176"/>
    </row>
    <row r="12" spans="1:19" s="2" customFormat="1" ht="18" customHeight="1">
      <c r="A12" s="15" t="s">
        <v>46</v>
      </c>
      <c r="B12" s="16"/>
      <c r="C12" s="17"/>
      <c r="D12" s="43"/>
      <c r="E12" s="43"/>
      <c r="F12" s="43"/>
      <c r="G12" s="43"/>
      <c r="H12" s="43"/>
      <c r="I12" s="43"/>
      <c r="J12" s="43"/>
      <c r="K12" s="43"/>
      <c r="L12" s="43"/>
      <c r="M12" s="43"/>
      <c r="N12" s="1"/>
      <c r="O12" s="176"/>
      <c r="P12" s="176"/>
      <c r="Q12" s="176"/>
      <c r="R12" s="176"/>
      <c r="S12" s="176"/>
    </row>
    <row r="13" spans="1:19" s="2" customFormat="1" ht="18" customHeight="1">
      <c r="A13" s="15" t="s">
        <v>47</v>
      </c>
      <c r="B13" s="16"/>
      <c r="C13" s="17"/>
      <c r="D13" s="43"/>
      <c r="E13" s="43"/>
      <c r="F13" s="43"/>
      <c r="G13" s="43"/>
      <c r="H13" s="43"/>
      <c r="I13" s="43"/>
      <c r="J13" s="43"/>
      <c r="K13" s="43"/>
      <c r="L13" s="43"/>
      <c r="M13" s="43"/>
      <c r="N13" s="1"/>
      <c r="O13" s="176"/>
      <c r="P13" s="176"/>
      <c r="Q13" s="176"/>
      <c r="R13" s="176"/>
      <c r="S13" s="176"/>
    </row>
    <row r="14" spans="1:19" s="2" customFormat="1" ht="18" customHeight="1">
      <c r="A14" s="15" t="s">
        <v>48</v>
      </c>
      <c r="B14" s="16"/>
      <c r="C14" s="17"/>
      <c r="D14" s="43"/>
      <c r="E14" s="43"/>
      <c r="F14" s="43"/>
      <c r="G14" s="43"/>
      <c r="H14" s="43"/>
      <c r="I14" s="43"/>
      <c r="J14" s="43"/>
      <c r="K14" s="43"/>
      <c r="L14" s="43"/>
      <c r="M14" s="43"/>
      <c r="N14" s="11"/>
      <c r="O14" s="176"/>
      <c r="P14" s="176"/>
      <c r="Q14" s="176"/>
      <c r="R14" s="176"/>
      <c r="S14" s="176"/>
    </row>
    <row r="15" spans="1:19">
      <c r="D15" s="10"/>
      <c r="N15" s="11"/>
    </row>
    <row r="16" spans="1:19">
      <c r="D16" s="10"/>
      <c r="N16" s="11"/>
    </row>
    <row r="17" spans="1:19" ht="15" customHeight="1">
      <c r="A17" s="3" t="s">
        <v>30</v>
      </c>
      <c r="B17" s="8" t="s">
        <v>33</v>
      </c>
      <c r="C17" s="8" t="s">
        <v>26</v>
      </c>
      <c r="D17" s="153" t="s">
        <v>27</v>
      </c>
      <c r="E17" s="154"/>
      <c r="F17" s="154"/>
      <c r="G17" s="154"/>
      <c r="H17" s="154"/>
      <c r="I17" s="154"/>
      <c r="J17" s="154"/>
      <c r="K17" s="154"/>
      <c r="L17" s="154"/>
      <c r="M17" s="154"/>
      <c r="N17" s="154"/>
      <c r="O17" s="154"/>
      <c r="P17" s="154"/>
      <c r="Q17" s="154"/>
      <c r="R17" s="154"/>
      <c r="S17" s="154"/>
    </row>
    <row r="18" spans="1:19" ht="66.75" customHeight="1">
      <c r="A18" s="6" t="str">
        <f>A7</f>
        <v>8. Selección, vinculación y permanencia</v>
      </c>
      <c r="B18" s="76" t="e">
        <f t="shared" ref="B18:B25" si="0">AVERAGE(D7:M7)</f>
        <v>#DIV/0!</v>
      </c>
      <c r="C18" s="75" t="e">
        <f>B18/SUM($B$18:$B$25)</f>
        <v>#DIV/0!</v>
      </c>
      <c r="D18" s="150"/>
      <c r="E18" s="151"/>
      <c r="F18" s="151"/>
      <c r="G18" s="151"/>
      <c r="H18" s="151"/>
      <c r="I18" s="151"/>
      <c r="J18" s="151"/>
      <c r="K18" s="151"/>
      <c r="L18" s="151"/>
      <c r="M18" s="151"/>
      <c r="N18" s="151"/>
      <c r="O18" s="151"/>
      <c r="P18" s="151"/>
      <c r="Q18" s="151"/>
      <c r="R18" s="151"/>
      <c r="S18" s="152"/>
    </row>
    <row r="19" spans="1:19" ht="66.75" customHeight="1">
      <c r="A19" s="6" t="str">
        <f t="shared" ref="A19:A25" si="1">A8</f>
        <v xml:space="preserve">9. Estatuto profesoral </v>
      </c>
      <c r="B19" s="76" t="e">
        <f t="shared" si="0"/>
        <v>#DIV/0!</v>
      </c>
      <c r="C19" s="75" t="e">
        <f t="shared" ref="C19:C25" si="2">B19/SUM($B$18:$B$25)</f>
        <v>#DIV/0!</v>
      </c>
      <c r="D19" s="150"/>
      <c r="E19" s="151"/>
      <c r="F19" s="151"/>
      <c r="G19" s="151"/>
      <c r="H19" s="151"/>
      <c r="I19" s="151"/>
      <c r="J19" s="151"/>
      <c r="K19" s="151"/>
      <c r="L19" s="151"/>
      <c r="M19" s="151"/>
      <c r="N19" s="151"/>
      <c r="O19" s="151"/>
      <c r="P19" s="151"/>
      <c r="Q19" s="151"/>
      <c r="R19" s="151"/>
      <c r="S19" s="152"/>
    </row>
    <row r="20" spans="1:19" ht="66.75" customHeight="1">
      <c r="A20" s="6" t="str">
        <f t="shared" si="1"/>
        <v>10. Número, dedicación, nivel de formación y experiencia de los profesores</v>
      </c>
      <c r="B20" s="76" t="e">
        <f t="shared" si="0"/>
        <v>#DIV/0!</v>
      </c>
      <c r="C20" s="75" t="e">
        <f t="shared" si="2"/>
        <v>#DIV/0!</v>
      </c>
      <c r="D20" s="150"/>
      <c r="E20" s="151"/>
      <c r="F20" s="151"/>
      <c r="G20" s="151"/>
      <c r="H20" s="151"/>
      <c r="I20" s="151"/>
      <c r="J20" s="151"/>
      <c r="K20" s="151"/>
      <c r="L20" s="151"/>
      <c r="M20" s="151"/>
      <c r="N20" s="151"/>
      <c r="O20" s="151"/>
      <c r="P20" s="151"/>
      <c r="Q20" s="151"/>
      <c r="R20" s="151"/>
      <c r="S20" s="152"/>
    </row>
    <row r="21" spans="1:19" ht="66.75" customHeight="1">
      <c r="A21" s="6" t="str">
        <f t="shared" si="1"/>
        <v xml:space="preserve">11. Desarrollo profesoral </v>
      </c>
      <c r="B21" s="76" t="e">
        <f t="shared" si="0"/>
        <v>#DIV/0!</v>
      </c>
      <c r="C21" s="75" t="e">
        <f t="shared" si="2"/>
        <v>#DIV/0!</v>
      </c>
      <c r="D21" s="150"/>
      <c r="E21" s="151"/>
      <c r="F21" s="151"/>
      <c r="G21" s="151"/>
      <c r="H21" s="151"/>
      <c r="I21" s="151"/>
      <c r="J21" s="151"/>
      <c r="K21" s="151"/>
      <c r="L21" s="151"/>
      <c r="M21" s="151"/>
      <c r="N21" s="151"/>
      <c r="O21" s="151"/>
      <c r="P21" s="151"/>
      <c r="Q21" s="151"/>
      <c r="R21" s="151"/>
      <c r="S21" s="152"/>
    </row>
    <row r="22" spans="1:19" ht="66.75" customHeight="1">
      <c r="A22" s="6" t="str">
        <f t="shared" si="1"/>
        <v>12. Estímulos a la trayectoria profesoral</v>
      </c>
      <c r="B22" s="76" t="e">
        <f t="shared" si="0"/>
        <v>#DIV/0!</v>
      </c>
      <c r="C22" s="75" t="e">
        <f t="shared" si="2"/>
        <v>#DIV/0!</v>
      </c>
      <c r="D22" s="150"/>
      <c r="E22" s="151"/>
      <c r="F22" s="151"/>
      <c r="G22" s="151"/>
      <c r="H22" s="151"/>
      <c r="I22" s="151"/>
      <c r="J22" s="151"/>
      <c r="K22" s="151"/>
      <c r="L22" s="151"/>
      <c r="M22" s="151"/>
      <c r="N22" s="151"/>
      <c r="O22" s="151"/>
      <c r="P22" s="151"/>
      <c r="Q22" s="151"/>
      <c r="R22" s="151"/>
      <c r="S22" s="152"/>
    </row>
    <row r="23" spans="1:19" ht="66.75" customHeight="1">
      <c r="A23" s="6" t="str">
        <f t="shared" si="1"/>
        <v xml:space="preserve">13. Producción, pertinencia, utilización e impacto de material docente </v>
      </c>
      <c r="B23" s="76" t="e">
        <f t="shared" si="0"/>
        <v>#DIV/0!</v>
      </c>
      <c r="C23" s="75" t="e">
        <f t="shared" si="2"/>
        <v>#DIV/0!</v>
      </c>
      <c r="D23" s="150"/>
      <c r="E23" s="151"/>
      <c r="F23" s="151"/>
      <c r="G23" s="151"/>
      <c r="H23" s="151"/>
      <c r="I23" s="151"/>
      <c r="J23" s="151"/>
      <c r="K23" s="151"/>
      <c r="L23" s="151"/>
      <c r="M23" s="151"/>
      <c r="N23" s="151"/>
      <c r="O23" s="151"/>
      <c r="P23" s="151"/>
      <c r="Q23" s="151"/>
      <c r="R23" s="151"/>
      <c r="S23" s="152"/>
    </row>
    <row r="24" spans="1:19" ht="66.75" customHeight="1">
      <c r="A24" s="6" t="str">
        <f t="shared" si="1"/>
        <v>14. Remuneración por méritos</v>
      </c>
      <c r="B24" s="76" t="e">
        <f t="shared" si="0"/>
        <v>#DIV/0!</v>
      </c>
      <c r="C24" s="75" t="e">
        <f t="shared" si="2"/>
        <v>#DIV/0!</v>
      </c>
      <c r="D24" s="150"/>
      <c r="E24" s="151"/>
      <c r="F24" s="151"/>
      <c r="G24" s="151"/>
      <c r="H24" s="151"/>
      <c r="I24" s="151"/>
      <c r="J24" s="151"/>
      <c r="K24" s="151"/>
      <c r="L24" s="151"/>
      <c r="M24" s="151"/>
      <c r="N24" s="151"/>
      <c r="O24" s="151"/>
      <c r="P24" s="151"/>
      <c r="Q24" s="151"/>
      <c r="R24" s="151"/>
      <c r="S24" s="152"/>
    </row>
    <row r="25" spans="1:19" ht="66.75" customHeight="1">
      <c r="A25" s="6" t="str">
        <f t="shared" si="1"/>
        <v xml:space="preserve">15. Evaluación de profesores </v>
      </c>
      <c r="B25" s="76" t="e">
        <f t="shared" si="0"/>
        <v>#DIV/0!</v>
      </c>
      <c r="C25" s="75" t="e">
        <f t="shared" si="2"/>
        <v>#DIV/0!</v>
      </c>
      <c r="D25" s="150"/>
      <c r="E25" s="151"/>
      <c r="F25" s="151"/>
      <c r="G25" s="151"/>
      <c r="H25" s="151"/>
      <c r="I25" s="151"/>
      <c r="J25" s="151"/>
      <c r="K25" s="151"/>
      <c r="L25" s="151"/>
      <c r="M25" s="151"/>
      <c r="N25" s="151"/>
      <c r="O25" s="151"/>
      <c r="P25" s="151"/>
      <c r="Q25" s="151"/>
      <c r="R25" s="151"/>
      <c r="S25" s="152"/>
    </row>
  </sheetData>
  <sheetProtection algorithmName="SHA-512" hashValue="4K3XHZa65sJsoRmTMpq5swtBhjo3TqiivVnklRaVyMm5Wn0oCcU5l93LCIubb9xAStTFM3WdFmgXMq8OmuJnEg==" saltValue="i9Nw6Aomtnn8FWQcO/ouJw==" spinCount="100000" sheet="1" objects="1" scenarios="1"/>
  <dataConsolidate/>
  <mergeCells count="16">
    <mergeCell ref="C1:S1"/>
    <mergeCell ref="C2:S2"/>
    <mergeCell ref="A7:C7"/>
    <mergeCell ref="D5:M5"/>
    <mergeCell ref="A8:C8"/>
    <mergeCell ref="A6:C6"/>
    <mergeCell ref="D18:S18"/>
    <mergeCell ref="D19:S19"/>
    <mergeCell ref="D17:S17"/>
    <mergeCell ref="D20:S20"/>
    <mergeCell ref="O5:S14"/>
    <mergeCell ref="D21:S21"/>
    <mergeCell ref="D22:S22"/>
    <mergeCell ref="D23:S23"/>
    <mergeCell ref="D24:S24"/>
    <mergeCell ref="D25:S25"/>
  </mergeCells>
  <pageMargins left="0.7" right="0.7" top="0.75" bottom="0.75" header="0.3" footer="0.3"/>
  <pageSetup orientation="portrait" horizontalDpi="360" verticalDpi="360" r:id="rId1"/>
  <ignoredErrors>
    <ignoredError sqref="B2 B18:C25" evalError="1"/>
  </ignoredError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Hoja1!$B$1:$B$10</xm:f>
          </x14:formula1>
          <xm:sqref>D7:M14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3"/>
  <sheetViews>
    <sheetView showGridLines="0" zoomScale="90" zoomScaleNormal="90" workbookViewId="0">
      <selection activeCell="R12" sqref="R12"/>
    </sheetView>
  </sheetViews>
  <sheetFormatPr defaultColWidth="11.42578125" defaultRowHeight="14.25"/>
  <cols>
    <col min="1" max="1" width="41.42578125" style="1" customWidth="1"/>
    <col min="2" max="3" width="7.7109375" style="1" customWidth="1"/>
    <col min="4" max="13" width="6.140625" style="4" customWidth="1"/>
    <col min="14" max="14" width="3" style="1" customWidth="1"/>
    <col min="15" max="15" width="8.42578125" style="1" customWidth="1"/>
    <col min="16" max="17" width="6" style="1" customWidth="1"/>
    <col min="18" max="18" width="8" style="1" customWidth="1"/>
    <col min="19" max="19" width="20.42578125" style="1" customWidth="1"/>
    <col min="20" max="16384" width="11.42578125" style="1"/>
  </cols>
  <sheetData>
    <row r="1" spans="1:19" ht="15" customHeight="1">
      <c r="A1" s="3" t="s">
        <v>25</v>
      </c>
      <c r="B1" s="13" t="s">
        <v>26</v>
      </c>
      <c r="C1" s="177" t="s">
        <v>27</v>
      </c>
      <c r="D1" s="178"/>
      <c r="E1" s="178"/>
      <c r="F1" s="178"/>
      <c r="G1" s="178"/>
      <c r="H1" s="178"/>
      <c r="I1" s="178"/>
      <c r="J1" s="178"/>
      <c r="K1" s="178"/>
      <c r="L1" s="178"/>
      <c r="M1" s="178"/>
      <c r="N1" s="178"/>
      <c r="O1" s="178"/>
      <c r="P1" s="178"/>
      <c r="Q1" s="178"/>
      <c r="R1" s="178"/>
      <c r="S1" s="178"/>
    </row>
    <row r="2" spans="1:19" ht="68.25" customHeight="1">
      <c r="A2" s="6" t="s">
        <v>49</v>
      </c>
      <c r="B2" s="75" t="e">
        <f>'Res.'!D23</f>
        <v>#DIV/0!</v>
      </c>
      <c r="C2" s="150"/>
      <c r="D2" s="151"/>
      <c r="E2" s="151"/>
      <c r="F2" s="151"/>
      <c r="G2" s="151"/>
      <c r="H2" s="151"/>
      <c r="I2" s="151"/>
      <c r="J2" s="151"/>
      <c r="K2" s="151"/>
      <c r="L2" s="151"/>
      <c r="M2" s="151"/>
      <c r="N2" s="151"/>
      <c r="O2" s="151"/>
      <c r="P2" s="151"/>
      <c r="Q2" s="151"/>
      <c r="R2" s="151"/>
      <c r="S2" s="152"/>
    </row>
    <row r="5" spans="1:19" ht="18.75" customHeight="1">
      <c r="B5" s="14"/>
      <c r="C5" s="14"/>
      <c r="D5" s="167" t="s">
        <v>29</v>
      </c>
      <c r="E5" s="168"/>
      <c r="F5" s="168"/>
      <c r="G5" s="168"/>
      <c r="H5" s="168"/>
      <c r="I5" s="168"/>
      <c r="J5" s="168"/>
      <c r="K5" s="168"/>
      <c r="L5" s="168"/>
      <c r="M5" s="169"/>
      <c r="O5" s="110"/>
      <c r="P5" s="110"/>
      <c r="Q5" s="110"/>
      <c r="R5" s="110"/>
      <c r="S5" s="110"/>
    </row>
    <row r="6" spans="1:19" ht="15" customHeight="1">
      <c r="A6" s="158" t="s">
        <v>30</v>
      </c>
      <c r="B6" s="159"/>
      <c r="C6" s="160"/>
      <c r="D6" s="7" t="s">
        <v>8</v>
      </c>
      <c r="E6" s="7" t="s">
        <v>9</v>
      </c>
      <c r="F6" s="7" t="s">
        <v>10</v>
      </c>
      <c r="G6" s="7" t="s">
        <v>11</v>
      </c>
      <c r="H6" s="7" t="s">
        <v>12</v>
      </c>
      <c r="I6" s="7" t="s">
        <v>13</v>
      </c>
      <c r="J6" s="7" t="s">
        <v>14</v>
      </c>
      <c r="K6" s="7" t="s">
        <v>15</v>
      </c>
      <c r="L6" s="7" t="s">
        <v>16</v>
      </c>
      <c r="M6" s="7" t="s">
        <v>17</v>
      </c>
      <c r="O6" s="106"/>
      <c r="P6" s="106"/>
      <c r="Q6" s="106"/>
      <c r="R6" s="106"/>
      <c r="S6" s="106"/>
    </row>
    <row r="7" spans="1:19" s="2" customFormat="1" ht="18" customHeight="1">
      <c r="A7" s="161" t="s">
        <v>50</v>
      </c>
      <c r="B7" s="162"/>
      <c r="C7" s="163"/>
      <c r="D7" s="43"/>
      <c r="E7" s="43"/>
      <c r="F7" s="43"/>
      <c r="G7" s="43"/>
      <c r="H7" s="43"/>
      <c r="I7" s="43"/>
      <c r="J7" s="43"/>
      <c r="K7" s="43"/>
      <c r="L7" s="43"/>
      <c r="M7" s="43"/>
      <c r="O7" s="107"/>
      <c r="P7" s="108"/>
      <c r="Q7" s="109"/>
      <c r="R7" s="111"/>
      <c r="S7" s="112"/>
    </row>
    <row r="8" spans="1:19" s="2" customFormat="1" ht="18" customHeight="1">
      <c r="A8" s="161" t="s">
        <v>51</v>
      </c>
      <c r="B8" s="162"/>
      <c r="C8" s="163"/>
      <c r="D8" s="43"/>
      <c r="E8" s="43"/>
      <c r="F8" s="43"/>
      <c r="G8" s="43"/>
      <c r="H8" s="43"/>
      <c r="I8" s="43"/>
      <c r="J8" s="43"/>
      <c r="K8" s="43"/>
      <c r="L8" s="43"/>
      <c r="M8" s="43"/>
      <c r="O8" s="107"/>
      <c r="P8" s="108"/>
      <c r="Q8" s="109"/>
      <c r="R8" s="111"/>
      <c r="S8" s="112"/>
    </row>
    <row r="9" spans="1:19">
      <c r="D9" s="10"/>
    </row>
    <row r="11" spans="1:19" ht="15" customHeight="1">
      <c r="A11" s="3" t="s">
        <v>30</v>
      </c>
      <c r="B11" s="8" t="s">
        <v>33</v>
      </c>
      <c r="C11" s="3" t="s">
        <v>26</v>
      </c>
      <c r="D11" s="153" t="s">
        <v>27</v>
      </c>
      <c r="E11" s="154"/>
      <c r="F11" s="154"/>
      <c r="G11" s="154"/>
      <c r="H11" s="154"/>
      <c r="I11" s="154"/>
      <c r="J11" s="154"/>
      <c r="K11" s="154"/>
      <c r="L11" s="154"/>
      <c r="M11" s="154"/>
      <c r="N11" s="154"/>
      <c r="O11" s="154"/>
      <c r="P11" s="154"/>
      <c r="Q11" s="154"/>
      <c r="R11" s="154"/>
      <c r="S11" s="154"/>
    </row>
    <row r="12" spans="1:19" ht="66.75" customHeight="1">
      <c r="A12" s="6" t="str">
        <f>A7</f>
        <v>16. Seguimiento a los egresados</v>
      </c>
      <c r="B12" s="76" t="e">
        <f>AVERAGE(D7:M7)</f>
        <v>#DIV/0!</v>
      </c>
      <c r="C12" s="75" t="e">
        <f>B12/SUM($B$12:$B$13)</f>
        <v>#DIV/0!</v>
      </c>
      <c r="D12" s="150"/>
      <c r="E12" s="151"/>
      <c r="F12" s="151"/>
      <c r="G12" s="151"/>
      <c r="H12" s="151"/>
      <c r="I12" s="151"/>
      <c r="J12" s="151"/>
      <c r="K12" s="151"/>
      <c r="L12" s="151"/>
      <c r="M12" s="151"/>
      <c r="N12" s="151"/>
      <c r="O12" s="151"/>
      <c r="P12" s="151"/>
      <c r="Q12" s="151"/>
      <c r="R12" s="151"/>
      <c r="S12" s="152"/>
    </row>
    <row r="13" spans="1:19" ht="66.75" customHeight="1">
      <c r="A13" s="6" t="str">
        <f>A8</f>
        <v>17. Impacto de los egresados en el medio social y académico</v>
      </c>
      <c r="B13" s="76" t="e">
        <f>AVERAGE(D8:M8)</f>
        <v>#DIV/0!</v>
      </c>
      <c r="C13" s="75" t="e">
        <f>B13/SUM($B$12:$B$13)</f>
        <v>#DIV/0!</v>
      </c>
      <c r="D13" s="150"/>
      <c r="E13" s="151"/>
      <c r="F13" s="151"/>
      <c r="G13" s="151"/>
      <c r="H13" s="151"/>
      <c r="I13" s="151"/>
      <c r="J13" s="151"/>
      <c r="K13" s="151"/>
      <c r="L13" s="151"/>
      <c r="M13" s="151"/>
      <c r="N13" s="151"/>
      <c r="O13" s="151"/>
      <c r="P13" s="151"/>
      <c r="Q13" s="151"/>
      <c r="R13" s="151"/>
      <c r="S13" s="152"/>
    </row>
  </sheetData>
  <sheetProtection algorithmName="SHA-512" hashValue="ilQVxqs3zNQqefRbxQDkaXx9H7PdMnKq6F68xjo19ZdLWeXhQFMZUESfU1M7XlWPYddZPsbd2kxZ1iO3m6tNZQ==" saltValue="3bljutdFcoN4oJ3aJ6qWgw==" spinCount="100000" sheet="1" objects="1" scenarios="1"/>
  <dataConsolidate/>
  <mergeCells count="9">
    <mergeCell ref="D5:M5"/>
    <mergeCell ref="C1:S1"/>
    <mergeCell ref="D13:S13"/>
    <mergeCell ref="C2:S2"/>
    <mergeCell ref="D12:S12"/>
    <mergeCell ref="D11:S11"/>
    <mergeCell ref="A6:C6"/>
    <mergeCell ref="A7:C7"/>
    <mergeCell ref="A8:C8"/>
  </mergeCells>
  <conditionalFormatting sqref="S7">
    <cfRule type="dataBar" priority="1">
      <dataBar>
        <cfvo type="min"/>
        <cfvo type="max"/>
        <color rgb="FF63C384"/>
      </dataBar>
      <extLst>
        <ext xmlns:x14="http://schemas.microsoft.com/office/spreadsheetml/2009/9/main" uri="{B025F937-C7B1-47D3-B67F-A62EFF666E3E}">
          <x14:id>{EC9C3F04-EB25-49F2-B555-DC1D6E2BFFC5}</x14:id>
        </ext>
      </extLst>
    </cfRule>
  </conditionalFormatting>
  <pageMargins left="0.7" right="0.7" top="0.75" bottom="0.75" header="0.3" footer="0.3"/>
  <pageSetup orientation="portrait" horizontalDpi="360" verticalDpi="360" r:id="rId1"/>
  <ignoredErrors>
    <ignoredError sqref="B13:C13" evalError="1"/>
  </ignoredErrors>
  <drawing r:id="rId2"/>
  <extLst>
    <ext xmlns:x14="http://schemas.microsoft.com/office/spreadsheetml/2009/9/main" uri="{78C0D931-6437-407d-A8EE-F0AAD7539E65}">
      <x14:conditionalFormattings>
        <x14:conditionalFormatting xmlns:xm="http://schemas.microsoft.com/office/excel/2006/main">
          <x14:cfRule type="dataBar" id="{EC9C3F04-EB25-49F2-B555-DC1D6E2BFFC5}">
            <x14:dataBar minLength="0" maxLength="100" border="1" negativeBarBorderColorSameAsPositive="0">
              <x14:cfvo type="autoMin"/>
              <x14:cfvo type="autoMax"/>
              <x14:borderColor rgb="FF63C384"/>
              <x14:negativeFillColor rgb="FFFF0000"/>
              <x14:negativeBorderColor rgb="FFFF0000"/>
              <x14:axisColor rgb="FF000000"/>
            </x14:dataBar>
          </x14:cfRule>
          <xm:sqref>S7</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Hoja1!$B$1:$B$10</xm:f>
          </x14:formula1>
          <xm:sqref>D7:M8</xm:sqref>
        </x14:dataValidation>
        <x14:dataValidation type="list" allowBlank="1" showInputMessage="1" showErrorMessage="1" xr:uid="{00000000-0002-0000-0400-000001000000}">
          <x14:formula1>
            <xm:f>Hoja1!$D$1:$D$41</xm:f>
          </x14:formula1>
          <xm:sqref>P7:P8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27"/>
  <sheetViews>
    <sheetView showGridLines="0" zoomScale="90" zoomScaleNormal="90" workbookViewId="0">
      <selection activeCell="R12" sqref="R12"/>
    </sheetView>
  </sheetViews>
  <sheetFormatPr defaultColWidth="11.42578125" defaultRowHeight="14.25"/>
  <cols>
    <col min="1" max="1" width="42.42578125" style="1" customWidth="1"/>
    <col min="2" max="3" width="10" style="1" bestFit="1" customWidth="1"/>
    <col min="4" max="13" width="6.140625" style="4" customWidth="1"/>
    <col min="14" max="14" width="3" style="1" customWidth="1"/>
    <col min="15" max="15" width="9.28515625" style="1" bestFit="1" customWidth="1"/>
    <col min="16" max="16" width="6" style="1" customWidth="1"/>
    <col min="17" max="17" width="9.28515625" style="1" bestFit="1" customWidth="1"/>
    <col min="18" max="18" width="11.140625" style="1" bestFit="1" customWidth="1"/>
    <col min="19" max="19" width="20.42578125" style="1" customWidth="1"/>
    <col min="20" max="16384" width="11.42578125" style="1"/>
  </cols>
  <sheetData>
    <row r="1" spans="1:19" ht="15" customHeight="1">
      <c r="A1" s="3" t="s">
        <v>25</v>
      </c>
      <c r="B1" s="13" t="s">
        <v>26</v>
      </c>
      <c r="C1" s="177" t="s">
        <v>27</v>
      </c>
      <c r="D1" s="178"/>
      <c r="E1" s="178"/>
      <c r="F1" s="178"/>
      <c r="G1" s="178"/>
      <c r="H1" s="178"/>
      <c r="I1" s="178"/>
      <c r="J1" s="178"/>
      <c r="K1" s="178"/>
      <c r="L1" s="178"/>
      <c r="M1" s="178"/>
      <c r="N1" s="178"/>
      <c r="O1" s="178"/>
      <c r="P1" s="178"/>
      <c r="Q1" s="178"/>
      <c r="R1" s="178"/>
      <c r="S1" s="178"/>
    </row>
    <row r="2" spans="1:19" ht="68.25" customHeight="1">
      <c r="A2" s="6" t="s">
        <v>52</v>
      </c>
      <c r="B2" s="75" t="e">
        <f>'Res.'!D26</f>
        <v>#DIV/0!</v>
      </c>
      <c r="C2" s="150"/>
      <c r="D2" s="151"/>
      <c r="E2" s="151"/>
      <c r="F2" s="151"/>
      <c r="G2" s="151"/>
      <c r="H2" s="151"/>
      <c r="I2" s="151"/>
      <c r="J2" s="151"/>
      <c r="K2" s="151"/>
      <c r="L2" s="151"/>
      <c r="M2" s="151"/>
      <c r="N2" s="151"/>
      <c r="O2" s="151"/>
      <c r="P2" s="151"/>
      <c r="Q2" s="151"/>
      <c r="R2" s="151"/>
      <c r="S2" s="152"/>
    </row>
    <row r="5" spans="1:19" ht="18.75" customHeight="1">
      <c r="B5" s="14"/>
      <c r="C5" s="14"/>
      <c r="D5" s="167" t="s">
        <v>29</v>
      </c>
      <c r="E5" s="168"/>
      <c r="F5" s="168"/>
      <c r="G5" s="168"/>
      <c r="H5" s="168"/>
      <c r="I5" s="168"/>
      <c r="J5" s="168"/>
      <c r="K5" s="168"/>
      <c r="L5" s="168"/>
      <c r="M5" s="169"/>
      <c r="O5" s="179"/>
      <c r="P5" s="179"/>
      <c r="Q5" s="179"/>
      <c r="R5" s="179"/>
      <c r="S5" s="179"/>
    </row>
    <row r="6" spans="1:19" ht="15" customHeight="1">
      <c r="A6" s="158" t="s">
        <v>30</v>
      </c>
      <c r="B6" s="159"/>
      <c r="C6" s="160"/>
      <c r="D6" s="7" t="s">
        <v>8</v>
      </c>
      <c r="E6" s="7" t="s">
        <v>9</v>
      </c>
      <c r="F6" s="7" t="s">
        <v>10</v>
      </c>
      <c r="G6" s="7" t="s">
        <v>11</v>
      </c>
      <c r="H6" s="7" t="s">
        <v>12</v>
      </c>
      <c r="I6" s="7" t="s">
        <v>13</v>
      </c>
      <c r="J6" s="7" t="s">
        <v>14</v>
      </c>
      <c r="K6" s="7" t="s">
        <v>15</v>
      </c>
      <c r="L6" s="7" t="s">
        <v>16</v>
      </c>
      <c r="M6" s="7" t="s">
        <v>17</v>
      </c>
      <c r="O6" s="179"/>
      <c r="P6" s="179"/>
      <c r="Q6" s="179"/>
      <c r="R6" s="179"/>
      <c r="S6" s="179"/>
    </row>
    <row r="7" spans="1:19" s="2" customFormat="1" ht="18" customHeight="1">
      <c r="A7" s="161" t="s">
        <v>53</v>
      </c>
      <c r="B7" s="162"/>
      <c r="C7" s="163"/>
      <c r="D7" s="43"/>
      <c r="E7" s="43"/>
      <c r="F7" s="43"/>
      <c r="G7" s="43"/>
      <c r="H7" s="43"/>
      <c r="I7" s="43"/>
      <c r="J7" s="43"/>
      <c r="K7" s="43"/>
      <c r="L7" s="43"/>
      <c r="M7" s="43"/>
      <c r="O7" s="179"/>
      <c r="P7" s="179"/>
      <c r="Q7" s="179"/>
      <c r="R7" s="179"/>
      <c r="S7" s="179"/>
    </row>
    <row r="8" spans="1:19" s="2" customFormat="1" ht="18" customHeight="1">
      <c r="A8" s="161" t="s">
        <v>54</v>
      </c>
      <c r="B8" s="162"/>
      <c r="C8" s="163"/>
      <c r="D8" s="43"/>
      <c r="E8" s="43"/>
      <c r="F8" s="43"/>
      <c r="G8" s="43"/>
      <c r="H8" s="43"/>
      <c r="I8" s="43"/>
      <c r="J8" s="43"/>
      <c r="K8" s="43"/>
      <c r="L8" s="43"/>
      <c r="M8" s="43"/>
      <c r="O8" s="179"/>
      <c r="P8" s="179"/>
      <c r="Q8" s="179"/>
      <c r="R8" s="179"/>
      <c r="S8" s="179"/>
    </row>
    <row r="9" spans="1:19" s="2" customFormat="1" ht="18" customHeight="1">
      <c r="A9" s="161" t="s">
        <v>55</v>
      </c>
      <c r="B9" s="162"/>
      <c r="C9" s="163"/>
      <c r="D9" s="43"/>
      <c r="E9" s="43"/>
      <c r="F9" s="43"/>
      <c r="G9" s="43"/>
      <c r="H9" s="43"/>
      <c r="I9" s="43"/>
      <c r="J9" s="43"/>
      <c r="K9" s="43"/>
      <c r="L9" s="43"/>
      <c r="M9" s="43"/>
      <c r="O9" s="179"/>
      <c r="P9" s="179"/>
      <c r="Q9" s="179"/>
      <c r="R9" s="179"/>
      <c r="S9" s="179"/>
    </row>
    <row r="10" spans="1:19" s="2" customFormat="1" ht="18" customHeight="1">
      <c r="A10" s="161" t="s">
        <v>56</v>
      </c>
      <c r="B10" s="162"/>
      <c r="C10" s="163"/>
      <c r="D10" s="43"/>
      <c r="E10" s="43"/>
      <c r="F10" s="43"/>
      <c r="G10" s="43"/>
      <c r="H10" s="43"/>
      <c r="I10" s="43"/>
      <c r="J10" s="43"/>
      <c r="K10" s="43"/>
      <c r="L10" s="43"/>
      <c r="M10" s="43"/>
      <c r="N10" s="1"/>
      <c r="O10" s="179"/>
      <c r="P10" s="179"/>
      <c r="Q10" s="179"/>
      <c r="R10" s="179"/>
      <c r="S10" s="179"/>
    </row>
    <row r="11" spans="1:19" s="2" customFormat="1" ht="18" customHeight="1">
      <c r="A11" s="161" t="s">
        <v>57</v>
      </c>
      <c r="B11" s="162"/>
      <c r="C11" s="163"/>
      <c r="D11" s="43"/>
      <c r="E11" s="43"/>
      <c r="F11" s="43"/>
      <c r="G11" s="43"/>
      <c r="H11" s="43"/>
      <c r="I11" s="43"/>
      <c r="J11" s="43"/>
      <c r="K11" s="43"/>
      <c r="L11" s="43"/>
      <c r="M11" s="43"/>
      <c r="N11" s="1"/>
      <c r="O11" s="179"/>
      <c r="P11" s="179"/>
      <c r="Q11" s="179"/>
      <c r="R11" s="179"/>
      <c r="S11" s="179"/>
    </row>
    <row r="12" spans="1:19" s="2" customFormat="1" ht="18" customHeight="1">
      <c r="A12" s="161" t="s">
        <v>58</v>
      </c>
      <c r="B12" s="162"/>
      <c r="C12" s="163"/>
      <c r="D12" s="43"/>
      <c r="E12" s="43"/>
      <c r="F12" s="43"/>
      <c r="G12" s="43"/>
      <c r="H12" s="43"/>
      <c r="I12" s="43"/>
      <c r="J12" s="43"/>
      <c r="K12" s="43"/>
      <c r="L12" s="43"/>
      <c r="M12" s="43"/>
      <c r="N12" s="1"/>
      <c r="O12" s="179"/>
      <c r="P12" s="179"/>
      <c r="Q12" s="179"/>
      <c r="R12" s="179"/>
      <c r="S12" s="179"/>
    </row>
    <row r="13" spans="1:19" s="2" customFormat="1" ht="18" customHeight="1">
      <c r="A13" s="161" t="s">
        <v>59</v>
      </c>
      <c r="B13" s="162"/>
      <c r="C13" s="163"/>
      <c r="D13" s="43"/>
      <c r="E13" s="43"/>
      <c r="F13" s="43"/>
      <c r="G13" s="43"/>
      <c r="H13" s="43"/>
      <c r="I13" s="43"/>
      <c r="J13" s="43"/>
      <c r="K13" s="43"/>
      <c r="L13" s="43"/>
      <c r="M13" s="43"/>
      <c r="N13" s="1"/>
      <c r="O13" s="179"/>
      <c r="P13" s="179"/>
      <c r="Q13" s="179"/>
      <c r="R13" s="179"/>
      <c r="S13" s="179"/>
    </row>
    <row r="14" spans="1:19" s="2" customFormat="1" ht="18" customHeight="1">
      <c r="A14" s="161" t="s">
        <v>60</v>
      </c>
      <c r="B14" s="162"/>
      <c r="C14" s="163"/>
      <c r="D14" s="43"/>
      <c r="E14" s="43"/>
      <c r="F14" s="43"/>
      <c r="G14" s="43"/>
      <c r="H14" s="43"/>
      <c r="I14" s="43"/>
      <c r="J14" s="43"/>
      <c r="K14" s="43"/>
      <c r="L14" s="43"/>
      <c r="M14" s="43"/>
      <c r="N14" s="11"/>
      <c r="O14" s="179"/>
      <c r="P14" s="179"/>
      <c r="Q14" s="179"/>
      <c r="R14" s="179"/>
      <c r="S14" s="179"/>
    </row>
    <row r="15" spans="1:19" s="2" customFormat="1" ht="18" customHeight="1">
      <c r="A15" s="161" t="s">
        <v>61</v>
      </c>
      <c r="B15" s="162"/>
      <c r="C15" s="163"/>
      <c r="D15" s="43"/>
      <c r="E15" s="43"/>
      <c r="F15" s="43"/>
      <c r="G15" s="43"/>
      <c r="H15" s="43"/>
      <c r="I15" s="43"/>
      <c r="J15" s="43"/>
      <c r="K15" s="43"/>
      <c r="L15" s="43"/>
      <c r="M15" s="43"/>
      <c r="N15" s="9"/>
      <c r="O15" s="179"/>
      <c r="P15" s="179"/>
      <c r="Q15" s="179"/>
      <c r="R15" s="179"/>
      <c r="S15" s="179"/>
    </row>
    <row r="16" spans="1:19">
      <c r="D16" s="10"/>
      <c r="O16" s="179"/>
      <c r="P16" s="179"/>
      <c r="Q16" s="179"/>
      <c r="R16" s="179"/>
      <c r="S16" s="179"/>
    </row>
    <row r="18" spans="1:19" ht="15" customHeight="1">
      <c r="A18" s="3" t="s">
        <v>30</v>
      </c>
      <c r="B18" s="8" t="s">
        <v>33</v>
      </c>
      <c r="C18" s="3" t="s">
        <v>26</v>
      </c>
      <c r="D18" s="153" t="s">
        <v>27</v>
      </c>
      <c r="E18" s="154"/>
      <c r="F18" s="154"/>
      <c r="G18" s="154"/>
      <c r="H18" s="154"/>
      <c r="I18" s="154"/>
      <c r="J18" s="154"/>
      <c r="K18" s="154"/>
      <c r="L18" s="154"/>
      <c r="M18" s="154"/>
      <c r="N18" s="154"/>
      <c r="O18" s="154"/>
      <c r="P18" s="154"/>
      <c r="Q18" s="154"/>
      <c r="R18" s="154"/>
      <c r="S18" s="154"/>
    </row>
    <row r="19" spans="1:19" ht="66.75" customHeight="1">
      <c r="A19" s="6" t="str">
        <f>A7</f>
        <v>18. Integralidad de los aspectos currículares</v>
      </c>
      <c r="B19" s="76" t="e">
        <f t="shared" ref="B19:B26" si="0">AVERAGE(D7:M7)</f>
        <v>#DIV/0!</v>
      </c>
      <c r="C19" s="75" t="e">
        <f t="shared" ref="C19:C27" si="1">B19/SUM($B$19:$B$27)</f>
        <v>#DIV/0!</v>
      </c>
      <c r="D19" s="150"/>
      <c r="E19" s="151"/>
      <c r="F19" s="151"/>
      <c r="G19" s="151"/>
      <c r="H19" s="151"/>
      <c r="I19" s="151"/>
      <c r="J19" s="151"/>
      <c r="K19" s="151"/>
      <c r="L19" s="151"/>
      <c r="M19" s="151"/>
      <c r="N19" s="151"/>
      <c r="O19" s="151"/>
      <c r="P19" s="151"/>
      <c r="Q19" s="151"/>
      <c r="R19" s="151"/>
      <c r="S19" s="152"/>
    </row>
    <row r="20" spans="1:19" ht="66.75" customHeight="1">
      <c r="A20" s="6" t="str">
        <f t="shared" ref="A20:A27" si="2">A8</f>
        <v>19. Flexibilidad de los aspectos currículares</v>
      </c>
      <c r="B20" s="76" t="e">
        <f t="shared" si="0"/>
        <v>#DIV/0!</v>
      </c>
      <c r="C20" s="75" t="e">
        <f t="shared" si="1"/>
        <v>#DIV/0!</v>
      </c>
      <c r="D20" s="150"/>
      <c r="E20" s="151"/>
      <c r="F20" s="151"/>
      <c r="G20" s="151"/>
      <c r="H20" s="151"/>
      <c r="I20" s="151"/>
      <c r="J20" s="151"/>
      <c r="K20" s="151"/>
      <c r="L20" s="151"/>
      <c r="M20" s="151"/>
      <c r="N20" s="151"/>
      <c r="O20" s="151"/>
      <c r="P20" s="151"/>
      <c r="Q20" s="151"/>
      <c r="R20" s="151"/>
      <c r="S20" s="152"/>
    </row>
    <row r="21" spans="1:19" ht="66.75" customHeight="1">
      <c r="A21" s="6" t="str">
        <f t="shared" si="2"/>
        <v xml:space="preserve">20. Interdisciplinariedad </v>
      </c>
      <c r="B21" s="76" t="e">
        <f t="shared" si="0"/>
        <v>#DIV/0!</v>
      </c>
      <c r="C21" s="75" t="e">
        <f t="shared" si="1"/>
        <v>#DIV/0!</v>
      </c>
      <c r="D21" s="150"/>
      <c r="E21" s="151"/>
      <c r="F21" s="151"/>
      <c r="G21" s="151"/>
      <c r="H21" s="151"/>
      <c r="I21" s="151"/>
      <c r="J21" s="151"/>
      <c r="K21" s="151"/>
      <c r="L21" s="151"/>
      <c r="M21" s="151"/>
      <c r="N21" s="151"/>
      <c r="O21" s="151"/>
      <c r="P21" s="151"/>
      <c r="Q21" s="151"/>
      <c r="R21" s="151"/>
      <c r="S21" s="152"/>
    </row>
    <row r="22" spans="1:19" ht="66.75" customHeight="1">
      <c r="A22" s="6" t="str">
        <f t="shared" si="2"/>
        <v>21. Estrategias Pedagógicas</v>
      </c>
      <c r="B22" s="76" t="e">
        <f t="shared" si="0"/>
        <v>#DIV/0!</v>
      </c>
      <c r="C22" s="75" t="e">
        <f t="shared" si="1"/>
        <v>#DIV/0!</v>
      </c>
      <c r="D22" s="150"/>
      <c r="E22" s="151"/>
      <c r="F22" s="151"/>
      <c r="G22" s="151"/>
      <c r="H22" s="151"/>
      <c r="I22" s="151"/>
      <c r="J22" s="151"/>
      <c r="K22" s="151"/>
      <c r="L22" s="151"/>
      <c r="M22" s="151"/>
      <c r="N22" s="151"/>
      <c r="O22" s="151"/>
      <c r="P22" s="151"/>
      <c r="Q22" s="151"/>
      <c r="R22" s="151"/>
      <c r="S22" s="152"/>
    </row>
    <row r="23" spans="1:19" ht="66.75" customHeight="1">
      <c r="A23" s="6" t="str">
        <f t="shared" si="2"/>
        <v>22. Sistema de evaluación de estudiantes</v>
      </c>
      <c r="B23" s="76" t="e">
        <f t="shared" si="0"/>
        <v>#DIV/0!</v>
      </c>
      <c r="C23" s="75" t="e">
        <f t="shared" si="1"/>
        <v>#DIV/0!</v>
      </c>
      <c r="D23" s="150"/>
      <c r="E23" s="151"/>
      <c r="F23" s="151"/>
      <c r="G23" s="151"/>
      <c r="H23" s="151"/>
      <c r="I23" s="151"/>
      <c r="J23" s="151"/>
      <c r="K23" s="151"/>
      <c r="L23" s="151"/>
      <c r="M23" s="151"/>
      <c r="N23" s="151"/>
      <c r="O23" s="151"/>
      <c r="P23" s="151"/>
      <c r="Q23" s="151"/>
      <c r="R23" s="151"/>
      <c r="S23" s="152"/>
    </row>
    <row r="24" spans="1:19" ht="66.75" customHeight="1">
      <c r="A24" s="6" t="str">
        <f t="shared" si="2"/>
        <v>23. Resultados de aprendizaje</v>
      </c>
      <c r="B24" s="76" t="e">
        <f t="shared" si="0"/>
        <v>#DIV/0!</v>
      </c>
      <c r="C24" s="75" t="e">
        <f t="shared" si="1"/>
        <v>#DIV/0!</v>
      </c>
      <c r="D24" s="150"/>
      <c r="E24" s="151"/>
      <c r="F24" s="151"/>
      <c r="G24" s="151"/>
      <c r="H24" s="151"/>
      <c r="I24" s="151"/>
      <c r="J24" s="151"/>
      <c r="K24" s="151"/>
      <c r="L24" s="151"/>
      <c r="M24" s="151"/>
      <c r="N24" s="151"/>
      <c r="O24" s="151"/>
      <c r="P24" s="151"/>
      <c r="Q24" s="151"/>
      <c r="R24" s="151"/>
      <c r="S24" s="152"/>
    </row>
    <row r="25" spans="1:19" ht="66.75" customHeight="1">
      <c r="A25" s="6" t="str">
        <f t="shared" si="2"/>
        <v>24. Competencias</v>
      </c>
      <c r="B25" s="76" t="e">
        <f t="shared" si="0"/>
        <v>#DIV/0!</v>
      </c>
      <c r="C25" s="75" t="e">
        <f t="shared" si="1"/>
        <v>#DIV/0!</v>
      </c>
      <c r="D25" s="150"/>
      <c r="E25" s="151"/>
      <c r="F25" s="151"/>
      <c r="G25" s="151"/>
      <c r="H25" s="151"/>
      <c r="I25" s="151"/>
      <c r="J25" s="151"/>
      <c r="K25" s="151"/>
      <c r="L25" s="151"/>
      <c r="M25" s="151"/>
      <c r="N25" s="151"/>
      <c r="O25" s="151"/>
      <c r="P25" s="151"/>
      <c r="Q25" s="151"/>
      <c r="R25" s="151"/>
      <c r="S25" s="152"/>
    </row>
    <row r="26" spans="1:19" ht="66.75" customHeight="1">
      <c r="A26" s="6" t="str">
        <f t="shared" si="2"/>
        <v xml:space="preserve">25. Evaluación y autoregulación del programa académico </v>
      </c>
      <c r="B26" s="76" t="e">
        <f t="shared" si="0"/>
        <v>#DIV/0!</v>
      </c>
      <c r="C26" s="75" t="e">
        <f t="shared" si="1"/>
        <v>#DIV/0!</v>
      </c>
      <c r="D26" s="150"/>
      <c r="E26" s="151"/>
      <c r="F26" s="151"/>
      <c r="G26" s="151"/>
      <c r="H26" s="151"/>
      <c r="I26" s="151"/>
      <c r="J26" s="151"/>
      <c r="K26" s="151"/>
      <c r="L26" s="151"/>
      <c r="M26" s="151"/>
      <c r="N26" s="151"/>
      <c r="O26" s="151"/>
      <c r="P26" s="151"/>
      <c r="Q26" s="151"/>
      <c r="R26" s="151"/>
      <c r="S26" s="152"/>
    </row>
    <row r="27" spans="1:19" ht="66.75" customHeight="1">
      <c r="A27" s="6" t="str">
        <f t="shared" si="2"/>
        <v>26. Vinculación e interacción social</v>
      </c>
      <c r="B27" s="76" t="e">
        <f t="shared" ref="B27" si="3">AVERAGE(D15:M15)</f>
        <v>#DIV/0!</v>
      </c>
      <c r="C27" s="75" t="e">
        <f t="shared" si="1"/>
        <v>#DIV/0!</v>
      </c>
      <c r="D27" s="150"/>
      <c r="E27" s="151"/>
      <c r="F27" s="151"/>
      <c r="G27" s="151"/>
      <c r="H27" s="151"/>
      <c r="I27" s="151"/>
      <c r="J27" s="151"/>
      <c r="K27" s="151"/>
      <c r="L27" s="151"/>
      <c r="M27" s="151"/>
      <c r="N27" s="151"/>
      <c r="O27" s="151"/>
      <c r="P27" s="151"/>
      <c r="Q27" s="151"/>
      <c r="R27" s="151"/>
      <c r="S27" s="152"/>
    </row>
  </sheetData>
  <sheetProtection algorithmName="SHA-512" hashValue="77T7SYjGephVRxpU268xECybqA4iy6LHMo1778GSsxMJEb28UDkGXu45lH1JKxftjCPA32Zvh2xDQ7Ccu6UMow==" saltValue="HGqyrwHOLYWPdijUAp99BA==" spinCount="100000" sheet="1" objects="1" scenarios="1"/>
  <dataConsolidate/>
  <mergeCells count="24">
    <mergeCell ref="A10:C10"/>
    <mergeCell ref="A11:C11"/>
    <mergeCell ref="A12:C12"/>
    <mergeCell ref="A13:C13"/>
    <mergeCell ref="C1:S1"/>
    <mergeCell ref="C2:S2"/>
    <mergeCell ref="D5:M5"/>
    <mergeCell ref="A6:C6"/>
    <mergeCell ref="A7:C7"/>
    <mergeCell ref="A8:C8"/>
    <mergeCell ref="A9:C9"/>
    <mergeCell ref="O5:S16"/>
    <mergeCell ref="D27:S27"/>
    <mergeCell ref="A14:C14"/>
    <mergeCell ref="A15:C15"/>
    <mergeCell ref="D18:S18"/>
    <mergeCell ref="D19:S19"/>
    <mergeCell ref="D20:S20"/>
    <mergeCell ref="D21:S21"/>
    <mergeCell ref="D22:S22"/>
    <mergeCell ref="D23:S23"/>
    <mergeCell ref="D24:S24"/>
    <mergeCell ref="D25:S25"/>
    <mergeCell ref="D26:S26"/>
  </mergeCells>
  <pageMargins left="0.7" right="0.7" top="0.75" bottom="0.75" header="0.3" footer="0.3"/>
  <pageSetup orientation="portrait" horizontalDpi="360" verticalDpi="36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Hoja1!$B$1:$B$10</xm:f>
          </x14:formula1>
          <xm:sqref>D7:M15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17"/>
  <sheetViews>
    <sheetView showGridLines="0" zoomScale="90" zoomScaleNormal="90" workbookViewId="0">
      <selection activeCell="R12" sqref="R12"/>
    </sheetView>
  </sheetViews>
  <sheetFormatPr defaultColWidth="11.42578125" defaultRowHeight="14.25"/>
  <cols>
    <col min="1" max="1" width="49.85546875" style="1" customWidth="1"/>
    <col min="2" max="3" width="7.7109375" style="1" customWidth="1"/>
    <col min="4" max="13" width="6.140625" style="4" customWidth="1"/>
    <col min="14" max="14" width="3" style="1" customWidth="1"/>
    <col min="15" max="15" width="8.42578125" style="1" customWidth="1"/>
    <col min="16" max="17" width="6" style="1" customWidth="1"/>
    <col min="18" max="18" width="8" style="1" customWidth="1"/>
    <col min="19" max="19" width="20.42578125" style="1" customWidth="1"/>
    <col min="20" max="16384" width="11.42578125" style="1"/>
  </cols>
  <sheetData>
    <row r="1" spans="1:19" ht="15" customHeight="1">
      <c r="A1" s="3" t="s">
        <v>25</v>
      </c>
      <c r="B1" s="13" t="s">
        <v>26</v>
      </c>
      <c r="C1" s="177" t="s">
        <v>27</v>
      </c>
      <c r="D1" s="178"/>
      <c r="E1" s="178"/>
      <c r="F1" s="178"/>
      <c r="G1" s="178"/>
      <c r="H1" s="178"/>
      <c r="I1" s="178"/>
      <c r="J1" s="178"/>
      <c r="K1" s="178"/>
      <c r="L1" s="178"/>
      <c r="M1" s="178"/>
      <c r="N1" s="178"/>
      <c r="O1" s="178"/>
      <c r="P1" s="178"/>
      <c r="Q1" s="178"/>
      <c r="R1" s="178"/>
      <c r="S1" s="178"/>
    </row>
    <row r="2" spans="1:19" ht="68.25" customHeight="1">
      <c r="A2" s="6" t="s">
        <v>62</v>
      </c>
      <c r="B2" s="75" t="e">
        <f>'Res.'!D36</f>
        <v>#DIV/0!</v>
      </c>
      <c r="C2" s="150"/>
      <c r="D2" s="151"/>
      <c r="E2" s="151"/>
      <c r="F2" s="151"/>
      <c r="G2" s="151"/>
      <c r="H2" s="151"/>
      <c r="I2" s="151"/>
      <c r="J2" s="151"/>
      <c r="K2" s="151"/>
      <c r="L2" s="151"/>
      <c r="M2" s="151"/>
      <c r="N2" s="151"/>
      <c r="O2" s="151"/>
      <c r="P2" s="151"/>
      <c r="Q2" s="151"/>
      <c r="R2" s="151"/>
      <c r="S2" s="152"/>
    </row>
    <row r="5" spans="1:19" ht="18.75" customHeight="1">
      <c r="B5" s="14"/>
      <c r="C5" s="14"/>
      <c r="D5" s="167" t="s">
        <v>29</v>
      </c>
      <c r="E5" s="168"/>
      <c r="F5" s="168"/>
      <c r="G5" s="168"/>
      <c r="H5" s="168"/>
      <c r="I5" s="168"/>
      <c r="J5" s="168"/>
      <c r="K5" s="168"/>
      <c r="L5" s="168"/>
      <c r="M5" s="169"/>
      <c r="O5" s="117"/>
      <c r="P5" s="117"/>
      <c r="Q5" s="117"/>
      <c r="R5" s="117"/>
      <c r="S5" s="117"/>
    </row>
    <row r="6" spans="1:19" ht="15" customHeight="1">
      <c r="A6" s="158" t="s">
        <v>30</v>
      </c>
      <c r="B6" s="159"/>
      <c r="C6" s="160"/>
      <c r="D6" s="7" t="s">
        <v>8</v>
      </c>
      <c r="E6" s="7" t="s">
        <v>9</v>
      </c>
      <c r="F6" s="7" t="s">
        <v>10</v>
      </c>
      <c r="G6" s="7" t="s">
        <v>11</v>
      </c>
      <c r="H6" s="7" t="s">
        <v>12</v>
      </c>
      <c r="I6" s="7" t="s">
        <v>13</v>
      </c>
      <c r="J6" s="7" t="s">
        <v>14</v>
      </c>
      <c r="K6" s="7" t="s">
        <v>15</v>
      </c>
      <c r="L6" s="7" t="s">
        <v>16</v>
      </c>
      <c r="M6" s="7" t="s">
        <v>17</v>
      </c>
      <c r="O6" s="113"/>
      <c r="P6" s="113"/>
      <c r="Q6" s="113"/>
      <c r="R6" s="113"/>
      <c r="S6" s="113"/>
    </row>
    <row r="7" spans="1:19" s="2" customFormat="1" ht="18" customHeight="1">
      <c r="A7" s="161" t="s">
        <v>63</v>
      </c>
      <c r="B7" s="162"/>
      <c r="C7" s="163"/>
      <c r="D7" s="43"/>
      <c r="E7" s="43"/>
      <c r="F7" s="43"/>
      <c r="G7" s="43"/>
      <c r="H7" s="43"/>
      <c r="I7" s="43"/>
      <c r="J7" s="43"/>
      <c r="K7" s="43"/>
      <c r="L7" s="43"/>
      <c r="M7" s="43"/>
      <c r="O7" s="114"/>
      <c r="P7" s="115"/>
      <c r="Q7" s="116"/>
      <c r="R7" s="118"/>
      <c r="S7" s="119"/>
    </row>
    <row r="8" spans="1:19" s="2" customFormat="1" ht="18" customHeight="1">
      <c r="A8" s="161" t="s">
        <v>64</v>
      </c>
      <c r="B8" s="162"/>
      <c r="C8" s="163"/>
      <c r="D8" s="43"/>
      <c r="E8" s="43"/>
      <c r="F8" s="43"/>
      <c r="G8" s="43"/>
      <c r="H8" s="43"/>
      <c r="I8" s="43"/>
      <c r="J8" s="43"/>
      <c r="K8" s="43"/>
      <c r="L8" s="43"/>
      <c r="M8" s="43"/>
      <c r="O8" s="114"/>
      <c r="P8" s="115"/>
      <c r="Q8" s="116"/>
      <c r="R8" s="118"/>
      <c r="S8" s="119"/>
    </row>
    <row r="9" spans="1:19" s="2" customFormat="1" ht="18" customHeight="1">
      <c r="A9" s="161" t="s">
        <v>65</v>
      </c>
      <c r="B9" s="162"/>
      <c r="C9" s="163"/>
      <c r="D9" s="43"/>
      <c r="E9" s="43"/>
      <c r="F9" s="43"/>
      <c r="G9" s="43"/>
      <c r="H9" s="43"/>
      <c r="I9" s="43"/>
      <c r="J9" s="43"/>
      <c r="K9" s="43"/>
      <c r="L9" s="43"/>
      <c r="M9" s="43"/>
      <c r="O9" s="114"/>
      <c r="P9" s="115"/>
      <c r="Q9" s="116"/>
      <c r="R9" s="118"/>
      <c r="S9" s="119"/>
    </row>
    <row r="10" spans="1:19" s="2" customFormat="1" ht="18" customHeight="1">
      <c r="A10" s="161" t="s">
        <v>66</v>
      </c>
      <c r="B10" s="162"/>
      <c r="C10" s="163"/>
      <c r="D10" s="43"/>
      <c r="E10" s="43"/>
      <c r="F10" s="43"/>
      <c r="G10" s="43"/>
      <c r="H10" s="43"/>
      <c r="I10" s="43"/>
      <c r="J10" s="43"/>
      <c r="K10" s="43"/>
      <c r="L10" s="43"/>
      <c r="M10" s="43"/>
      <c r="O10" s="114"/>
      <c r="P10" s="115"/>
      <c r="Q10" s="116"/>
      <c r="R10" s="118"/>
      <c r="S10" s="119"/>
    </row>
    <row r="11" spans="1:19">
      <c r="D11" s="10"/>
    </row>
    <row r="13" spans="1:19" ht="15" customHeight="1">
      <c r="A13" s="3" t="s">
        <v>30</v>
      </c>
      <c r="B13" s="8" t="s">
        <v>33</v>
      </c>
      <c r="C13" s="3" t="s">
        <v>26</v>
      </c>
      <c r="D13" s="153" t="s">
        <v>27</v>
      </c>
      <c r="E13" s="154"/>
      <c r="F13" s="154"/>
      <c r="G13" s="154"/>
      <c r="H13" s="154"/>
      <c r="I13" s="154"/>
      <c r="J13" s="154"/>
      <c r="K13" s="154"/>
      <c r="L13" s="154"/>
      <c r="M13" s="154"/>
      <c r="N13" s="154"/>
      <c r="O13" s="154"/>
      <c r="P13" s="154"/>
      <c r="Q13" s="154"/>
      <c r="R13" s="154"/>
      <c r="S13" s="154"/>
    </row>
    <row r="14" spans="1:19" ht="66.75" customHeight="1">
      <c r="A14" s="6" t="str">
        <f>A7</f>
        <v>27. Políticas estrategias y estructura para la permanencia y graduación</v>
      </c>
      <c r="B14" s="76" t="e">
        <f>AVERAGE(D7:M7)</f>
        <v>#DIV/0!</v>
      </c>
      <c r="C14" s="75" t="e">
        <f>B14/SUM($B$14:$B$17)</f>
        <v>#DIV/0!</v>
      </c>
      <c r="D14" s="150"/>
      <c r="E14" s="151"/>
      <c r="F14" s="151"/>
      <c r="G14" s="151"/>
      <c r="H14" s="151"/>
      <c r="I14" s="151"/>
      <c r="J14" s="151"/>
      <c r="K14" s="151"/>
      <c r="L14" s="151"/>
      <c r="M14" s="151"/>
      <c r="N14" s="151"/>
      <c r="O14" s="151"/>
      <c r="P14" s="151"/>
      <c r="Q14" s="151"/>
      <c r="R14" s="151"/>
      <c r="S14" s="152"/>
    </row>
    <row r="15" spans="1:19" ht="66.75" customHeight="1">
      <c r="A15" s="6" t="str">
        <f t="shared" ref="A15:A17" si="0">A8</f>
        <v>28. Caracterización de estudiantes y sistema de alertas tempranas</v>
      </c>
      <c r="B15" s="76" t="e">
        <f t="shared" ref="B15:B16" si="1">AVERAGE(D8:M8)</f>
        <v>#DIV/0!</v>
      </c>
      <c r="C15" s="75" t="e">
        <f t="shared" ref="C15:C16" si="2">B15/SUM($B$14:$B$17)</f>
        <v>#DIV/0!</v>
      </c>
      <c r="D15" s="83"/>
      <c r="E15" s="84"/>
      <c r="F15" s="84"/>
      <c r="G15" s="84"/>
      <c r="H15" s="84"/>
      <c r="I15" s="84"/>
      <c r="J15" s="84"/>
      <c r="K15" s="84"/>
      <c r="L15" s="84"/>
      <c r="M15" s="84"/>
      <c r="N15" s="84"/>
      <c r="O15" s="84"/>
      <c r="P15" s="84"/>
      <c r="Q15" s="84"/>
      <c r="R15" s="84"/>
      <c r="S15" s="85"/>
    </row>
    <row r="16" spans="1:19" ht="66.75" customHeight="1">
      <c r="A16" s="6" t="str">
        <f t="shared" si="0"/>
        <v xml:space="preserve">29. Ajustes a los aspectos curriculares </v>
      </c>
      <c r="B16" s="76" t="e">
        <f t="shared" si="1"/>
        <v>#DIV/0!</v>
      </c>
      <c r="C16" s="75" t="e">
        <f t="shared" si="2"/>
        <v>#DIV/0!</v>
      </c>
      <c r="D16" s="83"/>
      <c r="E16" s="84"/>
      <c r="F16" s="84"/>
      <c r="G16" s="84"/>
      <c r="H16" s="84"/>
      <c r="I16" s="84"/>
      <c r="J16" s="84"/>
      <c r="K16" s="84"/>
      <c r="L16" s="84"/>
      <c r="M16" s="84"/>
      <c r="N16" s="84"/>
      <c r="O16" s="84"/>
      <c r="P16" s="84"/>
      <c r="Q16" s="84"/>
      <c r="R16" s="84"/>
      <c r="S16" s="85"/>
    </row>
    <row r="17" spans="1:19" ht="66.75" customHeight="1">
      <c r="A17" s="6" t="str">
        <f t="shared" si="0"/>
        <v>30. Mecanismos de Selección</v>
      </c>
      <c r="B17" s="76" t="e">
        <f>AVERAGE(D10:M10)</f>
        <v>#DIV/0!</v>
      </c>
      <c r="C17" s="75" t="e">
        <f>B17/SUM($B$14:$B$17)</f>
        <v>#DIV/0!</v>
      </c>
      <c r="D17" s="150"/>
      <c r="E17" s="151"/>
      <c r="F17" s="151"/>
      <c r="G17" s="151"/>
      <c r="H17" s="151"/>
      <c r="I17" s="151"/>
      <c r="J17" s="151"/>
      <c r="K17" s="151"/>
      <c r="L17" s="151"/>
      <c r="M17" s="151"/>
      <c r="N17" s="151"/>
      <c r="O17" s="151"/>
      <c r="P17" s="151"/>
      <c r="Q17" s="151"/>
      <c r="R17" s="151"/>
      <c r="S17" s="152"/>
    </row>
  </sheetData>
  <sheetProtection algorithmName="SHA-512" hashValue="Dzv/CD+3GJszD7lgvcpeR2Lqtk4DrwMTFW3oMapEnwMtynLrHZd4YfecA905kRk2lHlbgUsqecYXpvAZd2xbRw==" saltValue="D9aDCwwxEuTMN+owUy+jTQ==" spinCount="100000" sheet="1" objects="1" scenarios="1"/>
  <dataConsolidate/>
  <mergeCells count="11">
    <mergeCell ref="A7:C7"/>
    <mergeCell ref="A10:C10"/>
    <mergeCell ref="C1:S1"/>
    <mergeCell ref="C2:S2"/>
    <mergeCell ref="D5:M5"/>
    <mergeCell ref="A6:C6"/>
    <mergeCell ref="D13:S13"/>
    <mergeCell ref="D14:S14"/>
    <mergeCell ref="D17:S17"/>
    <mergeCell ref="A8:C8"/>
    <mergeCell ref="A9:C9"/>
  </mergeCells>
  <conditionalFormatting sqref="S7:S9">
    <cfRule type="dataBar" priority="1">
      <dataBar>
        <cfvo type="min"/>
        <cfvo type="max"/>
        <color rgb="FF63C384"/>
      </dataBar>
      <extLst>
        <ext xmlns:x14="http://schemas.microsoft.com/office/spreadsheetml/2009/9/main" uri="{B025F937-C7B1-47D3-B67F-A62EFF666E3E}">
          <x14:id>{F8D6480E-E0F3-4D75-86ED-A4ABB2195956}</x14:id>
        </ext>
      </extLst>
    </cfRule>
  </conditionalFormatting>
  <pageMargins left="0.7" right="0.7" top="0.75" bottom="0.75" header="0.3" footer="0.3"/>
  <pageSetup orientation="portrait" horizontalDpi="360" verticalDpi="360" r:id="rId1"/>
  <drawing r:id="rId2"/>
  <extLst>
    <ext xmlns:x14="http://schemas.microsoft.com/office/spreadsheetml/2009/9/main" uri="{78C0D931-6437-407d-A8EE-F0AAD7539E65}">
      <x14:conditionalFormattings>
        <x14:conditionalFormatting xmlns:xm="http://schemas.microsoft.com/office/excel/2006/main">
          <x14:cfRule type="dataBar" id="{F8D6480E-E0F3-4D75-86ED-A4ABB2195956}">
            <x14:dataBar minLength="0" maxLength="100" border="1" negativeBarBorderColorSameAsPositive="0">
              <x14:cfvo type="autoMin"/>
              <x14:cfvo type="autoMax"/>
              <x14:borderColor rgb="FF63C384"/>
              <x14:negativeFillColor rgb="FFFF0000"/>
              <x14:negativeBorderColor rgb="FFFF0000"/>
              <x14:axisColor rgb="FF000000"/>
            </x14:dataBar>
          </x14:cfRule>
          <xm:sqref>S7:S9</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Hoja1!$D$1:$D$41</xm:f>
          </x14:formula1>
          <xm:sqref>P7:P10</xm:sqref>
        </x14:dataValidation>
        <x14:dataValidation type="list" allowBlank="1" showInputMessage="1" showErrorMessage="1" xr:uid="{00000000-0002-0000-0600-000001000000}">
          <x14:formula1>
            <xm:f>Hoja1!$B$1:$B$10</xm:f>
          </x14:formula1>
          <xm:sqref>D7:M10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19"/>
  <sheetViews>
    <sheetView showGridLines="0" zoomScale="90" zoomScaleNormal="90" workbookViewId="0">
      <selection activeCell="R12" sqref="R12"/>
    </sheetView>
  </sheetViews>
  <sheetFormatPr defaultColWidth="11.42578125" defaultRowHeight="14.25"/>
  <cols>
    <col min="1" max="1" width="59.85546875" style="1" customWidth="1"/>
    <col min="2" max="3" width="7.7109375" style="1" customWidth="1"/>
    <col min="4" max="13" width="6.140625" style="4" customWidth="1"/>
    <col min="14" max="14" width="3" style="1" customWidth="1"/>
    <col min="15" max="15" width="8.42578125" style="1" customWidth="1"/>
    <col min="16" max="17" width="6" style="1" customWidth="1"/>
    <col min="18" max="18" width="8" style="1" customWidth="1"/>
    <col min="19" max="19" width="20.42578125" style="1" customWidth="1"/>
    <col min="20" max="16384" width="11.42578125" style="1"/>
  </cols>
  <sheetData>
    <row r="1" spans="1:19" ht="15" customHeight="1">
      <c r="A1" s="7" t="s">
        <v>25</v>
      </c>
      <c r="B1" s="13" t="s">
        <v>26</v>
      </c>
      <c r="C1" s="155" t="s">
        <v>27</v>
      </c>
      <c r="D1" s="156"/>
      <c r="E1" s="156"/>
      <c r="F1" s="156"/>
      <c r="G1" s="156"/>
      <c r="H1" s="156"/>
      <c r="I1" s="156"/>
      <c r="J1" s="156"/>
      <c r="K1" s="156"/>
      <c r="L1" s="156"/>
      <c r="M1" s="156"/>
      <c r="N1" s="156"/>
      <c r="O1" s="156"/>
      <c r="P1" s="156"/>
      <c r="Q1" s="156"/>
      <c r="R1" s="156"/>
      <c r="S1" s="156"/>
    </row>
    <row r="2" spans="1:19" ht="68.25" customHeight="1">
      <c r="A2" s="18" t="s">
        <v>67</v>
      </c>
      <c r="B2" s="75" t="e">
        <f>'Res.'!D41</f>
        <v>#DIV/0!</v>
      </c>
      <c r="C2" s="180"/>
      <c r="D2" s="181"/>
      <c r="E2" s="181"/>
      <c r="F2" s="181"/>
      <c r="G2" s="181"/>
      <c r="H2" s="181"/>
      <c r="I2" s="181"/>
      <c r="J2" s="181"/>
      <c r="K2" s="181"/>
      <c r="L2" s="181"/>
      <c r="M2" s="181"/>
      <c r="N2" s="181"/>
      <c r="O2" s="181"/>
      <c r="P2" s="181"/>
      <c r="Q2" s="181"/>
      <c r="R2" s="181"/>
      <c r="S2" s="182"/>
    </row>
    <row r="5" spans="1:19" ht="18.75" customHeight="1">
      <c r="B5" s="14"/>
      <c r="C5" s="14"/>
      <c r="D5" s="167" t="s">
        <v>29</v>
      </c>
      <c r="E5" s="168"/>
      <c r="F5" s="168"/>
      <c r="G5" s="168"/>
      <c r="H5" s="168"/>
      <c r="I5" s="168"/>
      <c r="J5" s="168"/>
      <c r="K5" s="168"/>
      <c r="L5" s="168"/>
      <c r="M5" s="169"/>
      <c r="O5" s="110"/>
      <c r="P5" s="110"/>
      <c r="Q5" s="110"/>
      <c r="R5" s="110"/>
      <c r="S5" s="110"/>
    </row>
    <row r="6" spans="1:19" ht="15" customHeight="1">
      <c r="A6" s="158" t="s">
        <v>30</v>
      </c>
      <c r="B6" s="159"/>
      <c r="C6" s="160"/>
      <c r="D6" s="7" t="s">
        <v>8</v>
      </c>
      <c r="E6" s="7" t="s">
        <v>9</v>
      </c>
      <c r="F6" s="7" t="s">
        <v>10</v>
      </c>
      <c r="G6" s="7" t="s">
        <v>11</v>
      </c>
      <c r="H6" s="7" t="s">
        <v>12</v>
      </c>
      <c r="I6" s="7" t="s">
        <v>13</v>
      </c>
      <c r="J6" s="7" t="s">
        <v>14</v>
      </c>
      <c r="K6" s="7" t="s">
        <v>15</v>
      </c>
      <c r="L6" s="7" t="s">
        <v>16</v>
      </c>
      <c r="M6" s="7" t="s">
        <v>17</v>
      </c>
      <c r="O6" s="106"/>
      <c r="P6" s="106"/>
      <c r="Q6" s="106"/>
      <c r="R6" s="106"/>
      <c r="S6" s="106"/>
    </row>
    <row r="7" spans="1:19" s="2" customFormat="1" ht="18" customHeight="1">
      <c r="A7" s="161" t="s">
        <v>68</v>
      </c>
      <c r="B7" s="162"/>
      <c r="C7" s="163"/>
      <c r="D7" s="44"/>
      <c r="E7" s="44"/>
      <c r="F7" s="44"/>
      <c r="G7" s="44"/>
      <c r="H7" s="44"/>
      <c r="I7" s="44"/>
      <c r="J7" s="44"/>
      <c r="K7" s="44"/>
      <c r="L7" s="44"/>
      <c r="M7" s="44"/>
      <c r="O7" s="107"/>
      <c r="P7" s="120"/>
      <c r="Q7" s="109"/>
      <c r="R7" s="111"/>
      <c r="S7" s="112"/>
    </row>
    <row r="8" spans="1:19" s="2" customFormat="1" ht="18" customHeight="1">
      <c r="A8" s="161" t="s">
        <v>69</v>
      </c>
      <c r="B8" s="162"/>
      <c r="C8" s="163"/>
      <c r="D8" s="44"/>
      <c r="E8" s="44"/>
      <c r="F8" s="44"/>
      <c r="G8" s="44"/>
      <c r="H8" s="44"/>
      <c r="I8" s="44"/>
      <c r="J8" s="44"/>
      <c r="K8" s="44"/>
      <c r="L8" s="44"/>
      <c r="M8" s="44"/>
      <c r="O8" s="107"/>
      <c r="P8" s="120"/>
      <c r="Q8" s="109"/>
      <c r="R8" s="111"/>
      <c r="S8" s="112"/>
    </row>
    <row r="9" spans="1:19" s="2" customFormat="1" ht="18" customHeight="1">
      <c r="A9" s="161" t="s">
        <v>70</v>
      </c>
      <c r="B9" s="162"/>
      <c r="C9" s="163"/>
      <c r="D9" s="44"/>
      <c r="E9" s="44"/>
      <c r="F9" s="44"/>
      <c r="G9" s="44"/>
      <c r="H9" s="44"/>
      <c r="I9" s="44"/>
      <c r="J9" s="44"/>
      <c r="K9" s="44"/>
      <c r="L9" s="44"/>
      <c r="M9" s="44"/>
      <c r="O9" s="107"/>
      <c r="P9" s="120"/>
      <c r="Q9" s="109"/>
      <c r="R9" s="111"/>
      <c r="S9" s="112"/>
    </row>
    <row r="10" spans="1:19">
      <c r="N10" s="2"/>
    </row>
    <row r="12" spans="1:19" ht="15" customHeight="1">
      <c r="A12" s="3" t="s">
        <v>30</v>
      </c>
      <c r="B12" s="8" t="s">
        <v>33</v>
      </c>
      <c r="C12" s="3" t="s">
        <v>26</v>
      </c>
      <c r="D12" s="153" t="s">
        <v>27</v>
      </c>
      <c r="E12" s="154"/>
      <c r="F12" s="154"/>
      <c r="G12" s="154"/>
      <c r="H12" s="154"/>
      <c r="I12" s="154"/>
      <c r="J12" s="154"/>
      <c r="K12" s="154"/>
      <c r="L12" s="154"/>
      <c r="M12" s="154"/>
      <c r="N12" s="154"/>
      <c r="O12" s="154"/>
      <c r="P12" s="154"/>
      <c r="Q12" s="154"/>
      <c r="R12" s="154"/>
      <c r="S12" s="154"/>
    </row>
    <row r="13" spans="1:19" ht="66.75" customHeight="1">
      <c r="A13" s="6" t="str">
        <f>A7</f>
        <v>31. Inserción del programa en contextos académicos nacionales e internacionales</v>
      </c>
      <c r="B13" s="76" t="e">
        <f>AVERAGE(D7:M7)</f>
        <v>#DIV/0!</v>
      </c>
      <c r="C13" s="75" t="e">
        <f>B13/SUM($B$13:$B$15)</f>
        <v>#DIV/0!</v>
      </c>
      <c r="D13" s="180"/>
      <c r="E13" s="181"/>
      <c r="F13" s="181"/>
      <c r="G13" s="181"/>
      <c r="H13" s="181"/>
      <c r="I13" s="181"/>
      <c r="J13" s="181"/>
      <c r="K13" s="181"/>
      <c r="L13" s="181"/>
      <c r="M13" s="181"/>
      <c r="N13" s="181"/>
      <c r="O13" s="181"/>
      <c r="P13" s="181"/>
      <c r="Q13" s="181"/>
      <c r="R13" s="181"/>
      <c r="S13" s="182"/>
    </row>
    <row r="14" spans="1:19" ht="66.75" customHeight="1">
      <c r="A14" s="6" t="str">
        <f t="shared" ref="A14:A15" si="0">A8</f>
        <v>32.  Relaciones externas de profesores y estudiantes</v>
      </c>
      <c r="B14" s="76" t="e">
        <f t="shared" ref="B14:B15" si="1">AVERAGE(D8:M8)</f>
        <v>#DIV/0!</v>
      </c>
      <c r="C14" s="75" t="e">
        <f t="shared" ref="C14:C15" si="2">B14/SUM($B$13:$B$15)</f>
        <v>#DIV/0!</v>
      </c>
      <c r="D14" s="86"/>
      <c r="E14" s="87"/>
      <c r="F14" s="87"/>
      <c r="G14" s="87"/>
      <c r="H14" s="87"/>
      <c r="I14" s="87"/>
      <c r="J14" s="87"/>
      <c r="K14" s="87"/>
      <c r="L14" s="87"/>
      <c r="M14" s="87"/>
      <c r="N14" s="87"/>
      <c r="O14" s="87"/>
      <c r="P14" s="87"/>
      <c r="Q14" s="87"/>
      <c r="R14" s="87"/>
      <c r="S14" s="88"/>
    </row>
    <row r="15" spans="1:19" ht="66.75" customHeight="1">
      <c r="A15" s="6" t="str">
        <f t="shared" si="0"/>
        <v>33. Habilidades comunicativas en segunda lengua</v>
      </c>
      <c r="B15" s="76" t="e">
        <f t="shared" si="1"/>
        <v>#DIV/0!</v>
      </c>
      <c r="C15" s="75" t="e">
        <f t="shared" si="2"/>
        <v>#DIV/0!</v>
      </c>
      <c r="D15" s="180"/>
      <c r="E15" s="181"/>
      <c r="F15" s="181"/>
      <c r="G15" s="181"/>
      <c r="H15" s="181"/>
      <c r="I15" s="181"/>
      <c r="J15" s="181"/>
      <c r="K15" s="181"/>
      <c r="L15" s="181"/>
      <c r="M15" s="181"/>
      <c r="N15" s="181"/>
      <c r="O15" s="181"/>
      <c r="P15" s="181"/>
      <c r="Q15" s="181"/>
      <c r="R15" s="181"/>
      <c r="S15" s="182"/>
    </row>
    <row r="16" spans="1:19">
      <c r="D16" s="10"/>
      <c r="N16" s="11"/>
    </row>
    <row r="17" spans="4:14">
      <c r="D17" s="10"/>
      <c r="N17" s="11"/>
    </row>
    <row r="18" spans="4:14">
      <c r="D18" s="10"/>
      <c r="N18" s="9"/>
    </row>
    <row r="19" spans="4:14">
      <c r="D19" s="10"/>
    </row>
  </sheetData>
  <sheetProtection algorithmName="SHA-512" hashValue="M5KtR4vnTKGivDoQYKz8aNVexDms+LL+OGW4k1khXST7kvOyxyGZTBTOuFXNh3fp7cezZLgNjWxfpnxujurMwQ==" saltValue="AZmNdqxB+ggi4orX3/VrQw==" spinCount="100000" sheet="1" objects="1" scenarios="1"/>
  <dataConsolidate/>
  <mergeCells count="10">
    <mergeCell ref="C2:S2"/>
    <mergeCell ref="C1:S1"/>
    <mergeCell ref="D5:M5"/>
    <mergeCell ref="D13:S13"/>
    <mergeCell ref="D15:S15"/>
    <mergeCell ref="D12:S12"/>
    <mergeCell ref="A6:C6"/>
    <mergeCell ref="A7:C7"/>
    <mergeCell ref="A9:C9"/>
    <mergeCell ref="A8:C8"/>
  </mergeCells>
  <conditionalFormatting sqref="S7:S8">
    <cfRule type="dataBar" priority="1">
      <dataBar>
        <cfvo type="min"/>
        <cfvo type="max"/>
        <color rgb="FF63C384"/>
      </dataBar>
      <extLst>
        <ext xmlns:x14="http://schemas.microsoft.com/office/spreadsheetml/2009/9/main" uri="{B025F937-C7B1-47D3-B67F-A62EFF666E3E}">
          <x14:id>{913AF020-DC23-4252-A302-8A6851E76A84}</x14:id>
        </ext>
      </extLst>
    </cfRule>
  </conditionalFormatting>
  <pageMargins left="0.7" right="0.7" top="0.75" bottom="0.75" header="0.3" footer="0.3"/>
  <pageSetup orientation="portrait" horizontalDpi="360" verticalDpi="360" r:id="rId1"/>
  <ignoredErrors>
    <ignoredError sqref="B13:C13" evalError="1"/>
  </ignoredErrors>
  <drawing r:id="rId2"/>
  <extLst>
    <ext xmlns:x14="http://schemas.microsoft.com/office/spreadsheetml/2009/9/main" uri="{78C0D931-6437-407d-A8EE-F0AAD7539E65}">
      <x14:conditionalFormattings>
        <x14:conditionalFormatting xmlns:xm="http://schemas.microsoft.com/office/excel/2006/main">
          <x14:cfRule type="dataBar" id="{913AF020-DC23-4252-A302-8A6851E76A84}">
            <x14:dataBar minLength="0" maxLength="100" border="1" negativeBarBorderColorSameAsPositive="0">
              <x14:cfvo type="autoMin"/>
              <x14:cfvo type="autoMax"/>
              <x14:borderColor rgb="FF63C384"/>
              <x14:negativeFillColor rgb="FFFF0000"/>
              <x14:negativeBorderColor rgb="FFFF0000"/>
              <x14:axisColor rgb="FF000000"/>
            </x14:dataBar>
          </x14:cfRule>
          <xm:sqref>S7:S8</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00000000-0002-0000-0700-000000000000}">
          <x14:formula1>
            <xm:f>Hoja1!$B$1:$B$10</xm:f>
          </x14:formula1>
          <xm:sqref>D7:M9</xm:sqref>
        </x14:dataValidation>
        <x14:dataValidation type="list" allowBlank="1" showInputMessage="1" showErrorMessage="1" xr:uid="{00000000-0002-0000-0700-000001000000}">
          <x14:formula1>
            <xm:f>Hoja1!$D$1:$D$41</xm:f>
          </x14:formula1>
          <xm:sqref>P7:P10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17"/>
  <sheetViews>
    <sheetView showGridLines="0" zoomScale="90" zoomScaleNormal="90" workbookViewId="0">
      <selection activeCell="D12" sqref="D12:S12"/>
    </sheetView>
  </sheetViews>
  <sheetFormatPr defaultColWidth="11.42578125" defaultRowHeight="14.25"/>
  <cols>
    <col min="1" max="1" width="67.42578125" style="1" customWidth="1"/>
    <col min="2" max="3" width="7.7109375" style="1" customWidth="1"/>
    <col min="4" max="13" width="6.140625" style="4" customWidth="1"/>
    <col min="14" max="14" width="3" style="1" customWidth="1"/>
    <col min="15" max="15" width="8.42578125" style="1" customWidth="1"/>
    <col min="16" max="17" width="6" style="1" customWidth="1"/>
    <col min="18" max="18" width="8" style="1" customWidth="1"/>
    <col min="19" max="19" width="20.42578125" style="1" customWidth="1"/>
    <col min="20" max="16384" width="11.42578125" style="1"/>
  </cols>
  <sheetData>
    <row r="1" spans="1:19" ht="15" customHeight="1">
      <c r="A1" s="7" t="s">
        <v>25</v>
      </c>
      <c r="B1" s="13" t="s">
        <v>26</v>
      </c>
      <c r="C1" s="183" t="s">
        <v>27</v>
      </c>
      <c r="D1" s="184"/>
      <c r="E1" s="184"/>
      <c r="F1" s="184"/>
      <c r="G1" s="184"/>
      <c r="H1" s="184"/>
      <c r="I1" s="184"/>
      <c r="J1" s="184"/>
      <c r="K1" s="184"/>
      <c r="L1" s="184"/>
      <c r="M1" s="184"/>
      <c r="N1" s="184"/>
      <c r="O1" s="184"/>
      <c r="P1" s="184"/>
      <c r="Q1" s="184"/>
      <c r="R1" s="184"/>
      <c r="S1" s="184"/>
    </row>
    <row r="2" spans="1:19" ht="68.25" customHeight="1">
      <c r="A2" s="18" t="s">
        <v>71</v>
      </c>
      <c r="B2" s="75" t="e">
        <f>'Res.'!D45</f>
        <v>#DIV/0!</v>
      </c>
      <c r="C2" s="180"/>
      <c r="D2" s="181"/>
      <c r="E2" s="181"/>
      <c r="F2" s="181"/>
      <c r="G2" s="181"/>
      <c r="H2" s="181"/>
      <c r="I2" s="181"/>
      <c r="J2" s="181"/>
      <c r="K2" s="181"/>
      <c r="L2" s="181"/>
      <c r="M2" s="181"/>
      <c r="N2" s="181"/>
      <c r="O2" s="181"/>
      <c r="P2" s="181"/>
      <c r="Q2" s="181"/>
      <c r="R2" s="181"/>
      <c r="S2" s="182"/>
    </row>
    <row r="5" spans="1:19" ht="18.75" customHeight="1">
      <c r="B5" s="14"/>
      <c r="C5" s="14"/>
      <c r="D5" s="167" t="s">
        <v>29</v>
      </c>
      <c r="E5" s="168"/>
      <c r="F5" s="168"/>
      <c r="G5" s="168"/>
      <c r="H5" s="168"/>
      <c r="I5" s="168"/>
      <c r="J5" s="168"/>
      <c r="K5" s="168"/>
      <c r="L5" s="168"/>
      <c r="M5" s="169"/>
      <c r="O5" s="110"/>
      <c r="P5" s="110"/>
      <c r="Q5" s="110"/>
      <c r="R5" s="110"/>
      <c r="S5" s="110"/>
    </row>
    <row r="6" spans="1:19" ht="15" customHeight="1">
      <c r="A6" s="158" t="s">
        <v>30</v>
      </c>
      <c r="B6" s="159"/>
      <c r="C6" s="160"/>
      <c r="D6" s="7" t="s">
        <v>8</v>
      </c>
      <c r="E6" s="7" t="s">
        <v>9</v>
      </c>
      <c r="F6" s="7" t="s">
        <v>10</v>
      </c>
      <c r="G6" s="7" t="s">
        <v>11</v>
      </c>
      <c r="H6" s="7" t="s">
        <v>12</v>
      </c>
      <c r="I6" s="7" t="s">
        <v>13</v>
      </c>
      <c r="J6" s="7" t="s">
        <v>14</v>
      </c>
      <c r="K6" s="7" t="s">
        <v>15</v>
      </c>
      <c r="L6" s="7" t="s">
        <v>16</v>
      </c>
      <c r="M6" s="7" t="s">
        <v>17</v>
      </c>
      <c r="O6" s="106"/>
      <c r="P6" s="106"/>
      <c r="Q6" s="106"/>
      <c r="R6" s="106"/>
      <c r="S6" s="106"/>
    </row>
    <row r="7" spans="1:19" s="2" customFormat="1" ht="18" customHeight="1">
      <c r="A7" s="161" t="s">
        <v>72</v>
      </c>
      <c r="B7" s="162"/>
      <c r="C7" s="163"/>
      <c r="D7" s="44"/>
      <c r="E7" s="44"/>
      <c r="F7" s="44"/>
      <c r="G7" s="44"/>
      <c r="H7" s="44"/>
      <c r="I7" s="44"/>
      <c r="J7" s="44"/>
      <c r="K7" s="44"/>
      <c r="L7" s="44"/>
      <c r="M7" s="44"/>
      <c r="O7" s="107"/>
      <c r="P7" s="120"/>
      <c r="Q7" s="109"/>
      <c r="R7" s="111"/>
      <c r="S7" s="112"/>
    </row>
    <row r="8" spans="1:19" s="2" customFormat="1" ht="18" customHeight="1">
      <c r="A8" s="161" t="s">
        <v>73</v>
      </c>
      <c r="B8" s="162"/>
      <c r="C8" s="163"/>
      <c r="D8" s="44"/>
      <c r="E8" s="44"/>
      <c r="F8" s="44"/>
      <c r="G8" s="44"/>
      <c r="H8" s="44"/>
      <c r="I8" s="44"/>
      <c r="J8" s="44"/>
      <c r="K8" s="44"/>
      <c r="L8" s="44"/>
      <c r="M8" s="44"/>
      <c r="O8" s="107"/>
      <c r="P8" s="120"/>
      <c r="Q8" s="109"/>
      <c r="R8" s="111"/>
      <c r="S8" s="112"/>
    </row>
    <row r="9" spans="1:19">
      <c r="N9" s="2"/>
    </row>
    <row r="11" spans="1:19" ht="15" customHeight="1">
      <c r="A11" s="3" t="s">
        <v>30</v>
      </c>
      <c r="B11" s="8" t="s">
        <v>33</v>
      </c>
      <c r="C11" s="3" t="s">
        <v>26</v>
      </c>
      <c r="D11" s="185" t="s">
        <v>27</v>
      </c>
      <c r="E11" s="186"/>
      <c r="F11" s="186"/>
      <c r="G11" s="186"/>
      <c r="H11" s="186"/>
      <c r="I11" s="186"/>
      <c r="J11" s="186"/>
      <c r="K11" s="186"/>
      <c r="L11" s="186"/>
      <c r="M11" s="186"/>
      <c r="N11" s="186"/>
      <c r="O11" s="186"/>
      <c r="P11" s="186"/>
      <c r="Q11" s="186"/>
      <c r="R11" s="186"/>
      <c r="S11" s="186"/>
    </row>
    <row r="12" spans="1:19" ht="66.75" customHeight="1">
      <c r="A12" s="6" t="s">
        <v>74</v>
      </c>
      <c r="B12" s="76" t="e">
        <f>AVERAGE(D7:M7)</f>
        <v>#DIV/0!</v>
      </c>
      <c r="C12" s="75" t="e">
        <f>B12/SUM($B$12:$B$13)</f>
        <v>#DIV/0!</v>
      </c>
      <c r="D12" s="180"/>
      <c r="E12" s="181"/>
      <c r="F12" s="181"/>
      <c r="G12" s="181"/>
      <c r="H12" s="181"/>
      <c r="I12" s="181"/>
      <c r="J12" s="181"/>
      <c r="K12" s="181"/>
      <c r="L12" s="181"/>
      <c r="M12" s="181"/>
      <c r="N12" s="181"/>
      <c r="O12" s="181"/>
      <c r="P12" s="181"/>
      <c r="Q12" s="181"/>
      <c r="R12" s="181"/>
      <c r="S12" s="182"/>
    </row>
    <row r="13" spans="1:19" ht="66.75" customHeight="1">
      <c r="A13" s="6" t="s">
        <v>75</v>
      </c>
      <c r="B13" s="76" t="e">
        <f>AVERAGE(D8:M8)</f>
        <v>#DIV/0!</v>
      </c>
      <c r="C13" s="75" t="e">
        <f>B13/SUM($B$12:$B$13)</f>
        <v>#DIV/0!</v>
      </c>
      <c r="D13" s="180"/>
      <c r="E13" s="181"/>
      <c r="F13" s="181"/>
      <c r="G13" s="181"/>
      <c r="H13" s="181"/>
      <c r="I13" s="181"/>
      <c r="J13" s="181"/>
      <c r="K13" s="181"/>
      <c r="L13" s="181"/>
      <c r="M13" s="181"/>
      <c r="N13" s="181"/>
      <c r="O13" s="181"/>
      <c r="P13" s="181"/>
      <c r="Q13" s="181"/>
      <c r="R13" s="181"/>
      <c r="S13" s="182"/>
    </row>
    <row r="14" spans="1:19">
      <c r="D14" s="10"/>
      <c r="N14" s="11"/>
    </row>
    <row r="15" spans="1:19">
      <c r="D15" s="10"/>
      <c r="N15" s="11"/>
    </row>
    <row r="16" spans="1:19">
      <c r="D16" s="10"/>
      <c r="N16" s="9"/>
    </row>
    <row r="17" spans="4:4">
      <c r="D17" s="10"/>
    </row>
  </sheetData>
  <sheetProtection algorithmName="SHA-512" hashValue="sHwSsTYhDPVB+zZ170MkrSgORyQRaCG945oN+A2Q9AR9vbGqYhKNY/T4+cJ+ajgiXOpzoF3fKIWorpgk7zWNeA==" saltValue="ykicf9aL452ksuFUASKhVg==" spinCount="100000" sheet="1" objects="1" scenarios="1"/>
  <dataConsolidate/>
  <mergeCells count="9">
    <mergeCell ref="D13:S13"/>
    <mergeCell ref="A6:C6"/>
    <mergeCell ref="A7:C7"/>
    <mergeCell ref="A8:C8"/>
    <mergeCell ref="C1:S1"/>
    <mergeCell ref="C2:S2"/>
    <mergeCell ref="D5:M5"/>
    <mergeCell ref="D11:S11"/>
    <mergeCell ref="D12:S12"/>
  </mergeCells>
  <conditionalFormatting sqref="S7">
    <cfRule type="dataBar" priority="1">
      <dataBar>
        <cfvo type="min"/>
        <cfvo type="max"/>
        <color rgb="FF63C384"/>
      </dataBar>
      <extLst>
        <ext xmlns:x14="http://schemas.microsoft.com/office/spreadsheetml/2009/9/main" uri="{B025F937-C7B1-47D3-B67F-A62EFF666E3E}">
          <x14:id>{6A512E38-1732-40D9-B1A7-1329283942C7}</x14:id>
        </ext>
      </extLst>
    </cfRule>
  </conditionalFormatting>
  <pageMargins left="0.7" right="0.7" top="0.75" bottom="0.75" header="0.3" footer="0.3"/>
  <pageSetup orientation="portrait" horizontalDpi="360" verticalDpi="360" r:id="rId1"/>
  <ignoredErrors>
    <ignoredError sqref="B13:C13 B12" evalError="1"/>
  </ignoredErrors>
  <drawing r:id="rId2"/>
  <extLst>
    <ext xmlns:x14="http://schemas.microsoft.com/office/spreadsheetml/2009/9/main" uri="{78C0D931-6437-407d-A8EE-F0AAD7539E65}">
      <x14:conditionalFormattings>
        <x14:conditionalFormatting xmlns:xm="http://schemas.microsoft.com/office/excel/2006/main">
          <x14:cfRule type="dataBar" id="{6A512E38-1732-40D9-B1A7-1329283942C7}">
            <x14:dataBar minLength="0" maxLength="100" border="1" negativeBarBorderColorSameAsPositive="0">
              <x14:cfvo type="autoMin"/>
              <x14:cfvo type="autoMax"/>
              <x14:borderColor rgb="FF63C384"/>
              <x14:negativeFillColor rgb="FFFF0000"/>
              <x14:negativeBorderColor rgb="FFFF0000"/>
              <x14:axisColor rgb="FF000000"/>
            </x14:dataBar>
          </x14:cfRule>
          <xm:sqref>S7</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Hoja1!$B$1:$B$10</xm:f>
          </x14:formula1>
          <xm:sqref>D7:M8</xm:sqref>
        </x14:dataValidation>
        <x14:dataValidation type="list" allowBlank="1" showInputMessage="1" showErrorMessage="1" xr:uid="{00000000-0002-0000-0800-000001000000}">
          <x14:formula1>
            <xm:f>Hoja1!$D$1:$D$41</xm:f>
          </x14:formula1>
          <xm:sqref>P7:P9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17"/>
  <sheetViews>
    <sheetView showGridLines="0" zoomScale="90" zoomScaleNormal="90" workbookViewId="0">
      <selection activeCell="R12" sqref="R12"/>
    </sheetView>
  </sheetViews>
  <sheetFormatPr defaultColWidth="11.42578125" defaultRowHeight="14.25"/>
  <cols>
    <col min="1" max="1" width="41.5703125" style="1" customWidth="1"/>
    <col min="2" max="3" width="7.7109375" style="1" customWidth="1"/>
    <col min="4" max="13" width="6.140625" style="4" customWidth="1"/>
    <col min="14" max="14" width="3" style="1" customWidth="1"/>
    <col min="15" max="15" width="8.42578125" style="1" customWidth="1"/>
    <col min="16" max="17" width="6" style="1" customWidth="1"/>
    <col min="18" max="18" width="8" style="1" customWidth="1"/>
    <col min="19" max="19" width="20.42578125" style="1" customWidth="1"/>
    <col min="20" max="16384" width="11.42578125" style="1"/>
  </cols>
  <sheetData>
    <row r="1" spans="1:19" ht="15" customHeight="1">
      <c r="A1" s="12" t="s">
        <v>25</v>
      </c>
      <c r="B1" s="13" t="s">
        <v>26</v>
      </c>
      <c r="C1" s="155" t="s">
        <v>27</v>
      </c>
      <c r="D1" s="156"/>
      <c r="E1" s="156"/>
      <c r="F1" s="156"/>
      <c r="G1" s="156"/>
      <c r="H1" s="156"/>
      <c r="I1" s="156"/>
      <c r="J1" s="156"/>
      <c r="K1" s="156"/>
      <c r="L1" s="156"/>
      <c r="M1" s="156"/>
      <c r="N1" s="156"/>
      <c r="O1" s="156"/>
      <c r="P1" s="156"/>
      <c r="Q1" s="156"/>
      <c r="R1" s="156"/>
      <c r="S1" s="157"/>
    </row>
    <row r="2" spans="1:19" ht="68.25" customHeight="1">
      <c r="A2" s="6" t="s">
        <v>76</v>
      </c>
      <c r="B2" s="75" t="e">
        <f>'Res.'!D48</f>
        <v>#DIV/0!</v>
      </c>
      <c r="C2" s="150"/>
      <c r="D2" s="151"/>
      <c r="E2" s="151"/>
      <c r="F2" s="151"/>
      <c r="G2" s="151"/>
      <c r="H2" s="151"/>
      <c r="I2" s="151"/>
      <c r="J2" s="151"/>
      <c r="K2" s="151"/>
      <c r="L2" s="151"/>
      <c r="M2" s="151"/>
      <c r="N2" s="151"/>
      <c r="O2" s="151"/>
      <c r="P2" s="151"/>
      <c r="Q2" s="151"/>
      <c r="R2" s="151"/>
      <c r="S2" s="152"/>
    </row>
    <row r="5" spans="1:19" ht="18.75" customHeight="1">
      <c r="B5" s="14"/>
      <c r="C5" s="14"/>
      <c r="D5" s="167" t="s">
        <v>29</v>
      </c>
      <c r="E5" s="168"/>
      <c r="F5" s="168"/>
      <c r="G5" s="168"/>
      <c r="H5" s="168"/>
      <c r="I5" s="168"/>
      <c r="J5" s="168"/>
      <c r="K5" s="168"/>
      <c r="L5" s="168"/>
      <c r="M5" s="169"/>
      <c r="O5" s="110"/>
      <c r="P5" s="110"/>
      <c r="Q5" s="110"/>
      <c r="R5" s="110"/>
      <c r="S5" s="110"/>
    </row>
    <row r="6" spans="1:19" ht="15" customHeight="1">
      <c r="A6" s="158" t="s">
        <v>30</v>
      </c>
      <c r="B6" s="159"/>
      <c r="C6" s="160"/>
      <c r="D6" s="7" t="s">
        <v>8</v>
      </c>
      <c r="E6" s="7" t="s">
        <v>9</v>
      </c>
      <c r="F6" s="7" t="s">
        <v>10</v>
      </c>
      <c r="G6" s="7" t="s">
        <v>11</v>
      </c>
      <c r="H6" s="7" t="s">
        <v>12</v>
      </c>
      <c r="I6" s="7" t="s">
        <v>13</v>
      </c>
      <c r="J6" s="7" t="s">
        <v>14</v>
      </c>
      <c r="K6" s="7" t="s">
        <v>15</v>
      </c>
      <c r="L6" s="7" t="s">
        <v>16</v>
      </c>
      <c r="M6" s="7" t="s">
        <v>17</v>
      </c>
      <c r="O6" s="106"/>
      <c r="P6" s="106"/>
      <c r="Q6" s="106"/>
      <c r="R6" s="106"/>
      <c r="S6" s="106"/>
    </row>
    <row r="7" spans="1:19" s="2" customFormat="1" ht="18" customHeight="1">
      <c r="A7" s="161" t="s">
        <v>77</v>
      </c>
      <c r="B7" s="162"/>
      <c r="C7" s="163"/>
      <c r="D7" s="43"/>
      <c r="E7" s="43"/>
      <c r="F7" s="43"/>
      <c r="G7" s="43"/>
      <c r="H7" s="43"/>
      <c r="I7" s="43"/>
      <c r="J7" s="43"/>
      <c r="K7" s="43"/>
      <c r="L7" s="43"/>
      <c r="M7" s="43"/>
      <c r="O7" s="107"/>
      <c r="P7" s="108"/>
      <c r="Q7" s="109"/>
      <c r="R7" s="111"/>
      <c r="S7" s="112"/>
    </row>
    <row r="8" spans="1:19" s="2" customFormat="1" ht="18" customHeight="1">
      <c r="A8" s="161" t="s">
        <v>78</v>
      </c>
      <c r="B8" s="162"/>
      <c r="C8" s="163"/>
      <c r="D8" s="43"/>
      <c r="E8" s="43"/>
      <c r="F8" s="43"/>
      <c r="G8" s="43"/>
      <c r="H8" s="43"/>
      <c r="I8" s="43"/>
      <c r="J8" s="43"/>
      <c r="K8" s="43"/>
      <c r="L8" s="43"/>
      <c r="M8" s="43"/>
      <c r="O8" s="107"/>
      <c r="P8" s="108"/>
      <c r="Q8" s="109"/>
      <c r="R8" s="111"/>
      <c r="S8" s="112"/>
    </row>
    <row r="9" spans="1:19">
      <c r="N9" s="2"/>
    </row>
    <row r="11" spans="1:19" ht="15" customHeight="1">
      <c r="A11" s="3" t="s">
        <v>30</v>
      </c>
      <c r="B11" s="8" t="s">
        <v>33</v>
      </c>
      <c r="C11" s="3" t="s">
        <v>26</v>
      </c>
      <c r="D11" s="187" t="s">
        <v>27</v>
      </c>
      <c r="E11" s="188"/>
      <c r="F11" s="188"/>
      <c r="G11" s="188"/>
      <c r="H11" s="188"/>
      <c r="I11" s="188"/>
      <c r="J11" s="188"/>
      <c r="K11" s="188"/>
      <c r="L11" s="188"/>
      <c r="M11" s="188"/>
      <c r="N11" s="188"/>
      <c r="O11" s="188"/>
      <c r="P11" s="188"/>
      <c r="Q11" s="188"/>
      <c r="R11" s="188"/>
      <c r="S11" s="188"/>
    </row>
    <row r="12" spans="1:19" ht="66.75" customHeight="1">
      <c r="A12" s="6" t="str">
        <f>A7</f>
        <v>36. Programas y servicios</v>
      </c>
      <c r="B12" s="76" t="e">
        <f>AVERAGE(D7:M7)</f>
        <v>#DIV/0!</v>
      </c>
      <c r="C12" s="75" t="e">
        <f>B12/SUM($B$12:$B$13)</f>
        <v>#DIV/0!</v>
      </c>
      <c r="D12" s="150"/>
      <c r="E12" s="151"/>
      <c r="F12" s="151"/>
      <c r="G12" s="151"/>
      <c r="H12" s="151"/>
      <c r="I12" s="151"/>
      <c r="J12" s="151"/>
      <c r="K12" s="151"/>
      <c r="L12" s="151"/>
      <c r="M12" s="151"/>
      <c r="N12" s="151"/>
      <c r="O12" s="151"/>
      <c r="P12" s="151"/>
      <c r="Q12" s="151"/>
      <c r="R12" s="151"/>
      <c r="S12" s="152"/>
    </row>
    <row r="13" spans="1:19" ht="66.75" customHeight="1">
      <c r="A13" s="6" t="str">
        <f>A8</f>
        <v>37. Participación y seguimiento</v>
      </c>
      <c r="B13" s="76" t="e">
        <f>AVERAGE(D8:M8)</f>
        <v>#DIV/0!</v>
      </c>
      <c r="C13" s="75" t="e">
        <f>B13/SUM($B$12:$B$13)</f>
        <v>#DIV/0!</v>
      </c>
      <c r="D13" s="150"/>
      <c r="E13" s="151"/>
      <c r="F13" s="151"/>
      <c r="G13" s="151"/>
      <c r="H13" s="151"/>
      <c r="I13" s="151"/>
      <c r="J13" s="151"/>
      <c r="K13" s="151"/>
      <c r="L13" s="151"/>
      <c r="M13" s="151"/>
      <c r="N13" s="151"/>
      <c r="O13" s="151"/>
      <c r="P13" s="151"/>
      <c r="Q13" s="151"/>
      <c r="R13" s="151"/>
      <c r="S13" s="152"/>
    </row>
    <row r="14" spans="1:19">
      <c r="D14" s="10"/>
      <c r="N14" s="11"/>
    </row>
    <row r="15" spans="1:19">
      <c r="D15" s="10"/>
      <c r="N15" s="11"/>
    </row>
    <row r="16" spans="1:19">
      <c r="D16" s="10"/>
      <c r="N16" s="9"/>
    </row>
    <row r="17" spans="4:4">
      <c r="D17" s="10"/>
    </row>
  </sheetData>
  <sheetProtection algorithmName="SHA-512" hashValue="I+Yv8I4hKpeSI7K2Ggd8h/IuFfDiIaUzbpKGrHpYCgLOV6TrauYeplTJH8EUPtNVN221Xu0Y+XWgS69PvmAFgw==" saltValue="ZiQIA6Xj3KMgf6KD4lAUpw==" spinCount="100000" sheet="1" objects="1" scenarios="1"/>
  <dataConsolidate/>
  <mergeCells count="9">
    <mergeCell ref="C1:S1"/>
    <mergeCell ref="A6:C6"/>
    <mergeCell ref="A7:C7"/>
    <mergeCell ref="D13:S13"/>
    <mergeCell ref="D12:S12"/>
    <mergeCell ref="D11:S11"/>
    <mergeCell ref="A8:C8"/>
    <mergeCell ref="C2:S2"/>
    <mergeCell ref="D5:M5"/>
  </mergeCells>
  <conditionalFormatting sqref="S7">
    <cfRule type="dataBar" priority="1">
      <dataBar>
        <cfvo type="min"/>
        <cfvo type="max"/>
        <color rgb="FF63C384"/>
      </dataBar>
      <extLst>
        <ext xmlns:x14="http://schemas.microsoft.com/office/spreadsheetml/2009/9/main" uri="{B025F937-C7B1-47D3-B67F-A62EFF666E3E}">
          <x14:id>{FB9948D6-4F77-4B7E-A193-2C98B95686A0}</x14:id>
        </ext>
      </extLst>
    </cfRule>
  </conditionalFormatting>
  <pageMargins left="0.7" right="0.7" top="0.75" bottom="0.75" header="0.3" footer="0.3"/>
  <pageSetup orientation="portrait" horizontalDpi="360" verticalDpi="360" r:id="rId1"/>
  <ignoredErrors>
    <ignoredError sqref="B12:C13" evalError="1"/>
  </ignoredErrors>
  <drawing r:id="rId2"/>
  <extLst>
    <ext xmlns:x14="http://schemas.microsoft.com/office/spreadsheetml/2009/9/main" uri="{78C0D931-6437-407d-A8EE-F0AAD7539E65}">
      <x14:conditionalFormattings>
        <x14:conditionalFormatting xmlns:xm="http://schemas.microsoft.com/office/excel/2006/main">
          <x14:cfRule type="dataBar" id="{FB9948D6-4F77-4B7E-A193-2C98B95686A0}">
            <x14:dataBar minLength="0" maxLength="100" border="1" negativeBarBorderColorSameAsPositive="0">
              <x14:cfvo type="autoMin"/>
              <x14:cfvo type="autoMax"/>
              <x14:borderColor rgb="FF63C384"/>
              <x14:negativeFillColor rgb="FFFF0000"/>
              <x14:negativeBorderColor rgb="FFFF0000"/>
              <x14:axisColor rgb="FF000000"/>
            </x14:dataBar>
          </x14:cfRule>
          <xm:sqref>S7</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0000000}">
          <x14:formula1>
            <xm:f>Hoja1!$B$1:$B$10</xm:f>
          </x14:formula1>
          <xm:sqref>D7:M8</xm:sqref>
        </x14:dataValidation>
        <x14:dataValidation type="list" allowBlank="1" showInputMessage="1" showErrorMessage="1" xr:uid="{00000000-0002-0000-0900-000001000000}">
          <x14:formula1>
            <xm:f>Hoja1!$D$1:$D$41</xm:f>
          </x14:formula1>
          <xm:sqref>P7:P9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17"/>
  <sheetViews>
    <sheetView showGridLines="0" zoomScale="85" zoomScaleNormal="85" workbookViewId="0">
      <selection activeCell="R12" sqref="R12"/>
    </sheetView>
  </sheetViews>
  <sheetFormatPr defaultColWidth="11.42578125" defaultRowHeight="14.25"/>
  <cols>
    <col min="1" max="1" width="37.140625" style="1" bestFit="1" customWidth="1"/>
    <col min="2" max="3" width="7.7109375" style="1" customWidth="1"/>
    <col min="4" max="13" width="6.140625" style="4" customWidth="1"/>
    <col min="14" max="14" width="3" style="1" customWidth="1"/>
    <col min="15" max="15" width="8.42578125" style="1" customWidth="1"/>
    <col min="16" max="17" width="6" style="1" customWidth="1"/>
    <col min="18" max="18" width="8" style="1" customWidth="1"/>
    <col min="19" max="19" width="20.42578125" style="1" customWidth="1"/>
    <col min="20" max="16384" width="11.42578125" style="1"/>
  </cols>
  <sheetData>
    <row r="1" spans="1:19" ht="15" customHeight="1">
      <c r="A1" s="3" t="s">
        <v>25</v>
      </c>
      <c r="B1" s="13" t="s">
        <v>26</v>
      </c>
      <c r="C1" s="155" t="s">
        <v>27</v>
      </c>
      <c r="D1" s="156"/>
      <c r="E1" s="156"/>
      <c r="F1" s="156"/>
      <c r="G1" s="156"/>
      <c r="H1" s="156"/>
      <c r="I1" s="156"/>
      <c r="J1" s="156"/>
      <c r="K1" s="156"/>
      <c r="L1" s="156"/>
      <c r="M1" s="156"/>
      <c r="N1" s="156"/>
      <c r="O1" s="156"/>
      <c r="P1" s="156"/>
      <c r="Q1" s="156"/>
      <c r="R1" s="156"/>
      <c r="S1" s="157"/>
    </row>
    <row r="2" spans="1:19" ht="68.25" customHeight="1">
      <c r="A2" s="6" t="s">
        <v>79</v>
      </c>
      <c r="B2" s="75" t="e">
        <f>'Res.'!D51</f>
        <v>#DIV/0!</v>
      </c>
      <c r="C2" s="150"/>
      <c r="D2" s="151"/>
      <c r="E2" s="151"/>
      <c r="F2" s="151"/>
      <c r="G2" s="151"/>
      <c r="H2" s="151"/>
      <c r="I2" s="151"/>
      <c r="J2" s="151"/>
      <c r="K2" s="151"/>
      <c r="L2" s="151"/>
      <c r="M2" s="151"/>
      <c r="N2" s="151"/>
      <c r="O2" s="151"/>
      <c r="P2" s="151"/>
      <c r="Q2" s="151"/>
      <c r="R2" s="151"/>
      <c r="S2" s="152"/>
    </row>
    <row r="5" spans="1:19" ht="18.75" customHeight="1">
      <c r="B5" s="14"/>
      <c r="C5" s="14"/>
      <c r="D5" s="167" t="s">
        <v>29</v>
      </c>
      <c r="E5" s="168"/>
      <c r="F5" s="168"/>
      <c r="G5" s="168"/>
      <c r="H5" s="168"/>
      <c r="I5" s="168"/>
      <c r="J5" s="168"/>
      <c r="K5" s="168"/>
      <c r="L5" s="168"/>
      <c r="M5" s="169"/>
      <c r="O5" s="110"/>
      <c r="P5" s="110"/>
      <c r="Q5" s="110"/>
      <c r="R5" s="110"/>
      <c r="S5" s="110"/>
    </row>
    <row r="6" spans="1:19" ht="15" customHeight="1">
      <c r="A6" s="158" t="s">
        <v>30</v>
      </c>
      <c r="B6" s="159"/>
      <c r="C6" s="160"/>
      <c r="D6" s="7" t="s">
        <v>8</v>
      </c>
      <c r="E6" s="7" t="s">
        <v>9</v>
      </c>
      <c r="F6" s="7" t="s">
        <v>10</v>
      </c>
      <c r="G6" s="7" t="s">
        <v>11</v>
      </c>
      <c r="H6" s="7" t="s">
        <v>12</v>
      </c>
      <c r="I6" s="7" t="s">
        <v>13</v>
      </c>
      <c r="J6" s="7" t="s">
        <v>14</v>
      </c>
      <c r="K6" s="7" t="s">
        <v>15</v>
      </c>
      <c r="L6" s="7" t="s">
        <v>16</v>
      </c>
      <c r="M6" s="7" t="s">
        <v>17</v>
      </c>
      <c r="O6" s="106"/>
      <c r="P6" s="106"/>
      <c r="Q6" s="106"/>
      <c r="R6" s="106"/>
      <c r="S6" s="106"/>
    </row>
    <row r="7" spans="1:19" s="2" customFormat="1" ht="18" customHeight="1">
      <c r="A7" s="161" t="s">
        <v>80</v>
      </c>
      <c r="B7" s="162"/>
      <c r="C7" s="163"/>
      <c r="D7" s="43"/>
      <c r="E7" s="43"/>
      <c r="F7" s="43"/>
      <c r="G7" s="43"/>
      <c r="H7" s="43"/>
      <c r="I7" s="43"/>
      <c r="J7" s="43"/>
      <c r="K7" s="43"/>
      <c r="L7" s="43"/>
      <c r="M7" s="43"/>
      <c r="O7" s="107"/>
      <c r="P7" s="108"/>
      <c r="Q7" s="109"/>
      <c r="R7" s="111"/>
      <c r="S7" s="112"/>
    </row>
    <row r="8" spans="1:19" s="2" customFormat="1" ht="18" customHeight="1">
      <c r="A8" s="161" t="s">
        <v>81</v>
      </c>
      <c r="B8" s="162"/>
      <c r="C8" s="163"/>
      <c r="D8" s="43"/>
      <c r="E8" s="43"/>
      <c r="F8" s="43"/>
      <c r="G8" s="43"/>
      <c r="H8" s="43"/>
      <c r="I8" s="43"/>
      <c r="J8" s="43"/>
      <c r="K8" s="43"/>
      <c r="L8" s="43"/>
      <c r="M8" s="43"/>
      <c r="O8" s="107"/>
      <c r="P8" s="108"/>
      <c r="Q8" s="109"/>
      <c r="R8" s="111"/>
      <c r="S8" s="112"/>
    </row>
    <row r="9" spans="1:19" s="2" customFormat="1" ht="18" customHeight="1">
      <c r="A9" s="161" t="s">
        <v>82</v>
      </c>
      <c r="B9" s="162"/>
      <c r="C9" s="163"/>
      <c r="D9" s="43"/>
      <c r="E9" s="43"/>
      <c r="F9" s="43"/>
      <c r="G9" s="43"/>
      <c r="H9" s="43"/>
      <c r="I9" s="43"/>
      <c r="J9" s="43"/>
      <c r="K9" s="43"/>
      <c r="L9" s="43"/>
      <c r="M9" s="43"/>
      <c r="O9" s="107"/>
      <c r="P9" s="108"/>
      <c r="Q9" s="109"/>
      <c r="R9" s="111"/>
      <c r="S9" s="112"/>
    </row>
    <row r="12" spans="1:19" ht="15" customHeight="1">
      <c r="A12" s="3" t="s">
        <v>30</v>
      </c>
      <c r="B12" s="8" t="s">
        <v>33</v>
      </c>
      <c r="C12" s="3" t="s">
        <v>26</v>
      </c>
      <c r="D12" s="153" t="s">
        <v>27</v>
      </c>
      <c r="E12" s="154"/>
      <c r="F12" s="154"/>
      <c r="G12" s="154"/>
      <c r="H12" s="154"/>
      <c r="I12" s="154"/>
      <c r="J12" s="154"/>
      <c r="K12" s="154"/>
      <c r="L12" s="154"/>
      <c r="M12" s="154"/>
      <c r="N12" s="154"/>
      <c r="O12" s="154"/>
      <c r="P12" s="154"/>
      <c r="Q12" s="154"/>
      <c r="R12" s="154"/>
      <c r="S12" s="154"/>
    </row>
    <row r="13" spans="1:19" ht="66.75" customHeight="1">
      <c r="A13" s="6" t="str">
        <f>A7</f>
        <v>38. Estrategias y recursos de apoyo a profesores</v>
      </c>
      <c r="B13" s="76" t="e">
        <f>AVERAGE(D7:M7)</f>
        <v>#DIV/0!</v>
      </c>
      <c r="C13" s="75" t="e">
        <f>B13/SUM($B$13:$B$15)</f>
        <v>#DIV/0!</v>
      </c>
      <c r="D13" s="150"/>
      <c r="E13" s="151"/>
      <c r="F13" s="151"/>
      <c r="G13" s="151"/>
      <c r="H13" s="151"/>
      <c r="I13" s="151"/>
      <c r="J13" s="151"/>
      <c r="K13" s="151"/>
      <c r="L13" s="151"/>
      <c r="M13" s="151"/>
      <c r="N13" s="151"/>
      <c r="O13" s="151"/>
      <c r="P13" s="151"/>
      <c r="Q13" s="151"/>
      <c r="R13" s="151"/>
      <c r="S13" s="152"/>
    </row>
    <row r="14" spans="1:19" ht="66.75" customHeight="1">
      <c r="A14" s="6" t="str">
        <f t="shared" ref="A14:A15" si="0">A8</f>
        <v>39. Estrategias y recursos de apoyo a estudiantes</v>
      </c>
      <c r="B14" s="76" t="e">
        <f>AVERAGE(D8:M8)</f>
        <v>#DIV/0!</v>
      </c>
      <c r="C14" s="75" t="e">
        <f t="shared" ref="C14:C15" si="1">B14/SUM($B$13:$B$15)</f>
        <v>#DIV/0!</v>
      </c>
      <c r="D14" s="150"/>
      <c r="E14" s="151"/>
      <c r="F14" s="151"/>
      <c r="G14" s="151"/>
      <c r="H14" s="151"/>
      <c r="I14" s="151"/>
      <c r="J14" s="151"/>
      <c r="K14" s="151"/>
      <c r="L14" s="151"/>
      <c r="M14" s="151"/>
      <c r="N14" s="151"/>
      <c r="O14" s="151"/>
      <c r="P14" s="151"/>
      <c r="Q14" s="151"/>
      <c r="R14" s="151"/>
      <c r="S14" s="152"/>
    </row>
    <row r="15" spans="1:19" ht="66.75" customHeight="1">
      <c r="A15" s="6" t="str">
        <f t="shared" si="0"/>
        <v>40. Recursos bibliográficos y de información</v>
      </c>
      <c r="B15" s="76" t="e">
        <f>AVERAGE(D9:M9)</f>
        <v>#DIV/0!</v>
      </c>
      <c r="C15" s="75" t="e">
        <f t="shared" si="1"/>
        <v>#DIV/0!</v>
      </c>
      <c r="D15" s="150"/>
      <c r="E15" s="151"/>
      <c r="F15" s="151"/>
      <c r="G15" s="151"/>
      <c r="H15" s="151"/>
      <c r="I15" s="151"/>
      <c r="J15" s="151"/>
      <c r="K15" s="151"/>
      <c r="L15" s="151"/>
      <c r="M15" s="151"/>
      <c r="N15" s="151"/>
      <c r="O15" s="151"/>
      <c r="P15" s="151"/>
      <c r="Q15" s="151"/>
      <c r="R15" s="151"/>
      <c r="S15" s="152"/>
    </row>
    <row r="16" spans="1:19">
      <c r="D16" s="10"/>
      <c r="N16" s="9"/>
    </row>
    <row r="17" spans="4:4">
      <c r="D17" s="10"/>
    </row>
  </sheetData>
  <sheetProtection algorithmName="SHA-512" hashValue="POesLHN27frERL7AyCCbSqA05pxD9Tu2GhFQvBxB522IPsL7dh5fEEP3DqZR4idaRLYBU3ZCyI1xRmF4jmssmA==" saltValue="C2Fkp+kzu0U5lM/tvI+zEA==" spinCount="100000" sheet="1" objects="1" scenarios="1"/>
  <dataConsolidate/>
  <mergeCells count="11">
    <mergeCell ref="C1:S1"/>
    <mergeCell ref="D13:S13"/>
    <mergeCell ref="D14:S14"/>
    <mergeCell ref="D15:S15"/>
    <mergeCell ref="D12:S12"/>
    <mergeCell ref="A6:C6"/>
    <mergeCell ref="A7:C7"/>
    <mergeCell ref="A8:C8"/>
    <mergeCell ref="A9:C9"/>
    <mergeCell ref="C2:S2"/>
    <mergeCell ref="D5:M5"/>
  </mergeCells>
  <conditionalFormatting sqref="S7">
    <cfRule type="dataBar" priority="1">
      <dataBar>
        <cfvo type="min"/>
        <cfvo type="max"/>
        <color rgb="FF63C384"/>
      </dataBar>
      <extLst>
        <ext xmlns:x14="http://schemas.microsoft.com/office/spreadsheetml/2009/9/main" uri="{B025F937-C7B1-47D3-B67F-A62EFF666E3E}">
          <x14:id>{3C8618CF-FF0E-4AF8-A12C-39ACC62587C3}</x14:id>
        </ext>
      </extLst>
    </cfRule>
  </conditionalFormatting>
  <pageMargins left="0.7" right="0.7" top="0.75" bottom="0.75" header="0.3" footer="0.3"/>
  <pageSetup orientation="portrait" horizontalDpi="360" verticalDpi="360" r:id="rId1"/>
  <ignoredErrors>
    <ignoredError sqref="B2 B13:C15" evalError="1"/>
  </ignoredErrors>
  <drawing r:id="rId2"/>
  <extLst>
    <ext xmlns:x14="http://schemas.microsoft.com/office/spreadsheetml/2009/9/main" uri="{78C0D931-6437-407d-A8EE-F0AAD7539E65}">
      <x14:conditionalFormattings>
        <x14:conditionalFormatting xmlns:xm="http://schemas.microsoft.com/office/excel/2006/main">
          <x14:cfRule type="dataBar" id="{3C8618CF-FF0E-4AF8-A12C-39ACC62587C3}">
            <x14:dataBar minLength="0" maxLength="100" border="1" negativeBarBorderColorSameAsPositive="0">
              <x14:cfvo type="autoMin"/>
              <x14:cfvo type="autoMax"/>
              <x14:borderColor rgb="FF63C384"/>
              <x14:negativeFillColor rgb="FFFF0000"/>
              <x14:negativeBorderColor rgb="FFFF0000"/>
              <x14:axisColor rgb="FF000000"/>
            </x14:dataBar>
          </x14:cfRule>
          <xm:sqref>S7</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0000000}">
          <x14:formula1>
            <xm:f>Hoja1!$B$1:$B$10</xm:f>
          </x14:formula1>
          <xm:sqref>D7:M9</xm:sqref>
        </x14:dataValidation>
        <x14:dataValidation type="list" allowBlank="1" showInputMessage="1" showErrorMessage="1" xr:uid="{00000000-0002-0000-0A00-000001000000}">
          <x14:formula1>
            <xm:f>Hoja1!$D$1:$D$41</xm:f>
          </x14:formula1>
          <xm:sqref>P7:P10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23"/>
  <sheetViews>
    <sheetView showGridLines="0" zoomScale="85" zoomScaleNormal="85" workbookViewId="0">
      <selection activeCell="R12" sqref="R12"/>
    </sheetView>
  </sheetViews>
  <sheetFormatPr defaultColWidth="11.42578125" defaultRowHeight="14.25"/>
  <cols>
    <col min="1" max="1" width="43" style="1" customWidth="1"/>
    <col min="2" max="3" width="7.7109375" style="1" customWidth="1"/>
    <col min="4" max="13" width="6.140625" style="4" customWidth="1"/>
    <col min="14" max="14" width="3" style="1" customWidth="1"/>
    <col min="15" max="15" width="8.42578125" style="1" customWidth="1"/>
    <col min="16" max="17" width="6" style="1" customWidth="1"/>
    <col min="18" max="18" width="8" style="1" customWidth="1"/>
    <col min="19" max="19" width="20.42578125" style="1" customWidth="1"/>
    <col min="20" max="16384" width="11.42578125" style="1"/>
  </cols>
  <sheetData>
    <row r="1" spans="1:19" ht="15" customHeight="1">
      <c r="A1" s="3" t="s">
        <v>25</v>
      </c>
      <c r="B1" s="13" t="s">
        <v>26</v>
      </c>
      <c r="C1" s="155" t="s">
        <v>27</v>
      </c>
      <c r="D1" s="156"/>
      <c r="E1" s="156"/>
      <c r="F1" s="156"/>
      <c r="G1" s="156"/>
      <c r="H1" s="156"/>
      <c r="I1" s="156"/>
      <c r="J1" s="156"/>
      <c r="K1" s="156"/>
      <c r="L1" s="156"/>
      <c r="M1" s="156"/>
      <c r="N1" s="156"/>
      <c r="O1" s="156"/>
      <c r="P1" s="156"/>
      <c r="Q1" s="156"/>
      <c r="R1" s="156"/>
      <c r="S1" s="156"/>
    </row>
    <row r="2" spans="1:19" ht="68.25" customHeight="1">
      <c r="A2" s="18" t="s">
        <v>83</v>
      </c>
      <c r="B2" s="75" t="e">
        <f>'Res.'!D55</f>
        <v>#DIV/0!</v>
      </c>
      <c r="C2" s="150"/>
      <c r="D2" s="151"/>
      <c r="E2" s="151"/>
      <c r="F2" s="151"/>
      <c r="G2" s="151"/>
      <c r="H2" s="151"/>
      <c r="I2" s="151"/>
      <c r="J2" s="151"/>
      <c r="K2" s="151"/>
      <c r="L2" s="151"/>
      <c r="M2" s="151"/>
      <c r="N2" s="151"/>
      <c r="O2" s="151"/>
      <c r="P2" s="151"/>
      <c r="Q2" s="151"/>
      <c r="R2" s="151"/>
      <c r="S2" s="152"/>
    </row>
    <row r="5" spans="1:19" ht="18.75" customHeight="1">
      <c r="B5" s="14"/>
      <c r="C5" s="14"/>
      <c r="D5" s="167" t="s">
        <v>29</v>
      </c>
      <c r="E5" s="168"/>
      <c r="F5" s="168"/>
      <c r="G5" s="168"/>
      <c r="H5" s="168"/>
      <c r="I5" s="168"/>
      <c r="J5" s="168"/>
      <c r="K5" s="168"/>
      <c r="L5" s="168"/>
      <c r="M5" s="169"/>
      <c r="O5" s="110"/>
      <c r="P5" s="110"/>
      <c r="Q5" s="110"/>
      <c r="R5" s="110"/>
      <c r="S5" s="110"/>
    </row>
    <row r="6" spans="1:19" ht="15" customHeight="1">
      <c r="A6" s="158" t="s">
        <v>30</v>
      </c>
      <c r="B6" s="159"/>
      <c r="C6" s="160"/>
      <c r="D6" s="7" t="s">
        <v>8</v>
      </c>
      <c r="E6" s="7" t="s">
        <v>9</v>
      </c>
      <c r="F6" s="7" t="s">
        <v>10</v>
      </c>
      <c r="G6" s="7" t="s">
        <v>11</v>
      </c>
      <c r="H6" s="7" t="s">
        <v>12</v>
      </c>
      <c r="I6" s="7" t="s">
        <v>13</v>
      </c>
      <c r="J6" s="7" t="s">
        <v>14</v>
      </c>
      <c r="K6" s="7" t="s">
        <v>15</v>
      </c>
      <c r="L6" s="7" t="s">
        <v>16</v>
      </c>
      <c r="M6" s="7" t="s">
        <v>17</v>
      </c>
      <c r="O6" s="106"/>
      <c r="P6" s="106"/>
      <c r="Q6" s="106"/>
      <c r="R6" s="106"/>
      <c r="S6" s="106"/>
    </row>
    <row r="7" spans="1:19" s="2" customFormat="1" ht="18" customHeight="1">
      <c r="A7" s="161" t="s">
        <v>84</v>
      </c>
      <c r="B7" s="162"/>
      <c r="C7" s="163"/>
      <c r="D7" s="43"/>
      <c r="E7" s="43"/>
      <c r="F7" s="43"/>
      <c r="G7" s="43"/>
      <c r="H7" s="43"/>
      <c r="I7" s="43"/>
      <c r="J7" s="43"/>
      <c r="K7" s="43"/>
      <c r="L7" s="43"/>
      <c r="M7" s="43"/>
      <c r="O7" s="107"/>
      <c r="P7" s="108"/>
      <c r="Q7" s="109"/>
      <c r="R7" s="111"/>
      <c r="S7" s="112"/>
    </row>
    <row r="8" spans="1:19" s="2" customFormat="1" ht="18" customHeight="1">
      <c r="A8" s="161" t="s">
        <v>85</v>
      </c>
      <c r="B8" s="162"/>
      <c r="C8" s="163"/>
      <c r="D8" s="43"/>
      <c r="E8" s="43"/>
      <c r="F8" s="43"/>
      <c r="G8" s="43"/>
      <c r="H8" s="43"/>
      <c r="I8" s="43"/>
      <c r="J8" s="43"/>
      <c r="K8" s="43"/>
      <c r="L8" s="43"/>
      <c r="M8" s="43"/>
      <c r="O8" s="107"/>
      <c r="P8" s="108"/>
      <c r="Q8" s="109"/>
      <c r="R8" s="111"/>
      <c r="S8" s="112"/>
    </row>
    <row r="9" spans="1:19" s="2" customFormat="1" ht="18" customHeight="1">
      <c r="A9" s="161" t="s">
        <v>86</v>
      </c>
      <c r="B9" s="162"/>
      <c r="C9" s="163"/>
      <c r="D9" s="43"/>
      <c r="E9" s="43"/>
      <c r="F9" s="43"/>
      <c r="G9" s="43"/>
      <c r="H9" s="43"/>
      <c r="I9" s="43"/>
      <c r="J9" s="43"/>
      <c r="K9" s="43"/>
      <c r="L9" s="43"/>
      <c r="M9" s="43"/>
      <c r="O9" s="107"/>
      <c r="P9" s="108"/>
      <c r="Q9" s="109"/>
      <c r="R9" s="111"/>
      <c r="S9" s="112"/>
    </row>
    <row r="10" spans="1:19" s="2" customFormat="1" ht="18" customHeight="1">
      <c r="A10" s="161" t="s">
        <v>87</v>
      </c>
      <c r="B10" s="162"/>
      <c r="C10" s="163"/>
      <c r="D10" s="43"/>
      <c r="E10" s="43"/>
      <c r="F10" s="43"/>
      <c r="G10" s="43"/>
      <c r="H10" s="43"/>
      <c r="I10" s="43"/>
      <c r="J10" s="43"/>
      <c r="K10" s="43"/>
      <c r="L10" s="43"/>
      <c r="M10" s="43"/>
      <c r="O10" s="107"/>
      <c r="P10" s="108"/>
      <c r="Q10" s="109"/>
      <c r="R10" s="111"/>
      <c r="S10" s="112"/>
    </row>
    <row r="11" spans="1:19" s="2" customFormat="1" ht="18" customHeight="1">
      <c r="A11" s="161" t="s">
        <v>88</v>
      </c>
      <c r="B11" s="162"/>
      <c r="C11" s="163"/>
      <c r="D11" s="43"/>
      <c r="E11" s="43"/>
      <c r="F11" s="43"/>
      <c r="G11" s="43"/>
      <c r="H11" s="43"/>
      <c r="I11" s="43"/>
      <c r="J11" s="43"/>
      <c r="K11" s="43"/>
      <c r="L11" s="43"/>
      <c r="M11" s="43"/>
      <c r="O11" s="107"/>
      <c r="P11" s="108"/>
      <c r="Q11" s="109"/>
      <c r="R11" s="111"/>
      <c r="S11" s="112"/>
    </row>
    <row r="12" spans="1:19" s="2" customFormat="1" ht="18" customHeight="1">
      <c r="A12" s="161" t="s">
        <v>89</v>
      </c>
      <c r="B12" s="162"/>
      <c r="C12" s="163"/>
      <c r="D12" s="43"/>
      <c r="E12" s="43"/>
      <c r="F12" s="43"/>
      <c r="G12" s="43"/>
      <c r="H12" s="43"/>
      <c r="I12" s="43"/>
      <c r="J12" s="43"/>
      <c r="K12" s="43"/>
      <c r="L12" s="43"/>
      <c r="M12" s="43"/>
      <c r="O12" s="107"/>
      <c r="P12" s="108"/>
      <c r="Q12" s="109"/>
      <c r="R12" s="111"/>
      <c r="S12" s="112"/>
    </row>
    <row r="15" spans="1:19" ht="15" customHeight="1">
      <c r="A15" s="3" t="s">
        <v>30</v>
      </c>
      <c r="B15" s="8" t="s">
        <v>33</v>
      </c>
      <c r="C15" s="3" t="s">
        <v>26</v>
      </c>
      <c r="D15" s="158" t="s">
        <v>27</v>
      </c>
      <c r="E15" s="159"/>
      <c r="F15" s="159"/>
      <c r="G15" s="159"/>
      <c r="H15" s="159"/>
      <c r="I15" s="159"/>
      <c r="J15" s="159"/>
      <c r="K15" s="159"/>
      <c r="L15" s="159"/>
      <c r="M15" s="159"/>
      <c r="N15" s="159"/>
      <c r="O15" s="159"/>
      <c r="P15" s="159"/>
      <c r="Q15" s="159"/>
      <c r="R15" s="159"/>
      <c r="S15" s="160"/>
    </row>
    <row r="16" spans="1:19" ht="66.75" customHeight="1">
      <c r="A16" s="6" t="str">
        <f>A7</f>
        <v>41. Organización y administración</v>
      </c>
      <c r="B16" s="76" t="e">
        <f>AVERAGE(D7:M7)</f>
        <v>#DIV/0!</v>
      </c>
      <c r="C16" s="75" t="e">
        <f>B16/SUM($B$16:$B$21)</f>
        <v>#DIV/0!</v>
      </c>
      <c r="D16" s="150"/>
      <c r="E16" s="151"/>
      <c r="F16" s="151"/>
      <c r="G16" s="151"/>
      <c r="H16" s="151"/>
      <c r="I16" s="151"/>
      <c r="J16" s="151"/>
      <c r="K16" s="151"/>
      <c r="L16" s="151"/>
      <c r="M16" s="151"/>
      <c r="N16" s="151"/>
      <c r="O16" s="151"/>
      <c r="P16" s="151"/>
      <c r="Q16" s="151"/>
      <c r="R16" s="151"/>
      <c r="S16" s="152"/>
    </row>
    <row r="17" spans="1:19" ht="66.75" customHeight="1">
      <c r="A17" s="6" t="str">
        <f t="shared" ref="A17:A21" si="0">A8</f>
        <v>42. Dirección y gestión</v>
      </c>
      <c r="B17" s="76" t="e">
        <f t="shared" ref="B17:B21" si="1">AVERAGE(D8:M8)</f>
        <v>#DIV/0!</v>
      </c>
      <c r="C17" s="75" t="e">
        <f t="shared" ref="C17:C21" si="2">B17/SUM($B$16:$B$21)</f>
        <v>#DIV/0!</v>
      </c>
      <c r="D17" s="150"/>
      <c r="E17" s="151"/>
      <c r="F17" s="151"/>
      <c r="G17" s="151"/>
      <c r="H17" s="151"/>
      <c r="I17" s="151"/>
      <c r="J17" s="151"/>
      <c r="K17" s="151"/>
      <c r="L17" s="151"/>
      <c r="M17" s="151"/>
      <c r="N17" s="151"/>
      <c r="O17" s="151"/>
      <c r="P17" s="151"/>
      <c r="Q17" s="151"/>
      <c r="R17" s="151"/>
      <c r="S17" s="152"/>
    </row>
    <row r="18" spans="1:19" ht="66.75" customHeight="1">
      <c r="A18" s="6" t="str">
        <f t="shared" si="0"/>
        <v>43. Sistemas de comunicación e información</v>
      </c>
      <c r="B18" s="76" t="e">
        <f t="shared" si="1"/>
        <v>#DIV/0!</v>
      </c>
      <c r="C18" s="75" t="e">
        <f t="shared" si="2"/>
        <v>#DIV/0!</v>
      </c>
      <c r="D18" s="83"/>
      <c r="E18" s="84"/>
      <c r="F18" s="84"/>
      <c r="G18" s="84"/>
      <c r="H18" s="84"/>
      <c r="I18" s="84"/>
      <c r="J18" s="84"/>
      <c r="K18" s="84"/>
      <c r="L18" s="84"/>
      <c r="M18" s="84"/>
      <c r="N18" s="84"/>
      <c r="O18" s="84"/>
      <c r="P18" s="84"/>
      <c r="Q18" s="84"/>
      <c r="R18" s="84"/>
      <c r="S18" s="85"/>
    </row>
    <row r="19" spans="1:19" ht="66.75" customHeight="1">
      <c r="A19" s="6" t="str">
        <f t="shared" si="0"/>
        <v>44. Estudiantes y capacidad institucional</v>
      </c>
      <c r="B19" s="76" t="e">
        <f t="shared" si="1"/>
        <v>#DIV/0!</v>
      </c>
      <c r="C19" s="75" t="e">
        <f t="shared" si="2"/>
        <v>#DIV/0!</v>
      </c>
      <c r="D19" s="83"/>
      <c r="E19" s="84"/>
      <c r="F19" s="84"/>
      <c r="G19" s="84"/>
      <c r="H19" s="84"/>
      <c r="I19" s="84"/>
      <c r="J19" s="84"/>
      <c r="K19" s="84"/>
      <c r="L19" s="84"/>
      <c r="M19" s="84"/>
      <c r="N19" s="84"/>
      <c r="O19" s="84"/>
      <c r="P19" s="84"/>
      <c r="Q19" s="84"/>
      <c r="R19" s="84"/>
      <c r="S19" s="85"/>
    </row>
    <row r="20" spans="1:19" ht="66.75" customHeight="1">
      <c r="A20" s="6" t="str">
        <f t="shared" si="0"/>
        <v>45. Financiación del programa académico</v>
      </c>
      <c r="B20" s="76" t="e">
        <f t="shared" si="1"/>
        <v>#DIV/0!</v>
      </c>
      <c r="C20" s="75" t="e">
        <f t="shared" si="2"/>
        <v>#DIV/0!</v>
      </c>
      <c r="D20" s="83"/>
      <c r="E20" s="84"/>
      <c r="F20" s="84"/>
      <c r="G20" s="84"/>
      <c r="H20" s="84"/>
      <c r="I20" s="84"/>
      <c r="J20" s="84"/>
      <c r="K20" s="84"/>
      <c r="L20" s="84"/>
      <c r="M20" s="84"/>
      <c r="N20" s="84"/>
      <c r="O20" s="84"/>
      <c r="P20" s="84"/>
      <c r="Q20" s="84"/>
      <c r="R20" s="84"/>
      <c r="S20" s="85"/>
    </row>
    <row r="21" spans="1:19" ht="66.75" customHeight="1">
      <c r="A21" s="6" t="str">
        <f t="shared" si="0"/>
        <v>46. Aseguramiento de la alta calidad y la mejora continua</v>
      </c>
      <c r="B21" s="76" t="e">
        <f t="shared" si="1"/>
        <v>#DIV/0!</v>
      </c>
      <c r="C21" s="75" t="e">
        <f t="shared" si="2"/>
        <v>#DIV/0!</v>
      </c>
      <c r="D21" s="150"/>
      <c r="E21" s="151"/>
      <c r="F21" s="151"/>
      <c r="G21" s="151"/>
      <c r="H21" s="151"/>
      <c r="I21" s="151"/>
      <c r="J21" s="151"/>
      <c r="K21" s="151"/>
      <c r="L21" s="151"/>
      <c r="M21" s="151"/>
      <c r="N21" s="151"/>
      <c r="O21" s="151"/>
      <c r="P21" s="151"/>
      <c r="Q21" s="151"/>
      <c r="R21" s="151"/>
      <c r="S21" s="152"/>
    </row>
    <row r="22" spans="1:19">
      <c r="D22" s="10"/>
      <c r="N22" s="9"/>
    </row>
    <row r="23" spans="1:19">
      <c r="D23" s="10"/>
    </row>
  </sheetData>
  <sheetProtection algorithmName="SHA-512" hashValue="/0KU9pBab3qW/FQ06zQySJF1Vu3nR/o+fK74OkgzVbMr7xYOT7tvsMysCI6UPpnwq6BM0Ag4hSWbxsSgUbJxOA==" saltValue="MaPwXp2sCZ58ZTq1Tue7qQ==" spinCount="100000" sheet="1" objects="1" scenarios="1"/>
  <dataConsolidate/>
  <mergeCells count="14">
    <mergeCell ref="D17:S17"/>
    <mergeCell ref="D21:S21"/>
    <mergeCell ref="D16:S16"/>
    <mergeCell ref="D15:S15"/>
    <mergeCell ref="C2:S2"/>
    <mergeCell ref="C1:S1"/>
    <mergeCell ref="A6:C6"/>
    <mergeCell ref="A7:C7"/>
    <mergeCell ref="A12:C12"/>
    <mergeCell ref="D5:M5"/>
    <mergeCell ref="A8:C8"/>
    <mergeCell ref="A9:C9"/>
    <mergeCell ref="A10:C10"/>
    <mergeCell ref="A11:C11"/>
  </mergeCells>
  <conditionalFormatting sqref="S7:S11">
    <cfRule type="dataBar" priority="1">
      <dataBar>
        <cfvo type="min"/>
        <cfvo type="max"/>
        <color rgb="FF63C384"/>
      </dataBar>
      <extLst>
        <ext xmlns:x14="http://schemas.microsoft.com/office/spreadsheetml/2009/9/main" uri="{B025F937-C7B1-47D3-B67F-A62EFF666E3E}">
          <x14:id>{B2E963B0-85A4-4F3C-8103-A3D2CEC4D833}</x14:id>
        </ext>
      </extLst>
    </cfRule>
  </conditionalFormatting>
  <pageMargins left="0.7" right="0.7" top="0.75" bottom="0.75" header="0.3" footer="0.3"/>
  <pageSetup orientation="portrait" horizontalDpi="360" verticalDpi="360" r:id="rId1"/>
  <ignoredErrors>
    <ignoredError sqref="B16:C16" evalError="1"/>
  </ignoredErrors>
  <drawing r:id="rId2"/>
  <extLst>
    <ext xmlns:x14="http://schemas.microsoft.com/office/spreadsheetml/2009/9/main" uri="{78C0D931-6437-407d-A8EE-F0AAD7539E65}">
      <x14:conditionalFormattings>
        <x14:conditionalFormatting xmlns:xm="http://schemas.microsoft.com/office/excel/2006/main">
          <x14:cfRule type="dataBar" id="{B2E963B0-85A4-4F3C-8103-A3D2CEC4D833}">
            <x14:dataBar minLength="0" maxLength="100" border="1" negativeBarBorderColorSameAsPositive="0">
              <x14:cfvo type="autoMin"/>
              <x14:cfvo type="autoMax"/>
              <x14:borderColor rgb="FF63C384"/>
              <x14:negativeFillColor rgb="FFFF0000"/>
              <x14:negativeBorderColor rgb="FFFF0000"/>
              <x14:axisColor rgb="FF000000"/>
            </x14:dataBar>
          </x14:cfRule>
          <xm:sqref>S7:S11</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00000000-0002-0000-0B00-000000000000}">
          <x14:formula1>
            <xm:f>Hoja1!$B$1:$B$10</xm:f>
          </x14:formula1>
          <xm:sqref>D7:M12</xm:sqref>
        </x14:dataValidation>
        <x14:dataValidation type="list" allowBlank="1" showInputMessage="1" showErrorMessage="1" xr:uid="{00000000-0002-0000-0B00-000001000000}">
          <x14:formula1>
            <xm:f>Hoja1!$D$1:$D$41</xm:f>
          </x14:formula1>
          <xm:sqref>P7:P13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15"/>
  <sheetViews>
    <sheetView showGridLines="0" zoomScale="85" zoomScaleNormal="85" workbookViewId="0">
      <selection activeCell="R12" sqref="R12"/>
    </sheetView>
  </sheetViews>
  <sheetFormatPr defaultColWidth="11.42578125" defaultRowHeight="14.25"/>
  <cols>
    <col min="1" max="1" width="37.140625" style="1" bestFit="1" customWidth="1"/>
    <col min="2" max="3" width="7.7109375" style="1" customWidth="1"/>
    <col min="4" max="13" width="6.140625" style="4" customWidth="1"/>
    <col min="14" max="14" width="3" style="1" customWidth="1"/>
    <col min="15" max="15" width="8.42578125" style="1" customWidth="1"/>
    <col min="16" max="17" width="6" style="1" customWidth="1"/>
    <col min="18" max="18" width="8" style="1" customWidth="1"/>
    <col min="19" max="19" width="20.42578125" style="1" customWidth="1"/>
    <col min="20" max="16384" width="11.42578125" style="1"/>
  </cols>
  <sheetData>
    <row r="1" spans="1:19" ht="15" customHeight="1">
      <c r="A1" s="3" t="s">
        <v>25</v>
      </c>
      <c r="B1" s="13" t="s">
        <v>26</v>
      </c>
      <c r="C1" s="155" t="s">
        <v>27</v>
      </c>
      <c r="D1" s="156"/>
      <c r="E1" s="156"/>
      <c r="F1" s="156"/>
      <c r="G1" s="156"/>
      <c r="H1" s="156"/>
      <c r="I1" s="156"/>
      <c r="J1" s="156"/>
      <c r="K1" s="156"/>
      <c r="L1" s="156"/>
      <c r="M1" s="156"/>
      <c r="N1" s="156"/>
      <c r="O1" s="156"/>
      <c r="P1" s="156"/>
      <c r="Q1" s="156"/>
      <c r="R1" s="156"/>
      <c r="S1" s="157"/>
    </row>
    <row r="2" spans="1:19" ht="68.25" customHeight="1">
      <c r="A2" s="6" t="s">
        <v>90</v>
      </c>
      <c r="B2" s="75" t="e">
        <f>'Res.'!D62</f>
        <v>#DIV/0!</v>
      </c>
      <c r="C2" s="150"/>
      <c r="D2" s="151"/>
      <c r="E2" s="151"/>
      <c r="F2" s="151"/>
      <c r="G2" s="151"/>
      <c r="H2" s="151"/>
      <c r="I2" s="151"/>
      <c r="J2" s="151"/>
      <c r="K2" s="151"/>
      <c r="L2" s="151"/>
      <c r="M2" s="151"/>
      <c r="N2" s="151"/>
      <c r="O2" s="151"/>
      <c r="P2" s="151"/>
      <c r="Q2" s="151"/>
      <c r="R2" s="151"/>
      <c r="S2" s="152"/>
    </row>
    <row r="5" spans="1:19" ht="18.75" customHeight="1">
      <c r="B5" s="14"/>
      <c r="C5" s="14"/>
      <c r="D5" s="167" t="s">
        <v>29</v>
      </c>
      <c r="E5" s="168"/>
      <c r="F5" s="168"/>
      <c r="G5" s="168"/>
      <c r="H5" s="168"/>
      <c r="I5" s="168"/>
      <c r="J5" s="168"/>
      <c r="K5" s="168"/>
      <c r="L5" s="168"/>
      <c r="M5" s="169"/>
      <c r="O5" s="110"/>
      <c r="P5" s="110"/>
      <c r="Q5" s="110"/>
      <c r="R5" s="110"/>
      <c r="S5" s="110"/>
    </row>
    <row r="6" spans="1:19" ht="15" customHeight="1">
      <c r="A6" s="158" t="s">
        <v>30</v>
      </c>
      <c r="B6" s="159"/>
      <c r="C6" s="160"/>
      <c r="D6" s="7" t="s">
        <v>8</v>
      </c>
      <c r="E6" s="7" t="s">
        <v>9</v>
      </c>
      <c r="F6" s="7" t="s">
        <v>10</v>
      </c>
      <c r="G6" s="7" t="s">
        <v>11</v>
      </c>
      <c r="H6" s="7" t="s">
        <v>12</v>
      </c>
      <c r="I6" s="7" t="s">
        <v>13</v>
      </c>
      <c r="J6" s="7" t="s">
        <v>14</v>
      </c>
      <c r="K6" s="7" t="s">
        <v>15</v>
      </c>
      <c r="L6" s="7" t="s">
        <v>16</v>
      </c>
      <c r="M6" s="7" t="s">
        <v>17</v>
      </c>
      <c r="O6" s="106"/>
      <c r="P6" s="106"/>
      <c r="Q6" s="106"/>
      <c r="R6" s="106"/>
      <c r="S6" s="106"/>
    </row>
    <row r="7" spans="1:19" s="2" customFormat="1" ht="18" customHeight="1">
      <c r="A7" s="161" t="s">
        <v>91</v>
      </c>
      <c r="B7" s="162"/>
      <c r="C7" s="163"/>
      <c r="D7" s="43"/>
      <c r="E7" s="43"/>
      <c r="F7" s="43"/>
      <c r="G7" s="43"/>
      <c r="H7" s="43"/>
      <c r="I7" s="43"/>
      <c r="J7" s="43"/>
      <c r="K7" s="43"/>
      <c r="L7" s="43"/>
      <c r="M7" s="43"/>
      <c r="O7" s="107"/>
      <c r="P7" s="108"/>
      <c r="Q7" s="109"/>
      <c r="R7" s="111"/>
      <c r="S7" s="112"/>
    </row>
    <row r="8" spans="1:19" s="2" customFormat="1" ht="18" customHeight="1">
      <c r="A8" s="161" t="s">
        <v>92</v>
      </c>
      <c r="B8" s="162"/>
      <c r="C8" s="163"/>
      <c r="D8" s="43"/>
      <c r="E8" s="43"/>
      <c r="F8" s="43"/>
      <c r="G8" s="43"/>
      <c r="H8" s="43"/>
      <c r="I8" s="43"/>
      <c r="J8" s="43"/>
      <c r="K8" s="43"/>
      <c r="L8" s="43"/>
      <c r="M8" s="43"/>
      <c r="O8" s="107"/>
      <c r="P8" s="108"/>
      <c r="Q8" s="109"/>
      <c r="R8" s="111"/>
      <c r="S8" s="112"/>
    </row>
    <row r="11" spans="1:19" ht="15" customHeight="1">
      <c r="A11" s="3" t="s">
        <v>30</v>
      </c>
      <c r="B11" s="8" t="s">
        <v>33</v>
      </c>
      <c r="C11" s="3" t="s">
        <v>26</v>
      </c>
      <c r="D11" s="153" t="s">
        <v>27</v>
      </c>
      <c r="E11" s="154"/>
      <c r="F11" s="154"/>
      <c r="G11" s="154"/>
      <c r="H11" s="154"/>
      <c r="I11" s="154"/>
      <c r="J11" s="154"/>
      <c r="K11" s="154"/>
      <c r="L11" s="154"/>
      <c r="M11" s="154"/>
      <c r="N11" s="154"/>
      <c r="O11" s="154"/>
      <c r="P11" s="154"/>
      <c r="Q11" s="154"/>
      <c r="R11" s="154"/>
      <c r="S11" s="154"/>
    </row>
    <row r="12" spans="1:19" ht="66.75" customHeight="1">
      <c r="A12" s="6" t="str">
        <f>A7</f>
        <v>47. Recursos de infraestructura física y tecnológica</v>
      </c>
      <c r="B12" s="76" t="e">
        <f>AVERAGE(D7:M7)</f>
        <v>#DIV/0!</v>
      </c>
      <c r="C12" s="75" t="e">
        <f>B12/SUM($B$12:$B$13)</f>
        <v>#DIV/0!</v>
      </c>
      <c r="D12" s="150"/>
      <c r="E12" s="151"/>
      <c r="F12" s="151"/>
      <c r="G12" s="151"/>
      <c r="H12" s="151"/>
      <c r="I12" s="151"/>
      <c r="J12" s="151"/>
      <c r="K12" s="151"/>
      <c r="L12" s="151"/>
      <c r="M12" s="151"/>
      <c r="N12" s="151"/>
      <c r="O12" s="151"/>
      <c r="P12" s="151"/>
      <c r="Q12" s="151"/>
      <c r="R12" s="151"/>
      <c r="S12" s="152"/>
    </row>
    <row r="13" spans="1:19" ht="66.75" customHeight="1">
      <c r="A13" s="6" t="str">
        <f>A8</f>
        <v>48. Recursos informáticos y de comunicación</v>
      </c>
      <c r="B13" s="76" t="e">
        <f>AVERAGE(D8:M8)</f>
        <v>#DIV/0!</v>
      </c>
      <c r="C13" s="75" t="e">
        <f>B13/SUM($B$12:$B$13)</f>
        <v>#DIV/0!</v>
      </c>
      <c r="D13" s="150"/>
      <c r="E13" s="151"/>
      <c r="F13" s="151"/>
      <c r="G13" s="151"/>
      <c r="H13" s="151"/>
      <c r="I13" s="151"/>
      <c r="J13" s="151"/>
      <c r="K13" s="151"/>
      <c r="L13" s="151"/>
      <c r="M13" s="151"/>
      <c r="N13" s="151"/>
      <c r="O13" s="151"/>
      <c r="P13" s="151"/>
      <c r="Q13" s="151"/>
      <c r="R13" s="151"/>
      <c r="S13" s="152"/>
    </row>
    <row r="14" spans="1:19">
      <c r="D14" s="10"/>
      <c r="N14" s="9"/>
    </row>
    <row r="15" spans="1:19" s="4" customFormat="1">
      <c r="A15" s="1"/>
      <c r="B15" s="1"/>
      <c r="C15" s="1"/>
      <c r="D15" s="10"/>
      <c r="N15" s="1"/>
      <c r="O15" s="1"/>
      <c r="P15" s="1"/>
      <c r="Q15" s="1"/>
      <c r="R15" s="1"/>
      <c r="S15" s="1"/>
    </row>
  </sheetData>
  <sheetProtection algorithmName="SHA-512" hashValue="If3IUupIXlS//306pWGYD6A8Nongs3rEev9gORuGupcA+08cTC6UEP1F+CawhStUY9Ai2hhGQ4j1nKVQLTIAOg==" saltValue="O3jk2dfb6P9gwoYIqrIfug==" spinCount="100000" sheet="1" objects="1" scenarios="1"/>
  <dataConsolidate/>
  <mergeCells count="9">
    <mergeCell ref="D11:S11"/>
    <mergeCell ref="D12:S12"/>
    <mergeCell ref="D13:S13"/>
    <mergeCell ref="C1:S1"/>
    <mergeCell ref="C2:S2"/>
    <mergeCell ref="D5:M5"/>
    <mergeCell ref="A6:C6"/>
    <mergeCell ref="A7:C7"/>
    <mergeCell ref="A8:C8"/>
  </mergeCells>
  <conditionalFormatting sqref="S7">
    <cfRule type="dataBar" priority="1">
      <dataBar>
        <cfvo type="min"/>
        <cfvo type="max"/>
        <color rgb="FF63C384"/>
      </dataBar>
      <extLst>
        <ext xmlns:x14="http://schemas.microsoft.com/office/spreadsheetml/2009/9/main" uri="{B025F937-C7B1-47D3-B67F-A62EFF666E3E}">
          <x14:id>{1A5AC67C-F433-4E35-A6FA-7AFB2FEF46FA}</x14:id>
        </ext>
      </extLst>
    </cfRule>
  </conditionalFormatting>
  <pageMargins left="0.7" right="0.7" top="0.75" bottom="0.75" header="0.3" footer="0.3"/>
  <pageSetup orientation="portrait" horizontalDpi="360" verticalDpi="360" r:id="rId1"/>
  <drawing r:id="rId2"/>
  <extLst>
    <ext xmlns:x14="http://schemas.microsoft.com/office/spreadsheetml/2009/9/main" uri="{78C0D931-6437-407d-A8EE-F0AAD7539E65}">
      <x14:conditionalFormattings>
        <x14:conditionalFormatting xmlns:xm="http://schemas.microsoft.com/office/excel/2006/main">
          <x14:cfRule type="dataBar" id="{1A5AC67C-F433-4E35-A6FA-7AFB2FEF46FA}">
            <x14:dataBar minLength="0" maxLength="100" border="1" negativeBarBorderColorSameAsPositive="0">
              <x14:cfvo type="autoMin"/>
              <x14:cfvo type="autoMax"/>
              <x14:borderColor rgb="FF63C384"/>
              <x14:negativeFillColor rgb="FFFF0000"/>
              <x14:negativeBorderColor rgb="FFFF0000"/>
              <x14:axisColor rgb="FF000000"/>
            </x14:dataBar>
          </x14:cfRule>
          <xm:sqref>S7</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00000000-0002-0000-0C00-000000000000}">
          <x14:formula1>
            <xm:f>Hoja1!$B$1:$B$10</xm:f>
          </x14:formula1>
          <xm:sqref>D7:M8</xm:sqref>
        </x14:dataValidation>
        <x14:dataValidation type="list" allowBlank="1" showInputMessage="1" showErrorMessage="1" xr:uid="{00000000-0002-0000-0C00-000001000000}">
          <x14:formula1>
            <xm:f>Hoja1!$D$1:$D$41</xm:f>
          </x14:formula1>
          <xm:sqref>P7:P9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K67"/>
  <sheetViews>
    <sheetView showGridLines="0" zoomScale="90" zoomScaleNormal="90" zoomScaleSheetLayoutView="70" workbookViewId="0">
      <pane ySplit="3" topLeftCell="A22" activePane="bottomLeft" state="frozen"/>
      <selection pane="bottomLeft" activeCell="G45" sqref="G45"/>
      <selection activeCell="R12" sqref="R12"/>
    </sheetView>
  </sheetViews>
  <sheetFormatPr defaultColWidth="11.42578125" defaultRowHeight="14.25"/>
  <cols>
    <col min="1" max="1" width="1" style="73" customWidth="1"/>
    <col min="2" max="2" width="44.5703125" style="46" customWidth="1"/>
    <col min="3" max="3" width="12" style="46" customWidth="1"/>
    <col min="4" max="4" width="10.42578125" style="46" customWidth="1"/>
    <col min="5" max="5" width="1" style="46" customWidth="1"/>
    <col min="6" max="6" width="75.85546875" style="46" customWidth="1"/>
    <col min="7" max="7" width="11.28515625" style="46" customWidth="1"/>
    <col min="8" max="8" width="11" style="132" customWidth="1"/>
    <col min="9" max="9" width="1" style="46" customWidth="1"/>
    <col min="10" max="10" width="11.42578125" style="73"/>
    <col min="11" max="11" width="13.140625" style="73" bestFit="1" customWidth="1"/>
    <col min="12" max="16384" width="11.42578125" style="73"/>
  </cols>
  <sheetData>
    <row r="1" spans="2:9">
      <c r="B1" s="201" t="s">
        <v>93</v>
      </c>
      <c r="C1" s="202"/>
      <c r="D1" s="202"/>
      <c r="E1" s="202"/>
      <c r="F1" s="202"/>
      <c r="G1" s="202"/>
      <c r="H1" s="203"/>
    </row>
    <row r="2" spans="2:9" ht="3.75" customHeight="1">
      <c r="B2" s="47"/>
      <c r="C2" s="48"/>
      <c r="D2" s="49"/>
      <c r="F2" s="50"/>
      <c r="G2" s="51"/>
      <c r="H2" s="52"/>
    </row>
    <row r="3" spans="2:9" s="74" customFormat="1" ht="23.25" customHeight="1">
      <c r="B3" s="53" t="s">
        <v>94</v>
      </c>
      <c r="C3" s="54" t="s">
        <v>95</v>
      </c>
      <c r="D3" s="55" t="s">
        <v>96</v>
      </c>
      <c r="E3" s="56"/>
      <c r="F3" s="57" t="s">
        <v>30</v>
      </c>
      <c r="G3" s="95" t="s">
        <v>97</v>
      </c>
      <c r="H3" s="129" t="s">
        <v>98</v>
      </c>
      <c r="I3" s="56"/>
    </row>
    <row r="4" spans="2:9" ht="6" customHeight="1">
      <c r="B4" s="47"/>
      <c r="C4" s="48"/>
      <c r="D4" s="49"/>
      <c r="F4" s="50"/>
      <c r="G4" s="51"/>
      <c r="H4" s="52"/>
    </row>
    <row r="5" spans="2:9" ht="15" customHeight="1">
      <c r="B5" s="192" t="str">
        <f>'F1'!A2</f>
        <v>F1. PROYECTO EDUCATIVO DEL PROGRAMA E IDENTIDAD INSTITUCIONAL</v>
      </c>
      <c r="C5" s="195" t="e">
        <f>AVERAGE(G5:G6)</f>
        <v>#DIV/0!</v>
      </c>
      <c r="D5" s="189" t="e">
        <f>C5/C65</f>
        <v>#DIV/0!</v>
      </c>
      <c r="F5" s="91" t="str">
        <f>'F1'!A12</f>
        <v>1.  Proyecto educativo  del programa</v>
      </c>
      <c r="G5" s="59" t="e">
        <f>'F1'!B12</f>
        <v>#DIV/0!</v>
      </c>
      <c r="H5" s="130" t="e">
        <f>'F1'!C12</f>
        <v>#DIV/0!</v>
      </c>
    </row>
    <row r="6" spans="2:9" ht="15" customHeight="1">
      <c r="B6" s="194"/>
      <c r="C6" s="197"/>
      <c r="D6" s="191"/>
      <c r="F6" s="91" t="str">
        <f>'F1'!A13</f>
        <v>2. Relevancia académica y pertinencia social del programa académico</v>
      </c>
      <c r="G6" s="59" t="e">
        <f>'F1'!B13</f>
        <v>#DIV/0!</v>
      </c>
      <c r="H6" s="130" t="e">
        <f>'F1'!C13</f>
        <v>#DIV/0!</v>
      </c>
    </row>
    <row r="7" spans="2:9" ht="6" customHeight="1">
      <c r="B7" s="47"/>
      <c r="C7" s="60"/>
      <c r="D7" s="49"/>
      <c r="F7" s="50"/>
      <c r="G7" s="51"/>
      <c r="H7" s="52"/>
    </row>
    <row r="8" spans="2:9" ht="15" customHeight="1">
      <c r="B8" s="192" t="str">
        <f>'F2'!A2</f>
        <v>F2. ESTUDIANTES</v>
      </c>
      <c r="C8" s="195" t="e">
        <f>AVERAGE(G8:G12)</f>
        <v>#DIV/0!</v>
      </c>
      <c r="D8" s="189" t="e">
        <f>C8/C65</f>
        <v>#DIV/0!</v>
      </c>
      <c r="F8" s="58" t="str">
        <f>'F2'!A15</f>
        <v>3. Participación en actividades de formación integral</v>
      </c>
      <c r="G8" s="128" t="e">
        <f>'F2'!B15</f>
        <v>#DIV/0!</v>
      </c>
      <c r="H8" s="130" t="e">
        <f>'F2'!C15</f>
        <v>#DIV/0!</v>
      </c>
    </row>
    <row r="9" spans="2:9" ht="15" customHeight="1">
      <c r="B9" s="193"/>
      <c r="C9" s="196"/>
      <c r="D9" s="190"/>
      <c r="F9" s="58" t="str">
        <f>'F2'!A16</f>
        <v>4. Orientación y seguimiento a estudiantes</v>
      </c>
      <c r="G9" s="128" t="e">
        <f>'F2'!B16</f>
        <v>#DIV/0!</v>
      </c>
      <c r="H9" s="130" t="e">
        <f>'F2'!C16</f>
        <v>#DIV/0!</v>
      </c>
    </row>
    <row r="10" spans="2:9" ht="15" customHeight="1">
      <c r="B10" s="193"/>
      <c r="C10" s="196"/>
      <c r="D10" s="190"/>
      <c r="F10" s="58" t="str">
        <f>'F2'!A17</f>
        <v>5. Capacidad de trabajo autónomo</v>
      </c>
      <c r="G10" s="128" t="e">
        <f>'F2'!B17</f>
        <v>#DIV/0!</v>
      </c>
      <c r="H10" s="130" t="e">
        <f>'F2'!C17</f>
        <v>#DIV/0!</v>
      </c>
    </row>
    <row r="11" spans="2:9" ht="15" customHeight="1">
      <c r="B11" s="193"/>
      <c r="C11" s="196"/>
      <c r="D11" s="190"/>
      <c r="F11" s="58" t="str">
        <f>'F2'!A18</f>
        <v>6. Reglamento estudiantil y política académica</v>
      </c>
      <c r="G11" s="128" t="e">
        <f>'F2'!B18</f>
        <v>#DIV/0!</v>
      </c>
      <c r="H11" s="130" t="e">
        <f>'F2'!C18</f>
        <v>#DIV/0!</v>
      </c>
    </row>
    <row r="12" spans="2:9" ht="15" customHeight="1">
      <c r="B12" s="194"/>
      <c r="C12" s="197"/>
      <c r="D12" s="191"/>
      <c r="F12" s="58" t="str">
        <f>'F2'!A19</f>
        <v>7. Estímulos y apoyos para estudiantes</v>
      </c>
      <c r="G12" s="128" t="e">
        <f>'F2'!B19</f>
        <v>#DIV/0!</v>
      </c>
      <c r="H12" s="130" t="e">
        <f>'F2'!C19</f>
        <v>#DIV/0!</v>
      </c>
    </row>
    <row r="13" spans="2:9" ht="6" customHeight="1">
      <c r="B13" s="47"/>
      <c r="C13" s="60"/>
      <c r="D13" s="49"/>
      <c r="F13" s="50"/>
      <c r="G13" s="51"/>
      <c r="H13" s="61"/>
    </row>
    <row r="14" spans="2:9" ht="15" customHeight="1">
      <c r="B14" s="192" t="str">
        <f>'F3'!A2</f>
        <v>F3. PROFESORES</v>
      </c>
      <c r="C14" s="195" t="e">
        <f>AVERAGE(G14:G21)</f>
        <v>#DIV/0!</v>
      </c>
      <c r="D14" s="189" t="e">
        <f>C14/C65</f>
        <v>#DIV/0!</v>
      </c>
      <c r="F14" s="58" t="str">
        <f>'F3'!A18</f>
        <v>8. Selección, vinculación y permanencia</v>
      </c>
      <c r="G14" s="59" t="e">
        <f>'F3'!B18</f>
        <v>#DIV/0!</v>
      </c>
      <c r="H14" s="130" t="e">
        <f>'F3'!C18</f>
        <v>#DIV/0!</v>
      </c>
    </row>
    <row r="15" spans="2:9" ht="15" customHeight="1">
      <c r="B15" s="193"/>
      <c r="C15" s="196"/>
      <c r="D15" s="190"/>
      <c r="F15" s="58" t="str">
        <f>'F3'!A19</f>
        <v xml:space="preserve">9. Estatuto profesoral </v>
      </c>
      <c r="G15" s="59" t="e">
        <f>'F3'!B19</f>
        <v>#DIV/0!</v>
      </c>
      <c r="H15" s="130" t="e">
        <f>'F3'!C19</f>
        <v>#DIV/0!</v>
      </c>
    </row>
    <row r="16" spans="2:9" ht="15" customHeight="1">
      <c r="B16" s="193"/>
      <c r="C16" s="196"/>
      <c r="D16" s="190"/>
      <c r="F16" s="58" t="str">
        <f>'F3'!A20</f>
        <v>10. Número, dedicación, nivel de formación y experiencia de los profesores</v>
      </c>
      <c r="G16" s="59" t="e">
        <f>'F3'!B20</f>
        <v>#DIV/0!</v>
      </c>
      <c r="H16" s="130" t="e">
        <f>'F3'!C20</f>
        <v>#DIV/0!</v>
      </c>
    </row>
    <row r="17" spans="2:8" ht="15" customHeight="1">
      <c r="B17" s="193"/>
      <c r="C17" s="196"/>
      <c r="D17" s="190"/>
      <c r="F17" s="58" t="str">
        <f>'F3'!A21</f>
        <v xml:space="preserve">11. Desarrollo profesoral </v>
      </c>
      <c r="G17" s="59" t="e">
        <f>'F3'!B21</f>
        <v>#DIV/0!</v>
      </c>
      <c r="H17" s="130" t="e">
        <f>'F3'!C21</f>
        <v>#DIV/0!</v>
      </c>
    </row>
    <row r="18" spans="2:8" ht="15" customHeight="1">
      <c r="B18" s="193"/>
      <c r="C18" s="196"/>
      <c r="D18" s="190"/>
      <c r="F18" s="58" t="str">
        <f>'F3'!A22</f>
        <v>12. Estímulos a la trayectoria profesoral</v>
      </c>
      <c r="G18" s="59" t="e">
        <f>'F3'!B22</f>
        <v>#DIV/0!</v>
      </c>
      <c r="H18" s="130" t="e">
        <f>'F3'!C22</f>
        <v>#DIV/0!</v>
      </c>
    </row>
    <row r="19" spans="2:8" ht="15" customHeight="1">
      <c r="B19" s="193"/>
      <c r="C19" s="196"/>
      <c r="D19" s="190"/>
      <c r="F19" s="58" t="str">
        <f>'F3'!A23</f>
        <v xml:space="preserve">13. Producción, pertinencia, utilización e impacto de material docente </v>
      </c>
      <c r="G19" s="59" t="e">
        <f>'F3'!B23</f>
        <v>#DIV/0!</v>
      </c>
      <c r="H19" s="130" t="e">
        <f>'F3'!C23</f>
        <v>#DIV/0!</v>
      </c>
    </row>
    <row r="20" spans="2:8" ht="15" customHeight="1">
      <c r="B20" s="193"/>
      <c r="C20" s="196"/>
      <c r="D20" s="190"/>
      <c r="F20" s="58" t="str">
        <f>'F3'!A24</f>
        <v>14. Remuneración por méritos</v>
      </c>
      <c r="G20" s="59" t="e">
        <f>'F3'!B24</f>
        <v>#DIV/0!</v>
      </c>
      <c r="H20" s="130" t="e">
        <f>'F3'!C24</f>
        <v>#DIV/0!</v>
      </c>
    </row>
    <row r="21" spans="2:8" ht="15" customHeight="1">
      <c r="B21" s="194"/>
      <c r="C21" s="197"/>
      <c r="D21" s="191"/>
      <c r="F21" s="91" t="str">
        <f>'F3'!A25</f>
        <v xml:space="preserve">15. Evaluación de profesores </v>
      </c>
      <c r="G21" s="59" t="e">
        <f>'F3'!B25</f>
        <v>#DIV/0!</v>
      </c>
      <c r="H21" s="130" t="e">
        <f>'F3'!C25</f>
        <v>#DIV/0!</v>
      </c>
    </row>
    <row r="22" spans="2:8" ht="6" customHeight="1">
      <c r="B22" s="47"/>
      <c r="C22" s="60"/>
      <c r="D22" s="49"/>
      <c r="F22" s="62"/>
      <c r="G22" s="51"/>
      <c r="H22" s="61"/>
    </row>
    <row r="23" spans="2:8">
      <c r="B23" s="192" t="str">
        <f>'F4'!A2</f>
        <v>F4. EGRESADOS</v>
      </c>
      <c r="C23" s="195" t="e">
        <f>AVERAGE(G23:G24)</f>
        <v>#DIV/0!</v>
      </c>
      <c r="D23" s="189" t="e">
        <f>C23/C65</f>
        <v>#DIV/0!</v>
      </c>
      <c r="F23" s="91" t="str">
        <f>'F4'!A12</f>
        <v>16. Seguimiento a los egresados</v>
      </c>
      <c r="G23" s="59" t="e">
        <f>'F4'!B12</f>
        <v>#DIV/0!</v>
      </c>
      <c r="H23" s="130" t="e">
        <f>'F4'!C12</f>
        <v>#DIV/0!</v>
      </c>
    </row>
    <row r="24" spans="2:8">
      <c r="B24" s="194"/>
      <c r="C24" s="197"/>
      <c r="D24" s="191"/>
      <c r="F24" s="91" t="str">
        <f>'F4'!A13</f>
        <v>17. Impacto de los egresados en el medio social y académico</v>
      </c>
      <c r="G24" s="59" t="e">
        <f>'F4'!B13</f>
        <v>#DIV/0!</v>
      </c>
      <c r="H24" s="130" t="e">
        <f>'F4'!C13</f>
        <v>#DIV/0!</v>
      </c>
    </row>
    <row r="25" spans="2:8" ht="6" customHeight="1">
      <c r="B25" s="47"/>
      <c r="C25" s="60"/>
      <c r="D25" s="49"/>
      <c r="F25" s="50"/>
      <c r="G25" s="51"/>
      <c r="H25" s="67"/>
    </row>
    <row r="26" spans="2:8" ht="15" customHeight="1">
      <c r="B26" s="192" t="str">
        <f>'F5'!A2</f>
        <v>F5. ASPECTOS ACADÉMICOS Y RESULTADOS DE APRENDIZAJE</v>
      </c>
      <c r="C26" s="195" t="e">
        <f>AVERAGE(G26:G34)</f>
        <v>#DIV/0!</v>
      </c>
      <c r="D26" s="189" t="e">
        <f>C26/C65</f>
        <v>#DIV/0!</v>
      </c>
      <c r="F26" s="58" t="str">
        <f>'F5'!A19</f>
        <v>18. Integralidad de los aspectos currículares</v>
      </c>
      <c r="G26" s="127" t="e">
        <f>'F5'!B19</f>
        <v>#DIV/0!</v>
      </c>
      <c r="H26" s="130" t="e">
        <f>'F5'!C19</f>
        <v>#DIV/0!</v>
      </c>
    </row>
    <row r="27" spans="2:8" ht="15" customHeight="1">
      <c r="B27" s="193"/>
      <c r="C27" s="196"/>
      <c r="D27" s="190"/>
      <c r="F27" s="58" t="str">
        <f>'F5'!A20</f>
        <v>19. Flexibilidad de los aspectos currículares</v>
      </c>
      <c r="G27" s="127" t="e">
        <f>'F5'!B20</f>
        <v>#DIV/0!</v>
      </c>
      <c r="H27" s="130" t="e">
        <f>'F5'!C20</f>
        <v>#DIV/0!</v>
      </c>
    </row>
    <row r="28" spans="2:8" ht="15" customHeight="1">
      <c r="B28" s="193"/>
      <c r="C28" s="196"/>
      <c r="D28" s="190"/>
      <c r="F28" s="58" t="str">
        <f>'F5'!A21</f>
        <v xml:space="preserve">20. Interdisciplinariedad </v>
      </c>
      <c r="G28" s="127" t="e">
        <f>'F5'!B21</f>
        <v>#DIV/0!</v>
      </c>
      <c r="H28" s="130" t="e">
        <f>'F5'!C21</f>
        <v>#DIV/0!</v>
      </c>
    </row>
    <row r="29" spans="2:8" ht="15" customHeight="1">
      <c r="B29" s="193"/>
      <c r="C29" s="196"/>
      <c r="D29" s="190"/>
      <c r="F29" s="58" t="str">
        <f>'F5'!A22</f>
        <v>21. Estrategias Pedagógicas</v>
      </c>
      <c r="G29" s="127" t="e">
        <f>'F5'!B22</f>
        <v>#DIV/0!</v>
      </c>
      <c r="H29" s="130" t="e">
        <f>'F5'!C22</f>
        <v>#DIV/0!</v>
      </c>
    </row>
    <row r="30" spans="2:8" ht="15" customHeight="1">
      <c r="B30" s="193"/>
      <c r="C30" s="196"/>
      <c r="D30" s="190"/>
      <c r="F30" s="58" t="str">
        <f>'F5'!A23</f>
        <v>22. Sistema de evaluación de estudiantes</v>
      </c>
      <c r="G30" s="127" t="e">
        <f>'F5'!B23</f>
        <v>#DIV/0!</v>
      </c>
      <c r="H30" s="130" t="e">
        <f>'F5'!C23</f>
        <v>#DIV/0!</v>
      </c>
    </row>
    <row r="31" spans="2:8" ht="15" customHeight="1">
      <c r="B31" s="193"/>
      <c r="C31" s="196"/>
      <c r="D31" s="190"/>
      <c r="F31" s="58" t="str">
        <f>'F5'!A24</f>
        <v>23. Resultados de aprendizaje</v>
      </c>
      <c r="G31" s="127" t="e">
        <f>'F5'!B24</f>
        <v>#DIV/0!</v>
      </c>
      <c r="H31" s="130" t="e">
        <f>'F5'!C24</f>
        <v>#DIV/0!</v>
      </c>
    </row>
    <row r="32" spans="2:8" ht="15" customHeight="1">
      <c r="B32" s="193"/>
      <c r="C32" s="196"/>
      <c r="D32" s="190"/>
      <c r="F32" s="58" t="str">
        <f>'F5'!A25</f>
        <v>24. Competencias</v>
      </c>
      <c r="G32" s="127" t="e">
        <f>'F5'!B25</f>
        <v>#DIV/0!</v>
      </c>
      <c r="H32" s="130" t="e">
        <f>'F5'!C25</f>
        <v>#DIV/0!</v>
      </c>
    </row>
    <row r="33" spans="2:11" ht="15" customHeight="1">
      <c r="B33" s="193"/>
      <c r="C33" s="196"/>
      <c r="D33" s="190"/>
      <c r="F33" s="58" t="str">
        <f>'F5'!A26</f>
        <v xml:space="preserve">25. Evaluación y autoregulación del programa académico </v>
      </c>
      <c r="G33" s="127" t="e">
        <f>'F5'!B26</f>
        <v>#DIV/0!</v>
      </c>
      <c r="H33" s="130" t="e">
        <f>'F5'!C26</f>
        <v>#DIV/0!</v>
      </c>
    </row>
    <row r="34" spans="2:11" ht="15" customHeight="1">
      <c r="B34" s="193"/>
      <c r="C34" s="196"/>
      <c r="D34" s="190"/>
      <c r="F34" s="58" t="str">
        <f>'F5'!A27</f>
        <v>26. Vinculación e interacción social</v>
      </c>
      <c r="G34" s="127" t="e">
        <f>'F5'!B27</f>
        <v>#DIV/0!</v>
      </c>
      <c r="H34" s="130" t="e">
        <f>'F5'!C27</f>
        <v>#DIV/0!</v>
      </c>
    </row>
    <row r="35" spans="2:11" ht="6" customHeight="1">
      <c r="B35" s="47"/>
      <c r="C35" s="60"/>
      <c r="D35" s="49"/>
      <c r="F35" s="63"/>
      <c r="G35" s="51"/>
      <c r="H35" s="61"/>
    </row>
    <row r="36" spans="2:11" ht="15" customHeight="1">
      <c r="B36" s="192" t="str">
        <f>'F6'!A2</f>
        <v>F6. PERMANENCIA Y GRADUACIÓN</v>
      </c>
      <c r="C36" s="195" t="e">
        <f>AVERAGE(G36:G39)</f>
        <v>#DIV/0!</v>
      </c>
      <c r="D36" s="189" t="e">
        <f>C36/C65</f>
        <v>#DIV/0!</v>
      </c>
      <c r="F36" s="58" t="str">
        <f>'F6'!A14</f>
        <v>27. Políticas estrategias y estructura para la permanencia y graduación</v>
      </c>
      <c r="G36" s="127" t="e">
        <f>'F6'!B14</f>
        <v>#DIV/0!</v>
      </c>
      <c r="H36" s="130" t="e">
        <f>'F6'!C14</f>
        <v>#DIV/0!</v>
      </c>
    </row>
    <row r="37" spans="2:11" ht="15" customHeight="1">
      <c r="B37" s="193"/>
      <c r="C37" s="196"/>
      <c r="D37" s="190"/>
      <c r="F37" s="58" t="str">
        <f>'F6'!A15</f>
        <v>28. Caracterización de estudiantes y sistema de alertas tempranas</v>
      </c>
      <c r="G37" s="127" t="e">
        <f>'F6'!B15</f>
        <v>#DIV/0!</v>
      </c>
      <c r="H37" s="130" t="e">
        <f>'F6'!C15</f>
        <v>#DIV/0!</v>
      </c>
    </row>
    <row r="38" spans="2:11" ht="15" customHeight="1">
      <c r="B38" s="193"/>
      <c r="C38" s="196"/>
      <c r="D38" s="190"/>
      <c r="F38" s="58" t="str">
        <f>'F6'!A16</f>
        <v xml:space="preserve">29. Ajustes a los aspectos curriculares </v>
      </c>
      <c r="G38" s="127" t="e">
        <f>'F6'!B16</f>
        <v>#DIV/0!</v>
      </c>
      <c r="H38" s="130" t="e">
        <f>'F6'!C16</f>
        <v>#DIV/0!</v>
      </c>
    </row>
    <row r="39" spans="2:11" ht="15" customHeight="1">
      <c r="B39" s="194"/>
      <c r="C39" s="197"/>
      <c r="D39" s="191"/>
      <c r="F39" s="58" t="str">
        <f>'F6'!A17</f>
        <v>30. Mecanismos de Selección</v>
      </c>
      <c r="G39" s="127" t="e">
        <f>'F6'!B17</f>
        <v>#DIV/0!</v>
      </c>
      <c r="H39" s="130" t="e">
        <f>'F6'!C17</f>
        <v>#DIV/0!</v>
      </c>
    </row>
    <row r="40" spans="2:11" ht="6" customHeight="1">
      <c r="B40" s="47"/>
      <c r="C40" s="60"/>
      <c r="D40" s="49"/>
      <c r="F40" s="63"/>
      <c r="G40" s="51"/>
      <c r="H40" s="61"/>
    </row>
    <row r="41" spans="2:11" ht="15" customHeight="1">
      <c r="B41" s="198" t="str">
        <f>'F7'!A2</f>
        <v>F7. INTERACCIÓN CON EL ENTORNO NACIONAL E INTERNACIONAL</v>
      </c>
      <c r="C41" s="195" t="e">
        <f>AVERAGE(G41:G43)</f>
        <v>#DIV/0!</v>
      </c>
      <c r="D41" s="189" t="e">
        <f>C41/C65</f>
        <v>#DIV/0!</v>
      </c>
      <c r="F41" s="58" t="str">
        <f>'F7'!A13</f>
        <v>31. Inserción del programa en contextos académicos nacionales e internacionales</v>
      </c>
      <c r="G41" s="127" t="e">
        <f>'F7'!B13</f>
        <v>#DIV/0!</v>
      </c>
      <c r="H41" s="130" t="e">
        <f>'F7'!C13</f>
        <v>#DIV/0!</v>
      </c>
    </row>
    <row r="42" spans="2:11" ht="15" customHeight="1">
      <c r="B42" s="199"/>
      <c r="C42" s="196"/>
      <c r="D42" s="190"/>
      <c r="F42" s="58" t="str">
        <f>'F7'!A14</f>
        <v>32.  Relaciones externas de profesores y estudiantes</v>
      </c>
      <c r="G42" s="127" t="e">
        <f>'F7'!B14</f>
        <v>#DIV/0!</v>
      </c>
      <c r="H42" s="130" t="e">
        <f>'F7'!C14</f>
        <v>#DIV/0!</v>
      </c>
    </row>
    <row r="43" spans="2:11" ht="15" customHeight="1">
      <c r="B43" s="200"/>
      <c r="C43" s="197"/>
      <c r="D43" s="191"/>
      <c r="F43" s="58" t="str">
        <f>'F7'!A15</f>
        <v>33. Habilidades comunicativas en segunda lengua</v>
      </c>
      <c r="G43" s="127" t="e">
        <f>'F7'!B15</f>
        <v>#DIV/0!</v>
      </c>
      <c r="H43" s="130" t="e">
        <f>'F7'!C15</f>
        <v>#DIV/0!</v>
      </c>
    </row>
    <row r="44" spans="2:11" ht="6" customHeight="1">
      <c r="B44" s="47"/>
      <c r="C44" s="60"/>
      <c r="D44" s="49"/>
      <c r="F44" s="63"/>
      <c r="G44" s="51"/>
      <c r="H44" s="61"/>
    </row>
    <row r="45" spans="2:11" ht="20.25" customHeight="1">
      <c r="B45" s="192" t="str">
        <f>'F8'!A2</f>
        <v>F8. APORTES EN LA INVESTIGACIÓN, LA INNOVACIÓN, EL DESARROLLO TECNOLÓGICO Y LA CREACIÓN, ASOCIADOS AL PROGRAMA ACDÉMICO</v>
      </c>
      <c r="C45" s="195" t="e">
        <f>AVERAGE(G45:G46)</f>
        <v>#DIV/0!</v>
      </c>
      <c r="D45" s="189" t="e">
        <f>C45/C65</f>
        <v>#DIV/0!</v>
      </c>
      <c r="F45" s="58" t="str">
        <f>'F8'!A12</f>
        <v>29. Formación para la investigación, la innovación y la creación artística y cultural</v>
      </c>
      <c r="G45" s="127" t="e">
        <f>'F11'!B16</f>
        <v>#DIV/0!</v>
      </c>
      <c r="H45" s="130" t="e">
        <f>'F11'!C16</f>
        <v>#DIV/0!</v>
      </c>
    </row>
    <row r="46" spans="2:11" ht="27.75" customHeight="1">
      <c r="B46" s="193"/>
      <c r="C46" s="196"/>
      <c r="D46" s="190"/>
      <c r="F46" s="58" t="str">
        <f>'F8'!A13</f>
        <v>30. Compromiso con la investigación, la innovación y la creación artística y cultural</v>
      </c>
      <c r="G46" s="127" t="e">
        <f>'F11'!B17</f>
        <v>#DIV/0!</v>
      </c>
      <c r="H46" s="130" t="e">
        <f>'F11'!C17</f>
        <v>#DIV/0!</v>
      </c>
    </row>
    <row r="47" spans="2:11" ht="6" customHeight="1">
      <c r="B47" s="47"/>
      <c r="C47" s="60"/>
      <c r="D47" s="49"/>
      <c r="F47" s="63"/>
      <c r="G47" s="51"/>
      <c r="H47" s="61"/>
    </row>
    <row r="48" spans="2:11" ht="15" customHeight="1">
      <c r="B48" s="192" t="str">
        <f>'F9'!A2</f>
        <v>F9. BIENESTAR DE LA COMUNIDAD ACADÉMICA DEL PROGRAMA</v>
      </c>
      <c r="C48" s="195" t="e">
        <f>AVERAGE(G48:G49)</f>
        <v>#DIV/0!</v>
      </c>
      <c r="D48" s="189" t="e">
        <f>C48/C65</f>
        <v>#DIV/0!</v>
      </c>
      <c r="F48" s="58" t="str">
        <f>'F9'!A12</f>
        <v>36. Programas y servicios</v>
      </c>
      <c r="G48" s="127" t="e">
        <f>'F9'!B12</f>
        <v>#DIV/0!</v>
      </c>
      <c r="H48" s="130" t="e">
        <f>'F9'!C12</f>
        <v>#DIV/0!</v>
      </c>
      <c r="K48" s="82"/>
    </row>
    <row r="49" spans="2:8" ht="15" customHeight="1">
      <c r="B49" s="194"/>
      <c r="C49" s="197"/>
      <c r="D49" s="191"/>
      <c r="F49" s="58" t="str">
        <f>'F9'!A13</f>
        <v>37. Participación y seguimiento</v>
      </c>
      <c r="G49" s="127" t="e">
        <f>'F9'!B13</f>
        <v>#DIV/0!</v>
      </c>
      <c r="H49" s="130" t="e">
        <f>'F9'!C13</f>
        <v>#DIV/0!</v>
      </c>
    </row>
    <row r="50" spans="2:8" ht="6" customHeight="1">
      <c r="B50" s="47"/>
      <c r="C50" s="60"/>
      <c r="D50" s="49"/>
      <c r="F50" s="63"/>
      <c r="G50" s="51"/>
      <c r="H50" s="94"/>
    </row>
    <row r="51" spans="2:8" ht="15" customHeight="1">
      <c r="B51" s="192" t="str">
        <f>'F10'!A2</f>
        <v>F10. MEDIOS EDUCATIVOS Y AMBIENTES DE APRENDIZAJE</v>
      </c>
      <c r="C51" s="195" t="e">
        <f>AVERAGE(G51:G53)</f>
        <v>#DIV/0!</v>
      </c>
      <c r="D51" s="189" t="e">
        <f>C51/C65</f>
        <v>#DIV/0!</v>
      </c>
      <c r="F51" s="58" t="str">
        <f>'F10'!A13</f>
        <v>38. Estrategias y recursos de apoyo a profesores</v>
      </c>
      <c r="G51" s="127" t="e">
        <f>'F10'!B13</f>
        <v>#DIV/0!</v>
      </c>
      <c r="H51" s="130" t="e">
        <f>'F10'!C13</f>
        <v>#DIV/0!</v>
      </c>
    </row>
    <row r="52" spans="2:8" ht="15" customHeight="1">
      <c r="B52" s="193"/>
      <c r="C52" s="196"/>
      <c r="D52" s="190"/>
      <c r="F52" s="58" t="str">
        <f>'F10'!A14</f>
        <v>39. Estrategias y recursos de apoyo a estudiantes</v>
      </c>
      <c r="G52" s="127" t="e">
        <f>'F10'!B14</f>
        <v>#DIV/0!</v>
      </c>
      <c r="H52" s="130" t="e">
        <f>'F10'!C14</f>
        <v>#DIV/0!</v>
      </c>
    </row>
    <row r="53" spans="2:8" ht="15" customHeight="1">
      <c r="B53" s="194"/>
      <c r="C53" s="197"/>
      <c r="D53" s="191"/>
      <c r="F53" s="58" t="str">
        <f>'F10'!A15</f>
        <v>40. Recursos bibliográficos y de información</v>
      </c>
      <c r="G53" s="127" t="e">
        <f>'F10'!B15</f>
        <v>#DIV/0!</v>
      </c>
      <c r="H53" s="130" t="e">
        <f>'F10'!C15</f>
        <v>#DIV/0!</v>
      </c>
    </row>
    <row r="54" spans="2:8" ht="5.25" customHeight="1">
      <c r="B54" s="47"/>
      <c r="C54" s="60"/>
      <c r="D54" s="49"/>
      <c r="G54" s="93"/>
      <c r="H54" s="90"/>
    </row>
    <row r="55" spans="2:8" ht="15" customHeight="1">
      <c r="B55" s="192" t="str">
        <f>'F11'!A2</f>
        <v>F11. ORGANIZACIÓN, ADMINISTRACIÓN Y FINANCIACIÓN DEL PROGRAMA ACADÉMICO</v>
      </c>
      <c r="C55" s="195" t="e">
        <f>AVERAGE(G55:G60)</f>
        <v>#DIV/0!</v>
      </c>
      <c r="D55" s="189" t="e">
        <f>C55/C65</f>
        <v>#DIV/0!</v>
      </c>
      <c r="F55" s="58" t="str">
        <f>'F11'!A16</f>
        <v>41. Organización y administración</v>
      </c>
      <c r="G55" s="127" t="e">
        <f>'F11'!B16</f>
        <v>#DIV/0!</v>
      </c>
      <c r="H55" s="130" t="e">
        <f>'F11'!C16</f>
        <v>#DIV/0!</v>
      </c>
    </row>
    <row r="56" spans="2:8" ht="15" customHeight="1">
      <c r="B56" s="193"/>
      <c r="C56" s="196"/>
      <c r="D56" s="190"/>
      <c r="F56" s="58" t="str">
        <f>'F11'!A17</f>
        <v>42. Dirección y gestión</v>
      </c>
      <c r="G56" s="127" t="e">
        <f>'F11'!B17</f>
        <v>#DIV/0!</v>
      </c>
      <c r="H56" s="130" t="e">
        <f>'F11'!C17</f>
        <v>#DIV/0!</v>
      </c>
    </row>
    <row r="57" spans="2:8" ht="15" customHeight="1">
      <c r="B57" s="193"/>
      <c r="C57" s="196"/>
      <c r="D57" s="190"/>
      <c r="F57" s="58" t="str">
        <f>'F11'!A18</f>
        <v>43. Sistemas de comunicación e información</v>
      </c>
      <c r="G57" s="127" t="e">
        <f>'F11'!B18</f>
        <v>#DIV/0!</v>
      </c>
      <c r="H57" s="130" t="e">
        <f>'F11'!C18</f>
        <v>#DIV/0!</v>
      </c>
    </row>
    <row r="58" spans="2:8" ht="15" customHeight="1">
      <c r="B58" s="193"/>
      <c r="C58" s="196"/>
      <c r="D58" s="190"/>
      <c r="F58" s="58" t="str">
        <f>'F11'!A19</f>
        <v>44. Estudiantes y capacidad institucional</v>
      </c>
      <c r="G58" s="127" t="e">
        <f>'F11'!B19</f>
        <v>#DIV/0!</v>
      </c>
      <c r="H58" s="130" t="e">
        <f>'F11'!C19</f>
        <v>#DIV/0!</v>
      </c>
    </row>
    <row r="59" spans="2:8" ht="15" customHeight="1">
      <c r="B59" s="193"/>
      <c r="C59" s="196"/>
      <c r="D59" s="190"/>
      <c r="F59" s="58" t="str">
        <f>'F11'!A20</f>
        <v>45. Financiación del programa académico</v>
      </c>
      <c r="G59" s="127" t="e">
        <f>'F11'!B20</f>
        <v>#DIV/0!</v>
      </c>
      <c r="H59" s="130" t="e">
        <f>'F11'!C20</f>
        <v>#DIV/0!</v>
      </c>
    </row>
    <row r="60" spans="2:8" ht="15" customHeight="1">
      <c r="B60" s="194"/>
      <c r="C60" s="89"/>
      <c r="D60" s="191"/>
      <c r="F60" s="58" t="str">
        <f>'F11'!A21</f>
        <v>46. Aseguramiento de la alta calidad y la mejora continua</v>
      </c>
      <c r="G60" s="127" t="e">
        <f>'F11'!B21</f>
        <v>#DIV/0!</v>
      </c>
      <c r="H60" s="130" t="e">
        <f>'F11'!C21</f>
        <v>#DIV/0!</v>
      </c>
    </row>
    <row r="61" spans="2:8" ht="4.5" customHeight="1">
      <c r="B61" s="47"/>
      <c r="C61" s="60"/>
      <c r="D61" s="49"/>
      <c r="F61" s="92"/>
      <c r="G61" s="90"/>
      <c r="H61" s="90"/>
    </row>
    <row r="62" spans="2:8" ht="15" customHeight="1">
      <c r="B62" s="192" t="str">
        <f>'F12'!A2</f>
        <v>F12. RECURSOS FÍSICOS Y TECNOLÓGICOS</v>
      </c>
      <c r="C62" s="195" t="e">
        <f>AVERAGE(G62:G63)</f>
        <v>#DIV/0!</v>
      </c>
      <c r="D62" s="189" t="e">
        <f>C62/C65</f>
        <v>#DIV/0!</v>
      </c>
      <c r="F62" s="91" t="str">
        <f>'F12'!A12</f>
        <v>47. Recursos de infraestructura física y tecnológica</v>
      </c>
      <c r="G62" s="127" t="e">
        <f>'F12'!B12</f>
        <v>#DIV/0!</v>
      </c>
      <c r="H62" s="130" t="e">
        <f>'F12'!C12</f>
        <v>#DIV/0!</v>
      </c>
    </row>
    <row r="63" spans="2:8" ht="15" customHeight="1">
      <c r="B63" s="194"/>
      <c r="C63" s="197"/>
      <c r="D63" s="191"/>
      <c r="F63" s="91" t="str">
        <f>'F12'!A13</f>
        <v>48. Recursos informáticos y de comunicación</v>
      </c>
      <c r="G63" s="127" t="e">
        <f>'F12'!B13</f>
        <v>#DIV/0!</v>
      </c>
      <c r="H63" s="130" t="e">
        <f>'F12'!C13</f>
        <v>#DIV/0!</v>
      </c>
    </row>
    <row r="64" spans="2:8" ht="6" customHeight="1" thickBot="1">
      <c r="B64" s="47"/>
      <c r="C64" s="64"/>
      <c r="D64" s="49"/>
      <c r="F64" s="65"/>
      <c r="G64" s="66"/>
      <c r="H64" s="67"/>
    </row>
    <row r="65" spans="2:11" s="74" customFormat="1" ht="28.5" customHeight="1" thickTop="1" thickBot="1">
      <c r="B65" s="46"/>
      <c r="C65" s="68" t="e">
        <f>SUM(C5:C63)</f>
        <v>#DIV/0!</v>
      </c>
      <c r="D65" s="69" t="e">
        <f>SUM(D5:D63)</f>
        <v>#DIV/0!</v>
      </c>
      <c r="E65" s="56"/>
      <c r="F65" s="46"/>
      <c r="G65" s="121" t="e">
        <f>SUM(G5:G63)</f>
        <v>#DIV/0!</v>
      </c>
      <c r="H65" s="131"/>
      <c r="I65" s="46"/>
      <c r="K65" s="73"/>
    </row>
    <row r="66" spans="2:11" ht="6" customHeight="1" thickTop="1">
      <c r="B66" s="47"/>
      <c r="C66" s="64"/>
      <c r="D66" s="49"/>
      <c r="F66" s="50"/>
      <c r="G66" s="70"/>
      <c r="H66" s="71"/>
    </row>
    <row r="67" spans="2:11" ht="14.25" customHeight="1"/>
  </sheetData>
  <sheetProtection selectLockedCells="1" selectUnlockedCells="1"/>
  <mergeCells count="37">
    <mergeCell ref="B62:B63"/>
    <mergeCell ref="C62:C63"/>
    <mergeCell ref="D62:D63"/>
    <mergeCell ref="C55:C59"/>
    <mergeCell ref="B55:B60"/>
    <mergeCell ref="D55:D60"/>
    <mergeCell ref="B1:H1"/>
    <mergeCell ref="C5:C6"/>
    <mergeCell ref="C8:C12"/>
    <mergeCell ref="C14:C21"/>
    <mergeCell ref="C26:C34"/>
    <mergeCell ref="B5:B6"/>
    <mergeCell ref="B8:B12"/>
    <mergeCell ref="B14:B21"/>
    <mergeCell ref="B26:B34"/>
    <mergeCell ref="D5:D6"/>
    <mergeCell ref="D8:D12"/>
    <mergeCell ref="D14:D21"/>
    <mergeCell ref="D26:D34"/>
    <mergeCell ref="B23:B24"/>
    <mergeCell ref="C23:C24"/>
    <mergeCell ref="D23:D24"/>
    <mergeCell ref="D41:D43"/>
    <mergeCell ref="D45:D46"/>
    <mergeCell ref="D48:D49"/>
    <mergeCell ref="D51:D53"/>
    <mergeCell ref="B36:B39"/>
    <mergeCell ref="D36:D39"/>
    <mergeCell ref="C36:C39"/>
    <mergeCell ref="C51:C53"/>
    <mergeCell ref="B41:B43"/>
    <mergeCell ref="B45:B46"/>
    <mergeCell ref="B48:B49"/>
    <mergeCell ref="B51:B53"/>
    <mergeCell ref="C41:C43"/>
    <mergeCell ref="C45:C46"/>
    <mergeCell ref="C48:C49"/>
  </mergeCells>
  <conditionalFormatting sqref="H50">
    <cfRule type="containsErrors" dxfId="0" priority="1">
      <formula>ISERROR(H50)</formula>
    </cfRule>
  </conditionalFormatting>
  <pageMargins left="0.7" right="0.7" top="0.75" bottom="0.75" header="0.3" footer="0.3"/>
  <pageSetup scale="55" orientation="landscape" horizontalDpi="360" verticalDpi="360" r:id="rId1"/>
  <ignoredErrors>
    <ignoredError sqref="D6 D64 D49:D53 D26:D34 H7 D7:D8 H13 D10:D22 D35:D36 D43:D46 H44 D40:D41 D47 H47 H35 H40 H22" evalError="1"/>
  </ignoredError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T7"/>
  <sheetViews>
    <sheetView zoomScale="90" zoomScaleNormal="90" workbookViewId="0">
      <selection activeCell="R12" sqref="R12"/>
    </sheetView>
  </sheetViews>
  <sheetFormatPr defaultColWidth="11.42578125" defaultRowHeight="15"/>
  <cols>
    <col min="1" max="1" width="5" style="25" customWidth="1"/>
    <col min="2" max="2" width="26.28515625" style="25" customWidth="1"/>
    <col min="3" max="3" width="1.140625" style="25" customWidth="1"/>
    <col min="4" max="4" width="12.7109375" style="25" customWidth="1"/>
    <col min="5" max="11" width="5.42578125" style="25" customWidth="1"/>
    <col min="12" max="12" width="1.140625" style="25" customWidth="1"/>
    <col min="13" max="16384" width="11.42578125" style="25"/>
  </cols>
  <sheetData>
    <row r="1" spans="2:20" ht="19.5" customHeight="1" thickBot="1"/>
    <row r="2" spans="2:20" ht="27.75" customHeight="1" thickTop="1" thickBot="1">
      <c r="B2" s="26" t="s">
        <v>99</v>
      </c>
      <c r="D2" s="45" t="s">
        <v>1</v>
      </c>
    </row>
    <row r="3" spans="2:20" ht="16.5" thickTop="1" thickBot="1"/>
    <row r="4" spans="2:20" ht="16.5" thickTop="1" thickBot="1">
      <c r="B4" s="27" t="s">
        <v>100</v>
      </c>
      <c r="D4" s="207" t="s">
        <v>101</v>
      </c>
      <c r="E4" s="208"/>
      <c r="F4" s="208"/>
      <c r="G4" s="208"/>
      <c r="H4" s="208"/>
      <c r="I4" s="208"/>
      <c r="J4" s="208"/>
      <c r="K4" s="209"/>
      <c r="M4" s="207" t="s">
        <v>102</v>
      </c>
      <c r="N4" s="208"/>
      <c r="O4" s="208"/>
      <c r="P4" s="208"/>
      <c r="Q4" s="208"/>
      <c r="R4" s="208"/>
      <c r="S4" s="208"/>
      <c r="T4" s="209"/>
    </row>
    <row r="5" spans="2:20" ht="6" customHeight="1" thickTop="1" thickBot="1"/>
    <row r="6" spans="2:20" ht="351" customHeight="1" thickTop="1" thickBot="1">
      <c r="B6" s="72" t="str">
        <f>IFERROR(VLOOKUP(D2,Hoja2!A1:D49,2,0)," ")</f>
        <v xml:space="preserve"> </v>
      </c>
      <c r="D6" s="204" t="str">
        <f>IFERROR(VLOOKUP(D2,Hoja2!A1:D49,3,0)," ")</f>
        <v xml:space="preserve"> </v>
      </c>
      <c r="E6" s="205"/>
      <c r="F6" s="205"/>
      <c r="G6" s="205"/>
      <c r="H6" s="205"/>
      <c r="I6" s="205"/>
      <c r="J6" s="205"/>
      <c r="K6" s="206"/>
      <c r="M6" s="204" t="str">
        <f>IFERROR(VLOOKUP(D2,Hoja2!A1:D49,4,0)," ")</f>
        <v xml:space="preserve"> </v>
      </c>
      <c r="N6" s="205"/>
      <c r="O6" s="205"/>
      <c r="P6" s="205"/>
      <c r="Q6" s="205"/>
      <c r="R6" s="205"/>
      <c r="S6" s="205"/>
      <c r="T6" s="206"/>
    </row>
    <row r="7" spans="2:20" ht="15.75" thickTop="1"/>
  </sheetData>
  <sheetProtection algorithmName="SHA-512" hashValue="fiHqd8ZRfPVIddxuluxYj+Q94mM4agLkQvoDC+WGfZCXxHW9ie35qNfa2Y0krfLHX3po/wcfQObVP8YJy9WQAA==" saltValue="CzxyqqM7P/tKTiG2NyxynQ==" spinCount="100000" sheet="1" objects="1" scenarios="1"/>
  <mergeCells count="4">
    <mergeCell ref="D6:K6"/>
    <mergeCell ref="D4:K4"/>
    <mergeCell ref="M4:T4"/>
    <mergeCell ref="M6:T6"/>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Hoja1!$E$1:$E$49</xm:f>
          </x14:formula1>
          <xm:sqref>D2</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50"/>
  <sheetViews>
    <sheetView topLeftCell="A19" workbookViewId="0">
      <selection activeCell="K20" sqref="K20"/>
    </sheetView>
  </sheetViews>
  <sheetFormatPr defaultColWidth="11.42578125" defaultRowHeight="15"/>
  <cols>
    <col min="1" max="2" width="11.42578125" style="5"/>
    <col min="3" max="4" width="9" style="5" customWidth="1"/>
    <col min="5" max="5" width="11.7109375" style="5" customWidth="1"/>
    <col min="6" max="6" width="47.5703125" style="5" bestFit="1" customWidth="1"/>
    <col min="7" max="7" width="6.85546875" style="5" customWidth="1"/>
    <col min="8" max="8" width="11.42578125" style="5" bestFit="1" customWidth="1"/>
    <col min="9" max="9" width="6.85546875" style="5" customWidth="1"/>
    <col min="10" max="10" width="11.42578125" style="5"/>
    <col min="11" max="11" width="21.85546875" style="5" bestFit="1" customWidth="1"/>
    <col min="12" max="16384" width="11.42578125" style="5"/>
  </cols>
  <sheetData>
    <row r="1" spans="1:11">
      <c r="A1" s="5">
        <v>0</v>
      </c>
      <c r="B1" s="5">
        <v>1</v>
      </c>
      <c r="C1" s="5">
        <v>0</v>
      </c>
      <c r="D1" s="5">
        <v>1</v>
      </c>
      <c r="E1" s="28" t="s">
        <v>1</v>
      </c>
      <c r="F1" s="28" t="s">
        <v>1</v>
      </c>
      <c r="G1" s="5" t="s">
        <v>21</v>
      </c>
      <c r="H1" s="5" t="s">
        <v>22</v>
      </c>
      <c r="I1" s="5" t="s">
        <v>23</v>
      </c>
      <c r="J1" s="29" t="s">
        <v>1</v>
      </c>
      <c r="K1" s="29" t="s">
        <v>1</v>
      </c>
    </row>
    <row r="2" spans="1:11">
      <c r="A2" s="5">
        <v>1</v>
      </c>
      <c r="B2" s="5">
        <v>2</v>
      </c>
      <c r="C2" s="5">
        <v>1</v>
      </c>
      <c r="D2" s="5">
        <v>1.1000000000000001</v>
      </c>
      <c r="E2" s="29">
        <v>1</v>
      </c>
      <c r="F2" s="5" t="s">
        <v>103</v>
      </c>
      <c r="G2" s="5">
        <v>1</v>
      </c>
      <c r="H2" s="5" t="s">
        <v>104</v>
      </c>
      <c r="I2" s="28">
        <v>2017</v>
      </c>
      <c r="J2" s="29" t="s">
        <v>105</v>
      </c>
      <c r="K2" s="29" t="s">
        <v>106</v>
      </c>
    </row>
    <row r="3" spans="1:11">
      <c r="A3" s="5">
        <v>2</v>
      </c>
      <c r="B3" s="5">
        <v>3</v>
      </c>
      <c r="C3" s="5">
        <v>1.1000000000000001</v>
      </c>
      <c r="D3" s="5">
        <v>1.2</v>
      </c>
      <c r="E3" s="29">
        <v>2</v>
      </c>
      <c r="F3" s="5" t="s">
        <v>107</v>
      </c>
      <c r="G3" s="5">
        <v>2</v>
      </c>
      <c r="H3" s="5" t="s">
        <v>108</v>
      </c>
      <c r="I3" s="28">
        <v>2018</v>
      </c>
      <c r="J3" s="29" t="s">
        <v>109</v>
      </c>
      <c r="K3" s="29" t="s">
        <v>110</v>
      </c>
    </row>
    <row r="4" spans="1:11">
      <c r="A4" s="5">
        <v>3</v>
      </c>
      <c r="B4" s="5">
        <v>4</v>
      </c>
      <c r="C4" s="5">
        <v>1.2</v>
      </c>
      <c r="D4" s="5">
        <v>1.3</v>
      </c>
      <c r="E4" s="29">
        <v>3</v>
      </c>
      <c r="F4" s="5" t="s">
        <v>111</v>
      </c>
      <c r="G4" s="5">
        <v>3</v>
      </c>
      <c r="H4" s="5" t="s">
        <v>112</v>
      </c>
      <c r="I4" s="28">
        <v>2019</v>
      </c>
    </row>
    <row r="5" spans="1:11">
      <c r="A5" s="5">
        <v>4</v>
      </c>
      <c r="B5" s="5">
        <v>5</v>
      </c>
      <c r="C5" s="5">
        <v>1.3</v>
      </c>
      <c r="D5" s="5">
        <v>1.4</v>
      </c>
      <c r="E5" s="29">
        <v>4</v>
      </c>
      <c r="F5" s="5" t="s">
        <v>113</v>
      </c>
      <c r="G5" s="5">
        <v>4</v>
      </c>
      <c r="H5" s="5" t="s">
        <v>114</v>
      </c>
      <c r="I5" s="28">
        <v>2020</v>
      </c>
    </row>
    <row r="6" spans="1:11">
      <c r="A6" s="5">
        <v>5</v>
      </c>
      <c r="B6" s="5">
        <v>6</v>
      </c>
      <c r="C6" s="5">
        <v>1.4</v>
      </c>
      <c r="D6" s="5">
        <v>1.5</v>
      </c>
      <c r="E6" s="29">
        <v>5</v>
      </c>
      <c r="F6" s="5" t="s">
        <v>115</v>
      </c>
      <c r="G6" s="5">
        <v>5</v>
      </c>
      <c r="H6" s="5" t="s">
        <v>116</v>
      </c>
      <c r="I6" s="28">
        <v>2021</v>
      </c>
      <c r="J6" s="36"/>
    </row>
    <row r="7" spans="1:11">
      <c r="A7" s="5">
        <v>6</v>
      </c>
      <c r="B7" s="5">
        <v>7</v>
      </c>
      <c r="C7" s="5">
        <v>1.5</v>
      </c>
      <c r="D7" s="5">
        <v>1.6</v>
      </c>
      <c r="E7" s="29">
        <v>6</v>
      </c>
      <c r="F7" s="5" t="s">
        <v>117</v>
      </c>
      <c r="G7" s="5">
        <v>6</v>
      </c>
      <c r="H7" s="5" t="s">
        <v>118</v>
      </c>
      <c r="I7" s="28">
        <v>2022</v>
      </c>
    </row>
    <row r="8" spans="1:11">
      <c r="A8" s="5">
        <v>7</v>
      </c>
      <c r="B8" s="5">
        <v>8</v>
      </c>
      <c r="C8" s="5">
        <v>1.6</v>
      </c>
      <c r="D8" s="5">
        <v>1.7</v>
      </c>
      <c r="E8" s="29">
        <v>7</v>
      </c>
      <c r="F8" s="5" t="s">
        <v>119</v>
      </c>
      <c r="G8" s="5">
        <v>7</v>
      </c>
      <c r="H8" s="5" t="s">
        <v>120</v>
      </c>
      <c r="I8" s="28">
        <v>2023</v>
      </c>
    </row>
    <row r="9" spans="1:11">
      <c r="A9" s="5">
        <v>8</v>
      </c>
      <c r="B9" s="5">
        <v>9</v>
      </c>
      <c r="C9" s="5">
        <v>1.7</v>
      </c>
      <c r="D9" s="5">
        <v>1.8</v>
      </c>
      <c r="E9" s="29">
        <v>8</v>
      </c>
      <c r="F9" s="5" t="s">
        <v>121</v>
      </c>
      <c r="G9" s="5">
        <v>8</v>
      </c>
      <c r="H9" s="5" t="s">
        <v>122</v>
      </c>
      <c r="I9" s="28">
        <v>2024</v>
      </c>
    </row>
    <row r="10" spans="1:11">
      <c r="A10" s="5">
        <v>9</v>
      </c>
      <c r="B10" s="5">
        <v>10</v>
      </c>
      <c r="C10" s="5">
        <v>1.8</v>
      </c>
      <c r="D10" s="5">
        <v>1.9</v>
      </c>
      <c r="E10" s="29">
        <v>9</v>
      </c>
      <c r="F10" s="5" t="s">
        <v>123</v>
      </c>
      <c r="G10" s="5">
        <v>9</v>
      </c>
      <c r="H10" s="5" t="s">
        <v>124</v>
      </c>
      <c r="I10" s="28">
        <v>2025</v>
      </c>
    </row>
    <row r="11" spans="1:11">
      <c r="A11" s="5">
        <v>10</v>
      </c>
      <c r="C11" s="5">
        <v>1.9</v>
      </c>
      <c r="D11" s="5">
        <v>2</v>
      </c>
      <c r="E11" s="29">
        <v>10</v>
      </c>
      <c r="F11" s="5" t="s">
        <v>125</v>
      </c>
      <c r="G11" s="5">
        <v>10</v>
      </c>
      <c r="H11" s="5" t="s">
        <v>126</v>
      </c>
      <c r="I11" s="28">
        <v>2026</v>
      </c>
    </row>
    <row r="12" spans="1:11">
      <c r="C12" s="5">
        <v>2</v>
      </c>
      <c r="D12" s="5">
        <v>2.1</v>
      </c>
      <c r="E12" s="29">
        <v>11</v>
      </c>
      <c r="F12" s="5" t="s">
        <v>127</v>
      </c>
      <c r="G12" s="5">
        <v>11</v>
      </c>
      <c r="H12" s="5" t="s">
        <v>128</v>
      </c>
      <c r="I12" s="28">
        <v>2027</v>
      </c>
    </row>
    <row r="13" spans="1:11">
      <c r="C13" s="5">
        <v>2.1</v>
      </c>
      <c r="D13" s="5">
        <v>2.2000000000000002</v>
      </c>
      <c r="E13" s="29">
        <v>12</v>
      </c>
      <c r="F13" s="5" t="s">
        <v>129</v>
      </c>
      <c r="G13" s="5">
        <v>12</v>
      </c>
      <c r="H13" s="5" t="s">
        <v>130</v>
      </c>
      <c r="I13" s="28">
        <v>2028</v>
      </c>
    </row>
    <row r="14" spans="1:11">
      <c r="C14" s="5">
        <v>2.2000000000000002</v>
      </c>
      <c r="D14" s="5">
        <v>2.2999999999999998</v>
      </c>
      <c r="E14" s="29">
        <v>13</v>
      </c>
      <c r="F14" s="5" t="s">
        <v>131</v>
      </c>
      <c r="G14" s="5">
        <v>13</v>
      </c>
    </row>
    <row r="15" spans="1:11">
      <c r="C15" s="5">
        <v>2.2999999999999998</v>
      </c>
      <c r="D15" s="5">
        <v>2.4</v>
      </c>
      <c r="E15" s="29">
        <v>14</v>
      </c>
      <c r="F15" s="5" t="s">
        <v>132</v>
      </c>
      <c r="G15" s="5">
        <v>14</v>
      </c>
    </row>
    <row r="16" spans="1:11">
      <c r="C16" s="5">
        <v>2.4</v>
      </c>
      <c r="D16" s="5">
        <v>2.5</v>
      </c>
      <c r="E16" s="29">
        <v>15</v>
      </c>
      <c r="F16" s="5" t="s">
        <v>133</v>
      </c>
      <c r="G16" s="5">
        <v>15</v>
      </c>
    </row>
    <row r="17" spans="3:7">
      <c r="C17" s="5">
        <v>2.5</v>
      </c>
      <c r="D17" s="5">
        <v>2.6</v>
      </c>
      <c r="E17" s="29">
        <v>16</v>
      </c>
      <c r="F17" s="5" t="s">
        <v>134</v>
      </c>
      <c r="G17" s="5">
        <v>16</v>
      </c>
    </row>
    <row r="18" spans="3:7">
      <c r="C18" s="5">
        <v>2.6</v>
      </c>
      <c r="D18" s="5">
        <v>2.7</v>
      </c>
      <c r="E18" s="29">
        <v>17</v>
      </c>
      <c r="F18" s="5" t="s">
        <v>135</v>
      </c>
      <c r="G18" s="5">
        <v>17</v>
      </c>
    </row>
    <row r="19" spans="3:7">
      <c r="C19" s="5">
        <v>2.7</v>
      </c>
      <c r="D19" s="5">
        <v>2.8</v>
      </c>
      <c r="E19" s="29">
        <v>18</v>
      </c>
      <c r="F19" s="5" t="s">
        <v>136</v>
      </c>
      <c r="G19" s="5">
        <v>18</v>
      </c>
    </row>
    <row r="20" spans="3:7">
      <c r="C20" s="5">
        <v>2.8</v>
      </c>
      <c r="D20" s="5">
        <v>2.9</v>
      </c>
      <c r="E20" s="29">
        <v>19</v>
      </c>
      <c r="F20" s="5" t="s">
        <v>137</v>
      </c>
      <c r="G20" s="5">
        <v>19</v>
      </c>
    </row>
    <row r="21" spans="3:7">
      <c r="C21" s="5">
        <v>2.9</v>
      </c>
      <c r="D21" s="5">
        <v>3</v>
      </c>
      <c r="E21" s="29">
        <v>20</v>
      </c>
      <c r="F21" s="5" t="s">
        <v>138</v>
      </c>
      <c r="G21" s="5">
        <v>20</v>
      </c>
    </row>
    <row r="22" spans="3:7">
      <c r="C22" s="5">
        <v>3</v>
      </c>
      <c r="D22" s="5">
        <v>3.1</v>
      </c>
      <c r="E22" s="29">
        <v>21</v>
      </c>
      <c r="F22" s="5" t="s">
        <v>139</v>
      </c>
      <c r="G22" s="5">
        <v>21</v>
      </c>
    </row>
    <row r="23" spans="3:7">
      <c r="C23" s="5">
        <v>3.1</v>
      </c>
      <c r="D23" s="5">
        <v>3.2</v>
      </c>
      <c r="E23" s="29">
        <v>22</v>
      </c>
      <c r="G23" s="5">
        <v>22</v>
      </c>
    </row>
    <row r="24" spans="3:7">
      <c r="C24" s="5">
        <v>3.2</v>
      </c>
      <c r="D24" s="5">
        <v>3.3</v>
      </c>
      <c r="E24" s="29">
        <v>23</v>
      </c>
      <c r="G24" s="5">
        <v>23</v>
      </c>
    </row>
    <row r="25" spans="3:7">
      <c r="C25" s="5">
        <v>3.3</v>
      </c>
      <c r="D25" s="5">
        <v>3.4</v>
      </c>
      <c r="E25" s="29">
        <v>24</v>
      </c>
      <c r="G25" s="5">
        <v>24</v>
      </c>
    </row>
    <row r="26" spans="3:7">
      <c r="C26" s="5">
        <v>3.4</v>
      </c>
      <c r="D26" s="5">
        <v>3.5</v>
      </c>
      <c r="E26" s="29">
        <v>25</v>
      </c>
      <c r="G26" s="5">
        <v>25</v>
      </c>
    </row>
    <row r="27" spans="3:7">
      <c r="C27" s="5">
        <v>3.5</v>
      </c>
      <c r="D27" s="5">
        <v>3.6</v>
      </c>
      <c r="E27" s="29">
        <v>26</v>
      </c>
      <c r="G27" s="5">
        <v>26</v>
      </c>
    </row>
    <row r="28" spans="3:7">
      <c r="C28" s="5">
        <v>3.6</v>
      </c>
      <c r="D28" s="5">
        <v>3.7</v>
      </c>
      <c r="E28" s="29">
        <v>27</v>
      </c>
      <c r="G28" s="5">
        <v>27</v>
      </c>
    </row>
    <row r="29" spans="3:7">
      <c r="C29" s="5">
        <v>3.7</v>
      </c>
      <c r="D29" s="5">
        <v>3.8</v>
      </c>
      <c r="E29" s="29">
        <v>28</v>
      </c>
      <c r="G29" s="5">
        <v>28</v>
      </c>
    </row>
    <row r="30" spans="3:7">
      <c r="C30" s="5">
        <v>3.8</v>
      </c>
      <c r="D30" s="5">
        <v>3.9</v>
      </c>
      <c r="E30" s="29">
        <v>29</v>
      </c>
      <c r="G30" s="5">
        <v>29</v>
      </c>
    </row>
    <row r="31" spans="3:7">
      <c r="C31" s="5">
        <v>3.9</v>
      </c>
      <c r="D31" s="5">
        <v>4</v>
      </c>
      <c r="E31" s="29">
        <v>30</v>
      </c>
      <c r="G31" s="5">
        <v>30</v>
      </c>
    </row>
    <row r="32" spans="3:7">
      <c r="C32" s="5">
        <v>4</v>
      </c>
      <c r="D32" s="5">
        <v>4.0999999999999996</v>
      </c>
      <c r="E32" s="29">
        <v>31</v>
      </c>
      <c r="G32" s="5">
        <v>31</v>
      </c>
    </row>
    <row r="33" spans="3:5">
      <c r="C33" s="5">
        <v>4.0999999999999996</v>
      </c>
      <c r="D33" s="5">
        <v>4.2</v>
      </c>
      <c r="E33" s="29">
        <v>32</v>
      </c>
    </row>
    <row r="34" spans="3:5">
      <c r="C34" s="5">
        <v>4.2</v>
      </c>
      <c r="D34" s="5">
        <v>4.3</v>
      </c>
      <c r="E34" s="29">
        <v>33</v>
      </c>
    </row>
    <row r="35" spans="3:5">
      <c r="C35" s="5">
        <v>4.3</v>
      </c>
      <c r="D35" s="5">
        <v>4.4000000000000004</v>
      </c>
      <c r="E35" s="29">
        <v>34</v>
      </c>
    </row>
    <row r="36" spans="3:5">
      <c r="C36" s="5">
        <v>4.4000000000000004</v>
      </c>
      <c r="D36" s="5">
        <v>4.5</v>
      </c>
      <c r="E36" s="29">
        <v>35</v>
      </c>
    </row>
    <row r="37" spans="3:5">
      <c r="C37" s="5">
        <v>4.5</v>
      </c>
      <c r="D37" s="5">
        <v>4.5999999999999996</v>
      </c>
      <c r="E37" s="29">
        <v>36</v>
      </c>
    </row>
    <row r="38" spans="3:5">
      <c r="C38" s="5">
        <v>4.5999999999999996</v>
      </c>
      <c r="D38" s="5">
        <v>4.7</v>
      </c>
      <c r="E38" s="29">
        <v>37</v>
      </c>
    </row>
    <row r="39" spans="3:5">
      <c r="C39" s="5">
        <v>4.7</v>
      </c>
      <c r="D39" s="5">
        <v>4.8</v>
      </c>
      <c r="E39" s="29">
        <v>38</v>
      </c>
    </row>
    <row r="40" spans="3:5">
      <c r="C40" s="5">
        <v>4.8</v>
      </c>
      <c r="D40" s="5">
        <v>4.9000000000000004</v>
      </c>
      <c r="E40" s="29">
        <v>39</v>
      </c>
    </row>
    <row r="41" spans="3:5">
      <c r="C41" s="5">
        <v>4.9000000000000004</v>
      </c>
      <c r="D41" s="5">
        <v>5</v>
      </c>
      <c r="E41" s="29">
        <v>40</v>
      </c>
    </row>
    <row r="42" spans="3:5">
      <c r="C42" s="5">
        <v>5</v>
      </c>
      <c r="E42" s="29">
        <v>41</v>
      </c>
    </row>
    <row r="43" spans="3:5">
      <c r="E43" s="29">
        <v>42</v>
      </c>
    </row>
    <row r="44" spans="3:5">
      <c r="E44" s="29">
        <v>43</v>
      </c>
    </row>
    <row r="45" spans="3:5">
      <c r="E45" s="29">
        <v>44</v>
      </c>
    </row>
    <row r="46" spans="3:5">
      <c r="E46" s="29">
        <v>45</v>
      </c>
    </row>
    <row r="47" spans="3:5">
      <c r="E47" s="29">
        <v>46</v>
      </c>
    </row>
    <row r="48" spans="3:5">
      <c r="E48" s="29">
        <v>47</v>
      </c>
    </row>
    <row r="49" spans="5:5">
      <c r="E49" s="29">
        <v>48</v>
      </c>
    </row>
    <row r="50" spans="5:5">
      <c r="E50" s="29"/>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51"/>
  <sheetViews>
    <sheetView showGridLines="0" zoomScaleNormal="100" workbookViewId="0">
      <selection activeCell="E44" sqref="E44:F44"/>
    </sheetView>
  </sheetViews>
  <sheetFormatPr defaultColWidth="11.42578125" defaultRowHeight="12"/>
  <cols>
    <col min="1" max="1" width="4.140625" style="20" customWidth="1"/>
    <col min="2" max="2" width="33.85546875" style="20" customWidth="1"/>
    <col min="3" max="3" width="53" style="20" customWidth="1"/>
    <col min="4" max="4" width="90.85546875" style="20" customWidth="1"/>
    <col min="5" max="8" width="5.7109375" style="20" customWidth="1"/>
    <col min="9" max="9" width="31.7109375" style="20" customWidth="1"/>
    <col min="10" max="16384" width="11.42578125" style="20"/>
  </cols>
  <sheetData>
    <row r="1" spans="1:9">
      <c r="A1" s="19" t="s">
        <v>140</v>
      </c>
      <c r="B1" s="19" t="s">
        <v>30</v>
      </c>
      <c r="C1" s="19" t="s">
        <v>141</v>
      </c>
      <c r="D1" s="19" t="s">
        <v>142</v>
      </c>
    </row>
    <row r="2" spans="1:9" ht="178.5">
      <c r="A2" s="24">
        <v>1</v>
      </c>
      <c r="B2" s="23" t="s">
        <v>143</v>
      </c>
      <c r="C2" s="23" t="s">
        <v>144</v>
      </c>
      <c r="D2" s="23" t="s">
        <v>145</v>
      </c>
      <c r="E2" s="211"/>
      <c r="F2" s="212"/>
      <c r="G2" s="212"/>
      <c r="H2" s="212"/>
      <c r="I2" s="212"/>
    </row>
    <row r="3" spans="1:9" ht="73.5">
      <c r="A3" s="24">
        <v>2</v>
      </c>
      <c r="B3" s="23" t="s">
        <v>146</v>
      </c>
      <c r="C3" s="23" t="s">
        <v>147</v>
      </c>
      <c r="D3" s="23" t="s">
        <v>148</v>
      </c>
    </row>
    <row r="4" spans="1:9" ht="115.5">
      <c r="A4" s="24">
        <v>3</v>
      </c>
      <c r="B4" s="23" t="s">
        <v>149</v>
      </c>
      <c r="C4" s="22" t="s">
        <v>150</v>
      </c>
      <c r="D4" s="23" t="s">
        <v>151</v>
      </c>
    </row>
    <row r="5" spans="1:9" ht="42">
      <c r="A5" s="24">
        <v>4</v>
      </c>
      <c r="B5" s="23" t="s">
        <v>152</v>
      </c>
      <c r="C5" s="23" t="s">
        <v>153</v>
      </c>
      <c r="D5" s="23" t="s">
        <v>154</v>
      </c>
    </row>
    <row r="6" spans="1:9" ht="73.5">
      <c r="A6" s="24">
        <v>5</v>
      </c>
      <c r="B6" s="23" t="s">
        <v>155</v>
      </c>
      <c r="C6" s="96" t="s">
        <v>156</v>
      </c>
      <c r="D6" s="23" t="s">
        <v>157</v>
      </c>
    </row>
    <row r="7" spans="1:9" ht="84">
      <c r="A7" s="24">
        <v>6</v>
      </c>
      <c r="B7" s="23" t="s">
        <v>158</v>
      </c>
      <c r="C7" s="96" t="s">
        <v>159</v>
      </c>
      <c r="D7" s="23" t="s">
        <v>160</v>
      </c>
    </row>
    <row r="8" spans="1:9" ht="52.5">
      <c r="A8" s="24">
        <v>7</v>
      </c>
      <c r="B8" s="23" t="s">
        <v>161</v>
      </c>
      <c r="C8" s="97" t="s">
        <v>162</v>
      </c>
      <c r="D8" s="23" t="s">
        <v>163</v>
      </c>
    </row>
    <row r="9" spans="1:9" ht="52.5">
      <c r="A9" s="24">
        <v>8</v>
      </c>
      <c r="B9" s="23" t="s">
        <v>164</v>
      </c>
      <c r="C9" s="21" t="s">
        <v>165</v>
      </c>
      <c r="D9" s="23" t="s">
        <v>166</v>
      </c>
    </row>
    <row r="10" spans="1:9" ht="84">
      <c r="A10" s="24">
        <v>9</v>
      </c>
      <c r="B10" s="23" t="s">
        <v>167</v>
      </c>
      <c r="C10" s="96" t="s">
        <v>168</v>
      </c>
      <c r="D10" s="23" t="s">
        <v>169</v>
      </c>
    </row>
    <row r="11" spans="1:9" ht="94.5">
      <c r="A11" s="24">
        <v>10</v>
      </c>
      <c r="B11" s="23" t="s">
        <v>170</v>
      </c>
      <c r="C11" s="96" t="s">
        <v>171</v>
      </c>
      <c r="D11" s="23" t="s">
        <v>172</v>
      </c>
    </row>
    <row r="12" spans="1:9" ht="84">
      <c r="A12" s="24">
        <v>11</v>
      </c>
      <c r="B12" s="23" t="s">
        <v>173</v>
      </c>
      <c r="C12" s="96" t="s">
        <v>174</v>
      </c>
      <c r="D12" s="23" t="s">
        <v>175</v>
      </c>
    </row>
    <row r="13" spans="1:9" ht="63">
      <c r="A13" s="24">
        <v>12</v>
      </c>
      <c r="B13" s="23" t="s">
        <v>176</v>
      </c>
      <c r="C13" s="96" t="s">
        <v>177</v>
      </c>
      <c r="D13" s="23" t="s">
        <v>178</v>
      </c>
    </row>
    <row r="14" spans="1:9" ht="84">
      <c r="A14" s="24">
        <v>13</v>
      </c>
      <c r="B14" s="23" t="s">
        <v>179</v>
      </c>
      <c r="C14" s="96" t="s">
        <v>180</v>
      </c>
      <c r="D14" s="23" t="s">
        <v>181</v>
      </c>
    </row>
    <row r="15" spans="1:9" ht="52.5">
      <c r="A15" s="24">
        <v>14</v>
      </c>
      <c r="B15" s="23" t="s">
        <v>182</v>
      </c>
      <c r="C15" s="96" t="s">
        <v>183</v>
      </c>
      <c r="D15" s="23" t="s">
        <v>184</v>
      </c>
    </row>
    <row r="16" spans="1:9" ht="84">
      <c r="A16" s="24">
        <v>15</v>
      </c>
      <c r="B16" s="23" t="s">
        <v>185</v>
      </c>
      <c r="C16" s="96" t="s">
        <v>186</v>
      </c>
      <c r="D16" s="23" t="s">
        <v>187</v>
      </c>
    </row>
    <row r="17" spans="1:4" ht="63">
      <c r="A17" s="24">
        <v>16</v>
      </c>
      <c r="B17" s="23" t="s">
        <v>188</v>
      </c>
      <c r="C17" s="96" t="s">
        <v>189</v>
      </c>
      <c r="D17" s="23" t="s">
        <v>190</v>
      </c>
    </row>
    <row r="18" spans="1:4" ht="63">
      <c r="A18" s="24">
        <v>17</v>
      </c>
      <c r="B18" s="23" t="s">
        <v>191</v>
      </c>
      <c r="C18" s="96" t="s">
        <v>192</v>
      </c>
      <c r="D18" s="23" t="s">
        <v>193</v>
      </c>
    </row>
    <row r="19" spans="1:4" ht="94.5">
      <c r="A19" s="24">
        <v>18</v>
      </c>
      <c r="B19" s="23" t="s">
        <v>194</v>
      </c>
      <c r="C19" s="96" t="s">
        <v>195</v>
      </c>
      <c r="D19" s="23" t="s">
        <v>196</v>
      </c>
    </row>
    <row r="20" spans="1:4" ht="94.5">
      <c r="A20" s="24">
        <v>19</v>
      </c>
      <c r="B20" s="23" t="s">
        <v>197</v>
      </c>
      <c r="C20" s="96" t="s">
        <v>198</v>
      </c>
      <c r="D20" s="23" t="s">
        <v>199</v>
      </c>
    </row>
    <row r="21" spans="1:4" ht="52.5">
      <c r="A21" s="24">
        <v>20</v>
      </c>
      <c r="B21" s="23" t="s">
        <v>200</v>
      </c>
      <c r="C21" s="98" t="s">
        <v>201</v>
      </c>
      <c r="D21" s="23" t="s">
        <v>202</v>
      </c>
    </row>
    <row r="22" spans="1:4" ht="105">
      <c r="A22" s="24">
        <v>21</v>
      </c>
      <c r="B22" s="23" t="s">
        <v>203</v>
      </c>
      <c r="C22" s="98" t="s">
        <v>204</v>
      </c>
      <c r="D22" s="23" t="s">
        <v>205</v>
      </c>
    </row>
    <row r="23" spans="1:4" ht="105">
      <c r="A23" s="24">
        <v>22</v>
      </c>
      <c r="B23" s="23" t="s">
        <v>206</v>
      </c>
      <c r="C23" s="98" t="s">
        <v>207</v>
      </c>
      <c r="D23" s="23" t="s">
        <v>208</v>
      </c>
    </row>
    <row r="24" spans="1:4" ht="73.5">
      <c r="A24" s="24">
        <v>23</v>
      </c>
      <c r="B24" s="23" t="s">
        <v>209</v>
      </c>
      <c r="C24" s="96" t="s">
        <v>210</v>
      </c>
      <c r="D24" s="23" t="s">
        <v>211</v>
      </c>
    </row>
    <row r="25" spans="1:4" ht="52.5">
      <c r="A25" s="24">
        <v>24</v>
      </c>
      <c r="B25" s="23" t="s">
        <v>212</v>
      </c>
      <c r="C25" s="96" t="s">
        <v>213</v>
      </c>
      <c r="D25" s="23" t="s">
        <v>214</v>
      </c>
    </row>
    <row r="26" spans="1:4" ht="73.5">
      <c r="A26" s="24">
        <v>25</v>
      </c>
      <c r="B26" s="23" t="s">
        <v>215</v>
      </c>
      <c r="C26" s="96" t="s">
        <v>216</v>
      </c>
      <c r="D26" s="23" t="s">
        <v>217</v>
      </c>
    </row>
    <row r="27" spans="1:4" ht="31.5">
      <c r="A27" s="24">
        <v>26</v>
      </c>
      <c r="B27" s="23" t="s">
        <v>218</v>
      </c>
      <c r="C27" s="96" t="s">
        <v>219</v>
      </c>
      <c r="D27" s="23" t="s">
        <v>220</v>
      </c>
    </row>
    <row r="28" spans="1:4" ht="63">
      <c r="A28" s="24">
        <v>27</v>
      </c>
      <c r="B28" s="23" t="s">
        <v>221</v>
      </c>
      <c r="C28" s="96" t="s">
        <v>222</v>
      </c>
      <c r="D28" s="23" t="s">
        <v>223</v>
      </c>
    </row>
    <row r="29" spans="1:4" ht="73.5">
      <c r="A29" s="24">
        <v>28</v>
      </c>
      <c r="B29" s="23" t="s">
        <v>224</v>
      </c>
      <c r="C29" s="96" t="s">
        <v>225</v>
      </c>
      <c r="D29" s="23" t="s">
        <v>226</v>
      </c>
    </row>
    <row r="30" spans="1:4" ht="63">
      <c r="A30" s="24">
        <v>29</v>
      </c>
      <c r="B30" s="23" t="s">
        <v>227</v>
      </c>
      <c r="C30" s="96" t="s">
        <v>228</v>
      </c>
      <c r="D30" s="23" t="s">
        <v>229</v>
      </c>
    </row>
    <row r="31" spans="1:4" ht="42">
      <c r="A31" s="24">
        <v>30</v>
      </c>
      <c r="B31" s="23" t="s">
        <v>230</v>
      </c>
      <c r="C31" s="96" t="s">
        <v>231</v>
      </c>
      <c r="D31" s="23" t="s">
        <v>232</v>
      </c>
    </row>
    <row r="32" spans="1:4" ht="52.5">
      <c r="A32" s="24">
        <v>31</v>
      </c>
      <c r="B32" s="23" t="s">
        <v>233</v>
      </c>
      <c r="C32" s="96" t="s">
        <v>234</v>
      </c>
      <c r="D32" s="23" t="s">
        <v>235</v>
      </c>
    </row>
    <row r="33" spans="1:7" ht="52.5">
      <c r="A33" s="24">
        <v>32</v>
      </c>
      <c r="B33" s="23" t="s">
        <v>236</v>
      </c>
      <c r="C33" s="96" t="s">
        <v>237</v>
      </c>
      <c r="D33" s="23" t="s">
        <v>238</v>
      </c>
    </row>
    <row r="34" spans="1:7" ht="52.5">
      <c r="A34" s="24">
        <v>33</v>
      </c>
      <c r="B34" s="23" t="s">
        <v>239</v>
      </c>
      <c r="C34" s="96" t="s">
        <v>240</v>
      </c>
      <c r="D34" s="23" t="s">
        <v>241</v>
      </c>
    </row>
    <row r="35" spans="1:7" ht="73.5">
      <c r="A35" s="24">
        <v>34</v>
      </c>
      <c r="B35" s="23" t="s">
        <v>242</v>
      </c>
      <c r="C35" s="96" t="s">
        <v>243</v>
      </c>
      <c r="D35" s="23" t="s">
        <v>244</v>
      </c>
    </row>
    <row r="36" spans="1:7" ht="105">
      <c r="A36" s="24">
        <v>35</v>
      </c>
      <c r="B36" s="23" t="s">
        <v>245</v>
      </c>
      <c r="C36" s="96" t="s">
        <v>246</v>
      </c>
      <c r="D36" s="23" t="s">
        <v>247</v>
      </c>
    </row>
    <row r="37" spans="1:7" ht="94.5">
      <c r="A37" s="24">
        <v>36</v>
      </c>
      <c r="B37" s="23" t="s">
        <v>248</v>
      </c>
      <c r="C37" s="96" t="s">
        <v>249</v>
      </c>
      <c r="D37" s="23" t="s">
        <v>250</v>
      </c>
    </row>
    <row r="38" spans="1:7" ht="63">
      <c r="A38" s="24">
        <v>37</v>
      </c>
      <c r="B38" s="23" t="s">
        <v>251</v>
      </c>
      <c r="C38" s="96" t="s">
        <v>252</v>
      </c>
      <c r="D38" s="23" t="s">
        <v>253</v>
      </c>
    </row>
    <row r="39" spans="1:7" ht="84">
      <c r="A39" s="24">
        <v>38</v>
      </c>
      <c r="B39" s="23" t="s">
        <v>254</v>
      </c>
      <c r="C39" s="96" t="s">
        <v>255</v>
      </c>
      <c r="D39" s="23" t="s">
        <v>256</v>
      </c>
    </row>
    <row r="40" spans="1:7" ht="73.5">
      <c r="A40" s="24">
        <v>39</v>
      </c>
      <c r="B40" s="23" t="s">
        <v>257</v>
      </c>
      <c r="C40" s="96" t="s">
        <v>258</v>
      </c>
      <c r="D40" s="23" t="s">
        <v>259</v>
      </c>
    </row>
    <row r="41" spans="1:7" ht="63">
      <c r="A41" s="24">
        <v>40</v>
      </c>
      <c r="B41" s="23" t="s">
        <v>260</v>
      </c>
      <c r="C41" s="96" t="s">
        <v>261</v>
      </c>
      <c r="D41" s="23" t="s">
        <v>262</v>
      </c>
    </row>
    <row r="42" spans="1:7" ht="72.75" thickBot="1">
      <c r="A42" s="24">
        <v>41</v>
      </c>
      <c r="B42" s="99" t="s">
        <v>263</v>
      </c>
      <c r="C42" s="101" t="s">
        <v>264</v>
      </c>
      <c r="D42" s="102" t="s">
        <v>265</v>
      </c>
    </row>
    <row r="43" spans="1:7" s="78" customFormat="1" ht="84.75" thickBot="1">
      <c r="A43" s="24">
        <v>42</v>
      </c>
      <c r="B43" s="100" t="s">
        <v>266</v>
      </c>
      <c r="C43" s="103" t="s">
        <v>267</v>
      </c>
      <c r="D43" s="103" t="s">
        <v>268</v>
      </c>
      <c r="E43" s="210"/>
      <c r="F43" s="210"/>
      <c r="G43" s="210"/>
    </row>
    <row r="44" spans="1:7" ht="84">
      <c r="A44" s="24">
        <v>43</v>
      </c>
      <c r="B44" s="102" t="s">
        <v>269</v>
      </c>
      <c r="C44" s="102" t="s">
        <v>270</v>
      </c>
      <c r="D44" s="102" t="s">
        <v>271</v>
      </c>
      <c r="G44" s="77"/>
    </row>
    <row r="45" spans="1:7" ht="84">
      <c r="A45" s="24">
        <v>44</v>
      </c>
      <c r="B45" s="102" t="s">
        <v>272</v>
      </c>
      <c r="C45" s="102" t="s">
        <v>273</v>
      </c>
      <c r="D45" s="125" t="s">
        <v>274</v>
      </c>
      <c r="E45" s="122"/>
      <c r="F45" s="78"/>
      <c r="G45" s="126"/>
    </row>
    <row r="46" spans="1:7" ht="60">
      <c r="A46" s="24">
        <v>45</v>
      </c>
      <c r="B46" s="102" t="s">
        <v>275</v>
      </c>
      <c r="C46" s="102" t="s">
        <v>276</v>
      </c>
      <c r="D46" s="102" t="s">
        <v>277</v>
      </c>
      <c r="G46" s="77"/>
    </row>
    <row r="47" spans="1:7" s="78" customFormat="1" ht="72">
      <c r="A47" s="24">
        <v>46</v>
      </c>
      <c r="B47" s="103" t="s">
        <v>278</v>
      </c>
      <c r="C47" s="103" t="s">
        <v>279</v>
      </c>
      <c r="D47" s="103" t="s">
        <v>280</v>
      </c>
      <c r="E47" s="80"/>
      <c r="F47" s="79"/>
      <c r="G47" s="81"/>
    </row>
    <row r="48" spans="1:7" ht="84">
      <c r="A48" s="24">
        <v>47</v>
      </c>
      <c r="B48" s="104" t="s">
        <v>281</v>
      </c>
      <c r="C48" s="102" t="s">
        <v>282</v>
      </c>
      <c r="D48" s="102" t="s">
        <v>283</v>
      </c>
      <c r="G48" s="77"/>
    </row>
    <row r="49" spans="1:7" s="78" customFormat="1" ht="96">
      <c r="A49" s="24">
        <v>48</v>
      </c>
      <c r="B49" s="103" t="s">
        <v>284</v>
      </c>
      <c r="C49" s="103" t="s">
        <v>285</v>
      </c>
      <c r="D49" s="103" t="s">
        <v>286</v>
      </c>
      <c r="E49" s="80"/>
      <c r="F49" s="79"/>
      <c r="G49" s="124"/>
    </row>
    <row r="50" spans="1:7" ht="18.75" customHeight="1">
      <c r="G50" s="77"/>
    </row>
    <row r="51" spans="1:7" s="78" customFormat="1" ht="18.75" customHeight="1">
      <c r="E51" s="122"/>
      <c r="G51" s="123"/>
    </row>
  </sheetData>
  <mergeCells count="2">
    <mergeCell ref="E43:G43"/>
    <mergeCell ref="E2:I2"/>
  </mergeCell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
  <cp:revision/>
  <dcterms:created xsi:type="dcterms:W3CDTF">2019-03-08T15:54:21Z</dcterms:created>
  <dcterms:modified xsi:type="dcterms:W3CDTF">2023-10-25T16:15:11Z</dcterms:modified>
  <cp:category/>
  <cp:contentStatus/>
</cp:coreProperties>
</file>