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sistente.calidad\Downloads\"/>
    </mc:Choice>
  </mc:AlternateContent>
  <bookViews>
    <workbookView xWindow="0" yWindow="0" windowWidth="10425" windowHeight="6225"/>
  </bookViews>
  <sheets>
    <sheet name="INICIO" sheetId="35" r:id="rId1"/>
    <sheet name="F1" sheetId="13" r:id="rId2"/>
    <sheet name="F2" sheetId="23" r:id="rId3"/>
    <sheet name="F3" sheetId="24" r:id="rId4"/>
    <sheet name="F4" sheetId="25" r:id="rId5"/>
    <sheet name="F5" sheetId="38" r:id="rId6"/>
    <sheet name="F6" sheetId="39" r:id="rId7"/>
    <sheet name="F7" sheetId="26" r:id="rId8"/>
    <sheet name="F8" sheetId="27" r:id="rId9"/>
    <sheet name="F9" sheetId="28" r:id="rId10"/>
    <sheet name="F10" sheetId="31" r:id="rId11"/>
    <sheet name="F11" sheetId="29" r:id="rId12"/>
    <sheet name="F12" sheetId="37" r:id="rId13"/>
    <sheet name="Res." sheetId="32" r:id="rId14"/>
    <sheet name="D.Car." sheetId="34" r:id="rId15"/>
    <sheet name="Hoja1" sheetId="1" state="hidden" r:id="rId16"/>
    <sheet name="Hoja2" sheetId="33" state="hidden" r:id="rId17"/>
  </sheets>
  <externalReferences>
    <externalReference r:id="rId18"/>
    <externalReference r:id="rId19"/>
  </externalReferences>
  <definedNames>
    <definedName name="OBE">[1]Convencionales!$J$3:$J$17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37" l="1"/>
  <c r="O8" i="31"/>
  <c r="H43" i="32" s="1"/>
  <c r="O9" i="31"/>
  <c r="O10" i="31"/>
  <c r="H45" i="32" s="1"/>
  <c r="O11" i="31"/>
  <c r="H46" i="32" s="1"/>
  <c r="H44" i="32"/>
  <c r="A14" i="23"/>
  <c r="F11" i="32"/>
  <c r="B19" i="31"/>
  <c r="G46" i="32" s="1"/>
  <c r="B18" i="31"/>
  <c r="G45" i="32" s="1"/>
  <c r="B17" i="31"/>
  <c r="B16" i="31"/>
  <c r="B15" i="31"/>
  <c r="O8" i="37" l="1"/>
  <c r="A14" i="37"/>
  <c r="A16" i="31"/>
  <c r="A17" i="31"/>
  <c r="A18" i="31"/>
  <c r="A19" i="31"/>
  <c r="A15" i="31"/>
  <c r="A13" i="27"/>
  <c r="A12" i="27"/>
  <c r="A16" i="25"/>
  <c r="B16" i="25"/>
  <c r="G23" i="32" s="1"/>
  <c r="A17" i="25"/>
  <c r="B17" i="25"/>
  <c r="G24" i="32" s="1"/>
  <c r="A15" i="13"/>
  <c r="B15" i="13"/>
  <c r="G8" i="32" s="1"/>
  <c r="Q8" i="37" l="1"/>
  <c r="H53" i="32"/>
  <c r="M6" i="34"/>
  <c r="D6" i="34"/>
  <c r="B6" i="34"/>
  <c r="J54" i="32"/>
  <c r="J52" i="32"/>
  <c r="J49" i="32"/>
  <c r="J50" i="32"/>
  <c r="J48" i="32"/>
  <c r="J43" i="32"/>
  <c r="J44" i="32"/>
  <c r="J40" i="32"/>
  <c r="J38" i="32"/>
  <c r="J37" i="32"/>
  <c r="J35" i="32"/>
  <c r="J34" i="32"/>
  <c r="J32" i="32"/>
  <c r="J31" i="32"/>
  <c r="J27" i="32"/>
  <c r="J28" i="32"/>
  <c r="J29" i="32"/>
  <c r="J26" i="32"/>
  <c r="J22" i="32"/>
  <c r="J21" i="32"/>
  <c r="J15" i="32"/>
  <c r="J16" i="32"/>
  <c r="J17" i="32"/>
  <c r="J18" i="32"/>
  <c r="J19" i="32"/>
  <c r="J11" i="32"/>
  <c r="J12" i="32"/>
  <c r="J7" i="32"/>
  <c r="B52" i="32" l="1"/>
  <c r="B48" i="32"/>
  <c r="F38" i="32"/>
  <c r="F37" i="32"/>
  <c r="B31" i="32"/>
  <c r="B26" i="32"/>
  <c r="B21" i="32"/>
  <c r="B42" i="32"/>
  <c r="B40" i="32"/>
  <c r="B37" i="32"/>
  <c r="B34" i="32"/>
  <c r="B14" i="32"/>
  <c r="B10" i="32"/>
  <c r="B6" i="32"/>
  <c r="A15" i="37" l="1"/>
  <c r="F54" i="32" s="1"/>
  <c r="A13" i="37"/>
  <c r="F52" i="32" s="1"/>
  <c r="B14" i="29"/>
  <c r="G49" i="32" s="1"/>
  <c r="B15" i="29"/>
  <c r="G50" i="32" s="1"/>
  <c r="A14" i="29"/>
  <c r="F49" i="32" s="1"/>
  <c r="A15" i="29"/>
  <c r="F50" i="32" s="1"/>
  <c r="A13" i="29"/>
  <c r="F48" i="32" s="1"/>
  <c r="F43" i="32"/>
  <c r="F44" i="32"/>
  <c r="F42" i="32"/>
  <c r="A11" i="28"/>
  <c r="F40" i="32" s="1"/>
  <c r="B13" i="26"/>
  <c r="G35" i="32" s="1"/>
  <c r="A13" i="26"/>
  <c r="F35" i="32" s="1"/>
  <c r="A12" i="26"/>
  <c r="F34" i="32" s="1"/>
  <c r="B13" i="39"/>
  <c r="G32" i="32" s="1"/>
  <c r="A13" i="39"/>
  <c r="F32" i="32" s="1"/>
  <c r="B12" i="39"/>
  <c r="A12" i="39"/>
  <c r="F31" i="32" s="1"/>
  <c r="A15" i="38"/>
  <c r="F27" i="32" s="1"/>
  <c r="A16" i="38"/>
  <c r="F28" i="32" s="1"/>
  <c r="A17" i="38"/>
  <c r="F29" i="32" s="1"/>
  <c r="A14" i="38"/>
  <c r="F26" i="32" s="1"/>
  <c r="B17" i="38"/>
  <c r="B16" i="38"/>
  <c r="G28" i="32" s="1"/>
  <c r="B15" i="38"/>
  <c r="G27" i="32" s="1"/>
  <c r="B14" i="38"/>
  <c r="C13" i="39" l="1"/>
  <c r="O8" i="39" s="1"/>
  <c r="H32" i="32" s="1"/>
  <c r="C12" i="39"/>
  <c r="O7" i="39" s="1"/>
  <c r="G31" i="32"/>
  <c r="C31" i="32" s="1"/>
  <c r="O10" i="38"/>
  <c r="Q10" i="38" s="1"/>
  <c r="G29" i="32"/>
  <c r="O7" i="38"/>
  <c r="Q7" i="38" s="1"/>
  <c r="G26" i="32"/>
  <c r="C26" i="32" s="1"/>
  <c r="O8" i="38"/>
  <c r="Q8" i="38" s="1"/>
  <c r="O9" i="38"/>
  <c r="Q9" i="38" s="1"/>
  <c r="Q8" i="39" l="1"/>
  <c r="R7" i="38"/>
  <c r="S7" i="38" s="1"/>
  <c r="Q7" i="39"/>
  <c r="R7" i="39" s="1"/>
  <c r="H31" i="32"/>
  <c r="B14" i="25"/>
  <c r="A15" i="25"/>
  <c r="F22" i="32" s="1"/>
  <c r="A14" i="25"/>
  <c r="F21" i="32" s="1"/>
  <c r="A17" i="24"/>
  <c r="F15" i="32" s="1"/>
  <c r="A18" i="24"/>
  <c r="F16" i="32" s="1"/>
  <c r="A19" i="24"/>
  <c r="F17" i="32" s="1"/>
  <c r="A20" i="24"/>
  <c r="F18" i="32" s="1"/>
  <c r="A21" i="24"/>
  <c r="F19" i="32" s="1"/>
  <c r="A16" i="24"/>
  <c r="F14" i="32" s="1"/>
  <c r="A15" i="23"/>
  <c r="F12" i="32" s="1"/>
  <c r="A13" i="23"/>
  <c r="F10" i="32" s="1"/>
  <c r="B14" i="13"/>
  <c r="B13" i="13"/>
  <c r="G6" i="32" s="1"/>
  <c r="A14" i="13"/>
  <c r="F7" i="32" s="1"/>
  <c r="A13" i="13"/>
  <c r="F6" i="32" s="1"/>
  <c r="K26" i="32" l="1"/>
  <c r="G21" i="32"/>
  <c r="O7" i="13"/>
  <c r="O8" i="13"/>
  <c r="H7" i="32" s="1"/>
  <c r="O9" i="13"/>
  <c r="S7" i="39"/>
  <c r="K31" i="32"/>
  <c r="B15" i="37"/>
  <c r="G54" i="32" s="1"/>
  <c r="B13" i="37"/>
  <c r="Q9" i="13" l="1"/>
  <c r="H8" i="32"/>
  <c r="Q7" i="13"/>
  <c r="H6" i="32"/>
  <c r="O7" i="37"/>
  <c r="H52" i="32" s="1"/>
  <c r="G52" i="32"/>
  <c r="C52" i="32" s="1"/>
  <c r="O9" i="37"/>
  <c r="H54" i="32" s="1"/>
  <c r="Q9" i="37" l="1"/>
  <c r="Q7" i="37"/>
  <c r="J42" i="32"/>
  <c r="J14" i="32"/>
  <c r="R7" i="37" l="1"/>
  <c r="J10" i="32"/>
  <c r="J6" i="32"/>
  <c r="S7" i="37" l="1"/>
  <c r="K52" i="32"/>
  <c r="B13" i="29"/>
  <c r="B11" i="28"/>
  <c r="G40" i="32" s="1"/>
  <c r="C40" i="32" s="1"/>
  <c r="B13" i="27"/>
  <c r="G38" i="32" s="1"/>
  <c r="B12" i="27"/>
  <c r="G37" i="32" s="1"/>
  <c r="C37" i="32" s="1"/>
  <c r="B12" i="26"/>
  <c r="B15" i="25"/>
  <c r="B21" i="24"/>
  <c r="B20" i="24"/>
  <c r="B19" i="24"/>
  <c r="B18" i="24"/>
  <c r="B17" i="24"/>
  <c r="B16" i="24"/>
  <c r="B15" i="23"/>
  <c r="G12" i="32" s="1"/>
  <c r="B14" i="23"/>
  <c r="G11" i="32" s="1"/>
  <c r="B13" i="23"/>
  <c r="O7" i="25" l="1"/>
  <c r="L52" i="32"/>
  <c r="Q10" i="31"/>
  <c r="O7" i="27"/>
  <c r="H37" i="32" s="1"/>
  <c r="G22" i="32"/>
  <c r="C21" i="32" s="1"/>
  <c r="O10" i="25"/>
  <c r="H24" i="32" s="1"/>
  <c r="O9" i="25"/>
  <c r="H23" i="32" s="1"/>
  <c r="O8" i="25"/>
  <c r="H21" i="32"/>
  <c r="O9" i="23"/>
  <c r="H12" i="32" s="1"/>
  <c r="G48" i="32"/>
  <c r="C48" i="32" s="1"/>
  <c r="O9" i="29"/>
  <c r="O8" i="29"/>
  <c r="G34" i="32"/>
  <c r="C34" i="32" s="1"/>
  <c r="O8" i="26"/>
  <c r="O7" i="31"/>
  <c r="C11" i="28"/>
  <c r="O7" i="28" s="1"/>
  <c r="H40" i="32" s="1"/>
  <c r="O8" i="27"/>
  <c r="H38" i="32" s="1"/>
  <c r="O7" i="26"/>
  <c r="H34" i="32" s="1"/>
  <c r="O8" i="23"/>
  <c r="H11" i="32" s="1"/>
  <c r="G42" i="32"/>
  <c r="G43" i="32"/>
  <c r="G44" i="32"/>
  <c r="O7" i="29"/>
  <c r="H48" i="32" s="1"/>
  <c r="O10" i="24"/>
  <c r="O11" i="24"/>
  <c r="O7" i="24"/>
  <c r="O8" i="24"/>
  <c r="O12" i="24"/>
  <c r="O9" i="24"/>
  <c r="O7" i="23"/>
  <c r="G10" i="32"/>
  <c r="C10" i="32" s="1"/>
  <c r="G16" i="32"/>
  <c r="G17" i="32"/>
  <c r="G14" i="32"/>
  <c r="G18" i="32"/>
  <c r="G15" i="32"/>
  <c r="G19" i="32"/>
  <c r="H27" i="32" l="1"/>
  <c r="H22" i="32"/>
  <c r="C14" i="32"/>
  <c r="Q9" i="25"/>
  <c r="H28" i="32"/>
  <c r="Q10" i="25"/>
  <c r="H29" i="32"/>
  <c r="C42" i="32"/>
  <c r="Q9" i="31"/>
  <c r="Q11" i="31"/>
  <c r="H50" i="32"/>
  <c r="Q9" i="29"/>
  <c r="H49" i="32"/>
  <c r="Q8" i="29"/>
  <c r="H35" i="32"/>
  <c r="Q8" i="26"/>
  <c r="Q8" i="31"/>
  <c r="Q7" i="31"/>
  <c r="H42" i="32"/>
  <c r="Q7" i="29"/>
  <c r="Q8" i="27"/>
  <c r="Q7" i="27"/>
  <c r="Q7" i="26"/>
  <c r="Q7" i="23"/>
  <c r="H10" i="32"/>
  <c r="Q9" i="23"/>
  <c r="Q8" i="23"/>
  <c r="Q7" i="28"/>
  <c r="Q8" i="25"/>
  <c r="H26" i="32"/>
  <c r="Q7" i="25"/>
  <c r="Q12" i="24"/>
  <c r="H19" i="32"/>
  <c r="Q11" i="24"/>
  <c r="H18" i="32"/>
  <c r="Q8" i="24"/>
  <c r="H15" i="32"/>
  <c r="Q7" i="24"/>
  <c r="H14" i="32"/>
  <c r="Q10" i="24"/>
  <c r="H17" i="32"/>
  <c r="Q9" i="24"/>
  <c r="H16" i="32"/>
  <c r="G7" i="32"/>
  <c r="C6" i="32" s="1"/>
  <c r="R7" i="31" l="1"/>
  <c r="S7" i="31" s="1"/>
  <c r="C56" i="32"/>
  <c r="R7" i="23"/>
  <c r="S7" i="23" s="1"/>
  <c r="G56" i="32"/>
  <c r="R7" i="29"/>
  <c r="R7" i="27"/>
  <c r="K37" i="32" s="1"/>
  <c r="R7" i="26"/>
  <c r="K34" i="32" s="1"/>
  <c r="R7" i="28"/>
  <c r="R7" i="25"/>
  <c r="R7" i="24"/>
  <c r="S7" i="24" s="1"/>
  <c r="D42" i="32" l="1"/>
  <c r="B2" i="31" s="1"/>
  <c r="D26" i="32"/>
  <c r="B2" i="38" s="1"/>
  <c r="D37" i="32"/>
  <c r="B2" i="27" s="1"/>
  <c r="D6" i="32"/>
  <c r="D52" i="32"/>
  <c r="D34" i="32"/>
  <c r="B2" i="26" s="1"/>
  <c r="D21" i="32"/>
  <c r="B2" i="25" s="1"/>
  <c r="D48" i="32"/>
  <c r="B2" i="29" s="1"/>
  <c r="D40" i="32"/>
  <c r="B2" i="28" s="1"/>
  <c r="D14" i="32"/>
  <c r="D31" i="32"/>
  <c r="B2" i="39" s="1"/>
  <c r="K40" i="32"/>
  <c r="L40" i="32" s="1"/>
  <c r="S7" i="29"/>
  <c r="K48" i="32"/>
  <c r="S7" i="25"/>
  <c r="K21" i="32"/>
  <c r="L37" i="32"/>
  <c r="K42" i="32"/>
  <c r="L42" i="32" s="1"/>
  <c r="L34" i="32"/>
  <c r="S7" i="28"/>
  <c r="S7" i="27"/>
  <c r="S7" i="26"/>
  <c r="L31" i="32"/>
  <c r="K10" i="32"/>
  <c r="L10" i="32" s="1"/>
  <c r="L26" i="32"/>
  <c r="K14" i="32"/>
  <c r="L14" i="32" s="1"/>
  <c r="Q8" i="13"/>
  <c r="R7" i="13" s="1"/>
  <c r="K6" i="32" s="1"/>
  <c r="N52" i="32" l="1"/>
  <c r="B2" i="37"/>
  <c r="N40" i="32"/>
  <c r="L48" i="32"/>
  <c r="N48" i="32"/>
  <c r="L21" i="32"/>
  <c r="N21" i="32"/>
  <c r="N14" i="32"/>
  <c r="D10" i="32"/>
  <c r="B2" i="23" s="1"/>
  <c r="N31" i="32"/>
  <c r="S7" i="13"/>
  <c r="D56" i="32" l="1"/>
  <c r="N34" i="32"/>
  <c r="N37" i="32"/>
  <c r="N26" i="32"/>
  <c r="N42" i="32"/>
  <c r="B2" i="24"/>
  <c r="N10" i="32"/>
  <c r="L6" i="32" l="1"/>
  <c r="N6" i="32"/>
  <c r="N56" i="32" s="1"/>
  <c r="L56" i="32" s="1"/>
</calcChain>
</file>

<file path=xl/sharedStrings.xml><?xml version="1.0" encoding="utf-8"?>
<sst xmlns="http://schemas.openxmlformats.org/spreadsheetml/2006/main" count="560" uniqueCount="252">
  <si>
    <t>Ir</t>
  </si>
  <si>
    <t>Nombre Director(a):</t>
  </si>
  <si>
    <t xml:space="preserve">Nombre </t>
  </si>
  <si>
    <t>Cargo</t>
  </si>
  <si>
    <t xml:space="preserve">Participantes: </t>
  </si>
  <si>
    <t>P1</t>
  </si>
  <si>
    <t>P2</t>
  </si>
  <si>
    <t>P3</t>
  </si>
  <si>
    <t>P4</t>
  </si>
  <si>
    <t>P5</t>
  </si>
  <si>
    <t>P6</t>
  </si>
  <si>
    <t>P7</t>
  </si>
  <si>
    <t>P8</t>
  </si>
  <si>
    <t>P9</t>
  </si>
  <si>
    <t>P10</t>
  </si>
  <si>
    <t>P11</t>
  </si>
  <si>
    <t>P12</t>
  </si>
  <si>
    <t xml:space="preserve">Fecha de elaboración: </t>
  </si>
  <si>
    <t>DD</t>
  </si>
  <si>
    <t>MM</t>
  </si>
  <si>
    <t>AAAA</t>
  </si>
  <si>
    <t xml:space="preserve">Periodo: </t>
  </si>
  <si>
    <t xml:space="preserve">Elija </t>
  </si>
  <si>
    <t>Factor</t>
  </si>
  <si>
    <t>%</t>
  </si>
  <si>
    <t>Justificación</t>
  </si>
  <si>
    <t>F1. IDENTIDAD INSTITUCIONAL</t>
  </si>
  <si>
    <t>NIVEL DE IMPORTANCIA DE LA CARACTERÍSTICA</t>
  </si>
  <si>
    <t xml:space="preserve">VALORACIÓN </t>
  </si>
  <si>
    <t>Característica</t>
  </si>
  <si>
    <t>Cal.</t>
  </si>
  <si>
    <t xml:space="preserve">Res. </t>
  </si>
  <si>
    <r>
      <t xml:space="preserve"> </t>
    </r>
    <r>
      <rPr>
        <b/>
        <sz val="10"/>
        <color theme="0"/>
        <rFont val="Calibri"/>
        <family val="2"/>
      </rPr>
      <t>∑</t>
    </r>
  </si>
  <si>
    <t xml:space="preserve">Valoración </t>
  </si>
  <si>
    <t>1.  Coherencia y pertinencia de la misión</t>
  </si>
  <si>
    <t>2. Orientaciones y estrategias del Proyecto Educativo Institucional o lo que haga sus veces</t>
  </si>
  <si>
    <t>3. Formación Integral y Construcción de identidad</t>
  </si>
  <si>
    <t>NIV</t>
  </si>
  <si>
    <t>F2. GOBIERNO INSTITUCIONAL Y TRANSPARENCIA</t>
  </si>
  <si>
    <t>4. Buen gobierno y máximo órgano de gobierno</t>
  </si>
  <si>
    <t>5. Relación congrupos de interés</t>
  </si>
  <si>
    <t>6. Rendición de cuentas</t>
  </si>
  <si>
    <t>F3. DESARROLLO, GESTIÓN Y SOSTENIBILIDAD INSTITUCIONAL</t>
  </si>
  <si>
    <t>7. Administración y gestión</t>
  </si>
  <si>
    <t>8. Procesos de Comunicación</t>
  </si>
  <si>
    <t>9. Capacidad de gestión</t>
  </si>
  <si>
    <t>10. Recursos de apoyo académico</t>
  </si>
  <si>
    <t>11. Infraestructura fisica y tecnologica</t>
  </si>
  <si>
    <t>12. Recursos y gestión financiera</t>
  </si>
  <si>
    <t>F4. MEJORAMIENTO CONTINUO Y AUTORREGULACIÓN</t>
  </si>
  <si>
    <t>13. Cultura de la Autoevaluación</t>
  </si>
  <si>
    <t>14. Procesos de autorregulación</t>
  </si>
  <si>
    <t>15. Sistema Interno de Aseguramiento de la Calidad</t>
  </si>
  <si>
    <t>16. Evaluación de directivas, profesores y personal administrativo</t>
  </si>
  <si>
    <t>F5. ESTRUCTURA Y PROCESOS ACADÉMICOS</t>
  </si>
  <si>
    <t>17. Componentes formativos</t>
  </si>
  <si>
    <t>18. Componentes pedagógicos y de evaluación</t>
  </si>
  <si>
    <t>19. Componente de interacción y relevancia social</t>
  </si>
  <si>
    <t>20. Procesos de creación, modificación y ampliación de programas académicos</t>
  </si>
  <si>
    <t>F6. APORTES DE LA INVESTIGACIÓN, LA INNOVACIÓN, EL DESARROLLO TECNOLÓGICO Y LA CREACIÓN AL ENTORNO</t>
  </si>
  <si>
    <t>21. Formación para la investigación, creación e innovación</t>
  </si>
  <si>
    <t>22. Investigación, desarrollo tecnológico, innovación y creación</t>
  </si>
  <si>
    <t>F7. IMPACTO SOCIAL</t>
  </si>
  <si>
    <t>23. Institución y entorno</t>
  </si>
  <si>
    <t>24. Impacto cultural y artístico</t>
  </si>
  <si>
    <t>F8. VISIBILIDAD NACIONAL E INTERNACIONAL</t>
  </si>
  <si>
    <t>25. Inserción de la institución en contextos académicos nacionales e internacionales</t>
  </si>
  <si>
    <t>26. Relaciones externas de profesores y estudiantes</t>
  </si>
  <si>
    <t>F9. BIENESTAR INSTITUCIONAL</t>
  </si>
  <si>
    <t>27. Estructura y funcionamiento del bienestar institucional</t>
  </si>
  <si>
    <t>F10. COMUNIDAD DE PROFESORES</t>
  </si>
  <si>
    <t>28. Derechos y deberes de los profesores</t>
  </si>
  <si>
    <t>29. Planta profesoral</t>
  </si>
  <si>
    <t>30. Trayectoria profesoral</t>
  </si>
  <si>
    <t>31. Desarrollo profesoral</t>
  </si>
  <si>
    <t>32. Interacción académica de los profesores</t>
  </si>
  <si>
    <t>F11. COMUNIDAD DE ESTUDIANTES</t>
  </si>
  <si>
    <t>33. Derechos y deberes de los estudiantes</t>
  </si>
  <si>
    <t>34. Admisión y permanencia de los estudiantes</t>
  </si>
  <si>
    <t>35. Estímulos y apoyos para estudiantes</t>
  </si>
  <si>
    <t>F12. COMUNIDAD DE EGRESADOS</t>
  </si>
  <si>
    <t>36. Seguimiento a egresados</t>
  </si>
  <si>
    <t>37. Egresados y programas académicos</t>
  </si>
  <si>
    <t>38. Relación de los egresados con la Institución</t>
  </si>
  <si>
    <t xml:space="preserve">PONDERACIÓN </t>
  </si>
  <si>
    <t>VALORACIÓN</t>
  </si>
  <si>
    <t xml:space="preserve">Factor </t>
  </si>
  <si>
    <t>Peso</t>
  </si>
  <si>
    <t>Peso Fac.</t>
  </si>
  <si>
    <t>Calificación</t>
  </si>
  <si>
    <t>Peso Car.</t>
  </si>
  <si>
    <t xml:space="preserve"> Res. x Fac.</t>
  </si>
  <si>
    <t xml:space="preserve">Característica  </t>
  </si>
  <si>
    <t xml:space="preserve">NOMBRE </t>
  </si>
  <si>
    <t xml:space="preserve">DESCRIPCIÓN </t>
  </si>
  <si>
    <t>ASPECTOS A EVALUAR</t>
  </si>
  <si>
    <t>Administración de Empresas Agropecuarias</t>
  </si>
  <si>
    <t>Enero</t>
  </si>
  <si>
    <t>I</t>
  </si>
  <si>
    <t>Popayán</t>
  </si>
  <si>
    <t>Administración de Empresas</t>
  </si>
  <si>
    <t>Febrero</t>
  </si>
  <si>
    <t>II</t>
  </si>
  <si>
    <t>Santander de Quilichao</t>
  </si>
  <si>
    <t>Arquitectura</t>
  </si>
  <si>
    <t>Marzo</t>
  </si>
  <si>
    <t>Comunicación Social</t>
  </si>
  <si>
    <t>Abril</t>
  </si>
  <si>
    <t>Contaduría Pública</t>
  </si>
  <si>
    <t>Mayo</t>
  </si>
  <si>
    <t>Derecho</t>
  </si>
  <si>
    <t>Junio</t>
  </si>
  <si>
    <t>Ecología</t>
  </si>
  <si>
    <t>Julio</t>
  </si>
  <si>
    <t>Economía</t>
  </si>
  <si>
    <t>Agosto</t>
  </si>
  <si>
    <t>Ingeniería de Sistemas</t>
  </si>
  <si>
    <t>Septiembre</t>
  </si>
  <si>
    <t>Ingeniería Industrial</t>
  </si>
  <si>
    <t>Octubre</t>
  </si>
  <si>
    <t>Licenciatura en Educación Básica y Cultural</t>
  </si>
  <si>
    <t>Noviembre</t>
  </si>
  <si>
    <t>Psicología</t>
  </si>
  <si>
    <t>Diciembre</t>
  </si>
  <si>
    <t>Trabajo Social</t>
  </si>
  <si>
    <t>Administración de Empresas Agropecuarias - Virtual</t>
  </si>
  <si>
    <t>Administración de Empresas - Virtual</t>
  </si>
  <si>
    <t>Comunicación Social - Virtual</t>
  </si>
  <si>
    <t>#</t>
  </si>
  <si>
    <t xml:space="preserve">Descripción </t>
  </si>
  <si>
    <t>Aspectos a Evaluar</t>
  </si>
  <si>
    <t>1. COHERENCIA Y PERTINENCIA DE LA MISIÓN</t>
  </si>
  <si>
    <t>La institución de alta calidad se reconoce porque cuenta con una misión que es coherente y pertinente con el medio social, cultural y ambiental, de acuerdo con su naturaleza jurídica, identidad, tipología y contexto. Dicha misión es dinámica en la medida que implica una evaluación sistemática, es coherente y está articulada con los cambios del entorno; a su vez, debe desplegarse en los objetivos y los procesos académicos y administrativos</t>
  </si>
  <si>
    <t>a) Evidencia de la coherencia y pertinencia de la misión con la naturaleza jurídica, tradición, objetivos y logros institucionales; el entorno social, cultural, ambiental y productivo; los procesos académicos y administrativos; la información que suministra y la imagen que da a la sociedad.
b) Demostración de los procesos de reflexión colectiva y valoración sistemática en relación con los principios y apuestas misionales y la relación con el entorno.
c) Demostración de los cambios implementados, si los hubiere, en la misión y visión institucional como resultado de las evaluaciones sistemáticas y periódicas realizadas por la institución en el tiempo, y su impacto en el medio social, cultural y ambiental.</t>
  </si>
  <si>
    <t>2. ORIENTACIONES Y ESTRATEGIAS DEL PROYECTO EDUCATIVO INSTITUCIONAL O LO QUE HAGA SUS VECES</t>
  </si>
  <si>
    <t xml:space="preserve">La institución de alta calidad se reconoce porque cuenta con un proyecto educativo institucional, o lo que haga sus veces, como fundamento para el gobierno institucional, la planeación, la administración, la evaluación y la autorregulación, y el desarrollo y proyección de sus labores formativas, académicas, docentes, científicas, culturales y de extensión. De igual
manera, es el referente en la definición de los requerimientos para el desarrollo del bienestar institucional y la demanda de los recursos físicos, tecnológicos y financieros, así como en el fortalecimiento de las relaciones nacionales e internacionales. Lo anterior, de acuerdo con su naturaleza jurídica, identidad, misión, tipología y un contexto determinado </t>
  </si>
  <si>
    <t>a) Existencia de procesos de actualización de las orientaciones y estrategias del proyecto educativo institucional o lo que haga sus veces, en correspondencia con su naturaleza jurídica, organización, administración, evaluación y autorregulación de la docencia, investigación, y extensión o proyección social, así como del bienestar, la internacionalización, los recursos físicos, tecnológicos y financieros, y el análisis del impacto de dichos procesos de actualización en el mejoramiento del desarrollo de las funciones sustantivas anteriormente mencionadas.
b) Evidencia de acciones orientadas a reflexionar con la comunidad académica y la sociedad sobre el proyecto educativo institucional, o lo que haga sus veces, los ajustes a este y el resultado de estas valoraciones.
c) Apreciación por parte de la comunidad académica en relación con los estudios orientados a evaluar la pertinencia del proyecto educativo institucional con las dinámicas y prácticas para la organización, toma de decisiones, administración, evaluación y autorregulación de las labores académicas, formativas, docentes, científicas, culturales y de extensión, así como del bienestar, la internacionalización y los recursos físicos, tecnológicos y financieros. Incorporación de los análisis de apreciaciones sistematizadas y periódicas en planes de mejoramiento institucional.</t>
  </si>
  <si>
    <t>3. FORMACIÓN INTEGRAL Y CONSTRUCCIÓN DE IDENTIDAD</t>
  </si>
  <si>
    <t>La institución de alta calidad se reconoce porque, además de una formación académica y profesional de alto nivel, brinda oportunidades para el desarrollo personal en todas las dimensiones del ser humano, al tiempo que fortalece la comunidad académica en un ambiente que incentiva el bienestar institucional, de acuerdo con su identidad. Todo lo anterior se evidencia en el reconocimiento de la identidad institucional por parte de la sociedad en general, a través de la impronta común que la comunidad académica demuestra en su quehacer cotidiano y en el ejercicio de su profesión</t>
  </si>
  <si>
    <t>a) Apreciación por parte de la comunidad académica en relación con la existencia de orientaciones y estrategias para el fomento de la formación integral de los estudiantes y el fortalecimiento de la comunidad académica en un ambiente institucional adecuado, incluyente, de responsabilidad social y con valores éticos. Incorporación de los análisis de apreciaciones sistematizadas y periódicas en planes de mejoramiento institucional.
b) Apreciación por parte de la comunidad académica y los grupos de interés de la institución en relación con las evidencias que permiten corroborar ante la sociedad que sus egresados reciben una formación integral y desarrollo de su pensamiento crítico. Incorporación de los análisis de apreciaciones sistematizadas y periódicas en planes de mejoramiento institucional.
c) Apreciación por parte de la comunidad académica y de los grupos de interés de la institución, relacionada con la evidencia de las estrategias y programas que la institución implementa para propiciar la formación integral de los estudiantes, la consolidación de su identidad y el reconocimiento social. Incorporación de los análisis de apreciaciones sistematizadas y periódicas en planes de mejoramiento institucional.
d) Presentación resultados de estudios sistemáticos y periódicos que evalúen el cumplimiento del logro de una formación integral y pensamiento crítico de sus estudiantes.
e) Existencia de orientaciones y estrategias para el fomento de la formación integral de los estudiantes y el fortalecimiento de la comunidad académica en un ambiente institucional que brinde las condiciones adecuadas para hacerlo y sea además incluyente</t>
  </si>
  <si>
    <t>4. BUEN GOBIERNO Y MÁXIMO ORGANO DE GOBIERNO</t>
  </si>
  <si>
    <t>La institución de alta calidad se reconoce porque las orientaciones estratégicas y las decisiones de política y desarrollo institucional se toman en su máximo órgano de gobierno, el cual cuenta con la participación, entre otros, de representantes de los sectores externos, de los profesores y los estudiantes, en coherencia con su naturaleza jurídica, identidad, misión y tipología</t>
  </si>
  <si>
    <t>a) Apreciación por parte de los miembros de la comunidad académica de los mecanismos y formas de convocatoria, selección y participación de la representación democrática de estudiantes, profesores y egresados en el máximo órgano de gobierno de la institución, así como de los sectores de la sociedad. Incorporación de los análisis de apreciaciones sistematizadas y periódicas en planes de mejoramiento institucional.
b) Evaluación y análisis sistemáticos y periódicos del impacto de la aplicación de las normas institucionales, según su naturaleza jurídica, y del código de buen gobierno en el funcionamiento del máximo órgano de dirección y demás órganos colegiados. Incorporación de los resultados de dichos análisis en planes de mejoramiento institucional.
c) Demostración de acciones de mejora a partir de la evaluación sistemática del funcionamiento y de las decisiones tomadas por el máximo órgano de gobierno y demás órganos colegiados.
d) Apreciación de la comunidad académica sobre la eficiencia, trasparencia y buenas prácticas de los órganos de gobierno institucional y sus integrantes.</t>
  </si>
  <si>
    <t>5. RELACIÓN CON GRUPOS DE INTERÉS</t>
  </si>
  <si>
    <t>La Institución de alta calidad se reconoce porque demuestra la existencia de múltiples relaciones e interacciones con los grupos de interés de la sociedad y los actores del Sistema de Aseguramiento de la Calidad de la Educación Superior. Lo anterior en consonancia con la naturaleza jurídica, identidad, misión y tipología de las instituciones, de manera que se articulen las políticas de la educación y del desarrollo en general, mediante la generación de reflexiones y prospectivas que contribuyan a las labores académicas, formativas, docentes, científicas, culturales y de extensión</t>
  </si>
  <si>
    <t>a) Presentación de los resultados de los procesos participativos y colegiados de los gruposde interés en la construcción del proyecto educativo institucional o lo que haga sus veces y de la planeación institucional, y la construcción de sus respectivos planes estratégicos.
b) Presentación de análisis sistemáticos y periódicos de los resultados derivados de la existencia de estamentos, políticas, estrategias, documentos que orientan la articulación y participación de la institución con diversos grupos de interés. Incorporación de los resultados de dichos análisis en planes de mejoramiento institucional.
c) Demostración del número de organizaciones de la sociedad en la región, el país y del extranjero con las que ha establecido relación, identificar el grado e intensidad de dicha relación y análisis de los aportes de dichas organizaciones en el buen cumplimiento de las funciones yapuestas misionales declaradas por la institución.
d) Evidencia del nivel y eficiencia de la comunicación bidireccional con sus grupos de interés.</t>
  </si>
  <si>
    <t>6. RENDICIÓN DE CUENTAS</t>
  </si>
  <si>
    <t xml:space="preserve">La institución de alta calidad se reconoce porque demuestra que desarrolla mecanismos de rendición de cuentas periódicos a todos sus grupos de interés y a la comunidad académica, mediante procesos y mecanismos reflexivos, estructurados y documentados, que permiten un análisis objetivo de los compromisos establecidos </t>
  </si>
  <si>
    <t>a) Presentación de la evaluación y análisis de los mecanismos de rendición de cuentas en los diferentes niveles que evidencian espacios de reflexión, estructurados y documentados, en donde participan la comunidad académica y la sociedad, y sus resultados se incorporan en la planeación, mejoramiento continuo y en la toma de decisiones.
b) Demostración y presentación, de forma sistemática y periódica, de las opiniones brindadas por la comunidad académica, recogidas a través de canales institucionales de comunicación propiciados por la institución para la rendición de cuentas.
c) Evidencia documental, testimonial y estadística sobre la existencia de mecanismos de rendición de cuentas y su impacto en la mejora institucional.</t>
  </si>
  <si>
    <t>7. ADMINISTRACIÓN Y GESTIÓN</t>
  </si>
  <si>
    <t>La institución de alta calidad se reconoce porque demuestra que su administración y su gestión están orientadas al apoyo y acompañamiento para una eficiente ejecución de sus labores formativas, académicas, docentes, científicas, culturales y de extensión, definidas por ella en el marco de la constitución y la ley, según su naturaleza jurídica, tipología, identidad y misión. Asimismo, la institución desarrolla políticas de estímulo, promoción y cualificación de sus funcionarios, e implementa un modelo de arquitectura institucional que se expresa en la articulación de la organización, los procesos y los cargos, con un seguimiento periódico que le permite evidenciar oportunidades de mejora e implementarlas</t>
  </si>
  <si>
    <t>a) Presentación de análisis sistemáticos y periódicos de los resultados de la aplicación de políticas administrativas orientadas al desarrollo de la docencia, la investigación y la extensión o proyección social. Incorporación de las recomendaciones de dichos análisis en procesos de mejoramiento.
b) Presentación del análisis sistemático y periódico de la aplicación de políticas de estímulos, capacitación y promoción del personal administrativo que contribuyan a la cualificación del desempeño de sus actividades y procesos.
Incorporación de los resultados de dichos análisis en procesos de mejoramiento.
c) Evidencia de sistemas de información y de gestión documental incorporados, acorde con la normativa y trazabilidad de los procesos documentales propios de la historia académica de los estudiantes, historia académica y laboral de profesores e historia laboral del personal administrativo, así como la memoria de la gestión administrativa.
d) Apreciación por parte de los miembros de la comunidad académica acerca de la eficiencia de la estructura y función administrativa en el desarrollo de la docencia, investigación, internacionalización, extensión y proyección social. Incorporación de las recomendaciones de los análisis sistemáticos y periódicos de dichas apreciaciones en planes de mejoramiento institucional.
e) Presentación de análisis sistemáticos y periódicos de los resultados de la aplicación de políticas de estímulos, capacitación y promoción del personal administrativo que contribuyan a la cualificación del desempeño de los funcionarios en el ejercicio de sus actividades y procesos. Incorporación de las recomendaciones de dichos análisis en procesos de mejoramiento.</t>
  </si>
  <si>
    <t>8. PROCESOS DE COMUNICACIÓN</t>
  </si>
  <si>
    <t>La institución de alta calidad se reconoce porque demuestra que mantiene, con responsabilidad y alta cobertura, procesos y mecanismos de comunicación eficientes, actualizados, que promueven y garantizan el derecho de acceso a la información y la protección de datos, con observancia de los enfoques diferenciales, de manera que la información y los datos sean apropiados por los destinatarios</t>
  </si>
  <si>
    <t>a) Presentación de análisis sistemáticos y periódicos de la efectividad de los sistemas de información integrados y de mecanismos eficaces en la comunicación interna y externa de la institución. Incorporación de los resultados de dichos análisis en procesos de mejoramiento.
b) Evidencia del sitio web institucional, debidamente actualizado para mantener informados a la comunidad y a los usuarios sobre la oferta formativa, las dinámicas institucionales y los actores que la conforman, de acuerdo con la normatividad vigente.
c) Demostración de canales de comunicación de la institución que evidencien ampliación de la cobertura, accesibilidad y calidad, así como, su eficiencia y permanente actualización tecnológica.
d) Apreciación por parte de los miembros de la comunidad académica de la pertinencia, accesibilidad y usabilidad de la plataforma tecnológica adecuada para garantizar la conectividad a todos los miembros de la comunidad académica. Incorporación de los resultados de estos análisis de apreciaciones sistematizadas y periódicas en planes de mejoramiento institucional.
e) Existencia de mecanismos de comunicación con enfoque diferencial que brinden facilidad y oportunidad para que la población institucional tenga acceso a la información.
f) Apreciación por parte de los miembros de la comunidad académica acerca de la existencia de políticas, mecanismos, plataformas, medios de comunicación y recursos humanos que le permitan mantener interconexión y a los agentes externos acceder a información pertinente, actualizada y veraz sobre las políticas, servicios, actores y dinámicas institucionales. Incorporación de los resultados de los análisis de estas apreciaciones en planes de mejoramiento institucional.</t>
  </si>
  <si>
    <t>9. CAPACIDAD DE GESTIÓN</t>
  </si>
  <si>
    <t>La institución de alta calidad se reconoce porque demuestra que la gestión se ejerce con liderazgo y que sus orientaciones están claramente definidas, son conocidas por los distintos estamentos y contribuyen efectivamente a la
estabilidad administrativa de la institución y a la continuidad de sus políticas académicas asociadas a currículo, resultados de aprendizaje, créditos y actividades, políticas de gestión institucional y bienestar, y políticas de investigación, innovación y creación</t>
  </si>
  <si>
    <t>a) Apreciación por parte de los miembros de la comunidad académica en relación con la estructura organizacional y administrativa coherente con las características institucionales y su proyecto educativo institucional o lo que haga sus veces. Incorporación de los análisis de apreciaciones sistematizadas y periódicas en planes de mejoramiento institucional.
b) Apreciación por parte de los miembros de la comunidad universitaria acerca del liderazgo, integridad e idoneidad de los responsables de la dirección de la institución y sus dependencias. Incorporación de los análisis de apreciaciones sistematizadas y periódicas en planes de mejoramiento institucional.
c) Evidencia de la coherencia de las actuaciones de los responsables de la institución y sus dependencias con los compromisos derivados de la misión y del proyecto educativo institucional o lo que haga sus veces.
d) Apreciación por parte de los miembros de la comunidad académica, en relación con los mecanismos transparentes para la designación de los cargos de dirección y asignación de responsabilidades, funciones, roles y de los procedimientos que deben seguirse dentro de la institución. Incorporación de los análisis de apreciaciones sistematizadas y periódicas en planes de mejoramiento institucional.</t>
  </si>
  <si>
    <t>10. RECURSOS DE APOYO ACADÉMICO</t>
  </si>
  <si>
    <t>La institución de alta calidad se reconoce porque demuestra que cuenta con la dotación de equipos, mobiliario, plataformas tecnológicas, sistemas informáticos y lo que haga sus veces, recursos bibliográficos físicos y/o digitales, bases de datos, recursos de aprendizaje e información, que garantizan la disponibilidad, el acceso, la adaptabilidad y aceptabilidad en los ambientes de aprendizaje físicos y virtuales de que dispone. Asimismo, atiende los requerimientos particulares de la comunidad académica para que estos recursos sean utilizados apropiadamente en el desarrollo de las
labores formativas, académicas, docentes, científicas, culturales y de extensión, dando alcance a los diferentes niveles de formación y modalidades de sus programas académicos, en correspondencia con su naturaleza jurídica, identidad, misión, tipología y contexto regional</t>
  </si>
  <si>
    <t>a) Evidencia de políticas, recursos y presupuestos de inversión en equipos de laboratorio, sitios de práctica, bibliotecas, recursos didácticos y demás elementos para garantizar la calidad del proceso formativo, teniendo en cuenta directrices nacionales para la inclusión, entre otros.
b) Apreciación por parte de profesores y estudiantes acerca de las colecciones bibliográficas, documentales y de archivo, bases de datos y revistas suficientes para la capacidad de la institución, pertinentes y actualizadas para respaldar las labores académicas, formativas, de investigación, culturales y de extensión. Incorporación de los análisis de apreciaciones sistematizadas y periódicas en planes de mejoramiento institucional.
c) Apreciación por parte de los miembros de la comunidad académica, acerca de la accesibilidad, disponibilidad, pertinencia y calidad de los laboratorios y sitios de práctica para las labores académicas de la institución (docencia, investigación, extensión o proyección social).Incorporación de los análisis de apreciaciones sistematizadas y periódicas en planes de mejoramiento institucional.
d) Apreciación por parte de los miembros de la comunidad académica acerca de la existencia de mecanismos para la compra, mantenimiento, renovación y acceso a los equipos, mobiliario, plataformas tecnológicas, sistemas informáticos y lo que haga sus veces, recursos bibliográficos físicos y/o digitales, bases de datos y recursos de aprendizaje e información, acordes con los diferentes niveles de formación y modalidades de sus programas académicos, en correspondencia con su naturaleza jurídica, identidad, misión, tipología y contexto regional. Incorporación de los análisis de apreciaciones sistematizadas y periódicas en planes de mejoramiento institucional.</t>
  </si>
  <si>
    <t>11. DESARROLLO PROFESORAL</t>
  </si>
  <si>
    <t>La institución de alta calidad se reconoce porque demuestra la efectividad de una infraestructura física y tecnológica con espacios físicos y virtuales e instalaciones para el desarrollo de las labores formativas, académicas, docentes, científicas, culturales y de extensión en ambientes de bienestar</t>
  </si>
  <si>
    <t>a) Evidencia del cumplimiento de las normas técnicas que garanticen suficiencia, seguridad, salubridad, iluminación, disponibilidad, dotación, facilidades de transporte y acceso a las áreas académicas, administrativas, recreativas y deportivas.
b) Evidencia de disponibilidad de espacios incluyentes como rampas, ascensores, señalización para personas en condición de discapacidad visual o de movilidad, entre otros.
c) Evidencia de la disponibilidad de ambientes tecnológicos incluyentes para el apoyo a personasen condición de discapacidad visual, auditiva o de movilidad, entre otros.
d) Evidencia de mediciones de la capacidad instalada y su uso o carga sostenible en el tiempo.
e) Apreciación por parte de los miembros de la comunidad académica, acerca de la calidad, disponibilidad y accesibilidad de los distintos ambientes de aprendizaje propios de las modalidades de oferta académica que declarala institución, para el buen desarrollo de las distintas actividades curriculares y extracurriculares, así como de las asociadas con el bienestar general de sus miembros en ambientes institucionales. Incorporación de los análisis de apreciaciones sistematizadas y periódicas en planes de mejoramiento institucional.</t>
  </si>
  <si>
    <t>12. RECURSOS Y GESTIÓN FINANCIERA</t>
  </si>
  <si>
    <t xml:space="preserve">Una institución de alta calidad de muestra que cuenta con patrimonio propio, solidez financiera y una asignación apropiada de recursos financieros para la operación y la inversión, de acuerdo con el desarrollo de las labores formativas, académicas, docentes, científicas, culturales y de extensión, en coherencia con su naturaleza jurídica, tipología e identidad institucional y con las modalidades en que ofrece sus programas académicos. En consecuencia, la Institución planea, ejecuta y proyecta las asignaciones presupuestales de acuerdo con las exigencias previstas en los procesos de planeación y mejoramiento continuo.
A su vez, la Institución cuenta con mecanismos para la revisión periódica en el manejo de los recursos financieros que demuestren responsabilidad, eficiencia, transparencia y sostenibilidad. Asimismo, demuestra que implementa estrategias para la diversificación de ingresos y optimización de gastos </t>
  </si>
  <si>
    <t>a) Presentación de información acerca de las fuentes de financiamiento, los recursos provenientes del Estado, otras fuentes externas y recursos propios.
b) Demostración de estabilidad y solidez financiera que garantice el cumplimiento, a mediano plazo, de las acciones propuestas en el plan de desarrollo institucional, complementada con ejercicios de auditoría y control fiscal.
c) Apreciación por parte de los miembros de la comunidad académica en relación con las políticas y estrategias para la asignación, ejecución y evaluación presupuestal, y de administración financiera, en atención al cumplimiento del proyecto educativo institucional o lo que haga sus veces, y el logro de las metas del plan de desarrollo institucional.
d) Incorporación de los análisis de apreciaciones sistematizadas y periódicas en planes de mejoramiento institucional.
e) Demostración de la reinversión de sus excedentes en su desarrollo misional y la cualificación de sus bienes y servicios.
f) Evidencia de la gestión para la diversificación de las fuentes de ingreso que contribuyan a la estabilidad financiera y al desarrollo de la institución, de acuerdo con sus planes de desarrollo.</t>
  </si>
  <si>
    <t>13. CULTURA DE AUTOEVALUACIÓN</t>
  </si>
  <si>
    <t xml:space="preserve">Es el conjunto de orientaciones, prácticas y mecanismos que las instituciones tienen para el seguimiento sistemático del cumplimiento de sus objetivos misionales, el análisis de las condiciones que afectan su desarrollo y la implementación de medidas para el mejoramiento continuo.
La institución de alta calidad se reconoce porque ha implementado la cultura de la autoevaluación y autorregulación, por lo tanto, evidencia resultados de mejoramiento en las labores académicas, formativas, docentes, científicas, culturales y de extensión y en todas las actividades necesarias para sostener las mismas. Para ello da cuenta de la participación de la
comunidad institucional, con el soporte de los sistemas de información articulados, que se evidencian en la toma decisiones y la ejecución de estas </t>
  </si>
  <si>
    <t>a) Apreciación por parte de los miembros de la comunidad académica en relación con la definición, construcción y seguimiento de indicadores de gestión coherentes con las proyecciones institucionales, expresadas en sus planes de desarrollo y de mejora. Incorporación de los análisis de apreciaciones sistematizadas y periódicas en los planes de mejoramiento institucional.
b) Apreciación por parte de los miembros de la comunidad académica acerca de la articulación de los programas de mejoramiento con la planeación y el presupuesto general de la institución. Incorporación de los análisis de apreciaciones sistematizadas y periódicas en los planes de mejoramiento institucional
c) Evidencia del cumplimiento de los requerimientos de los sistemas nacionales de información y su uso en las decisiones institucionales.
d) Evidencia de la sistematización, gestión y uso de la información necesaria para poder proponer e implementar acciones de mejoramiento, teniendo en cuenta la información registrada en los sistemas de información de la educación superior.</t>
  </si>
  <si>
    <t>14. PROCESOS DE AUTOERREGULACIÓN</t>
  </si>
  <si>
    <t>La institución garantiza que la proyección de sus planes y políticas académicas que se asocian al currículo, resultados de aprendizaje, créditos y actividades, sus políticas de gestión institucional y bienestar y sus políticas de investigación, innovación y creación, así como la ejecución de estas, se enmarcan en los límites dados por su identidad, misión y tipología y el marco normativo colombiano</t>
  </si>
  <si>
    <t>a) Evidencia del impacto de los mecanismos de seguimiento, evaluación y ajuste, por parte de los órganos de dirección de la institución, en la calidad de sus procesos y servicios.
b) Apreciación por parte de los miembros de la comunidad académica en relación con la eficiencia de mecanismos de seguimiento, evaluación y ajuste por parte de los órganos de dirección de la institución, a través de un trabajo participativo de los diversos estamentos institucionales, permitiendo el diálogo, la reconfiguración permanente de los diversos procesos institucionales y la consecución de metas y propósitos consensuados y de interés común, en un marco de valores esenciales como la autocrítica y la transparencia. Incorporación de los análisis de estas apreciaciones en los planes de mejoramiento institucional.
c) Apreciación por parte de los miembros de la comunidad académica acerca de los mecanismos de convocatoria y participación en los diferentes órganos de dirección institucional, la reconfiguración permanente de los diversos procesos institucionales y la consecución de metas y propósitos consensuados y de interés común. Incorporación de estos análisis en los planes de mejoramiento institucional.</t>
  </si>
  <si>
    <t>15. SISTEMA INTERNO DE ASEGURAMIENTO DE LA CALIDAD</t>
  </si>
  <si>
    <t xml:space="preserve">De acuerdo con las disposiciones del artículo 2.5.3.2.3.1.4 del Decreto 1075 de 2015 sobre cultura de la autoevaluación y su implementación por parte de las instituciones, estas deberán demostrar que el sistema interno de aseguramiento de la calidad cuenta con mecanismos articulados de autoevaluación y planeación, que estos se usan efectivamente para la toma de decisiones e incluyen el manejo de indicadores de diversos tipos que le permiten hacer un seguimiento integral a la institución y están orientados al fomento de un continuo mejoramiento de la alta calidad. Lo anterior, en coherencia con las distintas labores formativas, académicas, docentes, científicas, culturales y de extensión, y con los diferentes niveles de formación y modalidades de sus programas académicos. </t>
  </si>
  <si>
    <t>a) Presentación de análisis sistemáticos y periódicos por parte de la comunidad académica acerca de los planes y actividades de mejoramiento, a partir de los indicadores de logro generados por la misma institución (como valor académico agregado y resultados de aprendizaje, entre otros), así como los aportados por los sistemas de información de la educación superior y de los resultados de las pruebas de Estado (Saber Pro y Saber T&amp;T) de los estudiantes. Incorporación de los resultados de estos análisis en los planes de mejoramiento institucional.
b) Demostración de la sistematización, gestión y uso de la información necesaria para la implementación de medidas de mejoramiento, teniendo en cuenta la información registrada en los sistemas de información de la educación superior.
c) Apreciación por parte de los miembros de la comunidad académica en relación con las políticas y estrategias implementadas por la institución para la gestión de la calidad, la autoevaluación y planeación en las distintas áreas de desarrollo, unidades académicas y administrativas de la institución, así como su evolución y mejora. Incorporación de los resultados de estas apreciaciones en los planes de mejoramiento institucional.</t>
  </si>
  <si>
    <t>16. EVALUACIÓN DE DIRECTIVAS, PROFESORES Y PERSONAL ADMINISTRATIVO</t>
  </si>
  <si>
    <t>La institución de alta calidad demuestra que cuenta y aplica sistemas de evaluación institucionales, que incluyen, entre otros, la evaluación de los profesores, del personal administrativo y de las directivas, para favorecer su mejoramiento. Esta evaluación alcanza las distintas labores formativas, académicas, docentes, científicas, culturales y de extensión, así como los diferentes niveles de formación y modalidades de sus programas académicos. A partir de ella, la institución implementa planes de profesionalización y cualificación de los directivos, profesores y personal administrativo.</t>
  </si>
  <si>
    <t>a) Evidencia sobre la transparencia y equidad en la aplicación de los criterios para la evaluación de profesores, personal administrativo y directivas, que tengan efectos en el mejoramiento de la calidad en el desempeño de sus funciones.
b) Existencia y aplicación de criterios claros y conocidos para la evaluación académica de la producción de profesores e investigadores, y de la gestión y el desempeño del personal administrativo y de apoyo.
c) Apreciación por parte de los miembros de la comunidad académica en relación con la implementación y eficiencia de políticas, mecanismos y estrategias institucionales que garanticen la transparencia en la designación del personal académico, administrativo y de apoyo; en la asignación de responsabilidades y funciones y en los procedimientos que deben seguirse dentro de la institución. Incorporación de los resultados de estos análisis en los planes de mejoramiento institucional.</t>
  </si>
  <si>
    <t>17. COMPONENTES FORMATIVOS</t>
  </si>
  <si>
    <t>La institución deberá estar comprometida, de acuerdo con su misión y su proyecto educativo institucional o lo que haga sus veces, con el desarrollo de planes de estudio que soportan los resultados de aprendizaje propuestos, y que se expresan en los perfiles de ingreso y egreso establecidos, los cuales deberán estar permanentemente monitoreados y
evaluados, de tal forma que la institución utilice los resultados con el fin de generar las estrategias necesarias para el mejoramiento continuo, según su sistema de mejoramiento interno de la calidad.
La institución dará cuenta de una política de créditos académicos que permite identificar los criterios para la asignación de horas de trabajo independiente y de interacción con el profesor, en el marco de su tipología, identidad y misión institucional</t>
  </si>
  <si>
    <t>a) Medición y valoración del impacto de las políticas, estrategias, recursos, ambientes y capacidades orientadas a la gestión de los procesos curriculares y extracurriculares de los programas académicos que hacen parte de su oferta institucional en todos los lugares de desarrollo, en relación con los indicadores de logro centrados en el aprendizaje de los estudiantes (valor académico agregado, resultados de aprendizaje, resultados de las pruebas saber T&amp;T, Saber Pro). Análisis de los resultados e incorporación de las recomendaciones en los planes de mejoramiento institucional.
b) Evidencia de la planificación académica y curricular que soportan el desarrollo de los procesos formativos con acciones estratégicas frente al diseño, la implementación, el desarrollo, el seguimiento y la evaluación de las ofertas formativas, armonizando los propósitos, metodologías y las estrategias pedagógicas, didácticas y de evaluación del aprendizaje y del currículo.
c) Apreciación por parte de los miembros de la comunidad académica, acerca de la generación y aprovechamiento de ambientes para la discusión crítica sobre la ciencia, la tecnología, la innovación, el arte, la cultura, los valores, la sociedad y el Estado. Sistematización e incorporación de estas apreciaciones en los planes de mejoramiento institucional.
d) Apreciación por parte de los miembros de la comunidad académica, acerca de la eficiencia de políticas y estrategias institucionales de formación integral, flexibilidad curricular, internacionalización e interdisciplinariedad. Sistematización e incorporación de estas apreciaciones en los planes de mejoramiento institucional.</t>
  </si>
  <si>
    <t>18. COMPONENTES PEDAGÓGICOS Y DE EVALUACIÓN</t>
  </si>
  <si>
    <t>La institución deberá dar cuenta de los mecanismos y estrategias implementadas efectivamente para lograr la articulación de los procesos de enseñanza, aprendizaje y evaluación, con miras al logro de los resultados de aprendizaje propuestos, al mejoramiento continuo y a la innovación pedagógica y académica</t>
  </si>
  <si>
    <t>a) Existencia de espacios de discusión y formación pedagógica de los profesores, orientados al logro de los resultados de aprendizaje propuestos, al mejoramiento continuo y a la innovación pedagógica y académica.
b) Apreciación por parte de los miembros de la comunidad académica acerca de la eficiencia del sistema institucional de evaluación estudiantil con miras al logro de los perfiles de egreso definidos en los programas. Incorporación de los análisis de apreciaciones sistematizadas y periódicas en planes de mejoramiento institucional.
c) Apreciación por parte de la comunidad académica acerca del seguimiento, evaluación y ajuste a las políticas, criterios y mecanismos de evaluación estudiantil en la institución, en favor del logro de los resultados de aprendizaje de sus estudiantes. Sistematización e incorporación de estas apreciaciones en los planes de mejoramiento institucional.</t>
  </si>
  <si>
    <t>19. COMPONENTE DE INTERACCIÓN</t>
  </si>
  <si>
    <t>La institución deberá demostrar que, de acuerdo con su naturaleza jurídica, identidad, misión, tipología y contexto, ha incorporado mecanismos de articulación para responder efectivamente a los cambios propios del contexto y a las necesidades de formación a lo largo de la vida, así como a las demandas propias de los cambios sociales, culturales, ambientales y tecnológicos en los niveles local, regional, nacional y global. Dichos mecanismos servirán también para implementar las propuestas de articulación de programas académicos de distintos niveles y distintas modalidades y para el fortalecimiento de la inter y multidisciplinar edad.</t>
  </si>
  <si>
    <t>a) Evidencia de la correspondencia entre los perfiles formativos y los objetivos de los programas académicos con las necesidades y expectativas de formación y desempeño profesional, académico, científico, tecnológico, ético, cultural y socialmente responsable de los estudiantes en su contexto regional, nacional e internacional.
b) Evidencia de la vinculación de los programas académicos y de sus estudiantes con la actividad investigativa y de proyección social de la institución, teniendo en cuenta la naturaleza de los programas y sus propósitos formativos.
c) Demostración del impacto de la evaluación sistemática y estructurada de las necesidades del contexto sobre la formación actual y a lo largo de la vida de estudiantes y egresados.
d) Evidencia sobre los mecanismos institucionales para articularse con los cambios propios del contexto y las necesidades de formación a lo largo de la vida, así como a las demandas propias de los cambios sociales, culturales, ambientales y tecnológicos en los niveles local, regional, nacional y global.</t>
  </si>
  <si>
    <t>20. PROCESOS DE CREACIÓN. MODIFICACIÓN Y AMPLIACIÓN DE PROGRAMAS ACADÉMICOS</t>
  </si>
  <si>
    <t>Para la creación, modificación y ampliación de la oferta de programas académicos de pregrado y de posgrado, en las distintas modalidades la institución deberá aplicar consistentemente políticas y procedimientos eficientes, garantizando la alta calidad académica de la oferta en todos los lugares de desarrollo de sus programas académicos.</t>
  </si>
  <si>
    <t>a) Demostración de la creación de nuevos programas académicos o su modificación, acompañado de la ampliación de las capacidades existentes a nivel institucional para atender de manera eficiente y contextualizada los compromisos y responsabilidades con alta calidad.
b) Compromiso de la institución con la creación, modificación y ampliación de lugares de desarrollo de los programas académicos y sus modalidades con calidad y pertinencia.
c) Apreciación por parte de los miembros de la comunidad académica acerca de la eficiencia de las políticas, estrategias y apoyos institucionales para la creación, modificación, extensión y cierre de programas académicos y sus modalidades. Sistematización e incorporación de estas apreciaciones en los planes de mejoramiento institucional.
d) Apreciación por parte de los miembros de la comunidad académica, acerca de la eficiencia de las políticas, mecanismos y participación de cuerpos colegiados en la evaluación de los procedimientos orientados a la creación, modificación y extensión de programas, así como en su cierre. Sistematización e incorporación de estas apreciaciones en los planes de mejoramiento institucional.
e) Demostración de que las capacidades y procesos necesarios para la ampliación de un programa académico a otro lugar de desarrollo o en otra modalidad, no es inferior a lo establecido para el programa de origen.</t>
  </si>
  <si>
    <t>21. FORMACIÓN PARA LA INVESTIGACIÓN, CREACIÓN E INNOVACIÓN</t>
  </si>
  <si>
    <t>La institución deberá demostrar que desarrolla políticas y estrategias relacionadas con la inserción de los estudiantes en las dinámicas de generación, apropiación, sistematización y transferencia de conocimientos, aplicables de manera diferenciada en los diversos niveles educativos. Por ello, cuenta con mecanismos efectivos para desarrollar en los estudiantes, dependiendo de su nivel formativo, un pensamiento creativo, crítico y con capacidad de comprender los procesos de investigación, innovación, creación artística y cultural y desarrollo tecnológico en diversos contextos”.
En el caso de los programas académicos del área de la salud, a través de los convenios docencia–servicio, se deberán demostrar estrategias de enseñanza-aprendizaje en escenarios de práctica idóneos y suficientes que soporten esta formación.</t>
  </si>
  <si>
    <t>a) Apreciación por parte de los miembros de la comunidad académica en relación con la eficiencia de las políticas y estrategias institucionales para favorecer la formación investigativa de los estudiantes, concordantes con los diferentes niveles de formación en el pregrado y el posgrado y la tipología de institución. Sistematización e incorporación de estas apreciaciones en los planes de mejoramiento institucional.
b) Apreciación por parte de los miembros de la comunidad académica en relación con la eficiencia de políticas, estrategias y recursos que la institución pone a disposición de los profesores para el desarrollo de proyectos de investigación, de desarrollo tecnológico, de innovación o de creación artística, y la socialización y publicación de sus resultados.
c) Evidencia de la participación de estudiantes en actividades y estrategias curriculares propias de los distintos niveles de formación y de las distintas modalidades de oferta académica, que orienten la formación en el desarrollo y la ejecución de los proyectos de investigación y/o creación incluidos en el sistema oficial de registro de la institución, así como, en los productos derivados de estos.
d) Evidencia de una ruta curricular que contribuya al desarrollo de competencias y habilidades científicas, así como de los procesos regulares de valoración para la verificación del cumplimiento de dichas competencias y habilidades. Incorporación de los análisis de dichas mediciones en procesos de mejoramiento institucional.
e) Evidencia documental y estadística que dé cuenta de la sistematización de la apropiación de conocimiento por parte de los estudiantes y profesores.
f) Evidencia de facilidades para la participación de los estudiantes en actividades académicas relacionadas con la investigación científica, el desarrollo tecnológico, la innovación y/o la creación artística y cultural.
g) Existencia de evaluaciones y acciones de mejora relacionadas con las políticas y estrategias de enseñanza y de aprendizaje en el marco de la formación para la investigación. Incorporación de los análisis de dichas evaluaciones en procesos de mejoramiento.</t>
  </si>
  <si>
    <t>22. INVESTIGACIÓN, DESARROLLO TECNOLÓGICO, INNOVACIÓN Y CREACIÓN</t>
  </si>
  <si>
    <t>De acuerdo con su identidad, misión y tipología, la institución de alta calidad deberá evidenciar los resultados de su producción académica, investigativa, de desarrollo tecnológico, innovación y de creación, y demostrar la aplicación de políticas claras y un compromiso explícito con estas dimensiones del quehacer académico. Dichas políticas deberán traducirse en acciones que incluyan el fomento y la evaluación de la actividad investigativa y de innovación y creación de los profesores, la difusión de sus productos, el apoyo a proyectos y la definición de una estructura organizacional para el desarrollo de estas actividades.</t>
  </si>
  <si>
    <t>a)Medición y valoración del impacto de la investigación, desarrollo tecnológico, innovación y/o de creación artística, como apuesta o compromiso institucional con la generación de nuevo conocimiento, con la solución de problemas de la sociedad, con la transformación de productos o procesos que eleven la calidad de vida de comunidades, con el incremento de la competitividad empresarial, y con la conservación, recuperación y desarrollo de las regiones, entre otros. Análisis de los resultados de dicho impacto e incorporación de estos en planes de mejoramiento institucional.
b) Medición y valoración del impacto de la investigación realizada por los grupos avalados por la institución, en el desarrollo económico, productivo, científico y tecnológico en los contextos regionales en los que hace presencia la institución y en los que interactúa con sus grupos de interés. Análisis de los resultados de dicho impacto e incorporación de estos en planes de mejoramiento institucional.
c) Existencia de la infraestructura necesaria para la investigación y/o el desarrollo tecnológico y la innovación:
laboratorios, equipos, recursos bibliográficos, recursos informáticos, entre otros.
d) Apreciación por parte de los miembros de la comunidad académica, acerca de la eficiencia de las políticas y estrategias para la asignación de tiempo a los profesores para el desarrollo de proyectos de investigación, innovación y creación, y la socialización de sus resultados. Incorporación de los análisis de apreciaciones sistematizadas y periódicas en los planes de mejoramiento institucional.
e) Evidencia del reconocimiento a la creación artística y cultural en sus diversas formas, cuando sea procedente, teniendo en cuenta el tipo de producto, su relevancia e impacto en las comunidades en que participa.
f) Existencia, estabilidad y grado de desarrollo de las unidades de investigación, tales como: institutos, centros, grupos, redes y programas, entre otros.
g) Apreciación por parte de los miembros de la comunidad académica, en relación con el apoyo administrativo y financiero para el desarrollo y gestión de la investigación, la creación de empresas y de planes de negocios (como los centros de incubación y financiación empresarial, los centros de investigación y desarrollo tecnológico, entre otros) y la creación artística y cultural. Incorporación de los análisis de apreciaciones sistematizadas y periódicas en planes de mejoramiento institucional.
h) Acreditación de la productividad científica y tecnológica de los grupos de investigación avalados por la institución y registrados en el Sistema Nacional de Ciencia, Tecnología e Innovación - SNCT&amp;I.
i) Producción académica y científica reportada y reconocida por el Sistema Nacional de Ciencia, Tecnología e Innovación del país, propios de la naturaleza y nivel de formación de los programas académicos de la institución, en los que se logre evidenciar la actividad científica, tecnológica, artística y cultural de los profesores de la institución y la participación de los estudiantes.
j) En el caso de las instituciones técnicas profesionales e instituciones tecnológicas, demostración de que la productividad académica de sus profesores puede estar relacionada con el desarrollo tecnológico y la innovación, y orientada a resolver problemas de la vida cotidiana, ahorrar esfuerzos para realizar un trabajo u optimizar algunos aspectos de las actividades humanas. Para los programas del nivel profesional universitario se podrá acreditar producción científica relacionada con la creación e implementación de procesos que contribuyan a mejorar la calidad de vida de las comunidades, los procesos empresariales y el desarrollo del sector productivo.
k) Evidencia de la relación de premios y distinciones por trabajos de investigación obtenidos por los profesores y otorgados por instituciones de reconocido prestigio académico.
l) Existencia y aplicación de un régimen de propiedad intelectual y de explotación comercial de los resultados de la investigación y las innovaciones.
m) Existencia y aplicación de mecanismos de evaluación de los resultados de la investigación y la creación, como parte de la producción académica de los profesores.
n) Demostración del impacto y trascendencia a nivel nacional e internacional de los equipos, software y demás elementos que hayan sido patentados o registrados.</t>
  </si>
  <si>
    <t>23. INSTITUCIÓN Y ENTORNO</t>
  </si>
  <si>
    <t>La institución deberá demostrar que define, mantiene y evalúa su interacción con la sociedad, los sectores productivos públicos y privados, y las organizaciones que buscan impactar el desarrollo económico, ambiental, tecnológico, social y cultural de forma que pueda ejercer influencia positiva en el desarrollo de políticas, proyectos e iniciativas en correspondencia con su identidad, misión, tipología y contexto regional. La pertinencia de contribuciones realizadas por la institución es sistematizada y estas se integran a los procesos de autoevaluación de los logros obtenidos y contribuyen a generar procesos de aprendizaje sobre las mismas</t>
  </si>
  <si>
    <t>a) Medición, valoración y alcances del compromiso institucional con el desarrollo de programas, estrategias y actividades orientadas a atender las necesidades del entorno, en aquellos contextos regionales en los que hace presencia la institución y en los que interactúa con sus grupos de interés. Análisis de los resultados de dicho impacto e incorporación de estos en planes de mejoramiento institucional.
b) Apreciación por parte de los miembros de la comunidad académica de los aportes de la institución al estudio y a la solución de problemas regionales, nacionales e internacionales, en coherencia con la naturaleza, tipología, identidad y misión institucional. Incorporación de los análisis de apreciaciones sistematizadas y periódicas en planes de mejoramiento institucional.
c) Apreciación por parte de los miembros de la comunidad académica y de los grupos de interés de la pertinencia y el alcance de los programas y actividades de investigación, de desarrollo tecnológico y de extensión o proyección social que se relacionan con contextos o áreas de acción de la institución que son objeto de reconocimiento por el servicio que presta en las comunidades. Incorporación de los resultados del análisis de apreciaciones sistematizadas y periódicas, en planes de mejoramiento institucional.
d) Presentación del análisis sistemático y periódico del impacto de la puesta en marcha de iniciativas de transferencia del conocimiento científico y tecnológico que permitan la efectiva integración a contextos locales y sociales específicos, contribuyendo a su desarrollo social. Análisis de los resultados de dicho impacto e incorporación de estos en planes de mejoramiento institucional.
e) Presentación del análisis sistemático y periódico del impacto de las actividades de proyección social e incorporación del mismo en los planes de mejoramiento institucional.
f) Demostración de los resultados y análisis de los impactos de los programas y actividades de educación continuada, consultoría, de emprendimiento, innovación social, creación de spin-off, patentes, extensión o proyección social y transferencia de tecnología, y de las políticas para el desarrollo y mejoramiento de estos servicios.
g) Evidencia del impacto en los planes de mejoramiento institucional derivados de procesos de autoevaluación, como resultado de su interacción con el medio, evidenciado en ajuste de políticas y formulación de nuevos programas y estrategias, entre otros.
h) Demostración del reconocimiento externo de la trascendencia de las actividades de docencia, investigación y extensión o proyección social de la institución.
j) Evidencia de los aportes sociales de los egresados en los campos empresarial, científico, artístico, cultural, económico y político.
k) Evidencia del impacto de las acciones orientadas a poblaciones en condiciones de vulnerabilidad en el área de influencia de la institución.
l) Demostración de la coherencia de las prácticas y pasantías de los programas académicos con las necesidades de la institución y del sector externo.
m) Demostración de existencia de esquemas de interacción global que promuevan la generación de soluciones locales a partir de perspectivas globales.
n) Evidencia del reconocimiento de la pertinencia y del impacto del egresado en el medio, su participación institucional y el acompañamiento y ayuda en su proceso de inserción laboral.</t>
  </si>
  <si>
    <t>24. IMPACTO CULTURAL Y ARTÍSTICO</t>
  </si>
  <si>
    <t>La institución demuestra estar comprometida con la gestión, protección y salvaguarda del patrimonio cultural y artístico material e inmaterial, y acoge la normatividad vigente del mismo. Por lo tanto, respeta las dimensiones y las implicaciones de gestión, protección y salvaguarda de lo que ha sido heredado, considerándolo como un legado que debe ser conservado para las generaciones futuras. A su vez, desarrolla estrategias para estudiar y proteger el patrimonio material, inmaterial y natural, involucrando, en el desarrollo de sus labores formativas, académicas, docentes, científicas, culturales y de extensión, actividades para promocionarlo y para concientizar a la sociedad sobre su existencia y sobre el cuidado que requiere</t>
  </si>
  <si>
    <t>a) Evidencia del compromiso Institucional con la protección, salvaguarda y fortalecimiento del patrimonio cultural y artístico material e inmaterial a nivel local, regional, nacional.
b) Presentación de estudios sobre el patrimonio cultural material e inmaterial y la aplicación de los resultados en el fortalecimiento de la identidad institucional y las actividades formativas y de investigación.
c) Evidencia de los aportes institucionales a la gestión, protección y salvaguarda del patrimonio cultural y artístico material e inmaterial, en coherencia con la normatividad vigente.
d) Evidencia de resultados de la implementación de estrategias formativas, académicas, docentes, científicas, culturales y de extensión que favorecen el estudio y protección del patrimonio material, inmaterial y natural.
e) Presentación de análisis sistemáticos y periódicos por parte de los miembros de la comunidad académica en relación con las políticas que protegen el patrimonio cultural representado, por ejemplo, en archivos, museos y galerías de arte. Análisis de los resultados de dicho impacto e incorporación de estos en planes de mejoramiento institucional.</t>
  </si>
  <si>
    <t>25. INSERCIÓN DE LA INSTITUCIÓN EN CONTEXTOS ACADÉMICOS NACIONALES E INERNACIONALES</t>
  </si>
  <si>
    <t>La institución de alta calidad demuestra que, en sus procesos académicos, toma como referente las tendencias, el estado del arte de las disciplinas o profesiones y los criterios de alta calidad aceptados por las comunidades académicas nacionales e internacionales, estimula la interacción de los miembros de su comunidad con miembros reconocidos de esas comunidades y promueve la cooperación con programas académicos e instituciones en el país y en el exterior.</t>
  </si>
  <si>
    <t>a) Evidencia de la medición y valoración de la respuesta institucional a sus apuestas y compromisos con la internacionalización del currículo y de la investigación, en aquellos contextos nacionales e internacionales de su propio interés y acordes con su naturaleza jurídica y tipología. Análisis de los resultados de dicho impacto e incorporación en los planes de mejoramiento institucional.
b) Presentación de análisis sistemáticos y periódicos, por parte de los miembros de la comunidad académica, de la existencia y aplicación de políticas institucionales en materia de referentes académicos externos, nacionales e internacionales de reconocida calidad para la revisión y actualización de los planes de estudio. Integración de los resultados de los análisis en los planes de mejoramiento institucional.
c) Evidencia de realización de actividades de investigación, innovación, creación artística y cultural y/o de extensión o proyección social, en correspondencia con la naturaleza y tipología de la institución, desarrollados como resultado de la cooperación académica y profesional, realizada por directivos, profesores, estudiantes, egresados y administrativos de la institución, con miembros de comunidades nacionales e internacionales de reconocido liderazgo.
d) Evidencia de la utilización efectiva por parte de la comunidad de profesores y estudiantes de los estímulos establecidos por la institución para la interacción y cooperación con programas académicos e instituciones nacionales y extranjeras, así como del dominio de una segunda lengua.
e) Presentación de análisis sistemático y periódico por parte de los miembros de la comunidad académica, en relación con la efectividad y resultado de los convenios activos y actividades como interacción de profesores y estudiantes, y de cooperación académica, desarrollados con instituciones de prestigio y reconocimiento nacional e internacional. Incorporación de los resultados de dicho análisis en planes de mejoramiento institucional.
f) Presentación del análisis sistemático y periódico por parte de los miembros de la comunidad académica en relación con los planes y proyectos de la institución, orientados a la internacionalización del currículo y de la investigación, y la posibilidad de dobles titulaciones con instituciones extranjeras. Integrar los resultados de los análisis en los planes de mejoramiento institucional.
g) Evidencia de la incidencia verificable del mejoramiento de la calidad de la institución, como resultado de la interacción con comunidades académicas nacionales y extranjeras, y en este último caso, incluidas aquellas que demanden competencias comunicativas en segundo idioma.
h) Presentación del análisis sistemático y periódico por parte de los miembros de la comunidad académica, en relación con las alianzas interinstitucionales para compartir recursos, impulsar procesos misionales y buenas prácticas. Incorporación de los resultados de dichos análisis en planes de mejoramiento institucional.</t>
  </si>
  <si>
    <t>26. RELACIONES EXTERNAS DE PROFESORES Y ESTUDIANTES</t>
  </si>
  <si>
    <t>La institución de alta calidad demuestra que promueve la interacción con otras instituciones del nivel nacional e internacional, y favorece, apoya y coordina la movilidad de profesores y estudiantes, entendida esta como el desplazamiento temporal, en doble vía, con propósitos académicos. Por lo tanto, su comunidad académica logra competencias multiculturales y de lenguaje que le permiten una interacción de mutuo beneficio con otras comunidades en un contexto global.
De la misma forma, comprende que la interacción en un contexto global se da porque las labores formativas, académicas, docentes, científicas, culturales y de extensión desarrollan factores diferenciadores para un posicionamiento global de la institución, bien sea por sus procesos de innovación científica, tecnológica, social o ambiental, o porque la institución
atiende problemáticas de interés transnacional.</t>
  </si>
  <si>
    <t>a) Presentación del análisis sistemático y periódico por parte de los miembros de la comunidad académica, en relación con la participación de profesores, estudiantes y directivos de la institución en redes académicas, científicas, técnicas, tecnológicas y de cultura, a nivel nacional e internacional, de las que se hayan derivado productos concretos como publicaciones en coautoría en revistas indexadas con visibilidad e impacto, cofinanciación de proyectos, registros y patentes, entre otros. Incorporación de los resultados de dicho análisis en planes de mejoramiento institucional.
b) Presentación de análisis del impacto en el mejoramiento de los procesos de docencia, investigación y proyección social de profesores y estudiantes de la institución, que en los últimos cinco años han participado en actividades de cooperación académica y profesional con instituciones nacionales y extranjeras de reconocido liderazgo. Incorporación de los resultados de dicho análisis en planes de mejoramiento institucional.
c) Presentación de análisis del impacto en la calidad de los procesos de docencia, investigación y proyección social, así como de la calidad de la formación de los estudiantes, a partir de las interacciones de profesores o expertos nacionales y extranjeros, que ha recibido la institución en los últimos cinco años. Incorporación de los resultados de dicho análisis en planes de mejoramiento institucional.
d) Presentación de análisis del impacto en la calidad de formación de los estudiantes, derivada de la homologación o reconocimiento de cursos realizados en otras instituciones nacionales o extranjeras. Análisis de los resultados de dicho impacto e incorporación de estos en planes de mejoramiento institucional.</t>
  </si>
  <si>
    <t>27. ESTRUCTURA Y FUNCIONAMIENTO DEL BIENESTAR INSTITUCIONAL</t>
  </si>
  <si>
    <t>La institución deberá demostrar que ha definido y aplica políticas de bienestar institucional orientadas a buscar el desarrollo humano, el mejoramiento de la calidad de vida de la persona y del grupo institucional (estudiantes, profesores y personal administrativo) como un todo. Estas acciones deben ser acordes con las condiciones y necesidades de cada
persona, en cada uno de los lugares donde desarrolle sus labores. Así mismo, las condiciones de bienestar deben promover el desarrollo integral de la persona y sus responsabilidades dentro de una comunidad que promueve la participación y el compromiso institucional.</t>
  </si>
  <si>
    <t>a) Apreciación por parte de los miembros de la comunidad académica de la institución, en relación con la existencia y aplicación de políticas de bienestar institucional para beneficio de toda la comunidad institucional. Incorporación de los análisis de apreciaciones sistematizadas y periódicas en planes de mejoramiento institucional.
b) Apreciación por parte de los miembros de la comunidad académica de la institución, en relación con los campos de acción, su utilización y cobertura de los programas del bienestar institucional, sus usuarios y e impacto. Incorporación de los análisis de apreciaciones sistematizadas y periódicas en planes de mejoramiento institucional.
c) Apreciación por parte de los miembros de la comunidad académica de la institución, en relación con la existencia de recursos humanos con dedicación al bienestar, y las asignaciones y ejecuciones de recursos económicos, técnicos, tecnológicos y de infraestructura por parte de la institución para garantizar el óptimo desarrollo de los programas de bienestar institucional. Incorporación de los análisis de apreciaciones sistematizadas y periódicas en planes de mejoramiento institucional.
d) Apreciación por parte de los miembros de la comunidad académica de la institución, en relación con la existencia de estrategias de divulgación de los servicios de bienestar institucional. Incorporación de los análisis de apreciaciones sistematizadas y periódicas en planes de mejoramiento institucional.
e) Evidencia de la existencia, aplicación y evaluación periódica de estrategias de acompañamiento y/o seguimiento a los estudiantes con el fin de prevenir la deserción.
f) Evidencia de la existencia, aplicación y evaluación periódica de un protocolo para la prevención, detección y atención de violencias y cualquier tipo de discriminación basada en género.
g) Apreciación por parte de los miembros de la comunidad académica de la institución, de la aplicación del protocolo para la prevención, detección y atención de violencias y cualquier tipo de discriminación basada en género.
h) Evidencia de los resultados de la evaluación periódica de los servicios ofrecidos y su relación con la cualificación de estos.
i) Evidencia de los resultados de las acciones orientadas al diagnóstico y prevención de los riesgos psicosociales, médicos y ambientales de la comunidad institucional.
j) Evidencia de las estrategias orientadas a la inclusión de población vulnerable en condición de discapacidad y minorías raciales, de género y de identidad sexual.
k) Evidencia de programas y actividades tendientes a prevenir desastres y atender emergencias.
l) Demostración del impacto en la comunidad institucional de los mecanismos para la resolución armónica de conflictos y los procedimientos para su uso.
m) Evidencia de la participación de la comunidad institucional en los diferentes programas culturales, de salud física y mental, y de actividades deportivas propiciadas desde el bienestar institucional.</t>
  </si>
  <si>
    <t>28.DERECHOS Y DEBERES DE LOS PROFESORES</t>
  </si>
  <si>
    <t>La institución deberá demostrar que aplica y fortalece las disposiciones establecidas en el estatuto profesoral o lo que haga sus veces, en el que se definen, entre otros aspectos, sus derechos y deberes, el régimen disciplinario, el escalafón docente, su participación en los órganos de gobierno de la Institución y los criterios académicos de vinculación, desarrollo, evaluación y permanencia en la institución</t>
  </si>
  <si>
    <t>a) Apreciación por parte de los miembros de la comunidad académica de la institución, en relación con la aplicación de un estatuto profesoral, o el que haga sus veces, que posibilite la selección, vinculación, cualificación y promoción de los profesores de la institución, así como los estímulos aplicados al desempeño y producción investigativa.
b) Incorporación de las recomendaciones de estos análisis periódicos de apreciaciones en planes de mejoramiento institucional.
c) Apreciación por parte de los miembros de la comunidad académica de la institución, en relación con la claridad y trasparencia en la aplicación de los mecanismos establecidos para la elección de representantes profesorales en los órganos de decisión. Incorporación de los análisis de apreciaciones sistematizadas y periódicas en planes de mejoramiento institucional.
d) Evidencia del impacto del estatuto profesoral sobre la carrera docente expresada en la dinámica de ascenso en el escalafón.
e) Evidencia de la contribución del estatuto profesoral en el desarrollo de la misión institucional.
f) Apreciación por parte de los miembros de la comunidad académica de la institución, en relación con los mecanismos de convocatoria, selección y participación de los profesores en los órganos de dirección de la institución. Incorporación de los resultados de estos análisis de apreciaciones sistematizadas y periódicas en planes de mejoramiento institucional.</t>
  </si>
  <si>
    <t>29. PLANTA PROFESORAL</t>
  </si>
  <si>
    <t>La institución deberá demostrar que cuenta con una planta profesoral diversa en su origen académico, demográfico, cultural y de género, apropiada con relación a la vinculación, cantidad y dedicación de los profesores y sus niveles de formación y desarrollo profesional, y coherente con las pedagogías que implementa y con las modalidades y niveles que
oferta. Asimismo, mostrará que ha establecido los mecanismos para la asignación del tiempo y de las actividades de sus profesores de forma equitativa y eficiente para el logro de los propósitos y objetivos de su misión que se concretan en el desarrollo de sus labores formativas, académicas, docentes, científicas, culturales y de extensión, y que esa asignación es
coherente con el tipo de vinculación y contratación.
La diversidad del cuerpo profesoral debe mantener coherencia con la naturaleza jurídica, identidad, tipología, misión y modalidades. De la misma forma debe reconocer las características propias de los lugares de desarrollo de los programas académicos, para lo cual deberá contar con estrategias que le permitan atender con alta calidad la docencia en dichos lugares.</t>
  </si>
  <si>
    <t>a) Evidencia de los resultados del desarrollo de mediciones que reflejen la proporción de profesores, vinculados a término indefinido con respecto a otros tipos de contratación.
b) Evidencia de medidas que ilustren la relación entre el número de profesores vinculados y las necesidades docentes e investigativas, y el número de estudiantes en los diferentes programas que ofrece la institución.
c) Apreciación por parte de los miembros de la comunidad académica de la institución, en relación con la existencia de un núcleo de profesores con vinculación a término indefinido y de otros con al menos contratación anual, que sea suficiente y adecuado para el desarrollo de las labores formativas, académicas, docentes, científicas, culturales y de extensión, en una relación profesor/estudiante adecuada para los distintos programas académicos que ofrece. Incorporación de los análisis de apreciaciones sistematizadas y periódicas en planes de mejoramiento institucional.
d) Apreciación por parte de los miembros de la comunidad académica de la institución, en relación con la existencia y aplicación de mecanismos de selección, vinculación y contratación de profesores que propendan por la consolidación de una comunidad académica, diversa e inclusiva, comprometida con las labores formativas, académicas, docentes, científicas, culturales y de extensión.  Incorporación de los análisis de apreciaciones sistematizadas y periódicas en planes de mejoramiento institucional.
e) Apreciación por parte de los miembros de la comunidad académica de la institución, en relación con la existencia de criterios para definir responsabilidades del profesorado en relación con al desarrollo de funciones sustantivas y el desarrollo de gestiones académico- administrativas, de acuerdo con la categoría en el escalafón. Incorporación de los análisis de apreciaciones sistematizadas y periódicas en planes de mejoramiento institucional.
f) Apreciación por parte de los miembros de la comunidad académica de la institución, en relación con la existencia de mecanismos de evaluación de las actividades asignadas a los profesores, con miras a cualificar, promocionar y estimular su labor. Incorporación de los análisis de apreciaciones sistematizadas y periódicas en planes de mejoramiento institucional.
e) Apreciación por parte de los miembros de la comunidad académica de la institución, en relación con los criterios y la distribución de las labores asignadas a los profesores para desarrollar sus funciones en condiciones de calidad y en espacios institucionales apropiados. Incorporación de los análisis de apreciaciones sistematizadas y periódicas en planes de mejoramiento institucional.</t>
  </si>
  <si>
    <t>30. TRAYECTORIA PROFESORAL</t>
  </si>
  <si>
    <t>La institución deberá demostrar que, en sus estatutos o reglamentos, o lo que haga sus veces, contempla para sus profesores una vinculación y permanencia profesoral con mecanismos transparentes y ampliamente conocidos por ellos.
Estos deberán incluir aspectos tales como: la evaluación, el desarrollo y la permanencia de los docentes en las diferentes categorías académicas y su promoción de una categoría a otra, sin perjuicio de lo que la institución establezca dentro de su autonomía; en todo caso deberá hacer explícitos los deberes y derechos inherentes a cada categoría. Las asignaciones salariales y las contrataciones de los profesores están determinadas por criterios académicos y son coherentes con la naturaleza jurídica, identidad, misión y tipología de las Instituciones.</t>
  </si>
  <si>
    <t>a) Demostración del impacto de la evaluación profesoral, que incluya auto, hetero y la del jefe inmediato, sobre el desarrollo profesoral. Análisis del impacto e incorporación de los mismos en planes de mejoramiento institucional.
b) Apreciación por parte de los miembros de la comunidad académica de la institución, en relación con la existencia de un escalafón docente con categorías académicas que permitan la movilidad, cualificación y promoción profesional de los profesores. Incorporación de los resultados de los análisis de apreciaciones sistematizadas y periódicas en planes de mejoramiento institucional.
c) Apreciación por parte de los miembros de la comunidad académica de la institución, en relación con el cumplimiento transparente de criterios y mecanismos para la determinación de la asignación salarial y estímulo a los profesores. Incorporación de los análisis de apreciaciones sistematizadas y periódicas en planes de mejoramiento institucional.</t>
  </si>
  <si>
    <t>31. DESARROLLO PROFESORAL</t>
  </si>
  <si>
    <t>La institución deberá demostrar que aplica políticas y adelanta programas de desarrollo profesoral, así como de reconocimiento al ejercicio calificado de las labores formativas, académicas, docentes, científicas, culturales y de
extensión, de conformidad con los objetivos de la educación superior y de la institución. Estos programas deben incluir a todos los profesores vinculados a la institución por las distintas formas de contratación y en todas las modalidades. El desarrollo profesoral debe involucrar el desenvolvimiento en habilidades y destrezas pedagógicas necesarias para atender a los estudiantes que ingresan a la Institución, de acuerdo con las modalidades de los programas académicos en los cuales participan</t>
  </si>
  <si>
    <t>a) Demostración de los resultados y mediciones que ilustren los impactos de la política institucional en la cualificación profesional y pedagógica de sus profesores.
b) Apreciación por parte de los miembros de la comunidad académica de la institución, en relación con la existencia, cobertura, calidad y pertinencia de los programas de desarrollo profesoral. Incorporación de los análisis de apreciaciones sistematizadas y periódicas en planes de mejoramiento institucional.
c) Apreciación por parte de los miembros de la comunidad académica de la institución, en relación con la aplicación de los criterios de reconocimiento y estímulo al ejercicio calificado de las labores formativas, académicas, docentes, científicas, culturales y de extensión. Incorporación de los análisis de apreciaciones sistematizadas y periódicas en planes de mejoramiento institucional.
d) Apreciación por parte de los miembros de la comunidad académica de la institución, en relación con las evidencias de las evaluaciones realizadas a la normativa sobre profesores, teniendo en cuenta la naturaleza jurídica institucional, su eficiencia, transparencia y eficacia para el desarrollo profesoral. Incorporación de los análisis de apreciaciones sistematizadas y periódicas en planes de mejoramiento institucional.
e) Apreciación por parte de los miembros de la comunidad académica de la institución, en relación con las evidencias de las capacitaciones realizadas a los profesores de la institución y sus resultados. Incorporación de los análisis de apreciaciones sistematizadas y periódicas en planes de mejoramiento institucional.</t>
  </si>
  <si>
    <t>32. INTERACCIÓN ACADÉMICA DE LOS PROFESORES</t>
  </si>
  <si>
    <t>La institución deberá demostrar que aplica políticas para promover la interacción de sus profesores con comunidades académicas del orden nacional e internacional, en coherencia con su naturaleza jurídica, identidad, misión y tipología, así como con el nivel y las modalidades de sus programas académicos, para lo cual incluye dentro de su plan de desarrollo profesoral el fortalecimiento de habilidades y competencias necesarias para interactuar y pertenecer a redes de carácterglobal, local y regional.</t>
  </si>
  <si>
    <t>a) Presentación del análisis sistemático y periódico por parte de los miembros de la comunidad académica de la institución, en relación con la existencia y desarrollo de políticas y estrategias orientadas a facilitar la constitución de comunidades académicas en la institución y su interacción con otras homólogas del orden nacional e internacional. Incorporación de los resultados de los análisis en planes de mejoramiento institucional.
b) Presentación del análisis sistemático y periódico por parte de los miembros de la comunidad académica de la institución, en relación con el estado de la interacción académica del profesorado por áreas de conocimiento, con comunidades académicas nacionales y extranjeras. Incorporación de los resultados de los análisis en planes de mejoramiento institucional.
c) Evidencia de resultados de los estudios realizados sobre la pertinencia y efectividad de la interacción académica del profesorado con comunidades académicas nacionales y extranjeras. Incorporación del análisisde los resultados en planes de mejoramiento institucional.
d) Evidencia de resultados de la interacción y participación de los profesores de la institución en convenios académicos, a nivel nacional e internacional.</t>
  </si>
  <si>
    <t xml:space="preserve">Escala de Valoración </t>
  </si>
  <si>
    <t>33. DERECHOS YD EBERES DE LOS ESTUDIANTES</t>
  </si>
  <si>
    <t>La institución deberá demostrar que aplica las disposiciones establecidas en el estatuto o reglamento estudiantil en el que se expresan, entre otros aspectos, sus derechos y deberes, el régimen disciplinario y los criterios académicos de ingreso, permanencia, promoción, transferencia y graduación en coherencia con los distintos niveles de formación y modalidades de los programas académicos. La institución deberá demostrar que tiene un compromiso permanente y sistemático con el ciclo de vida del estudiante en la institución y que, por lo tanto, acompaña su proceso formativo e incentiva su interés por aprendizaje a lo largo de la vida.</t>
  </si>
  <si>
    <t>a) Evidencia de la existencia y aplicación de un reglamento estudiantil que establezca las condiciones de ingreso, permanencia, evaluación y graduación, y los derechos y deberes de los estudiantes de los diferentes programas de la institución. Incorporación de los análisis de apreciaciones sistematizadas y periódicas en planes de mejoramiento institucional.
b) Apreciación por parte de los miembros de la comunidad académica de la institución, en relación con la aplicación de los criterios de ingreso y permanencia de los estudiantes. Incorporación de los análisis de apreciaciones sistematizadas y periódicas en planes de mejoramiento institucional.
c) Apreciación por parte de los miembros de la comunidad académica de la institución, en relación con la aplicación de los criterios de promoción, transferencia y grado. Incorporación de los análisis de apreciaciones sistematizadas y periódicas en planes de mejoramiento institucional.
d) Apreciación por parte de los miembros de la comunidad académica de la institución, en relación con la participación de los estudiantes en los organismos de decisión de la Institución. Incorporación de los análisis de apreciaciones sistematizadas y periódicas en planes de mejoramiento institucional.
e) Apreciación por parte de los miembros de la comunidad académica de la institución, en relación con la trasparencia en la aplicación de mecanismos predeterminados para la elección de representantes estudiantiles en los organismos de decisión. Incorporación de los análisis de apreciaciones sistematizadas y periódicas en planes de mejoramiento institucional.
f) Apreciación por parte de los miembros de la comunidad académica de la institución, en relación con la existencia de políticas sobre equidad de género y su implementación, a través de comités y organismos que promuevan la igualdad y el respeto en la comunidad académica. Incorporación de los análisis de apreciaciones sistematizadas y periódicas en planes de mejoramiento institucional.
g) Estudios de impacto en la comunidad académica de la institución, en relación con las políticas de inclusión en particular sobre la inserción de estudiantes con capacidades especiales o en condición de discapacidad. Incorporación de los análisis de apreciaciones sistematizadas y periódicas, en planes de mejoramiento institucional.</t>
  </si>
  <si>
    <t>34. ADMISIÓN Y PERMANENCIA DE ESTUDIANTES</t>
  </si>
  <si>
    <t>La institución deberá demostrar que la admisión, la permanencia y el seguimiento de los estudiantes en la institución, y el desarrollo integral de ellos, se enmarcan en criterios académicos y se expresan en políticas equitativas e incluyentes, en coherencia con los distintos niveles de formación y modalidades de los programas académicos. Por lo tanto, la institución presenta evidencias de un compromiso visible con la efectividad de los procesos formativos de los estudiantes, quienes, por ello, tienen un mejor desempeño que el promedio nacional en indicadores como la permanencia y la deserción por cohorte. Adicionalmente, mostrará que realiza un ejercicio activo de caracterización de sus estudiantes al ingreso, con el fin de realizar programas sistemáticos de acompañamiento a su proceso formativo, de tal forma que el estudiante logre el cumplimiento de los resultados de aprendizaje propuestos por la institución</t>
  </si>
  <si>
    <t>a) Demostración del impacto de las estrategias para la integración de los estudiantes a las diferentes dinámicas institucionales.
b) Evidencia del impacto del acompañamiento y/o de otras estrategias institucionales para la disminución de la deserción estudiantil y la graduación en los tiempos establecidos curricularmente.
c) Existencia de procesos de orientación que permitan a los estudiantes identificar rutas de formación acordes con sus capacidades e intereses y la superación de sus dificulta desde aprendizaje, a fin de garantizar su permanencia y la culminación adecuada de su proceso formativo.
d) Apreciación por parte de los miembros de la comunidad académica de la institución, en relación con la aplicación de políticas y estrategias para la admisión y permanencia de los estudiantes, y en relación con políticas y directrices nacionales. Incorporación de los análisis de apreciaciones sistematizadas y periódicas en planes de mejoramiento institucional.
e) Apreciación por parte de los miembros de la comunidad académica de la institución, en relación con estrategias para garantizar la integración de los estudiantes a la institución, en consideración a su heterogeneidad social y cultural. Incorporación de los análisis de apreciaciones sistematizadas y periódicas en planes de mejoramiento institucional.
f) Apreciación por parte de los miembros de la comunidad académica de la Institución, en relación con la existencia de programas orientados a la disminución de la deserción de estudiantes, análisis de causas y estrategias de permanencia. Incorporación de los análisis de apreciaciones sistematizadas y periódicas en planes de mejoramiento institucional.
g) Apreciación por parte de los miembros de la comunidad académica de la institución, en relación con la existencia y aplicación de criterios y estrategias para admitir estudiantes procedentes de otras instituciones nacionales e internacionales, y reglas claras para el intercambio estudiantil. Incorporación de los análisis de apreciaciones sistematizadas y periódicas en planes de mejoramiento institucional.
Apreciación por parte de los miembros de la comunidad académica de la institución, en relación con la aplicación de
las políticas y estrategias para la admisión y permanencia de los estudiantes. Incorporación de los análisis de
apreciaciones sistematizadas y periódicas en planes de mejoramiento institucional.</t>
  </si>
  <si>
    <t>Cumple Plenamente</t>
  </si>
  <si>
    <t>4.1 - 5</t>
  </si>
  <si>
    <t>35. ESTÍMULOS Y APOYOS PARA ESTUDIANTES</t>
  </si>
  <si>
    <t>La institución deberá tener apoyos, y estímulos, incluidos los económicos, que propicien el ingreso, permanencia y graduación de los estudiantes, en especial, para aquellos con méritos académicos y en condición de vulnerabilidad</t>
  </si>
  <si>
    <t>a) Demostración de la aplicación eficiente de sistemas de estímulo a través de programas tales como monitorias, asistencia de investigación, matrícula de honor, condonación de créditos, entre otros.
b) Demostración de la efectividad y transparencia de la aplicación de los estímulos y apoyos institucionales en la permanencia y graduación de los estudiantes.
c) Apreciación por parte de los miembros de la comunidad académica de la institución, en relación con la existencia y aplicación con transparencia, de los criterios para asignación de apoyos estudiantiles. Incorporación de los análisis de apreciaciones sistematizadas y periódicas en planes de mejoramiento institucional.
d) Apreciación por parte de los miembros de la comunidad académica de la institución, en relación con la existencia de convenios interinstitucionales activos tendientes a facilitar el ingreso y permanencia de estudiantes. Incorporación de los análisis de apreciaciones sistematizadas y periódicas en planes de mejoramiento institucional.
e) Apreciación por parte de los miembros de la comunidad académica de la institución, en relación con existencia de mecanismos de divulgación de los sistemas de crédito, becas, subsidios, apoyos económicos y estímulos a los estudiantes. Incorporación de los análisis de apreciaciones sistematizadas y periódicas en planes de mejoramiento institucional.
f) Apreciación por parte de los miembros de la comunidad académica de la institución, en relación con la existencia de procedimientos de control para garantizar que los estudiantes beneficiados con apoyos institucionales hagan buen uso de estos en los tiempos previstos para su graduación. Incorporación de los análisis de apreciaciones sistematizadas y periódicas en planes de mejoramiento institucional.</t>
  </si>
  <si>
    <t>36. SEGUIMIENTO A EGRESADOS</t>
  </si>
  <si>
    <t>La institución deberá, teniendo en cuenta los distintos niveles de formación y modalidades en los que ofrece sus programas académicos, demostrar que cuenta con una política y un programa institucional de egresados, soportados en sistemas de información que facilitan las evaluaciones permanentes, que permiten poner en marcha acciones de mejora que favorezcan la inserción laboral, el desempeño, el emprendimiento y el impacto de los egresados en el desarrollo de los territorios.
El seguimiento al desempeño de los egresados deberá permitir una valoración sistemática de los resultados de aprendizaje planteados; por lo tanto, la institución deberá implementar en su sistema interno de aseguramiento de la calidad los mecanismos necesarios para incorporar periódicamente los análisis realizados</t>
  </si>
  <si>
    <t>a) Evidencia de la comunicación periódica con sus egresados, a través de programas, proyectos y acciones que le permiten tener información sobre su ubicación, sus logros y expectativas, y contribuir a su desarrollo profesional.
b) Demostración del funcionamiento de un sólido y completo sistema de información, con periódicas actualizaciones, sobre ubicación laboral y desempeño.
c) Evidencia de estudios sistemáticos y estructurados que determinen el impacto de sus egresados en el desarrollo regional y nacional.
d) Evidencia de la aplicación de evaluaciones permanentes sobre sus egresados, que permitan implementar acciones de mejora que favorezcan la inserción laboral, el desempeño, el emprendimiento y el impacto de los egresados en el desarrollo de los territorios.
e) Evidencia de la participación de los egresados en programas de posgrado; maestría, especialización médicoquirúrgica y doctorado, en el caso de las instituciones que por su carácter académico puedan desarrollar esta oferta educativa.</t>
  </si>
  <si>
    <t>Cumple Satisfactoriamente</t>
  </si>
  <si>
    <t>3.1 - 4</t>
  </si>
  <si>
    <t>37. EGRESADOS Y PROGRAMAS ACADÉMICOS</t>
  </si>
  <si>
    <t>La institución deberá demostrar que la interacción con sus egresados, y los resultados de las evaluaciones sobre el desempeño y desarrollo de estos, contribuyen a las transformaciones e innovaciones curriculares que favorecen el logro de los resultados de aprendizaje de sus estudiantes y que fortalecen la pertinencia de los programas académicos.</t>
  </si>
  <si>
    <t>a) Evidencia de los mecanismos y estrategias sistemáticas y periódicas con las que cuentan los egresados para realizar contribuciones académicas en beneficio de la actualización y mejoramiento del programa académico.
b) Evidencia del grado de participación e impacto de los egresados de cada uno de los programas académicos que oferta la institución sobre los procesos periódicos de actualización y ajuste curricular.
c) Evidencia de cómo los resultados de las evaluaciones sobre el desempeño y desarrollo de los egresados han contribuido a las transformaciones e innovaciones curriculares que favorecen el logro de los resultados de aprendizaje de los estudiantes y contribuyen a la dinamización y pertinencia de los programas académicos.
d) Presentación de estudios y consultas realizadas a los egresados sobre la calidad y pertinencia del programa cursado y su impacto en la cualificación del programa y de la institución.
e) Apreciación por parte de los miembros de la comunidad académica de la institución, en relación con la aplicación de políticas y mecanismos disponibles para la relación e interacción de sus egresados con los respectivos programas académicos. Incorporación de los análisis de apreciaciones sistematizadas y periódicas en planes de mejoramiento institucional.</t>
  </si>
  <si>
    <t>38. RELACIÓN DE LOS EGRESADOS CON LA INSTITUCIÓN</t>
  </si>
  <si>
    <t>La institución deberá demostrar que, a través de los mecanismos para la interacción con sus egresados evidencia una tendencia de crecimiento de las contribuciones académicas en beneficio de las labores formativas, académicas, docentes, científicas, culturales y de extensión</t>
  </si>
  <si>
    <t>a) Presentación del análisis sistemático y periódico de las contribuciones académicas de los egresados en los contextos local, regional, nacional e internacional. Incorporación de los análisis de apreciaciones sistematizadas y periódicas en planes de mejoramiento institucional.
b) Apreciación por parte de los miembros de la comunidad académica de la institución, en relación con la existencia y aplicación de un portafolio de servicios que presta la institución, para facilitar la incorporación de los egresados al ámbito laboral. Incorporación de los análisis de apreciaciones sistematizadas y periódicas en planes de mejoramiento institucional.
c) Apreciación de la comunidad en relación con la participación, apoyo y cooperación voluntaria de los egresados de los diferentes programas en actividades docentes e investigativas.
d) Apreciación por parte de los egresados de la institución en relación con las evidencias sobre la existencia y eficacia de los sistemas de información y seguimiento a los egresados. Incorporación de los análisis de apreciaciones sistematizadas y periódicas en planes de mejoramiento institucional.
e) Apreciación por parte de los egresados de la institución en relación con la existencia de canales activos y oportunos de comunicación con los egresados para apoyar el desarrollo institucional y fomentar procesos de cooperación mutua. Incorporación de los análisis de apreciaciones sistematizadas y periódicas en planes de mejoramiento institucional.
f) Apreciación por parte de los miembros de la comunidad académica de la institución, en relación con la aplicación de mecanismos disponibles en la institución para la relación e interacción con sus egresados, su contribución a las funciones sustantivas y su apreciación sobre la participación en las dinámicas Institucionales. Incorporación de los análisis de apreciaciones sistematizadas y periódicas en planes de mejoramiento institucional.</t>
  </si>
  <si>
    <t>Cumple Aceptablemente</t>
  </si>
  <si>
    <t>2.1 - 3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</si>
</sst>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
  </numFmts>
  <fonts count="30">
    <font>
      <sz val="11"/>
      <color theme="1"/>
      <name val="Calibri"/>
      <family val="2"/>
      <scheme val="minor"/>
    </font>
    <font>
      <sz val="11"/>
      <color theme="1"/>
      <name val="Tahoma"/>
      <family val="2"/>
    </font>
    <font>
      <sz val="10"/>
      <color theme="1"/>
      <name val="Tahoma"/>
      <family val="2"/>
    </font>
    <font>
      <b/>
      <sz val="11"/>
      <color theme="0"/>
      <name val="Tahoma"/>
      <family val="2"/>
    </font>
    <font>
      <sz val="11"/>
      <color rgb="FFFFFF00"/>
      <name val="Calibri"/>
      <family val="2"/>
      <scheme val="minor"/>
    </font>
    <font>
      <sz val="11"/>
      <color theme="0"/>
      <name val="Tahoma"/>
      <family val="2"/>
    </font>
    <font>
      <b/>
      <sz val="11"/>
      <color theme="1"/>
      <name val="Tahoma"/>
      <family val="2"/>
    </font>
    <font>
      <sz val="11"/>
      <color theme="1"/>
      <name val="Calibri"/>
      <family val="2"/>
      <scheme val="minor"/>
    </font>
    <font>
      <b/>
      <sz val="14"/>
      <name val="Tahoma"/>
      <family val="2"/>
    </font>
    <font>
      <b/>
      <sz val="10"/>
      <color theme="0"/>
      <name val="Tahoma"/>
      <family val="2"/>
    </font>
    <font>
      <b/>
      <sz val="10"/>
      <color theme="0"/>
      <name val="Calibri"/>
      <family val="2"/>
    </font>
    <font>
      <b/>
      <sz val="12"/>
      <name val="Tahoma"/>
      <family val="2"/>
    </font>
    <font>
      <sz val="11"/>
      <color theme="2"/>
      <name val="Tahoma"/>
      <family val="2"/>
    </font>
    <font>
      <b/>
      <sz val="10"/>
      <color theme="1"/>
      <name val="Tahoma"/>
      <family val="2"/>
    </font>
    <font>
      <b/>
      <sz val="11"/>
      <color rgb="FF002060"/>
      <name val="Tahoma"/>
      <family val="2"/>
    </font>
    <font>
      <sz val="9"/>
      <color theme="1"/>
      <name val="Tahoma"/>
      <family val="2"/>
    </font>
    <font>
      <sz val="8"/>
      <color theme="1"/>
      <name val="Tahoma"/>
      <family val="2"/>
    </font>
    <font>
      <b/>
      <sz val="11"/>
      <color rgb="FFFFFF00"/>
      <name val="Tahoma"/>
      <family val="2"/>
    </font>
    <font>
      <b/>
      <sz val="10"/>
      <name val="Tahoma"/>
      <family val="2"/>
    </font>
    <font>
      <b/>
      <sz val="10"/>
      <color rgb="FFA62424"/>
      <name val="Tahoma"/>
      <family val="2"/>
    </font>
    <font>
      <b/>
      <sz val="9"/>
      <color rgb="FFA62424"/>
      <name val="Tahoma"/>
      <family val="2"/>
    </font>
    <font>
      <sz val="10"/>
      <color theme="0"/>
      <name val="Tahoma"/>
      <family val="2"/>
    </font>
    <font>
      <b/>
      <sz val="10"/>
      <color theme="7" tint="0.79998168889431442"/>
      <name val="Tahoma"/>
      <family val="2"/>
    </font>
    <font>
      <sz val="11"/>
      <name val="Tahoma"/>
      <family val="2"/>
    </font>
    <font>
      <b/>
      <sz val="8"/>
      <color theme="0"/>
      <name val="Tahoma"/>
      <family val="2"/>
    </font>
    <font>
      <b/>
      <sz val="9"/>
      <color theme="0"/>
      <name val="Open Sans Light"/>
      <family val="2"/>
    </font>
    <font>
      <sz val="9"/>
      <color theme="1"/>
      <name val="Open Sans Light"/>
      <family val="2"/>
    </font>
    <font>
      <b/>
      <sz val="9"/>
      <color theme="1"/>
      <name val="Open Sans Light"/>
      <family val="2"/>
    </font>
    <font>
      <sz val="8"/>
      <color theme="1"/>
      <name val="Open Sans Light"/>
      <family val="2"/>
    </font>
    <font>
      <sz val="8"/>
      <color rgb="FF000000"/>
      <name val="Open Sans Light"/>
      <family val="2"/>
    </font>
  </fonts>
  <fills count="17">
    <fill>
      <patternFill patternType="none"/>
    </fill>
    <fill>
      <patternFill patternType="gray125"/>
    </fill>
    <fill>
      <patternFill patternType="solid">
        <fgColor rgb="FF005790"/>
        <bgColor indexed="64"/>
      </patternFill>
    </fill>
    <fill>
      <patternFill patternType="solid">
        <fgColor theme="1"/>
        <bgColor indexed="64"/>
      </patternFill>
    </fill>
    <fill>
      <patternFill patternType="solid">
        <fgColor theme="0" tint="-0.14999847407452621"/>
        <bgColor indexed="64"/>
      </patternFill>
    </fill>
    <fill>
      <patternFill patternType="solid">
        <fgColor rgb="FFA62424"/>
        <bgColor indexed="64"/>
      </patternFill>
    </fill>
    <fill>
      <patternFill patternType="solid">
        <fgColor rgb="FF009900"/>
        <bgColor indexed="64"/>
      </patternFill>
    </fill>
    <fill>
      <patternFill patternType="solid">
        <fgColor theme="0"/>
        <bgColor indexed="64"/>
      </patternFill>
    </fill>
    <fill>
      <patternFill patternType="solid">
        <fgColor theme="9" tint="-0.499984740745262"/>
        <bgColor indexed="64"/>
      </patternFill>
    </fill>
    <fill>
      <patternFill patternType="solid">
        <fgColor theme="4" tint="0.39997558519241921"/>
        <bgColor indexed="64"/>
      </patternFill>
    </fill>
    <fill>
      <patternFill patternType="solid">
        <fgColor theme="6" tint="0.59999389629810485"/>
        <bgColor indexed="64"/>
      </patternFill>
    </fill>
    <fill>
      <patternFill patternType="solid">
        <fgColor rgb="FF005490"/>
        <bgColor indexed="64"/>
      </patternFill>
    </fill>
    <fill>
      <patternFill patternType="solid">
        <fgColor rgb="FFFFFFCC"/>
      </patternFill>
    </fill>
    <fill>
      <patternFill patternType="solid">
        <fgColor theme="4" tint="0.79998168889431442"/>
        <bgColor indexed="64"/>
      </patternFill>
    </fill>
    <fill>
      <patternFill patternType="solid">
        <fgColor theme="6" tint="0.79998168889431442"/>
        <bgColor indexed="64"/>
      </patternFill>
    </fill>
    <fill>
      <patternFill patternType="solid">
        <fgColor theme="7" tint="0.39997558519241921"/>
        <bgColor indexed="64"/>
      </patternFill>
    </fill>
    <fill>
      <patternFill patternType="solid">
        <fgColor theme="9" tint="0.39997558519241921"/>
        <bgColor indexed="64"/>
      </patternFill>
    </fill>
  </fills>
  <borders count="36">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theme="2" tint="-0.24994659260841701"/>
      </bottom>
      <diagonal/>
    </border>
    <border>
      <left style="thin">
        <color indexed="64"/>
      </left>
      <right style="thin">
        <color indexed="64"/>
      </right>
      <top style="thin">
        <color theme="2" tint="-0.24994659260841701"/>
      </top>
      <bottom style="thin">
        <color theme="2" tint="-0.24994659260841701"/>
      </bottom>
      <diagonal/>
    </border>
    <border>
      <left style="thin">
        <color rgb="FFB2B2B2"/>
      </left>
      <right style="thin">
        <color rgb="FFB2B2B2"/>
      </right>
      <top style="thin">
        <color rgb="FFB2B2B2"/>
      </top>
      <bottom style="thin">
        <color rgb="FFB2B2B2"/>
      </bottom>
      <diagonal/>
    </border>
    <border>
      <left style="double">
        <color indexed="64"/>
      </left>
      <right style="double">
        <color indexed="64"/>
      </right>
      <top style="double">
        <color indexed="64"/>
      </top>
      <bottom style="double">
        <color indexed="64"/>
      </bottom>
      <diagonal/>
    </border>
    <border>
      <left/>
      <right/>
      <top style="double">
        <color indexed="64"/>
      </top>
      <bottom style="double">
        <color indexed="64"/>
      </bottom>
      <diagonal/>
    </border>
    <border>
      <left style="double">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style="double">
        <color rgb="FFFFFF00"/>
      </left>
      <right style="double">
        <color rgb="FFFFFF00"/>
      </right>
      <top style="double">
        <color rgb="FFFFFF00"/>
      </top>
      <bottom style="double">
        <color rgb="FFFFFF00"/>
      </bottom>
      <diagonal/>
    </border>
    <border>
      <left style="double">
        <color theme="8" tint="0.59996337778862885"/>
      </left>
      <right style="double">
        <color theme="8" tint="0.59996337778862885"/>
      </right>
      <top style="double">
        <color theme="8" tint="0.59996337778862885"/>
      </top>
      <bottom style="double">
        <color theme="8" tint="0.59996337778862885"/>
      </bottom>
      <diagonal/>
    </border>
    <border>
      <left/>
      <right style="double">
        <color theme="0" tint="-0.14996795556505021"/>
      </right>
      <top/>
      <bottom style="double">
        <color theme="0" tint="-0.14996795556505021"/>
      </bottom>
      <diagonal/>
    </border>
    <border>
      <left style="double">
        <color theme="0" tint="-0.14996795556505021"/>
      </left>
      <right style="double">
        <color theme="0" tint="-0.14996795556505021"/>
      </right>
      <top/>
      <bottom style="double">
        <color theme="0" tint="-0.14996795556505021"/>
      </bottom>
      <diagonal/>
    </border>
    <border>
      <left style="thin">
        <color rgb="FFB2B2B2"/>
      </left>
      <right/>
      <top style="thin">
        <color rgb="FFB2B2B2"/>
      </top>
      <bottom style="thin">
        <color rgb="FFB2B2B2"/>
      </bottom>
      <diagonal/>
    </border>
    <border>
      <left/>
      <right/>
      <top style="thin">
        <color rgb="FFB2B2B2"/>
      </top>
      <bottom style="thin">
        <color rgb="FFB2B2B2"/>
      </bottom>
      <diagonal/>
    </border>
    <border>
      <left/>
      <right style="thin">
        <color rgb="FFB2B2B2"/>
      </right>
      <top style="thin">
        <color rgb="FFB2B2B2"/>
      </top>
      <bottom style="thin">
        <color rgb="FFB2B2B2"/>
      </bottom>
      <diagonal/>
    </border>
    <border>
      <left/>
      <right style="double">
        <color theme="0" tint="-0.14996795556505021"/>
      </right>
      <top/>
      <bottom style="double">
        <color theme="0" tint="-0.14993743705557422"/>
      </bottom>
      <diagonal/>
    </border>
    <border>
      <left/>
      <right/>
      <top style="medium">
        <color rgb="FF005490"/>
      </top>
      <bottom style="medium">
        <color rgb="FF005490"/>
      </bottom>
      <diagonal/>
    </border>
    <border>
      <left/>
      <right/>
      <top style="thin">
        <color rgb="FF005490"/>
      </top>
      <bottom style="thin">
        <color rgb="FF005490"/>
      </bottom>
      <diagonal/>
    </border>
    <border>
      <left style="thin">
        <color indexed="64"/>
      </left>
      <right style="thin">
        <color indexed="64"/>
      </right>
      <top style="thin">
        <color theme="2" tint="-0.24994659260841701"/>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s>
  <cellStyleXfs count="3">
    <xf numFmtId="0" fontId="0" fillId="0" borderId="0"/>
    <xf numFmtId="9" fontId="7" fillId="0" borderId="0" applyFont="0" applyFill="0" applyBorder="0" applyAlignment="0" applyProtection="0"/>
    <xf numFmtId="0" fontId="7" fillId="12" borderId="18" applyNumberFormat="0" applyFont="0" applyAlignment="0" applyProtection="0"/>
  </cellStyleXfs>
  <cellXfs count="256">
    <xf numFmtId="0" fontId="0" fillId="0" borderId="0" xfId="0"/>
    <xf numFmtId="0" fontId="1" fillId="0" borderId="0" xfId="0" applyFont="1"/>
    <xf numFmtId="0" fontId="1" fillId="0" borderId="0" xfId="0" applyFont="1" applyAlignment="1">
      <alignment vertical="center"/>
    </xf>
    <xf numFmtId="0" fontId="3" fillId="2" borderId="3" xfId="0" applyFont="1" applyFill="1" applyBorder="1" applyAlignment="1">
      <alignment horizontal="center" vertical="center"/>
    </xf>
    <xf numFmtId="0" fontId="1" fillId="0" borderId="0" xfId="0" applyFont="1" applyAlignment="1">
      <alignment wrapText="1"/>
    </xf>
    <xf numFmtId="0" fontId="4" fillId="3" borderId="0" xfId="0" applyFont="1" applyFill="1"/>
    <xf numFmtId="0" fontId="3" fillId="2" borderId="3" xfId="0" applyFont="1" applyFill="1" applyBorder="1" applyAlignment="1">
      <alignment horizontal="left" vertical="center" wrapText="1"/>
    </xf>
    <xf numFmtId="0" fontId="3" fillId="2" borderId="2" xfId="0" applyFont="1" applyFill="1" applyBorder="1" applyAlignment="1">
      <alignment horizontal="center" vertical="center" wrapText="1"/>
    </xf>
    <xf numFmtId="0" fontId="9" fillId="2" borderId="3" xfId="0" applyFont="1" applyFill="1" applyBorder="1" applyAlignment="1">
      <alignment horizontal="center" vertical="center"/>
    </xf>
    <xf numFmtId="0" fontId="9" fillId="6" borderId="3" xfId="0" applyFont="1" applyFill="1" applyBorder="1" applyAlignment="1">
      <alignment horizontal="center" vertical="center"/>
    </xf>
    <xf numFmtId="9" fontId="1" fillId="0" borderId="0" xfId="0" applyNumberFormat="1" applyFont="1"/>
    <xf numFmtId="164" fontId="1" fillId="0" borderId="0" xfId="0" applyNumberFormat="1" applyFont="1" applyAlignment="1">
      <alignment wrapText="1"/>
    </xf>
    <xf numFmtId="9" fontId="12" fillId="7" borderId="0" xfId="1" applyFont="1" applyFill="1"/>
    <xf numFmtId="0" fontId="3" fillId="2" borderId="3"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2" fillId="0" borderId="0" xfId="0" applyFont="1"/>
    <xf numFmtId="0" fontId="1" fillId="0" borderId="1" xfId="0"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3" fillId="2" borderId="2" xfId="0" applyFont="1" applyFill="1" applyBorder="1" applyAlignment="1">
      <alignment horizontal="left" vertical="center" wrapText="1"/>
    </xf>
    <xf numFmtId="0" fontId="0" fillId="2" borderId="0" xfId="0" applyFill="1"/>
    <xf numFmtId="0" fontId="6" fillId="7" borderId="23" xfId="0" applyFont="1" applyFill="1" applyBorder="1" applyAlignment="1">
      <alignment horizontal="center" vertical="center"/>
    </xf>
    <xf numFmtId="0" fontId="19" fillId="13" borderId="19" xfId="0" applyFont="1" applyFill="1" applyBorder="1" applyAlignment="1">
      <alignment horizontal="center" vertical="center" wrapText="1"/>
    </xf>
    <xf numFmtId="0" fontId="4" fillId="3" borderId="0" xfId="0" applyFont="1" applyFill="1" applyAlignment="1">
      <alignment horizontal="center"/>
    </xf>
    <xf numFmtId="0" fontId="4" fillId="3" borderId="0" xfId="0" applyFont="1" applyFill="1" applyAlignment="1">
      <alignment horizontal="center" vertical="center"/>
    </xf>
    <xf numFmtId="0" fontId="1" fillId="11" borderId="0" xfId="0" applyFont="1" applyFill="1"/>
    <xf numFmtId="0" fontId="6" fillId="11" borderId="0" xfId="0" applyFont="1" applyFill="1" applyAlignment="1">
      <alignment horizontal="center"/>
    </xf>
    <xf numFmtId="0" fontId="5" fillId="11" borderId="0" xfId="0" applyFont="1" applyFill="1" applyAlignment="1">
      <alignment vertical="center"/>
    </xf>
    <xf numFmtId="0" fontId="5" fillId="11" borderId="0" xfId="0" applyFont="1" applyFill="1"/>
    <xf numFmtId="0" fontId="3" fillId="11" borderId="0" xfId="0" applyFont="1" applyFill="1" applyAlignment="1">
      <alignment vertical="center"/>
    </xf>
    <xf numFmtId="0" fontId="3" fillId="11" borderId="0" xfId="0" applyFont="1" applyFill="1"/>
    <xf numFmtId="0" fontId="4" fillId="3" borderId="0" xfId="0" applyFont="1" applyFill="1" applyAlignment="1">
      <alignment vertical="center"/>
    </xf>
    <xf numFmtId="0" fontId="3" fillId="11" borderId="0" xfId="0" applyFont="1" applyFill="1" applyAlignment="1">
      <alignment horizontal="center" vertical="center"/>
    </xf>
    <xf numFmtId="0" fontId="17" fillId="11" borderId="25" xfId="0" applyFont="1" applyFill="1" applyBorder="1" applyAlignment="1" applyProtection="1">
      <alignment horizontal="center" vertical="center"/>
      <protection locked="0"/>
    </xf>
    <xf numFmtId="0" fontId="3" fillId="11" borderId="26" xfId="0" applyFont="1" applyFill="1" applyBorder="1" applyAlignment="1" applyProtection="1">
      <alignment horizontal="center" vertical="center"/>
      <protection locked="0"/>
    </xf>
    <xf numFmtId="0" fontId="3" fillId="11" borderId="30" xfId="0" applyFont="1" applyFill="1" applyBorder="1" applyAlignment="1" applyProtection="1">
      <alignment horizontal="center" vertical="center"/>
      <protection locked="0"/>
    </xf>
    <xf numFmtId="0" fontId="6" fillId="10" borderId="2" xfId="0" applyFont="1" applyFill="1" applyBorder="1" applyAlignment="1" applyProtection="1">
      <alignment horizontal="center" vertical="center" wrapText="1"/>
      <protection locked="0"/>
    </xf>
    <xf numFmtId="0" fontId="6" fillId="10" borderId="2" xfId="0" applyFont="1" applyFill="1" applyBorder="1" applyAlignment="1" applyProtection="1">
      <alignment horizontal="center" vertical="center"/>
      <protection locked="0"/>
    </xf>
    <xf numFmtId="0" fontId="6" fillId="10" borderId="2" xfId="0" applyFont="1" applyFill="1" applyBorder="1" applyAlignment="1" applyProtection="1">
      <alignment horizontal="center" vertical="center" wrapText="1"/>
      <protection locked="0" hidden="1"/>
    </xf>
    <xf numFmtId="0" fontId="6" fillId="10" borderId="2" xfId="0" applyFont="1" applyFill="1" applyBorder="1" applyAlignment="1" applyProtection="1">
      <alignment horizontal="center" vertical="center"/>
      <protection locked="0" hidden="1"/>
    </xf>
    <xf numFmtId="0" fontId="6" fillId="0" borderId="24" xfId="0" applyFont="1" applyBorder="1" applyAlignment="1" applyProtection="1">
      <alignment horizontal="center" vertical="center"/>
      <protection locked="0"/>
    </xf>
    <xf numFmtId="0" fontId="1" fillId="0" borderId="0" xfId="0" applyFont="1" applyProtection="1">
      <protection locked="0" hidden="1"/>
    </xf>
    <xf numFmtId="0" fontId="9" fillId="6" borderId="1" xfId="0" applyFont="1" applyFill="1" applyBorder="1" applyAlignment="1" applyProtection="1">
      <alignment horizontal="centerContinuous" vertical="center"/>
      <protection locked="0" hidden="1"/>
    </xf>
    <xf numFmtId="0" fontId="9" fillId="6" borderId="4" xfId="0" applyFont="1" applyFill="1" applyBorder="1" applyAlignment="1" applyProtection="1">
      <alignment horizontal="centerContinuous" vertical="center"/>
      <protection locked="0" hidden="1"/>
    </xf>
    <xf numFmtId="0" fontId="9" fillId="6" borderId="5" xfId="0" applyFont="1" applyFill="1" applyBorder="1" applyAlignment="1" applyProtection="1">
      <alignment horizontal="centerContinuous" vertical="center"/>
      <protection locked="0" hidden="1"/>
    </xf>
    <xf numFmtId="0" fontId="1" fillId="7" borderId="0" xfId="0" applyFont="1" applyFill="1" applyAlignment="1" applyProtection="1">
      <alignment horizontal="left" vertical="center" wrapText="1"/>
      <protection locked="0" hidden="1"/>
    </xf>
    <xf numFmtId="164" fontId="8" fillId="7" borderId="0" xfId="1" applyNumberFormat="1" applyFont="1" applyFill="1" applyBorder="1" applyAlignment="1" applyProtection="1">
      <alignment horizontal="center" vertical="center"/>
      <protection locked="0" hidden="1"/>
    </xf>
    <xf numFmtId="165" fontId="11" fillId="7" borderId="0" xfId="1" applyNumberFormat="1" applyFont="1" applyFill="1" applyBorder="1" applyAlignment="1" applyProtection="1">
      <alignment horizontal="center" vertical="center"/>
      <protection locked="0" hidden="1"/>
    </xf>
    <xf numFmtId="0" fontId="1" fillId="7" borderId="0" xfId="0" applyFont="1" applyFill="1" applyProtection="1">
      <protection locked="0" hidden="1"/>
    </xf>
    <xf numFmtId="164" fontId="1" fillId="7" borderId="4" xfId="0" applyNumberFormat="1" applyFont="1" applyFill="1" applyBorder="1" applyAlignment="1" applyProtection="1">
      <alignment vertical="center"/>
      <protection locked="0" hidden="1"/>
    </xf>
    <xf numFmtId="165" fontId="13" fillId="7" borderId="9" xfId="1" applyNumberFormat="1" applyFont="1" applyFill="1" applyBorder="1" applyAlignment="1" applyProtection="1">
      <alignment horizontal="center" vertical="center"/>
      <protection locked="0" hidden="1"/>
    </xf>
    <xf numFmtId="0" fontId="13" fillId="7" borderId="4" xfId="1" applyNumberFormat="1" applyFont="1" applyFill="1" applyBorder="1" applyAlignment="1" applyProtection="1">
      <alignment horizontal="centerContinuous" vertical="center"/>
      <protection locked="0" hidden="1"/>
    </xf>
    <xf numFmtId="2" fontId="6" fillId="7" borderId="4" xfId="0" applyNumberFormat="1" applyFont="1" applyFill="1" applyBorder="1" applyAlignment="1" applyProtection="1">
      <alignment horizontal="centerContinuous" vertical="center"/>
      <protection locked="0" hidden="1"/>
    </xf>
    <xf numFmtId="0" fontId="1" fillId="7" borderId="4" xfId="0" applyFont="1" applyFill="1" applyBorder="1" applyAlignment="1" applyProtection="1">
      <alignment horizontal="centerContinuous" vertical="center" wrapText="1"/>
      <protection locked="0" hidden="1"/>
    </xf>
    <xf numFmtId="0" fontId="1" fillId="0" borderId="0" xfId="0" applyFont="1" applyAlignment="1" applyProtection="1">
      <alignment horizontal="centerContinuous" vertical="center"/>
      <protection locked="0" hidden="1"/>
    </xf>
    <xf numFmtId="0" fontId="3" fillId="11" borderId="1" xfId="0" applyFont="1" applyFill="1" applyBorder="1" applyAlignment="1" applyProtection="1">
      <alignment horizontal="center" vertical="center"/>
      <protection locked="0" hidden="1"/>
    </xf>
    <xf numFmtId="0" fontId="3" fillId="11" borderId="4" xfId="0" applyFont="1" applyFill="1" applyBorder="1" applyAlignment="1" applyProtection="1">
      <alignment horizontal="center" vertical="center"/>
      <protection locked="0" hidden="1"/>
    </xf>
    <xf numFmtId="0" fontId="3" fillId="11" borderId="5" xfId="0" applyFont="1" applyFill="1" applyBorder="1" applyAlignment="1" applyProtection="1">
      <alignment horizontal="center" vertical="center"/>
      <protection locked="0" hidden="1"/>
    </xf>
    <xf numFmtId="0" fontId="1" fillId="0" borderId="0" xfId="0" applyFont="1" applyAlignment="1" applyProtection="1">
      <alignment vertical="center"/>
      <protection locked="0" hidden="1"/>
    </xf>
    <xf numFmtId="0" fontId="3" fillId="11" borderId="2" xfId="0" applyFont="1" applyFill="1" applyBorder="1" applyAlignment="1" applyProtection="1">
      <alignment horizontal="center" vertical="center"/>
      <protection locked="0" hidden="1"/>
    </xf>
    <xf numFmtId="0" fontId="9" fillId="6" borderId="2" xfId="0" applyFont="1" applyFill="1" applyBorder="1" applyAlignment="1" applyProtection="1">
      <alignment horizontal="center" vertical="center"/>
      <protection locked="0" hidden="1"/>
    </xf>
    <xf numFmtId="0" fontId="9" fillId="8" borderId="2" xfId="0" applyFont="1" applyFill="1" applyBorder="1" applyAlignment="1" applyProtection="1">
      <alignment horizontal="center" vertical="center"/>
      <protection locked="0" hidden="1"/>
    </xf>
    <xf numFmtId="0" fontId="13" fillId="7" borderId="4" xfId="1" applyNumberFormat="1" applyFont="1" applyFill="1" applyBorder="1" applyAlignment="1" applyProtection="1">
      <alignment horizontal="center" vertical="center"/>
      <protection locked="0" hidden="1"/>
    </xf>
    <xf numFmtId="2" fontId="6" fillId="7" borderId="4" xfId="0" applyNumberFormat="1" applyFont="1" applyFill="1" applyBorder="1" applyAlignment="1" applyProtection="1">
      <alignment horizontal="center" vertical="center"/>
      <protection locked="0" hidden="1"/>
    </xf>
    <xf numFmtId="0" fontId="1" fillId="7" borderId="4" xfId="0" applyFont="1" applyFill="1" applyBorder="1" applyAlignment="1" applyProtection="1">
      <alignment horizontal="center" vertical="center" wrapText="1"/>
      <protection locked="0" hidden="1"/>
    </xf>
    <xf numFmtId="0" fontId="1" fillId="0" borderId="16" xfId="0" applyFont="1" applyBorder="1" applyProtection="1">
      <protection locked="0" hidden="1"/>
    </xf>
    <xf numFmtId="164" fontId="1" fillId="4" borderId="4" xfId="0" applyNumberFormat="1" applyFont="1" applyFill="1" applyBorder="1" applyAlignment="1" applyProtection="1">
      <alignment vertical="center"/>
      <protection locked="0" hidden="1"/>
    </xf>
    <xf numFmtId="165" fontId="2" fillId="0" borderId="16" xfId="1" applyNumberFormat="1" applyFont="1" applyBorder="1" applyAlignment="1" applyProtection="1">
      <alignment horizontal="center" vertical="center"/>
      <protection locked="0" hidden="1"/>
    </xf>
    <xf numFmtId="0" fontId="13" fillId="0" borderId="16" xfId="1" applyNumberFormat="1" applyFont="1" applyBorder="1" applyAlignment="1" applyProtection="1">
      <alignment horizontal="center" vertical="center"/>
      <protection locked="0" hidden="1"/>
    </xf>
    <xf numFmtId="164" fontId="18" fillId="7" borderId="0" xfId="1" applyNumberFormat="1" applyFont="1" applyFill="1" applyBorder="1" applyAlignment="1" applyProtection="1">
      <alignment horizontal="center" vertical="center"/>
      <protection locked="0" hidden="1"/>
    </xf>
    <xf numFmtId="164" fontId="1" fillId="4" borderId="13" xfId="0" applyNumberFormat="1" applyFont="1" applyFill="1" applyBorder="1" applyAlignment="1" applyProtection="1">
      <alignment vertical="center"/>
      <protection locked="0" hidden="1"/>
    </xf>
    <xf numFmtId="165" fontId="1" fillId="0" borderId="16" xfId="1" applyNumberFormat="1" applyFont="1" applyFill="1" applyBorder="1" applyAlignment="1" applyProtection="1">
      <alignment horizontal="center" vertical="center"/>
      <protection locked="0" hidden="1"/>
    </xf>
    <xf numFmtId="164" fontId="1" fillId="4" borderId="5" xfId="0" applyNumberFormat="1" applyFont="1" applyFill="1" applyBorder="1" applyAlignment="1" applyProtection="1">
      <alignment vertical="center"/>
      <protection locked="0" hidden="1"/>
    </xf>
    <xf numFmtId="165" fontId="1" fillId="0" borderId="17" xfId="1" applyNumberFormat="1" applyFont="1" applyFill="1" applyBorder="1" applyAlignment="1" applyProtection="1">
      <alignment horizontal="center" vertical="center"/>
      <protection locked="0" hidden="1"/>
    </xf>
    <xf numFmtId="165" fontId="13" fillId="7" borderId="4" xfId="1" applyNumberFormat="1" applyFont="1" applyFill="1" applyBorder="1" applyAlignment="1" applyProtection="1">
      <alignment horizontal="center" vertical="center"/>
      <protection locked="0" hidden="1"/>
    </xf>
    <xf numFmtId="164" fontId="1" fillId="4" borderId="2" xfId="0" applyNumberFormat="1" applyFont="1" applyFill="1" applyBorder="1" applyAlignment="1" applyProtection="1">
      <alignment vertical="center"/>
      <protection locked="0" hidden="1"/>
    </xf>
    <xf numFmtId="0" fontId="1" fillId="7" borderId="4" xfId="0" applyFont="1" applyFill="1" applyBorder="1" applyProtection="1">
      <protection locked="0" hidden="1"/>
    </xf>
    <xf numFmtId="2" fontId="1" fillId="7" borderId="4" xfId="0" applyNumberFormat="1" applyFont="1" applyFill="1" applyBorder="1" applyAlignment="1" applyProtection="1">
      <alignment horizontal="center" vertical="center" wrapText="1"/>
      <protection locked="0" hidden="1"/>
    </xf>
    <xf numFmtId="164" fontId="1" fillId="4" borderId="3" xfId="0" applyNumberFormat="1" applyFont="1" applyFill="1" applyBorder="1" applyAlignment="1" applyProtection="1">
      <alignment vertical="center"/>
      <protection locked="0" hidden="1"/>
    </xf>
    <xf numFmtId="164" fontId="8" fillId="7" borderId="9" xfId="1" applyNumberFormat="1" applyFont="1" applyFill="1" applyBorder="1" applyAlignment="1" applyProtection="1">
      <alignment horizontal="center" vertical="center"/>
      <protection locked="0" hidden="1"/>
    </xf>
    <xf numFmtId="0" fontId="1" fillId="7" borderId="8" xfId="0" applyFont="1" applyFill="1" applyBorder="1" applyProtection="1">
      <protection locked="0" hidden="1"/>
    </xf>
    <xf numFmtId="164" fontId="1" fillId="7" borderId="8" xfId="0" applyNumberFormat="1" applyFont="1" applyFill="1" applyBorder="1" applyAlignment="1" applyProtection="1">
      <alignment vertical="center"/>
      <protection locked="0" hidden="1"/>
    </xf>
    <xf numFmtId="165" fontId="13" fillId="7" borderId="8" xfId="1" applyNumberFormat="1" applyFont="1" applyFill="1" applyBorder="1" applyAlignment="1" applyProtection="1">
      <alignment horizontal="center" vertical="center"/>
      <protection locked="0" hidden="1"/>
    </xf>
    <xf numFmtId="0" fontId="13" fillId="7" borderId="8" xfId="1" applyNumberFormat="1" applyFont="1" applyFill="1" applyBorder="1" applyAlignment="1" applyProtection="1">
      <alignment horizontal="center" vertical="center"/>
      <protection locked="0" hidden="1"/>
    </xf>
    <xf numFmtId="2" fontId="6" fillId="7" borderId="8" xfId="0" applyNumberFormat="1" applyFont="1" applyFill="1" applyBorder="1" applyAlignment="1" applyProtection="1">
      <alignment horizontal="center" vertical="center"/>
      <protection locked="0" hidden="1"/>
    </xf>
    <xf numFmtId="0" fontId="1" fillId="7" borderId="8" xfId="0" applyFont="1" applyFill="1" applyBorder="1" applyAlignment="1" applyProtection="1">
      <alignment horizontal="center" vertical="center" wrapText="1"/>
      <protection locked="0" hidden="1"/>
    </xf>
    <xf numFmtId="164" fontId="5" fillId="5" borderId="4" xfId="0" applyNumberFormat="1" applyFont="1" applyFill="1" applyBorder="1" applyAlignment="1" applyProtection="1">
      <alignment horizontal="center" vertical="center"/>
      <protection locked="0" hidden="1"/>
    </xf>
    <xf numFmtId="9" fontId="3" fillId="11" borderId="19" xfId="0" applyNumberFormat="1" applyFont="1" applyFill="1" applyBorder="1" applyAlignment="1" applyProtection="1">
      <alignment horizontal="center" vertical="center"/>
      <protection locked="0" hidden="1"/>
    </xf>
    <xf numFmtId="2" fontId="9" fillId="8" borderId="19" xfId="0" applyNumberFormat="1" applyFont="1" applyFill="1" applyBorder="1" applyAlignment="1" applyProtection="1">
      <alignment horizontal="center" vertical="center"/>
      <protection locked="0" hidden="1"/>
    </xf>
    <xf numFmtId="164" fontId="1" fillId="7" borderId="9" xfId="0" applyNumberFormat="1" applyFont="1" applyFill="1" applyBorder="1" applyAlignment="1" applyProtection="1">
      <alignment vertical="center"/>
      <protection locked="0" hidden="1"/>
    </xf>
    <xf numFmtId="165" fontId="13" fillId="7" borderId="0" xfId="1" applyNumberFormat="1" applyFont="1" applyFill="1" applyBorder="1" applyAlignment="1" applyProtection="1">
      <alignment horizontal="center" vertical="center"/>
      <protection locked="0" hidden="1"/>
    </xf>
    <xf numFmtId="0" fontId="13" fillId="7" borderId="0" xfId="1" applyNumberFormat="1" applyFont="1" applyFill="1" applyBorder="1" applyAlignment="1" applyProtection="1">
      <alignment horizontal="center" vertical="center"/>
      <protection locked="0" hidden="1"/>
    </xf>
    <xf numFmtId="2" fontId="6" fillId="7" borderId="0" xfId="0" applyNumberFormat="1" applyFont="1" applyFill="1" applyAlignment="1" applyProtection="1">
      <alignment horizontal="center" vertical="center"/>
      <protection locked="0" hidden="1"/>
    </xf>
    <xf numFmtId="0" fontId="1" fillId="7" borderId="0" xfId="0" applyFont="1" applyFill="1" applyAlignment="1" applyProtection="1">
      <alignment horizontal="center" vertical="center" wrapText="1"/>
      <protection locked="0" hidden="1"/>
    </xf>
    <xf numFmtId="0" fontId="13" fillId="13" borderId="19" xfId="0" applyFont="1" applyFill="1" applyBorder="1" applyAlignment="1" applyProtection="1">
      <alignment vertical="center" wrapText="1"/>
      <protection hidden="1"/>
    </xf>
    <xf numFmtId="0" fontId="1" fillId="0" borderId="0" xfId="0" applyFont="1" applyProtection="1">
      <protection locked="0"/>
    </xf>
    <xf numFmtId="0" fontId="1" fillId="0" borderId="0" xfId="0" applyFont="1" applyAlignment="1" applyProtection="1">
      <alignment vertical="center"/>
      <protection locked="0"/>
    </xf>
    <xf numFmtId="165" fontId="13" fillId="9" borderId="2" xfId="0" applyNumberFormat="1" applyFont="1" applyFill="1" applyBorder="1" applyAlignment="1" applyProtection="1">
      <alignment horizontal="center" vertical="center" wrapText="1"/>
      <protection hidden="1"/>
    </xf>
    <xf numFmtId="164" fontId="9" fillId="2" borderId="3" xfId="0" applyNumberFormat="1" applyFont="1" applyFill="1" applyBorder="1" applyAlignment="1" applyProtection="1">
      <alignment horizontal="center" vertical="center"/>
      <protection hidden="1"/>
    </xf>
    <xf numFmtId="165" fontId="1" fillId="0" borderId="2" xfId="1" applyNumberFormat="1" applyFont="1" applyBorder="1" applyAlignment="1" applyProtection="1">
      <alignment horizontal="center" vertical="center"/>
      <protection hidden="1"/>
    </xf>
    <xf numFmtId="164" fontId="1" fillId="0" borderId="2" xfId="1" applyNumberFormat="1" applyFont="1" applyBorder="1" applyAlignment="1" applyProtection="1">
      <alignment horizontal="center" vertical="center"/>
      <protection hidden="1"/>
    </xf>
    <xf numFmtId="0" fontId="21" fillId="11" borderId="18" xfId="2" applyFont="1" applyFill="1" applyAlignment="1" applyProtection="1">
      <alignment horizontal="center" vertical="center"/>
    </xf>
    <xf numFmtId="2" fontId="1" fillId="0" borderId="0" xfId="0" applyNumberFormat="1" applyFont="1" applyProtection="1">
      <protection locked="0"/>
    </xf>
    <xf numFmtId="164" fontId="1" fillId="0" borderId="0" xfId="0" applyNumberFormat="1" applyFont="1" applyProtection="1">
      <protection locked="0" hidden="1"/>
    </xf>
    <xf numFmtId="165" fontId="1" fillId="0" borderId="0" xfId="1" applyNumberFormat="1" applyFont="1" applyFill="1" applyBorder="1" applyAlignment="1" applyProtection="1">
      <alignment horizontal="center" vertical="center"/>
      <protection locked="0" hidden="1"/>
    </xf>
    <xf numFmtId="0" fontId="13" fillId="0" borderId="0" xfId="1" applyNumberFormat="1" applyFont="1" applyBorder="1" applyAlignment="1" applyProtection="1">
      <alignment horizontal="center" vertical="center"/>
      <protection locked="0" hidden="1"/>
    </xf>
    <xf numFmtId="164" fontId="6" fillId="0" borderId="8" xfId="0" applyNumberFormat="1" applyFont="1" applyBorder="1" applyAlignment="1" applyProtection="1">
      <alignment horizontal="center" vertical="center"/>
      <protection locked="0" hidden="1"/>
    </xf>
    <xf numFmtId="2" fontId="14" fillId="7" borderId="0" xfId="0" applyNumberFormat="1" applyFont="1" applyFill="1" applyAlignment="1" applyProtection="1">
      <alignment horizontal="center" vertical="center" wrapText="1"/>
      <protection locked="0" hidden="1"/>
    </xf>
    <xf numFmtId="0" fontId="1" fillId="0" borderId="2" xfId="0" applyFont="1" applyBorder="1" applyProtection="1">
      <protection locked="0" hidden="1"/>
    </xf>
    <xf numFmtId="0" fontId="1" fillId="0" borderId="3" xfId="0" applyFont="1" applyBorder="1" applyProtection="1">
      <protection locked="0" hidden="1"/>
    </xf>
    <xf numFmtId="165" fontId="2" fillId="7" borderId="2" xfId="1" applyNumberFormat="1" applyFont="1" applyFill="1" applyBorder="1" applyAlignment="1" applyProtection="1">
      <alignment horizontal="center" vertical="center"/>
      <protection locked="0" hidden="1"/>
    </xf>
    <xf numFmtId="165" fontId="23" fillId="0" borderId="16" xfId="1" applyNumberFormat="1" applyFont="1" applyFill="1" applyBorder="1" applyAlignment="1" applyProtection="1">
      <alignment horizontal="center" vertical="center"/>
      <protection locked="0" hidden="1"/>
    </xf>
    <xf numFmtId="0" fontId="24" fillId="5" borderId="7" xfId="0" applyFont="1" applyFill="1" applyBorder="1" applyAlignment="1" applyProtection="1">
      <alignment horizontal="center" vertical="center"/>
      <protection locked="0" hidden="1"/>
    </xf>
    <xf numFmtId="0" fontId="1" fillId="0" borderId="1" xfId="0" applyFont="1" applyBorder="1" applyAlignment="1">
      <alignment horizontal="left" vertical="center"/>
    </xf>
    <xf numFmtId="0" fontId="1" fillId="0" borderId="4" xfId="0" applyFont="1" applyBorder="1" applyAlignment="1">
      <alignment horizontal="left" vertical="center"/>
    </xf>
    <xf numFmtId="0" fontId="1" fillId="0" borderId="5" xfId="0" applyFont="1" applyBorder="1" applyAlignment="1">
      <alignment horizontal="left" vertical="center"/>
    </xf>
    <xf numFmtId="0" fontId="1" fillId="0" borderId="3" xfId="0" applyFont="1" applyBorder="1" applyAlignment="1" applyProtection="1">
      <alignment horizontal="center" vertical="center" wrapText="1"/>
      <protection hidden="1"/>
    </xf>
    <xf numFmtId="164" fontId="6" fillId="0" borderId="3" xfId="0" applyNumberFormat="1" applyFont="1" applyBorder="1" applyAlignment="1" applyProtection="1">
      <alignment horizontal="center" vertical="center"/>
      <protection hidden="1"/>
    </xf>
    <xf numFmtId="0" fontId="1" fillId="7" borderId="3" xfId="0" applyFont="1" applyFill="1" applyBorder="1" applyAlignment="1" applyProtection="1">
      <alignment horizontal="center" vertical="center" wrapText="1"/>
      <protection locked="0" hidden="1"/>
    </xf>
    <xf numFmtId="2" fontId="14" fillId="7" borderId="3" xfId="0" applyNumberFormat="1" applyFont="1" applyFill="1" applyBorder="1" applyAlignment="1" applyProtection="1">
      <alignment horizontal="center" vertical="center" wrapText="1"/>
      <protection locked="0" hidden="1"/>
    </xf>
    <xf numFmtId="164" fontId="6" fillId="0" borderId="2" xfId="0" applyNumberFormat="1" applyFont="1" applyBorder="1" applyAlignment="1" applyProtection="1">
      <alignment horizontal="center" vertical="center"/>
      <protection locked="0" hidden="1"/>
    </xf>
    <xf numFmtId="0" fontId="25" fillId="11" borderId="2" xfId="0" applyFont="1" applyFill="1" applyBorder="1" applyAlignment="1">
      <alignment horizontal="center" vertical="center"/>
    </xf>
    <xf numFmtId="0" fontId="26" fillId="0" borderId="0" xfId="0" applyFont="1"/>
    <xf numFmtId="0" fontId="27" fillId="0" borderId="2" xfId="0" applyFont="1" applyBorder="1" applyAlignment="1">
      <alignment horizontal="center" vertical="center"/>
    </xf>
    <xf numFmtId="0" fontId="28" fillId="0" borderId="2" xfId="0" applyFont="1" applyBorder="1" applyAlignment="1">
      <alignment vertical="center" wrapText="1"/>
    </xf>
    <xf numFmtId="0" fontId="28" fillId="0" borderId="2" xfId="0" applyFont="1" applyBorder="1" applyAlignment="1">
      <alignment horizontal="left" vertical="center" wrapText="1"/>
    </xf>
    <xf numFmtId="0" fontId="29" fillId="0" borderId="2" xfId="0" applyFont="1" applyBorder="1" applyAlignment="1">
      <alignment horizontal="justify" vertical="center" wrapText="1"/>
    </xf>
    <xf numFmtId="0" fontId="29" fillId="0" borderId="2" xfId="0" applyFont="1" applyBorder="1" applyAlignment="1">
      <alignment horizontal="left" vertical="center" wrapText="1"/>
    </xf>
    <xf numFmtId="0" fontId="29" fillId="0" borderId="2" xfId="0" applyFont="1" applyBorder="1" applyAlignment="1">
      <alignment horizontal="justify" vertical="center"/>
    </xf>
    <xf numFmtId="0" fontId="28" fillId="0" borderId="2" xfId="0" applyFont="1" applyBorder="1" applyAlignment="1">
      <alignment horizontal="justify" vertical="center" wrapText="1"/>
    </xf>
    <xf numFmtId="0" fontId="26" fillId="0" borderId="0" xfId="0" applyFont="1" applyAlignment="1">
      <alignment horizontal="center" vertical="center"/>
    </xf>
    <xf numFmtId="0" fontId="26" fillId="0" borderId="32" xfId="0" applyFont="1" applyBorder="1" applyAlignment="1">
      <alignment horizontal="left" vertical="center"/>
    </xf>
    <xf numFmtId="0" fontId="27" fillId="13" borderId="32" xfId="0" applyFont="1" applyFill="1" applyBorder="1" applyAlignment="1">
      <alignment horizontal="center" vertical="center"/>
    </xf>
    <xf numFmtId="9" fontId="13" fillId="9" borderId="2" xfId="0" applyNumberFormat="1" applyFont="1" applyFill="1" applyBorder="1" applyAlignment="1" applyProtection="1">
      <alignment horizontal="center" vertical="center" wrapText="1"/>
      <protection hidden="1"/>
    </xf>
    <xf numFmtId="0" fontId="13" fillId="0" borderId="8" xfId="1" applyNumberFormat="1" applyFont="1" applyBorder="1" applyAlignment="1" applyProtection="1">
      <alignment horizontal="center" vertical="center"/>
      <protection locked="0" hidden="1"/>
    </xf>
    <xf numFmtId="0" fontId="14" fillId="7" borderId="8" xfId="0" applyFont="1" applyFill="1" applyBorder="1" applyAlignment="1" applyProtection="1">
      <alignment horizontal="center" vertical="center" wrapText="1"/>
      <protection locked="0" hidden="1"/>
    </xf>
    <xf numFmtId="164" fontId="1" fillId="4" borderId="8" xfId="0" applyNumberFormat="1" applyFont="1" applyFill="1" applyBorder="1" applyAlignment="1" applyProtection="1">
      <alignment vertical="center"/>
      <protection locked="0" hidden="1"/>
    </xf>
    <xf numFmtId="164" fontId="1" fillId="0" borderId="0" xfId="0" applyNumberFormat="1" applyFont="1" applyAlignment="1" applyProtection="1">
      <alignment vertical="center"/>
      <protection locked="0" hidden="1"/>
    </xf>
    <xf numFmtId="165" fontId="2" fillId="0" borderId="33" xfId="1" applyNumberFormat="1" applyFont="1" applyBorder="1" applyAlignment="1" applyProtection="1">
      <alignment horizontal="center" vertical="center"/>
      <protection locked="0" hidden="1"/>
    </xf>
    <xf numFmtId="0" fontId="1" fillId="7" borderId="2" xfId="0" applyFont="1" applyFill="1" applyBorder="1" applyAlignment="1" applyProtection="1">
      <alignment horizontal="center" vertical="center" wrapText="1"/>
      <protection locked="0" hidden="1"/>
    </xf>
    <xf numFmtId="2" fontId="14" fillId="7" borderId="2" xfId="0" applyNumberFormat="1" applyFont="1" applyFill="1" applyBorder="1" applyAlignment="1" applyProtection="1">
      <alignment horizontal="center" vertical="center" wrapText="1"/>
      <protection locked="0" hidden="1"/>
    </xf>
    <xf numFmtId="0" fontId="1" fillId="0" borderId="2" xfId="0" applyFont="1" applyBorder="1" applyAlignment="1">
      <alignment vertical="center"/>
    </xf>
    <xf numFmtId="0" fontId="1" fillId="0" borderId="34" xfId="0" applyFont="1" applyBorder="1" applyAlignment="1">
      <alignment horizontal="left" vertical="center"/>
    </xf>
    <xf numFmtId="0" fontId="1" fillId="0" borderId="35" xfId="0" applyFont="1" applyBorder="1" applyAlignment="1">
      <alignment vertical="center" wrapText="1"/>
    </xf>
    <xf numFmtId="0" fontId="1" fillId="7" borderId="2" xfId="0" applyFont="1" applyFill="1" applyBorder="1" applyProtection="1">
      <protection locked="0" hidden="1"/>
    </xf>
    <xf numFmtId="0" fontId="1" fillId="4" borderId="1" xfId="0" applyFont="1" applyFill="1" applyBorder="1" applyAlignment="1" applyProtection="1">
      <alignment horizontal="left" vertical="center" wrapText="1"/>
      <protection locked="0" hidden="1"/>
    </xf>
    <xf numFmtId="164" fontId="18" fillId="4" borderId="4" xfId="1" applyNumberFormat="1" applyFont="1" applyFill="1" applyBorder="1" applyAlignment="1" applyProtection="1">
      <alignment horizontal="center" vertical="center"/>
      <protection locked="0" hidden="1"/>
    </xf>
    <xf numFmtId="165" fontId="11" fillId="4" borderId="5" xfId="1" applyNumberFormat="1" applyFont="1" applyFill="1" applyBorder="1" applyAlignment="1" applyProtection="1">
      <alignment horizontal="center" vertical="center"/>
      <protection locked="0" hidden="1"/>
    </xf>
    <xf numFmtId="0" fontId="13" fillId="0" borderId="3" xfId="1" applyNumberFormat="1" applyFont="1" applyBorder="1" applyAlignment="1" applyProtection="1">
      <alignment horizontal="center" vertical="center"/>
      <protection locked="0" hidden="1"/>
    </xf>
    <xf numFmtId="0" fontId="13" fillId="7" borderId="9" xfId="1" applyNumberFormat="1" applyFont="1" applyFill="1" applyBorder="1" applyAlignment="1" applyProtection="1">
      <alignment horizontal="center" vertical="center"/>
      <protection locked="0" hidden="1"/>
    </xf>
    <xf numFmtId="2" fontId="6" fillId="7" borderId="9" xfId="0" applyNumberFormat="1" applyFont="1" applyFill="1" applyBorder="1" applyAlignment="1" applyProtection="1">
      <alignment horizontal="center" vertical="center"/>
      <protection locked="0" hidden="1"/>
    </xf>
    <xf numFmtId="0" fontId="1" fillId="7" borderId="9" xfId="0" applyFont="1" applyFill="1" applyBorder="1" applyAlignment="1" applyProtection="1">
      <alignment horizontal="center" vertical="center" wrapText="1"/>
      <protection locked="0" hidden="1"/>
    </xf>
    <xf numFmtId="0" fontId="13" fillId="0" borderId="2" xfId="1" applyNumberFormat="1" applyFont="1" applyBorder="1" applyAlignment="1" applyProtection="1">
      <alignment horizontal="center" vertical="center"/>
      <protection locked="0" hidden="1"/>
    </xf>
    <xf numFmtId="165" fontId="13" fillId="7" borderId="2" xfId="0" applyNumberFormat="1" applyFont="1" applyFill="1" applyBorder="1" applyAlignment="1" applyProtection="1">
      <alignment horizontal="center" vertical="center" wrapText="1"/>
      <protection hidden="1"/>
    </xf>
    <xf numFmtId="165" fontId="2" fillId="0" borderId="33" xfId="1" applyNumberFormat="1" applyFont="1" applyFill="1" applyBorder="1" applyAlignment="1" applyProtection="1">
      <alignment horizontal="center" vertical="center"/>
      <protection locked="0" hidden="1"/>
    </xf>
    <xf numFmtId="0" fontId="3" fillId="2" borderId="4" xfId="0" applyFont="1" applyFill="1" applyBorder="1" applyAlignment="1" applyProtection="1">
      <alignment vertical="center" wrapText="1"/>
      <protection locked="0" hidden="1"/>
    </xf>
    <xf numFmtId="0" fontId="3" fillId="2" borderId="5" xfId="0" applyFont="1" applyFill="1" applyBorder="1" applyAlignment="1" applyProtection="1">
      <alignment vertical="center" wrapText="1"/>
      <protection locked="0" hidden="1"/>
    </xf>
    <xf numFmtId="0" fontId="22" fillId="11" borderId="27" xfId="2" applyFont="1" applyFill="1" applyBorder="1" applyAlignment="1" applyProtection="1">
      <alignment horizontal="left" vertical="center"/>
      <protection locked="0"/>
    </xf>
    <xf numFmtId="0" fontId="22" fillId="11" borderId="28" xfId="2" applyFont="1" applyFill="1" applyBorder="1" applyAlignment="1" applyProtection="1">
      <alignment horizontal="left" vertical="center"/>
      <protection locked="0"/>
    </xf>
    <xf numFmtId="0" fontId="22" fillId="11" borderId="29" xfId="2" applyFont="1" applyFill="1" applyBorder="1" applyAlignment="1" applyProtection="1">
      <alignment horizontal="left" vertical="center"/>
      <protection locked="0"/>
    </xf>
    <xf numFmtId="0" fontId="22" fillId="11" borderId="27" xfId="2" applyFont="1" applyFill="1" applyBorder="1" applyAlignment="1" applyProtection="1">
      <alignment horizontal="center" vertical="center"/>
      <protection locked="0"/>
    </xf>
    <xf numFmtId="0" fontId="22" fillId="11" borderId="28" xfId="2" applyFont="1" applyFill="1" applyBorder="1" applyAlignment="1" applyProtection="1">
      <alignment horizontal="center" vertical="center"/>
      <protection locked="0"/>
    </xf>
    <xf numFmtId="0" fontId="22" fillId="11" borderId="29" xfId="2" applyFont="1" applyFill="1" applyBorder="1" applyAlignment="1" applyProtection="1">
      <alignment horizontal="center" vertical="center"/>
      <protection locked="0"/>
    </xf>
    <xf numFmtId="0" fontId="5" fillId="11" borderId="0" xfId="0" applyFont="1" applyFill="1" applyAlignment="1">
      <alignment horizontal="center"/>
    </xf>
    <xf numFmtId="0" fontId="1" fillId="11" borderId="0" xfId="0" applyFont="1" applyFill="1" applyAlignment="1">
      <alignment horizontal="center"/>
    </xf>
    <xf numFmtId="0" fontId="21" fillId="11" borderId="27" xfId="2" applyFont="1" applyFill="1" applyBorder="1" applyAlignment="1" applyProtection="1">
      <alignment horizontal="center" vertical="center"/>
    </xf>
    <xf numFmtId="0" fontId="21" fillId="11" borderId="28" xfId="2" applyFont="1" applyFill="1" applyBorder="1" applyAlignment="1" applyProtection="1">
      <alignment horizontal="center" vertical="center"/>
    </xf>
    <xf numFmtId="0" fontId="21" fillId="11" borderId="29" xfId="2" applyFont="1" applyFill="1" applyBorder="1" applyAlignment="1" applyProtection="1">
      <alignment horizontal="center" vertical="center"/>
    </xf>
    <xf numFmtId="0" fontId="15" fillId="10" borderId="1" xfId="0" applyFont="1" applyFill="1" applyBorder="1" applyAlignment="1" applyProtection="1">
      <alignment horizontal="left" vertical="center" wrapText="1"/>
      <protection locked="0"/>
    </xf>
    <xf numFmtId="0" fontId="15" fillId="10" borderId="4" xfId="0" applyFont="1" applyFill="1" applyBorder="1" applyAlignment="1" applyProtection="1">
      <alignment horizontal="left" vertical="center" wrapText="1"/>
      <protection locked="0"/>
    </xf>
    <xf numFmtId="0" fontId="15" fillId="10" borderId="5" xfId="0" applyFont="1" applyFill="1" applyBorder="1" applyAlignment="1" applyProtection="1">
      <alignment horizontal="left" vertical="center" wrapText="1"/>
      <protection locked="0"/>
    </xf>
    <xf numFmtId="0" fontId="3" fillId="2" borderId="14" xfId="0" applyFont="1" applyFill="1" applyBorder="1" applyAlignment="1">
      <alignment horizontal="center" vertical="center"/>
    </xf>
    <xf numFmtId="0" fontId="3" fillId="2" borderId="9" xfId="0" applyFont="1" applyFill="1" applyBorder="1" applyAlignment="1">
      <alignment horizontal="center" vertical="center"/>
    </xf>
    <xf numFmtId="0" fontId="9" fillId="6" borderId="1" xfId="0" applyFont="1" applyFill="1" applyBorder="1" applyAlignment="1">
      <alignment horizontal="center" vertical="center"/>
    </xf>
    <xf numFmtId="0" fontId="9" fillId="6" borderId="4" xfId="0" applyFont="1" applyFill="1" applyBorder="1" applyAlignment="1">
      <alignment horizontal="center" vertical="center"/>
    </xf>
    <xf numFmtId="0" fontId="9" fillId="6" borderId="5"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1"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1" fillId="0" borderId="1" xfId="0" applyFont="1" applyBorder="1" applyAlignment="1">
      <alignment horizontal="left" vertical="center"/>
    </xf>
    <xf numFmtId="0" fontId="1" fillId="0" borderId="4" xfId="0" applyFont="1" applyBorder="1" applyAlignment="1">
      <alignment horizontal="left" vertical="center"/>
    </xf>
    <xf numFmtId="0" fontId="1" fillId="0" borderId="5" xfId="0" applyFont="1" applyBorder="1" applyAlignment="1">
      <alignment horizontal="left" vertical="center"/>
    </xf>
    <xf numFmtId="0" fontId="1" fillId="0" borderId="1" xfId="0" applyFont="1" applyBorder="1" applyAlignment="1">
      <alignment horizontal="left" vertical="center" wrapText="1"/>
    </xf>
    <xf numFmtId="0" fontId="1" fillId="0" borderId="4" xfId="0" applyFont="1" applyBorder="1" applyAlignment="1">
      <alignment horizontal="left" vertical="center" wrapText="1"/>
    </xf>
    <xf numFmtId="0" fontId="1" fillId="0" borderId="5" xfId="0" applyFont="1" applyBorder="1" applyAlignment="1">
      <alignment horizontal="left" vertical="center" wrapText="1"/>
    </xf>
    <xf numFmtId="0" fontId="9" fillId="2" borderId="1"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9" fillId="2" borderId="5" xfId="0" applyFont="1" applyFill="1" applyBorder="1" applyAlignment="1">
      <alignment horizontal="center" vertical="center" wrapText="1"/>
    </xf>
    <xf numFmtId="165" fontId="16" fillId="10" borderId="1" xfId="0" applyNumberFormat="1" applyFont="1" applyFill="1" applyBorder="1" applyAlignment="1" applyProtection="1">
      <alignment horizontal="left" vertical="center" wrapText="1"/>
      <protection locked="0"/>
    </xf>
    <xf numFmtId="165" fontId="16" fillId="10" borderId="4" xfId="0" applyNumberFormat="1" applyFont="1" applyFill="1" applyBorder="1" applyAlignment="1" applyProtection="1">
      <alignment horizontal="left" vertical="center" wrapText="1"/>
      <protection locked="0"/>
    </xf>
    <xf numFmtId="165" fontId="16" fillId="10" borderId="5" xfId="0" applyNumberFormat="1" applyFont="1" applyFill="1" applyBorder="1" applyAlignment="1" applyProtection="1">
      <alignment horizontal="left" vertical="center" wrapText="1"/>
      <protection locked="0"/>
    </xf>
    <xf numFmtId="164" fontId="6" fillId="0" borderId="2" xfId="0" applyNumberFormat="1" applyFont="1" applyBorder="1" applyAlignment="1" applyProtection="1">
      <alignment horizontal="center" vertical="center"/>
      <protection hidden="1"/>
    </xf>
    <xf numFmtId="0" fontId="1" fillId="0" borderId="2" xfId="0" applyFont="1" applyBorder="1" applyAlignment="1" applyProtection="1">
      <alignment horizontal="center" vertical="center" wrapText="1"/>
      <protection hidden="1"/>
    </xf>
    <xf numFmtId="0" fontId="3" fillId="2" borderId="10"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12" xfId="0" applyFont="1" applyFill="1" applyBorder="1" applyAlignment="1">
      <alignment horizontal="center" vertical="center"/>
    </xf>
    <xf numFmtId="0" fontId="1" fillId="0" borderId="3" xfId="0" applyFont="1" applyBorder="1" applyAlignment="1" applyProtection="1">
      <alignment horizontal="center" vertical="center" wrapText="1"/>
      <protection hidden="1"/>
    </xf>
    <xf numFmtId="0" fontId="1" fillId="0" borderId="6" xfId="0" applyFont="1" applyBorder="1" applyAlignment="1" applyProtection="1">
      <alignment horizontal="center" vertical="center" wrapText="1"/>
      <protection hidden="1"/>
    </xf>
    <xf numFmtId="0" fontId="3" fillId="11" borderId="11" xfId="0" applyFont="1" applyFill="1" applyBorder="1" applyAlignment="1">
      <alignment horizontal="center" vertical="center"/>
    </xf>
    <xf numFmtId="0" fontId="3" fillId="11" borderId="0" xfId="0" applyFont="1" applyFill="1" applyAlignment="1">
      <alignment horizontal="center" vertical="center"/>
    </xf>
    <xf numFmtId="164" fontId="6" fillId="0" borderId="3" xfId="0" applyNumberFormat="1" applyFont="1" applyBorder="1" applyAlignment="1" applyProtection="1">
      <alignment horizontal="center" vertical="center"/>
      <protection hidden="1"/>
    </xf>
    <xf numFmtId="164" fontId="6" fillId="0" borderId="6" xfId="0" applyNumberFormat="1" applyFont="1" applyBorder="1" applyAlignment="1" applyProtection="1">
      <alignment horizontal="center" vertical="center"/>
      <protection hidden="1"/>
    </xf>
    <xf numFmtId="0" fontId="15" fillId="4" borderId="1" xfId="0" applyFont="1" applyFill="1" applyBorder="1" applyAlignment="1" applyProtection="1">
      <alignment horizontal="left" vertical="center" wrapText="1"/>
      <protection locked="0"/>
    </xf>
    <xf numFmtId="0" fontId="15" fillId="4" borderId="4" xfId="0" applyFont="1" applyFill="1" applyBorder="1" applyAlignment="1" applyProtection="1">
      <alignment horizontal="left" vertical="center" wrapText="1"/>
      <protection locked="0"/>
    </xf>
    <xf numFmtId="0" fontId="15" fillId="4" borderId="5" xfId="0" applyFont="1" applyFill="1" applyBorder="1" applyAlignment="1" applyProtection="1">
      <alignment horizontal="left" vertical="center" wrapText="1"/>
      <protection locked="0"/>
    </xf>
    <xf numFmtId="0" fontId="15" fillId="10" borderId="1" xfId="0" applyFont="1" applyFill="1" applyBorder="1" applyAlignment="1" applyProtection="1">
      <alignment horizontal="left" vertical="center" wrapText="1"/>
      <protection locked="0" hidden="1"/>
    </xf>
    <xf numFmtId="0" fontId="15" fillId="10" borderId="4" xfId="0" applyFont="1" applyFill="1" applyBorder="1" applyAlignment="1" applyProtection="1">
      <alignment horizontal="left" vertical="center" wrapText="1"/>
      <protection locked="0" hidden="1"/>
    </xf>
    <xf numFmtId="0" fontId="15" fillId="10" borderId="5" xfId="0" applyFont="1" applyFill="1" applyBorder="1" applyAlignment="1" applyProtection="1">
      <alignment horizontal="left" vertical="center" wrapText="1"/>
      <protection locked="0" hidden="1"/>
    </xf>
    <xf numFmtId="0" fontId="3" fillId="2" borderId="11" xfId="0" applyFont="1" applyFill="1" applyBorder="1" applyAlignment="1">
      <alignment horizontal="center" vertical="center" wrapText="1"/>
    </xf>
    <xf numFmtId="0" fontId="3" fillId="2" borderId="0" xfId="0" applyFont="1" applyFill="1" applyAlignment="1">
      <alignment horizontal="center" vertical="center" wrapText="1"/>
    </xf>
    <xf numFmtId="164" fontId="6" fillId="0" borderId="7" xfId="0" applyNumberFormat="1" applyFont="1" applyBorder="1" applyAlignment="1" applyProtection="1">
      <alignment horizontal="center" vertical="center"/>
      <protection hidden="1"/>
    </xf>
    <xf numFmtId="0" fontId="1" fillId="0" borderId="7" xfId="0" applyFont="1" applyBorder="1" applyAlignment="1" applyProtection="1">
      <alignment horizontal="center" vertical="center" wrapText="1"/>
      <protection hidden="1"/>
    </xf>
    <xf numFmtId="0" fontId="3" fillId="2" borderId="11" xfId="0" applyFont="1" applyFill="1" applyBorder="1" applyAlignment="1">
      <alignment horizontal="center" vertical="center"/>
    </xf>
    <xf numFmtId="0" fontId="3" fillId="2" borderId="0" xfId="0" applyFont="1" applyFill="1" applyAlignment="1">
      <alignment horizontal="center" vertical="center"/>
    </xf>
    <xf numFmtId="0" fontId="3" fillId="2" borderId="14"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1" xfId="0" applyFont="1" applyFill="1" applyBorder="1" applyAlignment="1" applyProtection="1">
      <alignment horizontal="center" vertical="center" wrapText="1"/>
      <protection locked="0" hidden="1"/>
    </xf>
    <xf numFmtId="0" fontId="3" fillId="2" borderId="4" xfId="0" applyFont="1" applyFill="1" applyBorder="1" applyAlignment="1" applyProtection="1">
      <alignment horizontal="center" vertical="center" wrapText="1"/>
      <protection locked="0" hidden="1"/>
    </xf>
    <xf numFmtId="2" fontId="14" fillId="7" borderId="3" xfId="0" applyNumberFormat="1" applyFont="1" applyFill="1" applyBorder="1" applyAlignment="1" applyProtection="1">
      <alignment horizontal="center" vertical="center" wrapText="1"/>
      <protection locked="0" hidden="1"/>
    </xf>
    <xf numFmtId="2" fontId="14" fillId="7" borderId="6" xfId="0" applyNumberFormat="1" applyFont="1" applyFill="1" applyBorder="1" applyAlignment="1" applyProtection="1">
      <alignment horizontal="center" vertical="center" wrapText="1"/>
      <protection locked="0" hidden="1"/>
    </xf>
    <xf numFmtId="164" fontId="18" fillId="4" borderId="8" xfId="1" applyNumberFormat="1" applyFont="1" applyFill="1" applyBorder="1" applyAlignment="1" applyProtection="1">
      <alignment horizontal="center" vertical="center"/>
      <protection locked="0" hidden="1"/>
    </xf>
    <xf numFmtId="164" fontId="18" fillId="4" borderId="0" xfId="1" applyNumberFormat="1" applyFont="1" applyFill="1" applyBorder="1" applyAlignment="1" applyProtection="1">
      <alignment horizontal="center" vertical="center"/>
      <protection locked="0" hidden="1"/>
    </xf>
    <xf numFmtId="164" fontId="18" fillId="4" borderId="9" xfId="1" applyNumberFormat="1" applyFont="1" applyFill="1" applyBorder="1" applyAlignment="1" applyProtection="1">
      <alignment horizontal="center" vertical="center"/>
      <protection locked="0" hidden="1"/>
    </xf>
    <xf numFmtId="0" fontId="1" fillId="4" borderId="10" xfId="0" applyFont="1" applyFill="1" applyBorder="1" applyAlignment="1" applyProtection="1">
      <alignment horizontal="left" vertical="center" wrapText="1"/>
      <protection locked="0" hidden="1"/>
    </xf>
    <xf numFmtId="0" fontId="1" fillId="4" borderId="11" xfId="0" applyFont="1" applyFill="1" applyBorder="1" applyAlignment="1" applyProtection="1">
      <alignment horizontal="left" vertical="center" wrapText="1"/>
      <protection locked="0" hidden="1"/>
    </xf>
    <xf numFmtId="0" fontId="1" fillId="4" borderId="14" xfId="0" applyFont="1" applyFill="1" applyBorder="1" applyAlignment="1" applyProtection="1">
      <alignment horizontal="left" vertical="center" wrapText="1"/>
      <protection locked="0" hidden="1"/>
    </xf>
    <xf numFmtId="2" fontId="6" fillId="7" borderId="2" xfId="0" applyNumberFormat="1" applyFont="1" applyFill="1" applyBorder="1" applyAlignment="1" applyProtection="1">
      <alignment horizontal="center" vertical="center"/>
      <protection locked="0" hidden="1"/>
    </xf>
    <xf numFmtId="164" fontId="6" fillId="0" borderId="3" xfId="0" applyNumberFormat="1" applyFont="1" applyBorder="1" applyAlignment="1" applyProtection="1">
      <alignment horizontal="center" vertical="center"/>
      <protection locked="0" hidden="1"/>
    </xf>
    <xf numFmtId="164" fontId="6" fillId="0" borderId="6" xfId="0" applyNumberFormat="1" applyFont="1" applyBorder="1" applyAlignment="1" applyProtection="1">
      <alignment horizontal="center" vertical="center"/>
      <protection locked="0" hidden="1"/>
    </xf>
    <xf numFmtId="0" fontId="1" fillId="7" borderId="3" xfId="0" applyFont="1" applyFill="1" applyBorder="1" applyAlignment="1" applyProtection="1">
      <alignment horizontal="center" vertical="center" wrapText="1"/>
      <protection locked="0" hidden="1"/>
    </xf>
    <xf numFmtId="0" fontId="1" fillId="7" borderId="6" xfId="0" applyFont="1" applyFill="1" applyBorder="1" applyAlignment="1" applyProtection="1">
      <alignment horizontal="center" vertical="center" wrapText="1"/>
      <protection locked="0" hidden="1"/>
    </xf>
    <xf numFmtId="165" fontId="11" fillId="4" borderId="12" xfId="1" applyNumberFormat="1" applyFont="1" applyFill="1" applyBorder="1" applyAlignment="1" applyProtection="1">
      <alignment horizontal="center" vertical="center"/>
      <protection locked="0" hidden="1"/>
    </xf>
    <xf numFmtId="165" fontId="11" fillId="4" borderId="15" xfId="1" applyNumberFormat="1" applyFont="1" applyFill="1" applyBorder="1" applyAlignment="1" applyProtection="1">
      <alignment horizontal="center" vertical="center"/>
      <protection locked="0" hidden="1"/>
    </xf>
    <xf numFmtId="165" fontId="11" fillId="4" borderId="13" xfId="1" applyNumberFormat="1" applyFont="1" applyFill="1" applyBorder="1" applyAlignment="1" applyProtection="1">
      <alignment horizontal="center" vertical="center"/>
      <protection locked="0" hidden="1"/>
    </xf>
    <xf numFmtId="164" fontId="6" fillId="0" borderId="2" xfId="0" applyNumberFormat="1" applyFont="1" applyBorder="1" applyAlignment="1" applyProtection="1">
      <alignment horizontal="center" vertical="center"/>
      <protection locked="0" hidden="1"/>
    </xf>
    <xf numFmtId="0" fontId="1" fillId="7" borderId="2" xfId="0" applyFont="1" applyFill="1" applyBorder="1" applyAlignment="1" applyProtection="1">
      <alignment horizontal="center" vertical="center" wrapText="1"/>
      <protection locked="0" hidden="1"/>
    </xf>
    <xf numFmtId="0" fontId="14" fillId="15" borderId="21" xfId="0" applyFont="1" applyFill="1" applyBorder="1" applyAlignment="1" applyProtection="1">
      <alignment horizontal="center" vertical="center" wrapText="1"/>
      <protection locked="0" hidden="1"/>
    </xf>
    <xf numFmtId="0" fontId="14" fillId="15" borderId="22" xfId="0" applyFont="1" applyFill="1" applyBorder="1" applyAlignment="1" applyProtection="1">
      <alignment horizontal="center" vertical="center" wrapText="1"/>
      <protection locked="0" hidden="1"/>
    </xf>
    <xf numFmtId="0" fontId="1" fillId="7" borderId="7" xfId="0" applyFont="1" applyFill="1" applyBorder="1" applyAlignment="1" applyProtection="1">
      <alignment horizontal="center" vertical="center" wrapText="1"/>
      <protection locked="0" hidden="1"/>
    </xf>
    <xf numFmtId="0" fontId="14" fillId="7" borderId="2" xfId="0" applyFont="1" applyFill="1" applyBorder="1" applyAlignment="1" applyProtection="1">
      <alignment horizontal="center" vertical="center" wrapText="1"/>
      <protection locked="0" hidden="1"/>
    </xf>
    <xf numFmtId="0" fontId="1" fillId="4" borderId="10" xfId="0" applyFont="1" applyFill="1" applyBorder="1" applyAlignment="1" applyProtection="1">
      <alignment horizontal="left" vertical="center"/>
      <protection locked="0" hidden="1"/>
    </xf>
    <xf numFmtId="0" fontId="1" fillId="4" borderId="11" xfId="0" applyFont="1" applyFill="1" applyBorder="1" applyAlignment="1" applyProtection="1">
      <alignment horizontal="left" vertical="center"/>
      <protection locked="0" hidden="1"/>
    </xf>
    <xf numFmtId="2" fontId="14" fillId="7" borderId="2" xfId="0" applyNumberFormat="1" applyFont="1" applyFill="1" applyBorder="1" applyAlignment="1" applyProtection="1">
      <alignment horizontal="center" vertical="center" wrapText="1"/>
      <protection locked="0" hidden="1"/>
    </xf>
    <xf numFmtId="2" fontId="14" fillId="7" borderId="7" xfId="0" applyNumberFormat="1" applyFont="1" applyFill="1" applyBorder="1" applyAlignment="1" applyProtection="1">
      <alignment horizontal="center" vertical="center" wrapText="1"/>
      <protection locked="0" hidden="1"/>
    </xf>
    <xf numFmtId="0" fontId="15" fillId="14" borderId="21" xfId="0" applyFont="1" applyFill="1" applyBorder="1" applyAlignment="1" applyProtection="1">
      <alignment horizontal="left" vertical="center" wrapText="1"/>
      <protection hidden="1"/>
    </xf>
    <xf numFmtId="0" fontId="15" fillId="14" borderId="20" xfId="0" applyFont="1" applyFill="1" applyBorder="1" applyAlignment="1" applyProtection="1">
      <alignment horizontal="left" vertical="center" wrapText="1"/>
      <protection hidden="1"/>
    </xf>
    <xf numFmtId="0" fontId="15" fillId="14" borderId="22" xfId="0" applyFont="1" applyFill="1" applyBorder="1" applyAlignment="1" applyProtection="1">
      <alignment horizontal="left" vertical="center" wrapText="1"/>
      <protection hidden="1"/>
    </xf>
    <xf numFmtId="0" fontId="20" fillId="14" borderId="21" xfId="0" applyFont="1" applyFill="1" applyBorder="1" applyAlignment="1">
      <alignment horizontal="center" vertical="center" wrapText="1"/>
    </xf>
    <xf numFmtId="0" fontId="20" fillId="14" borderId="20" xfId="0" applyFont="1" applyFill="1" applyBorder="1" applyAlignment="1">
      <alignment horizontal="center" vertical="center" wrapText="1"/>
    </xf>
    <xf numFmtId="0" fontId="20" fillId="14" borderId="22" xfId="0" applyFont="1" applyFill="1" applyBorder="1" applyAlignment="1">
      <alignment horizontal="center" vertical="center" wrapText="1"/>
    </xf>
    <xf numFmtId="0" fontId="27" fillId="16" borderId="31" xfId="0" applyFont="1" applyFill="1" applyBorder="1" applyAlignment="1">
      <alignment horizontal="center" vertical="center"/>
    </xf>
    <xf numFmtId="0" fontId="26" fillId="0" borderId="11" xfId="0" applyFont="1" applyBorder="1" applyAlignment="1">
      <alignment horizontal="center" wrapText="1"/>
    </xf>
    <xf numFmtId="0" fontId="26" fillId="0" borderId="0" xfId="0" applyFont="1" applyAlignment="1">
      <alignment horizontal="center" wrapText="1"/>
    </xf>
  </cellXfs>
  <cellStyles count="3">
    <cellStyle name="Normal" xfId="0" builtinId="0"/>
    <cellStyle name="Notas" xfId="2" builtinId="10"/>
    <cellStyle name="Porcentaje" xfId="1" builtinId="5"/>
  </cellStyles>
  <dxfs count="82">
    <dxf>
      <font>
        <color theme="1"/>
      </font>
      <fill>
        <patternFill>
          <bgColor rgb="FFFF9999"/>
        </patternFill>
      </fill>
    </dxf>
    <dxf>
      <fill>
        <patternFill>
          <bgColor rgb="FFFFCCCC"/>
        </patternFill>
      </fill>
    </dxf>
    <dxf>
      <fill>
        <patternFill>
          <bgColor theme="9" tint="0.59996337778862885"/>
        </patternFill>
      </fill>
    </dxf>
    <dxf>
      <font>
        <color theme="0"/>
      </font>
      <fill>
        <patternFill>
          <bgColor theme="9" tint="-0.24994659260841701"/>
        </patternFill>
      </fill>
    </dxf>
    <dxf>
      <font>
        <color theme="1"/>
      </font>
      <fill>
        <patternFill>
          <bgColor rgb="FFFF9999"/>
        </patternFill>
      </fill>
    </dxf>
    <dxf>
      <fill>
        <patternFill>
          <bgColor rgb="FFFFCCCC"/>
        </patternFill>
      </fill>
    </dxf>
    <dxf>
      <fill>
        <patternFill>
          <bgColor theme="9" tint="0.59996337778862885"/>
        </patternFill>
      </fill>
    </dxf>
    <dxf>
      <font>
        <color theme="0"/>
      </font>
      <fill>
        <patternFill>
          <bgColor theme="9" tint="-0.24994659260841701"/>
        </patternFill>
      </fill>
    </dxf>
    <dxf>
      <font>
        <color theme="1"/>
      </font>
      <fill>
        <patternFill>
          <bgColor rgb="FFFF9999"/>
        </patternFill>
      </fill>
    </dxf>
    <dxf>
      <fill>
        <patternFill>
          <bgColor rgb="FFFFCCCC"/>
        </patternFill>
      </fill>
    </dxf>
    <dxf>
      <fill>
        <patternFill>
          <bgColor theme="9" tint="0.59996337778862885"/>
        </patternFill>
      </fill>
    </dxf>
    <dxf>
      <font>
        <color theme="0"/>
      </font>
      <fill>
        <patternFill>
          <bgColor theme="9" tint="-0.24994659260841701"/>
        </patternFill>
      </fill>
    </dxf>
    <dxf>
      <font>
        <color theme="1"/>
      </font>
      <fill>
        <patternFill>
          <bgColor rgb="FFFF9999"/>
        </patternFill>
      </fill>
    </dxf>
    <dxf>
      <fill>
        <patternFill>
          <bgColor rgb="FFFFCCCC"/>
        </patternFill>
      </fill>
    </dxf>
    <dxf>
      <fill>
        <patternFill>
          <bgColor theme="9" tint="0.59996337778862885"/>
        </patternFill>
      </fill>
    </dxf>
    <dxf>
      <font>
        <color theme="0"/>
      </font>
      <fill>
        <patternFill>
          <bgColor theme="9" tint="-0.24994659260841701"/>
        </patternFill>
      </fill>
    </dxf>
    <dxf>
      <font>
        <color theme="1"/>
      </font>
      <fill>
        <patternFill>
          <bgColor rgb="FFFF9999"/>
        </patternFill>
      </fill>
    </dxf>
    <dxf>
      <fill>
        <patternFill>
          <bgColor rgb="FFFFCCCC"/>
        </patternFill>
      </fill>
    </dxf>
    <dxf>
      <fill>
        <patternFill>
          <bgColor theme="9" tint="0.59996337778862885"/>
        </patternFill>
      </fill>
    </dxf>
    <dxf>
      <font>
        <color theme="0"/>
      </font>
      <fill>
        <patternFill>
          <bgColor theme="9" tint="-0.24994659260841701"/>
        </patternFill>
      </fill>
    </dxf>
    <dxf>
      <font>
        <color theme="1"/>
      </font>
      <fill>
        <patternFill>
          <bgColor rgb="FFFF9999"/>
        </patternFill>
      </fill>
    </dxf>
    <dxf>
      <fill>
        <patternFill>
          <bgColor rgb="FFFFCCCC"/>
        </patternFill>
      </fill>
    </dxf>
    <dxf>
      <fill>
        <patternFill>
          <bgColor theme="9" tint="0.59996337778862885"/>
        </patternFill>
      </fill>
    </dxf>
    <dxf>
      <font>
        <color theme="0"/>
      </font>
      <fill>
        <patternFill>
          <bgColor theme="9" tint="-0.24994659260841701"/>
        </patternFill>
      </fill>
    </dxf>
    <dxf>
      <font>
        <color theme="1"/>
      </font>
      <fill>
        <patternFill>
          <bgColor rgb="FFFF9999"/>
        </patternFill>
      </fill>
    </dxf>
    <dxf>
      <fill>
        <patternFill>
          <bgColor rgb="FFFFCCCC"/>
        </patternFill>
      </fill>
    </dxf>
    <dxf>
      <fill>
        <patternFill>
          <bgColor theme="9" tint="0.59996337778862885"/>
        </patternFill>
      </fill>
    </dxf>
    <dxf>
      <font>
        <color theme="0"/>
      </font>
      <fill>
        <patternFill>
          <bgColor theme="9" tint="-0.24994659260841701"/>
        </patternFill>
      </fill>
    </dxf>
    <dxf>
      <font>
        <color theme="1"/>
      </font>
      <fill>
        <patternFill>
          <bgColor rgb="FFFF9999"/>
        </patternFill>
      </fill>
    </dxf>
    <dxf>
      <fill>
        <patternFill>
          <bgColor rgb="FFFFCCCC"/>
        </patternFill>
      </fill>
    </dxf>
    <dxf>
      <fill>
        <patternFill>
          <bgColor theme="9" tint="0.59996337778862885"/>
        </patternFill>
      </fill>
    </dxf>
    <dxf>
      <font>
        <color theme="0"/>
      </font>
      <fill>
        <patternFill>
          <bgColor theme="9" tint="-0.24994659260841701"/>
        </patternFill>
      </fill>
    </dxf>
    <dxf>
      <font>
        <color theme="1"/>
      </font>
      <fill>
        <patternFill>
          <bgColor rgb="FFFF9999"/>
        </patternFill>
      </fill>
    </dxf>
    <dxf>
      <fill>
        <patternFill>
          <bgColor rgb="FFFFCCCC"/>
        </patternFill>
      </fill>
    </dxf>
    <dxf>
      <fill>
        <patternFill>
          <bgColor theme="9" tint="0.59996337778862885"/>
        </patternFill>
      </fill>
    </dxf>
    <dxf>
      <font>
        <color theme="0"/>
      </font>
      <fill>
        <patternFill>
          <bgColor theme="9" tint="-0.24994659260841701"/>
        </patternFill>
      </fill>
    </dxf>
    <dxf>
      <font>
        <color theme="1"/>
      </font>
      <fill>
        <patternFill>
          <bgColor rgb="FFFF9999"/>
        </patternFill>
      </fill>
    </dxf>
    <dxf>
      <fill>
        <patternFill>
          <bgColor rgb="FFFFCCCC"/>
        </patternFill>
      </fill>
    </dxf>
    <dxf>
      <fill>
        <patternFill>
          <bgColor theme="9" tint="0.59996337778862885"/>
        </patternFill>
      </fill>
    </dxf>
    <dxf>
      <font>
        <color theme="0"/>
      </font>
      <fill>
        <patternFill>
          <bgColor theme="9" tint="-0.24994659260841701"/>
        </patternFill>
      </fill>
    </dxf>
    <dxf>
      <font>
        <color theme="1"/>
      </font>
      <fill>
        <patternFill>
          <bgColor rgb="FFFF9999"/>
        </patternFill>
      </fill>
    </dxf>
    <dxf>
      <fill>
        <patternFill>
          <bgColor rgb="FFFFCCCC"/>
        </patternFill>
      </fill>
    </dxf>
    <dxf>
      <fill>
        <patternFill>
          <bgColor theme="9" tint="0.59996337778862885"/>
        </patternFill>
      </fill>
    </dxf>
    <dxf>
      <font>
        <color theme="0"/>
      </font>
      <fill>
        <patternFill>
          <bgColor theme="9" tint="-0.24994659260841701"/>
        </patternFill>
      </fill>
    </dxf>
    <dxf>
      <font>
        <color theme="1"/>
      </font>
      <fill>
        <patternFill>
          <bgColor rgb="FFFF9999"/>
        </patternFill>
      </fill>
    </dxf>
    <dxf>
      <fill>
        <patternFill>
          <bgColor rgb="FFFFCCCC"/>
        </patternFill>
      </fill>
    </dxf>
    <dxf>
      <fill>
        <patternFill>
          <bgColor theme="9" tint="0.59996337778862885"/>
        </patternFill>
      </fill>
    </dxf>
    <dxf>
      <font>
        <color theme="0"/>
      </font>
      <fill>
        <patternFill>
          <bgColor theme="9" tint="-0.24994659260841701"/>
        </patternFill>
      </fill>
    </dxf>
    <dxf>
      <font>
        <color rgb="FFC00000"/>
      </font>
      <fill>
        <patternFill>
          <bgColor theme="5" tint="0.79998168889431442"/>
        </patternFill>
      </fill>
    </dxf>
    <dxf>
      <font>
        <color theme="1"/>
      </font>
      <fill>
        <patternFill>
          <bgColor rgb="FFFF9999"/>
        </patternFill>
      </fill>
    </dxf>
    <dxf>
      <fill>
        <patternFill>
          <bgColor rgb="FFFFCCCC"/>
        </patternFill>
      </fill>
    </dxf>
    <dxf>
      <fill>
        <patternFill>
          <bgColor theme="9" tint="0.59996337778862885"/>
        </patternFill>
      </fill>
    </dxf>
    <dxf>
      <font>
        <color theme="0"/>
      </font>
      <fill>
        <patternFill>
          <bgColor theme="9" tint="-0.24994659260841701"/>
        </patternFill>
      </fill>
    </dxf>
    <dxf>
      <font>
        <color theme="1"/>
      </font>
      <fill>
        <patternFill>
          <bgColor rgb="FFFF9999"/>
        </patternFill>
      </fill>
    </dxf>
    <dxf>
      <fill>
        <patternFill>
          <bgColor rgb="FFFFCCCC"/>
        </patternFill>
      </fill>
    </dxf>
    <dxf>
      <fill>
        <patternFill>
          <bgColor theme="9" tint="0.59996337778862885"/>
        </patternFill>
      </fill>
    </dxf>
    <dxf>
      <font>
        <color theme="0"/>
      </font>
      <fill>
        <patternFill>
          <bgColor theme="9" tint="-0.24994659260841701"/>
        </patternFill>
      </fill>
    </dxf>
    <dxf>
      <font>
        <color theme="1"/>
      </font>
      <fill>
        <patternFill>
          <bgColor rgb="FFFF9999"/>
        </patternFill>
      </fill>
    </dxf>
    <dxf>
      <fill>
        <patternFill>
          <bgColor rgb="FFFFCCCC"/>
        </patternFill>
      </fill>
    </dxf>
    <dxf>
      <fill>
        <patternFill>
          <bgColor theme="9" tint="0.59996337778862885"/>
        </patternFill>
      </fill>
    </dxf>
    <dxf>
      <font>
        <color theme="0"/>
      </font>
      <fill>
        <patternFill>
          <bgColor theme="9" tint="-0.24994659260841701"/>
        </patternFill>
      </fill>
    </dxf>
    <dxf>
      <font>
        <color theme="1"/>
      </font>
      <fill>
        <patternFill>
          <bgColor rgb="FFFF9999"/>
        </patternFill>
      </fill>
    </dxf>
    <dxf>
      <fill>
        <patternFill>
          <bgColor rgb="FFFFCCCC"/>
        </patternFill>
      </fill>
    </dxf>
    <dxf>
      <fill>
        <patternFill>
          <bgColor theme="9" tint="0.59996337778862885"/>
        </patternFill>
      </fill>
    </dxf>
    <dxf>
      <font>
        <color theme="0"/>
      </font>
      <fill>
        <patternFill>
          <bgColor theme="9" tint="-0.24994659260841701"/>
        </patternFill>
      </fill>
    </dxf>
    <dxf>
      <font>
        <color theme="1"/>
      </font>
      <fill>
        <patternFill>
          <bgColor rgb="FFFF9999"/>
        </patternFill>
      </fill>
    </dxf>
    <dxf>
      <fill>
        <patternFill>
          <bgColor rgb="FFFFCCCC"/>
        </patternFill>
      </fill>
    </dxf>
    <dxf>
      <fill>
        <patternFill>
          <bgColor theme="9" tint="0.59996337778862885"/>
        </patternFill>
      </fill>
    </dxf>
    <dxf>
      <font>
        <color theme="0"/>
      </font>
      <fill>
        <patternFill>
          <bgColor theme="9" tint="-0.24994659260841701"/>
        </patternFill>
      </fill>
    </dxf>
    <dxf>
      <font>
        <color theme="1"/>
      </font>
      <fill>
        <patternFill>
          <bgColor rgb="FFFF9999"/>
        </patternFill>
      </fill>
    </dxf>
    <dxf>
      <fill>
        <patternFill>
          <bgColor rgb="FFFFCCCC"/>
        </patternFill>
      </fill>
    </dxf>
    <dxf>
      <fill>
        <patternFill>
          <bgColor theme="9" tint="0.59996337778862885"/>
        </patternFill>
      </fill>
    </dxf>
    <dxf>
      <font>
        <color theme="0"/>
      </font>
      <fill>
        <patternFill>
          <bgColor theme="9" tint="-0.24994659260841701"/>
        </patternFill>
      </fill>
    </dxf>
    <dxf>
      <font>
        <color theme="1"/>
      </font>
      <fill>
        <patternFill>
          <bgColor rgb="FFFF9999"/>
        </patternFill>
      </fill>
    </dxf>
    <dxf>
      <fill>
        <patternFill>
          <bgColor rgb="FFFFCCCC"/>
        </patternFill>
      </fill>
    </dxf>
    <dxf>
      <fill>
        <patternFill>
          <bgColor theme="9" tint="0.59996337778862885"/>
        </patternFill>
      </fill>
    </dxf>
    <dxf>
      <font>
        <color theme="0"/>
      </font>
      <fill>
        <patternFill>
          <bgColor theme="9" tint="-0.24994659260841701"/>
        </patternFill>
      </fill>
    </dxf>
    <dxf>
      <font>
        <color theme="0"/>
      </font>
    </dxf>
    <dxf>
      <font>
        <color theme="2" tint="-0.24994659260841701"/>
      </font>
    </dxf>
    <dxf>
      <font>
        <color theme="2" tint="-0.24994659260841701"/>
      </font>
    </dxf>
    <dxf>
      <font>
        <color theme="2" tint="-0.24994659260841701"/>
      </font>
    </dxf>
    <dxf>
      <font>
        <color theme="2" tint="-0.24994659260841701"/>
      </font>
    </dxf>
  </dxfs>
  <tableStyles count="0" defaultTableStyle="TableStyleMedium2" defaultPivotStyle="PivotStyleLight16"/>
  <colors>
    <mruColors>
      <color rgb="FF005490"/>
      <color rgb="FF005790"/>
      <color rgb="FFA62424"/>
      <color rgb="FFFF9999"/>
      <color rgb="FFFFFFCC"/>
      <color rgb="FF669900"/>
      <color rgb="FF339966"/>
      <color rgb="FFFFCCCC"/>
      <color rgb="FFFF7C80"/>
      <color rgb="FF6181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hyperlink" Target="#'F8'!A1"/><Relationship Id="rId13" Type="http://schemas.openxmlformats.org/officeDocument/2006/relationships/hyperlink" Target="#'F11'!A1"/><Relationship Id="rId3" Type="http://schemas.openxmlformats.org/officeDocument/2006/relationships/hyperlink" Target="#'F3'!A1"/><Relationship Id="rId7" Type="http://schemas.openxmlformats.org/officeDocument/2006/relationships/hyperlink" Target="#'F7'!A1"/><Relationship Id="rId12" Type="http://schemas.openxmlformats.org/officeDocument/2006/relationships/hyperlink" Target="#D.Car.!A1"/><Relationship Id="rId2" Type="http://schemas.openxmlformats.org/officeDocument/2006/relationships/hyperlink" Target="#'F2'!A1"/><Relationship Id="rId1" Type="http://schemas.openxmlformats.org/officeDocument/2006/relationships/hyperlink" Target="#'F1'!A1"/><Relationship Id="rId6" Type="http://schemas.openxmlformats.org/officeDocument/2006/relationships/hyperlink" Target="#'F6'!A1"/><Relationship Id="rId11" Type="http://schemas.openxmlformats.org/officeDocument/2006/relationships/hyperlink" Target="#Res.!A1"/><Relationship Id="rId5" Type="http://schemas.openxmlformats.org/officeDocument/2006/relationships/hyperlink" Target="#'F5'!A1"/><Relationship Id="rId15" Type="http://schemas.openxmlformats.org/officeDocument/2006/relationships/image" Target="../media/image1.jpg"/><Relationship Id="rId10" Type="http://schemas.openxmlformats.org/officeDocument/2006/relationships/hyperlink" Target="#'F10'!A1"/><Relationship Id="rId4" Type="http://schemas.openxmlformats.org/officeDocument/2006/relationships/hyperlink" Target="#'F4'!A1"/><Relationship Id="rId9" Type="http://schemas.openxmlformats.org/officeDocument/2006/relationships/hyperlink" Target="#'F9'!A1"/><Relationship Id="rId14" Type="http://schemas.openxmlformats.org/officeDocument/2006/relationships/hyperlink" Target="#'F12'!A1"/></Relationships>
</file>

<file path=xl/drawings/_rels/drawing2.xml.rels><?xml version="1.0" encoding="UTF-8" standalone="yes"?>
<Relationships xmlns="http://schemas.openxmlformats.org/package/2006/relationships"><Relationship Id="rId3" Type="http://schemas.openxmlformats.org/officeDocument/2006/relationships/hyperlink" Target="#D.Car.!A1"/><Relationship Id="rId2" Type="http://schemas.openxmlformats.org/officeDocument/2006/relationships/hyperlink" Target="#INICIO!A1"/><Relationship Id="rId1" Type="http://schemas.openxmlformats.org/officeDocument/2006/relationships/hyperlink" Target="#'F2'!A1"/></Relationships>
</file>

<file path=xl/drawings/_rels/drawing3.xml.rels><?xml version="1.0" encoding="UTF-8" standalone="yes"?>
<Relationships xmlns="http://schemas.openxmlformats.org/package/2006/relationships"><Relationship Id="rId3" Type="http://schemas.openxmlformats.org/officeDocument/2006/relationships/hyperlink" Target="#D.Car.!A1"/><Relationship Id="rId2" Type="http://schemas.openxmlformats.org/officeDocument/2006/relationships/hyperlink" Target="#'F1'!A1"/><Relationship Id="rId1" Type="http://schemas.openxmlformats.org/officeDocument/2006/relationships/hyperlink" Target="#'F3'!A1"/></Relationships>
</file>

<file path=xl/drawings/_rels/drawing4.xml.rels><?xml version="1.0" encoding="UTF-8" standalone="yes"?>
<Relationships xmlns="http://schemas.openxmlformats.org/package/2006/relationships"><Relationship Id="rId3" Type="http://schemas.openxmlformats.org/officeDocument/2006/relationships/hyperlink" Target="#D.Car.!A1"/><Relationship Id="rId2" Type="http://schemas.openxmlformats.org/officeDocument/2006/relationships/hyperlink" Target="#'F2'!A1"/><Relationship Id="rId1" Type="http://schemas.openxmlformats.org/officeDocument/2006/relationships/hyperlink" Target="#'F4'!A1"/></Relationships>
</file>

<file path=xl/drawings/_rels/drawing5.xml.rels><?xml version="1.0" encoding="UTF-8" standalone="yes"?>
<Relationships xmlns="http://schemas.openxmlformats.org/package/2006/relationships"><Relationship Id="rId3" Type="http://schemas.openxmlformats.org/officeDocument/2006/relationships/hyperlink" Target="#D.Car.!A1"/><Relationship Id="rId2" Type="http://schemas.openxmlformats.org/officeDocument/2006/relationships/hyperlink" Target="#'F3'!A1"/><Relationship Id="rId1" Type="http://schemas.openxmlformats.org/officeDocument/2006/relationships/hyperlink" Target="#'F5'!A1"/></Relationships>
</file>

<file path=xl/drawings/_rels/drawing6.xml.rels><?xml version="1.0" encoding="UTF-8" standalone="yes"?>
<Relationships xmlns="http://schemas.openxmlformats.org/package/2006/relationships"><Relationship Id="rId3" Type="http://schemas.openxmlformats.org/officeDocument/2006/relationships/hyperlink" Target="#D.Car.!A1"/><Relationship Id="rId2" Type="http://schemas.openxmlformats.org/officeDocument/2006/relationships/hyperlink" Target="#'F3'!A1"/><Relationship Id="rId1" Type="http://schemas.openxmlformats.org/officeDocument/2006/relationships/hyperlink" Target="#'F5'!A1"/></Relationships>
</file>

<file path=xl/drawings/_rels/drawing7.xml.rels><?xml version="1.0" encoding="UTF-8" standalone="yes"?>
<Relationships xmlns="http://schemas.openxmlformats.org/package/2006/relationships"><Relationship Id="rId3" Type="http://schemas.openxmlformats.org/officeDocument/2006/relationships/hyperlink" Target="#D.Car.!A1"/><Relationship Id="rId2" Type="http://schemas.openxmlformats.org/officeDocument/2006/relationships/hyperlink" Target="#'F3'!A1"/><Relationship Id="rId1" Type="http://schemas.openxmlformats.org/officeDocument/2006/relationships/hyperlink" Target="#'F5'!A1"/></Relationships>
</file>

<file path=xl/drawings/_rels/drawing8.xml.rels><?xml version="1.0" encoding="UTF-8" standalone="yes"?>
<Relationships xmlns="http://schemas.openxmlformats.org/package/2006/relationships"><Relationship Id="rId3" Type="http://schemas.openxmlformats.org/officeDocument/2006/relationships/hyperlink" Target="#D.Car.!A1"/><Relationship Id="rId2" Type="http://schemas.openxmlformats.org/officeDocument/2006/relationships/hyperlink" Target="#'F4'!A1"/><Relationship Id="rId1" Type="http://schemas.openxmlformats.org/officeDocument/2006/relationships/hyperlink" Target="#'F6'!A1"/></Relationships>
</file>

<file path=xl/drawings/_rels/drawing9.xml.rels><?xml version="1.0" encoding="UTF-8" standalone="yes"?>
<Relationships xmlns="http://schemas.openxmlformats.org/package/2006/relationships"><Relationship Id="rId3" Type="http://schemas.openxmlformats.org/officeDocument/2006/relationships/hyperlink" Target="#D.Car.!A1"/><Relationship Id="rId2" Type="http://schemas.openxmlformats.org/officeDocument/2006/relationships/hyperlink" Target="#'F5'!A1"/><Relationship Id="rId1" Type="http://schemas.openxmlformats.org/officeDocument/2006/relationships/hyperlink" Target="#'F7'!A1"/></Relationships>
</file>

<file path=xl/drawings/_rels/drawing10.xml.rels><?xml version="1.0" encoding="UTF-8" standalone="yes"?>
<Relationships xmlns="http://schemas.openxmlformats.org/package/2006/relationships"><Relationship Id="rId3" Type="http://schemas.openxmlformats.org/officeDocument/2006/relationships/hyperlink" Target="#D.Car.!A1"/><Relationship Id="rId2" Type="http://schemas.openxmlformats.org/officeDocument/2006/relationships/hyperlink" Target="#'F6'!A1"/><Relationship Id="rId1" Type="http://schemas.openxmlformats.org/officeDocument/2006/relationships/hyperlink" Target="#'F8'!A1"/></Relationships>
</file>

<file path=xl/drawings/_rels/drawing11.xml.rels><?xml version="1.0" encoding="UTF-8" standalone="yes"?>
<Relationships xmlns="http://schemas.openxmlformats.org/package/2006/relationships"><Relationship Id="rId3" Type="http://schemas.openxmlformats.org/officeDocument/2006/relationships/hyperlink" Target="#D.Car.!A1"/><Relationship Id="rId2" Type="http://schemas.openxmlformats.org/officeDocument/2006/relationships/hyperlink" Target="#'F9'!A1"/><Relationship Id="rId1" Type="http://schemas.openxmlformats.org/officeDocument/2006/relationships/hyperlink" Target="#Res.!A1"/></Relationships>
</file>

<file path=xl/drawings/_rels/drawing12.xml.rels><?xml version="1.0" encoding="UTF-8" standalone="yes"?>
<Relationships xmlns="http://schemas.openxmlformats.org/package/2006/relationships"><Relationship Id="rId3" Type="http://schemas.openxmlformats.org/officeDocument/2006/relationships/hyperlink" Target="#D.Car.!A1"/><Relationship Id="rId2" Type="http://schemas.openxmlformats.org/officeDocument/2006/relationships/hyperlink" Target="#'F7'!A1"/><Relationship Id="rId1" Type="http://schemas.openxmlformats.org/officeDocument/2006/relationships/hyperlink" Target="#'F9'!A1"/></Relationships>
</file>

<file path=xl/drawings/_rels/drawing13.xml.rels><?xml version="1.0" encoding="UTF-8" standalone="yes"?>
<Relationships xmlns="http://schemas.openxmlformats.org/package/2006/relationships"><Relationship Id="rId3" Type="http://schemas.openxmlformats.org/officeDocument/2006/relationships/hyperlink" Target="#D.Car.!A1"/><Relationship Id="rId2" Type="http://schemas.openxmlformats.org/officeDocument/2006/relationships/hyperlink" Target="#'F9'!A1"/><Relationship Id="rId1" Type="http://schemas.openxmlformats.org/officeDocument/2006/relationships/hyperlink" Target="#Res.!A1"/></Relationships>
</file>

<file path=xl/drawings/_rels/drawing14.xml.rels><?xml version="1.0" encoding="UTF-8" standalone="yes"?>
<Relationships xmlns="http://schemas.openxmlformats.org/package/2006/relationships"><Relationship Id="rId2" Type="http://schemas.openxmlformats.org/officeDocument/2006/relationships/hyperlink" Target="#'F10'!A1"/><Relationship Id="rId1" Type="http://schemas.openxmlformats.org/officeDocument/2006/relationships/hyperlink" Target="#INICIO!A1"/></Relationships>
</file>

<file path=xl/drawings/_rels/drawing15.xml.rels><?xml version="1.0" encoding="UTF-8" standalone="yes"?>
<Relationships xmlns="http://schemas.openxmlformats.org/package/2006/relationships"><Relationship Id="rId1" Type="http://schemas.openxmlformats.org/officeDocument/2006/relationships/hyperlink" Target="#Res.!A1"/></Relationships>
</file>

<file path=xl/drawings/drawing1.xml><?xml version="1.0" encoding="utf-8"?>
<xdr:wsDr xmlns:xdr="http://schemas.openxmlformats.org/drawingml/2006/spreadsheetDrawing" xmlns:a="http://schemas.openxmlformats.org/drawingml/2006/main">
  <xdr:twoCellAnchor>
    <xdr:from>
      <xdr:col>11</xdr:col>
      <xdr:colOff>60861</xdr:colOff>
      <xdr:row>11</xdr:row>
      <xdr:rowOff>166687</xdr:rowOff>
    </xdr:from>
    <xdr:to>
      <xdr:col>11</xdr:col>
      <xdr:colOff>1005929</xdr:colOff>
      <xdr:row>12</xdr:row>
      <xdr:rowOff>154790</xdr:rowOff>
    </xdr:to>
    <xdr:sp macro="" textlink="">
      <xdr:nvSpPr>
        <xdr:cNvPr id="9" name="Rectángulo 8">
          <a:hlinkClick xmlns:r="http://schemas.openxmlformats.org/officeDocument/2006/relationships" r:id="rId1"/>
          <a:extLst>
            <a:ext uri="{FF2B5EF4-FFF2-40B4-BE49-F238E27FC236}">
              <a16:creationId xmlns:a16="http://schemas.microsoft.com/office/drawing/2014/main" id="{00000000-0008-0000-0000-000009000000}"/>
            </a:ext>
          </a:extLst>
        </xdr:cNvPr>
        <xdr:cNvSpPr/>
      </xdr:nvSpPr>
      <xdr:spPr>
        <a:xfrm>
          <a:off x="7335580" y="3095625"/>
          <a:ext cx="945068" cy="273853"/>
        </a:xfrm>
        <a:prstGeom prst="rect">
          <a:avLst/>
        </a:prstGeom>
        <a:solidFill>
          <a:schemeClr val="accent3">
            <a:lumMod val="20000"/>
            <a:lumOff val="80000"/>
          </a:schemeClr>
        </a:solid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a:solidFill>
                <a:schemeClr val="tx1"/>
              </a:solidFill>
              <a:latin typeface="Tahoma" panose="020B0604030504040204" pitchFamily="34" charset="0"/>
              <a:ea typeface="Tahoma" panose="020B0604030504040204" pitchFamily="34" charset="0"/>
              <a:cs typeface="Tahoma" panose="020B0604030504040204" pitchFamily="34" charset="0"/>
            </a:rPr>
            <a:t>F1</a:t>
          </a:r>
        </a:p>
      </xdr:txBody>
    </xdr:sp>
    <xdr:clientData/>
  </xdr:twoCellAnchor>
  <xdr:twoCellAnchor>
    <xdr:from>
      <xdr:col>11</xdr:col>
      <xdr:colOff>57813</xdr:colOff>
      <xdr:row>12</xdr:row>
      <xdr:rowOff>200034</xdr:rowOff>
    </xdr:from>
    <xdr:to>
      <xdr:col>11</xdr:col>
      <xdr:colOff>1002881</xdr:colOff>
      <xdr:row>13</xdr:row>
      <xdr:rowOff>164315</xdr:rowOff>
    </xdr:to>
    <xdr:sp macro="" textlink="">
      <xdr:nvSpPr>
        <xdr:cNvPr id="10" name="Rectángulo 9">
          <a:hlinkClick xmlns:r="http://schemas.openxmlformats.org/officeDocument/2006/relationships" r:id="rId2"/>
          <a:extLst>
            <a:ext uri="{FF2B5EF4-FFF2-40B4-BE49-F238E27FC236}">
              <a16:creationId xmlns:a16="http://schemas.microsoft.com/office/drawing/2014/main" id="{00000000-0008-0000-0000-00000A000000}"/>
            </a:ext>
          </a:extLst>
        </xdr:cNvPr>
        <xdr:cNvSpPr/>
      </xdr:nvSpPr>
      <xdr:spPr>
        <a:xfrm>
          <a:off x="7332532" y="3986222"/>
          <a:ext cx="945068" cy="250031"/>
        </a:xfrm>
        <a:prstGeom prst="rect">
          <a:avLst/>
        </a:prstGeom>
        <a:solidFill>
          <a:schemeClr val="accent3">
            <a:lumMod val="20000"/>
            <a:lumOff val="80000"/>
          </a:schemeClr>
        </a:solid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a:solidFill>
                <a:schemeClr val="tx1"/>
              </a:solidFill>
              <a:latin typeface="Tahoma" panose="020B0604030504040204" pitchFamily="34" charset="0"/>
              <a:ea typeface="Tahoma" panose="020B0604030504040204" pitchFamily="34" charset="0"/>
              <a:cs typeface="Tahoma" panose="020B0604030504040204" pitchFamily="34" charset="0"/>
            </a:rPr>
            <a:t>F2</a:t>
          </a:r>
        </a:p>
      </xdr:txBody>
    </xdr:sp>
    <xdr:clientData/>
  </xdr:twoCellAnchor>
  <xdr:twoCellAnchor>
    <xdr:from>
      <xdr:col>11</xdr:col>
      <xdr:colOff>54765</xdr:colOff>
      <xdr:row>13</xdr:row>
      <xdr:rowOff>209558</xdr:rowOff>
    </xdr:from>
    <xdr:to>
      <xdr:col>11</xdr:col>
      <xdr:colOff>999833</xdr:colOff>
      <xdr:row>14</xdr:row>
      <xdr:rowOff>173839</xdr:rowOff>
    </xdr:to>
    <xdr:sp macro="" textlink="">
      <xdr:nvSpPr>
        <xdr:cNvPr id="11" name="Rectángulo 10">
          <a:hlinkClick xmlns:r="http://schemas.openxmlformats.org/officeDocument/2006/relationships" r:id="rId3"/>
          <a:extLst>
            <a:ext uri="{FF2B5EF4-FFF2-40B4-BE49-F238E27FC236}">
              <a16:creationId xmlns:a16="http://schemas.microsoft.com/office/drawing/2014/main" id="{00000000-0008-0000-0000-00000B000000}"/>
            </a:ext>
          </a:extLst>
        </xdr:cNvPr>
        <xdr:cNvSpPr/>
      </xdr:nvSpPr>
      <xdr:spPr>
        <a:xfrm>
          <a:off x="7329484" y="4281496"/>
          <a:ext cx="945068" cy="250031"/>
        </a:xfrm>
        <a:prstGeom prst="rect">
          <a:avLst/>
        </a:prstGeom>
        <a:solidFill>
          <a:schemeClr val="accent3">
            <a:lumMod val="20000"/>
            <a:lumOff val="80000"/>
          </a:schemeClr>
        </a:solid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a:solidFill>
                <a:schemeClr val="tx1"/>
              </a:solidFill>
              <a:latin typeface="Tahoma" panose="020B0604030504040204" pitchFamily="34" charset="0"/>
              <a:ea typeface="Tahoma" panose="020B0604030504040204" pitchFamily="34" charset="0"/>
              <a:cs typeface="Tahoma" panose="020B0604030504040204" pitchFamily="34" charset="0"/>
            </a:rPr>
            <a:t>F3</a:t>
          </a:r>
        </a:p>
      </xdr:txBody>
    </xdr:sp>
    <xdr:clientData/>
  </xdr:twoCellAnchor>
  <xdr:twoCellAnchor>
    <xdr:from>
      <xdr:col>11</xdr:col>
      <xdr:colOff>55050</xdr:colOff>
      <xdr:row>14</xdr:row>
      <xdr:rowOff>230995</xdr:rowOff>
    </xdr:from>
    <xdr:to>
      <xdr:col>11</xdr:col>
      <xdr:colOff>1000118</xdr:colOff>
      <xdr:row>15</xdr:row>
      <xdr:rowOff>195276</xdr:rowOff>
    </xdr:to>
    <xdr:sp macro="" textlink="">
      <xdr:nvSpPr>
        <xdr:cNvPr id="12" name="Rectángulo 11">
          <a:hlinkClick xmlns:r="http://schemas.openxmlformats.org/officeDocument/2006/relationships" r:id="rId4"/>
          <a:extLst>
            <a:ext uri="{FF2B5EF4-FFF2-40B4-BE49-F238E27FC236}">
              <a16:creationId xmlns:a16="http://schemas.microsoft.com/office/drawing/2014/main" id="{00000000-0008-0000-0000-00000C000000}"/>
            </a:ext>
          </a:extLst>
        </xdr:cNvPr>
        <xdr:cNvSpPr/>
      </xdr:nvSpPr>
      <xdr:spPr>
        <a:xfrm>
          <a:off x="7329769" y="4588683"/>
          <a:ext cx="945068" cy="250031"/>
        </a:xfrm>
        <a:prstGeom prst="rect">
          <a:avLst/>
        </a:prstGeom>
        <a:solidFill>
          <a:schemeClr val="accent3">
            <a:lumMod val="20000"/>
            <a:lumOff val="80000"/>
          </a:schemeClr>
        </a:solid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a:solidFill>
                <a:schemeClr val="tx1"/>
              </a:solidFill>
              <a:latin typeface="Tahoma" panose="020B0604030504040204" pitchFamily="34" charset="0"/>
              <a:ea typeface="Tahoma" panose="020B0604030504040204" pitchFamily="34" charset="0"/>
              <a:cs typeface="Tahoma" panose="020B0604030504040204" pitchFamily="34" charset="0"/>
            </a:rPr>
            <a:t>F4</a:t>
          </a:r>
        </a:p>
      </xdr:txBody>
    </xdr:sp>
    <xdr:clientData/>
  </xdr:twoCellAnchor>
  <xdr:twoCellAnchor>
    <xdr:from>
      <xdr:col>11</xdr:col>
      <xdr:colOff>63917</xdr:colOff>
      <xdr:row>15</xdr:row>
      <xdr:rowOff>240522</xdr:rowOff>
    </xdr:from>
    <xdr:to>
      <xdr:col>11</xdr:col>
      <xdr:colOff>1000133</xdr:colOff>
      <xdr:row>16</xdr:row>
      <xdr:rowOff>202416</xdr:rowOff>
    </xdr:to>
    <xdr:sp macro="" textlink="">
      <xdr:nvSpPr>
        <xdr:cNvPr id="13" name="Rectángulo 12">
          <a:hlinkClick xmlns:r="http://schemas.openxmlformats.org/officeDocument/2006/relationships" r:id="rId5"/>
          <a:extLst>
            <a:ext uri="{FF2B5EF4-FFF2-40B4-BE49-F238E27FC236}">
              <a16:creationId xmlns:a16="http://schemas.microsoft.com/office/drawing/2014/main" id="{00000000-0008-0000-0000-00000D000000}"/>
            </a:ext>
          </a:extLst>
        </xdr:cNvPr>
        <xdr:cNvSpPr/>
      </xdr:nvSpPr>
      <xdr:spPr>
        <a:xfrm>
          <a:off x="7338636" y="4883960"/>
          <a:ext cx="936216" cy="247644"/>
        </a:xfrm>
        <a:prstGeom prst="rect">
          <a:avLst/>
        </a:prstGeom>
        <a:solidFill>
          <a:schemeClr val="accent3">
            <a:lumMod val="20000"/>
            <a:lumOff val="80000"/>
          </a:schemeClr>
        </a:solid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a:solidFill>
                <a:schemeClr val="tx1"/>
              </a:solidFill>
              <a:latin typeface="Tahoma" panose="020B0604030504040204" pitchFamily="34" charset="0"/>
              <a:ea typeface="Tahoma" panose="020B0604030504040204" pitchFamily="34" charset="0"/>
              <a:cs typeface="Tahoma" panose="020B0604030504040204" pitchFamily="34" charset="0"/>
            </a:rPr>
            <a:t>F5</a:t>
          </a:r>
        </a:p>
      </xdr:txBody>
    </xdr:sp>
    <xdr:clientData/>
  </xdr:twoCellAnchor>
  <xdr:twoCellAnchor>
    <xdr:from>
      <xdr:col>11</xdr:col>
      <xdr:colOff>60861</xdr:colOff>
      <xdr:row>16</xdr:row>
      <xdr:rowOff>250049</xdr:rowOff>
    </xdr:from>
    <xdr:to>
      <xdr:col>11</xdr:col>
      <xdr:colOff>1005929</xdr:colOff>
      <xdr:row>17</xdr:row>
      <xdr:rowOff>214330</xdr:rowOff>
    </xdr:to>
    <xdr:sp macro="" textlink="">
      <xdr:nvSpPr>
        <xdr:cNvPr id="14" name="Rectángulo 13">
          <a:hlinkClick xmlns:r="http://schemas.openxmlformats.org/officeDocument/2006/relationships" r:id="rId6"/>
          <a:extLst>
            <a:ext uri="{FF2B5EF4-FFF2-40B4-BE49-F238E27FC236}">
              <a16:creationId xmlns:a16="http://schemas.microsoft.com/office/drawing/2014/main" id="{00000000-0008-0000-0000-00000E000000}"/>
            </a:ext>
          </a:extLst>
        </xdr:cNvPr>
        <xdr:cNvSpPr/>
      </xdr:nvSpPr>
      <xdr:spPr>
        <a:xfrm>
          <a:off x="7335580" y="5179237"/>
          <a:ext cx="945068" cy="250031"/>
        </a:xfrm>
        <a:prstGeom prst="rect">
          <a:avLst/>
        </a:prstGeom>
        <a:solidFill>
          <a:schemeClr val="accent3">
            <a:lumMod val="20000"/>
            <a:lumOff val="80000"/>
          </a:schemeClr>
        </a:solid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a:solidFill>
                <a:schemeClr val="tx1"/>
              </a:solidFill>
              <a:latin typeface="Tahoma" panose="020B0604030504040204" pitchFamily="34" charset="0"/>
              <a:ea typeface="Tahoma" panose="020B0604030504040204" pitchFamily="34" charset="0"/>
              <a:cs typeface="Tahoma" panose="020B0604030504040204" pitchFamily="34" charset="0"/>
            </a:rPr>
            <a:t>F6</a:t>
          </a:r>
        </a:p>
      </xdr:txBody>
    </xdr:sp>
    <xdr:clientData/>
  </xdr:twoCellAnchor>
  <xdr:twoCellAnchor>
    <xdr:from>
      <xdr:col>11</xdr:col>
      <xdr:colOff>57813</xdr:colOff>
      <xdr:row>17</xdr:row>
      <xdr:rowOff>259567</xdr:rowOff>
    </xdr:from>
    <xdr:to>
      <xdr:col>11</xdr:col>
      <xdr:colOff>1002881</xdr:colOff>
      <xdr:row>18</xdr:row>
      <xdr:rowOff>223848</xdr:rowOff>
    </xdr:to>
    <xdr:sp macro="" textlink="">
      <xdr:nvSpPr>
        <xdr:cNvPr id="15" name="Rectángulo 14">
          <a:hlinkClick xmlns:r="http://schemas.openxmlformats.org/officeDocument/2006/relationships" r:id="rId7"/>
          <a:extLst>
            <a:ext uri="{FF2B5EF4-FFF2-40B4-BE49-F238E27FC236}">
              <a16:creationId xmlns:a16="http://schemas.microsoft.com/office/drawing/2014/main" id="{00000000-0008-0000-0000-00000F000000}"/>
            </a:ext>
          </a:extLst>
        </xdr:cNvPr>
        <xdr:cNvSpPr/>
      </xdr:nvSpPr>
      <xdr:spPr>
        <a:xfrm>
          <a:off x="7332532" y="5474505"/>
          <a:ext cx="945068" cy="250031"/>
        </a:xfrm>
        <a:prstGeom prst="rect">
          <a:avLst/>
        </a:prstGeom>
        <a:solidFill>
          <a:schemeClr val="accent3">
            <a:lumMod val="20000"/>
            <a:lumOff val="80000"/>
          </a:schemeClr>
        </a:solid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a:solidFill>
                <a:schemeClr val="tx1"/>
              </a:solidFill>
              <a:latin typeface="Tahoma" panose="020B0604030504040204" pitchFamily="34" charset="0"/>
              <a:ea typeface="Tahoma" panose="020B0604030504040204" pitchFamily="34" charset="0"/>
              <a:cs typeface="Tahoma" panose="020B0604030504040204" pitchFamily="34" charset="0"/>
            </a:rPr>
            <a:t>F7</a:t>
          </a:r>
        </a:p>
      </xdr:txBody>
    </xdr:sp>
    <xdr:clientData/>
  </xdr:twoCellAnchor>
  <xdr:twoCellAnchor>
    <xdr:from>
      <xdr:col>11</xdr:col>
      <xdr:colOff>54762</xdr:colOff>
      <xdr:row>18</xdr:row>
      <xdr:rowOff>269095</xdr:rowOff>
    </xdr:from>
    <xdr:to>
      <xdr:col>11</xdr:col>
      <xdr:colOff>999830</xdr:colOff>
      <xdr:row>19</xdr:row>
      <xdr:rowOff>233376</xdr:rowOff>
    </xdr:to>
    <xdr:sp macro="" textlink="">
      <xdr:nvSpPr>
        <xdr:cNvPr id="16" name="Rectángulo 15">
          <a:hlinkClick xmlns:r="http://schemas.openxmlformats.org/officeDocument/2006/relationships" r:id="rId8"/>
          <a:extLst>
            <a:ext uri="{FF2B5EF4-FFF2-40B4-BE49-F238E27FC236}">
              <a16:creationId xmlns:a16="http://schemas.microsoft.com/office/drawing/2014/main" id="{00000000-0008-0000-0000-000010000000}"/>
            </a:ext>
          </a:extLst>
        </xdr:cNvPr>
        <xdr:cNvSpPr/>
      </xdr:nvSpPr>
      <xdr:spPr>
        <a:xfrm>
          <a:off x="7329481" y="5769783"/>
          <a:ext cx="945068" cy="250031"/>
        </a:xfrm>
        <a:prstGeom prst="rect">
          <a:avLst/>
        </a:prstGeom>
        <a:solidFill>
          <a:schemeClr val="accent3">
            <a:lumMod val="20000"/>
            <a:lumOff val="80000"/>
          </a:schemeClr>
        </a:solid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a:solidFill>
                <a:schemeClr val="tx1"/>
              </a:solidFill>
              <a:latin typeface="Tahoma" panose="020B0604030504040204" pitchFamily="34" charset="0"/>
              <a:ea typeface="Tahoma" panose="020B0604030504040204" pitchFamily="34" charset="0"/>
              <a:cs typeface="Tahoma" panose="020B0604030504040204" pitchFamily="34" charset="0"/>
            </a:rPr>
            <a:t>F8</a:t>
          </a:r>
        </a:p>
      </xdr:txBody>
    </xdr:sp>
    <xdr:clientData/>
  </xdr:twoCellAnchor>
  <xdr:twoCellAnchor>
    <xdr:from>
      <xdr:col>11</xdr:col>
      <xdr:colOff>55053</xdr:colOff>
      <xdr:row>20</xdr:row>
      <xdr:rowOff>4775</xdr:rowOff>
    </xdr:from>
    <xdr:to>
      <xdr:col>11</xdr:col>
      <xdr:colOff>1000121</xdr:colOff>
      <xdr:row>20</xdr:row>
      <xdr:rowOff>254806</xdr:rowOff>
    </xdr:to>
    <xdr:sp macro="" textlink="">
      <xdr:nvSpPr>
        <xdr:cNvPr id="17" name="Rectángulo 16">
          <a:hlinkClick xmlns:r="http://schemas.openxmlformats.org/officeDocument/2006/relationships" r:id="rId9"/>
          <a:extLst>
            <a:ext uri="{FF2B5EF4-FFF2-40B4-BE49-F238E27FC236}">
              <a16:creationId xmlns:a16="http://schemas.microsoft.com/office/drawing/2014/main" id="{00000000-0008-0000-0000-000011000000}"/>
            </a:ext>
          </a:extLst>
        </xdr:cNvPr>
        <xdr:cNvSpPr/>
      </xdr:nvSpPr>
      <xdr:spPr>
        <a:xfrm>
          <a:off x="7329772" y="6076963"/>
          <a:ext cx="945068" cy="250031"/>
        </a:xfrm>
        <a:prstGeom prst="rect">
          <a:avLst/>
        </a:prstGeom>
        <a:solidFill>
          <a:schemeClr val="accent3">
            <a:lumMod val="20000"/>
            <a:lumOff val="80000"/>
          </a:schemeClr>
        </a:solid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a:solidFill>
                <a:schemeClr val="tx1"/>
              </a:solidFill>
              <a:latin typeface="Tahoma" panose="020B0604030504040204" pitchFamily="34" charset="0"/>
              <a:ea typeface="Tahoma" panose="020B0604030504040204" pitchFamily="34" charset="0"/>
              <a:cs typeface="Tahoma" panose="020B0604030504040204" pitchFamily="34" charset="0"/>
            </a:rPr>
            <a:t>F9</a:t>
          </a:r>
        </a:p>
      </xdr:txBody>
    </xdr:sp>
    <xdr:clientData/>
  </xdr:twoCellAnchor>
  <xdr:twoCellAnchor>
    <xdr:from>
      <xdr:col>11</xdr:col>
      <xdr:colOff>63909</xdr:colOff>
      <xdr:row>21</xdr:row>
      <xdr:rowOff>14298</xdr:rowOff>
    </xdr:from>
    <xdr:to>
      <xdr:col>11</xdr:col>
      <xdr:colOff>1000128</xdr:colOff>
      <xdr:row>21</xdr:row>
      <xdr:rowOff>273848</xdr:rowOff>
    </xdr:to>
    <xdr:sp macro="" textlink="">
      <xdr:nvSpPr>
        <xdr:cNvPr id="18" name="Rectángulo 17">
          <a:hlinkClick xmlns:r="http://schemas.openxmlformats.org/officeDocument/2006/relationships" r:id="rId10"/>
          <a:extLst>
            <a:ext uri="{FF2B5EF4-FFF2-40B4-BE49-F238E27FC236}">
              <a16:creationId xmlns:a16="http://schemas.microsoft.com/office/drawing/2014/main" id="{00000000-0008-0000-0000-000012000000}"/>
            </a:ext>
          </a:extLst>
        </xdr:cNvPr>
        <xdr:cNvSpPr/>
      </xdr:nvSpPr>
      <xdr:spPr>
        <a:xfrm>
          <a:off x="7338628" y="6372236"/>
          <a:ext cx="936219" cy="259550"/>
        </a:xfrm>
        <a:prstGeom prst="rect">
          <a:avLst/>
        </a:prstGeom>
        <a:solidFill>
          <a:schemeClr val="accent3">
            <a:lumMod val="20000"/>
            <a:lumOff val="80000"/>
          </a:schemeClr>
        </a:solid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a:solidFill>
                <a:schemeClr val="tx1"/>
              </a:solidFill>
              <a:latin typeface="Tahoma" panose="020B0604030504040204" pitchFamily="34" charset="0"/>
              <a:ea typeface="Tahoma" panose="020B0604030504040204" pitchFamily="34" charset="0"/>
              <a:cs typeface="Tahoma" panose="020B0604030504040204" pitchFamily="34" charset="0"/>
            </a:rPr>
            <a:t>F10</a:t>
          </a:r>
        </a:p>
      </xdr:txBody>
    </xdr:sp>
    <xdr:clientData/>
  </xdr:twoCellAnchor>
  <xdr:twoCellAnchor>
    <xdr:from>
      <xdr:col>11</xdr:col>
      <xdr:colOff>60861</xdr:colOff>
      <xdr:row>25</xdr:row>
      <xdr:rowOff>59542</xdr:rowOff>
    </xdr:from>
    <xdr:to>
      <xdr:col>11</xdr:col>
      <xdr:colOff>1005929</xdr:colOff>
      <xdr:row>26</xdr:row>
      <xdr:rowOff>23823</xdr:rowOff>
    </xdr:to>
    <xdr:sp macro="" textlink="">
      <xdr:nvSpPr>
        <xdr:cNvPr id="19" name="Rectángulo 18">
          <a:hlinkClick xmlns:r="http://schemas.openxmlformats.org/officeDocument/2006/relationships" r:id="rId11"/>
          <a:extLst>
            <a:ext uri="{FF2B5EF4-FFF2-40B4-BE49-F238E27FC236}">
              <a16:creationId xmlns:a16="http://schemas.microsoft.com/office/drawing/2014/main" id="{00000000-0008-0000-0000-000013000000}"/>
            </a:ext>
          </a:extLst>
        </xdr:cNvPr>
        <xdr:cNvSpPr/>
      </xdr:nvSpPr>
      <xdr:spPr>
        <a:xfrm>
          <a:off x="7335580" y="7012792"/>
          <a:ext cx="945068" cy="250031"/>
        </a:xfrm>
        <a:prstGeom prst="rect">
          <a:avLst/>
        </a:prstGeom>
        <a:solidFill>
          <a:schemeClr val="accent3">
            <a:lumMod val="20000"/>
            <a:lumOff val="80000"/>
          </a:schemeClr>
        </a:solid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a:solidFill>
                <a:schemeClr val="tx1"/>
              </a:solidFill>
              <a:latin typeface="Tahoma" panose="020B0604030504040204" pitchFamily="34" charset="0"/>
              <a:ea typeface="Tahoma" panose="020B0604030504040204" pitchFamily="34" charset="0"/>
              <a:cs typeface="Tahoma" panose="020B0604030504040204" pitchFamily="34" charset="0"/>
            </a:rPr>
            <a:t>Result.</a:t>
          </a:r>
        </a:p>
      </xdr:txBody>
    </xdr:sp>
    <xdr:clientData/>
  </xdr:twoCellAnchor>
  <xdr:twoCellAnchor>
    <xdr:from>
      <xdr:col>12</xdr:col>
      <xdr:colOff>129249</xdr:colOff>
      <xdr:row>12</xdr:row>
      <xdr:rowOff>0</xdr:rowOff>
    </xdr:from>
    <xdr:to>
      <xdr:col>13</xdr:col>
      <xdr:colOff>312317</xdr:colOff>
      <xdr:row>13</xdr:row>
      <xdr:rowOff>164316</xdr:rowOff>
    </xdr:to>
    <xdr:sp macro="" textlink="">
      <xdr:nvSpPr>
        <xdr:cNvPr id="20" name="Rectángulo 19">
          <a:hlinkClick xmlns:r="http://schemas.openxmlformats.org/officeDocument/2006/relationships" r:id="rId12"/>
          <a:extLst>
            <a:ext uri="{FF2B5EF4-FFF2-40B4-BE49-F238E27FC236}">
              <a16:creationId xmlns:a16="http://schemas.microsoft.com/office/drawing/2014/main" id="{00000000-0008-0000-0000-000014000000}"/>
            </a:ext>
          </a:extLst>
        </xdr:cNvPr>
        <xdr:cNvSpPr/>
      </xdr:nvSpPr>
      <xdr:spPr>
        <a:xfrm>
          <a:off x="8487437" y="3700473"/>
          <a:ext cx="945068" cy="535781"/>
        </a:xfrm>
        <a:prstGeom prst="rect">
          <a:avLst/>
        </a:prstGeom>
        <a:solidFill>
          <a:schemeClr val="accent3">
            <a:lumMod val="20000"/>
            <a:lumOff val="80000"/>
          </a:schemeClr>
        </a:solid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50" b="1">
              <a:solidFill>
                <a:schemeClr val="tx1"/>
              </a:solidFill>
              <a:latin typeface="Tahoma" panose="020B0604030504040204" pitchFamily="34" charset="0"/>
              <a:ea typeface="Tahoma" panose="020B0604030504040204" pitchFamily="34" charset="0"/>
              <a:cs typeface="Tahoma" panose="020B0604030504040204" pitchFamily="34" charset="0"/>
            </a:rPr>
            <a:t>Desc.Carac</a:t>
          </a:r>
        </a:p>
      </xdr:txBody>
    </xdr:sp>
    <xdr:clientData/>
  </xdr:twoCellAnchor>
  <xdr:twoCellAnchor>
    <xdr:from>
      <xdr:col>11</xdr:col>
      <xdr:colOff>59532</xdr:colOff>
      <xdr:row>22</xdr:row>
      <xdr:rowOff>71437</xdr:rowOff>
    </xdr:from>
    <xdr:to>
      <xdr:col>11</xdr:col>
      <xdr:colOff>995751</xdr:colOff>
      <xdr:row>23</xdr:row>
      <xdr:rowOff>45237</xdr:rowOff>
    </xdr:to>
    <xdr:sp macro="" textlink="">
      <xdr:nvSpPr>
        <xdr:cNvPr id="21" name="Rectángulo 20">
          <a:hlinkClick xmlns:r="http://schemas.openxmlformats.org/officeDocument/2006/relationships" r:id="rId13"/>
          <a:extLst>
            <a:ext uri="{FF2B5EF4-FFF2-40B4-BE49-F238E27FC236}">
              <a16:creationId xmlns:a16="http://schemas.microsoft.com/office/drawing/2014/main" id="{00000000-0008-0000-0000-000015000000}"/>
            </a:ext>
          </a:extLst>
        </xdr:cNvPr>
        <xdr:cNvSpPr/>
      </xdr:nvSpPr>
      <xdr:spPr>
        <a:xfrm>
          <a:off x="7334251" y="6715125"/>
          <a:ext cx="936219" cy="259550"/>
        </a:xfrm>
        <a:prstGeom prst="rect">
          <a:avLst/>
        </a:prstGeom>
        <a:solidFill>
          <a:schemeClr val="accent3">
            <a:lumMod val="20000"/>
            <a:lumOff val="80000"/>
          </a:schemeClr>
        </a:solid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a:solidFill>
                <a:schemeClr val="tx1"/>
              </a:solidFill>
              <a:latin typeface="Tahoma" panose="020B0604030504040204" pitchFamily="34" charset="0"/>
              <a:ea typeface="Tahoma" panose="020B0604030504040204" pitchFamily="34" charset="0"/>
              <a:cs typeface="Tahoma" panose="020B0604030504040204" pitchFamily="34" charset="0"/>
            </a:rPr>
            <a:t>F11</a:t>
          </a:r>
        </a:p>
      </xdr:txBody>
    </xdr:sp>
    <xdr:clientData/>
  </xdr:twoCellAnchor>
  <xdr:twoCellAnchor>
    <xdr:from>
      <xdr:col>11</xdr:col>
      <xdr:colOff>47625</xdr:colOff>
      <xdr:row>23</xdr:row>
      <xdr:rowOff>130969</xdr:rowOff>
    </xdr:from>
    <xdr:to>
      <xdr:col>11</xdr:col>
      <xdr:colOff>983844</xdr:colOff>
      <xdr:row>24</xdr:row>
      <xdr:rowOff>104769</xdr:rowOff>
    </xdr:to>
    <xdr:sp macro="" textlink="">
      <xdr:nvSpPr>
        <xdr:cNvPr id="22" name="Rectángulo 21">
          <a:hlinkClick xmlns:r="http://schemas.openxmlformats.org/officeDocument/2006/relationships" r:id="rId14"/>
          <a:extLst>
            <a:ext uri="{FF2B5EF4-FFF2-40B4-BE49-F238E27FC236}">
              <a16:creationId xmlns:a16="http://schemas.microsoft.com/office/drawing/2014/main" id="{00000000-0008-0000-0000-000016000000}"/>
            </a:ext>
          </a:extLst>
        </xdr:cNvPr>
        <xdr:cNvSpPr/>
      </xdr:nvSpPr>
      <xdr:spPr>
        <a:xfrm>
          <a:off x="7322344" y="6512719"/>
          <a:ext cx="936219" cy="259550"/>
        </a:xfrm>
        <a:prstGeom prst="rect">
          <a:avLst/>
        </a:prstGeom>
        <a:solidFill>
          <a:schemeClr val="accent3">
            <a:lumMod val="20000"/>
            <a:lumOff val="80000"/>
          </a:schemeClr>
        </a:solid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a:solidFill>
                <a:schemeClr val="tx1"/>
              </a:solidFill>
              <a:latin typeface="Tahoma" panose="020B0604030504040204" pitchFamily="34" charset="0"/>
              <a:ea typeface="Tahoma" panose="020B0604030504040204" pitchFamily="34" charset="0"/>
              <a:cs typeface="Tahoma" panose="020B0604030504040204" pitchFamily="34" charset="0"/>
            </a:rPr>
            <a:t>F12</a:t>
          </a:r>
        </a:p>
      </xdr:txBody>
    </xdr:sp>
    <xdr:clientData/>
  </xdr:twoCellAnchor>
  <xdr:twoCellAnchor>
    <xdr:from>
      <xdr:col>1</xdr:col>
      <xdr:colOff>1285874</xdr:colOff>
      <xdr:row>2</xdr:row>
      <xdr:rowOff>47627</xdr:rowOff>
    </xdr:from>
    <xdr:to>
      <xdr:col>12</xdr:col>
      <xdr:colOff>314324</xdr:colOff>
      <xdr:row>8</xdr:row>
      <xdr:rowOff>35721</xdr:rowOff>
    </xdr:to>
    <xdr:grpSp>
      <xdr:nvGrpSpPr>
        <xdr:cNvPr id="24" name="Grupo 23">
          <a:extLst>
            <a:ext uri="{FF2B5EF4-FFF2-40B4-BE49-F238E27FC236}">
              <a16:creationId xmlns:a16="http://schemas.microsoft.com/office/drawing/2014/main" id="{00000000-0008-0000-0000-000018000000}"/>
            </a:ext>
          </a:extLst>
        </xdr:cNvPr>
        <xdr:cNvGrpSpPr/>
      </xdr:nvGrpSpPr>
      <xdr:grpSpPr>
        <a:xfrm>
          <a:off x="1512093" y="404815"/>
          <a:ext cx="7160419" cy="1131094"/>
          <a:chOff x="0" y="0"/>
          <a:chExt cx="6410325" cy="1000486"/>
        </a:xfrm>
      </xdr:grpSpPr>
      <xdr:sp macro="" textlink="">
        <xdr:nvSpPr>
          <xdr:cNvPr id="25" name="CuadroTexto 2">
            <a:extLst>
              <a:ext uri="{FF2B5EF4-FFF2-40B4-BE49-F238E27FC236}">
                <a16:creationId xmlns:a16="http://schemas.microsoft.com/office/drawing/2014/main" id="{00000000-0008-0000-0000-000019000000}"/>
              </a:ext>
            </a:extLst>
          </xdr:cNvPr>
          <xdr:cNvSpPr txBox="1">
            <a:spLocks noChangeAspect="1"/>
          </xdr:cNvSpPr>
        </xdr:nvSpPr>
        <xdr:spPr>
          <a:xfrm>
            <a:off x="0" y="361"/>
            <a:ext cx="1181099" cy="100012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wrap="square" lIns="7200" tIns="7200" rIns="7200" bIns="7200" rtlCol="0" anchor="ctr"/>
          <a:lstStyle/>
          <a:p>
            <a:endParaRPr lang="es-CO"/>
          </a:p>
        </xdr:txBody>
      </xdr:sp>
      <xdr:sp macro="" textlink="">
        <xdr:nvSpPr>
          <xdr:cNvPr id="26" name="CuadroTexto 3">
            <a:extLst>
              <a:ext uri="{FF2B5EF4-FFF2-40B4-BE49-F238E27FC236}">
                <a16:creationId xmlns:a16="http://schemas.microsoft.com/office/drawing/2014/main" id="{00000000-0008-0000-0000-00001A000000}"/>
              </a:ext>
            </a:extLst>
          </xdr:cNvPr>
          <xdr:cNvSpPr txBox="1">
            <a:spLocks noChangeAspect="1"/>
          </xdr:cNvSpPr>
        </xdr:nvSpPr>
        <xdr:spPr>
          <a:xfrm>
            <a:off x="1181099" y="0"/>
            <a:ext cx="3695701" cy="504108"/>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wrap="square" lIns="7200" tIns="7200" rIns="7200" bIns="7200" rtlCol="0" anchor="ctr"/>
          <a:lstStyle/>
          <a:p>
            <a:pPr algn="ctr">
              <a:spcAft>
                <a:spcPts val="0"/>
              </a:spcAft>
            </a:pPr>
            <a:r>
              <a:rPr lang="es-ES" sz="1100" b="1">
                <a:solidFill>
                  <a:srgbClr val="000000"/>
                </a:solidFill>
                <a:effectLst/>
                <a:latin typeface="Arial" panose="020B0604020202020204" pitchFamily="34" charset="0"/>
                <a:ea typeface="Times New Roman" panose="02020603050405020304" pitchFamily="18" charset="0"/>
              </a:rPr>
              <a:t>AUTOEVALUACIÓN INSTITUCIONAL</a:t>
            </a:r>
            <a:endParaRPr lang="es-CO" sz="1200">
              <a:effectLst/>
              <a:latin typeface="Times New Roman" panose="02020603050405020304" pitchFamily="18" charset="0"/>
              <a:ea typeface="Times New Roman" panose="02020603050405020304" pitchFamily="18" charset="0"/>
            </a:endParaRPr>
          </a:p>
        </xdr:txBody>
      </xdr:sp>
      <xdr:sp macro="" textlink="">
        <xdr:nvSpPr>
          <xdr:cNvPr id="27" name="CuadroTexto 4">
            <a:extLst>
              <a:ext uri="{FF2B5EF4-FFF2-40B4-BE49-F238E27FC236}">
                <a16:creationId xmlns:a16="http://schemas.microsoft.com/office/drawing/2014/main" id="{00000000-0008-0000-0000-00001B000000}"/>
              </a:ext>
            </a:extLst>
          </xdr:cNvPr>
          <xdr:cNvSpPr txBox="1">
            <a:spLocks noChangeAspect="1"/>
          </xdr:cNvSpPr>
        </xdr:nvSpPr>
        <xdr:spPr>
          <a:xfrm>
            <a:off x="1181101" y="505185"/>
            <a:ext cx="3695700" cy="49530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wrap="square" lIns="7200" tIns="7200" rIns="7200" bIns="7200" rtlCol="0" anchor="ctr"/>
          <a:lstStyle/>
          <a:p>
            <a:pPr algn="ctr">
              <a:spcAft>
                <a:spcPts val="0"/>
              </a:spcAft>
            </a:pPr>
            <a:r>
              <a:rPr lang="es-ES" sz="1100" b="1">
                <a:solidFill>
                  <a:srgbClr val="000000"/>
                </a:solidFill>
                <a:effectLst/>
                <a:latin typeface="Arial" panose="020B0604020202020204" pitchFamily="34" charset="0"/>
                <a:ea typeface="Times New Roman" panose="02020603050405020304" pitchFamily="18" charset="0"/>
              </a:rPr>
              <a:t>MATRIZ DE PONDERACIÓN INSTITUCIONAL</a:t>
            </a:r>
            <a:endParaRPr lang="es-CO" sz="1200">
              <a:effectLst/>
              <a:latin typeface="Times New Roman" panose="02020603050405020304" pitchFamily="18" charset="0"/>
              <a:ea typeface="Times New Roman" panose="02020603050405020304" pitchFamily="18" charset="0"/>
            </a:endParaRPr>
          </a:p>
        </xdr:txBody>
      </xdr:sp>
      <xdr:pic>
        <xdr:nvPicPr>
          <xdr:cNvPr id="28" name="Imagen 27">
            <a:extLst>
              <a:ext uri="{FF2B5EF4-FFF2-40B4-BE49-F238E27FC236}">
                <a16:creationId xmlns:a16="http://schemas.microsoft.com/office/drawing/2014/main" id="{00000000-0008-0000-0000-00001C000000}"/>
              </a:ext>
            </a:extLst>
          </xdr:cNvPr>
          <xdr:cNvPicPr>
            <a:picLocks noChangeAspect="1"/>
          </xdr:cNvPicPr>
        </xdr:nvPicPr>
        <xdr:blipFill rotWithShape="1">
          <a:blip xmlns:r="http://schemas.openxmlformats.org/officeDocument/2006/relationships" r:embed="rId15">
            <a:extLst>
              <a:ext uri="{28A0092B-C50C-407E-A947-70E740481C1C}">
                <a14:useLocalDpi xmlns:a14="http://schemas.microsoft.com/office/drawing/2010/main" val="0"/>
              </a:ext>
            </a:extLst>
          </a:blip>
          <a:srcRect t="10238" b="9428"/>
          <a:stretch/>
        </xdr:blipFill>
        <xdr:spPr bwMode="auto">
          <a:xfrm>
            <a:off x="152400" y="28934"/>
            <a:ext cx="910590" cy="952501"/>
          </a:xfrm>
          <a:prstGeom prst="rect">
            <a:avLst/>
          </a:prstGeom>
          <a:ln>
            <a:noFill/>
          </a:ln>
          <a:extLst>
            <a:ext uri="{53640926-AAD7-44D8-BBD7-CCE9431645EC}">
              <a14:shadowObscured xmlns:a14="http://schemas.microsoft.com/office/drawing/2010/main"/>
            </a:ext>
          </a:extLst>
        </xdr:spPr>
      </xdr:pic>
      <xdr:sp macro="" textlink="">
        <xdr:nvSpPr>
          <xdr:cNvPr id="29" name="CuadroTexto 6">
            <a:extLst>
              <a:ext uri="{FF2B5EF4-FFF2-40B4-BE49-F238E27FC236}">
                <a16:creationId xmlns:a16="http://schemas.microsoft.com/office/drawing/2014/main" id="{00000000-0008-0000-0000-00001D000000}"/>
              </a:ext>
            </a:extLst>
          </xdr:cNvPr>
          <xdr:cNvSpPr txBox="1">
            <a:spLocks noChangeAspect="1"/>
          </xdr:cNvSpPr>
        </xdr:nvSpPr>
        <xdr:spPr>
          <a:xfrm>
            <a:off x="4876800" y="359"/>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wrap="square" lIns="7200" tIns="7200" rIns="7200" bIns="7200" rtlCol="0" anchor="ctr"/>
          <a:lstStyle/>
          <a:p>
            <a:pPr algn="ctr">
              <a:spcAft>
                <a:spcPts val="0"/>
              </a:spcAft>
            </a:pPr>
            <a:r>
              <a:rPr lang="es-ES" sz="1100" b="1">
                <a:solidFill>
                  <a:srgbClr val="000000"/>
                </a:solidFill>
                <a:effectLst/>
                <a:latin typeface="Arial" panose="020B0604020202020204" pitchFamily="34" charset="0"/>
                <a:ea typeface="Times New Roman" panose="02020603050405020304" pitchFamily="18" charset="0"/>
              </a:rPr>
              <a:t>Código: FO-AU-001</a:t>
            </a:r>
            <a:endParaRPr lang="es-CO" sz="1200">
              <a:effectLst/>
              <a:latin typeface="Times New Roman" panose="02020603050405020304" pitchFamily="18" charset="0"/>
              <a:ea typeface="Times New Roman" panose="02020603050405020304" pitchFamily="18" charset="0"/>
            </a:endParaRPr>
          </a:p>
        </xdr:txBody>
      </xdr:sp>
      <xdr:sp macro="" textlink="">
        <xdr:nvSpPr>
          <xdr:cNvPr id="30" name="CuadroTexto 7">
            <a:extLst>
              <a:ext uri="{FF2B5EF4-FFF2-40B4-BE49-F238E27FC236}">
                <a16:creationId xmlns:a16="http://schemas.microsoft.com/office/drawing/2014/main" id="{00000000-0008-0000-0000-00001E000000}"/>
              </a:ext>
            </a:extLst>
          </xdr:cNvPr>
          <xdr:cNvSpPr txBox="1">
            <a:spLocks noChangeAspect="1"/>
          </xdr:cNvSpPr>
        </xdr:nvSpPr>
        <xdr:spPr>
          <a:xfrm>
            <a:off x="4876800" y="333734"/>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wrap="square" lIns="7200" tIns="7200" rIns="7200" bIns="7200" rtlCol="0" anchor="ctr"/>
          <a:lstStyle/>
          <a:p>
            <a:pPr algn="ctr">
              <a:spcAft>
                <a:spcPts val="0"/>
              </a:spcAft>
            </a:pPr>
            <a:r>
              <a:rPr lang="es-ES" sz="1100" b="1">
                <a:solidFill>
                  <a:srgbClr val="000000"/>
                </a:solidFill>
                <a:effectLst/>
                <a:latin typeface="Arial" panose="020B0604020202020204" pitchFamily="34" charset="0"/>
                <a:ea typeface="Times New Roman" panose="02020603050405020304" pitchFamily="18" charset="0"/>
              </a:rPr>
              <a:t>Versión: 01</a:t>
            </a:r>
            <a:endParaRPr lang="es-CO" sz="1200">
              <a:effectLst/>
              <a:latin typeface="Times New Roman" panose="02020603050405020304" pitchFamily="18" charset="0"/>
              <a:ea typeface="Times New Roman" panose="02020603050405020304" pitchFamily="18" charset="0"/>
            </a:endParaRPr>
          </a:p>
        </xdr:txBody>
      </xdr:sp>
      <xdr:sp macro="" textlink="">
        <xdr:nvSpPr>
          <xdr:cNvPr id="31" name="CuadroTexto 8">
            <a:extLst>
              <a:ext uri="{FF2B5EF4-FFF2-40B4-BE49-F238E27FC236}">
                <a16:creationId xmlns:a16="http://schemas.microsoft.com/office/drawing/2014/main" id="{00000000-0008-0000-0000-00001F000000}"/>
              </a:ext>
            </a:extLst>
          </xdr:cNvPr>
          <xdr:cNvSpPr txBox="1">
            <a:spLocks noChangeAspect="1"/>
          </xdr:cNvSpPr>
        </xdr:nvSpPr>
        <xdr:spPr>
          <a:xfrm>
            <a:off x="4876800" y="667109"/>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wrap="square" lIns="7200" tIns="7200" rIns="7200" bIns="7200" rtlCol="0" anchor="ctr"/>
          <a:lstStyle/>
          <a:p>
            <a:pPr algn="ctr">
              <a:spcAft>
                <a:spcPts val="0"/>
              </a:spcAft>
            </a:pPr>
            <a:r>
              <a:rPr lang="es-ES" sz="1000" b="1">
                <a:solidFill>
                  <a:srgbClr val="000000"/>
                </a:solidFill>
                <a:effectLst/>
                <a:latin typeface="Arial" panose="020B0604020202020204" pitchFamily="34" charset="0"/>
                <a:ea typeface="Times New Roman" panose="02020603050405020304" pitchFamily="18" charset="0"/>
              </a:rPr>
              <a:t>Fecha: Octubre 2023</a:t>
            </a:r>
            <a:endParaRPr lang="es-CO" sz="1200">
              <a:effectLst/>
              <a:latin typeface="Times New Roman" panose="02020603050405020304" pitchFamily="18" charset="0"/>
              <a:ea typeface="Times New Roman" panose="02020603050405020304" pitchFamily="18" charset="0"/>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19</xdr:col>
      <xdr:colOff>332097</xdr:colOff>
      <xdr:row>1</xdr:row>
      <xdr:rowOff>322611</xdr:rowOff>
    </xdr:from>
    <xdr:to>
      <xdr:col>20</xdr:col>
      <xdr:colOff>444498</xdr:colOff>
      <xdr:row>1</xdr:row>
      <xdr:rowOff>550333</xdr:rowOff>
    </xdr:to>
    <xdr:sp macro="" textlink="">
      <xdr:nvSpPr>
        <xdr:cNvPr id="2" name="Bisel 1">
          <a:hlinkClick xmlns:r="http://schemas.openxmlformats.org/officeDocument/2006/relationships" r:id="rId1"/>
          <a:extLst>
            <a:ext uri="{FF2B5EF4-FFF2-40B4-BE49-F238E27FC236}">
              <a16:creationId xmlns:a16="http://schemas.microsoft.com/office/drawing/2014/main" id="{00000000-0008-0000-0100-000002000000}"/>
            </a:ext>
          </a:extLst>
        </xdr:cNvPr>
        <xdr:cNvSpPr/>
      </xdr:nvSpPr>
      <xdr:spPr>
        <a:xfrm>
          <a:off x="11561014" y="513111"/>
          <a:ext cx="874401" cy="227722"/>
        </a:xfrm>
        <a:prstGeom prst="bevel">
          <a:avLst/>
        </a:prstGeom>
        <a:solidFill>
          <a:schemeClr val="accent6">
            <a:lumMod val="40000"/>
            <a:lumOff val="60000"/>
          </a:schemeClr>
        </a:solidFill>
        <a:ln>
          <a:solidFill>
            <a:schemeClr val="accent6">
              <a:lumMod val="60000"/>
              <a:lumOff val="4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s-CO" sz="8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SIGUIENTE</a:t>
          </a:r>
          <a:endParaRPr lang="es-CO" sz="600"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19</xdr:col>
      <xdr:colOff>326987</xdr:colOff>
      <xdr:row>0</xdr:row>
      <xdr:rowOff>166414</xdr:rowOff>
    </xdr:from>
    <xdr:to>
      <xdr:col>20</xdr:col>
      <xdr:colOff>441372</xdr:colOff>
      <xdr:row>1</xdr:row>
      <xdr:rowOff>218208</xdr:rowOff>
    </xdr:to>
    <xdr:sp macro="" textlink="">
      <xdr:nvSpPr>
        <xdr:cNvPr id="3" name="Bisel 2">
          <a:hlinkClick xmlns:r="http://schemas.openxmlformats.org/officeDocument/2006/relationships" r:id="rId2"/>
          <a:extLst>
            <a:ext uri="{FF2B5EF4-FFF2-40B4-BE49-F238E27FC236}">
              <a16:creationId xmlns:a16="http://schemas.microsoft.com/office/drawing/2014/main" id="{00000000-0008-0000-0100-000003000000}"/>
            </a:ext>
          </a:extLst>
        </xdr:cNvPr>
        <xdr:cNvSpPr/>
      </xdr:nvSpPr>
      <xdr:spPr>
        <a:xfrm>
          <a:off x="11555904" y="166414"/>
          <a:ext cx="876385" cy="242294"/>
        </a:xfrm>
        <a:prstGeom prst="bevel">
          <a:avLst/>
        </a:prstGeom>
        <a:solidFill>
          <a:schemeClr val="accent2">
            <a:lumMod val="20000"/>
            <a:lumOff val="80000"/>
          </a:schemeClr>
        </a:solidFill>
        <a:ln>
          <a:solidFill>
            <a:schemeClr val="accent2">
              <a:lumMod val="40000"/>
              <a:lumOff val="6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marL="0" indent="0" algn="ctr"/>
          <a:r>
            <a:rPr lang="es-CO" sz="8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ATRAS</a:t>
          </a:r>
        </a:p>
      </xdr:txBody>
    </xdr:sp>
    <xdr:clientData/>
  </xdr:twoCellAnchor>
  <xdr:twoCellAnchor>
    <xdr:from>
      <xdr:col>16</xdr:col>
      <xdr:colOff>137585</xdr:colOff>
      <xdr:row>15</xdr:row>
      <xdr:rowOff>148166</xdr:rowOff>
    </xdr:from>
    <xdr:to>
      <xdr:col>18</xdr:col>
      <xdr:colOff>1354667</xdr:colOff>
      <xdr:row>16</xdr:row>
      <xdr:rowOff>148169</xdr:rowOff>
    </xdr:to>
    <xdr:sp macro="" textlink="">
      <xdr:nvSpPr>
        <xdr:cNvPr id="6" name="Bisel 5">
          <a:hlinkClick xmlns:r="http://schemas.openxmlformats.org/officeDocument/2006/relationships" r:id="rId3"/>
          <a:extLst>
            <a:ext uri="{FF2B5EF4-FFF2-40B4-BE49-F238E27FC236}">
              <a16:creationId xmlns:a16="http://schemas.microsoft.com/office/drawing/2014/main" id="{00000000-0008-0000-0100-000006000000}"/>
            </a:ext>
          </a:extLst>
        </xdr:cNvPr>
        <xdr:cNvSpPr/>
      </xdr:nvSpPr>
      <xdr:spPr>
        <a:xfrm>
          <a:off x="9069918" y="5714999"/>
          <a:ext cx="2148416" cy="179920"/>
        </a:xfrm>
        <a:prstGeom prst="bevel">
          <a:avLst/>
        </a:prstGeom>
        <a:solidFill>
          <a:schemeClr val="accent6">
            <a:lumMod val="40000"/>
            <a:lumOff val="60000"/>
          </a:schemeClr>
        </a:solidFill>
        <a:ln w="3175">
          <a:solidFill>
            <a:schemeClr val="accent6">
              <a:lumMod val="5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s-CO" sz="7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IR</a:t>
          </a:r>
          <a:r>
            <a:rPr lang="es-CO" sz="700"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DESCRIPCIÓN DE LA CARACTERÍSTICA</a:t>
          </a:r>
          <a:endParaRPr lang="es-CO" sz="700"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19</xdr:col>
      <xdr:colOff>343780</xdr:colOff>
      <xdr:row>1</xdr:row>
      <xdr:rowOff>346697</xdr:rowOff>
    </xdr:from>
    <xdr:to>
      <xdr:col>20</xdr:col>
      <xdr:colOff>456181</xdr:colOff>
      <xdr:row>1</xdr:row>
      <xdr:rowOff>574419</xdr:rowOff>
    </xdr:to>
    <xdr:sp macro="" textlink="">
      <xdr:nvSpPr>
        <xdr:cNvPr id="2" name="Bisel 1">
          <a:hlinkClick xmlns:r="http://schemas.openxmlformats.org/officeDocument/2006/relationships" r:id="rId1"/>
          <a:extLst>
            <a:ext uri="{FF2B5EF4-FFF2-40B4-BE49-F238E27FC236}">
              <a16:creationId xmlns:a16="http://schemas.microsoft.com/office/drawing/2014/main" id="{00000000-0008-0000-0200-000002000000}"/>
            </a:ext>
          </a:extLst>
        </xdr:cNvPr>
        <xdr:cNvSpPr/>
      </xdr:nvSpPr>
      <xdr:spPr>
        <a:xfrm>
          <a:off x="11572697" y="537197"/>
          <a:ext cx="874401" cy="227722"/>
        </a:xfrm>
        <a:prstGeom prst="bevel">
          <a:avLst/>
        </a:prstGeom>
        <a:solidFill>
          <a:schemeClr val="accent6">
            <a:lumMod val="40000"/>
            <a:lumOff val="60000"/>
          </a:schemeClr>
        </a:solidFill>
        <a:ln>
          <a:solidFill>
            <a:schemeClr val="accent6">
              <a:lumMod val="60000"/>
              <a:lumOff val="4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s-CO" sz="8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SIGUIENTE</a:t>
          </a:r>
          <a:endParaRPr lang="es-CO" sz="600"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19</xdr:col>
      <xdr:colOff>338670</xdr:colOff>
      <xdr:row>1</xdr:row>
      <xdr:rowOff>0</xdr:rowOff>
    </xdr:from>
    <xdr:to>
      <xdr:col>20</xdr:col>
      <xdr:colOff>453055</xdr:colOff>
      <xdr:row>1</xdr:row>
      <xdr:rowOff>242294</xdr:rowOff>
    </xdr:to>
    <xdr:sp macro="" textlink="">
      <xdr:nvSpPr>
        <xdr:cNvPr id="3" name="Bisel 2">
          <a:hlinkClick xmlns:r="http://schemas.openxmlformats.org/officeDocument/2006/relationships" r:id="rId2"/>
          <a:extLst>
            <a:ext uri="{FF2B5EF4-FFF2-40B4-BE49-F238E27FC236}">
              <a16:creationId xmlns:a16="http://schemas.microsoft.com/office/drawing/2014/main" id="{00000000-0008-0000-0200-000003000000}"/>
            </a:ext>
          </a:extLst>
        </xdr:cNvPr>
        <xdr:cNvSpPr/>
      </xdr:nvSpPr>
      <xdr:spPr>
        <a:xfrm>
          <a:off x="11567587" y="190500"/>
          <a:ext cx="876385" cy="242294"/>
        </a:xfrm>
        <a:prstGeom prst="bevel">
          <a:avLst/>
        </a:prstGeom>
        <a:solidFill>
          <a:schemeClr val="accent2">
            <a:lumMod val="20000"/>
            <a:lumOff val="80000"/>
          </a:schemeClr>
        </a:solidFill>
        <a:ln>
          <a:solidFill>
            <a:schemeClr val="accent2">
              <a:lumMod val="40000"/>
              <a:lumOff val="6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marL="0" indent="0" algn="ctr"/>
          <a:r>
            <a:rPr lang="es-CO" sz="8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ATRAS</a:t>
          </a:r>
        </a:p>
      </xdr:txBody>
    </xdr:sp>
    <xdr:clientData/>
  </xdr:twoCellAnchor>
  <xdr:twoCellAnchor>
    <xdr:from>
      <xdr:col>16</xdr:col>
      <xdr:colOff>158748</xdr:colOff>
      <xdr:row>15</xdr:row>
      <xdr:rowOff>63497</xdr:rowOff>
    </xdr:from>
    <xdr:to>
      <xdr:col>19</xdr:col>
      <xdr:colOff>10580</xdr:colOff>
      <xdr:row>16</xdr:row>
      <xdr:rowOff>63499</xdr:rowOff>
    </xdr:to>
    <xdr:sp macro="" textlink="">
      <xdr:nvSpPr>
        <xdr:cNvPr id="4" name="Bisel 3">
          <a:hlinkClick xmlns:r="http://schemas.openxmlformats.org/officeDocument/2006/relationships" r:id="rId3"/>
          <a:extLst>
            <a:ext uri="{FF2B5EF4-FFF2-40B4-BE49-F238E27FC236}">
              <a16:creationId xmlns:a16="http://schemas.microsoft.com/office/drawing/2014/main" id="{00000000-0008-0000-0200-000004000000}"/>
            </a:ext>
          </a:extLst>
        </xdr:cNvPr>
        <xdr:cNvSpPr/>
      </xdr:nvSpPr>
      <xdr:spPr>
        <a:xfrm>
          <a:off x="9091081" y="6783914"/>
          <a:ext cx="2148416" cy="179918"/>
        </a:xfrm>
        <a:prstGeom prst="bevel">
          <a:avLst/>
        </a:prstGeom>
        <a:solidFill>
          <a:schemeClr val="accent6">
            <a:lumMod val="40000"/>
            <a:lumOff val="60000"/>
          </a:schemeClr>
        </a:solidFill>
        <a:ln w="3175">
          <a:solidFill>
            <a:schemeClr val="accent6">
              <a:lumMod val="5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s-CO" sz="7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IR</a:t>
          </a:r>
          <a:r>
            <a:rPr lang="es-CO" sz="700"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DESCRIPCIÓN DE LA CARACTERÍSTICA</a:t>
          </a:r>
          <a:endParaRPr lang="es-CO" sz="700"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19</xdr:col>
      <xdr:colOff>333199</xdr:colOff>
      <xdr:row>1</xdr:row>
      <xdr:rowOff>346697</xdr:rowOff>
    </xdr:from>
    <xdr:to>
      <xdr:col>20</xdr:col>
      <xdr:colOff>445600</xdr:colOff>
      <xdr:row>1</xdr:row>
      <xdr:rowOff>574419</xdr:rowOff>
    </xdr:to>
    <xdr:sp macro="" textlink="">
      <xdr:nvSpPr>
        <xdr:cNvPr id="4" name="Bisel 3">
          <a:hlinkClick xmlns:r="http://schemas.openxmlformats.org/officeDocument/2006/relationships" r:id="rId1"/>
          <a:extLst>
            <a:ext uri="{FF2B5EF4-FFF2-40B4-BE49-F238E27FC236}">
              <a16:creationId xmlns:a16="http://schemas.microsoft.com/office/drawing/2014/main" id="{00000000-0008-0000-0300-000004000000}"/>
            </a:ext>
          </a:extLst>
        </xdr:cNvPr>
        <xdr:cNvSpPr/>
      </xdr:nvSpPr>
      <xdr:spPr>
        <a:xfrm>
          <a:off x="12535782" y="537197"/>
          <a:ext cx="874401" cy="227722"/>
        </a:xfrm>
        <a:prstGeom prst="bevel">
          <a:avLst/>
        </a:prstGeom>
        <a:solidFill>
          <a:schemeClr val="accent6">
            <a:lumMod val="40000"/>
            <a:lumOff val="60000"/>
          </a:schemeClr>
        </a:solidFill>
        <a:ln>
          <a:solidFill>
            <a:schemeClr val="accent6">
              <a:lumMod val="60000"/>
              <a:lumOff val="4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s-CO" sz="8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SIGUIENTE</a:t>
          </a:r>
          <a:endParaRPr lang="es-CO" sz="600"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19</xdr:col>
      <xdr:colOff>328089</xdr:colOff>
      <xdr:row>1</xdr:row>
      <xdr:rowOff>0</xdr:rowOff>
    </xdr:from>
    <xdr:to>
      <xdr:col>20</xdr:col>
      <xdr:colOff>442474</xdr:colOff>
      <xdr:row>1</xdr:row>
      <xdr:rowOff>242294</xdr:rowOff>
    </xdr:to>
    <xdr:sp macro="" textlink="">
      <xdr:nvSpPr>
        <xdr:cNvPr id="5" name="Bisel 4">
          <a:hlinkClick xmlns:r="http://schemas.openxmlformats.org/officeDocument/2006/relationships" r:id="rId2"/>
          <a:extLst>
            <a:ext uri="{FF2B5EF4-FFF2-40B4-BE49-F238E27FC236}">
              <a16:creationId xmlns:a16="http://schemas.microsoft.com/office/drawing/2014/main" id="{00000000-0008-0000-0300-000005000000}"/>
            </a:ext>
          </a:extLst>
        </xdr:cNvPr>
        <xdr:cNvSpPr/>
      </xdr:nvSpPr>
      <xdr:spPr>
        <a:xfrm>
          <a:off x="12530672" y="190500"/>
          <a:ext cx="876385" cy="242294"/>
        </a:xfrm>
        <a:prstGeom prst="bevel">
          <a:avLst/>
        </a:prstGeom>
        <a:solidFill>
          <a:schemeClr val="accent2">
            <a:lumMod val="20000"/>
            <a:lumOff val="80000"/>
          </a:schemeClr>
        </a:solidFill>
        <a:ln>
          <a:solidFill>
            <a:schemeClr val="accent2">
              <a:lumMod val="40000"/>
              <a:lumOff val="6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marL="0" indent="0" algn="ctr"/>
          <a:r>
            <a:rPr lang="es-CO" sz="8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ATRAS</a:t>
          </a:r>
        </a:p>
      </xdr:txBody>
    </xdr:sp>
    <xdr:clientData/>
  </xdr:twoCellAnchor>
  <xdr:twoCellAnchor>
    <xdr:from>
      <xdr:col>16</xdr:col>
      <xdr:colOff>148171</xdr:colOff>
      <xdr:row>21</xdr:row>
      <xdr:rowOff>63498</xdr:rowOff>
    </xdr:from>
    <xdr:to>
      <xdr:col>19</xdr:col>
      <xdr:colOff>4</xdr:colOff>
      <xdr:row>22</xdr:row>
      <xdr:rowOff>63500</xdr:rowOff>
    </xdr:to>
    <xdr:sp macro="" textlink="">
      <xdr:nvSpPr>
        <xdr:cNvPr id="6" name="Bisel 5">
          <a:hlinkClick xmlns:r="http://schemas.openxmlformats.org/officeDocument/2006/relationships" r:id="rId3"/>
          <a:extLst>
            <a:ext uri="{FF2B5EF4-FFF2-40B4-BE49-F238E27FC236}">
              <a16:creationId xmlns:a16="http://schemas.microsoft.com/office/drawing/2014/main" id="{00000000-0008-0000-0300-000006000000}"/>
            </a:ext>
          </a:extLst>
        </xdr:cNvPr>
        <xdr:cNvSpPr/>
      </xdr:nvSpPr>
      <xdr:spPr>
        <a:xfrm>
          <a:off x="10054171" y="11101915"/>
          <a:ext cx="2148416" cy="179918"/>
        </a:xfrm>
        <a:prstGeom prst="bevel">
          <a:avLst/>
        </a:prstGeom>
        <a:solidFill>
          <a:schemeClr val="accent6">
            <a:lumMod val="40000"/>
            <a:lumOff val="60000"/>
          </a:schemeClr>
        </a:solidFill>
        <a:ln w="3175">
          <a:solidFill>
            <a:schemeClr val="accent6">
              <a:lumMod val="5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s-CO" sz="7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IR</a:t>
          </a:r>
          <a:r>
            <a:rPr lang="es-CO" sz="700"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DESCRIPCIÓN DE LA CARACTERÍSTICA</a:t>
          </a:r>
          <a:endParaRPr lang="es-CO" sz="700"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19</xdr:col>
      <xdr:colOff>322613</xdr:colOff>
      <xdr:row>1</xdr:row>
      <xdr:rowOff>336113</xdr:rowOff>
    </xdr:from>
    <xdr:to>
      <xdr:col>20</xdr:col>
      <xdr:colOff>435014</xdr:colOff>
      <xdr:row>1</xdr:row>
      <xdr:rowOff>563835</xdr:rowOff>
    </xdr:to>
    <xdr:sp macro="" textlink="">
      <xdr:nvSpPr>
        <xdr:cNvPr id="4" name="Bisel 3">
          <a:hlinkClick xmlns:r="http://schemas.openxmlformats.org/officeDocument/2006/relationships" r:id="rId1"/>
          <a:extLst>
            <a:ext uri="{FF2B5EF4-FFF2-40B4-BE49-F238E27FC236}">
              <a16:creationId xmlns:a16="http://schemas.microsoft.com/office/drawing/2014/main" id="{00000000-0008-0000-0400-000004000000}"/>
            </a:ext>
          </a:extLst>
        </xdr:cNvPr>
        <xdr:cNvSpPr/>
      </xdr:nvSpPr>
      <xdr:spPr>
        <a:xfrm>
          <a:off x="11001196" y="526613"/>
          <a:ext cx="874401" cy="227722"/>
        </a:xfrm>
        <a:prstGeom prst="bevel">
          <a:avLst/>
        </a:prstGeom>
        <a:solidFill>
          <a:schemeClr val="accent6">
            <a:lumMod val="40000"/>
            <a:lumOff val="60000"/>
          </a:schemeClr>
        </a:solidFill>
        <a:ln>
          <a:solidFill>
            <a:schemeClr val="accent6">
              <a:lumMod val="60000"/>
              <a:lumOff val="4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s-CO" sz="8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SIGUIENTE</a:t>
          </a:r>
          <a:endParaRPr lang="es-CO" sz="600"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19</xdr:col>
      <xdr:colOff>317503</xdr:colOff>
      <xdr:row>0</xdr:row>
      <xdr:rowOff>179916</xdr:rowOff>
    </xdr:from>
    <xdr:to>
      <xdr:col>20</xdr:col>
      <xdr:colOff>431888</xdr:colOff>
      <xdr:row>1</xdr:row>
      <xdr:rowOff>231710</xdr:rowOff>
    </xdr:to>
    <xdr:sp macro="" textlink="">
      <xdr:nvSpPr>
        <xdr:cNvPr id="5" name="Bisel 4">
          <a:hlinkClick xmlns:r="http://schemas.openxmlformats.org/officeDocument/2006/relationships" r:id="rId2"/>
          <a:extLst>
            <a:ext uri="{FF2B5EF4-FFF2-40B4-BE49-F238E27FC236}">
              <a16:creationId xmlns:a16="http://schemas.microsoft.com/office/drawing/2014/main" id="{00000000-0008-0000-0400-000005000000}"/>
            </a:ext>
          </a:extLst>
        </xdr:cNvPr>
        <xdr:cNvSpPr/>
      </xdr:nvSpPr>
      <xdr:spPr>
        <a:xfrm>
          <a:off x="10996086" y="179916"/>
          <a:ext cx="876385" cy="242294"/>
        </a:xfrm>
        <a:prstGeom prst="bevel">
          <a:avLst/>
        </a:prstGeom>
        <a:solidFill>
          <a:schemeClr val="accent2">
            <a:lumMod val="20000"/>
            <a:lumOff val="80000"/>
          </a:schemeClr>
        </a:solidFill>
        <a:ln>
          <a:solidFill>
            <a:schemeClr val="accent2">
              <a:lumMod val="40000"/>
              <a:lumOff val="6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marL="0" indent="0" algn="ctr"/>
          <a:r>
            <a:rPr lang="es-CO" sz="8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ATRAS</a:t>
          </a:r>
        </a:p>
      </xdr:txBody>
    </xdr:sp>
    <xdr:clientData/>
  </xdr:twoCellAnchor>
  <xdr:twoCellAnchor>
    <xdr:from>
      <xdr:col>16</xdr:col>
      <xdr:colOff>148167</xdr:colOff>
      <xdr:row>21</xdr:row>
      <xdr:rowOff>21168</xdr:rowOff>
    </xdr:from>
    <xdr:to>
      <xdr:col>19</xdr:col>
      <xdr:colOff>0</xdr:colOff>
      <xdr:row>22</xdr:row>
      <xdr:rowOff>21170</xdr:rowOff>
    </xdr:to>
    <xdr:sp macro="" textlink="">
      <xdr:nvSpPr>
        <xdr:cNvPr id="6" name="Bisel 5">
          <a:hlinkClick xmlns:r="http://schemas.openxmlformats.org/officeDocument/2006/relationships" r:id="rId3"/>
          <a:extLst>
            <a:ext uri="{FF2B5EF4-FFF2-40B4-BE49-F238E27FC236}">
              <a16:creationId xmlns:a16="http://schemas.microsoft.com/office/drawing/2014/main" id="{00000000-0008-0000-0400-000006000000}"/>
            </a:ext>
          </a:extLst>
        </xdr:cNvPr>
        <xdr:cNvSpPr/>
      </xdr:nvSpPr>
      <xdr:spPr>
        <a:xfrm>
          <a:off x="9239250" y="6127751"/>
          <a:ext cx="2148417" cy="179919"/>
        </a:xfrm>
        <a:prstGeom prst="bevel">
          <a:avLst/>
        </a:prstGeom>
        <a:solidFill>
          <a:schemeClr val="accent6">
            <a:lumMod val="40000"/>
            <a:lumOff val="60000"/>
          </a:schemeClr>
        </a:solidFill>
        <a:ln w="3175">
          <a:solidFill>
            <a:schemeClr val="accent6">
              <a:lumMod val="5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s-CO" sz="7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IR</a:t>
          </a:r>
          <a:r>
            <a:rPr lang="es-CO" sz="700"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DESCRIPCIÓN DE LA CARACTERÍSTICA</a:t>
          </a:r>
          <a:endParaRPr lang="es-CO" sz="700"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19</xdr:col>
      <xdr:colOff>322613</xdr:colOff>
      <xdr:row>1</xdr:row>
      <xdr:rowOff>336113</xdr:rowOff>
    </xdr:from>
    <xdr:to>
      <xdr:col>20</xdr:col>
      <xdr:colOff>435014</xdr:colOff>
      <xdr:row>1</xdr:row>
      <xdr:rowOff>563835</xdr:rowOff>
    </xdr:to>
    <xdr:sp macro="" textlink="">
      <xdr:nvSpPr>
        <xdr:cNvPr id="2" name="Bisel 1">
          <a:hlinkClick xmlns:r="http://schemas.openxmlformats.org/officeDocument/2006/relationships" r:id="rId1"/>
          <a:extLst>
            <a:ext uri="{FF2B5EF4-FFF2-40B4-BE49-F238E27FC236}">
              <a16:creationId xmlns:a16="http://schemas.microsoft.com/office/drawing/2014/main" id="{00000000-0008-0000-0500-000002000000}"/>
            </a:ext>
          </a:extLst>
        </xdr:cNvPr>
        <xdr:cNvSpPr/>
      </xdr:nvSpPr>
      <xdr:spPr>
        <a:xfrm>
          <a:off x="10952513" y="526613"/>
          <a:ext cx="874401" cy="227722"/>
        </a:xfrm>
        <a:prstGeom prst="bevel">
          <a:avLst/>
        </a:prstGeom>
        <a:solidFill>
          <a:schemeClr val="accent6">
            <a:lumMod val="40000"/>
            <a:lumOff val="60000"/>
          </a:schemeClr>
        </a:solidFill>
        <a:ln>
          <a:solidFill>
            <a:schemeClr val="accent6">
              <a:lumMod val="60000"/>
              <a:lumOff val="4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s-CO" sz="8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SIGUIENTE</a:t>
          </a:r>
          <a:endParaRPr lang="es-CO" sz="600"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19</xdr:col>
      <xdr:colOff>317503</xdr:colOff>
      <xdr:row>0</xdr:row>
      <xdr:rowOff>179916</xdr:rowOff>
    </xdr:from>
    <xdr:to>
      <xdr:col>20</xdr:col>
      <xdr:colOff>431888</xdr:colOff>
      <xdr:row>1</xdr:row>
      <xdr:rowOff>231710</xdr:rowOff>
    </xdr:to>
    <xdr:sp macro="" textlink="">
      <xdr:nvSpPr>
        <xdr:cNvPr id="3" name="Bisel 2">
          <a:hlinkClick xmlns:r="http://schemas.openxmlformats.org/officeDocument/2006/relationships" r:id="rId2"/>
          <a:extLst>
            <a:ext uri="{FF2B5EF4-FFF2-40B4-BE49-F238E27FC236}">
              <a16:creationId xmlns:a16="http://schemas.microsoft.com/office/drawing/2014/main" id="{00000000-0008-0000-0500-000003000000}"/>
            </a:ext>
          </a:extLst>
        </xdr:cNvPr>
        <xdr:cNvSpPr/>
      </xdr:nvSpPr>
      <xdr:spPr>
        <a:xfrm>
          <a:off x="10947403" y="179916"/>
          <a:ext cx="876385" cy="242294"/>
        </a:xfrm>
        <a:prstGeom prst="bevel">
          <a:avLst/>
        </a:prstGeom>
        <a:solidFill>
          <a:schemeClr val="accent2">
            <a:lumMod val="20000"/>
            <a:lumOff val="80000"/>
          </a:schemeClr>
        </a:solidFill>
        <a:ln>
          <a:solidFill>
            <a:schemeClr val="accent2">
              <a:lumMod val="40000"/>
              <a:lumOff val="6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marL="0" indent="0" algn="ctr"/>
          <a:r>
            <a:rPr lang="es-CO" sz="8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ATRAS</a:t>
          </a:r>
        </a:p>
      </xdr:txBody>
    </xdr:sp>
    <xdr:clientData/>
  </xdr:twoCellAnchor>
  <xdr:twoCellAnchor>
    <xdr:from>
      <xdr:col>16</xdr:col>
      <xdr:colOff>158751</xdr:colOff>
      <xdr:row>17</xdr:row>
      <xdr:rowOff>63502</xdr:rowOff>
    </xdr:from>
    <xdr:to>
      <xdr:col>19</xdr:col>
      <xdr:colOff>10584</xdr:colOff>
      <xdr:row>18</xdr:row>
      <xdr:rowOff>63504</xdr:rowOff>
    </xdr:to>
    <xdr:sp macro="" textlink="">
      <xdr:nvSpPr>
        <xdr:cNvPr id="4" name="Bisel 3">
          <a:hlinkClick xmlns:r="http://schemas.openxmlformats.org/officeDocument/2006/relationships" r:id="rId3"/>
          <a:extLst>
            <a:ext uri="{FF2B5EF4-FFF2-40B4-BE49-F238E27FC236}">
              <a16:creationId xmlns:a16="http://schemas.microsoft.com/office/drawing/2014/main" id="{00000000-0008-0000-0500-000004000000}"/>
            </a:ext>
          </a:extLst>
        </xdr:cNvPr>
        <xdr:cNvSpPr/>
      </xdr:nvSpPr>
      <xdr:spPr>
        <a:xfrm>
          <a:off x="8493126" y="14303377"/>
          <a:ext cx="2147358" cy="180977"/>
        </a:xfrm>
        <a:prstGeom prst="bevel">
          <a:avLst/>
        </a:prstGeom>
        <a:solidFill>
          <a:schemeClr val="accent6">
            <a:lumMod val="40000"/>
            <a:lumOff val="60000"/>
          </a:schemeClr>
        </a:solidFill>
        <a:ln w="3175">
          <a:solidFill>
            <a:schemeClr val="accent6">
              <a:lumMod val="5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s-CO" sz="7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IR</a:t>
          </a:r>
          <a:r>
            <a:rPr lang="es-CO" sz="700"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DESCRIPCIÓN DE LA CARACTERÍSTICA</a:t>
          </a:r>
          <a:endParaRPr lang="es-CO" sz="700"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19</xdr:col>
      <xdr:colOff>322613</xdr:colOff>
      <xdr:row>1</xdr:row>
      <xdr:rowOff>336113</xdr:rowOff>
    </xdr:from>
    <xdr:to>
      <xdr:col>20</xdr:col>
      <xdr:colOff>435014</xdr:colOff>
      <xdr:row>1</xdr:row>
      <xdr:rowOff>563835</xdr:rowOff>
    </xdr:to>
    <xdr:sp macro="" textlink="">
      <xdr:nvSpPr>
        <xdr:cNvPr id="2" name="Bisel 1">
          <a:hlinkClick xmlns:r="http://schemas.openxmlformats.org/officeDocument/2006/relationships" r:id="rId1"/>
          <a:extLst>
            <a:ext uri="{FF2B5EF4-FFF2-40B4-BE49-F238E27FC236}">
              <a16:creationId xmlns:a16="http://schemas.microsoft.com/office/drawing/2014/main" id="{00000000-0008-0000-0600-000002000000}"/>
            </a:ext>
          </a:extLst>
        </xdr:cNvPr>
        <xdr:cNvSpPr/>
      </xdr:nvSpPr>
      <xdr:spPr>
        <a:xfrm>
          <a:off x="11666888" y="526613"/>
          <a:ext cx="874401" cy="227722"/>
        </a:xfrm>
        <a:prstGeom prst="bevel">
          <a:avLst/>
        </a:prstGeom>
        <a:solidFill>
          <a:schemeClr val="accent6">
            <a:lumMod val="40000"/>
            <a:lumOff val="60000"/>
          </a:schemeClr>
        </a:solidFill>
        <a:ln>
          <a:solidFill>
            <a:schemeClr val="accent6">
              <a:lumMod val="60000"/>
              <a:lumOff val="4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s-CO" sz="8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SIGUIENTE</a:t>
          </a:r>
          <a:endParaRPr lang="es-CO" sz="600"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19</xdr:col>
      <xdr:colOff>317503</xdr:colOff>
      <xdr:row>0</xdr:row>
      <xdr:rowOff>179916</xdr:rowOff>
    </xdr:from>
    <xdr:to>
      <xdr:col>20</xdr:col>
      <xdr:colOff>431888</xdr:colOff>
      <xdr:row>1</xdr:row>
      <xdr:rowOff>231710</xdr:rowOff>
    </xdr:to>
    <xdr:sp macro="" textlink="">
      <xdr:nvSpPr>
        <xdr:cNvPr id="3" name="Bisel 2">
          <a:hlinkClick xmlns:r="http://schemas.openxmlformats.org/officeDocument/2006/relationships" r:id="rId2"/>
          <a:extLst>
            <a:ext uri="{FF2B5EF4-FFF2-40B4-BE49-F238E27FC236}">
              <a16:creationId xmlns:a16="http://schemas.microsoft.com/office/drawing/2014/main" id="{00000000-0008-0000-0600-000003000000}"/>
            </a:ext>
          </a:extLst>
        </xdr:cNvPr>
        <xdr:cNvSpPr/>
      </xdr:nvSpPr>
      <xdr:spPr>
        <a:xfrm>
          <a:off x="11661778" y="179916"/>
          <a:ext cx="876385" cy="242294"/>
        </a:xfrm>
        <a:prstGeom prst="bevel">
          <a:avLst/>
        </a:prstGeom>
        <a:solidFill>
          <a:schemeClr val="accent2">
            <a:lumMod val="20000"/>
            <a:lumOff val="80000"/>
          </a:schemeClr>
        </a:solidFill>
        <a:ln>
          <a:solidFill>
            <a:schemeClr val="accent2">
              <a:lumMod val="40000"/>
              <a:lumOff val="6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marL="0" indent="0" algn="ctr"/>
          <a:r>
            <a:rPr lang="es-CO" sz="8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ATRAS</a:t>
          </a:r>
        </a:p>
      </xdr:txBody>
    </xdr:sp>
    <xdr:clientData/>
  </xdr:twoCellAnchor>
  <xdr:twoCellAnchor>
    <xdr:from>
      <xdr:col>16</xdr:col>
      <xdr:colOff>158751</xdr:colOff>
      <xdr:row>13</xdr:row>
      <xdr:rowOff>63502</xdr:rowOff>
    </xdr:from>
    <xdr:to>
      <xdr:col>19</xdr:col>
      <xdr:colOff>10584</xdr:colOff>
      <xdr:row>14</xdr:row>
      <xdr:rowOff>63504</xdr:rowOff>
    </xdr:to>
    <xdr:sp macro="" textlink="">
      <xdr:nvSpPr>
        <xdr:cNvPr id="4" name="Bisel 3">
          <a:hlinkClick xmlns:r="http://schemas.openxmlformats.org/officeDocument/2006/relationships" r:id="rId3"/>
          <a:extLst>
            <a:ext uri="{FF2B5EF4-FFF2-40B4-BE49-F238E27FC236}">
              <a16:creationId xmlns:a16="http://schemas.microsoft.com/office/drawing/2014/main" id="{00000000-0008-0000-0600-000004000000}"/>
            </a:ext>
          </a:extLst>
        </xdr:cNvPr>
        <xdr:cNvSpPr/>
      </xdr:nvSpPr>
      <xdr:spPr>
        <a:xfrm>
          <a:off x="9207501" y="4616452"/>
          <a:ext cx="2147358" cy="180977"/>
        </a:xfrm>
        <a:prstGeom prst="bevel">
          <a:avLst/>
        </a:prstGeom>
        <a:solidFill>
          <a:schemeClr val="accent6">
            <a:lumMod val="40000"/>
            <a:lumOff val="60000"/>
          </a:schemeClr>
        </a:solidFill>
        <a:ln w="3175">
          <a:solidFill>
            <a:schemeClr val="accent6">
              <a:lumMod val="5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s-CO" sz="7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IR</a:t>
          </a:r>
          <a:r>
            <a:rPr lang="es-CO" sz="700"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DESCRIPCIÓN DE LA CARACTERÍSTICA</a:t>
          </a:r>
          <a:endParaRPr lang="es-CO" sz="700"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19</xdr:col>
      <xdr:colOff>333196</xdr:colOff>
      <xdr:row>1</xdr:row>
      <xdr:rowOff>336114</xdr:rowOff>
    </xdr:from>
    <xdr:to>
      <xdr:col>20</xdr:col>
      <xdr:colOff>445597</xdr:colOff>
      <xdr:row>1</xdr:row>
      <xdr:rowOff>563836</xdr:rowOff>
    </xdr:to>
    <xdr:sp macro="" textlink="">
      <xdr:nvSpPr>
        <xdr:cNvPr id="4" name="Bisel 3">
          <a:hlinkClick xmlns:r="http://schemas.openxmlformats.org/officeDocument/2006/relationships" r:id="rId1"/>
          <a:extLst>
            <a:ext uri="{FF2B5EF4-FFF2-40B4-BE49-F238E27FC236}">
              <a16:creationId xmlns:a16="http://schemas.microsoft.com/office/drawing/2014/main" id="{00000000-0008-0000-0700-000004000000}"/>
            </a:ext>
          </a:extLst>
        </xdr:cNvPr>
        <xdr:cNvSpPr/>
      </xdr:nvSpPr>
      <xdr:spPr>
        <a:xfrm>
          <a:off x="12948529" y="526614"/>
          <a:ext cx="874401" cy="227722"/>
        </a:xfrm>
        <a:prstGeom prst="bevel">
          <a:avLst/>
        </a:prstGeom>
        <a:solidFill>
          <a:schemeClr val="accent6">
            <a:lumMod val="40000"/>
            <a:lumOff val="60000"/>
          </a:schemeClr>
        </a:solidFill>
        <a:ln>
          <a:solidFill>
            <a:schemeClr val="accent6">
              <a:lumMod val="60000"/>
              <a:lumOff val="4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s-CO" sz="8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SIGUIENTE</a:t>
          </a:r>
          <a:endParaRPr lang="es-CO" sz="600"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19</xdr:col>
      <xdr:colOff>328086</xdr:colOff>
      <xdr:row>0</xdr:row>
      <xdr:rowOff>179917</xdr:rowOff>
    </xdr:from>
    <xdr:to>
      <xdr:col>20</xdr:col>
      <xdr:colOff>442471</xdr:colOff>
      <xdr:row>1</xdr:row>
      <xdr:rowOff>231711</xdr:rowOff>
    </xdr:to>
    <xdr:sp macro="" textlink="">
      <xdr:nvSpPr>
        <xdr:cNvPr id="5" name="Bisel 4">
          <a:hlinkClick xmlns:r="http://schemas.openxmlformats.org/officeDocument/2006/relationships" r:id="rId2"/>
          <a:extLst>
            <a:ext uri="{FF2B5EF4-FFF2-40B4-BE49-F238E27FC236}">
              <a16:creationId xmlns:a16="http://schemas.microsoft.com/office/drawing/2014/main" id="{00000000-0008-0000-0700-000005000000}"/>
            </a:ext>
          </a:extLst>
        </xdr:cNvPr>
        <xdr:cNvSpPr/>
      </xdr:nvSpPr>
      <xdr:spPr>
        <a:xfrm>
          <a:off x="12943419" y="179917"/>
          <a:ext cx="876385" cy="242294"/>
        </a:xfrm>
        <a:prstGeom prst="bevel">
          <a:avLst/>
        </a:prstGeom>
        <a:solidFill>
          <a:schemeClr val="accent2">
            <a:lumMod val="20000"/>
            <a:lumOff val="80000"/>
          </a:schemeClr>
        </a:solidFill>
        <a:ln>
          <a:solidFill>
            <a:schemeClr val="accent2">
              <a:lumMod val="40000"/>
              <a:lumOff val="6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marL="0" indent="0" algn="ctr"/>
          <a:r>
            <a:rPr lang="es-CO" sz="8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ATRAS</a:t>
          </a:r>
        </a:p>
      </xdr:txBody>
    </xdr:sp>
    <xdr:clientData/>
  </xdr:twoCellAnchor>
  <xdr:twoCellAnchor>
    <xdr:from>
      <xdr:col>16</xdr:col>
      <xdr:colOff>169336</xdr:colOff>
      <xdr:row>13</xdr:row>
      <xdr:rowOff>63498</xdr:rowOff>
    </xdr:from>
    <xdr:to>
      <xdr:col>19</xdr:col>
      <xdr:colOff>21169</xdr:colOff>
      <xdr:row>14</xdr:row>
      <xdr:rowOff>63500</xdr:rowOff>
    </xdr:to>
    <xdr:sp macro="" textlink="">
      <xdr:nvSpPr>
        <xdr:cNvPr id="6" name="Bisel 5">
          <a:hlinkClick xmlns:r="http://schemas.openxmlformats.org/officeDocument/2006/relationships" r:id="rId3"/>
          <a:extLst>
            <a:ext uri="{FF2B5EF4-FFF2-40B4-BE49-F238E27FC236}">
              <a16:creationId xmlns:a16="http://schemas.microsoft.com/office/drawing/2014/main" id="{00000000-0008-0000-0700-000006000000}"/>
            </a:ext>
          </a:extLst>
        </xdr:cNvPr>
        <xdr:cNvSpPr/>
      </xdr:nvSpPr>
      <xdr:spPr>
        <a:xfrm>
          <a:off x="10488086" y="4624915"/>
          <a:ext cx="2148416" cy="179918"/>
        </a:xfrm>
        <a:prstGeom prst="bevel">
          <a:avLst/>
        </a:prstGeom>
        <a:solidFill>
          <a:schemeClr val="accent6">
            <a:lumMod val="40000"/>
            <a:lumOff val="60000"/>
          </a:schemeClr>
        </a:solidFill>
        <a:ln w="3175">
          <a:solidFill>
            <a:schemeClr val="accent6">
              <a:lumMod val="5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s-CO" sz="7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IR</a:t>
          </a:r>
          <a:r>
            <a:rPr lang="es-CO" sz="700"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DESCRIPCIÓN DE LA CARACTERÍSTICA</a:t>
          </a:r>
          <a:endParaRPr lang="es-CO" sz="700"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19</xdr:col>
      <xdr:colOff>333192</xdr:colOff>
      <xdr:row>1</xdr:row>
      <xdr:rowOff>336114</xdr:rowOff>
    </xdr:from>
    <xdr:to>
      <xdr:col>20</xdr:col>
      <xdr:colOff>445593</xdr:colOff>
      <xdr:row>1</xdr:row>
      <xdr:rowOff>563836</xdr:rowOff>
    </xdr:to>
    <xdr:sp macro="" textlink="">
      <xdr:nvSpPr>
        <xdr:cNvPr id="4" name="Bisel 3">
          <a:hlinkClick xmlns:r="http://schemas.openxmlformats.org/officeDocument/2006/relationships" r:id="rId1"/>
          <a:extLst>
            <a:ext uri="{FF2B5EF4-FFF2-40B4-BE49-F238E27FC236}">
              <a16:creationId xmlns:a16="http://schemas.microsoft.com/office/drawing/2014/main" id="{00000000-0008-0000-0800-000004000000}"/>
            </a:ext>
          </a:extLst>
        </xdr:cNvPr>
        <xdr:cNvSpPr/>
      </xdr:nvSpPr>
      <xdr:spPr>
        <a:xfrm>
          <a:off x="12948525" y="526614"/>
          <a:ext cx="874401" cy="227722"/>
        </a:xfrm>
        <a:prstGeom prst="bevel">
          <a:avLst/>
        </a:prstGeom>
        <a:solidFill>
          <a:schemeClr val="accent6">
            <a:lumMod val="40000"/>
            <a:lumOff val="60000"/>
          </a:schemeClr>
        </a:solidFill>
        <a:ln>
          <a:solidFill>
            <a:schemeClr val="accent6">
              <a:lumMod val="60000"/>
              <a:lumOff val="4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s-CO" sz="8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SIGUIENTE</a:t>
          </a:r>
          <a:endParaRPr lang="es-CO" sz="600"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19</xdr:col>
      <xdr:colOff>328082</xdr:colOff>
      <xdr:row>0</xdr:row>
      <xdr:rowOff>179917</xdr:rowOff>
    </xdr:from>
    <xdr:to>
      <xdr:col>20</xdr:col>
      <xdr:colOff>442467</xdr:colOff>
      <xdr:row>1</xdr:row>
      <xdr:rowOff>231711</xdr:rowOff>
    </xdr:to>
    <xdr:sp macro="" textlink="">
      <xdr:nvSpPr>
        <xdr:cNvPr id="5" name="Bisel 4">
          <a:hlinkClick xmlns:r="http://schemas.openxmlformats.org/officeDocument/2006/relationships" r:id="rId2"/>
          <a:extLst>
            <a:ext uri="{FF2B5EF4-FFF2-40B4-BE49-F238E27FC236}">
              <a16:creationId xmlns:a16="http://schemas.microsoft.com/office/drawing/2014/main" id="{00000000-0008-0000-0800-000005000000}"/>
            </a:ext>
          </a:extLst>
        </xdr:cNvPr>
        <xdr:cNvSpPr/>
      </xdr:nvSpPr>
      <xdr:spPr>
        <a:xfrm>
          <a:off x="12943415" y="179917"/>
          <a:ext cx="876385" cy="242294"/>
        </a:xfrm>
        <a:prstGeom prst="bevel">
          <a:avLst/>
        </a:prstGeom>
        <a:solidFill>
          <a:schemeClr val="accent2">
            <a:lumMod val="20000"/>
            <a:lumOff val="80000"/>
          </a:schemeClr>
        </a:solidFill>
        <a:ln>
          <a:solidFill>
            <a:schemeClr val="accent2">
              <a:lumMod val="40000"/>
              <a:lumOff val="6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marL="0" indent="0" algn="ctr"/>
          <a:r>
            <a:rPr lang="es-CO" sz="8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ATRAS</a:t>
          </a:r>
        </a:p>
      </xdr:txBody>
    </xdr:sp>
    <xdr:clientData/>
  </xdr:twoCellAnchor>
  <xdr:twoCellAnchor>
    <xdr:from>
      <xdr:col>16</xdr:col>
      <xdr:colOff>169339</xdr:colOff>
      <xdr:row>13</xdr:row>
      <xdr:rowOff>63499</xdr:rowOff>
    </xdr:from>
    <xdr:to>
      <xdr:col>19</xdr:col>
      <xdr:colOff>21172</xdr:colOff>
      <xdr:row>14</xdr:row>
      <xdr:rowOff>63501</xdr:rowOff>
    </xdr:to>
    <xdr:sp macro="" textlink="">
      <xdr:nvSpPr>
        <xdr:cNvPr id="6" name="Bisel 5">
          <a:hlinkClick xmlns:r="http://schemas.openxmlformats.org/officeDocument/2006/relationships" r:id="rId3"/>
          <a:extLst>
            <a:ext uri="{FF2B5EF4-FFF2-40B4-BE49-F238E27FC236}">
              <a16:creationId xmlns:a16="http://schemas.microsoft.com/office/drawing/2014/main" id="{00000000-0008-0000-0800-000006000000}"/>
            </a:ext>
          </a:extLst>
        </xdr:cNvPr>
        <xdr:cNvSpPr/>
      </xdr:nvSpPr>
      <xdr:spPr>
        <a:xfrm>
          <a:off x="10488089" y="4624916"/>
          <a:ext cx="2148416" cy="179918"/>
        </a:xfrm>
        <a:prstGeom prst="bevel">
          <a:avLst/>
        </a:prstGeom>
        <a:solidFill>
          <a:schemeClr val="accent6">
            <a:lumMod val="40000"/>
            <a:lumOff val="60000"/>
          </a:schemeClr>
        </a:solidFill>
        <a:ln w="3175">
          <a:solidFill>
            <a:schemeClr val="accent6">
              <a:lumMod val="5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s-CO" sz="7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IR</a:t>
          </a:r>
          <a:r>
            <a:rPr lang="es-CO" sz="700"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DESCRIPCIÓN DE LA CARACTERÍSTICA</a:t>
          </a:r>
          <a:endParaRPr lang="es-CO" sz="700"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19</xdr:col>
      <xdr:colOff>343771</xdr:colOff>
      <xdr:row>1</xdr:row>
      <xdr:rowOff>336114</xdr:rowOff>
    </xdr:from>
    <xdr:to>
      <xdr:col>20</xdr:col>
      <xdr:colOff>456172</xdr:colOff>
      <xdr:row>1</xdr:row>
      <xdr:rowOff>563836</xdr:rowOff>
    </xdr:to>
    <xdr:sp macro="" textlink="">
      <xdr:nvSpPr>
        <xdr:cNvPr id="4" name="Bisel 3">
          <a:hlinkClick xmlns:r="http://schemas.openxmlformats.org/officeDocument/2006/relationships" r:id="rId1"/>
          <a:extLst>
            <a:ext uri="{FF2B5EF4-FFF2-40B4-BE49-F238E27FC236}">
              <a16:creationId xmlns:a16="http://schemas.microsoft.com/office/drawing/2014/main" id="{00000000-0008-0000-0900-000004000000}"/>
            </a:ext>
          </a:extLst>
        </xdr:cNvPr>
        <xdr:cNvSpPr/>
      </xdr:nvSpPr>
      <xdr:spPr>
        <a:xfrm>
          <a:off x="11742021" y="526614"/>
          <a:ext cx="874401" cy="227722"/>
        </a:xfrm>
        <a:prstGeom prst="bevel">
          <a:avLst/>
        </a:prstGeom>
        <a:solidFill>
          <a:schemeClr val="accent6">
            <a:lumMod val="40000"/>
            <a:lumOff val="60000"/>
          </a:schemeClr>
        </a:solidFill>
        <a:ln>
          <a:solidFill>
            <a:schemeClr val="accent6">
              <a:lumMod val="60000"/>
              <a:lumOff val="4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s-CO" sz="8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SIGUIENTE</a:t>
          </a:r>
          <a:endParaRPr lang="es-CO" sz="600"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19</xdr:col>
      <xdr:colOff>338661</xdr:colOff>
      <xdr:row>0</xdr:row>
      <xdr:rowOff>179917</xdr:rowOff>
    </xdr:from>
    <xdr:to>
      <xdr:col>20</xdr:col>
      <xdr:colOff>453046</xdr:colOff>
      <xdr:row>1</xdr:row>
      <xdr:rowOff>231711</xdr:rowOff>
    </xdr:to>
    <xdr:sp macro="" textlink="">
      <xdr:nvSpPr>
        <xdr:cNvPr id="5" name="Bisel 4">
          <a:hlinkClick xmlns:r="http://schemas.openxmlformats.org/officeDocument/2006/relationships" r:id="rId2"/>
          <a:extLst>
            <a:ext uri="{FF2B5EF4-FFF2-40B4-BE49-F238E27FC236}">
              <a16:creationId xmlns:a16="http://schemas.microsoft.com/office/drawing/2014/main" id="{00000000-0008-0000-0900-000005000000}"/>
            </a:ext>
          </a:extLst>
        </xdr:cNvPr>
        <xdr:cNvSpPr/>
      </xdr:nvSpPr>
      <xdr:spPr>
        <a:xfrm>
          <a:off x="11736911" y="179917"/>
          <a:ext cx="876385" cy="242294"/>
        </a:xfrm>
        <a:prstGeom prst="bevel">
          <a:avLst/>
        </a:prstGeom>
        <a:solidFill>
          <a:schemeClr val="accent2">
            <a:lumMod val="20000"/>
            <a:lumOff val="80000"/>
          </a:schemeClr>
        </a:solidFill>
        <a:ln>
          <a:solidFill>
            <a:schemeClr val="accent2">
              <a:lumMod val="40000"/>
              <a:lumOff val="6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marL="0" indent="0" algn="ctr"/>
          <a:r>
            <a:rPr lang="es-CO" sz="8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ATRAS</a:t>
          </a:r>
        </a:p>
      </xdr:txBody>
    </xdr:sp>
    <xdr:clientData/>
  </xdr:twoCellAnchor>
  <xdr:twoCellAnchor>
    <xdr:from>
      <xdr:col>16</xdr:col>
      <xdr:colOff>158752</xdr:colOff>
      <xdr:row>11</xdr:row>
      <xdr:rowOff>63501</xdr:rowOff>
    </xdr:from>
    <xdr:to>
      <xdr:col>19</xdr:col>
      <xdr:colOff>10585</xdr:colOff>
      <xdr:row>12</xdr:row>
      <xdr:rowOff>63503</xdr:rowOff>
    </xdr:to>
    <xdr:sp macro="" textlink="">
      <xdr:nvSpPr>
        <xdr:cNvPr id="6" name="Bisel 5">
          <a:hlinkClick xmlns:r="http://schemas.openxmlformats.org/officeDocument/2006/relationships" r:id="rId3"/>
          <a:extLst>
            <a:ext uri="{FF2B5EF4-FFF2-40B4-BE49-F238E27FC236}">
              <a16:creationId xmlns:a16="http://schemas.microsoft.com/office/drawing/2014/main" id="{00000000-0008-0000-0900-000006000000}"/>
            </a:ext>
          </a:extLst>
        </xdr:cNvPr>
        <xdr:cNvSpPr/>
      </xdr:nvSpPr>
      <xdr:spPr>
        <a:xfrm>
          <a:off x="9260419" y="4624918"/>
          <a:ext cx="2148416" cy="179918"/>
        </a:xfrm>
        <a:prstGeom prst="bevel">
          <a:avLst/>
        </a:prstGeom>
        <a:solidFill>
          <a:schemeClr val="accent6">
            <a:lumMod val="40000"/>
            <a:lumOff val="60000"/>
          </a:schemeClr>
        </a:solidFill>
        <a:ln w="3175">
          <a:solidFill>
            <a:schemeClr val="accent6">
              <a:lumMod val="5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s-CO" sz="7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IR</a:t>
          </a:r>
          <a:r>
            <a:rPr lang="es-CO" sz="700"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DESCRIPCIÓN DE LA CARACTERÍSTICA</a:t>
          </a:r>
          <a:endParaRPr lang="es-CO" sz="700"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19</xdr:col>
      <xdr:colOff>341282</xdr:colOff>
      <xdr:row>1</xdr:row>
      <xdr:rowOff>346697</xdr:rowOff>
    </xdr:from>
    <xdr:to>
      <xdr:col>20</xdr:col>
      <xdr:colOff>453683</xdr:colOff>
      <xdr:row>1</xdr:row>
      <xdr:rowOff>574419</xdr:rowOff>
    </xdr:to>
    <xdr:sp macro="" textlink="">
      <xdr:nvSpPr>
        <xdr:cNvPr id="4" name="Bisel 3">
          <a:hlinkClick xmlns:r="http://schemas.openxmlformats.org/officeDocument/2006/relationships" r:id="rId1"/>
          <a:extLst>
            <a:ext uri="{FF2B5EF4-FFF2-40B4-BE49-F238E27FC236}">
              <a16:creationId xmlns:a16="http://schemas.microsoft.com/office/drawing/2014/main" id="{00000000-0008-0000-0A00-000004000000}"/>
            </a:ext>
          </a:extLst>
        </xdr:cNvPr>
        <xdr:cNvSpPr/>
      </xdr:nvSpPr>
      <xdr:spPr>
        <a:xfrm>
          <a:off x="11468723" y="537197"/>
          <a:ext cx="874401" cy="227722"/>
        </a:xfrm>
        <a:prstGeom prst="bevel">
          <a:avLst/>
        </a:prstGeom>
        <a:solidFill>
          <a:schemeClr val="accent6">
            <a:lumMod val="40000"/>
            <a:lumOff val="60000"/>
          </a:schemeClr>
        </a:solidFill>
        <a:ln>
          <a:solidFill>
            <a:schemeClr val="accent6">
              <a:lumMod val="60000"/>
              <a:lumOff val="4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s-CO" sz="8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SIGUIENTE</a:t>
          </a:r>
          <a:endParaRPr lang="es-CO" sz="600"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19</xdr:col>
      <xdr:colOff>336172</xdr:colOff>
      <xdr:row>1</xdr:row>
      <xdr:rowOff>0</xdr:rowOff>
    </xdr:from>
    <xdr:to>
      <xdr:col>20</xdr:col>
      <xdr:colOff>450557</xdr:colOff>
      <xdr:row>1</xdr:row>
      <xdr:rowOff>242294</xdr:rowOff>
    </xdr:to>
    <xdr:sp macro="" textlink="">
      <xdr:nvSpPr>
        <xdr:cNvPr id="5" name="Bisel 4">
          <a:hlinkClick xmlns:r="http://schemas.openxmlformats.org/officeDocument/2006/relationships" r:id="rId2"/>
          <a:extLst>
            <a:ext uri="{FF2B5EF4-FFF2-40B4-BE49-F238E27FC236}">
              <a16:creationId xmlns:a16="http://schemas.microsoft.com/office/drawing/2014/main" id="{00000000-0008-0000-0A00-000005000000}"/>
            </a:ext>
          </a:extLst>
        </xdr:cNvPr>
        <xdr:cNvSpPr/>
      </xdr:nvSpPr>
      <xdr:spPr>
        <a:xfrm>
          <a:off x="11463613" y="190500"/>
          <a:ext cx="876385" cy="242294"/>
        </a:xfrm>
        <a:prstGeom prst="bevel">
          <a:avLst/>
        </a:prstGeom>
        <a:solidFill>
          <a:schemeClr val="accent2">
            <a:lumMod val="20000"/>
            <a:lumOff val="80000"/>
          </a:schemeClr>
        </a:solidFill>
        <a:ln>
          <a:solidFill>
            <a:schemeClr val="accent2">
              <a:lumMod val="40000"/>
              <a:lumOff val="6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marL="0" indent="0" algn="ctr"/>
          <a:r>
            <a:rPr lang="es-CO" sz="8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ATRAS</a:t>
          </a:r>
        </a:p>
      </xdr:txBody>
    </xdr:sp>
    <xdr:clientData/>
  </xdr:twoCellAnchor>
  <xdr:twoCellAnchor>
    <xdr:from>
      <xdr:col>16</xdr:col>
      <xdr:colOff>179296</xdr:colOff>
      <xdr:row>24</xdr:row>
      <xdr:rowOff>56029</xdr:rowOff>
    </xdr:from>
    <xdr:to>
      <xdr:col>19</xdr:col>
      <xdr:colOff>19300</xdr:colOff>
      <xdr:row>25</xdr:row>
      <xdr:rowOff>56653</xdr:rowOff>
    </xdr:to>
    <xdr:sp macro="" textlink="">
      <xdr:nvSpPr>
        <xdr:cNvPr id="6" name="Bisel 5">
          <a:hlinkClick xmlns:r="http://schemas.openxmlformats.org/officeDocument/2006/relationships" r:id="rId3"/>
          <a:extLst>
            <a:ext uri="{FF2B5EF4-FFF2-40B4-BE49-F238E27FC236}">
              <a16:creationId xmlns:a16="http://schemas.microsoft.com/office/drawing/2014/main" id="{00000000-0008-0000-0A00-000006000000}"/>
            </a:ext>
          </a:extLst>
        </xdr:cNvPr>
        <xdr:cNvSpPr/>
      </xdr:nvSpPr>
      <xdr:spPr>
        <a:xfrm>
          <a:off x="8998325" y="7373470"/>
          <a:ext cx="2148416" cy="179918"/>
        </a:xfrm>
        <a:prstGeom prst="bevel">
          <a:avLst/>
        </a:prstGeom>
        <a:solidFill>
          <a:schemeClr val="accent6">
            <a:lumMod val="40000"/>
            <a:lumOff val="60000"/>
          </a:schemeClr>
        </a:solidFill>
        <a:ln w="3175">
          <a:solidFill>
            <a:schemeClr val="accent6">
              <a:lumMod val="5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s-CO" sz="7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IR</a:t>
          </a:r>
          <a:r>
            <a:rPr lang="es-CO" sz="700"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DESCRIPCIÓN DE LA CARACTERÍSTICA</a:t>
          </a:r>
          <a:endParaRPr lang="es-CO" sz="700"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19</xdr:col>
      <xdr:colOff>352489</xdr:colOff>
      <xdr:row>1</xdr:row>
      <xdr:rowOff>346699</xdr:rowOff>
    </xdr:from>
    <xdr:to>
      <xdr:col>20</xdr:col>
      <xdr:colOff>464890</xdr:colOff>
      <xdr:row>1</xdr:row>
      <xdr:rowOff>574421</xdr:rowOff>
    </xdr:to>
    <xdr:sp macro="" textlink="">
      <xdr:nvSpPr>
        <xdr:cNvPr id="4" name="Bisel 3">
          <a:hlinkClick xmlns:r="http://schemas.openxmlformats.org/officeDocument/2006/relationships" r:id="rId1"/>
          <a:extLst>
            <a:ext uri="{FF2B5EF4-FFF2-40B4-BE49-F238E27FC236}">
              <a16:creationId xmlns:a16="http://schemas.microsoft.com/office/drawing/2014/main" id="{00000000-0008-0000-0B00-000004000000}"/>
            </a:ext>
          </a:extLst>
        </xdr:cNvPr>
        <xdr:cNvSpPr/>
      </xdr:nvSpPr>
      <xdr:spPr>
        <a:xfrm>
          <a:off x="11872136" y="537199"/>
          <a:ext cx="874401" cy="227722"/>
        </a:xfrm>
        <a:prstGeom prst="bevel">
          <a:avLst/>
        </a:prstGeom>
        <a:solidFill>
          <a:schemeClr val="accent6">
            <a:lumMod val="40000"/>
            <a:lumOff val="60000"/>
          </a:schemeClr>
        </a:solidFill>
        <a:ln>
          <a:solidFill>
            <a:schemeClr val="accent6">
              <a:lumMod val="60000"/>
              <a:lumOff val="4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s-CO" sz="8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SIGUIENTE</a:t>
          </a:r>
          <a:endParaRPr lang="es-CO" sz="600"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19</xdr:col>
      <xdr:colOff>347379</xdr:colOff>
      <xdr:row>1</xdr:row>
      <xdr:rowOff>2</xdr:rowOff>
    </xdr:from>
    <xdr:to>
      <xdr:col>20</xdr:col>
      <xdr:colOff>461764</xdr:colOff>
      <xdr:row>1</xdr:row>
      <xdr:rowOff>242296</xdr:rowOff>
    </xdr:to>
    <xdr:sp macro="" textlink="">
      <xdr:nvSpPr>
        <xdr:cNvPr id="5" name="Bisel 4">
          <a:hlinkClick xmlns:r="http://schemas.openxmlformats.org/officeDocument/2006/relationships" r:id="rId2"/>
          <a:extLst>
            <a:ext uri="{FF2B5EF4-FFF2-40B4-BE49-F238E27FC236}">
              <a16:creationId xmlns:a16="http://schemas.microsoft.com/office/drawing/2014/main" id="{00000000-0008-0000-0B00-000005000000}"/>
            </a:ext>
          </a:extLst>
        </xdr:cNvPr>
        <xdr:cNvSpPr/>
      </xdr:nvSpPr>
      <xdr:spPr>
        <a:xfrm>
          <a:off x="11867026" y="190502"/>
          <a:ext cx="876385" cy="242294"/>
        </a:xfrm>
        <a:prstGeom prst="bevel">
          <a:avLst/>
        </a:prstGeom>
        <a:solidFill>
          <a:schemeClr val="accent2">
            <a:lumMod val="20000"/>
            <a:lumOff val="80000"/>
          </a:schemeClr>
        </a:solidFill>
        <a:ln>
          <a:solidFill>
            <a:schemeClr val="accent2">
              <a:lumMod val="40000"/>
              <a:lumOff val="6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marL="0" indent="0" algn="ctr"/>
          <a:r>
            <a:rPr lang="es-CO" sz="8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ATRAS</a:t>
          </a:r>
        </a:p>
      </xdr:txBody>
    </xdr:sp>
    <xdr:clientData/>
  </xdr:twoCellAnchor>
  <xdr:twoCellAnchor>
    <xdr:from>
      <xdr:col>16</xdr:col>
      <xdr:colOff>168088</xdr:colOff>
      <xdr:row>15</xdr:row>
      <xdr:rowOff>56030</xdr:rowOff>
    </xdr:from>
    <xdr:to>
      <xdr:col>19</xdr:col>
      <xdr:colOff>8092</xdr:colOff>
      <xdr:row>16</xdr:row>
      <xdr:rowOff>56654</xdr:rowOff>
    </xdr:to>
    <xdr:sp macro="" textlink="">
      <xdr:nvSpPr>
        <xdr:cNvPr id="6" name="Bisel 5">
          <a:hlinkClick xmlns:r="http://schemas.openxmlformats.org/officeDocument/2006/relationships" r:id="rId3"/>
          <a:extLst>
            <a:ext uri="{FF2B5EF4-FFF2-40B4-BE49-F238E27FC236}">
              <a16:creationId xmlns:a16="http://schemas.microsoft.com/office/drawing/2014/main" id="{00000000-0008-0000-0B00-000006000000}"/>
            </a:ext>
          </a:extLst>
        </xdr:cNvPr>
        <xdr:cNvSpPr/>
      </xdr:nvSpPr>
      <xdr:spPr>
        <a:xfrm>
          <a:off x="9379323" y="5670177"/>
          <a:ext cx="2148416" cy="179918"/>
        </a:xfrm>
        <a:prstGeom prst="bevel">
          <a:avLst/>
        </a:prstGeom>
        <a:solidFill>
          <a:schemeClr val="accent6">
            <a:lumMod val="40000"/>
            <a:lumOff val="60000"/>
          </a:schemeClr>
        </a:solidFill>
        <a:ln w="3175">
          <a:solidFill>
            <a:schemeClr val="accent6">
              <a:lumMod val="5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s-CO" sz="7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IR</a:t>
          </a:r>
          <a:r>
            <a:rPr lang="es-CO" sz="700"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DESCRIPCIÓN DE LA CARACTERÍSTICA</a:t>
          </a:r>
          <a:endParaRPr lang="es-CO" sz="700"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19</xdr:col>
      <xdr:colOff>341282</xdr:colOff>
      <xdr:row>1</xdr:row>
      <xdr:rowOff>346697</xdr:rowOff>
    </xdr:from>
    <xdr:to>
      <xdr:col>20</xdr:col>
      <xdr:colOff>453683</xdr:colOff>
      <xdr:row>1</xdr:row>
      <xdr:rowOff>574419</xdr:rowOff>
    </xdr:to>
    <xdr:sp macro="" textlink="">
      <xdr:nvSpPr>
        <xdr:cNvPr id="2" name="Bisel 1">
          <a:hlinkClick xmlns:r="http://schemas.openxmlformats.org/officeDocument/2006/relationships" r:id="rId1"/>
          <a:extLst>
            <a:ext uri="{FF2B5EF4-FFF2-40B4-BE49-F238E27FC236}">
              <a16:creationId xmlns:a16="http://schemas.microsoft.com/office/drawing/2014/main" id="{00000000-0008-0000-0C00-000002000000}"/>
            </a:ext>
          </a:extLst>
        </xdr:cNvPr>
        <xdr:cNvSpPr/>
      </xdr:nvSpPr>
      <xdr:spPr>
        <a:xfrm>
          <a:off x="11399807" y="537197"/>
          <a:ext cx="874401" cy="227722"/>
        </a:xfrm>
        <a:prstGeom prst="bevel">
          <a:avLst/>
        </a:prstGeom>
        <a:solidFill>
          <a:schemeClr val="accent6">
            <a:lumMod val="40000"/>
            <a:lumOff val="60000"/>
          </a:schemeClr>
        </a:solidFill>
        <a:ln>
          <a:solidFill>
            <a:schemeClr val="accent6">
              <a:lumMod val="60000"/>
              <a:lumOff val="4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s-CO" sz="8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SIGUIENTE</a:t>
          </a:r>
          <a:endParaRPr lang="es-CO" sz="600"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19</xdr:col>
      <xdr:colOff>336172</xdr:colOff>
      <xdr:row>1</xdr:row>
      <xdr:rowOff>0</xdr:rowOff>
    </xdr:from>
    <xdr:to>
      <xdr:col>20</xdr:col>
      <xdr:colOff>450557</xdr:colOff>
      <xdr:row>1</xdr:row>
      <xdr:rowOff>242294</xdr:rowOff>
    </xdr:to>
    <xdr:sp macro="" textlink="">
      <xdr:nvSpPr>
        <xdr:cNvPr id="3" name="Bisel 2">
          <a:hlinkClick xmlns:r="http://schemas.openxmlformats.org/officeDocument/2006/relationships" r:id="rId2"/>
          <a:extLst>
            <a:ext uri="{FF2B5EF4-FFF2-40B4-BE49-F238E27FC236}">
              <a16:creationId xmlns:a16="http://schemas.microsoft.com/office/drawing/2014/main" id="{00000000-0008-0000-0C00-000003000000}"/>
            </a:ext>
          </a:extLst>
        </xdr:cNvPr>
        <xdr:cNvSpPr/>
      </xdr:nvSpPr>
      <xdr:spPr>
        <a:xfrm>
          <a:off x="11394697" y="190500"/>
          <a:ext cx="876385" cy="242294"/>
        </a:xfrm>
        <a:prstGeom prst="bevel">
          <a:avLst/>
        </a:prstGeom>
        <a:solidFill>
          <a:schemeClr val="accent2">
            <a:lumMod val="20000"/>
            <a:lumOff val="80000"/>
          </a:schemeClr>
        </a:solidFill>
        <a:ln>
          <a:solidFill>
            <a:schemeClr val="accent2">
              <a:lumMod val="40000"/>
              <a:lumOff val="6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marL="0" indent="0" algn="ctr"/>
          <a:r>
            <a:rPr lang="es-CO" sz="8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ATRAS</a:t>
          </a:r>
        </a:p>
      </xdr:txBody>
    </xdr:sp>
    <xdr:clientData/>
  </xdr:twoCellAnchor>
  <xdr:twoCellAnchor>
    <xdr:from>
      <xdr:col>16</xdr:col>
      <xdr:colOff>156884</xdr:colOff>
      <xdr:row>15</xdr:row>
      <xdr:rowOff>56029</xdr:rowOff>
    </xdr:from>
    <xdr:to>
      <xdr:col>18</xdr:col>
      <xdr:colOff>1364005</xdr:colOff>
      <xdr:row>16</xdr:row>
      <xdr:rowOff>56653</xdr:rowOff>
    </xdr:to>
    <xdr:sp macro="" textlink="">
      <xdr:nvSpPr>
        <xdr:cNvPr id="4" name="Bisel 3">
          <a:hlinkClick xmlns:r="http://schemas.openxmlformats.org/officeDocument/2006/relationships" r:id="rId3"/>
          <a:extLst>
            <a:ext uri="{FF2B5EF4-FFF2-40B4-BE49-F238E27FC236}">
              <a16:creationId xmlns:a16="http://schemas.microsoft.com/office/drawing/2014/main" id="{00000000-0008-0000-0C00-000004000000}"/>
            </a:ext>
          </a:extLst>
        </xdr:cNvPr>
        <xdr:cNvSpPr/>
      </xdr:nvSpPr>
      <xdr:spPr>
        <a:xfrm>
          <a:off x="8919884" y="5685304"/>
          <a:ext cx="2140571" cy="181599"/>
        </a:xfrm>
        <a:prstGeom prst="bevel">
          <a:avLst/>
        </a:prstGeom>
        <a:solidFill>
          <a:schemeClr val="accent6">
            <a:lumMod val="40000"/>
            <a:lumOff val="60000"/>
          </a:schemeClr>
        </a:solidFill>
        <a:ln w="3175">
          <a:solidFill>
            <a:schemeClr val="accent6">
              <a:lumMod val="5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s-CO" sz="7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IR</a:t>
          </a:r>
          <a:r>
            <a:rPr lang="es-CO" sz="700"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DESCRIPCIÓN DE LA CARACTERÍSTICA</a:t>
          </a:r>
          <a:endParaRPr lang="es-CO" sz="700"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15</xdr:col>
      <xdr:colOff>502529</xdr:colOff>
      <xdr:row>3</xdr:row>
      <xdr:rowOff>8031</xdr:rowOff>
    </xdr:from>
    <xdr:to>
      <xdr:col>16</xdr:col>
      <xdr:colOff>614930</xdr:colOff>
      <xdr:row>3</xdr:row>
      <xdr:rowOff>235753</xdr:rowOff>
    </xdr:to>
    <xdr:sp macro="" textlink="">
      <xdr:nvSpPr>
        <xdr:cNvPr id="4" name="Bisel 3">
          <a:hlinkClick xmlns:r="http://schemas.openxmlformats.org/officeDocument/2006/relationships" r:id="rId1"/>
          <a:extLst>
            <a:ext uri="{FF2B5EF4-FFF2-40B4-BE49-F238E27FC236}">
              <a16:creationId xmlns:a16="http://schemas.microsoft.com/office/drawing/2014/main" id="{00000000-0008-0000-0D00-000004000000}"/>
            </a:ext>
          </a:extLst>
        </xdr:cNvPr>
        <xdr:cNvSpPr/>
      </xdr:nvSpPr>
      <xdr:spPr>
        <a:xfrm>
          <a:off x="13213112" y="240864"/>
          <a:ext cx="874401" cy="227722"/>
        </a:xfrm>
        <a:prstGeom prst="bevel">
          <a:avLst/>
        </a:prstGeom>
        <a:solidFill>
          <a:schemeClr val="accent6">
            <a:lumMod val="40000"/>
            <a:lumOff val="60000"/>
          </a:schemeClr>
        </a:solidFill>
        <a:ln>
          <a:solidFill>
            <a:schemeClr val="accent6">
              <a:lumMod val="60000"/>
              <a:lumOff val="4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s-CO" sz="8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INICIO</a:t>
          </a:r>
          <a:endParaRPr lang="es-CO" sz="600"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14</xdr:col>
      <xdr:colOff>317502</xdr:colOff>
      <xdr:row>2</xdr:row>
      <xdr:rowOff>42333</xdr:rowOff>
    </xdr:from>
    <xdr:to>
      <xdr:col>15</xdr:col>
      <xdr:colOff>431887</xdr:colOff>
      <xdr:row>3</xdr:row>
      <xdr:rowOff>231711</xdr:rowOff>
    </xdr:to>
    <xdr:sp macro="" textlink="">
      <xdr:nvSpPr>
        <xdr:cNvPr id="5" name="Bisel 4">
          <a:hlinkClick xmlns:r="http://schemas.openxmlformats.org/officeDocument/2006/relationships" r:id="rId2"/>
          <a:extLst>
            <a:ext uri="{FF2B5EF4-FFF2-40B4-BE49-F238E27FC236}">
              <a16:creationId xmlns:a16="http://schemas.microsoft.com/office/drawing/2014/main" id="{00000000-0008-0000-0D00-000005000000}"/>
            </a:ext>
          </a:extLst>
        </xdr:cNvPr>
        <xdr:cNvSpPr/>
      </xdr:nvSpPr>
      <xdr:spPr>
        <a:xfrm>
          <a:off x="12266085" y="222250"/>
          <a:ext cx="876385" cy="242294"/>
        </a:xfrm>
        <a:prstGeom prst="bevel">
          <a:avLst/>
        </a:prstGeom>
        <a:solidFill>
          <a:schemeClr val="accent2">
            <a:lumMod val="20000"/>
            <a:lumOff val="80000"/>
          </a:schemeClr>
        </a:solidFill>
        <a:ln>
          <a:solidFill>
            <a:schemeClr val="accent2">
              <a:lumMod val="40000"/>
              <a:lumOff val="6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marL="0" indent="0" algn="ctr"/>
          <a:r>
            <a:rPr lang="es-CO" sz="8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ATRAS</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5</xdr:col>
      <xdr:colOff>320674</xdr:colOff>
      <xdr:row>0</xdr:row>
      <xdr:rowOff>104774</xdr:rowOff>
    </xdr:from>
    <xdr:to>
      <xdr:col>10</xdr:col>
      <xdr:colOff>74083</xdr:colOff>
      <xdr:row>2</xdr:row>
      <xdr:rowOff>19050</xdr:rowOff>
    </xdr:to>
    <xdr:sp macro="" textlink="">
      <xdr:nvSpPr>
        <xdr:cNvPr id="2" name="CuadroTexto 1">
          <a:extLst>
            <a:ext uri="{FF2B5EF4-FFF2-40B4-BE49-F238E27FC236}">
              <a16:creationId xmlns:a16="http://schemas.microsoft.com/office/drawing/2014/main" id="{00000000-0008-0000-0E00-000002000000}"/>
            </a:ext>
          </a:extLst>
        </xdr:cNvPr>
        <xdr:cNvSpPr txBox="1"/>
      </xdr:nvSpPr>
      <xdr:spPr>
        <a:xfrm>
          <a:off x="3696757" y="104774"/>
          <a:ext cx="1552576" cy="506943"/>
        </a:xfrm>
        <a:prstGeom prst="roundRect">
          <a:avLst/>
        </a:prstGeom>
        <a:solidFill>
          <a:schemeClr val="accent1">
            <a:lumMod val="40000"/>
            <a:lumOff val="60000"/>
          </a:schemeClr>
        </a:solidFill>
        <a:ln/>
        <a:effectLst>
          <a:glow rad="139700">
            <a:schemeClr val="accent1">
              <a:satMod val="175000"/>
              <a:alpha val="40000"/>
            </a:schemeClr>
          </a:glow>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lstStyle/>
        <a:p>
          <a:pPr algn="ctr"/>
          <a:r>
            <a:rPr lang="es-CO" sz="1050" b="1">
              <a:solidFill>
                <a:srgbClr val="002060"/>
              </a:solidFill>
              <a:latin typeface="Tahoma" panose="020B0604030504040204" pitchFamily="34" charset="0"/>
              <a:ea typeface="Tahoma" panose="020B0604030504040204" pitchFamily="34" charset="0"/>
              <a:cs typeface="Tahoma" panose="020B0604030504040204" pitchFamily="34" charset="0"/>
            </a:rPr>
            <a:t>Digite el número de la característica </a:t>
          </a:r>
        </a:p>
      </xdr:txBody>
    </xdr:sp>
    <xdr:clientData/>
  </xdr:twoCellAnchor>
  <xdr:twoCellAnchor>
    <xdr:from>
      <xdr:col>4</xdr:col>
      <xdr:colOff>116416</xdr:colOff>
      <xdr:row>1</xdr:row>
      <xdr:rowOff>0</xdr:rowOff>
    </xdr:from>
    <xdr:to>
      <xdr:col>5</xdr:col>
      <xdr:colOff>116416</xdr:colOff>
      <xdr:row>1</xdr:row>
      <xdr:rowOff>296333</xdr:rowOff>
    </xdr:to>
    <xdr:sp macro="" textlink="">
      <xdr:nvSpPr>
        <xdr:cNvPr id="3" name="Flecha izquierda 2">
          <a:extLst>
            <a:ext uri="{FF2B5EF4-FFF2-40B4-BE49-F238E27FC236}">
              <a16:creationId xmlns:a16="http://schemas.microsoft.com/office/drawing/2014/main" id="{00000000-0008-0000-0E00-000003000000}"/>
            </a:ext>
          </a:extLst>
        </xdr:cNvPr>
        <xdr:cNvSpPr/>
      </xdr:nvSpPr>
      <xdr:spPr>
        <a:xfrm>
          <a:off x="3132666" y="243417"/>
          <a:ext cx="359833" cy="296333"/>
        </a:xfrm>
        <a:prstGeom prst="leftArrow">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12</xdr:col>
      <xdr:colOff>322609</xdr:colOff>
      <xdr:row>1</xdr:row>
      <xdr:rowOff>272615</xdr:rowOff>
    </xdr:from>
    <xdr:to>
      <xdr:col>13</xdr:col>
      <xdr:colOff>435010</xdr:colOff>
      <xdr:row>2</xdr:row>
      <xdr:rowOff>151087</xdr:rowOff>
    </xdr:to>
    <xdr:sp macro="" textlink="">
      <xdr:nvSpPr>
        <xdr:cNvPr id="6" name="Bisel 5">
          <a:hlinkClick xmlns:r="http://schemas.openxmlformats.org/officeDocument/2006/relationships" r:id="rId1"/>
          <a:extLst>
            <a:ext uri="{FF2B5EF4-FFF2-40B4-BE49-F238E27FC236}">
              <a16:creationId xmlns:a16="http://schemas.microsoft.com/office/drawing/2014/main" id="{00000000-0008-0000-0E00-000006000000}"/>
            </a:ext>
          </a:extLst>
        </xdr:cNvPr>
        <xdr:cNvSpPr/>
      </xdr:nvSpPr>
      <xdr:spPr>
        <a:xfrm>
          <a:off x="8873942" y="516032"/>
          <a:ext cx="874401" cy="227722"/>
        </a:xfrm>
        <a:prstGeom prst="bevel">
          <a:avLst/>
        </a:prstGeom>
        <a:solidFill>
          <a:schemeClr val="accent6">
            <a:lumMod val="40000"/>
            <a:lumOff val="60000"/>
          </a:schemeClr>
        </a:solidFill>
        <a:ln>
          <a:solidFill>
            <a:schemeClr val="accent6">
              <a:lumMod val="60000"/>
              <a:lumOff val="4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s-CO" sz="8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SIGUIENTE</a:t>
          </a:r>
          <a:endParaRPr lang="es-CO" sz="600"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12</xdr:col>
      <xdr:colOff>317499</xdr:colOff>
      <xdr:row>0</xdr:row>
      <xdr:rowOff>169335</xdr:rowOff>
    </xdr:from>
    <xdr:to>
      <xdr:col>13</xdr:col>
      <xdr:colOff>431884</xdr:colOff>
      <xdr:row>1</xdr:row>
      <xdr:rowOff>168212</xdr:rowOff>
    </xdr:to>
    <xdr:sp macro="" textlink="">
      <xdr:nvSpPr>
        <xdr:cNvPr id="7" name="Bisel 6">
          <a:hlinkClick xmlns:r="http://schemas.openxmlformats.org/officeDocument/2006/relationships" r:id="rId1"/>
          <a:extLst>
            <a:ext uri="{FF2B5EF4-FFF2-40B4-BE49-F238E27FC236}">
              <a16:creationId xmlns:a16="http://schemas.microsoft.com/office/drawing/2014/main" id="{00000000-0008-0000-0E00-000007000000}"/>
            </a:ext>
          </a:extLst>
        </xdr:cNvPr>
        <xdr:cNvSpPr/>
      </xdr:nvSpPr>
      <xdr:spPr>
        <a:xfrm>
          <a:off x="8868832" y="169335"/>
          <a:ext cx="876385" cy="242294"/>
        </a:xfrm>
        <a:prstGeom prst="bevel">
          <a:avLst/>
        </a:prstGeom>
        <a:solidFill>
          <a:schemeClr val="accent2">
            <a:lumMod val="20000"/>
            <a:lumOff val="80000"/>
          </a:schemeClr>
        </a:solidFill>
        <a:ln>
          <a:solidFill>
            <a:schemeClr val="accent2">
              <a:lumMod val="40000"/>
              <a:lumOff val="6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marL="0" indent="0" algn="ctr"/>
          <a:r>
            <a:rPr lang="es-CO" sz="8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ATRAS</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C1\disco%20d\Users\asis.aseguramiento\Dropbox\Presupuestos\Presupuestos%202019\Programas%20Acad&#233;micos\Programas%20Acad&#233;micos%20de%20Posgrados\FUG_2019%20Posgrado%20Psicologia%20Social%20Comunitari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2021\AUTOEVALUACI&#211;N%202021\PONDERACI&#211;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vencionales"/>
      <sheetName val="BaseSalarial"/>
      <sheetName val="INICIO"/>
      <sheetName val="ADM"/>
      <sheetName val="D-TC"/>
      <sheetName val="D-MT"/>
      <sheetName val="D-TP"/>
      <sheetName val="INV"/>
      <sheetName val="PRS"/>
      <sheetName val="INT"/>
      <sheetName val="AEA"/>
      <sheetName val="M&amp;E"/>
      <sheetName val="PRESUPUEST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F1"/>
      <sheetName val="F2"/>
      <sheetName val="F3"/>
      <sheetName val="F4"/>
      <sheetName val="F5"/>
      <sheetName val="F6"/>
      <sheetName val="F7"/>
      <sheetName val="F8"/>
      <sheetName val="F9"/>
      <sheetName val="F10"/>
      <sheetName val="Res."/>
      <sheetName val="D.Car."/>
      <sheetName val="Hoja1"/>
      <sheetName val="Hoja2"/>
    </sheetNames>
    <sheetDataSet>
      <sheetData sheetId="0"/>
      <sheetData sheetId="1"/>
      <sheetData sheetId="2"/>
      <sheetData sheetId="3"/>
      <sheetData sheetId="4"/>
      <sheetData sheetId="5"/>
      <sheetData sheetId="6"/>
      <sheetData sheetId="7"/>
      <sheetData sheetId="8"/>
      <sheetData sheetId="9"/>
      <sheetData sheetId="10"/>
      <sheetData sheetId="11">
        <row r="23">
          <cell r="D23">
            <v>0.10810810810810811</v>
          </cell>
        </row>
      </sheetData>
      <sheetData sheetId="12"/>
      <sheetData sheetId="13"/>
      <sheetData sheetId="14"/>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3:L30"/>
  <sheetViews>
    <sheetView showGridLines="0" tabSelected="1" zoomScale="80" zoomScaleNormal="80" workbookViewId="0">
      <selection activeCell="Q12" sqref="Q12"/>
    </sheetView>
  </sheetViews>
  <sheetFormatPr baseColWidth="10" defaultColWidth="11.42578125" defaultRowHeight="14.25"/>
  <cols>
    <col min="1" max="1" width="3.42578125" style="25" customWidth="1"/>
    <col min="2" max="2" width="20.140625" style="25" customWidth="1"/>
    <col min="3" max="3" width="5.42578125" style="25" customWidth="1"/>
    <col min="4" max="4" width="9.85546875" style="25" customWidth="1"/>
    <col min="5" max="5" width="13.5703125" style="25" customWidth="1"/>
    <col min="6" max="6" width="9.140625" style="25" customWidth="1"/>
    <col min="7" max="7" width="11.42578125" style="25" customWidth="1"/>
    <col min="8" max="10" width="11.42578125" style="25"/>
    <col min="11" max="11" width="2" style="25" customWidth="1"/>
    <col min="12" max="12" width="16.28515625" style="25" customWidth="1"/>
    <col min="13" max="16384" width="11.42578125" style="25"/>
  </cols>
  <sheetData>
    <row r="3" spans="2:12" ht="15" customHeight="1">
      <c r="C3" s="26"/>
      <c r="D3" s="26"/>
      <c r="E3" s="26"/>
      <c r="F3" s="26"/>
      <c r="G3" s="26"/>
      <c r="H3" s="26"/>
      <c r="I3" s="26"/>
      <c r="J3" s="26"/>
    </row>
    <row r="4" spans="2:12" ht="15" customHeight="1">
      <c r="C4" s="26"/>
      <c r="D4" s="26"/>
      <c r="E4" s="26"/>
      <c r="F4" s="26"/>
      <c r="G4" s="26"/>
      <c r="H4" s="26"/>
      <c r="I4" s="26"/>
      <c r="J4" s="26"/>
    </row>
    <row r="5" spans="2:12" ht="15" customHeight="1">
      <c r="C5" s="26"/>
      <c r="D5" s="26"/>
      <c r="E5" s="26"/>
      <c r="F5" s="26"/>
      <c r="G5" s="26"/>
      <c r="H5" s="26"/>
      <c r="I5" s="26"/>
      <c r="J5" s="26"/>
    </row>
    <row r="6" spans="2:12" ht="15" customHeight="1">
      <c r="C6" s="26"/>
      <c r="D6" s="26"/>
      <c r="E6" s="26"/>
      <c r="F6" s="26"/>
      <c r="G6" s="26"/>
      <c r="H6" s="26"/>
      <c r="I6" s="26"/>
      <c r="J6" s="26"/>
    </row>
    <row r="7" spans="2:12" ht="15" customHeight="1">
      <c r="C7" s="26"/>
      <c r="D7" s="26"/>
      <c r="E7" s="26"/>
      <c r="F7" s="26"/>
      <c r="G7" s="26"/>
      <c r="H7" s="26"/>
      <c r="I7" s="26"/>
      <c r="J7" s="26"/>
    </row>
    <row r="8" spans="2:12" ht="15" customHeight="1">
      <c r="C8" s="26"/>
      <c r="D8" s="26"/>
      <c r="E8" s="26"/>
      <c r="F8" s="26"/>
      <c r="G8" s="26"/>
      <c r="H8" s="26"/>
      <c r="I8" s="26"/>
      <c r="J8" s="26"/>
    </row>
    <row r="9" spans="2:12" ht="15" customHeight="1">
      <c r="C9" s="26"/>
      <c r="D9" s="26"/>
      <c r="E9" s="26"/>
      <c r="F9" s="26"/>
      <c r="G9" s="26"/>
      <c r="H9" s="26"/>
      <c r="I9" s="26"/>
      <c r="J9" s="26"/>
    </row>
    <row r="10" spans="2:12" ht="15" customHeight="1">
      <c r="C10" s="28"/>
      <c r="D10" s="163"/>
      <c r="E10" s="163"/>
      <c r="F10" s="163"/>
      <c r="G10" s="163"/>
      <c r="H10" s="163"/>
      <c r="I10" s="163"/>
      <c r="J10" s="163"/>
      <c r="K10" s="28"/>
    </row>
    <row r="11" spans="2:12">
      <c r="L11" s="32" t="s">
        <v>0</v>
      </c>
    </row>
    <row r="12" spans="2:12" ht="22.5" customHeight="1">
      <c r="B12" s="29" t="s">
        <v>1</v>
      </c>
      <c r="C12" s="28"/>
      <c r="D12" s="160"/>
      <c r="E12" s="161"/>
      <c r="F12" s="161"/>
      <c r="G12" s="161"/>
      <c r="H12" s="161"/>
      <c r="I12" s="161"/>
      <c r="J12" s="162"/>
    </row>
    <row r="13" spans="2:12" ht="24.75" customHeight="1">
      <c r="C13" s="164"/>
      <c r="D13" s="164"/>
      <c r="E13" s="164"/>
      <c r="F13" s="164"/>
      <c r="G13" s="164"/>
    </row>
    <row r="14" spans="2:12" ht="22.5" customHeight="1">
      <c r="B14" s="27"/>
      <c r="C14" s="27"/>
      <c r="D14" s="165" t="s">
        <v>2</v>
      </c>
      <c r="E14" s="166"/>
      <c r="F14" s="166"/>
      <c r="G14" s="167"/>
      <c r="H14" s="165" t="s">
        <v>3</v>
      </c>
      <c r="I14" s="166"/>
      <c r="J14" s="167"/>
    </row>
    <row r="15" spans="2:12" ht="22.5" customHeight="1">
      <c r="B15" s="29" t="s">
        <v>4</v>
      </c>
      <c r="C15" s="101" t="s">
        <v>5</v>
      </c>
      <c r="D15" s="157"/>
      <c r="E15" s="158"/>
      <c r="F15" s="158"/>
      <c r="G15" s="159"/>
      <c r="H15" s="160"/>
      <c r="I15" s="161"/>
      <c r="J15" s="162"/>
    </row>
    <row r="16" spans="2:12" ht="22.5" customHeight="1">
      <c r="B16" s="27"/>
      <c r="C16" s="101" t="s">
        <v>6</v>
      </c>
      <c r="D16" s="157"/>
      <c r="E16" s="158"/>
      <c r="F16" s="158"/>
      <c r="G16" s="159"/>
      <c r="H16" s="160"/>
      <c r="I16" s="161"/>
      <c r="J16" s="162"/>
    </row>
    <row r="17" spans="2:10" ht="22.5" customHeight="1">
      <c r="B17" s="27"/>
      <c r="C17" s="101" t="s">
        <v>7</v>
      </c>
      <c r="D17" s="157"/>
      <c r="E17" s="158"/>
      <c r="F17" s="158"/>
      <c r="G17" s="159"/>
      <c r="H17" s="160"/>
      <c r="I17" s="161"/>
      <c r="J17" s="162"/>
    </row>
    <row r="18" spans="2:10" ht="22.5" customHeight="1">
      <c r="C18" s="101" t="s">
        <v>8</v>
      </c>
      <c r="D18" s="157"/>
      <c r="E18" s="158"/>
      <c r="F18" s="158"/>
      <c r="G18" s="159"/>
      <c r="H18" s="160"/>
      <c r="I18" s="161"/>
      <c r="J18" s="162"/>
    </row>
    <row r="19" spans="2:10" ht="22.5" customHeight="1">
      <c r="B19" s="27"/>
      <c r="C19" s="101" t="s">
        <v>9</v>
      </c>
      <c r="D19" s="157"/>
      <c r="E19" s="158"/>
      <c r="F19" s="158"/>
      <c r="G19" s="159"/>
      <c r="H19" s="160"/>
      <c r="I19" s="161"/>
      <c r="J19" s="162"/>
    </row>
    <row r="20" spans="2:10" ht="22.5" customHeight="1">
      <c r="B20" s="27"/>
      <c r="C20" s="101" t="s">
        <v>10</v>
      </c>
      <c r="D20" s="157"/>
      <c r="E20" s="158"/>
      <c r="F20" s="158"/>
      <c r="G20" s="159"/>
      <c r="H20" s="160"/>
      <c r="I20" s="161"/>
      <c r="J20" s="162"/>
    </row>
    <row r="21" spans="2:10" ht="22.5" customHeight="1">
      <c r="B21" s="27"/>
      <c r="C21" s="101" t="s">
        <v>11</v>
      </c>
      <c r="D21" s="157"/>
      <c r="E21" s="158"/>
      <c r="F21" s="158"/>
      <c r="G21" s="159"/>
      <c r="H21" s="160"/>
      <c r="I21" s="161"/>
      <c r="J21" s="162"/>
    </row>
    <row r="22" spans="2:10" ht="22.5" customHeight="1">
      <c r="B22" s="27"/>
      <c r="C22" s="101" t="s">
        <v>12</v>
      </c>
      <c r="D22" s="157"/>
      <c r="E22" s="158"/>
      <c r="F22" s="158"/>
      <c r="G22" s="159"/>
      <c r="H22" s="160"/>
      <c r="I22" s="161"/>
      <c r="J22" s="162"/>
    </row>
    <row r="23" spans="2:10" ht="22.5" customHeight="1">
      <c r="B23" s="27"/>
      <c r="C23" s="101" t="s">
        <v>13</v>
      </c>
      <c r="D23" s="157"/>
      <c r="E23" s="158"/>
      <c r="F23" s="158"/>
      <c r="G23" s="159"/>
      <c r="H23" s="160"/>
      <c r="I23" s="161"/>
      <c r="J23" s="162"/>
    </row>
    <row r="24" spans="2:10" ht="22.5" customHeight="1">
      <c r="B24" s="27"/>
      <c r="C24" s="101" t="s">
        <v>14</v>
      </c>
      <c r="D24" s="157"/>
      <c r="E24" s="158"/>
      <c r="F24" s="158"/>
      <c r="G24" s="159"/>
      <c r="H24" s="160"/>
      <c r="I24" s="161"/>
      <c r="J24" s="162"/>
    </row>
    <row r="25" spans="2:10" ht="22.5" customHeight="1">
      <c r="B25" s="27"/>
      <c r="C25" s="101" t="s">
        <v>15</v>
      </c>
      <c r="D25" s="157"/>
      <c r="E25" s="158"/>
      <c r="F25" s="158"/>
      <c r="G25" s="159"/>
      <c r="H25" s="160"/>
      <c r="I25" s="161"/>
      <c r="J25" s="162"/>
    </row>
    <row r="26" spans="2:10" ht="22.5" customHeight="1">
      <c r="B26" s="27"/>
      <c r="C26" s="101" t="s">
        <v>16</v>
      </c>
      <c r="D26" s="157"/>
      <c r="E26" s="158"/>
      <c r="F26" s="158"/>
      <c r="G26" s="159"/>
      <c r="H26" s="160"/>
      <c r="I26" s="161"/>
      <c r="J26" s="162"/>
    </row>
    <row r="27" spans="2:10" ht="22.5" customHeight="1">
      <c r="B27" s="28"/>
      <c r="C27" s="28"/>
    </row>
    <row r="28" spans="2:10" ht="21" customHeight="1" thickBot="1">
      <c r="B28" s="30" t="s">
        <v>17</v>
      </c>
      <c r="C28" s="28"/>
      <c r="D28" s="33" t="s">
        <v>18</v>
      </c>
      <c r="E28" s="34" t="s">
        <v>19</v>
      </c>
      <c r="F28" s="34" t="s">
        <v>20</v>
      </c>
      <c r="H28" s="29" t="s">
        <v>21</v>
      </c>
      <c r="I28" s="35" t="s">
        <v>22</v>
      </c>
    </row>
    <row r="29" spans="2:10" ht="15" thickTop="1">
      <c r="B29" s="28"/>
      <c r="C29" s="28"/>
    </row>
    <row r="30" spans="2:10">
      <c r="B30" s="28"/>
      <c r="C30" s="28"/>
    </row>
  </sheetData>
  <mergeCells count="29">
    <mergeCell ref="H25:J25"/>
    <mergeCell ref="D26:G26"/>
    <mergeCell ref="H26:J26"/>
    <mergeCell ref="H22:J22"/>
    <mergeCell ref="D22:G22"/>
    <mergeCell ref="D23:G23"/>
    <mergeCell ref="D24:G24"/>
    <mergeCell ref="H24:J24"/>
    <mergeCell ref="D15:G15"/>
    <mergeCell ref="D16:G16"/>
    <mergeCell ref="D17:G17"/>
    <mergeCell ref="D18:G18"/>
    <mergeCell ref="D25:G25"/>
    <mergeCell ref="D19:G19"/>
    <mergeCell ref="D20:G20"/>
    <mergeCell ref="D21:G21"/>
    <mergeCell ref="H23:J23"/>
    <mergeCell ref="D10:J10"/>
    <mergeCell ref="H18:J18"/>
    <mergeCell ref="H19:J19"/>
    <mergeCell ref="H20:J20"/>
    <mergeCell ref="H21:J21"/>
    <mergeCell ref="D12:J12"/>
    <mergeCell ref="C13:G13"/>
    <mergeCell ref="H15:J15"/>
    <mergeCell ref="H16:J16"/>
    <mergeCell ref="H17:J17"/>
    <mergeCell ref="D14:G14"/>
    <mergeCell ref="H14:J14"/>
  </mergeCells>
  <conditionalFormatting sqref="D28">
    <cfRule type="containsText" dxfId="81" priority="5" operator="containsText" text="DD">
      <formula>NOT(ISERROR(SEARCH("DD",D28)))</formula>
    </cfRule>
  </conditionalFormatting>
  <conditionalFormatting sqref="E28">
    <cfRule type="containsText" dxfId="80" priority="3" operator="containsText" text="MM">
      <formula>NOT(ISERROR(SEARCH("MM",E28)))</formula>
    </cfRule>
  </conditionalFormatting>
  <conditionalFormatting sqref="F28">
    <cfRule type="containsText" dxfId="79" priority="4" operator="containsText" text="AAAA">
      <formula>NOT(ISERROR(SEARCH("AAAA",F28)))</formula>
    </cfRule>
  </conditionalFormatting>
  <conditionalFormatting sqref="I28">
    <cfRule type="containsText" dxfId="78" priority="1" operator="containsText" text="AAAA">
      <formula>NOT(ISERROR(SEARCH("AAAA",I28)))</formula>
    </cfRule>
  </conditionalFormatting>
  <pageMargins left="0.70866141732283472" right="0.70866141732283472" top="0.74803149606299213" bottom="0.74803149606299213" header="0.31496062992125984" footer="0.31496062992125984"/>
  <pageSetup scale="82" orientation="landscape" horizontalDpi="360" verticalDpi="360" r:id="rId1"/>
  <headerFooter>
    <oddFooter>&amp;R&amp;P de &amp;N</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14:formula1>
            <xm:f>Hoja1!$I$1:$I$13</xm:f>
          </x14:formula1>
          <xm:sqref>F28</xm:sqref>
        </x14:dataValidation>
        <x14:dataValidation type="list" allowBlank="1" showInputMessage="1" showErrorMessage="1">
          <x14:formula1>
            <xm:f>Hoja1!$H$1:$H$13</xm:f>
          </x14:formula1>
          <xm:sqref>E28</xm:sqref>
        </x14:dataValidation>
        <x14:dataValidation type="list" allowBlank="1" showInputMessage="1" showErrorMessage="1">
          <x14:formula1>
            <xm:f>Hoja1!$G$1:$G$32</xm:f>
          </x14:formula1>
          <xm:sqref>D28</xm:sqref>
        </x14:dataValidation>
        <x14:dataValidation type="list" allowBlank="1" showInputMessage="1" showErrorMessage="1">
          <x14:formula1>
            <xm:f>Hoja1!$J$1:$J$3</xm:f>
          </x14:formula1>
          <xm:sqref>I28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16"/>
  <sheetViews>
    <sheetView showGridLines="0" zoomScale="90" zoomScaleNormal="90" workbookViewId="0">
      <selection activeCell="D14" sqref="D14:S14"/>
    </sheetView>
  </sheetViews>
  <sheetFormatPr baseColWidth="10" defaultColWidth="11.42578125" defaultRowHeight="14.25"/>
  <cols>
    <col min="1" max="1" width="39" style="1" customWidth="1"/>
    <col min="2" max="3" width="7.7109375" style="15" customWidth="1"/>
    <col min="4" max="13" width="6.140625" style="4" customWidth="1"/>
    <col min="14" max="14" width="3" style="1" customWidth="1"/>
    <col min="15" max="15" width="8.42578125" style="1" customWidth="1"/>
    <col min="16" max="17" width="6" style="1" customWidth="1"/>
    <col min="18" max="18" width="8" style="1" customWidth="1"/>
    <col min="19" max="19" width="20.42578125" style="1" customWidth="1"/>
    <col min="20" max="16384" width="11.42578125" style="1"/>
  </cols>
  <sheetData>
    <row r="1" spans="1:19" ht="15" customHeight="1">
      <c r="A1" s="13" t="s">
        <v>23</v>
      </c>
      <c r="B1" s="14" t="s">
        <v>24</v>
      </c>
      <c r="C1" s="176" t="s">
        <v>25</v>
      </c>
      <c r="D1" s="177"/>
      <c r="E1" s="177"/>
      <c r="F1" s="177"/>
      <c r="G1" s="177"/>
      <c r="H1" s="177"/>
      <c r="I1" s="177"/>
      <c r="J1" s="177"/>
      <c r="K1" s="177"/>
      <c r="L1" s="177"/>
      <c r="M1" s="177"/>
      <c r="N1" s="177"/>
      <c r="O1" s="177"/>
      <c r="P1" s="177"/>
      <c r="Q1" s="177"/>
      <c r="R1" s="177"/>
      <c r="S1" s="178"/>
    </row>
    <row r="2" spans="1:19" ht="68.25" customHeight="1">
      <c r="A2" s="6" t="s">
        <v>26</v>
      </c>
      <c r="B2" s="133"/>
      <c r="C2" s="191"/>
      <c r="D2" s="192"/>
      <c r="E2" s="192"/>
      <c r="F2" s="192"/>
      <c r="G2" s="192"/>
      <c r="H2" s="192"/>
      <c r="I2" s="192"/>
      <c r="J2" s="192"/>
      <c r="K2" s="192"/>
      <c r="L2" s="192"/>
      <c r="M2" s="192"/>
      <c r="N2" s="192"/>
      <c r="O2" s="192"/>
      <c r="P2" s="192"/>
      <c r="Q2" s="192"/>
      <c r="R2" s="192"/>
      <c r="S2" s="193"/>
    </row>
    <row r="5" spans="1:19" ht="18.75" customHeight="1">
      <c r="D5" s="188" t="s">
        <v>27</v>
      </c>
      <c r="E5" s="189"/>
      <c r="F5" s="189"/>
      <c r="G5" s="189"/>
      <c r="H5" s="189"/>
      <c r="I5" s="189"/>
      <c r="J5" s="189"/>
      <c r="K5" s="189"/>
      <c r="L5" s="189"/>
      <c r="M5" s="190"/>
      <c r="O5" s="173" t="s">
        <v>28</v>
      </c>
      <c r="P5" s="174"/>
      <c r="Q5" s="174"/>
      <c r="R5" s="174"/>
      <c r="S5" s="175"/>
    </row>
    <row r="6" spans="1:19" ht="15" customHeight="1">
      <c r="A6" s="179" t="s">
        <v>29</v>
      </c>
      <c r="B6" s="180"/>
      <c r="C6" s="181"/>
      <c r="D6" s="7" t="s">
        <v>5</v>
      </c>
      <c r="E6" s="7" t="s">
        <v>6</v>
      </c>
      <c r="F6" s="7" t="s">
        <v>7</v>
      </c>
      <c r="G6" s="7" t="s">
        <v>8</v>
      </c>
      <c r="H6" s="7" t="s">
        <v>9</v>
      </c>
      <c r="I6" s="7" t="s">
        <v>10</v>
      </c>
      <c r="J6" s="7" t="s">
        <v>11</v>
      </c>
      <c r="K6" s="7" t="s">
        <v>12</v>
      </c>
      <c r="L6" s="7" t="s">
        <v>13</v>
      </c>
      <c r="M6" s="7" t="s">
        <v>14</v>
      </c>
      <c r="O6" s="9" t="s">
        <v>24</v>
      </c>
      <c r="P6" s="9" t="s">
        <v>30</v>
      </c>
      <c r="Q6" s="9" t="s">
        <v>31</v>
      </c>
      <c r="R6" s="9" t="s">
        <v>32</v>
      </c>
      <c r="S6" s="9" t="s">
        <v>33</v>
      </c>
    </row>
    <row r="7" spans="1:19" s="2" customFormat="1" ht="18" customHeight="1">
      <c r="A7" s="182" t="s">
        <v>34</v>
      </c>
      <c r="B7" s="183"/>
      <c r="C7" s="184"/>
      <c r="D7" s="36"/>
      <c r="E7" s="36"/>
      <c r="F7" s="36"/>
      <c r="G7" s="36"/>
      <c r="H7" s="36"/>
      <c r="I7" s="36"/>
      <c r="J7" s="36"/>
      <c r="K7" s="36"/>
      <c r="L7" s="36"/>
      <c r="M7" s="36"/>
      <c r="O7" s="99">
        <f>C13</f>
        <v>0</v>
      </c>
      <c r="P7" s="37"/>
      <c r="Q7" s="100">
        <f>O7*P7</f>
        <v>0</v>
      </c>
      <c r="R7" s="194">
        <f>SUM(Q7:Q9)</f>
        <v>0</v>
      </c>
      <c r="S7" s="195" t="str">
        <f>IF(R7&gt;=4.1,"Cumple Plenamente",IF(R7&gt;=3.1,"cumple Satisfactoriamente",IF(R7&gt;=2.1,"Cumple Aceptablemente",IF(R7=0," ","No Cumple "))))</f>
        <v xml:space="preserve"> </v>
      </c>
    </row>
    <row r="8" spans="1:19" s="2" customFormat="1" ht="27.75" customHeight="1">
      <c r="A8" s="185" t="s">
        <v>35</v>
      </c>
      <c r="B8" s="186"/>
      <c r="C8" s="187"/>
      <c r="D8" s="36"/>
      <c r="E8" s="36"/>
      <c r="F8" s="36"/>
      <c r="G8" s="36"/>
      <c r="H8" s="36"/>
      <c r="I8" s="36"/>
      <c r="J8" s="36"/>
      <c r="K8" s="36"/>
      <c r="L8" s="36"/>
      <c r="M8" s="36"/>
      <c r="O8" s="99">
        <f>C14</f>
        <v>0</v>
      </c>
      <c r="P8" s="37"/>
      <c r="Q8" s="100">
        <f t="shared" ref="Q8" si="0">O8*P8</f>
        <v>0</v>
      </c>
      <c r="R8" s="194"/>
      <c r="S8" s="195"/>
    </row>
    <row r="9" spans="1:19" s="2" customFormat="1" ht="27.75" customHeight="1">
      <c r="A9" s="185" t="s">
        <v>36</v>
      </c>
      <c r="B9" s="186"/>
      <c r="C9" s="187"/>
      <c r="D9" s="36"/>
      <c r="E9" s="36"/>
      <c r="F9" s="36"/>
      <c r="G9" s="36"/>
      <c r="H9" s="36"/>
      <c r="I9" s="36"/>
      <c r="J9" s="36"/>
      <c r="K9" s="36"/>
      <c r="L9" s="36"/>
      <c r="M9" s="36"/>
      <c r="O9" s="99">
        <f>C15</f>
        <v>0</v>
      </c>
      <c r="P9" s="37"/>
      <c r="Q9" s="100">
        <f t="shared" ref="Q9" si="1">O9*P9</f>
        <v>0</v>
      </c>
      <c r="R9" s="194"/>
      <c r="S9" s="195"/>
    </row>
    <row r="12" spans="1:19" ht="15" customHeight="1">
      <c r="A12" s="3" t="s">
        <v>29</v>
      </c>
      <c r="B12" s="8" t="s">
        <v>37</v>
      </c>
      <c r="C12" s="8" t="s">
        <v>24</v>
      </c>
      <c r="D12" s="171" t="s">
        <v>25</v>
      </c>
      <c r="E12" s="172"/>
      <c r="F12" s="172"/>
      <c r="G12" s="172"/>
      <c r="H12" s="172"/>
      <c r="I12" s="172"/>
      <c r="J12" s="172"/>
      <c r="K12" s="172"/>
      <c r="L12" s="172"/>
      <c r="M12" s="172"/>
      <c r="N12" s="172"/>
      <c r="O12" s="172"/>
      <c r="P12" s="172"/>
      <c r="Q12" s="172"/>
      <c r="R12" s="172"/>
      <c r="S12" s="172"/>
    </row>
    <row r="13" spans="1:19" ht="66.75" customHeight="1">
      <c r="A13" s="6" t="str">
        <f>A7</f>
        <v>1.  Coherencia y pertinencia de la misión</v>
      </c>
      <c r="B13" s="98" t="e">
        <f>AVERAGE(D7:M7)</f>
        <v>#DIV/0!</v>
      </c>
      <c r="C13" s="97"/>
      <c r="D13" s="168"/>
      <c r="E13" s="169"/>
      <c r="F13" s="169"/>
      <c r="G13" s="169"/>
      <c r="H13" s="169"/>
      <c r="I13" s="169"/>
      <c r="J13" s="169"/>
      <c r="K13" s="169"/>
      <c r="L13" s="169"/>
      <c r="M13" s="169"/>
      <c r="N13" s="169"/>
      <c r="O13" s="169"/>
      <c r="P13" s="169"/>
      <c r="Q13" s="169"/>
      <c r="R13" s="169"/>
      <c r="S13" s="170"/>
    </row>
    <row r="14" spans="1:19" ht="66.75" customHeight="1">
      <c r="A14" s="6" t="str">
        <f>A8</f>
        <v>2. Orientaciones y estrategias del Proyecto Educativo Institucional o lo que haga sus veces</v>
      </c>
      <c r="B14" s="98" t="e">
        <f>AVERAGE(D8:M8)</f>
        <v>#DIV/0!</v>
      </c>
      <c r="C14" s="97"/>
      <c r="D14" s="168"/>
      <c r="E14" s="169"/>
      <c r="F14" s="169"/>
      <c r="G14" s="169"/>
      <c r="H14" s="169"/>
      <c r="I14" s="169"/>
      <c r="J14" s="169"/>
      <c r="K14" s="169"/>
      <c r="L14" s="169"/>
      <c r="M14" s="169"/>
      <c r="N14" s="169"/>
      <c r="O14" s="169"/>
      <c r="P14" s="169"/>
      <c r="Q14" s="169"/>
      <c r="R14" s="169"/>
      <c r="S14" s="170"/>
    </row>
    <row r="15" spans="1:19" ht="57" customHeight="1">
      <c r="A15" s="6" t="str">
        <f>A9</f>
        <v>3. Formación Integral y Construcción de identidad</v>
      </c>
      <c r="B15" s="98" t="e">
        <f>AVERAGE(D9:M9)</f>
        <v>#DIV/0!</v>
      </c>
      <c r="C15" s="97"/>
      <c r="D15" s="168"/>
      <c r="E15" s="169"/>
      <c r="F15" s="169"/>
      <c r="G15" s="169"/>
      <c r="H15" s="169"/>
      <c r="I15" s="169"/>
      <c r="J15" s="169"/>
      <c r="K15" s="169"/>
      <c r="L15" s="169"/>
      <c r="M15" s="169"/>
      <c r="N15" s="169"/>
      <c r="O15" s="169"/>
      <c r="P15" s="169"/>
      <c r="Q15" s="169"/>
      <c r="R15" s="169"/>
      <c r="S15" s="170"/>
    </row>
    <row r="16" spans="1:19">
      <c r="D16" s="11"/>
    </row>
  </sheetData>
  <dataConsolidate/>
  <mergeCells count="14">
    <mergeCell ref="D15:S15"/>
    <mergeCell ref="D14:S14"/>
    <mergeCell ref="D12:S12"/>
    <mergeCell ref="O5:S5"/>
    <mergeCell ref="C1:S1"/>
    <mergeCell ref="A6:C6"/>
    <mergeCell ref="A7:C7"/>
    <mergeCell ref="A8:C8"/>
    <mergeCell ref="D5:M5"/>
    <mergeCell ref="C2:S2"/>
    <mergeCell ref="D13:S13"/>
    <mergeCell ref="A9:C9"/>
    <mergeCell ref="R7:R9"/>
    <mergeCell ref="S7:S9"/>
  </mergeCells>
  <pageMargins left="0.70866141732283472" right="0.70866141732283472" top="0.74803149606299213" bottom="0.74803149606299213" header="0.31496062992125984" footer="0.31496062992125984"/>
  <pageSetup scale="64" orientation="landscape" horizontalDpi="360" verticalDpi="360" r:id="rId1"/>
  <headerFooter>
    <oddFooter>&amp;R&amp;P de &amp;N</oddFooter>
  </headerFooter>
  <drawing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Hoja1!$B$1:$B$10</xm:f>
          </x14:formula1>
          <xm:sqref>D7:M9</xm:sqref>
        </x14:dataValidation>
        <x14:dataValidation type="list" allowBlank="1" showInputMessage="1" showErrorMessage="1">
          <x14:formula1>
            <xm:f>Hoja1!$D$1:$D$41</xm:f>
          </x14:formula1>
          <xm:sqref>P7:P9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15"/>
  <sheetViews>
    <sheetView showGridLines="0" zoomScaleNormal="100" workbookViewId="0">
      <selection activeCell="T4" sqref="T4"/>
    </sheetView>
  </sheetViews>
  <sheetFormatPr baseColWidth="10" defaultColWidth="11.42578125" defaultRowHeight="14.25"/>
  <cols>
    <col min="1" max="1" width="39" style="1" customWidth="1"/>
    <col min="2" max="3" width="7.7109375" style="1" customWidth="1"/>
    <col min="4" max="13" width="6.140625" style="4" customWidth="1"/>
    <col min="14" max="14" width="3" style="1" customWidth="1"/>
    <col min="15" max="15" width="8.42578125" style="1" customWidth="1"/>
    <col min="16" max="17" width="6" style="1" customWidth="1"/>
    <col min="18" max="18" width="8" style="1" customWidth="1"/>
    <col min="19" max="19" width="20.42578125" style="1" customWidth="1"/>
    <col min="20" max="16384" width="11.42578125" style="1"/>
  </cols>
  <sheetData>
    <row r="1" spans="1:19" ht="15" customHeight="1">
      <c r="A1" s="3" t="s">
        <v>23</v>
      </c>
      <c r="B1" s="14" t="s">
        <v>24</v>
      </c>
      <c r="C1" s="196" t="s">
        <v>25</v>
      </c>
      <c r="D1" s="197"/>
      <c r="E1" s="197"/>
      <c r="F1" s="197"/>
      <c r="G1" s="197"/>
      <c r="H1" s="197"/>
      <c r="I1" s="197"/>
      <c r="J1" s="197"/>
      <c r="K1" s="197"/>
      <c r="L1" s="197"/>
      <c r="M1" s="197"/>
      <c r="N1" s="197"/>
      <c r="O1" s="197"/>
      <c r="P1" s="197"/>
      <c r="Q1" s="197"/>
      <c r="R1" s="197"/>
      <c r="S1" s="198"/>
    </row>
    <row r="2" spans="1:19" ht="130.5" customHeight="1">
      <c r="A2" s="6" t="s">
        <v>38</v>
      </c>
      <c r="B2" s="133" t="e">
        <f>Res.!D10</f>
        <v>#DIV/0!</v>
      </c>
      <c r="C2" s="168"/>
      <c r="D2" s="169"/>
      <c r="E2" s="169"/>
      <c r="F2" s="169"/>
      <c r="G2" s="169"/>
      <c r="H2" s="169"/>
      <c r="I2" s="169"/>
      <c r="J2" s="169"/>
      <c r="K2" s="169"/>
      <c r="L2" s="169"/>
      <c r="M2" s="169"/>
      <c r="N2" s="169"/>
      <c r="O2" s="169"/>
      <c r="P2" s="169"/>
      <c r="Q2" s="169"/>
      <c r="R2" s="169"/>
      <c r="S2" s="170"/>
    </row>
    <row r="5" spans="1:19" ht="18.75" customHeight="1">
      <c r="B5" s="15"/>
      <c r="C5" s="15"/>
      <c r="D5" s="188" t="s">
        <v>27</v>
      </c>
      <c r="E5" s="189"/>
      <c r="F5" s="189"/>
      <c r="G5" s="189"/>
      <c r="H5" s="189"/>
      <c r="I5" s="189"/>
      <c r="J5" s="189"/>
      <c r="K5" s="189"/>
      <c r="L5" s="189"/>
      <c r="M5" s="190"/>
      <c r="O5" s="173" t="s">
        <v>28</v>
      </c>
      <c r="P5" s="174"/>
      <c r="Q5" s="174"/>
      <c r="R5" s="174"/>
      <c r="S5" s="175"/>
    </row>
    <row r="6" spans="1:19" ht="15" customHeight="1">
      <c r="A6" s="179" t="s">
        <v>29</v>
      </c>
      <c r="B6" s="180"/>
      <c r="C6" s="181"/>
      <c r="D6" s="7" t="s">
        <v>5</v>
      </c>
      <c r="E6" s="7" t="s">
        <v>6</v>
      </c>
      <c r="F6" s="7" t="s">
        <v>7</v>
      </c>
      <c r="G6" s="7" t="s">
        <v>8</v>
      </c>
      <c r="H6" s="7" t="s">
        <v>9</v>
      </c>
      <c r="I6" s="7" t="s">
        <v>10</v>
      </c>
      <c r="J6" s="7" t="s">
        <v>11</v>
      </c>
      <c r="K6" s="7" t="s">
        <v>12</v>
      </c>
      <c r="L6" s="7" t="s">
        <v>13</v>
      </c>
      <c r="M6" s="7" t="s">
        <v>14</v>
      </c>
      <c r="O6" s="9" t="s">
        <v>24</v>
      </c>
      <c r="P6" s="9" t="s">
        <v>30</v>
      </c>
      <c r="Q6" s="9" t="s">
        <v>31</v>
      </c>
      <c r="R6" s="9" t="s">
        <v>32</v>
      </c>
      <c r="S6" s="9" t="s">
        <v>33</v>
      </c>
    </row>
    <row r="7" spans="1:19" s="2" customFormat="1" ht="18" customHeight="1">
      <c r="A7" s="182" t="s">
        <v>39</v>
      </c>
      <c r="B7" s="183"/>
      <c r="C7" s="184"/>
      <c r="D7" s="36"/>
      <c r="E7" s="36"/>
      <c r="F7" s="36"/>
      <c r="G7" s="36"/>
      <c r="H7" s="36"/>
      <c r="I7" s="36"/>
      <c r="J7" s="36"/>
      <c r="K7" s="36"/>
      <c r="L7" s="36"/>
      <c r="M7" s="36"/>
      <c r="O7" s="99">
        <f>C13</f>
        <v>0</v>
      </c>
      <c r="P7" s="37"/>
      <c r="Q7" s="100">
        <f>O7*P7</f>
        <v>0</v>
      </c>
      <c r="R7" s="194">
        <f>SUM(Q7:Q9)</f>
        <v>0</v>
      </c>
      <c r="S7" s="199" t="str">
        <f>IF(R7&gt;=4.1,"Cumple Plenamente",IF(R7&gt;=3.1,"cumple Satisfactoriamente",IF(R7&gt;=2.1,"Cumple Aceptablemente",IF(R7=0," ","No Cumple "))))</f>
        <v xml:space="preserve"> </v>
      </c>
    </row>
    <row r="8" spans="1:19" s="2" customFormat="1" ht="18" customHeight="1">
      <c r="A8" s="182" t="s">
        <v>40</v>
      </c>
      <c r="B8" s="183"/>
      <c r="C8" s="184"/>
      <c r="D8" s="36"/>
      <c r="E8" s="36"/>
      <c r="F8" s="36"/>
      <c r="G8" s="36"/>
      <c r="H8" s="36"/>
      <c r="I8" s="36"/>
      <c r="J8" s="36"/>
      <c r="K8" s="36"/>
      <c r="L8" s="36"/>
      <c r="M8" s="36"/>
      <c r="O8" s="99">
        <f>C14</f>
        <v>0</v>
      </c>
      <c r="P8" s="37"/>
      <c r="Q8" s="100">
        <f t="shared" ref="Q8:Q9" si="0">O8*P8</f>
        <v>0</v>
      </c>
      <c r="R8" s="194"/>
      <c r="S8" s="200"/>
    </row>
    <row r="9" spans="1:19" s="2" customFormat="1" ht="18" customHeight="1">
      <c r="A9" s="182" t="s">
        <v>41</v>
      </c>
      <c r="B9" s="183"/>
      <c r="C9" s="184"/>
      <c r="D9" s="36"/>
      <c r="E9" s="36"/>
      <c r="F9" s="36"/>
      <c r="G9" s="36"/>
      <c r="H9" s="36"/>
      <c r="I9" s="36"/>
      <c r="J9" s="36"/>
      <c r="K9" s="36"/>
      <c r="L9" s="36"/>
      <c r="M9" s="36"/>
      <c r="O9" s="99">
        <f>C15</f>
        <v>0</v>
      </c>
      <c r="P9" s="37"/>
      <c r="Q9" s="100">
        <f t="shared" si="0"/>
        <v>0</v>
      </c>
      <c r="R9" s="194"/>
      <c r="S9" s="200"/>
    </row>
    <row r="12" spans="1:19" ht="15" customHeight="1">
      <c r="A12" s="3" t="s">
        <v>29</v>
      </c>
      <c r="B12" s="8" t="s">
        <v>37</v>
      </c>
      <c r="C12" s="8" t="s">
        <v>24</v>
      </c>
      <c r="D12" s="171" t="s">
        <v>25</v>
      </c>
      <c r="E12" s="172"/>
      <c r="F12" s="172"/>
      <c r="G12" s="172"/>
      <c r="H12" s="172"/>
      <c r="I12" s="172"/>
      <c r="J12" s="172"/>
      <c r="K12" s="172"/>
      <c r="L12" s="172"/>
      <c r="M12" s="172"/>
      <c r="N12" s="172"/>
      <c r="O12" s="172"/>
      <c r="P12" s="172"/>
      <c r="Q12" s="172"/>
      <c r="R12" s="172"/>
      <c r="S12" s="172"/>
    </row>
    <row r="13" spans="1:19" ht="66.75" customHeight="1">
      <c r="A13" s="6" t="str">
        <f>A7</f>
        <v>4. Buen gobierno y máximo órgano de gobierno</v>
      </c>
      <c r="B13" s="98" t="e">
        <f>AVERAGE(D7:M7)</f>
        <v>#DIV/0!</v>
      </c>
      <c r="C13" s="97"/>
      <c r="D13" s="168"/>
      <c r="E13" s="169"/>
      <c r="F13" s="169"/>
      <c r="G13" s="169"/>
      <c r="H13" s="169"/>
      <c r="I13" s="169"/>
      <c r="J13" s="169"/>
      <c r="K13" s="169"/>
      <c r="L13" s="169"/>
      <c r="M13" s="169"/>
      <c r="N13" s="169"/>
      <c r="O13" s="169"/>
      <c r="P13" s="169"/>
      <c r="Q13" s="169"/>
      <c r="R13" s="169"/>
      <c r="S13" s="170"/>
    </row>
    <row r="14" spans="1:19" ht="66.75" customHeight="1">
      <c r="A14" s="6" t="str">
        <f>A8</f>
        <v>5. Relación congrupos de interés</v>
      </c>
      <c r="B14" s="98" t="e">
        <f>AVERAGE(D8:M8)</f>
        <v>#DIV/0!</v>
      </c>
      <c r="C14" s="97"/>
      <c r="D14" s="168"/>
      <c r="E14" s="169"/>
      <c r="F14" s="169"/>
      <c r="G14" s="169"/>
      <c r="H14" s="169"/>
      <c r="I14" s="169"/>
      <c r="J14" s="169"/>
      <c r="K14" s="169"/>
      <c r="L14" s="169"/>
      <c r="M14" s="169"/>
      <c r="N14" s="169"/>
      <c r="O14" s="169"/>
      <c r="P14" s="169"/>
      <c r="Q14" s="169"/>
      <c r="R14" s="169"/>
      <c r="S14" s="170"/>
    </row>
    <row r="15" spans="1:19" ht="66.75" customHeight="1">
      <c r="A15" s="6" t="str">
        <f>A9</f>
        <v>6. Rendición de cuentas</v>
      </c>
      <c r="B15" s="98" t="e">
        <f>AVERAGE(D9:M9)</f>
        <v>#DIV/0!</v>
      </c>
      <c r="C15" s="97"/>
      <c r="D15" s="168"/>
      <c r="E15" s="169"/>
      <c r="F15" s="169"/>
      <c r="G15" s="169"/>
      <c r="H15" s="169"/>
      <c r="I15" s="169"/>
      <c r="J15" s="169"/>
      <c r="K15" s="169"/>
      <c r="L15" s="169"/>
      <c r="M15" s="169"/>
      <c r="N15" s="169"/>
      <c r="O15" s="169"/>
      <c r="P15" s="169"/>
      <c r="Q15" s="169"/>
      <c r="R15" s="169"/>
      <c r="S15" s="170"/>
    </row>
  </sheetData>
  <dataConsolidate/>
  <mergeCells count="14">
    <mergeCell ref="C1:S1"/>
    <mergeCell ref="D13:S13"/>
    <mergeCell ref="D14:S14"/>
    <mergeCell ref="D15:S15"/>
    <mergeCell ref="D12:S12"/>
    <mergeCell ref="O5:S5"/>
    <mergeCell ref="A7:C7"/>
    <mergeCell ref="A8:C8"/>
    <mergeCell ref="A9:C9"/>
    <mergeCell ref="A6:C6"/>
    <mergeCell ref="S7:S9"/>
    <mergeCell ref="R7:R9"/>
    <mergeCell ref="D5:M5"/>
    <mergeCell ref="C2:S2"/>
  </mergeCells>
  <pageMargins left="0.70866141732283472" right="0.70866141732283472" top="0.74803149606299213" bottom="0.74803149606299213" header="0.31496062992125984" footer="0.31496062992125984"/>
  <pageSetup scale="64" orientation="landscape" horizontalDpi="360" verticalDpi="360" r:id="rId1"/>
  <headerFooter>
    <oddFooter>&amp;R&amp;P de &amp;N</oddFooter>
  </headerFooter>
  <drawing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Hoja1!$B$1:$B$10</xm:f>
          </x14:formula1>
          <xm:sqref>D7:M9</xm:sqref>
        </x14:dataValidation>
        <x14:dataValidation type="list" allowBlank="1" showInputMessage="1" showErrorMessage="1">
          <x14:formula1>
            <xm:f>Hoja1!$D$1:$D$41</xm:f>
          </x14:formula1>
          <xm:sqref>P7:P9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1"/>
  <sheetViews>
    <sheetView showGridLines="0" zoomScale="90" zoomScaleNormal="90" workbookViewId="0">
      <selection activeCell="C2" sqref="C2:S2"/>
    </sheetView>
  </sheetViews>
  <sheetFormatPr baseColWidth="10" defaultColWidth="11.42578125" defaultRowHeight="14.25"/>
  <cols>
    <col min="1" max="1" width="53.7109375" style="1" customWidth="1"/>
    <col min="2" max="3" width="7.7109375" style="1" customWidth="1"/>
    <col min="4" max="13" width="6.140625" style="4" customWidth="1"/>
    <col min="14" max="14" width="3" style="1" customWidth="1"/>
    <col min="15" max="15" width="8.42578125" style="1" customWidth="1"/>
    <col min="16" max="17" width="6" style="1" customWidth="1"/>
    <col min="18" max="18" width="8" style="1" customWidth="1"/>
    <col min="19" max="19" width="20.42578125" style="1" customWidth="1"/>
    <col min="20" max="16384" width="11.42578125" style="1"/>
  </cols>
  <sheetData>
    <row r="1" spans="1:19" ht="15" customHeight="1">
      <c r="A1" s="3" t="s">
        <v>23</v>
      </c>
      <c r="B1" s="14" t="s">
        <v>24</v>
      </c>
      <c r="C1" s="201" t="s">
        <v>25</v>
      </c>
      <c r="D1" s="202"/>
      <c r="E1" s="202"/>
      <c r="F1" s="202"/>
      <c r="G1" s="202"/>
      <c r="H1" s="202"/>
      <c r="I1" s="202"/>
      <c r="J1" s="202"/>
      <c r="K1" s="202"/>
      <c r="L1" s="202"/>
      <c r="M1" s="202"/>
      <c r="N1" s="202"/>
      <c r="O1" s="202"/>
      <c r="P1" s="202"/>
      <c r="Q1" s="202"/>
      <c r="R1" s="202"/>
      <c r="S1" s="202"/>
    </row>
    <row r="2" spans="1:19" ht="68.25" customHeight="1">
      <c r="A2" s="6" t="s">
        <v>42</v>
      </c>
      <c r="B2" s="133" t="e">
        <f>Res.!D14</f>
        <v>#DIV/0!</v>
      </c>
      <c r="C2" s="168"/>
      <c r="D2" s="169"/>
      <c r="E2" s="169"/>
      <c r="F2" s="169"/>
      <c r="G2" s="169"/>
      <c r="H2" s="169"/>
      <c r="I2" s="169"/>
      <c r="J2" s="169"/>
      <c r="K2" s="169"/>
      <c r="L2" s="169"/>
      <c r="M2" s="169"/>
      <c r="N2" s="169"/>
      <c r="O2" s="169"/>
      <c r="P2" s="169"/>
      <c r="Q2" s="169"/>
      <c r="R2" s="169"/>
      <c r="S2" s="170"/>
    </row>
    <row r="5" spans="1:19" ht="18.75" customHeight="1">
      <c r="B5" s="15"/>
      <c r="C5" s="15"/>
      <c r="D5" s="188" t="s">
        <v>27</v>
      </c>
      <c r="E5" s="189"/>
      <c r="F5" s="189"/>
      <c r="G5" s="189"/>
      <c r="H5" s="189"/>
      <c r="I5" s="189"/>
      <c r="J5" s="189"/>
      <c r="K5" s="189"/>
      <c r="L5" s="189"/>
      <c r="M5" s="190"/>
      <c r="O5" s="173" t="s">
        <v>28</v>
      </c>
      <c r="P5" s="174"/>
      <c r="Q5" s="174"/>
      <c r="R5" s="174"/>
      <c r="S5" s="175"/>
    </row>
    <row r="6" spans="1:19" ht="15" customHeight="1">
      <c r="A6" s="179" t="s">
        <v>29</v>
      </c>
      <c r="B6" s="180"/>
      <c r="C6" s="181"/>
      <c r="D6" s="7" t="s">
        <v>5</v>
      </c>
      <c r="E6" s="7" t="s">
        <v>6</v>
      </c>
      <c r="F6" s="7" t="s">
        <v>7</v>
      </c>
      <c r="G6" s="7" t="s">
        <v>8</v>
      </c>
      <c r="H6" s="7" t="s">
        <v>9</v>
      </c>
      <c r="I6" s="7" t="s">
        <v>10</v>
      </c>
      <c r="J6" s="7" t="s">
        <v>11</v>
      </c>
      <c r="K6" s="7" t="s">
        <v>12</v>
      </c>
      <c r="L6" s="7" t="s">
        <v>13</v>
      </c>
      <c r="M6" s="7" t="s">
        <v>14</v>
      </c>
      <c r="O6" s="9" t="s">
        <v>24</v>
      </c>
      <c r="P6" s="9" t="s">
        <v>30</v>
      </c>
      <c r="Q6" s="9" t="s">
        <v>31</v>
      </c>
      <c r="R6" s="9" t="s">
        <v>32</v>
      </c>
      <c r="S6" s="9" t="s">
        <v>33</v>
      </c>
    </row>
    <row r="7" spans="1:19" s="2" customFormat="1" ht="18" customHeight="1">
      <c r="A7" s="182" t="s">
        <v>43</v>
      </c>
      <c r="B7" s="183"/>
      <c r="C7" s="184"/>
      <c r="D7" s="36"/>
      <c r="E7" s="36"/>
      <c r="F7" s="36"/>
      <c r="G7" s="36"/>
      <c r="H7" s="36"/>
      <c r="I7" s="36"/>
      <c r="J7" s="36"/>
      <c r="K7" s="36"/>
      <c r="L7" s="36"/>
      <c r="M7" s="36"/>
      <c r="O7" s="99">
        <f t="shared" ref="O7:O12" si="0">C16</f>
        <v>0</v>
      </c>
      <c r="P7" s="37"/>
      <c r="Q7" s="100">
        <f>O7*P7</f>
        <v>0</v>
      </c>
      <c r="R7" s="194">
        <f>SUM(Q7:Q12)</f>
        <v>0</v>
      </c>
      <c r="S7" s="195" t="str">
        <f>IF(R7&gt;=4.1,"Cumple Plenamente",IF(R7&gt;=3.1,"cumple Satisfactoriamente",IF(R7&gt;=2.1,"Cumple Aceptablemente",IF(R7=0," ","No Cumple "))))</f>
        <v xml:space="preserve"> </v>
      </c>
    </row>
    <row r="8" spans="1:19" s="2" customFormat="1" ht="18" customHeight="1">
      <c r="A8" s="182" t="s">
        <v>44</v>
      </c>
      <c r="B8" s="183"/>
      <c r="C8" s="184"/>
      <c r="D8" s="36"/>
      <c r="E8" s="36"/>
      <c r="F8" s="36"/>
      <c r="G8" s="36"/>
      <c r="H8" s="36"/>
      <c r="I8" s="36"/>
      <c r="J8" s="36"/>
      <c r="K8" s="36"/>
      <c r="L8" s="36"/>
      <c r="M8" s="36"/>
      <c r="O8" s="99">
        <f t="shared" si="0"/>
        <v>0</v>
      </c>
      <c r="P8" s="37"/>
      <c r="Q8" s="100">
        <f t="shared" ref="Q8:Q10" si="1">O8*P8</f>
        <v>0</v>
      </c>
      <c r="R8" s="194"/>
      <c r="S8" s="195"/>
    </row>
    <row r="9" spans="1:19" s="2" customFormat="1" ht="18" customHeight="1">
      <c r="A9" s="16" t="s">
        <v>45</v>
      </c>
      <c r="B9" s="17"/>
      <c r="C9" s="18"/>
      <c r="D9" s="36"/>
      <c r="E9" s="36"/>
      <c r="F9" s="36"/>
      <c r="G9" s="36"/>
      <c r="H9" s="36"/>
      <c r="I9" s="36"/>
      <c r="J9" s="36"/>
      <c r="K9" s="36"/>
      <c r="L9" s="36"/>
      <c r="M9" s="36"/>
      <c r="O9" s="99">
        <f t="shared" si="0"/>
        <v>0</v>
      </c>
      <c r="P9" s="37"/>
      <c r="Q9" s="100">
        <f t="shared" si="1"/>
        <v>0</v>
      </c>
      <c r="R9" s="194"/>
      <c r="S9" s="195"/>
    </row>
    <row r="10" spans="1:19" s="2" customFormat="1" ht="18" customHeight="1">
      <c r="A10" s="16" t="s">
        <v>46</v>
      </c>
      <c r="B10" s="17"/>
      <c r="C10" s="18"/>
      <c r="D10" s="36"/>
      <c r="E10" s="36"/>
      <c r="F10" s="36"/>
      <c r="G10" s="36"/>
      <c r="H10" s="36"/>
      <c r="I10" s="36"/>
      <c r="J10" s="36"/>
      <c r="K10" s="36"/>
      <c r="L10" s="36"/>
      <c r="M10" s="36"/>
      <c r="N10" s="1"/>
      <c r="O10" s="99">
        <f t="shared" si="0"/>
        <v>0</v>
      </c>
      <c r="P10" s="37"/>
      <c r="Q10" s="100">
        <f t="shared" si="1"/>
        <v>0</v>
      </c>
      <c r="R10" s="194"/>
      <c r="S10" s="195"/>
    </row>
    <row r="11" spans="1:19" s="2" customFormat="1" ht="18" customHeight="1">
      <c r="A11" s="16" t="s">
        <v>47</v>
      </c>
      <c r="B11" s="17"/>
      <c r="C11" s="18"/>
      <c r="D11" s="36"/>
      <c r="E11" s="36"/>
      <c r="F11" s="36"/>
      <c r="G11" s="36"/>
      <c r="H11" s="36"/>
      <c r="I11" s="36"/>
      <c r="J11" s="36"/>
      <c r="K11" s="36"/>
      <c r="L11" s="36"/>
      <c r="M11" s="36"/>
      <c r="N11" s="1"/>
      <c r="O11" s="99">
        <f t="shared" si="0"/>
        <v>0</v>
      </c>
      <c r="P11" s="37"/>
      <c r="Q11" s="100">
        <f t="shared" ref="Q11:Q12" si="2">O11*P11</f>
        <v>0</v>
      </c>
      <c r="R11" s="194"/>
      <c r="S11" s="195"/>
    </row>
    <row r="12" spans="1:19" s="2" customFormat="1" ht="18" customHeight="1">
      <c r="A12" s="16" t="s">
        <v>48</v>
      </c>
      <c r="B12" s="17"/>
      <c r="C12" s="18"/>
      <c r="D12" s="36"/>
      <c r="E12" s="36"/>
      <c r="F12" s="36"/>
      <c r="G12" s="36"/>
      <c r="H12" s="36"/>
      <c r="I12" s="36"/>
      <c r="J12" s="36"/>
      <c r="K12" s="36"/>
      <c r="L12" s="36"/>
      <c r="M12" s="36"/>
      <c r="N12" s="1"/>
      <c r="O12" s="99">
        <f t="shared" si="0"/>
        <v>0</v>
      </c>
      <c r="P12" s="37"/>
      <c r="Q12" s="100">
        <f t="shared" si="2"/>
        <v>0</v>
      </c>
      <c r="R12" s="194"/>
      <c r="S12" s="195"/>
    </row>
    <row r="13" spans="1:19">
      <c r="D13" s="11"/>
      <c r="N13" s="12"/>
    </row>
    <row r="14" spans="1:19">
      <c r="D14" s="11"/>
      <c r="N14" s="12"/>
    </row>
    <row r="15" spans="1:19" ht="15" customHeight="1">
      <c r="A15" s="3" t="s">
        <v>29</v>
      </c>
      <c r="B15" s="8" t="s">
        <v>37</v>
      </c>
      <c r="C15" s="8" t="s">
        <v>24</v>
      </c>
      <c r="D15" s="171" t="s">
        <v>25</v>
      </c>
      <c r="E15" s="172"/>
      <c r="F15" s="172"/>
      <c r="G15" s="172"/>
      <c r="H15" s="172"/>
      <c r="I15" s="172"/>
      <c r="J15" s="172"/>
      <c r="K15" s="172"/>
      <c r="L15" s="172"/>
      <c r="M15" s="172"/>
      <c r="N15" s="172"/>
      <c r="O15" s="172"/>
      <c r="P15" s="172"/>
      <c r="Q15" s="172"/>
      <c r="R15" s="172"/>
      <c r="S15" s="172"/>
    </row>
    <row r="16" spans="1:19" ht="66.75" customHeight="1">
      <c r="A16" s="6" t="str">
        <f t="shared" ref="A16:A21" si="3">A7</f>
        <v>7. Administración y gestión</v>
      </c>
      <c r="B16" s="98" t="e">
        <f t="shared" ref="B16:B21" si="4">AVERAGE(D7:M7)</f>
        <v>#DIV/0!</v>
      </c>
      <c r="C16" s="97"/>
      <c r="D16" s="168"/>
      <c r="E16" s="169"/>
      <c r="F16" s="169"/>
      <c r="G16" s="169"/>
      <c r="H16" s="169"/>
      <c r="I16" s="169"/>
      <c r="J16" s="169"/>
      <c r="K16" s="169"/>
      <c r="L16" s="169"/>
      <c r="M16" s="169"/>
      <c r="N16" s="169"/>
      <c r="O16" s="169"/>
      <c r="P16" s="169"/>
      <c r="Q16" s="169"/>
      <c r="R16" s="169"/>
      <c r="S16" s="170"/>
    </row>
    <row r="17" spans="1:19" ht="66.75" customHeight="1">
      <c r="A17" s="6" t="str">
        <f t="shared" si="3"/>
        <v>8. Procesos de Comunicación</v>
      </c>
      <c r="B17" s="98" t="e">
        <f t="shared" si="4"/>
        <v>#DIV/0!</v>
      </c>
      <c r="C17" s="97"/>
      <c r="D17" s="168"/>
      <c r="E17" s="169"/>
      <c r="F17" s="169"/>
      <c r="G17" s="169"/>
      <c r="H17" s="169"/>
      <c r="I17" s="169"/>
      <c r="J17" s="169"/>
      <c r="K17" s="169"/>
      <c r="L17" s="169"/>
      <c r="M17" s="169"/>
      <c r="N17" s="169"/>
      <c r="O17" s="169"/>
      <c r="P17" s="169"/>
      <c r="Q17" s="169"/>
      <c r="R17" s="169"/>
      <c r="S17" s="170"/>
    </row>
    <row r="18" spans="1:19" ht="66.75" customHeight="1">
      <c r="A18" s="6" t="str">
        <f t="shared" si="3"/>
        <v>9. Capacidad de gestión</v>
      </c>
      <c r="B18" s="98" t="e">
        <f t="shared" si="4"/>
        <v>#DIV/0!</v>
      </c>
      <c r="C18" s="97"/>
      <c r="D18" s="168"/>
      <c r="E18" s="169"/>
      <c r="F18" s="169"/>
      <c r="G18" s="169"/>
      <c r="H18" s="169"/>
      <c r="I18" s="169"/>
      <c r="J18" s="169"/>
      <c r="K18" s="169"/>
      <c r="L18" s="169"/>
      <c r="M18" s="169"/>
      <c r="N18" s="169"/>
      <c r="O18" s="169"/>
      <c r="P18" s="169"/>
      <c r="Q18" s="169"/>
      <c r="R18" s="169"/>
      <c r="S18" s="170"/>
    </row>
    <row r="19" spans="1:19" ht="66.75" customHeight="1">
      <c r="A19" s="6" t="str">
        <f t="shared" si="3"/>
        <v>10. Recursos de apoyo académico</v>
      </c>
      <c r="B19" s="98" t="e">
        <f t="shared" si="4"/>
        <v>#DIV/0!</v>
      </c>
      <c r="C19" s="97"/>
      <c r="D19" s="168"/>
      <c r="E19" s="169"/>
      <c r="F19" s="169"/>
      <c r="G19" s="169"/>
      <c r="H19" s="169"/>
      <c r="I19" s="169"/>
      <c r="J19" s="169"/>
      <c r="K19" s="169"/>
      <c r="L19" s="169"/>
      <c r="M19" s="169"/>
      <c r="N19" s="169"/>
      <c r="O19" s="169"/>
      <c r="P19" s="169"/>
      <c r="Q19" s="169"/>
      <c r="R19" s="169"/>
      <c r="S19" s="170"/>
    </row>
    <row r="20" spans="1:19" ht="66.75" customHeight="1">
      <c r="A20" s="6" t="str">
        <f t="shared" si="3"/>
        <v>11. Infraestructura fisica y tecnologica</v>
      </c>
      <c r="B20" s="98" t="e">
        <f t="shared" si="4"/>
        <v>#DIV/0!</v>
      </c>
      <c r="C20" s="97"/>
      <c r="D20" s="168"/>
      <c r="E20" s="169"/>
      <c r="F20" s="169"/>
      <c r="G20" s="169"/>
      <c r="H20" s="169"/>
      <c r="I20" s="169"/>
      <c r="J20" s="169"/>
      <c r="K20" s="169"/>
      <c r="L20" s="169"/>
      <c r="M20" s="169"/>
      <c r="N20" s="169"/>
      <c r="O20" s="169"/>
      <c r="P20" s="169"/>
      <c r="Q20" s="169"/>
      <c r="R20" s="169"/>
      <c r="S20" s="170"/>
    </row>
    <row r="21" spans="1:19" ht="66.75" customHeight="1">
      <c r="A21" s="6" t="str">
        <f t="shared" si="3"/>
        <v>12. Recursos y gestión financiera</v>
      </c>
      <c r="B21" s="98" t="e">
        <f t="shared" si="4"/>
        <v>#DIV/0!</v>
      </c>
      <c r="C21" s="97"/>
      <c r="D21" s="168"/>
      <c r="E21" s="169"/>
      <c r="F21" s="169"/>
      <c r="G21" s="169"/>
      <c r="H21" s="169"/>
      <c r="I21" s="169"/>
      <c r="J21" s="169"/>
      <c r="K21" s="169"/>
      <c r="L21" s="169"/>
      <c r="M21" s="169"/>
      <c r="N21" s="169"/>
      <c r="O21" s="169"/>
      <c r="P21" s="169"/>
      <c r="Q21" s="169"/>
      <c r="R21" s="169"/>
      <c r="S21" s="170"/>
    </row>
  </sheetData>
  <dataConsolidate/>
  <mergeCells count="16">
    <mergeCell ref="D19:S19"/>
    <mergeCell ref="D20:S20"/>
    <mergeCell ref="D21:S21"/>
    <mergeCell ref="A8:C8"/>
    <mergeCell ref="D16:S16"/>
    <mergeCell ref="D17:S17"/>
    <mergeCell ref="D15:S15"/>
    <mergeCell ref="D18:S18"/>
    <mergeCell ref="R7:R12"/>
    <mergeCell ref="S7:S12"/>
    <mergeCell ref="A6:C6"/>
    <mergeCell ref="C1:S1"/>
    <mergeCell ref="C2:S2"/>
    <mergeCell ref="O5:S5"/>
    <mergeCell ref="A7:C7"/>
    <mergeCell ref="D5:M5"/>
  </mergeCells>
  <pageMargins left="0.70866141732283472" right="0.70866141732283472" top="0.74803149606299213" bottom="0.74803149606299213" header="0.31496062992125984" footer="0.31496062992125984"/>
  <pageSetup scale="59" orientation="landscape" horizontalDpi="360" verticalDpi="360" r:id="rId1"/>
  <headerFooter>
    <oddFooter>&amp;R&amp;P de &amp;N</oddFooter>
  </headerFooter>
  <ignoredErrors>
    <ignoredError sqref="B2 B21 Q7:S7 Q8:S8 Q9:S9 Q10:S10 Q11:S11 Q12:S12 B16 B17 B18 B19 B20" evalError="1"/>
  </ignoredErrors>
  <drawing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Hoja1!$B$1:$B$10</xm:f>
          </x14:formula1>
          <xm:sqref>D7:M12</xm:sqref>
        </x14:dataValidation>
        <x14:dataValidation type="list" allowBlank="1" showInputMessage="1" showErrorMessage="1">
          <x14:formula1>
            <xm:f>Hoja1!$D$1:$D$41</xm:f>
          </x14:formula1>
          <xm:sqref>P7:P12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17"/>
  <sheetViews>
    <sheetView showGridLines="0" topLeftCell="A7" zoomScale="90" zoomScaleNormal="90" workbookViewId="0">
      <selection activeCell="C2" sqref="C2:S2"/>
    </sheetView>
  </sheetViews>
  <sheetFormatPr baseColWidth="10" defaultColWidth="11.42578125" defaultRowHeight="14.25"/>
  <cols>
    <col min="1" max="1" width="41.42578125" style="1" customWidth="1"/>
    <col min="2" max="3" width="7.7109375" style="1" customWidth="1"/>
    <col min="4" max="13" width="6.140625" style="4" customWidth="1"/>
    <col min="14" max="14" width="3" style="1" customWidth="1"/>
    <col min="15" max="15" width="8.42578125" style="1" customWidth="1"/>
    <col min="16" max="17" width="6" style="1" customWidth="1"/>
    <col min="18" max="18" width="8" style="1" customWidth="1"/>
    <col min="19" max="19" width="20.42578125" style="1" customWidth="1"/>
    <col min="20" max="16384" width="11.42578125" style="1"/>
  </cols>
  <sheetData>
    <row r="1" spans="1:19" ht="15" customHeight="1">
      <c r="A1" s="3" t="s">
        <v>23</v>
      </c>
      <c r="B1" s="14" t="s">
        <v>24</v>
      </c>
      <c r="C1" s="201" t="s">
        <v>25</v>
      </c>
      <c r="D1" s="202"/>
      <c r="E1" s="202"/>
      <c r="F1" s="202"/>
      <c r="G1" s="202"/>
      <c r="H1" s="202"/>
      <c r="I1" s="202"/>
      <c r="J1" s="202"/>
      <c r="K1" s="202"/>
      <c r="L1" s="202"/>
      <c r="M1" s="202"/>
      <c r="N1" s="202"/>
      <c r="O1" s="202"/>
      <c r="P1" s="202"/>
      <c r="Q1" s="202"/>
      <c r="R1" s="202"/>
      <c r="S1" s="202"/>
    </row>
    <row r="2" spans="1:19" ht="112.5" customHeight="1">
      <c r="A2" s="6" t="s">
        <v>49</v>
      </c>
      <c r="B2" s="133" t="e">
        <f>Res.!D21</f>
        <v>#DIV/0!</v>
      </c>
      <c r="C2" s="168"/>
      <c r="D2" s="169"/>
      <c r="E2" s="169"/>
      <c r="F2" s="169"/>
      <c r="G2" s="169"/>
      <c r="H2" s="169"/>
      <c r="I2" s="169"/>
      <c r="J2" s="169"/>
      <c r="K2" s="169"/>
      <c r="L2" s="169"/>
      <c r="M2" s="169"/>
      <c r="N2" s="169"/>
      <c r="O2" s="169"/>
      <c r="P2" s="169"/>
      <c r="Q2" s="169"/>
      <c r="R2" s="169"/>
      <c r="S2" s="170"/>
    </row>
    <row r="5" spans="1:19" ht="18.75" customHeight="1">
      <c r="B5" s="15"/>
      <c r="C5" s="15"/>
      <c r="D5" s="188" t="s">
        <v>27</v>
      </c>
      <c r="E5" s="189"/>
      <c r="F5" s="189"/>
      <c r="G5" s="189"/>
      <c r="H5" s="189"/>
      <c r="I5" s="189"/>
      <c r="J5" s="189"/>
      <c r="K5" s="189"/>
      <c r="L5" s="189"/>
      <c r="M5" s="190"/>
      <c r="O5" s="173" t="s">
        <v>28</v>
      </c>
      <c r="P5" s="174"/>
      <c r="Q5" s="174"/>
      <c r="R5" s="174"/>
      <c r="S5" s="175"/>
    </row>
    <row r="6" spans="1:19" ht="15" customHeight="1">
      <c r="A6" s="179" t="s">
        <v>29</v>
      </c>
      <c r="B6" s="180"/>
      <c r="C6" s="181"/>
      <c r="D6" s="7" t="s">
        <v>5</v>
      </c>
      <c r="E6" s="7" t="s">
        <v>6</v>
      </c>
      <c r="F6" s="7" t="s">
        <v>7</v>
      </c>
      <c r="G6" s="7" t="s">
        <v>8</v>
      </c>
      <c r="H6" s="7" t="s">
        <v>9</v>
      </c>
      <c r="I6" s="7" t="s">
        <v>10</v>
      </c>
      <c r="J6" s="7" t="s">
        <v>11</v>
      </c>
      <c r="K6" s="7" t="s">
        <v>12</v>
      </c>
      <c r="L6" s="7" t="s">
        <v>13</v>
      </c>
      <c r="M6" s="7" t="s">
        <v>14</v>
      </c>
      <c r="O6" s="9" t="s">
        <v>24</v>
      </c>
      <c r="P6" s="9" t="s">
        <v>30</v>
      </c>
      <c r="Q6" s="9" t="s">
        <v>31</v>
      </c>
      <c r="R6" s="9" t="s">
        <v>32</v>
      </c>
      <c r="S6" s="9" t="s">
        <v>33</v>
      </c>
    </row>
    <row r="7" spans="1:19" s="2" customFormat="1" ht="18" customHeight="1">
      <c r="A7" s="182" t="s">
        <v>50</v>
      </c>
      <c r="B7" s="183"/>
      <c r="C7" s="184"/>
      <c r="D7" s="36"/>
      <c r="E7" s="36"/>
      <c r="F7" s="36"/>
      <c r="G7" s="36"/>
      <c r="H7" s="36"/>
      <c r="I7" s="36"/>
      <c r="J7" s="36"/>
      <c r="K7" s="36"/>
      <c r="L7" s="36"/>
      <c r="M7" s="36"/>
      <c r="O7" s="99">
        <f>C14</f>
        <v>0.35</v>
      </c>
      <c r="P7" s="37"/>
      <c r="Q7" s="100">
        <f>O7*P7</f>
        <v>0</v>
      </c>
      <c r="R7" s="194">
        <f>SUM(Q7:Q8)</f>
        <v>0</v>
      </c>
      <c r="S7" s="195" t="str">
        <f>IF(R7&gt;=4.1,"Cumple Plenamente",IF(R7&gt;=3.1,"cumple Satisfactoriamente",IF(R7&gt;=2.1,"Cumple Aceptablemente",IF(R7=0," ","No Cumple "))))</f>
        <v xml:space="preserve"> </v>
      </c>
    </row>
    <row r="8" spans="1:19" s="2" customFormat="1" ht="18" customHeight="1">
      <c r="A8" s="182" t="s">
        <v>51</v>
      </c>
      <c r="B8" s="183"/>
      <c r="C8" s="184"/>
      <c r="D8" s="36"/>
      <c r="E8" s="36"/>
      <c r="F8" s="36"/>
      <c r="G8" s="36"/>
      <c r="H8" s="36"/>
      <c r="I8" s="36"/>
      <c r="J8" s="36"/>
      <c r="K8" s="36"/>
      <c r="L8" s="36"/>
      <c r="M8" s="36"/>
      <c r="O8" s="99">
        <f>C15</f>
        <v>0.2</v>
      </c>
      <c r="P8" s="37"/>
      <c r="Q8" s="100">
        <f t="shared" ref="Q8:Q10" si="0">O8*P8</f>
        <v>0</v>
      </c>
      <c r="R8" s="194"/>
      <c r="S8" s="195"/>
    </row>
    <row r="9" spans="1:19" s="2" customFormat="1" ht="18" customHeight="1">
      <c r="A9" s="113" t="s">
        <v>52</v>
      </c>
      <c r="B9" s="114"/>
      <c r="C9" s="115"/>
      <c r="D9" s="36"/>
      <c r="E9" s="36"/>
      <c r="F9" s="36"/>
      <c r="G9" s="36"/>
      <c r="H9" s="36"/>
      <c r="I9" s="36"/>
      <c r="J9" s="36"/>
      <c r="K9" s="36"/>
      <c r="L9" s="36"/>
      <c r="M9" s="36"/>
      <c r="O9" s="99">
        <f t="shared" ref="O9:O10" si="1">C16</f>
        <v>0.3</v>
      </c>
      <c r="P9" s="37"/>
      <c r="Q9" s="100">
        <f t="shared" si="0"/>
        <v>0</v>
      </c>
      <c r="R9" s="194"/>
      <c r="S9" s="195"/>
    </row>
    <row r="10" spans="1:19" s="2" customFormat="1" ht="18" customHeight="1">
      <c r="A10" s="182" t="s">
        <v>53</v>
      </c>
      <c r="B10" s="183"/>
      <c r="C10" s="184"/>
      <c r="D10" s="36"/>
      <c r="E10" s="36"/>
      <c r="F10" s="36"/>
      <c r="G10" s="36"/>
      <c r="H10" s="36"/>
      <c r="I10" s="36"/>
      <c r="J10" s="36"/>
      <c r="K10" s="36"/>
      <c r="L10" s="36"/>
      <c r="M10" s="36"/>
      <c r="O10" s="99">
        <f t="shared" si="1"/>
        <v>0.25</v>
      </c>
      <c r="P10" s="37"/>
      <c r="Q10" s="100">
        <f t="shared" si="0"/>
        <v>0</v>
      </c>
      <c r="R10" s="194"/>
      <c r="S10" s="195"/>
    </row>
    <row r="11" spans="1:19">
      <c r="D11" s="11"/>
    </row>
    <row r="13" spans="1:19" ht="15" customHeight="1">
      <c r="A13" s="3" t="s">
        <v>29</v>
      </c>
      <c r="B13" s="8" t="s">
        <v>37</v>
      </c>
      <c r="C13" s="3" t="s">
        <v>24</v>
      </c>
      <c r="D13" s="171" t="s">
        <v>25</v>
      </c>
      <c r="E13" s="172"/>
      <c r="F13" s="172"/>
      <c r="G13" s="172"/>
      <c r="H13" s="172"/>
      <c r="I13" s="172"/>
      <c r="J13" s="172"/>
      <c r="K13" s="172"/>
      <c r="L13" s="172"/>
      <c r="M13" s="172"/>
      <c r="N13" s="172"/>
      <c r="O13" s="172"/>
      <c r="P13" s="172"/>
      <c r="Q13" s="172"/>
      <c r="R13" s="172"/>
      <c r="S13" s="172"/>
    </row>
    <row r="14" spans="1:19" ht="90.75" customHeight="1">
      <c r="A14" s="6" t="str">
        <f>A7</f>
        <v>13. Cultura de la Autoevaluación</v>
      </c>
      <c r="B14" s="98" t="e">
        <f>AVERAGE(D7:M7)</f>
        <v>#DIV/0!</v>
      </c>
      <c r="C14" s="97">
        <v>0.35</v>
      </c>
      <c r="D14" s="168"/>
      <c r="E14" s="169"/>
      <c r="F14" s="169"/>
      <c r="G14" s="169"/>
      <c r="H14" s="169"/>
      <c r="I14" s="169"/>
      <c r="J14" s="169"/>
      <c r="K14" s="169"/>
      <c r="L14" s="169"/>
      <c r="M14" s="169"/>
      <c r="N14" s="169"/>
      <c r="O14" s="169"/>
      <c r="P14" s="169"/>
      <c r="Q14" s="169"/>
      <c r="R14" s="169"/>
      <c r="S14" s="170"/>
    </row>
    <row r="15" spans="1:19" ht="66.75" customHeight="1">
      <c r="A15" s="6" t="str">
        <f>A8</f>
        <v>14. Procesos de autorregulación</v>
      </c>
      <c r="B15" s="98" t="e">
        <f>AVERAGE(D8:M8)</f>
        <v>#DIV/0!</v>
      </c>
      <c r="C15" s="97">
        <v>0.2</v>
      </c>
      <c r="D15" s="168"/>
      <c r="E15" s="169"/>
      <c r="F15" s="169"/>
      <c r="G15" s="169"/>
      <c r="H15" s="169"/>
      <c r="I15" s="169"/>
      <c r="J15" s="169"/>
      <c r="K15" s="169"/>
      <c r="L15" s="169"/>
      <c r="M15" s="169"/>
      <c r="N15" s="169"/>
      <c r="O15" s="169"/>
      <c r="P15" s="169"/>
      <c r="Q15" s="169"/>
      <c r="R15" s="169"/>
      <c r="S15" s="170"/>
    </row>
    <row r="16" spans="1:19" ht="93" customHeight="1">
      <c r="A16" s="6" t="str">
        <f t="shared" ref="A16:A17" si="2">A9</f>
        <v>15. Sistema Interno de Aseguramiento de la Calidad</v>
      </c>
      <c r="B16" s="98" t="e">
        <f t="shared" ref="B16:B17" si="3">AVERAGE(D9:M9)</f>
        <v>#DIV/0!</v>
      </c>
      <c r="C16" s="97">
        <v>0.3</v>
      </c>
      <c r="D16" s="168"/>
      <c r="E16" s="169"/>
      <c r="F16" s="169"/>
      <c r="G16" s="169"/>
      <c r="H16" s="169"/>
      <c r="I16" s="169"/>
      <c r="J16" s="169"/>
      <c r="K16" s="169"/>
      <c r="L16" s="169"/>
      <c r="M16" s="169"/>
      <c r="N16" s="169"/>
      <c r="O16" s="169"/>
      <c r="P16" s="169"/>
      <c r="Q16" s="169"/>
      <c r="R16" s="169"/>
      <c r="S16" s="170"/>
    </row>
    <row r="17" spans="1:19" ht="60.75" customHeight="1">
      <c r="A17" s="6" t="str">
        <f t="shared" si="2"/>
        <v>16. Evaluación de directivas, profesores y personal administrativo</v>
      </c>
      <c r="B17" s="98" t="e">
        <f t="shared" si="3"/>
        <v>#DIV/0!</v>
      </c>
      <c r="C17" s="97">
        <v>0.25</v>
      </c>
      <c r="D17" s="168"/>
      <c r="E17" s="169"/>
      <c r="F17" s="169"/>
      <c r="G17" s="169"/>
      <c r="H17" s="169"/>
      <c r="I17" s="169"/>
      <c r="J17" s="169"/>
      <c r="K17" s="169"/>
      <c r="L17" s="169"/>
      <c r="M17" s="169"/>
      <c r="N17" s="169"/>
      <c r="O17" s="169"/>
      <c r="P17" s="169"/>
      <c r="Q17" s="169"/>
      <c r="R17" s="169"/>
      <c r="S17" s="170"/>
    </row>
  </sheetData>
  <dataConsolidate/>
  <mergeCells count="15">
    <mergeCell ref="D16:S16"/>
    <mergeCell ref="D17:S17"/>
    <mergeCell ref="D5:M5"/>
    <mergeCell ref="C1:S1"/>
    <mergeCell ref="D15:S15"/>
    <mergeCell ref="O5:S5"/>
    <mergeCell ref="C2:S2"/>
    <mergeCell ref="D14:S14"/>
    <mergeCell ref="D13:S13"/>
    <mergeCell ref="A6:C6"/>
    <mergeCell ref="A7:C7"/>
    <mergeCell ref="A8:C8"/>
    <mergeCell ref="A10:C10"/>
    <mergeCell ref="R7:R10"/>
    <mergeCell ref="S7:S10"/>
  </mergeCells>
  <conditionalFormatting sqref="S7">
    <cfRule type="dataBar" priority="1">
      <dataBar>
        <cfvo type="min"/>
        <cfvo type="max"/>
        <color rgb="FF63C384"/>
      </dataBar>
      <extLst>
        <ext xmlns:x14="http://schemas.microsoft.com/office/spreadsheetml/2009/9/main" uri="{B025F937-C7B1-47D3-B67F-A62EFF666E3E}">
          <x14:id>{EC9C3F04-EB25-49F2-B555-DC1D6E2BFFC5}</x14:id>
        </ext>
      </extLst>
    </cfRule>
  </conditionalFormatting>
  <pageMargins left="0.70866141732283472" right="0.70866141732283472" top="0.74803149606299213" bottom="0.74803149606299213" header="0.31496062992125984" footer="0.31496062992125984"/>
  <pageSetup scale="63" orientation="landscape" horizontalDpi="360" verticalDpi="360" r:id="rId1"/>
  <headerFooter>
    <oddFooter>&amp;R&amp;P de &amp;N</oddFooter>
  </headerFooter>
  <ignoredErrors>
    <ignoredError sqref="R7:S7 B15 Q7 Q8" evalError="1"/>
  </ignoredErrors>
  <drawing r:id="rId2"/>
  <extLst>
    <ext xmlns:x14="http://schemas.microsoft.com/office/spreadsheetml/2009/9/main" uri="{78C0D931-6437-407d-A8EE-F0AAD7539E65}">
      <x14:conditionalFormattings>
        <x14:conditionalFormatting xmlns:xm="http://schemas.microsoft.com/office/excel/2006/main">
          <x14:cfRule type="dataBar" id="{EC9C3F04-EB25-49F2-B555-DC1D6E2BFFC5}">
            <x14:dataBar minLength="0" maxLength="100" border="1" negativeBarBorderColorSameAsPositive="0">
              <x14:cfvo type="autoMin"/>
              <x14:cfvo type="autoMax"/>
              <x14:borderColor rgb="FF63C384"/>
              <x14:negativeFillColor rgb="FFFF0000"/>
              <x14:negativeBorderColor rgb="FFFF0000"/>
              <x14:axisColor rgb="FF000000"/>
            </x14:dataBar>
          </x14:cfRule>
          <xm:sqref>S7</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14:formula1>
            <xm:f>Hoja1!$B$1:$B$10</xm:f>
          </x14:formula1>
          <xm:sqref>D7:M10</xm:sqref>
        </x14:dataValidation>
        <x14:dataValidation type="list" allowBlank="1" showInputMessage="1" showErrorMessage="1">
          <x14:formula1>
            <xm:f>Hoja1!$D$1:$D$41</xm:f>
          </x14:formula1>
          <xm:sqref>P7:P10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17"/>
  <sheetViews>
    <sheetView showGridLines="0" zoomScale="90" zoomScaleNormal="90" workbookViewId="0">
      <selection activeCell="D17" sqref="D17:S17"/>
    </sheetView>
  </sheetViews>
  <sheetFormatPr baseColWidth="10" defaultColWidth="11.42578125" defaultRowHeight="14.25"/>
  <cols>
    <col min="1" max="1" width="57.85546875" style="1" customWidth="1"/>
    <col min="2" max="3" width="7.7109375" style="1" customWidth="1"/>
    <col min="4" max="13" width="6.140625" style="4" customWidth="1"/>
    <col min="14" max="14" width="3" style="1" customWidth="1"/>
    <col min="15" max="15" width="8.42578125" style="1" customWidth="1"/>
    <col min="16" max="17" width="6" style="1" customWidth="1"/>
    <col min="18" max="18" width="8" style="1" customWidth="1"/>
    <col min="19" max="19" width="20.42578125" style="1" customWidth="1"/>
    <col min="20" max="16384" width="11.42578125" style="1"/>
  </cols>
  <sheetData>
    <row r="1" spans="1:19" ht="15" customHeight="1">
      <c r="A1" s="3" t="s">
        <v>23</v>
      </c>
      <c r="B1" s="14" t="s">
        <v>24</v>
      </c>
      <c r="C1" s="201" t="s">
        <v>25</v>
      </c>
      <c r="D1" s="202"/>
      <c r="E1" s="202"/>
      <c r="F1" s="202"/>
      <c r="G1" s="202"/>
      <c r="H1" s="202"/>
      <c r="I1" s="202"/>
      <c r="J1" s="202"/>
      <c r="K1" s="202"/>
      <c r="L1" s="202"/>
      <c r="M1" s="202"/>
      <c r="N1" s="202"/>
      <c r="O1" s="202"/>
      <c r="P1" s="202"/>
      <c r="Q1" s="202"/>
      <c r="R1" s="202"/>
      <c r="S1" s="202"/>
    </row>
    <row r="2" spans="1:19" ht="68.25" customHeight="1">
      <c r="A2" s="6" t="s">
        <v>54</v>
      </c>
      <c r="B2" s="133" t="e">
        <f>Res.!D26</f>
        <v>#DIV/0!</v>
      </c>
      <c r="C2" s="168"/>
      <c r="D2" s="169"/>
      <c r="E2" s="169"/>
      <c r="F2" s="169"/>
      <c r="G2" s="169"/>
      <c r="H2" s="169"/>
      <c r="I2" s="169"/>
      <c r="J2" s="169"/>
      <c r="K2" s="169"/>
      <c r="L2" s="169"/>
      <c r="M2" s="169"/>
      <c r="N2" s="169"/>
      <c r="O2" s="169"/>
      <c r="P2" s="169"/>
      <c r="Q2" s="169"/>
      <c r="R2" s="169"/>
      <c r="S2" s="170"/>
    </row>
    <row r="5" spans="1:19" ht="18.75" customHeight="1">
      <c r="B5" s="15"/>
      <c r="C5" s="15"/>
      <c r="D5" s="188" t="s">
        <v>27</v>
      </c>
      <c r="E5" s="189"/>
      <c r="F5" s="189"/>
      <c r="G5" s="189"/>
      <c r="H5" s="189"/>
      <c r="I5" s="189"/>
      <c r="J5" s="189"/>
      <c r="K5" s="189"/>
      <c r="L5" s="189"/>
      <c r="M5" s="190"/>
      <c r="O5" s="173" t="s">
        <v>28</v>
      </c>
      <c r="P5" s="174"/>
      <c r="Q5" s="174"/>
      <c r="R5" s="174"/>
      <c r="S5" s="175"/>
    </row>
    <row r="6" spans="1:19" ht="15" customHeight="1">
      <c r="A6" s="179" t="s">
        <v>29</v>
      </c>
      <c r="B6" s="180"/>
      <c r="C6" s="181"/>
      <c r="D6" s="7" t="s">
        <v>5</v>
      </c>
      <c r="E6" s="7" t="s">
        <v>6</v>
      </c>
      <c r="F6" s="7" t="s">
        <v>7</v>
      </c>
      <c r="G6" s="7" t="s">
        <v>8</v>
      </c>
      <c r="H6" s="7" t="s">
        <v>9</v>
      </c>
      <c r="I6" s="7" t="s">
        <v>10</v>
      </c>
      <c r="J6" s="7" t="s">
        <v>11</v>
      </c>
      <c r="K6" s="7" t="s">
        <v>12</v>
      </c>
      <c r="L6" s="7" t="s">
        <v>13</v>
      </c>
      <c r="M6" s="7" t="s">
        <v>14</v>
      </c>
      <c r="O6" s="9" t="s">
        <v>24</v>
      </c>
      <c r="P6" s="9" t="s">
        <v>30</v>
      </c>
      <c r="Q6" s="9" t="s">
        <v>31</v>
      </c>
      <c r="R6" s="9" t="s">
        <v>32</v>
      </c>
      <c r="S6" s="9" t="s">
        <v>33</v>
      </c>
    </row>
    <row r="7" spans="1:19" s="2" customFormat="1" ht="18" customHeight="1">
      <c r="A7" s="182" t="s">
        <v>55</v>
      </c>
      <c r="B7" s="183"/>
      <c r="C7" s="184"/>
      <c r="D7" s="36"/>
      <c r="E7" s="36"/>
      <c r="F7" s="36"/>
      <c r="G7" s="36"/>
      <c r="H7" s="36"/>
      <c r="I7" s="36"/>
      <c r="J7" s="36"/>
      <c r="K7" s="36"/>
      <c r="L7" s="36"/>
      <c r="M7" s="36"/>
      <c r="O7" s="99">
        <f>C14</f>
        <v>0</v>
      </c>
      <c r="P7" s="37"/>
      <c r="Q7" s="100">
        <f>O7*P7</f>
        <v>0</v>
      </c>
      <c r="R7" s="203">
        <f>SUM(Q7:Q10)</f>
        <v>0</v>
      </c>
      <c r="S7" s="199" t="str">
        <f>IF(R7&gt;=4.1,"Cumple Plenamente",IF(R7&gt;=3.1,"cumple Satisfactoriamente",IF(R7&gt;=2.1,"Cumple Aceptablemente",IF(R7=0," ","No Cumple "))))</f>
        <v xml:space="preserve"> </v>
      </c>
    </row>
    <row r="8" spans="1:19" s="2" customFormat="1" ht="18" customHeight="1">
      <c r="A8" s="182" t="s">
        <v>56</v>
      </c>
      <c r="B8" s="183"/>
      <c r="C8" s="184"/>
      <c r="D8" s="36"/>
      <c r="E8" s="36"/>
      <c r="F8" s="36"/>
      <c r="G8" s="36"/>
      <c r="H8" s="36"/>
      <c r="I8" s="36"/>
      <c r="J8" s="36"/>
      <c r="K8" s="36"/>
      <c r="L8" s="36"/>
      <c r="M8" s="36"/>
      <c r="O8" s="99">
        <f>C15</f>
        <v>0</v>
      </c>
      <c r="P8" s="37"/>
      <c r="Q8" s="100">
        <f t="shared" ref="Q8:Q10" si="0">O8*P8</f>
        <v>0</v>
      </c>
      <c r="R8" s="204"/>
      <c r="S8" s="200"/>
    </row>
    <row r="9" spans="1:19" s="2" customFormat="1" ht="18" customHeight="1">
      <c r="A9" s="182" t="s">
        <v>57</v>
      </c>
      <c r="B9" s="183"/>
      <c r="C9" s="184"/>
      <c r="D9" s="36"/>
      <c r="E9" s="36"/>
      <c r="F9" s="36"/>
      <c r="G9" s="36"/>
      <c r="H9" s="36"/>
      <c r="I9" s="36"/>
      <c r="J9" s="36"/>
      <c r="K9" s="36"/>
      <c r="L9" s="36"/>
      <c r="M9" s="36"/>
      <c r="O9" s="99">
        <f>C16</f>
        <v>0</v>
      </c>
      <c r="P9" s="37"/>
      <c r="Q9" s="100">
        <f t="shared" si="0"/>
        <v>0</v>
      </c>
      <c r="R9" s="204"/>
      <c r="S9" s="200"/>
    </row>
    <row r="10" spans="1:19" s="2" customFormat="1" ht="18" customHeight="1">
      <c r="A10" s="182" t="s">
        <v>58</v>
      </c>
      <c r="B10" s="183"/>
      <c r="C10" s="184"/>
      <c r="D10" s="36"/>
      <c r="E10" s="36"/>
      <c r="F10" s="36"/>
      <c r="G10" s="36"/>
      <c r="H10" s="36"/>
      <c r="I10" s="36"/>
      <c r="J10" s="36"/>
      <c r="K10" s="36"/>
      <c r="L10" s="36"/>
      <c r="M10" s="36"/>
      <c r="N10" s="1"/>
      <c r="O10" s="99">
        <f>C17</f>
        <v>0</v>
      </c>
      <c r="P10" s="37"/>
      <c r="Q10" s="100">
        <f t="shared" si="0"/>
        <v>0</v>
      </c>
      <c r="R10" s="204"/>
      <c r="S10" s="200"/>
    </row>
    <row r="11" spans="1:19">
      <c r="D11" s="11"/>
    </row>
    <row r="13" spans="1:19" ht="15" customHeight="1">
      <c r="A13" s="3" t="s">
        <v>29</v>
      </c>
      <c r="B13" s="8" t="s">
        <v>37</v>
      </c>
      <c r="C13" s="3" t="s">
        <v>24</v>
      </c>
      <c r="D13" s="171" t="s">
        <v>25</v>
      </c>
      <c r="E13" s="172"/>
      <c r="F13" s="172"/>
      <c r="G13" s="172"/>
      <c r="H13" s="172"/>
      <c r="I13" s="172"/>
      <c r="J13" s="172"/>
      <c r="K13" s="172"/>
      <c r="L13" s="172"/>
      <c r="M13" s="172"/>
      <c r="N13" s="172"/>
      <c r="O13" s="172"/>
      <c r="P13" s="172"/>
      <c r="Q13" s="172"/>
      <c r="R13" s="172"/>
      <c r="S13" s="172"/>
    </row>
    <row r="14" spans="1:19" ht="66.75" customHeight="1">
      <c r="A14" s="6" t="str">
        <f>A7</f>
        <v>17. Componentes formativos</v>
      </c>
      <c r="B14" s="98" t="e">
        <f>AVERAGE(D7:M7)</f>
        <v>#DIV/0!</v>
      </c>
      <c r="C14" s="97"/>
      <c r="D14" s="168"/>
      <c r="E14" s="169"/>
      <c r="F14" s="169"/>
      <c r="G14" s="169"/>
      <c r="H14" s="169"/>
      <c r="I14" s="169"/>
      <c r="J14" s="169"/>
      <c r="K14" s="169"/>
      <c r="L14" s="169"/>
      <c r="M14" s="169"/>
      <c r="N14" s="169"/>
      <c r="O14" s="169"/>
      <c r="P14" s="169"/>
      <c r="Q14" s="169"/>
      <c r="R14" s="169"/>
      <c r="S14" s="170"/>
    </row>
    <row r="15" spans="1:19" ht="66.75" customHeight="1">
      <c r="A15" s="6" t="str">
        <f>A8</f>
        <v>18. Componentes pedagógicos y de evaluación</v>
      </c>
      <c r="B15" s="98" t="e">
        <f>AVERAGE(D8:M8)</f>
        <v>#DIV/0!</v>
      </c>
      <c r="C15" s="97"/>
      <c r="D15" s="168"/>
      <c r="E15" s="169"/>
      <c r="F15" s="169"/>
      <c r="G15" s="169"/>
      <c r="H15" s="169"/>
      <c r="I15" s="169"/>
      <c r="J15" s="169"/>
      <c r="K15" s="169"/>
      <c r="L15" s="169"/>
      <c r="M15" s="169"/>
      <c r="N15" s="169"/>
      <c r="O15" s="169"/>
      <c r="P15" s="169"/>
      <c r="Q15" s="169"/>
      <c r="R15" s="169"/>
      <c r="S15" s="170"/>
    </row>
    <row r="16" spans="1:19" ht="66.75" customHeight="1">
      <c r="A16" s="6" t="str">
        <f>A9</f>
        <v>19. Componente de interacción y relevancia social</v>
      </c>
      <c r="B16" s="98" t="e">
        <f>AVERAGE(D9:M9)</f>
        <v>#DIV/0!</v>
      </c>
      <c r="C16" s="97"/>
      <c r="D16" s="168"/>
      <c r="E16" s="169"/>
      <c r="F16" s="169"/>
      <c r="G16" s="169"/>
      <c r="H16" s="169"/>
      <c r="I16" s="169"/>
      <c r="J16" s="169"/>
      <c r="K16" s="169"/>
      <c r="L16" s="169"/>
      <c r="M16" s="169"/>
      <c r="N16" s="169"/>
      <c r="O16" s="169"/>
      <c r="P16" s="169"/>
      <c r="Q16" s="169"/>
      <c r="R16" s="169"/>
      <c r="S16" s="170"/>
    </row>
    <row r="17" spans="1:19" ht="66.75" customHeight="1">
      <c r="A17" s="6" t="str">
        <f>A10</f>
        <v>20. Procesos de creación, modificación y ampliación de programas académicos</v>
      </c>
      <c r="B17" s="98" t="e">
        <f>AVERAGE(D10:M10)</f>
        <v>#DIV/0!</v>
      </c>
      <c r="C17" s="97"/>
      <c r="D17" s="205"/>
      <c r="E17" s="206"/>
      <c r="F17" s="206"/>
      <c r="G17" s="206"/>
      <c r="H17" s="206"/>
      <c r="I17" s="206"/>
      <c r="J17" s="206"/>
      <c r="K17" s="206"/>
      <c r="L17" s="206"/>
      <c r="M17" s="206"/>
      <c r="N17" s="206"/>
      <c r="O17" s="206"/>
      <c r="P17" s="206"/>
      <c r="Q17" s="206"/>
      <c r="R17" s="206"/>
      <c r="S17" s="207"/>
    </row>
  </sheetData>
  <dataConsolidate/>
  <mergeCells count="16">
    <mergeCell ref="D13:S13"/>
    <mergeCell ref="D14:S14"/>
    <mergeCell ref="D15:S15"/>
    <mergeCell ref="D16:S16"/>
    <mergeCell ref="D17:S17"/>
    <mergeCell ref="A10:C10"/>
    <mergeCell ref="C1:S1"/>
    <mergeCell ref="C2:S2"/>
    <mergeCell ref="D5:M5"/>
    <mergeCell ref="O5:S5"/>
    <mergeCell ref="A6:C6"/>
    <mergeCell ref="A7:C7"/>
    <mergeCell ref="R7:R10"/>
    <mergeCell ref="S7:S10"/>
    <mergeCell ref="A8:C8"/>
    <mergeCell ref="A9:C9"/>
  </mergeCells>
  <conditionalFormatting sqref="S7">
    <cfRule type="dataBar" priority="1">
      <dataBar>
        <cfvo type="min"/>
        <cfvo type="max"/>
        <color rgb="FF63C384"/>
      </dataBar>
      <extLst>
        <ext xmlns:x14="http://schemas.microsoft.com/office/spreadsheetml/2009/9/main" uri="{B025F937-C7B1-47D3-B67F-A62EFF666E3E}">
          <x14:id>{02F49512-DDDE-4C45-AD6F-0948D6762091}</x14:id>
        </ext>
      </extLst>
    </cfRule>
  </conditionalFormatting>
  <pageMargins left="0.70866141732283472" right="0.70866141732283472" top="0.74803149606299213" bottom="0.74803149606299213" header="0.31496062992125984" footer="0.31496062992125984"/>
  <pageSetup scale="58" orientation="landscape" horizontalDpi="360" verticalDpi="360" r:id="rId1"/>
  <headerFooter>
    <oddFooter>&amp;R&amp;P de &amp;N</oddFooter>
  </headerFooter>
  <drawing r:id="rId2"/>
  <extLst>
    <ext xmlns:x14="http://schemas.microsoft.com/office/spreadsheetml/2009/9/main" uri="{78C0D931-6437-407d-A8EE-F0AAD7539E65}">
      <x14:conditionalFormattings>
        <x14:conditionalFormatting xmlns:xm="http://schemas.microsoft.com/office/excel/2006/main">
          <x14:cfRule type="dataBar" id="{02F49512-DDDE-4C45-AD6F-0948D6762091}">
            <x14:dataBar minLength="0" maxLength="100" border="1" negativeBarBorderColorSameAsPositive="0">
              <x14:cfvo type="autoMin"/>
              <x14:cfvo type="autoMax"/>
              <x14:borderColor rgb="FF63C384"/>
              <x14:negativeFillColor rgb="FFFF0000"/>
              <x14:negativeBorderColor rgb="FFFF0000"/>
              <x14:axisColor rgb="FF000000"/>
            </x14:dataBar>
          </x14:cfRule>
          <xm:sqref>S7</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14:formula1>
            <xm:f>'D:\2021\AUTOEVALUACIÓN 2021\[PONDERACIÓN.xlsx]Hoja1'!#REF!</xm:f>
          </x14:formula1>
          <xm:sqref>P7:P10</xm:sqref>
        </x14:dataValidation>
        <x14:dataValidation type="list" allowBlank="1" showInputMessage="1" showErrorMessage="1">
          <x14:formula1>
            <xm:f>Hoja1!$B$1:$B$10</xm:f>
          </x14:formula1>
          <xm:sqref>D7:M10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13"/>
  <sheetViews>
    <sheetView showGridLines="0" zoomScale="90" zoomScaleNormal="90" workbookViewId="0">
      <selection activeCell="D12" sqref="D12:S13"/>
    </sheetView>
  </sheetViews>
  <sheetFormatPr baseColWidth="10" defaultColWidth="11.42578125" defaultRowHeight="14.25"/>
  <cols>
    <col min="1" max="1" width="49.85546875" style="1" customWidth="1"/>
    <col min="2" max="3" width="7.7109375" style="1" customWidth="1"/>
    <col min="4" max="13" width="6.140625" style="4" customWidth="1"/>
    <col min="14" max="14" width="3" style="1" customWidth="1"/>
    <col min="15" max="15" width="8.42578125" style="1" customWidth="1"/>
    <col min="16" max="17" width="6" style="1" customWidth="1"/>
    <col min="18" max="18" width="8" style="1" customWidth="1"/>
    <col min="19" max="19" width="20.42578125" style="1" customWidth="1"/>
    <col min="20" max="16384" width="11.42578125" style="1"/>
  </cols>
  <sheetData>
    <row r="1" spans="1:19" ht="15" customHeight="1">
      <c r="A1" s="3" t="s">
        <v>23</v>
      </c>
      <c r="B1" s="14" t="s">
        <v>24</v>
      </c>
      <c r="C1" s="201" t="s">
        <v>25</v>
      </c>
      <c r="D1" s="202"/>
      <c r="E1" s="202"/>
      <c r="F1" s="202"/>
      <c r="G1" s="202"/>
      <c r="H1" s="202"/>
      <c r="I1" s="202"/>
      <c r="J1" s="202"/>
      <c r="K1" s="202"/>
      <c r="L1" s="202"/>
      <c r="M1" s="202"/>
      <c r="N1" s="202"/>
      <c r="O1" s="202"/>
      <c r="P1" s="202"/>
      <c r="Q1" s="202"/>
      <c r="R1" s="202"/>
      <c r="S1" s="202"/>
    </row>
    <row r="2" spans="1:19" ht="68.25" customHeight="1">
      <c r="A2" s="6" t="s">
        <v>59</v>
      </c>
      <c r="B2" s="133" t="e">
        <f>Res.!D31</f>
        <v>#DIV/0!</v>
      </c>
      <c r="C2" s="168"/>
      <c r="D2" s="169"/>
      <c r="E2" s="169"/>
      <c r="F2" s="169"/>
      <c r="G2" s="169"/>
      <c r="H2" s="169"/>
      <c r="I2" s="169"/>
      <c r="J2" s="169"/>
      <c r="K2" s="169"/>
      <c r="L2" s="169"/>
      <c r="M2" s="169"/>
      <c r="N2" s="169"/>
      <c r="O2" s="169"/>
      <c r="P2" s="169"/>
      <c r="Q2" s="169"/>
      <c r="R2" s="169"/>
      <c r="S2" s="170"/>
    </row>
    <row r="5" spans="1:19" ht="18.75" customHeight="1">
      <c r="B5" s="15"/>
      <c r="C5" s="15"/>
      <c r="D5" s="188" t="s">
        <v>27</v>
      </c>
      <c r="E5" s="189"/>
      <c r="F5" s="189"/>
      <c r="G5" s="189"/>
      <c r="H5" s="189"/>
      <c r="I5" s="189"/>
      <c r="J5" s="189"/>
      <c r="K5" s="189"/>
      <c r="L5" s="189"/>
      <c r="M5" s="190"/>
      <c r="O5" s="173" t="s">
        <v>28</v>
      </c>
      <c r="P5" s="174"/>
      <c r="Q5" s="174"/>
      <c r="R5" s="174"/>
      <c r="S5" s="175"/>
    </row>
    <row r="6" spans="1:19" ht="15" customHeight="1">
      <c r="A6" s="179" t="s">
        <v>29</v>
      </c>
      <c r="B6" s="180"/>
      <c r="C6" s="181"/>
      <c r="D6" s="7" t="s">
        <v>5</v>
      </c>
      <c r="E6" s="7" t="s">
        <v>6</v>
      </c>
      <c r="F6" s="7" t="s">
        <v>7</v>
      </c>
      <c r="G6" s="7" t="s">
        <v>8</v>
      </c>
      <c r="H6" s="7" t="s">
        <v>9</v>
      </c>
      <c r="I6" s="7" t="s">
        <v>10</v>
      </c>
      <c r="J6" s="7" t="s">
        <v>11</v>
      </c>
      <c r="K6" s="7" t="s">
        <v>12</v>
      </c>
      <c r="L6" s="7" t="s">
        <v>13</v>
      </c>
      <c r="M6" s="7" t="s">
        <v>14</v>
      </c>
      <c r="O6" s="9" t="s">
        <v>24</v>
      </c>
      <c r="P6" s="9" t="s">
        <v>30</v>
      </c>
      <c r="Q6" s="9" t="s">
        <v>31</v>
      </c>
      <c r="R6" s="9" t="s">
        <v>32</v>
      </c>
      <c r="S6" s="9" t="s">
        <v>33</v>
      </c>
    </row>
    <row r="7" spans="1:19" s="2" customFormat="1" ht="18" customHeight="1">
      <c r="A7" s="182" t="s">
        <v>60</v>
      </c>
      <c r="B7" s="183"/>
      <c r="C7" s="184"/>
      <c r="D7" s="36"/>
      <c r="E7" s="36"/>
      <c r="F7" s="36"/>
      <c r="G7" s="36"/>
      <c r="H7" s="36"/>
      <c r="I7" s="36"/>
      <c r="J7" s="36"/>
      <c r="K7" s="36"/>
      <c r="L7" s="36"/>
      <c r="M7" s="36"/>
      <c r="O7" s="99" t="e">
        <f>C12</f>
        <v>#DIV/0!</v>
      </c>
      <c r="P7" s="37"/>
      <c r="Q7" s="100" t="e">
        <f>O7*P7</f>
        <v>#DIV/0!</v>
      </c>
      <c r="R7" s="203" t="e">
        <f>SUM(Q7:Q8)</f>
        <v>#DIV/0!</v>
      </c>
      <c r="S7" s="199" t="e">
        <f>IF(R7&gt;=4.1,"Cumple Plenamente",IF(R7&gt;=3.1,"cumple Satisfactoriamente",IF(R7&gt;=2.1,"Cumple Aceptablemente",IF(R7=0," ","No Cumple "))))</f>
        <v>#DIV/0!</v>
      </c>
    </row>
    <row r="8" spans="1:19" s="2" customFormat="1" ht="18" customHeight="1">
      <c r="A8" s="182" t="s">
        <v>61</v>
      </c>
      <c r="B8" s="183"/>
      <c r="C8" s="184"/>
      <c r="D8" s="36"/>
      <c r="E8" s="36"/>
      <c r="F8" s="36"/>
      <c r="G8" s="36"/>
      <c r="H8" s="36"/>
      <c r="I8" s="36"/>
      <c r="J8" s="36"/>
      <c r="K8" s="36"/>
      <c r="L8" s="36"/>
      <c r="M8" s="36"/>
      <c r="O8" s="99" t="e">
        <f>C13</f>
        <v>#DIV/0!</v>
      </c>
      <c r="P8" s="37"/>
      <c r="Q8" s="100" t="e">
        <f t="shared" ref="Q8" si="0">O8*P8</f>
        <v>#DIV/0!</v>
      </c>
      <c r="R8" s="204"/>
      <c r="S8" s="200"/>
    </row>
    <row r="9" spans="1:19">
      <c r="D9" s="11"/>
    </row>
    <row r="11" spans="1:19" ht="15" customHeight="1">
      <c r="A11" s="3" t="s">
        <v>29</v>
      </c>
      <c r="B11" s="8" t="s">
        <v>37</v>
      </c>
      <c r="C11" s="3" t="s">
        <v>24</v>
      </c>
      <c r="D11" s="171" t="s">
        <v>25</v>
      </c>
      <c r="E11" s="172"/>
      <c r="F11" s="172"/>
      <c r="G11" s="172"/>
      <c r="H11" s="172"/>
      <c r="I11" s="172"/>
      <c r="J11" s="172"/>
      <c r="K11" s="172"/>
      <c r="L11" s="172"/>
      <c r="M11" s="172"/>
      <c r="N11" s="172"/>
      <c r="O11" s="172"/>
      <c r="P11" s="172"/>
      <c r="Q11" s="172"/>
      <c r="R11" s="172"/>
      <c r="S11" s="172"/>
    </row>
    <row r="12" spans="1:19" ht="66.75" customHeight="1">
      <c r="A12" s="6" t="str">
        <f>A7</f>
        <v>21. Formación para la investigación, creación e innovación</v>
      </c>
      <c r="B12" s="98" t="e">
        <f>AVERAGE(D7:M7)</f>
        <v>#DIV/0!</v>
      </c>
      <c r="C12" s="97" t="e">
        <f>B12/SUM($B$12:$B$13)</f>
        <v>#DIV/0!</v>
      </c>
      <c r="D12" s="168"/>
      <c r="E12" s="169"/>
      <c r="F12" s="169"/>
      <c r="G12" s="169"/>
      <c r="H12" s="169"/>
      <c r="I12" s="169"/>
      <c r="J12" s="169"/>
      <c r="K12" s="169"/>
      <c r="L12" s="169"/>
      <c r="M12" s="169"/>
      <c r="N12" s="169"/>
      <c r="O12" s="169"/>
      <c r="P12" s="169"/>
      <c r="Q12" s="169"/>
      <c r="R12" s="169"/>
      <c r="S12" s="170"/>
    </row>
    <row r="13" spans="1:19" ht="66.75" customHeight="1">
      <c r="A13" s="6" t="str">
        <f>A8</f>
        <v>22. Investigación, desarrollo tecnológico, innovación y creación</v>
      </c>
      <c r="B13" s="98" t="e">
        <f>AVERAGE(D8:M8)</f>
        <v>#DIV/0!</v>
      </c>
      <c r="C13" s="97" t="e">
        <f>B13/SUM($B$12:$B$13)</f>
        <v>#DIV/0!</v>
      </c>
      <c r="D13" s="168"/>
      <c r="E13" s="169"/>
      <c r="F13" s="169"/>
      <c r="G13" s="169"/>
      <c r="H13" s="169"/>
      <c r="I13" s="169"/>
      <c r="J13" s="169"/>
      <c r="K13" s="169"/>
      <c r="L13" s="169"/>
      <c r="M13" s="169"/>
      <c r="N13" s="169"/>
      <c r="O13" s="169"/>
      <c r="P13" s="169"/>
      <c r="Q13" s="169"/>
      <c r="R13" s="169"/>
      <c r="S13" s="170"/>
    </row>
  </sheetData>
  <dataConsolidate/>
  <mergeCells count="12">
    <mergeCell ref="D13:S13"/>
    <mergeCell ref="C1:S1"/>
    <mergeCell ref="C2:S2"/>
    <mergeCell ref="D5:M5"/>
    <mergeCell ref="O5:S5"/>
    <mergeCell ref="A6:C6"/>
    <mergeCell ref="D11:S11"/>
    <mergeCell ref="D12:S12"/>
    <mergeCell ref="A8:C8"/>
    <mergeCell ref="A7:C7"/>
    <mergeCell ref="R7:R8"/>
    <mergeCell ref="S7:S8"/>
  </mergeCells>
  <conditionalFormatting sqref="S7:S8">
    <cfRule type="dataBar" priority="217">
      <dataBar>
        <cfvo type="min"/>
        <cfvo type="max"/>
        <color rgb="FF63C384"/>
      </dataBar>
      <extLst>
        <ext xmlns:x14="http://schemas.microsoft.com/office/spreadsheetml/2009/9/main" uri="{B025F937-C7B1-47D3-B67F-A62EFF666E3E}">
          <x14:id>{F8D6480E-E0F3-4D75-86ED-A4ABB2195956}</x14:id>
        </ext>
      </extLst>
    </cfRule>
  </conditionalFormatting>
  <pageMargins left="0.70866141732283472" right="0.70866141732283472" top="0.74803149606299213" bottom="0.74803149606299213" header="0.31496062992125984" footer="0.31496062992125984"/>
  <pageSetup scale="60" orientation="landscape" horizontalDpi="360" verticalDpi="360" r:id="rId1"/>
  <headerFooter>
    <oddFooter>&amp;R&amp;P de &amp;N</oddFooter>
  </headerFooter>
  <drawing r:id="rId2"/>
  <extLst>
    <ext xmlns:x14="http://schemas.microsoft.com/office/spreadsheetml/2009/9/main" uri="{78C0D931-6437-407d-A8EE-F0AAD7539E65}">
      <x14:conditionalFormattings>
        <x14:conditionalFormatting xmlns:xm="http://schemas.microsoft.com/office/excel/2006/main">
          <x14:cfRule type="dataBar" id="{F8D6480E-E0F3-4D75-86ED-A4ABB2195956}">
            <x14:dataBar minLength="0" maxLength="100" border="1" negativeBarBorderColorSameAsPositive="0">
              <x14:cfvo type="autoMin"/>
              <x14:cfvo type="autoMax"/>
              <x14:borderColor rgb="FF63C384"/>
              <x14:negativeFillColor rgb="FFFF0000"/>
              <x14:negativeBorderColor rgb="FFFF0000"/>
              <x14:axisColor rgb="FF000000"/>
            </x14:dataBar>
          </x14:cfRule>
          <xm:sqref>S7:S8</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14:formula1>
            <xm:f>Hoja1!$D$1:$D$41</xm:f>
          </x14:formula1>
          <xm:sqref>P7:P8</xm:sqref>
        </x14:dataValidation>
        <x14:dataValidation type="list" allowBlank="1" showInputMessage="1" showErrorMessage="1">
          <x14:formula1>
            <xm:f>Hoja1!$B$1:$B$10</xm:f>
          </x14:formula1>
          <xm:sqref>D7:M8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17"/>
  <sheetViews>
    <sheetView showGridLines="0" zoomScale="90" zoomScaleNormal="90" workbookViewId="0">
      <selection activeCell="D12" sqref="D12:S13"/>
    </sheetView>
  </sheetViews>
  <sheetFormatPr baseColWidth="10" defaultColWidth="11.42578125" defaultRowHeight="14.25"/>
  <cols>
    <col min="1" max="1" width="59.85546875" style="1" customWidth="1"/>
    <col min="2" max="3" width="7.7109375" style="1" customWidth="1"/>
    <col min="4" max="13" width="6.140625" style="4" customWidth="1"/>
    <col min="14" max="14" width="3" style="1" customWidth="1"/>
    <col min="15" max="15" width="8.42578125" style="1" customWidth="1"/>
    <col min="16" max="17" width="6" style="1" customWidth="1"/>
    <col min="18" max="18" width="8" style="1" customWidth="1"/>
    <col min="19" max="19" width="20.42578125" style="1" customWidth="1"/>
    <col min="20" max="16384" width="11.42578125" style="1"/>
  </cols>
  <sheetData>
    <row r="1" spans="1:19" ht="15" customHeight="1">
      <c r="A1" s="7" t="s">
        <v>23</v>
      </c>
      <c r="B1" s="14" t="s">
        <v>24</v>
      </c>
      <c r="C1" s="176" t="s">
        <v>25</v>
      </c>
      <c r="D1" s="177"/>
      <c r="E1" s="177"/>
      <c r="F1" s="177"/>
      <c r="G1" s="177"/>
      <c r="H1" s="177"/>
      <c r="I1" s="177"/>
      <c r="J1" s="177"/>
      <c r="K1" s="177"/>
      <c r="L1" s="177"/>
      <c r="M1" s="177"/>
      <c r="N1" s="177"/>
      <c r="O1" s="177"/>
      <c r="P1" s="177"/>
      <c r="Q1" s="177"/>
      <c r="R1" s="177"/>
      <c r="S1" s="177"/>
    </row>
    <row r="2" spans="1:19" ht="68.25" customHeight="1">
      <c r="A2" s="19" t="s">
        <v>62</v>
      </c>
      <c r="B2" s="133" t="e">
        <f>Res.!D34</f>
        <v>#DIV/0!</v>
      </c>
      <c r="C2" s="208"/>
      <c r="D2" s="209"/>
      <c r="E2" s="209"/>
      <c r="F2" s="209"/>
      <c r="G2" s="209"/>
      <c r="H2" s="209"/>
      <c r="I2" s="209"/>
      <c r="J2" s="209"/>
      <c r="K2" s="209"/>
      <c r="L2" s="209"/>
      <c r="M2" s="209"/>
      <c r="N2" s="209"/>
      <c r="O2" s="209"/>
      <c r="P2" s="209"/>
      <c r="Q2" s="209"/>
      <c r="R2" s="209"/>
      <c r="S2" s="210"/>
    </row>
    <row r="5" spans="1:19" ht="18.75" customHeight="1">
      <c r="B5" s="15"/>
      <c r="C5" s="15"/>
      <c r="D5" s="188" t="s">
        <v>27</v>
      </c>
      <c r="E5" s="189"/>
      <c r="F5" s="189"/>
      <c r="G5" s="189"/>
      <c r="H5" s="189"/>
      <c r="I5" s="189"/>
      <c r="J5" s="189"/>
      <c r="K5" s="189"/>
      <c r="L5" s="189"/>
      <c r="M5" s="190"/>
      <c r="O5" s="173" t="s">
        <v>28</v>
      </c>
      <c r="P5" s="174"/>
      <c r="Q5" s="174"/>
      <c r="R5" s="174"/>
      <c r="S5" s="175"/>
    </row>
    <row r="6" spans="1:19" ht="15" customHeight="1">
      <c r="A6" s="179" t="s">
        <v>29</v>
      </c>
      <c r="B6" s="180"/>
      <c r="C6" s="181"/>
      <c r="D6" s="7" t="s">
        <v>5</v>
      </c>
      <c r="E6" s="7" t="s">
        <v>6</v>
      </c>
      <c r="F6" s="7" t="s">
        <v>7</v>
      </c>
      <c r="G6" s="7" t="s">
        <v>8</v>
      </c>
      <c r="H6" s="7" t="s">
        <v>9</v>
      </c>
      <c r="I6" s="7" t="s">
        <v>10</v>
      </c>
      <c r="J6" s="7" t="s">
        <v>11</v>
      </c>
      <c r="K6" s="7" t="s">
        <v>12</v>
      </c>
      <c r="L6" s="7" t="s">
        <v>13</v>
      </c>
      <c r="M6" s="7" t="s">
        <v>14</v>
      </c>
      <c r="O6" s="9" t="s">
        <v>24</v>
      </c>
      <c r="P6" s="9" t="s">
        <v>30</v>
      </c>
      <c r="Q6" s="9" t="s">
        <v>31</v>
      </c>
      <c r="R6" s="9" t="s">
        <v>32</v>
      </c>
      <c r="S6" s="9" t="s">
        <v>33</v>
      </c>
    </row>
    <row r="7" spans="1:19" s="2" customFormat="1" ht="18" customHeight="1">
      <c r="A7" s="182" t="s">
        <v>63</v>
      </c>
      <c r="B7" s="183"/>
      <c r="C7" s="184"/>
      <c r="D7" s="38"/>
      <c r="E7" s="38"/>
      <c r="F7" s="38"/>
      <c r="G7" s="38"/>
      <c r="H7" s="38"/>
      <c r="I7" s="38"/>
      <c r="J7" s="38"/>
      <c r="K7" s="38"/>
      <c r="L7" s="38"/>
      <c r="M7" s="38"/>
      <c r="O7" s="99">
        <f>C12</f>
        <v>0.6</v>
      </c>
      <c r="P7" s="39"/>
      <c r="Q7" s="100">
        <f>O7*P7</f>
        <v>0</v>
      </c>
      <c r="R7" s="203">
        <f>SUM(Q7:Q8)</f>
        <v>0</v>
      </c>
      <c r="S7" s="199" t="str">
        <f>IF(R7&gt;=4.1,"Cumple Plenamente",IF(R7&gt;=3.1,"cumple Satisfactoriamente",IF(R7&gt;=2.1,"Cumple Aceptablemente",IF(R7=0," ","No Cumple "))))</f>
        <v xml:space="preserve"> </v>
      </c>
    </row>
    <row r="8" spans="1:19" s="2" customFormat="1" ht="18" customHeight="1">
      <c r="A8" s="182" t="s">
        <v>64</v>
      </c>
      <c r="B8" s="183"/>
      <c r="C8" s="184"/>
      <c r="D8" s="38"/>
      <c r="E8" s="38"/>
      <c r="F8" s="38"/>
      <c r="G8" s="38"/>
      <c r="H8" s="38"/>
      <c r="I8" s="38"/>
      <c r="J8" s="38"/>
      <c r="K8" s="38"/>
      <c r="L8" s="38"/>
      <c r="M8" s="38"/>
      <c r="O8" s="99">
        <f>C13</f>
        <v>0.4</v>
      </c>
      <c r="P8" s="39"/>
      <c r="Q8" s="100">
        <f t="shared" ref="Q8" si="0">O8*P8</f>
        <v>0</v>
      </c>
      <c r="R8" s="204"/>
      <c r="S8" s="200"/>
    </row>
    <row r="9" spans="1:19">
      <c r="N9" s="2"/>
    </row>
    <row r="11" spans="1:19" ht="15" customHeight="1">
      <c r="A11" s="3" t="s">
        <v>29</v>
      </c>
      <c r="B11" s="8" t="s">
        <v>37</v>
      </c>
      <c r="C11" s="3" t="s">
        <v>24</v>
      </c>
      <c r="D11" s="171" t="s">
        <v>25</v>
      </c>
      <c r="E11" s="172"/>
      <c r="F11" s="172"/>
      <c r="G11" s="172"/>
      <c r="H11" s="172"/>
      <c r="I11" s="172"/>
      <c r="J11" s="172"/>
      <c r="K11" s="172"/>
      <c r="L11" s="172"/>
      <c r="M11" s="172"/>
      <c r="N11" s="172"/>
      <c r="O11" s="172"/>
      <c r="P11" s="172"/>
      <c r="Q11" s="172"/>
      <c r="R11" s="172"/>
      <c r="S11" s="172"/>
    </row>
    <row r="12" spans="1:19" ht="66.75" customHeight="1">
      <c r="A12" s="6" t="str">
        <f>A7</f>
        <v>23. Institución y entorno</v>
      </c>
      <c r="B12" s="98" t="e">
        <f>AVERAGE(D7:M7)</f>
        <v>#DIV/0!</v>
      </c>
      <c r="C12" s="97">
        <v>0.6</v>
      </c>
      <c r="D12" s="208"/>
      <c r="E12" s="209"/>
      <c r="F12" s="209"/>
      <c r="G12" s="209"/>
      <c r="H12" s="209"/>
      <c r="I12" s="209"/>
      <c r="J12" s="209"/>
      <c r="K12" s="209"/>
      <c r="L12" s="209"/>
      <c r="M12" s="209"/>
      <c r="N12" s="209"/>
      <c r="O12" s="209"/>
      <c r="P12" s="209"/>
      <c r="Q12" s="209"/>
      <c r="R12" s="209"/>
      <c r="S12" s="210"/>
    </row>
    <row r="13" spans="1:19" ht="66.75" customHeight="1">
      <c r="A13" s="6" t="str">
        <f>A8</f>
        <v>24. Impacto cultural y artístico</v>
      </c>
      <c r="B13" s="98" t="e">
        <f>AVERAGE(D8:M8)</f>
        <v>#DIV/0!</v>
      </c>
      <c r="C13" s="97">
        <v>0.4</v>
      </c>
      <c r="D13" s="208"/>
      <c r="E13" s="209"/>
      <c r="F13" s="209"/>
      <c r="G13" s="209"/>
      <c r="H13" s="209"/>
      <c r="I13" s="209"/>
      <c r="J13" s="209"/>
      <c r="K13" s="209"/>
      <c r="L13" s="209"/>
      <c r="M13" s="209"/>
      <c r="N13" s="209"/>
      <c r="O13" s="209"/>
      <c r="P13" s="209"/>
      <c r="Q13" s="209"/>
      <c r="R13" s="209"/>
      <c r="S13" s="210"/>
    </row>
    <row r="14" spans="1:19">
      <c r="D14" s="11"/>
      <c r="N14" s="12"/>
    </row>
    <row r="15" spans="1:19">
      <c r="D15" s="11"/>
      <c r="N15" s="12"/>
    </row>
    <row r="16" spans="1:19">
      <c r="D16" s="11"/>
      <c r="N16" s="10"/>
    </row>
    <row r="17" spans="4:4">
      <c r="D17" s="11"/>
    </row>
  </sheetData>
  <dataConsolidate/>
  <mergeCells count="12">
    <mergeCell ref="D13:S13"/>
    <mergeCell ref="C2:S2"/>
    <mergeCell ref="C1:S1"/>
    <mergeCell ref="O5:S5"/>
    <mergeCell ref="S7:S8"/>
    <mergeCell ref="R7:R8"/>
    <mergeCell ref="D5:M5"/>
    <mergeCell ref="D12:S12"/>
    <mergeCell ref="D11:S11"/>
    <mergeCell ref="A6:C6"/>
    <mergeCell ref="A7:C7"/>
    <mergeCell ref="A8:C8"/>
  </mergeCells>
  <conditionalFormatting sqref="S7:S8">
    <cfRule type="dataBar" priority="1">
      <dataBar>
        <cfvo type="min"/>
        <cfvo type="max"/>
        <color rgb="FF63C384"/>
      </dataBar>
      <extLst>
        <ext xmlns:x14="http://schemas.microsoft.com/office/spreadsheetml/2009/9/main" uri="{B025F937-C7B1-47D3-B67F-A62EFF666E3E}">
          <x14:id>{913AF020-DC23-4252-A302-8A6851E76A84}</x14:id>
        </ext>
      </extLst>
    </cfRule>
  </conditionalFormatting>
  <pageMargins left="0.70866141732283472" right="0.70866141732283472" top="0.74803149606299213" bottom="0.74803149606299213" header="0.31496062992125984" footer="0.31496062992125984"/>
  <pageSetup scale="57" orientation="landscape" horizontalDpi="360" verticalDpi="360" r:id="rId1"/>
  <headerFooter>
    <oddFooter>&amp;R&amp;P de &amp;N</oddFooter>
  </headerFooter>
  <ignoredErrors>
    <ignoredError sqref="Q7:S7 B12" evalError="1"/>
  </ignoredErrors>
  <drawing r:id="rId2"/>
  <extLst>
    <ext xmlns:x14="http://schemas.microsoft.com/office/spreadsheetml/2009/9/main" uri="{78C0D931-6437-407d-A8EE-F0AAD7539E65}">
      <x14:conditionalFormattings>
        <x14:conditionalFormatting xmlns:xm="http://schemas.microsoft.com/office/excel/2006/main">
          <x14:cfRule type="dataBar" id="{913AF020-DC23-4252-A302-8A6851E76A84}">
            <x14:dataBar minLength="0" maxLength="100" border="1" negativeBarBorderColorSameAsPositive="0">
              <x14:cfvo type="autoMin"/>
              <x14:cfvo type="autoMax"/>
              <x14:borderColor rgb="FF63C384"/>
              <x14:negativeFillColor rgb="FFFF0000"/>
              <x14:negativeBorderColor rgb="FFFF0000"/>
              <x14:axisColor rgb="FF000000"/>
            </x14:dataBar>
          </x14:cfRule>
          <xm:sqref>S7:S8</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14:formula1>
            <xm:f>Hoja1!$B$1:$B$10</xm:f>
          </x14:formula1>
          <xm:sqref>D7:M8</xm:sqref>
        </x14:dataValidation>
        <x14:dataValidation type="list" allowBlank="1" showInputMessage="1" showErrorMessage="1">
          <x14:formula1>
            <xm:f>Hoja1!$D$1:$D$41</xm:f>
          </x14:formula1>
          <xm:sqref>P7:P9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17"/>
  <sheetViews>
    <sheetView showGridLines="0" zoomScale="90" zoomScaleNormal="90" workbookViewId="0">
      <selection activeCell="C2" sqref="C2:S2"/>
    </sheetView>
  </sheetViews>
  <sheetFormatPr baseColWidth="10" defaultColWidth="11.42578125" defaultRowHeight="14.25"/>
  <cols>
    <col min="1" max="1" width="67.42578125" style="1" customWidth="1"/>
    <col min="2" max="3" width="7.7109375" style="1" customWidth="1"/>
    <col min="4" max="13" width="6.140625" style="4" customWidth="1"/>
    <col min="14" max="14" width="3" style="1" customWidth="1"/>
    <col min="15" max="15" width="8.42578125" style="1" customWidth="1"/>
    <col min="16" max="17" width="6" style="1" customWidth="1"/>
    <col min="18" max="18" width="8" style="1" customWidth="1"/>
    <col min="19" max="19" width="20.42578125" style="1" customWidth="1"/>
    <col min="20" max="16384" width="11.42578125" style="1"/>
  </cols>
  <sheetData>
    <row r="1" spans="1:19" ht="15" customHeight="1">
      <c r="A1" s="7" t="s">
        <v>23</v>
      </c>
      <c r="B1" s="14" t="s">
        <v>24</v>
      </c>
      <c r="C1" s="211" t="s">
        <v>25</v>
      </c>
      <c r="D1" s="212"/>
      <c r="E1" s="212"/>
      <c r="F1" s="212"/>
      <c r="G1" s="212"/>
      <c r="H1" s="212"/>
      <c r="I1" s="212"/>
      <c r="J1" s="212"/>
      <c r="K1" s="212"/>
      <c r="L1" s="212"/>
      <c r="M1" s="212"/>
      <c r="N1" s="212"/>
      <c r="O1" s="212"/>
      <c r="P1" s="212"/>
      <c r="Q1" s="212"/>
      <c r="R1" s="212"/>
      <c r="S1" s="212"/>
    </row>
    <row r="2" spans="1:19" ht="68.25" customHeight="1">
      <c r="A2" s="19" t="s">
        <v>65</v>
      </c>
      <c r="B2" s="133" t="e">
        <f>Res.!D37</f>
        <v>#DIV/0!</v>
      </c>
      <c r="C2" s="208"/>
      <c r="D2" s="209"/>
      <c r="E2" s="209"/>
      <c r="F2" s="209"/>
      <c r="G2" s="209"/>
      <c r="H2" s="209"/>
      <c r="I2" s="209"/>
      <c r="J2" s="209"/>
      <c r="K2" s="209"/>
      <c r="L2" s="209"/>
      <c r="M2" s="209"/>
      <c r="N2" s="209"/>
      <c r="O2" s="209"/>
      <c r="P2" s="209"/>
      <c r="Q2" s="209"/>
      <c r="R2" s="209"/>
      <c r="S2" s="210"/>
    </row>
    <row r="5" spans="1:19" ht="18.75" customHeight="1">
      <c r="B5" s="15"/>
      <c r="C5" s="15"/>
      <c r="D5" s="188" t="s">
        <v>27</v>
      </c>
      <c r="E5" s="189"/>
      <c r="F5" s="189"/>
      <c r="G5" s="189"/>
      <c r="H5" s="189"/>
      <c r="I5" s="189"/>
      <c r="J5" s="189"/>
      <c r="K5" s="189"/>
      <c r="L5" s="189"/>
      <c r="M5" s="190"/>
      <c r="O5" s="173" t="s">
        <v>28</v>
      </c>
      <c r="P5" s="174"/>
      <c r="Q5" s="174"/>
      <c r="R5" s="174"/>
      <c r="S5" s="175"/>
    </row>
    <row r="6" spans="1:19" ht="15" customHeight="1">
      <c r="A6" s="179" t="s">
        <v>29</v>
      </c>
      <c r="B6" s="180"/>
      <c r="C6" s="181"/>
      <c r="D6" s="7" t="s">
        <v>5</v>
      </c>
      <c r="E6" s="7" t="s">
        <v>6</v>
      </c>
      <c r="F6" s="7" t="s">
        <v>7</v>
      </c>
      <c r="G6" s="7" t="s">
        <v>8</v>
      </c>
      <c r="H6" s="7" t="s">
        <v>9</v>
      </c>
      <c r="I6" s="7" t="s">
        <v>10</v>
      </c>
      <c r="J6" s="7" t="s">
        <v>11</v>
      </c>
      <c r="K6" s="7" t="s">
        <v>12</v>
      </c>
      <c r="L6" s="7" t="s">
        <v>13</v>
      </c>
      <c r="M6" s="7" t="s">
        <v>14</v>
      </c>
      <c r="O6" s="9" t="s">
        <v>24</v>
      </c>
      <c r="P6" s="9" t="s">
        <v>30</v>
      </c>
      <c r="Q6" s="9" t="s">
        <v>31</v>
      </c>
      <c r="R6" s="9" t="s">
        <v>32</v>
      </c>
      <c r="S6" s="9" t="s">
        <v>33</v>
      </c>
    </row>
    <row r="7" spans="1:19" s="2" customFormat="1" ht="18" customHeight="1">
      <c r="A7" s="182" t="s">
        <v>66</v>
      </c>
      <c r="B7" s="183"/>
      <c r="C7" s="184"/>
      <c r="D7" s="38"/>
      <c r="E7" s="38"/>
      <c r="F7" s="38"/>
      <c r="G7" s="38"/>
      <c r="H7" s="38"/>
      <c r="I7" s="38"/>
      <c r="J7" s="38"/>
      <c r="K7" s="38"/>
      <c r="L7" s="38"/>
      <c r="M7" s="38"/>
      <c r="O7" s="99">
        <f>C12</f>
        <v>0.5</v>
      </c>
      <c r="P7" s="39"/>
      <c r="Q7" s="100">
        <f>O7*P7</f>
        <v>0</v>
      </c>
      <c r="R7" s="203">
        <f>SUM(Q7:Q8)</f>
        <v>0</v>
      </c>
      <c r="S7" s="199" t="str">
        <f>IF(R7&gt;=4.1,"Cumple Plenamente",IF(R7&gt;=3.1,"cumple Satisfactoriamente",IF(R7&gt;=2.1,"Cumple Aceptablemente",IF(R7=0," ","No Cumple "))))</f>
        <v xml:space="preserve"> </v>
      </c>
    </row>
    <row r="8" spans="1:19" s="2" customFormat="1" ht="18" customHeight="1">
      <c r="A8" s="182" t="s">
        <v>67</v>
      </c>
      <c r="B8" s="183"/>
      <c r="C8" s="184"/>
      <c r="D8" s="38"/>
      <c r="E8" s="38"/>
      <c r="F8" s="38"/>
      <c r="G8" s="38"/>
      <c r="H8" s="38"/>
      <c r="I8" s="38"/>
      <c r="J8" s="38"/>
      <c r="K8" s="38"/>
      <c r="L8" s="38"/>
      <c r="M8" s="38"/>
      <c r="O8" s="99">
        <f>C13</f>
        <v>0.5</v>
      </c>
      <c r="P8" s="39"/>
      <c r="Q8" s="100">
        <f>O8*P8</f>
        <v>0</v>
      </c>
      <c r="R8" s="213"/>
      <c r="S8" s="214"/>
    </row>
    <row r="9" spans="1:19">
      <c r="N9" s="2"/>
    </row>
    <row r="11" spans="1:19" ht="15" customHeight="1">
      <c r="A11" s="3" t="s">
        <v>29</v>
      </c>
      <c r="B11" s="8" t="s">
        <v>37</v>
      </c>
      <c r="C11" s="3" t="s">
        <v>24</v>
      </c>
      <c r="D11" s="215" t="s">
        <v>25</v>
      </c>
      <c r="E11" s="216"/>
      <c r="F11" s="216"/>
      <c r="G11" s="216"/>
      <c r="H11" s="216"/>
      <c r="I11" s="216"/>
      <c r="J11" s="216"/>
      <c r="K11" s="216"/>
      <c r="L11" s="216"/>
      <c r="M11" s="216"/>
      <c r="N11" s="216"/>
      <c r="O11" s="216"/>
      <c r="P11" s="216"/>
      <c r="Q11" s="216"/>
      <c r="R11" s="216"/>
      <c r="S11" s="216"/>
    </row>
    <row r="12" spans="1:19" ht="66.75" customHeight="1">
      <c r="A12" s="6" t="str">
        <f>A7</f>
        <v>25. Inserción de la institución en contextos académicos nacionales e internacionales</v>
      </c>
      <c r="B12" s="98" t="e">
        <f>AVERAGE(D7:M7)</f>
        <v>#DIV/0!</v>
      </c>
      <c r="C12" s="97">
        <v>0.5</v>
      </c>
      <c r="D12" s="208"/>
      <c r="E12" s="209"/>
      <c r="F12" s="209"/>
      <c r="G12" s="209"/>
      <c r="H12" s="209"/>
      <c r="I12" s="209"/>
      <c r="J12" s="209"/>
      <c r="K12" s="209"/>
      <c r="L12" s="209"/>
      <c r="M12" s="209"/>
      <c r="N12" s="209"/>
      <c r="O12" s="209"/>
      <c r="P12" s="209"/>
      <c r="Q12" s="209"/>
      <c r="R12" s="209"/>
      <c r="S12" s="210"/>
    </row>
    <row r="13" spans="1:19" ht="66.75" customHeight="1">
      <c r="A13" s="6" t="str">
        <f>A8</f>
        <v>26. Relaciones externas de profesores y estudiantes</v>
      </c>
      <c r="B13" s="98" t="e">
        <f>AVERAGE(D8:M8)</f>
        <v>#DIV/0!</v>
      </c>
      <c r="C13" s="97">
        <v>0.5</v>
      </c>
      <c r="D13" s="208"/>
      <c r="E13" s="209"/>
      <c r="F13" s="209"/>
      <c r="G13" s="209"/>
      <c r="H13" s="209"/>
      <c r="I13" s="209"/>
      <c r="J13" s="209"/>
      <c r="K13" s="209"/>
      <c r="L13" s="209"/>
      <c r="M13" s="209"/>
      <c r="N13" s="209"/>
      <c r="O13" s="209"/>
      <c r="P13" s="209"/>
      <c r="Q13" s="209"/>
      <c r="R13" s="209"/>
      <c r="S13" s="210"/>
    </row>
    <row r="14" spans="1:19">
      <c r="D14" s="11"/>
      <c r="N14" s="12"/>
    </row>
    <row r="15" spans="1:19">
      <c r="D15" s="11"/>
      <c r="N15" s="12"/>
    </row>
    <row r="16" spans="1:19">
      <c r="D16" s="11"/>
      <c r="N16" s="10"/>
    </row>
    <row r="17" spans="4:4">
      <c r="D17" s="11"/>
    </row>
  </sheetData>
  <dataConsolidate/>
  <mergeCells count="12">
    <mergeCell ref="D11:S11"/>
    <mergeCell ref="D12:S12"/>
    <mergeCell ref="D13:S13"/>
    <mergeCell ref="A6:C6"/>
    <mergeCell ref="A7:C7"/>
    <mergeCell ref="A8:C8"/>
    <mergeCell ref="C1:S1"/>
    <mergeCell ref="C2:S2"/>
    <mergeCell ref="O5:S5"/>
    <mergeCell ref="R7:R8"/>
    <mergeCell ref="S7:S8"/>
    <mergeCell ref="D5:M5"/>
  </mergeCells>
  <conditionalFormatting sqref="S7">
    <cfRule type="dataBar" priority="1">
      <dataBar>
        <cfvo type="min"/>
        <cfvo type="max"/>
        <color rgb="FF63C384"/>
      </dataBar>
      <extLst>
        <ext xmlns:x14="http://schemas.microsoft.com/office/spreadsheetml/2009/9/main" uri="{B025F937-C7B1-47D3-B67F-A62EFF666E3E}">
          <x14:id>{6A512E38-1732-40D9-B1A7-1329283942C7}</x14:id>
        </ext>
      </extLst>
    </cfRule>
  </conditionalFormatting>
  <pageMargins left="0.70866141732283472" right="0.70866141732283472" top="0.74803149606299213" bottom="0.74803149606299213" header="0.31496062992125984" footer="0.31496062992125984"/>
  <pageSetup scale="55" orientation="landscape" horizontalDpi="360" verticalDpi="360" r:id="rId1"/>
  <headerFooter>
    <oddFooter>&amp;R&amp;P de &amp;N</oddFooter>
  </headerFooter>
  <ignoredErrors>
    <ignoredError sqref="B13 Q7:S7 Q8:S8 B12" evalError="1"/>
  </ignoredErrors>
  <drawing r:id="rId2"/>
  <extLst>
    <ext xmlns:x14="http://schemas.microsoft.com/office/spreadsheetml/2009/9/main" uri="{78C0D931-6437-407d-A8EE-F0AAD7539E65}">
      <x14:conditionalFormattings>
        <x14:conditionalFormatting xmlns:xm="http://schemas.microsoft.com/office/excel/2006/main">
          <x14:cfRule type="dataBar" id="{6A512E38-1732-40D9-B1A7-1329283942C7}">
            <x14:dataBar minLength="0" maxLength="100" border="1" negativeBarBorderColorSameAsPositive="0">
              <x14:cfvo type="autoMin"/>
              <x14:cfvo type="autoMax"/>
              <x14:borderColor rgb="FF63C384"/>
              <x14:negativeFillColor rgb="FFFF0000"/>
              <x14:negativeBorderColor rgb="FFFF0000"/>
              <x14:axisColor rgb="FF000000"/>
            </x14:dataBar>
          </x14:cfRule>
          <xm:sqref>S7</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14:formula1>
            <xm:f>Hoja1!$B$1:$B$10</xm:f>
          </x14:formula1>
          <xm:sqref>D7:M8</xm:sqref>
        </x14:dataValidation>
        <x14:dataValidation type="list" allowBlank="1" showInputMessage="1" showErrorMessage="1">
          <x14:formula1>
            <xm:f>Hoja1!$D$1:$D$41</xm:f>
          </x14:formula1>
          <xm:sqref>P7:P9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15"/>
  <sheetViews>
    <sheetView showGridLines="0" zoomScale="90" zoomScaleNormal="90" workbookViewId="0">
      <selection activeCell="D11" sqref="D11:S11"/>
    </sheetView>
  </sheetViews>
  <sheetFormatPr baseColWidth="10" defaultColWidth="11.42578125" defaultRowHeight="14.25"/>
  <cols>
    <col min="1" max="1" width="41.5703125" style="1" customWidth="1"/>
    <col min="2" max="2" width="7.7109375" style="1" customWidth="1"/>
    <col min="3" max="3" width="13.28515625" style="1" customWidth="1"/>
    <col min="4" max="13" width="6.140625" style="4" customWidth="1"/>
    <col min="14" max="14" width="3" style="1" customWidth="1"/>
    <col min="15" max="15" width="8.42578125" style="1" customWidth="1"/>
    <col min="16" max="17" width="6" style="1" customWidth="1"/>
    <col min="18" max="18" width="8" style="1" customWidth="1"/>
    <col min="19" max="19" width="20.42578125" style="1" customWidth="1"/>
    <col min="20" max="16384" width="11.42578125" style="1"/>
  </cols>
  <sheetData>
    <row r="1" spans="1:19" ht="15" customHeight="1">
      <c r="A1" s="13" t="s">
        <v>23</v>
      </c>
      <c r="B1" s="14" t="s">
        <v>24</v>
      </c>
      <c r="C1" s="176" t="s">
        <v>25</v>
      </c>
      <c r="D1" s="177"/>
      <c r="E1" s="177"/>
      <c r="F1" s="177"/>
      <c r="G1" s="177"/>
      <c r="H1" s="177"/>
      <c r="I1" s="177"/>
      <c r="J1" s="177"/>
      <c r="K1" s="177"/>
      <c r="L1" s="177"/>
      <c r="M1" s="177"/>
      <c r="N1" s="177"/>
      <c r="O1" s="177"/>
      <c r="P1" s="177"/>
      <c r="Q1" s="177"/>
      <c r="R1" s="177"/>
      <c r="S1" s="178"/>
    </row>
    <row r="2" spans="1:19" ht="68.25" customHeight="1">
      <c r="A2" s="6" t="s">
        <v>68</v>
      </c>
      <c r="B2" s="133" t="e">
        <f>Res.!D40</f>
        <v>#DIV/0!</v>
      </c>
      <c r="C2" s="168"/>
      <c r="D2" s="169"/>
      <c r="E2" s="169"/>
      <c r="F2" s="169"/>
      <c r="G2" s="169"/>
      <c r="H2" s="169"/>
      <c r="I2" s="169"/>
      <c r="J2" s="169"/>
      <c r="K2" s="169"/>
      <c r="L2" s="169"/>
      <c r="M2" s="169"/>
      <c r="N2" s="169"/>
      <c r="O2" s="169"/>
      <c r="P2" s="169"/>
      <c r="Q2" s="169"/>
      <c r="R2" s="169"/>
      <c r="S2" s="170"/>
    </row>
    <row r="5" spans="1:19" ht="18.75" customHeight="1">
      <c r="B5" s="15"/>
      <c r="C5" s="15"/>
      <c r="D5" s="188" t="s">
        <v>27</v>
      </c>
      <c r="E5" s="189"/>
      <c r="F5" s="189"/>
      <c r="G5" s="189"/>
      <c r="H5" s="189"/>
      <c r="I5" s="189"/>
      <c r="J5" s="189"/>
      <c r="K5" s="189"/>
      <c r="L5" s="189"/>
      <c r="M5" s="190"/>
      <c r="O5" s="173" t="s">
        <v>28</v>
      </c>
      <c r="P5" s="174"/>
      <c r="Q5" s="174"/>
      <c r="R5" s="174"/>
      <c r="S5" s="175"/>
    </row>
    <row r="6" spans="1:19" ht="15" customHeight="1">
      <c r="A6" s="179" t="s">
        <v>29</v>
      </c>
      <c r="B6" s="180"/>
      <c r="C6" s="181"/>
      <c r="D6" s="7" t="s">
        <v>5</v>
      </c>
      <c r="E6" s="7" t="s">
        <v>6</v>
      </c>
      <c r="F6" s="7" t="s">
        <v>7</v>
      </c>
      <c r="G6" s="7" t="s">
        <v>8</v>
      </c>
      <c r="H6" s="7" t="s">
        <v>9</v>
      </c>
      <c r="I6" s="7" t="s">
        <v>10</v>
      </c>
      <c r="J6" s="7" t="s">
        <v>11</v>
      </c>
      <c r="K6" s="7" t="s">
        <v>12</v>
      </c>
      <c r="L6" s="7" t="s">
        <v>13</v>
      </c>
      <c r="M6" s="7" t="s">
        <v>14</v>
      </c>
      <c r="O6" s="9" t="s">
        <v>24</v>
      </c>
      <c r="P6" s="9" t="s">
        <v>30</v>
      </c>
      <c r="Q6" s="9" t="s">
        <v>31</v>
      </c>
      <c r="R6" s="9" t="s">
        <v>32</v>
      </c>
      <c r="S6" s="9" t="s">
        <v>33</v>
      </c>
    </row>
    <row r="7" spans="1:19" s="2" customFormat="1" ht="18" customHeight="1">
      <c r="A7" s="182" t="s">
        <v>69</v>
      </c>
      <c r="B7" s="183"/>
      <c r="C7" s="184"/>
      <c r="D7" s="36"/>
      <c r="E7" s="36"/>
      <c r="F7" s="36"/>
      <c r="G7" s="36"/>
      <c r="H7" s="36"/>
      <c r="I7" s="36"/>
      <c r="J7" s="36"/>
      <c r="K7" s="36"/>
      <c r="L7" s="36"/>
      <c r="M7" s="36"/>
      <c r="O7" s="99" t="e">
        <f>C11</f>
        <v>#DIV/0!</v>
      </c>
      <c r="P7" s="37"/>
      <c r="Q7" s="100" t="e">
        <f>O7*P7</f>
        <v>#DIV/0!</v>
      </c>
      <c r="R7" s="117" t="e">
        <f>SUM(Q7:Q7)</f>
        <v>#DIV/0!</v>
      </c>
      <c r="S7" s="116" t="e">
        <f>IF(R7&gt;=4.1,"Cumple Plenamente",IF(R7&gt;=3.1,"cumple Satisfactoriamente",IF(R7&gt;=2.1,"Cumple Aceptablemente",IF(R7=0," ","No Cumple "))))</f>
        <v>#DIV/0!</v>
      </c>
    </row>
    <row r="8" spans="1:19">
      <c r="N8" s="2"/>
    </row>
    <row r="10" spans="1:19" ht="15" customHeight="1">
      <c r="A10" s="3" t="s">
        <v>29</v>
      </c>
      <c r="B10" s="8" t="s">
        <v>37</v>
      </c>
      <c r="C10" s="3" t="s">
        <v>24</v>
      </c>
      <c r="D10" s="217" t="s">
        <v>25</v>
      </c>
      <c r="E10" s="218"/>
      <c r="F10" s="218"/>
      <c r="G10" s="218"/>
      <c r="H10" s="218"/>
      <c r="I10" s="218"/>
      <c r="J10" s="218"/>
      <c r="K10" s="218"/>
      <c r="L10" s="218"/>
      <c r="M10" s="218"/>
      <c r="N10" s="218"/>
      <c r="O10" s="218"/>
      <c r="P10" s="218"/>
      <c r="Q10" s="218"/>
      <c r="R10" s="218"/>
      <c r="S10" s="218"/>
    </row>
    <row r="11" spans="1:19" ht="66.75" customHeight="1">
      <c r="A11" s="6" t="str">
        <f>A7</f>
        <v>27. Estructura y funcionamiento del bienestar institucional</v>
      </c>
      <c r="B11" s="98" t="e">
        <f>AVERAGE(D7:M7)</f>
        <v>#DIV/0!</v>
      </c>
      <c r="C11" s="153" t="e">
        <f>B11/SUM($B$11:$B$11)</f>
        <v>#DIV/0!</v>
      </c>
      <c r="D11" s="168"/>
      <c r="E11" s="169"/>
      <c r="F11" s="169"/>
      <c r="G11" s="169"/>
      <c r="H11" s="169"/>
      <c r="I11" s="169"/>
      <c r="J11" s="169"/>
      <c r="K11" s="169"/>
      <c r="L11" s="169"/>
      <c r="M11" s="169"/>
      <c r="N11" s="169"/>
      <c r="O11" s="169"/>
      <c r="P11" s="169"/>
      <c r="Q11" s="169"/>
      <c r="R11" s="169"/>
      <c r="S11" s="170"/>
    </row>
    <row r="12" spans="1:19">
      <c r="D12" s="11"/>
      <c r="N12" s="12"/>
    </row>
    <row r="13" spans="1:19">
      <c r="D13" s="11"/>
      <c r="N13" s="12"/>
    </row>
    <row r="14" spans="1:19">
      <c r="D14" s="11"/>
      <c r="N14" s="10"/>
    </row>
    <row r="15" spans="1:19">
      <c r="D15" s="11"/>
    </row>
  </sheetData>
  <dataConsolidate/>
  <mergeCells count="8">
    <mergeCell ref="C1:S1"/>
    <mergeCell ref="O5:S5"/>
    <mergeCell ref="A6:C6"/>
    <mergeCell ref="A7:C7"/>
    <mergeCell ref="D11:S11"/>
    <mergeCell ref="D10:S10"/>
    <mergeCell ref="C2:S2"/>
    <mergeCell ref="D5:M5"/>
  </mergeCells>
  <conditionalFormatting sqref="S7">
    <cfRule type="dataBar" priority="1">
      <dataBar>
        <cfvo type="min"/>
        <cfvo type="max"/>
        <color rgb="FF63C384"/>
      </dataBar>
      <extLst>
        <ext xmlns:x14="http://schemas.microsoft.com/office/spreadsheetml/2009/9/main" uri="{B025F937-C7B1-47D3-B67F-A62EFF666E3E}">
          <x14:id>{FB9948D6-4F77-4B7E-A193-2C98B95686A0}</x14:id>
        </ext>
      </extLst>
    </cfRule>
  </conditionalFormatting>
  <pageMargins left="0.70866141732283472" right="0.70866141732283472" top="0.74803149606299213" bottom="0.74803149606299213" header="0.31496062992125984" footer="0.31496062992125984"/>
  <pageSetup scale="61" orientation="landscape" horizontalDpi="360" verticalDpi="360" r:id="rId1"/>
  <headerFooter>
    <oddFooter>&amp;R&amp;P de &amp;N</oddFooter>
  </headerFooter>
  <ignoredErrors>
    <ignoredError sqref="B11:C11 Q7:S7" evalError="1"/>
  </ignoredErrors>
  <drawing r:id="rId2"/>
  <extLst>
    <ext xmlns:x14="http://schemas.microsoft.com/office/spreadsheetml/2009/9/main" uri="{78C0D931-6437-407d-A8EE-F0AAD7539E65}">
      <x14:conditionalFormattings>
        <x14:conditionalFormatting xmlns:xm="http://schemas.microsoft.com/office/excel/2006/main">
          <x14:cfRule type="dataBar" id="{FB9948D6-4F77-4B7E-A193-2C98B95686A0}">
            <x14:dataBar minLength="0" maxLength="100" border="1" negativeBarBorderColorSameAsPositive="0">
              <x14:cfvo type="autoMin"/>
              <x14:cfvo type="autoMax"/>
              <x14:borderColor rgb="FF63C384"/>
              <x14:negativeFillColor rgb="FFFF0000"/>
              <x14:negativeBorderColor rgb="FFFF0000"/>
              <x14:axisColor rgb="FF000000"/>
            </x14:dataBar>
          </x14:cfRule>
          <xm:sqref>S7</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14:formula1>
            <xm:f>Hoja1!$B$1:$B$10</xm:f>
          </x14:formula1>
          <xm:sqref>D7:M7</xm:sqref>
        </x14:dataValidation>
        <x14:dataValidation type="list" allowBlank="1" showInputMessage="1" showErrorMessage="1">
          <x14:formula1>
            <xm:f>Hoja1!$D$1:$D$41</xm:f>
          </x14:formula1>
          <xm:sqref>P7:P8</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19"/>
  <sheetViews>
    <sheetView showGridLines="0" topLeftCell="A7" zoomScale="85" zoomScaleNormal="85" workbookViewId="0">
      <selection activeCell="D7" sqref="D7:M11"/>
    </sheetView>
  </sheetViews>
  <sheetFormatPr baseColWidth="10" defaultColWidth="11.42578125" defaultRowHeight="14.25"/>
  <cols>
    <col min="1" max="1" width="37.140625" style="1" bestFit="1" customWidth="1"/>
    <col min="2" max="3" width="7.7109375" style="1" customWidth="1"/>
    <col min="4" max="13" width="6.140625" style="4" customWidth="1"/>
    <col min="14" max="14" width="3" style="1" customWidth="1"/>
    <col min="15" max="15" width="8.42578125" style="1" customWidth="1"/>
    <col min="16" max="17" width="6" style="1" customWidth="1"/>
    <col min="18" max="18" width="8" style="1" customWidth="1"/>
    <col min="19" max="19" width="20.42578125" style="1" customWidth="1"/>
    <col min="20" max="16384" width="11.42578125" style="1"/>
  </cols>
  <sheetData>
    <row r="1" spans="1:19" ht="15" customHeight="1">
      <c r="A1" s="3" t="s">
        <v>23</v>
      </c>
      <c r="B1" s="14" t="s">
        <v>24</v>
      </c>
      <c r="C1" s="176" t="s">
        <v>25</v>
      </c>
      <c r="D1" s="177"/>
      <c r="E1" s="177"/>
      <c r="F1" s="177"/>
      <c r="G1" s="177"/>
      <c r="H1" s="177"/>
      <c r="I1" s="177"/>
      <c r="J1" s="177"/>
      <c r="K1" s="177"/>
      <c r="L1" s="177"/>
      <c r="M1" s="177"/>
      <c r="N1" s="177"/>
      <c r="O1" s="177"/>
      <c r="P1" s="177"/>
      <c r="Q1" s="177"/>
      <c r="R1" s="177"/>
      <c r="S1" s="178"/>
    </row>
    <row r="2" spans="1:19" ht="68.25" customHeight="1">
      <c r="A2" s="6" t="s">
        <v>70</v>
      </c>
      <c r="B2" s="133" t="e">
        <f>Res.!D42</f>
        <v>#DIV/0!</v>
      </c>
      <c r="C2" s="168"/>
      <c r="D2" s="169"/>
      <c r="E2" s="169"/>
      <c r="F2" s="169"/>
      <c r="G2" s="169"/>
      <c r="H2" s="169"/>
      <c r="I2" s="169"/>
      <c r="J2" s="169"/>
      <c r="K2" s="169"/>
      <c r="L2" s="169"/>
      <c r="M2" s="169"/>
      <c r="N2" s="169"/>
      <c r="O2" s="169"/>
      <c r="P2" s="169"/>
      <c r="Q2" s="169"/>
      <c r="R2" s="169"/>
      <c r="S2" s="170"/>
    </row>
    <row r="5" spans="1:19" ht="18.75" customHeight="1">
      <c r="B5" s="15"/>
      <c r="C5" s="15"/>
      <c r="D5" s="188" t="s">
        <v>27</v>
      </c>
      <c r="E5" s="189"/>
      <c r="F5" s="189"/>
      <c r="G5" s="189"/>
      <c r="H5" s="189"/>
      <c r="I5" s="189"/>
      <c r="J5" s="189"/>
      <c r="K5" s="189"/>
      <c r="L5" s="189"/>
      <c r="M5" s="190"/>
      <c r="O5" s="173" t="s">
        <v>28</v>
      </c>
      <c r="P5" s="174"/>
      <c r="Q5" s="174"/>
      <c r="R5" s="174"/>
      <c r="S5" s="175"/>
    </row>
    <row r="6" spans="1:19" ht="15" customHeight="1">
      <c r="A6" s="179" t="s">
        <v>29</v>
      </c>
      <c r="B6" s="180"/>
      <c r="C6" s="181"/>
      <c r="D6" s="7" t="s">
        <v>5</v>
      </c>
      <c r="E6" s="7" t="s">
        <v>6</v>
      </c>
      <c r="F6" s="7" t="s">
        <v>7</v>
      </c>
      <c r="G6" s="7" t="s">
        <v>8</v>
      </c>
      <c r="H6" s="7" t="s">
        <v>9</v>
      </c>
      <c r="I6" s="7" t="s">
        <v>10</v>
      </c>
      <c r="J6" s="7" t="s">
        <v>11</v>
      </c>
      <c r="K6" s="7" t="s">
        <v>12</v>
      </c>
      <c r="L6" s="7" t="s">
        <v>13</v>
      </c>
      <c r="M6" s="7" t="s">
        <v>14</v>
      </c>
      <c r="O6" s="9" t="s">
        <v>24</v>
      </c>
      <c r="P6" s="9" t="s">
        <v>30</v>
      </c>
      <c r="Q6" s="9" t="s">
        <v>31</v>
      </c>
      <c r="R6" s="9" t="s">
        <v>32</v>
      </c>
      <c r="S6" s="9" t="s">
        <v>33</v>
      </c>
    </row>
    <row r="7" spans="1:19" s="2" customFormat="1" ht="18" customHeight="1">
      <c r="A7" s="182" t="s">
        <v>71</v>
      </c>
      <c r="B7" s="183"/>
      <c r="C7" s="184"/>
      <c r="D7" s="36"/>
      <c r="E7" s="36"/>
      <c r="F7" s="36"/>
      <c r="G7" s="36"/>
      <c r="H7" s="36"/>
      <c r="I7" s="36"/>
      <c r="J7" s="36"/>
      <c r="K7" s="36"/>
      <c r="L7" s="36"/>
      <c r="M7" s="36"/>
      <c r="O7" s="99">
        <f>C15</f>
        <v>0.1</v>
      </c>
      <c r="P7" s="37"/>
      <c r="Q7" s="100">
        <f>O7*P7</f>
        <v>0</v>
      </c>
      <c r="R7" s="203">
        <f>SUM(Q7:Q11)</f>
        <v>0</v>
      </c>
      <c r="S7" s="199" t="str">
        <f>IF(R7&gt;=4.1,"Cumple Plenamente",IF(R7&gt;=3.1,"cumple Satisfactoriamente",IF(R7&gt;=2.1,"Cumple Aceptablemente",IF(R7=0," ","No Cumple "))))</f>
        <v xml:space="preserve"> </v>
      </c>
    </row>
    <row r="8" spans="1:19" s="2" customFormat="1" ht="18" customHeight="1">
      <c r="A8" s="182" t="s">
        <v>72</v>
      </c>
      <c r="B8" s="183"/>
      <c r="C8" s="184"/>
      <c r="D8" s="36"/>
      <c r="E8" s="36"/>
      <c r="F8" s="36"/>
      <c r="G8" s="36"/>
      <c r="H8" s="36"/>
      <c r="I8" s="36"/>
      <c r="J8" s="36"/>
      <c r="K8" s="36"/>
      <c r="L8" s="36"/>
      <c r="M8" s="36"/>
      <c r="O8" s="99">
        <f t="shared" ref="O8:O11" si="0">C16</f>
        <v>0.25</v>
      </c>
      <c r="P8" s="37"/>
      <c r="Q8" s="100">
        <f>O8*P8</f>
        <v>0</v>
      </c>
      <c r="R8" s="204"/>
      <c r="S8" s="200"/>
    </row>
    <row r="9" spans="1:19" s="2" customFormat="1" ht="18" customHeight="1">
      <c r="A9" s="182" t="s">
        <v>73</v>
      </c>
      <c r="B9" s="183"/>
      <c r="C9" s="184"/>
      <c r="D9" s="36"/>
      <c r="E9" s="36"/>
      <c r="F9" s="36"/>
      <c r="G9" s="36"/>
      <c r="H9" s="36"/>
      <c r="I9" s="36"/>
      <c r="J9" s="36"/>
      <c r="K9" s="36"/>
      <c r="L9" s="36"/>
      <c r="M9" s="36"/>
      <c r="O9" s="99">
        <f t="shared" si="0"/>
        <v>0.3</v>
      </c>
      <c r="P9" s="37"/>
      <c r="Q9" s="100">
        <f t="shared" ref="Q9:Q10" si="1">O9*P9</f>
        <v>0</v>
      </c>
      <c r="R9" s="204"/>
      <c r="S9" s="200"/>
    </row>
    <row r="10" spans="1:19" s="2" customFormat="1" ht="18" customHeight="1">
      <c r="A10" s="113" t="s">
        <v>74</v>
      </c>
      <c r="B10" s="114"/>
      <c r="C10" s="115"/>
      <c r="D10" s="36"/>
      <c r="E10" s="36"/>
      <c r="F10" s="36"/>
      <c r="G10" s="36"/>
      <c r="H10" s="36"/>
      <c r="I10" s="36"/>
      <c r="J10" s="36"/>
      <c r="K10" s="36"/>
      <c r="L10" s="36"/>
      <c r="M10" s="36"/>
      <c r="O10" s="99">
        <f t="shared" si="0"/>
        <v>0.2</v>
      </c>
      <c r="P10" s="37"/>
      <c r="Q10" s="100">
        <f t="shared" si="1"/>
        <v>0</v>
      </c>
      <c r="R10" s="204"/>
      <c r="S10" s="200"/>
    </row>
    <row r="11" spans="1:19" s="2" customFormat="1" ht="18" customHeight="1">
      <c r="A11" s="182" t="s">
        <v>75</v>
      </c>
      <c r="B11" s="183"/>
      <c r="C11" s="184"/>
      <c r="D11" s="36"/>
      <c r="E11" s="36"/>
      <c r="F11" s="36"/>
      <c r="G11" s="36"/>
      <c r="H11" s="36"/>
      <c r="I11" s="36"/>
      <c r="J11" s="36"/>
      <c r="K11" s="36"/>
      <c r="L11" s="36"/>
      <c r="M11" s="36"/>
      <c r="O11" s="99">
        <f t="shared" si="0"/>
        <v>0.15</v>
      </c>
      <c r="P11" s="37"/>
      <c r="Q11" s="100">
        <f>O11*P11</f>
        <v>0</v>
      </c>
      <c r="R11" s="213"/>
      <c r="S11" s="214"/>
    </row>
    <row r="14" spans="1:19" ht="15" customHeight="1">
      <c r="A14" s="3" t="s">
        <v>29</v>
      </c>
      <c r="B14" s="8" t="s">
        <v>37</v>
      </c>
      <c r="C14" s="3" t="s">
        <v>24</v>
      </c>
      <c r="D14" s="171" t="s">
        <v>25</v>
      </c>
      <c r="E14" s="172"/>
      <c r="F14" s="172"/>
      <c r="G14" s="172"/>
      <c r="H14" s="172"/>
      <c r="I14" s="172"/>
      <c r="J14" s="172"/>
      <c r="K14" s="172"/>
      <c r="L14" s="172"/>
      <c r="M14" s="172"/>
      <c r="N14" s="172"/>
      <c r="O14" s="172"/>
      <c r="P14" s="172"/>
      <c r="Q14" s="172"/>
      <c r="R14" s="172"/>
      <c r="S14" s="172"/>
    </row>
    <row r="15" spans="1:19" ht="66.75" customHeight="1">
      <c r="A15" s="6" t="str">
        <f>A7</f>
        <v>28. Derechos y deberes de los profesores</v>
      </c>
      <c r="B15" s="98" t="e">
        <f>AVERAGE(D7:M7)</f>
        <v>#DIV/0!</v>
      </c>
      <c r="C15" s="97">
        <v>0.1</v>
      </c>
      <c r="D15" s="168"/>
      <c r="E15" s="169"/>
      <c r="F15" s="169"/>
      <c r="G15" s="169"/>
      <c r="H15" s="169"/>
      <c r="I15" s="169"/>
      <c r="J15" s="169"/>
      <c r="K15" s="169"/>
      <c r="L15" s="169"/>
      <c r="M15" s="169"/>
      <c r="N15" s="169"/>
      <c r="O15" s="169"/>
      <c r="P15" s="169"/>
      <c r="Q15" s="169"/>
      <c r="R15" s="169"/>
      <c r="S15" s="170"/>
    </row>
    <row r="16" spans="1:19" ht="66.75" customHeight="1">
      <c r="A16" s="6" t="str">
        <f t="shared" ref="A16:A19" si="2">A8</f>
        <v>29. Planta profesoral</v>
      </c>
      <c r="B16" s="98" t="e">
        <f>AVERAGE(D8:M8)</f>
        <v>#DIV/0!</v>
      </c>
      <c r="C16" s="97">
        <v>0.25</v>
      </c>
      <c r="D16" s="168"/>
      <c r="E16" s="169"/>
      <c r="F16" s="169"/>
      <c r="G16" s="169"/>
      <c r="H16" s="169"/>
      <c r="I16" s="169"/>
      <c r="J16" s="169"/>
      <c r="K16" s="169"/>
      <c r="L16" s="169"/>
      <c r="M16" s="169"/>
      <c r="N16" s="169"/>
      <c r="O16" s="169"/>
      <c r="P16" s="169"/>
      <c r="Q16" s="169"/>
      <c r="R16" s="169"/>
      <c r="S16" s="170"/>
    </row>
    <row r="17" spans="1:19" ht="66.75" customHeight="1">
      <c r="A17" s="6" t="str">
        <f t="shared" si="2"/>
        <v>30. Trayectoria profesoral</v>
      </c>
      <c r="B17" s="98" t="e">
        <f>AVERAGE(D9:M9)</f>
        <v>#DIV/0!</v>
      </c>
      <c r="C17" s="97">
        <v>0.3</v>
      </c>
      <c r="D17" s="168"/>
      <c r="E17" s="169"/>
      <c r="F17" s="169"/>
      <c r="G17" s="169"/>
      <c r="H17" s="169"/>
      <c r="I17" s="169"/>
      <c r="J17" s="169"/>
      <c r="K17" s="169"/>
      <c r="L17" s="169"/>
      <c r="M17" s="169"/>
      <c r="N17" s="169"/>
      <c r="O17" s="169"/>
      <c r="P17" s="169"/>
      <c r="Q17" s="169"/>
      <c r="R17" s="169"/>
      <c r="S17" s="170"/>
    </row>
    <row r="18" spans="1:19" ht="57" customHeight="1">
      <c r="A18" s="6" t="str">
        <f t="shared" si="2"/>
        <v>31. Desarrollo profesoral</v>
      </c>
      <c r="B18" s="98" t="e">
        <f>AVERAGE(D10:M10)</f>
        <v>#DIV/0!</v>
      </c>
      <c r="C18" s="97">
        <v>0.2</v>
      </c>
      <c r="D18" s="168"/>
      <c r="E18" s="169"/>
      <c r="F18" s="169"/>
      <c r="G18" s="169"/>
      <c r="H18" s="169"/>
      <c r="I18" s="169"/>
      <c r="J18" s="169"/>
      <c r="K18" s="169"/>
      <c r="L18" s="169"/>
      <c r="M18" s="169"/>
      <c r="N18" s="169"/>
      <c r="O18" s="169"/>
      <c r="P18" s="169"/>
      <c r="Q18" s="169"/>
      <c r="R18" s="169"/>
      <c r="S18" s="170"/>
    </row>
    <row r="19" spans="1:19" ht="57" customHeight="1">
      <c r="A19" s="6" t="str">
        <f t="shared" si="2"/>
        <v>32. Interacción académica de los profesores</v>
      </c>
      <c r="B19" s="98" t="e">
        <f>AVERAGE(D11:M11)</f>
        <v>#DIV/0!</v>
      </c>
      <c r="C19" s="97">
        <v>0.15</v>
      </c>
      <c r="D19" s="168"/>
      <c r="E19" s="169"/>
      <c r="F19" s="169"/>
      <c r="G19" s="169"/>
      <c r="H19" s="169"/>
      <c r="I19" s="169"/>
      <c r="J19" s="169"/>
      <c r="K19" s="169"/>
      <c r="L19" s="169"/>
      <c r="M19" s="169"/>
      <c r="N19" s="169"/>
      <c r="O19" s="169"/>
      <c r="P19" s="169"/>
      <c r="Q19" s="169"/>
      <c r="R19" s="169"/>
      <c r="S19" s="170"/>
    </row>
  </sheetData>
  <dataConsolidate/>
  <mergeCells count="17">
    <mergeCell ref="D5:M5"/>
    <mergeCell ref="O5:S5"/>
    <mergeCell ref="A9:C9"/>
    <mergeCell ref="D18:S18"/>
    <mergeCell ref="D19:S19"/>
    <mergeCell ref="C1:S1"/>
    <mergeCell ref="D15:S15"/>
    <mergeCell ref="D16:S16"/>
    <mergeCell ref="D17:S17"/>
    <mergeCell ref="D14:S14"/>
    <mergeCell ref="A6:C6"/>
    <mergeCell ref="A7:C7"/>
    <mergeCell ref="A8:C8"/>
    <mergeCell ref="A11:C11"/>
    <mergeCell ref="C2:S2"/>
    <mergeCell ref="R7:R11"/>
    <mergeCell ref="S7:S11"/>
  </mergeCells>
  <conditionalFormatting sqref="S7">
    <cfRule type="dataBar" priority="1">
      <dataBar>
        <cfvo type="min"/>
        <cfvo type="max"/>
        <color rgb="FF63C384"/>
      </dataBar>
      <extLst>
        <ext xmlns:x14="http://schemas.microsoft.com/office/spreadsheetml/2009/9/main" uri="{B025F937-C7B1-47D3-B67F-A62EFF666E3E}">
          <x14:id>{3C8618CF-FF0E-4AF8-A12C-39ACC62587C3}</x14:id>
        </ext>
      </extLst>
    </cfRule>
  </conditionalFormatting>
  <pageMargins left="0.70866141732283472" right="0.70866141732283472" top="0.74803149606299213" bottom="0.74803149606299213" header="0.31496062992125984" footer="0.31496062992125984"/>
  <pageSetup scale="64" orientation="landscape" horizontalDpi="360" verticalDpi="360" r:id="rId1"/>
  <headerFooter>
    <oddFooter>&amp;R&amp;P de &amp;N</oddFooter>
  </headerFooter>
  <ignoredErrors>
    <ignoredError sqref="Q7 Q8:S8 Q11:S11 S7" evalError="1"/>
  </ignoredErrors>
  <drawing r:id="rId2"/>
  <extLst>
    <ext xmlns:x14="http://schemas.microsoft.com/office/spreadsheetml/2009/9/main" uri="{78C0D931-6437-407d-A8EE-F0AAD7539E65}">
      <x14:conditionalFormattings>
        <x14:conditionalFormatting xmlns:xm="http://schemas.microsoft.com/office/excel/2006/main">
          <x14:cfRule type="dataBar" id="{3C8618CF-FF0E-4AF8-A12C-39ACC62587C3}">
            <x14:dataBar minLength="0" maxLength="100" border="1" negativeBarBorderColorSameAsPositive="0">
              <x14:cfvo type="autoMin"/>
              <x14:cfvo type="autoMax"/>
              <x14:borderColor rgb="FF63C384"/>
              <x14:negativeFillColor rgb="FFFF0000"/>
              <x14:negativeBorderColor rgb="FFFF0000"/>
              <x14:axisColor rgb="FF000000"/>
            </x14:dataBar>
          </x14:cfRule>
          <xm:sqref>S7</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14:formula1>
            <xm:f>Hoja1!$B$1:$B$10</xm:f>
          </x14:formula1>
          <xm:sqref>D7:M11</xm:sqref>
        </x14:dataValidation>
        <x14:dataValidation type="list" allowBlank="1" showInputMessage="1" showErrorMessage="1">
          <x14:formula1>
            <xm:f>Hoja1!$D$1:$D$41</xm:f>
          </x14:formula1>
          <xm:sqref>P7:P12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17"/>
  <sheetViews>
    <sheetView showGridLines="0" zoomScale="85" zoomScaleNormal="85" workbookViewId="0">
      <selection activeCell="D13" sqref="D13:S15"/>
    </sheetView>
  </sheetViews>
  <sheetFormatPr baseColWidth="10" defaultColWidth="11.42578125" defaultRowHeight="14.25"/>
  <cols>
    <col min="1" max="1" width="43" style="1" customWidth="1"/>
    <col min="2" max="3" width="7.7109375" style="1" customWidth="1"/>
    <col min="4" max="13" width="6.140625" style="4" customWidth="1"/>
    <col min="14" max="14" width="3" style="1" customWidth="1"/>
    <col min="15" max="15" width="8.42578125" style="1" customWidth="1"/>
    <col min="16" max="17" width="6" style="1" customWidth="1"/>
    <col min="18" max="18" width="8" style="1" customWidth="1"/>
    <col min="19" max="19" width="20.42578125" style="1" customWidth="1"/>
    <col min="20" max="16384" width="11.42578125" style="1"/>
  </cols>
  <sheetData>
    <row r="1" spans="1:19" ht="15" customHeight="1">
      <c r="A1" s="3" t="s">
        <v>23</v>
      </c>
      <c r="B1" s="14" t="s">
        <v>24</v>
      </c>
      <c r="C1" s="176" t="s">
        <v>25</v>
      </c>
      <c r="D1" s="177"/>
      <c r="E1" s="177"/>
      <c r="F1" s="177"/>
      <c r="G1" s="177"/>
      <c r="H1" s="177"/>
      <c r="I1" s="177"/>
      <c r="J1" s="177"/>
      <c r="K1" s="177"/>
      <c r="L1" s="177"/>
      <c r="M1" s="177"/>
      <c r="N1" s="177"/>
      <c r="O1" s="177"/>
      <c r="P1" s="177"/>
      <c r="Q1" s="177"/>
      <c r="R1" s="177"/>
      <c r="S1" s="177"/>
    </row>
    <row r="2" spans="1:19" ht="68.25" customHeight="1">
      <c r="A2" s="19" t="s">
        <v>76</v>
      </c>
      <c r="B2" s="133" t="e">
        <f>Res.!D48</f>
        <v>#DIV/0!</v>
      </c>
      <c r="C2" s="168"/>
      <c r="D2" s="169"/>
      <c r="E2" s="169"/>
      <c r="F2" s="169"/>
      <c r="G2" s="169"/>
      <c r="H2" s="169"/>
      <c r="I2" s="169"/>
      <c r="J2" s="169"/>
      <c r="K2" s="169"/>
      <c r="L2" s="169"/>
      <c r="M2" s="169"/>
      <c r="N2" s="169"/>
      <c r="O2" s="169"/>
      <c r="P2" s="169"/>
      <c r="Q2" s="169"/>
      <c r="R2" s="169"/>
      <c r="S2" s="170"/>
    </row>
    <row r="5" spans="1:19" ht="18.75" customHeight="1">
      <c r="B5" s="15"/>
      <c r="C5" s="15"/>
      <c r="D5" s="188" t="s">
        <v>27</v>
      </c>
      <c r="E5" s="189"/>
      <c r="F5" s="189"/>
      <c r="G5" s="189"/>
      <c r="H5" s="189"/>
      <c r="I5" s="189"/>
      <c r="J5" s="189"/>
      <c r="K5" s="189"/>
      <c r="L5" s="189"/>
      <c r="M5" s="190"/>
      <c r="O5" s="173" t="s">
        <v>28</v>
      </c>
      <c r="P5" s="174"/>
      <c r="Q5" s="174"/>
      <c r="R5" s="174"/>
      <c r="S5" s="175"/>
    </row>
    <row r="6" spans="1:19" ht="15" customHeight="1">
      <c r="A6" s="179" t="s">
        <v>29</v>
      </c>
      <c r="B6" s="180"/>
      <c r="C6" s="181"/>
      <c r="D6" s="7" t="s">
        <v>5</v>
      </c>
      <c r="E6" s="7" t="s">
        <v>6</v>
      </c>
      <c r="F6" s="7" t="s">
        <v>7</v>
      </c>
      <c r="G6" s="7" t="s">
        <v>8</v>
      </c>
      <c r="H6" s="7" t="s">
        <v>9</v>
      </c>
      <c r="I6" s="7" t="s">
        <v>10</v>
      </c>
      <c r="J6" s="7" t="s">
        <v>11</v>
      </c>
      <c r="K6" s="7" t="s">
        <v>12</v>
      </c>
      <c r="L6" s="7" t="s">
        <v>13</v>
      </c>
      <c r="M6" s="7" t="s">
        <v>14</v>
      </c>
      <c r="O6" s="9" t="s">
        <v>24</v>
      </c>
      <c r="P6" s="9" t="s">
        <v>30</v>
      </c>
      <c r="Q6" s="9" t="s">
        <v>31</v>
      </c>
      <c r="R6" s="9" t="s">
        <v>32</v>
      </c>
      <c r="S6" s="9" t="s">
        <v>33</v>
      </c>
    </row>
    <row r="7" spans="1:19" s="2" customFormat="1" ht="18" customHeight="1">
      <c r="A7" s="182" t="s">
        <v>77</v>
      </c>
      <c r="B7" s="183"/>
      <c r="C7" s="184"/>
      <c r="D7" s="36"/>
      <c r="E7" s="36"/>
      <c r="F7" s="36"/>
      <c r="G7" s="36"/>
      <c r="H7" s="36"/>
      <c r="I7" s="36"/>
      <c r="J7" s="36"/>
      <c r="K7" s="36"/>
      <c r="L7" s="36"/>
      <c r="M7" s="36"/>
      <c r="O7" s="99">
        <f>C13</f>
        <v>0.2</v>
      </c>
      <c r="P7" s="37"/>
      <c r="Q7" s="100">
        <f>O7*P7</f>
        <v>0</v>
      </c>
      <c r="R7" s="203">
        <f>SUM(Q7:Q9)</f>
        <v>0</v>
      </c>
      <c r="S7" s="199" t="str">
        <f>IF(R7&gt;=4.1,"Cumple Plenamente",IF(R7&gt;=3.1,"cumple Satisfactoriamente",IF(R7&gt;=2.1,"Cumple Aceptablemente",IF(R7=0," ","No Cumple "))))</f>
        <v xml:space="preserve"> </v>
      </c>
    </row>
    <row r="8" spans="1:19" s="2" customFormat="1" ht="18" customHeight="1">
      <c r="A8" s="182" t="s">
        <v>78</v>
      </c>
      <c r="B8" s="183"/>
      <c r="C8" s="184"/>
      <c r="D8" s="36"/>
      <c r="E8" s="36"/>
      <c r="F8" s="36"/>
      <c r="G8" s="36"/>
      <c r="H8" s="36"/>
      <c r="I8" s="36"/>
      <c r="J8" s="36"/>
      <c r="K8" s="36"/>
      <c r="L8" s="36"/>
      <c r="M8" s="36"/>
      <c r="O8" s="99">
        <f>C14</f>
        <v>0.5</v>
      </c>
      <c r="P8" s="37"/>
      <c r="Q8" s="100">
        <f t="shared" ref="Q8:Q9" si="0">O8*P8</f>
        <v>0</v>
      </c>
      <c r="R8" s="204"/>
      <c r="S8" s="200"/>
    </row>
    <row r="9" spans="1:19" s="2" customFormat="1" ht="18" customHeight="1">
      <c r="A9" s="182" t="s">
        <v>79</v>
      </c>
      <c r="B9" s="183"/>
      <c r="C9" s="184"/>
      <c r="D9" s="36"/>
      <c r="E9" s="36"/>
      <c r="F9" s="36"/>
      <c r="G9" s="36"/>
      <c r="H9" s="36"/>
      <c r="I9" s="36"/>
      <c r="J9" s="36"/>
      <c r="K9" s="36"/>
      <c r="L9" s="36"/>
      <c r="M9" s="36"/>
      <c r="O9" s="99">
        <f>C15</f>
        <v>0.3</v>
      </c>
      <c r="P9" s="37"/>
      <c r="Q9" s="100">
        <f t="shared" si="0"/>
        <v>0</v>
      </c>
      <c r="R9" s="204"/>
      <c r="S9" s="200"/>
    </row>
    <row r="12" spans="1:19" ht="15" customHeight="1">
      <c r="A12" s="3" t="s">
        <v>29</v>
      </c>
      <c r="B12" s="8" t="s">
        <v>37</v>
      </c>
      <c r="C12" s="3" t="s">
        <v>24</v>
      </c>
      <c r="D12" s="179" t="s">
        <v>25</v>
      </c>
      <c r="E12" s="180"/>
      <c r="F12" s="180"/>
      <c r="G12" s="180"/>
      <c r="H12" s="180"/>
      <c r="I12" s="180"/>
      <c r="J12" s="180"/>
      <c r="K12" s="180"/>
      <c r="L12" s="180"/>
      <c r="M12" s="180"/>
      <c r="N12" s="180"/>
      <c r="O12" s="180"/>
      <c r="P12" s="180"/>
      <c r="Q12" s="180"/>
      <c r="R12" s="180"/>
      <c r="S12" s="181"/>
    </row>
    <row r="13" spans="1:19" ht="66.75" customHeight="1">
      <c r="A13" s="6" t="str">
        <f>A7</f>
        <v>33. Derechos y deberes de los estudiantes</v>
      </c>
      <c r="B13" s="98" t="e">
        <f>AVERAGE(D7:M7)</f>
        <v>#DIV/0!</v>
      </c>
      <c r="C13" s="97">
        <v>0.2</v>
      </c>
      <c r="D13" s="168"/>
      <c r="E13" s="169"/>
      <c r="F13" s="169"/>
      <c r="G13" s="169"/>
      <c r="H13" s="169"/>
      <c r="I13" s="169"/>
      <c r="J13" s="169"/>
      <c r="K13" s="169"/>
      <c r="L13" s="169"/>
      <c r="M13" s="169"/>
      <c r="N13" s="169"/>
      <c r="O13" s="169"/>
      <c r="P13" s="169"/>
      <c r="Q13" s="169"/>
      <c r="R13" s="169"/>
      <c r="S13" s="170"/>
    </row>
    <row r="14" spans="1:19" ht="66.75" customHeight="1">
      <c r="A14" s="6" t="str">
        <f>A8</f>
        <v>34. Admisión y permanencia de los estudiantes</v>
      </c>
      <c r="B14" s="98" t="e">
        <f>AVERAGE(D8:M8)</f>
        <v>#DIV/0!</v>
      </c>
      <c r="C14" s="97">
        <v>0.5</v>
      </c>
      <c r="D14" s="168"/>
      <c r="E14" s="169"/>
      <c r="F14" s="169"/>
      <c r="G14" s="169"/>
      <c r="H14" s="169"/>
      <c r="I14" s="169"/>
      <c r="J14" s="169"/>
      <c r="K14" s="169"/>
      <c r="L14" s="169"/>
      <c r="M14" s="169"/>
      <c r="N14" s="169"/>
      <c r="O14" s="169"/>
      <c r="P14" s="169"/>
      <c r="Q14" s="169"/>
      <c r="R14" s="169"/>
      <c r="S14" s="170"/>
    </row>
    <row r="15" spans="1:19" ht="66.75" customHeight="1">
      <c r="A15" s="6" t="str">
        <f>A9</f>
        <v>35. Estímulos y apoyos para estudiantes</v>
      </c>
      <c r="B15" s="98" t="e">
        <f>AVERAGE(D9:M9)</f>
        <v>#DIV/0!</v>
      </c>
      <c r="C15" s="97">
        <v>0.3</v>
      </c>
      <c r="D15" s="168"/>
      <c r="E15" s="169"/>
      <c r="F15" s="169"/>
      <c r="G15" s="169"/>
      <c r="H15" s="169"/>
      <c r="I15" s="169"/>
      <c r="J15" s="169"/>
      <c r="K15" s="169"/>
      <c r="L15" s="169"/>
      <c r="M15" s="169"/>
      <c r="N15" s="169"/>
      <c r="O15" s="169"/>
      <c r="P15" s="169"/>
      <c r="Q15" s="169"/>
      <c r="R15" s="169"/>
      <c r="S15" s="170"/>
    </row>
    <row r="16" spans="1:19">
      <c r="D16" s="11"/>
      <c r="N16" s="10"/>
    </row>
    <row r="17" spans="4:4">
      <c r="D17" s="11"/>
    </row>
  </sheetData>
  <dataConsolidate/>
  <mergeCells count="14">
    <mergeCell ref="C2:S2"/>
    <mergeCell ref="C1:S1"/>
    <mergeCell ref="A6:C6"/>
    <mergeCell ref="A7:C7"/>
    <mergeCell ref="D5:M5"/>
    <mergeCell ref="D15:S15"/>
    <mergeCell ref="A8:C8"/>
    <mergeCell ref="A9:C9"/>
    <mergeCell ref="D14:S14"/>
    <mergeCell ref="O5:S5"/>
    <mergeCell ref="D13:S13"/>
    <mergeCell ref="D12:S12"/>
    <mergeCell ref="R7:R9"/>
    <mergeCell ref="S7:S9"/>
  </mergeCells>
  <conditionalFormatting sqref="S7:S9">
    <cfRule type="dataBar" priority="218">
      <dataBar>
        <cfvo type="min"/>
        <cfvo type="max"/>
        <color rgb="FF63C384"/>
      </dataBar>
      <extLst>
        <ext xmlns:x14="http://schemas.microsoft.com/office/spreadsheetml/2009/9/main" uri="{B025F937-C7B1-47D3-B67F-A62EFF666E3E}">
          <x14:id>{B2E963B0-85A4-4F3C-8103-A3D2CEC4D833}</x14:id>
        </ext>
      </extLst>
    </cfRule>
  </conditionalFormatting>
  <pageMargins left="0.70866141732283472" right="0.70866141732283472" top="0.74803149606299213" bottom="0.74803149606299213" header="0.31496062992125984" footer="0.31496062992125984"/>
  <pageSetup scale="62" orientation="landscape" horizontalDpi="360" verticalDpi="360" r:id="rId1"/>
  <headerFooter>
    <oddFooter>&amp;R&amp;P de &amp;N</oddFooter>
  </headerFooter>
  <ignoredErrors>
    <ignoredError sqref="Q7:S7 B13" evalError="1"/>
  </ignoredErrors>
  <drawing r:id="rId2"/>
  <extLst>
    <ext xmlns:x14="http://schemas.microsoft.com/office/spreadsheetml/2009/9/main" uri="{78C0D931-6437-407d-A8EE-F0AAD7539E65}">
      <x14:conditionalFormattings>
        <x14:conditionalFormatting xmlns:xm="http://schemas.microsoft.com/office/excel/2006/main">
          <x14:cfRule type="dataBar" id="{B2E963B0-85A4-4F3C-8103-A3D2CEC4D833}">
            <x14:dataBar minLength="0" maxLength="100" border="1" negativeBarBorderColorSameAsPositive="0">
              <x14:cfvo type="autoMin"/>
              <x14:cfvo type="autoMax"/>
              <x14:borderColor rgb="FF63C384"/>
              <x14:negativeFillColor rgb="FFFF0000"/>
              <x14:negativeBorderColor rgb="FFFF0000"/>
              <x14:axisColor rgb="FF000000"/>
            </x14:dataBar>
          </x14:cfRule>
          <xm:sqref>S7:S9</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14:formula1>
            <xm:f>Hoja1!$B$1:$B$10</xm:f>
          </x14:formula1>
          <xm:sqref>D7:M9</xm:sqref>
        </x14:dataValidation>
        <x14:dataValidation type="list" allowBlank="1" showInputMessage="1" showErrorMessage="1">
          <x14:formula1>
            <xm:f>Hoja1!$D$1:$D$41</xm:f>
          </x14:formula1>
          <xm:sqref>P7:P10</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17"/>
  <sheetViews>
    <sheetView showGridLines="0" zoomScale="85" zoomScaleNormal="85" workbookViewId="0">
      <selection activeCell="D13" sqref="D13:S15"/>
    </sheetView>
  </sheetViews>
  <sheetFormatPr baseColWidth="10" defaultColWidth="11.42578125" defaultRowHeight="14.25"/>
  <cols>
    <col min="1" max="1" width="37.140625" style="1" bestFit="1" customWidth="1"/>
    <col min="2" max="3" width="7.7109375" style="1" customWidth="1"/>
    <col min="4" max="13" width="6.140625" style="4" customWidth="1"/>
    <col min="14" max="14" width="3" style="1" customWidth="1"/>
    <col min="15" max="15" width="8.42578125" style="1" customWidth="1"/>
    <col min="16" max="17" width="6" style="1" customWidth="1"/>
    <col min="18" max="18" width="8" style="1" customWidth="1"/>
    <col min="19" max="19" width="20.42578125" style="1" customWidth="1"/>
    <col min="20" max="16384" width="11.42578125" style="1"/>
  </cols>
  <sheetData>
    <row r="1" spans="1:19" ht="15" customHeight="1">
      <c r="A1" s="3" t="s">
        <v>23</v>
      </c>
      <c r="B1" s="14" t="s">
        <v>24</v>
      </c>
      <c r="C1" s="176" t="s">
        <v>25</v>
      </c>
      <c r="D1" s="177"/>
      <c r="E1" s="177"/>
      <c r="F1" s="177"/>
      <c r="G1" s="177"/>
      <c r="H1" s="177"/>
      <c r="I1" s="177"/>
      <c r="J1" s="177"/>
      <c r="K1" s="177"/>
      <c r="L1" s="177"/>
      <c r="M1" s="177"/>
      <c r="N1" s="177"/>
      <c r="O1" s="177"/>
      <c r="P1" s="177"/>
      <c r="Q1" s="177"/>
      <c r="R1" s="177"/>
      <c r="S1" s="178"/>
    </row>
    <row r="2" spans="1:19" ht="68.25" customHeight="1">
      <c r="A2" s="6" t="s">
        <v>80</v>
      </c>
      <c r="B2" s="133" t="e">
        <f>Res.!D52</f>
        <v>#DIV/0!</v>
      </c>
      <c r="C2" s="168"/>
      <c r="D2" s="169"/>
      <c r="E2" s="169"/>
      <c r="F2" s="169"/>
      <c r="G2" s="169"/>
      <c r="H2" s="169"/>
      <c r="I2" s="169"/>
      <c r="J2" s="169"/>
      <c r="K2" s="169"/>
      <c r="L2" s="169"/>
      <c r="M2" s="169"/>
      <c r="N2" s="169"/>
      <c r="O2" s="169"/>
      <c r="P2" s="169"/>
      <c r="Q2" s="169"/>
      <c r="R2" s="169"/>
      <c r="S2" s="170"/>
    </row>
    <row r="5" spans="1:19" ht="18.75" customHeight="1">
      <c r="B5" s="15"/>
      <c r="C5" s="15"/>
      <c r="D5" s="188" t="s">
        <v>27</v>
      </c>
      <c r="E5" s="189"/>
      <c r="F5" s="189"/>
      <c r="G5" s="189"/>
      <c r="H5" s="189"/>
      <c r="I5" s="189"/>
      <c r="J5" s="189"/>
      <c r="K5" s="189"/>
      <c r="L5" s="189"/>
      <c r="M5" s="190"/>
      <c r="O5" s="173" t="s">
        <v>28</v>
      </c>
      <c r="P5" s="174"/>
      <c r="Q5" s="174"/>
      <c r="R5" s="174"/>
      <c r="S5" s="175"/>
    </row>
    <row r="6" spans="1:19" ht="15" customHeight="1">
      <c r="A6" s="179" t="s">
        <v>29</v>
      </c>
      <c r="B6" s="180"/>
      <c r="C6" s="181"/>
      <c r="D6" s="7" t="s">
        <v>5</v>
      </c>
      <c r="E6" s="7" t="s">
        <v>6</v>
      </c>
      <c r="F6" s="7" t="s">
        <v>7</v>
      </c>
      <c r="G6" s="7" t="s">
        <v>8</v>
      </c>
      <c r="H6" s="7" t="s">
        <v>9</v>
      </c>
      <c r="I6" s="7" t="s">
        <v>10</v>
      </c>
      <c r="J6" s="7" t="s">
        <v>11</v>
      </c>
      <c r="K6" s="7" t="s">
        <v>12</v>
      </c>
      <c r="L6" s="7" t="s">
        <v>13</v>
      </c>
      <c r="M6" s="7" t="s">
        <v>14</v>
      </c>
      <c r="O6" s="9" t="s">
        <v>24</v>
      </c>
      <c r="P6" s="9" t="s">
        <v>30</v>
      </c>
      <c r="Q6" s="9" t="s">
        <v>31</v>
      </c>
      <c r="R6" s="9" t="s">
        <v>32</v>
      </c>
      <c r="S6" s="9" t="s">
        <v>33</v>
      </c>
    </row>
    <row r="7" spans="1:19" s="2" customFormat="1" ht="18" customHeight="1">
      <c r="A7" s="182" t="s">
        <v>81</v>
      </c>
      <c r="B7" s="183"/>
      <c r="C7" s="184"/>
      <c r="D7" s="36"/>
      <c r="E7" s="36"/>
      <c r="F7" s="36"/>
      <c r="G7" s="36"/>
      <c r="H7" s="36"/>
      <c r="I7" s="36"/>
      <c r="J7" s="36"/>
      <c r="K7" s="36"/>
      <c r="L7" s="36"/>
      <c r="M7" s="36"/>
      <c r="O7" s="99">
        <f>C13</f>
        <v>0.4</v>
      </c>
      <c r="P7" s="37"/>
      <c r="Q7" s="100">
        <f>O7*P7</f>
        <v>0</v>
      </c>
      <c r="R7" s="203">
        <f>SUM(Q7:Q9)</f>
        <v>0</v>
      </c>
      <c r="S7" s="199" t="str">
        <f>IF(R7&gt;=4.1,"Cumple Plenamente",IF(R7&gt;=3.1,"cumple Satisfactoriamente",IF(R7&gt;=2.1,"Cumple Aceptablemente",IF(R7=0," ","No Cumple "))))</f>
        <v xml:space="preserve"> </v>
      </c>
    </row>
    <row r="8" spans="1:19" s="2" customFormat="1" ht="18" customHeight="1">
      <c r="A8" s="182" t="s">
        <v>82</v>
      </c>
      <c r="B8" s="183"/>
      <c r="C8" s="184"/>
      <c r="D8" s="36"/>
      <c r="E8" s="36"/>
      <c r="F8" s="36"/>
      <c r="G8" s="36"/>
      <c r="H8" s="36"/>
      <c r="I8" s="36"/>
      <c r="J8" s="36"/>
      <c r="K8" s="36"/>
      <c r="L8" s="36"/>
      <c r="M8" s="36"/>
      <c r="O8" s="99">
        <f>C14</f>
        <v>0.3</v>
      </c>
      <c r="P8" s="37"/>
      <c r="Q8" s="100">
        <f t="shared" ref="Q8:Q9" si="0">O8*P8</f>
        <v>0</v>
      </c>
      <c r="R8" s="204"/>
      <c r="S8" s="200"/>
    </row>
    <row r="9" spans="1:19" s="2" customFormat="1" ht="18" customHeight="1">
      <c r="A9" s="182" t="s">
        <v>83</v>
      </c>
      <c r="B9" s="183"/>
      <c r="C9" s="184"/>
      <c r="D9" s="36"/>
      <c r="E9" s="36"/>
      <c r="F9" s="36"/>
      <c r="G9" s="36"/>
      <c r="H9" s="36"/>
      <c r="I9" s="36"/>
      <c r="J9" s="36"/>
      <c r="K9" s="36"/>
      <c r="L9" s="36"/>
      <c r="M9" s="36"/>
      <c r="O9" s="99">
        <f t="shared" ref="O9" si="1">C15</f>
        <v>0.3</v>
      </c>
      <c r="P9" s="37"/>
      <c r="Q9" s="100">
        <f t="shared" si="0"/>
        <v>0</v>
      </c>
      <c r="R9" s="204"/>
      <c r="S9" s="200"/>
    </row>
    <row r="12" spans="1:19" ht="15" customHeight="1">
      <c r="A12" s="3" t="s">
        <v>29</v>
      </c>
      <c r="B12" s="8" t="s">
        <v>37</v>
      </c>
      <c r="C12" s="3" t="s">
        <v>24</v>
      </c>
      <c r="D12" s="171" t="s">
        <v>25</v>
      </c>
      <c r="E12" s="172"/>
      <c r="F12" s="172"/>
      <c r="G12" s="172"/>
      <c r="H12" s="172"/>
      <c r="I12" s="172"/>
      <c r="J12" s="172"/>
      <c r="K12" s="172"/>
      <c r="L12" s="172"/>
      <c r="M12" s="172"/>
      <c r="N12" s="172"/>
      <c r="O12" s="172"/>
      <c r="P12" s="172"/>
      <c r="Q12" s="172"/>
      <c r="R12" s="172"/>
      <c r="S12" s="172"/>
    </row>
    <row r="13" spans="1:19" ht="66.75" customHeight="1">
      <c r="A13" s="6" t="str">
        <f>A7</f>
        <v>36. Seguimiento a egresados</v>
      </c>
      <c r="B13" s="98" t="e">
        <f>AVERAGE(D7:M7)</f>
        <v>#DIV/0!</v>
      </c>
      <c r="C13" s="97">
        <v>0.4</v>
      </c>
      <c r="D13" s="168"/>
      <c r="E13" s="169"/>
      <c r="F13" s="169"/>
      <c r="G13" s="169"/>
      <c r="H13" s="169"/>
      <c r="I13" s="169"/>
      <c r="J13" s="169"/>
      <c r="K13" s="169"/>
      <c r="L13" s="169"/>
      <c r="M13" s="169"/>
      <c r="N13" s="169"/>
      <c r="O13" s="169"/>
      <c r="P13" s="169"/>
      <c r="Q13" s="169"/>
      <c r="R13" s="169"/>
      <c r="S13" s="170"/>
    </row>
    <row r="14" spans="1:19" ht="66.75" customHeight="1">
      <c r="A14" s="6" t="str">
        <f>A8</f>
        <v>37. Egresados y programas académicos</v>
      </c>
      <c r="B14" s="98" t="e">
        <f>AVERAGE(D8:M8)</f>
        <v>#DIV/0!</v>
      </c>
      <c r="C14" s="97">
        <v>0.3</v>
      </c>
      <c r="D14" s="168"/>
      <c r="E14" s="169"/>
      <c r="F14" s="169"/>
      <c r="G14" s="169"/>
      <c r="H14" s="169"/>
      <c r="I14" s="169"/>
      <c r="J14" s="169"/>
      <c r="K14" s="169"/>
      <c r="L14" s="169"/>
      <c r="M14" s="169"/>
      <c r="N14" s="169"/>
      <c r="O14" s="169"/>
      <c r="P14" s="169"/>
      <c r="Q14" s="169"/>
      <c r="R14" s="169"/>
      <c r="S14" s="170"/>
    </row>
    <row r="15" spans="1:19" ht="66.75" customHeight="1">
      <c r="A15" s="6" t="str">
        <f>A9</f>
        <v>38. Relación de los egresados con la Institución</v>
      </c>
      <c r="B15" s="98" t="e">
        <f>AVERAGE(D9:M9)</f>
        <v>#DIV/0!</v>
      </c>
      <c r="C15" s="97">
        <v>0.3</v>
      </c>
      <c r="D15" s="168"/>
      <c r="E15" s="169"/>
      <c r="F15" s="169"/>
      <c r="G15" s="169"/>
      <c r="H15" s="169"/>
      <c r="I15" s="169"/>
      <c r="J15" s="169"/>
      <c r="K15" s="169"/>
      <c r="L15" s="169"/>
      <c r="M15" s="169"/>
      <c r="N15" s="169"/>
      <c r="O15" s="169"/>
      <c r="P15" s="169"/>
      <c r="Q15" s="169"/>
      <c r="R15" s="169"/>
      <c r="S15" s="170"/>
    </row>
    <row r="16" spans="1:19">
      <c r="D16" s="11"/>
      <c r="N16" s="10"/>
    </row>
    <row r="17" spans="1:19" s="4" customFormat="1">
      <c r="A17" s="1"/>
      <c r="B17" s="1"/>
      <c r="C17" s="1"/>
      <c r="D17" s="11"/>
      <c r="N17" s="1"/>
      <c r="O17" s="1"/>
      <c r="P17" s="1"/>
      <c r="Q17" s="1"/>
      <c r="R17" s="1"/>
      <c r="S17" s="1"/>
    </row>
  </sheetData>
  <dataConsolidate/>
  <mergeCells count="14">
    <mergeCell ref="D12:S12"/>
    <mergeCell ref="D13:S13"/>
    <mergeCell ref="D15:S15"/>
    <mergeCell ref="C1:S1"/>
    <mergeCell ref="C2:S2"/>
    <mergeCell ref="D5:M5"/>
    <mergeCell ref="O5:S5"/>
    <mergeCell ref="A6:C6"/>
    <mergeCell ref="A7:C7"/>
    <mergeCell ref="R7:R9"/>
    <mergeCell ref="S7:S9"/>
    <mergeCell ref="A9:C9"/>
    <mergeCell ref="A8:C8"/>
    <mergeCell ref="D14:S14"/>
  </mergeCells>
  <conditionalFormatting sqref="S7:S8">
    <cfRule type="dataBar" priority="1">
      <dataBar>
        <cfvo type="min"/>
        <cfvo type="max"/>
        <color rgb="FF63C384"/>
      </dataBar>
      <extLst>
        <ext xmlns:x14="http://schemas.microsoft.com/office/spreadsheetml/2009/9/main" uri="{B025F937-C7B1-47D3-B67F-A62EFF666E3E}">
          <x14:id>{1A5AC67C-F433-4E35-A6FA-7AFB2FEF46FA}</x14:id>
        </ext>
      </extLst>
    </cfRule>
  </conditionalFormatting>
  <pageMargins left="0.70866141732283472" right="0.70866141732283472" top="0.74803149606299213" bottom="0.74803149606299213" header="0.31496062992125984" footer="0.31496062992125984"/>
  <pageSetup scale="64" orientation="landscape" horizontalDpi="360" verticalDpi="360" r:id="rId1"/>
  <headerFooter>
    <oddFooter>&amp;R&amp;P de &amp;N</oddFooter>
  </headerFooter>
  <drawing r:id="rId2"/>
  <extLst>
    <ext xmlns:x14="http://schemas.microsoft.com/office/spreadsheetml/2009/9/main" uri="{78C0D931-6437-407d-A8EE-F0AAD7539E65}">
      <x14:conditionalFormattings>
        <x14:conditionalFormatting xmlns:xm="http://schemas.microsoft.com/office/excel/2006/main">
          <x14:cfRule type="dataBar" id="{1A5AC67C-F433-4E35-A6FA-7AFB2FEF46FA}">
            <x14:dataBar minLength="0" maxLength="100" border="1" negativeBarBorderColorSameAsPositive="0">
              <x14:cfvo type="autoMin"/>
              <x14:cfvo type="autoMax"/>
              <x14:borderColor rgb="FF63C384"/>
              <x14:negativeFillColor rgb="FFFF0000"/>
              <x14:negativeBorderColor rgb="FFFF0000"/>
              <x14:axisColor rgb="FF000000"/>
            </x14:dataBar>
          </x14:cfRule>
          <xm:sqref>S7:S8</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14:formula1>
            <xm:f>Hoja1!$B$1:$B$10</xm:f>
          </x14:formula1>
          <xm:sqref>D7:M9</xm:sqref>
        </x14:dataValidation>
        <x14:dataValidation type="list" allowBlank="1" showInputMessage="1" showErrorMessage="1">
          <x14:formula1>
            <xm:f>Hoja1!$D$1:$D$41</xm:f>
          </x14:formula1>
          <xm:sqref>P7:P10</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P58"/>
  <sheetViews>
    <sheetView showGridLines="0" zoomScale="70" zoomScaleNormal="70" zoomScaleSheetLayoutView="70" workbookViewId="0">
      <pane ySplit="4" topLeftCell="A5" activePane="bottomLeft" state="frozen"/>
      <selection activeCell="T15" sqref="D15:T15"/>
      <selection pane="bottomLeft" activeCell="Q16" sqref="Q16"/>
    </sheetView>
  </sheetViews>
  <sheetFormatPr baseColWidth="10" defaultColWidth="11.42578125" defaultRowHeight="14.25"/>
  <cols>
    <col min="1" max="1" width="1" style="95" customWidth="1"/>
    <col min="2" max="2" width="44.5703125" style="41" customWidth="1"/>
    <col min="3" max="3" width="12" style="41" customWidth="1"/>
    <col min="4" max="4" width="12.42578125" style="41" customWidth="1"/>
    <col min="5" max="5" width="1" style="41" customWidth="1"/>
    <col min="6" max="6" width="75.85546875" style="41" customWidth="1"/>
    <col min="7" max="7" width="11.28515625" style="41" customWidth="1"/>
    <col min="8" max="8" width="11" style="41" customWidth="1"/>
    <col min="9" max="9" width="1" style="41" customWidth="1"/>
    <col min="10" max="10" width="7" style="41" hidden="1" customWidth="1"/>
    <col min="11" max="11" width="8" style="41" hidden="1" customWidth="1"/>
    <col min="12" max="12" width="21" style="41" hidden="1" customWidth="1"/>
    <col min="13" max="13" width="1" style="41" hidden="1" customWidth="1"/>
    <col min="14" max="14" width="10.7109375" style="41" hidden="1" customWidth="1"/>
    <col min="15" max="15" width="11.42578125" style="95"/>
    <col min="16" max="16" width="13.140625" style="95" bestFit="1" customWidth="1"/>
    <col min="17" max="16384" width="11.42578125" style="95"/>
  </cols>
  <sheetData>
    <row r="2" spans="2:14" ht="29.25" customHeight="1">
      <c r="B2" s="219" t="s">
        <v>84</v>
      </c>
      <c r="C2" s="220"/>
      <c r="D2" s="220"/>
      <c r="E2" s="155"/>
      <c r="F2" s="155"/>
      <c r="G2" s="155"/>
      <c r="H2" s="156"/>
      <c r="J2" s="42" t="s">
        <v>85</v>
      </c>
      <c r="K2" s="43"/>
      <c r="L2" s="43"/>
      <c r="M2" s="43"/>
      <c r="N2" s="44"/>
    </row>
    <row r="3" spans="2:14" ht="3.75" customHeight="1">
      <c r="B3" s="45"/>
      <c r="C3" s="46"/>
      <c r="D3" s="47"/>
      <c r="F3" s="48"/>
      <c r="G3" s="49"/>
      <c r="H3" s="50"/>
      <c r="J3" s="51"/>
      <c r="K3" s="52"/>
      <c r="L3" s="53"/>
      <c r="M3" s="54"/>
      <c r="N3" s="53"/>
    </row>
    <row r="4" spans="2:14" s="96" customFormat="1" ht="23.25" customHeight="1">
      <c r="B4" s="55" t="s">
        <v>86</v>
      </c>
      <c r="C4" s="56" t="s">
        <v>87</v>
      </c>
      <c r="D4" s="57" t="s">
        <v>88</v>
      </c>
      <c r="E4" s="58"/>
      <c r="F4" s="59" t="s">
        <v>29</v>
      </c>
      <c r="G4" s="112" t="s">
        <v>89</v>
      </c>
      <c r="H4" s="59" t="s">
        <v>90</v>
      </c>
      <c r="I4" s="58"/>
      <c r="J4" s="60" t="s">
        <v>30</v>
      </c>
      <c r="K4" s="60" t="s">
        <v>32</v>
      </c>
      <c r="L4" s="60" t="s">
        <v>33</v>
      </c>
      <c r="M4" s="58"/>
      <c r="N4" s="61" t="s">
        <v>91</v>
      </c>
    </row>
    <row r="5" spans="2:14" ht="6" customHeight="1">
      <c r="B5" s="45"/>
      <c r="C5" s="46"/>
      <c r="D5" s="47"/>
      <c r="F5" s="48"/>
      <c r="G5" s="49"/>
      <c r="H5" s="50"/>
      <c r="J5" s="62"/>
      <c r="K5" s="63"/>
      <c r="L5" s="64"/>
      <c r="N5" s="64"/>
    </row>
    <row r="6" spans="2:14" ht="15" customHeight="1">
      <c r="B6" s="226" t="str">
        <f>'F1'!A2</f>
        <v>F1. IDENTIDAD INSTITUCIONAL</v>
      </c>
      <c r="C6" s="223" t="e">
        <f>AVERAGE(G6:G7)</f>
        <v>#DIV/0!</v>
      </c>
      <c r="D6" s="234" t="e">
        <f>C6/C56</f>
        <v>#DIV/0!</v>
      </c>
      <c r="F6" s="108" t="str">
        <f>'F1'!A13</f>
        <v>1.  Coherencia y pertinencia de la misión</v>
      </c>
      <c r="G6" s="66" t="e">
        <f>'F1'!B13</f>
        <v>#DIV/0!</v>
      </c>
      <c r="H6" s="67">
        <f>'F1'!O7</f>
        <v>0</v>
      </c>
      <c r="J6" s="68">
        <f>'F1'!P7</f>
        <v>0</v>
      </c>
      <c r="K6" s="230">
        <f>'F1'!R7</f>
        <v>0</v>
      </c>
      <c r="L6" s="232" t="str">
        <f>IF(K6&gt;=4.1,"Cumple Plenamente",IF(K6&gt;=3.1,"Cumple Satisfactoriamente",IF(K6&gt;=2.1,"Cumple Aceptablemente",IF(K6=0," ","No Cumple"))))</f>
        <v xml:space="preserve"> </v>
      </c>
      <c r="N6" s="221" t="e">
        <f>K6*D6</f>
        <v>#DIV/0!</v>
      </c>
    </row>
    <row r="7" spans="2:14" ht="15" customHeight="1">
      <c r="B7" s="227"/>
      <c r="C7" s="224"/>
      <c r="D7" s="235"/>
      <c r="F7" s="109" t="str">
        <f>'F1'!A14</f>
        <v>2. Orientaciones y estrategias del Proyecto Educativo Institucional o lo que haga sus veces</v>
      </c>
      <c r="G7" s="136" t="e">
        <f>'F1'!B14</f>
        <v>#DIV/0!</v>
      </c>
      <c r="H7" s="138">
        <f>'F1'!O8</f>
        <v>0</v>
      </c>
      <c r="J7" s="148">
        <f>'F1'!P8</f>
        <v>0</v>
      </c>
      <c r="K7" s="231"/>
      <c r="L7" s="233"/>
      <c r="N7" s="222"/>
    </row>
    <row r="8" spans="2:14" ht="15" customHeight="1">
      <c r="B8" s="228"/>
      <c r="C8" s="225"/>
      <c r="D8" s="236"/>
      <c r="F8" s="143" t="s">
        <v>36</v>
      </c>
      <c r="G8" s="75" t="e">
        <f>'F1'!B15</f>
        <v>#DIV/0!</v>
      </c>
      <c r="H8" s="154">
        <f>'F1'!O9</f>
        <v>0</v>
      </c>
      <c r="J8" s="152"/>
      <c r="K8" s="120"/>
      <c r="L8" s="139"/>
      <c r="M8" s="108"/>
      <c r="N8" s="140"/>
    </row>
    <row r="9" spans="2:14" ht="6" customHeight="1">
      <c r="B9" s="45"/>
      <c r="C9" s="69"/>
      <c r="D9" s="47"/>
      <c r="F9" s="48"/>
      <c r="G9" s="89"/>
      <c r="H9" s="50"/>
      <c r="J9" s="149"/>
      <c r="K9" s="150"/>
      <c r="L9" s="151"/>
      <c r="N9" s="151"/>
    </row>
    <row r="10" spans="2:14" ht="15" customHeight="1">
      <c r="B10" s="226" t="str">
        <f>'F2'!A2</f>
        <v>F2. GOBIERNO INSTITUCIONAL Y TRANSPARENCIA</v>
      </c>
      <c r="C10" s="223" t="e">
        <f>AVERAGE(G10:G12)</f>
        <v>#DIV/0!</v>
      </c>
      <c r="D10" s="234" t="e">
        <f>C10/C56</f>
        <v>#DIV/0!</v>
      </c>
      <c r="F10" s="65" t="str">
        <f>'F2'!A13</f>
        <v>4. Buen gobierno y máximo órgano de gobierno</v>
      </c>
      <c r="G10" s="70" t="e">
        <f>'F2'!B13</f>
        <v>#DIV/0!</v>
      </c>
      <c r="H10" s="71">
        <f>'F2'!O7</f>
        <v>0</v>
      </c>
      <c r="J10" s="68">
        <f>'F2'!P7</f>
        <v>0</v>
      </c>
      <c r="K10" s="231">
        <f>'F2'!R7</f>
        <v>0</v>
      </c>
      <c r="L10" s="232" t="str">
        <f>IF(K10&gt;=4.1,"Cumple Plenamente",IF(K10&gt;=3.1,"Cumple Satisfactoriamente",IF(K10&gt;=2.1,"Cumple Aceptablemente",IF(K10=0," ","No Cumple"))))</f>
        <v xml:space="preserve"> </v>
      </c>
      <c r="N10" s="221" t="e">
        <f>K10*D10</f>
        <v>#DIV/0!</v>
      </c>
    </row>
    <row r="11" spans="2:14" ht="15" customHeight="1">
      <c r="B11" s="227"/>
      <c r="C11" s="224"/>
      <c r="D11" s="235"/>
      <c r="F11" s="65" t="str">
        <f>'F2'!A14</f>
        <v>5. Relación congrupos de interés</v>
      </c>
      <c r="G11" s="70" t="e">
        <f>'F2'!B14</f>
        <v>#DIV/0!</v>
      </c>
      <c r="H11" s="71">
        <f>'F2'!O8</f>
        <v>0</v>
      </c>
      <c r="J11" s="68">
        <f>'F2'!P8</f>
        <v>0</v>
      </c>
      <c r="K11" s="231"/>
      <c r="L11" s="233"/>
      <c r="N11" s="222"/>
    </row>
    <row r="12" spans="2:14" ht="15" customHeight="1">
      <c r="B12" s="228"/>
      <c r="C12" s="225"/>
      <c r="D12" s="236"/>
      <c r="F12" s="65" t="str">
        <f>'F2'!A15</f>
        <v>6. Rendición de cuentas</v>
      </c>
      <c r="G12" s="70" t="e">
        <f>'F2'!B15</f>
        <v>#DIV/0!</v>
      </c>
      <c r="H12" s="71">
        <f>'F2'!O9</f>
        <v>0</v>
      </c>
      <c r="J12" s="68">
        <f>'F2'!P9</f>
        <v>0</v>
      </c>
      <c r="K12" s="231"/>
      <c r="L12" s="233"/>
      <c r="N12" s="222"/>
    </row>
    <row r="13" spans="2:14" ht="6" customHeight="1">
      <c r="B13" s="45"/>
      <c r="C13" s="69"/>
      <c r="D13" s="47"/>
      <c r="F13" s="48"/>
      <c r="G13" s="49"/>
      <c r="H13" s="74"/>
      <c r="J13" s="62"/>
      <c r="K13" s="63"/>
      <c r="L13" s="64"/>
      <c r="N13" s="64"/>
    </row>
    <row r="14" spans="2:14" ht="15" customHeight="1">
      <c r="B14" s="226" t="str">
        <f>'F3'!A2</f>
        <v>F3. DESARROLLO, GESTIÓN Y SOSTENIBILIDAD INSTITUCIONAL</v>
      </c>
      <c r="C14" s="223" t="e">
        <f>AVERAGE(G14:G19)</f>
        <v>#DIV/0!</v>
      </c>
      <c r="D14" s="234" t="e">
        <f>C14/C56</f>
        <v>#DIV/0!</v>
      </c>
      <c r="F14" s="65" t="str">
        <f>'F3'!A16</f>
        <v>7. Administración y gestión</v>
      </c>
      <c r="G14" s="72" t="e">
        <f>'F3'!B16</f>
        <v>#DIV/0!</v>
      </c>
      <c r="H14" s="71">
        <f>'F3'!O7</f>
        <v>0</v>
      </c>
      <c r="J14" s="68">
        <f>'F3'!P7</f>
        <v>0</v>
      </c>
      <c r="K14" s="230">
        <f>'F3'!R7</f>
        <v>0</v>
      </c>
      <c r="L14" s="232" t="str">
        <f>IF(K14&gt;=4.1,"Cumple Plenamente",IF(K14&gt;=3.1,"Cumple Satisfactoriamente",IF(K14&gt;=2.1,"Cumple Aceptablemente",IF(K14=0," ","No Cumple"))))</f>
        <v xml:space="preserve"> </v>
      </c>
      <c r="N14" s="221" t="e">
        <f>K14*D14</f>
        <v>#DIV/0!</v>
      </c>
    </row>
    <row r="15" spans="2:14" ht="15" customHeight="1">
      <c r="B15" s="227"/>
      <c r="C15" s="224"/>
      <c r="D15" s="235"/>
      <c r="F15" s="65" t="str">
        <f>'F3'!A17</f>
        <v>8. Procesos de Comunicación</v>
      </c>
      <c r="G15" s="72" t="e">
        <f>'F3'!B17</f>
        <v>#DIV/0!</v>
      </c>
      <c r="H15" s="73">
        <f>'F3'!O8</f>
        <v>0</v>
      </c>
      <c r="J15" s="68">
        <f>'F3'!P8</f>
        <v>0</v>
      </c>
      <c r="K15" s="231"/>
      <c r="L15" s="233"/>
      <c r="N15" s="222"/>
    </row>
    <row r="16" spans="2:14" ht="15" customHeight="1">
      <c r="B16" s="227"/>
      <c r="C16" s="224"/>
      <c r="D16" s="235"/>
      <c r="F16" s="65" t="str">
        <f>'F3'!A18</f>
        <v>9. Capacidad de gestión</v>
      </c>
      <c r="G16" s="72" t="e">
        <f>'F3'!B18</f>
        <v>#DIV/0!</v>
      </c>
      <c r="H16" s="73">
        <f>'F3'!O9</f>
        <v>0</v>
      </c>
      <c r="J16" s="68">
        <f>'F3'!P9</f>
        <v>0</v>
      </c>
      <c r="K16" s="231"/>
      <c r="L16" s="233"/>
      <c r="N16" s="222"/>
    </row>
    <row r="17" spans="2:14" ht="15" customHeight="1">
      <c r="B17" s="227"/>
      <c r="C17" s="224"/>
      <c r="D17" s="235"/>
      <c r="F17" s="65" t="str">
        <f>'F3'!A19</f>
        <v>10. Recursos de apoyo académico</v>
      </c>
      <c r="G17" s="72" t="e">
        <f>'F3'!B19</f>
        <v>#DIV/0!</v>
      </c>
      <c r="H17" s="73">
        <f>'F3'!O10</f>
        <v>0</v>
      </c>
      <c r="J17" s="68">
        <f>'F3'!P10</f>
        <v>0</v>
      </c>
      <c r="K17" s="231"/>
      <c r="L17" s="233"/>
      <c r="N17" s="222"/>
    </row>
    <row r="18" spans="2:14" ht="15" customHeight="1">
      <c r="B18" s="227"/>
      <c r="C18" s="224"/>
      <c r="D18" s="235"/>
      <c r="F18" s="65" t="str">
        <f>'F3'!A20</f>
        <v>11. Infraestructura fisica y tecnologica</v>
      </c>
      <c r="G18" s="72" t="e">
        <f>'F3'!B20</f>
        <v>#DIV/0!</v>
      </c>
      <c r="H18" s="73">
        <f>'F3'!O11</f>
        <v>0</v>
      </c>
      <c r="J18" s="68">
        <f>'F3'!P11</f>
        <v>0</v>
      </c>
      <c r="K18" s="231"/>
      <c r="L18" s="233"/>
      <c r="N18" s="222"/>
    </row>
    <row r="19" spans="2:14" ht="15" customHeight="1">
      <c r="B19" s="228"/>
      <c r="C19" s="225"/>
      <c r="D19" s="236"/>
      <c r="F19" s="109" t="str">
        <f>'F3'!A21</f>
        <v>12. Recursos y gestión financiera</v>
      </c>
      <c r="G19" s="72" t="e">
        <f>'F3'!B21</f>
        <v>#DIV/0!</v>
      </c>
      <c r="H19" s="73">
        <f>'F3'!O12</f>
        <v>0</v>
      </c>
      <c r="J19" s="68">
        <f>'F3'!P12</f>
        <v>0</v>
      </c>
      <c r="K19" s="231"/>
      <c r="L19" s="233"/>
      <c r="N19" s="222"/>
    </row>
    <row r="20" spans="2:14" ht="6" customHeight="1">
      <c r="B20" s="45"/>
      <c r="C20" s="69"/>
      <c r="D20" s="47"/>
      <c r="F20" s="144"/>
      <c r="G20" s="49"/>
      <c r="H20" s="74"/>
      <c r="J20" s="62"/>
      <c r="K20" s="63"/>
      <c r="L20" s="64"/>
      <c r="N20" s="64"/>
    </row>
    <row r="21" spans="2:14" ht="14.25" customHeight="1">
      <c r="B21" s="226" t="str">
        <f>'F4'!A2</f>
        <v>F4. MEJORAMIENTO CONTINUO Y AUTORREGULACIÓN</v>
      </c>
      <c r="C21" s="223" t="e">
        <f>AVERAGE(G21:G22)</f>
        <v>#DIV/0!</v>
      </c>
      <c r="D21" s="234" t="e">
        <f>C21/C56</f>
        <v>#DIV/0!</v>
      </c>
      <c r="F21" s="108" t="str">
        <f>'F4'!A14</f>
        <v>13. Cultura de la Autoevaluación</v>
      </c>
      <c r="G21" s="72" t="e">
        <f>'F4'!B14</f>
        <v>#DIV/0!</v>
      </c>
      <c r="H21" s="110">
        <f>'F4'!O7</f>
        <v>0.35</v>
      </c>
      <c r="J21" s="68">
        <f>'F4'!P7</f>
        <v>0</v>
      </c>
      <c r="K21" s="229">
        <f>'F4'!R7</f>
        <v>0</v>
      </c>
      <c r="L21" s="238" t="str">
        <f>IF(K21&gt;=4.1,"Cumple Plenamente",IF(K21&gt;=3.1,"Cumple Satisfactoriamente",IF(K21&gt;=2.1,"Cumple Aceptablemente",IF(K21=0," ","No Cumple"))))</f>
        <v xml:space="preserve"> </v>
      </c>
      <c r="N21" s="242" t="e">
        <f>D21*K21</f>
        <v>#DIV/0!</v>
      </c>
    </row>
    <row r="22" spans="2:14" ht="14.25" customHeight="1">
      <c r="B22" s="227"/>
      <c r="C22" s="224"/>
      <c r="D22" s="235"/>
      <c r="F22" s="109" t="str">
        <f>'F4'!A15</f>
        <v>14. Procesos de autorregulación</v>
      </c>
      <c r="G22" s="72" t="e">
        <f>'F4'!B15</f>
        <v>#DIV/0!</v>
      </c>
      <c r="H22" s="110">
        <f>'F4'!O8</f>
        <v>0.2</v>
      </c>
      <c r="J22" s="68">
        <f>'F4'!P8</f>
        <v>0</v>
      </c>
      <c r="K22" s="229"/>
      <c r="L22" s="238"/>
      <c r="N22" s="242"/>
    </row>
    <row r="23" spans="2:14">
      <c r="B23" s="227"/>
      <c r="C23" s="224"/>
      <c r="D23" s="235"/>
      <c r="F23" s="16" t="s">
        <v>52</v>
      </c>
      <c r="G23" s="75" t="e">
        <f>'F4'!B16</f>
        <v>#DIV/0!</v>
      </c>
      <c r="H23" s="110">
        <f>'F4'!O9</f>
        <v>0.3</v>
      </c>
      <c r="J23" s="134"/>
      <c r="K23" s="84"/>
      <c r="L23" s="85"/>
      <c r="N23" s="135"/>
    </row>
    <row r="24" spans="2:14">
      <c r="B24" s="228"/>
      <c r="C24" s="225"/>
      <c r="D24" s="236"/>
      <c r="F24" s="16" t="s">
        <v>53</v>
      </c>
      <c r="G24" s="75" t="e">
        <f>'F4'!B17</f>
        <v>#DIV/0!</v>
      </c>
      <c r="H24" s="110">
        <f>'F4'!O10</f>
        <v>0.25</v>
      </c>
      <c r="J24" s="134"/>
      <c r="K24" s="84"/>
      <c r="L24" s="85"/>
      <c r="N24" s="135"/>
    </row>
    <row r="25" spans="2:14" ht="6" customHeight="1">
      <c r="B25" s="45"/>
      <c r="C25" s="69"/>
      <c r="D25" s="47"/>
      <c r="F25" s="48"/>
      <c r="G25" s="49"/>
      <c r="H25" s="82"/>
      <c r="J25" s="83"/>
      <c r="K25" s="84"/>
      <c r="L25" s="85"/>
      <c r="N25" s="85"/>
    </row>
    <row r="26" spans="2:14" ht="15" customHeight="1">
      <c r="B26" s="226" t="str">
        <f>'F5'!A2</f>
        <v>F5. ESTRUCTURA Y PROCESOS ACADÉMICOS</v>
      </c>
      <c r="C26" s="223" t="e">
        <f>AVERAGE(G26:G29)</f>
        <v>#DIV/0!</v>
      </c>
      <c r="D26" s="234" t="e">
        <f>C26/C56</f>
        <v>#DIV/0!</v>
      </c>
      <c r="F26" s="65" t="str">
        <f>'F5'!A14</f>
        <v>17. Componentes formativos</v>
      </c>
      <c r="G26" s="75" t="e">
        <f>'F5'!B14</f>
        <v>#DIV/0!</v>
      </c>
      <c r="H26" s="71">
        <f>'F4'!O7</f>
        <v>0.35</v>
      </c>
      <c r="J26" s="68">
        <f>'F5'!P7</f>
        <v>0</v>
      </c>
      <c r="K26" s="230">
        <f>'F5'!R7</f>
        <v>0</v>
      </c>
      <c r="L26" s="232" t="str">
        <f>IF(K26&gt;=4.1,"Cumple Plenamente",IF(K26&gt;=3.1,"Cumple Satisfactoriamente",IF(K26&gt;=2.1,"Cumple Aceptablemente",IF(K26=0," ","No Cumple"))))</f>
        <v xml:space="preserve"> </v>
      </c>
      <c r="N26" s="221" t="e">
        <f>K26*D26</f>
        <v>#DIV/0!</v>
      </c>
    </row>
    <row r="27" spans="2:14" ht="15" customHeight="1">
      <c r="B27" s="227"/>
      <c r="C27" s="224"/>
      <c r="D27" s="235"/>
      <c r="F27" s="65" t="str">
        <f>'F5'!A15</f>
        <v>18. Componentes pedagógicos y de evaluación</v>
      </c>
      <c r="G27" s="75" t="e">
        <f>'F5'!B15</f>
        <v>#DIV/0!</v>
      </c>
      <c r="H27" s="71">
        <f>'F4'!O8</f>
        <v>0.2</v>
      </c>
      <c r="J27" s="68">
        <f>'F5'!P8</f>
        <v>0</v>
      </c>
      <c r="K27" s="231"/>
      <c r="L27" s="233"/>
      <c r="N27" s="222"/>
    </row>
    <row r="28" spans="2:14" ht="15" customHeight="1">
      <c r="B28" s="227"/>
      <c r="C28" s="224"/>
      <c r="D28" s="235"/>
      <c r="F28" s="65" t="str">
        <f>'F5'!A16</f>
        <v>19. Componente de interacción y relevancia social</v>
      </c>
      <c r="G28" s="75" t="e">
        <f>'F5'!B16</f>
        <v>#DIV/0!</v>
      </c>
      <c r="H28" s="71">
        <f>'F4'!O9</f>
        <v>0.3</v>
      </c>
      <c r="J28" s="68">
        <f>'F5'!P9</f>
        <v>0</v>
      </c>
      <c r="K28" s="231"/>
      <c r="L28" s="233"/>
      <c r="N28" s="222"/>
    </row>
    <row r="29" spans="2:14" ht="15" customHeight="1">
      <c r="B29" s="227"/>
      <c r="C29" s="224"/>
      <c r="D29" s="235"/>
      <c r="F29" s="65" t="str">
        <f>'F5'!A17</f>
        <v>20. Procesos de creación, modificación y ampliación de programas académicos</v>
      </c>
      <c r="G29" s="75" t="e">
        <f>'F5'!B17</f>
        <v>#DIV/0!</v>
      </c>
      <c r="H29" s="71">
        <f>'F4'!O10</f>
        <v>0.25</v>
      </c>
      <c r="J29" s="68">
        <f>'F5'!P10</f>
        <v>0</v>
      </c>
      <c r="K29" s="231"/>
      <c r="L29" s="233"/>
      <c r="N29" s="222"/>
    </row>
    <row r="30" spans="2:14" ht="6" customHeight="1">
      <c r="B30" s="45"/>
      <c r="C30" s="69"/>
      <c r="D30" s="47"/>
      <c r="F30" s="76"/>
      <c r="G30" s="49"/>
      <c r="H30" s="74"/>
      <c r="J30" s="62"/>
      <c r="K30" s="63"/>
      <c r="L30" s="64"/>
      <c r="N30" s="64"/>
    </row>
    <row r="31" spans="2:14" ht="21.75" customHeight="1">
      <c r="B31" s="226" t="str">
        <f>'F6'!A2</f>
        <v>F6. APORTES DE LA INVESTIGACIÓN, LA INNOVACIÓN, EL DESARROLLO TECNOLÓGICO Y LA CREACIÓN AL ENTORNO</v>
      </c>
      <c r="C31" s="223" t="e">
        <f>AVERAGE(G31:G32)</f>
        <v>#DIV/0!</v>
      </c>
      <c r="D31" s="234" t="e">
        <f>C31/C56</f>
        <v>#DIV/0!</v>
      </c>
      <c r="F31" s="65" t="str">
        <f>'F6'!A12</f>
        <v>21. Formación para la investigación, creación e innovación</v>
      </c>
      <c r="G31" s="75" t="e">
        <f>'F6'!B12</f>
        <v>#DIV/0!</v>
      </c>
      <c r="H31" s="71" t="e">
        <f>'F6'!O7</f>
        <v>#DIV/0!</v>
      </c>
      <c r="J31" s="68">
        <f>'F6'!P7</f>
        <v>0</v>
      </c>
      <c r="K31" s="230" t="e">
        <f>'F6'!R7</f>
        <v>#DIV/0!</v>
      </c>
      <c r="L31" s="232" t="e">
        <f>IF(K31&gt;=4.1,"Cumple Plenamente",IF(K31&gt;=3.1,"Cumple Satisfactoriamente",IF(K31&gt;=2.1,"Cumple Aceptablemente",IF(K31=0," ","No Cumple"))))</f>
        <v>#DIV/0!</v>
      </c>
      <c r="N31" s="221" t="e">
        <f>K31*D31</f>
        <v>#DIV/0!</v>
      </c>
    </row>
    <row r="32" spans="2:14" ht="21.75" customHeight="1">
      <c r="B32" s="227"/>
      <c r="C32" s="224"/>
      <c r="D32" s="235"/>
      <c r="F32" s="65" t="str">
        <f>'F6'!A13</f>
        <v>22. Investigación, desarrollo tecnológico, innovación y creación</v>
      </c>
      <c r="G32" s="75" t="e">
        <f>'F6'!B13</f>
        <v>#DIV/0!</v>
      </c>
      <c r="H32" s="71" t="e">
        <f>'F6'!O8</f>
        <v>#DIV/0!</v>
      </c>
      <c r="J32" s="68">
        <f>'F6'!P8</f>
        <v>0</v>
      </c>
      <c r="K32" s="231"/>
      <c r="L32" s="233"/>
      <c r="N32" s="222"/>
    </row>
    <row r="33" spans="2:16" ht="6" customHeight="1">
      <c r="B33" s="45"/>
      <c r="C33" s="69"/>
      <c r="D33" s="47"/>
      <c r="F33" s="76"/>
      <c r="G33" s="49"/>
      <c r="H33" s="74"/>
      <c r="J33" s="62"/>
      <c r="K33" s="63"/>
      <c r="L33" s="64"/>
      <c r="N33" s="77"/>
    </row>
    <row r="34" spans="2:16" ht="15" customHeight="1">
      <c r="B34" s="243" t="str">
        <f>'F7'!A2</f>
        <v>F7. IMPACTO SOCIAL</v>
      </c>
      <c r="C34" s="223" t="e">
        <f>AVERAGE(G34:G35)</f>
        <v>#DIV/0!</v>
      </c>
      <c r="D34" s="234" t="e">
        <f>C34/C56</f>
        <v>#DIV/0!</v>
      </c>
      <c r="F34" s="65" t="str">
        <f>'F7'!A12</f>
        <v>23. Institución y entorno</v>
      </c>
      <c r="G34" s="75" t="e">
        <f>'F7'!B12</f>
        <v>#DIV/0!</v>
      </c>
      <c r="H34" s="71">
        <f>'F7'!O7</f>
        <v>0.6</v>
      </c>
      <c r="J34" s="68">
        <f>'F7'!P7</f>
        <v>0</v>
      </c>
      <c r="K34" s="237">
        <f>'F7'!R7</f>
        <v>0</v>
      </c>
      <c r="L34" s="232" t="str">
        <f>IF(K34&gt;=4.1,"Cumple Plenamente",IF(K34&gt;=3.1,"Cumple Satisfactoriamente",IF(K34&gt;=2.1,"Cumple Aceptablemente",IF(K34=0," ","No Cumple"))))</f>
        <v xml:space="preserve"> </v>
      </c>
      <c r="N34" s="221" t="e">
        <f>K34*D34</f>
        <v>#DIV/0!</v>
      </c>
    </row>
    <row r="35" spans="2:16" ht="15" customHeight="1">
      <c r="B35" s="244"/>
      <c r="C35" s="224"/>
      <c r="D35" s="235"/>
      <c r="F35" s="65" t="str">
        <f>'F7'!A13</f>
        <v>24. Impacto cultural y artístico</v>
      </c>
      <c r="G35" s="75" t="e">
        <f>'F7'!B13</f>
        <v>#DIV/0!</v>
      </c>
      <c r="H35" s="71">
        <f>'F7'!O8</f>
        <v>0.4</v>
      </c>
      <c r="J35" s="68">
        <f>'F7'!P8</f>
        <v>0</v>
      </c>
      <c r="K35" s="237"/>
      <c r="L35" s="233"/>
      <c r="N35" s="222"/>
    </row>
    <row r="36" spans="2:16" ht="6" customHeight="1">
      <c r="B36" s="45"/>
      <c r="C36" s="69"/>
      <c r="D36" s="47"/>
      <c r="F36" s="76"/>
      <c r="G36" s="49"/>
      <c r="H36" s="74"/>
      <c r="J36" s="62"/>
      <c r="K36" s="63"/>
      <c r="L36" s="64"/>
      <c r="N36" s="77"/>
    </row>
    <row r="37" spans="2:16" ht="15" customHeight="1">
      <c r="B37" s="226" t="str">
        <f>'F8'!A2</f>
        <v>F8. VISIBILIDAD NACIONAL E INTERNACIONAL</v>
      </c>
      <c r="C37" s="223" t="e">
        <f>AVERAGE(G37:G38)</f>
        <v>#DIV/0!</v>
      </c>
      <c r="D37" s="234" t="e">
        <f>C37/C56</f>
        <v>#DIV/0!</v>
      </c>
      <c r="F37" s="65" t="str">
        <f>'F8'!A12</f>
        <v>25. Inserción de la institución en contextos académicos nacionales e internacionales</v>
      </c>
      <c r="G37" s="75" t="e">
        <f>'F8'!B12</f>
        <v>#DIV/0!</v>
      </c>
      <c r="H37" s="71">
        <f>'F8'!O7</f>
        <v>0.5</v>
      </c>
      <c r="J37" s="68">
        <f>'F8'!P7</f>
        <v>0</v>
      </c>
      <c r="K37" s="237">
        <f>'F8'!R7</f>
        <v>0</v>
      </c>
      <c r="L37" s="232" t="str">
        <f>IF(K37&gt;=4.1,"Cumple Plenamente",IF(K37&gt;=3.1,"Cumple Satisfactoriamente",IF(K37&gt;=2.1,"Cumple Aceptablemente",IF(K37=0," ","No Cumple"))))</f>
        <v xml:space="preserve"> </v>
      </c>
      <c r="N37" s="221" t="e">
        <f>K37*D37</f>
        <v>#DIV/0!</v>
      </c>
    </row>
    <row r="38" spans="2:16" ht="15" customHeight="1">
      <c r="B38" s="227"/>
      <c r="C38" s="224"/>
      <c r="D38" s="235"/>
      <c r="F38" s="65" t="str">
        <f>'F8'!A13</f>
        <v>26. Relaciones externas de profesores y estudiantes</v>
      </c>
      <c r="G38" s="75" t="e">
        <f>'F8'!B13</f>
        <v>#DIV/0!</v>
      </c>
      <c r="H38" s="71">
        <f>'F8'!O8</f>
        <v>0.5</v>
      </c>
      <c r="J38" s="68">
        <f>'F8'!P8</f>
        <v>0</v>
      </c>
      <c r="K38" s="237"/>
      <c r="L38" s="233"/>
      <c r="N38" s="222"/>
    </row>
    <row r="39" spans="2:16" ht="6" customHeight="1">
      <c r="B39" s="45"/>
      <c r="C39" s="69"/>
      <c r="D39" s="47"/>
      <c r="F39" s="76"/>
      <c r="G39" s="49"/>
      <c r="H39" s="74"/>
      <c r="J39" s="62"/>
      <c r="K39" s="63"/>
      <c r="L39" s="64"/>
      <c r="N39" s="77"/>
    </row>
    <row r="40" spans="2:16" ht="15" customHeight="1">
      <c r="B40" s="145" t="str">
        <f>'F9'!A2</f>
        <v>F9. BIENESTAR INSTITUCIONAL</v>
      </c>
      <c r="C40" s="146" t="e">
        <f>AVERAGE(G40:G40)</f>
        <v>#DIV/0!</v>
      </c>
      <c r="D40" s="147" t="e">
        <f>C40/C56</f>
        <v>#DIV/0!</v>
      </c>
      <c r="F40" s="65" t="str">
        <f>'F9'!A11</f>
        <v>27. Estructura y funcionamiento del bienestar institucional</v>
      </c>
      <c r="G40" s="75" t="e">
        <f>'F9'!B11</f>
        <v>#DIV/0!</v>
      </c>
      <c r="H40" s="71" t="e">
        <f>'F9'!O7</f>
        <v>#DIV/0!</v>
      </c>
      <c r="J40" s="68">
        <f>'F9'!P7</f>
        <v>0</v>
      </c>
      <c r="K40" s="120" t="e">
        <f>'F9'!R7</f>
        <v>#DIV/0!</v>
      </c>
      <c r="L40" s="118" t="e">
        <f>IF(K40&gt;=4.1,"Cumple Plenamente",IF(K40&gt;=3.1,"Cumple Satisfactoriamente",IF(K40&gt;=2.1,"Cumple Aceptablemente",IF(K40=0," ","No Cumple"))))</f>
        <v>#DIV/0!</v>
      </c>
      <c r="N40" s="119" t="e">
        <f>K40*D40</f>
        <v>#DIV/0!</v>
      </c>
      <c r="P40" s="102"/>
    </row>
    <row r="41" spans="2:16" ht="6" customHeight="1">
      <c r="B41" s="45"/>
      <c r="C41" s="69"/>
      <c r="D41" s="47"/>
      <c r="F41" s="76"/>
      <c r="G41" s="49"/>
      <c r="H41" s="111"/>
      <c r="J41" s="62"/>
      <c r="K41" s="63"/>
      <c r="L41" s="64"/>
      <c r="N41" s="77"/>
    </row>
    <row r="42" spans="2:16" ht="15" customHeight="1">
      <c r="B42" s="226" t="str">
        <f>'F10'!A2</f>
        <v>F10. COMUNIDAD DE PROFESORES</v>
      </c>
      <c r="C42" s="223" t="e">
        <f>AVERAGE(G42:G44)</f>
        <v>#DIV/0!</v>
      </c>
      <c r="D42" s="234" t="e">
        <f>C42/C56</f>
        <v>#DIV/0!</v>
      </c>
      <c r="F42" s="65" t="str">
        <f>'F10'!A15</f>
        <v>28. Derechos y deberes de los profesores</v>
      </c>
      <c r="G42" s="75" t="e">
        <f>'F10'!B15</f>
        <v>#DIV/0!</v>
      </c>
      <c r="H42" s="71">
        <f>'F10'!O7</f>
        <v>0.1</v>
      </c>
      <c r="J42" s="68">
        <f>'F10'!P7</f>
        <v>0</v>
      </c>
      <c r="K42" s="237">
        <f>'F10'!R7</f>
        <v>0</v>
      </c>
      <c r="L42" s="232" t="str">
        <f>IF(K42&gt;=4.1,"Cumple Plenamente",IF(K42&gt;=3.1,"Cumple Satisfactoriamente",IF(K42&gt;=2.1,"Cumple Aceptablemente",IF(K42=0," ","No Cumple"))))</f>
        <v xml:space="preserve"> </v>
      </c>
      <c r="N42" s="221" t="e">
        <f>K42*D42</f>
        <v>#DIV/0!</v>
      </c>
    </row>
    <row r="43" spans="2:16" ht="15" customHeight="1">
      <c r="B43" s="227"/>
      <c r="C43" s="224"/>
      <c r="D43" s="235"/>
      <c r="F43" s="65" t="str">
        <f>'F10'!A16</f>
        <v>29. Planta profesoral</v>
      </c>
      <c r="G43" s="75" t="e">
        <f>'F10'!B16</f>
        <v>#DIV/0!</v>
      </c>
      <c r="H43" s="71">
        <f>'F10'!O8</f>
        <v>0.25</v>
      </c>
      <c r="J43" s="68">
        <f>'F10'!P8</f>
        <v>0</v>
      </c>
      <c r="K43" s="237"/>
      <c r="L43" s="233"/>
      <c r="N43" s="222"/>
    </row>
    <row r="44" spans="2:16" ht="15" customHeight="1">
      <c r="B44" s="227"/>
      <c r="C44" s="224"/>
      <c r="D44" s="235"/>
      <c r="F44" s="109" t="str">
        <f>'F10'!A17</f>
        <v>30. Trayectoria profesoral</v>
      </c>
      <c r="G44" s="78" t="e">
        <f>'F10'!B17</f>
        <v>#DIV/0!</v>
      </c>
      <c r="H44" s="71">
        <f>'F10'!O9</f>
        <v>0.3</v>
      </c>
      <c r="J44" s="68">
        <f>'F10'!P11</f>
        <v>0</v>
      </c>
      <c r="K44" s="230"/>
      <c r="L44" s="241"/>
      <c r="N44" s="246"/>
    </row>
    <row r="45" spans="2:16" ht="15" customHeight="1">
      <c r="B45" s="227"/>
      <c r="C45" s="224"/>
      <c r="D45" s="235"/>
      <c r="F45" s="142" t="s">
        <v>74</v>
      </c>
      <c r="G45" s="78" t="e">
        <f>'F10'!B18</f>
        <v>#DIV/0!</v>
      </c>
      <c r="H45" s="71">
        <f>'F10'!O10</f>
        <v>0.2</v>
      </c>
      <c r="J45" s="105"/>
      <c r="K45" s="106"/>
      <c r="L45" s="93"/>
      <c r="N45" s="107"/>
    </row>
    <row r="46" spans="2:16" ht="15" customHeight="1">
      <c r="B46" s="228"/>
      <c r="C46" s="225"/>
      <c r="D46" s="236"/>
      <c r="F46" s="141" t="s">
        <v>75</v>
      </c>
      <c r="G46" s="75" t="e">
        <f>'F10'!B19</f>
        <v>#DIV/0!</v>
      </c>
      <c r="H46" s="71">
        <f>'F10'!O11</f>
        <v>0.15</v>
      </c>
      <c r="J46" s="105"/>
      <c r="K46" s="106"/>
      <c r="L46" s="93"/>
      <c r="N46" s="107"/>
    </row>
    <row r="47" spans="2:16" ht="5.25" customHeight="1">
      <c r="B47" s="45"/>
      <c r="C47" s="69"/>
      <c r="D47" s="47"/>
      <c r="G47" s="137"/>
      <c r="H47" s="104"/>
      <c r="J47" s="105"/>
      <c r="K47" s="106"/>
      <c r="L47" s="93"/>
      <c r="N47" s="107"/>
    </row>
    <row r="48" spans="2:16" ht="15" customHeight="1">
      <c r="B48" s="226" t="str">
        <f>'F11'!A2</f>
        <v>F11. COMUNIDAD DE ESTUDIANTES</v>
      </c>
      <c r="C48" s="223" t="e">
        <f>AVERAGE(G48:G50)</f>
        <v>#DIV/0!</v>
      </c>
      <c r="D48" s="234" t="e">
        <f>C48/C56</f>
        <v>#DIV/0!</v>
      </c>
      <c r="F48" s="65" t="str">
        <f>'F11'!A13</f>
        <v>33. Derechos y deberes de los estudiantes</v>
      </c>
      <c r="G48" s="75" t="e">
        <f>'F11'!B13</f>
        <v>#DIV/0!</v>
      </c>
      <c r="H48" s="71">
        <f>'F11'!O7</f>
        <v>0.2</v>
      </c>
      <c r="J48" s="68">
        <f>'F11'!P7</f>
        <v>0</v>
      </c>
      <c r="K48" s="237">
        <f>'F11'!R7</f>
        <v>0</v>
      </c>
      <c r="L48" s="238" t="str">
        <f>IF(K48&gt;=4.1,"Cumple Plenamente",IF(K48&gt;=3.1,"Cumple Satisfactoriamente",IF(K48&gt;=2.1,"Cumple Aceptablemente",IF(K48=0," ","No Cumple"))))</f>
        <v xml:space="preserve"> </v>
      </c>
      <c r="N48" s="245" t="e">
        <f>K48*D48</f>
        <v>#DIV/0!</v>
      </c>
    </row>
    <row r="49" spans="2:16" ht="15" customHeight="1">
      <c r="B49" s="227"/>
      <c r="C49" s="224"/>
      <c r="D49" s="235"/>
      <c r="F49" s="65" t="str">
        <f>'F11'!A14</f>
        <v>34. Admisión y permanencia de los estudiantes</v>
      </c>
      <c r="G49" s="75" t="e">
        <f>'F11'!B14</f>
        <v>#DIV/0!</v>
      </c>
      <c r="H49" s="71">
        <f>'F11'!O8</f>
        <v>0.5</v>
      </c>
      <c r="J49" s="68">
        <f>'F11'!P8</f>
        <v>0</v>
      </c>
      <c r="K49" s="237"/>
      <c r="L49" s="238"/>
      <c r="N49" s="245"/>
    </row>
    <row r="50" spans="2:16" ht="15" customHeight="1">
      <c r="B50" s="228"/>
      <c r="C50" s="225"/>
      <c r="D50" s="236"/>
      <c r="F50" s="65" t="str">
        <f>'F11'!A15</f>
        <v>35. Estímulos y apoyos para estudiantes</v>
      </c>
      <c r="G50" s="75" t="e">
        <f>'F11'!B15</f>
        <v>#DIV/0!</v>
      </c>
      <c r="H50" s="71">
        <f>'F11'!O9</f>
        <v>0.3</v>
      </c>
      <c r="J50" s="68">
        <f>'F11'!P9</f>
        <v>0</v>
      </c>
      <c r="K50" s="237"/>
      <c r="L50" s="238"/>
      <c r="N50" s="245"/>
    </row>
    <row r="51" spans="2:16" ht="4.5" customHeight="1">
      <c r="B51" s="45"/>
      <c r="C51" s="69"/>
      <c r="D51" s="47"/>
      <c r="F51" s="109"/>
      <c r="G51" s="104"/>
      <c r="H51" s="104"/>
      <c r="J51" s="68"/>
      <c r="K51" s="106"/>
      <c r="L51" s="93"/>
      <c r="N51" s="107"/>
    </row>
    <row r="52" spans="2:16" ht="15" customHeight="1">
      <c r="B52" s="226" t="str">
        <f>'F12'!A2</f>
        <v>F12. COMUNIDAD DE EGRESADOS</v>
      </c>
      <c r="C52" s="223" t="e">
        <f>AVERAGE(G52:G54)</f>
        <v>#DIV/0!</v>
      </c>
      <c r="D52" s="234" t="e">
        <f>C52/C56</f>
        <v>#DIV/0!</v>
      </c>
      <c r="F52" s="108" t="str">
        <f>'F12'!A13</f>
        <v>36. Seguimiento a egresados</v>
      </c>
      <c r="G52" s="75" t="e">
        <f>'F12'!B13</f>
        <v>#DIV/0!</v>
      </c>
      <c r="H52" s="71">
        <f>'F12'!O7</f>
        <v>0.4</v>
      </c>
      <c r="J52" s="68">
        <f>'F12'!P7</f>
        <v>0</v>
      </c>
      <c r="K52" s="237">
        <f>'F12'!R7</f>
        <v>0</v>
      </c>
      <c r="L52" s="238" t="str">
        <f>IF(K52&gt;=4.1,"Cumple Plenamente",IF(K52&gt;=3.1,"Cumple Satisfactoriamente",IF(K52&gt;=2.1,"Cumple Aceptablemente",IF(K52=0," ","No Cumple"))))</f>
        <v xml:space="preserve"> </v>
      </c>
      <c r="N52" s="245" t="e">
        <f>K52*D52</f>
        <v>#DIV/0!</v>
      </c>
    </row>
    <row r="53" spans="2:16" ht="15" customHeight="1">
      <c r="B53" s="227"/>
      <c r="C53" s="224"/>
      <c r="D53" s="235"/>
      <c r="F53" s="16" t="s">
        <v>82</v>
      </c>
      <c r="G53" s="75">
        <v>8</v>
      </c>
      <c r="H53" s="71">
        <f>'F12'!O8</f>
        <v>0.3</v>
      </c>
      <c r="J53" s="68"/>
      <c r="K53" s="237"/>
      <c r="L53" s="238"/>
      <c r="N53" s="245"/>
    </row>
    <row r="54" spans="2:16" ht="15" customHeight="1">
      <c r="B54" s="228"/>
      <c r="C54" s="225"/>
      <c r="D54" s="236"/>
      <c r="F54" s="108" t="str">
        <f>'F12'!A15</f>
        <v>38. Relación de los egresados con la Institución</v>
      </c>
      <c r="G54" s="75" t="e">
        <f>'F12'!B15</f>
        <v>#DIV/0!</v>
      </c>
      <c r="H54" s="71">
        <f>'F12'!O9</f>
        <v>0.3</v>
      </c>
      <c r="J54" s="68">
        <f>'F12'!P9</f>
        <v>0</v>
      </c>
      <c r="K54" s="237"/>
      <c r="L54" s="238"/>
      <c r="N54" s="245"/>
    </row>
    <row r="55" spans="2:16" ht="6" customHeight="1" thickBot="1">
      <c r="B55" s="45"/>
      <c r="C55" s="79"/>
      <c r="D55" s="47"/>
      <c r="F55" s="80"/>
      <c r="G55" s="81"/>
      <c r="H55" s="82"/>
      <c r="J55" s="83"/>
      <c r="K55" s="84"/>
      <c r="L55" s="85"/>
      <c r="N55" s="85"/>
    </row>
    <row r="56" spans="2:16" s="96" customFormat="1" ht="28.5" customHeight="1" thickTop="1" thickBot="1">
      <c r="B56" s="41"/>
      <c r="C56" s="86" t="e">
        <f>SUM(C6:C54)</f>
        <v>#DIV/0!</v>
      </c>
      <c r="D56" s="87" t="e">
        <f>SUM(D6:D54)</f>
        <v>#DIV/0!</v>
      </c>
      <c r="E56" s="58"/>
      <c r="F56" s="41"/>
      <c r="G56" s="103" t="e">
        <f>SUM(G6:G54)</f>
        <v>#DIV/0!</v>
      </c>
      <c r="H56" s="41"/>
      <c r="I56" s="41"/>
      <c r="J56" s="41"/>
      <c r="K56" s="41"/>
      <c r="L56" s="239" t="e">
        <f>IF(N56&gt;=4.1,"Cumple Plenamente",IF(N56&gt;=3.1,"Cumple Satisfactoriamente",IF(N56&gt;=2.1,"Cumple Aceptablemente",IF(N56=0," ","No Cumple"))))</f>
        <v>#DIV/0!</v>
      </c>
      <c r="M56" s="240"/>
      <c r="N56" s="88" t="e">
        <f>SUM(N6:N54)</f>
        <v>#DIV/0!</v>
      </c>
      <c r="P56" s="95"/>
    </row>
    <row r="57" spans="2:16" ht="6" customHeight="1" thickTop="1">
      <c r="B57" s="45"/>
      <c r="C57" s="79"/>
      <c r="D57" s="47"/>
      <c r="F57" s="48"/>
      <c r="G57" s="89"/>
      <c r="H57" s="90"/>
      <c r="J57" s="91"/>
      <c r="K57" s="92"/>
      <c r="L57" s="93"/>
      <c r="N57" s="93"/>
    </row>
    <row r="58" spans="2:16" ht="14.25" customHeight="1"/>
  </sheetData>
  <sheetProtection selectLockedCells="1" selectUnlockedCells="1"/>
  <mergeCells count="68">
    <mergeCell ref="N48:N50"/>
    <mergeCell ref="N52:N54"/>
    <mergeCell ref="N42:N44"/>
    <mergeCell ref="B52:B54"/>
    <mergeCell ref="C52:C54"/>
    <mergeCell ref="D52:D54"/>
    <mergeCell ref="C48:C50"/>
    <mergeCell ref="B48:B50"/>
    <mergeCell ref="D48:D50"/>
    <mergeCell ref="N21:N22"/>
    <mergeCell ref="N31:N32"/>
    <mergeCell ref="L26:L29"/>
    <mergeCell ref="B42:B46"/>
    <mergeCell ref="C42:C46"/>
    <mergeCell ref="D42:D46"/>
    <mergeCell ref="N34:N35"/>
    <mergeCell ref="N37:N38"/>
    <mergeCell ref="D34:D35"/>
    <mergeCell ref="D37:D38"/>
    <mergeCell ref="B31:B32"/>
    <mergeCell ref="D31:D32"/>
    <mergeCell ref="C31:C32"/>
    <mergeCell ref="B34:B35"/>
    <mergeCell ref="B37:B38"/>
    <mergeCell ref="C34:C35"/>
    <mergeCell ref="K31:K32"/>
    <mergeCell ref="L21:L22"/>
    <mergeCell ref="L31:L32"/>
    <mergeCell ref="K26:K29"/>
    <mergeCell ref="L56:M56"/>
    <mergeCell ref="K42:K44"/>
    <mergeCell ref="L42:L44"/>
    <mergeCell ref="K48:K50"/>
    <mergeCell ref="K52:K54"/>
    <mergeCell ref="L48:L50"/>
    <mergeCell ref="L52:L54"/>
    <mergeCell ref="N10:N12"/>
    <mergeCell ref="C37:C38"/>
    <mergeCell ref="B14:B19"/>
    <mergeCell ref="B26:B29"/>
    <mergeCell ref="D10:D12"/>
    <mergeCell ref="D14:D19"/>
    <mergeCell ref="D26:D29"/>
    <mergeCell ref="B21:B24"/>
    <mergeCell ref="C21:C24"/>
    <mergeCell ref="D21:D24"/>
    <mergeCell ref="L14:L19"/>
    <mergeCell ref="K14:K19"/>
    <mergeCell ref="K34:K35"/>
    <mergeCell ref="L34:L35"/>
    <mergeCell ref="K37:K38"/>
    <mergeCell ref="L37:L38"/>
    <mergeCell ref="B2:D2"/>
    <mergeCell ref="N14:N19"/>
    <mergeCell ref="N26:N29"/>
    <mergeCell ref="C10:C12"/>
    <mergeCell ref="C14:C19"/>
    <mergeCell ref="C26:C29"/>
    <mergeCell ref="B10:B12"/>
    <mergeCell ref="K21:K22"/>
    <mergeCell ref="K6:K7"/>
    <mergeCell ref="L6:L7"/>
    <mergeCell ref="K10:K12"/>
    <mergeCell ref="L10:L12"/>
    <mergeCell ref="B6:B8"/>
    <mergeCell ref="C6:C8"/>
    <mergeCell ref="D6:D8"/>
    <mergeCell ref="N6:N7"/>
  </mergeCells>
  <conditionalFormatting sqref="H41">
    <cfRule type="containsErrors" dxfId="77" priority="1">
      <formula>ISERROR(H41)</formula>
    </cfRule>
  </conditionalFormatting>
  <conditionalFormatting sqref="L6:L8">
    <cfRule type="containsText" dxfId="76" priority="212" stopIfTrue="1" operator="containsText" text="Cumple Plenamente">
      <formula>NOT(ISERROR(SEARCH("Cumple Plenamente",L6)))</formula>
    </cfRule>
    <cfRule type="containsText" dxfId="75" priority="213" stopIfTrue="1" operator="containsText" text="Cumple Satisfactoriamente">
      <formula>NOT(ISERROR(SEARCH("Cumple Satisfactoriamente",L6)))</formula>
    </cfRule>
    <cfRule type="containsText" dxfId="74" priority="214" stopIfTrue="1" operator="containsText" text="Cumple Aceptablemente">
      <formula>NOT(ISERROR(SEARCH("Cumple Aceptablemente",L6)))</formula>
    </cfRule>
    <cfRule type="containsText" dxfId="73" priority="216" stopIfTrue="1" operator="containsText" text="No Cumple">
      <formula>NOT(ISERROR(SEARCH("No Cumple",L6)))</formula>
    </cfRule>
  </conditionalFormatting>
  <conditionalFormatting sqref="L10:L11">
    <cfRule type="containsText" dxfId="72" priority="40" stopIfTrue="1" operator="containsText" text="Cumple Plenamente">
      <formula>NOT(ISERROR(SEARCH("Cumple Plenamente",L10)))</formula>
    </cfRule>
    <cfRule type="containsText" dxfId="71" priority="41" stopIfTrue="1" operator="containsText" text="Cumple Satisfactoriamente">
      <formula>NOT(ISERROR(SEARCH("Cumple Satisfactoriamente",L10)))</formula>
    </cfRule>
    <cfRule type="containsText" dxfId="70" priority="42" stopIfTrue="1" operator="containsText" text="Cumple Aceptablemente">
      <formula>NOT(ISERROR(SEARCH("Cumple Aceptablemente",L10)))</formula>
    </cfRule>
    <cfRule type="containsText" dxfId="69" priority="43" stopIfTrue="1" operator="containsText" text="No Cumple">
      <formula>NOT(ISERROR(SEARCH("No Cumple",L10)))</formula>
    </cfRule>
  </conditionalFormatting>
  <conditionalFormatting sqref="L14">
    <cfRule type="containsText" dxfId="68" priority="36" stopIfTrue="1" operator="containsText" text="Cumple Plenamente">
      <formula>NOT(ISERROR(SEARCH("Cumple Plenamente",L14)))</formula>
    </cfRule>
    <cfRule type="containsText" dxfId="67" priority="37" stopIfTrue="1" operator="containsText" text="Cumple Satisfactoriamente">
      <formula>NOT(ISERROR(SEARCH("Cumple Satisfactoriamente",L14)))</formula>
    </cfRule>
    <cfRule type="containsText" dxfId="66" priority="38" stopIfTrue="1" operator="containsText" text="Cumple Aceptablemente">
      <formula>NOT(ISERROR(SEARCH("Cumple Aceptablemente",L14)))</formula>
    </cfRule>
    <cfRule type="containsText" dxfId="65" priority="39" stopIfTrue="1" operator="containsText" text="No Cumple">
      <formula>NOT(ISERROR(SEARCH("No Cumple",L14)))</formula>
    </cfRule>
  </conditionalFormatting>
  <conditionalFormatting sqref="L26">
    <cfRule type="containsText" dxfId="64" priority="32" stopIfTrue="1" operator="containsText" text="Cumple Plenamente">
      <formula>NOT(ISERROR(SEARCH("Cumple Plenamente",L26)))</formula>
    </cfRule>
    <cfRule type="containsText" dxfId="63" priority="33" stopIfTrue="1" operator="containsText" text="Cumple Satisfactoriamente">
      <formula>NOT(ISERROR(SEARCH("Cumple Satisfactoriamente",L26)))</formula>
    </cfRule>
    <cfRule type="containsText" dxfId="62" priority="34" stopIfTrue="1" operator="containsText" text="Cumple Aceptablemente">
      <formula>NOT(ISERROR(SEARCH("Cumple Aceptablemente",L26)))</formula>
    </cfRule>
    <cfRule type="containsText" dxfId="61" priority="35" stopIfTrue="1" operator="containsText" text="No Cumple">
      <formula>NOT(ISERROR(SEARCH("No Cumple",L26)))</formula>
    </cfRule>
  </conditionalFormatting>
  <conditionalFormatting sqref="L31">
    <cfRule type="containsText" dxfId="60" priority="28" stopIfTrue="1" operator="containsText" text="Cumple Plenamente">
      <formula>NOT(ISERROR(SEARCH("Cumple Plenamente",L31)))</formula>
    </cfRule>
    <cfRule type="containsText" dxfId="59" priority="29" stopIfTrue="1" operator="containsText" text="Cumple Satisfactoriamente">
      <formula>NOT(ISERROR(SEARCH("Cumple Satisfactoriamente",L31)))</formula>
    </cfRule>
    <cfRule type="containsText" dxfId="58" priority="30" stopIfTrue="1" operator="containsText" text="Cumple Aceptablemente">
      <formula>NOT(ISERROR(SEARCH("Cumple Aceptablemente",L31)))</formula>
    </cfRule>
    <cfRule type="containsText" dxfId="57" priority="31" stopIfTrue="1" operator="containsText" text="No Cumple">
      <formula>NOT(ISERROR(SEARCH("No Cumple",L31)))</formula>
    </cfRule>
  </conditionalFormatting>
  <conditionalFormatting sqref="L34:L35">
    <cfRule type="containsText" dxfId="56" priority="20" stopIfTrue="1" operator="containsText" text="Cumple Plenamente">
      <formula>NOT(ISERROR(SEARCH("Cumple Plenamente",L34)))</formula>
    </cfRule>
    <cfRule type="containsText" dxfId="55" priority="21" stopIfTrue="1" operator="containsText" text="Cumple Satisfactoriamente">
      <formula>NOT(ISERROR(SEARCH("Cumple Satisfactoriamente",L34)))</formula>
    </cfRule>
    <cfRule type="containsText" dxfId="54" priority="22" stopIfTrue="1" operator="containsText" text="Cumple Aceptablemente">
      <formula>NOT(ISERROR(SEARCH("Cumple Aceptablemente",L34)))</formula>
    </cfRule>
    <cfRule type="containsText" dxfId="53" priority="23" stopIfTrue="1" operator="containsText" text="No Cumple">
      <formula>NOT(ISERROR(SEARCH("No Cumple",L34)))</formula>
    </cfRule>
  </conditionalFormatting>
  <conditionalFormatting sqref="L37">
    <cfRule type="containsText" dxfId="52" priority="16" stopIfTrue="1" operator="containsText" text="Cumple Plenamente">
      <formula>NOT(ISERROR(SEARCH("Cumple Plenamente",L37)))</formula>
    </cfRule>
    <cfRule type="containsText" dxfId="51" priority="17" stopIfTrue="1" operator="containsText" text="Cumple Satisfactoriamente">
      <formula>NOT(ISERROR(SEARCH("Cumple Satisfactoriamente",L37)))</formula>
    </cfRule>
    <cfRule type="containsText" dxfId="50" priority="18" stopIfTrue="1" operator="containsText" text="Cumple Aceptablemente">
      <formula>NOT(ISERROR(SEARCH("Cumple Aceptablemente",L37)))</formula>
    </cfRule>
    <cfRule type="containsText" dxfId="49" priority="19" stopIfTrue="1" operator="containsText" text="No Cumple">
      <formula>NOT(ISERROR(SEARCH("No Cumple",L37)))</formula>
    </cfRule>
  </conditionalFormatting>
  <conditionalFormatting sqref="L40">
    <cfRule type="containsText" dxfId="48" priority="3" operator="containsText" text="NO APLICA">
      <formula>NOT(ISERROR(SEARCH("NO APLICA",L40)))</formula>
    </cfRule>
    <cfRule type="containsText" dxfId="47" priority="12" stopIfTrue="1" operator="containsText" text="Cumple Plenamente">
      <formula>NOT(ISERROR(SEARCH("Cumple Plenamente",L40)))</formula>
    </cfRule>
    <cfRule type="containsText" dxfId="46" priority="13" stopIfTrue="1" operator="containsText" text="Cumple Satisfactoriamente">
      <formula>NOT(ISERROR(SEARCH("Cumple Satisfactoriamente",L40)))</formula>
    </cfRule>
    <cfRule type="containsText" dxfId="45" priority="14" stopIfTrue="1" operator="containsText" text="Cumple Aceptablemente">
      <formula>NOT(ISERROR(SEARCH("Cumple Aceptablemente",L40)))</formula>
    </cfRule>
    <cfRule type="containsText" dxfId="44" priority="15" stopIfTrue="1" operator="containsText" text="No Cumple">
      <formula>NOT(ISERROR(SEARCH("No Cumple",L40)))</formula>
    </cfRule>
  </conditionalFormatting>
  <conditionalFormatting sqref="L42">
    <cfRule type="containsText" dxfId="43" priority="8" stopIfTrue="1" operator="containsText" text="Cumple Plenamente">
      <formula>NOT(ISERROR(SEARCH("Cumple Plenamente",L42)))</formula>
    </cfRule>
    <cfRule type="containsText" dxfId="42" priority="9" stopIfTrue="1" operator="containsText" text="Cumple Satisfactoriamente">
      <formula>NOT(ISERROR(SEARCH("Cumple Satisfactoriamente",L42)))</formula>
    </cfRule>
    <cfRule type="containsText" dxfId="41" priority="10" stopIfTrue="1" operator="containsText" text="Cumple Aceptablemente">
      <formula>NOT(ISERROR(SEARCH("Cumple Aceptablemente",L42)))</formula>
    </cfRule>
    <cfRule type="containsText" dxfId="40" priority="11" stopIfTrue="1" operator="containsText" text="No Cumple">
      <formula>NOT(ISERROR(SEARCH("No Cumple",L42)))</formula>
    </cfRule>
  </conditionalFormatting>
  <conditionalFormatting sqref="L56">
    <cfRule type="containsText" dxfId="39" priority="4" stopIfTrue="1" operator="containsText" text="Cumple Plenamente">
      <formula>NOT(ISERROR(SEARCH("Cumple Plenamente",L56)))</formula>
    </cfRule>
    <cfRule type="containsText" dxfId="38" priority="5" stopIfTrue="1" operator="containsText" text="Cumple Satisfactoriamente">
      <formula>NOT(ISERROR(SEARCH("Cumple Satisfactoriamente",L56)))</formula>
    </cfRule>
    <cfRule type="containsText" dxfId="37" priority="6" stopIfTrue="1" operator="containsText" text="Cumple Aceptablemente">
      <formula>NOT(ISERROR(SEARCH("Cumple Aceptablemente",L56)))</formula>
    </cfRule>
    <cfRule type="containsText" dxfId="36" priority="7" stopIfTrue="1" operator="containsText" text="No Cumple">
      <formula>NOT(ISERROR(SEARCH("No Cumple",L56)))</formula>
    </cfRule>
  </conditionalFormatting>
  <conditionalFormatting sqref="N6:N8">
    <cfRule type="containsText" dxfId="35" priority="84" stopIfTrue="1" operator="containsText" text="Cumple Plenamente">
      <formula>NOT(ISERROR(SEARCH("Cumple Plenamente",N6)))</formula>
    </cfRule>
    <cfRule type="containsText" dxfId="34" priority="85" stopIfTrue="1" operator="containsText" text="Cumple Satisfactoriamente">
      <formula>NOT(ISERROR(SEARCH("Cumple Satisfactoriamente",N6)))</formula>
    </cfRule>
    <cfRule type="containsText" dxfId="33" priority="86" stopIfTrue="1" operator="containsText" text="Cumple Aceptablemente">
      <formula>NOT(ISERROR(SEARCH("Cumple Aceptablemente",N6)))</formula>
    </cfRule>
    <cfRule type="containsText" dxfId="32" priority="87" stopIfTrue="1" operator="containsText" text="Cumple Insatisfactoriamente">
      <formula>NOT(ISERROR(SEARCH("Cumple Insatisfactoriamente",N6)))</formula>
    </cfRule>
  </conditionalFormatting>
  <conditionalFormatting sqref="N10:N11">
    <cfRule type="containsText" dxfId="31" priority="80" stopIfTrue="1" operator="containsText" text="Cumple Plenamente">
      <formula>NOT(ISERROR(SEARCH("Cumple Plenamente",N10)))</formula>
    </cfRule>
    <cfRule type="containsText" dxfId="30" priority="81" stopIfTrue="1" operator="containsText" text="Cumple Satisfactoriamente">
      <formula>NOT(ISERROR(SEARCH("Cumple Satisfactoriamente",N10)))</formula>
    </cfRule>
    <cfRule type="containsText" dxfId="29" priority="82" stopIfTrue="1" operator="containsText" text="Cumple Aceptablemente">
      <formula>NOT(ISERROR(SEARCH("Cumple Aceptablemente",N10)))</formula>
    </cfRule>
    <cfRule type="containsText" dxfId="28" priority="83" stopIfTrue="1" operator="containsText" text="Cumple Insatisfactoriamente">
      <formula>NOT(ISERROR(SEARCH("Cumple Insatisfactoriamente",N10)))</formula>
    </cfRule>
  </conditionalFormatting>
  <conditionalFormatting sqref="N14">
    <cfRule type="containsText" dxfId="27" priority="76" stopIfTrue="1" operator="containsText" text="Cumple Plenamente">
      <formula>NOT(ISERROR(SEARCH("Cumple Plenamente",N14)))</formula>
    </cfRule>
    <cfRule type="containsText" dxfId="26" priority="77" stopIfTrue="1" operator="containsText" text="Cumple Satisfactoriamente">
      <formula>NOT(ISERROR(SEARCH("Cumple Satisfactoriamente",N14)))</formula>
    </cfRule>
    <cfRule type="containsText" dxfId="25" priority="78" stopIfTrue="1" operator="containsText" text="Cumple Aceptablemente">
      <formula>NOT(ISERROR(SEARCH("Cumple Aceptablemente",N14)))</formula>
    </cfRule>
    <cfRule type="containsText" dxfId="24" priority="79" stopIfTrue="1" operator="containsText" text="Cumple Insatisfactoriamente">
      <formula>NOT(ISERROR(SEARCH("Cumple Insatisfactoriamente",N14)))</formula>
    </cfRule>
  </conditionalFormatting>
  <conditionalFormatting sqref="N26">
    <cfRule type="containsText" dxfId="23" priority="44" stopIfTrue="1" operator="containsText" text="Cumple Plenamente">
      <formula>NOT(ISERROR(SEARCH("Cumple Plenamente",N26)))</formula>
    </cfRule>
    <cfRule type="containsText" dxfId="22" priority="45" stopIfTrue="1" operator="containsText" text="Cumple Satisfactoriamente">
      <formula>NOT(ISERROR(SEARCH("Cumple Satisfactoriamente",N26)))</formula>
    </cfRule>
    <cfRule type="containsText" dxfId="21" priority="46" stopIfTrue="1" operator="containsText" text="Cumple Aceptablemente">
      <formula>NOT(ISERROR(SEARCH("Cumple Aceptablemente",N26)))</formula>
    </cfRule>
    <cfRule type="containsText" dxfId="20" priority="47" stopIfTrue="1" operator="containsText" text="Cumple Insatisfactoriamente">
      <formula>NOT(ISERROR(SEARCH("Cumple Insatisfactoriamente",N26)))</formula>
    </cfRule>
  </conditionalFormatting>
  <conditionalFormatting sqref="N31">
    <cfRule type="containsText" dxfId="19" priority="68" stopIfTrue="1" operator="containsText" text="Cumple Plenamente">
      <formula>NOT(ISERROR(SEARCH("Cumple Plenamente",N31)))</formula>
    </cfRule>
    <cfRule type="containsText" dxfId="18" priority="69" stopIfTrue="1" operator="containsText" text="Cumple Satisfactoriamente">
      <formula>NOT(ISERROR(SEARCH("Cumple Satisfactoriamente",N31)))</formula>
    </cfRule>
    <cfRule type="containsText" dxfId="17" priority="70" stopIfTrue="1" operator="containsText" text="Cumple Aceptablemente">
      <formula>NOT(ISERROR(SEARCH("Cumple Aceptablemente",N31)))</formula>
    </cfRule>
    <cfRule type="containsText" dxfId="16" priority="71" stopIfTrue="1" operator="containsText" text="Cumple Insatisfactoriamente">
      <formula>NOT(ISERROR(SEARCH("Cumple Insatisfactoriamente",N31)))</formula>
    </cfRule>
  </conditionalFormatting>
  <conditionalFormatting sqref="N34:N35">
    <cfRule type="containsText" dxfId="15" priority="60" stopIfTrue="1" operator="containsText" text="Cumple Plenamente">
      <formula>NOT(ISERROR(SEARCH("Cumple Plenamente",N34)))</formula>
    </cfRule>
    <cfRule type="containsText" dxfId="14" priority="61" stopIfTrue="1" operator="containsText" text="Cumple Satisfactoriamente">
      <formula>NOT(ISERROR(SEARCH("Cumple Satisfactoriamente",N34)))</formula>
    </cfRule>
    <cfRule type="containsText" dxfId="13" priority="62" stopIfTrue="1" operator="containsText" text="Cumple Aceptablemente">
      <formula>NOT(ISERROR(SEARCH("Cumple Aceptablemente",N34)))</formula>
    </cfRule>
    <cfRule type="containsText" dxfId="12" priority="63" stopIfTrue="1" operator="containsText" text="Cumple Insatisfactoriamente">
      <formula>NOT(ISERROR(SEARCH("Cumple Insatisfactoriamente",N34)))</formula>
    </cfRule>
  </conditionalFormatting>
  <conditionalFormatting sqref="N37">
    <cfRule type="containsText" dxfId="11" priority="56" stopIfTrue="1" operator="containsText" text="Cumple Plenamente">
      <formula>NOT(ISERROR(SEARCH("Cumple Plenamente",N37)))</formula>
    </cfRule>
    <cfRule type="containsText" dxfId="10" priority="57" stopIfTrue="1" operator="containsText" text="Cumple Satisfactoriamente">
      <formula>NOT(ISERROR(SEARCH("Cumple Satisfactoriamente",N37)))</formula>
    </cfRule>
    <cfRule type="containsText" dxfId="9" priority="58" stopIfTrue="1" operator="containsText" text="Cumple Aceptablemente">
      <formula>NOT(ISERROR(SEARCH("Cumple Aceptablemente",N37)))</formula>
    </cfRule>
    <cfRule type="containsText" dxfId="8" priority="59" stopIfTrue="1" operator="containsText" text="Cumple Insatisfactoriamente">
      <formula>NOT(ISERROR(SEARCH("Cumple Insatisfactoriamente",N37)))</formula>
    </cfRule>
  </conditionalFormatting>
  <conditionalFormatting sqref="N40">
    <cfRule type="containsText" dxfId="7" priority="52" stopIfTrue="1" operator="containsText" text="Cumple Plenamente">
      <formula>NOT(ISERROR(SEARCH("Cumple Plenamente",N40)))</formula>
    </cfRule>
    <cfRule type="containsText" dxfId="6" priority="53" stopIfTrue="1" operator="containsText" text="Cumple Satisfactoriamente">
      <formula>NOT(ISERROR(SEARCH("Cumple Satisfactoriamente",N40)))</formula>
    </cfRule>
    <cfRule type="containsText" dxfId="5" priority="54" stopIfTrue="1" operator="containsText" text="Cumple Aceptablemente">
      <formula>NOT(ISERROR(SEARCH("Cumple Aceptablemente",N40)))</formula>
    </cfRule>
    <cfRule type="containsText" dxfId="4" priority="55" stopIfTrue="1" operator="containsText" text="Cumple Insatisfactoriamente">
      <formula>NOT(ISERROR(SEARCH("Cumple Insatisfactoriamente",N40)))</formula>
    </cfRule>
  </conditionalFormatting>
  <conditionalFormatting sqref="N42">
    <cfRule type="containsText" dxfId="3" priority="48" stopIfTrue="1" operator="containsText" text="Cumple Plenamente">
      <formula>NOT(ISERROR(SEARCH("Cumple Plenamente",N42)))</formula>
    </cfRule>
    <cfRule type="containsText" dxfId="2" priority="49" stopIfTrue="1" operator="containsText" text="Cumple Satisfactoriamente">
      <formula>NOT(ISERROR(SEARCH("Cumple Satisfactoriamente",N42)))</formula>
    </cfRule>
    <cfRule type="containsText" dxfId="1" priority="50" stopIfTrue="1" operator="containsText" text="Cumple Aceptablemente">
      <formula>NOT(ISERROR(SEARCH("Cumple Aceptablemente",N42)))</formula>
    </cfRule>
    <cfRule type="containsText" dxfId="0" priority="51" stopIfTrue="1" operator="containsText" text="Cumple Insatisfactoriamente">
      <formula>NOT(ISERROR(SEARCH("Cumple Insatisfactoriamente",N42)))</formula>
    </cfRule>
  </conditionalFormatting>
  <pageMargins left="0.70866141732283472" right="0.70866141732283472" top="0.74803149606299213" bottom="0.74803149606299213" header="0.31496062992125984" footer="0.31496062992125984"/>
  <pageSetup scale="59" orientation="landscape" horizontalDpi="360" verticalDpi="360" r:id="rId1"/>
  <headerFooter>
    <oddFooter>&amp;R&amp;P de &amp;N</oddFooter>
  </headerFooter>
  <ignoredErrors>
    <ignoredError sqref="K7 L6:L7 N6:N7 M56 N27:N29 K41:K44 L41:L44 D55 N41 D41 D27:D29 K27:K29 L26:L29 N12 N9:N10 L9:L10 K9:K10 H9:H10 D9:D10 L12 K12 D12 N30 D30 K30 L30:L31 N36 D36 H36 K36 L36:L38 L33:L34 K33 H26 D33 N33 N39 D39 H39 K39:L39 H30 H33 H42 K38 N15:N19 N38 N43:N44 N13 L13:L19 K13:K19 D13 H13:H20 N20 K20:L20 D20 D15:D19 D38 H7" evalError="1"/>
  </ignoredError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T7"/>
  <sheetViews>
    <sheetView zoomScale="90" zoomScaleNormal="90" workbookViewId="0">
      <selection activeCell="V6" sqref="V6"/>
    </sheetView>
  </sheetViews>
  <sheetFormatPr baseColWidth="10" defaultColWidth="11.42578125" defaultRowHeight="15"/>
  <cols>
    <col min="1" max="1" width="5" style="20" customWidth="1"/>
    <col min="2" max="2" width="26.28515625" style="20" customWidth="1"/>
    <col min="3" max="3" width="1.140625" style="20" customWidth="1"/>
    <col min="4" max="4" width="12.7109375" style="20" customWidth="1"/>
    <col min="5" max="11" width="5.42578125" style="20" customWidth="1"/>
    <col min="12" max="12" width="1.140625" style="20" customWidth="1"/>
    <col min="13" max="16384" width="11.42578125" style="20"/>
  </cols>
  <sheetData>
    <row r="1" spans="2:20" ht="19.5" customHeight="1" thickBot="1"/>
    <row r="2" spans="2:20" ht="27.75" customHeight="1" thickTop="1" thickBot="1">
      <c r="B2" s="21" t="s">
        <v>92</v>
      </c>
      <c r="D2" s="40" t="s">
        <v>22</v>
      </c>
    </row>
    <row r="3" spans="2:20" ht="16.5" thickTop="1" thickBot="1"/>
    <row r="4" spans="2:20" ht="16.5" thickTop="1" thickBot="1">
      <c r="B4" s="22" t="s">
        <v>93</v>
      </c>
      <c r="D4" s="250" t="s">
        <v>94</v>
      </c>
      <c r="E4" s="251"/>
      <c r="F4" s="251"/>
      <c r="G4" s="251"/>
      <c r="H4" s="251"/>
      <c r="I4" s="251"/>
      <c r="J4" s="251"/>
      <c r="K4" s="252"/>
      <c r="M4" s="250" t="s">
        <v>95</v>
      </c>
      <c r="N4" s="251"/>
      <c r="O4" s="251"/>
      <c r="P4" s="251"/>
      <c r="Q4" s="251"/>
      <c r="R4" s="251"/>
      <c r="S4" s="251"/>
      <c r="T4" s="252"/>
    </row>
    <row r="5" spans="2:20" ht="6" customHeight="1" thickTop="1" thickBot="1"/>
    <row r="6" spans="2:20" ht="351" customHeight="1" thickTop="1" thickBot="1">
      <c r="B6" s="94" t="str">
        <f>IFERROR(VLOOKUP(D2,Hoja2!A1:D39,2,0)," ")</f>
        <v xml:space="preserve"> </v>
      </c>
      <c r="D6" s="247" t="str">
        <f>IFERROR(VLOOKUP(D2,Hoja2!A1:D39,3,0)," ")</f>
        <v xml:space="preserve"> </v>
      </c>
      <c r="E6" s="248"/>
      <c r="F6" s="248"/>
      <c r="G6" s="248"/>
      <c r="H6" s="248"/>
      <c r="I6" s="248"/>
      <c r="J6" s="248"/>
      <c r="K6" s="249"/>
      <c r="M6" s="247" t="str">
        <f>IFERROR(VLOOKUP(D2,Hoja2!A1:D39,4,0)," ")</f>
        <v xml:space="preserve"> </v>
      </c>
      <c r="N6" s="248"/>
      <c r="O6" s="248"/>
      <c r="P6" s="248"/>
      <c r="Q6" s="248"/>
      <c r="R6" s="248"/>
      <c r="S6" s="248"/>
      <c r="T6" s="249"/>
    </row>
    <row r="7" spans="2:20" ht="15.75" thickTop="1"/>
  </sheetData>
  <mergeCells count="4">
    <mergeCell ref="D6:K6"/>
    <mergeCell ref="D4:K4"/>
    <mergeCell ref="M4:T4"/>
    <mergeCell ref="M6:T6"/>
  </mergeCells>
  <pageMargins left="0.70866141732283472" right="0.70866141732283472" top="0.74803149606299213" bottom="0.74803149606299213" header="0.31496062992125984" footer="0.31496062992125984"/>
  <pageSetup scale="69" orientation="landscape" r:id="rId1"/>
  <headerFooter>
    <oddFooter>&amp;R&amp;P de &amp;N</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Hoja1!$E$1:$E$49</xm:f>
          </x14:formula1>
          <xm:sqref>D2</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0"/>
  <sheetViews>
    <sheetView workbookViewId="0">
      <selection activeCell="E50" sqref="E50"/>
    </sheetView>
  </sheetViews>
  <sheetFormatPr baseColWidth="10" defaultColWidth="11.42578125" defaultRowHeight="15"/>
  <cols>
    <col min="1" max="2" width="11.42578125" style="5"/>
    <col min="3" max="4" width="9" style="5" customWidth="1"/>
    <col min="5" max="5" width="11.7109375" style="5" customWidth="1"/>
    <col min="6" max="6" width="47.5703125" style="5" bestFit="1" customWidth="1"/>
    <col min="7" max="7" width="6.85546875" style="5" customWidth="1"/>
    <col min="8" max="8" width="11.42578125" style="5" bestFit="1" customWidth="1"/>
    <col min="9" max="9" width="6.85546875" style="5" customWidth="1"/>
    <col min="10" max="10" width="11.42578125" style="5"/>
    <col min="11" max="11" width="21.85546875" style="5" bestFit="1" customWidth="1"/>
    <col min="12" max="16384" width="11.42578125" style="5"/>
  </cols>
  <sheetData>
    <row r="1" spans="1:11">
      <c r="A1" s="5">
        <v>0</v>
      </c>
      <c r="B1" s="5">
        <v>1</v>
      </c>
      <c r="C1" s="5">
        <v>0</v>
      </c>
      <c r="D1" s="5">
        <v>1</v>
      </c>
      <c r="E1" s="23" t="s">
        <v>22</v>
      </c>
      <c r="F1" s="23" t="s">
        <v>22</v>
      </c>
      <c r="G1" s="5" t="s">
        <v>18</v>
      </c>
      <c r="H1" s="5" t="s">
        <v>19</v>
      </c>
      <c r="I1" s="5" t="s">
        <v>20</v>
      </c>
      <c r="J1" s="24" t="s">
        <v>22</v>
      </c>
      <c r="K1" s="24" t="s">
        <v>22</v>
      </c>
    </row>
    <row r="2" spans="1:11">
      <c r="A2" s="5">
        <v>1</v>
      </c>
      <c r="B2" s="5">
        <v>2</v>
      </c>
      <c r="C2" s="5">
        <v>1</v>
      </c>
      <c r="D2" s="5">
        <v>1.1000000000000001</v>
      </c>
      <c r="E2" s="24">
        <v>1</v>
      </c>
      <c r="F2" s="5" t="s">
        <v>96</v>
      </c>
      <c r="G2" s="5">
        <v>1</v>
      </c>
      <c r="H2" s="5" t="s">
        <v>97</v>
      </c>
      <c r="I2" s="23">
        <v>2017</v>
      </c>
      <c r="J2" s="24" t="s">
        <v>98</v>
      </c>
      <c r="K2" s="24" t="s">
        <v>99</v>
      </c>
    </row>
    <row r="3" spans="1:11">
      <c r="A3" s="5">
        <v>2</v>
      </c>
      <c r="B3" s="5">
        <v>3</v>
      </c>
      <c r="C3" s="5">
        <v>1.1000000000000001</v>
      </c>
      <c r="D3" s="5">
        <v>1.2</v>
      </c>
      <c r="E3" s="24">
        <v>2</v>
      </c>
      <c r="F3" s="5" t="s">
        <v>100</v>
      </c>
      <c r="G3" s="5">
        <v>2</v>
      </c>
      <c r="H3" s="5" t="s">
        <v>101</v>
      </c>
      <c r="I3" s="23">
        <v>2018</v>
      </c>
      <c r="J3" s="24" t="s">
        <v>102</v>
      </c>
      <c r="K3" s="24" t="s">
        <v>103</v>
      </c>
    </row>
    <row r="4" spans="1:11">
      <c r="A4" s="5">
        <v>3</v>
      </c>
      <c r="B4" s="5">
        <v>4</v>
      </c>
      <c r="C4" s="5">
        <v>1.2</v>
      </c>
      <c r="D4" s="5">
        <v>1.3</v>
      </c>
      <c r="E4" s="24">
        <v>3</v>
      </c>
      <c r="F4" s="5" t="s">
        <v>104</v>
      </c>
      <c r="G4" s="5">
        <v>3</v>
      </c>
      <c r="H4" s="5" t="s">
        <v>105</v>
      </c>
      <c r="I4" s="23">
        <v>2019</v>
      </c>
    </row>
    <row r="5" spans="1:11">
      <c r="A5" s="5">
        <v>4</v>
      </c>
      <c r="B5" s="5">
        <v>5</v>
      </c>
      <c r="C5" s="5">
        <v>1.3</v>
      </c>
      <c r="D5" s="5">
        <v>1.4</v>
      </c>
      <c r="E5" s="24">
        <v>4</v>
      </c>
      <c r="F5" s="5" t="s">
        <v>106</v>
      </c>
      <c r="G5" s="5">
        <v>4</v>
      </c>
      <c r="H5" s="5" t="s">
        <v>107</v>
      </c>
      <c r="I5" s="23">
        <v>2020</v>
      </c>
    </row>
    <row r="6" spans="1:11">
      <c r="A6" s="5">
        <v>5</v>
      </c>
      <c r="B6" s="5">
        <v>6</v>
      </c>
      <c r="C6" s="5">
        <v>1.4</v>
      </c>
      <c r="D6" s="5">
        <v>1.5</v>
      </c>
      <c r="E6" s="24">
        <v>5</v>
      </c>
      <c r="F6" s="5" t="s">
        <v>108</v>
      </c>
      <c r="G6" s="5">
        <v>5</v>
      </c>
      <c r="H6" s="5" t="s">
        <v>109</v>
      </c>
      <c r="I6" s="23">
        <v>2021</v>
      </c>
      <c r="J6" s="31"/>
    </row>
    <row r="7" spans="1:11">
      <c r="A7" s="5">
        <v>6</v>
      </c>
      <c r="B7" s="5">
        <v>7</v>
      </c>
      <c r="C7" s="5">
        <v>1.5</v>
      </c>
      <c r="D7" s="5">
        <v>1.6</v>
      </c>
      <c r="E7" s="24">
        <v>6</v>
      </c>
      <c r="F7" s="5" t="s">
        <v>110</v>
      </c>
      <c r="G7" s="5">
        <v>6</v>
      </c>
      <c r="H7" s="5" t="s">
        <v>111</v>
      </c>
      <c r="I7" s="23">
        <v>2022</v>
      </c>
    </row>
    <row r="8" spans="1:11">
      <c r="A8" s="5">
        <v>7</v>
      </c>
      <c r="B8" s="5">
        <v>8</v>
      </c>
      <c r="C8" s="5">
        <v>1.6</v>
      </c>
      <c r="D8" s="5">
        <v>1.7</v>
      </c>
      <c r="E8" s="24">
        <v>7</v>
      </c>
      <c r="F8" s="5" t="s">
        <v>112</v>
      </c>
      <c r="G8" s="5">
        <v>7</v>
      </c>
      <c r="H8" s="5" t="s">
        <v>113</v>
      </c>
      <c r="I8" s="23">
        <v>2023</v>
      </c>
    </row>
    <row r="9" spans="1:11">
      <c r="A9" s="5">
        <v>8</v>
      </c>
      <c r="B9" s="5">
        <v>9</v>
      </c>
      <c r="C9" s="5">
        <v>1.7</v>
      </c>
      <c r="D9" s="5">
        <v>1.8</v>
      </c>
      <c r="E9" s="24">
        <v>8</v>
      </c>
      <c r="F9" s="5" t="s">
        <v>114</v>
      </c>
      <c r="G9" s="5">
        <v>8</v>
      </c>
      <c r="H9" s="5" t="s">
        <v>115</v>
      </c>
      <c r="I9" s="23">
        <v>2024</v>
      </c>
    </row>
    <row r="10" spans="1:11">
      <c r="A10" s="5">
        <v>9</v>
      </c>
      <c r="B10" s="5">
        <v>10</v>
      </c>
      <c r="C10" s="5">
        <v>1.8</v>
      </c>
      <c r="D10" s="5">
        <v>1.9</v>
      </c>
      <c r="E10" s="24">
        <v>9</v>
      </c>
      <c r="F10" s="5" t="s">
        <v>116</v>
      </c>
      <c r="G10" s="5">
        <v>9</v>
      </c>
      <c r="H10" s="5" t="s">
        <v>117</v>
      </c>
      <c r="I10" s="23">
        <v>2025</v>
      </c>
    </row>
    <row r="11" spans="1:11">
      <c r="A11" s="5">
        <v>10</v>
      </c>
      <c r="C11" s="5">
        <v>1.9</v>
      </c>
      <c r="D11" s="5">
        <v>2</v>
      </c>
      <c r="E11" s="24">
        <v>10</v>
      </c>
      <c r="F11" s="5" t="s">
        <v>118</v>
      </c>
      <c r="G11" s="5">
        <v>10</v>
      </c>
      <c r="H11" s="5" t="s">
        <v>119</v>
      </c>
      <c r="I11" s="23">
        <v>2026</v>
      </c>
    </row>
    <row r="12" spans="1:11">
      <c r="C12" s="5">
        <v>2</v>
      </c>
      <c r="D12" s="5">
        <v>2.1</v>
      </c>
      <c r="E12" s="24">
        <v>11</v>
      </c>
      <c r="F12" s="5" t="s">
        <v>120</v>
      </c>
      <c r="G12" s="5">
        <v>11</v>
      </c>
      <c r="H12" s="5" t="s">
        <v>121</v>
      </c>
      <c r="I12" s="23">
        <v>2027</v>
      </c>
    </row>
    <row r="13" spans="1:11">
      <c r="C13" s="5">
        <v>2.1</v>
      </c>
      <c r="D13" s="5">
        <v>2.2000000000000002</v>
      </c>
      <c r="E13" s="24">
        <v>12</v>
      </c>
      <c r="F13" s="5" t="s">
        <v>122</v>
      </c>
      <c r="G13" s="5">
        <v>12</v>
      </c>
      <c r="H13" s="5" t="s">
        <v>123</v>
      </c>
      <c r="I13" s="23">
        <v>2028</v>
      </c>
    </row>
    <row r="14" spans="1:11">
      <c r="C14" s="5">
        <v>2.2000000000000002</v>
      </c>
      <c r="D14" s="5">
        <v>2.2999999999999998</v>
      </c>
      <c r="E14" s="24">
        <v>13</v>
      </c>
      <c r="F14" s="5" t="s">
        <v>124</v>
      </c>
      <c r="G14" s="5">
        <v>13</v>
      </c>
    </row>
    <row r="15" spans="1:11">
      <c r="C15" s="5">
        <v>2.2999999999999998</v>
      </c>
      <c r="D15" s="5">
        <v>2.4</v>
      </c>
      <c r="E15" s="24">
        <v>14</v>
      </c>
      <c r="F15" s="5" t="s">
        <v>125</v>
      </c>
      <c r="G15" s="5">
        <v>14</v>
      </c>
    </row>
    <row r="16" spans="1:11">
      <c r="C16" s="5">
        <v>2.4</v>
      </c>
      <c r="D16" s="5">
        <v>2.5</v>
      </c>
      <c r="E16" s="24">
        <v>15</v>
      </c>
      <c r="F16" s="5" t="s">
        <v>126</v>
      </c>
      <c r="G16" s="5">
        <v>15</v>
      </c>
    </row>
    <row r="17" spans="3:7">
      <c r="C17" s="5">
        <v>2.5</v>
      </c>
      <c r="D17" s="5">
        <v>2.6</v>
      </c>
      <c r="E17" s="24">
        <v>16</v>
      </c>
      <c r="F17" s="5" t="s">
        <v>127</v>
      </c>
      <c r="G17" s="5">
        <v>16</v>
      </c>
    </row>
    <row r="18" spans="3:7">
      <c r="C18" s="5">
        <v>2.6</v>
      </c>
      <c r="D18" s="5">
        <v>2.7</v>
      </c>
      <c r="E18" s="24">
        <v>17</v>
      </c>
      <c r="G18" s="5">
        <v>17</v>
      </c>
    </row>
    <row r="19" spans="3:7">
      <c r="C19" s="5">
        <v>2.7</v>
      </c>
      <c r="D19" s="5">
        <v>2.8</v>
      </c>
      <c r="E19" s="24">
        <v>18</v>
      </c>
      <c r="G19" s="5">
        <v>18</v>
      </c>
    </row>
    <row r="20" spans="3:7">
      <c r="C20" s="5">
        <v>2.8</v>
      </c>
      <c r="D20" s="5">
        <v>2.9</v>
      </c>
      <c r="E20" s="24">
        <v>19</v>
      </c>
      <c r="G20" s="5">
        <v>19</v>
      </c>
    </row>
    <row r="21" spans="3:7">
      <c r="C21" s="5">
        <v>2.9</v>
      </c>
      <c r="D21" s="5">
        <v>3</v>
      </c>
      <c r="E21" s="24">
        <v>20</v>
      </c>
      <c r="G21" s="5">
        <v>20</v>
      </c>
    </row>
    <row r="22" spans="3:7">
      <c r="C22" s="5">
        <v>3</v>
      </c>
      <c r="D22" s="5">
        <v>3.1</v>
      </c>
      <c r="E22" s="24">
        <v>21</v>
      </c>
      <c r="G22" s="5">
        <v>21</v>
      </c>
    </row>
    <row r="23" spans="3:7">
      <c r="C23" s="5">
        <v>3.1</v>
      </c>
      <c r="D23" s="5">
        <v>3.2</v>
      </c>
      <c r="E23" s="24">
        <v>22</v>
      </c>
      <c r="G23" s="5">
        <v>22</v>
      </c>
    </row>
    <row r="24" spans="3:7">
      <c r="C24" s="5">
        <v>3.2</v>
      </c>
      <c r="D24" s="5">
        <v>3.3</v>
      </c>
      <c r="E24" s="24">
        <v>23</v>
      </c>
      <c r="G24" s="5">
        <v>23</v>
      </c>
    </row>
    <row r="25" spans="3:7">
      <c r="C25" s="5">
        <v>3.3</v>
      </c>
      <c r="D25" s="5">
        <v>3.4</v>
      </c>
      <c r="E25" s="24">
        <v>24</v>
      </c>
      <c r="G25" s="5">
        <v>24</v>
      </c>
    </row>
    <row r="26" spans="3:7">
      <c r="C26" s="5">
        <v>3.4</v>
      </c>
      <c r="D26" s="5">
        <v>3.5</v>
      </c>
      <c r="E26" s="24">
        <v>25</v>
      </c>
      <c r="G26" s="5">
        <v>25</v>
      </c>
    </row>
    <row r="27" spans="3:7">
      <c r="C27" s="5">
        <v>3.5</v>
      </c>
      <c r="D27" s="5">
        <v>3.6</v>
      </c>
      <c r="E27" s="24">
        <v>26</v>
      </c>
      <c r="G27" s="5">
        <v>26</v>
      </c>
    </row>
    <row r="28" spans="3:7">
      <c r="C28" s="5">
        <v>3.6</v>
      </c>
      <c r="D28" s="5">
        <v>3.7</v>
      </c>
      <c r="E28" s="24">
        <v>27</v>
      </c>
      <c r="G28" s="5">
        <v>27</v>
      </c>
    </row>
    <row r="29" spans="3:7">
      <c r="C29" s="5">
        <v>3.7</v>
      </c>
      <c r="D29" s="5">
        <v>3.8</v>
      </c>
      <c r="E29" s="24">
        <v>28</v>
      </c>
      <c r="G29" s="5">
        <v>28</v>
      </c>
    </row>
    <row r="30" spans="3:7">
      <c r="C30" s="5">
        <v>3.8</v>
      </c>
      <c r="D30" s="5">
        <v>3.9</v>
      </c>
      <c r="E30" s="24">
        <v>29</v>
      </c>
      <c r="G30" s="5">
        <v>29</v>
      </c>
    </row>
    <row r="31" spans="3:7">
      <c r="C31" s="5">
        <v>3.9</v>
      </c>
      <c r="D31" s="5">
        <v>4</v>
      </c>
      <c r="E31" s="24">
        <v>30</v>
      </c>
      <c r="G31" s="5">
        <v>30</v>
      </c>
    </row>
    <row r="32" spans="3:7">
      <c r="C32" s="5">
        <v>4</v>
      </c>
      <c r="D32" s="5">
        <v>4.0999999999999996</v>
      </c>
      <c r="E32" s="24">
        <v>31</v>
      </c>
      <c r="G32" s="5">
        <v>31</v>
      </c>
    </row>
    <row r="33" spans="3:5">
      <c r="C33" s="5">
        <v>4.0999999999999996</v>
      </c>
      <c r="D33" s="5">
        <v>4.2</v>
      </c>
      <c r="E33" s="24">
        <v>32</v>
      </c>
    </row>
    <row r="34" spans="3:5">
      <c r="C34" s="5">
        <v>4.2</v>
      </c>
      <c r="D34" s="5">
        <v>4.3</v>
      </c>
      <c r="E34" s="24">
        <v>33</v>
      </c>
    </row>
    <row r="35" spans="3:5">
      <c r="C35" s="5">
        <v>4.3</v>
      </c>
      <c r="D35" s="5">
        <v>4.4000000000000004</v>
      </c>
      <c r="E35" s="24">
        <v>34</v>
      </c>
    </row>
    <row r="36" spans="3:5">
      <c r="C36" s="5">
        <v>4.4000000000000004</v>
      </c>
      <c r="D36" s="5">
        <v>4.5</v>
      </c>
      <c r="E36" s="24">
        <v>35</v>
      </c>
    </row>
    <row r="37" spans="3:5">
      <c r="C37" s="5">
        <v>4.5</v>
      </c>
      <c r="D37" s="5">
        <v>4.5999999999999996</v>
      </c>
      <c r="E37" s="24">
        <v>36</v>
      </c>
    </row>
    <row r="38" spans="3:5">
      <c r="C38" s="5">
        <v>4.5999999999999996</v>
      </c>
      <c r="D38" s="5">
        <v>4.7</v>
      </c>
      <c r="E38" s="24">
        <v>37</v>
      </c>
    </row>
    <row r="39" spans="3:5">
      <c r="C39" s="5">
        <v>4.7</v>
      </c>
      <c r="D39" s="5">
        <v>4.8</v>
      </c>
      <c r="E39" s="24">
        <v>38</v>
      </c>
    </row>
    <row r="40" spans="3:5">
      <c r="C40" s="5">
        <v>4.8</v>
      </c>
      <c r="D40" s="5">
        <v>4.9000000000000004</v>
      </c>
      <c r="E40" s="24">
        <v>39</v>
      </c>
    </row>
    <row r="41" spans="3:5">
      <c r="C41" s="5">
        <v>4.9000000000000004</v>
      </c>
      <c r="D41" s="5">
        <v>5</v>
      </c>
      <c r="E41" s="24">
        <v>40</v>
      </c>
    </row>
    <row r="42" spans="3:5">
      <c r="C42" s="5">
        <v>5</v>
      </c>
      <c r="E42" s="24">
        <v>41</v>
      </c>
    </row>
    <row r="43" spans="3:5">
      <c r="E43" s="24">
        <v>42</v>
      </c>
    </row>
    <row r="44" spans="3:5">
      <c r="E44" s="24">
        <v>43</v>
      </c>
    </row>
    <row r="45" spans="3:5">
      <c r="E45" s="24">
        <v>44</v>
      </c>
    </row>
    <row r="46" spans="3:5">
      <c r="E46" s="24">
        <v>45</v>
      </c>
    </row>
    <row r="47" spans="3:5">
      <c r="E47" s="24">
        <v>46</v>
      </c>
    </row>
    <row r="48" spans="3:5">
      <c r="E48" s="24">
        <v>47</v>
      </c>
    </row>
    <row r="49" spans="5:5">
      <c r="E49" s="24">
        <v>48</v>
      </c>
    </row>
    <row r="50" spans="5:5">
      <c r="E50" s="24"/>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9"/>
  <sheetViews>
    <sheetView showGridLines="0" topLeftCell="A32" zoomScale="200" zoomScaleNormal="200" workbookViewId="0">
      <selection activeCell="D40" sqref="D40"/>
    </sheetView>
  </sheetViews>
  <sheetFormatPr baseColWidth="10" defaultColWidth="11.42578125" defaultRowHeight="12"/>
  <cols>
    <col min="1" max="1" width="4.140625" style="122" customWidth="1"/>
    <col min="2" max="2" width="33.85546875" style="122" customWidth="1"/>
    <col min="3" max="3" width="53" style="122" hidden="1" customWidth="1"/>
    <col min="4" max="4" width="90.85546875" style="122" customWidth="1"/>
    <col min="5" max="8" width="5.7109375" style="122" customWidth="1"/>
    <col min="9" max="9" width="31.7109375" style="122" customWidth="1"/>
    <col min="10" max="16384" width="11.42578125" style="122"/>
  </cols>
  <sheetData>
    <row r="1" spans="1:9">
      <c r="A1" s="121" t="s">
        <v>128</v>
      </c>
      <c r="B1" s="121" t="s">
        <v>29</v>
      </c>
      <c r="C1" s="121" t="s">
        <v>129</v>
      </c>
      <c r="D1" s="121" t="s">
        <v>130</v>
      </c>
    </row>
    <row r="2" spans="1:9" ht="20.25" customHeight="1">
      <c r="A2" s="123">
        <v>1</v>
      </c>
      <c r="B2" s="124" t="s">
        <v>131</v>
      </c>
      <c r="C2" s="124" t="s">
        <v>132</v>
      </c>
      <c r="D2" s="124" t="s">
        <v>133</v>
      </c>
      <c r="E2" s="254"/>
      <c r="F2" s="255"/>
      <c r="G2" s="255"/>
      <c r="H2" s="255"/>
      <c r="I2" s="255"/>
    </row>
    <row r="3" spans="1:9" ht="21" customHeight="1">
      <c r="A3" s="123">
        <v>2</v>
      </c>
      <c r="B3" s="124" t="s">
        <v>134</v>
      </c>
      <c r="C3" s="124" t="s">
        <v>135</v>
      </c>
      <c r="D3" s="124" t="s">
        <v>136</v>
      </c>
    </row>
    <row r="4" spans="1:9" ht="20.25" customHeight="1">
      <c r="A4" s="123">
        <v>3</v>
      </c>
      <c r="B4" s="124" t="s">
        <v>137</v>
      </c>
      <c r="C4" s="125" t="s">
        <v>138</v>
      </c>
      <c r="D4" s="124" t="s">
        <v>139</v>
      </c>
    </row>
    <row r="5" spans="1:9" ht="20.25" customHeight="1">
      <c r="A5" s="123">
        <v>4</v>
      </c>
      <c r="B5" s="124" t="s">
        <v>140</v>
      </c>
      <c r="C5" s="124" t="s">
        <v>141</v>
      </c>
      <c r="D5" s="124" t="s">
        <v>142</v>
      </c>
    </row>
    <row r="6" spans="1:9" ht="20.25" customHeight="1">
      <c r="A6" s="123">
        <v>5</v>
      </c>
      <c r="B6" s="124" t="s">
        <v>143</v>
      </c>
      <c r="C6" s="126" t="s">
        <v>144</v>
      </c>
      <c r="D6" s="124" t="s">
        <v>145</v>
      </c>
    </row>
    <row r="7" spans="1:9" ht="20.25" customHeight="1">
      <c r="A7" s="123">
        <v>6</v>
      </c>
      <c r="B7" s="124" t="s">
        <v>146</v>
      </c>
      <c r="C7" s="126" t="s">
        <v>147</v>
      </c>
      <c r="D7" s="124" t="s">
        <v>148</v>
      </c>
    </row>
    <row r="8" spans="1:9" ht="20.25" customHeight="1">
      <c r="A8" s="123">
        <v>7</v>
      </c>
      <c r="B8" s="124" t="s">
        <v>149</v>
      </c>
      <c r="C8" s="127" t="s">
        <v>150</v>
      </c>
      <c r="D8" s="124" t="s">
        <v>151</v>
      </c>
    </row>
    <row r="9" spans="1:9" ht="20.25" customHeight="1">
      <c r="A9" s="123">
        <v>8</v>
      </c>
      <c r="B9" s="124" t="s">
        <v>152</v>
      </c>
      <c r="C9" s="128" t="s">
        <v>153</v>
      </c>
      <c r="D9" s="124" t="s">
        <v>154</v>
      </c>
    </row>
    <row r="10" spans="1:9" ht="20.25" customHeight="1">
      <c r="A10" s="123">
        <v>9</v>
      </c>
      <c r="B10" s="124" t="s">
        <v>155</v>
      </c>
      <c r="C10" s="126" t="s">
        <v>156</v>
      </c>
      <c r="D10" s="124" t="s">
        <v>157</v>
      </c>
    </row>
    <row r="11" spans="1:9" ht="20.25" customHeight="1">
      <c r="A11" s="123">
        <v>10</v>
      </c>
      <c r="B11" s="124" t="s">
        <v>158</v>
      </c>
      <c r="C11" s="126" t="s">
        <v>159</v>
      </c>
      <c r="D11" s="124" t="s">
        <v>160</v>
      </c>
    </row>
    <row r="12" spans="1:9" ht="20.25" customHeight="1">
      <c r="A12" s="123">
        <v>11</v>
      </c>
      <c r="B12" s="124" t="s">
        <v>161</v>
      </c>
      <c r="C12" s="126" t="s">
        <v>162</v>
      </c>
      <c r="D12" s="124" t="s">
        <v>163</v>
      </c>
    </row>
    <row r="13" spans="1:9" ht="20.25" customHeight="1">
      <c r="A13" s="123">
        <v>12</v>
      </c>
      <c r="B13" s="124" t="s">
        <v>164</v>
      </c>
      <c r="C13" s="126" t="s">
        <v>165</v>
      </c>
      <c r="D13" s="124" t="s">
        <v>166</v>
      </c>
    </row>
    <row r="14" spans="1:9" ht="20.25" customHeight="1">
      <c r="A14" s="123">
        <v>13</v>
      </c>
      <c r="B14" s="124" t="s">
        <v>167</v>
      </c>
      <c r="C14" s="126" t="s">
        <v>168</v>
      </c>
      <c r="D14" s="124" t="s">
        <v>169</v>
      </c>
    </row>
    <row r="15" spans="1:9" ht="20.25" customHeight="1">
      <c r="A15" s="123">
        <v>14</v>
      </c>
      <c r="B15" s="124" t="s">
        <v>170</v>
      </c>
      <c r="C15" s="126" t="s">
        <v>171</v>
      </c>
      <c r="D15" s="124" t="s">
        <v>172</v>
      </c>
    </row>
    <row r="16" spans="1:9" ht="20.25" customHeight="1">
      <c r="A16" s="123">
        <v>15</v>
      </c>
      <c r="B16" s="124" t="s">
        <v>173</v>
      </c>
      <c r="C16" s="126" t="s">
        <v>174</v>
      </c>
      <c r="D16" s="124" t="s">
        <v>175</v>
      </c>
    </row>
    <row r="17" spans="1:4" ht="20.25" customHeight="1">
      <c r="A17" s="123">
        <v>16</v>
      </c>
      <c r="B17" s="124" t="s">
        <v>176</v>
      </c>
      <c r="C17" s="126" t="s">
        <v>177</v>
      </c>
      <c r="D17" s="124" t="s">
        <v>178</v>
      </c>
    </row>
    <row r="18" spans="1:4" ht="20.25" customHeight="1">
      <c r="A18" s="123">
        <v>17</v>
      </c>
      <c r="B18" s="124" t="s">
        <v>179</v>
      </c>
      <c r="C18" s="126" t="s">
        <v>180</v>
      </c>
      <c r="D18" s="124" t="s">
        <v>181</v>
      </c>
    </row>
    <row r="19" spans="1:4" ht="20.25" customHeight="1">
      <c r="A19" s="123">
        <v>18</v>
      </c>
      <c r="B19" s="124" t="s">
        <v>182</v>
      </c>
      <c r="C19" s="126" t="s">
        <v>183</v>
      </c>
      <c r="D19" s="124" t="s">
        <v>184</v>
      </c>
    </row>
    <row r="20" spans="1:4" ht="20.25" customHeight="1">
      <c r="A20" s="123">
        <v>19</v>
      </c>
      <c r="B20" s="124" t="s">
        <v>185</v>
      </c>
      <c r="C20" s="126" t="s">
        <v>186</v>
      </c>
      <c r="D20" s="124" t="s">
        <v>187</v>
      </c>
    </row>
    <row r="21" spans="1:4" ht="20.25" customHeight="1">
      <c r="A21" s="123">
        <v>20</v>
      </c>
      <c r="B21" s="124" t="s">
        <v>188</v>
      </c>
      <c r="C21" s="129" t="s">
        <v>189</v>
      </c>
      <c r="D21" s="124" t="s">
        <v>190</v>
      </c>
    </row>
    <row r="22" spans="1:4" ht="20.25" customHeight="1">
      <c r="A22" s="123">
        <v>21</v>
      </c>
      <c r="B22" s="124" t="s">
        <v>191</v>
      </c>
      <c r="C22" s="129" t="s">
        <v>192</v>
      </c>
      <c r="D22" s="124" t="s">
        <v>193</v>
      </c>
    </row>
    <row r="23" spans="1:4" ht="20.25" customHeight="1">
      <c r="A23" s="123">
        <v>22</v>
      </c>
      <c r="B23" s="124" t="s">
        <v>194</v>
      </c>
      <c r="C23" s="129" t="s">
        <v>195</v>
      </c>
      <c r="D23" s="124" t="s">
        <v>196</v>
      </c>
    </row>
    <row r="24" spans="1:4" ht="20.25" customHeight="1">
      <c r="A24" s="123">
        <v>23</v>
      </c>
      <c r="B24" s="124" t="s">
        <v>197</v>
      </c>
      <c r="C24" s="126" t="s">
        <v>198</v>
      </c>
      <c r="D24" s="124" t="s">
        <v>199</v>
      </c>
    </row>
    <row r="25" spans="1:4" ht="20.25" customHeight="1">
      <c r="A25" s="123">
        <v>24</v>
      </c>
      <c r="B25" s="124" t="s">
        <v>200</v>
      </c>
      <c r="C25" s="126" t="s">
        <v>201</v>
      </c>
      <c r="D25" s="124" t="s">
        <v>202</v>
      </c>
    </row>
    <row r="26" spans="1:4" ht="20.25" customHeight="1">
      <c r="A26" s="123">
        <v>25</v>
      </c>
      <c r="B26" s="124" t="s">
        <v>203</v>
      </c>
      <c r="C26" s="126" t="s">
        <v>204</v>
      </c>
      <c r="D26" s="124" t="s">
        <v>205</v>
      </c>
    </row>
    <row r="27" spans="1:4" ht="20.25" customHeight="1">
      <c r="A27" s="123">
        <v>26</v>
      </c>
      <c r="B27" s="124" t="s">
        <v>206</v>
      </c>
      <c r="C27" s="126" t="s">
        <v>207</v>
      </c>
      <c r="D27" s="124" t="s">
        <v>208</v>
      </c>
    </row>
    <row r="28" spans="1:4" ht="20.25" customHeight="1">
      <c r="A28" s="123">
        <v>27</v>
      </c>
      <c r="B28" s="124" t="s">
        <v>209</v>
      </c>
      <c r="C28" s="126" t="s">
        <v>210</v>
      </c>
      <c r="D28" s="124" t="s">
        <v>211</v>
      </c>
    </row>
    <row r="29" spans="1:4" ht="20.25" customHeight="1">
      <c r="A29" s="123">
        <v>28</v>
      </c>
      <c r="B29" s="124" t="s">
        <v>212</v>
      </c>
      <c r="C29" s="126" t="s">
        <v>213</v>
      </c>
      <c r="D29" s="124" t="s">
        <v>214</v>
      </c>
    </row>
    <row r="30" spans="1:4" ht="20.25" customHeight="1">
      <c r="A30" s="123">
        <v>29</v>
      </c>
      <c r="B30" s="124" t="s">
        <v>215</v>
      </c>
      <c r="C30" s="126" t="s">
        <v>216</v>
      </c>
      <c r="D30" s="124" t="s">
        <v>217</v>
      </c>
    </row>
    <row r="31" spans="1:4" ht="20.25" customHeight="1">
      <c r="A31" s="123">
        <v>30</v>
      </c>
      <c r="B31" s="124" t="s">
        <v>218</v>
      </c>
      <c r="C31" s="126" t="s">
        <v>219</v>
      </c>
      <c r="D31" s="124" t="s">
        <v>220</v>
      </c>
    </row>
    <row r="32" spans="1:4" ht="20.25" customHeight="1" thickBot="1">
      <c r="A32" s="123">
        <v>31</v>
      </c>
      <c r="B32" s="124" t="s">
        <v>221</v>
      </c>
      <c r="C32" s="126" t="s">
        <v>222</v>
      </c>
      <c r="D32" s="124" t="s">
        <v>223</v>
      </c>
    </row>
    <row r="33" spans="1:8" ht="20.25" customHeight="1" thickBot="1">
      <c r="A33" s="123">
        <v>32</v>
      </c>
      <c r="B33" s="124" t="s">
        <v>224</v>
      </c>
      <c r="C33" s="126" t="s">
        <v>225</v>
      </c>
      <c r="D33" s="124" t="s">
        <v>226</v>
      </c>
      <c r="F33" s="253" t="s">
        <v>227</v>
      </c>
      <c r="G33" s="253"/>
      <c r="H33" s="253"/>
    </row>
    <row r="34" spans="1:8" ht="20.25" customHeight="1">
      <c r="A34" s="123">
        <v>33</v>
      </c>
      <c r="B34" s="124" t="s">
        <v>228</v>
      </c>
      <c r="C34" s="126" t="s">
        <v>229</v>
      </c>
      <c r="D34" s="124" t="s">
        <v>230</v>
      </c>
      <c r="H34" s="130"/>
    </row>
    <row r="35" spans="1:8" ht="20.25" customHeight="1">
      <c r="A35" s="123">
        <v>34</v>
      </c>
      <c r="B35" s="124" t="s">
        <v>231</v>
      </c>
      <c r="C35" s="126" t="s">
        <v>232</v>
      </c>
      <c r="D35" s="124" t="s">
        <v>233</v>
      </c>
      <c r="F35" s="131" t="s">
        <v>234</v>
      </c>
      <c r="G35" s="131"/>
      <c r="H35" s="132" t="s">
        <v>235</v>
      </c>
    </row>
    <row r="36" spans="1:8" ht="20.25" customHeight="1">
      <c r="A36" s="123">
        <v>35</v>
      </c>
      <c r="B36" s="124" t="s">
        <v>236</v>
      </c>
      <c r="C36" s="126" t="s">
        <v>237</v>
      </c>
      <c r="D36" s="124" t="s">
        <v>238</v>
      </c>
      <c r="H36" s="130"/>
    </row>
    <row r="37" spans="1:8" ht="20.25" customHeight="1">
      <c r="A37" s="123">
        <v>36</v>
      </c>
      <c r="B37" s="124" t="s">
        <v>239</v>
      </c>
      <c r="C37" s="126" t="s">
        <v>240</v>
      </c>
      <c r="D37" s="124" t="s">
        <v>241</v>
      </c>
      <c r="F37" s="131" t="s">
        <v>242</v>
      </c>
      <c r="G37" s="131"/>
      <c r="H37" s="132" t="s">
        <v>243</v>
      </c>
    </row>
    <row r="38" spans="1:8" ht="20.25" customHeight="1">
      <c r="A38" s="123">
        <v>37</v>
      </c>
      <c r="B38" s="124" t="s">
        <v>244</v>
      </c>
      <c r="C38" s="126" t="s">
        <v>245</v>
      </c>
      <c r="D38" s="124" t="s">
        <v>246</v>
      </c>
      <c r="H38" s="130"/>
    </row>
    <row r="39" spans="1:8" ht="20.25" customHeight="1">
      <c r="A39" s="123">
        <v>38</v>
      </c>
      <c r="B39" s="124" t="s">
        <v>247</v>
      </c>
      <c r="C39" s="126" t="s">
        <v>248</v>
      </c>
      <c r="D39" s="124" t="s">
        <v>249</v>
      </c>
      <c r="F39" s="131" t="s">
        <v>250</v>
      </c>
      <c r="G39" s="131"/>
      <c r="H39" s="132" t="s">
        <v>251</v>
      </c>
    </row>
  </sheetData>
  <mergeCells count="2">
    <mergeCell ref="F33:H33"/>
    <mergeCell ref="E2:I2"/>
  </mergeCells>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INICIO</vt:lpstr>
      <vt:lpstr>F1</vt:lpstr>
      <vt:lpstr>F2</vt:lpstr>
      <vt:lpstr>F3</vt:lpstr>
      <vt:lpstr>F4</vt:lpstr>
      <vt:lpstr>F5</vt:lpstr>
      <vt:lpstr>F6</vt:lpstr>
      <vt:lpstr>F7</vt:lpstr>
      <vt:lpstr>F8</vt:lpstr>
      <vt:lpstr>F9</vt:lpstr>
      <vt:lpstr>F10</vt:lpstr>
      <vt:lpstr>F11</vt:lpstr>
      <vt:lpstr>F12</vt:lpstr>
      <vt:lpstr>Res.</vt:lpstr>
      <vt:lpstr>D.Car.</vt:lpstr>
      <vt:lpstr>Hoja1</vt:lpstr>
      <vt:lpstr>Hoja2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Windows User</dc:creator>
  <cp:keywords/>
  <dc:description/>
  <cp:lastModifiedBy>ASISTENTE CALIDAD</cp:lastModifiedBy>
  <cp:revision/>
  <dcterms:created xsi:type="dcterms:W3CDTF">2019-03-08T15:54:21Z</dcterms:created>
  <dcterms:modified xsi:type="dcterms:W3CDTF">2023-10-25T16:30:33Z</dcterms:modified>
  <cp:category/>
  <cp:contentStatus/>
</cp:coreProperties>
</file>