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sistente.calidad\Downloads\"/>
    </mc:Choice>
  </mc:AlternateContent>
  <bookViews>
    <workbookView xWindow="0" yWindow="0" windowWidth="28800" windowHeight="11130" firstSheet="2" activeTab="2"/>
  </bookViews>
  <sheets>
    <sheet name="Velocimetro" sheetId="18" state="hidden" r:id="rId1"/>
    <sheet name="Termometro" sheetId="19" state="hidden" r:id="rId2"/>
    <sheet name="INICIO" sheetId="8" r:id="rId3"/>
    <sheet name="Hoja1 (2)" sheetId="9" state="hidden" r:id="rId4"/>
    <sheet name="Año 1" sheetId="1" r:id="rId5"/>
    <sheet name="Listas Nuevas" sheetId="26" state="hidden" r:id="rId6"/>
    <sheet name="Lista Antigua" sheetId="2" state="hidden" r:id="rId7"/>
    <sheet name="Resultado año 1" sheetId="17" r:id="rId8"/>
    <sheet name="Año 2" sheetId="27" r:id="rId9"/>
    <sheet name="Resultado año 2" sheetId="24" r:id="rId10"/>
    <sheet name="Consolidado Final" sheetId="25" r:id="rId11"/>
    <sheet name="Hoja3 (2)" sheetId="15" state="hidden" r:id="rId12"/>
    <sheet name=" Hoja2" sheetId="3" state="hidden" r:id="rId13"/>
  </sheets>
  <externalReferences>
    <externalReference r:id="rId14"/>
    <externalReference r:id="rId15"/>
    <externalReference r:id="rId16"/>
    <externalReference r:id="rId17"/>
  </externalReferences>
  <definedNames>
    <definedName name="_xlnm._FilterDatabase" localSheetId="4" hidden="1">'Año 1'!$A$7:$A$77</definedName>
    <definedName name="_xlnm._FilterDatabase" localSheetId="8" hidden="1">'Año 2'!$A$7:$A$77</definedName>
    <definedName name="caracteristicas">' Hoja2'!$A$2:$A$41</definedName>
    <definedName name="CARGO_DEL_RESPONSABLE" localSheetId="8">'Año 2'!#REF!</definedName>
    <definedName name="CARGO_DEL_RESPONSABLE" localSheetId="10">'Año 1'!#REF!</definedName>
    <definedName name="CARGO_DEL_RESPONSABLE" localSheetId="9">'Año 1'!#REF!</definedName>
    <definedName name="CARGO_DEL_RESPONSABLE">'Año 1'!#REF!</definedName>
    <definedName name="Condición">[1]Hoja1!$B$3:$B$18</definedName>
    <definedName name="Cumplimiento">'Resultado año 1'!$M$7</definedName>
    <definedName name="DESCRIPCIÓN__DE_LA_ACTIVIDAD" localSheetId="8">'Año 2'!#REF!</definedName>
    <definedName name="DESCRIPCIÓN__DE_LA_ACTIVIDAD">'Año 1'!#REF!</definedName>
    <definedName name="Escala_de_Ejecución">'Resultado año 1'!$M$7</definedName>
    <definedName name="Factor1">'Lista Antigua'!$E$4:$E$6</definedName>
    <definedName name="Factor10">'Lista Antigua'!$W$4:$W$6</definedName>
    <definedName name="Factor2">'Lista Antigua'!$G$4:$G$7</definedName>
    <definedName name="Factor3">'Lista Antigua'!$I$4:$I$11</definedName>
    <definedName name="Factor4">'Lista Antigua'!$K$4:$K$14</definedName>
    <definedName name="Factor5">'Lista Antigua'!$M$4:$M$5</definedName>
    <definedName name="Factor6">'Lista Antigua'!$O$4:$O$5</definedName>
    <definedName name="Factor7">'Lista Antigua'!$Q$4:$Q$5</definedName>
    <definedName name="Factor8">'Lista Antigua'!$S$4:$S$7</definedName>
    <definedName name="Factor9">'Lista Antigua'!$U$4:$U$5</definedName>
    <definedName name="Factores">'Lista Antigua'!$B$3:$B$13</definedName>
    <definedName name="FECHA__INICIO_–_FIN" localSheetId="8">'Año 2'!#REF!</definedName>
    <definedName name="FECHA__INICIO_–_FIN" localSheetId="10">'Año 1'!#REF!</definedName>
    <definedName name="FECHA__INICIO_–_FIN" localSheetId="9">'Año 1'!#REF!</definedName>
    <definedName name="FECHA__INICIO_–_FIN">'Año 1'!#REF!</definedName>
    <definedName name="MEDIO_DE_VERIFICACIÓN" localSheetId="8">'Año 2'!$L$6</definedName>
    <definedName name="MEDIO_DE_VERIFICACIÓN">'Año 1'!$L$6</definedName>
    <definedName name="META" localSheetId="8">'Año 2'!$R$6</definedName>
    <definedName name="META">'Año 1'!$R$6</definedName>
    <definedName name="NIVEL_DE_CUMPLIMENTO" localSheetId="8">'Año 2'!$K$5</definedName>
    <definedName name="NIVEL_DE_CUMPLIMENTO">'Año 1'!$K$5</definedName>
    <definedName name="NIVEL_DE_CUMPLIMIENTO_DE_LA_META" localSheetId="8">'Año 2'!$S$6</definedName>
    <definedName name="NIVEL_DE_CUMPLIMIENTO_DE_LA_META">'Año 1'!$S$6</definedName>
    <definedName name="numero1">' Hoja2'!$D$4:$D$9</definedName>
    <definedName name="numero10">' Hoja2'!$V$4:$V$11</definedName>
    <definedName name="numero11">' Hoja2'!$X$4:$X$9</definedName>
    <definedName name="numero12">' Hoja2'!$Z$4:$Z$6</definedName>
    <definedName name="numero13">' Hoja2'!$AB$4:$AB$7</definedName>
    <definedName name="numero14">' Hoja2'!$AD$4:$AD$6</definedName>
    <definedName name="numero15">' Hoja2'!$AF$4:$AF$8</definedName>
    <definedName name="numero16">' Hoja2'!$AH$4:$AH$13</definedName>
    <definedName name="numero17">' Hoja2'!$AJ$4:$AJ$13</definedName>
    <definedName name="numero18">' Hoja2'!$AL$4:$AL$6</definedName>
    <definedName name="numero19">' Hoja2'!$AN$4:$AN$17</definedName>
    <definedName name="numero2">' Hoja2'!$F$4:$F$7</definedName>
    <definedName name="numero20">' Hoja2'!$AP$4:$AP$9</definedName>
    <definedName name="numero21">' Hoja2'!$AR$4:$AR$8</definedName>
    <definedName name="numero22">' Hoja2'!$AT$4:$AT$7</definedName>
    <definedName name="numero23">' Hoja2'!$AV$4:$AV$11</definedName>
    <definedName name="numero24">' Hoja2'!$AX$4:$AX$8</definedName>
    <definedName name="numero25">' Hoja2'!$AZ$4:$AZ$9</definedName>
    <definedName name="numero26">' Hoja2'!$BB$4:$BB$8</definedName>
    <definedName name="numero27">' Hoja2'!$BD$4:$BD$12</definedName>
    <definedName name="numero28">' Hoja2'!$BF$4:$BF$11</definedName>
    <definedName name="numero29">' Hoja2'!$BH$4:$BH$14</definedName>
    <definedName name="numero3">' Hoja2'!$H$4:$H$12</definedName>
    <definedName name="numero30">' Hoja2'!$BJ$4:$BJ$10</definedName>
    <definedName name="numero31">' Hoja2'!$BL$4:$BL$11</definedName>
    <definedName name="numero32">' Hoja2'!$BN$4:$BN$6</definedName>
    <definedName name="numero33">' Hoja2'!$BP$4:$BP$10</definedName>
    <definedName name="numero34">' Hoja2'!$BR$4:$BR$12</definedName>
    <definedName name="numero35">' Hoja2'!$BT$4:$BT$7</definedName>
    <definedName name="numero36">' Hoja2'!$BV$4:$BV$11</definedName>
    <definedName name="numero37">' Hoja2'!$BX$4:$BX$7</definedName>
    <definedName name="numero38">' Hoja2'!$BZ$4:$BZ$8</definedName>
    <definedName name="numero39">' Hoja2'!$CB$4:$CB$11</definedName>
    <definedName name="numero4">' Hoja2'!$J$4:$J$7</definedName>
    <definedName name="numero40">' Hoja2'!$CD$4:$CD$7</definedName>
    <definedName name="numero5">' Hoja2'!$L$4:$L$6</definedName>
    <definedName name="numero6">' Hoja2'!$N$4:$N$6</definedName>
    <definedName name="numero7">' Hoja2'!$P$4:$P$8</definedName>
    <definedName name="numero8">' Hoja2'!$R$4:$R$6</definedName>
    <definedName name="numero9">' Hoja2'!$T$4:$T$9</definedName>
    <definedName name="OBE">[2]Convencionales!$J$3:$J$17</definedName>
    <definedName name="programas">'[3]Formato Recursos'!$AY$159:$AY$195</definedName>
    <definedName name="Radius">'[4]Velocimetros '!$AK$32</definedName>
    <definedName name="RECURSO" localSheetId="8">'Año 2'!$O$6</definedName>
    <definedName name="RECURSO">'Año 1'!$O$6</definedName>
    <definedName name="sedes">'[3]Formato Recursos'!$BC$163:$BC$174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77" i="27" l="1"/>
  <c r="AA77" i="27"/>
  <c r="AB77" i="27" s="1"/>
  <c r="AC76" i="27"/>
  <c r="AA76" i="27"/>
  <c r="AB76" i="27" s="1"/>
  <c r="AC75" i="27"/>
  <c r="AA75" i="27"/>
  <c r="AB75" i="27" s="1"/>
  <c r="AC74" i="27"/>
  <c r="AA74" i="27"/>
  <c r="AB74" i="27" s="1"/>
  <c r="AC73" i="27"/>
  <c r="AA73" i="27"/>
  <c r="AB73" i="27" s="1"/>
  <c r="AC72" i="27"/>
  <c r="AA72" i="27"/>
  <c r="AB72" i="27" s="1"/>
  <c r="AC71" i="27"/>
  <c r="AA71" i="27"/>
  <c r="AB71" i="27" s="1"/>
  <c r="AC70" i="27"/>
  <c r="AA70" i="27"/>
  <c r="AB70" i="27" s="1"/>
  <c r="AC69" i="27"/>
  <c r="AA69" i="27"/>
  <c r="AB69" i="27" s="1"/>
  <c r="AC68" i="27"/>
  <c r="AA68" i="27"/>
  <c r="AB68" i="27" s="1"/>
  <c r="AC67" i="27"/>
  <c r="AA67" i="27"/>
  <c r="AB67" i="27" s="1"/>
  <c r="AC66" i="27"/>
  <c r="AA66" i="27"/>
  <c r="AB66" i="27" s="1"/>
  <c r="AC65" i="27"/>
  <c r="AA65" i="27"/>
  <c r="AB65" i="27" s="1"/>
  <c r="AC64" i="27"/>
  <c r="AA64" i="27"/>
  <c r="AB64" i="27" s="1"/>
  <c r="AC63" i="27"/>
  <c r="AA63" i="27"/>
  <c r="AB63" i="27" s="1"/>
  <c r="AC62" i="27"/>
  <c r="AA62" i="27"/>
  <c r="AB62" i="27" s="1"/>
  <c r="AC61" i="27"/>
  <c r="AA61" i="27"/>
  <c r="AB61" i="27" s="1"/>
  <c r="AC60" i="27"/>
  <c r="AA60" i="27"/>
  <c r="AB60" i="27" s="1"/>
  <c r="AC59" i="27"/>
  <c r="AA59" i="27"/>
  <c r="AB59" i="27" s="1"/>
  <c r="AC58" i="27"/>
  <c r="AA58" i="27"/>
  <c r="AB58" i="27" s="1"/>
  <c r="AC57" i="27"/>
  <c r="AA57" i="27"/>
  <c r="AB57" i="27" s="1"/>
  <c r="AC56" i="27"/>
  <c r="AA56" i="27"/>
  <c r="AB56" i="27" s="1"/>
  <c r="AC55" i="27"/>
  <c r="AA55" i="27"/>
  <c r="AB55" i="27" s="1"/>
  <c r="AC54" i="27"/>
  <c r="AA54" i="27"/>
  <c r="AB54" i="27" s="1"/>
  <c r="AC53" i="27"/>
  <c r="AA53" i="27"/>
  <c r="AB53" i="27" s="1"/>
  <c r="AC52" i="27"/>
  <c r="AA52" i="27"/>
  <c r="AB52" i="27" s="1"/>
  <c r="AC51" i="27"/>
  <c r="AA51" i="27"/>
  <c r="AB51" i="27" s="1"/>
  <c r="AC50" i="27"/>
  <c r="AA50" i="27"/>
  <c r="AB50" i="27" s="1"/>
  <c r="AC49" i="27"/>
  <c r="AA49" i="27"/>
  <c r="AB49" i="27" s="1"/>
  <c r="AC48" i="27"/>
  <c r="AA48" i="27"/>
  <c r="AB48" i="27" s="1"/>
  <c r="AC47" i="27"/>
  <c r="AA47" i="27"/>
  <c r="AB47" i="27" s="1"/>
  <c r="AC46" i="27"/>
  <c r="AA46" i="27"/>
  <c r="AB46" i="27" s="1"/>
  <c r="AC45" i="27"/>
  <c r="AA45" i="27"/>
  <c r="AB45" i="27" s="1"/>
  <c r="AC44" i="27"/>
  <c r="AA44" i="27"/>
  <c r="AB44" i="27" s="1"/>
  <c r="AC43" i="27"/>
  <c r="AA43" i="27"/>
  <c r="AB43" i="27" s="1"/>
  <c r="AC42" i="27"/>
  <c r="AA42" i="27"/>
  <c r="AB42" i="27" s="1"/>
  <c r="AC41" i="27"/>
  <c r="AA41" i="27"/>
  <c r="AB41" i="27" s="1"/>
  <c r="AC40" i="27"/>
  <c r="AA40" i="27"/>
  <c r="AB40" i="27" s="1"/>
  <c r="AC39" i="27"/>
  <c r="AA39" i="27"/>
  <c r="AB39" i="27" s="1"/>
  <c r="AC38" i="27"/>
  <c r="AA38" i="27"/>
  <c r="AB38" i="27" s="1"/>
  <c r="AC37" i="27"/>
  <c r="AA37" i="27"/>
  <c r="AB37" i="27" s="1"/>
  <c r="AC36" i="27"/>
  <c r="AA36" i="27"/>
  <c r="AB36" i="27" s="1"/>
  <c r="AC35" i="27"/>
  <c r="AA35" i="27"/>
  <c r="AB35" i="27" s="1"/>
  <c r="AC34" i="27"/>
  <c r="AA34" i="27"/>
  <c r="AB34" i="27" s="1"/>
  <c r="AC33" i="27"/>
  <c r="AA33" i="27"/>
  <c r="AB33" i="27" s="1"/>
  <c r="AC32" i="27"/>
  <c r="AA32" i="27"/>
  <c r="AB32" i="27" s="1"/>
  <c r="AC31" i="27"/>
  <c r="AA31" i="27"/>
  <c r="AB31" i="27" s="1"/>
  <c r="AC30" i="27"/>
  <c r="AA30" i="27"/>
  <c r="AB30" i="27" s="1"/>
  <c r="AC29" i="27"/>
  <c r="AA29" i="27"/>
  <c r="AB29" i="27" s="1"/>
  <c r="AC28" i="27"/>
  <c r="AA28" i="27"/>
  <c r="AB28" i="27" s="1"/>
  <c r="AC27" i="27"/>
  <c r="AA27" i="27"/>
  <c r="AB27" i="27" s="1"/>
  <c r="AC26" i="27"/>
  <c r="AA26" i="27"/>
  <c r="AB26" i="27" s="1"/>
  <c r="AC25" i="27"/>
  <c r="AA25" i="27"/>
  <c r="AB25" i="27" s="1"/>
  <c r="AC24" i="27"/>
  <c r="AA24" i="27"/>
  <c r="AB24" i="27" s="1"/>
  <c r="AC23" i="27"/>
  <c r="AA23" i="27"/>
  <c r="AB23" i="27" s="1"/>
  <c r="AC22" i="27"/>
  <c r="AA22" i="27"/>
  <c r="AB22" i="27" s="1"/>
  <c r="AC21" i="27"/>
  <c r="AA21" i="27"/>
  <c r="AB21" i="27" s="1"/>
  <c r="AC20" i="27"/>
  <c r="AA20" i="27"/>
  <c r="AB20" i="27" s="1"/>
  <c r="AC19" i="27"/>
  <c r="AA19" i="27"/>
  <c r="AB19" i="27" s="1"/>
  <c r="AC18" i="27"/>
  <c r="AA18" i="27"/>
  <c r="AB18" i="27" s="1"/>
  <c r="AC17" i="27"/>
  <c r="AA17" i="27"/>
  <c r="AB17" i="27" s="1"/>
  <c r="AC16" i="27"/>
  <c r="AA16" i="27"/>
  <c r="AB16" i="27" s="1"/>
  <c r="AC15" i="27"/>
  <c r="AA15" i="27"/>
  <c r="AB15" i="27" s="1"/>
  <c r="AC14" i="27"/>
  <c r="AA14" i="27"/>
  <c r="AB14" i="27" s="1"/>
  <c r="AC13" i="27"/>
  <c r="AA13" i="27"/>
  <c r="AB13" i="27" s="1"/>
  <c r="AC12" i="27"/>
  <c r="AA12" i="27"/>
  <c r="AB12" i="27" s="1"/>
  <c r="AC11" i="27"/>
  <c r="AA11" i="27"/>
  <c r="AB11" i="27" s="1"/>
  <c r="AC10" i="27"/>
  <c r="AA10" i="27"/>
  <c r="AB10" i="27" s="1"/>
  <c r="AC9" i="27"/>
  <c r="AA9" i="27"/>
  <c r="AB9" i="27" s="1"/>
  <c r="AC8" i="27"/>
  <c r="AA8" i="27"/>
  <c r="AB8" i="27" s="1"/>
  <c r="AC7" i="27"/>
  <c r="AA7" i="27"/>
  <c r="AB7" i="27" s="1"/>
  <c r="AA8" i="1"/>
  <c r="AB8" i="1" s="1"/>
  <c r="AC8" i="1"/>
  <c r="AA9" i="1"/>
  <c r="AB9" i="1" s="1"/>
  <c r="AC9" i="1"/>
  <c r="C5" i="24" l="1"/>
  <c r="C5" i="17"/>
  <c r="B5" i="17"/>
  <c r="AA55" i="1" l="1"/>
  <c r="AA56" i="1"/>
  <c r="AA57" i="1"/>
  <c r="AA58" i="1"/>
  <c r="AA59" i="1"/>
  <c r="AA60" i="1"/>
  <c r="AA61" i="1"/>
  <c r="AA62" i="1"/>
  <c r="AB62" i="1" s="1"/>
  <c r="AA63" i="1"/>
  <c r="AB63" i="1" s="1"/>
  <c r="AA64" i="1"/>
  <c r="AB64" i="1" s="1"/>
  <c r="AA65" i="1"/>
  <c r="AB65" i="1" s="1"/>
  <c r="AA66" i="1"/>
  <c r="AB66" i="1" s="1"/>
  <c r="AA67" i="1"/>
  <c r="AB67" i="1" s="1"/>
  <c r="AA68" i="1"/>
  <c r="AB68" i="1" s="1"/>
  <c r="AA69" i="1"/>
  <c r="AB69" i="1" s="1"/>
  <c r="AA70" i="1"/>
  <c r="AB70" i="1" s="1"/>
  <c r="AA71" i="1"/>
  <c r="AB71" i="1" s="1"/>
  <c r="AA72" i="1"/>
  <c r="AB72" i="1" s="1"/>
  <c r="AA73" i="1"/>
  <c r="AB73" i="1" s="1"/>
  <c r="AA74" i="1"/>
  <c r="AB74" i="1" s="1"/>
  <c r="AA75" i="1"/>
  <c r="AB75" i="1" s="1"/>
  <c r="AA76" i="1"/>
  <c r="AB76" i="1" s="1"/>
  <c r="AA77" i="1"/>
  <c r="AB77" i="1" s="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7" i="1"/>
  <c r="AB60" i="1" l="1"/>
  <c r="AB59" i="1"/>
  <c r="AB56" i="1"/>
  <c r="AB58" i="1"/>
  <c r="AB55" i="1"/>
  <c r="B5" i="24"/>
  <c r="AB61" i="1"/>
  <c r="AB57" i="1"/>
  <c r="AC57" i="1"/>
  <c r="AC7" i="1"/>
  <c r="AC74" i="1"/>
  <c r="AC70" i="1"/>
  <c r="AC75" i="1"/>
  <c r="AC71" i="1"/>
  <c r="AC67" i="1"/>
  <c r="AC63" i="1"/>
  <c r="AC59" i="1"/>
  <c r="AC55" i="1"/>
  <c r="AC66" i="1"/>
  <c r="AC62" i="1"/>
  <c r="AC58" i="1"/>
  <c r="AC68" i="1"/>
  <c r="AC64" i="1"/>
  <c r="AC60" i="1"/>
  <c r="AC56" i="1"/>
  <c r="AC76" i="1"/>
  <c r="AC72" i="1"/>
  <c r="AC77" i="1"/>
  <c r="AC73" i="1"/>
  <c r="AC69" i="1"/>
  <c r="AC65" i="1"/>
  <c r="AC61" i="1"/>
  <c r="F5" i="24" l="1"/>
  <c r="M14" i="24" s="1"/>
  <c r="D5" i="24"/>
  <c r="I5" i="24" s="1"/>
  <c r="C11" i="19" s="1"/>
  <c r="D10" i="18" l="1"/>
  <c r="D11" i="18" s="1"/>
  <c r="C5" i="25"/>
  <c r="B5" i="25"/>
  <c r="AB54" i="1"/>
  <c r="AB53" i="1"/>
  <c r="AB52" i="1"/>
  <c r="AB51" i="1"/>
  <c r="AB50" i="1"/>
  <c r="AB49" i="1"/>
  <c r="AB48" i="1"/>
  <c r="AB47" i="1"/>
  <c r="AB46" i="1"/>
  <c r="AB45" i="1"/>
  <c r="AB44" i="1"/>
  <c r="AB43" i="1"/>
  <c r="AB42" i="1"/>
  <c r="AB41" i="1"/>
  <c r="AB40" i="1"/>
  <c r="AB39" i="1"/>
  <c r="AB38" i="1"/>
  <c r="AB37" i="1"/>
  <c r="AB36" i="1"/>
  <c r="AB35" i="1"/>
  <c r="AB34" i="1"/>
  <c r="AB33" i="1"/>
  <c r="AB32" i="1"/>
  <c r="AB31" i="1"/>
  <c r="AB30" i="1"/>
  <c r="AB29" i="1"/>
  <c r="AB28" i="1"/>
  <c r="AB27" i="1"/>
  <c r="D5" i="25" l="1"/>
  <c r="I5" i="25" s="1"/>
  <c r="C17" i="19" s="1"/>
  <c r="F5" i="25"/>
  <c r="B39" i="19"/>
  <c r="B38" i="19"/>
  <c r="B43" i="19" s="1"/>
  <c r="B44" i="19" l="1"/>
  <c r="M14" i="25"/>
  <c r="D15" i="18"/>
  <c r="D16" i="18" s="1"/>
  <c r="F5" i="17"/>
  <c r="D5" i="18" s="1"/>
  <c r="D6" i="18" s="1"/>
  <c r="D5" i="17"/>
  <c r="I5" i="17" s="1"/>
  <c r="B41" i="19"/>
  <c r="B42" i="19"/>
  <c r="M14" i="17" l="1"/>
  <c r="C5" i="19"/>
  <c r="B40" i="19" s="1"/>
  <c r="E38" i="19" s="1"/>
  <c r="U28" i="15"/>
  <c r="AB26" i="1"/>
  <c r="AB25" i="1"/>
  <c r="AB24" i="1"/>
  <c r="AB23" i="1"/>
  <c r="AB22" i="1"/>
  <c r="AB21" i="1"/>
  <c r="AB20" i="1"/>
  <c r="AB19" i="1"/>
  <c r="AB18" i="1"/>
  <c r="AB17" i="1"/>
  <c r="AB16" i="1"/>
  <c r="AB15" i="1"/>
  <c r="AB14" i="1"/>
  <c r="AB13" i="1"/>
  <c r="AB12" i="1"/>
  <c r="AB11" i="1"/>
  <c r="AB10" i="1"/>
  <c r="AB7" i="1"/>
  <c r="U28" i="3"/>
  <c r="CE28" i="3"/>
  <c r="CF28" i="3"/>
  <c r="CG28" i="3"/>
  <c r="CH28" i="3"/>
  <c r="CI28" i="3"/>
  <c r="CJ28" i="3"/>
  <c r="CK28" i="3"/>
  <c r="CL28" i="3"/>
  <c r="CM28" i="3"/>
  <c r="CN28" i="3"/>
  <c r="F38" i="19" l="1"/>
  <c r="E40" i="19"/>
  <c r="AC26" i="1"/>
  <c r="AC54" i="1"/>
  <c r="AC52" i="1"/>
  <c r="AC50" i="1"/>
  <c r="AC48" i="1"/>
  <c r="AC46" i="1"/>
  <c r="AC44" i="1"/>
  <c r="AC42" i="1"/>
  <c r="AC40" i="1"/>
  <c r="AC38" i="1"/>
  <c r="AC36" i="1"/>
  <c r="AC34" i="1"/>
  <c r="AC32" i="1"/>
  <c r="AC30" i="1"/>
  <c r="AC28" i="1"/>
  <c r="AC53" i="1"/>
  <c r="AC51" i="1"/>
  <c r="AC49" i="1"/>
  <c r="AC47" i="1"/>
  <c r="AC45" i="1"/>
  <c r="AC43" i="1"/>
  <c r="AC41" i="1"/>
  <c r="AC39" i="1"/>
  <c r="AC37" i="1"/>
  <c r="AC35" i="1"/>
  <c r="AC33" i="1"/>
  <c r="AC31" i="1"/>
  <c r="AC29" i="1"/>
  <c r="AC27" i="1"/>
  <c r="AC25" i="1"/>
  <c r="AC21" i="1"/>
  <c r="AC13" i="1"/>
  <c r="AC17" i="1"/>
  <c r="AC12" i="1"/>
  <c r="AC16" i="1"/>
  <c r="AC20" i="1"/>
  <c r="AC24" i="1"/>
  <c r="AC11" i="1"/>
  <c r="AC15" i="1"/>
  <c r="AC19" i="1"/>
  <c r="AC23" i="1"/>
  <c r="AC10" i="1"/>
  <c r="AC14" i="1"/>
  <c r="AC18" i="1"/>
  <c r="AC22" i="1"/>
  <c r="T28" i="3"/>
</calcChain>
</file>

<file path=xl/sharedStrings.xml><?xml version="1.0" encoding="utf-8"?>
<sst xmlns="http://schemas.openxmlformats.org/spreadsheetml/2006/main" count="1146" uniqueCount="888">
  <si>
    <t>VELOCIMETRO AÑO 1</t>
  </si>
  <si>
    <t>punto de equilibrio</t>
  </si>
  <si>
    <t>promedio total</t>
  </si>
  <si>
    <t>por cumplir</t>
  </si>
  <si>
    <t>VELOCIMETRO AÑO 2</t>
  </si>
  <si>
    <t>CONSOLIDADO FINAL</t>
  </si>
  <si>
    <t>Ejemplo 1</t>
  </si>
  <si>
    <t>http://www.exceldashboardwidgets.com/index-es.html</t>
  </si>
  <si>
    <t>Extraido y adaptado de:</t>
  </si>
  <si>
    <t>Entrada de datos</t>
  </si>
  <si>
    <t xml:space="preserve">TERMOMETRO AÑO 1 </t>
  </si>
  <si>
    <t>Nombre de la serie:</t>
  </si>
  <si>
    <t>misdatos</t>
  </si>
  <si>
    <t>Valor Actual:</t>
  </si>
  <si>
    <t>Mínimo:</t>
  </si>
  <si>
    <t>Máximo:</t>
  </si>
  <si>
    <t xml:space="preserve">TERMOMETRO AÑO 2 </t>
  </si>
  <si>
    <t>Datos de calculo</t>
  </si>
  <si>
    <t xml:space="preserve">E) Thermometer Widget </t>
  </si>
  <si>
    <t>Value</t>
  </si>
  <si>
    <t>x</t>
  </si>
  <si>
    <t>y</t>
  </si>
  <si>
    <t>Min</t>
  </si>
  <si>
    <t>Max</t>
  </si>
  <si>
    <t>Actual</t>
  </si>
  <si>
    <t>Scale1</t>
  </si>
  <si>
    <t>Scale2</t>
  </si>
  <si>
    <t>Scale3</t>
  </si>
  <si>
    <t>Scale4</t>
  </si>
  <si>
    <t>Programa:</t>
  </si>
  <si>
    <t>Nombre Director(a):</t>
  </si>
  <si>
    <t>Sede:</t>
  </si>
  <si>
    <t xml:space="preserve">Fecha de elaboración: </t>
  </si>
  <si>
    <t>DD</t>
  </si>
  <si>
    <t>MM</t>
  </si>
  <si>
    <t>AAAA</t>
  </si>
  <si>
    <t xml:space="preserve">Periodo: </t>
  </si>
  <si>
    <t xml:space="preserve">Elija </t>
  </si>
  <si>
    <t>Administración de Empresas Agropecuarias</t>
  </si>
  <si>
    <t>Enero</t>
  </si>
  <si>
    <t>I</t>
  </si>
  <si>
    <t>Popayán</t>
  </si>
  <si>
    <t>Administración de Empresas</t>
  </si>
  <si>
    <t>Febrero</t>
  </si>
  <si>
    <t>II</t>
  </si>
  <si>
    <t>Santander de Quilichao</t>
  </si>
  <si>
    <t>Arquitectura</t>
  </si>
  <si>
    <t>Marzo</t>
  </si>
  <si>
    <t>Comunicación Social</t>
  </si>
  <si>
    <t>Abril</t>
  </si>
  <si>
    <t>Contaduría Pública</t>
  </si>
  <si>
    <t>Mayo</t>
  </si>
  <si>
    <t>Derecho</t>
  </si>
  <si>
    <t>Junio</t>
  </si>
  <si>
    <t>Ecología</t>
  </si>
  <si>
    <t>Julio</t>
  </si>
  <si>
    <t>Economía</t>
  </si>
  <si>
    <t>Agosto</t>
  </si>
  <si>
    <t>Ingeniería de Sistemas</t>
  </si>
  <si>
    <t>Septiembre</t>
  </si>
  <si>
    <t>Ingeniería Industrial</t>
  </si>
  <si>
    <t>Octubre</t>
  </si>
  <si>
    <t>Licenciatura en Educación Básica y Cultural</t>
  </si>
  <si>
    <t>Noviembre</t>
  </si>
  <si>
    <t>Psicología</t>
  </si>
  <si>
    <t>Diciembre</t>
  </si>
  <si>
    <t>Trabajo Social</t>
  </si>
  <si>
    <t>Administración de Empresas Agropecuarias - Virtual</t>
  </si>
  <si>
    <t>Administración de Empresas - Virtual</t>
  </si>
  <si>
    <t>Comunicación Social - Virtual</t>
  </si>
  <si>
    <t>PLAN MEJORAMIENTO 
PROCESO DE AUTOEVALUACIÓN-PROGRAMAS ACADEMICOS
2023</t>
  </si>
  <si>
    <t>PROGRAMA:</t>
  </si>
  <si>
    <t>RESPONSABLE DEL PROCESO:</t>
  </si>
  <si>
    <t xml:space="preserve">NOMBRE DEL RESPONSABLE DEL PROCESO </t>
  </si>
  <si>
    <t>Modelo de Autoevaluación</t>
  </si>
  <si>
    <t>Seguimiento Autoevaluación</t>
  </si>
  <si>
    <t>Factor (CNA)</t>
  </si>
  <si>
    <t>Característica (CNA)</t>
  </si>
  <si>
    <t xml:space="preserve">OPORTUNIDADES DE MEJORA </t>
  </si>
  <si>
    <t>ACTIVIDADES/ACCIONES</t>
  </si>
  <si>
    <t>INDICADOR P
PROCESO AUTOEVALUACIÓN (2023)</t>
  </si>
  <si>
    <t xml:space="preserve">FECHA INICIO
 PROGRAMADA </t>
  </si>
  <si>
    <t xml:space="preserve">FECHA FINAL 
 PROGRAMADA </t>
  </si>
  <si>
    <t>EVIDENCIA</t>
  </si>
  <si>
    <t xml:space="preserve">LINK DE VERIFICACIÓN </t>
  </si>
  <si>
    <t xml:space="preserve">
RESPONSABLE ASIGNADO</t>
  </si>
  <si>
    <t>RECURSOS REQUERIDOS</t>
  </si>
  <si>
    <t>Meta</t>
  </si>
  <si>
    <t>Nivel de Cumplimieto de lA Meta (%)</t>
  </si>
  <si>
    <t>Observaciones</t>
  </si>
  <si>
    <t xml:space="preserve"> ∑ de Tareas</t>
  </si>
  <si>
    <t># Tarea realizada</t>
  </si>
  <si>
    <t># Tarea 
sin realizar</t>
  </si>
  <si>
    <t>Estado</t>
  </si>
  <si>
    <t>D</t>
  </si>
  <si>
    <t xml:space="preserve">DÍA </t>
  </si>
  <si>
    <t>MES</t>
  </si>
  <si>
    <t>AÑO</t>
  </si>
  <si>
    <t xml:space="preserve">TÉCNICOS </t>
  </si>
  <si>
    <t xml:space="preserve">HUMANOS </t>
  </si>
  <si>
    <t xml:space="preserve">FINANCIEROS </t>
  </si>
  <si>
    <t>1. PROYECTO EDUCATIVO DEL PROGRAMA E IDENTIDAD INSTITUCIONAL</t>
  </si>
  <si>
    <t>1. PROYECTO EDUCATIVO DEL PROGRAMA</t>
  </si>
  <si>
    <t>--</t>
  </si>
  <si>
    <t>Factores CNA Prog.</t>
  </si>
  <si>
    <t>Características</t>
  </si>
  <si>
    <t>2. ESTUDIANTES</t>
  </si>
  <si>
    <t>2. RELEVANCIA ACADÉMICA Y PERTINENCIA SOCIAL DEL PROGRAMA ACADÉMICO</t>
  </si>
  <si>
    <t>3. PROFESORES</t>
  </si>
  <si>
    <t>3. PARTICIPACIÓN EN ACTIVIDADES DE FORMACIÓN INTEGRAL</t>
  </si>
  <si>
    <t>4. EGRESADOS</t>
  </si>
  <si>
    <t>4. ORIENTACIÓN Y SEGUIMIENTO A ESTUDIANTES</t>
  </si>
  <si>
    <t>5. ASPECTOS ACADÉMICOS Y RESULTADOS DE APRENDIZAJE</t>
  </si>
  <si>
    <t>5. CAPACIDAD DE TRABAJO AUTÓNOMO</t>
  </si>
  <si>
    <t>6. PERMANENCIA Y GRADUACIÓN</t>
  </si>
  <si>
    <t>6. REGLAMENTO ESTUDIANTIL Y POLÍTICA ACADÉMICA</t>
  </si>
  <si>
    <t>7. INTERACCIÓN CON EL ENTORNO NACIONAL E INTERNACIONAL</t>
  </si>
  <si>
    <t>7. ESTÍMULOS Y APOYOS PARA ESTUDIANTES</t>
  </si>
  <si>
    <t>8. APORTES DE LA INVESTIGACIÓN, LA INNOVACIÓN, EL DESARROLLO TECNOLÓGICO Y LA CREACIÓN, ASOCIADOS AL PROGRAMA ACADÉMICO</t>
  </si>
  <si>
    <t>8. SELECCIÓN, VINCULACIÓN Y PERMANENCIA</t>
  </si>
  <si>
    <t>9. BIENESTAR DE LA COMUNIDAD ACADÉMICA DEL PROGRAMA.</t>
  </si>
  <si>
    <t>9. ESTATUTO PROFESORAL</t>
  </si>
  <si>
    <t>10. MEDIOS EDUCATIVOS Y AMBIENTES DE APRENDIZAJE</t>
  </si>
  <si>
    <t>10. NÚMERO, DEDICACIÓN, NIVEL DE FORMACIÓN Y EXPERIENCIA</t>
  </si>
  <si>
    <t>11. ORGANIZACIÓN, ADMINISTRACIÓN Y FINANCIACIÓN DEL PROGRAMA ACADÉMICO</t>
  </si>
  <si>
    <t>11. DESARROLLO PROFESORAL</t>
  </si>
  <si>
    <t>12. RECURSOS FÍSICOS Y TECNOLÓGICOS</t>
  </si>
  <si>
    <t>12. ESTÍMULOS A LA TRAYECTORIA PROFESORAL</t>
  </si>
  <si>
    <t>13. PRODUCCIÓN, PERTINENCIA, UTILIZACIÓN E IMPACTO DE MATERIAL DOCENTE</t>
  </si>
  <si>
    <t>14. REMUNERACIÓN POR MÉRITOS</t>
  </si>
  <si>
    <t>15. EVALUACIÓN DE PROFESORES</t>
  </si>
  <si>
    <t>16. SEGUIMIENTO DE LOS EGRESADOS</t>
  </si>
  <si>
    <t>17. IMPACTO DE LOS EGRESADOS EN EL MEDIO SOCIAL Y ACADÉMICO</t>
  </si>
  <si>
    <t>18. INTEGRALIDAD DE LOS ASPECTOS CURRICULARES</t>
  </si>
  <si>
    <t>19. FLEXIBILIDAD DE LOS ASPECTOS CURRICULARES</t>
  </si>
  <si>
    <t>20. INTERDISCIPLINARIEDAD</t>
  </si>
  <si>
    <t>21. ESTRATEGIAS PEDAGÓGICAS</t>
  </si>
  <si>
    <t>22. SISTEMA DE EVALUACIÓN DE ESTUDIANTES</t>
  </si>
  <si>
    <t>23. RESULTADOS DE APRENDIZAJE</t>
  </si>
  <si>
    <t>24. COMPETENCIAS</t>
  </si>
  <si>
    <t>25. EVALUACIÓN Y AUTORREGULACIÓN DEL PROGRAMA ACADÉMICO</t>
  </si>
  <si>
    <t>26. VINCULACIÓN E INTERACCIÓN SOCIAL</t>
  </si>
  <si>
    <t>27. POLÍTICAS, ESTRATEGIAS Y ESTRUCTURA PARA LA PERMANENCIA Y LA GRADUACIÓN</t>
  </si>
  <si>
    <t>28. CARACTERIZACIÓN DE ESTUDIANTES Y SISTEMA DE ALERTAS TEMPRANAS</t>
  </si>
  <si>
    <t>29. AJUSTES A LOS ASPECTOS CURRICULARES</t>
  </si>
  <si>
    <t>30. MECANISMOS DE SELECCIÓN</t>
  </si>
  <si>
    <t>31. INSERCIÓN DEL PROGRAMAEN CONTEXTOS ACADÉMICOS NACIONALES E INTERNACIONALES</t>
  </si>
  <si>
    <t>32. RELACIONES EXTERNAS DE PROFESORES Y ESTUDIANTES</t>
  </si>
  <si>
    <t>33. HABILIDADES COMUNICATIVAS EN UNA SEGUNDA LENGUA</t>
  </si>
  <si>
    <t>34. FORMACIÓN PARA LA INVESTIGACIÓN, DESARROLLO TECNOLÓGICO, LA INNOVACIÓN Y LA CREACIÓN</t>
  </si>
  <si>
    <t>35. COMPROMISO CON LA INVESTIGACIÓN, DESARROLLO TECNOLÓGICO, LA INNOVACIÓN Y LA CREACIÓN</t>
  </si>
  <si>
    <t>36. PROGRAMAS Y SERVICIOS</t>
  </si>
  <si>
    <t>37. PARTICIPACIÓN Y SEGUIMIENTO</t>
  </si>
  <si>
    <t>38. ESTRATEGIAS Y RECURSOS DE APOYO A PROFESORES</t>
  </si>
  <si>
    <t>39. ESTRATEGIAS Y RECURSOS DE APOYO A ESTUDIANTES</t>
  </si>
  <si>
    <t>40. RECURSOS BIBLIOGRÁFICOS Y DE INFORMACIÓN</t>
  </si>
  <si>
    <t>41. ORGANIZACIÓN Y ADMINISTRACIÓN</t>
  </si>
  <si>
    <t>42. DIRECCIÓN Y GESTIÓN</t>
  </si>
  <si>
    <t>43. SISTEMAS DE COMUNICACIÓN E INFORMACIÓN</t>
  </si>
  <si>
    <t>44. ESTUDIANTES Y CAPACIDAD INSTITUCIONAL</t>
  </si>
  <si>
    <t>45. FINANCIACIÓN DEL PROGRAMA ACADÉMICO</t>
  </si>
  <si>
    <t>46. ASEGURAMIENTO DE LA ALTA CALIDAD Y MEJORA CONTINUA</t>
  </si>
  <si>
    <t>47. RECURSOS DE INFRAESTRUCTURA FÍSICA Y TECNOLÓGICA</t>
  </si>
  <si>
    <t>48. RECURSOS INFORMÁTICOS Y DE COMUNICACIÓN</t>
  </si>
  <si>
    <t>Factores</t>
  </si>
  <si>
    <t>Factor 1</t>
  </si>
  <si>
    <t>Factor 2</t>
  </si>
  <si>
    <t>Factor 3</t>
  </si>
  <si>
    <t>Factor 4</t>
  </si>
  <si>
    <t>Factor 5</t>
  </si>
  <si>
    <t>Factor 6</t>
  </si>
  <si>
    <t>Factor 7</t>
  </si>
  <si>
    <t>Factor 8</t>
  </si>
  <si>
    <t>Factor 9</t>
  </si>
  <si>
    <t>Factor 10</t>
  </si>
  <si>
    <t>1. Misión, Proyecto Institucional Y De Programa</t>
  </si>
  <si>
    <t>Factor1</t>
  </si>
  <si>
    <t>1. Misión, Visión Y Proyecto Insitucional</t>
  </si>
  <si>
    <t>4. Mecanismos De Selección E Ingreso</t>
  </si>
  <si>
    <t>8. Selección, Vinculación Y Permanencia De Profesores</t>
  </si>
  <si>
    <t>16. Integralidad Del Currículo</t>
  </si>
  <si>
    <t>27. Inserción Del Programa En Contextos Académicos Nacionales E Internacionales</t>
  </si>
  <si>
    <t>29. Formación Para La Investigación, La Innovación Y La Creación Artística Y Cultural</t>
  </si>
  <si>
    <t>31. Políticas, Programas Y Servicios De Bienestar Universitario</t>
  </si>
  <si>
    <t>33. Organización, Administración Y Gestión Del Programa</t>
  </si>
  <si>
    <t>36. Seguimiento De Los Egresados</t>
  </si>
  <si>
    <t>38. Recursos Físicos</t>
  </si>
  <si>
    <t>2. Estudiantes</t>
  </si>
  <si>
    <t>Factor2</t>
  </si>
  <si>
    <t>2. Proyecto Edcativo  El Programa</t>
  </si>
  <si>
    <t>5. Estudiantes Admitidos Y Capacidad Institucional</t>
  </si>
  <si>
    <t xml:space="preserve">9. Estatuto Profesoral </t>
  </si>
  <si>
    <t xml:space="preserve">17. Flexibilidad Del Currículo </t>
  </si>
  <si>
    <t>28. Relaciones Externas De Profesores Y Estudantes</t>
  </si>
  <si>
    <t>30. Compromiso Con La Investigación, La Innovación Y La Creación Artística Y
Cultural</t>
  </si>
  <si>
    <t xml:space="preserve">32. Permanencia Y Retención Estudiantil </t>
  </si>
  <si>
    <t>34. Sistemas De Comunicación E Información</t>
  </si>
  <si>
    <t>37. Impacto De Los Egresados En El Medio Social Y Académico</t>
  </si>
  <si>
    <t>39. Presupuesto Del Programa</t>
  </si>
  <si>
    <t>3. Profesores</t>
  </si>
  <si>
    <t>Factor3</t>
  </si>
  <si>
    <t>3. Elevancia Académica Y Pertinencia Social Del Programa</t>
  </si>
  <si>
    <t xml:space="preserve">6. Participación En Actividades De Formación Integral </t>
  </si>
  <si>
    <t>10. Número, Dedicación, Nivel De Formación Y Experiencia De Los Profesores</t>
  </si>
  <si>
    <t xml:space="preserve">18. Nterdisciplinariedad </t>
  </si>
  <si>
    <t>35. Dirección Del Programa</t>
  </si>
  <si>
    <t xml:space="preserve">40. Administración De Recursos </t>
  </si>
  <si>
    <t>4. Procesos Académicos</t>
  </si>
  <si>
    <t>Factor4</t>
  </si>
  <si>
    <t>7. Reglamentos Estudiantil Y Académico</t>
  </si>
  <si>
    <t xml:space="preserve">11. Desarrollo Profesoral </t>
  </si>
  <si>
    <t>19. Metodologías De Enseñanza Y Aprendizaje</t>
  </si>
  <si>
    <t>5. Visibilidad Nacional E Internaciona</t>
  </si>
  <si>
    <t>Factor5</t>
  </si>
  <si>
    <t xml:space="preserve">12. Estímulos A La Docencia, Investigación, Creación Artística Y Cultural, </t>
  </si>
  <si>
    <t>20. Sistema De Evaluación De Estudiantes</t>
  </si>
  <si>
    <t>6. Investigación, Innovación Y Creación Artística Y Cultural</t>
  </si>
  <si>
    <t>Factor6</t>
  </si>
  <si>
    <t xml:space="preserve">13.  Producción, Pertinencia, Utilización E Impacto De Material Docente </t>
  </si>
  <si>
    <t>21. Trabajos De Los Estudiantes</t>
  </si>
  <si>
    <t>7. Bienestar Institucional</t>
  </si>
  <si>
    <t>Factor7</t>
  </si>
  <si>
    <t>14. Remuneración Por Méritos</t>
  </si>
  <si>
    <t>22. Evaluación Y Autorregulación Del Programa</t>
  </si>
  <si>
    <t>8. Organización, Administración Y Gestión</t>
  </si>
  <si>
    <t>Factor8</t>
  </si>
  <si>
    <t xml:space="preserve">15. Evaluación De Profesores </t>
  </si>
  <si>
    <t>23. Extensión O Proyección Social</t>
  </si>
  <si>
    <t>9. Impacto De Los Egresados En El Medio</t>
  </si>
  <si>
    <t>Factor9</t>
  </si>
  <si>
    <t>24. Recursos Bibliográficos</t>
  </si>
  <si>
    <t>10. Recursos Físicos Y Financieros</t>
  </si>
  <si>
    <t>Factor10</t>
  </si>
  <si>
    <t xml:space="preserve">25. Recursos Informáticos Y De Comunicación </t>
  </si>
  <si>
    <t>26. Recursos De Apoyo Docente</t>
  </si>
  <si>
    <t>PORCENTAJE TAREAS PLAN DE MEJORA AÑO 1</t>
  </si>
  <si>
    <t># Tareas realizadas</t>
  </si>
  <si>
    <t># Tareas sin realizar</t>
  </si>
  <si>
    <t>% tareas realizadas</t>
  </si>
  <si>
    <t>% tareas sin realizar</t>
  </si>
  <si>
    <t xml:space="preserve">Escala de Valoración </t>
  </si>
  <si>
    <t>%</t>
  </si>
  <si>
    <t xml:space="preserve">Estado de Ejecución </t>
  </si>
  <si>
    <t>75% - 100%</t>
  </si>
  <si>
    <t>Satisfactorio</t>
  </si>
  <si>
    <t>50% - 74%</t>
  </si>
  <si>
    <t>Aceptable</t>
  </si>
  <si>
    <t>0% - 49%</t>
  </si>
  <si>
    <t>Deficiente</t>
  </si>
  <si>
    <t xml:space="preserve">SEGUIMIENTO AL PLAN DE MEJORA </t>
  </si>
  <si>
    <t xml:space="preserve">Nombre </t>
  </si>
  <si>
    <t>Cargo</t>
  </si>
  <si>
    <t xml:space="preserve">QUIEN RECIBE: </t>
  </si>
  <si>
    <t>QUIEN REALIZA:</t>
  </si>
  <si>
    <t>Luisa Marcela Toro</t>
  </si>
  <si>
    <t>Coordinadora Autoevaluación Institucional</t>
  </si>
  <si>
    <t xml:space="preserve">Fecha: </t>
  </si>
  <si>
    <t>PLAN MEJORAMIENTO 
PROCESO DE AUTOEVALUACIÓN 
PROGRAMAS ACADEMICOS
2023</t>
  </si>
  <si>
    <t xml:space="preserve">NOMBRE RESPONSABLE PROCESO: </t>
  </si>
  <si>
    <t xml:space="preserve">Seguimiento Autoevaluación </t>
  </si>
  <si>
    <t>Oportunidad de mejora</t>
  </si>
  <si>
    <t>INDICADOR 
PROCESO AUTOEVALUACIÓN (2023)</t>
  </si>
  <si>
    <t>PORCENTAJE TAREAS PLAN DE MEJORA AÑO 2</t>
  </si>
  <si>
    <t>PORCENTAJE CONSOLIDADO FINAL</t>
  </si>
  <si>
    <t>Elija</t>
  </si>
  <si>
    <t>1. Denominación</t>
  </si>
  <si>
    <t>numero1</t>
  </si>
  <si>
    <t>numero 1</t>
  </si>
  <si>
    <t>numero 2</t>
  </si>
  <si>
    <t>numero 3</t>
  </si>
  <si>
    <t>numero 4</t>
  </si>
  <si>
    <t>numero 5</t>
  </si>
  <si>
    <t>numero 6</t>
  </si>
  <si>
    <t>numero 7</t>
  </si>
  <si>
    <t>numero 8</t>
  </si>
  <si>
    <t>numero 9</t>
  </si>
  <si>
    <t/>
  </si>
  <si>
    <t>numero 10</t>
  </si>
  <si>
    <t>numero 11</t>
  </si>
  <si>
    <t>numero 12</t>
  </si>
  <si>
    <t>numero 13</t>
  </si>
  <si>
    <t>numero 14</t>
  </si>
  <si>
    <t>numero 15</t>
  </si>
  <si>
    <t>numero 16</t>
  </si>
  <si>
    <t>numero 17</t>
  </si>
  <si>
    <t>numero 18</t>
  </si>
  <si>
    <t>numero 19</t>
  </si>
  <si>
    <t>numero 20</t>
  </si>
  <si>
    <t>numero 21</t>
  </si>
  <si>
    <t>numero 22</t>
  </si>
  <si>
    <t>numero 23</t>
  </si>
  <si>
    <t>numero 24</t>
  </si>
  <si>
    <t>numero 25</t>
  </si>
  <si>
    <t>numero 26</t>
  </si>
  <si>
    <t>numero 27</t>
  </si>
  <si>
    <t>numero 28</t>
  </si>
  <si>
    <t>numero 29</t>
  </si>
  <si>
    <t>2.1. Pertinencia</t>
  </si>
  <si>
    <t>numero2</t>
  </si>
  <si>
    <t>a. Hay correspondencia entre el titulo que se va a ofrecer con los contenidos curriculares del programa</t>
  </si>
  <si>
    <t>a. Son relevantes los aspectos con los cuales se justifica la pertinencia del Programa en el marco de un contexto globalizado.</t>
  </si>
  <si>
    <t>a. Demuestra el Programa, con claridad y coherencia, la existencia de oportunidades reales -o potenciales- de desempeño en el campo profesional al cual pertenece.</t>
  </si>
  <si>
    <t>a. Existen rasgos o características que diferencian al Programa de otros existentes en el país, la región o la localidad.</t>
  </si>
  <si>
    <t>a. El enfoque o enfoques teóricos relevantes del campo o campos de conocimiento/prácticas influyen en el enfoque teórico del Programa.</t>
  </si>
  <si>
    <t>a. Se identifican y enuncian con claridad en el Programa los propósitos de formación</t>
  </si>
  <si>
    <t>a. Existen criterios académicos de la institución para la definición de los créditos en el plan de estudios.</t>
  </si>
  <si>
    <t>a. Favorece la organización curricular del Programa el trabajo interdisciplinario</t>
  </si>
  <si>
    <t>a. Se identifica con claridad la organización curricular del Programa</t>
  </si>
  <si>
    <t>a. Favorecen las estrategias y mediaciones pedagógicas planteadas en el Programa, el desarrollo de competencias para el aprendizaje autónomo en las distintas áreas y componentes de formación académica</t>
  </si>
  <si>
    <t>a. Corresponden las actividades académicas al plan de estudios presentados por el programa.</t>
  </si>
  <si>
    <t>a. El programa plantea estrategias que motivan al estudiante a apropiarse de un segundo idioma.</t>
  </si>
  <si>
    <t>a. Son claras las propuestas para la organización y desarrollo de las actividades académicas (Laboratorios talleres seminarios etc.).</t>
  </si>
  <si>
    <t>a. Se hace explícito, o se evidencia, en el Plan de estudios del Programa la existencia de la formación investigativa.</t>
  </si>
  <si>
    <t>a. Existe una concepción de la institución sobre la relación con el sector externo.</t>
  </si>
  <si>
    <t>a. Garantizan el número, la dedicación y los niveles de formación profesional y pedagógica de los profesores la calidad de la formación en el Programa</t>
  </si>
  <si>
    <t>a. Cuenta la institución con una biblioteca y una hemeroteca dotada con el material bibliográfico suficiente en el campo de conocimiento del Programa</t>
  </si>
  <si>
    <t>a. Posee la institución una red interna de comunicaciones (intranet) y está conectada con redes de información, nacionales e internacionales</t>
  </si>
  <si>
    <t>a. Se puede identificar con claridad qué campos de práctica o de experimentación requiere el Programa</t>
  </si>
  <si>
    <t>a. Cuenta la institución con políticas y estrategias adecuadas para la adquisición, mantenimiento y reposición de equipos</t>
  </si>
  <si>
    <t xml:space="preserve">a. Valorar el grado en el cual el Programa de educación a distancia, o el ofrecido a través de tecnologías de información y comunicación, cuenta con: </t>
  </si>
  <si>
    <t>a. Valorar hasta qué punto el Programa a distancia expresa con claridad las políticas y mecanismos que tiene establecidos para la producción, la distribución, la evaluación y edición de los materiales propios de los cursos, así como de adquisición de equipos y medios requeridos. De igual manera, la aplicación de la legislación sobre derechos de autor.</t>
  </si>
  <si>
    <t>a. Cuenta el Programa con suficientes aulas y espacios para el desarrollo de los cursos y demás actividades académicas y administrativas</t>
  </si>
  <si>
    <t>a. Hace explícito la institución, a quiénes va dirigido el Programa Qué condiciones se exigen para el ingreso</t>
  </si>
  <si>
    <t>a. Posee la institución una estructura académico-administrativa estable</t>
  </si>
  <si>
    <t>a. Tiene la institución políticas y estrategias de autoevaluación con fines de mejoramiento de sus Programas</t>
  </si>
  <si>
    <t>a. Posee el Programa políticas y estrategias de seguimiento a sus egresados</t>
  </si>
  <si>
    <t>a. Existe coherencia entre las políticas de Bienestar Universitario, el PEI y las necesidades de la comunidad universitaria</t>
  </si>
  <si>
    <t>a. Existen en la institución políticas y estrategias claras en materia presupuestal, que posibiliten la viabilidad, permanencia y desarrollo del Programa</t>
  </si>
  <si>
    <t>2.2. Necesidades del país o de la región.</t>
  </si>
  <si>
    <t>numero3</t>
  </si>
  <si>
    <t>b. Hay coherencia entre la denominación del Programa que se ofrece y la identidad propia del campo profesional al cual pertenece..</t>
  </si>
  <si>
    <t>b. Hay articulación entre los argumentos presentados para demostrar la pertinencia del Programa y las necesidades del país y la región,</t>
  </si>
  <si>
    <t>b. Se hacen explícitas las oportunidades de desempeño que en el campo del Programa existen.</t>
  </si>
  <si>
    <t>b. Son relevantes las características básicas que describe el Programa, y que le permiten definir su identidad o particularidad.</t>
  </si>
  <si>
    <t>b. Se plantea explícitamente la fundamentación teórica del Programa.</t>
  </si>
  <si>
    <t>b. Se percibe coherencia entre los propósitos de formación del Programa y aquellos definidos en el PEI</t>
  </si>
  <si>
    <t>b. Según la naturaleza del Programa, prevé la institución los tiempos, espacios y medios necesarios para facilitar el desarrollo de las responsabilidades propias del estudiante.</t>
  </si>
  <si>
    <t>b. Favorece el trabajo interdisciplinario en el Programa nuevas formas de organización de sus profesores y estudiantes</t>
  </si>
  <si>
    <t>b. Hay correspondencia entre los lineamientos curriculares establecidos en la resolución del MEN sobre los aspectos curriculares básicos del Programa y los lineamientos pedagógicos y curriculares de éste</t>
  </si>
  <si>
    <t>b. Hay estrategias, medios y contextos que prevé el Programa para el desarrollo del aprendizaje</t>
  </si>
  <si>
    <t>b. Son las actividades académicas pertinentes con el titulo ofrecido por el programa.</t>
  </si>
  <si>
    <t>b. Los contenidos de las actividades académicas crean la necesidad de adquirir competencias en un segundo idioma</t>
  </si>
  <si>
    <t>b. Las estrategias para la organización de las actividades académicas guardan coherencias con sus componentes y metodología de desarrollo.</t>
  </si>
  <si>
    <t>b. Se concibe en la institución la formación investigativa Cuál es su relación con la investigación propiamente dicha en la institución</t>
  </si>
  <si>
    <t>b. Tiene el programa políticas, estrategias, planes y Programas para su relación con el sector externo y responden éstos a la concepción y al modelo  definido por la institución</t>
  </si>
  <si>
    <t>b. Posee la institución políticas, normas y criterios institucionales para la selección, y vinculación del profesorado de planta y de cátedra</t>
  </si>
  <si>
    <t>b. se actualiza permanentemente el material bibliográfico relacionado con el Programa</t>
  </si>
  <si>
    <t>b. Dispone la institución de conexiones a correo electrónico para estudiantes y profesores</t>
  </si>
  <si>
    <t>b. Dispone la institución de los materiales y medios didácticos necesarios para apoyar el desarrollo del Programa</t>
  </si>
  <si>
    <t>b. Tiene la institución una plan de inversiones adecuado (en materia de adquisición de, medios y equipos, tecnologías, material audiovisual, adquisición de software) para garantizar el desarrollo del Programa</t>
  </si>
  <si>
    <t>b. Estrategias que aseguren tanto a estudiantes como a profesores el acceso efectivo a los recursos bibliográficos, informáticos y telemáticos y computacionales incorporados en los cursos y actividades del Programa curricular. Este acceso efectivo puede lograrse a través de contratos y condiciones de licenciamiento de software desde redes distintas a las que posee la institución en su campus.</t>
  </si>
  <si>
    <t>b. Así mismo, valorar si el Programa a distancia, o el ofrecido a través de tecnologías de información y comunicación, garantiza que los estudiantes tengan acceso a los materiales que apoyan el desarrollo de los cursos, al menos para los tres primeros semestres. Estos materiales deberán incluir módulos que desarrollen los contenidos básicos, guías del aprendizaje, ejercicios de auto y heteroevaluación y soportes-bibliográficos</t>
  </si>
  <si>
    <t>b. Son los espacios para el desarrollo de las actividades presenciales o de acompañamiento por el profesor bien iluminados y ventilados</t>
  </si>
  <si>
    <t>b. Hay un nivel exigido para el ingreso y cuál es el proceso de selección</t>
  </si>
  <si>
    <t>b. Se soporta la estructura académico-administrativa en órganos especializados de consulta, de asesoría y de decisión</t>
  </si>
  <si>
    <t>b. Existe un Comité de Autoevaluación Institucional</t>
  </si>
  <si>
    <t>b. Permite el seguimiento hecho a los egresados del Programa identificar fortalezas y debilidades de la formación que ofrece la institución</t>
  </si>
  <si>
    <t>b. Existe una política de Bienestar en la institución orientada a favorecer la formación integral de los estudiantes, profesores y egresados</t>
  </si>
  <si>
    <t>b. Existen normas relacionadas con la Programación y ejecución del presupuesto de inversión y funcionamiento del Programa</t>
  </si>
  <si>
    <t>2.3.  Atributos o factores que constituyen rasgos distintivos del programa.</t>
  </si>
  <si>
    <t>numero4</t>
  </si>
  <si>
    <t>c. Se muestra congruencia entre la denominación del Programa y su correspondiente titulación, con la naturaleza, nivel académico, ciclo propedéutico y modalidad de formación.</t>
  </si>
  <si>
    <t>c. Se presentan argumentos para privilegiar una o varias tendencias del ejercicio profesional.</t>
  </si>
  <si>
    <t>c. Responden las características del Programa a las necesidades regionales y del país.</t>
  </si>
  <si>
    <t xml:space="preserve">c. Se identifican problemas a los cuales se puede dar respuesta con base en los desarrollos científico-técnicos propios del campo al cual pertenece el Programa. </t>
  </si>
  <si>
    <t>c. Son coherentes los propósitos de formación con la naturaleza del campo de conocimiento naturaleza, nivel académico, ciclo propedéutico y modalidad de formación al cual pertenece el Programa</t>
  </si>
  <si>
    <t>c. En el Programa, qué incidencia tiene la flexibilidad en “el volumen de trabajo académico del estudiante”</t>
  </si>
  <si>
    <t>c. Se presentan en el Programa proyectos o acciones que exigen el desarrollo del trabajo interdisciplinario</t>
  </si>
  <si>
    <t>c. Se hace explícita la fundamentación que sustenta la estructura curricular propuesta</t>
  </si>
  <si>
    <t>c. Se explicitan las estrategias pedagógicas utilizadas en el Programa en los diferentes cursos y actividades académicas</t>
  </si>
  <si>
    <t>c. Existe una proporción entre las actividades académicas que depende de los objetivos trazados por el programa.</t>
  </si>
  <si>
    <t>c. La bibliografía presentada para el desarrollo de las actividades académicas exige habilidades cognitivas en un segundo idioma.</t>
  </si>
  <si>
    <t>c. El desarrollo de las actividades académicas permiten alcanzar las metas de formación.</t>
  </si>
  <si>
    <t>c. Existen políticas y normas claras que administran, estimulan y favorecen el desarrollo de la investigación tanto en la institución como en el Programa</t>
  </si>
  <si>
    <t>c. Se incorporan en el Programa estrategias específicas que permitan vincular los contenidos formativos a las prácticas con el sector externo</t>
  </si>
  <si>
    <t>c. Hay permanencia en la vinculación del profesorado que presta servicios al Programa</t>
  </si>
  <si>
    <t>c. Permite la cantidad del material bibliográfico (número de volúmenes, número de títulos, bases de datos y elementos anexos y complementarios) disponible para el Programa el acceso, sin dificultad a todos los estudiantes</t>
  </si>
  <si>
    <t>c. Hay mecanismos ágiles y flexibles para facilitar la consulta bibliográfica y el acceso a bases de datos oportunamente</t>
  </si>
  <si>
    <t>c. Cuenta la institución con todos los laboratorios, equipos o talleres que se requieren para el desarrollo del Programa</t>
  </si>
  <si>
    <t>c. Existen convenios interinstitucionales para el uso de equipos o talleres</t>
  </si>
  <si>
    <t xml:space="preserve">c. Convenios que garanticen las condiciones logísticas e institucionales suficientes para el desarrollo de las prácticas profesionales. </t>
  </si>
  <si>
    <t>c. En el caso de Programas apoyados en Tecnologías de la Información y la Comunicación (análogas y digitales), considerar y valorar la calidad de los recursos y estrategias que aprovechen de manera óptima las posibilidades y oportunidades de interacción, comunicación sincrónica y asincrónica. También valorar la incorporación de contenidos en formato multimedia e hipertextual y el desarrollo de estrategias de trabajo colaborativo</t>
  </si>
  <si>
    <t>c. Están los espacios de trabajo y su dotación en buen estado</t>
  </si>
  <si>
    <t>c. Existen Programas especiales de admisión dirigidos a las poblaciones más vulnerables de la sociedad</t>
  </si>
  <si>
    <t>c. Depende el Programa de una unidad académica pertinente</t>
  </si>
  <si>
    <t>c. Existen comités de autoevaluación en las unidades académicas</t>
  </si>
  <si>
    <t>c. Permiten las políticas y estrategias valorar el impacto social del Programa y el desempeño laboral de sus egresados</t>
  </si>
  <si>
    <t>c. Involucra el Bienestar Universitario a todos los estamentos de la comunidad educativa de manera amplia y participativa</t>
  </si>
  <si>
    <t>c. Es coherente el presupuesto del Programa con su plan de desarrollo</t>
  </si>
  <si>
    <t>3.1. Fundamentación teórica del programa</t>
  </si>
  <si>
    <t>numero5</t>
  </si>
  <si>
    <t>d. Hace el Programa explícita la relación entre las tendencias del ejercicio profesional y las oportunidades potenciales o existentes de desempeño, con base en el observatorio laboral del MEN y otras fuentes de información.</t>
  </si>
  <si>
    <t>d. Se consideran otros aspectos de otras condiciones para establecer las características que constituyen su particularidad.</t>
  </si>
  <si>
    <t>d. Se presenta en el Programa una conceptualización relevante sobre la formación y desarrollo de competencias, que oriente su selección en éste</t>
  </si>
  <si>
    <t>d. Hay volumen de trabajo académico del estudiante en la relación entre el tiempo presencial o de acompañamiento directo del docente (TP) y el tiempo independiente (TI)</t>
  </si>
  <si>
    <t>d. Se presentan evidencias de que el Programa tiene una tradición de trabajo interdisciplinario</t>
  </si>
  <si>
    <t>d. Existe forma de organización de los contenidos (estructura curricular) que privilegia el Programa Áreas Componentes Asignaturas Cursos Núcleos temáticos Núcleos problemáticos Proyectos etc.</t>
  </si>
  <si>
    <t>d. Son suficientes las estrategias, medios (materiales y virtuales) y contextos para garantizar el aprendizaje de los estudiantes</t>
  </si>
  <si>
    <t>d. Presenta estrategias el programa para la realización de cada actividad académica.</t>
  </si>
  <si>
    <t>d. La propuesta de organización de actividades académicas incluye el desarrollo de prácticas formativas y laboratorios supervisadas por profesores responsables.</t>
  </si>
  <si>
    <t>d. Está organizada la formación investigativa en el Programa</t>
  </si>
  <si>
    <t>d. Es posible establecer en el Programa alguna articulación entre la formación investigativa y su relación con el sector externo.</t>
  </si>
  <si>
    <t>d. Cuenta la institución con un número suficiente de profesores de tiempo completo para desarrollar las labores académicas al servicio del Programa</t>
  </si>
  <si>
    <t>d. ermite la calidad del material bibliográfico disponible para el Programa el acceso a materiales que apoyen el análisis crítico y la investigación</t>
  </si>
  <si>
    <t>d. Dispone la institución de software, en cantidad y calidad, para garantizar el apoyo y desarrollo del Programa propuesto</t>
  </si>
  <si>
    <t>d. Es adecuada la dotación de los laboratorios en equipos e insumos</t>
  </si>
  <si>
    <t>d. Cuenta el Programa con personal profesional calificado para el manejo de equipos y talleres</t>
  </si>
  <si>
    <t>d. Según sea el caso, laboratorios de apoyo a la actividad académica e investigativa, señalando las estrategias para atender a estudiantes.</t>
  </si>
  <si>
    <t>d. Son las instalaciones y muebles de la biblioteca confortables y están en buen estado</t>
  </si>
  <si>
    <t>d. Son claras las condiciones para la transferencia de estudiantes y homologación de cursos</t>
  </si>
  <si>
    <t>d. Establece la estructura académico-administrativa líneas de comunicación ágiles entre el Programa y las demás dependencias de la institución</t>
  </si>
  <si>
    <t>d. Hay periodicidad para realizan las prácticas de autoevaluación en los Programas</t>
  </si>
  <si>
    <t>d. Se utilizan los resultados del seguimiento a los egresados en el mejoramiento académico del Programa</t>
  </si>
  <si>
    <t>d. Trasciende la concepción de Bienestar la simple prestación de servicios y realización de actividades</t>
  </si>
  <si>
    <t>d. Es adecuado el presupuesto del Programa para el desarrollo de actividades de docencia, investigación y proyección social</t>
  </si>
  <si>
    <t>3.2. Propósitos de formación del programa, competencias y perfiles definidos</t>
  </si>
  <si>
    <t>numero6</t>
  </si>
  <si>
    <t>e. Se puede establecer qué necesidades adicionales satisface el Programa, comparativamente con otras ofertas de Programas similares existentes.</t>
  </si>
  <si>
    <t>e. Se  privilegian competencias en el Programa.</t>
  </si>
  <si>
    <t>e. Según la naturaleza del Programa, qué importancia asigna el Programa al tiempo independiente que tiene el estudiante para el logro de los propósitos del Programa y, de manera específica, del aprendizaje autónomo</t>
  </si>
  <si>
    <t>e. Existe integración de equipos de profesores para el tratamiento de los contenidos de un mismo curso De cursos diferentes</t>
  </si>
  <si>
    <t>e. Si existe, Se expresa la flexibilidad curricular en el Programa En la organización de los contenidos En el incremento de asignaturas, cursos o actividades académicas electivas (de libre escogencia por parte del estudiante)</t>
  </si>
  <si>
    <t>e. Corresponden las estrategias de aprendizaje al número de estudiantes por curso y por actividad académica</t>
  </si>
  <si>
    <t>e. Hay coherencia entre las actividades académicas propuestas.</t>
  </si>
  <si>
    <t>e. La organización de las actividades académicas disponen de los escenarios apropiados para su realización.</t>
  </si>
  <si>
    <t>e. Se cuenta en el presupuesto de la institución con recursos económicos apropiados que permiten el desarrollo de la actividad investigativa</t>
  </si>
  <si>
    <t>e. Responden las políticas, estrategias y Programas de vinculación al sector externo a los problemas y necesidades de la comunidad nacional, regional o local</t>
  </si>
  <si>
    <t>e. Cuenta la institución con un escalafón que valore la calidad académica del profesorado</t>
  </si>
  <si>
    <t xml:space="preserve">e. Tiene facilidad el estudiante para encontrar el material bibliográfico que se le recomienda en la bibliografía del curso </t>
  </si>
  <si>
    <t>e. Se planea racionalmente el uso de los recursos informáticos existentes para garantizar la cobertura y la calidad del servicio</t>
  </si>
  <si>
    <t>e. Existen normas de higiene y seguridad para el uso de laboratorios Se divulgan entre los usuarios de los laboratorios</t>
  </si>
  <si>
    <t>e. Tiene la institución un plan de mantenimiento y renovación de equipos</t>
  </si>
  <si>
    <t>e. Materiales de apoyo multimedial (audio, video, animaciones interactivas, simulaciones, etc.) según el caso, que servirán de complemento para el desarrollo de los cursos y actividades del Programa de formación..</t>
  </si>
  <si>
    <t>e. Dispone la biblioteca de medios ágiles para la consulta bibliográfica</t>
  </si>
  <si>
    <t>e. Conocen los aspirantes las normas y procedimientos que la institución tiene sobre el proceso de selección</t>
  </si>
  <si>
    <t>e. Existen mecanismos claros para la selección del director del Programa</t>
  </si>
  <si>
    <t>e. Existe en la institución una cultura consolidada de autoevaluación</t>
  </si>
  <si>
    <t>e. Cuenta la institución con canales de comunicación adecuados con los egresados</t>
  </si>
  <si>
    <t>e. Existe una articulación entre las prácticas académicas, de gestión y de bienestar en la institución</t>
  </si>
  <si>
    <t>e. Existen documentos e informes que demuestren el origen, monto y distribución de los recursos presupuestales destinados al Programa</t>
  </si>
  <si>
    <t>3.3. Plan general de estudios representado en créditos académicos</t>
  </si>
  <si>
    <t>numero7</t>
  </si>
  <si>
    <t>f. Hay coherencia entre las competencias que se describen y la naturaleza del campo de conocimiento, nivel académico, o ciclo propedéutico al cual pertenece el Programa.</t>
  </si>
  <si>
    <t>f. Hay proporcionalidad entre el volumen de contenidos seleccionados en los diferentes cursos y actividades académicas del plan de estudios del Programa y el tiempo asignado al trabajo independiente del estudiante.</t>
  </si>
  <si>
    <t>f. Es posible, a partir del análisis de la relación entre los cursos y actividades académicas obligatorias o electivas, definir el grado de flexibilidad en el Programa</t>
  </si>
  <si>
    <t>f. Orientan las estrategias y mediaciones pedagógicas a que el estudiante desarrolle su curiosidad intelectual, su iniciativa, su responsabilidad y compromiso consigo mismo, así como su capacidad de trabajar en equipo</t>
  </si>
  <si>
    <t>f. Refleja el plan de estudios la pertinencia adecuada con el perfil de estudiante que se quiere formar.</t>
  </si>
  <si>
    <t>f. La organización de las actividades académicas demuestran flexibilidad en su desarrollo y son permanentemente evaluados sus resultados.</t>
  </si>
  <si>
    <t>f. Posee la institución un sistema de estímulos y reconocimientos para el personal que participa en y contribuye al desarrollo de la investigación</t>
  </si>
  <si>
    <t>f. Se basa el desarrollo de la relación con el sector externo, en planes y Programas específicos que impliquen investigación o intervención (Como en el caso de proyectos relacionados con promoción y prevención de salud, desarrollo de pequeñas empresas, trabajo con el sector agropecuario, consultoría jurídica, proyectos productivos, innovación tecnológica, desarrollo de tecnologías alternativas, etc.).</t>
  </si>
  <si>
    <t>f. Tiene la institución políticas y estrategias concretas de mejoramiento de la calidad de la formación del profesorado (Programas de capacitación y de perfeccionamiento para docentes e investigadores, estudios de postgrado, cursos, seminarios, pasantías, otras)</t>
  </si>
  <si>
    <t>f. Cuenta la institución con políticas y estrategias adecuadas para la adquisición, mantenimiento y reposición de material bibliográfico, equipos y laboratorios</t>
  </si>
  <si>
    <t>f. Cuenta la institución con políticas y estrategias adecuadas para la adquisición, mantenimiento y reposición de equipos y laboratorios</t>
  </si>
  <si>
    <t>f. Presentan los laboratorios condiciones de seguridad que garanticen el uso de sus instalaciones, materiales y equipos--</t>
  </si>
  <si>
    <t>f. Cuenta la biblioteca con salas de lectura, adecuadas y confortables</t>
  </si>
  <si>
    <t>f. Se puede inferir que las condiciones, criterios y procesos de selección son justos y equitativos</t>
  </si>
  <si>
    <t>f. Existe un manual de funciones que determine el quehacer del director del Programa</t>
  </si>
  <si>
    <t>f. Permite la autoevaluación obtener información clara, objetiva y confiable sobre el estado del Programa</t>
  </si>
  <si>
    <t>f. Se realizan estudios sobre la ubicación laboral y el desempeño de los egresados del Programa (Observatorio laboral)</t>
  </si>
  <si>
    <t>f. Desarrolla el Bienestar Universitario actividades específicas para favorecer el cuidado de la salud</t>
  </si>
  <si>
    <t>f. Qué porcentaje de los ingresos de la institución se dedican a la inversión en el Programa</t>
  </si>
  <si>
    <t>3.4. Componente de interdisciplinariedad</t>
  </si>
  <si>
    <t>numero8</t>
  </si>
  <si>
    <t>g. Hay coherencia entre las competencias que se describen los propósitos de formación del Programa y el perfil enunciado</t>
  </si>
  <si>
    <t>g. Es coherente el tiempo asignado al trabajo académico del estudiante con el volumen de contenidos formativos seleccionados</t>
  </si>
  <si>
    <t>g. Si existe, favorece la flexibilidad curricular la integración o articulación de los contenidos del Programa.</t>
  </si>
  <si>
    <t>g. Permiten las estrategias y mediaciones pedagógicas que el estudiante pueda actuar en diferentes contextos propios del campo de ejercicio profesional, al cual pertenece Programa</t>
  </si>
  <si>
    <t>g. Responden las actividades académicas a las necesidades profesionales que requiere la región y el país</t>
  </si>
  <si>
    <t>g. Cuenta la institución con las fuentes de financiación internas y externas suficientes para garantizar el desarrollo de las líneas de investigación</t>
  </si>
  <si>
    <t>g. Se apoya el desarrollo de las prácticas de relación con el sector externo en convenios interinstitucionales</t>
  </si>
  <si>
    <t>g. Se han diseñado mecanismos claros y objetivos de evaluación del desempeño docente que permitan el mejoramiento de la docencia y la retroalimentación de los profesores</t>
  </si>
  <si>
    <t>g. Tiene la institución una plan de inversiones adecuado (en materia de adquisición de material bibliográfico, medios y equipos paras laboratorios, tecnologías, material audiovisual, adquisición de software) para garantizar el desarrollo del Programa</t>
  </si>
  <si>
    <t>g. Tiene la institución una plan de inversiones adecuado (en materia de adquisición de medios y equipos paras laboratorios, tecnologías, material audiovisual, adquisición de software) para garantizar el desarrollo del Programa</t>
  </si>
  <si>
    <t>g. Cuenta la institución con políticas y estrategias adecuadas para la adquisición, mantenimiento y reposición de material bibliográfico, equipos y laboratorios</t>
  </si>
  <si>
    <t xml:space="preserve">g. Brinda la institución amplias oportunidades para el uso de la biblioteca </t>
  </si>
  <si>
    <t>g. Cuenta la institución con estudios sobre las características socio-culturales y económicas de la población a la que está dirigido el Programa, de modo que se definan las condiciones, intereses y necesidades de los estudiantes</t>
  </si>
  <si>
    <t>g. Existe un comité de Programa que atienda y resuelva eficaz y oportunamente los problemas académicos y curriculares del Programa</t>
  </si>
  <si>
    <t>g. Han generado los resultados de la autoevaluación la necesidad de cambios en las prácticas de formación En la organización académico-administrativa de la institución</t>
  </si>
  <si>
    <t>g. Mantiene la institución una relación permanente con sus egresados que le permita reconocer sus necesidades en el campo de formación</t>
  </si>
  <si>
    <t>g. Fomenta el Bienestar Universitario las actividades deportivas, culturales y recreativas en la comunidad educativa</t>
  </si>
  <si>
    <t>3.5. Estrategias de flexibilización para el desarrollo del programa</t>
  </si>
  <si>
    <t>numero9</t>
  </si>
  <si>
    <t>h. Se percibe coherencia entre las competencias que se describen y los campos de ejercicio profesional en los cuales va a actuar o intervenir el futuro egresado</t>
  </si>
  <si>
    <t>h. Es coherente el tiempo asignado al trabajo académico del estudiante con el conjunto de actividades de aprendizaje que se requieren para desarrollar contenidos y competencias</t>
  </si>
  <si>
    <t>h. Hay estrategias para el logro de la integración de los contenidos en el plan de estudios (cualquiera sea su organización)</t>
  </si>
  <si>
    <t>h. Se prevén estrategias para el desarrollo de proyectos que respondan a las exigencias prácticas de diversos contextos de desempeño profesional en los que sea necesaria la interacción con otras disciplinas</t>
  </si>
  <si>
    <t>h. Cuenta la institución con políticas y normas claras para regular la actividad de publicación y divulgación de la investigación</t>
  </si>
  <si>
    <t>h. Cuenta la institución con centros de prácticas adecuados que garanticen la formación de los estudiantes</t>
  </si>
  <si>
    <t>h. Tiene la institución un plan de vinculación de docentes de acuerdo con la propuesta presenta, que incluya perfiles, funciones y tipo de vinculación</t>
  </si>
  <si>
    <t>h. Se efectúan permanentemente registros de consulta bibliotecaria Es útil la utilización que se da a esa información (Se presentan estudios al respecto).</t>
  </si>
  <si>
    <t>h. Existen convenios interinstitucionales para el uso de laboratorios, equipos o talleres</t>
  </si>
  <si>
    <t>h. Tiene la institución una plan de inversiones adecuado (en materia de adquisición de medios y equipos paras laboratorios, tecnologías, material audiovisual, adquisición de software) para garantizar el desarrollo del Programa</t>
  </si>
  <si>
    <t>h. Tiene la institución estudios prospectivos sobre el número de estudiantes que recibirá el Programa, las promociones que se pretenden formar y el tiempo de dedicación de los estudiantes</t>
  </si>
  <si>
    <t>h. Afecta la estructura académico-administrativa de la institución el desarrollo del Programa</t>
  </si>
  <si>
    <t>h. Participan en la autoevaluación los diversos estamentos de la institución educativa</t>
  </si>
  <si>
    <t>h. Tiene la institución políticas de vinculación de egresados, con logros académicos y profesionales sobresalientes, a la planta docente</t>
  </si>
  <si>
    <t xml:space="preserve">h. Hay estrategias de difusión de los Programas que desarrolla Bienestar Universitario entre la comunidad educativa </t>
  </si>
  <si>
    <t xml:space="preserve">3.6. Lineamientos pedagógicos y didácticos  </t>
  </si>
  <si>
    <t>numero10</t>
  </si>
  <si>
    <t>i. Contribuyen los Principios y competencias que plantea el Programa al desarrollo de la formación integral</t>
  </si>
  <si>
    <t>i. Clasifica el Programa las actividades de acompañamiento directo del docente o tiempo presencial y las de tiempo independiente del estudiante</t>
  </si>
  <si>
    <t>i. Favorece la flexibilidad curricular el desarrollo de cursos y actividades académicas y culturales diferentes a las propias del campo específico del Programa</t>
  </si>
  <si>
    <t>i. Prevé el Programa tiempos, espacios y medios para el desarrollo de las responsabilidades propias del estudiante</t>
  </si>
  <si>
    <t>i. Cuenta la institución con grupos de investigación consolidados Grupos de investigación en proceso de consolidación Grupos incipientes Grupos inscritos a COLCIENCIAS</t>
  </si>
  <si>
    <t>i. El Programa desarrolla modalidades de práctica de relación con el sector externo básicas como un sistema de tutorías calificado que garantice el apoyo permanente a las prácticas de proyección de los estudiantes</t>
  </si>
  <si>
    <t>i. Prevé el Programa el apoyo de profesores visitantes, de asesores y de expertos.</t>
  </si>
  <si>
    <t>i. Existen convenios interinstitucionales con bibliotecas o centros de información para la realización de intercambios</t>
  </si>
  <si>
    <t>i. Cuenta el Programa con personal profesional calificado para el manejo de laboratorios, equipos y talleres</t>
  </si>
  <si>
    <t>i. Existen convenios interinstitucionales para el uso de laboratorios, equipos o talleres</t>
  </si>
  <si>
    <t>i. Realiza la institución, estudios sobre tasas de deserción, repitencia, o mortalidad académica de los estudiantes</t>
  </si>
  <si>
    <t>i. Existen en la institución unidades académicas consolidadas que posibiliten la prestación de un servicio eficiente al Programa</t>
  </si>
  <si>
    <t>i. Se publican los resultados de la autoevaluación oportunamente y se difunden ampliamente</t>
  </si>
  <si>
    <t>i. Existen políticas para la formación postgraduada de los egresados a través de recursos propios de la institución, o mediante acuerdos y convenios interinstitucionales, nacionales o internacionales</t>
  </si>
  <si>
    <t>i. Cuentan los Programas que desarrolla el Bienestar Universitario con la aceptación y buena calificación por parte de los miembros de la comunidad educativa</t>
  </si>
  <si>
    <t>3.7. El contenido general de las actividades académicas</t>
  </si>
  <si>
    <t>numero11</t>
  </si>
  <si>
    <t>j. Se prevén estrategias para el monitoreo y seguimiento del tiempo independiente del estudiante</t>
  </si>
  <si>
    <t>j. Existen líneas de investigación relacionadas con el Programa de formación -Posee el Programa sus propias líneas de investigación</t>
  </si>
  <si>
    <t>j. Concibe la institución su relación con el sector externo como un diálogo permanente institución–sociedad sobre propósitos, intereses y proyectos comunes o, por el contrario, la concibe exclusivamente como el ofrecimiento de Programas –cursos, diplomados, etcétera– definidos a criterio de la institución</t>
  </si>
  <si>
    <t>j. Existe un plan de formación docente que promueva el mejoramiento de la calidad de los procesos de docencia, investigación y extensión.</t>
  </si>
  <si>
    <t>j. Cuenta el Programa con personal profesional calificado para el manejo de la biblioteca</t>
  </si>
  <si>
    <t>j. Tiene la institución un plan de mantenimiento y renovación de equipos</t>
  </si>
  <si>
    <t>j. Cuenta el Programa con personal profesional calificado para el manejo de laboratorios, equipos y talleres</t>
  </si>
  <si>
    <t>j. Se hacen explícitos en el reglamento estudiantil los criterios de permanencia y de promoción de los estudiantes en el Programa</t>
  </si>
  <si>
    <t>j. Existe una estructura organizativa, sistemas de información y mecanismos de gestión que permitan ejecutar procesos de planeación, administración, evaluación y seguimiento de los contenidos curriculares, de las experiencias investigativas y de los diferentes servicios y recursos.</t>
  </si>
  <si>
    <t>j. Existen evidencias de ejecución y resultado de los planes de mejoramiento basados en los indicadores de gestión</t>
  </si>
  <si>
    <t>j. Existen políticas, estrategias y recursos para la implementación de cursos de educación continuada</t>
  </si>
  <si>
    <t>j. Aplica la institución criterios claros y compartidos para el otorgamiento de becas, créditos, premios y distinciones</t>
  </si>
  <si>
    <t>3.8. Estrategias pedagógicas que apunten al desarrollo de competencias comunicativas en un segundo idioma</t>
  </si>
  <si>
    <t>numero12</t>
  </si>
  <si>
    <t>k. Cuenta la institución con un cuerpo de docentes suficiente para apoyar el trabajo académico autónomo de los estudiantes</t>
  </si>
  <si>
    <t>k. Existe relación entre las líneas de investigación y las áreas y componentes del Programa</t>
  </si>
  <si>
    <t>k. Cuenta la institución y el Programa con planes de seguimiento y evaluación de los estudiantes en la práctica (docente-asistencial y comunitaria, empresarial, etc.).</t>
  </si>
  <si>
    <t>k. Posee la institución un régimen salarial del profesorado coherente con el escalafón docente.</t>
  </si>
  <si>
    <t>k Tiene la institución un plan de mantenimiento y renovación de equipos</t>
  </si>
  <si>
    <t>k. Existen mecanismos de difusión de las políticas y de las normas para la admisión de los estudiantes (Pagina Web Institucional)</t>
  </si>
  <si>
    <t>k. La infraestructura y sistemas de información de las cuales disponga la institución deben garantizar, entre otros aspectos, conectividad que facilite el intercambio y reporte electrónico de información con el Ministerio de Educación Nacional</t>
  </si>
  <si>
    <t>k. Existen estadísticas institucionales en relación con la prestación de los servicios del Bienestar Universitario</t>
  </si>
  <si>
    <t>4. Organización  de las actividades académicas</t>
  </si>
  <si>
    <t>numero13</t>
  </si>
  <si>
    <t>l. Se tiene previsto algún plan de capacitación de los docentes sobre la labor de acompañamiento de las actividades de los estudiantes en el marco de la flexibilización</t>
  </si>
  <si>
    <t>l. Se han establecido mecanismos para que la investigación propiamente dicha retroalimente efectivamente el desarrollo del Programa de formación</t>
  </si>
  <si>
    <t>l. Se tienen evidencias de los resultados e impacto de la relación con el sector externo en los sectores locales y regionales</t>
  </si>
  <si>
    <t>l. Existe y se aplica un estatuto o reglamento docente.</t>
  </si>
  <si>
    <t>l. Hay criterios para el otorgamiento de becas, créditos, premios y distinciones</t>
  </si>
  <si>
    <t>l. Cuenta la institución con el personal suficiente, los medios, los recursos y los espacios adecuados y necesarios para el desarrollo del bienestar universitario</t>
  </si>
  <si>
    <t>5. Investigación</t>
  </si>
  <si>
    <t>numero14</t>
  </si>
  <si>
    <t>m. Existen créditos académicos que se asignen a los cursos o actividades académicas electivas.</t>
  </si>
  <si>
    <t>m. Se brindan suficientes oportunidades para que los estudiantes, participen en proyectos de investigación de los profesores (Estas oportunidades pueden expresarse en la posibilidad de desarrollar trabajos de grado, prácticas académicas y otro tipo de actividades pertinentes).</t>
  </si>
  <si>
    <t>m. Se hace explícito, o se evidencia, cómo en el Plan de estudios del Programa está presente el desarrollo de la relación con el sector externo.</t>
  </si>
  <si>
    <t>6. Relación con el sector externo</t>
  </si>
  <si>
    <t>numero15</t>
  </si>
  <si>
    <t>n. Presenta el Programa una variedad de cursos y actividades académicas electivas</t>
  </si>
  <si>
    <t>n. Es posible enmarcar las tesis o trabajos de grado dentro de las líneas de investigación que desarrolla la institución</t>
  </si>
  <si>
    <t>n. Existe una organización administrativa institucional adecuada para el desarrollo de la relación institucional con el sector externo.</t>
  </si>
  <si>
    <t xml:space="preserve">7. Personal docente </t>
  </si>
  <si>
    <t>numero16</t>
  </si>
  <si>
    <t>o. Ha definido la institución un sistema de reconocimiento de créditos, y de homologaciones de conocimientos y de experiencias</t>
  </si>
  <si>
    <t>o. Cuenta la institución, la facultad o la unidad administrativa encargada de la investigación con órganos de difusión</t>
  </si>
  <si>
    <t>o. Cuenta la institución con recursos financieros adecuados para garantizar el desarrollo de los Programas de relación con el sector externo</t>
  </si>
  <si>
    <t>8.1  Recursos bibliográficos y de hemeroteca</t>
  </si>
  <si>
    <t>numero17</t>
  </si>
  <si>
    <t>p. Se remunera a los docentes por su apoyo al trabajo académico autónomo de los estudiantes</t>
  </si>
  <si>
    <t>p. Hay periodicidad y amplia cobertura de las publicaciones institucionales</t>
  </si>
  <si>
    <t>8.2. Dotación de equipos de cómputo y software</t>
  </si>
  <si>
    <t>numero18</t>
  </si>
  <si>
    <t>q. Ha reglamentado la institución el límite razonable de créditos que puede tomar el estudiante nocturno que labora.</t>
  </si>
  <si>
    <t>q. Hay facilidad para difundir los resultados de las investigaciones de profesores y estudiantes A través de qué medios (publicaciones, eventos)</t>
  </si>
  <si>
    <t>8.3. Dotación de equipos de laboratorio</t>
  </si>
  <si>
    <t>numero19</t>
  </si>
  <si>
    <t>r. Tienen los cursos y actividades académicas definidos en el plan de estudios del Programa relación con prácticas de investigación</t>
  </si>
  <si>
    <t>8.4. Audiovisuales</t>
  </si>
  <si>
    <t>numero20</t>
  </si>
  <si>
    <t>s. Hay estrategias de la institución para el fomento y desarrollo de la formación investigativa (Pueden considerarse, entre otras, la vinculación de los estudiantes a un grupo de investigación, el desarrollo del trabajo de grado, la oferta de cursos electivos y de profundización y la creación y participación de estudiantes en semilleros de investigación).</t>
  </si>
  <si>
    <t>8.5. Medios educativos para educación a distancia o para programas ofrecidos a través de tecnologías de información y comunicación</t>
  </si>
  <si>
    <t>numero21</t>
  </si>
  <si>
    <t xml:space="preserve">8.6. Materiales de los cursos </t>
  </si>
  <si>
    <t>numero22</t>
  </si>
  <si>
    <t>9. Infraestructura física</t>
  </si>
  <si>
    <t>numero23</t>
  </si>
  <si>
    <t xml:space="preserve">10. Mecanismos de selección y evaluación </t>
  </si>
  <si>
    <t>numero24</t>
  </si>
  <si>
    <t xml:space="preserve">11. Estructura administrativa y académica </t>
  </si>
  <si>
    <t>numero25</t>
  </si>
  <si>
    <t>12.Autoevaluación</t>
  </si>
  <si>
    <t>numero26</t>
  </si>
  <si>
    <t>13. Programa de egresados</t>
  </si>
  <si>
    <t>numero27</t>
  </si>
  <si>
    <t>14. Bienestar universitario</t>
  </si>
  <si>
    <t>numero28</t>
  </si>
  <si>
    <t>15. Recursos financieros suficientes</t>
  </si>
  <si>
    <t>numero29</t>
  </si>
  <si>
    <t>Caracteristicas</t>
  </si>
  <si>
    <t>Numero1</t>
  </si>
  <si>
    <t>numero 30</t>
  </si>
  <si>
    <t>numero 31</t>
  </si>
  <si>
    <t>numero 32</t>
  </si>
  <si>
    <t>numero 33</t>
  </si>
  <si>
    <t>numero 34</t>
  </si>
  <si>
    <t>numero 35</t>
  </si>
  <si>
    <t>numero 36</t>
  </si>
  <si>
    <t>numero 37</t>
  </si>
  <si>
    <t>numero 38</t>
  </si>
  <si>
    <t>numero 39</t>
  </si>
  <si>
    <t>numero 40</t>
  </si>
  <si>
    <t>Numero2</t>
  </si>
  <si>
    <t xml:space="preserve">a) Apropiación de la visión y la misión institucional por parte de la comunidad académica. </t>
  </si>
  <si>
    <t xml:space="preserve">a) Estrategias y mecanismos establecidos para la discusión, actualización y difusión del Proyecto Educativo del Programa académico. </t>
  </si>
  <si>
    <t>a) Análisis realizados sobre las tendencias y líneas de desarrollo de la disciplina o profesión en el ámbito local, regional, nacional e internacional, y su incidencia en el programa.</t>
  </si>
  <si>
    <t>a) Mecanismos de ingreso que garanticen transparencia en la selección de los estudiantes.</t>
  </si>
  <si>
    <t>a) Políticas institucionales para la definición del número de estudiantes que se admiten al programa, acorde con el cuerpo docente, los recursos físicos y de apoyo académico disponibles.</t>
  </si>
  <si>
    <t>a) Políticas y estrategias definidas por el programa en materia de formación integral de los estudiantes.</t>
  </si>
  <si>
    <t>a) Mecanismos utilizados para la divulgación del reglamento estudiantil y académico.</t>
  </si>
  <si>
    <t>a) Aplicación de las políticas, las normas y los criterios académicos establecidos por la institución para la selección y la vinculación de los profesores.</t>
  </si>
  <si>
    <t>a) Mecanismos de divulgación del estatuto profesoral.</t>
  </si>
  <si>
    <t>a) Profesores de planta con título de especialización, maestría y doctorado en relación con el objeto de conocimiento del programa adscritos directamente o a través de la facultad o departamento respectivo e información demostrada acerca de las instituciones en las cuales fueron formados.</t>
  </si>
  <si>
    <t>a) Políticas institucionales y evidencias de aplicación, en materia de desarrollo integral del profesorado, que incluyan la capacitación y actualización en los aspectos académicos, profesionales y pedagógicos relacionados con la metodología del programa.</t>
  </si>
  <si>
    <t>a) Políticas de estímulo y reconocimiento a los profesores por el ejercicio calificado de la docencia, de la investigación, de la innovación, de la creación artística, de la técnica y tecnología, de la extensión o proyección social y de la cooperación internacional. Evidencias de la aplicación de estas políticas.</t>
  </si>
  <si>
    <t>a) Producción, utilización y evaluación de materiales de apoyo docente, en los últimos cinco años, pertinentes a la naturaleza y metodología del programa y su función pedagógica.</t>
  </si>
  <si>
    <t>a) Políticas y reglamentaciones institucionales en materia de remuneración de los profesores en las que se tengan en cuenta los méritos profesionales y académicos, así como los estímulos a la producción académica debidamente evaluada.</t>
  </si>
  <si>
    <t>a) Existencia y aplicación de políticas institucionales en materia de evaluación integral al desempeño de los profesores. La institución presente evidencias sobre el desarrollo de estas políticas.</t>
  </si>
  <si>
    <t>a) Existencia de criterios y mecanismos para el seguimiento y la evaluación del desarrollo de los conocimientos, las capacidades y las habilidades generales y aquellas que son específicas del ejercicio y de la cultura de la profesión o la disciplina en la que se forma al estudiante.</t>
  </si>
  <si>
    <t>a) Existencia y aplicación de políticas institucionales en materia de flexibilidad, referidas a la organización y jerarquización de los contenidos, reconocimiento de créditos, conocimientos, capacidades, habilidades, estrategias pedagógicas, electividad, doble titulación y movilidad.</t>
  </si>
  <si>
    <t>a) Espacios y actividades curriculares y extracurriculares con carácter explícitamente interdisciplinario.</t>
  </si>
  <si>
    <t>a) Concordancia de los métodos de enseñanza y aprendizaje utilizados con el tipo y metodología del programa.</t>
  </si>
  <si>
    <t>a) Criterios, políticas y reglamentaciones institucionales y del programa en materia de evaluación académica de los estudiantes. Evidencias de aplicación y divulgación de la misma.</t>
  </si>
  <si>
    <t>a) Correspondencia entre el tipo de trabajos y actividades realizados por los estudiantes respecto a los objetivos y modalidad del programa.</t>
  </si>
  <si>
    <t>a) Existencia y aplicación de políticas en materia de evaluación y autorregulación del programa académico que conduzcan al diseño y formulación de planes de mejoramiento continuo y a la gestión de la innovación.</t>
  </si>
  <si>
    <t>a) Existencia y aplicación de criterios y políticas institucionales y del programa en materia de extensión o proyección social.</t>
  </si>
  <si>
    <t>a) Estrategias y mecanismos orientados a incentivar en el estudiante la consulta y el uso de material bibliográfico. Evidencias de aplicación de estas estrategias y mecanismos.</t>
  </si>
  <si>
    <t>a) Plataforma tecnológica que garantice la conectividad, interactividad y acceso a sistemas de información, apoyos y recursos para el aprendizaje, de acuerdo con el tipo y modalidad del programa.</t>
  </si>
  <si>
    <t>a) Dotación adecuada de equipos, materiales e insumos en los laboratorios y talleres, campos de práctica y plantas piloto, según la naturaleza, metodología y exigencias del programa.</t>
  </si>
  <si>
    <t>a) Existencia y aplicación de políticas institucionales en materia de referentes académicos externos, nacionales e internacionales para la revisión y actualización del plan de estudio.</t>
  </si>
  <si>
    <t>a) Convenios activos de intercambio con universidades nacionales y extranjeras.</t>
  </si>
  <si>
    <t>a) Criterios, estrategias y actividades del programa, orientados a promover la capacidad de indagación y búsqueda, y la formación de un espíritu investigativo, innovativo, creativo e innovador en los estudiantes.</t>
  </si>
  <si>
    <t>a) Criterios, estrategias y políticas institucionales en materia de investigación, innovación y creación artística y cultural que se evidencie en mecanismos efectivos que estimulen el desarrollo de los procesos investigativos y creativos, y establezcan criterios de evaluación de su calidad, ampliamente difundidos y aceptados por la comunidad académica.</t>
  </si>
  <si>
    <t>a) Políticas sobre bienestar institucional suficientemente conocidas que propician el desarrollo integral de la comunidad institucional, reconozcan el valor y la diversidad y orientan la prestación de los servicios de bienestar.</t>
  </si>
  <si>
    <t>a) Tasas de deserción estudiantil acumulada y por períodos académicos, acorde con los reportes efectuados al Sistema para la Prevención de la Deserción de la Educación Superior SPADIES.</t>
  </si>
  <si>
    <t>a) Correspondencia entre la organización, administración y gestión del programa, y los fines de la docencia, la investigación, la innovación o creación artística y cultural, la extensión o proyección social y la cooperación nacional e internacional en el programa.</t>
  </si>
  <si>
    <t>a) Existencia y utilización de sistemas de información integrados y mecanismos eficaces que faciliten la comunicación interna y externa el programa.</t>
  </si>
  <si>
    <t>a) Apreciación de profesores y estudiantes adscritos al programa sobre la orientación académica que imparten los directivos del mismo y sobre el liderazgo que ejercen.</t>
  </si>
  <si>
    <t>a) Existencia de registros actualizados sobre ocupación y ubicación profesional de los egresados del programa.</t>
  </si>
  <si>
    <t>a) Índice de empleo entre los egresados del programa.</t>
  </si>
  <si>
    <t>a) Espacios que se destinan al desarrollo de cada una de las funciones sustantivas a que se dedica el programa y de las áreas destinadas al bienestar institucional.</t>
  </si>
  <si>
    <t>a) Origen, monto y distribución de los recursos presupuestales destinados al programa.</t>
  </si>
  <si>
    <t>a) Manejo de los recursos físicos y financieros, en concordancia con los planes de desarrollo, los planes de mejoramiento y el tamaño y la complejidad de la institución y del programa.</t>
  </si>
  <si>
    <t>Numero3</t>
  </si>
  <si>
    <t xml:space="preserve">b) Correspondencia entre la visión y la misión institucional y los objetivos del programa académico. </t>
  </si>
  <si>
    <t>b) Apropiación del Proyecto Educativo del Programa por parte de la comunidad académica del programa.</t>
  </si>
  <si>
    <t>b) Estudios orientados a identificar las necesidades y requerimientos del entorno laboral (local, regional y nacional) en términos productivos y de competitividad, tecnológicos y de talento humano. Acciones del programa para atenderlos.</t>
  </si>
  <si>
    <t>b) Estudiantes que ingresaron mediante la aplicación de reglas generales y mecanismos de admisión excepcionales, en los últimos cinco años.</t>
  </si>
  <si>
    <t>b) Apreciación de profesores y estudiantes del programa con respecto a la relación entre el número de admitidos, el cuerpo docente y los recursos académicos y físicos disponibles.</t>
  </si>
  <si>
    <t>b) Apreciación de los estudiantes sobre la calidad de los espacios y estrategias que ofrece el programa, de acuerdo con la naturaleza y orientación de éste, para la participación en grupos o centros de estudio, proyectos de experimentación o de desarrollo empresarial y demás actividades académicas y culturales distintas de la docencia que contribuyan a su formación integral.</t>
  </si>
  <si>
    <t>b) Apreciación de estudiantes y profesores adscritos al programa sobre la pertinencia, vigencia y aplicación del reglamento estudiantil y académico.</t>
  </si>
  <si>
    <t>b) Estrategias de la Institución para propiciar la permanencia de los profesores en el programa y el relevo generacional.</t>
  </si>
  <si>
    <t>b) Apreciación de directivos y profesores adscritos al programa sobre la pertinencia, vigencia y aplicación del estatuto profesoral.</t>
  </si>
  <si>
    <t>b) Profesores del programa adscritos en forma directa o a través de la facultad o departamento respectivo con dedicación de tiempo completo, medio tiempo y cátedra, según nivel de formación.</t>
  </si>
  <si>
    <t>b) Número de profesores del programa adscritos directamente o a través de la facultad o departamento respectivo que han participado en los últimos cinco años en programas de desarrollo profesoral o que han recibido apoyo a la capacitación y actualización permanente, como resultado de las políticas institucionales orientadas para tal fin.</t>
  </si>
  <si>
    <t>b) Estrategias que promueven la creación artística y cultural, la innovación, la adaptación, la transferencia técnica y tecnológica, la creación de tecnofactos y prototipos, y la obtención de patentes, de acuerdo con la naturaleza del programa.</t>
  </si>
  <si>
    <t>b) Apreciación de los estudiantes del programa sobre la calidad de los materiales de apoyo producidos o utilizados por los profesores y su pertinencia de acuerdo con la metodología del programa.</t>
  </si>
  <si>
    <t>b) Evidencias sobre la aplicación de estas políticas y reglamentaciones.</t>
  </si>
  <si>
    <t>b) Criterios y mecanismos de evaluación de los profesores en correspondencia con la naturaleza del cargo, las funciones y los compromisos contraídos en relación con las metas institucionales y del programa.</t>
  </si>
  <si>
    <t>b) Créditos académicos del programa correspondiente a asignaturas orientadas a ampliar la formación del estudiante en las dimensiones ética, estética, ambiental, filosófica, política y social.</t>
  </si>
  <si>
    <t>b) Existencia y aplicación de políticas y normas para asegurar la continuidad y movilidad del estudiante en el sistema educativo y en la institución: homologaciones de conocimientos, reconocimientos de experiencias educativas y laborales previas, equivalencia de títulos y transferencias.</t>
  </si>
  <si>
    <t>b) Mecanismos que permitan el tratamiento de problemas pertinentes al programa y al ejercicio laboral, a través de orientaciones interdisciplinarias por parte de profesores y estudiantes.</t>
  </si>
  <si>
    <t>b) Correspondencia de los métodos de enseñanza y aprendizaje empleados para el desarrollo de los contenidos del plan de estudios del programa, con los conocimientos, las capacidades y las habilidades que se espera desarrollar, la naturaleza de los saberes y las necesidades, objetivos y modalidad del programa.</t>
  </si>
  <si>
    <t>b) Correspondencia entre las formas de evaluación de los aprendizajes, los propósitos de formación y los perfiles de egreso definidos por el programa.</t>
  </si>
  <si>
    <t>b) Criterios y estrategias aplicados en el programa para efecto de la dosificación de la labor académica de los estudiantes en coherencia con el sistema de créditos.</t>
  </si>
  <si>
    <t>b) Estrategias verificables de seguimiento, evaluación y mejoramiento continuo de los procesos y logros del programa, así como de su pertinencia y relevancia social.</t>
  </si>
  <si>
    <t>b) Proyectos y actividades de extensión o proyección a la comunidad desarrollados por directivos, profesores y estudiantes del programa en los últimos cinco años.</t>
  </si>
  <si>
    <t>b) Existencia y aplicación de criterios y políticas institucionales y del programa en materia de acceso, adquisición y actualización de material bibliográfico.</t>
  </si>
  <si>
    <t>b) Estrategias y mecanismos orientados a incentivar el uso de recursos informáticos y de comunicación, por parte de profesores y estudiantes.</t>
  </si>
  <si>
    <t>b) Dotación adecuada de laboratorios, máquinas y talleres suficientemente dotados con equipos y materiales, según la naturaleza, metodología y exigencias del programa, y que cumplen las normas sanitarias y de bioseguridad, seguridad industrial y de salud ocupacional y manejo de seres vivos, de acuerdo con la normativa vigente.</t>
  </si>
  <si>
    <t>b) Análisis sistemático de comparabilidad con otros programas nacionales e internacionales de la misma naturaleza.</t>
  </si>
  <si>
    <t>b) Número de estudiantes extranjeros en el programa en los últimos 5 años.</t>
  </si>
  <si>
    <t>b) Existencia y utilización de mecanismos por parte de los profesores adscritos al programa para incentivar en los estudiantes la generación de ideas y problemas de investigación, la identificación de problemas en el ámbito empresarial susceptibles de resolver mediante la aplicación del conocimiento y la innovación.</t>
  </si>
  <si>
    <t>b) Correspondencia entre el número y nivel de formación de los profesores adscritos al programa con la actividad investigativa y la creación artística y cultural, relacionadas con la naturaleza del programa.</t>
  </si>
  <si>
    <t>b) Estrategias que propicien un clima institucional adecuado que favorezca el desarrollo humano y promueva una cultura que reconozca el valor de la diversidad.</t>
  </si>
  <si>
    <t>b) Registros periódicos de la caracterización de los estudiantes teniendo en cuenta variables de vulnerabilidad.</t>
  </si>
  <si>
    <t>b) Existencia de certificaciones y de mecanismos orientados al mejoramiento de la calidad de procesos.</t>
  </si>
  <si>
    <t>b) Existencia y efectividad de la página web institucional debidamente actualizada para mantener informados a los usuarios sobre los temas de interés institucional y facilitar la comunicación académica y administrativa.</t>
  </si>
  <si>
    <t>b) Lineamientos y políticas que orientan la gestión del programa, debidamente divulgados y apropiados por los directivos, profesores y personal administrativo del mismo.</t>
  </si>
  <si>
    <t>b) Correspondencia entre la ocupación y ubicación profesional de los egresados y el perfil de formación del programa.</t>
  </si>
  <si>
    <t>b) Egresados del programa que forman parte de comunidades académicas reconocidas, de asociaciones científicas, profesionales, tecnológicas, técnicas o artísticas, y del sector productivo y financiero, en el ámbito nacional o internacional.</t>
  </si>
  <si>
    <t>b) Existencia y uso adecuado de aulas, laboratorios, talleres, sitios de estudio para los alumnos, salas de cómputo, oficinas de profesores, sitios para la creación artística y cultural, auditorios y salas de conferencias, oficinas administrativas, cafeterías, baños, servicios, campos de juego, espacios libres, zonas verdes y demás espacios destinados al bienestar en general.</t>
  </si>
  <si>
    <t>b) Mecanismos de seguimiento y verificación a la ejecución presupuestal del programa con base en planes de mejoramiento y mantenimiento.</t>
  </si>
  <si>
    <t>b) Criterios y mecanismos para la elaboración, ejecución y seguimiento del presupuesto y para la asignación de recursos físicos y financieros para el programa.</t>
  </si>
  <si>
    <t>Numero4</t>
  </si>
  <si>
    <t xml:space="preserve">c) El proyecto institucional orienta las acciones y decisiones del programa académico, en la gestión del currículo, la docencia, la investigación científica, la creación artística, la internacionalización, la proyección social, el bienestar de la comunidad institucional y demás áreas estratégicas de la institución. </t>
  </si>
  <si>
    <t>c) Modelo pedagógico o concepción de aprendizaje que sustenta la metodología de enseñanza en que se ofrece el programa evaluado.</t>
  </si>
  <si>
    <t>c) Estudios que demuestren la necesidad social del programa en la metodología que se ofrece.</t>
  </si>
  <si>
    <t>c) Existencia y utilización de sistemas y mecanismos de evaluación de los procesos de selección y admisión, y aplicación de los resultados de dicha evaluación.</t>
  </si>
  <si>
    <t>c) Población de estudiantes que ingresó al programa en los últimos cinco años, el puntaje promedio obtenido por los admitidos en las Pruebas de Estado, el puntaje promedio estandarizado en pruebas de admisión cuando éstas se realicen, el puntaje mínimo aceptable para ingresar y la capacidad de selección y absorción de estudiantes por parte del programa (relación entre inscritos y admitidos, relación entre inscritos y matriculados).</t>
  </si>
  <si>
    <t>c) Estudiantes que participan efectivamente en grupos o centros de estudio, proyectos de experimentación o de desarrollo empresarial o en las demás actividades académicas y culturales distintas de la docencia que brinda la institución o el programa para contribuir a la formación integral.</t>
  </si>
  <si>
    <t>c) Evidencias sobre la aplicación de las normas establecidas en los reglamentos estudiantil y académico para atender las situaciones presentadas con los estudiantes.</t>
  </si>
  <si>
    <t>c) Apreciación de directivos, profesores y estudiantes sobre la aplicación, pertinencia y vigencia de las políticas, las normas y los criterios académicos establecidos por la institución para la selección, vinculación y permanencia de sus profesores.</t>
  </si>
  <si>
    <t>c) Información actualizada sobre el número de profesores adscritos al programa, en forma directa o a través de facultades, departamentos o similares. El programa informará su composición por categorías académicas establecidas en el escalafón.</t>
  </si>
  <si>
    <t>c) Tiempos de cada profesor del programa adscritos directamente o a través de la facultad o departamento respectivo, dedicados a la docencia (incluyendo el desarrollo de productos, artefactos, materiales y prototipos, entre otros), a la investigación, a la creación artística, a la extensión o proyección social, a la atención de funciones de gestión académica o administrativa, a la tutoría individual de los estudiantes, de acuerdo con la naturaleza del programa.</t>
  </si>
  <si>
    <t xml:space="preserve">c) Apreciación de directivos y profesores del programa adscritos directamente o a través de la facultad o departamento respectivo, sobre el impacto que han tenido las acciones orientadas al desarrollo integral de los profesores, en el enriquecimiento de la calidad del programa. </t>
  </si>
  <si>
    <t>c) Apreciación de directivos y profesores del programa adscritos directamente o a través de la facultad o departamento respectivo, sobre el impacto que, para el enriquecimiento de la calidad del programa ha tenido el régimen de estímulos al profesorado por el ejercicio calificado de la docencia, la investigación, la innovación, la creación artística y cultural, la extensión o proyección social, los aportes al desarrollo técnico y tecnológico y la cooperación internacional.</t>
  </si>
  <si>
    <t>c) Premios u otros reconocimientos a los materiales de apoyo a la labor docente, en el ámbito nacional o internacional, que hayan producido los profesores adscritos al programa.</t>
  </si>
  <si>
    <t>c) Apreciación de los profesores con respecto a la correspondencia entre la remuneración y los méritos académicos y profesionales.</t>
  </si>
  <si>
    <t>c) Evaluaciones realizadas a los profesores adscritos al programa durante los últimos cinco años y las acciones adelantadas por la institución y por el programa a partir de dichos resultados.</t>
  </si>
  <si>
    <t>c) Asignación de créditos y de distribución de tiempos directo e independiente, a las distintas actividades de formación de acuerdo con la modalidad en que se ofrece el programa.</t>
  </si>
  <si>
    <t>c) Mecanismos de actualización permanente del currículo en consonancia con los desarrollos disciplinares, profesionales y pedagógicos, y en atención a las necesidades del entorno.</t>
  </si>
  <si>
    <t>c) Apreciación de profesores y estudiantes sobre la pertinencia y eficacia de la interdisciplinariedad del programa en el enriquecimiento de la calidad del mismo.</t>
  </si>
  <si>
    <t>c) Apreciación de los estudiantes, profesores y directivos del programa sobre la correspondencia entre los métodos de enseñanza y aprendizaje que se emplean en el programa y el desarrollo de los contenidos del plan de estudios</t>
  </si>
  <si>
    <t>c) Apreciación de directivos, profesores y estudiantes del programa sobre la correspondencia entre las formas de evaluación académica de los estudiantes, la naturaleza del mismo y los métodos pedagógicos empleados para su desarrollo.</t>
  </si>
  <si>
    <t>c) Apreciación de directivos y profesores adscritos al programa sobre la correspondencia entre la calidad de los trabajos realizados por los estudiantes y los objetivos de logro definidos para el mismo, incluyendo la formación personal.</t>
  </si>
  <si>
    <t>c) Apreciación de directivos, profesores, estudiantes sobre la incidencia de los sistemas de evaluación y autorregulación del programa en el enriquecimiento de la calidad de éste.</t>
  </si>
  <si>
    <t>c) Evidencias del impacto en el entorno que han generado los resultados de los proyectos de extensión o proyección social desarrollados por el programa.</t>
  </si>
  <si>
    <t>c) Pertinencia, actualización y suficiencia del material bibliográfico con que cuenta el programa para apoyar el desarrollo de las distintas actividades académicas, de acuerdo con el tipo y modalidad de programa.</t>
  </si>
  <si>
    <t>c) Disponibilidad para docentes, estudiantes, directivos y administrativos, actualización y calidad de los recursos informáticos y de comunicaciones para el desarrollo de los procesos académicos y de apoyo del programa, de acuerdo con su naturaleza.</t>
  </si>
  <si>
    <t>c) Disponibilidad y capacidad de talleres, laboratorios, equipos, medios audiovisuales, sitios de práctica, estaciones y granjas experimentales, escenarios de simulación virtual, entre otros, para el óptimo desarrollo de la actividad docente, investigativa y de extensión, según requerimientos del programa.</t>
  </si>
  <si>
    <t>c) Convenios activos y actividades de cooperación académica desarrollados por el programa con instituciones y programas de alta calidad y reconocimiento nacional e internacional.</t>
  </si>
  <si>
    <t>c) Experiencias de homologación de cursos realizados en otros programas nacionales o extranjeros.</t>
  </si>
  <si>
    <t>c) Estudiantes que están vinculados como monitores, auxiliares de investigación e integrantes de semilleros y/o grupos de investigación.</t>
  </si>
  <si>
    <t>c) Recursos humanos, logísticos y financieros con que cuenta el programa, asociados a proyectos y a otras actividades de investigación y creación artística y cultural.</t>
  </si>
  <si>
    <t>c) Programas, servicios y actividades de bienestar dirigidos a los profesores, estudiantes y personal administrativo del programa.</t>
  </si>
  <si>
    <t>c) Existencia de proyectos que establezcan estrategias pedagógicas y actividades extracurriculares orientadas a optimizar las tasas de retención y de graduación de estudiantes en los tiempos previstos, manteniendo la calidad académica del programa.</t>
  </si>
  <si>
    <t>c) Criterios institucionales para la toma de decisiones sobre asignación de cargos, responsabilidades y procedimientos en los diferentes programas académicos. Evidencias sobre la aplicación de estos criterios.</t>
  </si>
  <si>
    <t>c) La página web institucional incluye información detallada y actualizada sobre el currículo y los profesores adscritos al programa, incluyendo su formación y trayectoria.</t>
  </si>
  <si>
    <t>c) Documentos institucionales que establecen la forma de operación (procesos y procedimientos) de las distintas instancias relacionadas con la gestión del programa.</t>
  </si>
  <si>
    <t>c) Apreciación de los egresados, empleadores y usuarios externos sobre la calidad de la formación dada por el programa.</t>
  </si>
  <si>
    <t>c) Egresados del programa que han recibido distinciones y reconocimientos significativos por su desempeño en la disciplina, profesión, ocupación u oficio correspondiente.</t>
  </si>
  <si>
    <t>c) Existencia de planes y proyectos en ejecución para la conservación, expansión, mejoras y mantenimiento de la planta física para el programa, de acuerdo con las normas técnicas respectivas.</t>
  </si>
  <si>
    <t>c) Distribución de la asignación presupuestal para actividades de docencia, investigación, creación artística y cultural, proyección social, bienestar institucional e internacionalización que en forma directa o indirecta se reflejen en el programa.</t>
  </si>
  <si>
    <t>c) Evidencias de los controles legales y administrativos para asegurar el manejo transparente de los recursos.</t>
  </si>
  <si>
    <t>Numero5</t>
  </si>
  <si>
    <t xml:space="preserve">d) La institución cuenta con una política eficaz y tiene evidencias sobre alternativas de financiación para facilitar el ingreso y permanencia de los estudiantes que evidencian dificultades económicas. </t>
  </si>
  <si>
    <t>d) Coherencia entre el Proyecto Educativo del Programa y las actividades académicas desarrolladas.</t>
  </si>
  <si>
    <t>d) Correspondencia entre el perfil laboral y ocupacional del sector y el perfil profesional expresado en el Proyecto Educativo del Programa.</t>
  </si>
  <si>
    <t>d) Requerimientos para el ingreso de estudiantes en condición de transferencia, homologación u otro proceso que amerite criterios específicos para el tránsito entre ciclos, niveles y/o instituciones. Beneficios de estos requerimientos en la formación integral de los estudiantes.</t>
  </si>
  <si>
    <t>d) Apreciación de directivos, profesores y estudiantes sobre la participación del estudiantado en los órganos de dirección del programa.</t>
  </si>
  <si>
    <t>d) Aplicación de las políticas institucionales en materia de ubicación, permanencia y ascenso en las categorías del escalafón docente.</t>
  </si>
  <si>
    <t>d) Tiempos de los profesores de cátedra dedicados a las tutorías, el acompañamiento de estudiante y el desarrollo de competencias, especialmente actitudes, conocimientos, capacidades y habilidades.</t>
  </si>
  <si>
    <t>d) Acompañamiento por expertos, para la cualificación de la labor pedagógica de los profesores, de acuerdo con el tipo y metodología del programa.</t>
  </si>
  <si>
    <t>d) Existencia y aplicación de un régimen de propiedad intelectual en la institución aplicado a los materiales de apoyo a la docencia.</t>
  </si>
  <si>
    <t>d) Información verificable sobre la participación de los distintos actores en la evaluación.</t>
  </si>
  <si>
    <t>d) Apreciación de directivos, profesores y estudiantes sobre la calidad e integralidad del currículo.</t>
  </si>
  <si>
    <t>d) Índice de flexibilidad curricular y comparativos nacionales e internacionales.</t>
  </si>
  <si>
    <t>d) Estrategias y mecanismos de seguimiento y acompañamiento por parte del docente al trabajo que realizan los estudiantes en las distintas actividades académicas, de acuerdo con sus capacidades y potencialidades y con el tipo y metodología del programa.</t>
  </si>
  <si>
    <t>d) Apreciación de los estudiantes acerca de la utilidad del sistema de evaluación académica en la adquisición de los conocimientos, capacidades y habilidades propias del programa.</t>
  </si>
  <si>
    <t>d) Correspondencia entre las actividades y trabajos realizados por los estudiantes y las formas de evaluación en conocimientos, capacidades y habilidades, la naturaleza del programa y los métodos pedagógicos empleados para desarrollar los diversos procesos de formación.</t>
  </si>
  <si>
    <t>d) Cambios específicos realizados en el programa, en los últimos cinco años, a partir de los resultados de los procesos de evaluación y autorregulación.</t>
  </si>
  <si>
    <t>d) Participación del programa en la aplicación las políticas nacionales en materia de innovación y desarrollo económico, técnico y tecnológico (innovación, adaptación, transferencia), de acuerdo con el tipo y modalidad del programa.</t>
  </si>
  <si>
    <t>d) Inversión anual en las adquisiciones de libros, revistas especializadas, bases de datos y suscripciones a publicaciones periódicas, relacionados con el programa académico, en los últimos 5 años.</t>
  </si>
  <si>
    <t>d) Estrategias que garanticen el rendimiento de los equipos, la capacidad de almacenamiento y la seguridad (confidencialidad, disponibilidad e integridad) en el manejo de la información.</t>
  </si>
  <si>
    <t>d) Convenios con centros, instituciones, empresas u organizaciones, que faciliten el uso de otros recursos y escenarios de enseñanza, aprendizaje, investigación y creación artística y cultural, por parte de la comunidad académica.</t>
  </si>
  <si>
    <t>d) Proyectos de investigación, innovación, creación artística y cultural y/o proyección desarrollados como producto de la cooperación académica y profesional, realizada por directivos, profesores y estudiantes del programa, con miembros de comunidades nacionales e internacionales de reconocido liderazgo en el área del programa.</t>
  </si>
  <si>
    <t>d) Profesores o expertos visitantes nacionales y extranjeros que ha recibido el programa en los últimos cinco años (objetivos, duración y resultados de su estadía).</t>
  </si>
  <si>
    <t>d) Grupos y semilleros de investigación del programa en los que participan estudiantes, de acuerdo con su tipo y modalidad.</t>
  </si>
  <si>
    <t>d) Grupos de investigación conformados por profesores y estudiantes del programa reconocidos por COLCIENCIAS o por otro organismo.</t>
  </si>
  <si>
    <t>d) Participación de directivos, profesores, estudiantes y personal administrativo del programa en los programas, los servicios y las actividades de bienestar institucional.</t>
  </si>
  <si>
    <t>d) Cantidad y dedicación del talento humano para cubrir las necesidades del programa.</t>
  </si>
  <si>
    <t>d) Sistemas de consulta, registro y archivo de la información académica de los estudiantes y los profesores adscritos al programa.</t>
  </si>
  <si>
    <t>d) Mecanismos eficientes de participación de la comunidad académica en la gestión del programa.</t>
  </si>
  <si>
    <t>d) Apreciación de los egresados acerca de la forma como el programa favorece el desarrollo del proyecto de vida.</t>
  </si>
  <si>
    <t>d) Apreciación de empleadores sobre la calidad de la formación y el desempeño de los egresados del programa.</t>
  </si>
  <si>
    <t>d) Apreciación de directivos, profesores, estudiantes y personal administrativo del programa sobre las características de la planta física, desde el punto de vista de su accesibilidad, diseño, capacidad, iluminación, ventilación y condiciones de seguridad e higiene.</t>
  </si>
  <si>
    <t>d) Porcentaje de los ingresos que la Institución dedica a la inversión en el programa.</t>
  </si>
  <si>
    <t>d) Apreciación de directivos y profesores adscritos al programa sobre la equidad en la asignación de recursos físicos y financieros para el programa.</t>
  </si>
  <si>
    <t>Numero6</t>
  </si>
  <si>
    <t xml:space="preserve">e) La institución aplica una política eficaz que permite el acceso a la educación superior sin discriminación. Promueve estrategias eficaces orientadas a identificar, eliminar o disminuir barreras comunicativas para poblaciones diversas. </t>
  </si>
  <si>
    <t>e) Estudios y/o proyectos formulados o en desarrollo, que propendan por la modernización, actualización y pertinencia del currículo de acuerdo con las necesidades del entorno.</t>
  </si>
  <si>
    <t>e) Políticas y estrategias sobre estímulos académicos para los estudiantes. El programa tiene evidencias sobre la aplicación de estas políticas y estrategias.</t>
  </si>
  <si>
    <t>e) Apreciación de directivos y profesores sobre la aplicación de las políticas institucionales en materia de participación del profesorado en los órganos de dirección de la institución y del programa.</t>
  </si>
  <si>
    <t>e) Experiencia profesional y/o académica de los profesores, según necesidades y exigencias del programa para el desarrollo óptimo de sus funciones sustantivas.</t>
  </si>
  <si>
    <t xml:space="preserve">e) Reconocimiento a los profesores que participan en procesos de creación artística y cultural. </t>
  </si>
  <si>
    <t>e) Apreciación de los profesores sobre los criterios y mecanismos para la evaluación de docentes, su transparencia, equidad y eficacia.</t>
  </si>
  <si>
    <t>e) Estrategias aplicadas para el fomento de la creatividad y de la formación de pensamiento autónomo en los estudiantes.</t>
  </si>
  <si>
    <t>e) Apreciación de directivos, profesores y estudiantes del programa sobre la aplicación y eficacia de las políticas institucionales en materia de flexibilidad curricular.</t>
  </si>
  <si>
    <t>e) Incorporación de los adelantos y transformaciones que se han dado en las ciencias, las técnicas y las tecnologías implicadas, de acuerdo con el tipo y modalidad del programa.</t>
  </si>
  <si>
    <t>e) Criterios y procedimientos orientados a la evaluación de conocimientos, capacidades y habilidades y estrategias de retroalimentación de la actividad académica de los estudiantes.</t>
  </si>
  <si>
    <t>e) Trabajos académicos realizados por estudiantes del programa, en los últimos cinco años, que han merecido premios o reconocimientos significativos por la comunidad académica nacional o internacional.</t>
  </si>
  <si>
    <t>e) Apreciación de empresarios, funcionarios públicos, líderes comunitarios y de otros agentes externos sobre el impacto social de los proyectos desarrollados por el programa.</t>
  </si>
  <si>
    <t>e) Profesores y estudiantes del programa que utilizan recursos bibliográficos: libros, revistas especializadas y bases de datos, en los últimos cinco años, de acuerdo con el tipo y modalidad del programa.</t>
  </si>
  <si>
    <t>e) Eficiencia, oportunidad y eficacia en cuanto a la actualización y al soporte técnico de la plataforma informática y los equipos computacionales</t>
  </si>
  <si>
    <t>e) Apreciación de profesores y estudiantes del programa sobre la capacidad, disponibilidad, dotación y utilización de laboratorios, talleres, ayudas audiovisuales y campos de práctica, entre otros recursos de apoyo docente.</t>
  </si>
  <si>
    <t>e) Profesores, estudiantes y directivos del programa con participación activa en redes u organismos nacionales e internacionales de la que se hayan derivado productos concretos como publicaciones en coautoría, cofinanciación de proyectos, registros y patentes, entre otros.</t>
  </si>
  <si>
    <t>e) Profesores y estudiantes del programa que en los últimos cinco años han participado en actividades de cooperación académica y profesional con programas nacionales e internacionales de reconocido liderazgo en el área (semestre académico de intercambio, pasantía o práctica, rotación médica, curso corto, misión, profesor visitante/conferencia, estancia de investigación, estudios de postgrado, profesor en programa de pregrado y/o postgrado, congresos, foros, seminarios, simposios, educación continuada, par académico, parques tecnológicos, incubadoras de empresas, mesas y ruedas de negociación económica y tecnológica, entre otros).</t>
  </si>
  <si>
    <t>e) Actividades académicas ¿cursos electivos, seminarios, pasantías, eventos¿ derivados de líneas de investigación en los últimos cinco años.</t>
  </si>
  <si>
    <t>e) Impacto a nivel regional, nacional e internacional de la investigación y la creación artística y cultural del programa, de acuerdo con su naturaleza.</t>
  </si>
  <si>
    <t>e) Apreciación de directivos, profesores, estudiantes y personal administrativo del programa sobre la calidad y pertinencia de los servicios y las actividades de bienestar y sobre su contribución a su desarrollo personal.</t>
  </si>
  <si>
    <t>e) Formación y experiencia de quienes orientan la administración del programa.</t>
  </si>
  <si>
    <t>e) Mecanismos de gestión documental, organización, actualización y seguridad de los registros y archivos académicos de estudiantes, profesores, personal directivo y administrativo.</t>
  </si>
  <si>
    <t>e) Utilización de la información contenida en el Observatorio Laboral para la Educación, como insumo para estudiar la pertinencia del programa.</t>
  </si>
  <si>
    <t>e) Disponibilidad de infraestructura física para atender las necesidades académicas, administrativas y de bienestar, que sea coherente con la modalidad en que se ofrece el programa.</t>
  </si>
  <si>
    <t>e) Capacidad del programa para generar recursos externos para el apoyo a sus funciones misionales.</t>
  </si>
  <si>
    <t>Numero7</t>
  </si>
  <si>
    <t xml:space="preserve">f) La institución cuenta con una política eficaz orientada a identificar, eliminar o disminuir barreras en infraestructura física. La institución tiene evidencias sobre la aplicación de esta política. </t>
  </si>
  <si>
    <t>f) Estudios actualizados sobre las necesidades formativas en la región de influencia del programa</t>
  </si>
  <si>
    <t>f) Evidencias sobre la participación de los profesores en los órganos de dirección del programa y de la institución, durante los últimos cinco años.</t>
  </si>
  <si>
    <t>f) Suficiencia del número de profesores con relación a la cantidad de estudiantes del programa y sus necesidades de formación de acuerdo con el proyecto educativo.</t>
  </si>
  <si>
    <t>f) Estrategias orientadas a la actualización docente en temas relacionados con la atención a la diversidad poblacional.</t>
  </si>
  <si>
    <t>f) Desempeño de los estudiantes del programa en las Pruebas de Estado de educación superior, en los últimos cinco años. Calificaciones promedio con respecto al promedio nacional.</t>
  </si>
  <si>
    <t>f) Movilidad estudiantil con otras instituciones nacionales e internacionales.</t>
  </si>
  <si>
    <t>f) Estrategias pedagógicas, didácticas y comunicativas acordes con la metodología y con las posibilidades tecnológicas y las necesidades de los estudiantes en atención a su diversidad.</t>
  </si>
  <si>
    <t>f) Criterios y procedimientos para la revisión de los sistemas de evaluación académica de los estudiantes.</t>
  </si>
  <si>
    <t>f) Número y tipo de reconocimientos hechos en los últimos cinco años por entidades gubernamentales y no gubernamentales al impacto que el programa ha ejercido en los medios local, regional, nacional o internacional.</t>
  </si>
  <si>
    <t>f) Apreciación de directivos, profesores y estudiantes del programa sobre la pertinencia, correspondencia y suficiencia de los recursos informáticos y de comunicación con que cuenta el programa.</t>
  </si>
  <si>
    <t>f) Inversión efectivamente realizada por la institución para los fines de internacionalización en los últimos cinco años.</t>
  </si>
  <si>
    <t>f) Resultados efectivos de la participación de profesores y estudiantes del programa en actividades de cooperación académica.</t>
  </si>
  <si>
    <t>f) Actividades académicas ¿pasantías, talleres, actividades conjuntas- relacionadas con la realidad empresarial, organizadas desde los primeros semestres con una lógica enfocada en el entendimiento creciente de aquella según sus mayores grados de complejidad.</t>
  </si>
  <si>
    <t>f) Publicaciones en revistas indexadas y especializadas nacionales e internacionales, innovaciones, patentes, productos o procesos técnicos y tecnológicos patentables o no patentables o protegidas por secreto industrial, libros, capítulos de libros, dirección de trabajos de grado de maestría y doctorado, paquetes tecnológicos, normas resultado de investigación, producción artística y cultural, productos de apropiación social del conocimiento, productos asociados a servicios técnicos o consultoría cualificada, elaborados por profesores adscritos al programa, de acuerdo con su tipo y naturaleza.</t>
  </si>
  <si>
    <t>f) Programas y estrategias de seguimiento integral a la comunidad institucional y acciones derivadas que conduzcan al desarrollo humano y el respeto a la diferencia.</t>
  </si>
  <si>
    <t>f) Apreciación del personal administrativo del programa sobre la claridad de las funciones encomendadas, y sobre la articulación de sus tareas con las necesidades y objetivos del programa.</t>
  </si>
  <si>
    <t>f) Apreciación de directivos, profesores, estudiantes y personal administrativo sobre la eficacia de los sistemas de información académica y de los mecanismos de comunicación del programa.</t>
  </si>
  <si>
    <t>f) Evidencia de los procesos de análisis de la situación de los egresados.</t>
  </si>
  <si>
    <t>f) Apreciación de directivos y profesores adscritos al programa sobre la suficiencia de los recursos presupuestales de que se dispone en el mismo y sobre la ejecución presupuestal.</t>
  </si>
  <si>
    <t>Numero8</t>
  </si>
  <si>
    <t>g) Cambios en el plan de estudios, resultantes de experiencias relativas al análisis y propuestas de solución a los problemas del contexto.</t>
  </si>
  <si>
    <t>g) Apreciación de directivos, profesores y estudiantes del programa adscritos directamente o a través de la facultad o departamento respectivo sobre la calidad y la suficiencia del número y de la dedicación de los profesores al servicio de éste.</t>
  </si>
  <si>
    <t>g) Valor agregado obtenido en los resultados de las Pruebas de Estado (Saber Pro), con relación a las Pruebas Saber Once utilizadas como mecanismo de ingreso a la educación superior y al desempeño de los estudiantes adscritos al programa.</t>
  </si>
  <si>
    <t>g) Existencia de sistemas de homologación de créditos y de tránsito del pregrado al postgrado.</t>
  </si>
  <si>
    <t>g) Articulación entre las estrategias pedagógicas propias de la metodología de enseñanza y los recursos tecnológicos utilizados.</t>
  </si>
  <si>
    <t>g) Mecanismos para el análisis de las acciones que el programa ejerce sobre el medio y para la revisión periódica de las estrategias implementadas en esa materia.</t>
  </si>
  <si>
    <t>g) Prospecto o iniciativas en curso de doble titulación con otras entidades, de acuerdo con el tipo y naturaleza del programa.</t>
  </si>
  <si>
    <t>g) Participación de profesores adscritos al programa en redes académicas, científicas, técnicas y tecnológicas, económicas, a nivel nacional e internacional, de acuerdo con el tipo y modalidad del programa.</t>
  </si>
  <si>
    <t>g) Existencia dentro del plan de estudios de espacios académicos donde se analiza la naturaleza de la investigación científica, técnica y tecnológica, sus objetos de indagación, sus problemas, oportunidades y sus resultados y soluciones.</t>
  </si>
  <si>
    <t>g) Apoyo administrativo y financiero para el desarrollo y gestión de la investigación, la creación de empresas y de planes de negocios (como los centros de incubación y financiación empresarial o como los centros de investigación y desarrollo tecnológico, entre otros) y la creación artística y cultural, de acuerdo con la naturaleza del programa.</t>
  </si>
  <si>
    <t>g) Investigación permanente de la problemática social del entorno que incide en la comunidad institucional.</t>
  </si>
  <si>
    <t>g) Apreciación de profesores y estudiantes adscritos al programa sobre la eficiencia, eficacia y orientación de los procesos administrativos hacia el desarrollo de las funciones misionales.</t>
  </si>
  <si>
    <t>g) Profesores, administrativos y estudiantes que confirman el acceso con calidad a los sistemas de comunicación e información mediados por las TIC.</t>
  </si>
  <si>
    <t>g) Mecanismos y estrategias para efectuar ajustes al programa en atención a las necesidades del entorno, evidenciados a través del seguimiento de los egresados.</t>
  </si>
  <si>
    <t>g) Existencia de estudio de viabilidad financiera del programa, que incluya un plan básico de inversión orientado a la consolidación del Proyecto Educativo.</t>
  </si>
  <si>
    <t>Numero9</t>
  </si>
  <si>
    <t>h) Proyectos que adelanta el programa, mediante sus funciones de docencia, investigación, innovación, creación artística y cultural, y extensión tendientes a ejercer un impacto sobre el medio, de acuerdo con el Proyecto Educativo del Programa.</t>
  </si>
  <si>
    <t>h) Existencia y utilización de sistemas y criterios para evaluar el número, la dedicación, el nivel de formación y la experiencia de los profesores adscritos directamente o a través de la facultad o departamento respectivo; periodicidad de esta evaluación; acciones adelantadas por la institución, el departamento, la facultad o el programa, a partir de los resultados de las evaluaciones realizadas en esta materia en los últimos cinco años.</t>
  </si>
  <si>
    <t>h) Identificación en el perfil profesional y ocupacional de los distintos tipos de conocimientos, capacidades y habilidades requeridas en el nivel de formación y las actividades académicas necesarias para su desarrollo.</t>
  </si>
  <si>
    <t>h) Convenios y relaciones de cooperación con instituciones de educación media y superior y con el sector laboral, para asegurar el tránsito y continuidad de los estudiantes en el sistema educativo y su inserción en el sistema productivo, de acuerdo con el tipo y modalidad del programa.</t>
  </si>
  <si>
    <t>h) Estrategias y mecanismos pedagógicos aplicados y orientados hacia la integración de las tres funciones sustantivas de investigación, docencia y proyección social.</t>
  </si>
  <si>
    <t>h) Información sobre las comunidades, empresas, gobiernos, instituciones, organizaciones de usuarios, y asociaciones a los que se presta asistencia técnica o tecnológica, servicios, asesorías y otros apoyos que apuntan a la resolución de problemas o a la ejecución de programas de mejoramiento, de acuerdo con la naturaleza y modalidad del programa.</t>
  </si>
  <si>
    <t>h) Incidencia verificable en el enriquecimiento de la calidad del programa de la interacción con comunidades académicas nacionales e internacionales.</t>
  </si>
  <si>
    <t>h) Inversión efectiva desarrollada para proyectos de movilidad en doble vía en los últimos cinco años.</t>
  </si>
  <si>
    <t>h) Participación de los estudiantes en los programas institucionales de jóvenes investigadores.</t>
  </si>
  <si>
    <t>h) Estrategias que permitan a los estudiantes vincularse a redes de apoyo orientadas a contrarrestar las situaciones de vulnerabilidad.</t>
  </si>
  <si>
    <t>h) Existencia de estrategias que garanticen la conectividad a los miembros de la comunidad académica del programa, de acuerdo con la modalidad en que éste es ofrecido.</t>
  </si>
  <si>
    <t>h) Estrategias que faciliten el paso del estudiante al mundo laboral.</t>
  </si>
  <si>
    <t>h) Los planes de mejoramiento del programa se soportan en un presupuesto de apropiación programada.</t>
  </si>
  <si>
    <t>Numero10</t>
  </si>
  <si>
    <t>i) Estudios orientados a evaluar el impacto del programa con respecto al cumplimiento de sus propósitos y objetivos, así como la incidencia en el entorno social y su grupo de referencia disciplinar o profesional.</t>
  </si>
  <si>
    <t>i) Articulación del plan de estudios con los diversos niveles de formación (periodos académicos, especialización, maestría y doctorado, componentes propedéuticos y/o ciclos, entre otros )</t>
  </si>
  <si>
    <t>i) Oferta académica que facilite la aplicación de criterios de flexibilidad con miras a garantizar la participación de los estudiantes, en el diseño de su propio plan académico, de acuerdo con sus intereses y la adquisición de, conocimientos, capacidades y habilidades, con el apoyo de un tutor o asesor.</t>
  </si>
  <si>
    <t>i) Estudios realizados por la institución y el programa para identificar y evaluar la permanencia y retención, de acuerdo con la metodología de enseñanza en que se ofrece el programa.</t>
  </si>
  <si>
    <t>i) Evidencias del impacto social que ha generado la inserción del programa en los contextos académicos nacionales e internacionales, de acuerdo a su naturaleza.</t>
  </si>
  <si>
    <t>i) Participación de los estudiantes en prácticas empresariales en temas de investigación y desarrollo, ingeniería y experimentación en Colombia y en el Exterior.</t>
  </si>
  <si>
    <t>i) Mecanismos de comunicación para facilitar que la población estudiantil en toda su diversidad tenga acceso a la información.</t>
  </si>
  <si>
    <t>Numero11</t>
  </si>
  <si>
    <t>j) Aplicación de estrategias efectivas orientadas al desarrollo de conocimientos, capacidades y habilidades comunicativas en un idioma extranjero.</t>
  </si>
  <si>
    <t>j) Acciones llevadas a cabo entre la Institución y otras instituciones del sector público o privado (educativo, productivo, financiero, entre otros) para articular y afirmar el carácter secuencial y complementario de los ciclos, desde el punto de vista académico y laboral, de acuerdo con el tipo y modalidad del programa.</t>
  </si>
  <si>
    <t>j) Correlación entre la duración prevista para el programa, de acuerdo con su metodología y plan de estudios, y la que realmente tiene lugar.</t>
  </si>
  <si>
    <t>j) Participación de los estudiantes en proyectos Universidad Empresa Estado que adelante la Institución.</t>
  </si>
  <si>
    <t>Numero12</t>
  </si>
  <si>
    <t>k) Estrategias para garantizar el éxito académico de los estudiantes en el tiempo previsto para el desarrollo del plan de estudios, atendiendo los estándares de calidad.</t>
  </si>
  <si>
    <t>k) Participación de los estudiantes en programas de innovación tales como: transferencia de conocimiento, emprendimiento y creatividad.</t>
  </si>
  <si>
    <t>Numero13</t>
  </si>
  <si>
    <t>l) Informes estadísticos sobre la población de estudiantes del programa desde el primero hasta el último semestre, en las últimas cinco cohortes.</t>
  </si>
  <si>
    <t>Numero14</t>
  </si>
  <si>
    <t>m) Apreciación de profesores y estudiantes sobre la correspondencia entre las condiciones y exigencias académicas de permanencia y graduación en el programa, y la naturaleza del mismo</t>
  </si>
  <si>
    <t>Numero15</t>
  </si>
  <si>
    <t>n) Existencia de mecanismos de seguimiento, acompañamiento especial a estudiantes y adecuaciones locativas para facilitar el óptimo desempeño de admitidos en condición de vulnerabilidad y discapacidad, entre otros.</t>
  </si>
  <si>
    <t>Numero16</t>
  </si>
  <si>
    <t>Numero17</t>
  </si>
  <si>
    <t>Numero18</t>
  </si>
  <si>
    <t>Numero19</t>
  </si>
  <si>
    <t>Numero20</t>
  </si>
  <si>
    <t>Numero21</t>
  </si>
  <si>
    <t>Numero22</t>
  </si>
  <si>
    <t>Numero23</t>
  </si>
  <si>
    <t>Numero24</t>
  </si>
  <si>
    <t>Numero25</t>
  </si>
  <si>
    <t>Numero26</t>
  </si>
  <si>
    <t>Numero27</t>
  </si>
  <si>
    <t>Numero28</t>
  </si>
  <si>
    <t>Numero29</t>
  </si>
  <si>
    <t>Numero30</t>
  </si>
  <si>
    <t>Numero31</t>
  </si>
  <si>
    <t>Numero32</t>
  </si>
  <si>
    <t>Numero33</t>
  </si>
  <si>
    <t>Numero34</t>
  </si>
  <si>
    <t>Numero35</t>
  </si>
  <si>
    <t>Numero36</t>
  </si>
  <si>
    <t>Numero37</t>
  </si>
  <si>
    <t>Numero38</t>
  </si>
  <si>
    <t>Numero39</t>
  </si>
  <si>
    <t>Numero40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</si>
</sst>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2" formatCode="_-&quot;$&quot;\ * #,##0_-;\-&quot;$&quot;\ * #,##0_-;_-&quot;$&quot;\ * &quot;-&quot;_-;_-@_-"/>
    <numFmt numFmtId="164" formatCode="0.0"/>
    <numFmt numFmtId="165" formatCode="0.0%"/>
  </numFmts>
  <fonts count="53" x14ac:knownFonts="1">
    <font>
      <sz val="11"/>
      <color theme="1"/>
      <name val="Calibri"/>
      <family val="2"/>
      <scheme val="minor"/>
    </font>
    <font>
      <sz val="10"/>
      <color theme="1"/>
      <name val="Arial Narrow"/>
      <family val="2"/>
    </font>
    <font>
      <b/>
      <sz val="8"/>
      <color theme="0"/>
      <name val="Tahoma"/>
      <family val="2"/>
    </font>
    <font>
      <sz val="8"/>
      <color rgb="FFFFFF00"/>
      <name val="Tahoma"/>
      <family val="2"/>
    </font>
    <font>
      <sz val="8"/>
      <color theme="1"/>
      <name val="Tahoma"/>
      <family val="2"/>
    </font>
    <font>
      <sz val="10"/>
      <color rgb="FFFFFF00"/>
      <name val="Tahoma"/>
      <family val="2"/>
    </font>
    <font>
      <sz val="11"/>
      <color theme="1"/>
      <name val="Calibri"/>
      <family val="2"/>
      <scheme val="minor"/>
    </font>
    <font>
      <b/>
      <sz val="10"/>
      <color theme="0"/>
      <name val="Tahoma"/>
      <family val="2"/>
    </font>
    <font>
      <b/>
      <sz val="11"/>
      <color rgb="FF660B15"/>
      <name val="Tahoma"/>
      <family val="2"/>
    </font>
    <font>
      <u/>
      <sz val="12"/>
      <color theme="1"/>
      <name val="Arial Narrow"/>
      <family val="2"/>
    </font>
    <font>
      <sz val="11"/>
      <color theme="0"/>
      <name val="Calibri"/>
      <family val="2"/>
      <scheme val="minor"/>
    </font>
    <font>
      <sz val="11"/>
      <color theme="1"/>
      <name val="Tahoma"/>
      <family val="2"/>
    </font>
    <font>
      <b/>
      <sz val="11"/>
      <color theme="1"/>
      <name val="Tahoma"/>
      <family val="2"/>
    </font>
    <font>
      <sz val="11"/>
      <color theme="0"/>
      <name val="Tahoma"/>
      <family val="2"/>
    </font>
    <font>
      <b/>
      <u/>
      <sz val="11"/>
      <color theme="0"/>
      <name val="Tahoma"/>
      <family val="2"/>
    </font>
    <font>
      <b/>
      <sz val="11"/>
      <color theme="0"/>
      <name val="Tahoma"/>
      <family val="2"/>
    </font>
    <font>
      <b/>
      <sz val="10"/>
      <color theme="7" tint="0.79998168889431442"/>
      <name val="Tahoma"/>
      <family val="2"/>
    </font>
    <font>
      <b/>
      <sz val="11"/>
      <color rgb="FFFFFF00"/>
      <name val="Tahoma"/>
      <family val="2"/>
    </font>
    <font>
      <sz val="11"/>
      <color rgb="FFFFFF00"/>
      <name val="Calibri"/>
      <family val="2"/>
      <scheme val="minor"/>
    </font>
    <font>
      <b/>
      <sz val="8"/>
      <color theme="1"/>
      <name val="Tahoma"/>
      <family val="2"/>
    </font>
    <font>
      <b/>
      <sz val="10"/>
      <color theme="1"/>
      <name val="Tahoma"/>
      <family val="2"/>
    </font>
    <font>
      <sz val="10"/>
      <color theme="1"/>
      <name val="Tahoma"/>
      <family val="2"/>
    </font>
    <font>
      <u/>
      <sz val="11"/>
      <color theme="1"/>
      <name val="Tahoma"/>
      <family val="2"/>
    </font>
    <font>
      <sz val="8"/>
      <color rgb="FFFFFFFF"/>
      <name val="Tahoma"/>
      <family val="2"/>
    </font>
    <font>
      <sz val="10"/>
      <color rgb="FFFFFFFF"/>
      <name val="Tahoma"/>
      <family val="2"/>
    </font>
    <font>
      <sz val="10"/>
      <color rgb="FFC55A11"/>
      <name val="Tahoma"/>
      <family val="2"/>
    </font>
    <font>
      <b/>
      <sz val="11"/>
      <color theme="1"/>
      <name val="Calibri"/>
      <family val="2"/>
      <scheme val="minor"/>
    </font>
    <font>
      <sz val="10"/>
      <name val="Arial"/>
      <family val="2"/>
    </font>
    <font>
      <sz val="10"/>
      <color theme="1"/>
      <name val="Arial"/>
      <family val="2"/>
    </font>
    <font>
      <sz val="18"/>
      <color theme="1"/>
      <name val="Arial"/>
      <family val="2"/>
    </font>
    <font>
      <sz val="26"/>
      <color theme="0"/>
      <name val="Calibri"/>
      <family val="2"/>
      <scheme val="minor"/>
    </font>
    <font>
      <sz val="10"/>
      <color theme="0"/>
      <name val="Calibri"/>
      <family val="2"/>
      <scheme val="minor"/>
    </font>
    <font>
      <sz val="9"/>
      <color theme="0"/>
      <name val="Calibri"/>
      <family val="2"/>
      <scheme val="minor"/>
    </font>
    <font>
      <b/>
      <sz val="18"/>
      <color rgb="FFFF0000"/>
      <name val="Calibri"/>
      <family val="2"/>
      <scheme val="minor"/>
    </font>
    <font>
      <b/>
      <sz val="10"/>
      <color rgb="FFFF0000"/>
      <name val="Arial"/>
      <family val="2"/>
    </font>
    <font>
      <sz val="10"/>
      <color rgb="FFFF0000"/>
      <name val="Arial"/>
      <family val="2"/>
    </font>
    <font>
      <sz val="11"/>
      <color rgb="FFFF0000"/>
      <name val="Wingdings"/>
      <charset val="2"/>
    </font>
    <font>
      <b/>
      <sz val="10"/>
      <name val="Tahoma"/>
      <family val="2"/>
    </font>
    <font>
      <sz val="10"/>
      <name val="Tahoma"/>
      <family val="2"/>
    </font>
    <font>
      <b/>
      <sz val="11"/>
      <name val="Tahoma"/>
      <family val="2"/>
    </font>
    <font>
      <b/>
      <u/>
      <sz val="11"/>
      <color rgb="FF005790"/>
      <name val="Tahoma"/>
      <family val="2"/>
    </font>
    <font>
      <sz val="11"/>
      <color rgb="FF660B15"/>
      <name val="Tahoma"/>
      <family val="2"/>
    </font>
    <font>
      <sz val="8"/>
      <color rgb="FF000000"/>
      <name val="Tahoma"/>
      <family val="2"/>
    </font>
    <font>
      <sz val="10"/>
      <color rgb="FF000000"/>
      <name val="Arial Narrow"/>
      <family val="2"/>
    </font>
    <font>
      <sz val="8"/>
      <color rgb="FF000000"/>
      <name val="Arial"/>
      <family val="2"/>
    </font>
    <font>
      <sz val="9"/>
      <color theme="1"/>
      <name val="Tahoma"/>
      <family val="2"/>
    </font>
    <font>
      <b/>
      <sz val="11"/>
      <color theme="0"/>
      <name val="Calibri"/>
      <family val="2"/>
      <scheme val="minor"/>
    </font>
    <font>
      <b/>
      <sz val="10"/>
      <name val="Calibri"/>
      <family val="2"/>
      <scheme val="minor"/>
    </font>
    <font>
      <b/>
      <sz val="16"/>
      <name val="Calibri"/>
      <family val="2"/>
      <scheme val="minor"/>
    </font>
    <font>
      <sz val="10"/>
      <color rgb="FF000000"/>
      <name val="Calibri"/>
      <family val="2"/>
      <scheme val="minor"/>
    </font>
    <font>
      <sz val="11"/>
      <color rgb="FF000000"/>
      <name val="Calibri"/>
      <family val="2"/>
      <scheme val="minor"/>
    </font>
    <font>
      <b/>
      <sz val="10"/>
      <color rgb="FF000000"/>
      <name val="Calibri"/>
      <family val="2"/>
      <scheme val="minor"/>
    </font>
    <font>
      <b/>
      <sz val="12"/>
      <color rgb="FF000000"/>
      <name val="Calibri"/>
      <family val="2"/>
      <scheme val="minor"/>
    </font>
  </fonts>
  <fills count="19">
    <fill>
      <patternFill patternType="none"/>
    </fill>
    <fill>
      <patternFill patternType="gray125"/>
    </fill>
    <fill>
      <patternFill patternType="solid">
        <fgColor rgb="FF0F1D41"/>
        <bgColor indexed="64"/>
      </patternFill>
    </fill>
    <fill>
      <patternFill patternType="gray0625">
        <bgColor theme="4" tint="-0.249977111117893"/>
      </patternFill>
    </fill>
    <fill>
      <patternFill patternType="solid">
        <fgColor rgb="FFFFFFCC"/>
      </patternFill>
    </fill>
    <fill>
      <patternFill patternType="solid">
        <fgColor rgb="FF005490"/>
        <bgColor indexed="64"/>
      </patternFill>
    </fill>
    <fill>
      <patternFill patternType="solid">
        <fgColor theme="1"/>
        <bgColor indexed="64"/>
      </patternFill>
    </fill>
    <fill>
      <patternFill patternType="gray0625">
        <fgColor theme="6" tint="0.59996337778862885"/>
        <bgColor theme="8" tint="0.59999389629810485"/>
      </patternFill>
    </fill>
    <fill>
      <patternFill patternType="gray0625">
        <fgColor theme="6" tint="0.59996337778862885"/>
        <bgColor theme="9" tint="0.79995117038483843"/>
      </patternFill>
    </fill>
    <fill>
      <patternFill patternType="gray0625">
        <fgColor theme="6" tint="0.59996337778862885"/>
        <bgColor theme="9" tint="0.39997558519241921"/>
      </patternFill>
    </fill>
    <fill>
      <patternFill patternType="gray0625">
        <fgColor theme="6" tint="0.59996337778862885"/>
        <bgColor theme="7" tint="0.39997558519241921"/>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0F1D41"/>
        <bgColor rgb="FF0F1D41"/>
      </patternFill>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theme="4" tint="-0.499984740745262"/>
        <bgColor indexed="64"/>
      </patternFill>
    </fill>
    <fill>
      <patternFill patternType="solid">
        <fgColor theme="7" tint="-0.249977111117893"/>
        <bgColor indexed="64"/>
      </patternFill>
    </fill>
  </fills>
  <borders count="3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
      <left/>
      <right style="double">
        <color theme="0" tint="-0.14996795556505021"/>
      </right>
      <top/>
      <bottom style="double">
        <color theme="0" tint="-0.14996795556505021"/>
      </bottom>
      <diagonal/>
    </border>
    <border>
      <left style="double">
        <color theme="0" tint="-0.14996795556505021"/>
      </left>
      <right style="double">
        <color theme="0" tint="-0.14996795556505021"/>
      </right>
      <top/>
      <bottom style="double">
        <color theme="0" tint="-0.14996795556505021"/>
      </bottom>
      <diagonal/>
    </border>
    <border>
      <left/>
      <right style="double">
        <color theme="0" tint="-0.14996795556505021"/>
      </right>
      <top/>
      <bottom style="double">
        <color theme="0" tint="-0.14993743705557422"/>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rgb="FF660B15"/>
      </left>
      <right style="double">
        <color rgb="FF660B15"/>
      </right>
      <top style="double">
        <color rgb="FF660B15"/>
      </top>
      <bottom style="double">
        <color rgb="FF660B15"/>
      </bottom>
      <diagonal/>
    </border>
    <border>
      <left style="double">
        <color theme="1"/>
      </left>
      <right/>
      <top style="double">
        <color theme="1"/>
      </top>
      <bottom/>
      <diagonal/>
    </border>
    <border>
      <left/>
      <right/>
      <top style="double">
        <color theme="1"/>
      </top>
      <bottom/>
      <diagonal/>
    </border>
    <border>
      <left/>
      <right style="double">
        <color theme="1"/>
      </right>
      <top style="double">
        <color theme="1"/>
      </top>
      <bottom/>
      <diagonal/>
    </border>
    <border>
      <left style="double">
        <color theme="1"/>
      </left>
      <right/>
      <top/>
      <bottom/>
      <diagonal/>
    </border>
    <border>
      <left/>
      <right style="double">
        <color theme="1"/>
      </right>
      <top/>
      <bottom/>
      <diagonal/>
    </border>
    <border>
      <left style="double">
        <color theme="1"/>
      </left>
      <right/>
      <top/>
      <bottom style="double">
        <color theme="1"/>
      </bottom>
      <diagonal/>
    </border>
    <border>
      <left/>
      <right/>
      <top/>
      <bottom style="double">
        <color theme="1"/>
      </bottom>
      <diagonal/>
    </border>
    <border>
      <left/>
      <right style="double">
        <color theme="1"/>
      </right>
      <top/>
      <bottom style="double">
        <color theme="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6">
    <xf numFmtId="0" fontId="0" fillId="0" borderId="0"/>
    <xf numFmtId="9" fontId="6" fillId="0" borderId="0" applyFont="0" applyFill="0" applyBorder="0" applyAlignment="0" applyProtection="0"/>
    <xf numFmtId="0" fontId="6" fillId="4" borderId="4" applyNumberFormat="0" applyFont="0" applyAlignment="0" applyProtection="0"/>
    <xf numFmtId="0" fontId="27" fillId="0" borderId="0"/>
    <xf numFmtId="9" fontId="27" fillId="0" borderId="0" applyFont="0" applyFill="0" applyBorder="0" applyAlignment="0" applyProtection="0"/>
    <xf numFmtId="42" fontId="6" fillId="0" borderId="0" applyFont="0" applyFill="0" applyBorder="0" applyAlignment="0" applyProtection="0"/>
  </cellStyleXfs>
  <cellXfs count="184">
    <xf numFmtId="0" fontId="0" fillId="0" borderId="0" xfId="0"/>
    <xf numFmtId="0" fontId="1" fillId="0" borderId="0" xfId="0" applyFont="1" applyAlignment="1">
      <alignment horizontal="center" vertical="center" wrapText="1"/>
    </xf>
    <xf numFmtId="0" fontId="3" fillId="2" borderId="0" xfId="0" applyFont="1" applyFill="1" applyAlignment="1">
      <alignment horizontal="center" vertical="center"/>
    </xf>
    <xf numFmtId="0" fontId="4" fillId="2" borderId="0" xfId="0" applyFont="1" applyFill="1"/>
    <xf numFmtId="0" fontId="3" fillId="2" borderId="0" xfId="0" applyFont="1" applyFill="1" applyAlignment="1">
      <alignment vertical="center"/>
    </xf>
    <xf numFmtId="0" fontId="3" fillId="2" borderId="0" xfId="0" applyFont="1" applyFill="1"/>
    <xf numFmtId="0" fontId="3" fillId="2" borderId="0" xfId="0" applyFont="1" applyFill="1" applyAlignment="1">
      <alignment horizontal="left" vertical="center" wrapText="1"/>
    </xf>
    <xf numFmtId="0" fontId="5" fillId="2" borderId="0" xfId="0" applyFont="1" applyFill="1" applyAlignment="1">
      <alignment horizontal="center" vertical="center"/>
    </xf>
    <xf numFmtId="0" fontId="5" fillId="2" borderId="0" xfId="0" applyFont="1" applyFill="1"/>
    <xf numFmtId="0" fontId="5" fillId="2" borderId="0" xfId="0" applyFont="1" applyFill="1" applyAlignment="1">
      <alignment horizontal="left" vertical="center"/>
    </xf>
    <xf numFmtId="17" fontId="3" fillId="2" borderId="0" xfId="0" applyNumberFormat="1" applyFont="1" applyFill="1"/>
    <xf numFmtId="0" fontId="8" fillId="0" borderId="0" xfId="0" applyFont="1" applyAlignment="1">
      <alignment vertical="center" wrapText="1"/>
    </xf>
    <xf numFmtId="0" fontId="4" fillId="0" borderId="2" xfId="0" applyFont="1" applyBorder="1" applyAlignment="1">
      <alignment horizontal="center" vertical="center" wrapText="1"/>
    </xf>
    <xf numFmtId="0" fontId="11" fillId="5" borderId="0" xfId="0" applyFont="1" applyFill="1"/>
    <xf numFmtId="0" fontId="12" fillId="5" borderId="0" xfId="0" applyFont="1" applyFill="1" applyAlignment="1">
      <alignment horizontal="center"/>
    </xf>
    <xf numFmtId="0" fontId="13" fillId="5" borderId="0" xfId="0" applyFont="1" applyFill="1" applyAlignment="1">
      <alignment vertical="center" wrapText="1"/>
    </xf>
    <xf numFmtId="0" fontId="14" fillId="5" borderId="0" xfId="0" applyFont="1" applyFill="1" applyAlignment="1">
      <alignment vertical="center"/>
    </xf>
    <xf numFmtId="0" fontId="13" fillId="5" borderId="0" xfId="0" applyFont="1" applyFill="1"/>
    <xf numFmtId="0" fontId="15" fillId="5" borderId="0" xfId="0" applyFont="1" applyFill="1" applyAlignment="1">
      <alignment vertical="center"/>
    </xf>
    <xf numFmtId="0" fontId="15" fillId="5" borderId="0" xfId="0" applyFont="1" applyFill="1" applyAlignment="1">
      <alignment horizontal="center" vertical="center"/>
    </xf>
    <xf numFmtId="0" fontId="15" fillId="5" borderId="0" xfId="0" applyFont="1" applyFill="1"/>
    <xf numFmtId="0" fontId="17" fillId="5" borderId="8" xfId="0" applyFont="1" applyFill="1" applyBorder="1" applyAlignment="1" applyProtection="1">
      <alignment horizontal="center" vertical="center"/>
      <protection locked="0"/>
    </xf>
    <xf numFmtId="0" fontId="15" fillId="5" borderId="9" xfId="0" applyFont="1" applyFill="1" applyBorder="1" applyAlignment="1" applyProtection="1">
      <alignment horizontal="center" vertical="center"/>
      <protection locked="0"/>
    </xf>
    <xf numFmtId="0" fontId="15" fillId="5" borderId="10" xfId="0" applyFont="1" applyFill="1" applyBorder="1" applyAlignment="1" applyProtection="1">
      <alignment horizontal="center" vertical="center"/>
      <protection locked="0"/>
    </xf>
    <xf numFmtId="0" fontId="18" fillId="6" borderId="0" xfId="0" applyFont="1" applyFill="1"/>
    <xf numFmtId="0" fontId="18" fillId="6" borderId="0" xfId="0" applyFont="1" applyFill="1" applyAlignment="1">
      <alignment horizontal="center"/>
    </xf>
    <xf numFmtId="0" fontId="18" fillId="6" borderId="0" xfId="0" applyFont="1" applyFill="1" applyAlignment="1">
      <alignment horizontal="center" vertical="center"/>
    </xf>
    <xf numFmtId="0" fontId="18" fillId="6" borderId="0" xfId="0" applyFont="1" applyFill="1" applyAlignment="1">
      <alignment vertical="center"/>
    </xf>
    <xf numFmtId="0" fontId="19" fillId="7" borderId="2" xfId="0" applyFont="1" applyFill="1" applyBorder="1" applyAlignment="1">
      <alignment horizontal="center" vertical="center" wrapText="1"/>
    </xf>
    <xf numFmtId="0" fontId="19" fillId="8" borderId="16" xfId="0" applyFont="1" applyFill="1" applyBorder="1" applyAlignment="1">
      <alignment horizontal="center" vertical="center" wrapText="1"/>
    </xf>
    <xf numFmtId="0" fontId="20" fillId="9" borderId="16"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6" xfId="0" applyFont="1" applyBorder="1" applyAlignment="1">
      <alignment horizontal="center" vertical="center" wrapText="1"/>
    </xf>
    <xf numFmtId="0" fontId="11" fillId="0" borderId="0" xfId="0" applyFont="1"/>
    <xf numFmtId="0" fontId="12" fillId="8" borderId="16" xfId="0" applyFont="1" applyFill="1" applyBorder="1" applyAlignment="1">
      <alignment horizontal="center" vertical="center" wrapText="1"/>
    </xf>
    <xf numFmtId="0" fontId="12" fillId="0" borderId="16" xfId="0" applyFont="1" applyBorder="1" applyAlignment="1">
      <alignment horizontal="center" vertical="center"/>
    </xf>
    <xf numFmtId="9" fontId="11" fillId="0" borderId="17" xfId="1" applyFont="1" applyBorder="1" applyAlignment="1">
      <alignment horizontal="centerContinuous" vertical="center"/>
    </xf>
    <xf numFmtId="9" fontId="11" fillId="0" borderId="18" xfId="1" applyFont="1" applyBorder="1" applyAlignment="1">
      <alignment horizontal="centerContinuous" vertical="center"/>
    </xf>
    <xf numFmtId="9" fontId="11" fillId="0" borderId="19" xfId="1" applyFont="1" applyBorder="1" applyAlignment="1">
      <alignment horizontal="centerContinuous" vertical="center"/>
    </xf>
    <xf numFmtId="0" fontId="11" fillId="0" borderId="20" xfId="0" applyFont="1" applyBorder="1"/>
    <xf numFmtId="0" fontId="11" fillId="0" borderId="21" xfId="0" applyFont="1" applyBorder="1"/>
    <xf numFmtId="0" fontId="11" fillId="0" borderId="22" xfId="0" applyFont="1" applyBorder="1"/>
    <xf numFmtId="0" fontId="11" fillId="0" borderId="11" xfId="0" applyFont="1" applyBorder="1"/>
    <xf numFmtId="0" fontId="11" fillId="0" borderId="12" xfId="0" applyFont="1" applyBorder="1"/>
    <xf numFmtId="0" fontId="11" fillId="0" borderId="0" xfId="0" applyFont="1" applyAlignment="1">
      <alignment horizontal="center"/>
    </xf>
    <xf numFmtId="0" fontId="21" fillId="12" borderId="16" xfId="0" applyFont="1" applyFill="1" applyBorder="1" applyAlignment="1">
      <alignment horizontal="center" vertical="center"/>
    </xf>
    <xf numFmtId="0" fontId="11" fillId="0" borderId="13" xfId="0" applyFont="1" applyBorder="1"/>
    <xf numFmtId="0" fontId="11" fillId="0" borderId="15" xfId="0" applyFont="1" applyBorder="1"/>
    <xf numFmtId="0" fontId="11" fillId="0" borderId="14" xfId="0" applyFont="1" applyBorder="1"/>
    <xf numFmtId="0" fontId="23" fillId="13" borderId="0" xfId="0" applyFont="1" applyFill="1" applyAlignment="1">
      <alignment horizontal="left" vertical="center" wrapText="1"/>
    </xf>
    <xf numFmtId="0" fontId="3" fillId="13" borderId="0" xfId="0" applyFont="1" applyFill="1" applyAlignment="1">
      <alignment horizontal="left" vertical="center" wrapText="1"/>
    </xf>
    <xf numFmtId="0" fontId="24" fillId="13" borderId="0" xfId="0" applyFont="1" applyFill="1" applyAlignment="1">
      <alignment horizontal="center" vertical="center"/>
    </xf>
    <xf numFmtId="0" fontId="5" fillId="13" borderId="0" xfId="0" applyFont="1" applyFill="1"/>
    <xf numFmtId="0" fontId="24" fillId="13" borderId="0" xfId="0" applyFont="1" applyFill="1" applyAlignment="1">
      <alignment horizontal="left" vertical="center"/>
    </xf>
    <xf numFmtId="0" fontId="24" fillId="13" borderId="0" xfId="0" applyFont="1" applyFill="1"/>
    <xf numFmtId="0" fontId="25" fillId="13" borderId="0" xfId="0" applyFont="1" applyFill="1"/>
    <xf numFmtId="1" fontId="1" fillId="0" borderId="16" xfId="0" applyNumberFormat="1" applyFont="1" applyBorder="1" applyAlignment="1">
      <alignment horizontal="center" vertical="center" wrapText="1"/>
    </xf>
    <xf numFmtId="0" fontId="28" fillId="0" borderId="32" xfId="3" applyFont="1" applyBorder="1"/>
    <xf numFmtId="0" fontId="28" fillId="0" borderId="0" xfId="3" applyFont="1"/>
    <xf numFmtId="0" fontId="28" fillId="0" borderId="2" xfId="3" applyFont="1" applyBorder="1"/>
    <xf numFmtId="9" fontId="28" fillId="14" borderId="2" xfId="4" applyFont="1" applyFill="1" applyBorder="1"/>
    <xf numFmtId="9" fontId="28" fillId="0" borderId="2" xfId="4" applyFont="1" applyFill="1" applyBorder="1"/>
    <xf numFmtId="0" fontId="30" fillId="0" borderId="0" xfId="0" applyFont="1" applyAlignment="1">
      <alignment horizontal="left" vertical="center"/>
    </xf>
    <xf numFmtId="0" fontId="10" fillId="0" borderId="0" xfId="0" applyFont="1"/>
    <xf numFmtId="0" fontId="32" fillId="0" borderId="0" xfId="0" applyFont="1" applyAlignment="1">
      <alignment horizontal="left" vertical="center"/>
    </xf>
    <xf numFmtId="0" fontId="26" fillId="15" borderId="0" xfId="0" applyFont="1" applyFill="1" applyAlignment="1">
      <alignment horizontal="left" vertical="center"/>
    </xf>
    <xf numFmtId="0" fontId="0" fillId="15" borderId="0" xfId="0" applyFill="1" applyAlignment="1">
      <alignment horizontal="left" vertical="center"/>
    </xf>
    <xf numFmtId="0" fontId="33" fillId="0" borderId="0" xfId="0" applyFont="1"/>
    <xf numFmtId="0" fontId="0" fillId="12" borderId="0" xfId="0" applyFill="1"/>
    <xf numFmtId="9" fontId="0" fillId="14" borderId="0" xfId="1" applyFont="1" applyFill="1"/>
    <xf numFmtId="9" fontId="0" fillId="12" borderId="0" xfId="1" applyFont="1" applyFill="1"/>
    <xf numFmtId="0" fontId="34" fillId="0" borderId="35" xfId="0" applyFont="1" applyBorder="1"/>
    <xf numFmtId="164" fontId="35" fillId="0" borderId="35" xfId="0" applyNumberFormat="1" applyFont="1" applyBorder="1" applyAlignment="1">
      <alignment horizontal="center"/>
    </xf>
    <xf numFmtId="0" fontId="35" fillId="0" borderId="35" xfId="0" applyFont="1" applyBorder="1"/>
    <xf numFmtId="164" fontId="35" fillId="0" borderId="35" xfId="0" applyNumberFormat="1" applyFont="1" applyBorder="1"/>
    <xf numFmtId="164" fontId="34" fillId="0" borderId="35" xfId="0" applyNumberFormat="1" applyFont="1" applyBorder="1" applyAlignment="1">
      <alignment horizontal="center"/>
    </xf>
    <xf numFmtId="165" fontId="35" fillId="0" borderId="35" xfId="1" applyNumberFormat="1" applyFont="1" applyFill="1" applyBorder="1" applyAlignment="1">
      <alignment horizontal="center"/>
    </xf>
    <xf numFmtId="9" fontId="35" fillId="0" borderId="35" xfId="0" applyNumberFormat="1" applyFont="1" applyBorder="1" applyAlignment="1">
      <alignment horizontal="center"/>
    </xf>
    <xf numFmtId="164" fontId="36" fillId="0" borderId="35" xfId="0" applyNumberFormat="1" applyFont="1" applyBorder="1" applyAlignment="1">
      <alignment horizontal="center"/>
    </xf>
    <xf numFmtId="0" fontId="38" fillId="16" borderId="16" xfId="0" applyFont="1" applyFill="1" applyBorder="1" applyAlignment="1">
      <alignment vertical="center"/>
    </xf>
    <xf numFmtId="0" fontId="39" fillId="0" borderId="16" xfId="0" applyFont="1" applyBorder="1" applyAlignment="1" applyProtection="1">
      <alignment horizontal="center" vertical="center"/>
      <protection locked="0"/>
    </xf>
    <xf numFmtId="0" fontId="21" fillId="0" borderId="18" xfId="0" applyFont="1" applyBorder="1"/>
    <xf numFmtId="0" fontId="21" fillId="0" borderId="19" xfId="0" applyFont="1" applyBorder="1"/>
    <xf numFmtId="0" fontId="37" fillId="16" borderId="16" xfId="0" applyFont="1" applyFill="1" applyBorder="1" applyAlignment="1">
      <alignment horizontal="left" vertical="center" wrapText="1"/>
    </xf>
    <xf numFmtId="0" fontId="39" fillId="0" borderId="16" xfId="0" applyFont="1" applyBorder="1" applyAlignment="1">
      <alignment horizontal="left"/>
    </xf>
    <xf numFmtId="0" fontId="41" fillId="5" borderId="0" xfId="0" applyFont="1" applyFill="1"/>
    <xf numFmtId="0" fontId="1" fillId="0" borderId="2" xfId="0" applyFont="1" applyBorder="1" applyAlignment="1">
      <alignment horizontal="center" vertical="center" wrapText="1"/>
    </xf>
    <xf numFmtId="0" fontId="9" fillId="0" borderId="0" xfId="0" applyFont="1" applyAlignment="1">
      <alignment horizontal="center" vertical="center" wrapText="1"/>
    </xf>
    <xf numFmtId="0" fontId="42" fillId="0" borderId="2" xfId="0" applyFont="1" applyBorder="1" applyAlignment="1" applyProtection="1">
      <alignment horizontal="left" vertical="center" wrapText="1"/>
      <protection locked="0"/>
    </xf>
    <xf numFmtId="14" fontId="42" fillId="0" borderId="2" xfId="0" applyNumberFormat="1" applyFont="1" applyBorder="1" applyAlignment="1" applyProtection="1">
      <alignment horizontal="center" vertical="center"/>
      <protection locked="0"/>
    </xf>
    <xf numFmtId="0" fontId="42" fillId="0" borderId="2" xfId="0" applyFont="1" applyBorder="1" applyAlignment="1" applyProtection="1">
      <alignment horizontal="center" vertical="center" wrapText="1"/>
      <protection locked="0"/>
    </xf>
    <xf numFmtId="0" fontId="43" fillId="0" borderId="0" xfId="0" applyFont="1" applyAlignment="1">
      <alignment horizontal="center" vertical="center" wrapText="1"/>
    </xf>
    <xf numFmtId="14" fontId="42" fillId="0" borderId="2" xfId="0" applyNumberFormat="1" applyFont="1" applyBorder="1" applyAlignment="1" applyProtection="1">
      <alignment horizontal="center" vertical="center" wrapText="1"/>
      <protection locked="0"/>
    </xf>
    <xf numFmtId="9" fontId="42" fillId="0" borderId="2" xfId="0" applyNumberFormat="1" applyFont="1" applyBorder="1" applyAlignment="1" applyProtection="1">
      <alignment horizontal="left" vertical="center" wrapText="1"/>
      <protection locked="0"/>
    </xf>
    <xf numFmtId="0" fontId="44" fillId="0" borderId="2" xfId="0" applyFont="1" applyBorder="1" applyAlignment="1" applyProtection="1">
      <alignment vertical="top" wrapText="1"/>
      <protection locked="0"/>
    </xf>
    <xf numFmtId="9" fontId="42" fillId="0" borderId="2" xfId="0" applyNumberFormat="1" applyFont="1" applyBorder="1" applyAlignment="1" applyProtection="1">
      <alignment horizontal="center" vertical="center" wrapText="1"/>
      <protection locked="0"/>
    </xf>
    <xf numFmtId="0" fontId="20" fillId="11" borderId="23" xfId="0" applyFont="1" applyFill="1" applyBorder="1" applyAlignment="1">
      <alignment horizontal="center" vertical="center"/>
    </xf>
    <xf numFmtId="0" fontId="4" fillId="0" borderId="2" xfId="0" applyFont="1" applyBorder="1" applyAlignment="1" applyProtection="1">
      <alignment horizontal="left" vertical="center" wrapText="1"/>
      <protection locked="0"/>
    </xf>
    <xf numFmtId="0" fontId="21" fillId="0" borderId="2" xfId="0" applyFont="1" applyBorder="1" applyAlignment="1">
      <alignment horizontal="left" vertical="center" wrapText="1"/>
    </xf>
    <xf numFmtId="0" fontId="21" fillId="0" borderId="2" xfId="0" applyFont="1" applyBorder="1" applyAlignment="1">
      <alignment vertical="center" wrapText="1"/>
    </xf>
    <xf numFmtId="0" fontId="4" fillId="14" borderId="2" xfId="0" applyFont="1" applyFill="1" applyBorder="1" applyAlignment="1">
      <alignment horizontal="center" vertical="center" wrapText="1"/>
    </xf>
    <xf numFmtId="0" fontId="1" fillId="14" borderId="2" xfId="0" applyFont="1" applyFill="1" applyBorder="1" applyAlignment="1">
      <alignment horizontal="center" vertical="center" wrapText="1"/>
    </xf>
    <xf numFmtId="14" fontId="45" fillId="0" borderId="2" xfId="0" applyNumberFormat="1" applyFont="1" applyBorder="1" applyAlignment="1" applyProtection="1">
      <alignment horizontal="center" vertical="center"/>
      <protection locked="0"/>
    </xf>
    <xf numFmtId="9" fontId="4" fillId="0" borderId="2" xfId="1" applyFont="1" applyFill="1" applyBorder="1" applyAlignment="1" applyProtection="1">
      <alignment horizontal="center" vertical="center" wrapText="1"/>
      <protection locked="0"/>
    </xf>
    <xf numFmtId="9" fontId="19" fillId="0" borderId="2" xfId="0" applyNumberFormat="1"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4" fillId="0" borderId="2" xfId="0" applyFont="1" applyBorder="1" applyAlignment="1" applyProtection="1">
      <alignment vertical="center" wrapText="1"/>
      <protection locked="0"/>
    </xf>
    <xf numFmtId="0" fontId="11" fillId="0" borderId="2" xfId="0" applyFont="1" applyBorder="1" applyAlignment="1">
      <alignment vertical="center" wrapText="1"/>
    </xf>
    <xf numFmtId="0" fontId="0" fillId="0" borderId="0" xfId="0" applyAlignment="1">
      <alignment horizontal="left"/>
    </xf>
    <xf numFmtId="0" fontId="1" fillId="0" borderId="0" xfId="0" quotePrefix="1" applyFont="1" applyAlignment="1">
      <alignment horizontal="center" vertical="center" wrapText="1"/>
    </xf>
    <xf numFmtId="0" fontId="47" fillId="0" borderId="2" xfId="0" applyFont="1" applyBorder="1" applyAlignment="1">
      <alignment vertical="center" wrapText="1"/>
    </xf>
    <xf numFmtId="0" fontId="49" fillId="0" borderId="0" xfId="0" applyFont="1" applyAlignment="1">
      <alignment vertical="center"/>
    </xf>
    <xf numFmtId="0" fontId="50" fillId="0" borderId="0" xfId="0" applyFont="1"/>
    <xf numFmtId="0" fontId="49" fillId="0" borderId="0" xfId="0" applyFont="1"/>
    <xf numFmtId="0" fontId="7" fillId="17" borderId="2" xfId="0" applyFont="1" applyFill="1" applyBorder="1" applyAlignment="1">
      <alignment horizontal="center" vertical="center" wrapText="1"/>
    </xf>
    <xf numFmtId="0" fontId="46" fillId="17" borderId="2" xfId="0" applyFont="1" applyFill="1" applyBorder="1" applyAlignment="1">
      <alignment horizontal="center" vertical="center"/>
    </xf>
    <xf numFmtId="0" fontId="4" fillId="0" borderId="3" xfId="0" applyFont="1" applyBorder="1" applyAlignment="1" applyProtection="1">
      <alignment vertical="center" wrapText="1"/>
      <protection locked="0"/>
    </xf>
    <xf numFmtId="0" fontId="52" fillId="0" borderId="2" xfId="0" applyFont="1" applyBorder="1" applyAlignment="1">
      <alignment vertical="center" wrapText="1"/>
    </xf>
    <xf numFmtId="0" fontId="50" fillId="0" borderId="0" xfId="0" applyFont="1" applyAlignment="1">
      <alignment vertical="center"/>
    </xf>
    <xf numFmtId="0" fontId="52" fillId="0" borderId="36" xfId="0" applyFont="1" applyBorder="1" applyAlignment="1">
      <alignment vertical="center" wrapText="1"/>
    </xf>
    <xf numFmtId="0" fontId="47" fillId="0" borderId="37" xfId="0" applyFont="1" applyBorder="1" applyAlignment="1">
      <alignment horizontal="left" vertical="center" wrapText="1"/>
    </xf>
    <xf numFmtId="0" fontId="47" fillId="0" borderId="0" xfId="0" applyFont="1" applyAlignment="1">
      <alignment horizontal="left" vertical="center" wrapText="1"/>
    </xf>
    <xf numFmtId="0" fontId="47" fillId="0" borderId="36" xfId="0" applyFont="1" applyBorder="1" applyAlignment="1">
      <alignment horizontal="left" vertical="center" wrapText="1"/>
    </xf>
    <xf numFmtId="0" fontId="29" fillId="0" borderId="33" xfId="3" applyFont="1" applyBorder="1" applyAlignment="1">
      <alignment horizontal="center"/>
    </xf>
    <xf numFmtId="0" fontId="29" fillId="0" borderId="34" xfId="3" applyFont="1" applyBorder="1" applyAlignment="1">
      <alignment horizontal="center"/>
    </xf>
    <xf numFmtId="0" fontId="28" fillId="0" borderId="14" xfId="3" applyFont="1" applyBorder="1" applyAlignment="1">
      <alignment horizontal="center"/>
    </xf>
    <xf numFmtId="0" fontId="0" fillId="0" borderId="0" xfId="0" applyAlignment="1">
      <alignment horizontal="center" vertical="center"/>
    </xf>
    <xf numFmtId="0" fontId="0" fillId="0" borderId="0" xfId="0" applyAlignment="1">
      <alignment horizontal="center"/>
    </xf>
    <xf numFmtId="0" fontId="31" fillId="0" borderId="0" xfId="0" applyFont="1" applyAlignment="1">
      <alignment horizontal="center" vertical="center" wrapText="1"/>
    </xf>
    <xf numFmtId="0" fontId="16" fillId="5" borderId="5" xfId="2" applyFont="1" applyFill="1" applyBorder="1" applyAlignment="1" applyProtection="1">
      <alignment horizontal="center" vertical="center"/>
      <protection locked="0"/>
    </xf>
    <xf numFmtId="0" fontId="16" fillId="5" borderId="6" xfId="2" applyFont="1" applyFill="1" applyBorder="1" applyAlignment="1" applyProtection="1">
      <alignment horizontal="center" vertical="center"/>
      <protection locked="0"/>
    </xf>
    <xf numFmtId="0" fontId="16" fillId="5" borderId="7" xfId="2" applyFont="1" applyFill="1" applyBorder="1" applyAlignment="1" applyProtection="1">
      <alignment horizontal="center" vertical="center"/>
      <protection locked="0"/>
    </xf>
    <xf numFmtId="0" fontId="15" fillId="5" borderId="0" xfId="0" applyFont="1" applyFill="1" applyAlignment="1">
      <alignment horizontal="center" vertical="center" wrapText="1"/>
    </xf>
    <xf numFmtId="0" fontId="13" fillId="5" borderId="0" xfId="0" applyFont="1" applyFill="1" applyAlignment="1">
      <alignment horizontal="center" vertical="center" wrapText="1"/>
    </xf>
    <xf numFmtId="0" fontId="14" fillId="5" borderId="0" xfId="0" applyFont="1" applyFill="1" applyAlignment="1">
      <alignment horizontal="center" vertical="center"/>
    </xf>
    <xf numFmtId="0" fontId="13" fillId="5" borderId="0" xfId="0" applyFont="1" applyFill="1" applyAlignment="1">
      <alignment horizontal="center"/>
    </xf>
    <xf numFmtId="0" fontId="7" fillId="17" borderId="36" xfId="0" applyFont="1" applyFill="1" applyBorder="1" applyAlignment="1">
      <alignment horizontal="center" vertical="center" wrapText="1"/>
    </xf>
    <xf numFmtId="0" fontId="7" fillId="17" borderId="38" xfId="0" applyFont="1" applyFill="1" applyBorder="1" applyAlignment="1">
      <alignment horizontal="center" vertical="center" wrapText="1"/>
    </xf>
    <xf numFmtId="0" fontId="7" fillId="17" borderId="37" xfId="0" applyFont="1" applyFill="1" applyBorder="1" applyAlignment="1">
      <alignment horizontal="center" vertical="center" wrapText="1"/>
    </xf>
    <xf numFmtId="10" fontId="7" fillId="18" borderId="2" xfId="1" applyNumberFormat="1" applyFont="1" applyFill="1" applyBorder="1" applyAlignment="1" applyProtection="1">
      <alignment horizontal="center" vertical="center" wrapText="1"/>
    </xf>
    <xf numFmtId="0" fontId="7" fillId="17" borderId="1" xfId="0" applyFont="1" applyFill="1" applyBorder="1" applyAlignment="1">
      <alignment horizontal="center" vertical="center" wrapText="1"/>
    </xf>
    <xf numFmtId="0" fontId="7" fillId="17" borderId="3" xfId="0" applyFont="1" applyFill="1" applyBorder="1" applyAlignment="1">
      <alignment horizontal="center" vertical="center" wrapText="1"/>
    </xf>
    <xf numFmtId="0" fontId="7" fillId="17" borderId="2" xfId="0" applyFont="1" applyFill="1" applyBorder="1" applyAlignment="1">
      <alignment horizontal="center" vertical="center" wrapText="1"/>
    </xf>
    <xf numFmtId="0" fontId="48" fillId="0" borderId="2" xfId="0" applyFont="1" applyBorder="1" applyAlignment="1">
      <alignment horizontal="center" vertical="center" wrapText="1"/>
    </xf>
    <xf numFmtId="0" fontId="51" fillId="0" borderId="2" xfId="0" applyFont="1" applyBorder="1" applyAlignment="1">
      <alignment horizontal="left" vertical="center" wrapText="1"/>
    </xf>
    <xf numFmtId="0" fontId="47" fillId="0" borderId="2" xfId="0" applyFont="1" applyBorder="1" applyAlignment="1">
      <alignment horizontal="left" vertical="center" wrapText="1"/>
    </xf>
    <xf numFmtId="0" fontId="2" fillId="3" borderId="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36" xfId="0" applyFont="1" applyFill="1" applyBorder="1" applyAlignment="1">
      <alignment horizontal="center" vertical="center" wrapText="1"/>
    </xf>
    <xf numFmtId="0" fontId="2" fillId="3" borderId="37" xfId="0" applyFont="1" applyFill="1" applyBorder="1" applyAlignment="1">
      <alignment horizontal="center" vertical="center" wrapText="1"/>
    </xf>
    <xf numFmtId="10" fontId="7" fillId="18" borderId="36" xfId="1" applyNumberFormat="1" applyFont="1" applyFill="1" applyBorder="1" applyAlignment="1" applyProtection="1">
      <alignment horizontal="center" vertical="center" wrapText="1"/>
    </xf>
    <xf numFmtId="10" fontId="7" fillId="18" borderId="15" xfId="1" applyNumberFormat="1" applyFont="1" applyFill="1" applyBorder="1" applyAlignment="1" applyProtection="1">
      <alignment horizontal="center" vertical="center" wrapText="1"/>
    </xf>
    <xf numFmtId="42" fontId="7" fillId="18" borderId="1" xfId="5" applyFont="1" applyFill="1" applyBorder="1" applyAlignment="1" applyProtection="1">
      <alignment horizontal="center" vertical="center" wrapText="1"/>
    </xf>
    <xf numFmtId="42" fontId="7" fillId="18" borderId="3" xfId="5" applyFont="1" applyFill="1" applyBorder="1" applyAlignment="1" applyProtection="1">
      <alignment horizontal="center" vertical="center" wrapText="1"/>
    </xf>
    <xf numFmtId="0" fontId="47" fillId="0" borderId="2" xfId="0" applyFont="1" applyBorder="1" applyAlignment="1">
      <alignment horizontal="center" vertical="center" wrapText="1"/>
    </xf>
    <xf numFmtId="0" fontId="38" fillId="16" borderId="17" xfId="2" applyFont="1" applyFill="1" applyBorder="1" applyAlignment="1" applyProtection="1">
      <alignment horizontal="center" vertical="center"/>
    </xf>
    <xf numFmtId="0" fontId="38" fillId="16" borderId="19" xfId="2" applyFont="1" applyFill="1" applyBorder="1" applyAlignment="1" applyProtection="1">
      <alignment horizontal="center" vertical="center"/>
    </xf>
    <xf numFmtId="0" fontId="38" fillId="16" borderId="18" xfId="2" applyFont="1" applyFill="1" applyBorder="1" applyAlignment="1" applyProtection="1">
      <alignment horizontal="center" vertical="center"/>
    </xf>
    <xf numFmtId="0" fontId="37" fillId="16" borderId="16" xfId="2" applyFont="1" applyFill="1" applyBorder="1" applyAlignment="1" applyProtection="1">
      <alignment horizontal="center" vertical="center"/>
      <protection locked="0"/>
    </xf>
    <xf numFmtId="0" fontId="39" fillId="0" borderId="17" xfId="0" applyFont="1" applyBorder="1" applyAlignment="1" applyProtection="1">
      <alignment horizontal="center" vertical="center"/>
      <protection locked="0"/>
    </xf>
    <xf numFmtId="0" fontId="39" fillId="0" borderId="18" xfId="0" applyFont="1" applyBorder="1" applyAlignment="1" applyProtection="1">
      <alignment horizontal="center" vertical="center"/>
      <protection locked="0"/>
    </xf>
    <xf numFmtId="0" fontId="40" fillId="0" borderId="0" xfId="0" applyFont="1" applyAlignment="1">
      <alignment horizontal="center"/>
    </xf>
    <xf numFmtId="0" fontId="37" fillId="16" borderId="17" xfId="0" applyFont="1" applyFill="1" applyBorder="1" applyAlignment="1">
      <alignment horizontal="center"/>
    </xf>
    <xf numFmtId="0" fontId="37" fillId="16" borderId="19" xfId="0" applyFont="1" applyFill="1" applyBorder="1" applyAlignment="1">
      <alignment horizontal="center"/>
    </xf>
    <xf numFmtId="0" fontId="37" fillId="16" borderId="18" xfId="0" applyFont="1" applyFill="1" applyBorder="1" applyAlignment="1">
      <alignment horizontal="center"/>
    </xf>
    <xf numFmtId="0" fontId="37" fillId="16" borderId="17" xfId="2" applyFont="1" applyFill="1" applyBorder="1" applyAlignment="1" applyProtection="1">
      <alignment horizontal="center" vertical="center"/>
    </xf>
    <xf numFmtId="0" fontId="37" fillId="16" borderId="19" xfId="2" applyFont="1" applyFill="1" applyBorder="1" applyAlignment="1" applyProtection="1">
      <alignment horizontal="center" vertical="center"/>
    </xf>
    <xf numFmtId="0" fontId="37" fillId="16" borderId="18" xfId="2" applyFont="1" applyFill="1" applyBorder="1" applyAlignment="1" applyProtection="1">
      <alignment horizontal="center" vertical="center"/>
    </xf>
    <xf numFmtId="0" fontId="37" fillId="16" borderId="16" xfId="2" applyFont="1" applyFill="1" applyBorder="1" applyAlignment="1" applyProtection="1">
      <alignment horizontal="center" vertical="center"/>
    </xf>
    <xf numFmtId="0" fontId="22" fillId="12" borderId="16" xfId="0" applyFont="1" applyFill="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27" xfId="0" applyFont="1" applyBorder="1" applyAlignment="1">
      <alignment horizontal="center" vertical="center"/>
    </xf>
    <xf numFmtId="0" fontId="11" fillId="0" borderId="0" xfId="0" applyFont="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2" fillId="10" borderId="17" xfId="0" applyFont="1" applyFill="1" applyBorder="1" applyAlignment="1">
      <alignment horizontal="center" vertical="center" wrapText="1"/>
    </xf>
    <xf numFmtId="0" fontId="12" fillId="10" borderId="18" xfId="0" applyFont="1" applyFill="1" applyBorder="1" applyAlignment="1">
      <alignment horizontal="center" vertical="center" wrapText="1"/>
    </xf>
    <xf numFmtId="0" fontId="12" fillId="10" borderId="19" xfId="0" applyFont="1" applyFill="1" applyBorder="1" applyAlignment="1">
      <alignment horizontal="center" vertical="center" wrapText="1"/>
    </xf>
    <xf numFmtId="0" fontId="20" fillId="11" borderId="23" xfId="0" applyFont="1" applyFill="1" applyBorder="1" applyAlignment="1">
      <alignment horizontal="center" vertical="center"/>
    </xf>
    <xf numFmtId="10" fontId="7" fillId="18" borderId="37" xfId="1" applyNumberFormat="1" applyFont="1" applyFill="1" applyBorder="1" applyAlignment="1" applyProtection="1">
      <alignment horizontal="center" vertical="center" wrapText="1"/>
    </xf>
  </cellXfs>
  <cellStyles count="6">
    <cellStyle name="Moneda [0]" xfId="5" builtinId="7"/>
    <cellStyle name="Normal" xfId="0" builtinId="0"/>
    <cellStyle name="Normal 2" xfId="3"/>
    <cellStyle name="Notas" xfId="2" builtinId="10"/>
    <cellStyle name="Porcentaje" xfId="1" builtinId="5"/>
    <cellStyle name="Porcentaje 3" xfId="4"/>
  </cellStyles>
  <dxfs count="35">
    <dxf>
      <font>
        <b/>
        <i val="0"/>
        <u/>
        <color theme="1"/>
      </font>
      <fill>
        <patternFill>
          <bgColor theme="9" tint="0.39994506668294322"/>
        </patternFill>
      </fill>
    </dxf>
    <dxf>
      <font>
        <b/>
        <i val="0"/>
        <u/>
      </font>
      <fill>
        <patternFill>
          <bgColor theme="7" tint="0.39994506668294322"/>
        </patternFill>
      </fill>
    </dxf>
    <dxf>
      <font>
        <b/>
        <i val="0"/>
        <u/>
        <color theme="0"/>
      </font>
      <fill>
        <patternFill>
          <bgColor rgb="FFC00000"/>
        </patternFill>
      </fill>
    </dxf>
    <dxf>
      <font>
        <b/>
        <i val="0"/>
        <u/>
        <color theme="1"/>
      </font>
      <fill>
        <patternFill>
          <bgColor theme="9" tint="0.39994506668294322"/>
        </patternFill>
      </fill>
    </dxf>
    <dxf>
      <font>
        <b/>
        <i val="0"/>
        <u/>
      </font>
      <fill>
        <patternFill>
          <bgColor theme="7" tint="0.39994506668294322"/>
        </patternFill>
      </fill>
    </dxf>
    <dxf>
      <font>
        <b/>
        <i val="0"/>
        <u/>
        <color theme="0"/>
      </font>
      <fill>
        <patternFill>
          <bgColor rgb="FFC00000"/>
        </patternFill>
      </fill>
    </dxf>
    <dxf>
      <font>
        <color theme="2" tint="-0.24994659260841701"/>
      </font>
    </dxf>
    <dxf>
      <font>
        <color theme="2" tint="-0.24994659260841701"/>
      </font>
    </dxf>
    <dxf>
      <font>
        <color theme="2" tint="-0.24994659260841701"/>
      </font>
    </dxf>
    <dxf>
      <font>
        <b/>
        <i val="0"/>
        <strike val="0"/>
        <u/>
      </font>
      <fill>
        <patternFill patternType="gray0625">
          <fgColor theme="6" tint="0.39994506668294322"/>
          <bgColor theme="5" tint="-0.24994659260841701"/>
        </patternFill>
      </fill>
      <border>
        <vertical/>
        <horizontal/>
      </border>
    </dxf>
    <dxf>
      <fill>
        <patternFill patternType="gray0625">
          <fgColor theme="6" tint="0.39994506668294322"/>
          <bgColor theme="9" tint="0.79998168889431442"/>
        </patternFill>
      </fill>
    </dxf>
    <dxf>
      <font>
        <b/>
        <i val="0"/>
        <u/>
      </font>
      <fill>
        <patternFill patternType="gray0625">
          <fgColor theme="6" tint="0.39994506668294322"/>
          <bgColor theme="9" tint="0.79998168889431442"/>
        </patternFill>
      </fill>
    </dxf>
    <dxf>
      <font>
        <b/>
        <i val="0"/>
        <strike val="0"/>
        <u/>
        <color theme="5" tint="-0.24994659260841701"/>
      </font>
      <fill>
        <patternFill patternType="gray0625">
          <fgColor theme="6" tint="0.39994506668294322"/>
          <bgColor theme="5" tint="0.59996337778862885"/>
        </patternFill>
      </fill>
    </dxf>
    <dxf>
      <font>
        <color rgb="FFFF0000"/>
      </font>
      <fill>
        <patternFill>
          <bgColor rgb="FFFFFF00"/>
        </patternFill>
      </fill>
    </dxf>
    <dxf>
      <fill>
        <patternFill patternType="gray0625">
          <fgColor theme="1"/>
          <bgColor rgb="FFFFFF00"/>
        </patternFill>
      </fill>
    </dxf>
    <dxf>
      <font>
        <color rgb="FFFFFFFF"/>
      </font>
      <fill>
        <patternFill>
          <bgColor rgb="FF305496"/>
        </patternFill>
      </fill>
    </dxf>
    <dxf>
      <font>
        <color theme="0"/>
      </font>
      <fill>
        <patternFill>
          <bgColor theme="8" tint="-0.24994659260841701"/>
        </patternFill>
      </fill>
    </dxf>
    <dxf>
      <font>
        <b/>
        <i val="0"/>
        <u/>
        <color theme="1"/>
      </font>
      <fill>
        <patternFill>
          <bgColor theme="9" tint="0.39994506668294322"/>
        </patternFill>
      </fill>
    </dxf>
    <dxf>
      <font>
        <b/>
        <i val="0"/>
        <u/>
      </font>
      <fill>
        <patternFill>
          <bgColor theme="7" tint="0.39994506668294322"/>
        </patternFill>
      </fill>
    </dxf>
    <dxf>
      <font>
        <b/>
        <i val="0"/>
        <u/>
        <color theme="0"/>
      </font>
      <fill>
        <patternFill>
          <bgColor rgb="FFC00000"/>
        </patternFill>
      </fill>
    </dxf>
    <dxf>
      <font>
        <color theme="2" tint="-0.24994659260841701"/>
      </font>
    </dxf>
    <dxf>
      <font>
        <color theme="2" tint="-0.24994659260841701"/>
      </font>
    </dxf>
    <dxf>
      <font>
        <color theme="2" tint="-0.24994659260841701"/>
      </font>
    </dxf>
    <dxf>
      <font>
        <b/>
        <i val="0"/>
        <strike val="0"/>
        <u/>
      </font>
      <fill>
        <patternFill patternType="gray0625">
          <fgColor theme="6" tint="0.39994506668294322"/>
          <bgColor theme="5" tint="-0.24994659260841701"/>
        </patternFill>
      </fill>
      <border>
        <vertical/>
        <horizontal/>
      </border>
    </dxf>
    <dxf>
      <fill>
        <patternFill patternType="gray0625">
          <fgColor theme="6" tint="0.39994506668294322"/>
          <bgColor theme="9" tint="0.79998168889431442"/>
        </patternFill>
      </fill>
    </dxf>
    <dxf>
      <font>
        <b/>
        <i val="0"/>
        <u/>
      </font>
      <fill>
        <patternFill patternType="gray0625">
          <fgColor theme="6" tint="0.39994506668294322"/>
          <bgColor theme="9" tint="0.79998168889431442"/>
        </patternFill>
      </fill>
    </dxf>
    <dxf>
      <font>
        <b/>
        <i val="0"/>
        <strike val="0"/>
        <u/>
        <color theme="5" tint="-0.24994659260841701"/>
      </font>
      <fill>
        <patternFill patternType="gray0625">
          <fgColor theme="6" tint="0.39994506668294322"/>
          <bgColor theme="5" tint="0.59996337778862885"/>
        </patternFill>
      </fill>
    </dxf>
    <dxf>
      <font>
        <color rgb="FFFF0000"/>
      </font>
      <fill>
        <patternFill>
          <bgColor rgb="FFFFFF00"/>
        </patternFill>
      </fill>
    </dxf>
    <dxf>
      <fill>
        <patternFill patternType="gray0625">
          <fgColor theme="1"/>
          <bgColor rgb="FFFFFF00"/>
        </patternFill>
      </fill>
    </dxf>
    <dxf>
      <font>
        <color rgb="FFFFFFFF"/>
      </font>
      <fill>
        <patternFill>
          <bgColor rgb="FF305496"/>
        </patternFill>
      </fill>
    </dxf>
    <dxf>
      <font>
        <color theme="0"/>
      </font>
      <fill>
        <patternFill>
          <bgColor theme="8" tint="-0.24994659260841701"/>
        </patternFill>
      </fill>
    </dxf>
    <dxf>
      <font>
        <color theme="2" tint="-0.24994659260841701"/>
      </font>
    </dxf>
    <dxf>
      <font>
        <color theme="2" tint="-0.24994659260841701"/>
      </font>
    </dxf>
    <dxf>
      <font>
        <color theme="2" tint="-0.24994659260841701"/>
      </font>
    </dxf>
    <dxf>
      <font>
        <color theme="2" tint="-0.24994659260841701"/>
      </font>
    </dxf>
  </dxfs>
  <tableStyles count="0" defaultTableStyle="TableStyleMedium2" defaultPivotStyle="PivotStyleLight16"/>
  <colors>
    <mruColors>
      <color rgb="FF660B15"/>
      <color rgb="FF0057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3">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ahoma" panose="020B0604030504040204" pitchFamily="34" charset="0"/>
                    <a:ea typeface="Tahoma" panose="020B0604030504040204" pitchFamily="34" charset="0"/>
                    <a:cs typeface="Tahoma" panose="020B0604030504040204"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'Resultado año 1'!$B$4:$D$4</c:f>
              <c:strCache>
                <c:ptCount val="3"/>
                <c:pt idx="0">
                  <c:v> ∑ de Tareas</c:v>
                </c:pt>
                <c:pt idx="1">
                  <c:v># Tareas realizadas</c:v>
                </c:pt>
                <c:pt idx="2">
                  <c:v># Tareas sin realizar</c:v>
                </c:pt>
              </c:strCache>
            </c:strRef>
          </c:cat>
          <c:val>
            <c:numRef>
              <c:f>'Resultado año 1'!$B$5:$D$5</c:f>
              <c:numCache>
                <c:formatCode>General</c:formatCode>
                <c:ptCount val="3"/>
                <c:pt idx="0">
                  <c:v>0</c:v>
                </c:pt>
                <c:pt idx="1">
                  <c:v>0</c:v>
                </c:pt>
                <c:pt idx="2">
                  <c:v>0</c:v>
                </c:pt>
              </c:numCache>
            </c:numRef>
          </c:val>
          <c:extLst>
            <c:ext xmlns:c16="http://schemas.microsoft.com/office/drawing/2014/chart" uri="{C3380CC4-5D6E-409C-BE32-E72D297353CC}">
              <c16:uniqueId val="{00000000-4EBB-4E46-BC18-090028DAB63A}"/>
            </c:ext>
          </c:extLst>
        </c:ser>
        <c:dLbls>
          <c:dLblPos val="outEnd"/>
          <c:showLegendKey val="0"/>
          <c:showVal val="1"/>
          <c:showCatName val="0"/>
          <c:showSerName val="0"/>
          <c:showPercent val="0"/>
          <c:showBubbleSize val="0"/>
        </c:dLbls>
        <c:gapWidth val="100"/>
        <c:overlap val="-24"/>
        <c:axId val="192846240"/>
        <c:axId val="192820688"/>
      </c:barChart>
      <c:catAx>
        <c:axId val="1928462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Tahoma" panose="020B0604030504040204" pitchFamily="34" charset="0"/>
                <a:ea typeface="Tahoma" panose="020B0604030504040204" pitchFamily="34" charset="0"/>
                <a:cs typeface="Tahoma" panose="020B0604030504040204" pitchFamily="34" charset="0"/>
              </a:defRPr>
            </a:pPr>
            <a:endParaRPr lang="es-CO"/>
          </a:p>
        </c:txPr>
        <c:crossAx val="192820688"/>
        <c:crosses val="autoZero"/>
        <c:auto val="1"/>
        <c:lblAlgn val="ctr"/>
        <c:lblOffset val="100"/>
        <c:noMultiLvlLbl val="0"/>
      </c:catAx>
      <c:valAx>
        <c:axId val="192820688"/>
        <c:scaling>
          <c:orientation val="minMax"/>
        </c:scaling>
        <c:delete val="1"/>
        <c:axPos val="l"/>
        <c:numFmt formatCode="General" sourceLinked="1"/>
        <c:majorTickMark val="none"/>
        <c:minorTickMark val="none"/>
        <c:tickLblPos val="nextTo"/>
        <c:crossAx val="192846240"/>
        <c:crosses val="autoZero"/>
        <c:crossBetween val="between"/>
      </c:valAx>
      <c:spPr>
        <a:noFill/>
        <a:ln w="25400">
          <a:noFill/>
        </a:ln>
        <a:effectLst/>
      </c:spPr>
    </c:plotArea>
    <c:plotVisOnly val="1"/>
    <c:dispBlanksAs val="gap"/>
    <c:showDLblsOverMax val="0"/>
  </c:chart>
  <c:spPr>
    <a:solidFill>
      <a:schemeClr val="tx1"/>
    </a:solidFill>
    <a:ln>
      <a:noFill/>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292654399632407"/>
          <c:y val="0.11617159301024547"/>
          <c:w val="0.59195416222839514"/>
          <c:h val="0.88382840698975451"/>
        </c:manualLayout>
      </c:layout>
      <c:doughnutChart>
        <c:varyColors val="1"/>
        <c:ser>
          <c:idx val="0"/>
          <c:order val="0"/>
          <c:dPt>
            <c:idx val="0"/>
            <c:bubble3D val="0"/>
            <c:spPr>
              <a:solidFill>
                <a:srgbClr val="002060"/>
              </a:solidFill>
              <a:ln w="19050">
                <a:solidFill>
                  <a:schemeClr val="lt1"/>
                </a:solidFill>
              </a:ln>
              <a:effectLst/>
            </c:spPr>
            <c:extLst>
              <c:ext xmlns:c16="http://schemas.microsoft.com/office/drawing/2014/chart" uri="{C3380CC4-5D6E-409C-BE32-E72D297353CC}">
                <c16:uniqueId val="{00000001-1DB2-44D9-8B84-FA5272880262}"/>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1DB2-44D9-8B84-FA5272880262}"/>
              </c:ext>
            </c:extLst>
          </c:dPt>
          <c:val>
            <c:numRef>
              <c:f>Velocimetro!$D$5:$D$6</c:f>
              <c:numCache>
                <c:formatCode>0%</c:formatCode>
                <c:ptCount val="2"/>
                <c:pt idx="0">
                  <c:v>0</c:v>
                </c:pt>
                <c:pt idx="1">
                  <c:v>0</c:v>
                </c:pt>
              </c:numCache>
            </c:numRef>
          </c:val>
          <c:extLst>
            <c:ext xmlns:c16="http://schemas.microsoft.com/office/drawing/2014/chart" uri="{C3380CC4-5D6E-409C-BE32-E72D297353CC}">
              <c16:uniqueId val="{00000004-1DB2-44D9-8B84-FA5272880262}"/>
            </c:ext>
          </c:extLst>
        </c:ser>
        <c:dLbls>
          <c:showLegendKey val="0"/>
          <c:showVal val="0"/>
          <c:showCatName val="0"/>
          <c:showSerName val="0"/>
          <c:showPercent val="0"/>
          <c:showBubbleSize val="0"/>
          <c:showLeaderLines val="1"/>
        </c:dLbls>
        <c:firstSliceAng val="0"/>
        <c:holeSize val="73"/>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3333"/>
            </a:solidFill>
            <a:ln>
              <a:noFill/>
            </a:ln>
            <a:effectLst/>
            <a:scene3d>
              <a:camera prst="orthographicFront"/>
              <a:lightRig rig="threePt" dir="t"/>
            </a:scene3d>
            <a:sp3d prstMaterial="plastic"/>
          </c:spPr>
          <c:invertIfNegative val="0"/>
          <c:dPt>
            <c:idx val="0"/>
            <c:invertIfNegative val="0"/>
            <c:bubble3D val="0"/>
            <c:spPr>
              <a:solidFill>
                <a:srgbClr val="FF0000"/>
              </a:solidFill>
              <a:ln>
                <a:noFill/>
              </a:ln>
              <a:effectLst/>
              <a:scene3d>
                <a:camera prst="orthographicFront"/>
                <a:lightRig rig="threePt" dir="t"/>
              </a:scene3d>
              <a:sp3d prstMaterial="plastic"/>
            </c:spPr>
            <c:extLst>
              <c:ext xmlns:c16="http://schemas.microsoft.com/office/drawing/2014/chart" uri="{C3380CC4-5D6E-409C-BE32-E72D297353CC}">
                <c16:uniqueId val="{00000001-2C06-4AD4-A660-954E47983206}"/>
              </c:ext>
            </c:extLst>
          </c:dPt>
          <c:val>
            <c:numRef>
              <c:f>Termometro!$C$5</c:f>
              <c:numCache>
                <c:formatCode>0%</c:formatCode>
                <c:ptCount val="1"/>
                <c:pt idx="0">
                  <c:v>0</c:v>
                </c:pt>
              </c:numCache>
            </c:numRef>
          </c:val>
          <c:extLst>
            <c:ext xmlns:c16="http://schemas.microsoft.com/office/drawing/2014/chart" uri="{C3380CC4-5D6E-409C-BE32-E72D297353CC}">
              <c16:uniqueId val="{00000002-2C06-4AD4-A660-954E47983206}"/>
            </c:ext>
          </c:extLst>
        </c:ser>
        <c:dLbls>
          <c:showLegendKey val="0"/>
          <c:showVal val="0"/>
          <c:showCatName val="0"/>
          <c:showSerName val="0"/>
          <c:showPercent val="0"/>
          <c:showBubbleSize val="0"/>
        </c:dLbls>
        <c:gapWidth val="311"/>
        <c:axId val="169327808"/>
        <c:axId val="168588920"/>
      </c:barChart>
      <c:catAx>
        <c:axId val="169327808"/>
        <c:scaling>
          <c:orientation val="minMax"/>
        </c:scaling>
        <c:delete val="1"/>
        <c:axPos val="b"/>
        <c:majorTickMark val="out"/>
        <c:minorTickMark val="none"/>
        <c:tickLblPos val="none"/>
        <c:crossAx val="168588920"/>
        <c:crosses val="autoZero"/>
        <c:auto val="1"/>
        <c:lblAlgn val="ctr"/>
        <c:lblOffset val="100"/>
        <c:noMultiLvlLbl val="0"/>
      </c:catAx>
      <c:valAx>
        <c:axId val="168588920"/>
        <c:scaling>
          <c:orientation val="minMax"/>
          <c:max val="1"/>
          <c:min val="0"/>
        </c:scaling>
        <c:delete val="0"/>
        <c:axPos val="l"/>
        <c:numFmt formatCode="0%" sourceLinked="1"/>
        <c:majorTickMark val="out"/>
        <c:minorTickMark val="none"/>
        <c:tickLblPos val="nextTo"/>
        <c:txPr>
          <a:bodyPr/>
          <a:lstStyle/>
          <a:p>
            <a:pPr>
              <a:defRPr sz="800" b="1"/>
            </a:pPr>
            <a:endParaRPr lang="es-CO"/>
          </a:p>
        </c:txPr>
        <c:crossAx val="169327808"/>
        <c:crosses val="autoZero"/>
        <c:crossBetween val="between"/>
        <c:majorUnit val="0.1"/>
      </c:valAx>
      <c:spPr>
        <a:noFill/>
        <a:ln w="25400">
          <a:noFill/>
        </a:ln>
      </c:spPr>
    </c:plotArea>
    <c:plotVisOnly val="1"/>
    <c:dispBlanksAs val="gap"/>
    <c:showDLblsOverMax val="0"/>
  </c:chart>
  <c:spPr>
    <a:noFill/>
    <a:ln>
      <a:noFill/>
    </a:ln>
  </c:spPr>
  <c:printSettings>
    <c:headerFooter/>
    <c:pageMargins b="0.75000000000000322" l="0.70000000000000062" r="0.70000000000000062" t="0.75000000000000322"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3">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ahoma" panose="020B0604030504040204" pitchFamily="34" charset="0"/>
                    <a:ea typeface="Tahoma" panose="020B0604030504040204" pitchFamily="34" charset="0"/>
                    <a:cs typeface="Tahoma" panose="020B0604030504040204"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'Resultado año 2'!$B$4:$D$4</c:f>
              <c:strCache>
                <c:ptCount val="3"/>
                <c:pt idx="0">
                  <c:v> ∑ de Tareas</c:v>
                </c:pt>
                <c:pt idx="1">
                  <c:v># Tareas realizadas</c:v>
                </c:pt>
                <c:pt idx="2">
                  <c:v># Tareas sin realizar</c:v>
                </c:pt>
              </c:strCache>
            </c:strRef>
          </c:cat>
          <c:val>
            <c:numRef>
              <c:f>'Resultado año 2'!$B$5:$D$5</c:f>
              <c:numCache>
                <c:formatCode>General</c:formatCode>
                <c:ptCount val="3"/>
                <c:pt idx="0">
                  <c:v>0</c:v>
                </c:pt>
                <c:pt idx="1">
                  <c:v>0</c:v>
                </c:pt>
                <c:pt idx="2">
                  <c:v>0</c:v>
                </c:pt>
              </c:numCache>
            </c:numRef>
          </c:val>
          <c:extLst>
            <c:ext xmlns:c16="http://schemas.microsoft.com/office/drawing/2014/chart" uri="{C3380CC4-5D6E-409C-BE32-E72D297353CC}">
              <c16:uniqueId val="{00000000-43CE-4B4F-BA01-802B67E83532}"/>
            </c:ext>
          </c:extLst>
        </c:ser>
        <c:dLbls>
          <c:dLblPos val="outEnd"/>
          <c:showLegendKey val="0"/>
          <c:showVal val="1"/>
          <c:showCatName val="0"/>
          <c:showSerName val="0"/>
          <c:showPercent val="0"/>
          <c:showBubbleSize val="0"/>
        </c:dLbls>
        <c:gapWidth val="100"/>
        <c:overlap val="-24"/>
        <c:axId val="194839632"/>
        <c:axId val="195038832"/>
      </c:barChart>
      <c:catAx>
        <c:axId val="194839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Tahoma" panose="020B0604030504040204" pitchFamily="34" charset="0"/>
                <a:ea typeface="Tahoma" panose="020B0604030504040204" pitchFamily="34" charset="0"/>
                <a:cs typeface="Tahoma" panose="020B0604030504040204" pitchFamily="34" charset="0"/>
              </a:defRPr>
            </a:pPr>
            <a:endParaRPr lang="es-CO"/>
          </a:p>
        </c:txPr>
        <c:crossAx val="195038832"/>
        <c:crosses val="autoZero"/>
        <c:auto val="1"/>
        <c:lblAlgn val="ctr"/>
        <c:lblOffset val="100"/>
        <c:noMultiLvlLbl val="0"/>
      </c:catAx>
      <c:valAx>
        <c:axId val="195038832"/>
        <c:scaling>
          <c:orientation val="minMax"/>
        </c:scaling>
        <c:delete val="1"/>
        <c:axPos val="l"/>
        <c:numFmt formatCode="General" sourceLinked="1"/>
        <c:majorTickMark val="none"/>
        <c:minorTickMark val="none"/>
        <c:tickLblPos val="nextTo"/>
        <c:crossAx val="194839632"/>
        <c:crosses val="autoZero"/>
        <c:crossBetween val="between"/>
      </c:valAx>
      <c:spPr>
        <a:noFill/>
        <a:ln w="25400">
          <a:noFill/>
        </a:ln>
        <a:effectLst/>
      </c:spPr>
    </c:plotArea>
    <c:plotVisOnly val="1"/>
    <c:dispBlanksAs val="gap"/>
    <c:showDLblsOverMax val="0"/>
  </c:chart>
  <c:spPr>
    <a:solidFill>
      <a:schemeClr val="tx1"/>
    </a:solidFill>
    <a:ln>
      <a:noFill/>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292654399632407"/>
          <c:y val="0.11617159301024547"/>
          <c:w val="0.59195416222839514"/>
          <c:h val="0.88382840698975451"/>
        </c:manualLayout>
      </c:layout>
      <c:doughnutChart>
        <c:varyColors val="1"/>
        <c:ser>
          <c:idx val="0"/>
          <c:order val="0"/>
          <c:dPt>
            <c:idx val="0"/>
            <c:bubble3D val="0"/>
            <c:spPr>
              <a:solidFill>
                <a:srgbClr val="002060"/>
              </a:solidFill>
              <a:ln w="19050">
                <a:solidFill>
                  <a:schemeClr val="lt1"/>
                </a:solidFill>
              </a:ln>
              <a:effectLst/>
            </c:spPr>
            <c:extLst>
              <c:ext xmlns:c16="http://schemas.microsoft.com/office/drawing/2014/chart" uri="{C3380CC4-5D6E-409C-BE32-E72D297353CC}">
                <c16:uniqueId val="{00000001-4DF4-4F94-ADBE-44A2977FD8C4}"/>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4DF4-4F94-ADBE-44A2977FD8C4}"/>
              </c:ext>
            </c:extLst>
          </c:dPt>
          <c:val>
            <c:numRef>
              <c:f>Velocimetro!$D$10:$D$11</c:f>
              <c:numCache>
                <c:formatCode>0%</c:formatCode>
                <c:ptCount val="2"/>
                <c:pt idx="0">
                  <c:v>0</c:v>
                </c:pt>
                <c:pt idx="1">
                  <c:v>0</c:v>
                </c:pt>
              </c:numCache>
            </c:numRef>
          </c:val>
          <c:extLst>
            <c:ext xmlns:c16="http://schemas.microsoft.com/office/drawing/2014/chart" uri="{C3380CC4-5D6E-409C-BE32-E72D297353CC}">
              <c16:uniqueId val="{00000004-4DF4-4F94-ADBE-44A2977FD8C4}"/>
            </c:ext>
          </c:extLst>
        </c:ser>
        <c:dLbls>
          <c:showLegendKey val="0"/>
          <c:showVal val="0"/>
          <c:showCatName val="0"/>
          <c:showSerName val="0"/>
          <c:showPercent val="0"/>
          <c:showBubbleSize val="0"/>
          <c:showLeaderLines val="1"/>
        </c:dLbls>
        <c:firstSliceAng val="0"/>
        <c:holeSize val="73"/>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0000"/>
            </a:solidFill>
          </c:spPr>
          <c:invertIfNegative val="0"/>
          <c:val>
            <c:numRef>
              <c:f>Termometro!$C$11</c:f>
              <c:numCache>
                <c:formatCode>0%</c:formatCode>
                <c:ptCount val="1"/>
                <c:pt idx="0">
                  <c:v>0</c:v>
                </c:pt>
              </c:numCache>
            </c:numRef>
          </c:val>
          <c:extLst>
            <c:ext xmlns:c16="http://schemas.microsoft.com/office/drawing/2014/chart" uri="{C3380CC4-5D6E-409C-BE32-E72D297353CC}">
              <c16:uniqueId val="{00000002-2C06-4AD4-A660-954E47983206}"/>
            </c:ext>
          </c:extLst>
        </c:ser>
        <c:dLbls>
          <c:showLegendKey val="0"/>
          <c:showVal val="0"/>
          <c:showCatName val="0"/>
          <c:showSerName val="0"/>
          <c:showPercent val="0"/>
          <c:showBubbleSize val="0"/>
        </c:dLbls>
        <c:gapWidth val="311"/>
        <c:axId val="195425528"/>
        <c:axId val="195425912"/>
      </c:barChart>
      <c:catAx>
        <c:axId val="195425528"/>
        <c:scaling>
          <c:orientation val="minMax"/>
        </c:scaling>
        <c:delete val="1"/>
        <c:axPos val="b"/>
        <c:majorTickMark val="out"/>
        <c:minorTickMark val="none"/>
        <c:tickLblPos val="none"/>
        <c:crossAx val="195425912"/>
        <c:crosses val="autoZero"/>
        <c:auto val="1"/>
        <c:lblAlgn val="ctr"/>
        <c:lblOffset val="100"/>
        <c:noMultiLvlLbl val="0"/>
      </c:catAx>
      <c:valAx>
        <c:axId val="195425912"/>
        <c:scaling>
          <c:orientation val="minMax"/>
          <c:max val="1"/>
          <c:min val="0"/>
        </c:scaling>
        <c:delete val="0"/>
        <c:axPos val="l"/>
        <c:numFmt formatCode="0%" sourceLinked="1"/>
        <c:majorTickMark val="out"/>
        <c:minorTickMark val="none"/>
        <c:tickLblPos val="nextTo"/>
        <c:txPr>
          <a:bodyPr/>
          <a:lstStyle/>
          <a:p>
            <a:pPr>
              <a:defRPr sz="800" b="1"/>
            </a:pPr>
            <a:endParaRPr lang="es-CO"/>
          </a:p>
        </c:txPr>
        <c:crossAx val="195425528"/>
        <c:crosses val="autoZero"/>
        <c:crossBetween val="between"/>
        <c:majorUnit val="0.1"/>
      </c:valAx>
      <c:spPr>
        <a:noFill/>
        <a:ln w="25400">
          <a:noFill/>
        </a:ln>
      </c:spPr>
    </c:plotArea>
    <c:plotVisOnly val="1"/>
    <c:dispBlanksAs val="gap"/>
    <c:showDLblsOverMax val="0"/>
  </c:chart>
  <c:spPr>
    <a:noFill/>
    <a:ln>
      <a:noFill/>
    </a:ln>
  </c:spPr>
  <c:printSettings>
    <c:headerFooter/>
    <c:pageMargins b="0.75000000000000322" l="0.70000000000000062" r="0.70000000000000062" t="0.75000000000000322"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noFill/>
            <a:ln w="9525" cap="flat" cmpd="sng" algn="ctr">
              <a:solidFill>
                <a:schemeClr val="accent1"/>
              </a:solidFill>
              <a:miter lim="800000"/>
            </a:ln>
            <a:effectLst>
              <a:glow rad="63500">
                <a:schemeClr val="accent1">
                  <a:satMod val="175000"/>
                  <a:alpha val="25000"/>
                </a:schemeClr>
              </a:glow>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'Consolidado Final'!$B$4:$D$4</c:f>
              <c:strCache>
                <c:ptCount val="3"/>
                <c:pt idx="0">
                  <c:v> ∑ de Tareas</c:v>
                </c:pt>
                <c:pt idx="1">
                  <c:v># Tareas realizadas</c:v>
                </c:pt>
                <c:pt idx="2">
                  <c:v># Tareas sin realizar</c:v>
                </c:pt>
              </c:strCache>
            </c:strRef>
          </c:cat>
          <c:val>
            <c:numRef>
              <c:f>'Consolidado Final'!$B$5:$D$5</c:f>
              <c:numCache>
                <c:formatCode>General</c:formatCode>
                <c:ptCount val="3"/>
                <c:pt idx="0">
                  <c:v>0</c:v>
                </c:pt>
                <c:pt idx="1">
                  <c:v>0</c:v>
                </c:pt>
                <c:pt idx="2">
                  <c:v>0</c:v>
                </c:pt>
              </c:numCache>
            </c:numRef>
          </c:val>
          <c:extLst>
            <c:ext xmlns:c16="http://schemas.microsoft.com/office/drawing/2014/chart" uri="{C3380CC4-5D6E-409C-BE32-E72D297353CC}">
              <c16:uniqueId val="{00000000-CD99-4EF2-9F47-5CB601FEDCDE}"/>
            </c:ext>
          </c:extLst>
        </c:ser>
        <c:dLbls>
          <c:dLblPos val="outEnd"/>
          <c:showLegendKey val="0"/>
          <c:showVal val="1"/>
          <c:showCatName val="0"/>
          <c:showSerName val="0"/>
          <c:showPercent val="0"/>
          <c:showBubbleSize val="0"/>
        </c:dLbls>
        <c:gapWidth val="315"/>
        <c:overlap val="-40"/>
        <c:axId val="168238656"/>
        <c:axId val="168238264"/>
      </c:barChart>
      <c:catAx>
        <c:axId val="1682386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O"/>
          </a:p>
        </c:txPr>
        <c:crossAx val="168238264"/>
        <c:crosses val="autoZero"/>
        <c:auto val="1"/>
        <c:lblAlgn val="ctr"/>
        <c:lblOffset val="100"/>
        <c:noMultiLvlLbl val="0"/>
      </c:catAx>
      <c:valAx>
        <c:axId val="1682382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O"/>
          </a:p>
        </c:txPr>
        <c:crossAx val="168238656"/>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292654399632407"/>
          <c:y val="0.11617159301024547"/>
          <c:w val="0.59195416222839514"/>
          <c:h val="0.88382840698975451"/>
        </c:manualLayout>
      </c:layout>
      <c:doughnutChart>
        <c:varyColors val="1"/>
        <c:ser>
          <c:idx val="0"/>
          <c:order val="0"/>
          <c:dPt>
            <c:idx val="0"/>
            <c:bubble3D val="0"/>
            <c:spPr>
              <a:solidFill>
                <a:srgbClr val="002060"/>
              </a:solidFill>
              <a:ln w="19050">
                <a:solidFill>
                  <a:schemeClr val="lt1"/>
                </a:solidFill>
              </a:ln>
              <a:effectLst/>
            </c:spPr>
            <c:extLst>
              <c:ext xmlns:c16="http://schemas.microsoft.com/office/drawing/2014/chart" uri="{C3380CC4-5D6E-409C-BE32-E72D297353CC}">
                <c16:uniqueId val="{00000001-E764-48CC-8CE0-EC3515B8A4D9}"/>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E764-48CC-8CE0-EC3515B8A4D9}"/>
              </c:ext>
            </c:extLst>
          </c:dPt>
          <c:val>
            <c:numRef>
              <c:f>Velocimetro!$D$15:$D$16</c:f>
              <c:numCache>
                <c:formatCode>0%</c:formatCode>
                <c:ptCount val="2"/>
                <c:pt idx="0">
                  <c:v>0</c:v>
                </c:pt>
                <c:pt idx="1">
                  <c:v>0</c:v>
                </c:pt>
              </c:numCache>
            </c:numRef>
          </c:val>
          <c:extLst>
            <c:ext xmlns:c16="http://schemas.microsoft.com/office/drawing/2014/chart" uri="{C3380CC4-5D6E-409C-BE32-E72D297353CC}">
              <c16:uniqueId val="{00000004-E764-48CC-8CE0-EC3515B8A4D9}"/>
            </c:ext>
          </c:extLst>
        </c:ser>
        <c:dLbls>
          <c:showLegendKey val="0"/>
          <c:showVal val="0"/>
          <c:showCatName val="0"/>
          <c:showSerName val="0"/>
          <c:showPercent val="0"/>
          <c:showBubbleSize val="0"/>
          <c:showLeaderLines val="1"/>
        </c:dLbls>
        <c:firstSliceAng val="0"/>
        <c:holeSize val="73"/>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0000"/>
            </a:solidFill>
          </c:spPr>
          <c:invertIfNegative val="0"/>
          <c:val>
            <c:numRef>
              <c:f>Termometro!$C$17</c:f>
              <c:numCache>
                <c:formatCode>0%</c:formatCode>
                <c:ptCount val="1"/>
                <c:pt idx="0">
                  <c:v>0</c:v>
                </c:pt>
              </c:numCache>
            </c:numRef>
          </c:val>
          <c:extLst>
            <c:ext xmlns:c16="http://schemas.microsoft.com/office/drawing/2014/chart" uri="{C3380CC4-5D6E-409C-BE32-E72D297353CC}">
              <c16:uniqueId val="{00000002-2C06-4AD4-A660-954E47983206}"/>
            </c:ext>
          </c:extLst>
        </c:ser>
        <c:dLbls>
          <c:showLegendKey val="0"/>
          <c:showVal val="0"/>
          <c:showCatName val="0"/>
          <c:showSerName val="0"/>
          <c:showPercent val="0"/>
          <c:showBubbleSize val="0"/>
        </c:dLbls>
        <c:gapWidth val="311"/>
        <c:axId val="168237480"/>
        <c:axId val="168239440"/>
      </c:barChart>
      <c:catAx>
        <c:axId val="168237480"/>
        <c:scaling>
          <c:orientation val="minMax"/>
        </c:scaling>
        <c:delete val="1"/>
        <c:axPos val="b"/>
        <c:majorTickMark val="out"/>
        <c:minorTickMark val="none"/>
        <c:tickLblPos val="none"/>
        <c:crossAx val="168239440"/>
        <c:crosses val="autoZero"/>
        <c:auto val="1"/>
        <c:lblAlgn val="ctr"/>
        <c:lblOffset val="100"/>
        <c:noMultiLvlLbl val="0"/>
      </c:catAx>
      <c:valAx>
        <c:axId val="168239440"/>
        <c:scaling>
          <c:orientation val="minMax"/>
          <c:max val="1"/>
          <c:min val="0"/>
        </c:scaling>
        <c:delete val="0"/>
        <c:axPos val="l"/>
        <c:numFmt formatCode="0%" sourceLinked="1"/>
        <c:majorTickMark val="out"/>
        <c:minorTickMark val="none"/>
        <c:tickLblPos val="nextTo"/>
        <c:txPr>
          <a:bodyPr/>
          <a:lstStyle/>
          <a:p>
            <a:pPr>
              <a:defRPr sz="800" b="1"/>
            </a:pPr>
            <a:endParaRPr lang="es-CO"/>
          </a:p>
        </c:txPr>
        <c:crossAx val="168237480"/>
        <c:crosses val="autoZero"/>
        <c:crossBetween val="between"/>
        <c:majorUnit val="0.1"/>
      </c:valAx>
      <c:spPr>
        <a:noFill/>
        <a:ln w="25400">
          <a:noFill/>
        </a:ln>
      </c:spPr>
    </c:plotArea>
    <c:plotVisOnly val="1"/>
    <c:dispBlanksAs val="gap"/>
    <c:showDLblsOverMax val="0"/>
  </c:chart>
  <c:spPr>
    <a:noFill/>
    <a:ln>
      <a:noFill/>
    </a:ln>
  </c:spPr>
  <c:printSettings>
    <c:headerFooter/>
    <c:pageMargins b="0.75000000000000322" l="0.70000000000000062" r="0.70000000000000062" t="0.75000000000000322"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A&#241;o 2'!A1"/><Relationship Id="rId2" Type="http://schemas.openxmlformats.org/officeDocument/2006/relationships/hyperlink" Target="#'Resultado a&#241;o 1'!A1"/><Relationship Id="rId1" Type="http://schemas.openxmlformats.org/officeDocument/2006/relationships/hyperlink" Target="#'A&#241;o 1'!A1"/><Relationship Id="rId6" Type="http://schemas.openxmlformats.org/officeDocument/2006/relationships/image" Target="../media/image1.jpg"/><Relationship Id="rId5" Type="http://schemas.openxmlformats.org/officeDocument/2006/relationships/hyperlink" Target="#'Consolidado Final'!A1"/><Relationship Id="rId4" Type="http://schemas.openxmlformats.org/officeDocument/2006/relationships/hyperlink" Target="#'Resultado a&#241;o 2'!A1"/></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ICIO!A1"/></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INICIO!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INICIO!A1"/></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hyperlink" Target="#INICIO!A1"/></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hyperlink" Target="#INICIO!A1"/></Relationships>
</file>

<file path=xl/drawings/drawing1.xml><?xml version="1.0" encoding="utf-8"?>
<xdr:wsDr xmlns:xdr="http://schemas.openxmlformats.org/drawingml/2006/spreadsheetDrawing" xmlns:a="http://schemas.openxmlformats.org/drawingml/2006/main">
  <xdr:twoCellAnchor>
    <xdr:from>
      <xdr:col>2</xdr:col>
      <xdr:colOff>391027</xdr:colOff>
      <xdr:row>20</xdr:row>
      <xdr:rowOff>23812</xdr:rowOff>
    </xdr:from>
    <xdr:to>
      <xdr:col>3</xdr:col>
      <xdr:colOff>541421</xdr:colOff>
      <xdr:row>22</xdr:row>
      <xdr:rowOff>71437</xdr:rowOff>
    </xdr:to>
    <xdr:sp macro="" textlink="">
      <xdr:nvSpPr>
        <xdr:cNvPr id="8" name="Rectángulo 7">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1965159" y="4124575"/>
          <a:ext cx="561473" cy="408573"/>
        </a:xfrm>
        <a:prstGeom prst="rect">
          <a:avLst/>
        </a:prstGeom>
        <a:noFill/>
        <a:ln w="12700" cmpd="dbl">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FF00"/>
              </a:solidFill>
              <a:latin typeface="Tahoma" panose="020B0604030504040204" pitchFamily="34" charset="0"/>
              <a:ea typeface="Tahoma" panose="020B0604030504040204" pitchFamily="34" charset="0"/>
              <a:cs typeface="Tahoma" panose="020B0604030504040204" pitchFamily="34" charset="0"/>
            </a:rPr>
            <a:t>Año</a:t>
          </a:r>
          <a:r>
            <a:rPr lang="es-CO" sz="1100" baseline="0">
              <a:solidFill>
                <a:srgbClr val="FFFF00"/>
              </a:solidFill>
              <a:latin typeface="Tahoma" panose="020B0604030504040204" pitchFamily="34" charset="0"/>
              <a:ea typeface="Tahoma" panose="020B0604030504040204" pitchFamily="34" charset="0"/>
              <a:cs typeface="Tahoma" panose="020B0604030504040204" pitchFamily="34" charset="0"/>
            </a:rPr>
            <a:t> 1</a:t>
          </a:r>
          <a:endParaRPr lang="es-CO" sz="1100">
            <a:solidFill>
              <a:srgbClr val="FFFF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3</xdr:col>
      <xdr:colOff>586668</xdr:colOff>
      <xdr:row>20</xdr:row>
      <xdr:rowOff>21430</xdr:rowOff>
    </xdr:from>
    <xdr:to>
      <xdr:col>5</xdr:col>
      <xdr:colOff>221519</xdr:colOff>
      <xdr:row>22</xdr:row>
      <xdr:rowOff>69055</xdr:rowOff>
    </xdr:to>
    <xdr:sp macro="" textlink="">
      <xdr:nvSpPr>
        <xdr:cNvPr id="11" name="Rectángulo 10">
          <a:hlinkClick xmlns:r="http://schemas.openxmlformats.org/officeDocument/2006/relationships" r:id="rId2"/>
          <a:extLst>
            <a:ext uri="{FF2B5EF4-FFF2-40B4-BE49-F238E27FC236}">
              <a16:creationId xmlns:a16="http://schemas.microsoft.com/office/drawing/2014/main" id="{00000000-0008-0000-0200-00000B000000}"/>
            </a:ext>
          </a:extLst>
        </xdr:cNvPr>
        <xdr:cNvSpPr/>
      </xdr:nvSpPr>
      <xdr:spPr>
        <a:xfrm>
          <a:off x="2571879" y="4122193"/>
          <a:ext cx="1198956" cy="408573"/>
        </a:xfrm>
        <a:prstGeom prst="rect">
          <a:avLst/>
        </a:prstGeom>
        <a:noFill/>
        <a:ln w="12700" cmpd="dbl">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FF00"/>
              </a:solidFill>
              <a:latin typeface="Tahoma" panose="020B0604030504040204" pitchFamily="34" charset="0"/>
              <a:ea typeface="Tahoma" panose="020B0604030504040204" pitchFamily="34" charset="0"/>
              <a:cs typeface="Tahoma" panose="020B0604030504040204" pitchFamily="34" charset="0"/>
            </a:rPr>
            <a:t>Resultado</a:t>
          </a:r>
          <a:r>
            <a:rPr lang="es-CO" sz="1100" baseline="0">
              <a:solidFill>
                <a:srgbClr val="FFFF00"/>
              </a:solidFill>
              <a:latin typeface="Tahoma" panose="020B0604030504040204" pitchFamily="34" charset="0"/>
              <a:ea typeface="Tahoma" panose="020B0604030504040204" pitchFamily="34" charset="0"/>
              <a:cs typeface="Tahoma" panose="020B0604030504040204" pitchFamily="34" charset="0"/>
            </a:rPr>
            <a:t> Año 1</a:t>
          </a:r>
          <a:endParaRPr lang="es-CO" sz="1100">
            <a:solidFill>
              <a:srgbClr val="FFFF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5</xdr:col>
      <xdr:colOff>404600</xdr:colOff>
      <xdr:row>20</xdr:row>
      <xdr:rowOff>25089</xdr:rowOff>
    </xdr:from>
    <xdr:to>
      <xdr:col>6</xdr:col>
      <xdr:colOff>352611</xdr:colOff>
      <xdr:row>22</xdr:row>
      <xdr:rowOff>72714</xdr:rowOff>
    </xdr:to>
    <xdr:sp macro="" textlink="">
      <xdr:nvSpPr>
        <xdr:cNvPr id="12" name="Rectángulo 11">
          <a:hlinkClick xmlns:r="http://schemas.openxmlformats.org/officeDocument/2006/relationships" r:id="rId3"/>
          <a:extLst>
            <a:ext uri="{FF2B5EF4-FFF2-40B4-BE49-F238E27FC236}">
              <a16:creationId xmlns:a16="http://schemas.microsoft.com/office/drawing/2014/main" id="{00000000-0008-0000-0200-00000C000000}"/>
            </a:ext>
          </a:extLst>
        </xdr:cNvPr>
        <xdr:cNvSpPr/>
      </xdr:nvSpPr>
      <xdr:spPr>
        <a:xfrm>
          <a:off x="3953916" y="4125852"/>
          <a:ext cx="559616" cy="408573"/>
        </a:xfrm>
        <a:prstGeom prst="rect">
          <a:avLst/>
        </a:prstGeom>
        <a:noFill/>
        <a:ln w="12700" cmpd="dbl">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FF00"/>
              </a:solidFill>
              <a:latin typeface="Tahoma" panose="020B0604030504040204" pitchFamily="34" charset="0"/>
              <a:ea typeface="Tahoma" panose="020B0604030504040204" pitchFamily="34" charset="0"/>
              <a:cs typeface="Tahoma" panose="020B0604030504040204" pitchFamily="34" charset="0"/>
            </a:rPr>
            <a:t>Año</a:t>
          </a:r>
          <a:r>
            <a:rPr lang="es-CO" sz="1100" baseline="0">
              <a:solidFill>
                <a:srgbClr val="FFFF00"/>
              </a:solidFill>
              <a:latin typeface="Tahoma" panose="020B0604030504040204" pitchFamily="34" charset="0"/>
              <a:ea typeface="Tahoma" panose="020B0604030504040204" pitchFamily="34" charset="0"/>
              <a:cs typeface="Tahoma" panose="020B0604030504040204" pitchFamily="34" charset="0"/>
            </a:rPr>
            <a:t> 2</a:t>
          </a:r>
          <a:endParaRPr lang="es-CO" sz="1100">
            <a:solidFill>
              <a:srgbClr val="FFFF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6</xdr:col>
      <xdr:colOff>397486</xdr:colOff>
      <xdr:row>20</xdr:row>
      <xdr:rowOff>22707</xdr:rowOff>
    </xdr:from>
    <xdr:to>
      <xdr:col>8</xdr:col>
      <xdr:colOff>370981</xdr:colOff>
      <xdr:row>22</xdr:row>
      <xdr:rowOff>70332</xdr:rowOff>
    </xdr:to>
    <xdr:sp macro="" textlink="">
      <xdr:nvSpPr>
        <xdr:cNvPr id="13" name="Rectángulo 12">
          <a:hlinkClick xmlns:r="http://schemas.openxmlformats.org/officeDocument/2006/relationships" r:id="rId4"/>
          <a:extLst>
            <a:ext uri="{FF2B5EF4-FFF2-40B4-BE49-F238E27FC236}">
              <a16:creationId xmlns:a16="http://schemas.microsoft.com/office/drawing/2014/main" id="{00000000-0008-0000-0200-00000D000000}"/>
            </a:ext>
          </a:extLst>
        </xdr:cNvPr>
        <xdr:cNvSpPr/>
      </xdr:nvSpPr>
      <xdr:spPr>
        <a:xfrm>
          <a:off x="4558407" y="4123470"/>
          <a:ext cx="1206732" cy="408573"/>
        </a:xfrm>
        <a:prstGeom prst="rect">
          <a:avLst/>
        </a:prstGeom>
        <a:noFill/>
        <a:ln w="12700" cmpd="dbl">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FF00"/>
              </a:solidFill>
              <a:latin typeface="Tahoma" panose="020B0604030504040204" pitchFamily="34" charset="0"/>
              <a:ea typeface="Tahoma" panose="020B0604030504040204" pitchFamily="34" charset="0"/>
              <a:cs typeface="Tahoma" panose="020B0604030504040204" pitchFamily="34" charset="0"/>
            </a:rPr>
            <a:t>Resultado</a:t>
          </a:r>
          <a:r>
            <a:rPr lang="es-CO" sz="1100" baseline="0">
              <a:solidFill>
                <a:srgbClr val="FFFF00"/>
              </a:solidFill>
              <a:latin typeface="Tahoma" panose="020B0604030504040204" pitchFamily="34" charset="0"/>
              <a:ea typeface="Tahoma" panose="020B0604030504040204" pitchFamily="34" charset="0"/>
              <a:cs typeface="Tahoma" panose="020B0604030504040204" pitchFamily="34" charset="0"/>
            </a:rPr>
            <a:t> Año 2</a:t>
          </a:r>
          <a:endParaRPr lang="es-CO" sz="1100">
            <a:solidFill>
              <a:srgbClr val="FFFF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8</xdr:col>
      <xdr:colOff>549193</xdr:colOff>
      <xdr:row>19</xdr:row>
      <xdr:rowOff>181676</xdr:rowOff>
    </xdr:from>
    <xdr:to>
      <xdr:col>9</xdr:col>
      <xdr:colOff>741954</xdr:colOff>
      <xdr:row>22</xdr:row>
      <xdr:rowOff>91966</xdr:rowOff>
    </xdr:to>
    <xdr:sp macro="" textlink="">
      <xdr:nvSpPr>
        <xdr:cNvPr id="14" name="Rectángulo 13">
          <a:hlinkClick xmlns:r="http://schemas.openxmlformats.org/officeDocument/2006/relationships" r:id="rId5"/>
          <a:extLst>
            <a:ext uri="{FF2B5EF4-FFF2-40B4-BE49-F238E27FC236}">
              <a16:creationId xmlns:a16="http://schemas.microsoft.com/office/drawing/2014/main" id="{00000000-0008-0000-0200-00000E000000}"/>
            </a:ext>
          </a:extLst>
        </xdr:cNvPr>
        <xdr:cNvSpPr/>
      </xdr:nvSpPr>
      <xdr:spPr>
        <a:xfrm>
          <a:off x="5943351" y="4091939"/>
          <a:ext cx="954761" cy="461738"/>
        </a:xfrm>
        <a:prstGeom prst="rect">
          <a:avLst/>
        </a:prstGeom>
        <a:noFill/>
        <a:ln w="12700" cmpd="dbl">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FF00"/>
              </a:solidFill>
              <a:latin typeface="Tahoma" panose="020B0604030504040204" pitchFamily="34" charset="0"/>
              <a:ea typeface="Tahoma" panose="020B0604030504040204" pitchFamily="34" charset="0"/>
              <a:cs typeface="Tahoma" panose="020B0604030504040204" pitchFamily="34" charset="0"/>
            </a:rPr>
            <a:t>Consolidado</a:t>
          </a:r>
        </a:p>
        <a:p>
          <a:pPr algn="ctr"/>
          <a:r>
            <a:rPr lang="es-CO" sz="1100">
              <a:solidFill>
                <a:srgbClr val="FFFF00"/>
              </a:solidFill>
              <a:latin typeface="Tahoma" panose="020B0604030504040204" pitchFamily="34" charset="0"/>
              <a:ea typeface="Tahoma" panose="020B0604030504040204" pitchFamily="34" charset="0"/>
              <a:cs typeface="Tahoma" panose="020B0604030504040204" pitchFamily="34" charset="0"/>
            </a:rPr>
            <a:t>Final</a:t>
          </a:r>
        </a:p>
      </xdr:txBody>
    </xdr:sp>
    <xdr:clientData/>
  </xdr:twoCellAnchor>
  <xdr:twoCellAnchor>
    <xdr:from>
      <xdr:col>1</xdr:col>
      <xdr:colOff>1243262</xdr:colOff>
      <xdr:row>20</xdr:row>
      <xdr:rowOff>90235</xdr:rowOff>
    </xdr:from>
    <xdr:to>
      <xdr:col>2</xdr:col>
      <xdr:colOff>270708</xdr:colOff>
      <xdr:row>22</xdr:row>
      <xdr:rowOff>30077</xdr:rowOff>
    </xdr:to>
    <xdr:sp macro="" textlink="">
      <xdr:nvSpPr>
        <xdr:cNvPr id="15" name="CuadroTexto 14">
          <a:extLst>
            <a:ext uri="{FF2B5EF4-FFF2-40B4-BE49-F238E27FC236}">
              <a16:creationId xmlns:a16="http://schemas.microsoft.com/office/drawing/2014/main" id="{00000000-0008-0000-0200-00000F000000}"/>
            </a:ext>
          </a:extLst>
        </xdr:cNvPr>
        <xdr:cNvSpPr txBox="1"/>
      </xdr:nvSpPr>
      <xdr:spPr>
        <a:xfrm>
          <a:off x="1473867" y="4190998"/>
          <a:ext cx="370973" cy="300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solidFill>
                <a:srgbClr val="FFFF00"/>
              </a:solidFill>
              <a:latin typeface="Tahoma" panose="020B0604030504040204" pitchFamily="34" charset="0"/>
              <a:ea typeface="Tahoma" panose="020B0604030504040204" pitchFamily="34" charset="0"/>
              <a:cs typeface="Tahoma" panose="020B0604030504040204" pitchFamily="34" charset="0"/>
            </a:rPr>
            <a:t>IR</a:t>
          </a:r>
        </a:p>
      </xdr:txBody>
    </xdr:sp>
    <xdr:clientData/>
  </xdr:twoCellAnchor>
  <xdr:twoCellAnchor>
    <xdr:from>
      <xdr:col>5</xdr:col>
      <xdr:colOff>20056</xdr:colOff>
      <xdr:row>20</xdr:row>
      <xdr:rowOff>60158</xdr:rowOff>
    </xdr:from>
    <xdr:to>
      <xdr:col>5</xdr:col>
      <xdr:colOff>561477</xdr:colOff>
      <xdr:row>22</xdr:row>
      <xdr:rowOff>10026</xdr:rowOff>
    </xdr:to>
    <xdr:sp macro="" textlink="">
      <xdr:nvSpPr>
        <xdr:cNvPr id="16" name="CuadroTexto 15">
          <a:extLst>
            <a:ext uri="{FF2B5EF4-FFF2-40B4-BE49-F238E27FC236}">
              <a16:creationId xmlns:a16="http://schemas.microsoft.com/office/drawing/2014/main" id="{00000000-0008-0000-0200-000010000000}"/>
            </a:ext>
          </a:extLst>
        </xdr:cNvPr>
        <xdr:cNvSpPr txBox="1"/>
      </xdr:nvSpPr>
      <xdr:spPr>
        <a:xfrm>
          <a:off x="3569372" y="4160921"/>
          <a:ext cx="541421" cy="310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800" b="1" baseline="0">
              <a:solidFill>
                <a:schemeClr val="bg1"/>
              </a:solidFill>
            </a:rPr>
            <a:t> -</a:t>
          </a:r>
          <a:endParaRPr lang="es-CO" sz="1800" b="1">
            <a:solidFill>
              <a:schemeClr val="bg1"/>
            </a:solidFill>
          </a:endParaRPr>
        </a:p>
      </xdr:txBody>
    </xdr:sp>
    <xdr:clientData/>
  </xdr:twoCellAnchor>
  <xdr:twoCellAnchor>
    <xdr:from>
      <xdr:col>8</xdr:col>
      <xdr:colOff>162430</xdr:colOff>
      <xdr:row>20</xdr:row>
      <xdr:rowOff>42111</xdr:rowOff>
    </xdr:from>
    <xdr:to>
      <xdr:col>8</xdr:col>
      <xdr:colOff>703851</xdr:colOff>
      <xdr:row>21</xdr:row>
      <xdr:rowOff>172453</xdr:rowOff>
    </xdr:to>
    <xdr:sp macro="" textlink="">
      <xdr:nvSpPr>
        <xdr:cNvPr id="17" name="CuadroTexto 16">
          <a:extLst>
            <a:ext uri="{FF2B5EF4-FFF2-40B4-BE49-F238E27FC236}">
              <a16:creationId xmlns:a16="http://schemas.microsoft.com/office/drawing/2014/main" id="{00000000-0008-0000-0200-000011000000}"/>
            </a:ext>
          </a:extLst>
        </xdr:cNvPr>
        <xdr:cNvSpPr txBox="1"/>
      </xdr:nvSpPr>
      <xdr:spPr>
        <a:xfrm>
          <a:off x="5556588" y="4142874"/>
          <a:ext cx="541421" cy="310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800" b="1" baseline="0">
              <a:solidFill>
                <a:schemeClr val="bg1"/>
              </a:solidFill>
            </a:rPr>
            <a:t> -</a:t>
          </a:r>
          <a:endParaRPr lang="es-CO" sz="1800" b="1">
            <a:solidFill>
              <a:schemeClr val="bg1"/>
            </a:solidFill>
          </a:endParaRPr>
        </a:p>
      </xdr:txBody>
    </xdr:sp>
    <xdr:clientData/>
  </xdr:twoCellAnchor>
  <xdr:twoCellAnchor>
    <xdr:from>
      <xdr:col>1</xdr:col>
      <xdr:colOff>10026</xdr:colOff>
      <xdr:row>1</xdr:row>
      <xdr:rowOff>170447</xdr:rowOff>
    </xdr:from>
    <xdr:to>
      <xdr:col>11</xdr:col>
      <xdr:colOff>362576</xdr:colOff>
      <xdr:row>7</xdr:row>
      <xdr:rowOff>168568</xdr:rowOff>
    </xdr:to>
    <xdr:grpSp>
      <xdr:nvGrpSpPr>
        <xdr:cNvPr id="18" name="Grupo 17">
          <a:extLst>
            <a:ext uri="{FF2B5EF4-FFF2-40B4-BE49-F238E27FC236}">
              <a16:creationId xmlns:a16="http://schemas.microsoft.com/office/drawing/2014/main" id="{00000000-0008-0000-0000-00000C000000}"/>
            </a:ext>
          </a:extLst>
        </xdr:cNvPr>
        <xdr:cNvGrpSpPr/>
      </xdr:nvGrpSpPr>
      <xdr:grpSpPr>
        <a:xfrm>
          <a:off x="240631" y="350921"/>
          <a:ext cx="7160419" cy="1131094"/>
          <a:chOff x="0" y="0"/>
          <a:chExt cx="6410325" cy="1000486"/>
        </a:xfrm>
      </xdr:grpSpPr>
      <xdr:sp macro="" textlink="">
        <xdr:nvSpPr>
          <xdr:cNvPr id="19" name="CuadroTexto 2">
            <a:extLst>
              <a:ext uri="{FF2B5EF4-FFF2-40B4-BE49-F238E27FC236}">
                <a16:creationId xmlns:a16="http://schemas.microsoft.com/office/drawing/2014/main" id="{00000000-0008-0000-0000-000003000000}"/>
              </a:ext>
            </a:extLst>
          </xdr:cNvPr>
          <xdr:cNvSpPr txBox="1">
            <a:spLocks noChangeAspect="1"/>
          </xdr:cNvSpPr>
        </xdr:nvSpPr>
        <xdr:spPr>
          <a:xfrm>
            <a:off x="0" y="36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endParaRPr lang="es-CO"/>
          </a:p>
        </xdr:txBody>
      </xdr:sp>
      <xdr:sp macro="" textlink="">
        <xdr:nvSpPr>
          <xdr:cNvPr id="20" name="CuadroTexto 3">
            <a:extLst>
              <a:ext uri="{FF2B5EF4-FFF2-40B4-BE49-F238E27FC236}">
                <a16:creationId xmlns:a16="http://schemas.microsoft.com/office/drawing/2014/main" id="{00000000-0008-0000-0000-000004000000}"/>
              </a:ext>
            </a:extLst>
          </xdr:cNvPr>
          <xdr:cNvSpPr txBox="1">
            <a:spLocks noChangeAspect="1"/>
          </xdr:cNvSpPr>
        </xdr:nvSpPr>
        <xdr:spPr>
          <a:xfrm>
            <a:off x="1181099" y="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AUTOEVALUACIÓN INSTITUCIONAL</a:t>
            </a:r>
            <a:endParaRPr lang="es-CO" sz="1200">
              <a:effectLst/>
              <a:latin typeface="Times New Roman" panose="02020603050405020304" pitchFamily="18" charset="0"/>
              <a:ea typeface="Times New Roman" panose="02020603050405020304" pitchFamily="18" charset="0"/>
            </a:endParaRPr>
          </a:p>
        </xdr:txBody>
      </xdr:sp>
      <xdr:sp macro="" textlink="">
        <xdr:nvSpPr>
          <xdr:cNvPr id="21" name="CuadroTexto 4">
            <a:extLst>
              <a:ext uri="{FF2B5EF4-FFF2-40B4-BE49-F238E27FC236}">
                <a16:creationId xmlns:a16="http://schemas.microsoft.com/office/drawing/2014/main" id="{00000000-0008-0000-0000-000005000000}"/>
              </a:ext>
            </a:extLst>
          </xdr:cNvPr>
          <xdr:cNvSpPr txBox="1">
            <a:spLocks noChangeAspect="1"/>
          </xdr:cNvSpPr>
        </xdr:nvSpPr>
        <xdr:spPr>
          <a:xfrm>
            <a:off x="1181101" y="50518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MATRIZ PLAN</a:t>
            </a:r>
            <a:r>
              <a:rPr lang="es-ES" sz="1100" b="1" baseline="0">
                <a:solidFill>
                  <a:srgbClr val="000000"/>
                </a:solidFill>
                <a:effectLst/>
                <a:latin typeface="Arial" panose="020B0604020202020204" pitchFamily="34" charset="0"/>
                <a:ea typeface="Times New Roman" panose="02020603050405020304" pitchFamily="18" charset="0"/>
              </a:rPr>
              <a:t> DE MEJORA - AUTOEVALUACIÓN PROGRAMAS ACADÉMICOS</a:t>
            </a:r>
            <a:endParaRPr lang="es-CO" sz="1200">
              <a:effectLst/>
              <a:latin typeface="Times New Roman" panose="02020603050405020304" pitchFamily="18" charset="0"/>
              <a:ea typeface="Times New Roman" panose="02020603050405020304" pitchFamily="18" charset="0"/>
            </a:endParaRPr>
          </a:p>
        </xdr:txBody>
      </xdr:sp>
      <xdr:pic>
        <xdr:nvPicPr>
          <xdr:cNvPr id="22" name="Imagen 21">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10238" b="9428"/>
          <a:stretch/>
        </xdr:blipFill>
        <xdr:spPr bwMode="auto">
          <a:xfrm>
            <a:off x="152400" y="28934"/>
            <a:ext cx="910590" cy="952501"/>
          </a:xfrm>
          <a:prstGeom prst="rect">
            <a:avLst/>
          </a:prstGeom>
          <a:ln>
            <a:noFill/>
          </a:ln>
          <a:extLst>
            <a:ext uri="{53640926-AAD7-44D8-BBD7-CCE9431645EC}">
              <a14:shadowObscured xmlns:a14="http://schemas.microsoft.com/office/drawing/2010/main"/>
            </a:ext>
          </a:extLst>
        </xdr:spPr>
      </xdr:pic>
      <xdr:sp macro="" textlink="">
        <xdr:nvSpPr>
          <xdr:cNvPr id="23" name="CuadroTexto 6">
            <a:extLst>
              <a:ext uri="{FF2B5EF4-FFF2-40B4-BE49-F238E27FC236}">
                <a16:creationId xmlns:a16="http://schemas.microsoft.com/office/drawing/2014/main" id="{00000000-0008-0000-0000-000007000000}"/>
              </a:ext>
            </a:extLst>
          </xdr:cNvPr>
          <xdr:cNvSpPr txBox="1">
            <a:spLocks noChangeAspect="1"/>
          </xdr:cNvSpPr>
        </xdr:nvSpPr>
        <xdr:spPr>
          <a:xfrm>
            <a:off x="4876800" y="35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Código: FO-AU-006</a:t>
            </a:r>
            <a:endParaRPr lang="es-CO" sz="1200">
              <a:effectLst/>
              <a:latin typeface="Times New Roman" panose="02020603050405020304" pitchFamily="18" charset="0"/>
              <a:ea typeface="Times New Roman" panose="02020603050405020304" pitchFamily="18" charset="0"/>
            </a:endParaRPr>
          </a:p>
        </xdr:txBody>
      </xdr:sp>
      <xdr:sp macro="" textlink="">
        <xdr:nvSpPr>
          <xdr:cNvPr id="24" name="CuadroTexto 7">
            <a:extLst>
              <a:ext uri="{FF2B5EF4-FFF2-40B4-BE49-F238E27FC236}">
                <a16:creationId xmlns:a16="http://schemas.microsoft.com/office/drawing/2014/main" id="{00000000-0008-0000-0000-000008000000}"/>
              </a:ext>
            </a:extLst>
          </xdr:cNvPr>
          <xdr:cNvSpPr txBox="1">
            <a:spLocks noChangeAspect="1"/>
          </xdr:cNvSpPr>
        </xdr:nvSpPr>
        <xdr:spPr>
          <a:xfrm>
            <a:off x="4876800" y="33373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Versión: 01</a:t>
            </a:r>
            <a:endParaRPr lang="es-CO" sz="1200">
              <a:effectLst/>
              <a:latin typeface="Times New Roman" panose="02020603050405020304" pitchFamily="18" charset="0"/>
              <a:ea typeface="Times New Roman" panose="02020603050405020304" pitchFamily="18" charset="0"/>
            </a:endParaRPr>
          </a:p>
        </xdr:txBody>
      </xdr:sp>
      <xdr:sp macro="" textlink="">
        <xdr:nvSpPr>
          <xdr:cNvPr id="25" name="CuadroTexto 8">
            <a:extLst>
              <a:ext uri="{FF2B5EF4-FFF2-40B4-BE49-F238E27FC236}">
                <a16:creationId xmlns:a16="http://schemas.microsoft.com/office/drawing/2014/main" id="{00000000-0008-0000-0000-000009000000}"/>
              </a:ext>
            </a:extLst>
          </xdr:cNvPr>
          <xdr:cNvSpPr txBox="1">
            <a:spLocks noChangeAspect="1"/>
          </xdr:cNvSpPr>
        </xdr:nvSpPr>
        <xdr:spPr>
          <a:xfrm>
            <a:off x="4876800" y="66710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000" b="1">
                <a:solidFill>
                  <a:srgbClr val="000000"/>
                </a:solidFill>
                <a:effectLst/>
                <a:latin typeface="Arial" panose="020B0604020202020204" pitchFamily="34" charset="0"/>
                <a:ea typeface="Times New Roman" panose="02020603050405020304" pitchFamily="18" charset="0"/>
              </a:rPr>
              <a:t>Fecha: Octubre 2023</a:t>
            </a:r>
            <a:endParaRPr lang="es-CO" sz="1200">
              <a:effectLst/>
              <a:latin typeface="Times New Roman" panose="02020603050405020304" pitchFamily="18" charset="0"/>
              <a:ea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550334</xdr:colOff>
      <xdr:row>4</xdr:row>
      <xdr:rowOff>126999</xdr:rowOff>
    </xdr:from>
    <xdr:to>
      <xdr:col>2</xdr:col>
      <xdr:colOff>1259418</xdr:colOff>
      <xdr:row>4</xdr:row>
      <xdr:rowOff>529166</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3767667" y="2645832"/>
          <a:ext cx="709084" cy="402167"/>
        </a:xfrm>
        <a:prstGeom prst="rect">
          <a:avLst/>
        </a:prstGeom>
        <a:noFill/>
        <a:ln w="12700" cmpd="dbl">
          <a:solidFill>
            <a:srgbClr val="660B15"/>
          </a:solidFill>
        </a:ln>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rgbClr val="660B15"/>
              </a:solidFill>
              <a:latin typeface="Tahoma" panose="020B0604030504040204" pitchFamily="34" charset="0"/>
              <a:ea typeface="Tahoma" panose="020B0604030504040204" pitchFamily="34" charset="0"/>
              <a:cs typeface="Tahoma" panose="020B0604030504040204" pitchFamily="34" charset="0"/>
            </a:rPr>
            <a:t>INICIO</a:t>
          </a:r>
        </a:p>
      </xdr:txBody>
    </xdr:sp>
    <xdr:clientData/>
  </xdr:twoCellAnchor>
  <xdr:twoCellAnchor editAs="oneCell">
    <xdr:from>
      <xdr:col>0</xdr:col>
      <xdr:colOff>10584</xdr:colOff>
      <xdr:row>0</xdr:row>
      <xdr:rowOff>63500</xdr:rowOff>
    </xdr:from>
    <xdr:to>
      <xdr:col>0</xdr:col>
      <xdr:colOff>2084916</xdr:colOff>
      <xdr:row>0</xdr:row>
      <xdr:rowOff>1121833</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3595" b="23595"/>
        <a:stretch/>
      </xdr:blipFill>
      <xdr:spPr>
        <a:xfrm>
          <a:off x="10584" y="63500"/>
          <a:ext cx="2074332" cy="10583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123826</xdr:colOff>
      <xdr:row>5</xdr:row>
      <xdr:rowOff>119063</xdr:rowOff>
    </xdr:from>
    <xdr:to>
      <xdr:col>3</xdr:col>
      <xdr:colOff>923926</xdr:colOff>
      <xdr:row>17</xdr:row>
      <xdr:rowOff>171450</xdr:rowOff>
    </xdr:to>
    <xdr:graphicFrame macro="">
      <xdr:nvGraphicFramePr>
        <xdr:cNvPr id="2" name="Gráfico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828675</xdr:colOff>
      <xdr:row>5</xdr:row>
      <xdr:rowOff>152400</xdr:rowOff>
    </xdr:from>
    <xdr:to>
      <xdr:col>6</xdr:col>
      <xdr:colOff>1054900</xdr:colOff>
      <xdr:row>17</xdr:row>
      <xdr:rowOff>133350</xdr:rowOff>
    </xdr:to>
    <xdr:grpSp>
      <xdr:nvGrpSpPr>
        <xdr:cNvPr id="3" name="Grupo 2">
          <a:extLst>
            <a:ext uri="{FF2B5EF4-FFF2-40B4-BE49-F238E27FC236}">
              <a16:creationId xmlns:a16="http://schemas.microsoft.com/office/drawing/2014/main" id="{00000000-0008-0000-0700-000003000000}"/>
            </a:ext>
          </a:extLst>
        </xdr:cNvPr>
        <xdr:cNvGrpSpPr/>
      </xdr:nvGrpSpPr>
      <xdr:grpSpPr>
        <a:xfrm>
          <a:off x="3076575" y="1390650"/>
          <a:ext cx="2607475" cy="2000250"/>
          <a:chOff x="4952999" y="452437"/>
          <a:chExt cx="3209925" cy="1938338"/>
        </a:xfrm>
      </xdr:grpSpPr>
      <xdr:graphicFrame macro="">
        <xdr:nvGraphicFramePr>
          <xdr:cNvPr id="4" name="Gráfico 3">
            <a:extLst>
              <a:ext uri="{FF2B5EF4-FFF2-40B4-BE49-F238E27FC236}">
                <a16:creationId xmlns:a16="http://schemas.microsoft.com/office/drawing/2014/main" id="{00000000-0008-0000-0700-000004000000}"/>
              </a:ext>
            </a:extLst>
          </xdr:cNvPr>
          <xdr:cNvGraphicFramePr>
            <a:graphicFrameLocks/>
          </xdr:cNvGraphicFramePr>
        </xdr:nvGraphicFramePr>
        <xdr:xfrm>
          <a:off x="4952999" y="452437"/>
          <a:ext cx="3209925" cy="1938338"/>
        </xdr:xfrm>
        <a:graphic>
          <a:graphicData uri="http://schemas.openxmlformats.org/drawingml/2006/chart">
            <c:chart xmlns:c="http://schemas.openxmlformats.org/drawingml/2006/chart" xmlns:r="http://schemas.openxmlformats.org/officeDocument/2006/relationships" r:id="rId2"/>
          </a:graphicData>
        </a:graphic>
      </xdr:graphicFrame>
      <xdr:sp macro="" textlink="F$5">
        <xdr:nvSpPr>
          <xdr:cNvPr id="5" name="Elipse 4">
            <a:extLst>
              <a:ext uri="{FF2B5EF4-FFF2-40B4-BE49-F238E27FC236}">
                <a16:creationId xmlns:a16="http://schemas.microsoft.com/office/drawing/2014/main" id="{00000000-0008-0000-0700-000005000000}"/>
              </a:ext>
            </a:extLst>
          </xdr:cNvPr>
          <xdr:cNvSpPr/>
        </xdr:nvSpPr>
        <xdr:spPr>
          <a:xfrm>
            <a:off x="6189938" y="1144701"/>
            <a:ext cx="994981" cy="779928"/>
          </a:xfrm>
          <a:prstGeom prst="ellipse">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F715369-475E-4FFE-A609-43721540979B}" type="TxLink">
              <a:rPr lang="en-US" sz="1100" b="0" i="0" u="none" strike="noStrike">
                <a:solidFill>
                  <a:schemeClr val="bg1"/>
                </a:solidFill>
                <a:latin typeface="Tahoma"/>
                <a:ea typeface="Tahoma"/>
                <a:cs typeface="Tahoma"/>
              </a:rPr>
              <a:pPr algn="ctr"/>
              <a:t>#¡DIV/0!</a:t>
            </a:fld>
            <a:endParaRPr lang="es-CO" sz="1400" b="1">
              <a:solidFill>
                <a:schemeClr val="bg1"/>
              </a:solidFill>
            </a:endParaRPr>
          </a:p>
        </xdr:txBody>
      </xdr:sp>
    </xdr:grpSp>
    <xdr:clientData/>
  </xdr:twoCellAnchor>
  <xdr:twoCellAnchor>
    <xdr:from>
      <xdr:col>8</xdr:col>
      <xdr:colOff>705504</xdr:colOff>
      <xdr:row>6</xdr:row>
      <xdr:rowOff>112904</xdr:rowOff>
    </xdr:from>
    <xdr:to>
      <xdr:col>9</xdr:col>
      <xdr:colOff>666750</xdr:colOff>
      <xdr:row>17</xdr:row>
      <xdr:rowOff>123825</xdr:rowOff>
    </xdr:to>
    <xdr:grpSp>
      <xdr:nvGrpSpPr>
        <xdr:cNvPr id="6" name="e) Light Thermometer Widget">
          <a:extLst>
            <a:ext uri="{FF2B5EF4-FFF2-40B4-BE49-F238E27FC236}">
              <a16:creationId xmlns:a16="http://schemas.microsoft.com/office/drawing/2014/main" id="{00000000-0008-0000-0700-000006000000}"/>
            </a:ext>
          </a:extLst>
        </xdr:cNvPr>
        <xdr:cNvGrpSpPr/>
      </xdr:nvGrpSpPr>
      <xdr:grpSpPr>
        <a:xfrm>
          <a:off x="6706254" y="1551179"/>
          <a:ext cx="904221" cy="1830196"/>
          <a:chOff x="9180281" y="9462047"/>
          <a:chExt cx="1544798" cy="3559427"/>
        </a:xfrm>
        <a:solidFill>
          <a:schemeClr val="accent1">
            <a:lumMod val="40000"/>
            <a:lumOff val="60000"/>
          </a:schemeClr>
        </a:solidFill>
      </xdr:grpSpPr>
      <xdr:sp macro="" textlink="">
        <xdr:nvSpPr>
          <xdr:cNvPr id="7" name="Thermometer Background Shape">
            <a:extLst>
              <a:ext uri="{FF2B5EF4-FFF2-40B4-BE49-F238E27FC236}">
                <a16:creationId xmlns:a16="http://schemas.microsoft.com/office/drawing/2014/main" id="{00000000-0008-0000-0700-000007000000}"/>
              </a:ext>
            </a:extLst>
          </xdr:cNvPr>
          <xdr:cNvSpPr>
            <a:spLocks/>
          </xdr:cNvSpPr>
        </xdr:nvSpPr>
        <xdr:spPr bwMode="auto">
          <a:xfrm>
            <a:off x="9474177" y="9462047"/>
            <a:ext cx="1146784" cy="3559427"/>
          </a:xfrm>
          <a:custGeom>
            <a:avLst/>
            <a:gdLst/>
            <a:ahLst/>
            <a:cxnLst>
              <a:cxn ang="0">
                <a:pos x="470" y="4101"/>
              </a:cxn>
              <a:cxn ang="0">
                <a:pos x="354" y="4181"/>
              </a:cxn>
              <a:cxn ang="0">
                <a:pos x="225" y="4306"/>
              </a:cxn>
              <a:cxn ang="0">
                <a:pos x="154" y="4402"/>
              </a:cxn>
              <a:cxn ang="0">
                <a:pos x="97" y="4505"/>
              </a:cxn>
              <a:cxn ang="0">
                <a:pos x="51" y="4615"/>
              </a:cxn>
              <a:cxn ang="0">
                <a:pos x="19" y="4731"/>
              </a:cxn>
              <a:cxn ang="0">
                <a:pos x="3" y="4849"/>
              </a:cxn>
              <a:cxn ang="0">
                <a:pos x="1" y="4971"/>
              </a:cxn>
              <a:cxn ang="0">
                <a:pos x="17" y="5094"/>
              </a:cxn>
              <a:cxn ang="0">
                <a:pos x="47" y="5215"/>
              </a:cxn>
              <a:cxn ang="0">
                <a:pos x="92" y="5329"/>
              </a:cxn>
              <a:cxn ang="0">
                <a:pos x="150" y="5435"/>
              </a:cxn>
              <a:cxn ang="0">
                <a:pos x="259" y="5576"/>
              </a:cxn>
              <a:cxn ang="0">
                <a:pos x="393" y="5693"/>
              </a:cxn>
              <a:cxn ang="0">
                <a:pos x="493" y="5756"/>
              </a:cxn>
              <a:cxn ang="0">
                <a:pos x="601" y="5806"/>
              </a:cxn>
              <a:cxn ang="0">
                <a:pos x="716" y="5842"/>
              </a:cxn>
              <a:cxn ang="0">
                <a:pos x="835" y="5862"/>
              </a:cxn>
              <a:cxn ang="0">
                <a:pos x="959" y="5867"/>
              </a:cxn>
              <a:cxn ang="0">
                <a:pos x="1081" y="5857"/>
              </a:cxn>
              <a:cxn ang="0">
                <a:pos x="1199" y="5831"/>
              </a:cxn>
              <a:cxn ang="0">
                <a:pos x="1311" y="5790"/>
              </a:cxn>
              <a:cxn ang="0">
                <a:pos x="1416" y="5735"/>
              </a:cxn>
              <a:cxn ang="0">
                <a:pos x="1513" y="5668"/>
              </a:cxn>
              <a:cxn ang="0">
                <a:pos x="1667" y="5515"/>
              </a:cxn>
              <a:cxn ang="0">
                <a:pos x="1745" y="5401"/>
              </a:cxn>
              <a:cxn ang="0">
                <a:pos x="1800" y="5292"/>
              </a:cxn>
              <a:cxn ang="0">
                <a:pos x="1839" y="5176"/>
              </a:cxn>
              <a:cxn ang="0">
                <a:pos x="1865" y="5053"/>
              </a:cxn>
              <a:cxn ang="0">
                <a:pos x="1874" y="4930"/>
              </a:cxn>
              <a:cxn ang="0">
                <a:pos x="1867" y="4809"/>
              </a:cxn>
              <a:cxn ang="0">
                <a:pos x="1846" y="4691"/>
              </a:cxn>
              <a:cxn ang="0">
                <a:pos x="1810" y="4578"/>
              </a:cxn>
              <a:cxn ang="0">
                <a:pos x="1761" y="4470"/>
              </a:cxn>
              <a:cxn ang="0">
                <a:pos x="1698" y="4369"/>
              </a:cxn>
              <a:cxn ang="0">
                <a:pos x="1623" y="4276"/>
              </a:cxn>
              <a:cxn ang="0">
                <a:pos x="1472" y="4145"/>
              </a:cxn>
              <a:cxn ang="0">
                <a:pos x="1368" y="4081"/>
              </a:cxn>
              <a:cxn ang="0">
                <a:pos x="1312" y="2452"/>
              </a:cxn>
              <a:cxn ang="0">
                <a:pos x="1312" y="784"/>
              </a:cxn>
              <a:cxn ang="0">
                <a:pos x="1312" y="569"/>
              </a:cxn>
              <a:cxn ang="0">
                <a:pos x="1312" y="521"/>
              </a:cxn>
              <a:cxn ang="0">
                <a:pos x="1312" y="408"/>
              </a:cxn>
              <a:cxn ang="0">
                <a:pos x="1309" y="344"/>
              </a:cxn>
              <a:cxn ang="0">
                <a:pos x="1304" y="298"/>
              </a:cxn>
              <a:cxn ang="0">
                <a:pos x="1270" y="204"/>
              </a:cxn>
              <a:cxn ang="0">
                <a:pos x="1214" y="123"/>
              </a:cxn>
              <a:cxn ang="0">
                <a:pos x="1140" y="60"/>
              </a:cxn>
              <a:cxn ang="0">
                <a:pos x="1053" y="18"/>
              </a:cxn>
              <a:cxn ang="0">
                <a:pos x="955" y="0"/>
              </a:cxn>
              <a:cxn ang="0">
                <a:pos x="854" y="9"/>
              </a:cxn>
              <a:cxn ang="0">
                <a:pos x="763" y="43"/>
              </a:cxn>
              <a:cxn ang="0">
                <a:pos x="683" y="100"/>
              </a:cxn>
              <a:cxn ang="0">
                <a:pos x="620" y="176"/>
              </a:cxn>
              <a:cxn ang="0">
                <a:pos x="580" y="265"/>
              </a:cxn>
              <a:cxn ang="0">
                <a:pos x="566" y="331"/>
              </a:cxn>
              <a:cxn ang="0">
                <a:pos x="563" y="378"/>
              </a:cxn>
              <a:cxn ang="0">
                <a:pos x="562" y="493"/>
              </a:cxn>
              <a:cxn ang="0">
                <a:pos x="562" y="556"/>
              </a:cxn>
              <a:cxn ang="0">
                <a:pos x="563" y="651"/>
              </a:cxn>
              <a:cxn ang="0">
                <a:pos x="563" y="1652"/>
              </a:cxn>
            </a:cxnLst>
            <a:rect l="0" t="0" r="r" b="b"/>
            <a:pathLst>
              <a:path w="1874" h="5869">
                <a:moveTo>
                  <a:pt x="563" y="4054"/>
                </a:moveTo>
                <a:lnTo>
                  <a:pt x="544" y="4063"/>
                </a:lnTo>
                <a:lnTo>
                  <a:pt x="525" y="4072"/>
                </a:lnTo>
                <a:lnTo>
                  <a:pt x="506" y="4081"/>
                </a:lnTo>
                <a:lnTo>
                  <a:pt x="488" y="4091"/>
                </a:lnTo>
                <a:lnTo>
                  <a:pt x="470" y="4101"/>
                </a:lnTo>
                <a:lnTo>
                  <a:pt x="453" y="4112"/>
                </a:lnTo>
                <a:lnTo>
                  <a:pt x="436" y="4122"/>
                </a:lnTo>
                <a:lnTo>
                  <a:pt x="418" y="4134"/>
                </a:lnTo>
                <a:lnTo>
                  <a:pt x="402" y="4145"/>
                </a:lnTo>
                <a:lnTo>
                  <a:pt x="385" y="4157"/>
                </a:lnTo>
                <a:lnTo>
                  <a:pt x="354" y="4181"/>
                </a:lnTo>
                <a:lnTo>
                  <a:pt x="323" y="4207"/>
                </a:lnTo>
                <a:lnTo>
                  <a:pt x="294" y="4234"/>
                </a:lnTo>
                <a:lnTo>
                  <a:pt x="266" y="4262"/>
                </a:lnTo>
                <a:lnTo>
                  <a:pt x="252" y="4276"/>
                </a:lnTo>
                <a:lnTo>
                  <a:pt x="238" y="4292"/>
                </a:lnTo>
                <a:lnTo>
                  <a:pt x="225" y="4306"/>
                </a:lnTo>
                <a:lnTo>
                  <a:pt x="212" y="4321"/>
                </a:lnTo>
                <a:lnTo>
                  <a:pt x="201" y="4336"/>
                </a:lnTo>
                <a:lnTo>
                  <a:pt x="188" y="4353"/>
                </a:lnTo>
                <a:lnTo>
                  <a:pt x="177" y="4369"/>
                </a:lnTo>
                <a:lnTo>
                  <a:pt x="165" y="4385"/>
                </a:lnTo>
                <a:lnTo>
                  <a:pt x="154" y="4402"/>
                </a:lnTo>
                <a:lnTo>
                  <a:pt x="144" y="4419"/>
                </a:lnTo>
                <a:lnTo>
                  <a:pt x="134" y="4435"/>
                </a:lnTo>
                <a:lnTo>
                  <a:pt x="123" y="4452"/>
                </a:lnTo>
                <a:lnTo>
                  <a:pt x="115" y="4470"/>
                </a:lnTo>
                <a:lnTo>
                  <a:pt x="104" y="4487"/>
                </a:lnTo>
                <a:lnTo>
                  <a:pt x="97" y="4505"/>
                </a:lnTo>
                <a:lnTo>
                  <a:pt x="88" y="4523"/>
                </a:lnTo>
                <a:lnTo>
                  <a:pt x="80" y="4541"/>
                </a:lnTo>
                <a:lnTo>
                  <a:pt x="71" y="4559"/>
                </a:lnTo>
                <a:lnTo>
                  <a:pt x="65" y="4578"/>
                </a:lnTo>
                <a:lnTo>
                  <a:pt x="57" y="4596"/>
                </a:lnTo>
                <a:lnTo>
                  <a:pt x="51" y="4615"/>
                </a:lnTo>
                <a:lnTo>
                  <a:pt x="45" y="4634"/>
                </a:lnTo>
                <a:lnTo>
                  <a:pt x="40" y="4652"/>
                </a:lnTo>
                <a:lnTo>
                  <a:pt x="33" y="4672"/>
                </a:lnTo>
                <a:lnTo>
                  <a:pt x="28" y="4691"/>
                </a:lnTo>
                <a:lnTo>
                  <a:pt x="24" y="4710"/>
                </a:lnTo>
                <a:lnTo>
                  <a:pt x="19" y="4731"/>
                </a:lnTo>
                <a:lnTo>
                  <a:pt x="15" y="4750"/>
                </a:lnTo>
                <a:lnTo>
                  <a:pt x="13" y="4769"/>
                </a:lnTo>
                <a:lnTo>
                  <a:pt x="9" y="4790"/>
                </a:lnTo>
                <a:lnTo>
                  <a:pt x="7" y="4809"/>
                </a:lnTo>
                <a:lnTo>
                  <a:pt x="5" y="4830"/>
                </a:lnTo>
                <a:lnTo>
                  <a:pt x="3" y="4849"/>
                </a:lnTo>
                <a:lnTo>
                  <a:pt x="1" y="4869"/>
                </a:lnTo>
                <a:lnTo>
                  <a:pt x="1" y="4890"/>
                </a:lnTo>
                <a:lnTo>
                  <a:pt x="0" y="4911"/>
                </a:lnTo>
                <a:lnTo>
                  <a:pt x="0" y="4930"/>
                </a:lnTo>
                <a:lnTo>
                  <a:pt x="1" y="4950"/>
                </a:lnTo>
                <a:lnTo>
                  <a:pt x="1" y="4971"/>
                </a:lnTo>
                <a:lnTo>
                  <a:pt x="3" y="4991"/>
                </a:lnTo>
                <a:lnTo>
                  <a:pt x="5" y="5012"/>
                </a:lnTo>
                <a:lnTo>
                  <a:pt x="7" y="5033"/>
                </a:lnTo>
                <a:lnTo>
                  <a:pt x="9" y="5053"/>
                </a:lnTo>
                <a:lnTo>
                  <a:pt x="13" y="5074"/>
                </a:lnTo>
                <a:lnTo>
                  <a:pt x="17" y="5094"/>
                </a:lnTo>
                <a:lnTo>
                  <a:pt x="21" y="5115"/>
                </a:lnTo>
                <a:lnTo>
                  <a:pt x="24" y="5135"/>
                </a:lnTo>
                <a:lnTo>
                  <a:pt x="29" y="5156"/>
                </a:lnTo>
                <a:lnTo>
                  <a:pt x="35" y="5176"/>
                </a:lnTo>
                <a:lnTo>
                  <a:pt x="41" y="5196"/>
                </a:lnTo>
                <a:lnTo>
                  <a:pt x="47" y="5215"/>
                </a:lnTo>
                <a:lnTo>
                  <a:pt x="54" y="5235"/>
                </a:lnTo>
                <a:lnTo>
                  <a:pt x="60" y="5255"/>
                </a:lnTo>
                <a:lnTo>
                  <a:pt x="68" y="5274"/>
                </a:lnTo>
                <a:lnTo>
                  <a:pt x="75" y="5292"/>
                </a:lnTo>
                <a:lnTo>
                  <a:pt x="83" y="5311"/>
                </a:lnTo>
                <a:lnTo>
                  <a:pt x="92" y="5329"/>
                </a:lnTo>
                <a:lnTo>
                  <a:pt x="101" y="5347"/>
                </a:lnTo>
                <a:lnTo>
                  <a:pt x="109" y="5365"/>
                </a:lnTo>
                <a:lnTo>
                  <a:pt x="120" y="5383"/>
                </a:lnTo>
                <a:lnTo>
                  <a:pt x="130" y="5401"/>
                </a:lnTo>
                <a:lnTo>
                  <a:pt x="140" y="5418"/>
                </a:lnTo>
                <a:lnTo>
                  <a:pt x="150" y="5435"/>
                </a:lnTo>
                <a:lnTo>
                  <a:pt x="162" y="5451"/>
                </a:lnTo>
                <a:lnTo>
                  <a:pt x="172" y="5468"/>
                </a:lnTo>
                <a:lnTo>
                  <a:pt x="183" y="5485"/>
                </a:lnTo>
                <a:lnTo>
                  <a:pt x="207" y="5515"/>
                </a:lnTo>
                <a:lnTo>
                  <a:pt x="233" y="5546"/>
                </a:lnTo>
                <a:lnTo>
                  <a:pt x="259" y="5576"/>
                </a:lnTo>
                <a:lnTo>
                  <a:pt x="287" y="5604"/>
                </a:lnTo>
                <a:lnTo>
                  <a:pt x="317" y="5631"/>
                </a:lnTo>
                <a:lnTo>
                  <a:pt x="346" y="5657"/>
                </a:lnTo>
                <a:lnTo>
                  <a:pt x="362" y="5668"/>
                </a:lnTo>
                <a:lnTo>
                  <a:pt x="378" y="5681"/>
                </a:lnTo>
                <a:lnTo>
                  <a:pt x="393" y="5693"/>
                </a:lnTo>
                <a:lnTo>
                  <a:pt x="409" y="5703"/>
                </a:lnTo>
                <a:lnTo>
                  <a:pt x="426" y="5714"/>
                </a:lnTo>
                <a:lnTo>
                  <a:pt x="443" y="5725"/>
                </a:lnTo>
                <a:lnTo>
                  <a:pt x="459" y="5735"/>
                </a:lnTo>
                <a:lnTo>
                  <a:pt x="476" y="5745"/>
                </a:lnTo>
                <a:lnTo>
                  <a:pt x="493" y="5756"/>
                </a:lnTo>
                <a:lnTo>
                  <a:pt x="511" y="5765"/>
                </a:lnTo>
                <a:lnTo>
                  <a:pt x="529" y="5774"/>
                </a:lnTo>
                <a:lnTo>
                  <a:pt x="547" y="5781"/>
                </a:lnTo>
                <a:lnTo>
                  <a:pt x="565" y="5790"/>
                </a:lnTo>
                <a:lnTo>
                  <a:pt x="582" y="5798"/>
                </a:lnTo>
                <a:lnTo>
                  <a:pt x="601" y="5806"/>
                </a:lnTo>
                <a:lnTo>
                  <a:pt x="619" y="5812"/>
                </a:lnTo>
                <a:lnTo>
                  <a:pt x="638" y="5818"/>
                </a:lnTo>
                <a:lnTo>
                  <a:pt x="657" y="5825"/>
                </a:lnTo>
                <a:lnTo>
                  <a:pt x="676" y="5831"/>
                </a:lnTo>
                <a:lnTo>
                  <a:pt x="695" y="5836"/>
                </a:lnTo>
                <a:lnTo>
                  <a:pt x="716" y="5842"/>
                </a:lnTo>
                <a:lnTo>
                  <a:pt x="735" y="5845"/>
                </a:lnTo>
                <a:lnTo>
                  <a:pt x="754" y="5851"/>
                </a:lnTo>
                <a:lnTo>
                  <a:pt x="774" y="5853"/>
                </a:lnTo>
                <a:lnTo>
                  <a:pt x="795" y="5857"/>
                </a:lnTo>
                <a:lnTo>
                  <a:pt x="815" y="5860"/>
                </a:lnTo>
                <a:lnTo>
                  <a:pt x="835" y="5862"/>
                </a:lnTo>
                <a:lnTo>
                  <a:pt x="856" y="5865"/>
                </a:lnTo>
                <a:lnTo>
                  <a:pt x="876" y="5866"/>
                </a:lnTo>
                <a:lnTo>
                  <a:pt x="896" y="5867"/>
                </a:lnTo>
                <a:lnTo>
                  <a:pt x="917" y="5867"/>
                </a:lnTo>
                <a:lnTo>
                  <a:pt x="937" y="5869"/>
                </a:lnTo>
                <a:lnTo>
                  <a:pt x="959" y="5867"/>
                </a:lnTo>
                <a:lnTo>
                  <a:pt x="979" y="5867"/>
                </a:lnTo>
                <a:lnTo>
                  <a:pt x="999" y="5866"/>
                </a:lnTo>
                <a:lnTo>
                  <a:pt x="1020" y="5865"/>
                </a:lnTo>
                <a:lnTo>
                  <a:pt x="1040" y="5862"/>
                </a:lnTo>
                <a:lnTo>
                  <a:pt x="1060" y="5860"/>
                </a:lnTo>
                <a:lnTo>
                  <a:pt x="1081" y="5857"/>
                </a:lnTo>
                <a:lnTo>
                  <a:pt x="1101" y="5853"/>
                </a:lnTo>
                <a:lnTo>
                  <a:pt x="1120" y="5851"/>
                </a:lnTo>
                <a:lnTo>
                  <a:pt x="1140" y="5845"/>
                </a:lnTo>
                <a:lnTo>
                  <a:pt x="1159" y="5842"/>
                </a:lnTo>
                <a:lnTo>
                  <a:pt x="1179" y="5836"/>
                </a:lnTo>
                <a:lnTo>
                  <a:pt x="1199" y="5831"/>
                </a:lnTo>
                <a:lnTo>
                  <a:pt x="1218" y="5825"/>
                </a:lnTo>
                <a:lnTo>
                  <a:pt x="1237" y="5818"/>
                </a:lnTo>
                <a:lnTo>
                  <a:pt x="1255" y="5812"/>
                </a:lnTo>
                <a:lnTo>
                  <a:pt x="1274" y="5806"/>
                </a:lnTo>
                <a:lnTo>
                  <a:pt x="1292" y="5798"/>
                </a:lnTo>
                <a:lnTo>
                  <a:pt x="1311" y="5790"/>
                </a:lnTo>
                <a:lnTo>
                  <a:pt x="1328" y="5781"/>
                </a:lnTo>
                <a:lnTo>
                  <a:pt x="1346" y="5774"/>
                </a:lnTo>
                <a:lnTo>
                  <a:pt x="1364" y="5765"/>
                </a:lnTo>
                <a:lnTo>
                  <a:pt x="1382" y="5756"/>
                </a:lnTo>
                <a:lnTo>
                  <a:pt x="1398" y="5745"/>
                </a:lnTo>
                <a:lnTo>
                  <a:pt x="1416" y="5735"/>
                </a:lnTo>
                <a:lnTo>
                  <a:pt x="1433" y="5725"/>
                </a:lnTo>
                <a:lnTo>
                  <a:pt x="1449" y="5714"/>
                </a:lnTo>
                <a:lnTo>
                  <a:pt x="1466" y="5703"/>
                </a:lnTo>
                <a:lnTo>
                  <a:pt x="1481" y="5693"/>
                </a:lnTo>
                <a:lnTo>
                  <a:pt x="1498" y="5681"/>
                </a:lnTo>
                <a:lnTo>
                  <a:pt x="1513" y="5668"/>
                </a:lnTo>
                <a:lnTo>
                  <a:pt x="1528" y="5657"/>
                </a:lnTo>
                <a:lnTo>
                  <a:pt x="1559" y="5631"/>
                </a:lnTo>
                <a:lnTo>
                  <a:pt x="1588" y="5604"/>
                </a:lnTo>
                <a:lnTo>
                  <a:pt x="1614" y="5576"/>
                </a:lnTo>
                <a:lnTo>
                  <a:pt x="1641" y="5546"/>
                </a:lnTo>
                <a:lnTo>
                  <a:pt x="1667" y="5515"/>
                </a:lnTo>
                <a:lnTo>
                  <a:pt x="1691" y="5485"/>
                </a:lnTo>
                <a:lnTo>
                  <a:pt x="1702" y="5468"/>
                </a:lnTo>
                <a:lnTo>
                  <a:pt x="1714" y="5451"/>
                </a:lnTo>
                <a:lnTo>
                  <a:pt x="1725" y="5435"/>
                </a:lnTo>
                <a:lnTo>
                  <a:pt x="1735" y="5418"/>
                </a:lnTo>
                <a:lnTo>
                  <a:pt x="1745" y="5401"/>
                </a:lnTo>
                <a:lnTo>
                  <a:pt x="1756" y="5383"/>
                </a:lnTo>
                <a:lnTo>
                  <a:pt x="1764" y="5365"/>
                </a:lnTo>
                <a:lnTo>
                  <a:pt x="1775" y="5347"/>
                </a:lnTo>
                <a:lnTo>
                  <a:pt x="1784" y="5329"/>
                </a:lnTo>
                <a:lnTo>
                  <a:pt x="1791" y="5311"/>
                </a:lnTo>
                <a:lnTo>
                  <a:pt x="1800" y="5292"/>
                </a:lnTo>
                <a:lnTo>
                  <a:pt x="1808" y="5274"/>
                </a:lnTo>
                <a:lnTo>
                  <a:pt x="1814" y="5255"/>
                </a:lnTo>
                <a:lnTo>
                  <a:pt x="1822" y="5235"/>
                </a:lnTo>
                <a:lnTo>
                  <a:pt x="1828" y="5215"/>
                </a:lnTo>
                <a:lnTo>
                  <a:pt x="1834" y="5196"/>
                </a:lnTo>
                <a:lnTo>
                  <a:pt x="1839" y="5176"/>
                </a:lnTo>
                <a:lnTo>
                  <a:pt x="1846" y="5156"/>
                </a:lnTo>
                <a:lnTo>
                  <a:pt x="1850" y="5135"/>
                </a:lnTo>
                <a:lnTo>
                  <a:pt x="1855" y="5115"/>
                </a:lnTo>
                <a:lnTo>
                  <a:pt x="1859" y="5094"/>
                </a:lnTo>
                <a:lnTo>
                  <a:pt x="1862" y="5074"/>
                </a:lnTo>
                <a:lnTo>
                  <a:pt x="1865" y="5053"/>
                </a:lnTo>
                <a:lnTo>
                  <a:pt x="1867" y="5033"/>
                </a:lnTo>
                <a:lnTo>
                  <a:pt x="1870" y="5012"/>
                </a:lnTo>
                <a:lnTo>
                  <a:pt x="1871" y="4991"/>
                </a:lnTo>
                <a:lnTo>
                  <a:pt x="1873" y="4971"/>
                </a:lnTo>
                <a:lnTo>
                  <a:pt x="1874" y="4950"/>
                </a:lnTo>
                <a:lnTo>
                  <a:pt x="1874" y="4930"/>
                </a:lnTo>
                <a:lnTo>
                  <a:pt x="1874" y="4911"/>
                </a:lnTo>
                <a:lnTo>
                  <a:pt x="1874" y="4890"/>
                </a:lnTo>
                <a:lnTo>
                  <a:pt x="1873" y="4869"/>
                </a:lnTo>
                <a:lnTo>
                  <a:pt x="1871" y="4849"/>
                </a:lnTo>
                <a:lnTo>
                  <a:pt x="1870" y="4830"/>
                </a:lnTo>
                <a:lnTo>
                  <a:pt x="1867" y="4809"/>
                </a:lnTo>
                <a:lnTo>
                  <a:pt x="1865" y="4790"/>
                </a:lnTo>
                <a:lnTo>
                  <a:pt x="1862" y="4769"/>
                </a:lnTo>
                <a:lnTo>
                  <a:pt x="1859" y="4750"/>
                </a:lnTo>
                <a:lnTo>
                  <a:pt x="1855" y="4731"/>
                </a:lnTo>
                <a:lnTo>
                  <a:pt x="1851" y="4710"/>
                </a:lnTo>
                <a:lnTo>
                  <a:pt x="1846" y="4691"/>
                </a:lnTo>
                <a:lnTo>
                  <a:pt x="1841" y="4672"/>
                </a:lnTo>
                <a:lnTo>
                  <a:pt x="1836" y="4652"/>
                </a:lnTo>
                <a:lnTo>
                  <a:pt x="1831" y="4634"/>
                </a:lnTo>
                <a:lnTo>
                  <a:pt x="1824" y="4615"/>
                </a:lnTo>
                <a:lnTo>
                  <a:pt x="1818" y="4596"/>
                </a:lnTo>
                <a:lnTo>
                  <a:pt x="1810" y="4578"/>
                </a:lnTo>
                <a:lnTo>
                  <a:pt x="1803" y="4559"/>
                </a:lnTo>
                <a:lnTo>
                  <a:pt x="1795" y="4541"/>
                </a:lnTo>
                <a:lnTo>
                  <a:pt x="1787" y="4523"/>
                </a:lnTo>
                <a:lnTo>
                  <a:pt x="1778" y="4505"/>
                </a:lnTo>
                <a:lnTo>
                  <a:pt x="1770" y="4487"/>
                </a:lnTo>
                <a:lnTo>
                  <a:pt x="1761" y="4470"/>
                </a:lnTo>
                <a:lnTo>
                  <a:pt x="1751" y="4452"/>
                </a:lnTo>
                <a:lnTo>
                  <a:pt x="1742" y="4435"/>
                </a:lnTo>
                <a:lnTo>
                  <a:pt x="1731" y="4419"/>
                </a:lnTo>
                <a:lnTo>
                  <a:pt x="1720" y="4402"/>
                </a:lnTo>
                <a:lnTo>
                  <a:pt x="1710" y="4385"/>
                </a:lnTo>
                <a:lnTo>
                  <a:pt x="1698" y="4369"/>
                </a:lnTo>
                <a:lnTo>
                  <a:pt x="1687" y="4353"/>
                </a:lnTo>
                <a:lnTo>
                  <a:pt x="1674" y="4336"/>
                </a:lnTo>
                <a:lnTo>
                  <a:pt x="1662" y="4321"/>
                </a:lnTo>
                <a:lnTo>
                  <a:pt x="1649" y="4306"/>
                </a:lnTo>
                <a:lnTo>
                  <a:pt x="1636" y="4292"/>
                </a:lnTo>
                <a:lnTo>
                  <a:pt x="1623" y="4276"/>
                </a:lnTo>
                <a:lnTo>
                  <a:pt x="1609" y="4262"/>
                </a:lnTo>
                <a:lnTo>
                  <a:pt x="1581" y="4234"/>
                </a:lnTo>
                <a:lnTo>
                  <a:pt x="1552" y="4207"/>
                </a:lnTo>
                <a:lnTo>
                  <a:pt x="1520" y="4181"/>
                </a:lnTo>
                <a:lnTo>
                  <a:pt x="1489" y="4157"/>
                </a:lnTo>
                <a:lnTo>
                  <a:pt x="1472" y="4145"/>
                </a:lnTo>
                <a:lnTo>
                  <a:pt x="1456" y="4134"/>
                </a:lnTo>
                <a:lnTo>
                  <a:pt x="1439" y="4122"/>
                </a:lnTo>
                <a:lnTo>
                  <a:pt x="1421" y="4112"/>
                </a:lnTo>
                <a:lnTo>
                  <a:pt x="1405" y="4101"/>
                </a:lnTo>
                <a:lnTo>
                  <a:pt x="1386" y="4091"/>
                </a:lnTo>
                <a:lnTo>
                  <a:pt x="1368" y="4081"/>
                </a:lnTo>
                <a:lnTo>
                  <a:pt x="1350" y="4072"/>
                </a:lnTo>
                <a:lnTo>
                  <a:pt x="1331" y="4063"/>
                </a:lnTo>
                <a:lnTo>
                  <a:pt x="1312" y="4054"/>
                </a:lnTo>
                <a:lnTo>
                  <a:pt x="1312" y="3520"/>
                </a:lnTo>
                <a:lnTo>
                  <a:pt x="1312" y="2987"/>
                </a:lnTo>
                <a:lnTo>
                  <a:pt x="1312" y="2452"/>
                </a:lnTo>
                <a:lnTo>
                  <a:pt x="1312" y="1918"/>
                </a:lnTo>
                <a:lnTo>
                  <a:pt x="1312" y="1651"/>
                </a:lnTo>
                <a:lnTo>
                  <a:pt x="1312" y="1384"/>
                </a:lnTo>
                <a:lnTo>
                  <a:pt x="1312" y="1117"/>
                </a:lnTo>
                <a:lnTo>
                  <a:pt x="1312" y="851"/>
                </a:lnTo>
                <a:lnTo>
                  <a:pt x="1312" y="784"/>
                </a:lnTo>
                <a:lnTo>
                  <a:pt x="1312" y="717"/>
                </a:lnTo>
                <a:lnTo>
                  <a:pt x="1312" y="651"/>
                </a:lnTo>
                <a:lnTo>
                  <a:pt x="1312" y="584"/>
                </a:lnTo>
                <a:lnTo>
                  <a:pt x="1312" y="580"/>
                </a:lnTo>
                <a:lnTo>
                  <a:pt x="1312" y="575"/>
                </a:lnTo>
                <a:lnTo>
                  <a:pt x="1312" y="569"/>
                </a:lnTo>
                <a:lnTo>
                  <a:pt x="1312" y="562"/>
                </a:lnTo>
                <a:lnTo>
                  <a:pt x="1312" y="554"/>
                </a:lnTo>
                <a:lnTo>
                  <a:pt x="1312" y="547"/>
                </a:lnTo>
                <a:lnTo>
                  <a:pt x="1312" y="539"/>
                </a:lnTo>
                <a:lnTo>
                  <a:pt x="1312" y="530"/>
                </a:lnTo>
                <a:lnTo>
                  <a:pt x="1312" y="521"/>
                </a:lnTo>
                <a:lnTo>
                  <a:pt x="1312" y="512"/>
                </a:lnTo>
                <a:lnTo>
                  <a:pt x="1312" y="491"/>
                </a:lnTo>
                <a:lnTo>
                  <a:pt x="1312" y="471"/>
                </a:lnTo>
                <a:lnTo>
                  <a:pt x="1312" y="449"/>
                </a:lnTo>
                <a:lnTo>
                  <a:pt x="1312" y="429"/>
                </a:lnTo>
                <a:lnTo>
                  <a:pt x="1312" y="408"/>
                </a:lnTo>
                <a:lnTo>
                  <a:pt x="1311" y="387"/>
                </a:lnTo>
                <a:lnTo>
                  <a:pt x="1311" y="378"/>
                </a:lnTo>
                <a:lnTo>
                  <a:pt x="1311" y="368"/>
                </a:lnTo>
                <a:lnTo>
                  <a:pt x="1311" y="360"/>
                </a:lnTo>
                <a:lnTo>
                  <a:pt x="1309" y="351"/>
                </a:lnTo>
                <a:lnTo>
                  <a:pt x="1309" y="344"/>
                </a:lnTo>
                <a:lnTo>
                  <a:pt x="1309" y="337"/>
                </a:lnTo>
                <a:lnTo>
                  <a:pt x="1308" y="331"/>
                </a:lnTo>
                <a:lnTo>
                  <a:pt x="1308" y="325"/>
                </a:lnTo>
                <a:lnTo>
                  <a:pt x="1308" y="319"/>
                </a:lnTo>
                <a:lnTo>
                  <a:pt x="1307" y="316"/>
                </a:lnTo>
                <a:lnTo>
                  <a:pt x="1304" y="298"/>
                </a:lnTo>
                <a:lnTo>
                  <a:pt x="1299" y="282"/>
                </a:lnTo>
                <a:lnTo>
                  <a:pt x="1295" y="265"/>
                </a:lnTo>
                <a:lnTo>
                  <a:pt x="1290" y="249"/>
                </a:lnTo>
                <a:lnTo>
                  <a:pt x="1284" y="233"/>
                </a:lnTo>
                <a:lnTo>
                  <a:pt x="1278" y="218"/>
                </a:lnTo>
                <a:lnTo>
                  <a:pt x="1270" y="204"/>
                </a:lnTo>
                <a:lnTo>
                  <a:pt x="1262" y="188"/>
                </a:lnTo>
                <a:lnTo>
                  <a:pt x="1253" y="176"/>
                </a:lnTo>
                <a:lnTo>
                  <a:pt x="1245" y="161"/>
                </a:lnTo>
                <a:lnTo>
                  <a:pt x="1234" y="149"/>
                </a:lnTo>
                <a:lnTo>
                  <a:pt x="1226" y="136"/>
                </a:lnTo>
                <a:lnTo>
                  <a:pt x="1214" y="123"/>
                </a:lnTo>
                <a:lnTo>
                  <a:pt x="1203" y="111"/>
                </a:lnTo>
                <a:lnTo>
                  <a:pt x="1191" y="100"/>
                </a:lnTo>
                <a:lnTo>
                  <a:pt x="1180" y="89"/>
                </a:lnTo>
                <a:lnTo>
                  <a:pt x="1167" y="79"/>
                </a:lnTo>
                <a:lnTo>
                  <a:pt x="1154" y="69"/>
                </a:lnTo>
                <a:lnTo>
                  <a:pt x="1140" y="60"/>
                </a:lnTo>
                <a:lnTo>
                  <a:pt x="1126" y="51"/>
                </a:lnTo>
                <a:lnTo>
                  <a:pt x="1112" y="43"/>
                </a:lnTo>
                <a:lnTo>
                  <a:pt x="1098" y="36"/>
                </a:lnTo>
                <a:lnTo>
                  <a:pt x="1083" y="29"/>
                </a:lnTo>
                <a:lnTo>
                  <a:pt x="1068" y="24"/>
                </a:lnTo>
                <a:lnTo>
                  <a:pt x="1053" y="18"/>
                </a:lnTo>
                <a:lnTo>
                  <a:pt x="1036" y="14"/>
                </a:lnTo>
                <a:lnTo>
                  <a:pt x="1021" y="9"/>
                </a:lnTo>
                <a:lnTo>
                  <a:pt x="1004" y="6"/>
                </a:lnTo>
                <a:lnTo>
                  <a:pt x="988" y="3"/>
                </a:lnTo>
                <a:lnTo>
                  <a:pt x="971" y="1"/>
                </a:lnTo>
                <a:lnTo>
                  <a:pt x="955" y="0"/>
                </a:lnTo>
                <a:lnTo>
                  <a:pt x="937" y="0"/>
                </a:lnTo>
                <a:lnTo>
                  <a:pt x="920" y="0"/>
                </a:lnTo>
                <a:lnTo>
                  <a:pt x="904" y="1"/>
                </a:lnTo>
                <a:lnTo>
                  <a:pt x="887" y="3"/>
                </a:lnTo>
                <a:lnTo>
                  <a:pt x="871" y="6"/>
                </a:lnTo>
                <a:lnTo>
                  <a:pt x="854" y="9"/>
                </a:lnTo>
                <a:lnTo>
                  <a:pt x="838" y="14"/>
                </a:lnTo>
                <a:lnTo>
                  <a:pt x="823" y="18"/>
                </a:lnTo>
                <a:lnTo>
                  <a:pt x="807" y="24"/>
                </a:lnTo>
                <a:lnTo>
                  <a:pt x="792" y="29"/>
                </a:lnTo>
                <a:lnTo>
                  <a:pt x="777" y="37"/>
                </a:lnTo>
                <a:lnTo>
                  <a:pt x="763" y="43"/>
                </a:lnTo>
                <a:lnTo>
                  <a:pt x="748" y="51"/>
                </a:lnTo>
                <a:lnTo>
                  <a:pt x="735" y="60"/>
                </a:lnTo>
                <a:lnTo>
                  <a:pt x="721" y="69"/>
                </a:lnTo>
                <a:lnTo>
                  <a:pt x="708" y="79"/>
                </a:lnTo>
                <a:lnTo>
                  <a:pt x="695" y="89"/>
                </a:lnTo>
                <a:lnTo>
                  <a:pt x="683" y="100"/>
                </a:lnTo>
                <a:lnTo>
                  <a:pt x="671" y="111"/>
                </a:lnTo>
                <a:lnTo>
                  <a:pt x="660" y="123"/>
                </a:lnTo>
                <a:lnTo>
                  <a:pt x="650" y="136"/>
                </a:lnTo>
                <a:lnTo>
                  <a:pt x="640" y="149"/>
                </a:lnTo>
                <a:lnTo>
                  <a:pt x="631" y="161"/>
                </a:lnTo>
                <a:lnTo>
                  <a:pt x="620" y="176"/>
                </a:lnTo>
                <a:lnTo>
                  <a:pt x="613" y="190"/>
                </a:lnTo>
                <a:lnTo>
                  <a:pt x="605" y="204"/>
                </a:lnTo>
                <a:lnTo>
                  <a:pt x="598" y="219"/>
                </a:lnTo>
                <a:lnTo>
                  <a:pt x="591" y="235"/>
                </a:lnTo>
                <a:lnTo>
                  <a:pt x="585" y="250"/>
                </a:lnTo>
                <a:lnTo>
                  <a:pt x="580" y="265"/>
                </a:lnTo>
                <a:lnTo>
                  <a:pt x="575" y="282"/>
                </a:lnTo>
                <a:lnTo>
                  <a:pt x="571" y="299"/>
                </a:lnTo>
                <a:lnTo>
                  <a:pt x="568" y="316"/>
                </a:lnTo>
                <a:lnTo>
                  <a:pt x="567" y="319"/>
                </a:lnTo>
                <a:lnTo>
                  <a:pt x="567" y="325"/>
                </a:lnTo>
                <a:lnTo>
                  <a:pt x="566" y="331"/>
                </a:lnTo>
                <a:lnTo>
                  <a:pt x="566" y="337"/>
                </a:lnTo>
                <a:lnTo>
                  <a:pt x="566" y="345"/>
                </a:lnTo>
                <a:lnTo>
                  <a:pt x="565" y="353"/>
                </a:lnTo>
                <a:lnTo>
                  <a:pt x="565" y="360"/>
                </a:lnTo>
                <a:lnTo>
                  <a:pt x="565" y="369"/>
                </a:lnTo>
                <a:lnTo>
                  <a:pt x="563" y="378"/>
                </a:lnTo>
                <a:lnTo>
                  <a:pt x="563" y="387"/>
                </a:lnTo>
                <a:lnTo>
                  <a:pt x="563" y="408"/>
                </a:lnTo>
                <a:lnTo>
                  <a:pt x="563" y="429"/>
                </a:lnTo>
                <a:lnTo>
                  <a:pt x="563" y="450"/>
                </a:lnTo>
                <a:lnTo>
                  <a:pt x="562" y="471"/>
                </a:lnTo>
                <a:lnTo>
                  <a:pt x="562" y="493"/>
                </a:lnTo>
                <a:lnTo>
                  <a:pt x="562" y="512"/>
                </a:lnTo>
                <a:lnTo>
                  <a:pt x="562" y="522"/>
                </a:lnTo>
                <a:lnTo>
                  <a:pt x="562" y="531"/>
                </a:lnTo>
                <a:lnTo>
                  <a:pt x="562" y="540"/>
                </a:lnTo>
                <a:lnTo>
                  <a:pt x="562" y="548"/>
                </a:lnTo>
                <a:lnTo>
                  <a:pt x="562" y="556"/>
                </a:lnTo>
                <a:lnTo>
                  <a:pt x="562" y="563"/>
                </a:lnTo>
                <a:lnTo>
                  <a:pt x="563" y="570"/>
                </a:lnTo>
                <a:lnTo>
                  <a:pt x="563" y="575"/>
                </a:lnTo>
                <a:lnTo>
                  <a:pt x="563" y="580"/>
                </a:lnTo>
                <a:lnTo>
                  <a:pt x="563" y="584"/>
                </a:lnTo>
                <a:lnTo>
                  <a:pt x="563" y="651"/>
                </a:lnTo>
                <a:lnTo>
                  <a:pt x="563" y="717"/>
                </a:lnTo>
                <a:lnTo>
                  <a:pt x="563" y="784"/>
                </a:lnTo>
                <a:lnTo>
                  <a:pt x="563" y="851"/>
                </a:lnTo>
                <a:lnTo>
                  <a:pt x="563" y="1118"/>
                </a:lnTo>
                <a:lnTo>
                  <a:pt x="563" y="1385"/>
                </a:lnTo>
                <a:lnTo>
                  <a:pt x="563" y="1652"/>
                </a:lnTo>
                <a:lnTo>
                  <a:pt x="563" y="1918"/>
                </a:lnTo>
                <a:lnTo>
                  <a:pt x="563" y="2452"/>
                </a:lnTo>
                <a:lnTo>
                  <a:pt x="563" y="2987"/>
                </a:lnTo>
                <a:lnTo>
                  <a:pt x="563" y="3520"/>
                </a:lnTo>
                <a:lnTo>
                  <a:pt x="563" y="4054"/>
                </a:lnTo>
              </a:path>
            </a:pathLst>
          </a:custGeom>
          <a:grpFill/>
          <a:ln w="0">
            <a:noFill/>
            <a:prstDash val="solid"/>
            <a:round/>
            <a:headEnd/>
            <a:tailEnd/>
          </a:ln>
          <a:scene3d>
            <a:camera prst="orthographicFront"/>
            <a:lightRig rig="threePt" dir="t"/>
          </a:scene3d>
          <a:sp3d>
            <a:bevelT w="127000" prst="artDeco"/>
          </a:sp3d>
        </xdr:spPr>
        <xdr:txBody>
          <a:bodyPr anchor="ctr"/>
          <a:lstStyle/>
          <a:p>
            <a:endParaRPr lang="en-US"/>
          </a:p>
        </xdr:txBody>
      </xdr:sp>
      <xdr:sp macro="" textlink="">
        <xdr:nvSpPr>
          <xdr:cNvPr id="8" name="Thermometer Mercury Background">
            <a:extLst>
              <a:ext uri="{FF2B5EF4-FFF2-40B4-BE49-F238E27FC236}">
                <a16:creationId xmlns:a16="http://schemas.microsoft.com/office/drawing/2014/main" id="{00000000-0008-0000-0700-000008000000}"/>
              </a:ext>
            </a:extLst>
          </xdr:cNvPr>
          <xdr:cNvSpPr/>
        </xdr:nvSpPr>
        <xdr:spPr bwMode="auto">
          <a:xfrm>
            <a:off x="9944173" y="9532142"/>
            <a:ext cx="169198" cy="2482229"/>
          </a:xfrm>
          <a:prstGeom prst="roundRect">
            <a:avLst>
              <a:gd name="adj" fmla="val 48342"/>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graphicFrame macro="">
        <xdr:nvGraphicFramePr>
          <xdr:cNvPr id="9" name="Thermometer Mercury Chart">
            <a:extLst>
              <a:ext uri="{FF2B5EF4-FFF2-40B4-BE49-F238E27FC236}">
                <a16:creationId xmlns:a16="http://schemas.microsoft.com/office/drawing/2014/main" id="{00000000-0008-0000-0700-000009000000}"/>
              </a:ext>
            </a:extLst>
          </xdr:cNvPr>
          <xdr:cNvGraphicFramePr>
            <a:graphicFrameLocks/>
          </xdr:cNvGraphicFramePr>
        </xdr:nvGraphicFramePr>
        <xdr:xfrm>
          <a:off x="9180281" y="9603287"/>
          <a:ext cx="1239267" cy="2551317"/>
        </xdr:xfrm>
        <a:graphic>
          <a:graphicData uri="http://schemas.openxmlformats.org/drawingml/2006/chart">
            <c:chart xmlns:c="http://schemas.openxmlformats.org/drawingml/2006/chart" xmlns:r="http://schemas.openxmlformats.org/officeDocument/2006/relationships" r:id="rId3"/>
          </a:graphicData>
        </a:graphic>
      </xdr:graphicFrame>
      <xdr:sp macro="" textlink="$I$5:$K$5">
        <xdr:nvSpPr>
          <xdr:cNvPr id="10" name="Thermometer Small % Value Text">
            <a:extLst>
              <a:ext uri="{FF2B5EF4-FFF2-40B4-BE49-F238E27FC236}">
                <a16:creationId xmlns:a16="http://schemas.microsoft.com/office/drawing/2014/main" id="{00000000-0008-0000-0700-00000A000000}"/>
              </a:ext>
            </a:extLst>
          </xdr:cNvPr>
          <xdr:cNvSpPr txBox="1"/>
        </xdr:nvSpPr>
        <xdr:spPr bwMode="auto">
          <a:xfrm>
            <a:off x="9412436" y="12152956"/>
            <a:ext cx="1312643" cy="527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fld id="{2E7E6D87-CDC1-45A6-9637-6F41BD823EB4}" type="TxLink">
              <a:rPr lang="en-US" sz="1100" b="0" i="0" u="none" strike="noStrike" cap="none" spc="50">
                <a:ln w="11430"/>
                <a:solidFill>
                  <a:srgbClr val="FF0000"/>
                </a:solidFill>
                <a:effectLst>
                  <a:outerShdw blurRad="76200" dist="50800" dir="5400000" algn="tl" rotWithShape="0">
                    <a:srgbClr val="000000">
                      <a:alpha val="65000"/>
                    </a:srgbClr>
                  </a:outerShdw>
                </a:effectLst>
                <a:latin typeface="Tahoma"/>
                <a:ea typeface="Tahoma"/>
                <a:cs typeface="Tahoma"/>
              </a:rPr>
              <a:pPr algn="ctr"/>
              <a:t>#¡DIV/0!</a:t>
            </a:fld>
            <a:endParaRPr lang="en-US" sz="6600" b="1" i="0" u="none" strike="noStrike" cap="none" spc="50">
              <a:ln w="11430"/>
              <a:solidFill>
                <a:srgbClr val="FF0000"/>
              </a:solidFill>
              <a:effectLst>
                <a:outerShdw blurRad="76200" dist="50800" dir="5400000" algn="tl" rotWithShape="0">
                  <a:srgbClr val="000000">
                    <a:alpha val="65000"/>
                  </a:srgbClr>
                </a:outerShdw>
              </a:effectLst>
              <a:latin typeface="Arialri"/>
              <a:ea typeface="+mn-ea"/>
              <a:cs typeface="Arial"/>
            </a:endParaRPr>
          </a:p>
        </xdr:txBody>
      </xdr:sp>
      <xdr:sp macro="" textlink="$E$42">
        <xdr:nvSpPr>
          <xdr:cNvPr id="11" name="Thermometer Up / Down Arrow Text">
            <a:extLst>
              <a:ext uri="{FF2B5EF4-FFF2-40B4-BE49-F238E27FC236}">
                <a16:creationId xmlns:a16="http://schemas.microsoft.com/office/drawing/2014/main" id="{00000000-0008-0000-0700-00000B000000}"/>
              </a:ext>
            </a:extLst>
          </xdr:cNvPr>
          <xdr:cNvSpPr txBox="1"/>
        </xdr:nvSpPr>
        <xdr:spPr>
          <a:xfrm>
            <a:off x="9403838" y="10686893"/>
            <a:ext cx="1160576" cy="1422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fld id="{D7339A74-1A42-4130-883A-64E54298A14C}" type="TxLink">
              <a:rPr lang="en-US" sz="7200" b="1" i="0" u="none" strike="noStrike" cap="none" spc="50">
                <a:ln w="11430"/>
                <a:solidFill>
                  <a:schemeClr val="tx1"/>
                </a:solidFill>
                <a:effectLst>
                  <a:outerShdw blurRad="76200" dist="50800" dir="5400000" algn="tl" rotWithShape="0">
                    <a:srgbClr val="000000">
                      <a:alpha val="65000"/>
                    </a:srgbClr>
                  </a:outerShdw>
                </a:effectLst>
                <a:latin typeface="Wingdings"/>
                <a:ea typeface="+mn-ea"/>
                <a:cs typeface="Calibri"/>
              </a:rPr>
              <a:pPr algn="ctr"/>
              <a:t> </a:t>
            </a:fld>
            <a:endParaRPr lang="en-US" sz="7200" b="1" i="0" u="none" strike="noStrike" cap="none" spc="50">
              <a:ln w="11430"/>
              <a:solidFill>
                <a:schemeClr val="tx1"/>
              </a:solidFill>
              <a:effectLst>
                <a:outerShdw blurRad="76200" dist="50800" dir="5400000" algn="tl" rotWithShape="0">
                  <a:srgbClr val="000000">
                    <a:alpha val="65000"/>
                  </a:srgbClr>
                </a:outerShdw>
              </a:effectLst>
              <a:latin typeface="Wingdings"/>
              <a:ea typeface="+mn-ea"/>
              <a:cs typeface="Calibri"/>
            </a:endParaRPr>
          </a:p>
        </xdr:txBody>
      </xdr:sp>
    </xdr:grpSp>
    <xdr:clientData/>
  </xdr:twoCellAnchor>
  <xdr:twoCellAnchor>
    <xdr:from>
      <xdr:col>10</xdr:col>
      <xdr:colOff>295275</xdr:colOff>
      <xdr:row>6</xdr:row>
      <xdr:rowOff>95250</xdr:rowOff>
    </xdr:from>
    <xdr:to>
      <xdr:col>10</xdr:col>
      <xdr:colOff>666750</xdr:colOff>
      <xdr:row>9</xdr:row>
      <xdr:rowOff>200025</xdr:rowOff>
    </xdr:to>
    <xdr:sp macro="" textlink="">
      <xdr:nvSpPr>
        <xdr:cNvPr id="12" name="Flecha abajo 11">
          <a:extLst>
            <a:ext uri="{FF2B5EF4-FFF2-40B4-BE49-F238E27FC236}">
              <a16:creationId xmlns:a16="http://schemas.microsoft.com/office/drawing/2014/main" id="{00000000-0008-0000-0700-00000C000000}"/>
            </a:ext>
          </a:extLst>
        </xdr:cNvPr>
        <xdr:cNvSpPr/>
      </xdr:nvSpPr>
      <xdr:spPr>
        <a:xfrm>
          <a:off x="7962900" y="1171575"/>
          <a:ext cx="371475" cy="590550"/>
        </a:xfrm>
        <a:prstGeom prst="downArrow">
          <a:avLst/>
        </a:prstGeom>
        <a:noFill/>
        <a:ln>
          <a:solidFill>
            <a:srgbClr val="C00000"/>
          </a:solidFill>
        </a:ln>
        <a:effectLst>
          <a:glow rad="63500">
            <a:srgbClr val="C00000">
              <a:alpha val="40000"/>
            </a:srgb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666750</xdr:colOff>
      <xdr:row>6</xdr:row>
      <xdr:rowOff>104775</xdr:rowOff>
    </xdr:from>
    <xdr:to>
      <xdr:col>6</xdr:col>
      <xdr:colOff>1038225</xdr:colOff>
      <xdr:row>9</xdr:row>
      <xdr:rowOff>209550</xdr:rowOff>
    </xdr:to>
    <xdr:sp macro="" textlink="">
      <xdr:nvSpPr>
        <xdr:cNvPr id="13" name="Flecha abajo 12">
          <a:extLst>
            <a:ext uri="{FF2B5EF4-FFF2-40B4-BE49-F238E27FC236}">
              <a16:creationId xmlns:a16="http://schemas.microsoft.com/office/drawing/2014/main" id="{00000000-0008-0000-0700-00000D000000}"/>
            </a:ext>
          </a:extLst>
        </xdr:cNvPr>
        <xdr:cNvSpPr/>
      </xdr:nvSpPr>
      <xdr:spPr>
        <a:xfrm rot="10800000">
          <a:off x="5257800" y="1181100"/>
          <a:ext cx="371475" cy="590550"/>
        </a:xfrm>
        <a:prstGeom prst="downArrow">
          <a:avLst/>
        </a:prstGeom>
        <a:noFill/>
        <a:ln>
          <a:solidFill>
            <a:schemeClr val="accent6">
              <a:lumMod val="75000"/>
            </a:schemeClr>
          </a:solidFill>
        </a:ln>
        <a:effectLst>
          <a:glow rad="63500">
            <a:schemeClr val="accent6">
              <a:lumMod val="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solidFill>
              <a:srgbClr val="00B050"/>
            </a:solidFill>
          </a:endParaRPr>
        </a:p>
      </xdr:txBody>
    </xdr:sp>
    <xdr:clientData/>
  </xdr:twoCellAnchor>
  <xdr:twoCellAnchor>
    <xdr:from>
      <xdr:col>9</xdr:col>
      <xdr:colOff>676275</xdr:colOff>
      <xdr:row>0</xdr:row>
      <xdr:rowOff>133350</xdr:rowOff>
    </xdr:from>
    <xdr:to>
      <xdr:col>10</xdr:col>
      <xdr:colOff>623359</xdr:colOff>
      <xdr:row>2</xdr:row>
      <xdr:rowOff>67734</xdr:rowOff>
    </xdr:to>
    <xdr:sp macro="" textlink="">
      <xdr:nvSpPr>
        <xdr:cNvPr id="17" name="Rectángulo 16">
          <a:hlinkClick xmlns:r="http://schemas.openxmlformats.org/officeDocument/2006/relationships" r:id="rId4"/>
          <a:extLst>
            <a:ext uri="{FF2B5EF4-FFF2-40B4-BE49-F238E27FC236}">
              <a16:creationId xmlns:a16="http://schemas.microsoft.com/office/drawing/2014/main" id="{00000000-0008-0000-0700-000011000000}"/>
            </a:ext>
          </a:extLst>
        </xdr:cNvPr>
        <xdr:cNvSpPr/>
      </xdr:nvSpPr>
      <xdr:spPr>
        <a:xfrm>
          <a:off x="7620000" y="133350"/>
          <a:ext cx="709084" cy="296334"/>
        </a:xfrm>
        <a:prstGeom prst="rect">
          <a:avLst/>
        </a:prstGeom>
        <a:noFill/>
        <a:ln w="12700" cmpd="dbl">
          <a:solidFill>
            <a:srgbClr val="660B15"/>
          </a:solidFill>
        </a:ln>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rgbClr val="660B15"/>
              </a:solidFill>
              <a:latin typeface="Tahoma" panose="020B0604030504040204" pitchFamily="34" charset="0"/>
              <a:ea typeface="Tahoma" panose="020B0604030504040204" pitchFamily="34" charset="0"/>
              <a:cs typeface="Tahoma" panose="020B0604030504040204" pitchFamily="34" charset="0"/>
            </a:rPr>
            <a:t>INICIO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550334</xdr:colOff>
      <xdr:row>4</xdr:row>
      <xdr:rowOff>126999</xdr:rowOff>
    </xdr:from>
    <xdr:to>
      <xdr:col>2</xdr:col>
      <xdr:colOff>1259418</xdr:colOff>
      <xdr:row>4</xdr:row>
      <xdr:rowOff>529166</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00000000-0008-0000-0800-000002000000}"/>
            </a:ext>
          </a:extLst>
        </xdr:cNvPr>
        <xdr:cNvSpPr/>
      </xdr:nvSpPr>
      <xdr:spPr>
        <a:xfrm>
          <a:off x="3988859" y="2051049"/>
          <a:ext cx="709084" cy="402167"/>
        </a:xfrm>
        <a:prstGeom prst="rect">
          <a:avLst/>
        </a:prstGeom>
        <a:noFill/>
        <a:ln w="12700" cmpd="dbl">
          <a:solidFill>
            <a:srgbClr val="660B15"/>
          </a:solidFill>
        </a:ln>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rgbClr val="660B15"/>
              </a:solidFill>
              <a:latin typeface="Tahoma" panose="020B0604030504040204" pitchFamily="34" charset="0"/>
              <a:ea typeface="Tahoma" panose="020B0604030504040204" pitchFamily="34" charset="0"/>
              <a:cs typeface="Tahoma" panose="020B0604030504040204" pitchFamily="34" charset="0"/>
            </a:rPr>
            <a:t>INICIO</a:t>
          </a:r>
        </a:p>
      </xdr:txBody>
    </xdr:sp>
    <xdr:clientData/>
  </xdr:twoCellAnchor>
  <xdr:twoCellAnchor editAs="oneCell">
    <xdr:from>
      <xdr:col>0</xdr:col>
      <xdr:colOff>0</xdr:colOff>
      <xdr:row>0</xdr:row>
      <xdr:rowOff>0</xdr:rowOff>
    </xdr:from>
    <xdr:to>
      <xdr:col>0</xdr:col>
      <xdr:colOff>2434167</xdr:colOff>
      <xdr:row>1</xdr:row>
      <xdr:rowOff>0</xdr:rowOff>
    </xdr:to>
    <xdr:pic>
      <xdr:nvPicPr>
        <xdr:cNvPr id="3" name="Imagen 2">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3595" b="23595"/>
        <a:stretch/>
      </xdr:blipFill>
      <xdr:spPr>
        <a:xfrm>
          <a:off x="0" y="0"/>
          <a:ext cx="2434167" cy="1206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123826</xdr:colOff>
      <xdr:row>5</xdr:row>
      <xdr:rowOff>119063</xdr:rowOff>
    </xdr:from>
    <xdr:to>
      <xdr:col>3</xdr:col>
      <xdr:colOff>923926</xdr:colOff>
      <xdr:row>17</xdr:row>
      <xdr:rowOff>171450</xdr:rowOff>
    </xdr:to>
    <xdr:graphicFrame macro="">
      <xdr:nvGraphicFramePr>
        <xdr:cNvPr id="2" name="Gráfico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828675</xdr:colOff>
      <xdr:row>5</xdr:row>
      <xdr:rowOff>152400</xdr:rowOff>
    </xdr:from>
    <xdr:to>
      <xdr:col>6</xdr:col>
      <xdr:colOff>1054900</xdr:colOff>
      <xdr:row>17</xdr:row>
      <xdr:rowOff>133350</xdr:rowOff>
    </xdr:to>
    <xdr:grpSp>
      <xdr:nvGrpSpPr>
        <xdr:cNvPr id="3" name="Grupo 2">
          <a:extLst>
            <a:ext uri="{FF2B5EF4-FFF2-40B4-BE49-F238E27FC236}">
              <a16:creationId xmlns:a16="http://schemas.microsoft.com/office/drawing/2014/main" id="{00000000-0008-0000-0900-000003000000}"/>
            </a:ext>
          </a:extLst>
        </xdr:cNvPr>
        <xdr:cNvGrpSpPr/>
      </xdr:nvGrpSpPr>
      <xdr:grpSpPr>
        <a:xfrm>
          <a:off x="3076575" y="1390650"/>
          <a:ext cx="2607475" cy="2000250"/>
          <a:chOff x="4952999" y="452437"/>
          <a:chExt cx="3209925" cy="1938338"/>
        </a:xfrm>
      </xdr:grpSpPr>
      <xdr:graphicFrame macro="">
        <xdr:nvGraphicFramePr>
          <xdr:cNvPr id="4" name="Gráfico 3">
            <a:extLst>
              <a:ext uri="{FF2B5EF4-FFF2-40B4-BE49-F238E27FC236}">
                <a16:creationId xmlns:a16="http://schemas.microsoft.com/office/drawing/2014/main" id="{00000000-0008-0000-0900-000004000000}"/>
              </a:ext>
            </a:extLst>
          </xdr:cNvPr>
          <xdr:cNvGraphicFramePr>
            <a:graphicFrameLocks/>
          </xdr:cNvGraphicFramePr>
        </xdr:nvGraphicFramePr>
        <xdr:xfrm>
          <a:off x="4952999" y="452437"/>
          <a:ext cx="3209925" cy="1938338"/>
        </xdr:xfrm>
        <a:graphic>
          <a:graphicData uri="http://schemas.openxmlformats.org/drawingml/2006/chart">
            <c:chart xmlns:c="http://schemas.openxmlformats.org/drawingml/2006/chart" xmlns:r="http://schemas.openxmlformats.org/officeDocument/2006/relationships" r:id="rId2"/>
          </a:graphicData>
        </a:graphic>
      </xdr:graphicFrame>
      <xdr:sp macro="" textlink="F$5">
        <xdr:nvSpPr>
          <xdr:cNvPr id="5" name="Elipse 4">
            <a:extLst>
              <a:ext uri="{FF2B5EF4-FFF2-40B4-BE49-F238E27FC236}">
                <a16:creationId xmlns:a16="http://schemas.microsoft.com/office/drawing/2014/main" id="{00000000-0008-0000-0900-000005000000}"/>
              </a:ext>
            </a:extLst>
          </xdr:cNvPr>
          <xdr:cNvSpPr/>
        </xdr:nvSpPr>
        <xdr:spPr>
          <a:xfrm>
            <a:off x="6189938" y="1144701"/>
            <a:ext cx="994981" cy="779928"/>
          </a:xfrm>
          <a:prstGeom prst="ellipse">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654E30B-B5A2-4F49-AA81-328B01F0E996}" type="TxLink">
              <a:rPr lang="en-US" sz="1100" b="0" i="0" u="none" strike="noStrike">
                <a:solidFill>
                  <a:schemeClr val="bg1"/>
                </a:solidFill>
                <a:latin typeface="Tahoma"/>
                <a:ea typeface="Tahoma"/>
                <a:cs typeface="Tahoma"/>
              </a:rPr>
              <a:pPr algn="ctr"/>
              <a:t>#¡REF!</a:t>
            </a:fld>
            <a:endParaRPr lang="es-CO" sz="1400" b="1">
              <a:solidFill>
                <a:schemeClr val="bg1"/>
              </a:solidFill>
            </a:endParaRPr>
          </a:p>
        </xdr:txBody>
      </xdr:sp>
    </xdr:grpSp>
    <xdr:clientData/>
  </xdr:twoCellAnchor>
  <xdr:twoCellAnchor>
    <xdr:from>
      <xdr:col>8</xdr:col>
      <xdr:colOff>877696</xdr:colOff>
      <xdr:row>6</xdr:row>
      <xdr:rowOff>112904</xdr:rowOff>
    </xdr:from>
    <xdr:to>
      <xdr:col>9</xdr:col>
      <xdr:colOff>605748</xdr:colOff>
      <xdr:row>17</xdr:row>
      <xdr:rowOff>123825</xdr:rowOff>
    </xdr:to>
    <xdr:sp macro="" textlink="">
      <xdr:nvSpPr>
        <xdr:cNvPr id="7" name="Thermometer Background Shape">
          <a:extLst>
            <a:ext uri="{FF2B5EF4-FFF2-40B4-BE49-F238E27FC236}">
              <a16:creationId xmlns:a16="http://schemas.microsoft.com/office/drawing/2014/main" id="{00000000-0008-0000-0900-000007000000}"/>
            </a:ext>
          </a:extLst>
        </xdr:cNvPr>
        <xdr:cNvSpPr>
          <a:spLocks/>
        </xdr:cNvSpPr>
      </xdr:nvSpPr>
      <xdr:spPr bwMode="auto">
        <a:xfrm>
          <a:off x="6878446" y="1186631"/>
          <a:ext cx="671893" cy="1837989"/>
        </a:xfrm>
        <a:custGeom>
          <a:avLst/>
          <a:gdLst/>
          <a:ahLst/>
          <a:cxnLst>
            <a:cxn ang="0">
              <a:pos x="470" y="4101"/>
            </a:cxn>
            <a:cxn ang="0">
              <a:pos x="354" y="4181"/>
            </a:cxn>
            <a:cxn ang="0">
              <a:pos x="225" y="4306"/>
            </a:cxn>
            <a:cxn ang="0">
              <a:pos x="154" y="4402"/>
            </a:cxn>
            <a:cxn ang="0">
              <a:pos x="97" y="4505"/>
            </a:cxn>
            <a:cxn ang="0">
              <a:pos x="51" y="4615"/>
            </a:cxn>
            <a:cxn ang="0">
              <a:pos x="19" y="4731"/>
            </a:cxn>
            <a:cxn ang="0">
              <a:pos x="3" y="4849"/>
            </a:cxn>
            <a:cxn ang="0">
              <a:pos x="1" y="4971"/>
            </a:cxn>
            <a:cxn ang="0">
              <a:pos x="17" y="5094"/>
            </a:cxn>
            <a:cxn ang="0">
              <a:pos x="47" y="5215"/>
            </a:cxn>
            <a:cxn ang="0">
              <a:pos x="92" y="5329"/>
            </a:cxn>
            <a:cxn ang="0">
              <a:pos x="150" y="5435"/>
            </a:cxn>
            <a:cxn ang="0">
              <a:pos x="259" y="5576"/>
            </a:cxn>
            <a:cxn ang="0">
              <a:pos x="393" y="5693"/>
            </a:cxn>
            <a:cxn ang="0">
              <a:pos x="493" y="5756"/>
            </a:cxn>
            <a:cxn ang="0">
              <a:pos x="601" y="5806"/>
            </a:cxn>
            <a:cxn ang="0">
              <a:pos x="716" y="5842"/>
            </a:cxn>
            <a:cxn ang="0">
              <a:pos x="835" y="5862"/>
            </a:cxn>
            <a:cxn ang="0">
              <a:pos x="959" y="5867"/>
            </a:cxn>
            <a:cxn ang="0">
              <a:pos x="1081" y="5857"/>
            </a:cxn>
            <a:cxn ang="0">
              <a:pos x="1199" y="5831"/>
            </a:cxn>
            <a:cxn ang="0">
              <a:pos x="1311" y="5790"/>
            </a:cxn>
            <a:cxn ang="0">
              <a:pos x="1416" y="5735"/>
            </a:cxn>
            <a:cxn ang="0">
              <a:pos x="1513" y="5668"/>
            </a:cxn>
            <a:cxn ang="0">
              <a:pos x="1667" y="5515"/>
            </a:cxn>
            <a:cxn ang="0">
              <a:pos x="1745" y="5401"/>
            </a:cxn>
            <a:cxn ang="0">
              <a:pos x="1800" y="5292"/>
            </a:cxn>
            <a:cxn ang="0">
              <a:pos x="1839" y="5176"/>
            </a:cxn>
            <a:cxn ang="0">
              <a:pos x="1865" y="5053"/>
            </a:cxn>
            <a:cxn ang="0">
              <a:pos x="1874" y="4930"/>
            </a:cxn>
            <a:cxn ang="0">
              <a:pos x="1867" y="4809"/>
            </a:cxn>
            <a:cxn ang="0">
              <a:pos x="1846" y="4691"/>
            </a:cxn>
            <a:cxn ang="0">
              <a:pos x="1810" y="4578"/>
            </a:cxn>
            <a:cxn ang="0">
              <a:pos x="1761" y="4470"/>
            </a:cxn>
            <a:cxn ang="0">
              <a:pos x="1698" y="4369"/>
            </a:cxn>
            <a:cxn ang="0">
              <a:pos x="1623" y="4276"/>
            </a:cxn>
            <a:cxn ang="0">
              <a:pos x="1472" y="4145"/>
            </a:cxn>
            <a:cxn ang="0">
              <a:pos x="1368" y="4081"/>
            </a:cxn>
            <a:cxn ang="0">
              <a:pos x="1312" y="2452"/>
            </a:cxn>
            <a:cxn ang="0">
              <a:pos x="1312" y="784"/>
            </a:cxn>
            <a:cxn ang="0">
              <a:pos x="1312" y="569"/>
            </a:cxn>
            <a:cxn ang="0">
              <a:pos x="1312" y="521"/>
            </a:cxn>
            <a:cxn ang="0">
              <a:pos x="1312" y="408"/>
            </a:cxn>
            <a:cxn ang="0">
              <a:pos x="1309" y="344"/>
            </a:cxn>
            <a:cxn ang="0">
              <a:pos x="1304" y="298"/>
            </a:cxn>
            <a:cxn ang="0">
              <a:pos x="1270" y="204"/>
            </a:cxn>
            <a:cxn ang="0">
              <a:pos x="1214" y="123"/>
            </a:cxn>
            <a:cxn ang="0">
              <a:pos x="1140" y="60"/>
            </a:cxn>
            <a:cxn ang="0">
              <a:pos x="1053" y="18"/>
            </a:cxn>
            <a:cxn ang="0">
              <a:pos x="955" y="0"/>
            </a:cxn>
            <a:cxn ang="0">
              <a:pos x="854" y="9"/>
            </a:cxn>
            <a:cxn ang="0">
              <a:pos x="763" y="43"/>
            </a:cxn>
            <a:cxn ang="0">
              <a:pos x="683" y="100"/>
            </a:cxn>
            <a:cxn ang="0">
              <a:pos x="620" y="176"/>
            </a:cxn>
            <a:cxn ang="0">
              <a:pos x="580" y="265"/>
            </a:cxn>
            <a:cxn ang="0">
              <a:pos x="566" y="331"/>
            </a:cxn>
            <a:cxn ang="0">
              <a:pos x="563" y="378"/>
            </a:cxn>
            <a:cxn ang="0">
              <a:pos x="562" y="493"/>
            </a:cxn>
            <a:cxn ang="0">
              <a:pos x="562" y="556"/>
            </a:cxn>
            <a:cxn ang="0">
              <a:pos x="563" y="651"/>
            </a:cxn>
            <a:cxn ang="0">
              <a:pos x="563" y="1652"/>
            </a:cxn>
          </a:cxnLst>
          <a:rect l="0" t="0" r="r" b="b"/>
          <a:pathLst>
            <a:path w="1874" h="5869">
              <a:moveTo>
                <a:pt x="563" y="4054"/>
              </a:moveTo>
              <a:lnTo>
                <a:pt x="544" y="4063"/>
              </a:lnTo>
              <a:lnTo>
                <a:pt x="525" y="4072"/>
              </a:lnTo>
              <a:lnTo>
                <a:pt x="506" y="4081"/>
              </a:lnTo>
              <a:lnTo>
                <a:pt x="488" y="4091"/>
              </a:lnTo>
              <a:lnTo>
                <a:pt x="470" y="4101"/>
              </a:lnTo>
              <a:lnTo>
                <a:pt x="453" y="4112"/>
              </a:lnTo>
              <a:lnTo>
                <a:pt x="436" y="4122"/>
              </a:lnTo>
              <a:lnTo>
                <a:pt x="418" y="4134"/>
              </a:lnTo>
              <a:lnTo>
                <a:pt x="402" y="4145"/>
              </a:lnTo>
              <a:lnTo>
                <a:pt x="385" y="4157"/>
              </a:lnTo>
              <a:lnTo>
                <a:pt x="354" y="4181"/>
              </a:lnTo>
              <a:lnTo>
                <a:pt x="323" y="4207"/>
              </a:lnTo>
              <a:lnTo>
                <a:pt x="294" y="4234"/>
              </a:lnTo>
              <a:lnTo>
                <a:pt x="266" y="4262"/>
              </a:lnTo>
              <a:lnTo>
                <a:pt x="252" y="4276"/>
              </a:lnTo>
              <a:lnTo>
                <a:pt x="238" y="4292"/>
              </a:lnTo>
              <a:lnTo>
                <a:pt x="225" y="4306"/>
              </a:lnTo>
              <a:lnTo>
                <a:pt x="212" y="4321"/>
              </a:lnTo>
              <a:lnTo>
                <a:pt x="201" y="4336"/>
              </a:lnTo>
              <a:lnTo>
                <a:pt x="188" y="4353"/>
              </a:lnTo>
              <a:lnTo>
                <a:pt x="177" y="4369"/>
              </a:lnTo>
              <a:lnTo>
                <a:pt x="165" y="4385"/>
              </a:lnTo>
              <a:lnTo>
                <a:pt x="154" y="4402"/>
              </a:lnTo>
              <a:lnTo>
                <a:pt x="144" y="4419"/>
              </a:lnTo>
              <a:lnTo>
                <a:pt x="134" y="4435"/>
              </a:lnTo>
              <a:lnTo>
                <a:pt x="123" y="4452"/>
              </a:lnTo>
              <a:lnTo>
                <a:pt x="115" y="4470"/>
              </a:lnTo>
              <a:lnTo>
                <a:pt x="104" y="4487"/>
              </a:lnTo>
              <a:lnTo>
                <a:pt x="97" y="4505"/>
              </a:lnTo>
              <a:lnTo>
                <a:pt x="88" y="4523"/>
              </a:lnTo>
              <a:lnTo>
                <a:pt x="80" y="4541"/>
              </a:lnTo>
              <a:lnTo>
                <a:pt x="71" y="4559"/>
              </a:lnTo>
              <a:lnTo>
                <a:pt x="65" y="4578"/>
              </a:lnTo>
              <a:lnTo>
                <a:pt x="57" y="4596"/>
              </a:lnTo>
              <a:lnTo>
                <a:pt x="51" y="4615"/>
              </a:lnTo>
              <a:lnTo>
                <a:pt x="45" y="4634"/>
              </a:lnTo>
              <a:lnTo>
                <a:pt x="40" y="4652"/>
              </a:lnTo>
              <a:lnTo>
                <a:pt x="33" y="4672"/>
              </a:lnTo>
              <a:lnTo>
                <a:pt x="28" y="4691"/>
              </a:lnTo>
              <a:lnTo>
                <a:pt x="24" y="4710"/>
              </a:lnTo>
              <a:lnTo>
                <a:pt x="19" y="4731"/>
              </a:lnTo>
              <a:lnTo>
                <a:pt x="15" y="4750"/>
              </a:lnTo>
              <a:lnTo>
                <a:pt x="13" y="4769"/>
              </a:lnTo>
              <a:lnTo>
                <a:pt x="9" y="4790"/>
              </a:lnTo>
              <a:lnTo>
                <a:pt x="7" y="4809"/>
              </a:lnTo>
              <a:lnTo>
                <a:pt x="5" y="4830"/>
              </a:lnTo>
              <a:lnTo>
                <a:pt x="3" y="4849"/>
              </a:lnTo>
              <a:lnTo>
                <a:pt x="1" y="4869"/>
              </a:lnTo>
              <a:lnTo>
                <a:pt x="1" y="4890"/>
              </a:lnTo>
              <a:lnTo>
                <a:pt x="0" y="4911"/>
              </a:lnTo>
              <a:lnTo>
                <a:pt x="0" y="4930"/>
              </a:lnTo>
              <a:lnTo>
                <a:pt x="1" y="4950"/>
              </a:lnTo>
              <a:lnTo>
                <a:pt x="1" y="4971"/>
              </a:lnTo>
              <a:lnTo>
                <a:pt x="3" y="4991"/>
              </a:lnTo>
              <a:lnTo>
                <a:pt x="5" y="5012"/>
              </a:lnTo>
              <a:lnTo>
                <a:pt x="7" y="5033"/>
              </a:lnTo>
              <a:lnTo>
                <a:pt x="9" y="5053"/>
              </a:lnTo>
              <a:lnTo>
                <a:pt x="13" y="5074"/>
              </a:lnTo>
              <a:lnTo>
                <a:pt x="17" y="5094"/>
              </a:lnTo>
              <a:lnTo>
                <a:pt x="21" y="5115"/>
              </a:lnTo>
              <a:lnTo>
                <a:pt x="24" y="5135"/>
              </a:lnTo>
              <a:lnTo>
                <a:pt x="29" y="5156"/>
              </a:lnTo>
              <a:lnTo>
                <a:pt x="35" y="5176"/>
              </a:lnTo>
              <a:lnTo>
                <a:pt x="41" y="5196"/>
              </a:lnTo>
              <a:lnTo>
                <a:pt x="47" y="5215"/>
              </a:lnTo>
              <a:lnTo>
                <a:pt x="54" y="5235"/>
              </a:lnTo>
              <a:lnTo>
                <a:pt x="60" y="5255"/>
              </a:lnTo>
              <a:lnTo>
                <a:pt x="68" y="5274"/>
              </a:lnTo>
              <a:lnTo>
                <a:pt x="75" y="5292"/>
              </a:lnTo>
              <a:lnTo>
                <a:pt x="83" y="5311"/>
              </a:lnTo>
              <a:lnTo>
                <a:pt x="92" y="5329"/>
              </a:lnTo>
              <a:lnTo>
                <a:pt x="101" y="5347"/>
              </a:lnTo>
              <a:lnTo>
                <a:pt x="109" y="5365"/>
              </a:lnTo>
              <a:lnTo>
                <a:pt x="120" y="5383"/>
              </a:lnTo>
              <a:lnTo>
                <a:pt x="130" y="5401"/>
              </a:lnTo>
              <a:lnTo>
                <a:pt x="140" y="5418"/>
              </a:lnTo>
              <a:lnTo>
                <a:pt x="150" y="5435"/>
              </a:lnTo>
              <a:lnTo>
                <a:pt x="162" y="5451"/>
              </a:lnTo>
              <a:lnTo>
                <a:pt x="172" y="5468"/>
              </a:lnTo>
              <a:lnTo>
                <a:pt x="183" y="5485"/>
              </a:lnTo>
              <a:lnTo>
                <a:pt x="207" y="5515"/>
              </a:lnTo>
              <a:lnTo>
                <a:pt x="233" y="5546"/>
              </a:lnTo>
              <a:lnTo>
                <a:pt x="259" y="5576"/>
              </a:lnTo>
              <a:lnTo>
                <a:pt x="287" y="5604"/>
              </a:lnTo>
              <a:lnTo>
                <a:pt x="317" y="5631"/>
              </a:lnTo>
              <a:lnTo>
                <a:pt x="346" y="5657"/>
              </a:lnTo>
              <a:lnTo>
                <a:pt x="362" y="5668"/>
              </a:lnTo>
              <a:lnTo>
                <a:pt x="378" y="5681"/>
              </a:lnTo>
              <a:lnTo>
                <a:pt x="393" y="5693"/>
              </a:lnTo>
              <a:lnTo>
                <a:pt x="409" y="5703"/>
              </a:lnTo>
              <a:lnTo>
                <a:pt x="426" y="5714"/>
              </a:lnTo>
              <a:lnTo>
                <a:pt x="443" y="5725"/>
              </a:lnTo>
              <a:lnTo>
                <a:pt x="459" y="5735"/>
              </a:lnTo>
              <a:lnTo>
                <a:pt x="476" y="5745"/>
              </a:lnTo>
              <a:lnTo>
                <a:pt x="493" y="5756"/>
              </a:lnTo>
              <a:lnTo>
                <a:pt x="511" y="5765"/>
              </a:lnTo>
              <a:lnTo>
                <a:pt x="529" y="5774"/>
              </a:lnTo>
              <a:lnTo>
                <a:pt x="547" y="5781"/>
              </a:lnTo>
              <a:lnTo>
                <a:pt x="565" y="5790"/>
              </a:lnTo>
              <a:lnTo>
                <a:pt x="582" y="5798"/>
              </a:lnTo>
              <a:lnTo>
                <a:pt x="601" y="5806"/>
              </a:lnTo>
              <a:lnTo>
                <a:pt x="619" y="5812"/>
              </a:lnTo>
              <a:lnTo>
                <a:pt x="638" y="5818"/>
              </a:lnTo>
              <a:lnTo>
                <a:pt x="657" y="5825"/>
              </a:lnTo>
              <a:lnTo>
                <a:pt x="676" y="5831"/>
              </a:lnTo>
              <a:lnTo>
                <a:pt x="695" y="5836"/>
              </a:lnTo>
              <a:lnTo>
                <a:pt x="716" y="5842"/>
              </a:lnTo>
              <a:lnTo>
                <a:pt x="735" y="5845"/>
              </a:lnTo>
              <a:lnTo>
                <a:pt x="754" y="5851"/>
              </a:lnTo>
              <a:lnTo>
                <a:pt x="774" y="5853"/>
              </a:lnTo>
              <a:lnTo>
                <a:pt x="795" y="5857"/>
              </a:lnTo>
              <a:lnTo>
                <a:pt x="815" y="5860"/>
              </a:lnTo>
              <a:lnTo>
                <a:pt x="835" y="5862"/>
              </a:lnTo>
              <a:lnTo>
                <a:pt x="856" y="5865"/>
              </a:lnTo>
              <a:lnTo>
                <a:pt x="876" y="5866"/>
              </a:lnTo>
              <a:lnTo>
                <a:pt x="896" y="5867"/>
              </a:lnTo>
              <a:lnTo>
                <a:pt x="917" y="5867"/>
              </a:lnTo>
              <a:lnTo>
                <a:pt x="937" y="5869"/>
              </a:lnTo>
              <a:lnTo>
                <a:pt x="959" y="5867"/>
              </a:lnTo>
              <a:lnTo>
                <a:pt x="979" y="5867"/>
              </a:lnTo>
              <a:lnTo>
                <a:pt x="999" y="5866"/>
              </a:lnTo>
              <a:lnTo>
                <a:pt x="1020" y="5865"/>
              </a:lnTo>
              <a:lnTo>
                <a:pt x="1040" y="5862"/>
              </a:lnTo>
              <a:lnTo>
                <a:pt x="1060" y="5860"/>
              </a:lnTo>
              <a:lnTo>
                <a:pt x="1081" y="5857"/>
              </a:lnTo>
              <a:lnTo>
                <a:pt x="1101" y="5853"/>
              </a:lnTo>
              <a:lnTo>
                <a:pt x="1120" y="5851"/>
              </a:lnTo>
              <a:lnTo>
                <a:pt x="1140" y="5845"/>
              </a:lnTo>
              <a:lnTo>
                <a:pt x="1159" y="5842"/>
              </a:lnTo>
              <a:lnTo>
                <a:pt x="1179" y="5836"/>
              </a:lnTo>
              <a:lnTo>
                <a:pt x="1199" y="5831"/>
              </a:lnTo>
              <a:lnTo>
                <a:pt x="1218" y="5825"/>
              </a:lnTo>
              <a:lnTo>
                <a:pt x="1237" y="5818"/>
              </a:lnTo>
              <a:lnTo>
                <a:pt x="1255" y="5812"/>
              </a:lnTo>
              <a:lnTo>
                <a:pt x="1274" y="5806"/>
              </a:lnTo>
              <a:lnTo>
                <a:pt x="1292" y="5798"/>
              </a:lnTo>
              <a:lnTo>
                <a:pt x="1311" y="5790"/>
              </a:lnTo>
              <a:lnTo>
                <a:pt x="1328" y="5781"/>
              </a:lnTo>
              <a:lnTo>
                <a:pt x="1346" y="5774"/>
              </a:lnTo>
              <a:lnTo>
                <a:pt x="1364" y="5765"/>
              </a:lnTo>
              <a:lnTo>
                <a:pt x="1382" y="5756"/>
              </a:lnTo>
              <a:lnTo>
                <a:pt x="1398" y="5745"/>
              </a:lnTo>
              <a:lnTo>
                <a:pt x="1416" y="5735"/>
              </a:lnTo>
              <a:lnTo>
                <a:pt x="1433" y="5725"/>
              </a:lnTo>
              <a:lnTo>
                <a:pt x="1449" y="5714"/>
              </a:lnTo>
              <a:lnTo>
                <a:pt x="1466" y="5703"/>
              </a:lnTo>
              <a:lnTo>
                <a:pt x="1481" y="5693"/>
              </a:lnTo>
              <a:lnTo>
                <a:pt x="1498" y="5681"/>
              </a:lnTo>
              <a:lnTo>
                <a:pt x="1513" y="5668"/>
              </a:lnTo>
              <a:lnTo>
                <a:pt x="1528" y="5657"/>
              </a:lnTo>
              <a:lnTo>
                <a:pt x="1559" y="5631"/>
              </a:lnTo>
              <a:lnTo>
                <a:pt x="1588" y="5604"/>
              </a:lnTo>
              <a:lnTo>
                <a:pt x="1614" y="5576"/>
              </a:lnTo>
              <a:lnTo>
                <a:pt x="1641" y="5546"/>
              </a:lnTo>
              <a:lnTo>
                <a:pt x="1667" y="5515"/>
              </a:lnTo>
              <a:lnTo>
                <a:pt x="1691" y="5485"/>
              </a:lnTo>
              <a:lnTo>
                <a:pt x="1702" y="5468"/>
              </a:lnTo>
              <a:lnTo>
                <a:pt x="1714" y="5451"/>
              </a:lnTo>
              <a:lnTo>
                <a:pt x="1725" y="5435"/>
              </a:lnTo>
              <a:lnTo>
                <a:pt x="1735" y="5418"/>
              </a:lnTo>
              <a:lnTo>
                <a:pt x="1745" y="5401"/>
              </a:lnTo>
              <a:lnTo>
                <a:pt x="1756" y="5383"/>
              </a:lnTo>
              <a:lnTo>
                <a:pt x="1764" y="5365"/>
              </a:lnTo>
              <a:lnTo>
                <a:pt x="1775" y="5347"/>
              </a:lnTo>
              <a:lnTo>
                <a:pt x="1784" y="5329"/>
              </a:lnTo>
              <a:lnTo>
                <a:pt x="1791" y="5311"/>
              </a:lnTo>
              <a:lnTo>
                <a:pt x="1800" y="5292"/>
              </a:lnTo>
              <a:lnTo>
                <a:pt x="1808" y="5274"/>
              </a:lnTo>
              <a:lnTo>
                <a:pt x="1814" y="5255"/>
              </a:lnTo>
              <a:lnTo>
                <a:pt x="1822" y="5235"/>
              </a:lnTo>
              <a:lnTo>
                <a:pt x="1828" y="5215"/>
              </a:lnTo>
              <a:lnTo>
                <a:pt x="1834" y="5196"/>
              </a:lnTo>
              <a:lnTo>
                <a:pt x="1839" y="5176"/>
              </a:lnTo>
              <a:lnTo>
                <a:pt x="1846" y="5156"/>
              </a:lnTo>
              <a:lnTo>
                <a:pt x="1850" y="5135"/>
              </a:lnTo>
              <a:lnTo>
                <a:pt x="1855" y="5115"/>
              </a:lnTo>
              <a:lnTo>
                <a:pt x="1859" y="5094"/>
              </a:lnTo>
              <a:lnTo>
                <a:pt x="1862" y="5074"/>
              </a:lnTo>
              <a:lnTo>
                <a:pt x="1865" y="5053"/>
              </a:lnTo>
              <a:lnTo>
                <a:pt x="1867" y="5033"/>
              </a:lnTo>
              <a:lnTo>
                <a:pt x="1870" y="5012"/>
              </a:lnTo>
              <a:lnTo>
                <a:pt x="1871" y="4991"/>
              </a:lnTo>
              <a:lnTo>
                <a:pt x="1873" y="4971"/>
              </a:lnTo>
              <a:lnTo>
                <a:pt x="1874" y="4950"/>
              </a:lnTo>
              <a:lnTo>
                <a:pt x="1874" y="4930"/>
              </a:lnTo>
              <a:lnTo>
                <a:pt x="1874" y="4911"/>
              </a:lnTo>
              <a:lnTo>
                <a:pt x="1874" y="4890"/>
              </a:lnTo>
              <a:lnTo>
                <a:pt x="1873" y="4869"/>
              </a:lnTo>
              <a:lnTo>
                <a:pt x="1871" y="4849"/>
              </a:lnTo>
              <a:lnTo>
                <a:pt x="1870" y="4830"/>
              </a:lnTo>
              <a:lnTo>
                <a:pt x="1867" y="4809"/>
              </a:lnTo>
              <a:lnTo>
                <a:pt x="1865" y="4790"/>
              </a:lnTo>
              <a:lnTo>
                <a:pt x="1862" y="4769"/>
              </a:lnTo>
              <a:lnTo>
                <a:pt x="1859" y="4750"/>
              </a:lnTo>
              <a:lnTo>
                <a:pt x="1855" y="4731"/>
              </a:lnTo>
              <a:lnTo>
                <a:pt x="1851" y="4710"/>
              </a:lnTo>
              <a:lnTo>
                <a:pt x="1846" y="4691"/>
              </a:lnTo>
              <a:lnTo>
                <a:pt x="1841" y="4672"/>
              </a:lnTo>
              <a:lnTo>
                <a:pt x="1836" y="4652"/>
              </a:lnTo>
              <a:lnTo>
                <a:pt x="1831" y="4634"/>
              </a:lnTo>
              <a:lnTo>
                <a:pt x="1824" y="4615"/>
              </a:lnTo>
              <a:lnTo>
                <a:pt x="1818" y="4596"/>
              </a:lnTo>
              <a:lnTo>
                <a:pt x="1810" y="4578"/>
              </a:lnTo>
              <a:lnTo>
                <a:pt x="1803" y="4559"/>
              </a:lnTo>
              <a:lnTo>
                <a:pt x="1795" y="4541"/>
              </a:lnTo>
              <a:lnTo>
                <a:pt x="1787" y="4523"/>
              </a:lnTo>
              <a:lnTo>
                <a:pt x="1778" y="4505"/>
              </a:lnTo>
              <a:lnTo>
                <a:pt x="1770" y="4487"/>
              </a:lnTo>
              <a:lnTo>
                <a:pt x="1761" y="4470"/>
              </a:lnTo>
              <a:lnTo>
                <a:pt x="1751" y="4452"/>
              </a:lnTo>
              <a:lnTo>
                <a:pt x="1742" y="4435"/>
              </a:lnTo>
              <a:lnTo>
                <a:pt x="1731" y="4419"/>
              </a:lnTo>
              <a:lnTo>
                <a:pt x="1720" y="4402"/>
              </a:lnTo>
              <a:lnTo>
                <a:pt x="1710" y="4385"/>
              </a:lnTo>
              <a:lnTo>
                <a:pt x="1698" y="4369"/>
              </a:lnTo>
              <a:lnTo>
                <a:pt x="1687" y="4353"/>
              </a:lnTo>
              <a:lnTo>
                <a:pt x="1674" y="4336"/>
              </a:lnTo>
              <a:lnTo>
                <a:pt x="1662" y="4321"/>
              </a:lnTo>
              <a:lnTo>
                <a:pt x="1649" y="4306"/>
              </a:lnTo>
              <a:lnTo>
                <a:pt x="1636" y="4292"/>
              </a:lnTo>
              <a:lnTo>
                <a:pt x="1623" y="4276"/>
              </a:lnTo>
              <a:lnTo>
                <a:pt x="1609" y="4262"/>
              </a:lnTo>
              <a:lnTo>
                <a:pt x="1581" y="4234"/>
              </a:lnTo>
              <a:lnTo>
                <a:pt x="1552" y="4207"/>
              </a:lnTo>
              <a:lnTo>
                <a:pt x="1520" y="4181"/>
              </a:lnTo>
              <a:lnTo>
                <a:pt x="1489" y="4157"/>
              </a:lnTo>
              <a:lnTo>
                <a:pt x="1472" y="4145"/>
              </a:lnTo>
              <a:lnTo>
                <a:pt x="1456" y="4134"/>
              </a:lnTo>
              <a:lnTo>
                <a:pt x="1439" y="4122"/>
              </a:lnTo>
              <a:lnTo>
                <a:pt x="1421" y="4112"/>
              </a:lnTo>
              <a:lnTo>
                <a:pt x="1405" y="4101"/>
              </a:lnTo>
              <a:lnTo>
                <a:pt x="1386" y="4091"/>
              </a:lnTo>
              <a:lnTo>
                <a:pt x="1368" y="4081"/>
              </a:lnTo>
              <a:lnTo>
                <a:pt x="1350" y="4072"/>
              </a:lnTo>
              <a:lnTo>
                <a:pt x="1331" y="4063"/>
              </a:lnTo>
              <a:lnTo>
                <a:pt x="1312" y="4054"/>
              </a:lnTo>
              <a:lnTo>
                <a:pt x="1312" y="3520"/>
              </a:lnTo>
              <a:lnTo>
                <a:pt x="1312" y="2987"/>
              </a:lnTo>
              <a:lnTo>
                <a:pt x="1312" y="2452"/>
              </a:lnTo>
              <a:lnTo>
                <a:pt x="1312" y="1918"/>
              </a:lnTo>
              <a:lnTo>
                <a:pt x="1312" y="1651"/>
              </a:lnTo>
              <a:lnTo>
                <a:pt x="1312" y="1384"/>
              </a:lnTo>
              <a:lnTo>
                <a:pt x="1312" y="1117"/>
              </a:lnTo>
              <a:lnTo>
                <a:pt x="1312" y="851"/>
              </a:lnTo>
              <a:lnTo>
                <a:pt x="1312" y="784"/>
              </a:lnTo>
              <a:lnTo>
                <a:pt x="1312" y="717"/>
              </a:lnTo>
              <a:lnTo>
                <a:pt x="1312" y="651"/>
              </a:lnTo>
              <a:lnTo>
                <a:pt x="1312" y="584"/>
              </a:lnTo>
              <a:lnTo>
                <a:pt x="1312" y="580"/>
              </a:lnTo>
              <a:lnTo>
                <a:pt x="1312" y="575"/>
              </a:lnTo>
              <a:lnTo>
                <a:pt x="1312" y="569"/>
              </a:lnTo>
              <a:lnTo>
                <a:pt x="1312" y="562"/>
              </a:lnTo>
              <a:lnTo>
                <a:pt x="1312" y="554"/>
              </a:lnTo>
              <a:lnTo>
                <a:pt x="1312" y="547"/>
              </a:lnTo>
              <a:lnTo>
                <a:pt x="1312" y="539"/>
              </a:lnTo>
              <a:lnTo>
                <a:pt x="1312" y="530"/>
              </a:lnTo>
              <a:lnTo>
                <a:pt x="1312" y="521"/>
              </a:lnTo>
              <a:lnTo>
                <a:pt x="1312" y="512"/>
              </a:lnTo>
              <a:lnTo>
                <a:pt x="1312" y="491"/>
              </a:lnTo>
              <a:lnTo>
                <a:pt x="1312" y="471"/>
              </a:lnTo>
              <a:lnTo>
                <a:pt x="1312" y="449"/>
              </a:lnTo>
              <a:lnTo>
                <a:pt x="1312" y="429"/>
              </a:lnTo>
              <a:lnTo>
                <a:pt x="1312" y="408"/>
              </a:lnTo>
              <a:lnTo>
                <a:pt x="1311" y="387"/>
              </a:lnTo>
              <a:lnTo>
                <a:pt x="1311" y="378"/>
              </a:lnTo>
              <a:lnTo>
                <a:pt x="1311" y="368"/>
              </a:lnTo>
              <a:lnTo>
                <a:pt x="1311" y="360"/>
              </a:lnTo>
              <a:lnTo>
                <a:pt x="1309" y="351"/>
              </a:lnTo>
              <a:lnTo>
                <a:pt x="1309" y="344"/>
              </a:lnTo>
              <a:lnTo>
                <a:pt x="1309" y="337"/>
              </a:lnTo>
              <a:lnTo>
                <a:pt x="1308" y="331"/>
              </a:lnTo>
              <a:lnTo>
                <a:pt x="1308" y="325"/>
              </a:lnTo>
              <a:lnTo>
                <a:pt x="1308" y="319"/>
              </a:lnTo>
              <a:lnTo>
                <a:pt x="1307" y="316"/>
              </a:lnTo>
              <a:lnTo>
                <a:pt x="1304" y="298"/>
              </a:lnTo>
              <a:lnTo>
                <a:pt x="1299" y="282"/>
              </a:lnTo>
              <a:lnTo>
                <a:pt x="1295" y="265"/>
              </a:lnTo>
              <a:lnTo>
                <a:pt x="1290" y="249"/>
              </a:lnTo>
              <a:lnTo>
                <a:pt x="1284" y="233"/>
              </a:lnTo>
              <a:lnTo>
                <a:pt x="1278" y="218"/>
              </a:lnTo>
              <a:lnTo>
                <a:pt x="1270" y="204"/>
              </a:lnTo>
              <a:lnTo>
                <a:pt x="1262" y="188"/>
              </a:lnTo>
              <a:lnTo>
                <a:pt x="1253" y="176"/>
              </a:lnTo>
              <a:lnTo>
                <a:pt x="1245" y="161"/>
              </a:lnTo>
              <a:lnTo>
                <a:pt x="1234" y="149"/>
              </a:lnTo>
              <a:lnTo>
                <a:pt x="1226" y="136"/>
              </a:lnTo>
              <a:lnTo>
                <a:pt x="1214" y="123"/>
              </a:lnTo>
              <a:lnTo>
                <a:pt x="1203" y="111"/>
              </a:lnTo>
              <a:lnTo>
                <a:pt x="1191" y="100"/>
              </a:lnTo>
              <a:lnTo>
                <a:pt x="1180" y="89"/>
              </a:lnTo>
              <a:lnTo>
                <a:pt x="1167" y="79"/>
              </a:lnTo>
              <a:lnTo>
                <a:pt x="1154" y="69"/>
              </a:lnTo>
              <a:lnTo>
                <a:pt x="1140" y="60"/>
              </a:lnTo>
              <a:lnTo>
                <a:pt x="1126" y="51"/>
              </a:lnTo>
              <a:lnTo>
                <a:pt x="1112" y="43"/>
              </a:lnTo>
              <a:lnTo>
                <a:pt x="1098" y="36"/>
              </a:lnTo>
              <a:lnTo>
                <a:pt x="1083" y="29"/>
              </a:lnTo>
              <a:lnTo>
                <a:pt x="1068" y="24"/>
              </a:lnTo>
              <a:lnTo>
                <a:pt x="1053" y="18"/>
              </a:lnTo>
              <a:lnTo>
                <a:pt x="1036" y="14"/>
              </a:lnTo>
              <a:lnTo>
                <a:pt x="1021" y="9"/>
              </a:lnTo>
              <a:lnTo>
                <a:pt x="1004" y="6"/>
              </a:lnTo>
              <a:lnTo>
                <a:pt x="988" y="3"/>
              </a:lnTo>
              <a:lnTo>
                <a:pt x="971" y="1"/>
              </a:lnTo>
              <a:lnTo>
                <a:pt x="955" y="0"/>
              </a:lnTo>
              <a:lnTo>
                <a:pt x="937" y="0"/>
              </a:lnTo>
              <a:lnTo>
                <a:pt x="920" y="0"/>
              </a:lnTo>
              <a:lnTo>
                <a:pt x="904" y="1"/>
              </a:lnTo>
              <a:lnTo>
                <a:pt x="887" y="3"/>
              </a:lnTo>
              <a:lnTo>
                <a:pt x="871" y="6"/>
              </a:lnTo>
              <a:lnTo>
                <a:pt x="854" y="9"/>
              </a:lnTo>
              <a:lnTo>
                <a:pt x="838" y="14"/>
              </a:lnTo>
              <a:lnTo>
                <a:pt x="823" y="18"/>
              </a:lnTo>
              <a:lnTo>
                <a:pt x="807" y="24"/>
              </a:lnTo>
              <a:lnTo>
                <a:pt x="792" y="29"/>
              </a:lnTo>
              <a:lnTo>
                <a:pt x="777" y="37"/>
              </a:lnTo>
              <a:lnTo>
                <a:pt x="763" y="43"/>
              </a:lnTo>
              <a:lnTo>
                <a:pt x="748" y="51"/>
              </a:lnTo>
              <a:lnTo>
                <a:pt x="735" y="60"/>
              </a:lnTo>
              <a:lnTo>
                <a:pt x="721" y="69"/>
              </a:lnTo>
              <a:lnTo>
                <a:pt x="708" y="79"/>
              </a:lnTo>
              <a:lnTo>
                <a:pt x="695" y="89"/>
              </a:lnTo>
              <a:lnTo>
                <a:pt x="683" y="100"/>
              </a:lnTo>
              <a:lnTo>
                <a:pt x="671" y="111"/>
              </a:lnTo>
              <a:lnTo>
                <a:pt x="660" y="123"/>
              </a:lnTo>
              <a:lnTo>
                <a:pt x="650" y="136"/>
              </a:lnTo>
              <a:lnTo>
                <a:pt x="640" y="149"/>
              </a:lnTo>
              <a:lnTo>
                <a:pt x="631" y="161"/>
              </a:lnTo>
              <a:lnTo>
                <a:pt x="620" y="176"/>
              </a:lnTo>
              <a:lnTo>
                <a:pt x="613" y="190"/>
              </a:lnTo>
              <a:lnTo>
                <a:pt x="605" y="204"/>
              </a:lnTo>
              <a:lnTo>
                <a:pt x="598" y="219"/>
              </a:lnTo>
              <a:lnTo>
                <a:pt x="591" y="235"/>
              </a:lnTo>
              <a:lnTo>
                <a:pt x="585" y="250"/>
              </a:lnTo>
              <a:lnTo>
                <a:pt x="580" y="265"/>
              </a:lnTo>
              <a:lnTo>
                <a:pt x="575" y="282"/>
              </a:lnTo>
              <a:lnTo>
                <a:pt x="571" y="299"/>
              </a:lnTo>
              <a:lnTo>
                <a:pt x="568" y="316"/>
              </a:lnTo>
              <a:lnTo>
                <a:pt x="567" y="319"/>
              </a:lnTo>
              <a:lnTo>
                <a:pt x="567" y="325"/>
              </a:lnTo>
              <a:lnTo>
                <a:pt x="566" y="331"/>
              </a:lnTo>
              <a:lnTo>
                <a:pt x="566" y="337"/>
              </a:lnTo>
              <a:lnTo>
                <a:pt x="566" y="345"/>
              </a:lnTo>
              <a:lnTo>
                <a:pt x="565" y="353"/>
              </a:lnTo>
              <a:lnTo>
                <a:pt x="565" y="360"/>
              </a:lnTo>
              <a:lnTo>
                <a:pt x="565" y="369"/>
              </a:lnTo>
              <a:lnTo>
                <a:pt x="563" y="378"/>
              </a:lnTo>
              <a:lnTo>
                <a:pt x="563" y="387"/>
              </a:lnTo>
              <a:lnTo>
                <a:pt x="563" y="408"/>
              </a:lnTo>
              <a:lnTo>
                <a:pt x="563" y="429"/>
              </a:lnTo>
              <a:lnTo>
                <a:pt x="563" y="450"/>
              </a:lnTo>
              <a:lnTo>
                <a:pt x="562" y="471"/>
              </a:lnTo>
              <a:lnTo>
                <a:pt x="562" y="493"/>
              </a:lnTo>
              <a:lnTo>
                <a:pt x="562" y="512"/>
              </a:lnTo>
              <a:lnTo>
                <a:pt x="562" y="522"/>
              </a:lnTo>
              <a:lnTo>
                <a:pt x="562" y="531"/>
              </a:lnTo>
              <a:lnTo>
                <a:pt x="562" y="540"/>
              </a:lnTo>
              <a:lnTo>
                <a:pt x="562" y="548"/>
              </a:lnTo>
              <a:lnTo>
                <a:pt x="562" y="556"/>
              </a:lnTo>
              <a:lnTo>
                <a:pt x="562" y="563"/>
              </a:lnTo>
              <a:lnTo>
                <a:pt x="563" y="570"/>
              </a:lnTo>
              <a:lnTo>
                <a:pt x="563" y="575"/>
              </a:lnTo>
              <a:lnTo>
                <a:pt x="563" y="580"/>
              </a:lnTo>
              <a:lnTo>
                <a:pt x="563" y="584"/>
              </a:lnTo>
              <a:lnTo>
                <a:pt x="563" y="651"/>
              </a:lnTo>
              <a:lnTo>
                <a:pt x="563" y="717"/>
              </a:lnTo>
              <a:lnTo>
                <a:pt x="563" y="784"/>
              </a:lnTo>
              <a:lnTo>
                <a:pt x="563" y="851"/>
              </a:lnTo>
              <a:lnTo>
                <a:pt x="563" y="1118"/>
              </a:lnTo>
              <a:lnTo>
                <a:pt x="563" y="1385"/>
              </a:lnTo>
              <a:lnTo>
                <a:pt x="563" y="1652"/>
              </a:lnTo>
              <a:lnTo>
                <a:pt x="563" y="1918"/>
              </a:lnTo>
              <a:lnTo>
                <a:pt x="563" y="2452"/>
              </a:lnTo>
              <a:lnTo>
                <a:pt x="563" y="2987"/>
              </a:lnTo>
              <a:lnTo>
                <a:pt x="563" y="3520"/>
              </a:lnTo>
              <a:lnTo>
                <a:pt x="563" y="4054"/>
              </a:lnTo>
            </a:path>
          </a:pathLst>
        </a:custGeom>
        <a:solidFill>
          <a:schemeClr val="accent1">
            <a:lumMod val="40000"/>
            <a:lumOff val="60000"/>
          </a:schemeClr>
        </a:solidFill>
        <a:ln w="0">
          <a:noFill/>
          <a:prstDash val="solid"/>
          <a:round/>
          <a:headEnd/>
          <a:tailEnd/>
        </a:ln>
        <a:scene3d>
          <a:camera prst="orthographicFront"/>
          <a:lightRig rig="threePt" dir="t"/>
        </a:scene3d>
        <a:sp3d>
          <a:bevelT w="127000" prst="artDeco"/>
        </a:sp3d>
      </xdr:spPr>
      <xdr:txBody>
        <a:bodyPr anchor="ctr"/>
        <a:lstStyle/>
        <a:p>
          <a:endParaRPr lang="en-US"/>
        </a:p>
      </xdr:txBody>
    </xdr:sp>
    <xdr:clientData/>
  </xdr:twoCellAnchor>
  <xdr:twoCellAnchor>
    <xdr:from>
      <xdr:col>9</xdr:col>
      <xdr:colOff>209222</xdr:colOff>
      <xdr:row>6</xdr:row>
      <xdr:rowOff>149099</xdr:rowOff>
    </xdr:from>
    <xdr:to>
      <xdr:col>9</xdr:col>
      <xdr:colOff>308354</xdr:colOff>
      <xdr:row>13</xdr:row>
      <xdr:rowOff>54057</xdr:rowOff>
    </xdr:to>
    <xdr:sp macro="" textlink="">
      <xdr:nvSpPr>
        <xdr:cNvPr id="8" name="Thermometer Mercury Background">
          <a:extLst>
            <a:ext uri="{FF2B5EF4-FFF2-40B4-BE49-F238E27FC236}">
              <a16:creationId xmlns:a16="http://schemas.microsoft.com/office/drawing/2014/main" id="{00000000-0008-0000-0900-000008000000}"/>
            </a:ext>
          </a:extLst>
        </xdr:cNvPr>
        <xdr:cNvSpPr/>
      </xdr:nvSpPr>
      <xdr:spPr bwMode="auto">
        <a:xfrm>
          <a:off x="7153813" y="1222826"/>
          <a:ext cx="99132" cy="1281754"/>
        </a:xfrm>
        <a:prstGeom prst="roundRect">
          <a:avLst>
            <a:gd name="adj" fmla="val 48342"/>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8</xdr:col>
      <xdr:colOff>705504</xdr:colOff>
      <xdr:row>6</xdr:row>
      <xdr:rowOff>185836</xdr:rowOff>
    </xdr:from>
    <xdr:to>
      <xdr:col>9</xdr:col>
      <xdr:colOff>487741</xdr:colOff>
      <xdr:row>14</xdr:row>
      <xdr:rowOff>39878</xdr:rowOff>
    </xdr:to>
    <xdr:graphicFrame macro="">
      <xdr:nvGraphicFramePr>
        <xdr:cNvPr id="9" name="Thermometer Mercury Chart">
          <a:extLst>
            <a:ext uri="{FF2B5EF4-FFF2-40B4-BE49-F238E27FC236}">
              <a16:creationId xmlns:a16="http://schemas.microsoft.com/office/drawing/2014/main" id="{00000000-0008-0000-0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841522</xdr:colOff>
      <xdr:row>14</xdr:row>
      <xdr:rowOff>39027</xdr:rowOff>
    </xdr:from>
    <xdr:to>
      <xdr:col>9</xdr:col>
      <xdr:colOff>666750</xdr:colOff>
      <xdr:row>16</xdr:row>
      <xdr:rowOff>138104</xdr:rowOff>
    </xdr:to>
    <xdr:sp macro="" textlink="$I$5">
      <xdr:nvSpPr>
        <xdr:cNvPr id="10" name="Thermometer Small % Value Text">
          <a:extLst>
            <a:ext uri="{FF2B5EF4-FFF2-40B4-BE49-F238E27FC236}">
              <a16:creationId xmlns:a16="http://schemas.microsoft.com/office/drawing/2014/main" id="{00000000-0008-0000-0900-00000A000000}"/>
            </a:ext>
          </a:extLst>
        </xdr:cNvPr>
        <xdr:cNvSpPr txBox="1"/>
      </xdr:nvSpPr>
      <xdr:spPr bwMode="auto">
        <a:xfrm>
          <a:off x="6842272" y="2576141"/>
          <a:ext cx="769069" cy="272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fld id="{3AB87406-F6A9-4FE7-8B78-EDAF741CF614}" type="TxLink">
            <a:rPr lang="en-US" sz="1100" b="0" i="0" u="none" strike="noStrike" cap="none" spc="50">
              <a:ln w="11430"/>
              <a:solidFill>
                <a:srgbClr val="FF0000"/>
              </a:solidFill>
              <a:effectLst>
                <a:outerShdw blurRad="76200" dist="50800" dir="5400000" algn="tl" rotWithShape="0">
                  <a:srgbClr val="000000">
                    <a:alpha val="65000"/>
                  </a:srgbClr>
                </a:outerShdw>
              </a:effectLst>
              <a:latin typeface="Tahoma"/>
              <a:ea typeface="Tahoma"/>
              <a:cs typeface="Tahoma"/>
            </a:rPr>
            <a:pPr algn="ctr"/>
            <a:t>#¡REF!</a:t>
          </a:fld>
          <a:endParaRPr lang="en-US" sz="6600" b="1" i="0" u="none" strike="noStrike" cap="none" spc="50">
            <a:ln w="11430"/>
            <a:solidFill>
              <a:srgbClr val="FF0000"/>
            </a:solidFill>
            <a:effectLst>
              <a:outerShdw blurRad="76200" dist="50800" dir="5400000" algn="tl" rotWithShape="0">
                <a:srgbClr val="000000">
                  <a:alpha val="65000"/>
                </a:srgbClr>
              </a:outerShdw>
            </a:effectLst>
            <a:latin typeface="Arialri"/>
            <a:ea typeface="+mn-ea"/>
            <a:cs typeface="Arial"/>
          </a:endParaRPr>
        </a:p>
      </xdr:txBody>
    </xdr:sp>
    <xdr:clientData/>
  </xdr:twoCellAnchor>
  <xdr:twoCellAnchor>
    <xdr:from>
      <xdr:col>10</xdr:col>
      <xdr:colOff>295275</xdr:colOff>
      <xdr:row>6</xdr:row>
      <xdr:rowOff>95250</xdr:rowOff>
    </xdr:from>
    <xdr:to>
      <xdr:col>10</xdr:col>
      <xdr:colOff>666750</xdr:colOff>
      <xdr:row>9</xdr:row>
      <xdr:rowOff>200025</xdr:rowOff>
    </xdr:to>
    <xdr:sp macro="" textlink="">
      <xdr:nvSpPr>
        <xdr:cNvPr id="12" name="Flecha abajo 11">
          <a:extLst>
            <a:ext uri="{FF2B5EF4-FFF2-40B4-BE49-F238E27FC236}">
              <a16:creationId xmlns:a16="http://schemas.microsoft.com/office/drawing/2014/main" id="{00000000-0008-0000-0900-00000C000000}"/>
            </a:ext>
          </a:extLst>
        </xdr:cNvPr>
        <xdr:cNvSpPr/>
      </xdr:nvSpPr>
      <xdr:spPr>
        <a:xfrm>
          <a:off x="8001000" y="1171575"/>
          <a:ext cx="371475" cy="590550"/>
        </a:xfrm>
        <a:prstGeom prst="downArrow">
          <a:avLst/>
        </a:prstGeom>
        <a:noFill/>
        <a:ln>
          <a:solidFill>
            <a:srgbClr val="C00000"/>
          </a:solidFill>
        </a:ln>
        <a:effectLst>
          <a:glow rad="63500">
            <a:srgbClr val="C00000">
              <a:alpha val="40000"/>
            </a:srgb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666750</xdr:colOff>
      <xdr:row>6</xdr:row>
      <xdr:rowOff>104775</xdr:rowOff>
    </xdr:from>
    <xdr:to>
      <xdr:col>6</xdr:col>
      <xdr:colOff>1038225</xdr:colOff>
      <xdr:row>9</xdr:row>
      <xdr:rowOff>209550</xdr:rowOff>
    </xdr:to>
    <xdr:sp macro="" textlink="">
      <xdr:nvSpPr>
        <xdr:cNvPr id="13" name="Flecha abajo 12">
          <a:extLst>
            <a:ext uri="{FF2B5EF4-FFF2-40B4-BE49-F238E27FC236}">
              <a16:creationId xmlns:a16="http://schemas.microsoft.com/office/drawing/2014/main" id="{00000000-0008-0000-0900-00000D000000}"/>
            </a:ext>
          </a:extLst>
        </xdr:cNvPr>
        <xdr:cNvSpPr/>
      </xdr:nvSpPr>
      <xdr:spPr>
        <a:xfrm rot="10800000">
          <a:off x="5295900" y="1181100"/>
          <a:ext cx="371475" cy="590550"/>
        </a:xfrm>
        <a:prstGeom prst="downArrow">
          <a:avLst/>
        </a:prstGeom>
        <a:noFill/>
        <a:ln>
          <a:solidFill>
            <a:schemeClr val="accent6">
              <a:lumMod val="75000"/>
            </a:schemeClr>
          </a:solidFill>
        </a:ln>
        <a:effectLst>
          <a:glow rad="63500">
            <a:schemeClr val="accent6">
              <a:lumMod val="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solidFill>
              <a:srgbClr val="00B050"/>
            </a:solidFill>
          </a:endParaRPr>
        </a:p>
      </xdr:txBody>
    </xdr:sp>
    <xdr:clientData/>
  </xdr:twoCellAnchor>
  <xdr:twoCellAnchor>
    <xdr:from>
      <xdr:col>9</xdr:col>
      <xdr:colOff>723900</xdr:colOff>
      <xdr:row>0</xdr:row>
      <xdr:rowOff>142875</xdr:rowOff>
    </xdr:from>
    <xdr:to>
      <xdr:col>10</xdr:col>
      <xdr:colOff>670984</xdr:colOff>
      <xdr:row>2</xdr:row>
      <xdr:rowOff>77259</xdr:rowOff>
    </xdr:to>
    <xdr:sp macro="" textlink="">
      <xdr:nvSpPr>
        <xdr:cNvPr id="14" name="Rectángulo 13">
          <a:hlinkClick xmlns:r="http://schemas.openxmlformats.org/officeDocument/2006/relationships" r:id="rId4"/>
          <a:extLst>
            <a:ext uri="{FF2B5EF4-FFF2-40B4-BE49-F238E27FC236}">
              <a16:creationId xmlns:a16="http://schemas.microsoft.com/office/drawing/2014/main" id="{00000000-0008-0000-0900-00000E000000}"/>
            </a:ext>
          </a:extLst>
        </xdr:cNvPr>
        <xdr:cNvSpPr/>
      </xdr:nvSpPr>
      <xdr:spPr>
        <a:xfrm>
          <a:off x="7667625" y="142875"/>
          <a:ext cx="709084" cy="296334"/>
        </a:xfrm>
        <a:prstGeom prst="rect">
          <a:avLst/>
        </a:prstGeom>
        <a:noFill/>
        <a:ln w="12700" cmpd="dbl">
          <a:solidFill>
            <a:srgbClr val="660B15"/>
          </a:solidFill>
        </a:ln>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rgbClr val="660B15"/>
              </a:solidFill>
              <a:latin typeface="Tahoma" panose="020B0604030504040204" pitchFamily="34" charset="0"/>
              <a:ea typeface="Tahoma" panose="020B0604030504040204" pitchFamily="34" charset="0"/>
              <a:cs typeface="Tahoma" panose="020B0604030504040204" pitchFamily="34" charset="0"/>
            </a:rPr>
            <a:t>INICIO</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123826</xdr:colOff>
      <xdr:row>5</xdr:row>
      <xdr:rowOff>119063</xdr:rowOff>
    </xdr:from>
    <xdr:to>
      <xdr:col>3</xdr:col>
      <xdr:colOff>923926</xdr:colOff>
      <xdr:row>17</xdr:row>
      <xdr:rowOff>171450</xdr:rowOff>
    </xdr:to>
    <xdr:graphicFrame macro="">
      <xdr:nvGraphicFramePr>
        <xdr:cNvPr id="2" name="Gráfico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828675</xdr:colOff>
      <xdr:row>5</xdr:row>
      <xdr:rowOff>152400</xdr:rowOff>
    </xdr:from>
    <xdr:to>
      <xdr:col>6</xdr:col>
      <xdr:colOff>1054900</xdr:colOff>
      <xdr:row>17</xdr:row>
      <xdr:rowOff>133350</xdr:rowOff>
    </xdr:to>
    <xdr:grpSp>
      <xdr:nvGrpSpPr>
        <xdr:cNvPr id="3" name="Grupo 2">
          <a:extLst>
            <a:ext uri="{FF2B5EF4-FFF2-40B4-BE49-F238E27FC236}">
              <a16:creationId xmlns:a16="http://schemas.microsoft.com/office/drawing/2014/main" id="{00000000-0008-0000-0A00-000003000000}"/>
            </a:ext>
          </a:extLst>
        </xdr:cNvPr>
        <xdr:cNvGrpSpPr/>
      </xdr:nvGrpSpPr>
      <xdr:grpSpPr>
        <a:xfrm>
          <a:off x="3076575" y="1390650"/>
          <a:ext cx="2607475" cy="2000250"/>
          <a:chOff x="4952999" y="452437"/>
          <a:chExt cx="3209925" cy="1938338"/>
        </a:xfrm>
      </xdr:grpSpPr>
      <xdr:graphicFrame macro="">
        <xdr:nvGraphicFramePr>
          <xdr:cNvPr id="4" name="Gráfico 3">
            <a:extLst>
              <a:ext uri="{FF2B5EF4-FFF2-40B4-BE49-F238E27FC236}">
                <a16:creationId xmlns:a16="http://schemas.microsoft.com/office/drawing/2014/main" id="{00000000-0008-0000-0A00-000004000000}"/>
              </a:ext>
            </a:extLst>
          </xdr:cNvPr>
          <xdr:cNvGraphicFramePr>
            <a:graphicFrameLocks/>
          </xdr:cNvGraphicFramePr>
        </xdr:nvGraphicFramePr>
        <xdr:xfrm>
          <a:off x="4952999" y="452437"/>
          <a:ext cx="3209925" cy="1938338"/>
        </xdr:xfrm>
        <a:graphic>
          <a:graphicData uri="http://schemas.openxmlformats.org/drawingml/2006/chart">
            <c:chart xmlns:c="http://schemas.openxmlformats.org/drawingml/2006/chart" xmlns:r="http://schemas.openxmlformats.org/officeDocument/2006/relationships" r:id="rId2"/>
          </a:graphicData>
        </a:graphic>
      </xdr:graphicFrame>
      <xdr:sp macro="" textlink="F$5">
        <xdr:nvSpPr>
          <xdr:cNvPr id="5" name="Elipse 4">
            <a:extLst>
              <a:ext uri="{FF2B5EF4-FFF2-40B4-BE49-F238E27FC236}">
                <a16:creationId xmlns:a16="http://schemas.microsoft.com/office/drawing/2014/main" id="{00000000-0008-0000-0A00-000005000000}"/>
              </a:ext>
            </a:extLst>
          </xdr:cNvPr>
          <xdr:cNvSpPr/>
        </xdr:nvSpPr>
        <xdr:spPr>
          <a:xfrm>
            <a:off x="6189938" y="1144701"/>
            <a:ext cx="994981" cy="779928"/>
          </a:xfrm>
          <a:prstGeom prst="ellipse">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1C52A3A-CA6A-490D-840B-0C8F8670594C}" type="TxLink">
              <a:rPr lang="en-US" sz="1100" b="0" i="0" u="none" strike="noStrike">
                <a:solidFill>
                  <a:schemeClr val="bg1"/>
                </a:solidFill>
                <a:latin typeface="Tahoma"/>
                <a:ea typeface="Tahoma"/>
                <a:cs typeface="Tahoma"/>
              </a:rPr>
              <a:pPr algn="ctr"/>
              <a:t>#¡REF!</a:t>
            </a:fld>
            <a:endParaRPr lang="es-CO" sz="1400" b="1">
              <a:solidFill>
                <a:schemeClr val="bg1"/>
              </a:solidFill>
            </a:endParaRPr>
          </a:p>
        </xdr:txBody>
      </xdr:sp>
    </xdr:grpSp>
    <xdr:clientData/>
  </xdr:twoCellAnchor>
  <xdr:twoCellAnchor>
    <xdr:from>
      <xdr:col>8</xdr:col>
      <xdr:colOff>877696</xdr:colOff>
      <xdr:row>6</xdr:row>
      <xdr:rowOff>112904</xdr:rowOff>
    </xdr:from>
    <xdr:to>
      <xdr:col>9</xdr:col>
      <xdr:colOff>605748</xdr:colOff>
      <xdr:row>17</xdr:row>
      <xdr:rowOff>123825</xdr:rowOff>
    </xdr:to>
    <xdr:sp macro="" textlink="">
      <xdr:nvSpPr>
        <xdr:cNvPr id="6" name="Thermometer Background Shape">
          <a:extLst>
            <a:ext uri="{FF2B5EF4-FFF2-40B4-BE49-F238E27FC236}">
              <a16:creationId xmlns:a16="http://schemas.microsoft.com/office/drawing/2014/main" id="{00000000-0008-0000-0A00-000006000000}"/>
            </a:ext>
          </a:extLst>
        </xdr:cNvPr>
        <xdr:cNvSpPr>
          <a:spLocks/>
        </xdr:cNvSpPr>
      </xdr:nvSpPr>
      <xdr:spPr bwMode="auto">
        <a:xfrm>
          <a:off x="6878446" y="1189229"/>
          <a:ext cx="671027" cy="1830196"/>
        </a:xfrm>
        <a:custGeom>
          <a:avLst/>
          <a:gdLst/>
          <a:ahLst/>
          <a:cxnLst>
            <a:cxn ang="0">
              <a:pos x="470" y="4101"/>
            </a:cxn>
            <a:cxn ang="0">
              <a:pos x="354" y="4181"/>
            </a:cxn>
            <a:cxn ang="0">
              <a:pos x="225" y="4306"/>
            </a:cxn>
            <a:cxn ang="0">
              <a:pos x="154" y="4402"/>
            </a:cxn>
            <a:cxn ang="0">
              <a:pos x="97" y="4505"/>
            </a:cxn>
            <a:cxn ang="0">
              <a:pos x="51" y="4615"/>
            </a:cxn>
            <a:cxn ang="0">
              <a:pos x="19" y="4731"/>
            </a:cxn>
            <a:cxn ang="0">
              <a:pos x="3" y="4849"/>
            </a:cxn>
            <a:cxn ang="0">
              <a:pos x="1" y="4971"/>
            </a:cxn>
            <a:cxn ang="0">
              <a:pos x="17" y="5094"/>
            </a:cxn>
            <a:cxn ang="0">
              <a:pos x="47" y="5215"/>
            </a:cxn>
            <a:cxn ang="0">
              <a:pos x="92" y="5329"/>
            </a:cxn>
            <a:cxn ang="0">
              <a:pos x="150" y="5435"/>
            </a:cxn>
            <a:cxn ang="0">
              <a:pos x="259" y="5576"/>
            </a:cxn>
            <a:cxn ang="0">
              <a:pos x="393" y="5693"/>
            </a:cxn>
            <a:cxn ang="0">
              <a:pos x="493" y="5756"/>
            </a:cxn>
            <a:cxn ang="0">
              <a:pos x="601" y="5806"/>
            </a:cxn>
            <a:cxn ang="0">
              <a:pos x="716" y="5842"/>
            </a:cxn>
            <a:cxn ang="0">
              <a:pos x="835" y="5862"/>
            </a:cxn>
            <a:cxn ang="0">
              <a:pos x="959" y="5867"/>
            </a:cxn>
            <a:cxn ang="0">
              <a:pos x="1081" y="5857"/>
            </a:cxn>
            <a:cxn ang="0">
              <a:pos x="1199" y="5831"/>
            </a:cxn>
            <a:cxn ang="0">
              <a:pos x="1311" y="5790"/>
            </a:cxn>
            <a:cxn ang="0">
              <a:pos x="1416" y="5735"/>
            </a:cxn>
            <a:cxn ang="0">
              <a:pos x="1513" y="5668"/>
            </a:cxn>
            <a:cxn ang="0">
              <a:pos x="1667" y="5515"/>
            </a:cxn>
            <a:cxn ang="0">
              <a:pos x="1745" y="5401"/>
            </a:cxn>
            <a:cxn ang="0">
              <a:pos x="1800" y="5292"/>
            </a:cxn>
            <a:cxn ang="0">
              <a:pos x="1839" y="5176"/>
            </a:cxn>
            <a:cxn ang="0">
              <a:pos x="1865" y="5053"/>
            </a:cxn>
            <a:cxn ang="0">
              <a:pos x="1874" y="4930"/>
            </a:cxn>
            <a:cxn ang="0">
              <a:pos x="1867" y="4809"/>
            </a:cxn>
            <a:cxn ang="0">
              <a:pos x="1846" y="4691"/>
            </a:cxn>
            <a:cxn ang="0">
              <a:pos x="1810" y="4578"/>
            </a:cxn>
            <a:cxn ang="0">
              <a:pos x="1761" y="4470"/>
            </a:cxn>
            <a:cxn ang="0">
              <a:pos x="1698" y="4369"/>
            </a:cxn>
            <a:cxn ang="0">
              <a:pos x="1623" y="4276"/>
            </a:cxn>
            <a:cxn ang="0">
              <a:pos x="1472" y="4145"/>
            </a:cxn>
            <a:cxn ang="0">
              <a:pos x="1368" y="4081"/>
            </a:cxn>
            <a:cxn ang="0">
              <a:pos x="1312" y="2452"/>
            </a:cxn>
            <a:cxn ang="0">
              <a:pos x="1312" y="784"/>
            </a:cxn>
            <a:cxn ang="0">
              <a:pos x="1312" y="569"/>
            </a:cxn>
            <a:cxn ang="0">
              <a:pos x="1312" y="521"/>
            </a:cxn>
            <a:cxn ang="0">
              <a:pos x="1312" y="408"/>
            </a:cxn>
            <a:cxn ang="0">
              <a:pos x="1309" y="344"/>
            </a:cxn>
            <a:cxn ang="0">
              <a:pos x="1304" y="298"/>
            </a:cxn>
            <a:cxn ang="0">
              <a:pos x="1270" y="204"/>
            </a:cxn>
            <a:cxn ang="0">
              <a:pos x="1214" y="123"/>
            </a:cxn>
            <a:cxn ang="0">
              <a:pos x="1140" y="60"/>
            </a:cxn>
            <a:cxn ang="0">
              <a:pos x="1053" y="18"/>
            </a:cxn>
            <a:cxn ang="0">
              <a:pos x="955" y="0"/>
            </a:cxn>
            <a:cxn ang="0">
              <a:pos x="854" y="9"/>
            </a:cxn>
            <a:cxn ang="0">
              <a:pos x="763" y="43"/>
            </a:cxn>
            <a:cxn ang="0">
              <a:pos x="683" y="100"/>
            </a:cxn>
            <a:cxn ang="0">
              <a:pos x="620" y="176"/>
            </a:cxn>
            <a:cxn ang="0">
              <a:pos x="580" y="265"/>
            </a:cxn>
            <a:cxn ang="0">
              <a:pos x="566" y="331"/>
            </a:cxn>
            <a:cxn ang="0">
              <a:pos x="563" y="378"/>
            </a:cxn>
            <a:cxn ang="0">
              <a:pos x="562" y="493"/>
            </a:cxn>
            <a:cxn ang="0">
              <a:pos x="562" y="556"/>
            </a:cxn>
            <a:cxn ang="0">
              <a:pos x="563" y="651"/>
            </a:cxn>
            <a:cxn ang="0">
              <a:pos x="563" y="1652"/>
            </a:cxn>
          </a:cxnLst>
          <a:rect l="0" t="0" r="r" b="b"/>
          <a:pathLst>
            <a:path w="1874" h="5869">
              <a:moveTo>
                <a:pt x="563" y="4054"/>
              </a:moveTo>
              <a:lnTo>
                <a:pt x="544" y="4063"/>
              </a:lnTo>
              <a:lnTo>
                <a:pt x="525" y="4072"/>
              </a:lnTo>
              <a:lnTo>
                <a:pt x="506" y="4081"/>
              </a:lnTo>
              <a:lnTo>
                <a:pt x="488" y="4091"/>
              </a:lnTo>
              <a:lnTo>
                <a:pt x="470" y="4101"/>
              </a:lnTo>
              <a:lnTo>
                <a:pt x="453" y="4112"/>
              </a:lnTo>
              <a:lnTo>
                <a:pt x="436" y="4122"/>
              </a:lnTo>
              <a:lnTo>
                <a:pt x="418" y="4134"/>
              </a:lnTo>
              <a:lnTo>
                <a:pt x="402" y="4145"/>
              </a:lnTo>
              <a:lnTo>
                <a:pt x="385" y="4157"/>
              </a:lnTo>
              <a:lnTo>
                <a:pt x="354" y="4181"/>
              </a:lnTo>
              <a:lnTo>
                <a:pt x="323" y="4207"/>
              </a:lnTo>
              <a:lnTo>
                <a:pt x="294" y="4234"/>
              </a:lnTo>
              <a:lnTo>
                <a:pt x="266" y="4262"/>
              </a:lnTo>
              <a:lnTo>
                <a:pt x="252" y="4276"/>
              </a:lnTo>
              <a:lnTo>
                <a:pt x="238" y="4292"/>
              </a:lnTo>
              <a:lnTo>
                <a:pt x="225" y="4306"/>
              </a:lnTo>
              <a:lnTo>
                <a:pt x="212" y="4321"/>
              </a:lnTo>
              <a:lnTo>
                <a:pt x="201" y="4336"/>
              </a:lnTo>
              <a:lnTo>
                <a:pt x="188" y="4353"/>
              </a:lnTo>
              <a:lnTo>
                <a:pt x="177" y="4369"/>
              </a:lnTo>
              <a:lnTo>
                <a:pt x="165" y="4385"/>
              </a:lnTo>
              <a:lnTo>
                <a:pt x="154" y="4402"/>
              </a:lnTo>
              <a:lnTo>
                <a:pt x="144" y="4419"/>
              </a:lnTo>
              <a:lnTo>
                <a:pt x="134" y="4435"/>
              </a:lnTo>
              <a:lnTo>
                <a:pt x="123" y="4452"/>
              </a:lnTo>
              <a:lnTo>
                <a:pt x="115" y="4470"/>
              </a:lnTo>
              <a:lnTo>
                <a:pt x="104" y="4487"/>
              </a:lnTo>
              <a:lnTo>
                <a:pt x="97" y="4505"/>
              </a:lnTo>
              <a:lnTo>
                <a:pt x="88" y="4523"/>
              </a:lnTo>
              <a:lnTo>
                <a:pt x="80" y="4541"/>
              </a:lnTo>
              <a:lnTo>
                <a:pt x="71" y="4559"/>
              </a:lnTo>
              <a:lnTo>
                <a:pt x="65" y="4578"/>
              </a:lnTo>
              <a:lnTo>
                <a:pt x="57" y="4596"/>
              </a:lnTo>
              <a:lnTo>
                <a:pt x="51" y="4615"/>
              </a:lnTo>
              <a:lnTo>
                <a:pt x="45" y="4634"/>
              </a:lnTo>
              <a:lnTo>
                <a:pt x="40" y="4652"/>
              </a:lnTo>
              <a:lnTo>
                <a:pt x="33" y="4672"/>
              </a:lnTo>
              <a:lnTo>
                <a:pt x="28" y="4691"/>
              </a:lnTo>
              <a:lnTo>
                <a:pt x="24" y="4710"/>
              </a:lnTo>
              <a:lnTo>
                <a:pt x="19" y="4731"/>
              </a:lnTo>
              <a:lnTo>
                <a:pt x="15" y="4750"/>
              </a:lnTo>
              <a:lnTo>
                <a:pt x="13" y="4769"/>
              </a:lnTo>
              <a:lnTo>
                <a:pt x="9" y="4790"/>
              </a:lnTo>
              <a:lnTo>
                <a:pt x="7" y="4809"/>
              </a:lnTo>
              <a:lnTo>
                <a:pt x="5" y="4830"/>
              </a:lnTo>
              <a:lnTo>
                <a:pt x="3" y="4849"/>
              </a:lnTo>
              <a:lnTo>
                <a:pt x="1" y="4869"/>
              </a:lnTo>
              <a:lnTo>
                <a:pt x="1" y="4890"/>
              </a:lnTo>
              <a:lnTo>
                <a:pt x="0" y="4911"/>
              </a:lnTo>
              <a:lnTo>
                <a:pt x="0" y="4930"/>
              </a:lnTo>
              <a:lnTo>
                <a:pt x="1" y="4950"/>
              </a:lnTo>
              <a:lnTo>
                <a:pt x="1" y="4971"/>
              </a:lnTo>
              <a:lnTo>
                <a:pt x="3" y="4991"/>
              </a:lnTo>
              <a:lnTo>
                <a:pt x="5" y="5012"/>
              </a:lnTo>
              <a:lnTo>
                <a:pt x="7" y="5033"/>
              </a:lnTo>
              <a:lnTo>
                <a:pt x="9" y="5053"/>
              </a:lnTo>
              <a:lnTo>
                <a:pt x="13" y="5074"/>
              </a:lnTo>
              <a:lnTo>
                <a:pt x="17" y="5094"/>
              </a:lnTo>
              <a:lnTo>
                <a:pt x="21" y="5115"/>
              </a:lnTo>
              <a:lnTo>
                <a:pt x="24" y="5135"/>
              </a:lnTo>
              <a:lnTo>
                <a:pt x="29" y="5156"/>
              </a:lnTo>
              <a:lnTo>
                <a:pt x="35" y="5176"/>
              </a:lnTo>
              <a:lnTo>
                <a:pt x="41" y="5196"/>
              </a:lnTo>
              <a:lnTo>
                <a:pt x="47" y="5215"/>
              </a:lnTo>
              <a:lnTo>
                <a:pt x="54" y="5235"/>
              </a:lnTo>
              <a:lnTo>
                <a:pt x="60" y="5255"/>
              </a:lnTo>
              <a:lnTo>
                <a:pt x="68" y="5274"/>
              </a:lnTo>
              <a:lnTo>
                <a:pt x="75" y="5292"/>
              </a:lnTo>
              <a:lnTo>
                <a:pt x="83" y="5311"/>
              </a:lnTo>
              <a:lnTo>
                <a:pt x="92" y="5329"/>
              </a:lnTo>
              <a:lnTo>
                <a:pt x="101" y="5347"/>
              </a:lnTo>
              <a:lnTo>
                <a:pt x="109" y="5365"/>
              </a:lnTo>
              <a:lnTo>
                <a:pt x="120" y="5383"/>
              </a:lnTo>
              <a:lnTo>
                <a:pt x="130" y="5401"/>
              </a:lnTo>
              <a:lnTo>
                <a:pt x="140" y="5418"/>
              </a:lnTo>
              <a:lnTo>
                <a:pt x="150" y="5435"/>
              </a:lnTo>
              <a:lnTo>
                <a:pt x="162" y="5451"/>
              </a:lnTo>
              <a:lnTo>
                <a:pt x="172" y="5468"/>
              </a:lnTo>
              <a:lnTo>
                <a:pt x="183" y="5485"/>
              </a:lnTo>
              <a:lnTo>
                <a:pt x="207" y="5515"/>
              </a:lnTo>
              <a:lnTo>
                <a:pt x="233" y="5546"/>
              </a:lnTo>
              <a:lnTo>
                <a:pt x="259" y="5576"/>
              </a:lnTo>
              <a:lnTo>
                <a:pt x="287" y="5604"/>
              </a:lnTo>
              <a:lnTo>
                <a:pt x="317" y="5631"/>
              </a:lnTo>
              <a:lnTo>
                <a:pt x="346" y="5657"/>
              </a:lnTo>
              <a:lnTo>
                <a:pt x="362" y="5668"/>
              </a:lnTo>
              <a:lnTo>
                <a:pt x="378" y="5681"/>
              </a:lnTo>
              <a:lnTo>
                <a:pt x="393" y="5693"/>
              </a:lnTo>
              <a:lnTo>
                <a:pt x="409" y="5703"/>
              </a:lnTo>
              <a:lnTo>
                <a:pt x="426" y="5714"/>
              </a:lnTo>
              <a:lnTo>
                <a:pt x="443" y="5725"/>
              </a:lnTo>
              <a:lnTo>
                <a:pt x="459" y="5735"/>
              </a:lnTo>
              <a:lnTo>
                <a:pt x="476" y="5745"/>
              </a:lnTo>
              <a:lnTo>
                <a:pt x="493" y="5756"/>
              </a:lnTo>
              <a:lnTo>
                <a:pt x="511" y="5765"/>
              </a:lnTo>
              <a:lnTo>
                <a:pt x="529" y="5774"/>
              </a:lnTo>
              <a:lnTo>
                <a:pt x="547" y="5781"/>
              </a:lnTo>
              <a:lnTo>
                <a:pt x="565" y="5790"/>
              </a:lnTo>
              <a:lnTo>
                <a:pt x="582" y="5798"/>
              </a:lnTo>
              <a:lnTo>
                <a:pt x="601" y="5806"/>
              </a:lnTo>
              <a:lnTo>
                <a:pt x="619" y="5812"/>
              </a:lnTo>
              <a:lnTo>
                <a:pt x="638" y="5818"/>
              </a:lnTo>
              <a:lnTo>
                <a:pt x="657" y="5825"/>
              </a:lnTo>
              <a:lnTo>
                <a:pt x="676" y="5831"/>
              </a:lnTo>
              <a:lnTo>
                <a:pt x="695" y="5836"/>
              </a:lnTo>
              <a:lnTo>
                <a:pt x="716" y="5842"/>
              </a:lnTo>
              <a:lnTo>
                <a:pt x="735" y="5845"/>
              </a:lnTo>
              <a:lnTo>
                <a:pt x="754" y="5851"/>
              </a:lnTo>
              <a:lnTo>
                <a:pt x="774" y="5853"/>
              </a:lnTo>
              <a:lnTo>
                <a:pt x="795" y="5857"/>
              </a:lnTo>
              <a:lnTo>
                <a:pt x="815" y="5860"/>
              </a:lnTo>
              <a:lnTo>
                <a:pt x="835" y="5862"/>
              </a:lnTo>
              <a:lnTo>
                <a:pt x="856" y="5865"/>
              </a:lnTo>
              <a:lnTo>
                <a:pt x="876" y="5866"/>
              </a:lnTo>
              <a:lnTo>
                <a:pt x="896" y="5867"/>
              </a:lnTo>
              <a:lnTo>
                <a:pt x="917" y="5867"/>
              </a:lnTo>
              <a:lnTo>
                <a:pt x="937" y="5869"/>
              </a:lnTo>
              <a:lnTo>
                <a:pt x="959" y="5867"/>
              </a:lnTo>
              <a:lnTo>
                <a:pt x="979" y="5867"/>
              </a:lnTo>
              <a:lnTo>
                <a:pt x="999" y="5866"/>
              </a:lnTo>
              <a:lnTo>
                <a:pt x="1020" y="5865"/>
              </a:lnTo>
              <a:lnTo>
                <a:pt x="1040" y="5862"/>
              </a:lnTo>
              <a:lnTo>
                <a:pt x="1060" y="5860"/>
              </a:lnTo>
              <a:lnTo>
                <a:pt x="1081" y="5857"/>
              </a:lnTo>
              <a:lnTo>
                <a:pt x="1101" y="5853"/>
              </a:lnTo>
              <a:lnTo>
                <a:pt x="1120" y="5851"/>
              </a:lnTo>
              <a:lnTo>
                <a:pt x="1140" y="5845"/>
              </a:lnTo>
              <a:lnTo>
                <a:pt x="1159" y="5842"/>
              </a:lnTo>
              <a:lnTo>
                <a:pt x="1179" y="5836"/>
              </a:lnTo>
              <a:lnTo>
                <a:pt x="1199" y="5831"/>
              </a:lnTo>
              <a:lnTo>
                <a:pt x="1218" y="5825"/>
              </a:lnTo>
              <a:lnTo>
                <a:pt x="1237" y="5818"/>
              </a:lnTo>
              <a:lnTo>
                <a:pt x="1255" y="5812"/>
              </a:lnTo>
              <a:lnTo>
                <a:pt x="1274" y="5806"/>
              </a:lnTo>
              <a:lnTo>
                <a:pt x="1292" y="5798"/>
              </a:lnTo>
              <a:lnTo>
                <a:pt x="1311" y="5790"/>
              </a:lnTo>
              <a:lnTo>
                <a:pt x="1328" y="5781"/>
              </a:lnTo>
              <a:lnTo>
                <a:pt x="1346" y="5774"/>
              </a:lnTo>
              <a:lnTo>
                <a:pt x="1364" y="5765"/>
              </a:lnTo>
              <a:lnTo>
                <a:pt x="1382" y="5756"/>
              </a:lnTo>
              <a:lnTo>
                <a:pt x="1398" y="5745"/>
              </a:lnTo>
              <a:lnTo>
                <a:pt x="1416" y="5735"/>
              </a:lnTo>
              <a:lnTo>
                <a:pt x="1433" y="5725"/>
              </a:lnTo>
              <a:lnTo>
                <a:pt x="1449" y="5714"/>
              </a:lnTo>
              <a:lnTo>
                <a:pt x="1466" y="5703"/>
              </a:lnTo>
              <a:lnTo>
                <a:pt x="1481" y="5693"/>
              </a:lnTo>
              <a:lnTo>
                <a:pt x="1498" y="5681"/>
              </a:lnTo>
              <a:lnTo>
                <a:pt x="1513" y="5668"/>
              </a:lnTo>
              <a:lnTo>
                <a:pt x="1528" y="5657"/>
              </a:lnTo>
              <a:lnTo>
                <a:pt x="1559" y="5631"/>
              </a:lnTo>
              <a:lnTo>
                <a:pt x="1588" y="5604"/>
              </a:lnTo>
              <a:lnTo>
                <a:pt x="1614" y="5576"/>
              </a:lnTo>
              <a:lnTo>
                <a:pt x="1641" y="5546"/>
              </a:lnTo>
              <a:lnTo>
                <a:pt x="1667" y="5515"/>
              </a:lnTo>
              <a:lnTo>
                <a:pt x="1691" y="5485"/>
              </a:lnTo>
              <a:lnTo>
                <a:pt x="1702" y="5468"/>
              </a:lnTo>
              <a:lnTo>
                <a:pt x="1714" y="5451"/>
              </a:lnTo>
              <a:lnTo>
                <a:pt x="1725" y="5435"/>
              </a:lnTo>
              <a:lnTo>
                <a:pt x="1735" y="5418"/>
              </a:lnTo>
              <a:lnTo>
                <a:pt x="1745" y="5401"/>
              </a:lnTo>
              <a:lnTo>
                <a:pt x="1756" y="5383"/>
              </a:lnTo>
              <a:lnTo>
                <a:pt x="1764" y="5365"/>
              </a:lnTo>
              <a:lnTo>
                <a:pt x="1775" y="5347"/>
              </a:lnTo>
              <a:lnTo>
                <a:pt x="1784" y="5329"/>
              </a:lnTo>
              <a:lnTo>
                <a:pt x="1791" y="5311"/>
              </a:lnTo>
              <a:lnTo>
                <a:pt x="1800" y="5292"/>
              </a:lnTo>
              <a:lnTo>
                <a:pt x="1808" y="5274"/>
              </a:lnTo>
              <a:lnTo>
                <a:pt x="1814" y="5255"/>
              </a:lnTo>
              <a:lnTo>
                <a:pt x="1822" y="5235"/>
              </a:lnTo>
              <a:lnTo>
                <a:pt x="1828" y="5215"/>
              </a:lnTo>
              <a:lnTo>
                <a:pt x="1834" y="5196"/>
              </a:lnTo>
              <a:lnTo>
                <a:pt x="1839" y="5176"/>
              </a:lnTo>
              <a:lnTo>
                <a:pt x="1846" y="5156"/>
              </a:lnTo>
              <a:lnTo>
                <a:pt x="1850" y="5135"/>
              </a:lnTo>
              <a:lnTo>
                <a:pt x="1855" y="5115"/>
              </a:lnTo>
              <a:lnTo>
                <a:pt x="1859" y="5094"/>
              </a:lnTo>
              <a:lnTo>
                <a:pt x="1862" y="5074"/>
              </a:lnTo>
              <a:lnTo>
                <a:pt x="1865" y="5053"/>
              </a:lnTo>
              <a:lnTo>
                <a:pt x="1867" y="5033"/>
              </a:lnTo>
              <a:lnTo>
                <a:pt x="1870" y="5012"/>
              </a:lnTo>
              <a:lnTo>
                <a:pt x="1871" y="4991"/>
              </a:lnTo>
              <a:lnTo>
                <a:pt x="1873" y="4971"/>
              </a:lnTo>
              <a:lnTo>
                <a:pt x="1874" y="4950"/>
              </a:lnTo>
              <a:lnTo>
                <a:pt x="1874" y="4930"/>
              </a:lnTo>
              <a:lnTo>
                <a:pt x="1874" y="4911"/>
              </a:lnTo>
              <a:lnTo>
                <a:pt x="1874" y="4890"/>
              </a:lnTo>
              <a:lnTo>
                <a:pt x="1873" y="4869"/>
              </a:lnTo>
              <a:lnTo>
                <a:pt x="1871" y="4849"/>
              </a:lnTo>
              <a:lnTo>
                <a:pt x="1870" y="4830"/>
              </a:lnTo>
              <a:lnTo>
                <a:pt x="1867" y="4809"/>
              </a:lnTo>
              <a:lnTo>
                <a:pt x="1865" y="4790"/>
              </a:lnTo>
              <a:lnTo>
                <a:pt x="1862" y="4769"/>
              </a:lnTo>
              <a:lnTo>
                <a:pt x="1859" y="4750"/>
              </a:lnTo>
              <a:lnTo>
                <a:pt x="1855" y="4731"/>
              </a:lnTo>
              <a:lnTo>
                <a:pt x="1851" y="4710"/>
              </a:lnTo>
              <a:lnTo>
                <a:pt x="1846" y="4691"/>
              </a:lnTo>
              <a:lnTo>
                <a:pt x="1841" y="4672"/>
              </a:lnTo>
              <a:lnTo>
                <a:pt x="1836" y="4652"/>
              </a:lnTo>
              <a:lnTo>
                <a:pt x="1831" y="4634"/>
              </a:lnTo>
              <a:lnTo>
                <a:pt x="1824" y="4615"/>
              </a:lnTo>
              <a:lnTo>
                <a:pt x="1818" y="4596"/>
              </a:lnTo>
              <a:lnTo>
                <a:pt x="1810" y="4578"/>
              </a:lnTo>
              <a:lnTo>
                <a:pt x="1803" y="4559"/>
              </a:lnTo>
              <a:lnTo>
                <a:pt x="1795" y="4541"/>
              </a:lnTo>
              <a:lnTo>
                <a:pt x="1787" y="4523"/>
              </a:lnTo>
              <a:lnTo>
                <a:pt x="1778" y="4505"/>
              </a:lnTo>
              <a:lnTo>
                <a:pt x="1770" y="4487"/>
              </a:lnTo>
              <a:lnTo>
                <a:pt x="1761" y="4470"/>
              </a:lnTo>
              <a:lnTo>
                <a:pt x="1751" y="4452"/>
              </a:lnTo>
              <a:lnTo>
                <a:pt x="1742" y="4435"/>
              </a:lnTo>
              <a:lnTo>
                <a:pt x="1731" y="4419"/>
              </a:lnTo>
              <a:lnTo>
                <a:pt x="1720" y="4402"/>
              </a:lnTo>
              <a:lnTo>
                <a:pt x="1710" y="4385"/>
              </a:lnTo>
              <a:lnTo>
                <a:pt x="1698" y="4369"/>
              </a:lnTo>
              <a:lnTo>
                <a:pt x="1687" y="4353"/>
              </a:lnTo>
              <a:lnTo>
                <a:pt x="1674" y="4336"/>
              </a:lnTo>
              <a:lnTo>
                <a:pt x="1662" y="4321"/>
              </a:lnTo>
              <a:lnTo>
                <a:pt x="1649" y="4306"/>
              </a:lnTo>
              <a:lnTo>
                <a:pt x="1636" y="4292"/>
              </a:lnTo>
              <a:lnTo>
                <a:pt x="1623" y="4276"/>
              </a:lnTo>
              <a:lnTo>
                <a:pt x="1609" y="4262"/>
              </a:lnTo>
              <a:lnTo>
                <a:pt x="1581" y="4234"/>
              </a:lnTo>
              <a:lnTo>
                <a:pt x="1552" y="4207"/>
              </a:lnTo>
              <a:lnTo>
                <a:pt x="1520" y="4181"/>
              </a:lnTo>
              <a:lnTo>
                <a:pt x="1489" y="4157"/>
              </a:lnTo>
              <a:lnTo>
                <a:pt x="1472" y="4145"/>
              </a:lnTo>
              <a:lnTo>
                <a:pt x="1456" y="4134"/>
              </a:lnTo>
              <a:lnTo>
                <a:pt x="1439" y="4122"/>
              </a:lnTo>
              <a:lnTo>
                <a:pt x="1421" y="4112"/>
              </a:lnTo>
              <a:lnTo>
                <a:pt x="1405" y="4101"/>
              </a:lnTo>
              <a:lnTo>
                <a:pt x="1386" y="4091"/>
              </a:lnTo>
              <a:lnTo>
                <a:pt x="1368" y="4081"/>
              </a:lnTo>
              <a:lnTo>
                <a:pt x="1350" y="4072"/>
              </a:lnTo>
              <a:lnTo>
                <a:pt x="1331" y="4063"/>
              </a:lnTo>
              <a:lnTo>
                <a:pt x="1312" y="4054"/>
              </a:lnTo>
              <a:lnTo>
                <a:pt x="1312" y="3520"/>
              </a:lnTo>
              <a:lnTo>
                <a:pt x="1312" y="2987"/>
              </a:lnTo>
              <a:lnTo>
                <a:pt x="1312" y="2452"/>
              </a:lnTo>
              <a:lnTo>
                <a:pt x="1312" y="1918"/>
              </a:lnTo>
              <a:lnTo>
                <a:pt x="1312" y="1651"/>
              </a:lnTo>
              <a:lnTo>
                <a:pt x="1312" y="1384"/>
              </a:lnTo>
              <a:lnTo>
                <a:pt x="1312" y="1117"/>
              </a:lnTo>
              <a:lnTo>
                <a:pt x="1312" y="851"/>
              </a:lnTo>
              <a:lnTo>
                <a:pt x="1312" y="784"/>
              </a:lnTo>
              <a:lnTo>
                <a:pt x="1312" y="717"/>
              </a:lnTo>
              <a:lnTo>
                <a:pt x="1312" y="651"/>
              </a:lnTo>
              <a:lnTo>
                <a:pt x="1312" y="584"/>
              </a:lnTo>
              <a:lnTo>
                <a:pt x="1312" y="580"/>
              </a:lnTo>
              <a:lnTo>
                <a:pt x="1312" y="575"/>
              </a:lnTo>
              <a:lnTo>
                <a:pt x="1312" y="569"/>
              </a:lnTo>
              <a:lnTo>
                <a:pt x="1312" y="562"/>
              </a:lnTo>
              <a:lnTo>
                <a:pt x="1312" y="554"/>
              </a:lnTo>
              <a:lnTo>
                <a:pt x="1312" y="547"/>
              </a:lnTo>
              <a:lnTo>
                <a:pt x="1312" y="539"/>
              </a:lnTo>
              <a:lnTo>
                <a:pt x="1312" y="530"/>
              </a:lnTo>
              <a:lnTo>
                <a:pt x="1312" y="521"/>
              </a:lnTo>
              <a:lnTo>
                <a:pt x="1312" y="512"/>
              </a:lnTo>
              <a:lnTo>
                <a:pt x="1312" y="491"/>
              </a:lnTo>
              <a:lnTo>
                <a:pt x="1312" y="471"/>
              </a:lnTo>
              <a:lnTo>
                <a:pt x="1312" y="449"/>
              </a:lnTo>
              <a:lnTo>
                <a:pt x="1312" y="429"/>
              </a:lnTo>
              <a:lnTo>
                <a:pt x="1312" y="408"/>
              </a:lnTo>
              <a:lnTo>
                <a:pt x="1311" y="387"/>
              </a:lnTo>
              <a:lnTo>
                <a:pt x="1311" y="378"/>
              </a:lnTo>
              <a:lnTo>
                <a:pt x="1311" y="368"/>
              </a:lnTo>
              <a:lnTo>
                <a:pt x="1311" y="360"/>
              </a:lnTo>
              <a:lnTo>
                <a:pt x="1309" y="351"/>
              </a:lnTo>
              <a:lnTo>
                <a:pt x="1309" y="344"/>
              </a:lnTo>
              <a:lnTo>
                <a:pt x="1309" y="337"/>
              </a:lnTo>
              <a:lnTo>
                <a:pt x="1308" y="331"/>
              </a:lnTo>
              <a:lnTo>
                <a:pt x="1308" y="325"/>
              </a:lnTo>
              <a:lnTo>
                <a:pt x="1308" y="319"/>
              </a:lnTo>
              <a:lnTo>
                <a:pt x="1307" y="316"/>
              </a:lnTo>
              <a:lnTo>
                <a:pt x="1304" y="298"/>
              </a:lnTo>
              <a:lnTo>
                <a:pt x="1299" y="282"/>
              </a:lnTo>
              <a:lnTo>
                <a:pt x="1295" y="265"/>
              </a:lnTo>
              <a:lnTo>
                <a:pt x="1290" y="249"/>
              </a:lnTo>
              <a:lnTo>
                <a:pt x="1284" y="233"/>
              </a:lnTo>
              <a:lnTo>
                <a:pt x="1278" y="218"/>
              </a:lnTo>
              <a:lnTo>
                <a:pt x="1270" y="204"/>
              </a:lnTo>
              <a:lnTo>
                <a:pt x="1262" y="188"/>
              </a:lnTo>
              <a:lnTo>
                <a:pt x="1253" y="176"/>
              </a:lnTo>
              <a:lnTo>
                <a:pt x="1245" y="161"/>
              </a:lnTo>
              <a:lnTo>
                <a:pt x="1234" y="149"/>
              </a:lnTo>
              <a:lnTo>
                <a:pt x="1226" y="136"/>
              </a:lnTo>
              <a:lnTo>
                <a:pt x="1214" y="123"/>
              </a:lnTo>
              <a:lnTo>
                <a:pt x="1203" y="111"/>
              </a:lnTo>
              <a:lnTo>
                <a:pt x="1191" y="100"/>
              </a:lnTo>
              <a:lnTo>
                <a:pt x="1180" y="89"/>
              </a:lnTo>
              <a:lnTo>
                <a:pt x="1167" y="79"/>
              </a:lnTo>
              <a:lnTo>
                <a:pt x="1154" y="69"/>
              </a:lnTo>
              <a:lnTo>
                <a:pt x="1140" y="60"/>
              </a:lnTo>
              <a:lnTo>
                <a:pt x="1126" y="51"/>
              </a:lnTo>
              <a:lnTo>
                <a:pt x="1112" y="43"/>
              </a:lnTo>
              <a:lnTo>
                <a:pt x="1098" y="36"/>
              </a:lnTo>
              <a:lnTo>
                <a:pt x="1083" y="29"/>
              </a:lnTo>
              <a:lnTo>
                <a:pt x="1068" y="24"/>
              </a:lnTo>
              <a:lnTo>
                <a:pt x="1053" y="18"/>
              </a:lnTo>
              <a:lnTo>
                <a:pt x="1036" y="14"/>
              </a:lnTo>
              <a:lnTo>
                <a:pt x="1021" y="9"/>
              </a:lnTo>
              <a:lnTo>
                <a:pt x="1004" y="6"/>
              </a:lnTo>
              <a:lnTo>
                <a:pt x="988" y="3"/>
              </a:lnTo>
              <a:lnTo>
                <a:pt x="971" y="1"/>
              </a:lnTo>
              <a:lnTo>
                <a:pt x="955" y="0"/>
              </a:lnTo>
              <a:lnTo>
                <a:pt x="937" y="0"/>
              </a:lnTo>
              <a:lnTo>
                <a:pt x="920" y="0"/>
              </a:lnTo>
              <a:lnTo>
                <a:pt x="904" y="1"/>
              </a:lnTo>
              <a:lnTo>
                <a:pt x="887" y="3"/>
              </a:lnTo>
              <a:lnTo>
                <a:pt x="871" y="6"/>
              </a:lnTo>
              <a:lnTo>
                <a:pt x="854" y="9"/>
              </a:lnTo>
              <a:lnTo>
                <a:pt x="838" y="14"/>
              </a:lnTo>
              <a:lnTo>
                <a:pt x="823" y="18"/>
              </a:lnTo>
              <a:lnTo>
                <a:pt x="807" y="24"/>
              </a:lnTo>
              <a:lnTo>
                <a:pt x="792" y="29"/>
              </a:lnTo>
              <a:lnTo>
                <a:pt x="777" y="37"/>
              </a:lnTo>
              <a:lnTo>
                <a:pt x="763" y="43"/>
              </a:lnTo>
              <a:lnTo>
                <a:pt x="748" y="51"/>
              </a:lnTo>
              <a:lnTo>
                <a:pt x="735" y="60"/>
              </a:lnTo>
              <a:lnTo>
                <a:pt x="721" y="69"/>
              </a:lnTo>
              <a:lnTo>
                <a:pt x="708" y="79"/>
              </a:lnTo>
              <a:lnTo>
                <a:pt x="695" y="89"/>
              </a:lnTo>
              <a:lnTo>
                <a:pt x="683" y="100"/>
              </a:lnTo>
              <a:lnTo>
                <a:pt x="671" y="111"/>
              </a:lnTo>
              <a:lnTo>
                <a:pt x="660" y="123"/>
              </a:lnTo>
              <a:lnTo>
                <a:pt x="650" y="136"/>
              </a:lnTo>
              <a:lnTo>
                <a:pt x="640" y="149"/>
              </a:lnTo>
              <a:lnTo>
                <a:pt x="631" y="161"/>
              </a:lnTo>
              <a:lnTo>
                <a:pt x="620" y="176"/>
              </a:lnTo>
              <a:lnTo>
                <a:pt x="613" y="190"/>
              </a:lnTo>
              <a:lnTo>
                <a:pt x="605" y="204"/>
              </a:lnTo>
              <a:lnTo>
                <a:pt x="598" y="219"/>
              </a:lnTo>
              <a:lnTo>
                <a:pt x="591" y="235"/>
              </a:lnTo>
              <a:lnTo>
                <a:pt x="585" y="250"/>
              </a:lnTo>
              <a:lnTo>
                <a:pt x="580" y="265"/>
              </a:lnTo>
              <a:lnTo>
                <a:pt x="575" y="282"/>
              </a:lnTo>
              <a:lnTo>
                <a:pt x="571" y="299"/>
              </a:lnTo>
              <a:lnTo>
                <a:pt x="568" y="316"/>
              </a:lnTo>
              <a:lnTo>
                <a:pt x="567" y="319"/>
              </a:lnTo>
              <a:lnTo>
                <a:pt x="567" y="325"/>
              </a:lnTo>
              <a:lnTo>
                <a:pt x="566" y="331"/>
              </a:lnTo>
              <a:lnTo>
                <a:pt x="566" y="337"/>
              </a:lnTo>
              <a:lnTo>
                <a:pt x="566" y="345"/>
              </a:lnTo>
              <a:lnTo>
                <a:pt x="565" y="353"/>
              </a:lnTo>
              <a:lnTo>
                <a:pt x="565" y="360"/>
              </a:lnTo>
              <a:lnTo>
                <a:pt x="565" y="369"/>
              </a:lnTo>
              <a:lnTo>
                <a:pt x="563" y="378"/>
              </a:lnTo>
              <a:lnTo>
                <a:pt x="563" y="387"/>
              </a:lnTo>
              <a:lnTo>
                <a:pt x="563" y="408"/>
              </a:lnTo>
              <a:lnTo>
                <a:pt x="563" y="429"/>
              </a:lnTo>
              <a:lnTo>
                <a:pt x="563" y="450"/>
              </a:lnTo>
              <a:lnTo>
                <a:pt x="562" y="471"/>
              </a:lnTo>
              <a:lnTo>
                <a:pt x="562" y="493"/>
              </a:lnTo>
              <a:lnTo>
                <a:pt x="562" y="512"/>
              </a:lnTo>
              <a:lnTo>
                <a:pt x="562" y="522"/>
              </a:lnTo>
              <a:lnTo>
                <a:pt x="562" y="531"/>
              </a:lnTo>
              <a:lnTo>
                <a:pt x="562" y="540"/>
              </a:lnTo>
              <a:lnTo>
                <a:pt x="562" y="548"/>
              </a:lnTo>
              <a:lnTo>
                <a:pt x="562" y="556"/>
              </a:lnTo>
              <a:lnTo>
                <a:pt x="562" y="563"/>
              </a:lnTo>
              <a:lnTo>
                <a:pt x="563" y="570"/>
              </a:lnTo>
              <a:lnTo>
                <a:pt x="563" y="575"/>
              </a:lnTo>
              <a:lnTo>
                <a:pt x="563" y="580"/>
              </a:lnTo>
              <a:lnTo>
                <a:pt x="563" y="584"/>
              </a:lnTo>
              <a:lnTo>
                <a:pt x="563" y="651"/>
              </a:lnTo>
              <a:lnTo>
                <a:pt x="563" y="717"/>
              </a:lnTo>
              <a:lnTo>
                <a:pt x="563" y="784"/>
              </a:lnTo>
              <a:lnTo>
                <a:pt x="563" y="851"/>
              </a:lnTo>
              <a:lnTo>
                <a:pt x="563" y="1118"/>
              </a:lnTo>
              <a:lnTo>
                <a:pt x="563" y="1385"/>
              </a:lnTo>
              <a:lnTo>
                <a:pt x="563" y="1652"/>
              </a:lnTo>
              <a:lnTo>
                <a:pt x="563" y="1918"/>
              </a:lnTo>
              <a:lnTo>
                <a:pt x="563" y="2452"/>
              </a:lnTo>
              <a:lnTo>
                <a:pt x="563" y="2987"/>
              </a:lnTo>
              <a:lnTo>
                <a:pt x="563" y="3520"/>
              </a:lnTo>
              <a:lnTo>
                <a:pt x="563" y="4054"/>
              </a:lnTo>
            </a:path>
          </a:pathLst>
        </a:custGeom>
        <a:solidFill>
          <a:schemeClr val="accent1">
            <a:lumMod val="40000"/>
            <a:lumOff val="60000"/>
          </a:schemeClr>
        </a:solidFill>
        <a:ln w="0">
          <a:noFill/>
          <a:prstDash val="solid"/>
          <a:round/>
          <a:headEnd/>
          <a:tailEnd/>
        </a:ln>
        <a:scene3d>
          <a:camera prst="orthographicFront"/>
          <a:lightRig rig="threePt" dir="t"/>
        </a:scene3d>
        <a:sp3d>
          <a:bevelT w="127000" prst="artDeco"/>
        </a:sp3d>
      </xdr:spPr>
      <xdr:txBody>
        <a:bodyPr anchor="ctr"/>
        <a:lstStyle/>
        <a:p>
          <a:endParaRPr lang="en-US"/>
        </a:p>
      </xdr:txBody>
    </xdr:sp>
    <xdr:clientData/>
  </xdr:twoCellAnchor>
  <xdr:twoCellAnchor>
    <xdr:from>
      <xdr:col>9</xdr:col>
      <xdr:colOff>209222</xdr:colOff>
      <xdr:row>6</xdr:row>
      <xdr:rowOff>149099</xdr:rowOff>
    </xdr:from>
    <xdr:to>
      <xdr:col>9</xdr:col>
      <xdr:colOff>308354</xdr:colOff>
      <xdr:row>13</xdr:row>
      <xdr:rowOff>54057</xdr:rowOff>
    </xdr:to>
    <xdr:sp macro="" textlink="">
      <xdr:nvSpPr>
        <xdr:cNvPr id="7" name="Thermometer Mercury Background">
          <a:extLst>
            <a:ext uri="{FF2B5EF4-FFF2-40B4-BE49-F238E27FC236}">
              <a16:creationId xmlns:a16="http://schemas.microsoft.com/office/drawing/2014/main" id="{00000000-0008-0000-0A00-000007000000}"/>
            </a:ext>
          </a:extLst>
        </xdr:cNvPr>
        <xdr:cNvSpPr/>
      </xdr:nvSpPr>
      <xdr:spPr bwMode="auto">
        <a:xfrm>
          <a:off x="7152947" y="1225424"/>
          <a:ext cx="99132" cy="1276558"/>
        </a:xfrm>
        <a:prstGeom prst="roundRect">
          <a:avLst>
            <a:gd name="adj" fmla="val 48342"/>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8</xdr:col>
      <xdr:colOff>705504</xdr:colOff>
      <xdr:row>6</xdr:row>
      <xdr:rowOff>185836</xdr:rowOff>
    </xdr:from>
    <xdr:to>
      <xdr:col>9</xdr:col>
      <xdr:colOff>487741</xdr:colOff>
      <xdr:row>14</xdr:row>
      <xdr:rowOff>39878</xdr:rowOff>
    </xdr:to>
    <xdr:graphicFrame macro="">
      <xdr:nvGraphicFramePr>
        <xdr:cNvPr id="8" name="Thermometer Mercury Chart">
          <a:extLst>
            <a:ext uri="{FF2B5EF4-FFF2-40B4-BE49-F238E27FC236}">
              <a16:creationId xmlns:a16="http://schemas.microsoft.com/office/drawing/2014/main" id="{00000000-0008-0000-0A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841522</xdr:colOff>
      <xdr:row>14</xdr:row>
      <xdr:rowOff>39027</xdr:rowOff>
    </xdr:from>
    <xdr:to>
      <xdr:col>9</xdr:col>
      <xdr:colOff>666750</xdr:colOff>
      <xdr:row>16</xdr:row>
      <xdr:rowOff>138104</xdr:rowOff>
    </xdr:to>
    <xdr:sp macro="" textlink="I$5">
      <xdr:nvSpPr>
        <xdr:cNvPr id="9" name="Thermometer Small % Value Text">
          <a:extLst>
            <a:ext uri="{FF2B5EF4-FFF2-40B4-BE49-F238E27FC236}">
              <a16:creationId xmlns:a16="http://schemas.microsoft.com/office/drawing/2014/main" id="{00000000-0008-0000-0A00-000009000000}"/>
            </a:ext>
          </a:extLst>
        </xdr:cNvPr>
        <xdr:cNvSpPr txBox="1"/>
      </xdr:nvSpPr>
      <xdr:spPr bwMode="auto">
        <a:xfrm>
          <a:off x="6842272" y="2572677"/>
          <a:ext cx="768203" cy="270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fld id="{D8F30843-7831-4008-8A94-FB553248B26A}" type="TxLink">
            <a:rPr lang="en-US" sz="1100" b="0" i="0" u="none" strike="noStrike" cap="none" spc="50">
              <a:ln w="11430"/>
              <a:solidFill>
                <a:srgbClr val="FF0000"/>
              </a:solidFill>
              <a:effectLst>
                <a:outerShdw blurRad="76200" dist="50800" dir="5400000" algn="tl" rotWithShape="0">
                  <a:srgbClr val="000000">
                    <a:alpha val="65000"/>
                  </a:srgbClr>
                </a:outerShdw>
              </a:effectLst>
              <a:latin typeface="Tahoma"/>
              <a:ea typeface="Tahoma"/>
              <a:cs typeface="Tahoma"/>
            </a:rPr>
            <a:pPr algn="ctr"/>
            <a:t>#¡REF!</a:t>
          </a:fld>
          <a:endParaRPr lang="en-US" sz="6600" b="1" i="0" u="none" strike="noStrike" cap="none" spc="50">
            <a:ln w="11430"/>
            <a:solidFill>
              <a:srgbClr val="FF0000"/>
            </a:solidFill>
            <a:effectLst>
              <a:outerShdw blurRad="76200" dist="50800" dir="5400000" algn="tl" rotWithShape="0">
                <a:srgbClr val="000000">
                  <a:alpha val="65000"/>
                </a:srgbClr>
              </a:outerShdw>
            </a:effectLst>
            <a:latin typeface="Arialri"/>
            <a:ea typeface="+mn-ea"/>
            <a:cs typeface="Arial"/>
          </a:endParaRPr>
        </a:p>
      </xdr:txBody>
    </xdr:sp>
    <xdr:clientData/>
  </xdr:twoCellAnchor>
  <xdr:twoCellAnchor>
    <xdr:from>
      <xdr:col>10</xdr:col>
      <xdr:colOff>295275</xdr:colOff>
      <xdr:row>6</xdr:row>
      <xdr:rowOff>95250</xdr:rowOff>
    </xdr:from>
    <xdr:to>
      <xdr:col>10</xdr:col>
      <xdr:colOff>666750</xdr:colOff>
      <xdr:row>9</xdr:row>
      <xdr:rowOff>200025</xdr:rowOff>
    </xdr:to>
    <xdr:sp macro="" textlink="">
      <xdr:nvSpPr>
        <xdr:cNvPr id="10" name="Flecha abajo 9">
          <a:extLst>
            <a:ext uri="{FF2B5EF4-FFF2-40B4-BE49-F238E27FC236}">
              <a16:creationId xmlns:a16="http://schemas.microsoft.com/office/drawing/2014/main" id="{00000000-0008-0000-0A00-00000A000000}"/>
            </a:ext>
          </a:extLst>
        </xdr:cNvPr>
        <xdr:cNvSpPr/>
      </xdr:nvSpPr>
      <xdr:spPr>
        <a:xfrm>
          <a:off x="8001000" y="1171575"/>
          <a:ext cx="371475" cy="590550"/>
        </a:xfrm>
        <a:prstGeom prst="downArrow">
          <a:avLst/>
        </a:prstGeom>
        <a:noFill/>
        <a:ln>
          <a:solidFill>
            <a:srgbClr val="C00000"/>
          </a:solidFill>
        </a:ln>
        <a:effectLst>
          <a:glow rad="63500">
            <a:srgbClr val="C00000">
              <a:alpha val="40000"/>
            </a:srgb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666750</xdr:colOff>
      <xdr:row>6</xdr:row>
      <xdr:rowOff>104775</xdr:rowOff>
    </xdr:from>
    <xdr:to>
      <xdr:col>6</xdr:col>
      <xdr:colOff>1038225</xdr:colOff>
      <xdr:row>9</xdr:row>
      <xdr:rowOff>209550</xdr:rowOff>
    </xdr:to>
    <xdr:sp macro="" textlink="">
      <xdr:nvSpPr>
        <xdr:cNvPr id="11" name="Flecha abajo 10">
          <a:extLst>
            <a:ext uri="{FF2B5EF4-FFF2-40B4-BE49-F238E27FC236}">
              <a16:creationId xmlns:a16="http://schemas.microsoft.com/office/drawing/2014/main" id="{00000000-0008-0000-0A00-00000B000000}"/>
            </a:ext>
          </a:extLst>
        </xdr:cNvPr>
        <xdr:cNvSpPr/>
      </xdr:nvSpPr>
      <xdr:spPr>
        <a:xfrm rot="10800000">
          <a:off x="5295900" y="1181100"/>
          <a:ext cx="371475" cy="590550"/>
        </a:xfrm>
        <a:prstGeom prst="downArrow">
          <a:avLst/>
        </a:prstGeom>
        <a:noFill/>
        <a:ln>
          <a:solidFill>
            <a:schemeClr val="accent6">
              <a:lumMod val="75000"/>
            </a:schemeClr>
          </a:solidFill>
        </a:ln>
        <a:effectLst>
          <a:glow rad="63500">
            <a:schemeClr val="accent6">
              <a:lumMod val="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solidFill>
              <a:srgbClr val="00B050"/>
            </a:solidFill>
          </a:endParaRPr>
        </a:p>
      </xdr:txBody>
    </xdr:sp>
    <xdr:clientData/>
  </xdr:twoCellAnchor>
  <xdr:twoCellAnchor>
    <xdr:from>
      <xdr:col>9</xdr:col>
      <xdr:colOff>752475</xdr:colOff>
      <xdr:row>0</xdr:row>
      <xdr:rowOff>104775</xdr:rowOff>
    </xdr:from>
    <xdr:to>
      <xdr:col>10</xdr:col>
      <xdr:colOff>699559</xdr:colOff>
      <xdr:row>2</xdr:row>
      <xdr:rowOff>39159</xdr:rowOff>
    </xdr:to>
    <xdr:sp macro="" textlink="">
      <xdr:nvSpPr>
        <xdr:cNvPr id="12" name="Rectángulo 11">
          <a:hlinkClick xmlns:r="http://schemas.openxmlformats.org/officeDocument/2006/relationships" r:id="rId4"/>
          <a:extLst>
            <a:ext uri="{FF2B5EF4-FFF2-40B4-BE49-F238E27FC236}">
              <a16:creationId xmlns:a16="http://schemas.microsoft.com/office/drawing/2014/main" id="{00000000-0008-0000-0A00-00000C000000}"/>
            </a:ext>
          </a:extLst>
        </xdr:cNvPr>
        <xdr:cNvSpPr/>
      </xdr:nvSpPr>
      <xdr:spPr>
        <a:xfrm>
          <a:off x="7696200" y="104775"/>
          <a:ext cx="709084" cy="296334"/>
        </a:xfrm>
        <a:prstGeom prst="rect">
          <a:avLst/>
        </a:prstGeom>
        <a:noFill/>
        <a:ln w="12700" cmpd="dbl">
          <a:solidFill>
            <a:srgbClr val="660B15"/>
          </a:solidFill>
        </a:ln>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rgbClr val="660B15"/>
              </a:solidFill>
              <a:latin typeface="Tahoma" panose="020B0604030504040204" pitchFamily="34" charset="0"/>
              <a:ea typeface="Tahoma" panose="020B0604030504040204" pitchFamily="34" charset="0"/>
              <a:cs typeface="Tahoma" panose="020B0604030504040204" pitchFamily="34" charset="0"/>
            </a:rPr>
            <a:t>INICIO</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istemas2018_2/Desktop/autoevaluacion%20trabajando/2018-trabajando/Plan%20de%20Mejora%20FUP%201075%20ultima%20version%20201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sis.aseguramiento/Dropbox/Presupuestos/Presupuestos%202019/Programas%20Acad&#233;micos/Programas%20Acad&#233;micos%20de%20Posgrados/FUG_2019%20Posgrado%20Psicologia%20Social%20Comunitari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SISTEMAS\AUTOEVALUACION\2011\Plan%20de%20mejora-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sis.aseguramiento/Downloads/Velocimentros%20y%20Gaug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2019"/>
      <sheetName val="Hoja1"/>
      <sheetName val=" Hoja2"/>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CIO"/>
      <sheetName val="ADM"/>
      <sheetName val="D-TC"/>
      <sheetName val="D-MT"/>
      <sheetName val="D-TP"/>
      <sheetName val="INV"/>
      <sheetName val="PRS"/>
      <sheetName val="INT"/>
      <sheetName val="AEA"/>
      <sheetName val="M&amp;E"/>
      <sheetName val="PRESUPUES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vo de diligenciamiento"/>
      <sheetName val="Plan de Mejora"/>
      <sheetName val="Formato Recursos"/>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locimetros "/>
      <sheetName val="Velocimetros con imagenes 1"/>
      <sheetName val="Velocimetros con imagenes 2"/>
      <sheetName val="Velocimetros con imagenes 3"/>
      <sheetName val="Termo 1"/>
      <sheetName val="Excel_Gauge1"/>
      <sheetName val="Excel_Gauge2"/>
      <sheetName val="Excel_Gauge3"/>
      <sheetName val="Excel_Gauge4"/>
      <sheetName val="Excel_Gauge5"/>
      <sheetName val="Excel_Gauge6"/>
      <sheetName val="Enlazado a Celdas"/>
      <sheetName val="0 Fuentes"/>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16"/>
  <sheetViews>
    <sheetView showGridLines="0" zoomScaleNormal="100" zoomScaleSheetLayoutView="100" workbookViewId="0">
      <selection activeCell="D16" sqref="D16"/>
    </sheetView>
  </sheetViews>
  <sheetFormatPr baseColWidth="10" defaultColWidth="11.42578125" defaultRowHeight="12.75" x14ac:dyDescent="0.2"/>
  <cols>
    <col min="1" max="1" width="5.7109375" style="58" customWidth="1"/>
    <col min="2" max="2" width="21.140625" style="58" customWidth="1"/>
    <col min="3" max="3" width="30.7109375" style="58" hidden="1" customWidth="1"/>
    <col min="4" max="4" width="43.28515625" style="58" customWidth="1"/>
    <col min="5" max="5" width="65.7109375" style="58" customWidth="1"/>
    <col min="6" max="53" width="2.140625" style="58" customWidth="1"/>
    <col min="54" max="54" width="75.5703125" style="58" customWidth="1"/>
    <col min="55" max="55" width="73.5703125" style="58" hidden="1" customWidth="1"/>
    <col min="56" max="56" width="31.85546875" style="58" hidden="1" customWidth="1"/>
    <col min="57" max="57" width="10.42578125" style="58" hidden="1" customWidth="1"/>
    <col min="58" max="58" width="9.42578125" style="58" customWidth="1"/>
    <col min="59" max="59" width="9.7109375" style="58" customWidth="1"/>
    <col min="60" max="60" width="9.7109375" style="58" hidden="1" customWidth="1"/>
    <col min="61" max="61" width="34.140625" style="58" hidden="1" customWidth="1"/>
    <col min="62" max="62" width="33.42578125" style="58" hidden="1" customWidth="1"/>
    <col min="63" max="63" width="41" style="58" hidden="1" customWidth="1"/>
    <col min="64" max="64" width="35.85546875" style="58" hidden="1" customWidth="1"/>
    <col min="65" max="65" width="41.5703125" style="58" hidden="1" customWidth="1"/>
    <col min="66" max="66" width="49.28515625" style="58" hidden="1" customWidth="1"/>
    <col min="67" max="67" width="69" style="58" customWidth="1"/>
    <col min="68" max="68" width="49.140625" style="58" customWidth="1"/>
    <col min="69" max="16384" width="11.42578125" style="58"/>
  </cols>
  <sheetData>
    <row r="1" spans="1:68" ht="23.25" x14ac:dyDescent="0.35">
      <c r="A1" s="57"/>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4"/>
    </row>
    <row r="3" spans="1:68" x14ac:dyDescent="0.2">
      <c r="B3" s="125" t="s">
        <v>0</v>
      </c>
      <c r="C3" s="125"/>
      <c r="D3" s="125"/>
    </row>
    <row r="4" spans="1:68" x14ac:dyDescent="0.2">
      <c r="B4" s="59" t="s">
        <v>1</v>
      </c>
      <c r="C4" s="59"/>
      <c r="D4" s="61">
        <v>1</v>
      </c>
    </row>
    <row r="5" spans="1:68" x14ac:dyDescent="0.2">
      <c r="B5" s="59" t="s">
        <v>2</v>
      </c>
      <c r="C5" s="59"/>
      <c r="D5" s="60" t="e">
        <f>'Resultado año 1'!F5</f>
        <v>#DIV/0!</v>
      </c>
    </row>
    <row r="6" spans="1:68" x14ac:dyDescent="0.2">
      <c r="B6" s="59" t="s">
        <v>3</v>
      </c>
      <c r="C6" s="59"/>
      <c r="D6" s="61" t="e">
        <f>$D$4-D5</f>
        <v>#DIV/0!</v>
      </c>
    </row>
    <row r="8" spans="1:68" x14ac:dyDescent="0.2">
      <c r="B8" s="125" t="s">
        <v>4</v>
      </c>
      <c r="C8" s="125"/>
      <c r="D8" s="125"/>
    </row>
    <row r="9" spans="1:68" x14ac:dyDescent="0.2">
      <c r="B9" s="59" t="s">
        <v>1</v>
      </c>
      <c r="C9" s="59"/>
      <c r="D9" s="61">
        <v>1</v>
      </c>
    </row>
    <row r="10" spans="1:68" x14ac:dyDescent="0.2">
      <c r="B10" s="59" t="s">
        <v>2</v>
      </c>
      <c r="C10" s="59"/>
      <c r="D10" s="60" t="e">
        <f>'Resultado año 2'!F5</f>
        <v>#REF!</v>
      </c>
    </row>
    <row r="11" spans="1:68" x14ac:dyDescent="0.2">
      <c r="B11" s="59" t="s">
        <v>3</v>
      </c>
      <c r="C11" s="59"/>
      <c r="D11" s="61" t="e">
        <f>$D$4-D10</f>
        <v>#REF!</v>
      </c>
    </row>
    <row r="13" spans="1:68" x14ac:dyDescent="0.2">
      <c r="B13" s="125" t="s">
        <v>5</v>
      </c>
      <c r="C13" s="125"/>
      <c r="D13" s="125"/>
    </row>
    <row r="14" spans="1:68" x14ac:dyDescent="0.2">
      <c r="B14" s="59" t="s">
        <v>1</v>
      </c>
      <c r="C14" s="59"/>
      <c r="D14" s="61">
        <v>1</v>
      </c>
    </row>
    <row r="15" spans="1:68" x14ac:dyDescent="0.2">
      <c r="B15" s="59" t="s">
        <v>2</v>
      </c>
      <c r="C15" s="59"/>
      <c r="D15" s="60" t="e">
        <f>'Consolidado Final'!F5</f>
        <v>#REF!</v>
      </c>
    </row>
    <row r="16" spans="1:68" x14ac:dyDescent="0.2">
      <c r="B16" s="59" t="s">
        <v>3</v>
      </c>
      <c r="C16" s="59"/>
      <c r="D16" s="61" t="e">
        <f>$D$4-D15</f>
        <v>#REF!</v>
      </c>
    </row>
  </sheetData>
  <sheetProtection formatRows="0" insertRows="0" deleteRows="0"/>
  <mergeCells count="4">
    <mergeCell ref="B1:BP1"/>
    <mergeCell ref="B3:D3"/>
    <mergeCell ref="B8:D8"/>
    <mergeCell ref="B13:D1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showGridLines="0" workbookViewId="0">
      <selection activeCell="C18" sqref="C18"/>
    </sheetView>
  </sheetViews>
  <sheetFormatPr baseColWidth="10" defaultColWidth="11.42578125" defaultRowHeight="15" x14ac:dyDescent="0.25"/>
  <cols>
    <col min="4" max="4" width="20.140625" bestFit="1" customWidth="1"/>
    <col min="5" max="5" width="7.85546875" customWidth="1"/>
    <col min="6" max="6" width="7.7109375" customWidth="1"/>
    <col min="7" max="8" width="5.140625" customWidth="1"/>
    <col min="9" max="9" width="6.5703125" customWidth="1"/>
  </cols>
  <sheetData>
    <row r="1" spans="1:9" ht="33.75" x14ac:dyDescent="0.25">
      <c r="A1" s="62" t="s">
        <v>6</v>
      </c>
      <c r="B1" s="63"/>
      <c r="C1" s="128" t="s">
        <v>7</v>
      </c>
      <c r="D1" s="128"/>
      <c r="E1" s="128"/>
    </row>
    <row r="2" spans="1:9" ht="15" customHeight="1" x14ac:dyDescent="0.25">
      <c r="A2" s="64" t="s">
        <v>8</v>
      </c>
      <c r="B2" s="63"/>
      <c r="C2" s="128"/>
      <c r="D2" s="128"/>
      <c r="E2" s="128"/>
    </row>
    <row r="3" spans="1:9" ht="23.25" x14ac:dyDescent="0.35">
      <c r="A3" s="65" t="s">
        <v>9</v>
      </c>
      <c r="B3" s="65"/>
      <c r="C3" s="66"/>
      <c r="D3" s="126" t="s">
        <v>10</v>
      </c>
      <c r="I3" s="67"/>
    </row>
    <row r="4" spans="1:9" x14ac:dyDescent="0.25">
      <c r="A4" s="127" t="s">
        <v>11</v>
      </c>
      <c r="B4" s="127"/>
      <c r="C4" s="68" t="s">
        <v>12</v>
      </c>
      <c r="D4" s="126"/>
    </row>
    <row r="5" spans="1:9" x14ac:dyDescent="0.25">
      <c r="B5" t="s">
        <v>13</v>
      </c>
      <c r="C5" s="69" t="e">
        <f>'Resultado año 1'!$I$5</f>
        <v>#DIV/0!</v>
      </c>
      <c r="D5" s="126"/>
    </row>
    <row r="6" spans="1:9" x14ac:dyDescent="0.25">
      <c r="B6" t="s">
        <v>14</v>
      </c>
      <c r="C6" s="70">
        <v>0</v>
      </c>
      <c r="D6" s="126"/>
    </row>
    <row r="7" spans="1:9" x14ac:dyDescent="0.25">
      <c r="B7" t="s">
        <v>15</v>
      </c>
      <c r="C7" s="70">
        <v>1</v>
      </c>
      <c r="D7" s="126"/>
    </row>
    <row r="8" spans="1:9" ht="15" customHeight="1" x14ac:dyDescent="0.25"/>
    <row r="9" spans="1:9" x14ac:dyDescent="0.25">
      <c r="A9" s="65" t="s">
        <v>9</v>
      </c>
      <c r="B9" s="65"/>
      <c r="C9" s="66"/>
      <c r="D9" s="126" t="s">
        <v>16</v>
      </c>
    </row>
    <row r="10" spans="1:9" x14ac:dyDescent="0.25">
      <c r="A10" s="127" t="s">
        <v>11</v>
      </c>
      <c r="B10" s="127"/>
      <c r="C10" s="68" t="s">
        <v>12</v>
      </c>
      <c r="D10" s="126"/>
    </row>
    <row r="11" spans="1:9" x14ac:dyDescent="0.25">
      <c r="B11" t="s">
        <v>13</v>
      </c>
      <c r="C11" s="69" t="e">
        <f>'Resultado año 2'!I5</f>
        <v>#REF!</v>
      </c>
      <c r="D11" s="126"/>
    </row>
    <row r="12" spans="1:9" x14ac:dyDescent="0.25">
      <c r="B12" t="s">
        <v>14</v>
      </c>
      <c r="C12" s="70">
        <v>0</v>
      </c>
      <c r="D12" s="126"/>
    </row>
    <row r="13" spans="1:9" x14ac:dyDescent="0.25">
      <c r="B13" t="s">
        <v>15</v>
      </c>
      <c r="C13" s="70">
        <v>1</v>
      </c>
      <c r="D13" s="126"/>
    </row>
    <row r="15" spans="1:9" x14ac:dyDescent="0.25">
      <c r="A15" s="65" t="s">
        <v>9</v>
      </c>
      <c r="B15" s="65"/>
      <c r="C15" s="66"/>
      <c r="D15" s="126" t="s">
        <v>5</v>
      </c>
    </row>
    <row r="16" spans="1:9" x14ac:dyDescent="0.25">
      <c r="A16" s="127" t="s">
        <v>11</v>
      </c>
      <c r="B16" s="127"/>
      <c r="C16" s="68" t="s">
        <v>12</v>
      </c>
      <c r="D16" s="126"/>
    </row>
    <row r="17" spans="2:4" x14ac:dyDescent="0.25">
      <c r="B17" t="s">
        <v>13</v>
      </c>
      <c r="C17" s="69" t="e">
        <f>'Consolidado Final'!I5</f>
        <v>#REF!</v>
      </c>
      <c r="D17" s="126"/>
    </row>
    <row r="18" spans="2:4" x14ac:dyDescent="0.25">
      <c r="B18" t="s">
        <v>14</v>
      </c>
      <c r="C18" s="70">
        <v>0</v>
      </c>
      <c r="D18" s="126"/>
    </row>
    <row r="19" spans="2:4" x14ac:dyDescent="0.25">
      <c r="B19" t="s">
        <v>15</v>
      </c>
      <c r="C19" s="70">
        <v>1</v>
      </c>
      <c r="D19" s="126"/>
    </row>
    <row r="33" spans="1:6" x14ac:dyDescent="0.25">
      <c r="A33" s="65" t="s">
        <v>17</v>
      </c>
      <c r="B33" s="65"/>
      <c r="C33" s="66"/>
    </row>
    <row r="35" spans="1:6" x14ac:dyDescent="0.25">
      <c r="A35" s="71" t="s">
        <v>18</v>
      </c>
      <c r="B35" s="72"/>
      <c r="C35" s="73"/>
      <c r="D35" s="72"/>
      <c r="E35" s="73"/>
      <c r="F35" s="74"/>
    </row>
    <row r="36" spans="1:6" x14ac:dyDescent="0.25">
      <c r="A36" s="71"/>
      <c r="B36" s="72"/>
      <c r="C36" s="73"/>
      <c r="D36" s="72"/>
      <c r="E36" s="73"/>
      <c r="F36" s="74"/>
    </row>
    <row r="37" spans="1:6" x14ac:dyDescent="0.25">
      <c r="A37" s="73"/>
      <c r="B37" s="75" t="s">
        <v>19</v>
      </c>
      <c r="C37" s="73"/>
      <c r="D37" s="75" t="s">
        <v>20</v>
      </c>
      <c r="E37" s="75" t="s">
        <v>21</v>
      </c>
      <c r="F37" s="73"/>
    </row>
    <row r="38" spans="1:6" x14ac:dyDescent="0.25">
      <c r="A38" s="71" t="s">
        <v>22</v>
      </c>
      <c r="B38" s="72">
        <f>C6</f>
        <v>0</v>
      </c>
      <c r="C38" s="73"/>
      <c r="D38" s="72">
        <v>0</v>
      </c>
      <c r="E38" s="76" t="e">
        <f>B40</f>
        <v>#DIV/0!</v>
      </c>
      <c r="F38" s="77" t="e">
        <f>E38</f>
        <v>#DIV/0!</v>
      </c>
    </row>
    <row r="39" spans="1:6" x14ac:dyDescent="0.25">
      <c r="A39" s="71" t="s">
        <v>23</v>
      </c>
      <c r="B39" s="72">
        <f>C7</f>
        <v>1</v>
      </c>
      <c r="C39" s="73"/>
      <c r="D39" s="72"/>
      <c r="E39" s="72"/>
      <c r="F39" s="73"/>
    </row>
    <row r="40" spans="1:6" x14ac:dyDescent="0.25">
      <c r="A40" s="71" t="s">
        <v>24</v>
      </c>
      <c r="B40" s="72" t="e">
        <f>C5</f>
        <v>#DIV/0!</v>
      </c>
      <c r="C40" s="73"/>
      <c r="D40" s="72"/>
      <c r="E40" s="78" t="e">
        <f>IF(E38&gt;0.5,CHAR(241),CHAR(242))</f>
        <v>#DIV/0!</v>
      </c>
      <c r="F40" s="73"/>
    </row>
    <row r="41" spans="1:6" x14ac:dyDescent="0.25">
      <c r="A41" s="73" t="s">
        <v>25</v>
      </c>
      <c r="B41" s="72">
        <f>(B39-B38)/5</f>
        <v>0.2</v>
      </c>
      <c r="C41" s="73"/>
      <c r="D41" s="72"/>
      <c r="E41" s="72"/>
      <c r="F41" s="73"/>
    </row>
    <row r="42" spans="1:6" x14ac:dyDescent="0.25">
      <c r="A42" s="73" t="s">
        <v>26</v>
      </c>
      <c r="B42" s="72">
        <f>(B39-B38)*2/5</f>
        <v>0.4</v>
      </c>
      <c r="C42" s="73"/>
      <c r="D42" s="72"/>
      <c r="E42" s="72"/>
      <c r="F42" s="73"/>
    </row>
    <row r="43" spans="1:6" x14ac:dyDescent="0.25">
      <c r="A43" s="73" t="s">
        <v>27</v>
      </c>
      <c r="B43" s="72">
        <f>(B39-B38)*3/5</f>
        <v>0.6</v>
      </c>
      <c r="C43" s="73"/>
      <c r="D43" s="73"/>
      <c r="E43" s="72"/>
      <c r="F43" s="72"/>
    </row>
    <row r="44" spans="1:6" x14ac:dyDescent="0.25">
      <c r="A44" s="73" t="s">
        <v>28</v>
      </c>
      <c r="B44" s="72">
        <f>(B39-B38)*4/5</f>
        <v>0.8</v>
      </c>
      <c r="C44" s="73"/>
      <c r="D44" s="73"/>
      <c r="E44" s="72"/>
      <c r="F44" s="72"/>
    </row>
  </sheetData>
  <mergeCells count="7">
    <mergeCell ref="D15:D19"/>
    <mergeCell ref="A16:B16"/>
    <mergeCell ref="C1:E2"/>
    <mergeCell ref="A4:B4"/>
    <mergeCell ref="A10:B10"/>
    <mergeCell ref="D3:D7"/>
    <mergeCell ref="D9:D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B1:XFD21"/>
  <sheetViews>
    <sheetView showGridLines="0" tabSelected="1" zoomScale="95" zoomScaleNormal="95" workbookViewId="0">
      <selection activeCell="P17" sqref="P17"/>
    </sheetView>
  </sheetViews>
  <sheetFormatPr baseColWidth="10" defaultColWidth="11.42578125" defaultRowHeight="14.25" x14ac:dyDescent="0.2"/>
  <cols>
    <col min="1" max="1" width="3.42578125" style="13" customWidth="1"/>
    <col min="2" max="2" width="20.140625" style="13" customWidth="1"/>
    <col min="3" max="3" width="6.140625" style="13" customWidth="1"/>
    <col min="4" max="4" width="9.85546875" style="13" customWidth="1"/>
    <col min="5" max="5" width="13.5703125" style="13" customWidth="1"/>
    <col min="6" max="6" width="9.140625" style="13" customWidth="1"/>
    <col min="7" max="7" width="7" style="13" customWidth="1"/>
    <col min="8" max="9" width="11.42578125" style="13"/>
    <col min="10" max="10" width="11.28515625" style="13" customWidth="1"/>
    <col min="11" max="11" width="2" style="13" customWidth="1"/>
    <col min="12" max="12" width="16.28515625" style="13" customWidth="1"/>
    <col min="13" max="16384" width="11.42578125" style="13"/>
  </cols>
  <sheetData>
    <row r="1" spans="2:12 16382:16384" x14ac:dyDescent="0.2">
      <c r="XFB1" s="85"/>
      <c r="XFC1" s="85"/>
      <c r="XFD1" s="85"/>
    </row>
    <row r="2" spans="2:12 16382:16384" x14ac:dyDescent="0.2">
      <c r="XFB2" s="85"/>
      <c r="XFC2" s="85"/>
      <c r="XFD2" s="85"/>
    </row>
    <row r="3" spans="2:12 16382:16384" ht="15" customHeight="1" x14ac:dyDescent="0.2">
      <c r="C3" s="14"/>
      <c r="D3" s="14"/>
      <c r="E3" s="14"/>
      <c r="F3" s="14"/>
      <c r="G3" s="14"/>
      <c r="H3" s="14"/>
      <c r="I3" s="14"/>
      <c r="J3" s="14"/>
      <c r="XFB3" s="85"/>
      <c r="XFC3" s="85"/>
      <c r="XFD3" s="85"/>
    </row>
    <row r="4" spans="2:12 16382:16384" ht="15" customHeight="1" x14ac:dyDescent="0.2">
      <c r="C4" s="14"/>
      <c r="D4" s="14"/>
      <c r="E4" s="14"/>
      <c r="F4" s="14"/>
      <c r="G4" s="14"/>
      <c r="H4" s="14"/>
      <c r="I4" s="14"/>
      <c r="J4" s="14"/>
      <c r="XFB4" s="85"/>
      <c r="XFC4" s="85"/>
      <c r="XFD4" s="85"/>
    </row>
    <row r="5" spans="2:12 16382:16384" ht="15" customHeight="1" x14ac:dyDescent="0.2">
      <c r="C5" s="14"/>
      <c r="D5" s="14"/>
      <c r="E5" s="14"/>
      <c r="F5" s="14"/>
      <c r="G5" s="14"/>
      <c r="H5" s="14"/>
      <c r="I5" s="14"/>
      <c r="J5" s="14"/>
      <c r="XFB5" s="85"/>
      <c r="XFC5" s="85"/>
      <c r="XFD5" s="85"/>
    </row>
    <row r="6" spans="2:12 16382:16384" ht="15" customHeight="1" x14ac:dyDescent="0.2">
      <c r="C6" s="14"/>
      <c r="D6" s="14"/>
      <c r="E6" s="14"/>
      <c r="F6" s="14"/>
      <c r="G6" s="14"/>
      <c r="H6" s="14"/>
      <c r="I6" s="14"/>
      <c r="J6" s="14"/>
      <c r="XFB6" s="85"/>
      <c r="XFC6" s="85"/>
      <c r="XFD6" s="85"/>
    </row>
    <row r="7" spans="2:12 16382:16384" ht="15" customHeight="1" x14ac:dyDescent="0.2">
      <c r="C7" s="14"/>
      <c r="D7" s="14"/>
      <c r="E7" s="14"/>
      <c r="F7" s="14"/>
      <c r="G7" s="14"/>
      <c r="H7" s="14"/>
      <c r="I7" s="14"/>
      <c r="J7" s="14"/>
      <c r="XFB7" s="85"/>
      <c r="XFC7" s="85"/>
      <c r="XFD7" s="85"/>
    </row>
    <row r="8" spans="2:12 16382:16384" ht="15" customHeight="1" x14ac:dyDescent="0.2">
      <c r="C8" s="14"/>
      <c r="D8" s="14"/>
      <c r="E8" s="14"/>
      <c r="F8" s="14"/>
      <c r="G8" s="14"/>
      <c r="H8" s="14"/>
      <c r="I8" s="14"/>
      <c r="J8" s="14"/>
      <c r="XFB8" s="85"/>
      <c r="XFC8" s="85"/>
      <c r="XFD8" s="85"/>
    </row>
    <row r="9" spans="2:12 16382:16384" ht="6.75" customHeight="1" x14ac:dyDescent="0.2">
      <c r="C9" s="14"/>
      <c r="D9" s="14"/>
      <c r="E9" s="14"/>
      <c r="F9" s="14"/>
      <c r="G9" s="14"/>
      <c r="H9" s="14"/>
      <c r="I9" s="14"/>
      <c r="J9" s="14"/>
      <c r="XFB9" s="85"/>
      <c r="XFC9" s="85"/>
      <c r="XFD9" s="85"/>
    </row>
    <row r="10" spans="2:12 16382:16384" ht="18" hidden="1" customHeight="1" x14ac:dyDescent="0.2">
      <c r="C10" s="15"/>
      <c r="D10" s="132"/>
      <c r="E10" s="133"/>
      <c r="F10" s="133"/>
      <c r="G10" s="133"/>
      <c r="H10" s="133"/>
      <c r="I10" s="133"/>
      <c r="J10" s="133"/>
      <c r="K10" s="15"/>
      <c r="XFB10" s="85"/>
      <c r="XFC10" s="85"/>
      <c r="XFD10" s="85"/>
    </row>
    <row r="11" spans="2:12 16382:16384" ht="6.75" hidden="1" customHeight="1" x14ac:dyDescent="0.2">
      <c r="XFB11" s="85"/>
      <c r="XFC11" s="85"/>
      <c r="XFD11" s="85"/>
    </row>
    <row r="12" spans="2:12 16382:16384" ht="15" hidden="1" customHeight="1" x14ac:dyDescent="0.2">
      <c r="C12" s="16"/>
      <c r="D12" s="134"/>
      <c r="E12" s="134"/>
      <c r="F12" s="134"/>
      <c r="G12" s="134"/>
      <c r="H12" s="134"/>
      <c r="I12" s="134"/>
      <c r="J12" s="134"/>
      <c r="K12" s="16"/>
      <c r="XFB12" s="85"/>
      <c r="XFC12" s="85"/>
      <c r="XFD12" s="85"/>
    </row>
    <row r="13" spans="2:12 16382:16384" ht="15" hidden="1" customHeight="1" x14ac:dyDescent="0.2">
      <c r="C13" s="17"/>
      <c r="D13" s="135"/>
      <c r="E13" s="135"/>
      <c r="F13" s="135"/>
      <c r="G13" s="135"/>
      <c r="H13" s="135"/>
      <c r="I13" s="135"/>
      <c r="J13" s="135"/>
      <c r="K13" s="17"/>
      <c r="XFB13" s="85"/>
      <c r="XFC13" s="85"/>
      <c r="XFD13" s="85"/>
    </row>
    <row r="14" spans="2:12 16382:16384" x14ac:dyDescent="0.2">
      <c r="XFB14" s="85"/>
      <c r="XFC14" s="85"/>
      <c r="XFD14" s="85"/>
    </row>
    <row r="15" spans="2:12 16382:16384" ht="22.5" customHeight="1" x14ac:dyDescent="0.2">
      <c r="B15" s="18" t="s">
        <v>29</v>
      </c>
      <c r="C15" s="17"/>
      <c r="D15" s="129"/>
      <c r="E15" s="130"/>
      <c r="F15" s="130"/>
      <c r="G15" s="130"/>
      <c r="H15" s="130"/>
      <c r="I15" s="130"/>
      <c r="J15" s="131"/>
      <c r="XFB15" s="85"/>
      <c r="XFC15" s="85"/>
      <c r="XFD15" s="85"/>
    </row>
    <row r="16" spans="2:12 16382:16384" ht="22.5" customHeight="1" x14ac:dyDescent="0.2">
      <c r="B16" s="18" t="s">
        <v>30</v>
      </c>
      <c r="C16" s="17"/>
      <c r="D16" s="129"/>
      <c r="E16" s="130"/>
      <c r="F16" s="130"/>
      <c r="G16" s="130"/>
      <c r="H16" s="130"/>
      <c r="I16" s="130"/>
      <c r="J16" s="131"/>
      <c r="L16" s="19"/>
      <c r="XFB16" s="85"/>
      <c r="XFC16" s="85"/>
      <c r="XFD16" s="85"/>
    </row>
    <row r="17" spans="2:10 16382:16384" ht="22.5" customHeight="1" x14ac:dyDescent="0.2">
      <c r="B17" s="18" t="s">
        <v>31</v>
      </c>
      <c r="D17" s="129"/>
      <c r="E17" s="130"/>
      <c r="F17" s="130"/>
      <c r="G17" s="130"/>
      <c r="H17" s="130"/>
      <c r="I17" s="130"/>
      <c r="J17" s="131"/>
      <c r="XFB17" s="85"/>
      <c r="XFC17" s="85"/>
      <c r="XFD17" s="85"/>
    </row>
    <row r="18" spans="2:10 16382:16384" ht="22.5" customHeight="1" x14ac:dyDescent="0.2">
      <c r="B18" s="17"/>
      <c r="C18" s="17"/>
    </row>
    <row r="19" spans="2:10 16382:16384" ht="21" customHeight="1" thickBot="1" x14ac:dyDescent="0.25">
      <c r="B19" s="20" t="s">
        <v>32</v>
      </c>
      <c r="C19" s="17"/>
      <c r="D19" s="21" t="s">
        <v>33</v>
      </c>
      <c r="E19" s="22" t="s">
        <v>34</v>
      </c>
      <c r="F19" s="22" t="s">
        <v>35</v>
      </c>
      <c r="H19" s="18" t="s">
        <v>36</v>
      </c>
      <c r="I19" s="23" t="s">
        <v>37</v>
      </c>
    </row>
    <row r="20" spans="2:10 16382:16384" ht="15" thickTop="1" x14ac:dyDescent="0.2">
      <c r="B20" s="17"/>
      <c r="C20" s="17"/>
    </row>
    <row r="21" spans="2:10 16382:16384" x14ac:dyDescent="0.2">
      <c r="B21" s="17"/>
      <c r="C21" s="17"/>
    </row>
  </sheetData>
  <sheetProtection algorithmName="SHA-512" hashValue="nxEPaTlVGXx7oyzPfhhC+T5h3kQ1N25J+ygyr/Au/bAQhZOViiVyMpQg05UrA0yIdkTH9KETdoG4zCO8+b604g==" saltValue="spp4kaPbhGMBndDZuHhYlw==" spinCount="100000" sheet="1" objects="1" scenarios="1"/>
  <mergeCells count="6">
    <mergeCell ref="D17:J17"/>
    <mergeCell ref="D10:J10"/>
    <mergeCell ref="D12:J12"/>
    <mergeCell ref="D13:J13"/>
    <mergeCell ref="D15:J15"/>
    <mergeCell ref="D16:J16"/>
  </mergeCells>
  <conditionalFormatting sqref="D19">
    <cfRule type="containsText" dxfId="34" priority="4" operator="containsText" text="DD">
      <formula>NOT(ISERROR(SEARCH("DD",D19)))</formula>
    </cfRule>
  </conditionalFormatting>
  <conditionalFormatting sqref="E19">
    <cfRule type="containsText" dxfId="33" priority="2" operator="containsText" text="MM">
      <formula>NOT(ISERROR(SEARCH("MM",E19)))</formula>
    </cfRule>
  </conditionalFormatting>
  <conditionalFormatting sqref="F19">
    <cfRule type="containsText" dxfId="32" priority="3" operator="containsText" text="AAAA">
      <formula>NOT(ISERROR(SEARCH("AAAA",F19)))</formula>
    </cfRule>
  </conditionalFormatting>
  <conditionalFormatting sqref="I19">
    <cfRule type="containsText" dxfId="31" priority="1" operator="containsText" text="AAAA">
      <formula>NOT(ISERROR(SEARCH("AAAA",I19)))</formula>
    </cfRule>
  </conditionalFormatting>
  <pageMargins left="0.7" right="0.7" top="0.75" bottom="0.75" header="0.3" footer="0.3"/>
  <pageSetup orientation="portrait" horizontalDpi="360" verticalDpi="360"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14:formula1>
            <xm:f>'Hoja1 (2)'!$I$1:$I$3</xm:f>
          </x14:formula1>
          <xm:sqref>D17 E17:J17</xm:sqref>
        </x14:dataValidation>
        <x14:dataValidation type="list" allowBlank="1" showInputMessage="1" showErrorMessage="1">
          <x14:formula1>
            <xm:f>'Hoja1 (2)'!$H$1:$H$3</xm:f>
          </x14:formula1>
          <xm:sqref>I19</xm:sqref>
        </x14:dataValidation>
        <x14:dataValidation type="list" allowBlank="1" showInputMessage="1" showErrorMessage="1">
          <x14:formula1>
            <xm:f>'Hoja1 (2)'!$D$1:$D$17</xm:f>
          </x14:formula1>
          <xm:sqref>D15:J15</xm:sqref>
        </x14:dataValidation>
        <x14:dataValidation type="list" allowBlank="1" showInputMessage="1" showErrorMessage="1">
          <x14:formula1>
            <xm:f>'Hoja1 (2)'!$E$1:$E$32</xm:f>
          </x14:formula1>
          <xm:sqref>D19</xm:sqref>
        </x14:dataValidation>
        <x14:dataValidation type="list" allowBlank="1" showInputMessage="1" showErrorMessage="1">
          <x14:formula1>
            <xm:f>'Hoja1 (2)'!$F$1:$F$13</xm:f>
          </x14:formula1>
          <xm:sqref>E19</xm:sqref>
        </x14:dataValidation>
        <x14:dataValidation type="list" allowBlank="1" showInputMessage="1" showErrorMessage="1">
          <x14:formula1>
            <xm:f>'Hoja1 (2)'!$G$1:$G$13</xm:f>
          </x14:formula1>
          <xm:sqref>F19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election activeCell="C4" sqref="C4"/>
    </sheetView>
  </sheetViews>
  <sheetFormatPr baseColWidth="10" defaultColWidth="11.42578125" defaultRowHeight="15" x14ac:dyDescent="0.25"/>
  <cols>
    <col min="1" max="1" width="11.42578125" style="24"/>
    <col min="2" max="2" width="9" style="24" customWidth="1"/>
    <col min="3" max="3" width="11.7109375" style="24" customWidth="1"/>
    <col min="4" max="4" width="47.5703125" style="24" bestFit="1" customWidth="1"/>
    <col min="5" max="5" width="6.85546875" style="24" customWidth="1"/>
    <col min="6" max="6" width="11.42578125" style="24" bestFit="1" customWidth="1"/>
    <col min="7" max="7" width="6.85546875" style="24" customWidth="1"/>
    <col min="8" max="8" width="11.42578125" style="24"/>
    <col min="9" max="9" width="21.85546875" style="24" bestFit="1" customWidth="1"/>
    <col min="10" max="16384" width="11.42578125" style="24"/>
  </cols>
  <sheetData>
    <row r="1" spans="1:9" x14ac:dyDescent="0.25">
      <c r="A1" s="24">
        <v>1</v>
      </c>
      <c r="B1" s="24">
        <v>1</v>
      </c>
      <c r="C1" s="25" t="s">
        <v>37</v>
      </c>
      <c r="D1" s="25" t="s">
        <v>37</v>
      </c>
      <c r="E1" s="24" t="s">
        <v>33</v>
      </c>
      <c r="F1" s="24" t="s">
        <v>34</v>
      </c>
      <c r="G1" s="24" t="s">
        <v>35</v>
      </c>
      <c r="H1" s="26" t="s">
        <v>37</v>
      </c>
      <c r="I1" s="26" t="s">
        <v>37</v>
      </c>
    </row>
    <row r="2" spans="1:9" x14ac:dyDescent="0.25">
      <c r="A2" s="24">
        <v>2</v>
      </c>
      <c r="B2" s="24">
        <v>1.1000000000000001</v>
      </c>
      <c r="C2" s="26">
        <v>1</v>
      </c>
      <c r="D2" s="24" t="s">
        <v>38</v>
      </c>
      <c r="E2" s="24">
        <v>1</v>
      </c>
      <c r="F2" s="24" t="s">
        <v>39</v>
      </c>
      <c r="G2" s="25">
        <v>2017</v>
      </c>
      <c r="H2" s="26" t="s">
        <v>40</v>
      </c>
      <c r="I2" s="26" t="s">
        <v>41</v>
      </c>
    </row>
    <row r="3" spans="1:9" x14ac:dyDescent="0.25">
      <c r="A3" s="24">
        <v>3</v>
      </c>
      <c r="B3" s="24">
        <v>1.2</v>
      </c>
      <c r="C3" s="26">
        <v>2</v>
      </c>
      <c r="D3" s="24" t="s">
        <v>42</v>
      </c>
      <c r="E3" s="24">
        <v>2</v>
      </c>
      <c r="F3" s="24" t="s">
        <v>43</v>
      </c>
      <c r="G3" s="25">
        <v>2018</v>
      </c>
      <c r="H3" s="26" t="s">
        <v>44</v>
      </c>
      <c r="I3" s="26" t="s">
        <v>45</v>
      </c>
    </row>
    <row r="4" spans="1:9" x14ac:dyDescent="0.25">
      <c r="A4" s="24">
        <v>4</v>
      </c>
      <c r="B4" s="24">
        <v>1.3</v>
      </c>
      <c r="C4" s="26">
        <v>3</v>
      </c>
      <c r="D4" s="24" t="s">
        <v>46</v>
      </c>
      <c r="E4" s="24">
        <v>3</v>
      </c>
      <c r="F4" s="24" t="s">
        <v>47</v>
      </c>
      <c r="G4" s="25">
        <v>2019</v>
      </c>
    </row>
    <row r="5" spans="1:9" x14ac:dyDescent="0.25">
      <c r="A5" s="24">
        <v>5</v>
      </c>
      <c r="B5" s="24">
        <v>1.4</v>
      </c>
      <c r="C5" s="26">
        <v>4</v>
      </c>
      <c r="D5" s="24" t="s">
        <v>48</v>
      </c>
      <c r="E5" s="24">
        <v>4</v>
      </c>
      <c r="F5" s="24" t="s">
        <v>49</v>
      </c>
      <c r="G5" s="25">
        <v>2020</v>
      </c>
    </row>
    <row r="6" spans="1:9" x14ac:dyDescent="0.25">
      <c r="A6" s="24">
        <v>6</v>
      </c>
      <c r="B6" s="24">
        <v>1.5</v>
      </c>
      <c r="C6" s="26">
        <v>5</v>
      </c>
      <c r="D6" s="24" t="s">
        <v>50</v>
      </c>
      <c r="E6" s="24">
        <v>5</v>
      </c>
      <c r="F6" s="24" t="s">
        <v>51</v>
      </c>
      <c r="G6" s="25">
        <v>2021</v>
      </c>
      <c r="H6" s="27"/>
    </row>
    <row r="7" spans="1:9" x14ac:dyDescent="0.25">
      <c r="A7" s="24">
        <v>7</v>
      </c>
      <c r="B7" s="24">
        <v>1.6</v>
      </c>
      <c r="C7" s="26">
        <v>6</v>
      </c>
      <c r="D7" s="24" t="s">
        <v>52</v>
      </c>
      <c r="E7" s="24">
        <v>6</v>
      </c>
      <c r="F7" s="24" t="s">
        <v>53</v>
      </c>
      <c r="G7" s="25">
        <v>2022</v>
      </c>
    </row>
    <row r="8" spans="1:9" x14ac:dyDescent="0.25">
      <c r="A8" s="24">
        <v>8</v>
      </c>
      <c r="B8" s="24">
        <v>1.7</v>
      </c>
      <c r="C8" s="26">
        <v>7</v>
      </c>
      <c r="D8" s="24" t="s">
        <v>54</v>
      </c>
      <c r="E8" s="24">
        <v>7</v>
      </c>
      <c r="F8" s="24" t="s">
        <v>55</v>
      </c>
      <c r="G8" s="25">
        <v>2023</v>
      </c>
    </row>
    <row r="9" spans="1:9" x14ac:dyDescent="0.25">
      <c r="A9" s="24">
        <v>9</v>
      </c>
      <c r="B9" s="24">
        <v>1.8</v>
      </c>
      <c r="C9" s="26">
        <v>8</v>
      </c>
      <c r="D9" s="24" t="s">
        <v>56</v>
      </c>
      <c r="E9" s="24">
        <v>8</v>
      </c>
      <c r="F9" s="24" t="s">
        <v>57</v>
      </c>
      <c r="G9" s="25">
        <v>2024</v>
      </c>
    </row>
    <row r="10" spans="1:9" x14ac:dyDescent="0.25">
      <c r="A10" s="24">
        <v>10</v>
      </c>
      <c r="B10" s="24">
        <v>1.9</v>
      </c>
      <c r="C10" s="26">
        <v>9</v>
      </c>
      <c r="D10" s="24" t="s">
        <v>58</v>
      </c>
      <c r="E10" s="24">
        <v>9</v>
      </c>
      <c r="F10" s="24" t="s">
        <v>59</v>
      </c>
      <c r="G10" s="25">
        <v>2025</v>
      </c>
    </row>
    <row r="11" spans="1:9" x14ac:dyDescent="0.25">
      <c r="B11" s="24">
        <v>2</v>
      </c>
      <c r="C11" s="26">
        <v>10</v>
      </c>
      <c r="D11" s="24" t="s">
        <v>60</v>
      </c>
      <c r="E11" s="24">
        <v>10</v>
      </c>
      <c r="F11" s="24" t="s">
        <v>61</v>
      </c>
      <c r="G11" s="25">
        <v>2026</v>
      </c>
    </row>
    <row r="12" spans="1:9" x14ac:dyDescent="0.25">
      <c r="B12" s="24">
        <v>2.1</v>
      </c>
      <c r="C12" s="26">
        <v>11</v>
      </c>
      <c r="D12" s="24" t="s">
        <v>62</v>
      </c>
      <c r="E12" s="24">
        <v>11</v>
      </c>
      <c r="F12" s="24" t="s">
        <v>63</v>
      </c>
      <c r="G12" s="25">
        <v>2027</v>
      </c>
    </row>
    <row r="13" spans="1:9" x14ac:dyDescent="0.25">
      <c r="B13" s="24">
        <v>2.2000000000000002</v>
      </c>
      <c r="C13" s="26">
        <v>12</v>
      </c>
      <c r="D13" s="24" t="s">
        <v>64</v>
      </c>
      <c r="E13" s="24">
        <v>12</v>
      </c>
      <c r="F13" s="24" t="s">
        <v>65</v>
      </c>
      <c r="G13" s="25">
        <v>2028</v>
      </c>
    </row>
    <row r="14" spans="1:9" x14ac:dyDescent="0.25">
      <c r="B14" s="24">
        <v>2.2999999999999998</v>
      </c>
      <c r="C14" s="26">
        <v>13</v>
      </c>
      <c r="D14" s="24" t="s">
        <v>66</v>
      </c>
      <c r="E14" s="24">
        <v>13</v>
      </c>
    </row>
    <row r="15" spans="1:9" x14ac:dyDescent="0.25">
      <c r="B15" s="24">
        <v>2.4</v>
      </c>
      <c r="C15" s="26">
        <v>14</v>
      </c>
      <c r="D15" s="24" t="s">
        <v>67</v>
      </c>
      <c r="E15" s="24">
        <v>14</v>
      </c>
    </row>
    <row r="16" spans="1:9" x14ac:dyDescent="0.25">
      <c r="B16" s="24">
        <v>2.5</v>
      </c>
      <c r="C16" s="26">
        <v>15</v>
      </c>
      <c r="D16" s="24" t="s">
        <v>68</v>
      </c>
      <c r="E16" s="24">
        <v>15</v>
      </c>
    </row>
    <row r="17" spans="2:5" x14ac:dyDescent="0.25">
      <c r="B17" s="24">
        <v>2.6</v>
      </c>
      <c r="C17" s="26">
        <v>16</v>
      </c>
      <c r="D17" s="24" t="s">
        <v>69</v>
      </c>
      <c r="E17" s="24">
        <v>16</v>
      </c>
    </row>
    <row r="18" spans="2:5" x14ac:dyDescent="0.25">
      <c r="B18" s="24">
        <v>2.7</v>
      </c>
      <c r="C18" s="26">
        <v>17</v>
      </c>
      <c r="E18" s="24">
        <v>17</v>
      </c>
    </row>
    <row r="19" spans="2:5" x14ac:dyDescent="0.25">
      <c r="B19" s="24">
        <v>2.8</v>
      </c>
      <c r="C19" s="26">
        <v>18</v>
      </c>
      <c r="E19" s="24">
        <v>18</v>
      </c>
    </row>
    <row r="20" spans="2:5" x14ac:dyDescent="0.25">
      <c r="B20" s="24">
        <v>2.9</v>
      </c>
      <c r="C20" s="26">
        <v>19</v>
      </c>
      <c r="E20" s="24">
        <v>19</v>
      </c>
    </row>
    <row r="21" spans="2:5" x14ac:dyDescent="0.25">
      <c r="B21" s="24">
        <v>3</v>
      </c>
      <c r="C21" s="26">
        <v>20</v>
      </c>
      <c r="E21" s="24">
        <v>20</v>
      </c>
    </row>
    <row r="22" spans="2:5" x14ac:dyDescent="0.25">
      <c r="B22" s="24">
        <v>3.1</v>
      </c>
      <c r="C22" s="26">
        <v>21</v>
      </c>
      <c r="E22" s="24">
        <v>21</v>
      </c>
    </row>
    <row r="23" spans="2:5" x14ac:dyDescent="0.25">
      <c r="B23" s="24">
        <v>3.2</v>
      </c>
      <c r="C23" s="26">
        <v>22</v>
      </c>
      <c r="E23" s="24">
        <v>22</v>
      </c>
    </row>
    <row r="24" spans="2:5" x14ac:dyDescent="0.25">
      <c r="B24" s="24">
        <v>3.3</v>
      </c>
      <c r="C24" s="26">
        <v>23</v>
      </c>
      <c r="E24" s="24">
        <v>23</v>
      </c>
    </row>
    <row r="25" spans="2:5" x14ac:dyDescent="0.25">
      <c r="B25" s="24">
        <v>3.4</v>
      </c>
      <c r="C25" s="26">
        <v>24</v>
      </c>
      <c r="E25" s="24">
        <v>24</v>
      </c>
    </row>
    <row r="26" spans="2:5" x14ac:dyDescent="0.25">
      <c r="B26" s="24">
        <v>3.5</v>
      </c>
      <c r="C26" s="26">
        <v>25</v>
      </c>
      <c r="E26" s="24">
        <v>25</v>
      </c>
    </row>
    <row r="27" spans="2:5" x14ac:dyDescent="0.25">
      <c r="B27" s="24">
        <v>3.6</v>
      </c>
      <c r="C27" s="26">
        <v>26</v>
      </c>
      <c r="E27" s="24">
        <v>26</v>
      </c>
    </row>
    <row r="28" spans="2:5" x14ac:dyDescent="0.25">
      <c r="B28" s="24">
        <v>3.7</v>
      </c>
      <c r="C28" s="26">
        <v>27</v>
      </c>
      <c r="E28" s="24">
        <v>27</v>
      </c>
    </row>
    <row r="29" spans="2:5" x14ac:dyDescent="0.25">
      <c r="B29" s="24">
        <v>3.8</v>
      </c>
      <c r="C29" s="26">
        <v>28</v>
      </c>
      <c r="E29" s="24">
        <v>28</v>
      </c>
    </row>
    <row r="30" spans="2:5" x14ac:dyDescent="0.25">
      <c r="B30" s="24">
        <v>3.9</v>
      </c>
      <c r="C30" s="26">
        <v>29</v>
      </c>
      <c r="E30" s="24">
        <v>29</v>
      </c>
    </row>
    <row r="31" spans="2:5" x14ac:dyDescent="0.25">
      <c r="B31" s="24">
        <v>4</v>
      </c>
      <c r="C31" s="26">
        <v>30</v>
      </c>
      <c r="E31" s="24">
        <v>30</v>
      </c>
    </row>
    <row r="32" spans="2:5" x14ac:dyDescent="0.25">
      <c r="B32" s="24">
        <v>4.0999999999999996</v>
      </c>
      <c r="C32" s="26">
        <v>31</v>
      </c>
      <c r="E32" s="24">
        <v>31</v>
      </c>
    </row>
    <row r="33" spans="2:3" x14ac:dyDescent="0.25">
      <c r="B33" s="24">
        <v>4.2</v>
      </c>
      <c r="C33" s="26">
        <v>32</v>
      </c>
    </row>
    <row r="34" spans="2:3" x14ac:dyDescent="0.25">
      <c r="B34" s="24">
        <v>4.3</v>
      </c>
      <c r="C34" s="26">
        <v>33</v>
      </c>
    </row>
    <row r="35" spans="2:3" x14ac:dyDescent="0.25">
      <c r="B35" s="24">
        <v>4.4000000000000004</v>
      </c>
      <c r="C35" s="26">
        <v>34</v>
      </c>
    </row>
    <row r="36" spans="2:3" x14ac:dyDescent="0.25">
      <c r="B36" s="24">
        <v>4.5</v>
      </c>
      <c r="C36" s="26">
        <v>35</v>
      </c>
    </row>
    <row r="37" spans="2:3" x14ac:dyDescent="0.25">
      <c r="B37" s="24">
        <v>4.5999999999999996</v>
      </c>
      <c r="C37" s="26">
        <v>36</v>
      </c>
    </row>
    <row r="38" spans="2:3" x14ac:dyDescent="0.25">
      <c r="B38" s="24">
        <v>4.7</v>
      </c>
      <c r="C38" s="26">
        <v>37</v>
      </c>
    </row>
    <row r="39" spans="2:3" x14ac:dyDescent="0.25">
      <c r="B39" s="24">
        <v>4.8</v>
      </c>
      <c r="C39" s="26">
        <v>38</v>
      </c>
    </row>
    <row r="40" spans="2:3" x14ac:dyDescent="0.25">
      <c r="B40" s="24">
        <v>4.9000000000000004</v>
      </c>
      <c r="C40" s="26">
        <v>39</v>
      </c>
    </row>
    <row r="41" spans="2:3" x14ac:dyDescent="0.25">
      <c r="B41" s="24">
        <v>5</v>
      </c>
      <c r="C41" s="26">
        <v>40</v>
      </c>
    </row>
  </sheetData>
  <sheetProtection algorithmName="SHA-512" hashValue="AmQ4CMB106CDr7fkphRwp9LmURO/cRvEaSf50LI8LPnqr+pgNPxqX6kZO8siXJ35SwvNN5qotjCfeHY0BDbXRw==" saltValue="+y7bYDu0t8rOh7Ev1iwPk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5790"/>
  </sheetPr>
  <dimension ref="A1:AL78"/>
  <sheetViews>
    <sheetView showGridLines="0" zoomScale="90" zoomScaleNormal="90" workbookViewId="0">
      <pane ySplit="7" topLeftCell="A26" activePane="bottomLeft" state="frozen"/>
      <selection pane="bottomLeft" activeCell="B6" sqref="B6:B7"/>
    </sheetView>
  </sheetViews>
  <sheetFormatPr baseColWidth="10" defaultColWidth="11.42578125" defaultRowHeight="15" x14ac:dyDescent="0.25"/>
  <cols>
    <col min="1" max="1" width="32.42578125" style="1" customWidth="1"/>
    <col min="2" max="2" width="33.42578125" style="1" customWidth="1"/>
    <col min="3" max="5" width="46.7109375" style="1" customWidth="1"/>
    <col min="6" max="10" width="12.7109375" style="1" customWidth="1"/>
    <col min="11" max="11" width="13.140625" style="1" customWidth="1"/>
    <col min="12" max="13" width="46.7109375" style="1" customWidth="1"/>
    <col min="14" max="16" width="23.140625" style="1" customWidth="1"/>
    <col min="17" max="18" width="29.42578125" style="1" customWidth="1"/>
    <col min="19" max="19" width="20.42578125" style="1" bestFit="1" customWidth="1"/>
    <col min="20" max="20" width="15.85546875" style="1" customWidth="1"/>
    <col min="21" max="21" width="3.28515625" style="1" customWidth="1"/>
    <col min="22" max="23" width="3.140625" style="1" customWidth="1"/>
    <col min="24" max="25" width="8.42578125" style="1" customWidth="1"/>
    <col min="26" max="26" width="1.85546875" style="1" customWidth="1"/>
    <col min="27" max="27" width="10" style="1" customWidth="1"/>
    <col min="28" max="28" width="10.85546875" style="1" customWidth="1"/>
    <col min="29" max="29" width="6.140625" hidden="1" customWidth="1"/>
    <col min="30" max="16384" width="11.42578125" style="1"/>
  </cols>
  <sheetData>
    <row r="1" spans="1:38" s="112" customFormat="1" ht="95.25" customHeight="1" x14ac:dyDescent="0.25">
      <c r="A1" s="110"/>
      <c r="B1" s="143" t="s">
        <v>70</v>
      </c>
      <c r="C1" s="143"/>
      <c r="D1" s="143"/>
      <c r="E1" s="143"/>
      <c r="F1" s="143"/>
      <c r="G1" s="143"/>
      <c r="H1" s="143"/>
      <c r="I1" s="143"/>
      <c r="J1" s="143"/>
      <c r="K1" s="143"/>
      <c r="L1" s="143"/>
      <c r="M1" s="143"/>
      <c r="N1" s="143"/>
      <c r="O1" s="143"/>
      <c r="P1" s="143"/>
      <c r="Q1" s="143"/>
      <c r="R1" s="143"/>
      <c r="S1" s="143"/>
      <c r="T1" s="143"/>
      <c r="U1" s="143"/>
      <c r="V1" s="143"/>
      <c r="W1" s="111"/>
      <c r="X1" s="111"/>
      <c r="Y1" s="111"/>
      <c r="Z1" s="111"/>
      <c r="AA1" s="111"/>
      <c r="AB1" s="111"/>
      <c r="AC1" s="111"/>
      <c r="AD1" s="111"/>
      <c r="AE1" s="111"/>
      <c r="AF1" s="111"/>
      <c r="AG1" s="111"/>
      <c r="AH1" s="111"/>
      <c r="AI1" s="111"/>
      <c r="AJ1" s="111"/>
      <c r="AK1" s="111"/>
      <c r="AL1" s="111"/>
    </row>
    <row r="2" spans="1:38" s="112" customFormat="1" ht="21.75" customHeight="1" x14ac:dyDescent="0.25">
      <c r="A2" s="117" t="s">
        <v>71</v>
      </c>
      <c r="B2" s="144"/>
      <c r="C2" s="144"/>
      <c r="D2" s="144"/>
      <c r="E2" s="144"/>
      <c r="F2" s="144"/>
      <c r="G2" s="144"/>
      <c r="H2" s="144"/>
      <c r="I2" s="144"/>
      <c r="J2" s="144"/>
      <c r="K2" s="144"/>
      <c r="L2" s="144"/>
      <c r="M2" s="144"/>
      <c r="N2" s="144"/>
      <c r="O2" s="144"/>
      <c r="P2" s="144"/>
      <c r="Q2" s="144"/>
      <c r="R2" s="144"/>
      <c r="S2" s="144"/>
      <c r="T2" s="144"/>
      <c r="U2" s="144"/>
      <c r="V2" s="144"/>
      <c r="W2" s="113"/>
      <c r="X2" s="113"/>
      <c r="Y2" s="113"/>
      <c r="Z2" s="113"/>
      <c r="AA2" s="113"/>
      <c r="AB2" s="113"/>
      <c r="AC2" s="113"/>
      <c r="AD2" s="113"/>
      <c r="AE2" s="113"/>
      <c r="AF2" s="113"/>
      <c r="AG2" s="113"/>
      <c r="AH2" s="113"/>
      <c r="AI2" s="113"/>
      <c r="AJ2" s="113"/>
      <c r="AK2" s="113"/>
      <c r="AL2" s="113"/>
    </row>
    <row r="3" spans="1:38" s="112" customFormat="1" ht="21.75" customHeight="1" x14ac:dyDescent="0.25">
      <c r="A3" s="117" t="s">
        <v>72</v>
      </c>
      <c r="B3" s="145"/>
      <c r="C3" s="145"/>
      <c r="D3" s="145"/>
      <c r="E3" s="145"/>
      <c r="F3" s="145"/>
      <c r="G3" s="145"/>
      <c r="H3" s="145"/>
      <c r="I3" s="145"/>
      <c r="J3" s="145"/>
      <c r="K3" s="145"/>
      <c r="L3" s="145"/>
      <c r="M3" s="145"/>
      <c r="N3" s="145"/>
      <c r="O3" s="145"/>
      <c r="P3" s="145"/>
      <c r="Q3" s="145"/>
      <c r="R3" s="145"/>
      <c r="S3" s="145"/>
      <c r="T3" s="145"/>
      <c r="U3" s="145"/>
      <c r="V3" s="145"/>
      <c r="W3" s="113"/>
      <c r="X3" s="113"/>
      <c r="Y3" s="113"/>
      <c r="Z3" s="113"/>
      <c r="AA3" s="113"/>
      <c r="AB3" s="113"/>
      <c r="AC3" s="113"/>
      <c r="AD3" s="113"/>
      <c r="AE3" s="113"/>
      <c r="AF3" s="113"/>
      <c r="AG3" s="113"/>
      <c r="AH3" s="113"/>
      <c r="AI3" s="113"/>
      <c r="AJ3" s="113"/>
      <c r="AK3" s="113"/>
      <c r="AL3" s="113"/>
    </row>
    <row r="4" spans="1:38" s="112" customFormat="1" ht="28.5" customHeight="1" x14ac:dyDescent="0.25">
      <c r="A4" s="119" t="s">
        <v>73</v>
      </c>
      <c r="B4" s="154"/>
      <c r="C4" s="154"/>
      <c r="D4" s="154"/>
      <c r="E4" s="154"/>
      <c r="F4" s="154"/>
      <c r="G4" s="154"/>
      <c r="H4" s="121"/>
      <c r="I4" s="121"/>
      <c r="J4" s="121"/>
      <c r="K4" s="121"/>
      <c r="L4" s="121"/>
      <c r="M4" s="121"/>
      <c r="N4" s="121"/>
      <c r="O4" s="121"/>
      <c r="P4" s="121"/>
      <c r="Q4" s="121"/>
      <c r="R4" s="121"/>
      <c r="S4" s="122"/>
      <c r="T4" s="120"/>
      <c r="U4" s="121"/>
      <c r="V4" s="121"/>
      <c r="W4" s="113"/>
      <c r="X4" s="113"/>
      <c r="Y4" s="113"/>
      <c r="Z4" s="113"/>
      <c r="AA4" s="113"/>
      <c r="AB4" s="113"/>
      <c r="AC4" s="113"/>
      <c r="AD4" s="113"/>
      <c r="AE4" s="113"/>
      <c r="AF4" s="113"/>
      <c r="AG4" s="113"/>
      <c r="AH4" s="113"/>
      <c r="AI4" s="113"/>
      <c r="AJ4" s="113"/>
      <c r="AK4" s="113"/>
      <c r="AL4" s="113"/>
    </row>
    <row r="5" spans="1:38" ht="51.75" customHeight="1" thickBot="1" x14ac:dyDescent="0.3">
      <c r="A5" s="150" t="s">
        <v>74</v>
      </c>
      <c r="B5" s="151"/>
      <c r="C5" s="11"/>
      <c r="D5" s="11"/>
      <c r="E5" s="11"/>
      <c r="F5" s="87"/>
      <c r="G5" s="87"/>
      <c r="H5" s="87"/>
      <c r="I5" s="87"/>
      <c r="J5" s="87"/>
      <c r="S5" s="148" t="s">
        <v>75</v>
      </c>
      <c r="T5" s="149"/>
    </row>
    <row r="6" spans="1:38" ht="30" customHeight="1" thickTop="1" thickBot="1" x14ac:dyDescent="0.3">
      <c r="A6" s="152" t="s">
        <v>76</v>
      </c>
      <c r="B6" s="139" t="s">
        <v>77</v>
      </c>
      <c r="C6" s="140" t="s">
        <v>78</v>
      </c>
      <c r="D6" s="142" t="s">
        <v>79</v>
      </c>
      <c r="E6" s="142" t="s">
        <v>80</v>
      </c>
      <c r="F6" s="136" t="s">
        <v>81</v>
      </c>
      <c r="G6" s="137"/>
      <c r="H6" s="138"/>
      <c r="I6" s="136" t="s">
        <v>82</v>
      </c>
      <c r="J6" s="137"/>
      <c r="K6" s="138"/>
      <c r="L6" s="140" t="s">
        <v>83</v>
      </c>
      <c r="M6" s="140" t="s">
        <v>84</v>
      </c>
      <c r="N6" s="140" t="s">
        <v>85</v>
      </c>
      <c r="O6" s="136" t="s">
        <v>86</v>
      </c>
      <c r="P6" s="137"/>
      <c r="Q6" s="138"/>
      <c r="R6" s="140" t="s">
        <v>87</v>
      </c>
      <c r="S6" s="146" t="s">
        <v>88</v>
      </c>
      <c r="T6" s="146" t="s">
        <v>89</v>
      </c>
      <c r="X6" s="28" t="s">
        <v>90</v>
      </c>
      <c r="Y6" s="28" t="s">
        <v>91</v>
      </c>
      <c r="AA6" s="29" t="s">
        <v>92</v>
      </c>
      <c r="AB6" s="30" t="s">
        <v>93</v>
      </c>
      <c r="AC6" s="30" t="s">
        <v>94</v>
      </c>
    </row>
    <row r="7" spans="1:38" ht="27.75" customHeight="1" thickTop="1" thickBot="1" x14ac:dyDescent="0.3">
      <c r="A7" s="153"/>
      <c r="B7" s="139"/>
      <c r="C7" s="141"/>
      <c r="D7" s="142"/>
      <c r="E7" s="142"/>
      <c r="F7" s="114" t="s">
        <v>95</v>
      </c>
      <c r="G7" s="114" t="s">
        <v>96</v>
      </c>
      <c r="H7" s="114" t="s">
        <v>97</v>
      </c>
      <c r="I7" s="114" t="s">
        <v>95</v>
      </c>
      <c r="J7" s="114" t="s">
        <v>96</v>
      </c>
      <c r="K7" s="114" t="s">
        <v>97</v>
      </c>
      <c r="L7" s="141"/>
      <c r="M7" s="141"/>
      <c r="N7" s="141"/>
      <c r="O7" s="115" t="s">
        <v>98</v>
      </c>
      <c r="P7" s="115" t="s">
        <v>99</v>
      </c>
      <c r="Q7" s="115" t="s">
        <v>100</v>
      </c>
      <c r="R7" s="141"/>
      <c r="S7" s="147"/>
      <c r="T7" s="147"/>
      <c r="U7" s="91"/>
      <c r="V7" s="91"/>
      <c r="X7" s="31"/>
      <c r="Y7" s="31"/>
      <c r="AA7" s="32">
        <f>+X7-Y7</f>
        <v>0</v>
      </c>
      <c r="AB7" s="32" t="str">
        <f>IF(AA7=0,"Cumple",IF(AA7&gt;0,"Falta",IF(AA7&lt;0,"Error",0)))</f>
        <v>Cumple</v>
      </c>
      <c r="AC7" s="56" t="e">
        <f>(F7-#REF!)</f>
        <v>#VALUE!</v>
      </c>
    </row>
    <row r="8" spans="1:38" ht="48" customHeight="1" thickTop="1" thickBot="1" x14ac:dyDescent="0.3">
      <c r="A8" s="116" t="s">
        <v>101</v>
      </c>
      <c r="B8" s="116" t="s">
        <v>102</v>
      </c>
      <c r="C8" s="97"/>
      <c r="D8" s="97"/>
      <c r="E8" s="97"/>
      <c r="F8" s="102"/>
      <c r="G8" s="102"/>
      <c r="H8" s="102"/>
      <c r="I8" s="102"/>
      <c r="J8" s="102"/>
      <c r="K8" s="104"/>
      <c r="L8" s="97"/>
      <c r="M8" s="97"/>
      <c r="N8" s="97"/>
      <c r="O8" s="97"/>
      <c r="P8" s="97"/>
      <c r="Q8" s="86"/>
      <c r="R8" s="97"/>
      <c r="S8" s="103"/>
      <c r="T8" s="103"/>
      <c r="U8" s="91"/>
      <c r="V8" s="91"/>
      <c r="X8" s="12"/>
      <c r="Y8" s="12"/>
      <c r="AA8" s="32">
        <f t="shared" ref="AA8:AA54" si="0">+X8-Y8</f>
        <v>0</v>
      </c>
      <c r="AB8" s="32" t="str">
        <f t="shared" ref="AB8:AB26" si="1">IF(AA8=0,"Cumple",IF(AA8&gt;0,"Falta",IF(AA8&lt;0,"Error",0)))</f>
        <v>Cumple</v>
      </c>
      <c r="AC8" s="56" t="e">
        <f>(F8-#REF!)</f>
        <v>#REF!</v>
      </c>
    </row>
    <row r="9" spans="1:38" ht="17.25" customHeight="1" thickTop="1" thickBot="1" x14ac:dyDescent="0.3">
      <c r="A9" s="106"/>
      <c r="B9" s="106"/>
      <c r="C9" s="97"/>
      <c r="D9" s="97"/>
      <c r="E9" s="97"/>
      <c r="F9" s="102"/>
      <c r="G9" s="102"/>
      <c r="H9" s="102"/>
      <c r="I9" s="102"/>
      <c r="J9" s="102"/>
      <c r="K9" s="104"/>
      <c r="L9" s="97"/>
      <c r="M9" s="97"/>
      <c r="N9" s="97"/>
      <c r="O9" s="97"/>
      <c r="P9" s="97"/>
      <c r="Q9" s="86"/>
      <c r="R9" s="97"/>
      <c r="S9" s="103"/>
      <c r="T9" s="103"/>
      <c r="U9" s="91"/>
      <c r="V9" s="91"/>
      <c r="X9" s="12"/>
      <c r="Y9" s="100"/>
      <c r="AA9" s="32">
        <f t="shared" si="0"/>
        <v>0</v>
      </c>
      <c r="AB9" s="32" t="str">
        <f t="shared" si="1"/>
        <v>Cumple</v>
      </c>
      <c r="AC9" s="56" t="e">
        <f>(F9-#REF!)</f>
        <v>#REF!</v>
      </c>
    </row>
    <row r="10" spans="1:38" ht="17.25" customHeight="1" thickTop="1" thickBot="1" x14ac:dyDescent="0.3">
      <c r="A10" s="106"/>
      <c r="B10" s="106"/>
      <c r="C10" s="97"/>
      <c r="D10" s="97"/>
      <c r="E10" s="97"/>
      <c r="F10" s="102"/>
      <c r="G10" s="102"/>
      <c r="H10" s="102"/>
      <c r="I10" s="102"/>
      <c r="J10" s="102"/>
      <c r="K10" s="104"/>
      <c r="L10" s="97"/>
      <c r="M10" s="97"/>
      <c r="N10" s="97"/>
      <c r="O10" s="97"/>
      <c r="P10" s="97"/>
      <c r="Q10" s="86"/>
      <c r="R10" s="97"/>
      <c r="S10" s="103"/>
      <c r="T10" s="103"/>
      <c r="U10" s="91"/>
      <c r="V10" s="91"/>
      <c r="X10" s="12"/>
      <c r="Y10" s="12"/>
      <c r="AA10" s="32">
        <f t="shared" si="0"/>
        <v>0</v>
      </c>
      <c r="AB10" s="32" t="str">
        <f t="shared" si="1"/>
        <v>Cumple</v>
      </c>
      <c r="AC10" s="56" t="e">
        <f>(F10-#REF!)</f>
        <v>#REF!</v>
      </c>
    </row>
    <row r="11" spans="1:38" ht="17.25" customHeight="1" thickTop="1" thickBot="1" x14ac:dyDescent="0.3">
      <c r="A11" s="106"/>
      <c r="B11" s="106"/>
      <c r="C11" s="97"/>
      <c r="D11" s="97"/>
      <c r="E11" s="97"/>
      <c r="F11" s="102"/>
      <c r="G11" s="102"/>
      <c r="H11" s="102"/>
      <c r="I11" s="102"/>
      <c r="J11" s="102"/>
      <c r="K11" s="104"/>
      <c r="L11" s="97"/>
      <c r="M11" s="97"/>
      <c r="N11" s="97"/>
      <c r="O11" s="97"/>
      <c r="P11" s="97"/>
      <c r="Q11" s="86"/>
      <c r="R11" s="97"/>
      <c r="S11" s="103"/>
      <c r="T11" s="103"/>
      <c r="U11" s="91"/>
      <c r="V11" s="91"/>
      <c r="X11" s="12"/>
      <c r="Y11" s="12"/>
      <c r="AA11" s="32">
        <f t="shared" si="0"/>
        <v>0</v>
      </c>
      <c r="AB11" s="32" t="str">
        <f t="shared" si="1"/>
        <v>Cumple</v>
      </c>
      <c r="AC11" s="56" t="e">
        <f>(F11-#REF!)</f>
        <v>#REF!</v>
      </c>
    </row>
    <row r="12" spans="1:38" ht="17.25" customHeight="1" thickTop="1" thickBot="1" x14ac:dyDescent="0.3">
      <c r="A12" s="106"/>
      <c r="B12" s="106"/>
      <c r="C12" s="97"/>
      <c r="D12" s="97"/>
      <c r="E12" s="97"/>
      <c r="F12" s="102"/>
      <c r="G12" s="102"/>
      <c r="H12" s="102"/>
      <c r="I12" s="102"/>
      <c r="J12" s="102"/>
      <c r="K12" s="104"/>
      <c r="L12" s="97"/>
      <c r="M12" s="97"/>
      <c r="N12" s="97"/>
      <c r="O12" s="97"/>
      <c r="P12" s="97"/>
      <c r="Q12" s="86"/>
      <c r="R12" s="97"/>
      <c r="S12" s="97"/>
      <c r="T12" s="97"/>
      <c r="U12" s="91"/>
      <c r="V12" s="91"/>
      <c r="X12" s="12"/>
      <c r="Y12" s="12"/>
      <c r="AA12" s="32">
        <f t="shared" si="0"/>
        <v>0</v>
      </c>
      <c r="AB12" s="32" t="str">
        <f t="shared" si="1"/>
        <v>Cumple</v>
      </c>
      <c r="AC12" s="56" t="e">
        <f>(F12-#REF!)</f>
        <v>#REF!</v>
      </c>
    </row>
    <row r="13" spans="1:38" ht="17.25" customHeight="1" thickTop="1" thickBot="1" x14ac:dyDescent="0.3">
      <c r="A13" s="106"/>
      <c r="B13" s="106"/>
      <c r="C13" s="97"/>
      <c r="D13" s="97"/>
      <c r="E13" s="97"/>
      <c r="F13" s="102"/>
      <c r="G13" s="102"/>
      <c r="H13" s="102"/>
      <c r="I13" s="102"/>
      <c r="J13" s="102"/>
      <c r="K13" s="104"/>
      <c r="L13" s="97"/>
      <c r="M13" s="97"/>
      <c r="N13" s="97"/>
      <c r="O13" s="97"/>
      <c r="P13" s="97"/>
      <c r="Q13" s="86"/>
      <c r="R13" s="97"/>
      <c r="S13" s="103"/>
      <c r="T13" s="103"/>
      <c r="U13" s="91"/>
      <c r="V13" s="91"/>
      <c r="X13" s="12"/>
      <c r="Y13" s="12"/>
      <c r="AA13" s="32">
        <f t="shared" si="0"/>
        <v>0</v>
      </c>
      <c r="AB13" s="32" t="str">
        <f t="shared" si="1"/>
        <v>Cumple</v>
      </c>
      <c r="AC13" s="56" t="e">
        <f>(F13-#REF!)</f>
        <v>#REF!</v>
      </c>
    </row>
    <row r="14" spans="1:38" ht="17.25" customHeight="1" thickTop="1" thickBot="1" x14ac:dyDescent="0.3">
      <c r="A14" s="106"/>
      <c r="B14" s="106"/>
      <c r="C14" s="97"/>
      <c r="D14" s="97"/>
      <c r="E14" s="97"/>
      <c r="F14" s="102"/>
      <c r="G14" s="102"/>
      <c r="H14" s="102"/>
      <c r="I14" s="102"/>
      <c r="J14" s="102"/>
      <c r="K14" s="104"/>
      <c r="L14" s="97"/>
      <c r="M14" s="97"/>
      <c r="N14" s="97"/>
      <c r="O14" s="97"/>
      <c r="P14" s="97"/>
      <c r="Q14" s="86"/>
      <c r="R14" s="97"/>
      <c r="S14" s="103"/>
      <c r="T14" s="103"/>
      <c r="U14" s="91"/>
      <c r="V14" s="91"/>
      <c r="X14" s="12"/>
      <c r="Y14" s="100"/>
      <c r="AA14" s="32">
        <f t="shared" si="0"/>
        <v>0</v>
      </c>
      <c r="AB14" s="32" t="str">
        <f t="shared" si="1"/>
        <v>Cumple</v>
      </c>
      <c r="AC14" s="56" t="e">
        <f>(F14-#REF!)</f>
        <v>#REF!</v>
      </c>
    </row>
    <row r="15" spans="1:38" ht="17.25" customHeight="1" thickTop="1" thickBot="1" x14ac:dyDescent="0.3">
      <c r="A15" s="106"/>
      <c r="B15" s="106"/>
      <c r="C15" s="97"/>
      <c r="D15" s="97"/>
      <c r="E15" s="97"/>
      <c r="F15" s="102"/>
      <c r="G15" s="102"/>
      <c r="H15" s="102"/>
      <c r="I15" s="102"/>
      <c r="J15" s="102"/>
      <c r="K15" s="104"/>
      <c r="L15" s="97"/>
      <c r="M15" s="97"/>
      <c r="N15" s="97"/>
      <c r="O15" s="97"/>
      <c r="P15" s="97"/>
      <c r="Q15" s="86"/>
      <c r="R15" s="97"/>
      <c r="S15" s="103"/>
      <c r="T15" s="103"/>
      <c r="U15" s="91"/>
      <c r="V15" s="91"/>
      <c r="X15" s="12"/>
      <c r="Y15" s="12"/>
      <c r="AA15" s="32">
        <f t="shared" si="0"/>
        <v>0</v>
      </c>
      <c r="AB15" s="32" t="str">
        <f t="shared" si="1"/>
        <v>Cumple</v>
      </c>
      <c r="AC15" s="56" t="e">
        <f>(F15-#REF!)</f>
        <v>#REF!</v>
      </c>
    </row>
    <row r="16" spans="1:38" ht="17.25" customHeight="1" thickTop="1" thickBot="1" x14ac:dyDescent="0.3">
      <c r="A16" s="106"/>
      <c r="B16" s="106"/>
      <c r="C16" s="97"/>
      <c r="D16" s="97"/>
      <c r="E16" s="97"/>
      <c r="F16" s="102"/>
      <c r="G16" s="102"/>
      <c r="H16" s="102"/>
      <c r="I16" s="102"/>
      <c r="J16" s="102"/>
      <c r="K16" s="104"/>
      <c r="L16" s="97"/>
      <c r="M16" s="97"/>
      <c r="N16" s="97"/>
      <c r="O16" s="97"/>
      <c r="P16" s="97"/>
      <c r="Q16" s="86"/>
      <c r="R16" s="97"/>
      <c r="S16" s="103"/>
      <c r="T16" s="103"/>
      <c r="U16" s="91"/>
      <c r="V16" s="91"/>
      <c r="X16" s="12"/>
      <c r="Y16" s="12"/>
      <c r="AA16" s="32">
        <f t="shared" si="0"/>
        <v>0</v>
      </c>
      <c r="AB16" s="32" t="str">
        <f t="shared" si="1"/>
        <v>Cumple</v>
      </c>
      <c r="AC16" s="56" t="e">
        <f>(F16-#REF!)</f>
        <v>#REF!</v>
      </c>
    </row>
    <row r="17" spans="1:29" ht="17.25" customHeight="1" thickTop="1" thickBot="1" x14ac:dyDescent="0.3">
      <c r="A17" s="106"/>
      <c r="B17" s="106"/>
      <c r="C17" s="97"/>
      <c r="D17" s="97"/>
      <c r="E17" s="97"/>
      <c r="F17" s="102"/>
      <c r="G17" s="102"/>
      <c r="H17" s="102"/>
      <c r="I17" s="102"/>
      <c r="J17" s="102"/>
      <c r="K17" s="104"/>
      <c r="L17" s="97"/>
      <c r="M17" s="97"/>
      <c r="N17" s="97"/>
      <c r="O17" s="97"/>
      <c r="P17" s="97"/>
      <c r="Q17" s="86"/>
      <c r="R17" s="97"/>
      <c r="S17" s="103"/>
      <c r="T17" s="103"/>
      <c r="U17" s="91"/>
      <c r="V17" s="91"/>
      <c r="X17" s="12"/>
      <c r="Y17" s="100"/>
      <c r="AA17" s="32">
        <f t="shared" si="0"/>
        <v>0</v>
      </c>
      <c r="AB17" s="32" t="str">
        <f t="shared" si="1"/>
        <v>Cumple</v>
      </c>
      <c r="AC17" s="56" t="e">
        <f>(F17-#REF!)</f>
        <v>#REF!</v>
      </c>
    </row>
    <row r="18" spans="1:29" ht="17.25" customHeight="1" thickTop="1" thickBot="1" x14ac:dyDescent="0.3">
      <c r="A18" s="106"/>
      <c r="B18" s="106"/>
      <c r="C18" s="97"/>
      <c r="D18" s="97"/>
      <c r="E18" s="97"/>
      <c r="F18" s="102"/>
      <c r="G18" s="102"/>
      <c r="H18" s="102"/>
      <c r="I18" s="102"/>
      <c r="J18" s="102"/>
      <c r="K18" s="104"/>
      <c r="L18" s="97"/>
      <c r="M18" s="97"/>
      <c r="N18" s="97"/>
      <c r="O18" s="97"/>
      <c r="P18" s="97"/>
      <c r="Q18" s="86"/>
      <c r="R18" s="97"/>
      <c r="S18" s="103"/>
      <c r="T18" s="103"/>
      <c r="U18" s="91"/>
      <c r="V18" s="91"/>
      <c r="X18" s="12"/>
      <c r="Y18" s="100"/>
      <c r="AA18" s="32">
        <f t="shared" si="0"/>
        <v>0</v>
      </c>
      <c r="AB18" s="32" t="str">
        <f t="shared" si="1"/>
        <v>Cumple</v>
      </c>
      <c r="AC18" s="56" t="e">
        <f>(F18-#REF!)</f>
        <v>#REF!</v>
      </c>
    </row>
    <row r="19" spans="1:29" ht="17.25" customHeight="1" thickTop="1" thickBot="1" x14ac:dyDescent="0.3">
      <c r="A19" s="106"/>
      <c r="B19" s="106"/>
      <c r="C19" s="97"/>
      <c r="D19" s="97"/>
      <c r="E19" s="97"/>
      <c r="F19" s="102"/>
      <c r="G19" s="102"/>
      <c r="H19" s="102"/>
      <c r="I19" s="102"/>
      <c r="J19" s="102"/>
      <c r="K19" s="104"/>
      <c r="L19" s="97"/>
      <c r="M19" s="97"/>
      <c r="N19" s="105"/>
      <c r="O19" s="105"/>
      <c r="P19" s="105"/>
      <c r="Q19" s="86"/>
      <c r="R19" s="97"/>
      <c r="S19" s="103"/>
      <c r="T19" s="103"/>
      <c r="U19" s="91"/>
      <c r="V19" s="91"/>
      <c r="X19" s="12"/>
      <c r="Y19" s="12"/>
      <c r="AA19" s="32">
        <f t="shared" si="0"/>
        <v>0</v>
      </c>
      <c r="AB19" s="32" t="str">
        <f t="shared" si="1"/>
        <v>Cumple</v>
      </c>
      <c r="AC19" s="56" t="e">
        <f>(F19-#REF!)</f>
        <v>#REF!</v>
      </c>
    </row>
    <row r="20" spans="1:29" ht="17.25" customHeight="1" thickTop="1" thickBot="1" x14ac:dyDescent="0.3">
      <c r="A20" s="106"/>
      <c r="B20" s="106"/>
      <c r="C20" s="97"/>
      <c r="D20" s="97"/>
      <c r="E20" s="97"/>
      <c r="F20" s="102"/>
      <c r="G20" s="102"/>
      <c r="H20" s="102"/>
      <c r="I20" s="102"/>
      <c r="J20" s="102"/>
      <c r="K20" s="104"/>
      <c r="L20" s="97"/>
      <c r="M20" s="97"/>
      <c r="N20" s="105"/>
      <c r="O20" s="105"/>
      <c r="P20" s="105"/>
      <c r="Q20" s="86"/>
      <c r="R20" s="97"/>
      <c r="S20" s="103"/>
      <c r="T20" s="103"/>
      <c r="U20" s="91"/>
      <c r="V20" s="91"/>
      <c r="X20" s="12"/>
      <c r="Y20" s="12"/>
      <c r="AA20" s="32">
        <f t="shared" si="0"/>
        <v>0</v>
      </c>
      <c r="AB20" s="32" t="str">
        <f t="shared" si="1"/>
        <v>Cumple</v>
      </c>
      <c r="AC20" s="56" t="e">
        <f>(F20-#REF!)</f>
        <v>#REF!</v>
      </c>
    </row>
    <row r="21" spans="1:29" ht="17.25" customHeight="1" thickTop="1" thickBot="1" x14ac:dyDescent="0.3">
      <c r="A21" s="106"/>
      <c r="B21" s="106"/>
      <c r="C21" s="97"/>
      <c r="D21" s="97"/>
      <c r="E21" s="97"/>
      <c r="F21" s="102"/>
      <c r="G21" s="102"/>
      <c r="H21" s="102"/>
      <c r="I21" s="102"/>
      <c r="J21" s="102"/>
      <c r="K21" s="104"/>
      <c r="L21" s="97"/>
      <c r="M21" s="97"/>
      <c r="N21" s="105"/>
      <c r="O21" s="105"/>
      <c r="P21" s="105"/>
      <c r="Q21" s="86"/>
      <c r="R21" s="97"/>
      <c r="S21" s="103"/>
      <c r="T21" s="103"/>
      <c r="U21" s="91"/>
      <c r="V21" s="91"/>
      <c r="X21" s="12"/>
      <c r="Y21" s="12"/>
      <c r="AA21" s="32">
        <f t="shared" si="0"/>
        <v>0</v>
      </c>
      <c r="AB21" s="32" t="str">
        <f t="shared" si="1"/>
        <v>Cumple</v>
      </c>
      <c r="AC21" s="56" t="e">
        <f>(F21-#REF!)</f>
        <v>#REF!</v>
      </c>
    </row>
    <row r="22" spans="1:29" ht="17.25" customHeight="1" thickTop="1" thickBot="1" x14ac:dyDescent="0.3">
      <c r="A22" s="106"/>
      <c r="B22" s="106"/>
      <c r="C22" s="97"/>
      <c r="D22" s="97"/>
      <c r="E22" s="97"/>
      <c r="F22" s="102"/>
      <c r="G22" s="102"/>
      <c r="H22" s="102"/>
      <c r="I22" s="102"/>
      <c r="J22" s="102"/>
      <c r="K22" s="104"/>
      <c r="L22" s="97"/>
      <c r="M22" s="97"/>
      <c r="N22" s="105"/>
      <c r="O22" s="105"/>
      <c r="P22" s="105"/>
      <c r="Q22" s="86"/>
      <c r="R22" s="97"/>
      <c r="S22" s="103"/>
      <c r="T22" s="103"/>
      <c r="U22" s="91"/>
      <c r="V22" s="91"/>
      <c r="X22" s="12"/>
      <c r="Y22" s="12"/>
      <c r="AA22" s="32">
        <f t="shared" si="0"/>
        <v>0</v>
      </c>
      <c r="AB22" s="32" t="str">
        <f t="shared" si="1"/>
        <v>Cumple</v>
      </c>
      <c r="AC22" s="56" t="e">
        <f>(F22-#REF!)</f>
        <v>#REF!</v>
      </c>
    </row>
    <row r="23" spans="1:29" ht="17.25" customHeight="1" thickTop="1" thickBot="1" x14ac:dyDescent="0.3">
      <c r="A23" s="106"/>
      <c r="B23" s="106"/>
      <c r="C23" s="97"/>
      <c r="D23" s="97"/>
      <c r="E23" s="97"/>
      <c r="F23" s="102"/>
      <c r="G23" s="102"/>
      <c r="H23" s="102"/>
      <c r="I23" s="102"/>
      <c r="J23" s="102"/>
      <c r="K23" s="104"/>
      <c r="L23" s="97"/>
      <c r="M23" s="97"/>
      <c r="N23" s="105"/>
      <c r="O23" s="105"/>
      <c r="P23" s="105"/>
      <c r="Q23" s="86"/>
      <c r="R23" s="97"/>
      <c r="S23" s="103"/>
      <c r="T23" s="103"/>
      <c r="U23" s="91"/>
      <c r="V23" s="91"/>
      <c r="X23" s="12"/>
      <c r="Y23" s="12"/>
      <c r="AA23" s="32">
        <f t="shared" si="0"/>
        <v>0</v>
      </c>
      <c r="AB23" s="32" t="str">
        <f t="shared" si="1"/>
        <v>Cumple</v>
      </c>
      <c r="AC23" s="56" t="e">
        <f>(F23-#REF!)</f>
        <v>#REF!</v>
      </c>
    </row>
    <row r="24" spans="1:29" ht="17.25" customHeight="1" thickTop="1" thickBot="1" x14ac:dyDescent="0.3">
      <c r="A24" s="106"/>
      <c r="B24" s="99"/>
      <c r="C24" s="98"/>
      <c r="D24" s="98"/>
      <c r="E24" s="97"/>
      <c r="F24" s="102"/>
      <c r="G24" s="102"/>
      <c r="H24" s="102"/>
      <c r="I24" s="102"/>
      <c r="J24" s="102"/>
      <c r="K24" s="104"/>
      <c r="L24" s="97"/>
      <c r="M24" s="97"/>
      <c r="N24" s="98"/>
      <c r="O24" s="98"/>
      <c r="P24" s="98"/>
      <c r="Q24" s="86"/>
      <c r="R24" s="97"/>
      <c r="S24" s="103"/>
      <c r="T24" s="103"/>
      <c r="U24" s="91"/>
      <c r="V24" s="91"/>
      <c r="X24" s="86"/>
      <c r="Y24" s="101"/>
      <c r="AA24" s="32">
        <f t="shared" si="0"/>
        <v>0</v>
      </c>
      <c r="AB24" s="32" t="str">
        <f t="shared" si="1"/>
        <v>Cumple</v>
      </c>
      <c r="AC24" s="56" t="e">
        <f>(F24-#REF!)</f>
        <v>#REF!</v>
      </c>
    </row>
    <row r="25" spans="1:29" ht="17.25" customHeight="1" thickTop="1" thickBot="1" x14ac:dyDescent="0.3">
      <c r="A25" s="106"/>
      <c r="B25" s="99"/>
      <c r="C25" s="98"/>
      <c r="D25" s="98"/>
      <c r="E25" s="97"/>
      <c r="F25" s="102"/>
      <c r="G25" s="102"/>
      <c r="H25" s="102"/>
      <c r="I25" s="102"/>
      <c r="J25" s="102"/>
      <c r="K25" s="104"/>
      <c r="L25" s="97"/>
      <c r="M25" s="97"/>
      <c r="N25" s="98"/>
      <c r="O25" s="98"/>
      <c r="P25" s="98"/>
      <c r="Q25" s="86"/>
      <c r="R25" s="97"/>
      <c r="S25" s="103"/>
      <c r="T25" s="103"/>
      <c r="U25" s="91"/>
      <c r="V25" s="91"/>
      <c r="X25" s="86"/>
      <c r="Y25" s="86"/>
      <c r="AA25" s="32">
        <f t="shared" si="0"/>
        <v>0</v>
      </c>
      <c r="AB25" s="32" t="str">
        <f t="shared" si="1"/>
        <v>Cumple</v>
      </c>
      <c r="AC25" s="56" t="e">
        <f>(F25-#REF!)</f>
        <v>#REF!</v>
      </c>
    </row>
    <row r="26" spans="1:29" ht="17.25" customHeight="1" thickTop="1" thickBot="1" x14ac:dyDescent="0.3">
      <c r="A26" s="106"/>
      <c r="B26" s="99"/>
      <c r="C26" s="98"/>
      <c r="D26" s="98"/>
      <c r="E26" s="97"/>
      <c r="F26" s="102"/>
      <c r="G26" s="102"/>
      <c r="H26" s="102"/>
      <c r="I26" s="102"/>
      <c r="J26" s="102"/>
      <c r="K26" s="104"/>
      <c r="L26" s="97"/>
      <c r="M26" s="97"/>
      <c r="N26" s="98"/>
      <c r="O26" s="98"/>
      <c r="P26" s="98"/>
      <c r="Q26" s="86"/>
      <c r="R26" s="97"/>
      <c r="S26" s="103"/>
      <c r="T26" s="103"/>
      <c r="U26" s="91"/>
      <c r="V26" s="91"/>
      <c r="X26" s="86"/>
      <c r="Y26" s="86"/>
      <c r="AA26" s="32">
        <f t="shared" si="0"/>
        <v>0</v>
      </c>
      <c r="AB26" s="32" t="str">
        <f t="shared" si="1"/>
        <v>Cumple</v>
      </c>
      <c r="AC26" s="56" t="e">
        <f>(F26-#REF!)</f>
        <v>#REF!</v>
      </c>
    </row>
    <row r="27" spans="1:29" ht="17.25" customHeight="1" thickTop="1" thickBot="1" x14ac:dyDescent="0.3">
      <c r="A27" s="106"/>
      <c r="B27" s="99"/>
      <c r="C27" s="98"/>
      <c r="D27" s="98"/>
      <c r="E27" s="97"/>
      <c r="F27" s="102"/>
      <c r="G27" s="102"/>
      <c r="H27" s="102"/>
      <c r="I27" s="102"/>
      <c r="J27" s="102"/>
      <c r="K27" s="104"/>
      <c r="L27" s="97"/>
      <c r="M27" s="97"/>
      <c r="N27" s="98"/>
      <c r="O27" s="98"/>
      <c r="P27" s="98"/>
      <c r="Q27" s="86"/>
      <c r="R27" s="97"/>
      <c r="S27" s="103"/>
      <c r="T27" s="103"/>
      <c r="U27" s="91"/>
      <c r="V27" s="91"/>
      <c r="X27" s="86"/>
      <c r="Y27" s="101"/>
      <c r="AA27" s="32">
        <f t="shared" si="0"/>
        <v>0</v>
      </c>
      <c r="AB27" s="32" t="str">
        <f t="shared" ref="AB27:AB54" si="2">IF(AA27=0,"Cumple",IF(AA27&gt;0,"Falta",IF(AA27&lt;0,"Error",0)))</f>
        <v>Cumple</v>
      </c>
      <c r="AC27" s="56" t="e">
        <f>(F27-#REF!)</f>
        <v>#REF!</v>
      </c>
    </row>
    <row r="28" spans="1:29" ht="17.25" customHeight="1" thickTop="1" thickBot="1" x14ac:dyDescent="0.3">
      <c r="A28" s="106"/>
      <c r="B28" s="99"/>
      <c r="C28" s="98"/>
      <c r="D28" s="98"/>
      <c r="E28" s="97"/>
      <c r="F28" s="102"/>
      <c r="G28" s="102"/>
      <c r="H28" s="102"/>
      <c r="I28" s="102"/>
      <c r="J28" s="102"/>
      <c r="K28" s="104"/>
      <c r="L28" s="97"/>
      <c r="M28" s="97"/>
      <c r="N28" s="97"/>
      <c r="O28" s="97"/>
      <c r="P28" s="97"/>
      <c r="Q28" s="86"/>
      <c r="R28" s="97"/>
      <c r="S28" s="103"/>
      <c r="T28" s="103"/>
      <c r="U28" s="91"/>
      <c r="V28" s="91"/>
      <c r="X28" s="86"/>
      <c r="Y28" s="101"/>
      <c r="AA28" s="32">
        <f t="shared" si="0"/>
        <v>0</v>
      </c>
      <c r="AB28" s="32" t="str">
        <f t="shared" si="2"/>
        <v>Cumple</v>
      </c>
      <c r="AC28" s="56" t="e">
        <f>(F28-#REF!)</f>
        <v>#REF!</v>
      </c>
    </row>
    <row r="29" spans="1:29" ht="17.25" customHeight="1" thickTop="1" thickBot="1" x14ac:dyDescent="0.3">
      <c r="A29" s="106"/>
      <c r="B29" s="99"/>
      <c r="C29" s="98"/>
      <c r="D29" s="98"/>
      <c r="E29" s="97"/>
      <c r="F29" s="102"/>
      <c r="G29" s="102"/>
      <c r="H29" s="102"/>
      <c r="I29" s="102"/>
      <c r="J29" s="102"/>
      <c r="K29" s="104"/>
      <c r="L29" s="97"/>
      <c r="M29" s="97"/>
      <c r="N29" s="97"/>
      <c r="O29" s="97"/>
      <c r="P29" s="97"/>
      <c r="Q29" s="86"/>
      <c r="R29" s="97"/>
      <c r="S29" s="103"/>
      <c r="T29" s="103"/>
      <c r="U29" s="91"/>
      <c r="V29" s="91"/>
      <c r="X29" s="86"/>
      <c r="Y29" s="86"/>
      <c r="AA29" s="32">
        <f t="shared" si="0"/>
        <v>0</v>
      </c>
      <c r="AB29" s="32" t="str">
        <f t="shared" si="2"/>
        <v>Cumple</v>
      </c>
      <c r="AC29" s="56" t="e">
        <f>(F29-#REF!)</f>
        <v>#REF!</v>
      </c>
    </row>
    <row r="30" spans="1:29" ht="17.25" customHeight="1" thickTop="1" thickBot="1" x14ac:dyDescent="0.3">
      <c r="A30" s="106"/>
      <c r="B30" s="99"/>
      <c r="C30" s="98"/>
      <c r="D30" s="98"/>
      <c r="E30" s="97"/>
      <c r="F30" s="102"/>
      <c r="G30" s="102"/>
      <c r="H30" s="102"/>
      <c r="I30" s="102"/>
      <c r="J30" s="102"/>
      <c r="K30" s="104"/>
      <c r="L30" s="97"/>
      <c r="M30" s="97"/>
      <c r="N30" s="97"/>
      <c r="O30" s="97"/>
      <c r="P30" s="97"/>
      <c r="Q30" s="86"/>
      <c r="R30" s="97"/>
      <c r="S30" s="103"/>
      <c r="T30" s="103"/>
      <c r="U30" s="91"/>
      <c r="V30" s="91"/>
      <c r="X30" s="86"/>
      <c r="Y30" s="86"/>
      <c r="AA30" s="32">
        <f t="shared" si="0"/>
        <v>0</v>
      </c>
      <c r="AB30" s="32" t="str">
        <f t="shared" si="2"/>
        <v>Cumple</v>
      </c>
      <c r="AC30" s="56" t="e">
        <f>(F30-#REF!)</f>
        <v>#REF!</v>
      </c>
    </row>
    <row r="31" spans="1:29" ht="17.25" customHeight="1" thickTop="1" thickBot="1" x14ac:dyDescent="0.3">
      <c r="A31" s="106"/>
      <c r="B31" s="99"/>
      <c r="C31" s="98"/>
      <c r="D31" s="98"/>
      <c r="E31" s="97"/>
      <c r="F31" s="102"/>
      <c r="G31" s="102"/>
      <c r="H31" s="102"/>
      <c r="I31" s="102"/>
      <c r="J31" s="102"/>
      <c r="K31" s="104"/>
      <c r="L31" s="97"/>
      <c r="M31" s="97"/>
      <c r="N31" s="97"/>
      <c r="O31" s="97"/>
      <c r="P31" s="97"/>
      <c r="Q31" s="86"/>
      <c r="R31" s="97"/>
      <c r="S31" s="103"/>
      <c r="T31" s="103"/>
      <c r="U31" s="91"/>
      <c r="V31" s="91"/>
      <c r="X31" s="86"/>
      <c r="Y31" s="86"/>
      <c r="AA31" s="32">
        <f t="shared" si="0"/>
        <v>0</v>
      </c>
      <c r="AB31" s="32" t="str">
        <f t="shared" si="2"/>
        <v>Cumple</v>
      </c>
      <c r="AC31" s="56" t="e">
        <f>(F31-#REF!)</f>
        <v>#REF!</v>
      </c>
    </row>
    <row r="32" spans="1:29" ht="17.25" customHeight="1" thickTop="1" thickBot="1" x14ac:dyDescent="0.3">
      <c r="A32" s="106"/>
      <c r="B32" s="99"/>
      <c r="C32" s="98"/>
      <c r="D32" s="98"/>
      <c r="E32" s="97"/>
      <c r="F32" s="102"/>
      <c r="G32" s="102"/>
      <c r="H32" s="102"/>
      <c r="I32" s="102"/>
      <c r="J32" s="102"/>
      <c r="K32" s="104"/>
      <c r="L32" s="97"/>
      <c r="M32" s="97"/>
      <c r="N32" s="97"/>
      <c r="O32" s="97"/>
      <c r="P32" s="97"/>
      <c r="Q32" s="86"/>
      <c r="R32" s="97"/>
      <c r="S32" s="103"/>
      <c r="T32" s="103"/>
      <c r="U32" s="91"/>
      <c r="V32" s="91"/>
      <c r="X32" s="86"/>
      <c r="Y32" s="86"/>
      <c r="AA32" s="32">
        <f t="shared" si="0"/>
        <v>0</v>
      </c>
      <c r="AB32" s="32" t="str">
        <f t="shared" si="2"/>
        <v>Cumple</v>
      </c>
      <c r="AC32" s="56" t="e">
        <f>(F32-#REF!)</f>
        <v>#REF!</v>
      </c>
    </row>
    <row r="33" spans="1:29" ht="17.25" customHeight="1" thickTop="1" thickBot="1" x14ac:dyDescent="0.3">
      <c r="A33" s="106"/>
      <c r="B33" s="99"/>
      <c r="C33" s="98"/>
      <c r="D33" s="98"/>
      <c r="E33" s="97"/>
      <c r="F33" s="102"/>
      <c r="G33" s="102"/>
      <c r="H33" s="102"/>
      <c r="I33" s="102"/>
      <c r="J33" s="102"/>
      <c r="K33" s="104"/>
      <c r="L33" s="97"/>
      <c r="M33" s="97"/>
      <c r="N33" s="97"/>
      <c r="O33" s="97"/>
      <c r="P33" s="97"/>
      <c r="Q33" s="86"/>
      <c r="R33" s="97"/>
      <c r="S33" s="103"/>
      <c r="T33" s="103"/>
      <c r="U33" s="91"/>
      <c r="V33" s="91"/>
      <c r="X33" s="86"/>
      <c r="Y33" s="86"/>
      <c r="AA33" s="32">
        <f t="shared" si="0"/>
        <v>0</v>
      </c>
      <c r="AB33" s="32" t="str">
        <f t="shared" si="2"/>
        <v>Cumple</v>
      </c>
      <c r="AC33" s="56" t="e">
        <f>(F33-#REF!)</f>
        <v>#REF!</v>
      </c>
    </row>
    <row r="34" spans="1:29" ht="17.25" customHeight="1" thickTop="1" thickBot="1" x14ac:dyDescent="0.3">
      <c r="A34" s="106"/>
      <c r="B34" s="99"/>
      <c r="C34" s="98"/>
      <c r="D34" s="98"/>
      <c r="E34" s="97"/>
      <c r="F34" s="102"/>
      <c r="G34" s="102"/>
      <c r="H34" s="102"/>
      <c r="I34" s="102"/>
      <c r="J34" s="102"/>
      <c r="K34" s="104"/>
      <c r="L34" s="97"/>
      <c r="M34" s="97"/>
      <c r="N34" s="97"/>
      <c r="O34" s="97"/>
      <c r="P34" s="97"/>
      <c r="Q34" s="86"/>
      <c r="R34" s="97"/>
      <c r="S34" s="103"/>
      <c r="T34" s="103"/>
      <c r="U34" s="91"/>
      <c r="V34" s="91"/>
      <c r="X34" s="86"/>
      <c r="Y34" s="86"/>
      <c r="AA34" s="32">
        <f t="shared" si="0"/>
        <v>0</v>
      </c>
      <c r="AB34" s="32" t="str">
        <f t="shared" si="2"/>
        <v>Cumple</v>
      </c>
      <c r="AC34" s="56" t="e">
        <f>(F34-#REF!)</f>
        <v>#REF!</v>
      </c>
    </row>
    <row r="35" spans="1:29" ht="17.25" customHeight="1" thickTop="1" thickBot="1" x14ac:dyDescent="0.3">
      <c r="A35" s="107"/>
      <c r="B35" s="99"/>
      <c r="C35" s="98"/>
      <c r="D35" s="98"/>
      <c r="E35" s="97"/>
      <c r="F35" s="102"/>
      <c r="G35" s="102"/>
      <c r="H35" s="102"/>
      <c r="I35" s="102"/>
      <c r="J35" s="102"/>
      <c r="K35" s="104"/>
      <c r="L35" s="97"/>
      <c r="M35" s="97"/>
      <c r="N35" s="97"/>
      <c r="O35" s="97"/>
      <c r="P35" s="97"/>
      <c r="Q35" s="86"/>
      <c r="R35" s="97"/>
      <c r="S35" s="103"/>
      <c r="T35" s="103"/>
      <c r="U35" s="91"/>
      <c r="V35" s="91"/>
      <c r="X35" s="86"/>
      <c r="Y35" s="86"/>
      <c r="AA35" s="32">
        <f t="shared" si="0"/>
        <v>0</v>
      </c>
      <c r="AB35" s="32" t="str">
        <f t="shared" si="2"/>
        <v>Cumple</v>
      </c>
      <c r="AC35" s="56" t="e">
        <f>(F35-#REF!)</f>
        <v>#REF!</v>
      </c>
    </row>
    <row r="36" spans="1:29" ht="17.25" customHeight="1" thickTop="1" thickBot="1" x14ac:dyDescent="0.3">
      <c r="A36" s="107"/>
      <c r="B36" s="99"/>
      <c r="C36" s="98"/>
      <c r="D36" s="98"/>
      <c r="E36" s="97"/>
      <c r="F36" s="102"/>
      <c r="G36" s="102"/>
      <c r="H36" s="102"/>
      <c r="I36" s="102"/>
      <c r="J36" s="102"/>
      <c r="K36" s="104"/>
      <c r="L36" s="97"/>
      <c r="M36" s="97"/>
      <c r="N36" s="97"/>
      <c r="O36" s="97"/>
      <c r="P36" s="97"/>
      <c r="Q36" s="86"/>
      <c r="R36" s="97"/>
      <c r="S36" s="103"/>
      <c r="T36" s="103"/>
      <c r="U36" s="91"/>
      <c r="V36" s="91"/>
      <c r="X36" s="86"/>
      <c r="Y36" s="86"/>
      <c r="AA36" s="32">
        <f t="shared" si="0"/>
        <v>0</v>
      </c>
      <c r="AB36" s="32" t="str">
        <f t="shared" si="2"/>
        <v>Cumple</v>
      </c>
      <c r="AC36" s="56" t="e">
        <f>(F36-#REF!)</f>
        <v>#REF!</v>
      </c>
    </row>
    <row r="37" spans="1:29" ht="17.25" customHeight="1" thickTop="1" thickBot="1" x14ac:dyDescent="0.3">
      <c r="A37" s="107"/>
      <c r="B37" s="99"/>
      <c r="C37" s="98"/>
      <c r="D37" s="98"/>
      <c r="E37" s="97"/>
      <c r="F37" s="102"/>
      <c r="G37" s="102"/>
      <c r="H37" s="102"/>
      <c r="I37" s="102"/>
      <c r="J37" s="102"/>
      <c r="K37" s="104"/>
      <c r="L37" s="97"/>
      <c r="M37" s="97"/>
      <c r="N37" s="97"/>
      <c r="O37" s="97"/>
      <c r="P37" s="97"/>
      <c r="Q37" s="86"/>
      <c r="R37" s="97"/>
      <c r="S37" s="103"/>
      <c r="T37" s="103"/>
      <c r="U37" s="91"/>
      <c r="V37" s="91"/>
      <c r="X37" s="86"/>
      <c r="Y37" s="101"/>
      <c r="AA37" s="32">
        <f t="shared" si="0"/>
        <v>0</v>
      </c>
      <c r="AB37" s="32" t="str">
        <f t="shared" si="2"/>
        <v>Cumple</v>
      </c>
      <c r="AC37" s="56" t="e">
        <f>(F37-#REF!)</f>
        <v>#REF!</v>
      </c>
    </row>
    <row r="38" spans="1:29" ht="17.25" customHeight="1" thickTop="1" thickBot="1" x14ac:dyDescent="0.3">
      <c r="A38" s="107"/>
      <c r="B38" s="99"/>
      <c r="C38" s="98"/>
      <c r="D38" s="98"/>
      <c r="E38" s="97"/>
      <c r="F38" s="102"/>
      <c r="G38" s="102"/>
      <c r="H38" s="102"/>
      <c r="I38" s="102"/>
      <c r="J38" s="102"/>
      <c r="K38" s="104"/>
      <c r="L38" s="97"/>
      <c r="M38" s="97"/>
      <c r="N38" s="98"/>
      <c r="O38" s="98"/>
      <c r="P38" s="98"/>
      <c r="Q38" s="86"/>
      <c r="R38" s="97"/>
      <c r="S38" s="103"/>
      <c r="T38" s="103"/>
      <c r="U38" s="91"/>
      <c r="V38" s="91"/>
      <c r="X38" s="86"/>
      <c r="Y38" s="101"/>
      <c r="AA38" s="32">
        <f t="shared" si="0"/>
        <v>0</v>
      </c>
      <c r="AB38" s="32" t="str">
        <f t="shared" si="2"/>
        <v>Cumple</v>
      </c>
      <c r="AC38" s="56" t="e">
        <f>(F38-#REF!)</f>
        <v>#REF!</v>
      </c>
    </row>
    <row r="39" spans="1:29" ht="17.25" customHeight="1" thickTop="1" thickBot="1" x14ac:dyDescent="0.3">
      <c r="A39" s="107"/>
      <c r="B39" s="99"/>
      <c r="C39" s="98"/>
      <c r="D39" s="98"/>
      <c r="E39" s="97"/>
      <c r="F39" s="102"/>
      <c r="G39" s="102"/>
      <c r="H39" s="102"/>
      <c r="I39" s="102"/>
      <c r="J39" s="102"/>
      <c r="K39" s="104"/>
      <c r="L39" s="97"/>
      <c r="M39" s="97"/>
      <c r="N39" s="98"/>
      <c r="O39" s="98"/>
      <c r="P39" s="98"/>
      <c r="Q39" s="86"/>
      <c r="R39" s="97"/>
      <c r="S39" s="103"/>
      <c r="T39" s="103"/>
      <c r="U39" s="91"/>
      <c r="V39" s="91"/>
      <c r="X39" s="86"/>
      <c r="Y39" s="101"/>
      <c r="AA39" s="32">
        <f t="shared" si="0"/>
        <v>0</v>
      </c>
      <c r="AB39" s="32" t="str">
        <f t="shared" si="2"/>
        <v>Cumple</v>
      </c>
      <c r="AC39" s="56" t="e">
        <f>(F39-#REF!)</f>
        <v>#REF!</v>
      </c>
    </row>
    <row r="40" spans="1:29" ht="17.25" customHeight="1" thickTop="1" thickBot="1" x14ac:dyDescent="0.3">
      <c r="A40" s="107"/>
      <c r="B40" s="99"/>
      <c r="C40" s="98"/>
      <c r="D40" s="98"/>
      <c r="E40" s="97"/>
      <c r="F40" s="102"/>
      <c r="G40" s="102"/>
      <c r="H40" s="102"/>
      <c r="I40" s="102"/>
      <c r="J40" s="102"/>
      <c r="K40" s="104"/>
      <c r="L40" s="97"/>
      <c r="M40" s="97"/>
      <c r="N40" s="98"/>
      <c r="O40" s="98"/>
      <c r="P40" s="98"/>
      <c r="Q40" s="86"/>
      <c r="R40" s="97"/>
      <c r="S40" s="103"/>
      <c r="T40" s="103"/>
      <c r="U40" s="91"/>
      <c r="V40" s="91"/>
      <c r="X40" s="86"/>
      <c r="Y40" s="101"/>
      <c r="AA40" s="32">
        <f t="shared" si="0"/>
        <v>0</v>
      </c>
      <c r="AB40" s="32" t="str">
        <f t="shared" si="2"/>
        <v>Cumple</v>
      </c>
      <c r="AC40" s="56" t="e">
        <f>(F40-#REF!)</f>
        <v>#REF!</v>
      </c>
    </row>
    <row r="41" spans="1:29" ht="17.25" customHeight="1" thickTop="1" thickBot="1" x14ac:dyDescent="0.3">
      <c r="A41" s="107"/>
      <c r="B41" s="99"/>
      <c r="C41" s="98"/>
      <c r="D41" s="98"/>
      <c r="E41" s="97"/>
      <c r="F41" s="102"/>
      <c r="G41" s="102"/>
      <c r="H41" s="102"/>
      <c r="I41" s="102"/>
      <c r="J41" s="102"/>
      <c r="K41" s="104"/>
      <c r="L41" s="97"/>
      <c r="M41" s="97"/>
      <c r="N41" s="98"/>
      <c r="O41" s="98"/>
      <c r="P41" s="98"/>
      <c r="Q41" s="86"/>
      <c r="R41" s="97"/>
      <c r="S41" s="103"/>
      <c r="T41" s="103"/>
      <c r="U41" s="91"/>
      <c r="V41" s="91"/>
      <c r="X41" s="86"/>
      <c r="Y41" s="86"/>
      <c r="AA41" s="32">
        <f t="shared" si="0"/>
        <v>0</v>
      </c>
      <c r="AB41" s="32" t="str">
        <f t="shared" si="2"/>
        <v>Cumple</v>
      </c>
      <c r="AC41" s="56" t="e">
        <f>(F41-#REF!)</f>
        <v>#REF!</v>
      </c>
    </row>
    <row r="42" spans="1:29" ht="17.25" customHeight="1" thickTop="1" thickBot="1" x14ac:dyDescent="0.3">
      <c r="A42" s="107"/>
      <c r="B42" s="99"/>
      <c r="C42" s="98"/>
      <c r="D42" s="98"/>
      <c r="E42" s="97"/>
      <c r="F42" s="102"/>
      <c r="G42" s="102"/>
      <c r="H42" s="102"/>
      <c r="I42" s="102"/>
      <c r="J42" s="102"/>
      <c r="K42" s="104"/>
      <c r="L42" s="97"/>
      <c r="M42" s="97"/>
      <c r="N42" s="98"/>
      <c r="O42" s="98"/>
      <c r="P42" s="98"/>
      <c r="Q42" s="86"/>
      <c r="R42" s="97"/>
      <c r="S42" s="103"/>
      <c r="T42" s="103"/>
      <c r="U42" s="91"/>
      <c r="V42" s="91"/>
      <c r="X42" s="86"/>
      <c r="Y42" s="86"/>
      <c r="AA42" s="32">
        <f t="shared" si="0"/>
        <v>0</v>
      </c>
      <c r="AB42" s="32" t="str">
        <f t="shared" si="2"/>
        <v>Cumple</v>
      </c>
      <c r="AC42" s="56" t="e">
        <f>(F42-#REF!)</f>
        <v>#REF!</v>
      </c>
    </row>
    <row r="43" spans="1:29" ht="17.25" customHeight="1" thickTop="1" thickBot="1" x14ac:dyDescent="0.3">
      <c r="A43" s="99"/>
      <c r="B43" s="99"/>
      <c r="C43" s="98"/>
      <c r="D43" s="98"/>
      <c r="E43" s="97"/>
      <c r="F43" s="102"/>
      <c r="G43" s="102"/>
      <c r="H43" s="102"/>
      <c r="I43" s="102"/>
      <c r="J43" s="102"/>
      <c r="K43" s="104"/>
      <c r="L43" s="97"/>
      <c r="M43" s="97"/>
      <c r="N43" s="97"/>
      <c r="O43" s="97"/>
      <c r="P43" s="97"/>
      <c r="Q43" s="86"/>
      <c r="R43" s="97"/>
      <c r="S43" s="103"/>
      <c r="T43" s="103"/>
      <c r="U43" s="91"/>
      <c r="V43" s="91"/>
      <c r="X43" s="86"/>
      <c r="Y43" s="86"/>
      <c r="AA43" s="32">
        <f t="shared" si="0"/>
        <v>0</v>
      </c>
      <c r="AB43" s="32" t="str">
        <f t="shared" si="2"/>
        <v>Cumple</v>
      </c>
      <c r="AC43" s="56" t="e">
        <f>(F43-#REF!)</f>
        <v>#REF!</v>
      </c>
    </row>
    <row r="44" spans="1:29" ht="17.25" customHeight="1" thickTop="1" thickBot="1" x14ac:dyDescent="0.3">
      <c r="A44" s="99"/>
      <c r="B44" s="99"/>
      <c r="C44" s="98"/>
      <c r="D44" s="98"/>
      <c r="E44" s="97"/>
      <c r="F44" s="102"/>
      <c r="G44" s="102"/>
      <c r="H44" s="102"/>
      <c r="I44" s="102"/>
      <c r="J44" s="102"/>
      <c r="K44" s="104"/>
      <c r="L44" s="97"/>
      <c r="M44" s="97"/>
      <c r="N44" s="97"/>
      <c r="O44" s="97"/>
      <c r="P44" s="97"/>
      <c r="Q44" s="86"/>
      <c r="R44" s="97"/>
      <c r="S44" s="103"/>
      <c r="T44" s="103"/>
      <c r="U44" s="91"/>
      <c r="V44" s="91"/>
      <c r="X44" s="86"/>
      <c r="Y44" s="86"/>
      <c r="AA44" s="32">
        <f t="shared" si="0"/>
        <v>0</v>
      </c>
      <c r="AB44" s="32" t="str">
        <f t="shared" si="2"/>
        <v>Cumple</v>
      </c>
      <c r="AC44" s="56" t="e">
        <f>(F44-#REF!)</f>
        <v>#REF!</v>
      </c>
    </row>
    <row r="45" spans="1:29" ht="17.25" customHeight="1" thickTop="1" thickBot="1" x14ac:dyDescent="0.3">
      <c r="A45" s="99"/>
      <c r="B45" s="99"/>
      <c r="C45" s="98"/>
      <c r="D45" s="98"/>
      <c r="E45" s="97"/>
      <c r="F45" s="102"/>
      <c r="G45" s="102"/>
      <c r="H45" s="102"/>
      <c r="I45" s="102"/>
      <c r="J45" s="102"/>
      <c r="K45" s="104"/>
      <c r="L45" s="97"/>
      <c r="M45" s="97"/>
      <c r="N45" s="97"/>
      <c r="O45" s="97"/>
      <c r="P45" s="97"/>
      <c r="Q45" s="86"/>
      <c r="R45" s="97"/>
      <c r="S45" s="103"/>
      <c r="T45" s="103"/>
      <c r="U45" s="91"/>
      <c r="V45" s="91"/>
      <c r="X45" s="86"/>
      <c r="Y45" s="86"/>
      <c r="AA45" s="32">
        <f t="shared" si="0"/>
        <v>0</v>
      </c>
      <c r="AB45" s="32" t="str">
        <f t="shared" si="2"/>
        <v>Cumple</v>
      </c>
      <c r="AC45" s="56" t="e">
        <f>(F45-#REF!)</f>
        <v>#REF!</v>
      </c>
    </row>
    <row r="46" spans="1:29" ht="17.25" customHeight="1" thickTop="1" thickBot="1" x14ac:dyDescent="0.3">
      <c r="A46" s="99"/>
      <c r="B46" s="99"/>
      <c r="C46" s="98"/>
      <c r="D46" s="98"/>
      <c r="E46" s="97"/>
      <c r="F46" s="102"/>
      <c r="G46" s="102"/>
      <c r="H46" s="102"/>
      <c r="I46" s="102"/>
      <c r="J46" s="102"/>
      <c r="K46" s="104"/>
      <c r="L46" s="97"/>
      <c r="M46" s="97"/>
      <c r="N46" s="97"/>
      <c r="O46" s="97"/>
      <c r="P46" s="97"/>
      <c r="Q46" s="86"/>
      <c r="R46" s="97"/>
      <c r="S46" s="103"/>
      <c r="T46" s="103"/>
      <c r="U46" s="91"/>
      <c r="V46" s="91"/>
      <c r="X46" s="86"/>
      <c r="Y46" s="86"/>
      <c r="AA46" s="32">
        <f t="shared" si="0"/>
        <v>0</v>
      </c>
      <c r="AB46" s="32" t="str">
        <f t="shared" si="2"/>
        <v>Cumple</v>
      </c>
      <c r="AC46" s="56" t="e">
        <f>(F46-#REF!)</f>
        <v>#REF!</v>
      </c>
    </row>
    <row r="47" spans="1:29" ht="17.25" customHeight="1" thickTop="1" thickBot="1" x14ac:dyDescent="0.3">
      <c r="A47" s="99"/>
      <c r="B47" s="99"/>
      <c r="C47" s="98"/>
      <c r="D47" s="98"/>
      <c r="E47" s="97"/>
      <c r="F47" s="102"/>
      <c r="G47" s="102"/>
      <c r="H47" s="102"/>
      <c r="I47" s="102"/>
      <c r="J47" s="102"/>
      <c r="K47" s="104"/>
      <c r="L47" s="97"/>
      <c r="M47" s="97"/>
      <c r="N47" s="97"/>
      <c r="O47" s="97"/>
      <c r="P47" s="97"/>
      <c r="Q47" s="86"/>
      <c r="R47" s="97"/>
      <c r="S47" s="103"/>
      <c r="T47" s="103"/>
      <c r="U47" s="91"/>
      <c r="V47" s="91"/>
      <c r="X47" s="86"/>
      <c r="Y47" s="86"/>
      <c r="AA47" s="32">
        <f t="shared" si="0"/>
        <v>0</v>
      </c>
      <c r="AB47" s="32" t="str">
        <f t="shared" si="2"/>
        <v>Cumple</v>
      </c>
      <c r="AC47" s="56" t="e">
        <f>(F47-#REF!)</f>
        <v>#REF!</v>
      </c>
    </row>
    <row r="48" spans="1:29" ht="17.25" customHeight="1" thickTop="1" thickBot="1" x14ac:dyDescent="0.3">
      <c r="A48" s="99"/>
      <c r="B48" s="99"/>
      <c r="C48" s="98"/>
      <c r="D48" s="98"/>
      <c r="E48" s="97"/>
      <c r="F48" s="102"/>
      <c r="G48" s="102"/>
      <c r="H48" s="102"/>
      <c r="I48" s="102"/>
      <c r="J48" s="102"/>
      <c r="K48" s="104"/>
      <c r="L48" s="97"/>
      <c r="M48" s="97"/>
      <c r="N48" s="97"/>
      <c r="O48" s="97"/>
      <c r="P48" s="97"/>
      <c r="Q48" s="86"/>
      <c r="R48" s="97"/>
      <c r="S48" s="103"/>
      <c r="T48" s="103"/>
      <c r="U48" s="91"/>
      <c r="V48" s="91"/>
      <c r="X48" s="86"/>
      <c r="Y48" s="86"/>
      <c r="AA48" s="32">
        <f t="shared" si="0"/>
        <v>0</v>
      </c>
      <c r="AB48" s="32" t="str">
        <f t="shared" si="2"/>
        <v>Cumple</v>
      </c>
      <c r="AC48" s="56" t="e">
        <f>(F48-#REF!)</f>
        <v>#REF!</v>
      </c>
    </row>
    <row r="49" spans="1:29" ht="17.25" customHeight="1" thickTop="1" thickBot="1" x14ac:dyDescent="0.3">
      <c r="A49" s="99"/>
      <c r="B49" s="99"/>
      <c r="C49" s="98"/>
      <c r="D49" s="98"/>
      <c r="E49" s="97"/>
      <c r="F49" s="102"/>
      <c r="G49" s="102"/>
      <c r="H49" s="102"/>
      <c r="I49" s="102"/>
      <c r="J49" s="102"/>
      <c r="K49" s="104"/>
      <c r="L49" s="97"/>
      <c r="M49" s="97"/>
      <c r="N49" s="97"/>
      <c r="O49" s="97"/>
      <c r="P49" s="97"/>
      <c r="Q49" s="86"/>
      <c r="R49" s="97"/>
      <c r="S49" s="103"/>
      <c r="T49" s="103"/>
      <c r="U49" s="91"/>
      <c r="V49" s="91"/>
      <c r="X49" s="86"/>
      <c r="Y49" s="86"/>
      <c r="AA49" s="32">
        <f t="shared" si="0"/>
        <v>0</v>
      </c>
      <c r="AB49" s="32" t="str">
        <f t="shared" si="2"/>
        <v>Cumple</v>
      </c>
      <c r="AC49" s="56" t="e">
        <f>(F49-#REF!)</f>
        <v>#REF!</v>
      </c>
    </row>
    <row r="50" spans="1:29" ht="17.25" customHeight="1" thickTop="1" thickBot="1" x14ac:dyDescent="0.3">
      <c r="A50" s="99"/>
      <c r="B50" s="99"/>
      <c r="C50" s="98"/>
      <c r="D50" s="98"/>
      <c r="E50" s="97"/>
      <c r="F50" s="102"/>
      <c r="G50" s="102"/>
      <c r="H50" s="102"/>
      <c r="I50" s="102"/>
      <c r="J50" s="102"/>
      <c r="K50" s="104"/>
      <c r="L50" s="97"/>
      <c r="M50" s="97"/>
      <c r="N50" s="97"/>
      <c r="O50" s="97"/>
      <c r="P50" s="97"/>
      <c r="Q50" s="86"/>
      <c r="R50" s="97"/>
      <c r="S50" s="103"/>
      <c r="T50" s="103"/>
      <c r="U50" s="91"/>
      <c r="V50" s="91"/>
      <c r="X50" s="86"/>
      <c r="Y50" s="86"/>
      <c r="AA50" s="32">
        <f t="shared" si="0"/>
        <v>0</v>
      </c>
      <c r="AB50" s="32" t="str">
        <f t="shared" si="2"/>
        <v>Cumple</v>
      </c>
      <c r="AC50" s="56" t="e">
        <f>(F50-#REF!)</f>
        <v>#REF!</v>
      </c>
    </row>
    <row r="51" spans="1:29" ht="17.25" customHeight="1" thickTop="1" thickBot="1" x14ac:dyDescent="0.3">
      <c r="A51" s="99"/>
      <c r="B51" s="99"/>
      <c r="C51" s="98"/>
      <c r="D51" s="98"/>
      <c r="E51" s="97"/>
      <c r="F51" s="102"/>
      <c r="G51" s="102"/>
      <c r="H51" s="102"/>
      <c r="I51" s="102"/>
      <c r="J51" s="102"/>
      <c r="K51" s="104"/>
      <c r="L51" s="97"/>
      <c r="M51" s="97"/>
      <c r="N51" s="97"/>
      <c r="O51" s="97"/>
      <c r="P51" s="97"/>
      <c r="Q51" s="86"/>
      <c r="R51" s="97"/>
      <c r="S51" s="103"/>
      <c r="T51" s="103"/>
      <c r="U51" s="91"/>
      <c r="V51" s="91"/>
      <c r="X51" s="86"/>
      <c r="Y51" s="86"/>
      <c r="AA51" s="32">
        <f t="shared" si="0"/>
        <v>0</v>
      </c>
      <c r="AB51" s="32" t="str">
        <f t="shared" si="2"/>
        <v>Cumple</v>
      </c>
      <c r="AC51" s="56" t="e">
        <f>(F51-#REF!)</f>
        <v>#REF!</v>
      </c>
    </row>
    <row r="52" spans="1:29" ht="17.25" customHeight="1" thickTop="1" thickBot="1" x14ac:dyDescent="0.3">
      <c r="A52" s="99"/>
      <c r="B52" s="99"/>
      <c r="C52" s="98"/>
      <c r="D52" s="98"/>
      <c r="E52" s="97"/>
      <c r="F52" s="102"/>
      <c r="G52" s="102"/>
      <c r="H52" s="102"/>
      <c r="I52" s="102"/>
      <c r="J52" s="102"/>
      <c r="K52" s="104"/>
      <c r="L52" s="97"/>
      <c r="M52" s="97"/>
      <c r="N52" s="97"/>
      <c r="O52" s="97"/>
      <c r="P52" s="97"/>
      <c r="Q52" s="86"/>
      <c r="R52" s="97"/>
      <c r="S52" s="103"/>
      <c r="T52" s="103"/>
      <c r="U52" s="91"/>
      <c r="V52" s="91"/>
      <c r="X52" s="86"/>
      <c r="Y52" s="101"/>
      <c r="AA52" s="32">
        <f t="shared" si="0"/>
        <v>0</v>
      </c>
      <c r="AB52" s="32" t="str">
        <f t="shared" si="2"/>
        <v>Cumple</v>
      </c>
      <c r="AC52" s="56" t="e">
        <f>(F52-#REF!)</f>
        <v>#REF!</v>
      </c>
    </row>
    <row r="53" spans="1:29" ht="17.25" customHeight="1" thickTop="1" thickBot="1" x14ac:dyDescent="0.3">
      <c r="A53" s="99"/>
      <c r="B53" s="99"/>
      <c r="C53" s="98"/>
      <c r="D53" s="98"/>
      <c r="E53" s="97"/>
      <c r="F53" s="102"/>
      <c r="G53" s="102"/>
      <c r="H53" s="102"/>
      <c r="I53" s="102"/>
      <c r="J53" s="102"/>
      <c r="K53" s="104"/>
      <c r="L53" s="97"/>
      <c r="M53" s="97"/>
      <c r="N53" s="97"/>
      <c r="O53" s="97"/>
      <c r="P53" s="97"/>
      <c r="Q53" s="86"/>
      <c r="R53" s="97"/>
      <c r="S53" s="103"/>
      <c r="T53" s="103"/>
      <c r="U53" s="91"/>
      <c r="V53" s="91"/>
      <c r="X53" s="86"/>
      <c r="Y53" s="86"/>
      <c r="AA53" s="32">
        <f t="shared" si="0"/>
        <v>0</v>
      </c>
      <c r="AB53" s="32" t="str">
        <f t="shared" si="2"/>
        <v>Cumple</v>
      </c>
      <c r="AC53" s="56" t="e">
        <f>(F53-#REF!)</f>
        <v>#REF!</v>
      </c>
    </row>
    <row r="54" spans="1:29" ht="17.25" customHeight="1" thickTop="1" thickBot="1" x14ac:dyDescent="0.3">
      <c r="A54" s="99"/>
      <c r="B54" s="99"/>
      <c r="C54" s="98"/>
      <c r="D54" s="98"/>
      <c r="E54" s="97"/>
      <c r="F54" s="102"/>
      <c r="G54" s="102"/>
      <c r="H54" s="102"/>
      <c r="I54" s="102"/>
      <c r="J54" s="102"/>
      <c r="K54" s="104"/>
      <c r="L54" s="97"/>
      <c r="M54" s="97"/>
      <c r="N54" s="97"/>
      <c r="O54" s="97"/>
      <c r="P54" s="97"/>
      <c r="Q54" s="86"/>
      <c r="R54" s="97"/>
      <c r="S54" s="103"/>
      <c r="T54" s="103"/>
      <c r="U54" s="91"/>
      <c r="V54" s="91"/>
      <c r="X54" s="86"/>
      <c r="Y54" s="86"/>
      <c r="AA54" s="32">
        <f t="shared" si="0"/>
        <v>0</v>
      </c>
      <c r="AB54" s="32" t="str">
        <f t="shared" si="2"/>
        <v>Cumple</v>
      </c>
      <c r="AC54" s="56" t="e">
        <f>(F54-#REF!)</f>
        <v>#REF!</v>
      </c>
    </row>
    <row r="55" spans="1:29" ht="17.25" customHeight="1" thickTop="1" thickBot="1" x14ac:dyDescent="0.3">
      <c r="A55" s="99"/>
      <c r="B55" s="99"/>
      <c r="C55" s="98"/>
      <c r="D55" s="98"/>
      <c r="E55" s="97"/>
      <c r="F55" s="102"/>
      <c r="G55" s="102"/>
      <c r="H55" s="102"/>
      <c r="I55" s="102"/>
      <c r="J55" s="102"/>
      <c r="K55" s="104"/>
      <c r="L55" s="97"/>
      <c r="M55" s="97"/>
      <c r="N55" s="97"/>
      <c r="O55" s="97"/>
      <c r="P55" s="97"/>
      <c r="Q55" s="86"/>
      <c r="R55" s="97"/>
      <c r="S55" s="103"/>
      <c r="T55" s="103"/>
      <c r="U55" s="91"/>
      <c r="V55" s="91"/>
      <c r="X55" s="86"/>
      <c r="Y55" s="86"/>
      <c r="AA55" s="32">
        <f t="shared" ref="AA55:AA77" si="3">+X55-Y55</f>
        <v>0</v>
      </c>
      <c r="AB55" s="32" t="str">
        <f t="shared" ref="AB55:AB77" si="4">IF(AA55=0,"Cumple",IF(AA55&gt;0,"Falta",IF(AA55&lt;0,"Error",0)))</f>
        <v>Cumple</v>
      </c>
      <c r="AC55" s="56" t="e">
        <f>(F55-#REF!)</f>
        <v>#REF!</v>
      </c>
    </row>
    <row r="56" spans="1:29" ht="17.25" customHeight="1" thickTop="1" thickBot="1" x14ac:dyDescent="0.3">
      <c r="A56" s="99"/>
      <c r="B56" s="99"/>
      <c r="C56" s="98"/>
      <c r="D56" s="98"/>
      <c r="E56" s="97"/>
      <c r="F56" s="102"/>
      <c r="G56" s="102"/>
      <c r="H56" s="102"/>
      <c r="I56" s="102"/>
      <c r="J56" s="102"/>
      <c r="K56" s="104"/>
      <c r="L56" s="97"/>
      <c r="M56" s="97"/>
      <c r="N56" s="97"/>
      <c r="O56" s="97"/>
      <c r="P56" s="97"/>
      <c r="Q56" s="86"/>
      <c r="R56" s="97"/>
      <c r="S56" s="103"/>
      <c r="T56" s="103"/>
      <c r="U56" s="91"/>
      <c r="V56" s="91"/>
      <c r="X56" s="86"/>
      <c r="Y56" s="86"/>
      <c r="AA56" s="32">
        <f t="shared" si="3"/>
        <v>0</v>
      </c>
      <c r="AB56" s="32" t="str">
        <f t="shared" si="4"/>
        <v>Cumple</v>
      </c>
      <c r="AC56" s="56" t="e">
        <f>(F56-#REF!)</f>
        <v>#REF!</v>
      </c>
    </row>
    <row r="57" spans="1:29" ht="17.25" customHeight="1" thickTop="1" thickBot="1" x14ac:dyDescent="0.3">
      <c r="A57" s="99"/>
      <c r="B57" s="99"/>
      <c r="C57" s="98"/>
      <c r="D57" s="98"/>
      <c r="E57" s="97"/>
      <c r="F57" s="102"/>
      <c r="G57" s="102"/>
      <c r="H57" s="102"/>
      <c r="I57" s="102"/>
      <c r="J57" s="102"/>
      <c r="K57" s="104"/>
      <c r="L57" s="97"/>
      <c r="M57" s="97"/>
      <c r="N57" s="97"/>
      <c r="O57" s="97"/>
      <c r="P57" s="97"/>
      <c r="Q57" s="86"/>
      <c r="R57" s="97"/>
      <c r="S57" s="103"/>
      <c r="T57" s="103"/>
      <c r="U57" s="91"/>
      <c r="V57" s="91"/>
      <c r="X57" s="86"/>
      <c r="Y57" s="101"/>
      <c r="AA57" s="32">
        <f t="shared" si="3"/>
        <v>0</v>
      </c>
      <c r="AB57" s="32" t="str">
        <f t="shared" si="4"/>
        <v>Cumple</v>
      </c>
      <c r="AC57" s="56" t="e">
        <f>(F57-#REF!)</f>
        <v>#REF!</v>
      </c>
    </row>
    <row r="58" spans="1:29" ht="17.25" customHeight="1" thickTop="1" thickBot="1" x14ac:dyDescent="0.3">
      <c r="A58" s="99"/>
      <c r="B58" s="99"/>
      <c r="C58" s="98"/>
      <c r="D58" s="98"/>
      <c r="E58" s="97"/>
      <c r="F58" s="102"/>
      <c r="G58" s="102"/>
      <c r="H58" s="102"/>
      <c r="I58" s="102"/>
      <c r="J58" s="102"/>
      <c r="K58" s="104"/>
      <c r="L58" s="97"/>
      <c r="M58" s="97"/>
      <c r="N58" s="97"/>
      <c r="O58" s="97"/>
      <c r="P58" s="97"/>
      <c r="Q58" s="86"/>
      <c r="R58" s="97"/>
      <c r="S58" s="103"/>
      <c r="T58" s="103"/>
      <c r="U58" s="91"/>
      <c r="V58" s="91"/>
      <c r="X58" s="86"/>
      <c r="Y58" s="86"/>
      <c r="AA58" s="32">
        <f t="shared" si="3"/>
        <v>0</v>
      </c>
      <c r="AB58" s="32" t="str">
        <f t="shared" si="4"/>
        <v>Cumple</v>
      </c>
      <c r="AC58" s="56" t="e">
        <f>(F58-#REF!)</f>
        <v>#REF!</v>
      </c>
    </row>
    <row r="59" spans="1:29" ht="17.25" customHeight="1" thickTop="1" thickBot="1" x14ac:dyDescent="0.3">
      <c r="A59" s="99"/>
      <c r="B59" s="99"/>
      <c r="C59" s="98"/>
      <c r="D59" s="98"/>
      <c r="E59" s="97"/>
      <c r="F59" s="102"/>
      <c r="G59" s="102"/>
      <c r="H59" s="102"/>
      <c r="I59" s="102"/>
      <c r="J59" s="102"/>
      <c r="K59" s="104"/>
      <c r="L59" s="97"/>
      <c r="M59" s="97"/>
      <c r="N59" s="97"/>
      <c r="O59" s="97"/>
      <c r="P59" s="97"/>
      <c r="Q59" s="86"/>
      <c r="R59" s="97"/>
      <c r="S59" s="103"/>
      <c r="T59" s="103"/>
      <c r="U59" s="91"/>
      <c r="V59" s="91"/>
      <c r="X59" s="86"/>
      <c r="Y59" s="86"/>
      <c r="AA59" s="32">
        <f t="shared" si="3"/>
        <v>0</v>
      </c>
      <c r="AB59" s="32" t="str">
        <f t="shared" si="4"/>
        <v>Cumple</v>
      </c>
      <c r="AC59" s="56" t="e">
        <f>(F59-#REF!)</f>
        <v>#REF!</v>
      </c>
    </row>
    <row r="60" spans="1:29" ht="17.25" customHeight="1" thickTop="1" thickBot="1" x14ac:dyDescent="0.3">
      <c r="A60" s="99"/>
      <c r="B60" s="99"/>
      <c r="C60" s="98"/>
      <c r="D60" s="98"/>
      <c r="E60" s="97"/>
      <c r="F60" s="102"/>
      <c r="G60" s="102"/>
      <c r="H60" s="102"/>
      <c r="I60" s="102"/>
      <c r="J60" s="102"/>
      <c r="K60" s="104"/>
      <c r="L60" s="97"/>
      <c r="M60" s="97"/>
      <c r="N60" s="97"/>
      <c r="O60" s="97"/>
      <c r="P60" s="97"/>
      <c r="Q60" s="86"/>
      <c r="R60" s="97"/>
      <c r="S60" s="103"/>
      <c r="T60" s="103"/>
      <c r="U60" s="91"/>
      <c r="V60" s="91"/>
      <c r="X60" s="86"/>
      <c r="Y60" s="86"/>
      <c r="AA60" s="32">
        <f t="shared" si="3"/>
        <v>0</v>
      </c>
      <c r="AB60" s="32" t="str">
        <f t="shared" si="4"/>
        <v>Cumple</v>
      </c>
      <c r="AC60" s="56" t="e">
        <f>(F60-#REF!)</f>
        <v>#REF!</v>
      </c>
    </row>
    <row r="61" spans="1:29" ht="17.25" customHeight="1" thickTop="1" thickBot="1" x14ac:dyDescent="0.3">
      <c r="A61" s="99"/>
      <c r="B61" s="99"/>
      <c r="C61" s="98"/>
      <c r="D61" s="98"/>
      <c r="E61" s="97"/>
      <c r="F61" s="102"/>
      <c r="G61" s="102"/>
      <c r="H61" s="102"/>
      <c r="I61" s="102"/>
      <c r="J61" s="102"/>
      <c r="K61" s="104"/>
      <c r="L61" s="97"/>
      <c r="M61" s="97"/>
      <c r="N61" s="97"/>
      <c r="O61" s="97"/>
      <c r="P61" s="97"/>
      <c r="Q61" s="86"/>
      <c r="R61" s="97"/>
      <c r="S61" s="103"/>
      <c r="T61" s="103"/>
      <c r="U61" s="91"/>
      <c r="V61" s="91"/>
      <c r="X61" s="86"/>
      <c r="Y61" s="86"/>
      <c r="AA61" s="32">
        <f t="shared" si="3"/>
        <v>0</v>
      </c>
      <c r="AB61" s="32" t="str">
        <f t="shared" si="4"/>
        <v>Cumple</v>
      </c>
      <c r="AC61" s="56" t="e">
        <f>(F61-#REF!)</f>
        <v>#REF!</v>
      </c>
    </row>
    <row r="62" spans="1:29" ht="17.25" customHeight="1" thickTop="1" thickBot="1" x14ac:dyDescent="0.3">
      <c r="A62" s="88"/>
      <c r="B62" s="88"/>
      <c r="C62" s="88"/>
      <c r="D62" s="88"/>
      <c r="E62" s="88"/>
      <c r="F62" s="88"/>
      <c r="G62" s="88"/>
      <c r="H62" s="92"/>
      <c r="I62" s="92"/>
      <c r="J62" s="92"/>
      <c r="K62" s="90"/>
      <c r="L62" s="88"/>
      <c r="M62" s="88"/>
      <c r="N62" s="88"/>
      <c r="O62" s="88"/>
      <c r="P62" s="88"/>
      <c r="Q62" s="88"/>
      <c r="R62" s="88"/>
      <c r="S62" s="90"/>
      <c r="T62" s="88"/>
      <c r="U62" s="91"/>
      <c r="V62" s="91"/>
      <c r="X62" s="86"/>
      <c r="Y62" s="86"/>
      <c r="AA62" s="32">
        <f t="shared" si="3"/>
        <v>0</v>
      </c>
      <c r="AB62" s="32" t="str">
        <f t="shared" si="4"/>
        <v>Cumple</v>
      </c>
      <c r="AC62" s="56" t="e">
        <f>(H62-#REF!)</f>
        <v>#REF!</v>
      </c>
    </row>
    <row r="63" spans="1:29" ht="17.25" customHeight="1" thickTop="1" thickBot="1" x14ac:dyDescent="0.3">
      <c r="A63" s="88"/>
      <c r="B63" s="88"/>
      <c r="C63" s="88"/>
      <c r="D63" s="88"/>
      <c r="E63" s="88"/>
      <c r="F63" s="88"/>
      <c r="G63" s="88"/>
      <c r="H63" s="89"/>
      <c r="I63" s="89"/>
      <c r="J63" s="89"/>
      <c r="K63" s="90"/>
      <c r="L63" s="88"/>
      <c r="M63" s="88"/>
      <c r="N63" s="88"/>
      <c r="O63" s="88"/>
      <c r="P63" s="88"/>
      <c r="Q63" s="88"/>
      <c r="R63" s="88"/>
      <c r="S63" s="90"/>
      <c r="T63" s="88"/>
      <c r="U63" s="91"/>
      <c r="V63" s="91"/>
      <c r="X63" s="86"/>
      <c r="Y63" s="86"/>
      <c r="AA63" s="32">
        <f t="shared" si="3"/>
        <v>0</v>
      </c>
      <c r="AB63" s="32" t="str">
        <f t="shared" si="4"/>
        <v>Cumple</v>
      </c>
      <c r="AC63" s="56" t="e">
        <f>(H63-#REF!)</f>
        <v>#REF!</v>
      </c>
    </row>
    <row r="64" spans="1:29" ht="14.25" thickTop="1" thickBot="1" x14ac:dyDescent="0.3">
      <c r="A64" s="88"/>
      <c r="B64" s="88"/>
      <c r="C64" s="88"/>
      <c r="D64" s="88"/>
      <c r="E64" s="88"/>
      <c r="F64" s="88"/>
      <c r="G64" s="88"/>
      <c r="H64" s="89"/>
      <c r="I64" s="89"/>
      <c r="J64" s="89"/>
      <c r="K64" s="90"/>
      <c r="L64" s="88"/>
      <c r="M64" s="88"/>
      <c r="N64" s="88"/>
      <c r="O64" s="88"/>
      <c r="P64" s="88"/>
      <c r="Q64" s="88"/>
      <c r="R64" s="93"/>
      <c r="S64" s="90"/>
      <c r="T64" s="88"/>
      <c r="U64" s="91"/>
      <c r="V64" s="91"/>
      <c r="X64" s="86"/>
      <c r="Y64" s="86"/>
      <c r="AA64" s="32">
        <f t="shared" si="3"/>
        <v>0</v>
      </c>
      <c r="AB64" s="32" t="str">
        <f t="shared" si="4"/>
        <v>Cumple</v>
      </c>
      <c r="AC64" s="56" t="e">
        <f>(H64-#REF!)</f>
        <v>#REF!</v>
      </c>
    </row>
    <row r="65" spans="1:29" ht="14.25" thickTop="1" thickBot="1" x14ac:dyDescent="0.3">
      <c r="A65" s="88"/>
      <c r="B65" s="88"/>
      <c r="C65" s="88"/>
      <c r="D65" s="88"/>
      <c r="E65" s="88"/>
      <c r="F65" s="88"/>
      <c r="G65" s="88"/>
      <c r="H65" s="92"/>
      <c r="I65" s="92"/>
      <c r="J65" s="92"/>
      <c r="K65" s="90"/>
      <c r="L65" s="88"/>
      <c r="M65" s="88"/>
      <c r="N65" s="88"/>
      <c r="O65" s="88"/>
      <c r="P65" s="88"/>
      <c r="Q65" s="88"/>
      <c r="R65" s="88"/>
      <c r="S65" s="90"/>
      <c r="T65" s="88"/>
      <c r="U65" s="91"/>
      <c r="V65" s="91"/>
      <c r="X65" s="86"/>
      <c r="Y65" s="86"/>
      <c r="AA65" s="32">
        <f t="shared" si="3"/>
        <v>0</v>
      </c>
      <c r="AB65" s="32" t="str">
        <f t="shared" si="4"/>
        <v>Cumple</v>
      </c>
      <c r="AC65" s="56" t="e">
        <f>(H65-#REF!)</f>
        <v>#REF!</v>
      </c>
    </row>
    <row r="66" spans="1:29" ht="14.25" customHeight="1" thickTop="1" thickBot="1" x14ac:dyDescent="0.3">
      <c r="A66" s="88"/>
      <c r="B66" s="88"/>
      <c r="C66" s="88"/>
      <c r="D66" s="88"/>
      <c r="E66" s="88"/>
      <c r="F66" s="88"/>
      <c r="G66" s="88"/>
      <c r="H66" s="89"/>
      <c r="I66" s="89"/>
      <c r="J66" s="89"/>
      <c r="K66" s="90"/>
      <c r="L66" s="88"/>
      <c r="M66" s="88"/>
      <c r="N66" s="88"/>
      <c r="O66" s="88"/>
      <c r="P66" s="88"/>
      <c r="Q66" s="88"/>
      <c r="R66" s="88"/>
      <c r="S66" s="90"/>
      <c r="T66" s="88"/>
      <c r="U66" s="91"/>
      <c r="V66" s="91"/>
      <c r="X66" s="86"/>
      <c r="Y66" s="86"/>
      <c r="AA66" s="32">
        <f t="shared" si="3"/>
        <v>0</v>
      </c>
      <c r="AB66" s="32" t="str">
        <f t="shared" si="4"/>
        <v>Cumple</v>
      </c>
      <c r="AC66" s="56" t="e">
        <f>(H66-#REF!)</f>
        <v>#REF!</v>
      </c>
    </row>
    <row r="67" spans="1:29" ht="14.25" thickTop="1" thickBot="1" x14ac:dyDescent="0.3">
      <c r="A67" s="88"/>
      <c r="B67" s="88"/>
      <c r="C67" s="94"/>
      <c r="D67" s="94"/>
      <c r="E67" s="94"/>
      <c r="F67" s="88"/>
      <c r="G67" s="88"/>
      <c r="H67" s="89"/>
      <c r="I67" s="89"/>
      <c r="J67" s="89"/>
      <c r="K67" s="90"/>
      <c r="L67" s="88"/>
      <c r="M67" s="88"/>
      <c r="N67" s="88"/>
      <c r="O67" s="88"/>
      <c r="P67" s="88"/>
      <c r="Q67" s="88"/>
      <c r="R67" s="88"/>
      <c r="S67" s="90"/>
      <c r="T67" s="88"/>
      <c r="U67" s="91"/>
      <c r="V67" s="91"/>
      <c r="X67" s="86"/>
      <c r="Y67" s="86"/>
      <c r="AA67" s="32">
        <f t="shared" si="3"/>
        <v>0</v>
      </c>
      <c r="AB67" s="32" t="str">
        <f t="shared" si="4"/>
        <v>Cumple</v>
      </c>
      <c r="AC67" s="56" t="e">
        <f>(H67-#REF!)</f>
        <v>#REF!</v>
      </c>
    </row>
    <row r="68" spans="1:29" ht="14.25" thickTop="1" thickBot="1" x14ac:dyDescent="0.3">
      <c r="A68" s="88"/>
      <c r="B68" s="88"/>
      <c r="C68" s="94"/>
      <c r="D68" s="94"/>
      <c r="E68" s="94"/>
      <c r="F68" s="88"/>
      <c r="G68" s="88"/>
      <c r="H68" s="89"/>
      <c r="I68" s="89"/>
      <c r="J68" s="89"/>
      <c r="K68" s="90"/>
      <c r="L68" s="88"/>
      <c r="M68" s="88"/>
      <c r="N68" s="88"/>
      <c r="O68" s="88"/>
      <c r="P68" s="88"/>
      <c r="Q68" s="88"/>
      <c r="R68" s="88"/>
      <c r="S68" s="90"/>
      <c r="T68" s="88"/>
      <c r="U68" s="91"/>
      <c r="V68" s="91"/>
      <c r="X68" s="86"/>
      <c r="Y68" s="86"/>
      <c r="AA68" s="32">
        <f t="shared" si="3"/>
        <v>0</v>
      </c>
      <c r="AB68" s="32" t="str">
        <f t="shared" si="4"/>
        <v>Cumple</v>
      </c>
      <c r="AC68" s="56" t="e">
        <f>(H68-#REF!)</f>
        <v>#REF!</v>
      </c>
    </row>
    <row r="69" spans="1:29" ht="14.25" thickTop="1" thickBot="1" x14ac:dyDescent="0.3">
      <c r="A69" s="88"/>
      <c r="B69" s="88"/>
      <c r="C69" s="88"/>
      <c r="D69" s="88"/>
      <c r="E69" s="88"/>
      <c r="F69" s="88"/>
      <c r="G69" s="88"/>
      <c r="H69" s="89"/>
      <c r="I69" s="89"/>
      <c r="J69" s="89"/>
      <c r="K69" s="90"/>
      <c r="L69" s="88"/>
      <c r="M69" s="88"/>
      <c r="N69" s="88"/>
      <c r="O69" s="88"/>
      <c r="P69" s="88"/>
      <c r="Q69" s="88"/>
      <c r="R69" s="88"/>
      <c r="S69" s="90"/>
      <c r="T69" s="88"/>
      <c r="U69" s="91"/>
      <c r="V69" s="91"/>
      <c r="X69" s="86"/>
      <c r="Y69" s="86"/>
      <c r="AA69" s="32">
        <f t="shared" si="3"/>
        <v>0</v>
      </c>
      <c r="AB69" s="32" t="str">
        <f t="shared" si="4"/>
        <v>Cumple</v>
      </c>
      <c r="AC69" s="56" t="e">
        <f>(H69-#REF!)</f>
        <v>#REF!</v>
      </c>
    </row>
    <row r="70" spans="1:29" ht="14.25" thickTop="1" thickBot="1" x14ac:dyDescent="0.3">
      <c r="A70" s="88"/>
      <c r="B70" s="88"/>
      <c r="C70" s="88"/>
      <c r="D70" s="88"/>
      <c r="E70" s="88"/>
      <c r="F70" s="88"/>
      <c r="G70" s="88"/>
      <c r="H70" s="89"/>
      <c r="I70" s="89"/>
      <c r="J70" s="89"/>
      <c r="K70" s="90"/>
      <c r="L70" s="88"/>
      <c r="M70" s="88"/>
      <c r="N70" s="88"/>
      <c r="O70" s="88"/>
      <c r="P70" s="88"/>
      <c r="Q70" s="88"/>
      <c r="R70" s="88"/>
      <c r="S70" s="90"/>
      <c r="T70" s="88"/>
      <c r="U70" s="91"/>
      <c r="V70" s="91"/>
      <c r="X70" s="86"/>
      <c r="Y70" s="86"/>
      <c r="AA70" s="32">
        <f t="shared" si="3"/>
        <v>0</v>
      </c>
      <c r="AB70" s="32" t="str">
        <f t="shared" si="4"/>
        <v>Cumple</v>
      </c>
      <c r="AC70" s="56" t="e">
        <f>(H70-#REF!)</f>
        <v>#REF!</v>
      </c>
    </row>
    <row r="71" spans="1:29" ht="14.25" thickTop="1" thickBot="1" x14ac:dyDescent="0.3">
      <c r="A71" s="88"/>
      <c r="B71" s="88"/>
      <c r="C71" s="88"/>
      <c r="D71" s="88"/>
      <c r="E71" s="88"/>
      <c r="F71" s="88"/>
      <c r="G71" s="88"/>
      <c r="H71" s="92"/>
      <c r="I71" s="92"/>
      <c r="J71" s="92"/>
      <c r="K71" s="95"/>
      <c r="L71" s="88"/>
      <c r="M71" s="88"/>
      <c r="N71" s="88"/>
      <c r="O71" s="88"/>
      <c r="P71" s="88"/>
      <c r="Q71" s="88"/>
      <c r="R71" s="88"/>
      <c r="S71" s="90"/>
      <c r="T71" s="88"/>
      <c r="U71" s="91"/>
      <c r="V71" s="91"/>
      <c r="X71" s="86"/>
      <c r="Y71" s="86"/>
      <c r="AA71" s="32">
        <f t="shared" si="3"/>
        <v>0</v>
      </c>
      <c r="AB71" s="32" t="str">
        <f t="shared" si="4"/>
        <v>Cumple</v>
      </c>
      <c r="AC71" s="56" t="e">
        <f>(H71-#REF!)</f>
        <v>#REF!</v>
      </c>
    </row>
    <row r="72" spans="1:29" ht="14.25" thickTop="1" thickBot="1" x14ac:dyDescent="0.3">
      <c r="A72" s="88"/>
      <c r="B72" s="88"/>
      <c r="C72" s="88"/>
      <c r="D72" s="88"/>
      <c r="E72" s="88"/>
      <c r="F72" s="88"/>
      <c r="G72" s="88"/>
      <c r="H72" s="89"/>
      <c r="I72" s="89"/>
      <c r="J72" s="89"/>
      <c r="K72" s="95"/>
      <c r="L72" s="88"/>
      <c r="M72" s="88"/>
      <c r="N72" s="88"/>
      <c r="O72" s="88"/>
      <c r="P72" s="88"/>
      <c r="Q72" s="88"/>
      <c r="R72" s="88"/>
      <c r="S72" s="90"/>
      <c r="T72" s="88"/>
      <c r="U72" s="91"/>
      <c r="V72" s="91"/>
      <c r="X72" s="86"/>
      <c r="Y72" s="86"/>
      <c r="AA72" s="32">
        <f t="shared" si="3"/>
        <v>0</v>
      </c>
      <c r="AB72" s="32" t="str">
        <f t="shared" si="4"/>
        <v>Cumple</v>
      </c>
      <c r="AC72" s="56" t="e">
        <f>(H72-#REF!)</f>
        <v>#REF!</v>
      </c>
    </row>
    <row r="73" spans="1:29" ht="14.25" thickTop="1" thickBot="1" x14ac:dyDescent="0.3">
      <c r="A73" s="88"/>
      <c r="B73" s="88"/>
      <c r="C73" s="88"/>
      <c r="D73" s="88"/>
      <c r="E73" s="88"/>
      <c r="F73" s="88"/>
      <c r="G73" s="88"/>
      <c r="H73" s="92"/>
      <c r="I73" s="92"/>
      <c r="J73" s="92"/>
      <c r="K73" s="95"/>
      <c r="L73" s="88"/>
      <c r="M73" s="88"/>
      <c r="N73" s="88"/>
      <c r="O73" s="88"/>
      <c r="P73" s="88"/>
      <c r="Q73" s="88"/>
      <c r="R73" s="88"/>
      <c r="S73" s="90"/>
      <c r="T73" s="88"/>
      <c r="U73" s="91"/>
      <c r="V73" s="91"/>
      <c r="X73" s="86"/>
      <c r="Y73" s="86"/>
      <c r="AA73" s="32">
        <f t="shared" si="3"/>
        <v>0</v>
      </c>
      <c r="AB73" s="32" t="str">
        <f t="shared" si="4"/>
        <v>Cumple</v>
      </c>
      <c r="AC73" s="56" t="e">
        <f>(H73-#REF!)</f>
        <v>#REF!</v>
      </c>
    </row>
    <row r="74" spans="1:29" ht="14.25" thickTop="1" thickBot="1" x14ac:dyDescent="0.3">
      <c r="A74" s="88"/>
      <c r="B74" s="88"/>
      <c r="C74" s="88"/>
      <c r="D74" s="88"/>
      <c r="E74" s="88"/>
      <c r="F74" s="88"/>
      <c r="G74" s="88"/>
      <c r="H74" s="92"/>
      <c r="I74" s="92"/>
      <c r="J74" s="92"/>
      <c r="K74" s="90"/>
      <c r="L74" s="88"/>
      <c r="M74" s="88"/>
      <c r="N74" s="88"/>
      <c r="O74" s="88"/>
      <c r="P74" s="88"/>
      <c r="Q74" s="88"/>
      <c r="R74" s="88"/>
      <c r="S74" s="90"/>
      <c r="T74" s="88"/>
      <c r="U74" s="91"/>
      <c r="V74" s="91"/>
      <c r="X74" s="86"/>
      <c r="Y74" s="86"/>
      <c r="AA74" s="32">
        <f t="shared" si="3"/>
        <v>0</v>
      </c>
      <c r="AB74" s="32" t="str">
        <f t="shared" si="4"/>
        <v>Cumple</v>
      </c>
      <c r="AC74" s="56" t="e">
        <f>(H74-#REF!)</f>
        <v>#REF!</v>
      </c>
    </row>
    <row r="75" spans="1:29" ht="14.25" thickTop="1" thickBot="1" x14ac:dyDescent="0.3">
      <c r="A75" s="88"/>
      <c r="B75" s="88"/>
      <c r="C75" s="88"/>
      <c r="D75" s="88"/>
      <c r="E75" s="88"/>
      <c r="F75" s="88"/>
      <c r="G75" s="88"/>
      <c r="H75" s="92"/>
      <c r="I75" s="92"/>
      <c r="J75" s="92"/>
      <c r="K75" s="95"/>
      <c r="L75" s="88"/>
      <c r="M75" s="88"/>
      <c r="N75" s="88"/>
      <c r="O75" s="88"/>
      <c r="P75" s="88"/>
      <c r="Q75" s="88"/>
      <c r="R75" s="88"/>
      <c r="S75" s="90"/>
      <c r="T75" s="88"/>
      <c r="U75" s="91"/>
      <c r="V75" s="91"/>
      <c r="X75" s="86"/>
      <c r="Y75" s="86"/>
      <c r="AA75" s="32">
        <f t="shared" si="3"/>
        <v>0</v>
      </c>
      <c r="AB75" s="32" t="str">
        <f t="shared" si="4"/>
        <v>Cumple</v>
      </c>
      <c r="AC75" s="56" t="e">
        <f>(H75-#REF!)</f>
        <v>#REF!</v>
      </c>
    </row>
    <row r="76" spans="1:29" ht="14.25" thickTop="1" thickBot="1" x14ac:dyDescent="0.3">
      <c r="A76" s="88"/>
      <c r="B76" s="88"/>
      <c r="C76" s="88"/>
      <c r="D76" s="88"/>
      <c r="E76" s="88"/>
      <c r="F76" s="88"/>
      <c r="G76" s="88"/>
      <c r="H76" s="92"/>
      <c r="I76" s="92"/>
      <c r="J76" s="92"/>
      <c r="K76" s="95"/>
      <c r="L76" s="88"/>
      <c r="M76" s="88"/>
      <c r="N76" s="88"/>
      <c r="O76" s="88"/>
      <c r="P76" s="88"/>
      <c r="Q76" s="88"/>
      <c r="R76" s="88"/>
      <c r="S76" s="90"/>
      <c r="T76" s="88"/>
      <c r="U76" s="91"/>
      <c r="V76" s="91"/>
      <c r="X76" s="86"/>
      <c r="Y76" s="86"/>
      <c r="AA76" s="32">
        <f t="shared" si="3"/>
        <v>0</v>
      </c>
      <c r="AB76" s="32" t="str">
        <f t="shared" si="4"/>
        <v>Cumple</v>
      </c>
      <c r="AC76" s="56" t="e">
        <f>(H76-#REF!)</f>
        <v>#REF!</v>
      </c>
    </row>
    <row r="77" spans="1:29" ht="14.25" thickTop="1" thickBot="1" x14ac:dyDescent="0.3">
      <c r="A77" s="88"/>
      <c r="B77" s="88"/>
      <c r="C77" s="88"/>
      <c r="D77" s="88"/>
      <c r="E77" s="88"/>
      <c r="F77" s="88"/>
      <c r="G77" s="88"/>
      <c r="H77" s="92"/>
      <c r="I77" s="92"/>
      <c r="J77" s="92"/>
      <c r="K77" s="95"/>
      <c r="L77" s="88"/>
      <c r="M77" s="88"/>
      <c r="N77" s="88"/>
      <c r="O77" s="88"/>
      <c r="P77" s="88"/>
      <c r="Q77" s="88"/>
      <c r="R77" s="88"/>
      <c r="S77" s="90"/>
      <c r="T77" s="88"/>
      <c r="U77" s="91"/>
      <c r="V77" s="91"/>
      <c r="X77" s="86"/>
      <c r="Y77" s="86"/>
      <c r="AA77" s="32">
        <f t="shared" si="3"/>
        <v>0</v>
      </c>
      <c r="AB77" s="32" t="str">
        <f t="shared" si="4"/>
        <v>Cumple</v>
      </c>
      <c r="AC77" s="56" t="e">
        <f>(H77-#REF!)</f>
        <v>#REF!</v>
      </c>
    </row>
    <row r="78" spans="1:29" ht="15.75" thickTop="1" x14ac:dyDescent="0.25">
      <c r="A78" s="109" t="s">
        <v>103</v>
      </c>
      <c r="B78" s="109" t="s">
        <v>103</v>
      </c>
      <c r="C78" s="109" t="s">
        <v>103</v>
      </c>
      <c r="D78" s="109"/>
      <c r="E78" s="109" t="s">
        <v>103</v>
      </c>
      <c r="F78" s="109" t="s">
        <v>103</v>
      </c>
      <c r="G78" s="109"/>
      <c r="H78" s="109" t="s">
        <v>103</v>
      </c>
      <c r="I78" s="109"/>
      <c r="J78" s="109"/>
      <c r="K78" s="109" t="s">
        <v>103</v>
      </c>
      <c r="L78" s="109" t="s">
        <v>103</v>
      </c>
      <c r="M78" s="109"/>
      <c r="N78" s="109" t="s">
        <v>103</v>
      </c>
      <c r="O78" s="109"/>
      <c r="P78" s="109"/>
      <c r="Q78" s="109" t="s">
        <v>103</v>
      </c>
      <c r="R78" s="109" t="s">
        <v>103</v>
      </c>
      <c r="S78" s="109" t="s">
        <v>103</v>
      </c>
      <c r="T78" s="109" t="s">
        <v>103</v>
      </c>
    </row>
  </sheetData>
  <sheetProtection insertRows="0"/>
  <mergeCells count="20">
    <mergeCell ref="F6:H6"/>
    <mergeCell ref="I6:K6"/>
    <mergeCell ref="A6:A7"/>
    <mergeCell ref="B4:G4"/>
    <mergeCell ref="O6:Q6"/>
    <mergeCell ref="B6:B7"/>
    <mergeCell ref="C6:C7"/>
    <mergeCell ref="E6:E7"/>
    <mergeCell ref="B1:V1"/>
    <mergeCell ref="B2:V2"/>
    <mergeCell ref="B3:V3"/>
    <mergeCell ref="R6:R7"/>
    <mergeCell ref="S6:S7"/>
    <mergeCell ref="T6:T7"/>
    <mergeCell ref="S5:T5"/>
    <mergeCell ref="A5:B5"/>
    <mergeCell ref="L6:L7"/>
    <mergeCell ref="N6:N7"/>
    <mergeCell ref="M6:M7"/>
    <mergeCell ref="D6:D7"/>
  </mergeCells>
  <conditionalFormatting sqref="F8:J61">
    <cfRule type="containsText" dxfId="30" priority="1" operator="containsText" text="x">
      <formula>NOT(ISERROR(SEARCH("x",F8)))</formula>
    </cfRule>
  </conditionalFormatting>
  <conditionalFormatting sqref="H62:J77">
    <cfRule type="containsText" dxfId="29" priority="5" operator="containsText" text="x">
      <formula>NOT(ISERROR(SEARCH("x",H62)))</formula>
    </cfRule>
  </conditionalFormatting>
  <conditionalFormatting sqref="AA7:AB77">
    <cfRule type="cellIs" dxfId="28" priority="64" operator="lessThan">
      <formula>0</formula>
    </cfRule>
  </conditionalFormatting>
  <conditionalFormatting sqref="AB7:AB77">
    <cfRule type="containsText" dxfId="27" priority="61" operator="containsText" text="Error">
      <formula>NOT(ISERROR(SEARCH("Error",AB7)))</formula>
    </cfRule>
    <cfRule type="containsText" dxfId="26" priority="62" operator="containsText" text="Falta">
      <formula>NOT(ISERROR(SEARCH("Falta",AB7)))</formula>
    </cfRule>
    <cfRule type="containsText" dxfId="25" priority="63" operator="containsText" text="Cumple">
      <formula>NOT(ISERROR(SEARCH("Cumple",AB7)))</formula>
    </cfRule>
  </conditionalFormatting>
  <conditionalFormatting sqref="AC7:AC77">
    <cfRule type="cellIs" dxfId="24" priority="65" operator="greaterThan">
      <formula>0</formula>
    </cfRule>
    <cfRule type="cellIs" dxfId="23" priority="66" operator="lessThan">
      <formula>0</formula>
    </cfRule>
  </conditionalFormatting>
  <pageMargins left="0.7" right="0.7" top="0.75" bottom="0.75" header="0.3" footer="0.3"/>
  <pageSetup paperSize="9" orientation="portrait" horizontalDpi="4294967292"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'Listas Nuevas'!$A$3:$A$14</xm:f>
          </x14:formula1>
          <xm:sqref>A8:A77</xm:sqref>
        </x14:dataValidation>
        <x14:dataValidation type="list" allowBlank="1" showInputMessage="1" showErrorMessage="1">
          <x14:formula1>
            <xm:f>'Listas Nuevas'!$B$3:$B$50</xm:f>
          </x14:formula1>
          <xm:sqref>B8:B77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50"/>
  <sheetViews>
    <sheetView workbookViewId="0">
      <pane ySplit="2" topLeftCell="A3" activePane="bottomLeft" state="frozen"/>
      <selection pane="bottomLeft" activeCell="A16" sqref="A16"/>
    </sheetView>
  </sheetViews>
  <sheetFormatPr baseColWidth="10" defaultColWidth="11.42578125" defaultRowHeight="15" x14ac:dyDescent="0.25"/>
  <cols>
    <col min="1" max="1" width="85.7109375" customWidth="1"/>
    <col min="2" max="2" width="55.5703125" style="108" customWidth="1"/>
  </cols>
  <sheetData>
    <row r="2" spans="1:13" x14ac:dyDescent="0.25">
      <c r="A2" t="s">
        <v>104</v>
      </c>
      <c r="B2" s="108" t="s">
        <v>105</v>
      </c>
      <c r="C2" s="108"/>
      <c r="D2" s="108"/>
      <c r="E2" s="108"/>
      <c r="F2" s="108"/>
      <c r="G2" s="108"/>
      <c r="H2" s="108"/>
      <c r="I2" s="108"/>
      <c r="J2" s="108"/>
      <c r="K2" s="108"/>
      <c r="L2" s="108"/>
      <c r="M2" s="108"/>
    </row>
    <row r="3" spans="1:13" x14ac:dyDescent="0.25">
      <c r="A3" s="118" t="s">
        <v>101</v>
      </c>
      <c r="B3" s="108" t="s">
        <v>102</v>
      </c>
    </row>
    <row r="4" spans="1:13" x14ac:dyDescent="0.25">
      <c r="A4" s="118" t="s">
        <v>106</v>
      </c>
      <c r="B4" s="108" t="s">
        <v>107</v>
      </c>
    </row>
    <row r="5" spans="1:13" x14ac:dyDescent="0.25">
      <c r="A5" s="118" t="s">
        <v>108</v>
      </c>
      <c r="B5" t="s">
        <v>109</v>
      </c>
    </row>
    <row r="6" spans="1:13" x14ac:dyDescent="0.25">
      <c r="A6" s="118" t="s">
        <v>110</v>
      </c>
      <c r="B6" t="s">
        <v>111</v>
      </c>
    </row>
    <row r="7" spans="1:13" x14ac:dyDescent="0.25">
      <c r="A7" s="118" t="s">
        <v>112</v>
      </c>
      <c r="B7" t="s">
        <v>113</v>
      </c>
    </row>
    <row r="8" spans="1:13" x14ac:dyDescent="0.25">
      <c r="A8" s="118" t="s">
        <v>114</v>
      </c>
      <c r="B8" t="s">
        <v>115</v>
      </c>
    </row>
    <row r="9" spans="1:13" x14ac:dyDescent="0.25">
      <c r="A9" s="118" t="s">
        <v>116</v>
      </c>
      <c r="B9" t="s">
        <v>117</v>
      </c>
    </row>
    <row r="10" spans="1:13" x14ac:dyDescent="0.25">
      <c r="A10" s="118" t="s">
        <v>118</v>
      </c>
      <c r="B10" t="s">
        <v>119</v>
      </c>
    </row>
    <row r="11" spans="1:13" x14ac:dyDescent="0.25">
      <c r="A11" s="118" t="s">
        <v>120</v>
      </c>
      <c r="B11" t="s">
        <v>121</v>
      </c>
    </row>
    <row r="12" spans="1:13" x14ac:dyDescent="0.25">
      <c r="A12" s="118" t="s">
        <v>122</v>
      </c>
      <c r="B12" t="s">
        <v>123</v>
      </c>
    </row>
    <row r="13" spans="1:13" x14ac:dyDescent="0.25">
      <c r="A13" s="118" t="s">
        <v>124</v>
      </c>
      <c r="B13" t="s">
        <v>125</v>
      </c>
    </row>
    <row r="14" spans="1:13" x14ac:dyDescent="0.25">
      <c r="A14" s="118" t="s">
        <v>126</v>
      </c>
      <c r="B14" t="s">
        <v>127</v>
      </c>
    </row>
    <row r="15" spans="1:13" x14ac:dyDescent="0.25">
      <c r="B15" t="s">
        <v>128</v>
      </c>
    </row>
    <row r="16" spans="1:13" x14ac:dyDescent="0.25">
      <c r="B16" t="s">
        <v>129</v>
      </c>
    </row>
    <row r="17" spans="2:2" x14ac:dyDescent="0.25">
      <c r="B17" t="s">
        <v>130</v>
      </c>
    </row>
    <row r="18" spans="2:2" x14ac:dyDescent="0.25">
      <c r="B18" t="s">
        <v>131</v>
      </c>
    </row>
    <row r="19" spans="2:2" x14ac:dyDescent="0.25">
      <c r="B19" t="s">
        <v>132</v>
      </c>
    </row>
    <row r="20" spans="2:2" x14ac:dyDescent="0.25">
      <c r="B20" t="s">
        <v>133</v>
      </c>
    </row>
    <row r="21" spans="2:2" x14ac:dyDescent="0.25">
      <c r="B21" t="s">
        <v>134</v>
      </c>
    </row>
    <row r="22" spans="2:2" x14ac:dyDescent="0.25">
      <c r="B22" t="s">
        <v>135</v>
      </c>
    </row>
    <row r="23" spans="2:2" x14ac:dyDescent="0.25">
      <c r="B23" t="s">
        <v>136</v>
      </c>
    </row>
    <row r="24" spans="2:2" x14ac:dyDescent="0.25">
      <c r="B24" t="s">
        <v>137</v>
      </c>
    </row>
    <row r="25" spans="2:2" x14ac:dyDescent="0.25">
      <c r="B25" t="s">
        <v>138</v>
      </c>
    </row>
    <row r="26" spans="2:2" x14ac:dyDescent="0.25">
      <c r="B26" t="s">
        <v>139</v>
      </c>
    </row>
    <row r="27" spans="2:2" x14ac:dyDescent="0.25">
      <c r="B27" t="s">
        <v>140</v>
      </c>
    </row>
    <row r="28" spans="2:2" x14ac:dyDescent="0.25">
      <c r="B28" t="s">
        <v>141</v>
      </c>
    </row>
    <row r="29" spans="2:2" x14ac:dyDescent="0.25">
      <c r="B29" t="s">
        <v>142</v>
      </c>
    </row>
    <row r="30" spans="2:2" x14ac:dyDescent="0.25">
      <c r="B30" t="s">
        <v>143</v>
      </c>
    </row>
    <row r="31" spans="2:2" x14ac:dyDescent="0.25">
      <c r="B31" t="s">
        <v>144</v>
      </c>
    </row>
    <row r="32" spans="2:2" x14ac:dyDescent="0.25">
      <c r="B32" t="s">
        <v>145</v>
      </c>
    </row>
    <row r="33" spans="2:2" x14ac:dyDescent="0.25">
      <c r="B33" t="s">
        <v>146</v>
      </c>
    </row>
    <row r="34" spans="2:2" x14ac:dyDescent="0.25">
      <c r="B34" t="s">
        <v>147</v>
      </c>
    </row>
    <row r="35" spans="2:2" x14ac:dyDescent="0.25">
      <c r="B35" t="s">
        <v>148</v>
      </c>
    </row>
    <row r="36" spans="2:2" x14ac:dyDescent="0.25">
      <c r="B36" t="s">
        <v>149</v>
      </c>
    </row>
    <row r="37" spans="2:2" x14ac:dyDescent="0.25">
      <c r="B37" t="s">
        <v>150</v>
      </c>
    </row>
    <row r="38" spans="2:2" x14ac:dyDescent="0.25">
      <c r="B38" t="s">
        <v>151</v>
      </c>
    </row>
    <row r="39" spans="2:2" x14ac:dyDescent="0.25">
      <c r="B39" t="s">
        <v>152</v>
      </c>
    </row>
    <row r="40" spans="2:2" x14ac:dyDescent="0.25">
      <c r="B40" t="s">
        <v>153</v>
      </c>
    </row>
    <row r="41" spans="2:2" x14ac:dyDescent="0.25">
      <c r="B41" t="s">
        <v>154</v>
      </c>
    </row>
    <row r="42" spans="2:2" x14ac:dyDescent="0.25">
      <c r="B42" t="s">
        <v>155</v>
      </c>
    </row>
    <row r="43" spans="2:2" x14ac:dyDescent="0.25">
      <c r="B43" t="s">
        <v>156</v>
      </c>
    </row>
    <row r="44" spans="2:2" x14ac:dyDescent="0.25">
      <c r="B44" t="s">
        <v>157</v>
      </c>
    </row>
    <row r="45" spans="2:2" x14ac:dyDescent="0.25">
      <c r="B45" t="s">
        <v>158</v>
      </c>
    </row>
    <row r="46" spans="2:2" x14ac:dyDescent="0.25">
      <c r="B46" t="s">
        <v>159</v>
      </c>
    </row>
    <row r="47" spans="2:2" x14ac:dyDescent="0.25">
      <c r="B47" t="s">
        <v>160</v>
      </c>
    </row>
    <row r="48" spans="2:2" x14ac:dyDescent="0.25">
      <c r="B48" t="s">
        <v>161</v>
      </c>
    </row>
    <row r="49" spans="2:2" x14ac:dyDescent="0.25">
      <c r="B49" t="s">
        <v>162</v>
      </c>
    </row>
    <row r="50" spans="2:2" x14ac:dyDescent="0.25">
      <c r="B50" t="s">
        <v>163</v>
      </c>
    </row>
  </sheetData>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W46"/>
  <sheetViews>
    <sheetView showGridLines="0" workbookViewId="0">
      <selection activeCell="E18" sqref="E18"/>
    </sheetView>
  </sheetViews>
  <sheetFormatPr baseColWidth="10" defaultColWidth="11.42578125" defaultRowHeight="10.5" x14ac:dyDescent="0.15"/>
  <cols>
    <col min="1" max="1" width="11.42578125" style="3"/>
    <col min="2" max="2" width="42.140625" style="3" customWidth="1"/>
    <col min="3" max="3" width="10.85546875" style="3" customWidth="1"/>
    <col min="4" max="4" width="3.5703125" style="3" customWidth="1"/>
    <col min="5" max="5" width="30.85546875" style="3" customWidth="1"/>
    <col min="6" max="6" width="3.5703125" style="3" customWidth="1"/>
    <col min="7" max="7" width="30.85546875" style="3" customWidth="1"/>
    <col min="8" max="8" width="3" style="3" customWidth="1"/>
    <col min="9" max="9" width="30.85546875" style="3" customWidth="1"/>
    <col min="10" max="10" width="3" style="3" customWidth="1"/>
    <col min="11" max="11" width="30.85546875" style="3" customWidth="1"/>
    <col min="12" max="12" width="3" style="3" customWidth="1"/>
    <col min="13" max="13" width="30.85546875" style="3" customWidth="1"/>
    <col min="14" max="14" width="3" style="3" customWidth="1"/>
    <col min="15" max="15" width="30.85546875" style="3" customWidth="1"/>
    <col min="16" max="16" width="3" style="3" customWidth="1"/>
    <col min="17" max="17" width="30.85546875" style="3" customWidth="1"/>
    <col min="18" max="18" width="3" style="3" customWidth="1"/>
    <col min="19" max="19" width="30.85546875" style="3" customWidth="1"/>
    <col min="20" max="20" width="3" style="3" customWidth="1"/>
    <col min="21" max="21" width="30.85546875" style="3" customWidth="1"/>
    <col min="22" max="22" width="3" style="3" customWidth="1"/>
    <col min="23" max="23" width="30.85546875" style="3" customWidth="1"/>
    <col min="24" max="16384" width="11.42578125" style="3"/>
  </cols>
  <sheetData>
    <row r="2" spans="2:23" ht="17.25" customHeight="1" x14ac:dyDescent="0.15">
      <c r="B2" s="2" t="s">
        <v>164</v>
      </c>
      <c r="C2" s="2"/>
      <c r="E2" s="2" t="s">
        <v>165</v>
      </c>
      <c r="G2" s="2" t="s">
        <v>166</v>
      </c>
      <c r="I2" s="2" t="s">
        <v>167</v>
      </c>
      <c r="K2" s="2" t="s">
        <v>168</v>
      </c>
      <c r="M2" s="2" t="s">
        <v>169</v>
      </c>
      <c r="O2" s="2" t="s">
        <v>170</v>
      </c>
      <c r="Q2" s="2" t="s">
        <v>171</v>
      </c>
      <c r="S2" s="2" t="s">
        <v>172</v>
      </c>
      <c r="U2" s="2" t="s">
        <v>173</v>
      </c>
      <c r="W2" s="4" t="s">
        <v>174</v>
      </c>
    </row>
    <row r="3" spans="2:23" ht="17.25" customHeight="1" x14ac:dyDescent="0.15">
      <c r="B3" s="2" t="s">
        <v>37</v>
      </c>
      <c r="C3" s="2"/>
      <c r="E3" s="2"/>
      <c r="G3" s="2"/>
      <c r="I3" s="2"/>
      <c r="K3" s="2"/>
      <c r="M3" s="2"/>
      <c r="O3" s="2"/>
      <c r="Q3" s="2"/>
      <c r="S3" s="2"/>
      <c r="U3" s="2"/>
      <c r="W3" s="4"/>
    </row>
    <row r="4" spans="2:23" ht="20.25" customHeight="1" x14ac:dyDescent="0.15">
      <c r="B4" s="5" t="s">
        <v>175</v>
      </c>
      <c r="C4" s="5" t="s">
        <v>176</v>
      </c>
      <c r="E4" s="6" t="s">
        <v>177</v>
      </c>
      <c r="G4" s="6" t="s">
        <v>178</v>
      </c>
      <c r="I4" s="6" t="s">
        <v>179</v>
      </c>
      <c r="K4" s="6" t="s">
        <v>180</v>
      </c>
      <c r="M4" s="6" t="s">
        <v>181</v>
      </c>
      <c r="O4" s="6" t="s">
        <v>182</v>
      </c>
      <c r="Q4" s="6" t="s">
        <v>183</v>
      </c>
      <c r="S4" s="6" t="s">
        <v>184</v>
      </c>
      <c r="U4" s="6" t="s">
        <v>185</v>
      </c>
      <c r="W4" s="6" t="s">
        <v>186</v>
      </c>
    </row>
    <row r="5" spans="2:23" ht="20.25" customHeight="1" x14ac:dyDescent="0.15">
      <c r="B5" s="5" t="s">
        <v>187</v>
      </c>
      <c r="C5" s="5" t="s">
        <v>188</v>
      </c>
      <c r="E5" s="6" t="s">
        <v>189</v>
      </c>
      <c r="G5" s="6" t="s">
        <v>190</v>
      </c>
      <c r="I5" s="6" t="s">
        <v>191</v>
      </c>
      <c r="K5" s="6" t="s">
        <v>192</v>
      </c>
      <c r="M5" s="6" t="s">
        <v>193</v>
      </c>
      <c r="O5" s="6" t="s">
        <v>194</v>
      </c>
      <c r="Q5" s="6" t="s">
        <v>195</v>
      </c>
      <c r="S5" s="6" t="s">
        <v>196</v>
      </c>
      <c r="U5" s="6" t="s">
        <v>197</v>
      </c>
      <c r="W5" s="6" t="s">
        <v>198</v>
      </c>
    </row>
    <row r="6" spans="2:23" ht="20.25" customHeight="1" x14ac:dyDescent="0.15">
      <c r="B6" s="5" t="s">
        <v>199</v>
      </c>
      <c r="C6" s="5" t="s">
        <v>200</v>
      </c>
      <c r="E6" s="6" t="s">
        <v>201</v>
      </c>
      <c r="G6" s="6" t="s">
        <v>202</v>
      </c>
      <c r="I6" s="6" t="s">
        <v>203</v>
      </c>
      <c r="K6" s="6" t="s">
        <v>204</v>
      </c>
      <c r="S6" s="6" t="s">
        <v>205</v>
      </c>
      <c r="W6" s="6" t="s">
        <v>206</v>
      </c>
    </row>
    <row r="7" spans="2:23" ht="20.25" customHeight="1" x14ac:dyDescent="0.15">
      <c r="B7" s="5" t="s">
        <v>207</v>
      </c>
      <c r="C7" s="5" t="s">
        <v>208</v>
      </c>
      <c r="G7" s="6" t="s">
        <v>209</v>
      </c>
      <c r="I7" s="6" t="s">
        <v>210</v>
      </c>
      <c r="K7" s="6" t="s">
        <v>211</v>
      </c>
      <c r="S7" s="6"/>
    </row>
    <row r="8" spans="2:23" ht="20.25" customHeight="1" x14ac:dyDescent="0.15">
      <c r="B8" s="5" t="s">
        <v>212</v>
      </c>
      <c r="C8" s="5" t="s">
        <v>213</v>
      </c>
      <c r="I8" s="6" t="s">
        <v>214</v>
      </c>
      <c r="K8" s="6" t="s">
        <v>215</v>
      </c>
    </row>
    <row r="9" spans="2:23" ht="20.25" customHeight="1" x14ac:dyDescent="0.15">
      <c r="B9" s="5" t="s">
        <v>216</v>
      </c>
      <c r="C9" s="5" t="s">
        <v>217</v>
      </c>
      <c r="I9" s="6" t="s">
        <v>218</v>
      </c>
      <c r="K9" s="6" t="s">
        <v>219</v>
      </c>
    </row>
    <row r="10" spans="2:23" ht="20.25" customHeight="1" x14ac:dyDescent="0.15">
      <c r="B10" s="5" t="s">
        <v>220</v>
      </c>
      <c r="C10" s="5" t="s">
        <v>221</v>
      </c>
      <c r="I10" s="6" t="s">
        <v>222</v>
      </c>
      <c r="K10" s="6" t="s">
        <v>223</v>
      </c>
    </row>
    <row r="11" spans="2:23" ht="20.25" customHeight="1" x14ac:dyDescent="0.15">
      <c r="B11" s="5" t="s">
        <v>224</v>
      </c>
      <c r="C11" s="5" t="s">
        <v>225</v>
      </c>
      <c r="I11" s="6" t="s">
        <v>226</v>
      </c>
      <c r="K11" s="6" t="s">
        <v>227</v>
      </c>
    </row>
    <row r="12" spans="2:23" ht="20.25" customHeight="1" x14ac:dyDescent="0.15">
      <c r="B12" s="5" t="s">
        <v>228</v>
      </c>
      <c r="C12" s="5" t="s">
        <v>229</v>
      </c>
      <c r="K12" s="6" t="s">
        <v>230</v>
      </c>
    </row>
    <row r="13" spans="2:23" ht="20.25" customHeight="1" x14ac:dyDescent="0.15">
      <c r="B13" s="5" t="s">
        <v>231</v>
      </c>
      <c r="C13" s="5" t="s">
        <v>232</v>
      </c>
      <c r="K13" s="6" t="s">
        <v>233</v>
      </c>
    </row>
    <row r="14" spans="2:23" ht="20.25" customHeight="1" x14ac:dyDescent="0.15">
      <c r="K14" s="6" t="s">
        <v>234</v>
      </c>
    </row>
    <row r="15" spans="2:23" ht="17.25" customHeight="1" x14ac:dyDescent="0.15">
      <c r="B15" s="10"/>
    </row>
    <row r="16" spans="2:23" ht="17.25" customHeight="1" x14ac:dyDescent="0.15">
      <c r="B16" s="5"/>
      <c r="C16" s="5"/>
      <c r="E16" s="5"/>
    </row>
    <row r="17" spans="2:5" ht="17.25" customHeight="1" x14ac:dyDescent="0.15">
      <c r="B17" s="5"/>
      <c r="C17" s="5"/>
      <c r="E17" s="5"/>
    </row>
    <row r="18" spans="2:5" ht="17.25" customHeight="1" x14ac:dyDescent="0.15">
      <c r="B18" s="5"/>
      <c r="C18" s="5"/>
      <c r="E18" s="5"/>
    </row>
    <row r="19" spans="2:5" ht="17.25" customHeight="1" x14ac:dyDescent="0.15">
      <c r="B19" s="5"/>
      <c r="C19" s="5"/>
      <c r="E19" s="5"/>
    </row>
    <row r="20" spans="2:5" ht="17.25" customHeight="1" x14ac:dyDescent="0.15">
      <c r="B20" s="5"/>
      <c r="C20" s="5"/>
      <c r="E20" s="5"/>
    </row>
    <row r="21" spans="2:5" ht="17.25" customHeight="1" x14ac:dyDescent="0.15">
      <c r="B21" s="5"/>
      <c r="C21" s="5"/>
      <c r="E21" s="5"/>
    </row>
    <row r="22" spans="2:5" ht="17.25" customHeight="1" x14ac:dyDescent="0.15">
      <c r="B22" s="5"/>
      <c r="C22" s="5"/>
      <c r="E22" s="5"/>
    </row>
    <row r="23" spans="2:5" ht="17.25" customHeight="1" x14ac:dyDescent="0.15">
      <c r="B23" s="5"/>
      <c r="C23" s="5"/>
    </row>
    <row r="24" spans="2:5" ht="17.25" customHeight="1" x14ac:dyDescent="0.15">
      <c r="B24" s="5"/>
      <c r="C24" s="5"/>
    </row>
    <row r="25" spans="2:5" ht="17.25" customHeight="1" x14ac:dyDescent="0.15">
      <c r="B25" s="5"/>
      <c r="C25" s="5"/>
    </row>
    <row r="26" spans="2:5" ht="17.25" customHeight="1" x14ac:dyDescent="0.15">
      <c r="B26" s="5"/>
      <c r="C26" s="5"/>
    </row>
    <row r="27" spans="2:5" ht="17.25" customHeight="1" x14ac:dyDescent="0.15">
      <c r="B27" s="5"/>
      <c r="C27" s="5"/>
    </row>
    <row r="28" spans="2:5" ht="17.25" customHeight="1" x14ac:dyDescent="0.15">
      <c r="B28" s="5"/>
    </row>
    <row r="29" spans="2:5" ht="17.25" customHeight="1" x14ac:dyDescent="0.15">
      <c r="B29" s="5"/>
    </row>
    <row r="30" spans="2:5" ht="17.25" customHeight="1" x14ac:dyDescent="0.15">
      <c r="B30" s="5"/>
    </row>
    <row r="31" spans="2:5" ht="17.25" customHeight="1" x14ac:dyDescent="0.15">
      <c r="B31" s="5"/>
    </row>
    <row r="32" spans="2:5" ht="17.25" customHeight="1" x14ac:dyDescent="0.15">
      <c r="B32" s="5"/>
    </row>
    <row r="33" spans="2:2" ht="17.25" customHeight="1" x14ac:dyDescent="0.15">
      <c r="B33" s="5"/>
    </row>
    <row r="34" spans="2:2" ht="17.25" customHeight="1" x14ac:dyDescent="0.15">
      <c r="B34" s="5"/>
    </row>
    <row r="35" spans="2:2" ht="17.25" customHeight="1" x14ac:dyDescent="0.15">
      <c r="B35" s="5"/>
    </row>
    <row r="36" spans="2:2" ht="17.25" customHeight="1" x14ac:dyDescent="0.15">
      <c r="B36" s="5"/>
    </row>
    <row r="37" spans="2:2" ht="17.25" customHeight="1" x14ac:dyDescent="0.15">
      <c r="B37" s="5"/>
    </row>
    <row r="38" spans="2:2" ht="17.25" customHeight="1" x14ac:dyDescent="0.15">
      <c r="B38" s="5"/>
    </row>
    <row r="39" spans="2:2" ht="17.25" customHeight="1" x14ac:dyDescent="0.15">
      <c r="B39" s="5"/>
    </row>
    <row r="40" spans="2:2" ht="17.25" customHeight="1" x14ac:dyDescent="0.15">
      <c r="B40" s="5"/>
    </row>
    <row r="41" spans="2:2" ht="17.25" customHeight="1" x14ac:dyDescent="0.15">
      <c r="B41" s="5"/>
    </row>
    <row r="42" spans="2:2" ht="17.25" customHeight="1" x14ac:dyDescent="0.15">
      <c r="B42" s="5"/>
    </row>
    <row r="43" spans="2:2" ht="17.25" customHeight="1" x14ac:dyDescent="0.15">
      <c r="B43" s="5"/>
    </row>
    <row r="44" spans="2:2" x14ac:dyDescent="0.15">
      <c r="B44" s="5"/>
    </row>
    <row r="45" spans="2:2" x14ac:dyDescent="0.15">
      <c r="B45" s="5"/>
    </row>
    <row r="46" spans="2:2" x14ac:dyDescent="0.15">
      <c r="B46" s="5"/>
    </row>
  </sheetData>
  <sheetProtection algorithmName="SHA-512" hashValue="kN6lUVknKlRdqxDYGwybrhrGYMH6Zhy9Fu1zFmldhNwV4YJS7/Jqsqw7NXzGT6bkycPU1oOOqmIkL1WKK7aoBA==" saltValue="ZWV3riMoRH8+rmJOwa250w==" spinCount="100000" sheet="1" objects="1" scenarios="1"/>
  <pageMargins left="0.7" right="0.7" top="0.75" bottom="0.75" header="0.3" footer="0.3"/>
  <pageSetup paperSize="9" orientation="portrait"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5790"/>
  </sheetPr>
  <dimension ref="B2:P25"/>
  <sheetViews>
    <sheetView showGridLines="0" zoomScaleNormal="100" workbookViewId="0">
      <selection activeCell="G28" sqref="G28"/>
    </sheetView>
  </sheetViews>
  <sheetFormatPr baseColWidth="10" defaultColWidth="11.42578125" defaultRowHeight="14.25" x14ac:dyDescent="0.2"/>
  <cols>
    <col min="1" max="1" width="2.85546875" style="33" customWidth="1"/>
    <col min="2" max="2" width="15.7109375" style="33" customWidth="1"/>
    <col min="3" max="4" width="15.140625" style="33" customWidth="1"/>
    <col min="5" max="5" width="4.28515625" style="33" customWidth="1"/>
    <col min="6" max="7" width="16.28515625" style="33" customWidth="1"/>
    <col min="8" max="8" width="4.28515625" style="33" customWidth="1"/>
    <col min="9" max="9" width="14.140625" style="33" customWidth="1"/>
    <col min="10" max="11" width="11.42578125" style="33"/>
    <col min="12" max="12" width="5.28515625" style="33" customWidth="1"/>
    <col min="13" max="16384" width="11.42578125" style="33"/>
  </cols>
  <sheetData>
    <row r="2" spans="2:16" x14ac:dyDescent="0.2">
      <c r="B2" s="161" t="s">
        <v>235</v>
      </c>
      <c r="C2" s="161"/>
      <c r="D2" s="161"/>
      <c r="E2" s="161"/>
      <c r="F2" s="161"/>
      <c r="G2" s="161"/>
      <c r="H2" s="161"/>
      <c r="I2" s="161"/>
      <c r="J2" s="161"/>
      <c r="K2" s="161"/>
    </row>
    <row r="3" spans="2:16" ht="15" thickBot="1" x14ac:dyDescent="0.25"/>
    <row r="4" spans="2:16" ht="31.5" customHeight="1" thickTop="1" thickBot="1" x14ac:dyDescent="0.25">
      <c r="B4" s="34" t="s">
        <v>90</v>
      </c>
      <c r="C4" s="34" t="s">
        <v>236</v>
      </c>
      <c r="D4" s="34" t="s">
        <v>237</v>
      </c>
      <c r="F4" s="179" t="s">
        <v>238</v>
      </c>
      <c r="G4" s="180"/>
      <c r="I4" s="179" t="s">
        <v>239</v>
      </c>
      <c r="J4" s="181"/>
      <c r="K4" s="180"/>
    </row>
    <row r="5" spans="2:16" ht="22.5" customHeight="1" thickTop="1" thickBot="1" x14ac:dyDescent="0.25">
      <c r="B5" s="35">
        <f>SUM('Año 1'!X7:X77)</f>
        <v>0</v>
      </c>
      <c r="C5" s="35">
        <f>SUM('Año 1'!Y7:Y77)</f>
        <v>0</v>
      </c>
      <c r="D5" s="35">
        <f>B5-C5</f>
        <v>0</v>
      </c>
      <c r="F5" s="36" t="e">
        <f>C5/$B$5</f>
        <v>#DIV/0!</v>
      </c>
      <c r="G5" s="37"/>
      <c r="I5" s="36" t="e">
        <f>D5/$B$5</f>
        <v>#DIV/0!</v>
      </c>
      <c r="J5" s="38"/>
      <c r="K5" s="37"/>
    </row>
    <row r="6" spans="2:16" ht="15.75" thickTop="1" thickBot="1" x14ac:dyDescent="0.25"/>
    <row r="7" spans="2:16" ht="15.75" thickTop="1" thickBot="1" x14ac:dyDescent="0.25">
      <c r="F7" s="39"/>
      <c r="G7" s="40"/>
      <c r="I7" s="39"/>
      <c r="J7" s="41"/>
      <c r="K7" s="40"/>
      <c r="M7" s="182" t="s">
        <v>240</v>
      </c>
      <c r="N7" s="182"/>
      <c r="O7" s="182"/>
      <c r="P7" s="182"/>
    </row>
    <row r="8" spans="2:16" ht="15.75" thickTop="1" thickBot="1" x14ac:dyDescent="0.25">
      <c r="F8" s="42"/>
      <c r="G8" s="43"/>
      <c r="I8" s="42"/>
      <c r="K8" s="43"/>
      <c r="M8" s="96" t="s">
        <v>241</v>
      </c>
      <c r="N8" s="182" t="s">
        <v>242</v>
      </c>
      <c r="O8" s="182"/>
      <c r="P8" s="182"/>
    </row>
    <row r="9" spans="2:16" ht="6.75" customHeight="1" thickTop="1" thickBot="1" x14ac:dyDescent="0.25">
      <c r="F9" s="42"/>
      <c r="G9" s="43"/>
      <c r="I9" s="42"/>
      <c r="K9" s="43"/>
      <c r="M9" s="44"/>
      <c r="N9" s="44"/>
      <c r="O9" s="44"/>
      <c r="P9" s="44"/>
    </row>
    <row r="10" spans="2:16" ht="21" customHeight="1" thickTop="1" thickBot="1" x14ac:dyDescent="0.25">
      <c r="F10" s="42"/>
      <c r="G10" s="43"/>
      <c r="I10" s="42"/>
      <c r="K10" s="43"/>
      <c r="M10" s="45" t="s">
        <v>243</v>
      </c>
      <c r="N10" s="169" t="s">
        <v>244</v>
      </c>
      <c r="O10" s="169"/>
      <c r="P10" s="169"/>
    </row>
    <row r="11" spans="2:16" ht="21" customHeight="1" thickTop="1" thickBot="1" x14ac:dyDescent="0.25">
      <c r="F11" s="42"/>
      <c r="G11" s="43"/>
      <c r="I11" s="42"/>
      <c r="K11" s="43"/>
      <c r="M11" s="45" t="s">
        <v>245</v>
      </c>
      <c r="N11" s="169" t="s">
        <v>246</v>
      </c>
      <c r="O11" s="169"/>
      <c r="P11" s="169"/>
    </row>
    <row r="12" spans="2:16" ht="21" customHeight="1" thickTop="1" thickBot="1" x14ac:dyDescent="0.25">
      <c r="F12" s="42"/>
      <c r="G12" s="43"/>
      <c r="I12" s="42"/>
      <c r="K12" s="43"/>
      <c r="M12" s="45" t="s">
        <v>247</v>
      </c>
      <c r="N12" s="169" t="s">
        <v>248</v>
      </c>
      <c r="O12" s="169"/>
      <c r="P12" s="169"/>
    </row>
    <row r="13" spans="2:16" ht="6.75" customHeight="1" thickTop="1" thickBot="1" x14ac:dyDescent="0.25">
      <c r="F13" s="42"/>
      <c r="G13" s="43"/>
      <c r="I13" s="42"/>
      <c r="K13" s="43"/>
      <c r="M13" s="44"/>
      <c r="N13" s="44"/>
      <c r="O13" s="44"/>
      <c r="P13" s="44"/>
    </row>
    <row r="14" spans="2:16" ht="6.75" customHeight="1" thickTop="1" x14ac:dyDescent="0.2">
      <c r="F14" s="42"/>
      <c r="G14" s="43"/>
      <c r="I14" s="42"/>
      <c r="K14" s="43"/>
      <c r="M14" s="170" t="e">
        <f>IF(F5&gt;=75%,"Satisfactorio",IF(F5&gt;=50%,"Aceptable","Deficiente"))</f>
        <v>#DIV/0!</v>
      </c>
      <c r="N14" s="171"/>
      <c r="O14" s="171"/>
      <c r="P14" s="172"/>
    </row>
    <row r="15" spans="2:16" ht="6.75" customHeight="1" x14ac:dyDescent="0.2">
      <c r="F15" s="42"/>
      <c r="G15" s="43"/>
      <c r="I15" s="42"/>
      <c r="K15" s="43"/>
      <c r="M15" s="173"/>
      <c r="N15" s="174"/>
      <c r="O15" s="174"/>
      <c r="P15" s="175"/>
    </row>
    <row r="16" spans="2:16" ht="6.75" customHeight="1" thickBot="1" x14ac:dyDescent="0.25">
      <c r="F16" s="42"/>
      <c r="G16" s="43"/>
      <c r="I16" s="42"/>
      <c r="K16" s="43"/>
      <c r="M16" s="176"/>
      <c r="N16" s="177"/>
      <c r="O16" s="177"/>
      <c r="P16" s="178"/>
    </row>
    <row r="17" spans="2:11" ht="15" thickTop="1" x14ac:dyDescent="0.2">
      <c r="F17" s="42"/>
      <c r="G17" s="43"/>
      <c r="I17" s="42"/>
      <c r="K17" s="43"/>
    </row>
    <row r="18" spans="2:11" x14ac:dyDescent="0.2">
      <c r="F18" s="46"/>
      <c r="G18" s="47"/>
      <c r="I18" s="46"/>
      <c r="J18" s="48"/>
      <c r="K18" s="47"/>
    </row>
    <row r="19" spans="2:11" ht="15" thickBot="1" x14ac:dyDescent="0.25"/>
    <row r="20" spans="2:11" ht="16.5" customHeight="1" thickTop="1" thickBot="1" x14ac:dyDescent="0.25">
      <c r="B20" s="162" t="s">
        <v>249</v>
      </c>
      <c r="C20" s="163"/>
      <c r="D20" s="163"/>
      <c r="E20" s="163"/>
      <c r="F20" s="163"/>
      <c r="G20" s="163"/>
      <c r="H20" s="163"/>
      <c r="I20" s="163"/>
      <c r="J20" s="164"/>
    </row>
    <row r="21" spans="2:11" ht="16.5" customHeight="1" thickTop="1" thickBot="1" x14ac:dyDescent="0.25">
      <c r="B21" s="79"/>
      <c r="C21" s="165" t="s">
        <v>250</v>
      </c>
      <c r="D21" s="166"/>
      <c r="E21" s="166"/>
      <c r="F21" s="166"/>
      <c r="G21" s="167"/>
      <c r="H21" s="168" t="s">
        <v>251</v>
      </c>
      <c r="I21" s="168"/>
      <c r="J21" s="168"/>
    </row>
    <row r="22" spans="2:11" ht="34.5" customHeight="1" thickTop="1" thickBot="1" x14ac:dyDescent="0.25">
      <c r="B22" s="83" t="s">
        <v>252</v>
      </c>
      <c r="C22" s="155"/>
      <c r="D22" s="156"/>
      <c r="E22" s="156"/>
      <c r="F22" s="156"/>
      <c r="G22" s="157"/>
      <c r="H22" s="158"/>
      <c r="I22" s="158"/>
      <c r="J22" s="158"/>
    </row>
    <row r="23" spans="2:11" ht="34.5" customHeight="1" thickTop="1" thickBot="1" x14ac:dyDescent="0.25">
      <c r="B23" s="83" t="s">
        <v>253</v>
      </c>
      <c r="C23" s="155" t="s">
        <v>254</v>
      </c>
      <c r="D23" s="156"/>
      <c r="E23" s="156"/>
      <c r="F23" s="156"/>
      <c r="G23" s="157"/>
      <c r="H23" s="158" t="s">
        <v>255</v>
      </c>
      <c r="I23" s="158"/>
      <c r="J23" s="158"/>
    </row>
    <row r="24" spans="2:11" ht="16.5" customHeight="1" thickTop="1" thickBot="1" x14ac:dyDescent="0.25">
      <c r="B24" s="84" t="s">
        <v>256</v>
      </c>
      <c r="C24" s="80" t="s">
        <v>33</v>
      </c>
      <c r="D24" s="80" t="s">
        <v>65</v>
      </c>
      <c r="E24" s="159" t="s">
        <v>35</v>
      </c>
      <c r="F24" s="160"/>
      <c r="G24" s="81"/>
      <c r="H24" s="82"/>
      <c r="I24" s="82"/>
      <c r="J24" s="81"/>
    </row>
    <row r="25" spans="2:11" ht="15" thickTop="1" x14ac:dyDescent="0.2"/>
  </sheetData>
  <sheetProtection algorithmName="SHA-512" hashValue="+NfOgXmyTdNW+Ru1mNxkyYyZvLII/8coQPkoQnarpUMzKMdecJLWWl1UQ6VzHS8q7fmGVpfwgAVCaUcsX5gXiA==" saltValue="0INjcSA/nvpny5gjDc3OLQ==" spinCount="100000" sheet="1" objects="1" scenarios="1"/>
  <mergeCells count="17">
    <mergeCell ref="N12:P12"/>
    <mergeCell ref="M14:P16"/>
    <mergeCell ref="F4:G4"/>
    <mergeCell ref="I4:K4"/>
    <mergeCell ref="M7:P7"/>
    <mergeCell ref="N8:P8"/>
    <mergeCell ref="N10:P10"/>
    <mergeCell ref="N11:P11"/>
    <mergeCell ref="C23:G23"/>
    <mergeCell ref="H23:J23"/>
    <mergeCell ref="E24:F24"/>
    <mergeCell ref="B2:K2"/>
    <mergeCell ref="B20:J20"/>
    <mergeCell ref="C21:G21"/>
    <mergeCell ref="H21:J21"/>
    <mergeCell ref="C22:G22"/>
    <mergeCell ref="H22:J22"/>
  </mergeCells>
  <conditionalFormatting sqref="C24">
    <cfRule type="containsText" dxfId="22" priority="3" operator="containsText" text="DD">
      <formula>NOT(ISERROR(SEARCH("DD",C24)))</formula>
    </cfRule>
  </conditionalFormatting>
  <conditionalFormatting sqref="D24">
    <cfRule type="containsText" dxfId="21" priority="1" operator="containsText" text="MM">
      <formula>NOT(ISERROR(SEARCH("MM",D24)))</formula>
    </cfRule>
  </conditionalFormatting>
  <conditionalFormatting sqref="E24">
    <cfRule type="containsText" dxfId="20" priority="2" operator="containsText" text="AAAA">
      <formula>NOT(ISERROR(SEARCH("AAAA",E24)))</formula>
    </cfRule>
  </conditionalFormatting>
  <conditionalFormatting sqref="M14:P16">
    <cfRule type="containsText" dxfId="19" priority="4" operator="containsText" text="Deficiente">
      <formula>NOT(ISERROR(SEARCH("Deficiente",M14)))</formula>
    </cfRule>
    <cfRule type="containsText" dxfId="18" priority="5" operator="containsText" text="Aceptable">
      <formula>NOT(ISERROR(SEARCH("Aceptable",M14)))</formula>
    </cfRule>
    <cfRule type="cellIs" dxfId="17" priority="6" operator="equal">
      <formula>"Satisfactorio"</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'Hoja1 (2)'!$E$1:$E$32</xm:f>
          </x14:formula1>
          <xm:sqref>C24</xm:sqref>
        </x14:dataValidation>
        <x14:dataValidation type="list" allowBlank="1" showInputMessage="1" showErrorMessage="1">
          <x14:formula1>
            <xm:f>'Hoja1 (2)'!$F$1:$F$13</xm:f>
          </x14:formula1>
          <xm:sqref>D24</xm:sqref>
        </x14:dataValidation>
        <x14:dataValidation type="list" allowBlank="1" showInputMessage="1" showErrorMessage="1">
          <x14:formula1>
            <xm:f>'Hoja1 (2)'!$G$1:$G$13</xm:f>
          </x14:formula1>
          <xm:sqref>E24:F24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5790"/>
  </sheetPr>
  <dimension ref="A1:AL78"/>
  <sheetViews>
    <sheetView showGridLines="0" zoomScale="90" zoomScaleNormal="90" workbookViewId="0">
      <pane ySplit="7" topLeftCell="A8" activePane="bottomLeft" state="frozen"/>
      <selection pane="bottomLeft" activeCell="A8" sqref="A8"/>
    </sheetView>
  </sheetViews>
  <sheetFormatPr baseColWidth="10" defaultColWidth="11.42578125" defaultRowHeight="15" x14ac:dyDescent="0.25"/>
  <cols>
    <col min="1" max="1" width="40" style="1" customWidth="1"/>
    <col min="2" max="2" width="23.140625" style="1" customWidth="1"/>
    <col min="3" max="5" width="46.7109375" style="1" customWidth="1"/>
    <col min="6" max="10" width="12.7109375" style="1" customWidth="1"/>
    <col min="11" max="11" width="13.140625" style="1" customWidth="1"/>
    <col min="12" max="13" width="46.7109375" style="1" customWidth="1"/>
    <col min="14" max="16" width="23.140625" style="1" customWidth="1"/>
    <col min="17" max="18" width="29.42578125" style="1" customWidth="1"/>
    <col min="19" max="19" width="20.42578125" style="1" bestFit="1" customWidth="1"/>
    <col min="20" max="20" width="15.85546875" style="1" customWidth="1"/>
    <col min="21" max="21" width="3.28515625" style="1" customWidth="1"/>
    <col min="22" max="23" width="3.140625" style="1" customWidth="1"/>
    <col min="24" max="25" width="8.42578125" style="1" customWidth="1"/>
    <col min="26" max="26" width="1.85546875" style="1" customWidth="1"/>
    <col min="27" max="27" width="10" style="1" customWidth="1"/>
    <col min="28" max="28" width="10.85546875" style="1" customWidth="1"/>
    <col min="29" max="29" width="6.140625" hidden="1" customWidth="1"/>
    <col min="30" max="16384" width="11.42578125" style="1"/>
  </cols>
  <sheetData>
    <row r="1" spans="1:38" s="112" customFormat="1" ht="95.25" customHeight="1" x14ac:dyDescent="0.25">
      <c r="A1" s="110"/>
      <c r="B1" s="143" t="s">
        <v>257</v>
      </c>
      <c r="C1" s="143"/>
      <c r="D1" s="143"/>
      <c r="E1" s="143"/>
      <c r="F1" s="143"/>
      <c r="G1" s="143"/>
      <c r="H1" s="143"/>
      <c r="I1" s="143"/>
      <c r="J1" s="143"/>
      <c r="K1" s="143"/>
      <c r="L1" s="143"/>
      <c r="M1" s="143"/>
      <c r="N1" s="143"/>
      <c r="O1" s="143"/>
      <c r="P1" s="143"/>
      <c r="Q1" s="143"/>
      <c r="R1" s="143"/>
      <c r="S1" s="143"/>
      <c r="T1" s="143"/>
      <c r="U1" s="143"/>
      <c r="V1" s="143"/>
      <c r="W1" s="111"/>
      <c r="X1" s="111"/>
      <c r="Y1" s="111"/>
      <c r="Z1" s="111"/>
      <c r="AA1" s="111"/>
      <c r="AB1" s="111"/>
      <c r="AC1" s="111"/>
      <c r="AD1" s="111"/>
      <c r="AE1" s="111"/>
      <c r="AF1" s="111"/>
      <c r="AG1" s="111"/>
      <c r="AH1" s="111"/>
      <c r="AI1" s="111"/>
      <c r="AJ1" s="111"/>
      <c r="AK1" s="111"/>
      <c r="AL1" s="111"/>
    </row>
    <row r="2" spans="1:38" s="112" customFormat="1" ht="20.25" customHeight="1" x14ac:dyDescent="0.25">
      <c r="A2" s="117" t="s">
        <v>71</v>
      </c>
      <c r="B2" s="144"/>
      <c r="C2" s="144"/>
      <c r="D2" s="144"/>
      <c r="E2" s="144"/>
      <c r="F2" s="144"/>
      <c r="G2" s="144"/>
      <c r="H2" s="144"/>
      <c r="I2" s="144"/>
      <c r="J2" s="144"/>
      <c r="K2" s="144"/>
      <c r="L2" s="144"/>
      <c r="M2" s="144"/>
      <c r="N2" s="144"/>
      <c r="O2" s="144"/>
      <c r="P2" s="144"/>
      <c r="Q2" s="144"/>
      <c r="R2" s="144"/>
      <c r="S2" s="144"/>
      <c r="T2" s="144"/>
      <c r="U2" s="144"/>
      <c r="V2" s="144"/>
      <c r="W2" s="113"/>
      <c r="X2" s="113"/>
      <c r="Y2" s="113"/>
      <c r="Z2" s="113"/>
      <c r="AA2" s="113"/>
      <c r="AB2" s="113"/>
      <c r="AC2" s="113"/>
      <c r="AD2" s="113"/>
      <c r="AE2" s="113"/>
      <c r="AF2" s="113"/>
      <c r="AG2" s="113"/>
      <c r="AH2" s="113"/>
      <c r="AI2" s="113"/>
      <c r="AJ2" s="113"/>
      <c r="AK2" s="113"/>
      <c r="AL2" s="113"/>
    </row>
    <row r="3" spans="1:38" s="112" customFormat="1" ht="21.75" customHeight="1" x14ac:dyDescent="0.25">
      <c r="A3" s="117" t="s">
        <v>72</v>
      </c>
      <c r="B3" s="145"/>
      <c r="C3" s="145"/>
      <c r="D3" s="145"/>
      <c r="E3" s="145"/>
      <c r="F3" s="145"/>
      <c r="G3" s="145"/>
      <c r="H3" s="145"/>
      <c r="I3" s="145"/>
      <c r="J3" s="145"/>
      <c r="K3" s="145"/>
      <c r="L3" s="145"/>
      <c r="M3" s="145"/>
      <c r="N3" s="145"/>
      <c r="O3" s="145"/>
      <c r="P3" s="145"/>
      <c r="Q3" s="145"/>
      <c r="R3" s="145"/>
      <c r="S3" s="145"/>
      <c r="T3" s="145"/>
      <c r="U3" s="145"/>
      <c r="V3" s="145"/>
      <c r="W3" s="113"/>
      <c r="X3" s="113"/>
      <c r="Y3" s="113"/>
      <c r="Z3" s="113"/>
      <c r="AA3" s="113"/>
      <c r="AB3" s="113"/>
      <c r="AC3" s="113"/>
      <c r="AD3" s="113"/>
      <c r="AE3" s="113"/>
      <c r="AF3" s="113"/>
      <c r="AG3" s="113"/>
      <c r="AH3" s="113"/>
      <c r="AI3" s="113"/>
      <c r="AJ3" s="113"/>
      <c r="AK3" s="113"/>
      <c r="AL3" s="113"/>
    </row>
    <row r="4" spans="1:38" s="112" customFormat="1" ht="30" customHeight="1" x14ac:dyDescent="0.25">
      <c r="A4" s="117" t="s">
        <v>258</v>
      </c>
      <c r="B4" s="144"/>
      <c r="C4" s="144"/>
      <c r="D4" s="144"/>
      <c r="E4" s="144"/>
      <c r="F4" s="144"/>
      <c r="G4" s="144"/>
      <c r="H4" s="144"/>
      <c r="I4" s="144"/>
      <c r="J4" s="144"/>
      <c r="K4" s="144"/>
      <c r="L4" s="144"/>
      <c r="M4" s="144"/>
      <c r="N4" s="144"/>
      <c r="O4" s="144"/>
      <c r="P4" s="144"/>
      <c r="Q4" s="144"/>
      <c r="R4" s="144"/>
      <c r="S4" s="144"/>
      <c r="T4" s="144"/>
      <c r="U4" s="144"/>
      <c r="V4" s="144"/>
      <c r="W4" s="113"/>
      <c r="X4" s="113"/>
      <c r="Y4" s="113"/>
      <c r="Z4" s="113"/>
      <c r="AA4" s="113"/>
      <c r="AB4" s="113"/>
      <c r="AC4" s="113"/>
      <c r="AD4" s="113"/>
      <c r="AE4" s="113"/>
      <c r="AF4" s="113"/>
      <c r="AG4" s="113"/>
      <c r="AH4" s="113"/>
      <c r="AI4" s="113"/>
      <c r="AJ4" s="113"/>
      <c r="AK4" s="113"/>
      <c r="AL4" s="113"/>
    </row>
    <row r="5" spans="1:38" ht="51.75" customHeight="1" thickBot="1" x14ac:dyDescent="0.3">
      <c r="A5" s="150" t="s">
        <v>74</v>
      </c>
      <c r="B5" s="183"/>
      <c r="C5" s="11"/>
      <c r="D5" s="11"/>
      <c r="E5" s="11"/>
      <c r="F5" s="87"/>
      <c r="G5" s="87"/>
      <c r="H5" s="87"/>
      <c r="I5" s="87"/>
      <c r="J5" s="87"/>
      <c r="S5" s="148" t="s">
        <v>259</v>
      </c>
      <c r="T5" s="149"/>
    </row>
    <row r="6" spans="1:38" ht="30" customHeight="1" thickTop="1" thickBot="1" x14ac:dyDescent="0.3">
      <c r="A6" s="152" t="s">
        <v>76</v>
      </c>
      <c r="B6" s="139" t="s">
        <v>77</v>
      </c>
      <c r="C6" s="140" t="s">
        <v>260</v>
      </c>
      <c r="D6" s="142" t="s">
        <v>79</v>
      </c>
      <c r="E6" s="142" t="s">
        <v>261</v>
      </c>
      <c r="F6" s="136" t="s">
        <v>81</v>
      </c>
      <c r="G6" s="137"/>
      <c r="H6" s="138"/>
      <c r="I6" s="136" t="s">
        <v>82</v>
      </c>
      <c r="J6" s="137"/>
      <c r="K6" s="138"/>
      <c r="L6" s="140" t="s">
        <v>83</v>
      </c>
      <c r="M6" s="140" t="s">
        <v>84</v>
      </c>
      <c r="N6" s="140" t="s">
        <v>85</v>
      </c>
      <c r="O6" s="136" t="s">
        <v>86</v>
      </c>
      <c r="P6" s="137"/>
      <c r="Q6" s="138"/>
      <c r="R6" s="140" t="s">
        <v>87</v>
      </c>
      <c r="S6" s="146" t="s">
        <v>88</v>
      </c>
      <c r="T6" s="146" t="s">
        <v>89</v>
      </c>
      <c r="X6" s="28" t="s">
        <v>90</v>
      </c>
      <c r="Y6" s="28" t="s">
        <v>91</v>
      </c>
      <c r="AA6" s="29" t="s">
        <v>92</v>
      </c>
      <c r="AB6" s="30" t="s">
        <v>93</v>
      </c>
      <c r="AC6" s="30" t="s">
        <v>94</v>
      </c>
    </row>
    <row r="7" spans="1:38" ht="27.75" customHeight="1" thickTop="1" thickBot="1" x14ac:dyDescent="0.3">
      <c r="A7" s="153"/>
      <c r="B7" s="139"/>
      <c r="C7" s="141"/>
      <c r="D7" s="142"/>
      <c r="E7" s="142"/>
      <c r="F7" s="114" t="s">
        <v>95</v>
      </c>
      <c r="G7" s="114" t="s">
        <v>96</v>
      </c>
      <c r="H7" s="114" t="s">
        <v>97</v>
      </c>
      <c r="I7" s="114" t="s">
        <v>95</v>
      </c>
      <c r="J7" s="114" t="s">
        <v>96</v>
      </c>
      <c r="K7" s="114" t="s">
        <v>97</v>
      </c>
      <c r="L7" s="141"/>
      <c r="M7" s="141"/>
      <c r="N7" s="141"/>
      <c r="O7" s="115" t="s">
        <v>98</v>
      </c>
      <c r="P7" s="115" t="s">
        <v>99</v>
      </c>
      <c r="Q7" s="115" t="s">
        <v>100</v>
      </c>
      <c r="R7" s="141"/>
      <c r="S7" s="147"/>
      <c r="T7" s="147"/>
      <c r="U7" s="91"/>
      <c r="V7" s="91"/>
      <c r="X7" s="31"/>
      <c r="Y7" s="31"/>
      <c r="AA7" s="32">
        <f>+X7-Y7</f>
        <v>0</v>
      </c>
      <c r="AB7" s="32" t="str">
        <f>IF(AA7=0,"Cumple",IF(AA7&gt;0,"Falta",IF(AA7&lt;0,"Error",0)))</f>
        <v>Cumple</v>
      </c>
      <c r="AC7" s="56" t="e">
        <f>(F7-#REF!)</f>
        <v>#VALUE!</v>
      </c>
    </row>
    <row r="8" spans="1:38" ht="17.25" customHeight="1" thickTop="1" thickBot="1" x14ac:dyDescent="0.3">
      <c r="A8" s="116"/>
      <c r="B8" s="116"/>
      <c r="C8" s="97"/>
      <c r="D8" s="97"/>
      <c r="E8" s="97"/>
      <c r="F8" s="102"/>
      <c r="G8" s="102"/>
      <c r="H8" s="102"/>
      <c r="I8" s="102"/>
      <c r="J8" s="102"/>
      <c r="K8" s="104"/>
      <c r="L8" s="97"/>
      <c r="M8" s="97"/>
      <c r="N8" s="97"/>
      <c r="O8" s="97"/>
      <c r="P8" s="97"/>
      <c r="Q8" s="86"/>
      <c r="R8" s="97"/>
      <c r="S8" s="103"/>
      <c r="T8" s="103"/>
      <c r="U8" s="91"/>
      <c r="V8" s="91"/>
      <c r="X8" s="12"/>
      <c r="Y8" s="12"/>
      <c r="AA8" s="32">
        <f t="shared" ref="AA8:AA71" si="0">+X8-Y8</f>
        <v>0</v>
      </c>
      <c r="AB8" s="32" t="str">
        <f t="shared" ref="AB8:AB71" si="1">IF(AA8=0,"Cumple",IF(AA8&gt;0,"Falta",IF(AA8&lt;0,"Error",0)))</f>
        <v>Cumple</v>
      </c>
      <c r="AC8" s="56" t="e">
        <f>(F8-#REF!)</f>
        <v>#REF!</v>
      </c>
    </row>
    <row r="9" spans="1:38" ht="17.25" customHeight="1" thickTop="1" thickBot="1" x14ac:dyDescent="0.3">
      <c r="A9" s="106"/>
      <c r="B9" s="106"/>
      <c r="C9" s="97"/>
      <c r="D9" s="97"/>
      <c r="E9" s="97"/>
      <c r="F9" s="102"/>
      <c r="G9" s="102"/>
      <c r="H9" s="102"/>
      <c r="I9" s="102"/>
      <c r="J9" s="102"/>
      <c r="K9" s="104"/>
      <c r="L9" s="97"/>
      <c r="M9" s="97"/>
      <c r="N9" s="97"/>
      <c r="O9" s="97"/>
      <c r="P9" s="97"/>
      <c r="Q9" s="86"/>
      <c r="R9" s="97"/>
      <c r="S9" s="103"/>
      <c r="T9" s="103"/>
      <c r="U9" s="91"/>
      <c r="V9" s="91"/>
      <c r="X9" s="12"/>
      <c r="Y9" s="100"/>
      <c r="AA9" s="32">
        <f t="shared" si="0"/>
        <v>0</v>
      </c>
      <c r="AB9" s="32" t="str">
        <f t="shared" si="1"/>
        <v>Cumple</v>
      </c>
      <c r="AC9" s="56" t="e">
        <f>(F9-#REF!)</f>
        <v>#REF!</v>
      </c>
    </row>
    <row r="10" spans="1:38" ht="17.25" customHeight="1" thickTop="1" thickBot="1" x14ac:dyDescent="0.3">
      <c r="A10" s="106"/>
      <c r="B10" s="106"/>
      <c r="C10" s="97"/>
      <c r="D10" s="97"/>
      <c r="E10" s="97"/>
      <c r="F10" s="102"/>
      <c r="G10" s="102"/>
      <c r="H10" s="102"/>
      <c r="I10" s="102"/>
      <c r="J10" s="102"/>
      <c r="K10" s="104"/>
      <c r="L10" s="97"/>
      <c r="M10" s="97"/>
      <c r="N10" s="97"/>
      <c r="O10" s="97"/>
      <c r="P10" s="97"/>
      <c r="Q10" s="86"/>
      <c r="R10" s="97"/>
      <c r="S10" s="103"/>
      <c r="T10" s="103"/>
      <c r="U10" s="91"/>
      <c r="V10" s="91"/>
      <c r="X10" s="12"/>
      <c r="Y10" s="12"/>
      <c r="AA10" s="32">
        <f t="shared" si="0"/>
        <v>0</v>
      </c>
      <c r="AB10" s="32" t="str">
        <f t="shared" si="1"/>
        <v>Cumple</v>
      </c>
      <c r="AC10" s="56" t="e">
        <f>(F10-#REF!)</f>
        <v>#REF!</v>
      </c>
    </row>
    <row r="11" spans="1:38" ht="17.25" customHeight="1" thickTop="1" thickBot="1" x14ac:dyDescent="0.3">
      <c r="A11" s="106"/>
      <c r="B11" s="106"/>
      <c r="C11" s="97"/>
      <c r="D11" s="97"/>
      <c r="E11" s="97"/>
      <c r="F11" s="102"/>
      <c r="G11" s="102"/>
      <c r="H11" s="102"/>
      <c r="I11" s="102"/>
      <c r="J11" s="102"/>
      <c r="K11" s="104"/>
      <c r="L11" s="97"/>
      <c r="M11" s="97"/>
      <c r="N11" s="97"/>
      <c r="O11" s="97"/>
      <c r="P11" s="97"/>
      <c r="Q11" s="86"/>
      <c r="R11" s="97"/>
      <c r="S11" s="103"/>
      <c r="T11" s="103"/>
      <c r="U11" s="91"/>
      <c r="V11" s="91"/>
      <c r="X11" s="12"/>
      <c r="Y11" s="12"/>
      <c r="AA11" s="32">
        <f t="shared" si="0"/>
        <v>0</v>
      </c>
      <c r="AB11" s="32" t="str">
        <f t="shared" si="1"/>
        <v>Cumple</v>
      </c>
      <c r="AC11" s="56" t="e">
        <f>(F11-#REF!)</f>
        <v>#REF!</v>
      </c>
    </row>
    <row r="12" spans="1:38" ht="17.25" customHeight="1" thickTop="1" thickBot="1" x14ac:dyDescent="0.3">
      <c r="A12" s="106"/>
      <c r="B12" s="106"/>
      <c r="C12" s="97"/>
      <c r="D12" s="97"/>
      <c r="E12" s="97"/>
      <c r="F12" s="102"/>
      <c r="G12" s="102"/>
      <c r="H12" s="102"/>
      <c r="I12" s="102"/>
      <c r="J12" s="102"/>
      <c r="K12" s="104"/>
      <c r="L12" s="97"/>
      <c r="M12" s="97"/>
      <c r="N12" s="97"/>
      <c r="O12" s="97"/>
      <c r="P12" s="97"/>
      <c r="Q12" s="86"/>
      <c r="R12" s="97"/>
      <c r="S12" s="97"/>
      <c r="T12" s="97"/>
      <c r="U12" s="91"/>
      <c r="V12" s="91"/>
      <c r="X12" s="12"/>
      <c r="Y12" s="12"/>
      <c r="AA12" s="32">
        <f t="shared" si="0"/>
        <v>0</v>
      </c>
      <c r="AB12" s="32" t="str">
        <f t="shared" si="1"/>
        <v>Cumple</v>
      </c>
      <c r="AC12" s="56" t="e">
        <f>(F12-#REF!)</f>
        <v>#REF!</v>
      </c>
    </row>
    <row r="13" spans="1:38" ht="17.25" customHeight="1" thickTop="1" thickBot="1" x14ac:dyDescent="0.3">
      <c r="A13" s="106"/>
      <c r="B13" s="106"/>
      <c r="C13" s="97"/>
      <c r="D13" s="97"/>
      <c r="E13" s="97"/>
      <c r="F13" s="102"/>
      <c r="G13" s="102"/>
      <c r="H13" s="102"/>
      <c r="I13" s="102"/>
      <c r="J13" s="102"/>
      <c r="K13" s="104"/>
      <c r="L13" s="97"/>
      <c r="M13" s="97"/>
      <c r="N13" s="97"/>
      <c r="O13" s="97"/>
      <c r="P13" s="97"/>
      <c r="Q13" s="86"/>
      <c r="R13" s="97"/>
      <c r="S13" s="103"/>
      <c r="T13" s="103"/>
      <c r="U13" s="91"/>
      <c r="V13" s="91"/>
      <c r="X13" s="12"/>
      <c r="Y13" s="12"/>
      <c r="AA13" s="32">
        <f t="shared" si="0"/>
        <v>0</v>
      </c>
      <c r="AB13" s="32" t="str">
        <f t="shared" si="1"/>
        <v>Cumple</v>
      </c>
      <c r="AC13" s="56" t="e">
        <f>(F13-#REF!)</f>
        <v>#REF!</v>
      </c>
    </row>
    <row r="14" spans="1:38" ht="17.25" customHeight="1" thickTop="1" thickBot="1" x14ac:dyDescent="0.3">
      <c r="A14" s="106"/>
      <c r="B14" s="106"/>
      <c r="C14" s="97"/>
      <c r="D14" s="97"/>
      <c r="E14" s="97"/>
      <c r="F14" s="102"/>
      <c r="G14" s="102"/>
      <c r="H14" s="102"/>
      <c r="I14" s="102"/>
      <c r="J14" s="102"/>
      <c r="K14" s="104"/>
      <c r="L14" s="97"/>
      <c r="M14" s="97"/>
      <c r="N14" s="97"/>
      <c r="O14" s="97"/>
      <c r="P14" s="97"/>
      <c r="Q14" s="86"/>
      <c r="R14" s="97"/>
      <c r="S14" s="103"/>
      <c r="T14" s="103"/>
      <c r="U14" s="91"/>
      <c r="V14" s="91"/>
      <c r="X14" s="12"/>
      <c r="Y14" s="100"/>
      <c r="AA14" s="32">
        <f t="shared" si="0"/>
        <v>0</v>
      </c>
      <c r="AB14" s="32" t="str">
        <f t="shared" si="1"/>
        <v>Cumple</v>
      </c>
      <c r="AC14" s="56" t="e">
        <f>(F14-#REF!)</f>
        <v>#REF!</v>
      </c>
    </row>
    <row r="15" spans="1:38" ht="17.25" customHeight="1" thickTop="1" thickBot="1" x14ac:dyDescent="0.3">
      <c r="A15" s="106"/>
      <c r="B15" s="106"/>
      <c r="C15" s="97"/>
      <c r="D15" s="97"/>
      <c r="E15" s="97"/>
      <c r="F15" s="102"/>
      <c r="G15" s="102"/>
      <c r="H15" s="102"/>
      <c r="I15" s="102"/>
      <c r="J15" s="102"/>
      <c r="K15" s="104"/>
      <c r="L15" s="97"/>
      <c r="M15" s="97"/>
      <c r="N15" s="97"/>
      <c r="O15" s="97"/>
      <c r="P15" s="97"/>
      <c r="Q15" s="86"/>
      <c r="R15" s="97"/>
      <c r="S15" s="103"/>
      <c r="T15" s="103"/>
      <c r="U15" s="91"/>
      <c r="V15" s="91"/>
      <c r="X15" s="12"/>
      <c r="Y15" s="12"/>
      <c r="AA15" s="32">
        <f t="shared" si="0"/>
        <v>0</v>
      </c>
      <c r="AB15" s="32" t="str">
        <f t="shared" si="1"/>
        <v>Cumple</v>
      </c>
      <c r="AC15" s="56" t="e">
        <f>(F15-#REF!)</f>
        <v>#REF!</v>
      </c>
    </row>
    <row r="16" spans="1:38" ht="17.25" customHeight="1" thickTop="1" thickBot="1" x14ac:dyDescent="0.3">
      <c r="A16" s="106"/>
      <c r="B16" s="106"/>
      <c r="C16" s="97"/>
      <c r="D16" s="97"/>
      <c r="E16" s="97"/>
      <c r="F16" s="102"/>
      <c r="G16" s="102"/>
      <c r="H16" s="102"/>
      <c r="I16" s="102"/>
      <c r="J16" s="102"/>
      <c r="K16" s="104"/>
      <c r="L16" s="97"/>
      <c r="M16" s="97"/>
      <c r="N16" s="97"/>
      <c r="O16" s="97"/>
      <c r="P16" s="97"/>
      <c r="Q16" s="86"/>
      <c r="R16" s="97"/>
      <c r="S16" s="103"/>
      <c r="T16" s="103"/>
      <c r="U16" s="91"/>
      <c r="V16" s="91"/>
      <c r="X16" s="12"/>
      <c r="Y16" s="12"/>
      <c r="AA16" s="32">
        <f t="shared" si="0"/>
        <v>0</v>
      </c>
      <c r="AB16" s="32" t="str">
        <f t="shared" si="1"/>
        <v>Cumple</v>
      </c>
      <c r="AC16" s="56" t="e">
        <f>(F16-#REF!)</f>
        <v>#REF!</v>
      </c>
    </row>
    <row r="17" spans="1:29" ht="17.25" customHeight="1" thickTop="1" thickBot="1" x14ac:dyDescent="0.3">
      <c r="A17" s="106"/>
      <c r="B17" s="106"/>
      <c r="C17" s="97"/>
      <c r="D17" s="97"/>
      <c r="E17" s="97"/>
      <c r="F17" s="102"/>
      <c r="G17" s="102"/>
      <c r="H17" s="102"/>
      <c r="I17" s="102"/>
      <c r="J17" s="102"/>
      <c r="K17" s="104"/>
      <c r="L17" s="97"/>
      <c r="M17" s="97"/>
      <c r="N17" s="97"/>
      <c r="O17" s="97"/>
      <c r="P17" s="97"/>
      <c r="Q17" s="86"/>
      <c r="R17" s="97"/>
      <c r="S17" s="103"/>
      <c r="T17" s="103"/>
      <c r="U17" s="91"/>
      <c r="V17" s="91"/>
      <c r="X17" s="12"/>
      <c r="Y17" s="100"/>
      <c r="AA17" s="32">
        <f t="shared" si="0"/>
        <v>0</v>
      </c>
      <c r="AB17" s="32" t="str">
        <f t="shared" si="1"/>
        <v>Cumple</v>
      </c>
      <c r="AC17" s="56" t="e">
        <f>(F17-#REF!)</f>
        <v>#REF!</v>
      </c>
    </row>
    <row r="18" spans="1:29" ht="17.25" customHeight="1" thickTop="1" thickBot="1" x14ac:dyDescent="0.3">
      <c r="A18" s="106"/>
      <c r="B18" s="106"/>
      <c r="C18" s="97"/>
      <c r="D18" s="97"/>
      <c r="E18" s="97"/>
      <c r="F18" s="102"/>
      <c r="G18" s="102"/>
      <c r="H18" s="102"/>
      <c r="I18" s="102"/>
      <c r="J18" s="102"/>
      <c r="K18" s="104"/>
      <c r="L18" s="97"/>
      <c r="M18" s="97"/>
      <c r="N18" s="97"/>
      <c r="O18" s="97"/>
      <c r="P18" s="97"/>
      <c r="Q18" s="86"/>
      <c r="R18" s="97"/>
      <c r="S18" s="103"/>
      <c r="T18" s="103"/>
      <c r="U18" s="91"/>
      <c r="V18" s="91"/>
      <c r="X18" s="12"/>
      <c r="Y18" s="100"/>
      <c r="AA18" s="32">
        <f t="shared" si="0"/>
        <v>0</v>
      </c>
      <c r="AB18" s="32" t="str">
        <f t="shared" si="1"/>
        <v>Cumple</v>
      </c>
      <c r="AC18" s="56" t="e">
        <f>(F18-#REF!)</f>
        <v>#REF!</v>
      </c>
    </row>
    <row r="19" spans="1:29" ht="17.25" customHeight="1" thickTop="1" thickBot="1" x14ac:dyDescent="0.3">
      <c r="A19" s="106"/>
      <c r="B19" s="106"/>
      <c r="C19" s="97"/>
      <c r="D19" s="97"/>
      <c r="E19" s="97"/>
      <c r="F19" s="102"/>
      <c r="G19" s="102"/>
      <c r="H19" s="102"/>
      <c r="I19" s="102"/>
      <c r="J19" s="102"/>
      <c r="K19" s="104"/>
      <c r="L19" s="97"/>
      <c r="M19" s="97"/>
      <c r="N19" s="105"/>
      <c r="O19" s="105"/>
      <c r="P19" s="105"/>
      <c r="Q19" s="86"/>
      <c r="R19" s="97"/>
      <c r="S19" s="103"/>
      <c r="T19" s="103"/>
      <c r="U19" s="91"/>
      <c r="V19" s="91"/>
      <c r="X19" s="12"/>
      <c r="Y19" s="12"/>
      <c r="AA19" s="32">
        <f t="shared" si="0"/>
        <v>0</v>
      </c>
      <c r="AB19" s="32" t="str">
        <f t="shared" si="1"/>
        <v>Cumple</v>
      </c>
      <c r="AC19" s="56" t="e">
        <f>(F19-#REF!)</f>
        <v>#REF!</v>
      </c>
    </row>
    <row r="20" spans="1:29" ht="17.25" customHeight="1" thickTop="1" thickBot="1" x14ac:dyDescent="0.3">
      <c r="A20" s="106"/>
      <c r="B20" s="106"/>
      <c r="C20" s="97"/>
      <c r="D20" s="97"/>
      <c r="E20" s="97"/>
      <c r="F20" s="102"/>
      <c r="G20" s="102"/>
      <c r="H20" s="102"/>
      <c r="I20" s="102"/>
      <c r="J20" s="102"/>
      <c r="K20" s="104"/>
      <c r="L20" s="97"/>
      <c r="M20" s="97"/>
      <c r="N20" s="105"/>
      <c r="O20" s="105"/>
      <c r="P20" s="105"/>
      <c r="Q20" s="86"/>
      <c r="R20" s="97"/>
      <c r="S20" s="103"/>
      <c r="T20" s="103"/>
      <c r="U20" s="91"/>
      <c r="V20" s="91"/>
      <c r="X20" s="12"/>
      <c r="Y20" s="12"/>
      <c r="AA20" s="32">
        <f t="shared" si="0"/>
        <v>0</v>
      </c>
      <c r="AB20" s="32" t="str">
        <f t="shared" si="1"/>
        <v>Cumple</v>
      </c>
      <c r="AC20" s="56" t="e">
        <f>(F20-#REF!)</f>
        <v>#REF!</v>
      </c>
    </row>
    <row r="21" spans="1:29" ht="17.25" customHeight="1" thickTop="1" thickBot="1" x14ac:dyDescent="0.3">
      <c r="A21" s="106"/>
      <c r="B21" s="106"/>
      <c r="C21" s="97"/>
      <c r="D21" s="97"/>
      <c r="E21" s="97"/>
      <c r="F21" s="102"/>
      <c r="G21" s="102"/>
      <c r="H21" s="102"/>
      <c r="I21" s="102"/>
      <c r="J21" s="102"/>
      <c r="K21" s="104"/>
      <c r="L21" s="97"/>
      <c r="M21" s="97"/>
      <c r="N21" s="105"/>
      <c r="O21" s="105"/>
      <c r="P21" s="105"/>
      <c r="Q21" s="86"/>
      <c r="R21" s="97"/>
      <c r="S21" s="103"/>
      <c r="T21" s="103"/>
      <c r="U21" s="91"/>
      <c r="V21" s="91"/>
      <c r="X21" s="12"/>
      <c r="Y21" s="12"/>
      <c r="AA21" s="32">
        <f t="shared" si="0"/>
        <v>0</v>
      </c>
      <c r="AB21" s="32" t="str">
        <f t="shared" si="1"/>
        <v>Cumple</v>
      </c>
      <c r="AC21" s="56" t="e">
        <f>(F21-#REF!)</f>
        <v>#REF!</v>
      </c>
    </row>
    <row r="22" spans="1:29" ht="17.25" customHeight="1" thickTop="1" thickBot="1" x14ac:dyDescent="0.3">
      <c r="A22" s="106"/>
      <c r="B22" s="106"/>
      <c r="C22" s="97"/>
      <c r="D22" s="97"/>
      <c r="E22" s="97"/>
      <c r="F22" s="102"/>
      <c r="G22" s="102"/>
      <c r="H22" s="102"/>
      <c r="I22" s="102"/>
      <c r="J22" s="102"/>
      <c r="K22" s="104"/>
      <c r="L22" s="97"/>
      <c r="M22" s="97"/>
      <c r="N22" s="105"/>
      <c r="O22" s="105"/>
      <c r="P22" s="105"/>
      <c r="Q22" s="86"/>
      <c r="R22" s="97"/>
      <c r="S22" s="103"/>
      <c r="T22" s="103"/>
      <c r="U22" s="91"/>
      <c r="V22" s="91"/>
      <c r="X22" s="12"/>
      <c r="Y22" s="12"/>
      <c r="AA22" s="32">
        <f t="shared" si="0"/>
        <v>0</v>
      </c>
      <c r="AB22" s="32" t="str">
        <f t="shared" si="1"/>
        <v>Cumple</v>
      </c>
      <c r="AC22" s="56" t="e">
        <f>(F22-#REF!)</f>
        <v>#REF!</v>
      </c>
    </row>
    <row r="23" spans="1:29" ht="17.25" customHeight="1" thickTop="1" thickBot="1" x14ac:dyDescent="0.3">
      <c r="A23" s="106"/>
      <c r="B23" s="106"/>
      <c r="C23" s="97"/>
      <c r="D23" s="97"/>
      <c r="E23" s="97"/>
      <c r="F23" s="102"/>
      <c r="G23" s="102"/>
      <c r="H23" s="102"/>
      <c r="I23" s="102"/>
      <c r="J23" s="102"/>
      <c r="K23" s="104"/>
      <c r="L23" s="97"/>
      <c r="M23" s="97"/>
      <c r="N23" s="105"/>
      <c r="O23" s="105"/>
      <c r="P23" s="105"/>
      <c r="Q23" s="86"/>
      <c r="R23" s="97"/>
      <c r="S23" s="103"/>
      <c r="T23" s="103"/>
      <c r="U23" s="91"/>
      <c r="V23" s="91"/>
      <c r="X23" s="12"/>
      <c r="Y23" s="12"/>
      <c r="AA23" s="32">
        <f t="shared" si="0"/>
        <v>0</v>
      </c>
      <c r="AB23" s="32" t="str">
        <f t="shared" si="1"/>
        <v>Cumple</v>
      </c>
      <c r="AC23" s="56" t="e">
        <f>(F23-#REF!)</f>
        <v>#REF!</v>
      </c>
    </row>
    <row r="24" spans="1:29" ht="17.25" customHeight="1" thickTop="1" thickBot="1" x14ac:dyDescent="0.3">
      <c r="A24" s="106"/>
      <c r="B24" s="99"/>
      <c r="C24" s="98"/>
      <c r="D24" s="98"/>
      <c r="E24" s="97"/>
      <c r="F24" s="102"/>
      <c r="G24" s="102"/>
      <c r="H24" s="102"/>
      <c r="I24" s="102"/>
      <c r="J24" s="102"/>
      <c r="K24" s="104"/>
      <c r="L24" s="97"/>
      <c r="M24" s="97"/>
      <c r="N24" s="98"/>
      <c r="O24" s="98"/>
      <c r="P24" s="98"/>
      <c r="Q24" s="86"/>
      <c r="R24" s="97"/>
      <c r="S24" s="103"/>
      <c r="T24" s="103"/>
      <c r="U24" s="91"/>
      <c r="V24" s="91"/>
      <c r="X24" s="86"/>
      <c r="Y24" s="101"/>
      <c r="AA24" s="32">
        <f t="shared" si="0"/>
        <v>0</v>
      </c>
      <c r="AB24" s="32" t="str">
        <f t="shared" si="1"/>
        <v>Cumple</v>
      </c>
      <c r="AC24" s="56" t="e">
        <f>(F24-#REF!)</f>
        <v>#REF!</v>
      </c>
    </row>
    <row r="25" spans="1:29" ht="17.25" customHeight="1" thickTop="1" thickBot="1" x14ac:dyDescent="0.3">
      <c r="A25" s="106"/>
      <c r="B25" s="99"/>
      <c r="C25" s="98"/>
      <c r="D25" s="98"/>
      <c r="E25" s="97"/>
      <c r="F25" s="102"/>
      <c r="G25" s="102"/>
      <c r="H25" s="102"/>
      <c r="I25" s="102"/>
      <c r="J25" s="102"/>
      <c r="K25" s="104"/>
      <c r="L25" s="97"/>
      <c r="M25" s="97"/>
      <c r="N25" s="98"/>
      <c r="O25" s="98"/>
      <c r="P25" s="98"/>
      <c r="Q25" s="86"/>
      <c r="R25" s="97"/>
      <c r="S25" s="103"/>
      <c r="T25" s="103"/>
      <c r="U25" s="91"/>
      <c r="V25" s="91"/>
      <c r="X25" s="86"/>
      <c r="Y25" s="86"/>
      <c r="AA25" s="32">
        <f t="shared" si="0"/>
        <v>0</v>
      </c>
      <c r="AB25" s="32" t="str">
        <f t="shared" si="1"/>
        <v>Cumple</v>
      </c>
      <c r="AC25" s="56" t="e">
        <f>(F25-#REF!)</f>
        <v>#REF!</v>
      </c>
    </row>
    <row r="26" spans="1:29" ht="17.25" customHeight="1" thickTop="1" thickBot="1" x14ac:dyDescent="0.3">
      <c r="A26" s="106"/>
      <c r="B26" s="99"/>
      <c r="C26" s="98"/>
      <c r="D26" s="98"/>
      <c r="E26" s="97"/>
      <c r="F26" s="102"/>
      <c r="G26" s="102"/>
      <c r="H26" s="102"/>
      <c r="I26" s="102"/>
      <c r="J26" s="102"/>
      <c r="K26" s="104"/>
      <c r="L26" s="97"/>
      <c r="M26" s="97"/>
      <c r="N26" s="98"/>
      <c r="O26" s="98"/>
      <c r="P26" s="98"/>
      <c r="Q26" s="86"/>
      <c r="R26" s="97"/>
      <c r="S26" s="103"/>
      <c r="T26" s="103"/>
      <c r="U26" s="91"/>
      <c r="V26" s="91"/>
      <c r="X26" s="86"/>
      <c r="Y26" s="86"/>
      <c r="AA26" s="32">
        <f t="shared" si="0"/>
        <v>0</v>
      </c>
      <c r="AB26" s="32" t="str">
        <f t="shared" si="1"/>
        <v>Cumple</v>
      </c>
      <c r="AC26" s="56" t="e">
        <f>(F26-#REF!)</f>
        <v>#REF!</v>
      </c>
    </row>
    <row r="27" spans="1:29" ht="17.25" customHeight="1" thickTop="1" thickBot="1" x14ac:dyDescent="0.3">
      <c r="A27" s="106"/>
      <c r="B27" s="99"/>
      <c r="C27" s="98"/>
      <c r="D27" s="98"/>
      <c r="E27" s="97"/>
      <c r="F27" s="102"/>
      <c r="G27" s="102"/>
      <c r="H27" s="102"/>
      <c r="I27" s="102"/>
      <c r="J27" s="102"/>
      <c r="K27" s="104"/>
      <c r="L27" s="97"/>
      <c r="M27" s="97"/>
      <c r="N27" s="98"/>
      <c r="O27" s="98"/>
      <c r="P27" s="98"/>
      <c r="Q27" s="86"/>
      <c r="R27" s="97"/>
      <c r="S27" s="103"/>
      <c r="T27" s="103"/>
      <c r="U27" s="91"/>
      <c r="V27" s="91"/>
      <c r="X27" s="86"/>
      <c r="Y27" s="101"/>
      <c r="AA27" s="32">
        <f t="shared" si="0"/>
        <v>0</v>
      </c>
      <c r="AB27" s="32" t="str">
        <f t="shared" si="1"/>
        <v>Cumple</v>
      </c>
      <c r="AC27" s="56" t="e">
        <f>(F27-#REF!)</f>
        <v>#REF!</v>
      </c>
    </row>
    <row r="28" spans="1:29" ht="17.25" customHeight="1" thickTop="1" thickBot="1" x14ac:dyDescent="0.3">
      <c r="A28" s="106"/>
      <c r="B28" s="99"/>
      <c r="C28" s="98"/>
      <c r="D28" s="98"/>
      <c r="E28" s="97"/>
      <c r="F28" s="102"/>
      <c r="G28" s="102"/>
      <c r="H28" s="102"/>
      <c r="I28" s="102"/>
      <c r="J28" s="102"/>
      <c r="K28" s="104"/>
      <c r="L28" s="97"/>
      <c r="M28" s="97"/>
      <c r="N28" s="97"/>
      <c r="O28" s="97"/>
      <c r="P28" s="97"/>
      <c r="Q28" s="86"/>
      <c r="R28" s="97"/>
      <c r="S28" s="103"/>
      <c r="T28" s="103"/>
      <c r="U28" s="91"/>
      <c r="V28" s="91"/>
      <c r="X28" s="86"/>
      <c r="Y28" s="101"/>
      <c r="AA28" s="32">
        <f t="shared" si="0"/>
        <v>0</v>
      </c>
      <c r="AB28" s="32" t="str">
        <f t="shared" si="1"/>
        <v>Cumple</v>
      </c>
      <c r="AC28" s="56" t="e">
        <f>(F28-#REF!)</f>
        <v>#REF!</v>
      </c>
    </row>
    <row r="29" spans="1:29" ht="17.25" customHeight="1" thickTop="1" thickBot="1" x14ac:dyDescent="0.3">
      <c r="A29" s="106"/>
      <c r="B29" s="99"/>
      <c r="C29" s="98"/>
      <c r="D29" s="98"/>
      <c r="E29" s="97"/>
      <c r="F29" s="102"/>
      <c r="G29" s="102"/>
      <c r="H29" s="102"/>
      <c r="I29" s="102"/>
      <c r="J29" s="102"/>
      <c r="K29" s="104"/>
      <c r="L29" s="97"/>
      <c r="M29" s="97"/>
      <c r="N29" s="97"/>
      <c r="O29" s="97"/>
      <c r="P29" s="97"/>
      <c r="Q29" s="86"/>
      <c r="R29" s="97"/>
      <c r="S29" s="103"/>
      <c r="T29" s="103"/>
      <c r="U29" s="91"/>
      <c r="V29" s="91"/>
      <c r="X29" s="86"/>
      <c r="Y29" s="86"/>
      <c r="AA29" s="32">
        <f t="shared" si="0"/>
        <v>0</v>
      </c>
      <c r="AB29" s="32" t="str">
        <f t="shared" si="1"/>
        <v>Cumple</v>
      </c>
      <c r="AC29" s="56" t="e">
        <f>(F29-#REF!)</f>
        <v>#REF!</v>
      </c>
    </row>
    <row r="30" spans="1:29" ht="17.25" customHeight="1" thickTop="1" thickBot="1" x14ac:dyDescent="0.3">
      <c r="A30" s="106"/>
      <c r="B30" s="99"/>
      <c r="C30" s="98"/>
      <c r="D30" s="98"/>
      <c r="E30" s="97"/>
      <c r="F30" s="102"/>
      <c r="G30" s="102"/>
      <c r="H30" s="102"/>
      <c r="I30" s="102"/>
      <c r="J30" s="102"/>
      <c r="K30" s="104"/>
      <c r="L30" s="97"/>
      <c r="M30" s="97"/>
      <c r="N30" s="97"/>
      <c r="O30" s="97"/>
      <c r="P30" s="97"/>
      <c r="Q30" s="86"/>
      <c r="R30" s="97"/>
      <c r="S30" s="103"/>
      <c r="T30" s="103"/>
      <c r="U30" s="91"/>
      <c r="V30" s="91"/>
      <c r="X30" s="86"/>
      <c r="Y30" s="86"/>
      <c r="AA30" s="32">
        <f t="shared" si="0"/>
        <v>0</v>
      </c>
      <c r="AB30" s="32" t="str">
        <f t="shared" si="1"/>
        <v>Cumple</v>
      </c>
      <c r="AC30" s="56" t="e">
        <f>(F30-#REF!)</f>
        <v>#REF!</v>
      </c>
    </row>
    <row r="31" spans="1:29" ht="17.25" customHeight="1" thickTop="1" thickBot="1" x14ac:dyDescent="0.3">
      <c r="A31" s="106"/>
      <c r="B31" s="99"/>
      <c r="C31" s="98"/>
      <c r="D31" s="98"/>
      <c r="E31" s="97"/>
      <c r="F31" s="102"/>
      <c r="G31" s="102"/>
      <c r="H31" s="102"/>
      <c r="I31" s="102"/>
      <c r="J31" s="102"/>
      <c r="K31" s="104"/>
      <c r="L31" s="97"/>
      <c r="M31" s="97"/>
      <c r="N31" s="97"/>
      <c r="O31" s="97"/>
      <c r="P31" s="97"/>
      <c r="Q31" s="86"/>
      <c r="R31" s="97"/>
      <c r="S31" s="103"/>
      <c r="T31" s="103"/>
      <c r="U31" s="91"/>
      <c r="V31" s="91"/>
      <c r="X31" s="86"/>
      <c r="Y31" s="86"/>
      <c r="AA31" s="32">
        <f t="shared" si="0"/>
        <v>0</v>
      </c>
      <c r="AB31" s="32" t="str">
        <f t="shared" si="1"/>
        <v>Cumple</v>
      </c>
      <c r="AC31" s="56" t="e">
        <f>(F31-#REF!)</f>
        <v>#REF!</v>
      </c>
    </row>
    <row r="32" spans="1:29" ht="17.25" customHeight="1" thickTop="1" thickBot="1" x14ac:dyDescent="0.3">
      <c r="A32" s="106"/>
      <c r="B32" s="99"/>
      <c r="C32" s="98"/>
      <c r="D32" s="98"/>
      <c r="E32" s="97"/>
      <c r="F32" s="102"/>
      <c r="G32" s="102"/>
      <c r="H32" s="102"/>
      <c r="I32" s="102"/>
      <c r="J32" s="102"/>
      <c r="K32" s="104"/>
      <c r="L32" s="97"/>
      <c r="M32" s="97"/>
      <c r="N32" s="97"/>
      <c r="O32" s="97"/>
      <c r="P32" s="97"/>
      <c r="Q32" s="86"/>
      <c r="R32" s="97"/>
      <c r="S32" s="103"/>
      <c r="T32" s="103"/>
      <c r="U32" s="91"/>
      <c r="V32" s="91"/>
      <c r="X32" s="86"/>
      <c r="Y32" s="86"/>
      <c r="AA32" s="32">
        <f t="shared" si="0"/>
        <v>0</v>
      </c>
      <c r="AB32" s="32" t="str">
        <f t="shared" si="1"/>
        <v>Cumple</v>
      </c>
      <c r="AC32" s="56" t="e">
        <f>(F32-#REF!)</f>
        <v>#REF!</v>
      </c>
    </row>
    <row r="33" spans="1:29" ht="17.25" customHeight="1" thickTop="1" thickBot="1" x14ac:dyDescent="0.3">
      <c r="A33" s="106"/>
      <c r="B33" s="99"/>
      <c r="C33" s="98"/>
      <c r="D33" s="98"/>
      <c r="E33" s="97"/>
      <c r="F33" s="102"/>
      <c r="G33" s="102"/>
      <c r="H33" s="102"/>
      <c r="I33" s="102"/>
      <c r="J33" s="102"/>
      <c r="K33" s="104"/>
      <c r="L33" s="97"/>
      <c r="M33" s="97"/>
      <c r="N33" s="97"/>
      <c r="O33" s="97"/>
      <c r="P33" s="97"/>
      <c r="Q33" s="86"/>
      <c r="R33" s="97"/>
      <c r="S33" s="103"/>
      <c r="T33" s="103"/>
      <c r="U33" s="91"/>
      <c r="V33" s="91"/>
      <c r="X33" s="86"/>
      <c r="Y33" s="86"/>
      <c r="AA33" s="32">
        <f t="shared" si="0"/>
        <v>0</v>
      </c>
      <c r="AB33" s="32" t="str">
        <f t="shared" si="1"/>
        <v>Cumple</v>
      </c>
      <c r="AC33" s="56" t="e">
        <f>(F33-#REF!)</f>
        <v>#REF!</v>
      </c>
    </row>
    <row r="34" spans="1:29" ht="17.25" customHeight="1" thickTop="1" thickBot="1" x14ac:dyDescent="0.3">
      <c r="A34" s="106"/>
      <c r="B34" s="99"/>
      <c r="C34" s="98"/>
      <c r="D34" s="98"/>
      <c r="E34" s="97"/>
      <c r="F34" s="102"/>
      <c r="G34" s="102"/>
      <c r="H34" s="102"/>
      <c r="I34" s="102"/>
      <c r="J34" s="102"/>
      <c r="K34" s="104"/>
      <c r="L34" s="97"/>
      <c r="M34" s="97"/>
      <c r="N34" s="97"/>
      <c r="O34" s="97"/>
      <c r="P34" s="97"/>
      <c r="Q34" s="86"/>
      <c r="R34" s="97"/>
      <c r="S34" s="103"/>
      <c r="T34" s="103"/>
      <c r="U34" s="91"/>
      <c r="V34" s="91"/>
      <c r="X34" s="86"/>
      <c r="Y34" s="86"/>
      <c r="AA34" s="32">
        <f t="shared" si="0"/>
        <v>0</v>
      </c>
      <c r="AB34" s="32" t="str">
        <f t="shared" si="1"/>
        <v>Cumple</v>
      </c>
      <c r="AC34" s="56" t="e">
        <f>(F34-#REF!)</f>
        <v>#REF!</v>
      </c>
    </row>
    <row r="35" spans="1:29" ht="17.25" customHeight="1" thickTop="1" thickBot="1" x14ac:dyDescent="0.3">
      <c r="A35" s="107"/>
      <c r="B35" s="99"/>
      <c r="C35" s="98"/>
      <c r="D35" s="98"/>
      <c r="E35" s="97"/>
      <c r="F35" s="102"/>
      <c r="G35" s="102"/>
      <c r="H35" s="102"/>
      <c r="I35" s="102"/>
      <c r="J35" s="102"/>
      <c r="K35" s="104"/>
      <c r="L35" s="97"/>
      <c r="M35" s="97"/>
      <c r="N35" s="97"/>
      <c r="O35" s="97"/>
      <c r="P35" s="97"/>
      <c r="Q35" s="86"/>
      <c r="R35" s="97"/>
      <c r="S35" s="103"/>
      <c r="T35" s="103"/>
      <c r="U35" s="91"/>
      <c r="V35" s="91"/>
      <c r="X35" s="86"/>
      <c r="Y35" s="86"/>
      <c r="AA35" s="32">
        <f t="shared" si="0"/>
        <v>0</v>
      </c>
      <c r="AB35" s="32" t="str">
        <f t="shared" si="1"/>
        <v>Cumple</v>
      </c>
      <c r="AC35" s="56" t="e">
        <f>(F35-#REF!)</f>
        <v>#REF!</v>
      </c>
    </row>
    <row r="36" spans="1:29" ht="17.25" customHeight="1" thickTop="1" thickBot="1" x14ac:dyDescent="0.3">
      <c r="A36" s="107"/>
      <c r="B36" s="99"/>
      <c r="C36" s="98"/>
      <c r="D36" s="98"/>
      <c r="E36" s="97"/>
      <c r="F36" s="102"/>
      <c r="G36" s="102"/>
      <c r="H36" s="102"/>
      <c r="I36" s="102"/>
      <c r="J36" s="102"/>
      <c r="K36" s="104"/>
      <c r="L36" s="97"/>
      <c r="M36" s="97"/>
      <c r="N36" s="97"/>
      <c r="O36" s="97"/>
      <c r="P36" s="97"/>
      <c r="Q36" s="86"/>
      <c r="R36" s="97"/>
      <c r="S36" s="103"/>
      <c r="T36" s="103"/>
      <c r="U36" s="91"/>
      <c r="V36" s="91"/>
      <c r="X36" s="86"/>
      <c r="Y36" s="86"/>
      <c r="AA36" s="32">
        <f t="shared" si="0"/>
        <v>0</v>
      </c>
      <c r="AB36" s="32" t="str">
        <f t="shared" si="1"/>
        <v>Cumple</v>
      </c>
      <c r="AC36" s="56" t="e">
        <f>(F36-#REF!)</f>
        <v>#REF!</v>
      </c>
    </row>
    <row r="37" spans="1:29" ht="17.25" customHeight="1" thickTop="1" thickBot="1" x14ac:dyDescent="0.3">
      <c r="A37" s="107"/>
      <c r="B37" s="99"/>
      <c r="C37" s="98"/>
      <c r="D37" s="98"/>
      <c r="E37" s="97"/>
      <c r="F37" s="102"/>
      <c r="G37" s="102"/>
      <c r="H37" s="102"/>
      <c r="I37" s="102"/>
      <c r="J37" s="102"/>
      <c r="K37" s="104"/>
      <c r="L37" s="97"/>
      <c r="M37" s="97"/>
      <c r="N37" s="97"/>
      <c r="O37" s="97"/>
      <c r="P37" s="97"/>
      <c r="Q37" s="86"/>
      <c r="R37" s="97"/>
      <c r="S37" s="103"/>
      <c r="T37" s="103"/>
      <c r="U37" s="91"/>
      <c r="V37" s="91"/>
      <c r="X37" s="86"/>
      <c r="Y37" s="101"/>
      <c r="AA37" s="32">
        <f t="shared" si="0"/>
        <v>0</v>
      </c>
      <c r="AB37" s="32" t="str">
        <f t="shared" si="1"/>
        <v>Cumple</v>
      </c>
      <c r="AC37" s="56" t="e">
        <f>(F37-#REF!)</f>
        <v>#REF!</v>
      </c>
    </row>
    <row r="38" spans="1:29" ht="17.25" customHeight="1" thickTop="1" thickBot="1" x14ac:dyDescent="0.3">
      <c r="A38" s="107"/>
      <c r="B38" s="99"/>
      <c r="C38" s="98"/>
      <c r="D38" s="98"/>
      <c r="E38" s="97"/>
      <c r="F38" s="102"/>
      <c r="G38" s="102"/>
      <c r="H38" s="102"/>
      <c r="I38" s="102"/>
      <c r="J38" s="102"/>
      <c r="K38" s="104"/>
      <c r="L38" s="97"/>
      <c r="M38" s="97"/>
      <c r="N38" s="98"/>
      <c r="O38" s="98"/>
      <c r="P38" s="98"/>
      <c r="Q38" s="86"/>
      <c r="R38" s="97"/>
      <c r="S38" s="103"/>
      <c r="T38" s="103"/>
      <c r="U38" s="91"/>
      <c r="V38" s="91"/>
      <c r="X38" s="86"/>
      <c r="Y38" s="101"/>
      <c r="AA38" s="32">
        <f t="shared" si="0"/>
        <v>0</v>
      </c>
      <c r="AB38" s="32" t="str">
        <f t="shared" si="1"/>
        <v>Cumple</v>
      </c>
      <c r="AC38" s="56" t="e">
        <f>(F38-#REF!)</f>
        <v>#REF!</v>
      </c>
    </row>
    <row r="39" spans="1:29" ht="17.25" customHeight="1" thickTop="1" thickBot="1" x14ac:dyDescent="0.3">
      <c r="A39" s="107"/>
      <c r="B39" s="99"/>
      <c r="C39" s="98"/>
      <c r="D39" s="98"/>
      <c r="E39" s="97"/>
      <c r="F39" s="102"/>
      <c r="G39" s="102"/>
      <c r="H39" s="102"/>
      <c r="I39" s="102"/>
      <c r="J39" s="102"/>
      <c r="K39" s="104"/>
      <c r="L39" s="97"/>
      <c r="M39" s="97"/>
      <c r="N39" s="98"/>
      <c r="O39" s="98"/>
      <c r="P39" s="98"/>
      <c r="Q39" s="86"/>
      <c r="R39" s="97"/>
      <c r="S39" s="103"/>
      <c r="T39" s="103"/>
      <c r="U39" s="91"/>
      <c r="V39" s="91"/>
      <c r="X39" s="86"/>
      <c r="Y39" s="101"/>
      <c r="AA39" s="32">
        <f t="shared" si="0"/>
        <v>0</v>
      </c>
      <c r="AB39" s="32" t="str">
        <f t="shared" si="1"/>
        <v>Cumple</v>
      </c>
      <c r="AC39" s="56" t="e">
        <f>(F39-#REF!)</f>
        <v>#REF!</v>
      </c>
    </row>
    <row r="40" spans="1:29" ht="17.25" customHeight="1" thickTop="1" thickBot="1" x14ac:dyDescent="0.3">
      <c r="A40" s="107"/>
      <c r="B40" s="99"/>
      <c r="C40" s="98"/>
      <c r="D40" s="98"/>
      <c r="E40" s="97"/>
      <c r="F40" s="102"/>
      <c r="G40" s="102"/>
      <c r="H40" s="102"/>
      <c r="I40" s="102"/>
      <c r="J40" s="102"/>
      <c r="K40" s="104"/>
      <c r="L40" s="97"/>
      <c r="M40" s="97"/>
      <c r="N40" s="98"/>
      <c r="O40" s="98"/>
      <c r="P40" s="98"/>
      <c r="Q40" s="86"/>
      <c r="R40" s="97"/>
      <c r="S40" s="103"/>
      <c r="T40" s="103"/>
      <c r="U40" s="91"/>
      <c r="V40" s="91"/>
      <c r="X40" s="86"/>
      <c r="Y40" s="101"/>
      <c r="AA40" s="32">
        <f t="shared" si="0"/>
        <v>0</v>
      </c>
      <c r="AB40" s="32" t="str">
        <f t="shared" si="1"/>
        <v>Cumple</v>
      </c>
      <c r="AC40" s="56" t="e">
        <f>(F40-#REF!)</f>
        <v>#REF!</v>
      </c>
    </row>
    <row r="41" spans="1:29" ht="17.25" customHeight="1" thickTop="1" thickBot="1" x14ac:dyDescent="0.3">
      <c r="A41" s="107"/>
      <c r="B41" s="99"/>
      <c r="C41" s="98"/>
      <c r="D41" s="98"/>
      <c r="E41" s="97"/>
      <c r="F41" s="102"/>
      <c r="G41" s="102"/>
      <c r="H41" s="102"/>
      <c r="I41" s="102"/>
      <c r="J41" s="102"/>
      <c r="K41" s="104"/>
      <c r="L41" s="97"/>
      <c r="M41" s="97"/>
      <c r="N41" s="98"/>
      <c r="O41" s="98"/>
      <c r="P41" s="98"/>
      <c r="Q41" s="86"/>
      <c r="R41" s="97"/>
      <c r="S41" s="103"/>
      <c r="T41" s="103"/>
      <c r="U41" s="91"/>
      <c r="V41" s="91"/>
      <c r="X41" s="86"/>
      <c r="Y41" s="86"/>
      <c r="AA41" s="32">
        <f t="shared" si="0"/>
        <v>0</v>
      </c>
      <c r="AB41" s="32" t="str">
        <f t="shared" si="1"/>
        <v>Cumple</v>
      </c>
      <c r="AC41" s="56" t="e">
        <f>(F41-#REF!)</f>
        <v>#REF!</v>
      </c>
    </row>
    <row r="42" spans="1:29" ht="17.25" customHeight="1" thickTop="1" thickBot="1" x14ac:dyDescent="0.3">
      <c r="A42" s="107"/>
      <c r="B42" s="99"/>
      <c r="C42" s="98"/>
      <c r="D42" s="98"/>
      <c r="E42" s="97"/>
      <c r="F42" s="102"/>
      <c r="G42" s="102"/>
      <c r="H42" s="102"/>
      <c r="I42" s="102"/>
      <c r="J42" s="102"/>
      <c r="K42" s="104"/>
      <c r="L42" s="97"/>
      <c r="M42" s="97"/>
      <c r="N42" s="98"/>
      <c r="O42" s="98"/>
      <c r="P42" s="98"/>
      <c r="Q42" s="86"/>
      <c r="R42" s="97"/>
      <c r="S42" s="103"/>
      <c r="T42" s="103"/>
      <c r="U42" s="91"/>
      <c r="V42" s="91"/>
      <c r="X42" s="86"/>
      <c r="Y42" s="86"/>
      <c r="AA42" s="32">
        <f t="shared" si="0"/>
        <v>0</v>
      </c>
      <c r="AB42" s="32" t="str">
        <f t="shared" si="1"/>
        <v>Cumple</v>
      </c>
      <c r="AC42" s="56" t="e">
        <f>(F42-#REF!)</f>
        <v>#REF!</v>
      </c>
    </row>
    <row r="43" spans="1:29" ht="17.25" customHeight="1" thickTop="1" thickBot="1" x14ac:dyDescent="0.3">
      <c r="A43" s="99"/>
      <c r="B43" s="99"/>
      <c r="C43" s="98"/>
      <c r="D43" s="98"/>
      <c r="E43" s="97"/>
      <c r="F43" s="102"/>
      <c r="G43" s="102"/>
      <c r="H43" s="102"/>
      <c r="I43" s="102"/>
      <c r="J43" s="102"/>
      <c r="K43" s="104"/>
      <c r="L43" s="97"/>
      <c r="M43" s="97"/>
      <c r="N43" s="97"/>
      <c r="O43" s="97"/>
      <c r="P43" s="97"/>
      <c r="Q43" s="86"/>
      <c r="R43" s="97"/>
      <c r="S43" s="103"/>
      <c r="T43" s="103"/>
      <c r="U43" s="91"/>
      <c r="V43" s="91"/>
      <c r="X43" s="86"/>
      <c r="Y43" s="86"/>
      <c r="AA43" s="32">
        <f t="shared" si="0"/>
        <v>0</v>
      </c>
      <c r="AB43" s="32" t="str">
        <f t="shared" si="1"/>
        <v>Cumple</v>
      </c>
      <c r="AC43" s="56" t="e">
        <f>(F43-#REF!)</f>
        <v>#REF!</v>
      </c>
    </row>
    <row r="44" spans="1:29" ht="17.25" customHeight="1" thickTop="1" thickBot="1" x14ac:dyDescent="0.3">
      <c r="A44" s="99"/>
      <c r="B44" s="99"/>
      <c r="C44" s="98"/>
      <c r="D44" s="98"/>
      <c r="E44" s="97"/>
      <c r="F44" s="102"/>
      <c r="G44" s="102"/>
      <c r="H44" s="102"/>
      <c r="I44" s="102"/>
      <c r="J44" s="102"/>
      <c r="K44" s="104"/>
      <c r="L44" s="97"/>
      <c r="M44" s="97"/>
      <c r="N44" s="97"/>
      <c r="O44" s="97"/>
      <c r="P44" s="97"/>
      <c r="Q44" s="86"/>
      <c r="R44" s="97"/>
      <c r="S44" s="103"/>
      <c r="T44" s="103"/>
      <c r="U44" s="91"/>
      <c r="V44" s="91"/>
      <c r="X44" s="86"/>
      <c r="Y44" s="86"/>
      <c r="AA44" s="32">
        <f t="shared" si="0"/>
        <v>0</v>
      </c>
      <c r="AB44" s="32" t="str">
        <f t="shared" si="1"/>
        <v>Cumple</v>
      </c>
      <c r="AC44" s="56" t="e">
        <f>(F44-#REF!)</f>
        <v>#REF!</v>
      </c>
    </row>
    <row r="45" spans="1:29" ht="17.25" customHeight="1" thickTop="1" thickBot="1" x14ac:dyDescent="0.3">
      <c r="A45" s="99"/>
      <c r="B45" s="99"/>
      <c r="C45" s="98"/>
      <c r="D45" s="98"/>
      <c r="E45" s="97"/>
      <c r="F45" s="102"/>
      <c r="G45" s="102"/>
      <c r="H45" s="102"/>
      <c r="I45" s="102"/>
      <c r="J45" s="102"/>
      <c r="K45" s="104"/>
      <c r="L45" s="97"/>
      <c r="M45" s="97"/>
      <c r="N45" s="97"/>
      <c r="O45" s="97"/>
      <c r="P45" s="97"/>
      <c r="Q45" s="86"/>
      <c r="R45" s="97"/>
      <c r="S45" s="103"/>
      <c r="T45" s="103"/>
      <c r="U45" s="91"/>
      <c r="V45" s="91"/>
      <c r="X45" s="86"/>
      <c r="Y45" s="86"/>
      <c r="AA45" s="32">
        <f t="shared" si="0"/>
        <v>0</v>
      </c>
      <c r="AB45" s="32" t="str">
        <f t="shared" si="1"/>
        <v>Cumple</v>
      </c>
      <c r="AC45" s="56" t="e">
        <f>(F45-#REF!)</f>
        <v>#REF!</v>
      </c>
    </row>
    <row r="46" spans="1:29" ht="17.25" customHeight="1" thickTop="1" thickBot="1" x14ac:dyDescent="0.3">
      <c r="A46" s="99"/>
      <c r="B46" s="99"/>
      <c r="C46" s="98"/>
      <c r="D46" s="98"/>
      <c r="E46" s="97"/>
      <c r="F46" s="102"/>
      <c r="G46" s="102"/>
      <c r="H46" s="102"/>
      <c r="I46" s="102"/>
      <c r="J46" s="102"/>
      <c r="K46" s="104"/>
      <c r="L46" s="97"/>
      <c r="M46" s="97"/>
      <c r="N46" s="97"/>
      <c r="O46" s="97"/>
      <c r="P46" s="97"/>
      <c r="Q46" s="86"/>
      <c r="R46" s="97"/>
      <c r="S46" s="103"/>
      <c r="T46" s="103"/>
      <c r="U46" s="91"/>
      <c r="V46" s="91"/>
      <c r="X46" s="86"/>
      <c r="Y46" s="86"/>
      <c r="AA46" s="32">
        <f t="shared" si="0"/>
        <v>0</v>
      </c>
      <c r="AB46" s="32" t="str">
        <f t="shared" si="1"/>
        <v>Cumple</v>
      </c>
      <c r="AC46" s="56" t="e">
        <f>(F46-#REF!)</f>
        <v>#REF!</v>
      </c>
    </row>
    <row r="47" spans="1:29" ht="17.25" customHeight="1" thickTop="1" thickBot="1" x14ac:dyDescent="0.3">
      <c r="A47" s="99"/>
      <c r="B47" s="99"/>
      <c r="C47" s="98"/>
      <c r="D47" s="98"/>
      <c r="E47" s="97"/>
      <c r="F47" s="102"/>
      <c r="G47" s="102"/>
      <c r="H47" s="102"/>
      <c r="I47" s="102"/>
      <c r="J47" s="102"/>
      <c r="K47" s="104"/>
      <c r="L47" s="97"/>
      <c r="M47" s="97"/>
      <c r="N47" s="97"/>
      <c r="O47" s="97"/>
      <c r="P47" s="97"/>
      <c r="Q47" s="86"/>
      <c r="R47" s="97"/>
      <c r="S47" s="103"/>
      <c r="T47" s="103"/>
      <c r="U47" s="91"/>
      <c r="V47" s="91"/>
      <c r="X47" s="86"/>
      <c r="Y47" s="86"/>
      <c r="AA47" s="32">
        <f t="shared" si="0"/>
        <v>0</v>
      </c>
      <c r="AB47" s="32" t="str">
        <f t="shared" si="1"/>
        <v>Cumple</v>
      </c>
      <c r="AC47" s="56" t="e">
        <f>(F47-#REF!)</f>
        <v>#REF!</v>
      </c>
    </row>
    <row r="48" spans="1:29" ht="17.25" customHeight="1" thickTop="1" thickBot="1" x14ac:dyDescent="0.3">
      <c r="A48" s="99"/>
      <c r="B48" s="99"/>
      <c r="C48" s="98"/>
      <c r="D48" s="98"/>
      <c r="E48" s="97"/>
      <c r="F48" s="102"/>
      <c r="G48" s="102"/>
      <c r="H48" s="102"/>
      <c r="I48" s="102"/>
      <c r="J48" s="102"/>
      <c r="K48" s="104"/>
      <c r="L48" s="97"/>
      <c r="M48" s="97"/>
      <c r="N48" s="97"/>
      <c r="O48" s="97"/>
      <c r="P48" s="97"/>
      <c r="Q48" s="86"/>
      <c r="R48" s="97"/>
      <c r="S48" s="103"/>
      <c r="T48" s="103"/>
      <c r="U48" s="91"/>
      <c r="V48" s="91"/>
      <c r="X48" s="86"/>
      <c r="Y48" s="86"/>
      <c r="AA48" s="32">
        <f t="shared" si="0"/>
        <v>0</v>
      </c>
      <c r="AB48" s="32" t="str">
        <f t="shared" si="1"/>
        <v>Cumple</v>
      </c>
      <c r="AC48" s="56" t="e">
        <f>(F48-#REF!)</f>
        <v>#REF!</v>
      </c>
    </row>
    <row r="49" spans="1:29" ht="17.25" customHeight="1" thickTop="1" thickBot="1" x14ac:dyDescent="0.3">
      <c r="A49" s="99"/>
      <c r="B49" s="99"/>
      <c r="C49" s="98"/>
      <c r="D49" s="98"/>
      <c r="E49" s="97"/>
      <c r="F49" s="102"/>
      <c r="G49" s="102"/>
      <c r="H49" s="102"/>
      <c r="I49" s="102"/>
      <c r="J49" s="102"/>
      <c r="K49" s="104"/>
      <c r="L49" s="97"/>
      <c r="M49" s="97"/>
      <c r="N49" s="97"/>
      <c r="O49" s="97"/>
      <c r="P49" s="97"/>
      <c r="Q49" s="86"/>
      <c r="R49" s="97"/>
      <c r="S49" s="103"/>
      <c r="T49" s="103"/>
      <c r="U49" s="91"/>
      <c r="V49" s="91"/>
      <c r="X49" s="86"/>
      <c r="Y49" s="86"/>
      <c r="AA49" s="32">
        <f t="shared" si="0"/>
        <v>0</v>
      </c>
      <c r="AB49" s="32" t="str">
        <f t="shared" si="1"/>
        <v>Cumple</v>
      </c>
      <c r="AC49" s="56" t="e">
        <f>(F49-#REF!)</f>
        <v>#REF!</v>
      </c>
    </row>
    <row r="50" spans="1:29" ht="17.25" customHeight="1" thickTop="1" thickBot="1" x14ac:dyDescent="0.3">
      <c r="A50" s="99"/>
      <c r="B50" s="99"/>
      <c r="C50" s="98"/>
      <c r="D50" s="98"/>
      <c r="E50" s="97"/>
      <c r="F50" s="102"/>
      <c r="G50" s="102"/>
      <c r="H50" s="102"/>
      <c r="I50" s="102"/>
      <c r="J50" s="102"/>
      <c r="K50" s="104"/>
      <c r="L50" s="97"/>
      <c r="M50" s="97"/>
      <c r="N50" s="97"/>
      <c r="O50" s="97"/>
      <c r="P50" s="97"/>
      <c r="Q50" s="86"/>
      <c r="R50" s="97"/>
      <c r="S50" s="103"/>
      <c r="T50" s="103"/>
      <c r="U50" s="91"/>
      <c r="V50" s="91"/>
      <c r="X50" s="86"/>
      <c r="Y50" s="86"/>
      <c r="AA50" s="32">
        <f t="shared" si="0"/>
        <v>0</v>
      </c>
      <c r="AB50" s="32" t="str">
        <f t="shared" si="1"/>
        <v>Cumple</v>
      </c>
      <c r="AC50" s="56" t="e">
        <f>(F50-#REF!)</f>
        <v>#REF!</v>
      </c>
    </row>
    <row r="51" spans="1:29" ht="17.25" customHeight="1" thickTop="1" thickBot="1" x14ac:dyDescent="0.3">
      <c r="A51" s="99"/>
      <c r="B51" s="99"/>
      <c r="C51" s="98"/>
      <c r="D51" s="98"/>
      <c r="E51" s="97"/>
      <c r="F51" s="102"/>
      <c r="G51" s="102"/>
      <c r="H51" s="102"/>
      <c r="I51" s="102"/>
      <c r="J51" s="102"/>
      <c r="K51" s="104"/>
      <c r="L51" s="97"/>
      <c r="M51" s="97"/>
      <c r="N51" s="97"/>
      <c r="O51" s="97"/>
      <c r="P51" s="97"/>
      <c r="Q51" s="86"/>
      <c r="R51" s="97"/>
      <c r="S51" s="103"/>
      <c r="T51" s="103"/>
      <c r="U51" s="91"/>
      <c r="V51" s="91"/>
      <c r="X51" s="86"/>
      <c r="Y51" s="86"/>
      <c r="AA51" s="32">
        <f t="shared" si="0"/>
        <v>0</v>
      </c>
      <c r="AB51" s="32" t="str">
        <f t="shared" si="1"/>
        <v>Cumple</v>
      </c>
      <c r="AC51" s="56" t="e">
        <f>(F51-#REF!)</f>
        <v>#REF!</v>
      </c>
    </row>
    <row r="52" spans="1:29" ht="17.25" customHeight="1" thickTop="1" thickBot="1" x14ac:dyDescent="0.3">
      <c r="A52" s="99"/>
      <c r="B52" s="99"/>
      <c r="C52" s="98"/>
      <c r="D52" s="98"/>
      <c r="E52" s="97"/>
      <c r="F52" s="102"/>
      <c r="G52" s="102"/>
      <c r="H52" s="102"/>
      <c r="I52" s="102"/>
      <c r="J52" s="102"/>
      <c r="K52" s="104"/>
      <c r="L52" s="97"/>
      <c r="M52" s="97"/>
      <c r="N52" s="97"/>
      <c r="O52" s="97"/>
      <c r="P52" s="97"/>
      <c r="Q52" s="86"/>
      <c r="R52" s="97"/>
      <c r="S52" s="103"/>
      <c r="T52" s="103"/>
      <c r="U52" s="91"/>
      <c r="V52" s="91"/>
      <c r="X52" s="86"/>
      <c r="Y52" s="101"/>
      <c r="AA52" s="32">
        <f t="shared" si="0"/>
        <v>0</v>
      </c>
      <c r="AB52" s="32" t="str">
        <f t="shared" si="1"/>
        <v>Cumple</v>
      </c>
      <c r="AC52" s="56" t="e">
        <f>(F52-#REF!)</f>
        <v>#REF!</v>
      </c>
    </row>
    <row r="53" spans="1:29" ht="17.25" customHeight="1" thickTop="1" thickBot="1" x14ac:dyDescent="0.3">
      <c r="A53" s="99"/>
      <c r="B53" s="99"/>
      <c r="C53" s="98"/>
      <c r="D53" s="98"/>
      <c r="E53" s="97"/>
      <c r="F53" s="102"/>
      <c r="G53" s="102"/>
      <c r="H53" s="102"/>
      <c r="I53" s="102"/>
      <c r="J53" s="102"/>
      <c r="K53" s="104"/>
      <c r="L53" s="97"/>
      <c r="M53" s="97"/>
      <c r="N53" s="97"/>
      <c r="O53" s="97"/>
      <c r="P53" s="97"/>
      <c r="Q53" s="86"/>
      <c r="R53" s="97"/>
      <c r="S53" s="103"/>
      <c r="T53" s="103"/>
      <c r="U53" s="91"/>
      <c r="V53" s="91"/>
      <c r="X53" s="86"/>
      <c r="Y53" s="86"/>
      <c r="AA53" s="32">
        <f t="shared" si="0"/>
        <v>0</v>
      </c>
      <c r="AB53" s="32" t="str">
        <f t="shared" si="1"/>
        <v>Cumple</v>
      </c>
      <c r="AC53" s="56" t="e">
        <f>(F53-#REF!)</f>
        <v>#REF!</v>
      </c>
    </row>
    <row r="54" spans="1:29" ht="17.25" customHeight="1" thickTop="1" thickBot="1" x14ac:dyDescent="0.3">
      <c r="A54" s="99"/>
      <c r="B54" s="99"/>
      <c r="C54" s="98"/>
      <c r="D54" s="98"/>
      <c r="E54" s="97"/>
      <c r="F54" s="102"/>
      <c r="G54" s="102"/>
      <c r="H54" s="102"/>
      <c r="I54" s="102"/>
      <c r="J54" s="102"/>
      <c r="K54" s="104"/>
      <c r="L54" s="97"/>
      <c r="M54" s="97"/>
      <c r="N54" s="97"/>
      <c r="O54" s="97"/>
      <c r="P54" s="97"/>
      <c r="Q54" s="86"/>
      <c r="R54" s="97"/>
      <c r="S54" s="103"/>
      <c r="T54" s="103"/>
      <c r="U54" s="91"/>
      <c r="V54" s="91"/>
      <c r="X54" s="86"/>
      <c r="Y54" s="86"/>
      <c r="AA54" s="32">
        <f t="shared" si="0"/>
        <v>0</v>
      </c>
      <c r="AB54" s="32" t="str">
        <f t="shared" si="1"/>
        <v>Cumple</v>
      </c>
      <c r="AC54" s="56" t="e">
        <f>(F54-#REF!)</f>
        <v>#REF!</v>
      </c>
    </row>
    <row r="55" spans="1:29" ht="17.25" customHeight="1" thickTop="1" thickBot="1" x14ac:dyDescent="0.3">
      <c r="A55" s="99"/>
      <c r="B55" s="99"/>
      <c r="C55" s="98"/>
      <c r="D55" s="98"/>
      <c r="E55" s="97"/>
      <c r="F55" s="102"/>
      <c r="G55" s="102"/>
      <c r="H55" s="102"/>
      <c r="I55" s="102"/>
      <c r="J55" s="102"/>
      <c r="K55" s="104"/>
      <c r="L55" s="97"/>
      <c r="M55" s="97"/>
      <c r="N55" s="97"/>
      <c r="O55" s="97"/>
      <c r="P55" s="97"/>
      <c r="Q55" s="86"/>
      <c r="R55" s="97"/>
      <c r="S55" s="103"/>
      <c r="T55" s="103"/>
      <c r="U55" s="91"/>
      <c r="V55" s="91"/>
      <c r="X55" s="86"/>
      <c r="Y55" s="86"/>
      <c r="AA55" s="32">
        <f t="shared" si="0"/>
        <v>0</v>
      </c>
      <c r="AB55" s="32" t="str">
        <f t="shared" si="1"/>
        <v>Cumple</v>
      </c>
      <c r="AC55" s="56" t="e">
        <f>(F55-#REF!)</f>
        <v>#REF!</v>
      </c>
    </row>
    <row r="56" spans="1:29" ht="17.25" customHeight="1" thickTop="1" thickBot="1" x14ac:dyDescent="0.3">
      <c r="A56" s="99"/>
      <c r="B56" s="99"/>
      <c r="C56" s="98"/>
      <c r="D56" s="98"/>
      <c r="E56" s="97"/>
      <c r="F56" s="102"/>
      <c r="G56" s="102"/>
      <c r="H56" s="102"/>
      <c r="I56" s="102"/>
      <c r="J56" s="102"/>
      <c r="K56" s="104"/>
      <c r="L56" s="97"/>
      <c r="M56" s="97"/>
      <c r="N56" s="97"/>
      <c r="O56" s="97"/>
      <c r="P56" s="97"/>
      <c r="Q56" s="86"/>
      <c r="R56" s="97"/>
      <c r="S56" s="103"/>
      <c r="T56" s="103"/>
      <c r="U56" s="91"/>
      <c r="V56" s="91"/>
      <c r="X56" s="86"/>
      <c r="Y56" s="86"/>
      <c r="AA56" s="32">
        <f t="shared" si="0"/>
        <v>0</v>
      </c>
      <c r="AB56" s="32" t="str">
        <f t="shared" si="1"/>
        <v>Cumple</v>
      </c>
      <c r="AC56" s="56" t="e">
        <f>(F56-#REF!)</f>
        <v>#REF!</v>
      </c>
    </row>
    <row r="57" spans="1:29" ht="17.25" customHeight="1" thickTop="1" thickBot="1" x14ac:dyDescent="0.3">
      <c r="A57" s="99"/>
      <c r="B57" s="99"/>
      <c r="C57" s="98"/>
      <c r="D57" s="98"/>
      <c r="E57" s="97"/>
      <c r="F57" s="102"/>
      <c r="G57" s="102"/>
      <c r="H57" s="102"/>
      <c r="I57" s="102"/>
      <c r="J57" s="102"/>
      <c r="K57" s="104"/>
      <c r="L57" s="97"/>
      <c r="M57" s="97"/>
      <c r="N57" s="97"/>
      <c r="O57" s="97"/>
      <c r="P57" s="97"/>
      <c r="Q57" s="86"/>
      <c r="R57" s="97"/>
      <c r="S57" s="103"/>
      <c r="T57" s="103"/>
      <c r="U57" s="91"/>
      <c r="V57" s="91"/>
      <c r="X57" s="86"/>
      <c r="Y57" s="101"/>
      <c r="AA57" s="32">
        <f t="shared" si="0"/>
        <v>0</v>
      </c>
      <c r="AB57" s="32" t="str">
        <f t="shared" si="1"/>
        <v>Cumple</v>
      </c>
      <c r="AC57" s="56" t="e">
        <f>(F57-#REF!)</f>
        <v>#REF!</v>
      </c>
    </row>
    <row r="58" spans="1:29" ht="17.25" customHeight="1" thickTop="1" thickBot="1" x14ac:dyDescent="0.3">
      <c r="A58" s="99"/>
      <c r="B58" s="99"/>
      <c r="C58" s="98"/>
      <c r="D58" s="98"/>
      <c r="E58" s="97"/>
      <c r="F58" s="102"/>
      <c r="G58" s="102"/>
      <c r="H58" s="102"/>
      <c r="I58" s="102"/>
      <c r="J58" s="102"/>
      <c r="K58" s="104"/>
      <c r="L58" s="97"/>
      <c r="M58" s="97"/>
      <c r="N58" s="97"/>
      <c r="O58" s="97"/>
      <c r="P58" s="97"/>
      <c r="Q58" s="86"/>
      <c r="R58" s="97"/>
      <c r="S58" s="103"/>
      <c r="T58" s="103"/>
      <c r="U58" s="91"/>
      <c r="V58" s="91"/>
      <c r="X58" s="86"/>
      <c r="Y58" s="86"/>
      <c r="AA58" s="32">
        <f t="shared" si="0"/>
        <v>0</v>
      </c>
      <c r="AB58" s="32" t="str">
        <f t="shared" si="1"/>
        <v>Cumple</v>
      </c>
      <c r="AC58" s="56" t="e">
        <f>(F58-#REF!)</f>
        <v>#REF!</v>
      </c>
    </row>
    <row r="59" spans="1:29" ht="17.25" customHeight="1" thickTop="1" thickBot="1" x14ac:dyDescent="0.3">
      <c r="A59" s="99"/>
      <c r="B59" s="99"/>
      <c r="C59" s="98"/>
      <c r="D59" s="98"/>
      <c r="E59" s="97"/>
      <c r="F59" s="102"/>
      <c r="G59" s="102"/>
      <c r="H59" s="102"/>
      <c r="I59" s="102"/>
      <c r="J59" s="102"/>
      <c r="K59" s="104"/>
      <c r="L59" s="97"/>
      <c r="M59" s="97"/>
      <c r="N59" s="97"/>
      <c r="O59" s="97"/>
      <c r="P59" s="97"/>
      <c r="Q59" s="86"/>
      <c r="R59" s="97"/>
      <c r="S59" s="103"/>
      <c r="T59" s="103"/>
      <c r="U59" s="91"/>
      <c r="V59" s="91"/>
      <c r="X59" s="86"/>
      <c r="Y59" s="86"/>
      <c r="AA59" s="32">
        <f t="shared" si="0"/>
        <v>0</v>
      </c>
      <c r="AB59" s="32" t="str">
        <f t="shared" si="1"/>
        <v>Cumple</v>
      </c>
      <c r="AC59" s="56" t="e">
        <f>(F59-#REF!)</f>
        <v>#REF!</v>
      </c>
    </row>
    <row r="60" spans="1:29" ht="17.25" customHeight="1" thickTop="1" thickBot="1" x14ac:dyDescent="0.3">
      <c r="A60" s="99"/>
      <c r="B60" s="99"/>
      <c r="C60" s="98"/>
      <c r="D60" s="98"/>
      <c r="E60" s="97"/>
      <c r="F60" s="102"/>
      <c r="G60" s="102"/>
      <c r="H60" s="102"/>
      <c r="I60" s="102"/>
      <c r="J60" s="102"/>
      <c r="K60" s="104"/>
      <c r="L60" s="97"/>
      <c r="M60" s="97"/>
      <c r="N60" s="97"/>
      <c r="O60" s="97"/>
      <c r="P60" s="97"/>
      <c r="Q60" s="86"/>
      <c r="R60" s="97"/>
      <c r="S60" s="103"/>
      <c r="T60" s="103"/>
      <c r="U60" s="91"/>
      <c r="V60" s="91"/>
      <c r="X60" s="86"/>
      <c r="Y60" s="86"/>
      <c r="AA60" s="32">
        <f t="shared" si="0"/>
        <v>0</v>
      </c>
      <c r="AB60" s="32" t="str">
        <f t="shared" si="1"/>
        <v>Cumple</v>
      </c>
      <c r="AC60" s="56" t="e">
        <f>(F60-#REF!)</f>
        <v>#REF!</v>
      </c>
    </row>
    <row r="61" spans="1:29" ht="17.25" customHeight="1" thickTop="1" thickBot="1" x14ac:dyDescent="0.3">
      <c r="A61" s="99"/>
      <c r="B61" s="99"/>
      <c r="C61" s="98"/>
      <c r="D61" s="98"/>
      <c r="E61" s="97"/>
      <c r="F61" s="102"/>
      <c r="G61" s="102"/>
      <c r="H61" s="102"/>
      <c r="I61" s="102"/>
      <c r="J61" s="102"/>
      <c r="K61" s="104"/>
      <c r="L61" s="97"/>
      <c r="M61" s="97"/>
      <c r="N61" s="97"/>
      <c r="O61" s="97"/>
      <c r="P61" s="97"/>
      <c r="Q61" s="86"/>
      <c r="R61" s="97"/>
      <c r="S61" s="103"/>
      <c r="T61" s="103"/>
      <c r="U61" s="91"/>
      <c r="V61" s="91"/>
      <c r="X61" s="86"/>
      <c r="Y61" s="86"/>
      <c r="AA61" s="32">
        <f t="shared" si="0"/>
        <v>0</v>
      </c>
      <c r="AB61" s="32" t="str">
        <f t="shared" si="1"/>
        <v>Cumple</v>
      </c>
      <c r="AC61" s="56" t="e">
        <f>(F61-#REF!)</f>
        <v>#REF!</v>
      </c>
    </row>
    <row r="62" spans="1:29" ht="17.25" customHeight="1" thickTop="1" thickBot="1" x14ac:dyDescent="0.3">
      <c r="A62" s="88"/>
      <c r="B62" s="88"/>
      <c r="C62" s="88"/>
      <c r="D62" s="88"/>
      <c r="E62" s="88"/>
      <c r="F62" s="88"/>
      <c r="G62" s="88"/>
      <c r="H62" s="92"/>
      <c r="I62" s="92"/>
      <c r="J62" s="92"/>
      <c r="K62" s="90"/>
      <c r="L62" s="88"/>
      <c r="M62" s="88"/>
      <c r="N62" s="88"/>
      <c r="O62" s="88"/>
      <c r="P62" s="88"/>
      <c r="Q62" s="88"/>
      <c r="R62" s="88"/>
      <c r="S62" s="90"/>
      <c r="T62" s="88"/>
      <c r="U62" s="91"/>
      <c r="V62" s="91"/>
      <c r="X62" s="86"/>
      <c r="Y62" s="86"/>
      <c r="AA62" s="32">
        <f t="shared" si="0"/>
        <v>0</v>
      </c>
      <c r="AB62" s="32" t="str">
        <f t="shared" si="1"/>
        <v>Cumple</v>
      </c>
      <c r="AC62" s="56" t="e">
        <f>(H62-#REF!)</f>
        <v>#REF!</v>
      </c>
    </row>
    <row r="63" spans="1:29" ht="17.25" customHeight="1" thickTop="1" thickBot="1" x14ac:dyDescent="0.3">
      <c r="A63" s="88"/>
      <c r="B63" s="88"/>
      <c r="C63" s="88"/>
      <c r="D63" s="88"/>
      <c r="E63" s="88"/>
      <c r="F63" s="88"/>
      <c r="G63" s="88"/>
      <c r="H63" s="89"/>
      <c r="I63" s="89"/>
      <c r="J63" s="89"/>
      <c r="K63" s="90"/>
      <c r="L63" s="88"/>
      <c r="M63" s="88"/>
      <c r="N63" s="88"/>
      <c r="O63" s="88"/>
      <c r="P63" s="88"/>
      <c r="Q63" s="88"/>
      <c r="R63" s="88"/>
      <c r="S63" s="90"/>
      <c r="T63" s="88"/>
      <c r="U63" s="91"/>
      <c r="V63" s="91"/>
      <c r="X63" s="86"/>
      <c r="Y63" s="86"/>
      <c r="AA63" s="32">
        <f t="shared" si="0"/>
        <v>0</v>
      </c>
      <c r="AB63" s="32" t="str">
        <f t="shared" si="1"/>
        <v>Cumple</v>
      </c>
      <c r="AC63" s="56" t="e">
        <f>(H63-#REF!)</f>
        <v>#REF!</v>
      </c>
    </row>
    <row r="64" spans="1:29" ht="14.25" thickTop="1" thickBot="1" x14ac:dyDescent="0.3">
      <c r="A64" s="88"/>
      <c r="B64" s="88"/>
      <c r="C64" s="88"/>
      <c r="D64" s="88"/>
      <c r="E64" s="88"/>
      <c r="F64" s="88"/>
      <c r="G64" s="88"/>
      <c r="H64" s="89"/>
      <c r="I64" s="89"/>
      <c r="J64" s="89"/>
      <c r="K64" s="90"/>
      <c r="L64" s="88"/>
      <c r="M64" s="88"/>
      <c r="N64" s="88"/>
      <c r="O64" s="88"/>
      <c r="P64" s="88"/>
      <c r="Q64" s="88"/>
      <c r="R64" s="93"/>
      <c r="S64" s="90"/>
      <c r="T64" s="88"/>
      <c r="U64" s="91"/>
      <c r="V64" s="91"/>
      <c r="X64" s="86"/>
      <c r="Y64" s="86"/>
      <c r="AA64" s="32">
        <f t="shared" si="0"/>
        <v>0</v>
      </c>
      <c r="AB64" s="32" t="str">
        <f t="shared" si="1"/>
        <v>Cumple</v>
      </c>
      <c r="AC64" s="56" t="e">
        <f>(H64-#REF!)</f>
        <v>#REF!</v>
      </c>
    </row>
    <row r="65" spans="1:29" ht="14.25" thickTop="1" thickBot="1" x14ac:dyDescent="0.3">
      <c r="A65" s="88"/>
      <c r="B65" s="88"/>
      <c r="C65" s="88"/>
      <c r="D65" s="88"/>
      <c r="E65" s="88"/>
      <c r="F65" s="88"/>
      <c r="G65" s="88"/>
      <c r="H65" s="92"/>
      <c r="I65" s="92"/>
      <c r="J65" s="92"/>
      <c r="K65" s="90"/>
      <c r="L65" s="88"/>
      <c r="M65" s="88"/>
      <c r="N65" s="88"/>
      <c r="O65" s="88"/>
      <c r="P65" s="88"/>
      <c r="Q65" s="88"/>
      <c r="R65" s="88"/>
      <c r="S65" s="90"/>
      <c r="T65" s="88"/>
      <c r="U65" s="91"/>
      <c r="V65" s="91"/>
      <c r="X65" s="86"/>
      <c r="Y65" s="86"/>
      <c r="AA65" s="32">
        <f t="shared" si="0"/>
        <v>0</v>
      </c>
      <c r="AB65" s="32" t="str">
        <f t="shared" si="1"/>
        <v>Cumple</v>
      </c>
      <c r="AC65" s="56" t="e">
        <f>(H65-#REF!)</f>
        <v>#REF!</v>
      </c>
    </row>
    <row r="66" spans="1:29" ht="14.25" customHeight="1" thickTop="1" thickBot="1" x14ac:dyDescent="0.3">
      <c r="A66" s="88"/>
      <c r="B66" s="88"/>
      <c r="C66" s="88"/>
      <c r="D66" s="88"/>
      <c r="E66" s="88"/>
      <c r="F66" s="88"/>
      <c r="G66" s="88"/>
      <c r="H66" s="89"/>
      <c r="I66" s="89"/>
      <c r="J66" s="89"/>
      <c r="K66" s="90"/>
      <c r="L66" s="88"/>
      <c r="M66" s="88"/>
      <c r="N66" s="88"/>
      <c r="O66" s="88"/>
      <c r="P66" s="88"/>
      <c r="Q66" s="88"/>
      <c r="R66" s="88"/>
      <c r="S66" s="90"/>
      <c r="T66" s="88"/>
      <c r="U66" s="91"/>
      <c r="V66" s="91"/>
      <c r="X66" s="86"/>
      <c r="Y66" s="86"/>
      <c r="AA66" s="32">
        <f t="shared" si="0"/>
        <v>0</v>
      </c>
      <c r="AB66" s="32" t="str">
        <f t="shared" si="1"/>
        <v>Cumple</v>
      </c>
      <c r="AC66" s="56" t="e">
        <f>(H66-#REF!)</f>
        <v>#REF!</v>
      </c>
    </row>
    <row r="67" spans="1:29" ht="14.25" thickTop="1" thickBot="1" x14ac:dyDescent="0.3">
      <c r="A67" s="88"/>
      <c r="B67" s="88"/>
      <c r="C67" s="94"/>
      <c r="D67" s="94"/>
      <c r="E67" s="94"/>
      <c r="F67" s="88"/>
      <c r="G67" s="88"/>
      <c r="H67" s="89"/>
      <c r="I67" s="89"/>
      <c r="J67" s="89"/>
      <c r="K67" s="90"/>
      <c r="L67" s="88"/>
      <c r="M67" s="88"/>
      <c r="N67" s="88"/>
      <c r="O67" s="88"/>
      <c r="P67" s="88"/>
      <c r="Q67" s="88"/>
      <c r="R67" s="88"/>
      <c r="S67" s="90"/>
      <c r="T67" s="88"/>
      <c r="U67" s="91"/>
      <c r="V67" s="91"/>
      <c r="X67" s="86"/>
      <c r="Y67" s="86"/>
      <c r="AA67" s="32">
        <f t="shared" si="0"/>
        <v>0</v>
      </c>
      <c r="AB67" s="32" t="str">
        <f t="shared" si="1"/>
        <v>Cumple</v>
      </c>
      <c r="AC67" s="56" t="e">
        <f>(H67-#REF!)</f>
        <v>#REF!</v>
      </c>
    </row>
    <row r="68" spans="1:29" ht="14.25" thickTop="1" thickBot="1" x14ac:dyDescent="0.3">
      <c r="A68" s="88"/>
      <c r="B68" s="88"/>
      <c r="C68" s="94"/>
      <c r="D68" s="94"/>
      <c r="E68" s="94"/>
      <c r="F68" s="88"/>
      <c r="G68" s="88"/>
      <c r="H68" s="89"/>
      <c r="I68" s="89"/>
      <c r="J68" s="89"/>
      <c r="K68" s="90"/>
      <c r="L68" s="88"/>
      <c r="M68" s="88"/>
      <c r="N68" s="88"/>
      <c r="O68" s="88"/>
      <c r="P68" s="88"/>
      <c r="Q68" s="88"/>
      <c r="R68" s="88"/>
      <c r="S68" s="90"/>
      <c r="T68" s="88"/>
      <c r="U68" s="91"/>
      <c r="V68" s="91"/>
      <c r="X68" s="86"/>
      <c r="Y68" s="86"/>
      <c r="AA68" s="32">
        <f t="shared" si="0"/>
        <v>0</v>
      </c>
      <c r="AB68" s="32" t="str">
        <f t="shared" si="1"/>
        <v>Cumple</v>
      </c>
      <c r="AC68" s="56" t="e">
        <f>(H68-#REF!)</f>
        <v>#REF!</v>
      </c>
    </row>
    <row r="69" spans="1:29" ht="14.25" thickTop="1" thickBot="1" x14ac:dyDescent="0.3">
      <c r="A69" s="88"/>
      <c r="B69" s="88"/>
      <c r="C69" s="88"/>
      <c r="D69" s="88"/>
      <c r="E69" s="88"/>
      <c r="F69" s="88"/>
      <c r="G69" s="88"/>
      <c r="H69" s="89"/>
      <c r="I69" s="89"/>
      <c r="J69" s="89"/>
      <c r="K69" s="90"/>
      <c r="L69" s="88"/>
      <c r="M69" s="88"/>
      <c r="N69" s="88"/>
      <c r="O69" s="88"/>
      <c r="P69" s="88"/>
      <c r="Q69" s="88"/>
      <c r="R69" s="88"/>
      <c r="S69" s="90"/>
      <c r="T69" s="88"/>
      <c r="U69" s="91"/>
      <c r="V69" s="91"/>
      <c r="X69" s="86"/>
      <c r="Y69" s="86"/>
      <c r="AA69" s="32">
        <f t="shared" si="0"/>
        <v>0</v>
      </c>
      <c r="AB69" s="32" t="str">
        <f t="shared" si="1"/>
        <v>Cumple</v>
      </c>
      <c r="AC69" s="56" t="e">
        <f>(H69-#REF!)</f>
        <v>#REF!</v>
      </c>
    </row>
    <row r="70" spans="1:29" ht="14.25" thickTop="1" thickBot="1" x14ac:dyDescent="0.3">
      <c r="A70" s="88"/>
      <c r="B70" s="88"/>
      <c r="C70" s="88"/>
      <c r="D70" s="88"/>
      <c r="E70" s="88"/>
      <c r="F70" s="88"/>
      <c r="G70" s="88"/>
      <c r="H70" s="89"/>
      <c r="I70" s="89"/>
      <c r="J70" s="89"/>
      <c r="K70" s="90"/>
      <c r="L70" s="88"/>
      <c r="M70" s="88"/>
      <c r="N70" s="88"/>
      <c r="O70" s="88"/>
      <c r="P70" s="88"/>
      <c r="Q70" s="88"/>
      <c r="R70" s="88"/>
      <c r="S70" s="90"/>
      <c r="T70" s="88"/>
      <c r="U70" s="91"/>
      <c r="V70" s="91"/>
      <c r="X70" s="86"/>
      <c r="Y70" s="86"/>
      <c r="AA70" s="32">
        <f t="shared" si="0"/>
        <v>0</v>
      </c>
      <c r="AB70" s="32" t="str">
        <f t="shared" si="1"/>
        <v>Cumple</v>
      </c>
      <c r="AC70" s="56" t="e">
        <f>(H70-#REF!)</f>
        <v>#REF!</v>
      </c>
    </row>
    <row r="71" spans="1:29" ht="14.25" thickTop="1" thickBot="1" x14ac:dyDescent="0.3">
      <c r="A71" s="88"/>
      <c r="B71" s="88"/>
      <c r="C71" s="88"/>
      <c r="D71" s="88"/>
      <c r="E71" s="88"/>
      <c r="F71" s="88"/>
      <c r="G71" s="88"/>
      <c r="H71" s="92"/>
      <c r="I71" s="92"/>
      <c r="J71" s="92"/>
      <c r="K71" s="95"/>
      <c r="L71" s="88"/>
      <c r="M71" s="88"/>
      <c r="N71" s="88"/>
      <c r="O71" s="88"/>
      <c r="P71" s="88"/>
      <c r="Q71" s="88"/>
      <c r="R71" s="88"/>
      <c r="S71" s="90"/>
      <c r="T71" s="88"/>
      <c r="U71" s="91"/>
      <c r="V71" s="91"/>
      <c r="X71" s="86"/>
      <c r="Y71" s="86"/>
      <c r="AA71" s="32">
        <f t="shared" si="0"/>
        <v>0</v>
      </c>
      <c r="AB71" s="32" t="str">
        <f t="shared" si="1"/>
        <v>Cumple</v>
      </c>
      <c r="AC71" s="56" t="e">
        <f>(H71-#REF!)</f>
        <v>#REF!</v>
      </c>
    </row>
    <row r="72" spans="1:29" ht="14.25" thickTop="1" thickBot="1" x14ac:dyDescent="0.3">
      <c r="A72" s="88"/>
      <c r="B72" s="88"/>
      <c r="C72" s="88"/>
      <c r="D72" s="88"/>
      <c r="E72" s="88"/>
      <c r="F72" s="88"/>
      <c r="G72" s="88"/>
      <c r="H72" s="89"/>
      <c r="I72" s="89"/>
      <c r="J72" s="89"/>
      <c r="K72" s="95"/>
      <c r="L72" s="88"/>
      <c r="M72" s="88"/>
      <c r="N72" s="88"/>
      <c r="O72" s="88"/>
      <c r="P72" s="88"/>
      <c r="Q72" s="88"/>
      <c r="R72" s="88"/>
      <c r="S72" s="90"/>
      <c r="T72" s="88"/>
      <c r="U72" s="91"/>
      <c r="V72" s="91"/>
      <c r="X72" s="86"/>
      <c r="Y72" s="86"/>
      <c r="AA72" s="32">
        <f t="shared" ref="AA72:AA77" si="2">+X72-Y72</f>
        <v>0</v>
      </c>
      <c r="AB72" s="32" t="str">
        <f t="shared" ref="AB72:AB77" si="3">IF(AA72=0,"Cumple",IF(AA72&gt;0,"Falta",IF(AA72&lt;0,"Error",0)))</f>
        <v>Cumple</v>
      </c>
      <c r="AC72" s="56" t="e">
        <f>(H72-#REF!)</f>
        <v>#REF!</v>
      </c>
    </row>
    <row r="73" spans="1:29" ht="14.25" thickTop="1" thickBot="1" x14ac:dyDescent="0.3">
      <c r="A73" s="88"/>
      <c r="B73" s="88"/>
      <c r="C73" s="88"/>
      <c r="D73" s="88"/>
      <c r="E73" s="88"/>
      <c r="F73" s="88"/>
      <c r="G73" s="88"/>
      <c r="H73" s="92"/>
      <c r="I73" s="92"/>
      <c r="J73" s="92"/>
      <c r="K73" s="95"/>
      <c r="L73" s="88"/>
      <c r="M73" s="88"/>
      <c r="N73" s="88"/>
      <c r="O73" s="88"/>
      <c r="P73" s="88"/>
      <c r="Q73" s="88"/>
      <c r="R73" s="88"/>
      <c r="S73" s="90"/>
      <c r="T73" s="88"/>
      <c r="U73" s="91"/>
      <c r="V73" s="91"/>
      <c r="X73" s="86"/>
      <c r="Y73" s="86"/>
      <c r="AA73" s="32">
        <f t="shared" si="2"/>
        <v>0</v>
      </c>
      <c r="AB73" s="32" t="str">
        <f t="shared" si="3"/>
        <v>Cumple</v>
      </c>
      <c r="AC73" s="56" t="e">
        <f>(H73-#REF!)</f>
        <v>#REF!</v>
      </c>
    </row>
    <row r="74" spans="1:29" ht="14.25" thickTop="1" thickBot="1" x14ac:dyDescent="0.3">
      <c r="A74" s="88"/>
      <c r="B74" s="88"/>
      <c r="C74" s="88"/>
      <c r="D74" s="88"/>
      <c r="E74" s="88"/>
      <c r="F74" s="88"/>
      <c r="G74" s="88"/>
      <c r="H74" s="92"/>
      <c r="I74" s="92"/>
      <c r="J74" s="92"/>
      <c r="K74" s="90"/>
      <c r="L74" s="88"/>
      <c r="M74" s="88"/>
      <c r="N74" s="88"/>
      <c r="O74" s="88"/>
      <c r="P74" s="88"/>
      <c r="Q74" s="88"/>
      <c r="R74" s="88"/>
      <c r="S74" s="90"/>
      <c r="T74" s="88"/>
      <c r="U74" s="91"/>
      <c r="V74" s="91"/>
      <c r="X74" s="86"/>
      <c r="Y74" s="86"/>
      <c r="AA74" s="32">
        <f t="shared" si="2"/>
        <v>0</v>
      </c>
      <c r="AB74" s="32" t="str">
        <f t="shared" si="3"/>
        <v>Cumple</v>
      </c>
      <c r="AC74" s="56" t="e">
        <f>(H74-#REF!)</f>
        <v>#REF!</v>
      </c>
    </row>
    <row r="75" spans="1:29" ht="14.25" thickTop="1" thickBot="1" x14ac:dyDescent="0.3">
      <c r="A75" s="88"/>
      <c r="B75" s="88"/>
      <c r="C75" s="88"/>
      <c r="D75" s="88"/>
      <c r="E75" s="88"/>
      <c r="F75" s="88"/>
      <c r="G75" s="88"/>
      <c r="H75" s="92"/>
      <c r="I75" s="92"/>
      <c r="J75" s="92"/>
      <c r="K75" s="95"/>
      <c r="L75" s="88"/>
      <c r="M75" s="88"/>
      <c r="N75" s="88"/>
      <c r="O75" s="88"/>
      <c r="P75" s="88"/>
      <c r="Q75" s="88"/>
      <c r="R75" s="88"/>
      <c r="S75" s="90"/>
      <c r="T75" s="88"/>
      <c r="U75" s="91"/>
      <c r="V75" s="91"/>
      <c r="X75" s="86"/>
      <c r="Y75" s="86"/>
      <c r="AA75" s="32">
        <f t="shared" si="2"/>
        <v>0</v>
      </c>
      <c r="AB75" s="32" t="str">
        <f t="shared" si="3"/>
        <v>Cumple</v>
      </c>
      <c r="AC75" s="56" t="e">
        <f>(H75-#REF!)</f>
        <v>#REF!</v>
      </c>
    </row>
    <row r="76" spans="1:29" ht="14.25" thickTop="1" thickBot="1" x14ac:dyDescent="0.3">
      <c r="A76" s="88"/>
      <c r="B76" s="88"/>
      <c r="C76" s="88"/>
      <c r="D76" s="88"/>
      <c r="E76" s="88"/>
      <c r="F76" s="88"/>
      <c r="G76" s="88"/>
      <c r="H76" s="92"/>
      <c r="I76" s="92"/>
      <c r="J76" s="92"/>
      <c r="K76" s="95"/>
      <c r="L76" s="88"/>
      <c r="M76" s="88"/>
      <c r="N76" s="88"/>
      <c r="O76" s="88"/>
      <c r="P76" s="88"/>
      <c r="Q76" s="88"/>
      <c r="R76" s="88"/>
      <c r="S76" s="90"/>
      <c r="T76" s="88"/>
      <c r="U76" s="91"/>
      <c r="V76" s="91"/>
      <c r="X76" s="86"/>
      <c r="Y76" s="86"/>
      <c r="AA76" s="32">
        <f t="shared" si="2"/>
        <v>0</v>
      </c>
      <c r="AB76" s="32" t="str">
        <f t="shared" si="3"/>
        <v>Cumple</v>
      </c>
      <c r="AC76" s="56" t="e">
        <f>(H76-#REF!)</f>
        <v>#REF!</v>
      </c>
    </row>
    <row r="77" spans="1:29" ht="14.25" thickTop="1" thickBot="1" x14ac:dyDescent="0.3">
      <c r="A77" s="88"/>
      <c r="B77" s="88"/>
      <c r="C77" s="88"/>
      <c r="D77" s="88"/>
      <c r="E77" s="88"/>
      <c r="F77" s="88"/>
      <c r="G77" s="88"/>
      <c r="H77" s="92"/>
      <c r="I77" s="92"/>
      <c r="J77" s="92"/>
      <c r="K77" s="95"/>
      <c r="L77" s="88"/>
      <c r="M77" s="88"/>
      <c r="N77" s="88"/>
      <c r="O77" s="88"/>
      <c r="P77" s="88"/>
      <c r="Q77" s="88"/>
      <c r="R77" s="88"/>
      <c r="S77" s="90"/>
      <c r="T77" s="88"/>
      <c r="U77" s="91"/>
      <c r="V77" s="91"/>
      <c r="X77" s="86"/>
      <c r="Y77" s="86"/>
      <c r="AA77" s="32">
        <f t="shared" si="2"/>
        <v>0</v>
      </c>
      <c r="AB77" s="32" t="str">
        <f t="shared" si="3"/>
        <v>Cumple</v>
      </c>
      <c r="AC77" s="56" t="e">
        <f>(H77-#REF!)</f>
        <v>#REF!</v>
      </c>
    </row>
    <row r="78" spans="1:29" ht="15.75" thickTop="1" x14ac:dyDescent="0.25">
      <c r="A78" s="109" t="s">
        <v>103</v>
      </c>
      <c r="B78" s="109" t="s">
        <v>103</v>
      </c>
      <c r="C78" s="109" t="s">
        <v>103</v>
      </c>
      <c r="D78" s="109"/>
      <c r="E78" s="109" t="s">
        <v>103</v>
      </c>
      <c r="F78" s="109" t="s">
        <v>103</v>
      </c>
      <c r="G78" s="109"/>
      <c r="H78" s="109" t="s">
        <v>103</v>
      </c>
      <c r="I78" s="109"/>
      <c r="J78" s="109"/>
      <c r="K78" s="109" t="s">
        <v>103</v>
      </c>
      <c r="L78" s="109" t="s">
        <v>103</v>
      </c>
      <c r="M78" s="109"/>
      <c r="N78" s="109" t="s">
        <v>103</v>
      </c>
      <c r="O78" s="109"/>
      <c r="P78" s="109"/>
      <c r="Q78" s="109" t="s">
        <v>103</v>
      </c>
      <c r="R78" s="109" t="s">
        <v>103</v>
      </c>
      <c r="S78" s="109" t="s">
        <v>103</v>
      </c>
      <c r="T78" s="109" t="s">
        <v>103</v>
      </c>
    </row>
  </sheetData>
  <sheetProtection insertRows="0"/>
  <mergeCells count="20">
    <mergeCell ref="A6:A7"/>
    <mergeCell ref="B6:B7"/>
    <mergeCell ref="C6:C7"/>
    <mergeCell ref="D6:D7"/>
    <mergeCell ref="E6:E7"/>
    <mergeCell ref="B1:V1"/>
    <mergeCell ref="B2:V2"/>
    <mergeCell ref="B3:V3"/>
    <mergeCell ref="B4:V4"/>
    <mergeCell ref="A5:B5"/>
    <mergeCell ref="S5:T5"/>
    <mergeCell ref="R6:R7"/>
    <mergeCell ref="S6:S7"/>
    <mergeCell ref="T6:T7"/>
    <mergeCell ref="F6:H6"/>
    <mergeCell ref="I6:K6"/>
    <mergeCell ref="L6:L7"/>
    <mergeCell ref="M6:M7"/>
    <mergeCell ref="N6:N7"/>
    <mergeCell ref="O6:Q6"/>
  </mergeCells>
  <conditionalFormatting sqref="F8:J61">
    <cfRule type="containsText" dxfId="16" priority="1" operator="containsText" text="x">
      <formula>NOT(ISERROR(SEARCH("x",F8)))</formula>
    </cfRule>
  </conditionalFormatting>
  <conditionalFormatting sqref="H62:J77">
    <cfRule type="containsText" dxfId="15" priority="5" operator="containsText" text="x">
      <formula>NOT(ISERROR(SEARCH("x",H62)))</formula>
    </cfRule>
  </conditionalFormatting>
  <conditionalFormatting sqref="AA7:AB77">
    <cfRule type="cellIs" dxfId="14" priority="27" operator="lessThan">
      <formula>0</formula>
    </cfRule>
  </conditionalFormatting>
  <conditionalFormatting sqref="AB7:AB77">
    <cfRule type="containsText" dxfId="13" priority="24" operator="containsText" text="Error">
      <formula>NOT(ISERROR(SEARCH("Error",AB7)))</formula>
    </cfRule>
    <cfRule type="containsText" dxfId="12" priority="25" operator="containsText" text="Falta">
      <formula>NOT(ISERROR(SEARCH("Falta",AB7)))</formula>
    </cfRule>
    <cfRule type="containsText" dxfId="11" priority="26" operator="containsText" text="Cumple">
      <formula>NOT(ISERROR(SEARCH("Cumple",AB7)))</formula>
    </cfRule>
  </conditionalFormatting>
  <conditionalFormatting sqref="AC7:AC77">
    <cfRule type="cellIs" dxfId="10" priority="28" operator="greaterThan">
      <formula>0</formula>
    </cfRule>
    <cfRule type="cellIs" dxfId="9" priority="29" operator="lessThan">
      <formula>0</formula>
    </cfRule>
  </conditionalFormatting>
  <pageMargins left="0.7" right="0.7" top="0.75" bottom="0.75" header="0.3" footer="0.3"/>
  <pageSetup paperSize="9" orientation="portrait" horizontalDpi="4294967292"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'Listas Nuevas'!$B$3:$B$50</xm:f>
          </x14:formula1>
          <xm:sqref>B8:B77</xm:sqref>
        </x14:dataValidation>
        <x14:dataValidation type="list" allowBlank="1" showInputMessage="1" showErrorMessage="1">
          <x14:formula1>
            <xm:f>'Listas Nuevas'!$A$3:$A$14</xm:f>
          </x14:formula1>
          <xm:sqref>A8:A77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B2:P25"/>
  <sheetViews>
    <sheetView showGridLines="0" zoomScaleNormal="100" workbookViewId="0">
      <selection activeCell="C5" sqref="C5"/>
    </sheetView>
  </sheetViews>
  <sheetFormatPr baseColWidth="10" defaultColWidth="11.42578125" defaultRowHeight="14.25" x14ac:dyDescent="0.2"/>
  <cols>
    <col min="1" max="1" width="2.85546875" style="33" customWidth="1"/>
    <col min="2" max="2" width="15.7109375" style="33" customWidth="1"/>
    <col min="3" max="4" width="15.140625" style="33" customWidth="1"/>
    <col min="5" max="5" width="4.28515625" style="33" customWidth="1"/>
    <col min="6" max="7" width="16.28515625" style="33" customWidth="1"/>
    <col min="8" max="8" width="4.28515625" style="33" customWidth="1"/>
    <col min="9" max="9" width="14.140625" style="33" customWidth="1"/>
    <col min="10" max="11" width="11.42578125" style="33"/>
    <col min="12" max="12" width="5.28515625" style="33" customWidth="1"/>
    <col min="13" max="16384" width="11.42578125" style="33"/>
  </cols>
  <sheetData>
    <row r="2" spans="2:16" x14ac:dyDescent="0.2">
      <c r="B2" s="161" t="s">
        <v>262</v>
      </c>
      <c r="C2" s="161"/>
      <c r="D2" s="161"/>
      <c r="E2" s="161"/>
      <c r="F2" s="161"/>
      <c r="G2" s="161"/>
      <c r="H2" s="161"/>
      <c r="I2" s="161"/>
      <c r="J2" s="161"/>
      <c r="K2" s="161"/>
    </row>
    <row r="3" spans="2:16" ht="15" thickBot="1" x14ac:dyDescent="0.25"/>
    <row r="4" spans="2:16" ht="31.5" customHeight="1" thickTop="1" thickBot="1" x14ac:dyDescent="0.25">
      <c r="B4" s="34" t="s">
        <v>90</v>
      </c>
      <c r="C4" s="34" t="s">
        <v>236</v>
      </c>
      <c r="D4" s="34" t="s">
        <v>237</v>
      </c>
      <c r="F4" s="179" t="s">
        <v>238</v>
      </c>
      <c r="G4" s="180"/>
      <c r="I4" s="179" t="s">
        <v>239</v>
      </c>
      <c r="J4" s="181"/>
      <c r="K4" s="180"/>
    </row>
    <row r="5" spans="2:16" ht="22.5" customHeight="1" thickTop="1" thickBot="1" x14ac:dyDescent="0.25">
      <c r="B5" s="35" t="e">
        <f>SUM(#REF!)</f>
        <v>#REF!</v>
      </c>
      <c r="C5" s="35" t="e">
        <f>SUM(#REF!)</f>
        <v>#REF!</v>
      </c>
      <c r="D5" s="35" t="e">
        <f>B5-C5</f>
        <v>#REF!</v>
      </c>
      <c r="F5" s="36" t="e">
        <f>C5/$B$5</f>
        <v>#REF!</v>
      </c>
      <c r="G5" s="37"/>
      <c r="I5" s="36" t="e">
        <f>D5/$B$5</f>
        <v>#REF!</v>
      </c>
      <c r="J5" s="38"/>
      <c r="K5" s="37"/>
    </row>
    <row r="6" spans="2:16" ht="15.75" thickTop="1" thickBot="1" x14ac:dyDescent="0.25"/>
    <row r="7" spans="2:16" ht="15.75" thickTop="1" thickBot="1" x14ac:dyDescent="0.25">
      <c r="F7" s="39"/>
      <c r="G7" s="40"/>
      <c r="I7" s="39"/>
      <c r="J7" s="41"/>
      <c r="K7" s="40"/>
      <c r="M7" s="182" t="s">
        <v>240</v>
      </c>
      <c r="N7" s="182"/>
      <c r="O7" s="182"/>
      <c r="P7" s="182"/>
    </row>
    <row r="8" spans="2:16" ht="15.75" thickTop="1" thickBot="1" x14ac:dyDescent="0.25">
      <c r="F8" s="42"/>
      <c r="G8" s="43"/>
      <c r="I8" s="42"/>
      <c r="K8" s="43"/>
      <c r="M8" s="96" t="s">
        <v>241</v>
      </c>
      <c r="N8" s="182" t="s">
        <v>242</v>
      </c>
      <c r="O8" s="182"/>
      <c r="P8" s="182"/>
    </row>
    <row r="9" spans="2:16" ht="6.75" customHeight="1" thickTop="1" thickBot="1" x14ac:dyDescent="0.25">
      <c r="F9" s="42"/>
      <c r="G9" s="43"/>
      <c r="I9" s="42"/>
      <c r="K9" s="43"/>
      <c r="M9" s="44"/>
      <c r="N9" s="44"/>
      <c r="O9" s="44"/>
      <c r="P9" s="44"/>
    </row>
    <row r="10" spans="2:16" ht="21" customHeight="1" thickTop="1" thickBot="1" x14ac:dyDescent="0.25">
      <c r="F10" s="42"/>
      <c r="G10" s="43"/>
      <c r="I10" s="42"/>
      <c r="K10" s="43"/>
      <c r="M10" s="45" t="s">
        <v>243</v>
      </c>
      <c r="N10" s="169" t="s">
        <v>244</v>
      </c>
      <c r="O10" s="169"/>
      <c r="P10" s="169"/>
    </row>
    <row r="11" spans="2:16" ht="21" customHeight="1" thickTop="1" thickBot="1" x14ac:dyDescent="0.25">
      <c r="F11" s="42"/>
      <c r="G11" s="43"/>
      <c r="I11" s="42"/>
      <c r="K11" s="43"/>
      <c r="M11" s="45" t="s">
        <v>245</v>
      </c>
      <c r="N11" s="169" t="s">
        <v>246</v>
      </c>
      <c r="O11" s="169"/>
      <c r="P11" s="169"/>
    </row>
    <row r="12" spans="2:16" ht="21" customHeight="1" thickTop="1" thickBot="1" x14ac:dyDescent="0.25">
      <c r="F12" s="42"/>
      <c r="G12" s="43"/>
      <c r="I12" s="42"/>
      <c r="K12" s="43"/>
      <c r="M12" s="45" t="s">
        <v>247</v>
      </c>
      <c r="N12" s="169" t="s">
        <v>248</v>
      </c>
      <c r="O12" s="169"/>
      <c r="P12" s="169"/>
    </row>
    <row r="13" spans="2:16" ht="6.75" customHeight="1" thickTop="1" thickBot="1" x14ac:dyDescent="0.25">
      <c r="F13" s="42"/>
      <c r="G13" s="43"/>
      <c r="I13" s="42"/>
      <c r="K13" s="43"/>
      <c r="M13" s="44"/>
      <c r="N13" s="44"/>
      <c r="O13" s="44"/>
      <c r="P13" s="44"/>
    </row>
    <row r="14" spans="2:16" ht="6.75" customHeight="1" thickTop="1" x14ac:dyDescent="0.2">
      <c r="F14" s="42"/>
      <c r="G14" s="43"/>
      <c r="I14" s="42"/>
      <c r="K14" s="43"/>
      <c r="M14" s="170" t="e">
        <f>IF(F5&gt;=75%,"Satisfactorio",IF(F5&gt;=50%,"Aceptable","Deficiente"))</f>
        <v>#REF!</v>
      </c>
      <c r="N14" s="171"/>
      <c r="O14" s="171"/>
      <c r="P14" s="172"/>
    </row>
    <row r="15" spans="2:16" ht="6.75" customHeight="1" x14ac:dyDescent="0.2">
      <c r="F15" s="42"/>
      <c r="G15" s="43"/>
      <c r="I15" s="42"/>
      <c r="K15" s="43"/>
      <c r="M15" s="173"/>
      <c r="N15" s="174"/>
      <c r="O15" s="174"/>
      <c r="P15" s="175"/>
    </row>
    <row r="16" spans="2:16" ht="6.75" customHeight="1" thickBot="1" x14ac:dyDescent="0.25">
      <c r="F16" s="42"/>
      <c r="G16" s="43"/>
      <c r="I16" s="42"/>
      <c r="K16" s="43"/>
      <c r="M16" s="176"/>
      <c r="N16" s="177"/>
      <c r="O16" s="177"/>
      <c r="P16" s="178"/>
    </row>
    <row r="17" spans="2:11" ht="15" thickTop="1" x14ac:dyDescent="0.2">
      <c r="F17" s="42"/>
      <c r="G17" s="43"/>
      <c r="I17" s="42"/>
      <c r="K17" s="43"/>
    </row>
    <row r="18" spans="2:11" x14ac:dyDescent="0.2">
      <c r="F18" s="46"/>
      <c r="G18" s="47"/>
      <c r="I18" s="46"/>
      <c r="J18" s="48"/>
      <c r="K18" s="47"/>
    </row>
    <row r="19" spans="2:11" ht="15" thickBot="1" x14ac:dyDescent="0.25"/>
    <row r="20" spans="2:11" ht="16.5" customHeight="1" thickTop="1" thickBot="1" x14ac:dyDescent="0.25">
      <c r="B20" s="162" t="s">
        <v>249</v>
      </c>
      <c r="C20" s="163"/>
      <c r="D20" s="163"/>
      <c r="E20" s="163"/>
      <c r="F20" s="163"/>
      <c r="G20" s="163"/>
      <c r="H20" s="163"/>
      <c r="I20" s="163"/>
      <c r="J20" s="164"/>
    </row>
    <row r="21" spans="2:11" ht="16.5" customHeight="1" thickTop="1" thickBot="1" x14ac:dyDescent="0.25">
      <c r="B21" s="79"/>
      <c r="C21" s="165" t="s">
        <v>250</v>
      </c>
      <c r="D21" s="166"/>
      <c r="E21" s="166"/>
      <c r="F21" s="166"/>
      <c r="G21" s="167"/>
      <c r="H21" s="168" t="s">
        <v>251</v>
      </c>
      <c r="I21" s="168"/>
      <c r="J21" s="168"/>
    </row>
    <row r="22" spans="2:11" ht="34.5" customHeight="1" thickTop="1" thickBot="1" x14ac:dyDescent="0.25">
      <c r="B22" s="83" t="s">
        <v>252</v>
      </c>
      <c r="C22" s="155"/>
      <c r="D22" s="156"/>
      <c r="E22" s="156"/>
      <c r="F22" s="156"/>
      <c r="G22" s="157"/>
      <c r="H22" s="158"/>
      <c r="I22" s="158"/>
      <c r="J22" s="158"/>
    </row>
    <row r="23" spans="2:11" ht="34.5" customHeight="1" thickTop="1" thickBot="1" x14ac:dyDescent="0.25">
      <c r="B23" s="83" t="s">
        <v>253</v>
      </c>
      <c r="C23" s="155"/>
      <c r="D23" s="156"/>
      <c r="E23" s="156"/>
      <c r="F23" s="156"/>
      <c r="G23" s="157"/>
      <c r="H23" s="158"/>
      <c r="I23" s="158"/>
      <c r="J23" s="158"/>
    </row>
    <row r="24" spans="2:11" ht="16.5" customHeight="1" thickTop="1" thickBot="1" x14ac:dyDescent="0.25">
      <c r="B24" s="84" t="s">
        <v>256</v>
      </c>
      <c r="C24" s="80" t="s">
        <v>33</v>
      </c>
      <c r="D24" s="80" t="s">
        <v>34</v>
      </c>
      <c r="E24" s="159" t="s">
        <v>35</v>
      </c>
      <c r="F24" s="160"/>
      <c r="G24" s="81"/>
      <c r="H24" s="82"/>
      <c r="I24" s="82"/>
      <c r="J24" s="81"/>
    </row>
    <row r="25" spans="2:11" ht="15" thickTop="1" x14ac:dyDescent="0.2"/>
  </sheetData>
  <sheetProtection algorithmName="SHA-512" hashValue="OjDHxZeCvFjzq9NTVNG1N+36+oKVST2TOhTOsNkWbt+kvBeHzf/0HALwCVT0JXJQ6PM46zzmb+GFCkT3CbP8DA==" saltValue="yU8M4FilnR1DZTGR530ciw==" spinCount="100000" sheet="1" objects="1" scenarios="1"/>
  <mergeCells count="17">
    <mergeCell ref="B2:K2"/>
    <mergeCell ref="N12:P12"/>
    <mergeCell ref="M14:P16"/>
    <mergeCell ref="B20:J20"/>
    <mergeCell ref="C21:G21"/>
    <mergeCell ref="H21:J21"/>
    <mergeCell ref="F4:G4"/>
    <mergeCell ref="I4:K4"/>
    <mergeCell ref="M7:P7"/>
    <mergeCell ref="N8:P8"/>
    <mergeCell ref="N10:P10"/>
    <mergeCell ref="N11:P11"/>
    <mergeCell ref="C23:G23"/>
    <mergeCell ref="H23:J23"/>
    <mergeCell ref="E24:F24"/>
    <mergeCell ref="C22:G22"/>
    <mergeCell ref="H22:J22"/>
  </mergeCells>
  <conditionalFormatting sqref="C24">
    <cfRule type="containsText" dxfId="8" priority="3" operator="containsText" text="DD">
      <formula>NOT(ISERROR(SEARCH("DD",C24)))</formula>
    </cfRule>
  </conditionalFormatting>
  <conditionalFormatting sqref="D24">
    <cfRule type="containsText" dxfId="7" priority="1" operator="containsText" text="MM">
      <formula>NOT(ISERROR(SEARCH("MM",D24)))</formula>
    </cfRule>
  </conditionalFormatting>
  <conditionalFormatting sqref="E24">
    <cfRule type="containsText" dxfId="6" priority="2" operator="containsText" text="AAAA">
      <formula>NOT(ISERROR(SEARCH("AAAA",E24)))</formula>
    </cfRule>
  </conditionalFormatting>
  <conditionalFormatting sqref="M14:P16">
    <cfRule type="containsText" dxfId="5" priority="4" operator="containsText" text="Deficiente">
      <formula>NOT(ISERROR(SEARCH("Deficiente",M14)))</formula>
    </cfRule>
    <cfRule type="containsText" dxfId="4" priority="5" operator="containsText" text="Aceptable">
      <formula>NOT(ISERROR(SEARCH("Aceptable",M14)))</formula>
    </cfRule>
    <cfRule type="cellIs" dxfId="3" priority="6" operator="equal">
      <formula>"Satisfactorio"</formula>
    </cfRule>
  </conditionalFormatting>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'Hoja1 (2)'!$G$1:$G$13</xm:f>
          </x14:formula1>
          <xm:sqref>E24:F24</xm:sqref>
        </x14:dataValidation>
        <x14:dataValidation type="list" allowBlank="1" showInputMessage="1" showErrorMessage="1">
          <x14:formula1>
            <xm:f>'Hoja1 (2)'!$F$1:$F$13</xm:f>
          </x14:formula1>
          <xm:sqref>D24</xm:sqref>
        </x14:dataValidation>
        <x14:dataValidation type="list" allowBlank="1" showInputMessage="1" showErrorMessage="1">
          <x14:formula1>
            <xm:f>'Hoja1 (2)'!$E$1:$E$32</xm:f>
          </x14:formula1>
          <xm:sqref>C24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P18"/>
  <sheetViews>
    <sheetView showGridLines="0" zoomScaleNormal="100" workbookViewId="0">
      <selection activeCell="J23" sqref="J23"/>
    </sheetView>
  </sheetViews>
  <sheetFormatPr baseColWidth="10" defaultColWidth="11.42578125" defaultRowHeight="14.25" x14ac:dyDescent="0.2"/>
  <cols>
    <col min="1" max="1" width="2.85546875" style="33" customWidth="1"/>
    <col min="2" max="2" width="15.7109375" style="33" customWidth="1"/>
    <col min="3" max="4" width="15.140625" style="33" customWidth="1"/>
    <col min="5" max="5" width="4.28515625" style="33" customWidth="1"/>
    <col min="6" max="7" width="16.28515625" style="33" customWidth="1"/>
    <col min="8" max="8" width="4.28515625" style="33" customWidth="1"/>
    <col min="9" max="9" width="14.140625" style="33" customWidth="1"/>
    <col min="10" max="11" width="11.42578125" style="33"/>
    <col min="12" max="12" width="1.42578125" style="33" customWidth="1"/>
    <col min="13" max="16384" width="11.42578125" style="33"/>
  </cols>
  <sheetData>
    <row r="2" spans="2:16" x14ac:dyDescent="0.2">
      <c r="B2" s="161" t="s">
        <v>263</v>
      </c>
      <c r="C2" s="161"/>
      <c r="D2" s="161"/>
      <c r="E2" s="161"/>
      <c r="F2" s="161"/>
      <c r="G2" s="161"/>
      <c r="H2" s="161"/>
      <c r="I2" s="161"/>
      <c r="J2" s="161"/>
      <c r="K2" s="161"/>
    </row>
    <row r="3" spans="2:16" ht="15" thickBot="1" x14ac:dyDescent="0.25"/>
    <row r="4" spans="2:16" ht="31.5" customHeight="1" thickTop="1" thickBot="1" x14ac:dyDescent="0.25">
      <c r="B4" s="34" t="s">
        <v>90</v>
      </c>
      <c r="C4" s="34" t="s">
        <v>236</v>
      </c>
      <c r="D4" s="34" t="s">
        <v>237</v>
      </c>
      <c r="F4" s="179" t="s">
        <v>238</v>
      </c>
      <c r="G4" s="180"/>
      <c r="I4" s="179" t="s">
        <v>239</v>
      </c>
      <c r="J4" s="181"/>
      <c r="K4" s="180"/>
    </row>
    <row r="5" spans="2:16" ht="22.5" customHeight="1" thickTop="1" thickBot="1" x14ac:dyDescent="0.25">
      <c r="B5" s="35" t="e">
        <f>SUM('Resultado año 1'!B5+'Resultado año 2'!B5)</f>
        <v>#REF!</v>
      </c>
      <c r="C5" s="35" t="e">
        <f>SUM('Resultado año 1'!C5+'Resultado año 2'!C5)</f>
        <v>#REF!</v>
      </c>
      <c r="D5" s="35" t="e">
        <f>B5-C5</f>
        <v>#REF!</v>
      </c>
      <c r="F5" s="36" t="e">
        <f>C5/$B$5</f>
        <v>#REF!</v>
      </c>
      <c r="G5" s="37"/>
      <c r="I5" s="36" t="e">
        <f>D5/$B$5</f>
        <v>#REF!</v>
      </c>
      <c r="J5" s="38"/>
      <c r="K5" s="37"/>
    </row>
    <row r="6" spans="2:16" ht="15.75" thickTop="1" thickBot="1" x14ac:dyDescent="0.25"/>
    <row r="7" spans="2:16" ht="15.75" thickTop="1" thickBot="1" x14ac:dyDescent="0.25">
      <c r="F7" s="39"/>
      <c r="G7" s="40"/>
      <c r="I7" s="39"/>
      <c r="J7" s="41"/>
      <c r="K7" s="40"/>
      <c r="M7" s="182" t="s">
        <v>240</v>
      </c>
      <c r="N7" s="182"/>
      <c r="O7" s="182"/>
      <c r="P7" s="182"/>
    </row>
    <row r="8" spans="2:16" ht="15.75" thickTop="1" thickBot="1" x14ac:dyDescent="0.25">
      <c r="F8" s="42"/>
      <c r="G8" s="43"/>
      <c r="I8" s="42"/>
      <c r="K8" s="43"/>
      <c r="M8" s="96" t="s">
        <v>241</v>
      </c>
      <c r="N8" s="182" t="s">
        <v>242</v>
      </c>
      <c r="O8" s="182"/>
      <c r="P8" s="182"/>
    </row>
    <row r="9" spans="2:16" ht="6.75" customHeight="1" thickTop="1" thickBot="1" x14ac:dyDescent="0.25">
      <c r="F9" s="42"/>
      <c r="G9" s="43"/>
      <c r="I9" s="42"/>
      <c r="K9" s="43"/>
      <c r="M9" s="44"/>
      <c r="N9" s="44"/>
      <c r="O9" s="44"/>
      <c r="P9" s="44"/>
    </row>
    <row r="10" spans="2:16" ht="21" customHeight="1" thickTop="1" thickBot="1" x14ac:dyDescent="0.25">
      <c r="F10" s="42"/>
      <c r="G10" s="43"/>
      <c r="I10" s="42"/>
      <c r="K10" s="43"/>
      <c r="M10" s="45" t="s">
        <v>243</v>
      </c>
      <c r="N10" s="169" t="s">
        <v>244</v>
      </c>
      <c r="O10" s="169"/>
      <c r="P10" s="169"/>
    </row>
    <row r="11" spans="2:16" ht="21" customHeight="1" thickTop="1" thickBot="1" x14ac:dyDescent="0.25">
      <c r="F11" s="42"/>
      <c r="G11" s="43"/>
      <c r="I11" s="42"/>
      <c r="K11" s="43"/>
      <c r="M11" s="45" t="s">
        <v>245</v>
      </c>
      <c r="N11" s="169" t="s">
        <v>246</v>
      </c>
      <c r="O11" s="169"/>
      <c r="P11" s="169"/>
    </row>
    <row r="12" spans="2:16" ht="21" customHeight="1" thickTop="1" thickBot="1" x14ac:dyDescent="0.25">
      <c r="F12" s="42"/>
      <c r="G12" s="43"/>
      <c r="I12" s="42"/>
      <c r="K12" s="43"/>
      <c r="M12" s="45" t="s">
        <v>247</v>
      </c>
      <c r="N12" s="169" t="s">
        <v>248</v>
      </c>
      <c r="O12" s="169"/>
      <c r="P12" s="169"/>
    </row>
    <row r="13" spans="2:16" ht="6.75" customHeight="1" thickTop="1" thickBot="1" x14ac:dyDescent="0.25">
      <c r="F13" s="42"/>
      <c r="G13" s="43"/>
      <c r="I13" s="42"/>
      <c r="K13" s="43"/>
      <c r="M13" s="44"/>
      <c r="N13" s="44"/>
      <c r="O13" s="44"/>
      <c r="P13" s="44"/>
    </row>
    <row r="14" spans="2:16" ht="6.75" customHeight="1" thickTop="1" x14ac:dyDescent="0.2">
      <c r="F14" s="42"/>
      <c r="G14" s="43"/>
      <c r="I14" s="42"/>
      <c r="K14" s="43"/>
      <c r="M14" s="170" t="e">
        <f>IF(F5&gt;=75%,"Satisfactorio",IF(F5&gt;=50%,"Aceptable","Deficiente"))</f>
        <v>#REF!</v>
      </c>
      <c r="N14" s="171"/>
      <c r="O14" s="171"/>
      <c r="P14" s="172"/>
    </row>
    <row r="15" spans="2:16" ht="6.75" customHeight="1" x14ac:dyDescent="0.2">
      <c r="F15" s="42"/>
      <c r="G15" s="43"/>
      <c r="I15" s="42"/>
      <c r="K15" s="43"/>
      <c r="M15" s="173"/>
      <c r="N15" s="174"/>
      <c r="O15" s="174"/>
      <c r="P15" s="175"/>
    </row>
    <row r="16" spans="2:16" ht="6.75" customHeight="1" thickBot="1" x14ac:dyDescent="0.25">
      <c r="F16" s="42"/>
      <c r="G16" s="43"/>
      <c r="I16" s="42"/>
      <c r="K16" s="43"/>
      <c r="M16" s="176"/>
      <c r="N16" s="177"/>
      <c r="O16" s="177"/>
      <c r="P16" s="178"/>
    </row>
    <row r="17" spans="6:11" ht="15" thickTop="1" x14ac:dyDescent="0.2">
      <c r="F17" s="42"/>
      <c r="G17" s="43"/>
      <c r="I17" s="42"/>
      <c r="K17" s="43"/>
    </row>
    <row r="18" spans="6:11" x14ac:dyDescent="0.2">
      <c r="F18" s="46"/>
      <c r="G18" s="47"/>
      <c r="I18" s="46"/>
      <c r="J18" s="48"/>
      <c r="K18" s="47"/>
    </row>
  </sheetData>
  <sheetProtection algorithmName="SHA-512" hashValue="Qt3cyeLGKMgxWnHKpQCJXkmHp0rtWkt75oI6Z/QCRkJ3DaNOqejFNAYmABkQdBgu5P+UlCZqhJVtCKspTUZP9g==" saltValue="amv4ar3imKHbazCd5VUsgg==" spinCount="100000" sheet="1" objects="1" scenarios="1"/>
  <mergeCells count="9">
    <mergeCell ref="B2:K2"/>
    <mergeCell ref="N12:P12"/>
    <mergeCell ref="M14:P16"/>
    <mergeCell ref="F4:G4"/>
    <mergeCell ref="I4:K4"/>
    <mergeCell ref="M7:P7"/>
    <mergeCell ref="N8:P8"/>
    <mergeCell ref="N10:P10"/>
    <mergeCell ref="N11:P11"/>
  </mergeCells>
  <conditionalFormatting sqref="M14:P16">
    <cfRule type="containsText" dxfId="2" priority="4" operator="containsText" text="Deficiente">
      <formula>NOT(ISERROR(SEARCH("Deficiente",M14)))</formula>
    </cfRule>
    <cfRule type="containsText" dxfId="1" priority="5" operator="containsText" text="Aceptable">
      <formula>NOT(ISERROR(SEARCH("Aceptable",M14)))</formula>
    </cfRule>
    <cfRule type="cellIs" dxfId="0" priority="6" operator="equal">
      <formula>"Satisfactorio"</formula>
    </cfRule>
  </conditionalFormatting>
  <pageMargins left="0.7" right="0.7" top="0.75" bottom="0.75" header="0.3" footer="0.3"/>
  <pageSetup paperSize="9" orientation="portrait"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000"/>
  <sheetViews>
    <sheetView workbookViewId="0">
      <selection activeCell="E4" sqref="E4"/>
    </sheetView>
  </sheetViews>
  <sheetFormatPr baseColWidth="10" defaultColWidth="14.42578125" defaultRowHeight="15" x14ac:dyDescent="0.25"/>
  <cols>
    <col min="1" max="1" width="60.5703125" customWidth="1"/>
    <col min="2" max="2" width="10.5703125" customWidth="1"/>
    <col min="3" max="3" width="4.7109375" customWidth="1"/>
    <col min="4" max="60" width="11.42578125" customWidth="1"/>
  </cols>
  <sheetData>
    <row r="1" spans="1:60" ht="12.75" customHeight="1" x14ac:dyDescent="0.25">
      <c r="A1" s="51" t="s">
        <v>105</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row>
    <row r="2" spans="1:60" ht="12.75" customHeight="1" x14ac:dyDescent="0.25">
      <c r="A2" s="53" t="s">
        <v>264</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row>
    <row r="3" spans="1:60" ht="16.5" customHeight="1" x14ac:dyDescent="0.25">
      <c r="A3" s="49" t="s">
        <v>265</v>
      </c>
      <c r="B3" s="54" t="s">
        <v>266</v>
      </c>
      <c r="C3" s="52"/>
      <c r="D3" s="54" t="s">
        <v>267</v>
      </c>
      <c r="E3" s="52"/>
      <c r="F3" s="54" t="s">
        <v>268</v>
      </c>
      <c r="G3" s="52"/>
      <c r="H3" s="54" t="s">
        <v>269</v>
      </c>
      <c r="I3" s="52"/>
      <c r="J3" s="54" t="s">
        <v>270</v>
      </c>
      <c r="K3" s="52"/>
      <c r="L3" s="54" t="s">
        <v>271</v>
      </c>
      <c r="M3" s="52"/>
      <c r="N3" s="54" t="s">
        <v>272</v>
      </c>
      <c r="O3" s="52"/>
      <c r="P3" s="54" t="s">
        <v>273</v>
      </c>
      <c r="Q3" s="52"/>
      <c r="R3" s="54" t="s">
        <v>274</v>
      </c>
      <c r="S3" s="52"/>
      <c r="T3" s="54" t="s">
        <v>275</v>
      </c>
      <c r="U3" s="52" t="s">
        <v>276</v>
      </c>
      <c r="V3" s="54" t="s">
        <v>277</v>
      </c>
      <c r="W3" s="52" t="s">
        <v>276</v>
      </c>
      <c r="X3" s="54" t="s">
        <v>278</v>
      </c>
      <c r="Y3" s="52" t="s">
        <v>276</v>
      </c>
      <c r="Z3" s="54" t="s">
        <v>279</v>
      </c>
      <c r="AA3" s="52" t="s">
        <v>276</v>
      </c>
      <c r="AB3" s="54" t="s">
        <v>280</v>
      </c>
      <c r="AC3" s="52" t="s">
        <v>276</v>
      </c>
      <c r="AD3" s="54" t="s">
        <v>281</v>
      </c>
      <c r="AE3" s="52" t="s">
        <v>276</v>
      </c>
      <c r="AF3" s="54" t="s">
        <v>282</v>
      </c>
      <c r="AG3" s="52" t="s">
        <v>276</v>
      </c>
      <c r="AH3" s="54" t="s">
        <v>283</v>
      </c>
      <c r="AI3" s="52" t="s">
        <v>276</v>
      </c>
      <c r="AJ3" s="54" t="s">
        <v>284</v>
      </c>
      <c r="AK3" s="52" t="s">
        <v>276</v>
      </c>
      <c r="AL3" s="54" t="s">
        <v>285</v>
      </c>
      <c r="AM3" s="52" t="s">
        <v>276</v>
      </c>
      <c r="AN3" s="54" t="s">
        <v>286</v>
      </c>
      <c r="AO3" s="52" t="s">
        <v>276</v>
      </c>
      <c r="AP3" s="54" t="s">
        <v>287</v>
      </c>
      <c r="AQ3" s="52" t="s">
        <v>276</v>
      </c>
      <c r="AR3" s="54" t="s">
        <v>288</v>
      </c>
      <c r="AS3" s="52" t="s">
        <v>276</v>
      </c>
      <c r="AT3" s="54" t="s">
        <v>289</v>
      </c>
      <c r="AU3" s="52" t="s">
        <v>276</v>
      </c>
      <c r="AV3" s="54" t="s">
        <v>290</v>
      </c>
      <c r="AW3" s="52" t="s">
        <v>276</v>
      </c>
      <c r="AX3" s="54" t="s">
        <v>291</v>
      </c>
      <c r="AY3" s="52" t="s">
        <v>276</v>
      </c>
      <c r="AZ3" s="54" t="s">
        <v>292</v>
      </c>
      <c r="BA3" s="52" t="s">
        <v>276</v>
      </c>
      <c r="BB3" s="54" t="s">
        <v>293</v>
      </c>
      <c r="BC3" s="52" t="s">
        <v>276</v>
      </c>
      <c r="BD3" s="54" t="s">
        <v>294</v>
      </c>
      <c r="BE3" s="52" t="s">
        <v>276</v>
      </c>
      <c r="BF3" s="54" t="s">
        <v>295</v>
      </c>
      <c r="BG3" s="52" t="s">
        <v>276</v>
      </c>
      <c r="BH3" s="54" t="s">
        <v>296</v>
      </c>
    </row>
    <row r="4" spans="1:60" ht="16.5" customHeight="1" x14ac:dyDescent="0.25">
      <c r="A4" s="49" t="s">
        <v>297</v>
      </c>
      <c r="B4" s="54" t="s">
        <v>298</v>
      </c>
      <c r="C4" s="52"/>
      <c r="D4" s="54" t="s">
        <v>299</v>
      </c>
      <c r="E4" s="52"/>
      <c r="F4" s="54" t="s">
        <v>300</v>
      </c>
      <c r="G4" s="52"/>
      <c r="H4" s="54" t="s">
        <v>301</v>
      </c>
      <c r="I4" s="52"/>
      <c r="J4" s="54" t="s">
        <v>302</v>
      </c>
      <c r="K4" s="52"/>
      <c r="L4" s="54" t="s">
        <v>303</v>
      </c>
      <c r="M4" s="52"/>
      <c r="N4" s="54" t="s">
        <v>304</v>
      </c>
      <c r="O4" s="52"/>
      <c r="P4" s="54" t="s">
        <v>305</v>
      </c>
      <c r="Q4" s="52"/>
      <c r="R4" s="54" t="s">
        <v>306</v>
      </c>
      <c r="S4" s="52"/>
      <c r="T4" s="54" t="s">
        <v>307</v>
      </c>
      <c r="U4" s="52"/>
      <c r="V4" s="54" t="s">
        <v>308</v>
      </c>
      <c r="W4" s="52"/>
      <c r="X4" s="54" t="s">
        <v>309</v>
      </c>
      <c r="Y4" s="52"/>
      <c r="Z4" s="54" t="s">
        <v>310</v>
      </c>
      <c r="AA4" s="52"/>
      <c r="AB4" s="54" t="s">
        <v>311</v>
      </c>
      <c r="AC4" s="52"/>
      <c r="AD4" s="54" t="s">
        <v>312</v>
      </c>
      <c r="AE4" s="52"/>
      <c r="AF4" s="54" t="s">
        <v>313</v>
      </c>
      <c r="AG4" s="52"/>
      <c r="AH4" s="54" t="s">
        <v>314</v>
      </c>
      <c r="AI4" s="52"/>
      <c r="AJ4" s="54" t="s">
        <v>315</v>
      </c>
      <c r="AK4" s="52"/>
      <c r="AL4" s="54" t="s">
        <v>316</v>
      </c>
      <c r="AM4" s="52"/>
      <c r="AN4" s="54" t="s">
        <v>317</v>
      </c>
      <c r="AO4" s="52"/>
      <c r="AP4" s="54" t="s">
        <v>318</v>
      </c>
      <c r="AQ4" s="52"/>
      <c r="AR4" s="54" t="s">
        <v>319</v>
      </c>
      <c r="AS4" s="52"/>
      <c r="AT4" s="54" t="s">
        <v>320</v>
      </c>
      <c r="AU4" s="52"/>
      <c r="AV4" s="54" t="s">
        <v>321</v>
      </c>
      <c r="AW4" s="52"/>
      <c r="AX4" s="54" t="s">
        <v>322</v>
      </c>
      <c r="AY4" s="52"/>
      <c r="AZ4" s="54" t="s">
        <v>323</v>
      </c>
      <c r="BA4" s="52"/>
      <c r="BB4" s="54" t="s">
        <v>324</v>
      </c>
      <c r="BC4" s="52"/>
      <c r="BD4" s="54" t="s">
        <v>325</v>
      </c>
      <c r="BE4" s="52"/>
      <c r="BF4" s="54" t="s">
        <v>326</v>
      </c>
      <c r="BG4" s="52"/>
      <c r="BH4" s="54" t="s">
        <v>327</v>
      </c>
    </row>
    <row r="5" spans="1:60" ht="16.5" customHeight="1" x14ac:dyDescent="0.25">
      <c r="A5" s="49" t="s">
        <v>328</v>
      </c>
      <c r="B5" s="54" t="s">
        <v>329</v>
      </c>
      <c r="C5" s="52"/>
      <c r="D5" s="54" t="s">
        <v>330</v>
      </c>
      <c r="E5" s="52"/>
      <c r="F5" s="54" t="s">
        <v>331</v>
      </c>
      <c r="G5" s="52"/>
      <c r="H5" s="54" t="s">
        <v>332</v>
      </c>
      <c r="I5" s="52"/>
      <c r="J5" s="54" t="s">
        <v>333</v>
      </c>
      <c r="K5" s="52"/>
      <c r="L5" s="54" t="s">
        <v>334</v>
      </c>
      <c r="M5" s="52"/>
      <c r="N5" s="54" t="s">
        <v>335</v>
      </c>
      <c r="O5" s="52"/>
      <c r="P5" s="54" t="s">
        <v>336</v>
      </c>
      <c r="Q5" s="52"/>
      <c r="R5" s="54" t="s">
        <v>337</v>
      </c>
      <c r="S5" s="52"/>
      <c r="T5" s="54" t="s">
        <v>338</v>
      </c>
      <c r="U5" s="52"/>
      <c r="V5" s="54" t="s">
        <v>339</v>
      </c>
      <c r="W5" s="52"/>
      <c r="X5" s="54" t="s">
        <v>340</v>
      </c>
      <c r="Y5" s="52"/>
      <c r="Z5" s="54" t="s">
        <v>341</v>
      </c>
      <c r="AA5" s="52"/>
      <c r="AB5" s="54" t="s">
        <v>342</v>
      </c>
      <c r="AC5" s="52"/>
      <c r="AD5" s="54" t="s">
        <v>343</v>
      </c>
      <c r="AE5" s="52"/>
      <c r="AF5" s="54" t="s">
        <v>344</v>
      </c>
      <c r="AG5" s="52"/>
      <c r="AH5" s="54" t="s">
        <v>345</v>
      </c>
      <c r="AI5" s="52"/>
      <c r="AJ5" s="54" t="s">
        <v>346</v>
      </c>
      <c r="AK5" s="52"/>
      <c r="AL5" s="54" t="s">
        <v>347</v>
      </c>
      <c r="AM5" s="52"/>
      <c r="AN5" s="54" t="s">
        <v>348</v>
      </c>
      <c r="AO5" s="52"/>
      <c r="AP5" s="54" t="s">
        <v>349</v>
      </c>
      <c r="AQ5" s="52"/>
      <c r="AR5" s="54" t="s">
        <v>350</v>
      </c>
      <c r="AS5" s="52"/>
      <c r="AT5" s="54" t="s">
        <v>351</v>
      </c>
      <c r="AU5" s="52"/>
      <c r="AV5" s="54" t="s">
        <v>352</v>
      </c>
      <c r="AW5" s="52"/>
      <c r="AX5" s="54" t="s">
        <v>353</v>
      </c>
      <c r="AY5" s="52"/>
      <c r="AZ5" s="54" t="s">
        <v>354</v>
      </c>
      <c r="BA5" s="52"/>
      <c r="BB5" s="54" t="s">
        <v>355</v>
      </c>
      <c r="BC5" s="52"/>
      <c r="BD5" s="54" t="s">
        <v>356</v>
      </c>
      <c r="BE5" s="52"/>
      <c r="BF5" s="54" t="s">
        <v>357</v>
      </c>
      <c r="BG5" s="52"/>
      <c r="BH5" s="54" t="s">
        <v>358</v>
      </c>
    </row>
    <row r="6" spans="1:60" ht="16.5" customHeight="1" x14ac:dyDescent="0.25">
      <c r="A6" s="49" t="s">
        <v>359</v>
      </c>
      <c r="B6" s="54" t="s">
        <v>360</v>
      </c>
      <c r="C6" s="52"/>
      <c r="D6" s="54" t="s">
        <v>361</v>
      </c>
      <c r="E6" s="52"/>
      <c r="F6" s="52"/>
      <c r="G6" s="52"/>
      <c r="H6" s="54" t="s">
        <v>362</v>
      </c>
      <c r="I6" s="52"/>
      <c r="J6" s="54" t="s">
        <v>363</v>
      </c>
      <c r="K6" s="52"/>
      <c r="L6" s="54" t="s">
        <v>364</v>
      </c>
      <c r="M6" s="52"/>
      <c r="N6" s="54" t="s">
        <v>365</v>
      </c>
      <c r="O6" s="52"/>
      <c r="P6" s="54" t="s">
        <v>366</v>
      </c>
      <c r="Q6" s="52"/>
      <c r="R6" s="54" t="s">
        <v>367</v>
      </c>
      <c r="S6" s="52"/>
      <c r="T6" s="54" t="s">
        <v>368</v>
      </c>
      <c r="U6" s="52"/>
      <c r="V6" s="54" t="s">
        <v>369</v>
      </c>
      <c r="W6" s="52"/>
      <c r="X6" s="54" t="s">
        <v>370</v>
      </c>
      <c r="Y6" s="52"/>
      <c r="Z6" s="54" t="s">
        <v>371</v>
      </c>
      <c r="AA6" s="52"/>
      <c r="AB6" s="54" t="s">
        <v>372</v>
      </c>
      <c r="AC6" s="52"/>
      <c r="AD6" s="54" t="s">
        <v>373</v>
      </c>
      <c r="AE6" s="52"/>
      <c r="AF6" s="54" t="s">
        <v>374</v>
      </c>
      <c r="AG6" s="52"/>
      <c r="AH6" s="54" t="s">
        <v>375</v>
      </c>
      <c r="AI6" s="52"/>
      <c r="AJ6" s="54" t="s">
        <v>376</v>
      </c>
      <c r="AK6" s="52"/>
      <c r="AL6" s="54" t="s">
        <v>377</v>
      </c>
      <c r="AM6" s="52"/>
      <c r="AN6" s="54" t="s">
        <v>378</v>
      </c>
      <c r="AO6" s="52"/>
      <c r="AP6" s="54" t="s">
        <v>379</v>
      </c>
      <c r="AQ6" s="52"/>
      <c r="AR6" s="54" t="s">
        <v>380</v>
      </c>
      <c r="AS6" s="52"/>
      <c r="AT6" s="54" t="s">
        <v>381</v>
      </c>
      <c r="AU6" s="52"/>
      <c r="AV6" s="54" t="s">
        <v>382</v>
      </c>
      <c r="AW6" s="52"/>
      <c r="AX6" s="54" t="s">
        <v>383</v>
      </c>
      <c r="AY6" s="52"/>
      <c r="AZ6" s="54" t="s">
        <v>384</v>
      </c>
      <c r="BA6" s="52"/>
      <c r="BB6" s="54" t="s">
        <v>385</v>
      </c>
      <c r="BC6" s="52"/>
      <c r="BD6" s="54" t="s">
        <v>386</v>
      </c>
      <c r="BE6" s="52"/>
      <c r="BF6" s="54" t="s">
        <v>387</v>
      </c>
      <c r="BG6" s="52"/>
      <c r="BH6" s="54" t="s">
        <v>388</v>
      </c>
    </row>
    <row r="7" spans="1:60" ht="16.5" customHeight="1" x14ac:dyDescent="0.25">
      <c r="A7" s="49" t="s">
        <v>389</v>
      </c>
      <c r="B7" s="54" t="s">
        <v>390</v>
      </c>
      <c r="C7" s="52"/>
      <c r="D7" s="52"/>
      <c r="E7" s="52"/>
      <c r="F7" s="52"/>
      <c r="G7" s="52"/>
      <c r="H7" s="54" t="s">
        <v>391</v>
      </c>
      <c r="I7" s="52"/>
      <c r="J7" s="54" t="s">
        <v>392</v>
      </c>
      <c r="K7" s="52"/>
      <c r="L7" s="52"/>
      <c r="M7" s="52"/>
      <c r="N7" s="54" t="s">
        <v>393</v>
      </c>
      <c r="O7" s="52"/>
      <c r="P7" s="54" t="s">
        <v>394</v>
      </c>
      <c r="Q7" s="52"/>
      <c r="R7" s="54" t="s">
        <v>395</v>
      </c>
      <c r="S7" s="52"/>
      <c r="T7" s="54" t="s">
        <v>396</v>
      </c>
      <c r="U7" s="52"/>
      <c r="V7" s="54" t="s">
        <v>397</v>
      </c>
      <c r="W7" s="52"/>
      <c r="X7" s="54" t="s">
        <v>398</v>
      </c>
      <c r="Y7" s="52"/>
      <c r="Z7" s="52"/>
      <c r="AA7" s="52"/>
      <c r="AB7" s="54" t="s">
        <v>399</v>
      </c>
      <c r="AC7" s="52"/>
      <c r="AD7" s="54" t="s">
        <v>400</v>
      </c>
      <c r="AE7" s="52"/>
      <c r="AF7" s="54" t="s">
        <v>401</v>
      </c>
      <c r="AG7" s="52"/>
      <c r="AH7" s="54" t="s">
        <v>402</v>
      </c>
      <c r="AI7" s="52"/>
      <c r="AJ7" s="54" t="s">
        <v>403</v>
      </c>
      <c r="AK7" s="52"/>
      <c r="AL7" s="54" t="s">
        <v>404</v>
      </c>
      <c r="AM7" s="52"/>
      <c r="AN7" s="54" t="s">
        <v>405</v>
      </c>
      <c r="AO7" s="52"/>
      <c r="AP7" s="54" t="s">
        <v>406</v>
      </c>
      <c r="AQ7" s="52"/>
      <c r="AR7" s="54" t="s">
        <v>407</v>
      </c>
      <c r="AS7" s="52"/>
      <c r="AT7" s="52"/>
      <c r="AU7" s="52"/>
      <c r="AV7" s="54" t="s">
        <v>408</v>
      </c>
      <c r="AW7" s="52"/>
      <c r="AX7" s="54" t="s">
        <v>409</v>
      </c>
      <c r="AY7" s="52"/>
      <c r="AZ7" s="54" t="s">
        <v>410</v>
      </c>
      <c r="BA7" s="52"/>
      <c r="BB7" s="54" t="s">
        <v>411</v>
      </c>
      <c r="BC7" s="52"/>
      <c r="BD7" s="54" t="s">
        <v>412</v>
      </c>
      <c r="BE7" s="52"/>
      <c r="BF7" s="54" t="s">
        <v>413</v>
      </c>
      <c r="BG7" s="52"/>
      <c r="BH7" s="54" t="s">
        <v>414</v>
      </c>
    </row>
    <row r="8" spans="1:60" ht="16.5" customHeight="1" x14ac:dyDescent="0.25">
      <c r="A8" s="49" t="s">
        <v>415</v>
      </c>
      <c r="B8" s="54" t="s">
        <v>416</v>
      </c>
      <c r="C8" s="52"/>
      <c r="D8" s="52"/>
      <c r="E8" s="52"/>
      <c r="F8" s="52"/>
      <c r="G8" s="52"/>
      <c r="H8" s="52"/>
      <c r="I8" s="52"/>
      <c r="J8" s="54" t="s">
        <v>417</v>
      </c>
      <c r="K8" s="52"/>
      <c r="L8" s="52"/>
      <c r="M8" s="52"/>
      <c r="N8" s="54" t="s">
        <v>418</v>
      </c>
      <c r="O8" s="52"/>
      <c r="P8" s="54" t="s">
        <v>419</v>
      </c>
      <c r="Q8" s="52"/>
      <c r="R8" s="54" t="s">
        <v>420</v>
      </c>
      <c r="S8" s="52"/>
      <c r="T8" s="54" t="s">
        <v>421</v>
      </c>
      <c r="U8" s="52"/>
      <c r="V8" s="54" t="s">
        <v>422</v>
      </c>
      <c r="W8" s="52"/>
      <c r="X8" s="54" t="s">
        <v>423</v>
      </c>
      <c r="Y8" s="52"/>
      <c r="Z8" s="52"/>
      <c r="AA8" s="52"/>
      <c r="AB8" s="54" t="s">
        <v>424</v>
      </c>
      <c r="AC8" s="52"/>
      <c r="AD8" s="54" t="s">
        <v>425</v>
      </c>
      <c r="AE8" s="52"/>
      <c r="AF8" s="54" t="s">
        <v>426</v>
      </c>
      <c r="AG8" s="52"/>
      <c r="AH8" s="54" t="s">
        <v>427</v>
      </c>
      <c r="AI8" s="52"/>
      <c r="AJ8" s="54" t="s">
        <v>428</v>
      </c>
      <c r="AK8" s="52"/>
      <c r="AL8" s="54" t="s">
        <v>429</v>
      </c>
      <c r="AM8" s="52"/>
      <c r="AN8" s="54" t="s">
        <v>430</v>
      </c>
      <c r="AO8" s="52"/>
      <c r="AP8" s="54" t="s">
        <v>431</v>
      </c>
      <c r="AQ8" s="52"/>
      <c r="AR8" s="54" t="s">
        <v>432</v>
      </c>
      <c r="AS8" s="52"/>
      <c r="AT8" s="52"/>
      <c r="AU8" s="52"/>
      <c r="AV8" s="54" t="s">
        <v>433</v>
      </c>
      <c r="AW8" s="52"/>
      <c r="AX8" s="54" t="s">
        <v>434</v>
      </c>
      <c r="AY8" s="52"/>
      <c r="AZ8" s="54" t="s">
        <v>435</v>
      </c>
      <c r="BA8" s="52"/>
      <c r="BB8" s="54" t="s">
        <v>436</v>
      </c>
      <c r="BC8" s="52"/>
      <c r="BD8" s="54" t="s">
        <v>437</v>
      </c>
      <c r="BE8" s="52"/>
      <c r="BF8" s="54" t="s">
        <v>438</v>
      </c>
      <c r="BG8" s="52"/>
      <c r="BH8" s="54" t="s">
        <v>439</v>
      </c>
    </row>
    <row r="9" spans="1:60" ht="16.5" customHeight="1" x14ac:dyDescent="0.25">
      <c r="A9" s="49" t="s">
        <v>440</v>
      </c>
      <c r="B9" s="54" t="s">
        <v>441</v>
      </c>
      <c r="C9" s="52"/>
      <c r="D9" s="52"/>
      <c r="E9" s="52"/>
      <c r="F9" s="52"/>
      <c r="G9" s="52"/>
      <c r="H9" s="52"/>
      <c r="I9" s="52"/>
      <c r="J9" s="52"/>
      <c r="K9" s="52"/>
      <c r="L9" s="52"/>
      <c r="M9" s="52"/>
      <c r="N9" s="54" t="s">
        <v>442</v>
      </c>
      <c r="O9" s="52"/>
      <c r="P9" s="54" t="s">
        <v>443</v>
      </c>
      <c r="Q9" s="52"/>
      <c r="R9" s="52"/>
      <c r="S9" s="52"/>
      <c r="T9" s="54" t="s">
        <v>444</v>
      </c>
      <c r="U9" s="52"/>
      <c r="V9" s="54" t="s">
        <v>445</v>
      </c>
      <c r="W9" s="52"/>
      <c r="X9" s="54" t="s">
        <v>446</v>
      </c>
      <c r="Y9" s="52"/>
      <c r="Z9" s="52"/>
      <c r="AA9" s="52"/>
      <c r="AB9" s="54" t="s">
        <v>447</v>
      </c>
      <c r="AC9" s="52"/>
      <c r="AD9" s="54" t="s">
        <v>448</v>
      </c>
      <c r="AE9" s="52"/>
      <c r="AF9" s="54" t="s">
        <v>449</v>
      </c>
      <c r="AG9" s="52"/>
      <c r="AH9" s="54" t="s">
        <v>450</v>
      </c>
      <c r="AI9" s="52"/>
      <c r="AJ9" s="54" t="s">
        <v>451</v>
      </c>
      <c r="AK9" s="52"/>
      <c r="AL9" s="54" t="s">
        <v>452</v>
      </c>
      <c r="AM9" s="52"/>
      <c r="AN9" s="54" t="s">
        <v>453</v>
      </c>
      <c r="AO9" s="52"/>
      <c r="AP9" s="52"/>
      <c r="AQ9" s="52"/>
      <c r="AR9" s="52"/>
      <c r="AS9" s="52"/>
      <c r="AT9" s="52"/>
      <c r="AU9" s="52"/>
      <c r="AV9" s="54" t="s">
        <v>454</v>
      </c>
      <c r="AW9" s="52"/>
      <c r="AX9" s="54" t="s">
        <v>455</v>
      </c>
      <c r="AY9" s="52"/>
      <c r="AZ9" s="54" t="s">
        <v>456</v>
      </c>
      <c r="BA9" s="52"/>
      <c r="BB9" s="54" t="s">
        <v>457</v>
      </c>
      <c r="BC9" s="52"/>
      <c r="BD9" s="54" t="s">
        <v>458</v>
      </c>
      <c r="BE9" s="52"/>
      <c r="BF9" s="54" t="s">
        <v>459</v>
      </c>
      <c r="BG9" s="52"/>
      <c r="BH9" s="54" t="s">
        <v>460</v>
      </c>
    </row>
    <row r="10" spans="1:60" ht="16.5" customHeight="1" x14ac:dyDescent="0.25">
      <c r="A10" s="49" t="s">
        <v>461</v>
      </c>
      <c r="B10" s="54" t="s">
        <v>462</v>
      </c>
      <c r="C10" s="52"/>
      <c r="D10" s="52"/>
      <c r="E10" s="52"/>
      <c r="F10" s="52"/>
      <c r="G10" s="52"/>
      <c r="H10" s="52"/>
      <c r="I10" s="52"/>
      <c r="J10" s="52"/>
      <c r="K10" s="52"/>
      <c r="L10" s="52"/>
      <c r="M10" s="52"/>
      <c r="N10" s="54" t="s">
        <v>463</v>
      </c>
      <c r="O10" s="52"/>
      <c r="P10" s="54" t="s">
        <v>464</v>
      </c>
      <c r="Q10" s="52"/>
      <c r="R10" s="52"/>
      <c r="S10" s="52"/>
      <c r="T10" s="54" t="s">
        <v>465</v>
      </c>
      <c r="U10" s="52"/>
      <c r="V10" s="54" t="s">
        <v>466</v>
      </c>
      <c r="W10" s="52"/>
      <c r="X10" s="54" t="s">
        <v>467</v>
      </c>
      <c r="Y10" s="52"/>
      <c r="Z10" s="52"/>
      <c r="AA10" s="52"/>
      <c r="AB10" s="52"/>
      <c r="AC10" s="52"/>
      <c r="AD10" s="54" t="s">
        <v>468</v>
      </c>
      <c r="AE10" s="52"/>
      <c r="AF10" s="54" t="s">
        <v>469</v>
      </c>
      <c r="AG10" s="52"/>
      <c r="AH10" s="54" t="s">
        <v>470</v>
      </c>
      <c r="AI10" s="52"/>
      <c r="AJ10" s="54" t="s">
        <v>471</v>
      </c>
      <c r="AK10" s="52"/>
      <c r="AL10" s="54" t="s">
        <v>472</v>
      </c>
      <c r="AM10" s="52"/>
      <c r="AN10" s="54" t="s">
        <v>473</v>
      </c>
      <c r="AO10" s="52"/>
      <c r="AP10" s="52"/>
      <c r="AQ10" s="52"/>
      <c r="AR10" s="52"/>
      <c r="AS10" s="52"/>
      <c r="AT10" s="52"/>
      <c r="AU10" s="52"/>
      <c r="AV10" s="54" t="s">
        <v>474</v>
      </c>
      <c r="AW10" s="52"/>
      <c r="AX10" s="54" t="s">
        <v>475</v>
      </c>
      <c r="AY10" s="52"/>
      <c r="AZ10" s="54" t="s">
        <v>476</v>
      </c>
      <c r="BA10" s="52"/>
      <c r="BB10" s="54" t="s">
        <v>477</v>
      </c>
      <c r="BC10" s="52"/>
      <c r="BD10" s="54" t="s">
        <v>478</v>
      </c>
      <c r="BE10" s="52"/>
      <c r="BF10" s="54" t="s">
        <v>479</v>
      </c>
      <c r="BG10" s="52"/>
      <c r="BH10" s="52"/>
    </row>
    <row r="11" spans="1:60" ht="16.5" customHeight="1" x14ac:dyDescent="0.25">
      <c r="A11" s="49" t="s">
        <v>480</v>
      </c>
      <c r="B11" s="54" t="s">
        <v>481</v>
      </c>
      <c r="C11" s="52"/>
      <c r="D11" s="52"/>
      <c r="E11" s="52"/>
      <c r="F11" s="52"/>
      <c r="G11" s="52"/>
      <c r="H11" s="52"/>
      <c r="I11" s="52"/>
      <c r="J11" s="52"/>
      <c r="K11" s="52"/>
      <c r="L11" s="52"/>
      <c r="M11" s="52"/>
      <c r="N11" s="54" t="s">
        <v>482</v>
      </c>
      <c r="O11" s="52"/>
      <c r="P11" s="54" t="s">
        <v>483</v>
      </c>
      <c r="Q11" s="52"/>
      <c r="R11" s="52"/>
      <c r="S11" s="52"/>
      <c r="T11" s="54" t="s">
        <v>484</v>
      </c>
      <c r="U11" s="52"/>
      <c r="V11" s="54" t="s">
        <v>485</v>
      </c>
      <c r="W11" s="52"/>
      <c r="X11" s="52"/>
      <c r="Y11" s="52"/>
      <c r="Z11" s="52"/>
      <c r="AA11" s="52"/>
      <c r="AB11" s="52"/>
      <c r="AC11" s="52"/>
      <c r="AD11" s="54" t="s">
        <v>486</v>
      </c>
      <c r="AE11" s="52"/>
      <c r="AF11" s="54" t="s">
        <v>487</v>
      </c>
      <c r="AG11" s="52"/>
      <c r="AH11" s="54" t="s">
        <v>488</v>
      </c>
      <c r="AI11" s="52"/>
      <c r="AJ11" s="54" t="s">
        <v>489</v>
      </c>
      <c r="AK11" s="52"/>
      <c r="AL11" s="54" t="s">
        <v>490</v>
      </c>
      <c r="AM11" s="52"/>
      <c r="AN11" s="54" t="s">
        <v>491</v>
      </c>
      <c r="AO11" s="52"/>
      <c r="AP11" s="52"/>
      <c r="AQ11" s="52"/>
      <c r="AR11" s="52"/>
      <c r="AS11" s="52"/>
      <c r="AT11" s="52"/>
      <c r="AU11" s="52"/>
      <c r="AV11" s="52"/>
      <c r="AW11" s="52"/>
      <c r="AX11" s="54" t="s">
        <v>492</v>
      </c>
      <c r="AY11" s="52"/>
      <c r="AZ11" s="54" t="s">
        <v>493</v>
      </c>
      <c r="BA11" s="52"/>
      <c r="BB11" s="54" t="s">
        <v>494</v>
      </c>
      <c r="BC11" s="52"/>
      <c r="BD11" s="54" t="s">
        <v>495</v>
      </c>
      <c r="BE11" s="52"/>
      <c r="BF11" s="54" t="s">
        <v>496</v>
      </c>
      <c r="BG11" s="52"/>
      <c r="BH11" s="52"/>
    </row>
    <row r="12" spans="1:60" ht="16.5" customHeight="1" x14ac:dyDescent="0.25">
      <c r="A12" s="49" t="s">
        <v>497</v>
      </c>
      <c r="B12" s="54" t="s">
        <v>498</v>
      </c>
      <c r="C12" s="52"/>
      <c r="D12" s="52"/>
      <c r="E12" s="52"/>
      <c r="F12" s="52"/>
      <c r="G12" s="52"/>
      <c r="H12" s="52"/>
      <c r="I12" s="52"/>
      <c r="J12" s="52"/>
      <c r="K12" s="52"/>
      <c r="L12" s="52"/>
      <c r="M12" s="52"/>
      <c r="N12" s="54" t="s">
        <v>499</v>
      </c>
      <c r="O12" s="52"/>
      <c r="P12" s="54" t="s">
        <v>500</v>
      </c>
      <c r="Q12" s="52"/>
      <c r="R12" s="52"/>
      <c r="S12" s="52"/>
      <c r="T12" s="54" t="s">
        <v>501</v>
      </c>
      <c r="U12" s="52"/>
      <c r="V12" s="54" t="s">
        <v>502</v>
      </c>
      <c r="W12" s="52"/>
      <c r="X12" s="52"/>
      <c r="Y12" s="52"/>
      <c r="Z12" s="52"/>
      <c r="AA12" s="52"/>
      <c r="AB12" s="52"/>
      <c r="AC12" s="52"/>
      <c r="AD12" s="54" t="s">
        <v>503</v>
      </c>
      <c r="AE12" s="52"/>
      <c r="AF12" s="54" t="s">
        <v>504</v>
      </c>
      <c r="AG12" s="52"/>
      <c r="AH12" s="54" t="s">
        <v>505</v>
      </c>
      <c r="AI12" s="52"/>
      <c r="AJ12" s="54" t="s">
        <v>506</v>
      </c>
      <c r="AK12" s="52"/>
      <c r="AL12" s="54" t="s">
        <v>507</v>
      </c>
      <c r="AM12" s="52"/>
      <c r="AN12" s="54" t="s">
        <v>508</v>
      </c>
      <c r="AO12" s="52"/>
      <c r="AP12" s="52"/>
      <c r="AQ12" s="52"/>
      <c r="AR12" s="52"/>
      <c r="AS12" s="52"/>
      <c r="AT12" s="52"/>
      <c r="AU12" s="52"/>
      <c r="AV12" s="52"/>
      <c r="AW12" s="52"/>
      <c r="AX12" s="54" t="s">
        <v>509</v>
      </c>
      <c r="AY12" s="52"/>
      <c r="AZ12" s="54" t="s">
        <v>510</v>
      </c>
      <c r="BA12" s="52"/>
      <c r="BB12" s="54" t="s">
        <v>511</v>
      </c>
      <c r="BC12" s="52"/>
      <c r="BD12" s="54" t="s">
        <v>512</v>
      </c>
      <c r="BE12" s="52"/>
      <c r="BF12" s="54" t="s">
        <v>513</v>
      </c>
      <c r="BG12" s="52"/>
      <c r="BH12" s="52"/>
    </row>
    <row r="13" spans="1:60" ht="16.5" customHeight="1" x14ac:dyDescent="0.25">
      <c r="A13" s="49" t="s">
        <v>514</v>
      </c>
      <c r="B13" s="54" t="s">
        <v>515</v>
      </c>
      <c r="C13" s="52"/>
      <c r="D13" s="52"/>
      <c r="E13" s="52"/>
      <c r="F13" s="52"/>
      <c r="G13" s="52"/>
      <c r="H13" s="52"/>
      <c r="I13" s="52"/>
      <c r="J13" s="52"/>
      <c r="K13" s="52"/>
      <c r="L13" s="52"/>
      <c r="M13" s="52"/>
      <c r="N13" s="52"/>
      <c r="O13" s="52"/>
      <c r="P13" s="54" t="s">
        <v>516</v>
      </c>
      <c r="Q13" s="52"/>
      <c r="R13" s="52"/>
      <c r="S13" s="52"/>
      <c r="T13" s="52"/>
      <c r="U13" s="52"/>
      <c r="V13" s="52"/>
      <c r="W13" s="52"/>
      <c r="X13" s="52"/>
      <c r="Y13" s="52"/>
      <c r="Z13" s="52"/>
      <c r="AA13" s="52"/>
      <c r="AB13" s="52"/>
      <c r="AC13" s="52"/>
      <c r="AD13" s="54" t="s">
        <v>517</v>
      </c>
      <c r="AE13" s="52"/>
      <c r="AF13" s="54" t="s">
        <v>518</v>
      </c>
      <c r="AG13" s="52"/>
      <c r="AH13" s="54" t="s">
        <v>519</v>
      </c>
      <c r="AI13" s="52"/>
      <c r="AJ13" s="54" t="s">
        <v>520</v>
      </c>
      <c r="AK13" s="52"/>
      <c r="AL13" s="54" t="s">
        <v>521</v>
      </c>
      <c r="AM13" s="52"/>
      <c r="AN13" s="54" t="s">
        <v>522</v>
      </c>
      <c r="AO13" s="52"/>
      <c r="AP13" s="52"/>
      <c r="AQ13" s="52"/>
      <c r="AR13" s="52"/>
      <c r="AS13" s="52"/>
      <c r="AT13" s="52"/>
      <c r="AU13" s="52"/>
      <c r="AV13" s="52"/>
      <c r="AW13" s="52"/>
      <c r="AX13" s="54" t="s">
        <v>523</v>
      </c>
      <c r="AY13" s="52"/>
      <c r="AZ13" s="54" t="s">
        <v>524</v>
      </c>
      <c r="BA13" s="52"/>
      <c r="BB13" s="54" t="s">
        <v>525</v>
      </c>
      <c r="BC13" s="52"/>
      <c r="BD13" s="54" t="s">
        <v>526</v>
      </c>
      <c r="BE13" s="52"/>
      <c r="BF13" s="54" t="s">
        <v>527</v>
      </c>
      <c r="BG13" s="52"/>
      <c r="BH13" s="52"/>
    </row>
    <row r="14" spans="1:60" ht="16.5" customHeight="1" x14ac:dyDescent="0.25">
      <c r="A14" s="49" t="s">
        <v>528</v>
      </c>
      <c r="B14" s="54" t="s">
        <v>529</v>
      </c>
      <c r="C14" s="52"/>
      <c r="D14" s="52"/>
      <c r="E14" s="52"/>
      <c r="F14" s="52"/>
      <c r="G14" s="52"/>
      <c r="H14" s="52"/>
      <c r="I14" s="52"/>
      <c r="J14" s="52"/>
      <c r="K14" s="52"/>
      <c r="L14" s="52"/>
      <c r="M14" s="52"/>
      <c r="N14" s="52"/>
      <c r="O14" s="52"/>
      <c r="P14" s="54" t="s">
        <v>530</v>
      </c>
      <c r="Q14" s="52"/>
      <c r="R14" s="52"/>
      <c r="S14" s="52"/>
      <c r="T14" s="52"/>
      <c r="U14" s="52"/>
      <c r="V14" s="52"/>
      <c r="W14" s="52"/>
      <c r="X14" s="52"/>
      <c r="Y14" s="52"/>
      <c r="Z14" s="52"/>
      <c r="AA14" s="52"/>
      <c r="AB14" s="52"/>
      <c r="AC14" s="52"/>
      <c r="AD14" s="54" t="s">
        <v>531</v>
      </c>
      <c r="AE14" s="52"/>
      <c r="AF14" s="54" t="s">
        <v>532</v>
      </c>
      <c r="AG14" s="52"/>
      <c r="AH14" s="54" t="s">
        <v>533</v>
      </c>
      <c r="AI14" s="52"/>
      <c r="AJ14" s="52"/>
      <c r="AK14" s="52"/>
      <c r="AL14" s="52"/>
      <c r="AM14" s="52"/>
      <c r="AN14" s="54" t="s">
        <v>534</v>
      </c>
      <c r="AO14" s="52"/>
      <c r="AP14" s="52"/>
      <c r="AQ14" s="52"/>
      <c r="AR14" s="52"/>
      <c r="AS14" s="52"/>
      <c r="AT14" s="52"/>
      <c r="AU14" s="52"/>
      <c r="AV14" s="52"/>
      <c r="AW14" s="52"/>
      <c r="AX14" s="54" t="s">
        <v>535</v>
      </c>
      <c r="AY14" s="52"/>
      <c r="AZ14" s="54" t="s">
        <v>536</v>
      </c>
      <c r="BA14" s="52"/>
      <c r="BB14" s="52"/>
      <c r="BC14" s="52"/>
      <c r="BD14" s="52"/>
      <c r="BE14" s="52"/>
      <c r="BF14" s="54" t="s">
        <v>537</v>
      </c>
      <c r="BG14" s="52"/>
      <c r="BH14" s="52"/>
    </row>
    <row r="15" spans="1:60" ht="16.5" customHeight="1" x14ac:dyDescent="0.25">
      <c r="A15" s="49" t="s">
        <v>538</v>
      </c>
      <c r="B15" s="54" t="s">
        <v>539</v>
      </c>
      <c r="C15" s="52"/>
      <c r="D15" s="52"/>
      <c r="E15" s="52"/>
      <c r="F15" s="52"/>
      <c r="G15" s="52"/>
      <c r="H15" s="52"/>
      <c r="I15" s="52"/>
      <c r="J15" s="52"/>
      <c r="K15" s="52"/>
      <c r="L15" s="52"/>
      <c r="M15" s="52"/>
      <c r="N15" s="52"/>
      <c r="O15" s="52"/>
      <c r="P15" s="54" t="s">
        <v>540</v>
      </c>
      <c r="Q15" s="52"/>
      <c r="R15" s="52"/>
      <c r="S15" s="52"/>
      <c r="T15" s="52"/>
      <c r="U15" s="52"/>
      <c r="V15" s="52"/>
      <c r="W15" s="52"/>
      <c r="X15" s="52"/>
      <c r="Y15" s="52"/>
      <c r="Z15" s="52"/>
      <c r="AA15" s="52"/>
      <c r="AB15" s="52"/>
      <c r="AC15" s="52"/>
      <c r="AD15" s="54" t="s">
        <v>541</v>
      </c>
      <c r="AE15" s="52"/>
      <c r="AF15" s="54" t="s">
        <v>542</v>
      </c>
      <c r="AG15" s="52"/>
      <c r="AH15" s="54" t="s">
        <v>543</v>
      </c>
      <c r="AI15" s="52"/>
      <c r="AJ15" s="52"/>
      <c r="AK15" s="52"/>
      <c r="AL15" s="52"/>
      <c r="AM15" s="52"/>
      <c r="AN15" s="52"/>
      <c r="AO15" s="52"/>
      <c r="AP15" s="52"/>
      <c r="AQ15" s="52"/>
      <c r="AR15" s="52"/>
      <c r="AS15" s="52"/>
      <c r="AT15" s="52"/>
      <c r="AU15" s="52"/>
      <c r="AV15" s="52"/>
      <c r="AW15" s="52"/>
      <c r="AX15" s="54" t="s">
        <v>544</v>
      </c>
      <c r="AY15" s="52"/>
      <c r="AZ15" s="52"/>
      <c r="BA15" s="52"/>
      <c r="BB15" s="52"/>
      <c r="BC15" s="52"/>
      <c r="BD15" s="52"/>
      <c r="BE15" s="52"/>
      <c r="BF15" s="54" t="s">
        <v>545</v>
      </c>
      <c r="BG15" s="52"/>
      <c r="BH15" s="52"/>
    </row>
    <row r="16" spans="1:60" ht="16.5" customHeight="1" x14ac:dyDescent="0.25">
      <c r="A16" s="49" t="s">
        <v>546</v>
      </c>
      <c r="B16" s="54" t="s">
        <v>547</v>
      </c>
      <c r="C16" s="52"/>
      <c r="D16" s="52"/>
      <c r="E16" s="52"/>
      <c r="F16" s="52"/>
      <c r="G16" s="52"/>
      <c r="H16" s="52"/>
      <c r="I16" s="52"/>
      <c r="J16" s="52"/>
      <c r="K16" s="52"/>
      <c r="L16" s="52"/>
      <c r="M16" s="52"/>
      <c r="N16" s="52"/>
      <c r="O16" s="52"/>
      <c r="P16" s="54" t="s">
        <v>548</v>
      </c>
      <c r="Q16" s="52"/>
      <c r="R16" s="52"/>
      <c r="S16" s="52"/>
      <c r="T16" s="52"/>
      <c r="U16" s="52"/>
      <c r="V16" s="52"/>
      <c r="W16" s="52"/>
      <c r="X16" s="52"/>
      <c r="Y16" s="52"/>
      <c r="Z16" s="52"/>
      <c r="AA16" s="52"/>
      <c r="AB16" s="52"/>
      <c r="AC16" s="52"/>
      <c r="AD16" s="54" t="s">
        <v>549</v>
      </c>
      <c r="AE16" s="52"/>
      <c r="AF16" s="54" t="s">
        <v>550</v>
      </c>
      <c r="AG16" s="52"/>
      <c r="AH16" s="52"/>
      <c r="AI16" s="52"/>
      <c r="AJ16" s="52"/>
      <c r="AK16" s="52"/>
      <c r="AL16" s="52"/>
      <c r="AM16" s="52"/>
      <c r="AN16" s="52"/>
      <c r="AO16" s="52"/>
      <c r="AP16" s="52"/>
      <c r="AQ16" s="52"/>
      <c r="AR16" s="52"/>
      <c r="AS16" s="52"/>
      <c r="AT16" s="52"/>
      <c r="AU16" s="52"/>
      <c r="AV16" s="52"/>
      <c r="AW16" s="52"/>
      <c r="AX16" s="54"/>
      <c r="AY16" s="52"/>
      <c r="AZ16" s="52"/>
      <c r="BA16" s="52"/>
      <c r="BB16" s="52"/>
      <c r="BC16" s="52"/>
      <c r="BD16" s="52"/>
      <c r="BE16" s="52"/>
      <c r="BF16" s="52"/>
      <c r="BG16" s="52"/>
      <c r="BH16" s="52"/>
    </row>
    <row r="17" spans="1:60" ht="16.5" customHeight="1" x14ac:dyDescent="0.25">
      <c r="A17" s="49" t="s">
        <v>551</v>
      </c>
      <c r="B17" s="54" t="s">
        <v>552</v>
      </c>
      <c r="C17" s="52"/>
      <c r="D17" s="52"/>
      <c r="E17" s="52"/>
      <c r="F17" s="52"/>
      <c r="G17" s="52"/>
      <c r="H17" s="52"/>
      <c r="I17" s="52"/>
      <c r="J17" s="52"/>
      <c r="K17" s="52"/>
      <c r="L17" s="52"/>
      <c r="M17" s="52"/>
      <c r="N17" s="52"/>
      <c r="O17" s="52"/>
      <c r="P17" s="54" t="s">
        <v>553</v>
      </c>
      <c r="Q17" s="52"/>
      <c r="R17" s="52"/>
      <c r="S17" s="52"/>
      <c r="T17" s="52"/>
      <c r="U17" s="52"/>
      <c r="V17" s="52"/>
      <c r="W17" s="52"/>
      <c r="X17" s="52"/>
      <c r="Y17" s="52"/>
      <c r="Z17" s="52"/>
      <c r="AA17" s="52"/>
      <c r="AB17" s="52"/>
      <c r="AC17" s="52"/>
      <c r="AD17" s="54" t="s">
        <v>554</v>
      </c>
      <c r="AE17" s="52"/>
      <c r="AF17" s="54" t="s">
        <v>555</v>
      </c>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row>
    <row r="18" spans="1:60" ht="16.5" customHeight="1" x14ac:dyDescent="0.25">
      <c r="A18" s="49" t="s">
        <v>556</v>
      </c>
      <c r="B18" s="54" t="s">
        <v>557</v>
      </c>
      <c r="C18" s="52"/>
      <c r="D18" s="52"/>
      <c r="E18" s="52"/>
      <c r="F18" s="52"/>
      <c r="G18" s="52"/>
      <c r="H18" s="52"/>
      <c r="I18" s="52"/>
      <c r="J18" s="52"/>
      <c r="K18" s="52"/>
      <c r="L18" s="52"/>
      <c r="M18" s="52"/>
      <c r="N18" s="52"/>
      <c r="O18" s="52"/>
      <c r="P18" s="54" t="s">
        <v>558</v>
      </c>
      <c r="Q18" s="52"/>
      <c r="R18" s="52"/>
      <c r="S18" s="52"/>
      <c r="T18" s="52"/>
      <c r="U18" s="52"/>
      <c r="V18" s="52"/>
      <c r="W18" s="52"/>
      <c r="X18" s="52"/>
      <c r="Y18" s="52"/>
      <c r="Z18" s="52"/>
      <c r="AA18" s="52"/>
      <c r="AB18" s="52"/>
      <c r="AC18" s="52"/>
      <c r="AD18" s="54" t="s">
        <v>559</v>
      </c>
      <c r="AE18" s="52"/>
      <c r="AF18" s="54" t="s">
        <v>560</v>
      </c>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row>
    <row r="19" spans="1:60" ht="16.5" customHeight="1" x14ac:dyDescent="0.25">
      <c r="A19" s="49" t="s">
        <v>561</v>
      </c>
      <c r="B19" s="54" t="s">
        <v>562</v>
      </c>
      <c r="C19" s="55"/>
      <c r="D19" s="55"/>
      <c r="E19" s="55"/>
      <c r="F19" s="55"/>
      <c r="G19" s="55"/>
      <c r="H19" s="55"/>
      <c r="I19" s="55"/>
      <c r="J19" s="55"/>
      <c r="K19" s="55"/>
      <c r="L19" s="55"/>
      <c r="M19" s="55"/>
      <c r="N19" s="55"/>
      <c r="O19" s="55"/>
      <c r="P19" s="54" t="s">
        <v>563</v>
      </c>
      <c r="Q19" s="55"/>
      <c r="R19" s="55"/>
      <c r="S19" s="55"/>
      <c r="T19" s="55"/>
      <c r="U19" s="55"/>
      <c r="V19" s="55"/>
      <c r="W19" s="55"/>
      <c r="X19" s="55"/>
      <c r="Y19" s="55"/>
      <c r="Z19" s="55"/>
      <c r="AA19" s="55"/>
      <c r="AB19" s="55"/>
      <c r="AC19" s="55"/>
      <c r="AD19" s="54" t="s">
        <v>564</v>
      </c>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ht="16.5" customHeight="1" x14ac:dyDescent="0.25">
      <c r="A20" s="49" t="s">
        <v>565</v>
      </c>
      <c r="B20" s="54" t="s">
        <v>566</v>
      </c>
      <c r="C20" s="52"/>
      <c r="D20" s="52"/>
      <c r="E20" s="52"/>
      <c r="F20" s="52"/>
      <c r="G20" s="52"/>
      <c r="H20" s="52"/>
      <c r="I20" s="52"/>
      <c r="J20" s="52"/>
      <c r="K20" s="52"/>
      <c r="L20" s="52"/>
      <c r="M20" s="52"/>
      <c r="N20" s="52"/>
      <c r="O20" s="52"/>
      <c r="P20" s="54" t="s">
        <v>567</v>
      </c>
      <c r="Q20" s="52"/>
      <c r="R20" s="52"/>
      <c r="S20" s="52"/>
      <c r="T20" s="52"/>
      <c r="U20" s="52"/>
      <c r="V20" s="52"/>
      <c r="W20" s="52"/>
      <c r="X20" s="52"/>
      <c r="Y20" s="52"/>
      <c r="Z20" s="52"/>
      <c r="AA20" s="52"/>
      <c r="AB20" s="52"/>
      <c r="AC20" s="52"/>
      <c r="AD20" s="54" t="s">
        <v>568</v>
      </c>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row>
    <row r="21" spans="1:60" ht="16.5" customHeight="1" x14ac:dyDescent="0.25">
      <c r="A21" s="49" t="s">
        <v>569</v>
      </c>
      <c r="B21" s="54" t="s">
        <v>570</v>
      </c>
      <c r="C21" s="52"/>
      <c r="D21" s="52"/>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4" t="s">
        <v>571</v>
      </c>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row>
    <row r="22" spans="1:60" ht="16.5" customHeight="1" x14ac:dyDescent="0.25">
      <c r="A22" s="49" t="s">
        <v>572</v>
      </c>
      <c r="B22" s="54" t="s">
        <v>573</v>
      </c>
      <c r="C22" s="52"/>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4" t="s">
        <v>574</v>
      </c>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row>
    <row r="23" spans="1:60" ht="16.5" customHeight="1" x14ac:dyDescent="0.25">
      <c r="A23" s="49" t="s">
        <v>575</v>
      </c>
      <c r="B23" s="54" t="s">
        <v>576</v>
      </c>
      <c r="C23" s="52"/>
      <c r="D23" s="52"/>
      <c r="E23" s="52"/>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row>
    <row r="24" spans="1:60" ht="16.5" customHeight="1" x14ac:dyDescent="0.25">
      <c r="A24" s="49" t="s">
        <v>577</v>
      </c>
      <c r="B24" s="54" t="s">
        <v>578</v>
      </c>
      <c r="C24" s="52"/>
      <c r="D24" s="52"/>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row>
    <row r="25" spans="1:60" ht="16.5" customHeight="1" x14ac:dyDescent="0.25">
      <c r="A25" s="49" t="s">
        <v>579</v>
      </c>
      <c r="B25" s="54" t="s">
        <v>580</v>
      </c>
      <c r="C25" s="52"/>
      <c r="D25" s="52"/>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row>
    <row r="26" spans="1:60" ht="16.5" customHeight="1" x14ac:dyDescent="0.25">
      <c r="A26" s="49" t="s">
        <v>581</v>
      </c>
      <c r="B26" s="54" t="s">
        <v>582</v>
      </c>
      <c r="C26" s="52"/>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row>
    <row r="27" spans="1:60" ht="16.5" customHeight="1" x14ac:dyDescent="0.25">
      <c r="A27" s="49" t="s">
        <v>583</v>
      </c>
      <c r="B27" s="54" t="s">
        <v>584</v>
      </c>
      <c r="C27" s="52"/>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row>
    <row r="28" spans="1:60" ht="16.5" customHeight="1" x14ac:dyDescent="0.25">
      <c r="A28" s="49" t="s">
        <v>585</v>
      </c>
      <c r="B28" s="54" t="s">
        <v>586</v>
      </c>
      <c r="C28" s="52"/>
      <c r="D28" s="52"/>
      <c r="E28" s="52"/>
      <c r="F28" s="52"/>
      <c r="G28" s="52"/>
      <c r="H28" s="52"/>
      <c r="I28" s="52"/>
      <c r="J28" s="52"/>
      <c r="K28" s="52"/>
      <c r="L28" s="52"/>
      <c r="M28" s="52"/>
      <c r="N28" s="52"/>
      <c r="O28" s="52"/>
      <c r="P28" s="52"/>
      <c r="Q28" s="52"/>
      <c r="R28" s="52"/>
      <c r="S28" s="52"/>
      <c r="T28" s="52"/>
      <c r="U28" s="52" t="str">
        <f>LOWER(U3)</f>
        <v/>
      </c>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row>
    <row r="29" spans="1:60" ht="16.5" customHeight="1" x14ac:dyDescent="0.25">
      <c r="A29" s="49" t="s">
        <v>587</v>
      </c>
      <c r="B29" s="54" t="s">
        <v>588</v>
      </c>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row>
    <row r="30" spans="1:60" ht="16.5" customHeight="1" x14ac:dyDescent="0.25">
      <c r="A30" s="49" t="s">
        <v>589</v>
      </c>
      <c r="B30" s="54" t="s">
        <v>590</v>
      </c>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row>
    <row r="31" spans="1:60" ht="16.5" customHeight="1" x14ac:dyDescent="0.25">
      <c r="A31" s="49" t="s">
        <v>591</v>
      </c>
      <c r="B31" s="54" t="s">
        <v>592</v>
      </c>
      <c r="C31" s="52"/>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row>
    <row r="32" spans="1:60" ht="12.75" customHeight="1" x14ac:dyDescent="0.25">
      <c r="A32" s="50"/>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row>
    <row r="33" spans="1:60" ht="12.75" customHeight="1" x14ac:dyDescent="0.25">
      <c r="A33" s="50"/>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row>
    <row r="34" spans="1:60" ht="12.75" customHeight="1" x14ac:dyDescent="0.25">
      <c r="A34" s="50"/>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row>
    <row r="35" spans="1:60" ht="12.75" customHeight="1" x14ac:dyDescent="0.25">
      <c r="A35" s="50"/>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row>
    <row r="36" spans="1:60" ht="12.75" customHeight="1" x14ac:dyDescent="0.25">
      <c r="A36" s="50"/>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row>
    <row r="37" spans="1:60" ht="12.75" customHeight="1" x14ac:dyDescent="0.25">
      <c r="A37" s="50"/>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row>
    <row r="38" spans="1:60" ht="12.75" customHeight="1" x14ac:dyDescent="0.25">
      <c r="A38" s="50"/>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row>
    <row r="39" spans="1:60" ht="12.75" customHeight="1" x14ac:dyDescent="0.25">
      <c r="A39" s="50"/>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row>
    <row r="40" spans="1:60" ht="12.75" customHeight="1" x14ac:dyDescent="0.25">
      <c r="A40" s="50"/>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row>
    <row r="41" spans="1:60" ht="12.75" customHeight="1" x14ac:dyDescent="0.25">
      <c r="A41" s="50"/>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row>
    <row r="42" spans="1:60" ht="12.75" customHeight="1" x14ac:dyDescent="0.25">
      <c r="A42" s="50"/>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row>
    <row r="43" spans="1:60" ht="12.75" customHeight="1" x14ac:dyDescent="0.25">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row>
    <row r="44" spans="1:60" ht="12.75" customHeight="1" x14ac:dyDescent="0.25">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row>
    <row r="45" spans="1:60" ht="12.75" customHeight="1" x14ac:dyDescent="0.2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row>
    <row r="46" spans="1:60" ht="12.75" customHeight="1" x14ac:dyDescent="0.25">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row>
    <row r="47" spans="1:60" ht="12.75" customHeight="1" x14ac:dyDescent="0.25">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row>
    <row r="48" spans="1:60" ht="12.75" customHeight="1" x14ac:dyDescent="0.25">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row>
    <row r="49" spans="1:60" ht="12.75" customHeight="1" x14ac:dyDescent="0.25">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row>
    <row r="50" spans="1:60" ht="12.75" customHeight="1" x14ac:dyDescent="0.25">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row>
    <row r="51" spans="1:60" ht="12.75" customHeight="1" x14ac:dyDescent="0.25">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row>
    <row r="52" spans="1:60" ht="12.75" customHeight="1" x14ac:dyDescent="0.25">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row>
    <row r="53" spans="1:60" ht="12.75" customHeight="1" x14ac:dyDescent="0.25">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row>
    <row r="54" spans="1:60" ht="12.75" customHeight="1" x14ac:dyDescent="0.25">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row>
    <row r="55" spans="1:60" ht="12.75" customHeight="1" x14ac:dyDescent="0.2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row>
    <row r="56" spans="1:60" ht="12.75" customHeight="1" x14ac:dyDescent="0.25">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row>
    <row r="57" spans="1:60" ht="12.75" customHeight="1" x14ac:dyDescent="0.25">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row>
    <row r="58" spans="1:60" ht="12.75" customHeight="1" x14ac:dyDescent="0.25">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row>
    <row r="59" spans="1:60" ht="12.75" customHeight="1" x14ac:dyDescent="0.25">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row>
    <row r="60" spans="1:60" ht="12.75" customHeight="1" x14ac:dyDescent="0.25">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row>
    <row r="61" spans="1:60" ht="12.75" customHeight="1" x14ac:dyDescent="0.25">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row>
    <row r="62" spans="1:60" ht="12.75" customHeight="1" x14ac:dyDescent="0.25">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row>
    <row r="63" spans="1:60" ht="12.75" customHeight="1" x14ac:dyDescent="0.25">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row>
    <row r="64" spans="1:60" ht="12.75" customHeight="1" x14ac:dyDescent="0.25">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row>
    <row r="65" spans="1:60" ht="12.75" customHeight="1" x14ac:dyDescent="0.2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row>
    <row r="66" spans="1:60" ht="12.75" customHeight="1" x14ac:dyDescent="0.25">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row>
    <row r="67" spans="1:60" ht="12.75" customHeight="1" x14ac:dyDescent="0.25">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row>
    <row r="68" spans="1:60" ht="12.75" customHeight="1" x14ac:dyDescent="0.25">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row>
    <row r="69" spans="1:60" ht="12.75" customHeight="1" x14ac:dyDescent="0.25">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row>
    <row r="70" spans="1:60" ht="12.75" customHeight="1" x14ac:dyDescent="0.25">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row>
    <row r="71" spans="1:60" ht="12.75" customHeight="1" x14ac:dyDescent="0.25">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row>
    <row r="72" spans="1:60" ht="12.75" customHeight="1" x14ac:dyDescent="0.25">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row>
    <row r="73" spans="1:60" ht="12.75" customHeight="1" x14ac:dyDescent="0.25">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row>
    <row r="74" spans="1:60" ht="12.75" customHeight="1" x14ac:dyDescent="0.25">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row>
    <row r="75" spans="1:60" ht="12.75" customHeight="1" x14ac:dyDescent="0.2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row>
    <row r="76" spans="1:60" ht="12.75" customHeight="1" x14ac:dyDescent="0.25">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row>
    <row r="77" spans="1:60" ht="12.75" customHeight="1" x14ac:dyDescent="0.25">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row>
    <row r="78" spans="1:60" ht="12.75" customHeight="1" x14ac:dyDescent="0.25">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row>
    <row r="79" spans="1:60" ht="12.75" customHeight="1" x14ac:dyDescent="0.25">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row>
    <row r="80" spans="1:60" ht="12.75" customHeight="1" x14ac:dyDescent="0.25">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row>
    <row r="81" spans="1:60" ht="12.75" customHeight="1" x14ac:dyDescent="0.25">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row>
    <row r="82" spans="1:60" ht="12.75" customHeight="1" x14ac:dyDescent="0.25">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row>
    <row r="83" spans="1:60" ht="12.75" customHeight="1" x14ac:dyDescent="0.25">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row>
    <row r="84" spans="1:60" ht="12.75" customHeight="1" x14ac:dyDescent="0.25">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row>
    <row r="85" spans="1:60" ht="12.75" customHeight="1" x14ac:dyDescent="0.2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row>
    <row r="86" spans="1:60" ht="12.75" customHeight="1" x14ac:dyDescent="0.25">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row>
    <row r="87" spans="1:60" ht="12.75" customHeight="1" x14ac:dyDescent="0.25">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row>
    <row r="88" spans="1:60" ht="12.75" customHeight="1" x14ac:dyDescent="0.25">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row>
    <row r="89" spans="1:60" ht="12.75" customHeight="1" x14ac:dyDescent="0.25">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row>
    <row r="90" spans="1:60" ht="12.75" customHeight="1" x14ac:dyDescent="0.25">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row>
    <row r="91" spans="1:60" ht="12.75" customHeight="1" x14ac:dyDescent="0.25">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row>
    <row r="92" spans="1:60" ht="12.75" customHeight="1" x14ac:dyDescent="0.25">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row>
    <row r="93" spans="1:60" ht="12.75" customHeight="1" x14ac:dyDescent="0.25">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row>
    <row r="94" spans="1:60" ht="12.75" customHeight="1" x14ac:dyDescent="0.25">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row>
    <row r="95" spans="1:60" ht="12.75" customHeight="1" x14ac:dyDescent="0.2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row>
    <row r="96" spans="1:60" ht="12.75" customHeight="1" x14ac:dyDescent="0.25">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row>
    <row r="97" spans="1:60" ht="12.75" customHeight="1" x14ac:dyDescent="0.25">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row>
    <row r="98" spans="1:60" ht="12.75" customHeight="1" x14ac:dyDescent="0.25">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row>
    <row r="99" spans="1:60" ht="12.75" customHeight="1" x14ac:dyDescent="0.25">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row>
    <row r="100" spans="1:60" ht="12.75" customHeight="1" x14ac:dyDescent="0.25">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row>
    <row r="101" spans="1:60" ht="12.75" customHeight="1" x14ac:dyDescent="0.25">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row>
    <row r="102" spans="1:60" ht="12.75" customHeight="1" x14ac:dyDescent="0.25">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row>
    <row r="103" spans="1:60" ht="12.75" customHeight="1" x14ac:dyDescent="0.25">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row>
    <row r="104" spans="1:60" ht="12.75" customHeight="1" x14ac:dyDescent="0.25">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row>
    <row r="105" spans="1:60" ht="12.75" customHeight="1" x14ac:dyDescent="0.2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row>
    <row r="106" spans="1:60" ht="12.75" customHeight="1" x14ac:dyDescent="0.25">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row>
    <row r="107" spans="1:60" ht="12.75" customHeight="1" x14ac:dyDescent="0.25">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row>
    <row r="108" spans="1:60" ht="12.75" customHeight="1" x14ac:dyDescent="0.25">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row>
    <row r="109" spans="1:60" ht="12.75" customHeight="1" x14ac:dyDescent="0.25">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row>
    <row r="110" spans="1:60" ht="12.75" customHeight="1" x14ac:dyDescent="0.25">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row>
    <row r="111" spans="1:60" ht="12.75" customHeight="1" x14ac:dyDescent="0.25">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row>
    <row r="112" spans="1:60" ht="12.75" customHeight="1" x14ac:dyDescent="0.25">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row>
    <row r="113" spans="1:60" ht="12.75" customHeight="1" x14ac:dyDescent="0.25">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row>
    <row r="114" spans="1:60" ht="12.75" customHeight="1" x14ac:dyDescent="0.25">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row>
    <row r="115" spans="1:60" ht="12.75" customHeight="1" x14ac:dyDescent="0.2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row>
    <row r="116" spans="1:60" ht="12.75" customHeight="1" x14ac:dyDescent="0.25">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row>
    <row r="117" spans="1:60" ht="12.75" customHeight="1" x14ac:dyDescent="0.25">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row>
    <row r="118" spans="1:60" ht="12.75" customHeight="1" x14ac:dyDescent="0.25">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row>
    <row r="119" spans="1:60" ht="12.75" customHeight="1" x14ac:dyDescent="0.25">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row>
    <row r="120" spans="1:60" ht="12.75" customHeight="1" x14ac:dyDescent="0.25">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row>
    <row r="121" spans="1:60" ht="12.75" customHeight="1" x14ac:dyDescent="0.25">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row>
    <row r="122" spans="1:60" ht="12.75" customHeight="1" x14ac:dyDescent="0.25">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row>
    <row r="123" spans="1:60" ht="12.75" customHeight="1" x14ac:dyDescent="0.25">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row>
    <row r="124" spans="1:60" ht="12.75" customHeight="1" x14ac:dyDescent="0.25">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row>
    <row r="125" spans="1:60" ht="12.75" customHeight="1" x14ac:dyDescent="0.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row>
    <row r="126" spans="1:60" ht="12.75" customHeight="1" x14ac:dyDescent="0.25">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row>
    <row r="127" spans="1:60" ht="12.75" customHeight="1" x14ac:dyDescent="0.25">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row>
    <row r="128" spans="1:60" ht="12.75" customHeight="1" x14ac:dyDescent="0.25">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row>
    <row r="129" spans="1:60" ht="12.75" customHeight="1" x14ac:dyDescent="0.25">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row>
    <row r="130" spans="1:60" ht="12.75" customHeight="1" x14ac:dyDescent="0.25">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row>
    <row r="131" spans="1:60" ht="12.75" customHeight="1" x14ac:dyDescent="0.25">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row>
    <row r="132" spans="1:60" ht="12.75" customHeight="1" x14ac:dyDescent="0.25">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row>
    <row r="133" spans="1:60" ht="12.75" customHeight="1" x14ac:dyDescent="0.25">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row>
    <row r="134" spans="1:60" ht="12.75" customHeight="1" x14ac:dyDescent="0.25">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row>
    <row r="135" spans="1:60" ht="12.75" customHeight="1" x14ac:dyDescent="0.2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row>
    <row r="136" spans="1:60" ht="12.75" customHeight="1" x14ac:dyDescent="0.25">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row>
    <row r="137" spans="1:60" ht="12.75" customHeight="1" x14ac:dyDescent="0.25">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row>
    <row r="138" spans="1:60" ht="12.75" customHeight="1" x14ac:dyDescent="0.25">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row>
    <row r="139" spans="1:60" ht="12.75" customHeight="1" x14ac:dyDescent="0.25">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row>
    <row r="140" spans="1:60" ht="12.75" customHeight="1" x14ac:dyDescent="0.25">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row>
    <row r="141" spans="1:60" ht="12.75" customHeight="1" x14ac:dyDescent="0.25">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row>
    <row r="142" spans="1:60" ht="12.75" customHeight="1" x14ac:dyDescent="0.25">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row>
    <row r="143" spans="1:60" ht="12.75" customHeight="1" x14ac:dyDescent="0.25">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row>
    <row r="144" spans="1:60" ht="12.75" customHeight="1" x14ac:dyDescent="0.25">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row>
    <row r="145" spans="1:60" ht="12.75" customHeight="1" x14ac:dyDescent="0.2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row>
    <row r="146" spans="1:60" ht="12.75" customHeight="1" x14ac:dyDescent="0.25">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row>
    <row r="147" spans="1:60" ht="12.75" customHeight="1" x14ac:dyDescent="0.25">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row>
    <row r="148" spans="1:60" ht="12.75" customHeight="1" x14ac:dyDescent="0.25">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row>
    <row r="149" spans="1:60" ht="12.75" customHeight="1" x14ac:dyDescent="0.25">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row>
    <row r="150" spans="1:60" ht="12.75" customHeight="1" x14ac:dyDescent="0.25">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row>
    <row r="151" spans="1:60" ht="12.75" customHeight="1" x14ac:dyDescent="0.25">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row>
    <row r="152" spans="1:60" ht="12.75" customHeight="1" x14ac:dyDescent="0.25">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row>
    <row r="153" spans="1:60" ht="12.75" customHeight="1" x14ac:dyDescent="0.25">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row>
    <row r="154" spans="1:60" ht="12.75" customHeight="1" x14ac:dyDescent="0.25">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row>
    <row r="155" spans="1:60" ht="12.75" customHeight="1" x14ac:dyDescent="0.2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row>
    <row r="156" spans="1:60" ht="12.75" customHeight="1" x14ac:dyDescent="0.25">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row>
    <row r="157" spans="1:60" ht="12.75" customHeight="1" x14ac:dyDescent="0.25">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row>
    <row r="158" spans="1:60" ht="12.75" customHeight="1" x14ac:dyDescent="0.25">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row>
    <row r="159" spans="1:60" ht="12.75" customHeight="1" x14ac:dyDescent="0.25">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row>
    <row r="160" spans="1:60" ht="12.75" customHeight="1" x14ac:dyDescent="0.25">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row>
    <row r="161" spans="1:60" ht="12.75" customHeight="1" x14ac:dyDescent="0.25">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row>
    <row r="162" spans="1:60" ht="12.75" customHeight="1" x14ac:dyDescent="0.25">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row>
    <row r="163" spans="1:60" ht="12.75" customHeight="1" x14ac:dyDescent="0.25">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row>
    <row r="164" spans="1:60" ht="12.75" customHeight="1" x14ac:dyDescent="0.25">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row>
    <row r="165" spans="1:60" ht="12.75" customHeight="1" x14ac:dyDescent="0.2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row>
    <row r="166" spans="1:60" ht="12.75" customHeight="1" x14ac:dyDescent="0.25">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row>
    <row r="167" spans="1:60" ht="12.75" customHeight="1" x14ac:dyDescent="0.25">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row>
    <row r="168" spans="1:60" ht="12.75" customHeight="1" x14ac:dyDescent="0.25">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row>
    <row r="169" spans="1:60" ht="12.75" customHeight="1" x14ac:dyDescent="0.25">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row>
    <row r="170" spans="1:60" ht="12.75" customHeight="1" x14ac:dyDescent="0.25">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row>
    <row r="171" spans="1:60" ht="12.75" customHeight="1" x14ac:dyDescent="0.25">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row>
    <row r="172" spans="1:60" ht="12.75" customHeight="1" x14ac:dyDescent="0.25">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row>
    <row r="173" spans="1:60" ht="12.75" customHeight="1" x14ac:dyDescent="0.25">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row>
    <row r="174" spans="1:60" ht="12.75" customHeight="1" x14ac:dyDescent="0.25">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row>
    <row r="175" spans="1:60" ht="12.75" customHeight="1" x14ac:dyDescent="0.2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row>
    <row r="176" spans="1:60" ht="12.75" customHeight="1" x14ac:dyDescent="0.25">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row>
    <row r="177" spans="1:60" ht="12.75" customHeight="1" x14ac:dyDescent="0.25">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row>
    <row r="178" spans="1:60" ht="12.75" customHeight="1" x14ac:dyDescent="0.25">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row>
    <row r="179" spans="1:60" ht="12.75" customHeight="1" x14ac:dyDescent="0.25">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row>
    <row r="180" spans="1:60" ht="12.75" customHeight="1" x14ac:dyDescent="0.25">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row>
    <row r="181" spans="1:60" ht="12.75" customHeight="1" x14ac:dyDescent="0.25">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row>
    <row r="182" spans="1:60" ht="12.75" customHeight="1" x14ac:dyDescent="0.25">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row>
    <row r="183" spans="1:60" ht="12.75" customHeight="1" x14ac:dyDescent="0.25">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row>
    <row r="184" spans="1:60" ht="12.75" customHeight="1" x14ac:dyDescent="0.25">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row>
    <row r="185" spans="1:60" ht="12.75" customHeight="1" x14ac:dyDescent="0.2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row>
    <row r="186" spans="1:60" ht="12.75" customHeight="1" x14ac:dyDescent="0.25">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row>
    <row r="187" spans="1:60" ht="12.75" customHeight="1" x14ac:dyDescent="0.25">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row>
    <row r="188" spans="1:60" ht="12.75" customHeight="1" x14ac:dyDescent="0.25">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row>
    <row r="189" spans="1:60" ht="12.75" customHeight="1" x14ac:dyDescent="0.25">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row>
    <row r="190" spans="1:60" ht="12.75" customHeight="1" x14ac:dyDescent="0.25">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row>
    <row r="191" spans="1:60" ht="12.75" customHeight="1" x14ac:dyDescent="0.25">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row>
    <row r="192" spans="1:60" ht="12.75" customHeight="1" x14ac:dyDescent="0.25">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row>
    <row r="193" spans="1:60" ht="12.75" customHeight="1" x14ac:dyDescent="0.25">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row>
    <row r="194" spans="1:60" ht="12.75" customHeight="1" x14ac:dyDescent="0.25">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row>
    <row r="195" spans="1:60" ht="12.75" customHeight="1" x14ac:dyDescent="0.2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row>
    <row r="196" spans="1:60" ht="12.75" customHeight="1" x14ac:dyDescent="0.25">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row>
    <row r="197" spans="1:60" ht="12.75" customHeight="1" x14ac:dyDescent="0.25">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row>
    <row r="198" spans="1:60" ht="12.75" customHeight="1" x14ac:dyDescent="0.25">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row>
    <row r="199" spans="1:60" ht="12.75" customHeight="1" x14ac:dyDescent="0.25">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row>
    <row r="200" spans="1:60" ht="12.75" customHeight="1" x14ac:dyDescent="0.25">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row>
    <row r="201" spans="1:60" ht="12.75" customHeight="1" x14ac:dyDescent="0.25">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row>
    <row r="202" spans="1:60" ht="12.75" customHeight="1" x14ac:dyDescent="0.25">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row>
    <row r="203" spans="1:60" ht="12.75" customHeight="1" x14ac:dyDescent="0.25">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row>
    <row r="204" spans="1:60" ht="12.75" customHeight="1" x14ac:dyDescent="0.25">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row>
    <row r="205" spans="1:60" ht="12.75" customHeight="1" x14ac:dyDescent="0.2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row>
    <row r="206" spans="1:60" ht="12.75" customHeight="1" x14ac:dyDescent="0.25">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row>
    <row r="207" spans="1:60" ht="12.75" customHeight="1" x14ac:dyDescent="0.25">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row>
    <row r="208" spans="1:60" ht="12.75" customHeight="1" x14ac:dyDescent="0.25">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row>
    <row r="209" spans="1:60" ht="12.75" customHeight="1" x14ac:dyDescent="0.25">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row>
    <row r="210" spans="1:60" ht="12.75" customHeight="1" x14ac:dyDescent="0.25">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row>
    <row r="211" spans="1:60" ht="12.75" customHeight="1" x14ac:dyDescent="0.25">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row>
    <row r="212" spans="1:60" ht="12.75" customHeight="1" x14ac:dyDescent="0.25">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row>
    <row r="213" spans="1:60" ht="12.75" customHeight="1" x14ac:dyDescent="0.25">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row>
    <row r="214" spans="1:60" ht="12.75" customHeight="1" x14ac:dyDescent="0.25">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row>
    <row r="215" spans="1:60" ht="12.75" customHeight="1" x14ac:dyDescent="0.2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row>
    <row r="216" spans="1:60" ht="12.75" customHeight="1" x14ac:dyDescent="0.25">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row>
    <row r="217" spans="1:60" ht="12.75" customHeight="1" x14ac:dyDescent="0.25">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row>
    <row r="218" spans="1:60" ht="12.75" customHeight="1" x14ac:dyDescent="0.25">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row>
    <row r="219" spans="1:60" ht="12.75" customHeight="1" x14ac:dyDescent="0.25">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row>
    <row r="220" spans="1:60" ht="12.75" customHeight="1" x14ac:dyDescent="0.25">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row>
    <row r="221" spans="1:60" ht="12.75" customHeight="1" x14ac:dyDescent="0.25">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row>
    <row r="222" spans="1:60" ht="12.75" customHeight="1" x14ac:dyDescent="0.25">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row>
    <row r="223" spans="1:60" ht="12.75" customHeight="1" x14ac:dyDescent="0.25">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row>
    <row r="224" spans="1:60" ht="12.75" customHeight="1" x14ac:dyDescent="0.25">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row>
    <row r="225" spans="1:60" ht="12.75" customHeight="1" x14ac:dyDescent="0.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row>
    <row r="226" spans="1:60" ht="12.75" customHeight="1" x14ac:dyDescent="0.25">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row>
    <row r="227" spans="1:60" ht="12.75" customHeight="1" x14ac:dyDescent="0.25">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row>
    <row r="228" spans="1:60" ht="12.75" customHeight="1" x14ac:dyDescent="0.25">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row>
    <row r="229" spans="1:60" ht="12.75" customHeight="1" x14ac:dyDescent="0.25">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row>
    <row r="230" spans="1:60" ht="12.75" customHeight="1" x14ac:dyDescent="0.25">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row>
    <row r="231" spans="1:60" ht="12.75" customHeight="1" x14ac:dyDescent="0.25">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row>
    <row r="232" spans="1:60" ht="15.75" customHeight="1" x14ac:dyDescent="0.25"/>
    <row r="233" spans="1:60" ht="15.75" customHeight="1" x14ac:dyDescent="0.25"/>
    <row r="234" spans="1:60" ht="15.75" customHeight="1" x14ac:dyDescent="0.25"/>
    <row r="235" spans="1:60" ht="15.75" customHeight="1" x14ac:dyDescent="0.25"/>
    <row r="236" spans="1:60" ht="15.75" customHeight="1" x14ac:dyDescent="0.25"/>
    <row r="237" spans="1:60" ht="15.75" customHeight="1" x14ac:dyDescent="0.25"/>
    <row r="238" spans="1:60" ht="15.75" customHeight="1" x14ac:dyDescent="0.25"/>
    <row r="239" spans="1:60" ht="15.75" customHeight="1" x14ac:dyDescent="0.25"/>
    <row r="240" spans="1:6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42"/>
  <sheetViews>
    <sheetView topLeftCell="BT1" workbookViewId="0">
      <selection activeCell="BV11" sqref="BV11"/>
    </sheetView>
  </sheetViews>
  <sheetFormatPr baseColWidth="10" defaultColWidth="11.42578125" defaultRowHeight="12.75" x14ac:dyDescent="0.2"/>
  <cols>
    <col min="1" max="1" width="60.5703125" style="8" customWidth="1"/>
    <col min="2" max="2" width="13.85546875" style="8" customWidth="1"/>
    <col min="3" max="3" width="4.7109375" style="8" customWidth="1"/>
    <col min="4" max="16384" width="11.42578125" style="8"/>
  </cols>
  <sheetData>
    <row r="1" spans="1:92" x14ac:dyDescent="0.2">
      <c r="A1" s="7" t="s">
        <v>593</v>
      </c>
    </row>
    <row r="2" spans="1:92" x14ac:dyDescent="0.2">
      <c r="A2" s="9" t="s">
        <v>264</v>
      </c>
    </row>
    <row r="3" spans="1:92" x14ac:dyDescent="0.2">
      <c r="A3" s="6" t="s">
        <v>177</v>
      </c>
      <c r="B3" s="8" t="s">
        <v>594</v>
      </c>
      <c r="D3" s="8" t="s">
        <v>267</v>
      </c>
      <c r="F3" s="8" t="s">
        <v>268</v>
      </c>
      <c r="H3" s="8" t="s">
        <v>269</v>
      </c>
      <c r="J3" s="8" t="s">
        <v>270</v>
      </c>
      <c r="L3" s="8" t="s">
        <v>271</v>
      </c>
      <c r="N3" s="8" t="s">
        <v>272</v>
      </c>
      <c r="P3" s="8" t="s">
        <v>273</v>
      </c>
      <c r="R3" s="8" t="s">
        <v>274</v>
      </c>
      <c r="T3" s="8" t="s">
        <v>275</v>
      </c>
      <c r="U3" s="8" t="s">
        <v>276</v>
      </c>
      <c r="V3" s="8" t="s">
        <v>277</v>
      </c>
      <c r="W3" s="8" t="s">
        <v>276</v>
      </c>
      <c r="X3" s="8" t="s">
        <v>278</v>
      </c>
      <c r="Y3" s="8" t="s">
        <v>276</v>
      </c>
      <c r="Z3" s="8" t="s">
        <v>279</v>
      </c>
      <c r="AA3" s="8" t="s">
        <v>276</v>
      </c>
      <c r="AB3" s="8" t="s">
        <v>280</v>
      </c>
      <c r="AC3" s="8" t="s">
        <v>276</v>
      </c>
      <c r="AD3" s="8" t="s">
        <v>281</v>
      </c>
      <c r="AE3" s="8" t="s">
        <v>276</v>
      </c>
      <c r="AF3" s="8" t="s">
        <v>282</v>
      </c>
      <c r="AG3" s="8" t="s">
        <v>276</v>
      </c>
      <c r="AH3" s="8" t="s">
        <v>283</v>
      </c>
      <c r="AI3" s="8" t="s">
        <v>276</v>
      </c>
      <c r="AJ3" s="8" t="s">
        <v>284</v>
      </c>
      <c r="AK3" s="8" t="s">
        <v>276</v>
      </c>
      <c r="AL3" s="8" t="s">
        <v>285</v>
      </c>
      <c r="AM3" s="8" t="s">
        <v>276</v>
      </c>
      <c r="AN3" s="8" t="s">
        <v>286</v>
      </c>
      <c r="AO3" s="8" t="s">
        <v>276</v>
      </c>
      <c r="AP3" s="8" t="s">
        <v>287</v>
      </c>
      <c r="AQ3" s="8" t="s">
        <v>276</v>
      </c>
      <c r="AR3" s="8" t="s">
        <v>288</v>
      </c>
      <c r="AS3" s="8" t="s">
        <v>276</v>
      </c>
      <c r="AT3" s="8" t="s">
        <v>289</v>
      </c>
      <c r="AU3" s="8" t="s">
        <v>276</v>
      </c>
      <c r="AV3" s="8" t="s">
        <v>290</v>
      </c>
      <c r="AW3" s="8" t="s">
        <v>276</v>
      </c>
      <c r="AX3" s="8" t="s">
        <v>291</v>
      </c>
      <c r="AY3" s="8" t="s">
        <v>276</v>
      </c>
      <c r="AZ3" s="8" t="s">
        <v>292</v>
      </c>
      <c r="BA3" s="8" t="s">
        <v>276</v>
      </c>
      <c r="BB3" s="8" t="s">
        <v>293</v>
      </c>
      <c r="BC3" s="8" t="s">
        <v>276</v>
      </c>
      <c r="BD3" s="8" t="s">
        <v>294</v>
      </c>
      <c r="BE3" s="8" t="s">
        <v>276</v>
      </c>
      <c r="BF3" s="8" t="s">
        <v>295</v>
      </c>
      <c r="BG3" s="8" t="s">
        <v>276</v>
      </c>
      <c r="BH3" s="8" t="s">
        <v>296</v>
      </c>
      <c r="BI3" s="8" t="s">
        <v>276</v>
      </c>
      <c r="BJ3" s="8" t="s">
        <v>595</v>
      </c>
      <c r="BK3" s="8" t="s">
        <v>276</v>
      </c>
      <c r="BL3" s="8" t="s">
        <v>596</v>
      </c>
      <c r="BM3" s="8" t="s">
        <v>276</v>
      </c>
      <c r="BN3" s="8" t="s">
        <v>597</v>
      </c>
      <c r="BO3" s="8" t="s">
        <v>276</v>
      </c>
      <c r="BP3" s="8" t="s">
        <v>598</v>
      </c>
      <c r="BQ3" s="8" t="s">
        <v>276</v>
      </c>
      <c r="BR3" s="8" t="s">
        <v>599</v>
      </c>
      <c r="BS3" s="8" t="s">
        <v>276</v>
      </c>
      <c r="BT3" s="8" t="s">
        <v>600</v>
      </c>
      <c r="BU3" s="8" t="s">
        <v>276</v>
      </c>
      <c r="BV3" s="8" t="s">
        <v>601</v>
      </c>
      <c r="BW3" s="8" t="s">
        <v>276</v>
      </c>
      <c r="BX3" s="8" t="s">
        <v>602</v>
      </c>
      <c r="BY3" s="8" t="s">
        <v>276</v>
      </c>
      <c r="BZ3" s="8" t="s">
        <v>603</v>
      </c>
      <c r="CA3" s="8" t="s">
        <v>276</v>
      </c>
      <c r="CB3" s="8" t="s">
        <v>604</v>
      </c>
      <c r="CC3" s="8" t="s">
        <v>276</v>
      </c>
      <c r="CD3" s="8" t="s">
        <v>605</v>
      </c>
      <c r="CE3" s="8" t="s">
        <v>276</v>
      </c>
      <c r="CF3" s="8" t="s">
        <v>276</v>
      </c>
      <c r="CG3" s="8" t="s">
        <v>276</v>
      </c>
      <c r="CH3" s="8" t="s">
        <v>276</v>
      </c>
      <c r="CI3" s="8" t="s">
        <v>276</v>
      </c>
      <c r="CJ3" s="8" t="s">
        <v>276</v>
      </c>
      <c r="CK3" s="8" t="s">
        <v>276</v>
      </c>
      <c r="CL3" s="8" t="s">
        <v>276</v>
      </c>
      <c r="CM3" s="8" t="s">
        <v>276</v>
      </c>
      <c r="CN3" s="8" t="s">
        <v>276</v>
      </c>
    </row>
    <row r="4" spans="1:92" x14ac:dyDescent="0.2">
      <c r="A4" s="6" t="s">
        <v>189</v>
      </c>
      <c r="B4" s="8" t="s">
        <v>606</v>
      </c>
      <c r="D4" s="8" t="s">
        <v>607</v>
      </c>
      <c r="F4" s="8" t="s">
        <v>608</v>
      </c>
      <c r="H4" s="8" t="s">
        <v>609</v>
      </c>
      <c r="J4" s="8" t="s">
        <v>610</v>
      </c>
      <c r="L4" s="8" t="s">
        <v>611</v>
      </c>
      <c r="N4" s="8" t="s">
        <v>612</v>
      </c>
      <c r="P4" s="8" t="s">
        <v>613</v>
      </c>
      <c r="R4" s="8" t="s">
        <v>614</v>
      </c>
      <c r="T4" s="8" t="s">
        <v>615</v>
      </c>
      <c r="V4" s="8" t="s">
        <v>616</v>
      </c>
      <c r="X4" s="8" t="s">
        <v>617</v>
      </c>
      <c r="Z4" s="8" t="s">
        <v>618</v>
      </c>
      <c r="AB4" s="8" t="s">
        <v>619</v>
      </c>
      <c r="AD4" s="8" t="s">
        <v>620</v>
      </c>
      <c r="AF4" s="8" t="s">
        <v>621</v>
      </c>
      <c r="AH4" s="8" t="s">
        <v>622</v>
      </c>
      <c r="AJ4" s="8" t="s">
        <v>623</v>
      </c>
      <c r="AL4" s="8" t="s">
        <v>624</v>
      </c>
      <c r="AN4" s="8" t="s">
        <v>625</v>
      </c>
      <c r="AP4" s="8" t="s">
        <v>626</v>
      </c>
      <c r="AR4" s="8" t="s">
        <v>627</v>
      </c>
      <c r="AT4" s="8" t="s">
        <v>628</v>
      </c>
      <c r="AV4" s="8" t="s">
        <v>629</v>
      </c>
      <c r="AX4" s="8" t="s">
        <v>630</v>
      </c>
      <c r="AZ4" s="8" t="s">
        <v>631</v>
      </c>
      <c r="BB4" s="8" t="s">
        <v>632</v>
      </c>
      <c r="BD4" s="8" t="s">
        <v>633</v>
      </c>
      <c r="BF4" s="8" t="s">
        <v>634</v>
      </c>
      <c r="BH4" s="8" t="s">
        <v>635</v>
      </c>
      <c r="BJ4" s="8" t="s">
        <v>636</v>
      </c>
      <c r="BL4" s="8" t="s">
        <v>637</v>
      </c>
      <c r="BN4" s="8" t="s">
        <v>638</v>
      </c>
      <c r="BP4" s="8" t="s">
        <v>639</v>
      </c>
      <c r="BR4" s="8" t="s">
        <v>640</v>
      </c>
      <c r="BT4" s="8" t="s">
        <v>641</v>
      </c>
      <c r="BV4" s="8" t="s">
        <v>642</v>
      </c>
      <c r="BX4" s="8" t="s">
        <v>643</v>
      </c>
      <c r="BZ4" s="8" t="s">
        <v>644</v>
      </c>
      <c r="CB4" s="8" t="s">
        <v>645</v>
      </c>
      <c r="CD4" s="8" t="s">
        <v>646</v>
      </c>
    </row>
    <row r="5" spans="1:92" x14ac:dyDescent="0.2">
      <c r="A5" s="6" t="s">
        <v>201</v>
      </c>
      <c r="B5" s="8" t="s">
        <v>647</v>
      </c>
      <c r="D5" s="8" t="s">
        <v>648</v>
      </c>
      <c r="F5" s="8" t="s">
        <v>649</v>
      </c>
      <c r="H5" s="8" t="s">
        <v>650</v>
      </c>
      <c r="J5" s="8" t="s">
        <v>651</v>
      </c>
      <c r="L5" s="8" t="s">
        <v>652</v>
      </c>
      <c r="N5" s="8" t="s">
        <v>653</v>
      </c>
      <c r="P5" s="8" t="s">
        <v>654</v>
      </c>
      <c r="R5" s="8" t="s">
        <v>655</v>
      </c>
      <c r="T5" s="8" t="s">
        <v>656</v>
      </c>
      <c r="V5" s="8" t="s">
        <v>657</v>
      </c>
      <c r="X5" s="8" t="s">
        <v>658</v>
      </c>
      <c r="Z5" s="8" t="s">
        <v>659</v>
      </c>
      <c r="AB5" s="8" t="s">
        <v>660</v>
      </c>
      <c r="AD5" s="8" t="s">
        <v>661</v>
      </c>
      <c r="AF5" s="8" t="s">
        <v>662</v>
      </c>
      <c r="AH5" s="8" t="s">
        <v>663</v>
      </c>
      <c r="AJ5" s="8" t="s">
        <v>664</v>
      </c>
      <c r="AL5" s="8" t="s">
        <v>665</v>
      </c>
      <c r="AN5" s="8" t="s">
        <v>666</v>
      </c>
      <c r="AP5" s="8" t="s">
        <v>667</v>
      </c>
      <c r="AR5" s="8" t="s">
        <v>668</v>
      </c>
      <c r="AT5" s="8" t="s">
        <v>669</v>
      </c>
      <c r="AV5" s="8" t="s">
        <v>670</v>
      </c>
      <c r="AX5" s="8" t="s">
        <v>671</v>
      </c>
      <c r="AZ5" s="8" t="s">
        <v>672</v>
      </c>
      <c r="BB5" s="8" t="s">
        <v>673</v>
      </c>
      <c r="BD5" s="8" t="s">
        <v>674</v>
      </c>
      <c r="BF5" s="8" t="s">
        <v>675</v>
      </c>
      <c r="BH5" s="8" t="s">
        <v>676</v>
      </c>
      <c r="BJ5" s="8" t="s">
        <v>677</v>
      </c>
      <c r="BL5" s="8" t="s">
        <v>678</v>
      </c>
      <c r="BN5" s="8" t="s">
        <v>679</v>
      </c>
      <c r="BP5" s="8" t="s">
        <v>680</v>
      </c>
      <c r="BR5" s="8" t="s">
        <v>681</v>
      </c>
      <c r="BT5" s="8" t="s">
        <v>682</v>
      </c>
      <c r="BV5" s="8" t="s">
        <v>683</v>
      </c>
      <c r="BX5" s="8" t="s">
        <v>684</v>
      </c>
      <c r="BZ5" s="8" t="s">
        <v>685</v>
      </c>
      <c r="CB5" s="8" t="s">
        <v>686</v>
      </c>
      <c r="CD5" s="8" t="s">
        <v>687</v>
      </c>
    </row>
    <row r="6" spans="1:92" x14ac:dyDescent="0.2">
      <c r="A6" s="6" t="s">
        <v>178</v>
      </c>
      <c r="B6" s="8" t="s">
        <v>688</v>
      </c>
      <c r="D6" s="8" t="s">
        <v>689</v>
      </c>
      <c r="F6" s="8" t="s">
        <v>690</v>
      </c>
      <c r="H6" s="8" t="s">
        <v>691</v>
      </c>
      <c r="J6" s="8" t="s">
        <v>692</v>
      </c>
      <c r="L6" s="8" t="s">
        <v>693</v>
      </c>
      <c r="N6" s="8" t="s">
        <v>694</v>
      </c>
      <c r="P6" s="8" t="s">
        <v>695</v>
      </c>
      <c r="R6" s="8" t="s">
        <v>696</v>
      </c>
      <c r="T6" s="8" t="s">
        <v>697</v>
      </c>
      <c r="V6" s="8" t="s">
        <v>698</v>
      </c>
      <c r="X6" s="8" t="s">
        <v>699</v>
      </c>
      <c r="Z6" s="8" t="s">
        <v>700</v>
      </c>
      <c r="AB6" s="8" t="s">
        <v>701</v>
      </c>
      <c r="AD6" s="8" t="s">
        <v>702</v>
      </c>
      <c r="AF6" s="8" t="s">
        <v>703</v>
      </c>
      <c r="AH6" s="8" t="s">
        <v>704</v>
      </c>
      <c r="AJ6" s="8" t="s">
        <v>705</v>
      </c>
      <c r="AL6" s="8" t="s">
        <v>706</v>
      </c>
      <c r="AN6" s="8" t="s">
        <v>707</v>
      </c>
      <c r="AP6" s="8" t="s">
        <v>708</v>
      </c>
      <c r="AR6" s="8" t="s">
        <v>709</v>
      </c>
      <c r="AT6" s="8" t="s">
        <v>710</v>
      </c>
      <c r="AV6" s="8" t="s">
        <v>711</v>
      </c>
      <c r="AX6" s="8" t="s">
        <v>712</v>
      </c>
      <c r="AZ6" s="8" t="s">
        <v>713</v>
      </c>
      <c r="BB6" s="8" t="s">
        <v>714</v>
      </c>
      <c r="BD6" s="8" t="s">
        <v>715</v>
      </c>
      <c r="BF6" s="8" t="s">
        <v>716</v>
      </c>
      <c r="BH6" s="8" t="s">
        <v>717</v>
      </c>
      <c r="BJ6" s="8" t="s">
        <v>718</v>
      </c>
      <c r="BL6" s="8" t="s">
        <v>719</v>
      </c>
      <c r="BN6" s="8" t="s">
        <v>720</v>
      </c>
      <c r="BP6" s="8" t="s">
        <v>721</v>
      </c>
      <c r="BR6" s="8" t="s">
        <v>722</v>
      </c>
      <c r="BT6" s="8" t="s">
        <v>723</v>
      </c>
      <c r="BV6" s="8" t="s">
        <v>724</v>
      </c>
      <c r="BX6" s="8" t="s">
        <v>725</v>
      </c>
      <c r="BZ6" s="8" t="s">
        <v>726</v>
      </c>
      <c r="CB6" s="8" t="s">
        <v>727</v>
      </c>
      <c r="CD6" s="8" t="s">
        <v>728</v>
      </c>
    </row>
    <row r="7" spans="1:92" x14ac:dyDescent="0.2">
      <c r="A7" s="6" t="s">
        <v>190</v>
      </c>
      <c r="B7" s="8" t="s">
        <v>729</v>
      </c>
      <c r="D7" s="8" t="s">
        <v>730</v>
      </c>
      <c r="F7" s="8" t="s">
        <v>731</v>
      </c>
      <c r="H7" s="8" t="s">
        <v>732</v>
      </c>
      <c r="J7" s="8" t="s">
        <v>733</v>
      </c>
      <c r="P7" s="8" t="s">
        <v>734</v>
      </c>
      <c r="T7" s="8" t="s">
        <v>735</v>
      </c>
      <c r="V7" s="8" t="s">
        <v>736</v>
      </c>
      <c r="X7" s="8" t="s">
        <v>737</v>
      </c>
      <c r="AB7" s="8" t="s">
        <v>738</v>
      </c>
      <c r="AF7" s="8" t="s">
        <v>739</v>
      </c>
      <c r="AH7" s="8" t="s">
        <v>740</v>
      </c>
      <c r="AJ7" s="8" t="s">
        <v>741</v>
      </c>
      <c r="AN7" s="8" t="s">
        <v>742</v>
      </c>
      <c r="AP7" s="8" t="s">
        <v>743</v>
      </c>
      <c r="AR7" s="8" t="s">
        <v>744</v>
      </c>
      <c r="AT7" s="8" t="s">
        <v>745</v>
      </c>
      <c r="AV7" s="8" t="s">
        <v>746</v>
      </c>
      <c r="AX7" s="8" t="s">
        <v>747</v>
      </c>
      <c r="AZ7" s="8" t="s">
        <v>748</v>
      </c>
      <c r="BB7" s="8" t="s">
        <v>749</v>
      </c>
      <c r="BD7" s="8" t="s">
        <v>750</v>
      </c>
      <c r="BF7" s="8" t="s">
        <v>751</v>
      </c>
      <c r="BH7" s="8" t="s">
        <v>752</v>
      </c>
      <c r="BJ7" s="8" t="s">
        <v>753</v>
      </c>
      <c r="BL7" s="8" t="s">
        <v>754</v>
      </c>
      <c r="BP7" s="8" t="s">
        <v>755</v>
      </c>
      <c r="BR7" s="8" t="s">
        <v>756</v>
      </c>
      <c r="BT7" s="8" t="s">
        <v>757</v>
      </c>
      <c r="BV7" s="8" t="s">
        <v>758</v>
      </c>
      <c r="BX7" s="8" t="s">
        <v>759</v>
      </c>
      <c r="BZ7" s="8" t="s">
        <v>760</v>
      </c>
      <c r="CB7" s="8" t="s">
        <v>761</v>
      </c>
      <c r="CD7" s="8" t="s">
        <v>762</v>
      </c>
    </row>
    <row r="8" spans="1:92" x14ac:dyDescent="0.2">
      <c r="A8" s="6" t="s">
        <v>202</v>
      </c>
      <c r="B8" s="8" t="s">
        <v>763</v>
      </c>
      <c r="D8" s="8" t="s">
        <v>764</v>
      </c>
      <c r="H8" s="8" t="s">
        <v>765</v>
      </c>
      <c r="P8" s="8" t="s">
        <v>766</v>
      </c>
      <c r="T8" s="8" t="s">
        <v>767</v>
      </c>
      <c r="V8" s="8" t="s">
        <v>768</v>
      </c>
      <c r="X8" s="8" t="s">
        <v>769</v>
      </c>
      <c r="AF8" s="8" t="s">
        <v>770</v>
      </c>
      <c r="AH8" s="8" t="s">
        <v>771</v>
      </c>
      <c r="AJ8" s="8" t="s">
        <v>772</v>
      </c>
      <c r="AN8" s="8" t="s">
        <v>773</v>
      </c>
      <c r="AP8" s="8" t="s">
        <v>774</v>
      </c>
      <c r="AR8" s="8" t="s">
        <v>775</v>
      </c>
      <c r="AV8" s="8" t="s">
        <v>776</v>
      </c>
      <c r="AX8" s="8" t="s">
        <v>777</v>
      </c>
      <c r="AZ8" s="8" t="s">
        <v>778</v>
      </c>
      <c r="BB8" s="8" t="s">
        <v>779</v>
      </c>
      <c r="BD8" s="8" t="s">
        <v>780</v>
      </c>
      <c r="BF8" s="8" t="s">
        <v>781</v>
      </c>
      <c r="BH8" s="8" t="s">
        <v>782</v>
      </c>
      <c r="BJ8" s="8" t="s">
        <v>783</v>
      </c>
      <c r="BL8" s="8" t="s">
        <v>784</v>
      </c>
      <c r="BP8" s="8" t="s">
        <v>785</v>
      </c>
      <c r="BR8" s="8" t="s">
        <v>786</v>
      </c>
      <c r="BV8" s="8" t="s">
        <v>787</v>
      </c>
      <c r="BZ8" s="8" t="s">
        <v>788</v>
      </c>
      <c r="CB8" s="8" t="s">
        <v>789</v>
      </c>
    </row>
    <row r="9" spans="1:92" x14ac:dyDescent="0.2">
      <c r="A9" s="6" t="s">
        <v>209</v>
      </c>
      <c r="B9" s="8" t="s">
        <v>790</v>
      </c>
      <c r="D9" s="8" t="s">
        <v>791</v>
      </c>
      <c r="H9" s="8" t="s">
        <v>792</v>
      </c>
      <c r="T9" s="8" t="s">
        <v>793</v>
      </c>
      <c r="V9" s="8" t="s">
        <v>794</v>
      </c>
      <c r="X9" s="8" t="s">
        <v>795</v>
      </c>
      <c r="AH9" s="8" t="s">
        <v>796</v>
      </c>
      <c r="AJ9" s="8" t="s">
        <v>797</v>
      </c>
      <c r="AN9" s="8" t="s">
        <v>798</v>
      </c>
      <c r="AP9" s="8" t="s">
        <v>799</v>
      </c>
      <c r="AV9" s="8" t="s">
        <v>800</v>
      </c>
      <c r="AZ9" s="8" t="s">
        <v>801</v>
      </c>
      <c r="BD9" s="8" t="s">
        <v>802</v>
      </c>
      <c r="BF9" s="8" t="s">
        <v>803</v>
      </c>
      <c r="BH9" s="8" t="s">
        <v>804</v>
      </c>
      <c r="BJ9" s="8" t="s">
        <v>805</v>
      </c>
      <c r="BL9" s="8" t="s">
        <v>806</v>
      </c>
      <c r="BP9" s="8" t="s">
        <v>807</v>
      </c>
      <c r="BR9" s="8" t="s">
        <v>808</v>
      </c>
      <c r="BV9" s="8" t="s">
        <v>809</v>
      </c>
      <c r="CB9" s="8" t="s">
        <v>810</v>
      </c>
    </row>
    <row r="10" spans="1:92" x14ac:dyDescent="0.2">
      <c r="A10" s="6" t="s">
        <v>179</v>
      </c>
      <c r="B10" s="8" t="s">
        <v>811</v>
      </c>
      <c r="H10" s="8" t="s">
        <v>812</v>
      </c>
      <c r="V10" s="8" t="s">
        <v>813</v>
      </c>
      <c r="AH10" s="8" t="s">
        <v>814</v>
      </c>
      <c r="AJ10" s="8" t="s">
        <v>815</v>
      </c>
      <c r="AN10" s="8" t="s">
        <v>816</v>
      </c>
      <c r="AV10" s="8" t="s">
        <v>817</v>
      </c>
      <c r="BD10" s="8" t="s">
        <v>818</v>
      </c>
      <c r="BF10" s="8" t="s">
        <v>819</v>
      </c>
      <c r="BH10" s="8" t="s">
        <v>820</v>
      </c>
      <c r="BJ10" s="8" t="s">
        <v>821</v>
      </c>
      <c r="BL10" s="8" t="s">
        <v>822</v>
      </c>
      <c r="BP10" s="8" t="s">
        <v>823</v>
      </c>
      <c r="BR10" s="8" t="s">
        <v>824</v>
      </c>
      <c r="BV10" s="8" t="s">
        <v>825</v>
      </c>
      <c r="CB10" s="8" t="s">
        <v>826</v>
      </c>
    </row>
    <row r="11" spans="1:92" x14ac:dyDescent="0.2">
      <c r="A11" s="6" t="s">
        <v>191</v>
      </c>
      <c r="B11" s="8" t="s">
        <v>827</v>
      </c>
      <c r="H11" s="8" t="s">
        <v>828</v>
      </c>
      <c r="V11" s="8" t="s">
        <v>829</v>
      </c>
      <c r="AH11" s="8" t="s">
        <v>830</v>
      </c>
      <c r="AJ11" s="8" t="s">
        <v>831</v>
      </c>
      <c r="AN11" s="8" t="s">
        <v>832</v>
      </c>
      <c r="AV11" s="8" t="s">
        <v>833</v>
      </c>
      <c r="BD11" s="8" t="s">
        <v>834</v>
      </c>
      <c r="BF11" s="8" t="s">
        <v>835</v>
      </c>
      <c r="BH11" s="8" t="s">
        <v>836</v>
      </c>
      <c r="BL11" s="8" t="s">
        <v>837</v>
      </c>
      <c r="BR11" s="8" t="s">
        <v>838</v>
      </c>
      <c r="BV11" s="8" t="s">
        <v>839</v>
      </c>
      <c r="CB11" s="8" t="s">
        <v>840</v>
      </c>
    </row>
    <row r="12" spans="1:92" x14ac:dyDescent="0.2">
      <c r="A12" s="6" t="s">
        <v>203</v>
      </c>
      <c r="B12" s="8" t="s">
        <v>841</v>
      </c>
      <c r="H12" s="8" t="s">
        <v>842</v>
      </c>
      <c r="AH12" s="8" t="s">
        <v>843</v>
      </c>
      <c r="AJ12" s="8" t="s">
        <v>844</v>
      </c>
      <c r="AN12" s="8" t="s">
        <v>845</v>
      </c>
      <c r="BD12" s="8" t="s">
        <v>846</v>
      </c>
      <c r="BH12" s="8" t="s">
        <v>847</v>
      </c>
      <c r="BR12" s="8" t="s">
        <v>848</v>
      </c>
    </row>
    <row r="13" spans="1:92" x14ac:dyDescent="0.2">
      <c r="A13" s="6" t="s">
        <v>210</v>
      </c>
      <c r="B13" s="8" t="s">
        <v>849</v>
      </c>
      <c r="AH13" s="8" t="s">
        <v>850</v>
      </c>
      <c r="AJ13" s="8" t="s">
        <v>851</v>
      </c>
      <c r="AN13" s="8" t="s">
        <v>852</v>
      </c>
      <c r="BH13" s="8" t="s">
        <v>853</v>
      </c>
    </row>
    <row r="14" spans="1:92" x14ac:dyDescent="0.2">
      <c r="A14" s="6" t="s">
        <v>214</v>
      </c>
      <c r="B14" s="8" t="s">
        <v>854</v>
      </c>
      <c r="AN14" s="8" t="s">
        <v>855</v>
      </c>
      <c r="BH14" s="8" t="s">
        <v>856</v>
      </c>
    </row>
    <row r="15" spans="1:92" x14ac:dyDescent="0.2">
      <c r="A15" s="6" t="s">
        <v>218</v>
      </c>
      <c r="B15" s="8" t="s">
        <v>857</v>
      </c>
      <c r="AN15" s="8" t="s">
        <v>858</v>
      </c>
    </row>
    <row r="16" spans="1:92" x14ac:dyDescent="0.2">
      <c r="A16" s="6" t="s">
        <v>222</v>
      </c>
      <c r="B16" s="8" t="s">
        <v>859</v>
      </c>
      <c r="AN16" s="8" t="s">
        <v>860</v>
      </c>
    </row>
    <row r="17" spans="1:92" x14ac:dyDescent="0.2">
      <c r="A17" s="6" t="s">
        <v>226</v>
      </c>
      <c r="B17" s="8" t="s">
        <v>861</v>
      </c>
      <c r="AN17" s="8" t="s">
        <v>862</v>
      </c>
    </row>
    <row r="18" spans="1:92" x14ac:dyDescent="0.2">
      <c r="A18" s="6" t="s">
        <v>180</v>
      </c>
      <c r="B18" s="8" t="s">
        <v>863</v>
      </c>
    </row>
    <row r="19" spans="1:92" x14ac:dyDescent="0.2">
      <c r="A19" s="6" t="s">
        <v>192</v>
      </c>
      <c r="B19" s="8" t="s">
        <v>864</v>
      </c>
    </row>
    <row r="20" spans="1:92" x14ac:dyDescent="0.2">
      <c r="A20" s="6" t="s">
        <v>204</v>
      </c>
      <c r="B20" s="8" t="s">
        <v>865</v>
      </c>
    </row>
    <row r="21" spans="1:92" x14ac:dyDescent="0.2">
      <c r="A21" s="6" t="s">
        <v>211</v>
      </c>
      <c r="B21" s="8" t="s">
        <v>866</v>
      </c>
    </row>
    <row r="22" spans="1:92" x14ac:dyDescent="0.2">
      <c r="A22" s="6" t="s">
        <v>215</v>
      </c>
      <c r="B22" s="8" t="s">
        <v>867</v>
      </c>
    </row>
    <row r="23" spans="1:92" x14ac:dyDescent="0.2">
      <c r="A23" s="6" t="s">
        <v>219</v>
      </c>
      <c r="B23" s="8" t="s">
        <v>868</v>
      </c>
    </row>
    <row r="24" spans="1:92" x14ac:dyDescent="0.2">
      <c r="A24" s="6" t="s">
        <v>223</v>
      </c>
      <c r="B24" s="8" t="s">
        <v>869</v>
      </c>
    </row>
    <row r="25" spans="1:92" x14ac:dyDescent="0.2">
      <c r="A25" s="6" t="s">
        <v>227</v>
      </c>
      <c r="B25" s="8" t="s">
        <v>870</v>
      </c>
    </row>
    <row r="26" spans="1:92" x14ac:dyDescent="0.2">
      <c r="A26" s="6" t="s">
        <v>230</v>
      </c>
      <c r="B26" s="8" t="s">
        <v>871</v>
      </c>
    </row>
    <row r="27" spans="1:92" x14ac:dyDescent="0.2">
      <c r="A27" s="6" t="s">
        <v>233</v>
      </c>
      <c r="B27" s="8" t="s">
        <v>872</v>
      </c>
    </row>
    <row r="28" spans="1:92" x14ac:dyDescent="0.2">
      <c r="A28" s="6" t="s">
        <v>234</v>
      </c>
      <c r="B28" s="8" t="s">
        <v>873</v>
      </c>
      <c r="T28" s="8">
        <f ca="1">T28:CD28=LOWER(T3)</f>
        <v>0</v>
      </c>
      <c r="U28" s="8" t="str">
        <f t="shared" ref="U28:CF28" si="0">LOWER(U3)</f>
        <v/>
      </c>
      <c r="CE28" s="8" t="str">
        <f t="shared" si="0"/>
        <v/>
      </c>
      <c r="CF28" s="8" t="str">
        <f t="shared" si="0"/>
        <v/>
      </c>
      <c r="CG28" s="8" t="str">
        <f t="shared" ref="CG28:CN28" si="1">LOWER(CG3)</f>
        <v/>
      </c>
      <c r="CH28" s="8" t="str">
        <f t="shared" si="1"/>
        <v/>
      </c>
      <c r="CI28" s="8" t="str">
        <f t="shared" si="1"/>
        <v/>
      </c>
      <c r="CJ28" s="8" t="str">
        <f t="shared" si="1"/>
        <v/>
      </c>
      <c r="CK28" s="8" t="str">
        <f t="shared" si="1"/>
        <v/>
      </c>
      <c r="CL28" s="8" t="str">
        <f t="shared" si="1"/>
        <v/>
      </c>
      <c r="CM28" s="8" t="str">
        <f t="shared" si="1"/>
        <v/>
      </c>
      <c r="CN28" s="8" t="str">
        <f t="shared" si="1"/>
        <v/>
      </c>
    </row>
    <row r="29" spans="1:92" x14ac:dyDescent="0.2">
      <c r="A29" s="6" t="s">
        <v>181</v>
      </c>
      <c r="B29" s="8" t="s">
        <v>874</v>
      </c>
    </row>
    <row r="30" spans="1:92" x14ac:dyDescent="0.2">
      <c r="A30" s="6" t="s">
        <v>193</v>
      </c>
      <c r="B30" s="8" t="s">
        <v>875</v>
      </c>
    </row>
    <row r="31" spans="1:92" x14ac:dyDescent="0.2">
      <c r="A31" s="6" t="s">
        <v>182</v>
      </c>
      <c r="B31" s="8" t="s">
        <v>876</v>
      </c>
    </row>
    <row r="32" spans="1:92" ht="21" x14ac:dyDescent="0.2">
      <c r="A32" s="6" t="s">
        <v>194</v>
      </c>
      <c r="B32" s="8" t="s">
        <v>877</v>
      </c>
    </row>
    <row r="33" spans="1:2" x14ac:dyDescent="0.2">
      <c r="A33" s="6" t="s">
        <v>183</v>
      </c>
      <c r="B33" s="8" t="s">
        <v>878</v>
      </c>
    </row>
    <row r="34" spans="1:2" x14ac:dyDescent="0.2">
      <c r="A34" s="6" t="s">
        <v>195</v>
      </c>
      <c r="B34" s="8" t="s">
        <v>879</v>
      </c>
    </row>
    <row r="35" spans="1:2" x14ac:dyDescent="0.2">
      <c r="A35" s="6" t="s">
        <v>184</v>
      </c>
      <c r="B35" s="8" t="s">
        <v>880</v>
      </c>
    </row>
    <row r="36" spans="1:2" x14ac:dyDescent="0.2">
      <c r="A36" s="6" t="s">
        <v>196</v>
      </c>
      <c r="B36" s="8" t="s">
        <v>881</v>
      </c>
    </row>
    <row r="37" spans="1:2" x14ac:dyDescent="0.2">
      <c r="A37" s="6" t="s">
        <v>205</v>
      </c>
      <c r="B37" s="8" t="s">
        <v>882</v>
      </c>
    </row>
    <row r="38" spans="1:2" x14ac:dyDescent="0.2">
      <c r="A38" s="6" t="s">
        <v>185</v>
      </c>
      <c r="B38" s="8" t="s">
        <v>883</v>
      </c>
    </row>
    <row r="39" spans="1:2" x14ac:dyDescent="0.2">
      <c r="A39" s="6" t="s">
        <v>197</v>
      </c>
      <c r="B39" s="8" t="s">
        <v>884</v>
      </c>
    </row>
    <row r="40" spans="1:2" x14ac:dyDescent="0.2">
      <c r="A40" s="6" t="s">
        <v>186</v>
      </c>
      <c r="B40" s="8" t="s">
        <v>885</v>
      </c>
    </row>
    <row r="41" spans="1:2" x14ac:dyDescent="0.2">
      <c r="A41" s="6" t="s">
        <v>198</v>
      </c>
      <c r="B41" s="8" t="s">
        <v>886</v>
      </c>
    </row>
    <row r="42" spans="1:2" x14ac:dyDescent="0.2">
      <c r="A42" s="6" t="s">
        <v>206</v>
      </c>
      <c r="B42" s="8" t="s">
        <v>887</v>
      </c>
    </row>
  </sheetData>
  <pageMargins left="0.7" right="0.7" top="0.75" bottom="0.75" header="0.3" footer="0.3"/>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160B95FC77AB240901E784A63C4D7BA" ma:contentTypeVersion="7" ma:contentTypeDescription="Crear nuevo documento." ma:contentTypeScope="" ma:versionID="b9cd298b38c0f32261144e57130fe239">
  <xsd:schema xmlns:xsd="http://www.w3.org/2001/XMLSchema" xmlns:xs="http://www.w3.org/2001/XMLSchema" xmlns:p="http://schemas.microsoft.com/office/2006/metadata/properties" xmlns:ns2="d78f5227-7a20-4fa5-b6b7-a3d37d0c5dd6" targetNamespace="http://schemas.microsoft.com/office/2006/metadata/properties" ma:root="true" ma:fieldsID="93e3283ee04e3de0bd3616a65f78ce9f" ns2:_="">
    <xsd:import namespace="d78f5227-7a20-4fa5-b6b7-a3d37d0c5dd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8f5227-7a20-4fa5-b6b7-a3d37d0c5d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62EBEE8-78E7-425A-A299-BEFD904DD7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8f5227-7a20-4fa5-b6b7-a3d37d0c5d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8F3B17-2257-41E5-99AB-43B25CC734E0}">
  <ds:schemaRefs>
    <ds:schemaRef ds:uri="http://schemas.microsoft.com/sharepoint/v3/contenttype/forms"/>
  </ds:schemaRefs>
</ds:datastoreItem>
</file>

<file path=customXml/itemProps3.xml><?xml version="1.0" encoding="utf-8"?>
<ds:datastoreItem xmlns:ds="http://schemas.openxmlformats.org/officeDocument/2006/customXml" ds:itemID="{59B36210-EFFC-4FD0-9B72-5A8E9252FA6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64</vt:i4>
      </vt:variant>
    </vt:vector>
  </HeadingPairs>
  <TitlesOfParts>
    <vt:vector size="77" baseType="lpstr">
      <vt:lpstr>Velocimetro</vt:lpstr>
      <vt:lpstr>Termometro</vt:lpstr>
      <vt:lpstr>INICIO</vt:lpstr>
      <vt:lpstr>Hoja1 (2)</vt:lpstr>
      <vt:lpstr>Año 1</vt:lpstr>
      <vt:lpstr>Listas Nuevas</vt:lpstr>
      <vt:lpstr>Lista Antigua</vt:lpstr>
      <vt:lpstr>Resultado año 1</vt:lpstr>
      <vt:lpstr>Año 2</vt:lpstr>
      <vt:lpstr>Resultado año 2</vt:lpstr>
      <vt:lpstr>Consolidado Final</vt:lpstr>
      <vt:lpstr>Hoja3 (2)</vt:lpstr>
      <vt:lpstr> Hoja2</vt:lpstr>
      <vt:lpstr>caracteristicas</vt:lpstr>
      <vt:lpstr>Cumplimiento</vt:lpstr>
      <vt:lpstr>Escala_de_Ejecución</vt:lpstr>
      <vt:lpstr>Factor1</vt:lpstr>
      <vt:lpstr>Factor10</vt:lpstr>
      <vt:lpstr>Factor2</vt:lpstr>
      <vt:lpstr>Factor3</vt:lpstr>
      <vt:lpstr>Factor4</vt:lpstr>
      <vt:lpstr>Factor5</vt:lpstr>
      <vt:lpstr>Factor6</vt:lpstr>
      <vt:lpstr>Factor7</vt:lpstr>
      <vt:lpstr>Factor8</vt:lpstr>
      <vt:lpstr>Factor9</vt:lpstr>
      <vt:lpstr>Factores</vt:lpstr>
      <vt:lpstr>'Año 2'!MEDIO_DE_VERIFICACIÓN</vt:lpstr>
      <vt:lpstr>MEDIO_DE_VERIFICACIÓN</vt:lpstr>
      <vt:lpstr>'Año 2'!META</vt:lpstr>
      <vt:lpstr>META</vt:lpstr>
      <vt:lpstr>'Año 2'!NIVEL_DE_CUMPLIMENTO</vt:lpstr>
      <vt:lpstr>NIVEL_DE_CUMPLIMENTO</vt:lpstr>
      <vt:lpstr>'Año 2'!NIVEL_DE_CUMPLIMIENTO_DE_LA_META</vt:lpstr>
      <vt:lpstr>NIVEL_DE_CUMPLIMIENTO_DE_LA_META</vt:lpstr>
      <vt:lpstr>numero1</vt:lpstr>
      <vt:lpstr>numero10</vt:lpstr>
      <vt:lpstr>numero11</vt:lpstr>
      <vt:lpstr>numero12</vt:lpstr>
      <vt:lpstr>numero13</vt:lpstr>
      <vt:lpstr>numero14</vt:lpstr>
      <vt:lpstr>numero15</vt:lpstr>
      <vt:lpstr>numero16</vt:lpstr>
      <vt:lpstr>numero17</vt:lpstr>
      <vt:lpstr>numero18</vt:lpstr>
      <vt:lpstr>numero19</vt:lpstr>
      <vt:lpstr>numero2</vt:lpstr>
      <vt:lpstr>numero20</vt:lpstr>
      <vt:lpstr>numero21</vt:lpstr>
      <vt:lpstr>numero22</vt:lpstr>
      <vt:lpstr>numero23</vt:lpstr>
      <vt:lpstr>numero24</vt:lpstr>
      <vt:lpstr>numero25</vt:lpstr>
      <vt:lpstr>numero26</vt:lpstr>
      <vt:lpstr>numero27</vt:lpstr>
      <vt:lpstr>numero28</vt:lpstr>
      <vt:lpstr>numero29</vt:lpstr>
      <vt:lpstr>numero3</vt:lpstr>
      <vt:lpstr>numero30</vt:lpstr>
      <vt:lpstr>numero31</vt:lpstr>
      <vt:lpstr>numero32</vt:lpstr>
      <vt:lpstr>numero33</vt:lpstr>
      <vt:lpstr>numero34</vt:lpstr>
      <vt:lpstr>numero35</vt:lpstr>
      <vt:lpstr>numero36</vt:lpstr>
      <vt:lpstr>numero37</vt:lpstr>
      <vt:lpstr>numero38</vt:lpstr>
      <vt:lpstr>numero39</vt:lpstr>
      <vt:lpstr>numero4</vt:lpstr>
      <vt:lpstr>numero40</vt:lpstr>
      <vt:lpstr>numero5</vt:lpstr>
      <vt:lpstr>numero6</vt:lpstr>
      <vt:lpstr>numero7</vt:lpstr>
      <vt:lpstr>numero8</vt:lpstr>
      <vt:lpstr>numero9</vt:lpstr>
      <vt:lpstr>'Año 2'!RECURSO</vt:lpstr>
      <vt:lpstr>RECURSO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ASISTENTE CALIDAD</cp:lastModifiedBy>
  <cp:revision/>
  <dcterms:created xsi:type="dcterms:W3CDTF">2018-08-31T22:01:43Z</dcterms:created>
  <dcterms:modified xsi:type="dcterms:W3CDTF">2023-10-25T16:20:06Z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0x0101007160B95FC77AB240901E784A63C4D7BA</vt:lpwstr>
  </property>
</Properties>
</file>