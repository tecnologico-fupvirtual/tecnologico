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ORD.CALIDAD\OneDrive - Fundación Universitaria de Popayán\COORDINACIÓN CALIDAD - FUP\DOC-SGC-FUP\HERRAMIENTA  ISO CALIDAD 3\1.2 Gestión Curricular\FO\"/>
    </mc:Choice>
  </mc:AlternateContent>
  <bookViews>
    <workbookView xWindow="0" yWindow="0" windowWidth="19160" windowHeight="7010" tabRatio="743"/>
  </bookViews>
  <sheets>
    <sheet name="CORTE 1 G1" sheetId="1" r:id="rId1"/>
    <sheet name="CORTE 2 REAL" sheetId="6" r:id="rId2"/>
    <sheet name="CORTE 2 G1" sheetId="4" state="hidden" r:id="rId3"/>
    <sheet name="CORTE 3 G1" sheetId="5" state="hidden" r:id="rId4"/>
    <sheet name="PERSONAL" sheetId="3" state="hidden" r:id="rId5"/>
    <sheet name="CORTE 3 REAL" sheetId="7" r:id="rId6"/>
    <sheet name="Resumen Ind" sheetId="8" r:id="rId7"/>
    <sheet name="Resumen Gral" sheetId="2" r:id="rId8"/>
  </sheets>
  <definedNames>
    <definedName name="_xlnm._FilterDatabase" localSheetId="0" hidden="1">'CORTE 1 G1'!$E$14:$E$63</definedName>
    <definedName name="_xlnm._FilterDatabase" localSheetId="1" hidden="1">'CORTE 2 REAL'!$E$14:$E$65</definedName>
    <definedName name="_xlnm._FilterDatabase" localSheetId="5" hidden="1">'CORTE 3 REAL'!$E$14:$E$65</definedName>
    <definedName name="_xlnm.Print_Area" localSheetId="1">'CORTE 2 REAL'!$A$1:$W$81</definedName>
    <definedName name="_xlnm.Print_Area" localSheetId="6">'Resumen Ind'!$A$1:$O$26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5" i="6" l="1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K12" i="8"/>
  <c r="I12" i="8"/>
  <c r="E12" i="8"/>
  <c r="C12" i="8"/>
  <c r="D12" i="8" s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B64" i="7" l="1"/>
  <c r="B65" i="7"/>
  <c r="L64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B47" i="7" l="1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B59" i="6"/>
  <c r="B60" i="6"/>
  <c r="B61" i="6"/>
  <c r="B62" i="6"/>
  <c r="B63" i="6"/>
  <c r="B64" i="6"/>
  <c r="A59" i="6"/>
  <c r="A60" i="6"/>
  <c r="A61" i="6"/>
  <c r="A62" i="6"/>
  <c r="A63" i="6"/>
  <c r="A64" i="6"/>
  <c r="A65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65" i="6"/>
  <c r="A47" i="6"/>
  <c r="A48" i="6"/>
  <c r="A49" i="6"/>
  <c r="A50" i="6"/>
  <c r="A51" i="6"/>
  <c r="A52" i="6"/>
  <c r="A53" i="6"/>
  <c r="A54" i="6"/>
  <c r="A55" i="6"/>
  <c r="A56" i="6"/>
  <c r="A57" i="6"/>
  <c r="A58" i="6"/>
  <c r="F63" i="1"/>
  <c r="L63" i="1"/>
  <c r="M63" i="1" s="1"/>
  <c r="O63" i="1"/>
  <c r="Q63" i="1"/>
  <c r="F47" i="1"/>
  <c r="L47" i="1"/>
  <c r="M47" i="1" s="1"/>
  <c r="O47" i="1"/>
  <c r="Q47" i="1"/>
  <c r="F48" i="1"/>
  <c r="L48" i="1"/>
  <c r="M48" i="1" s="1"/>
  <c r="O48" i="1"/>
  <c r="Q48" i="1"/>
  <c r="F49" i="1"/>
  <c r="L49" i="1"/>
  <c r="M49" i="1" s="1"/>
  <c r="O49" i="1"/>
  <c r="Q49" i="1"/>
  <c r="F50" i="1"/>
  <c r="L50" i="1"/>
  <c r="M50" i="1" s="1"/>
  <c r="O50" i="1"/>
  <c r="Q50" i="1"/>
  <c r="F51" i="1"/>
  <c r="L51" i="1"/>
  <c r="M51" i="1" s="1"/>
  <c r="O51" i="1"/>
  <c r="Q51" i="1"/>
  <c r="F52" i="1"/>
  <c r="L52" i="1"/>
  <c r="M52" i="1" s="1"/>
  <c r="O52" i="1"/>
  <c r="Q52" i="1"/>
  <c r="F53" i="1"/>
  <c r="L53" i="1"/>
  <c r="M53" i="1" s="1"/>
  <c r="O53" i="1"/>
  <c r="Q53" i="1"/>
  <c r="F54" i="1"/>
  <c r="L54" i="1"/>
  <c r="M54" i="1" s="1"/>
  <c r="O54" i="1"/>
  <c r="Q54" i="1"/>
  <c r="F55" i="1"/>
  <c r="L55" i="1"/>
  <c r="M55" i="1" s="1"/>
  <c r="O55" i="1"/>
  <c r="Q55" i="1"/>
  <c r="F56" i="1"/>
  <c r="L56" i="1"/>
  <c r="M56" i="1" s="1"/>
  <c r="O56" i="1"/>
  <c r="Q56" i="1"/>
  <c r="F57" i="1"/>
  <c r="L57" i="1"/>
  <c r="M57" i="1" s="1"/>
  <c r="O57" i="1"/>
  <c r="Q57" i="1"/>
  <c r="F58" i="1"/>
  <c r="L58" i="1"/>
  <c r="M58" i="1" s="1"/>
  <c r="O58" i="1"/>
  <c r="Q58" i="1"/>
  <c r="F59" i="1"/>
  <c r="L59" i="1"/>
  <c r="M59" i="1" s="1"/>
  <c r="O59" i="1"/>
  <c r="Q59" i="1"/>
  <c r="F60" i="1"/>
  <c r="L60" i="1"/>
  <c r="M60" i="1" s="1"/>
  <c r="O60" i="1"/>
  <c r="Q60" i="1"/>
  <c r="F61" i="1"/>
  <c r="L61" i="1"/>
  <c r="M61" i="1" s="1"/>
  <c r="O61" i="1"/>
  <c r="Q61" i="1"/>
  <c r="F62" i="1"/>
  <c r="L62" i="1"/>
  <c r="M62" i="1" s="1"/>
  <c r="O62" i="1"/>
  <c r="Q62" i="1"/>
  <c r="C66" i="1"/>
  <c r="C71" i="1" s="1"/>
  <c r="C67" i="1"/>
  <c r="C72" i="1" s="1"/>
  <c r="C68" i="1"/>
  <c r="C73" i="1" s="1"/>
  <c r="R63" i="1" l="1"/>
  <c r="T63" i="1" s="1"/>
  <c r="R62" i="1"/>
  <c r="T62" i="1" s="1"/>
  <c r="R58" i="1"/>
  <c r="T58" i="1" s="1"/>
  <c r="R54" i="1"/>
  <c r="T54" i="1" s="1"/>
  <c r="R50" i="1"/>
  <c r="T50" i="1" s="1"/>
  <c r="R59" i="1"/>
  <c r="T59" i="1" s="1"/>
  <c r="R55" i="1"/>
  <c r="T55" i="1" s="1"/>
  <c r="R51" i="1"/>
  <c r="T51" i="1" s="1"/>
  <c r="R47" i="1"/>
  <c r="T47" i="1" s="1"/>
  <c r="R60" i="1"/>
  <c r="T60" i="1" s="1"/>
  <c r="R56" i="1"/>
  <c r="T56" i="1" s="1"/>
  <c r="R52" i="1"/>
  <c r="T52" i="1" s="1"/>
  <c r="R48" i="1"/>
  <c r="T48" i="1" s="1"/>
  <c r="R61" i="1"/>
  <c r="T61" i="1" s="1"/>
  <c r="R57" i="1"/>
  <c r="T57" i="1" s="1"/>
  <c r="R53" i="1"/>
  <c r="T53" i="1" s="1"/>
  <c r="R49" i="1"/>
  <c r="T49" i="1" s="1"/>
  <c r="E6" i="6"/>
  <c r="E5" i="6"/>
  <c r="E4" i="6"/>
  <c r="P6" i="7"/>
  <c r="P4" i="7"/>
  <c r="E6" i="7"/>
  <c r="E5" i="7"/>
  <c r="E4" i="7"/>
  <c r="L65" i="7"/>
  <c r="L46" i="7"/>
  <c r="L45" i="7"/>
  <c r="L44" i="7"/>
  <c r="L43" i="7"/>
  <c r="L42" i="7"/>
  <c r="L41" i="7"/>
  <c r="L40" i="7"/>
  <c r="L39" i="7"/>
  <c r="L38" i="7"/>
  <c r="L37" i="7"/>
  <c r="L36" i="7"/>
  <c r="L35" i="7"/>
  <c r="L34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65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6" i="1"/>
  <c r="L17" i="1"/>
  <c r="L18" i="1"/>
  <c r="L19" i="1"/>
  <c r="L20" i="1"/>
  <c r="L21" i="1"/>
  <c r="L22" i="1"/>
  <c r="L23" i="1"/>
  <c r="L24" i="1"/>
  <c r="G12" i="8" s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15" i="1"/>
  <c r="O16" i="1" l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A8" i="8" l="1"/>
  <c r="E7" i="8"/>
  <c r="F12" i="8" l="1"/>
  <c r="P6" i="6" l="1"/>
  <c r="P4" i="6"/>
  <c r="Q8" i="7"/>
  <c r="O8" i="7"/>
  <c r="M8" i="7"/>
  <c r="F8" i="7"/>
  <c r="D8" i="7"/>
  <c r="Q8" i="6"/>
  <c r="O8" i="6"/>
  <c r="M8" i="6"/>
  <c r="F8" i="6"/>
  <c r="D8" i="6"/>
  <c r="D51" i="7" l="1"/>
  <c r="D64" i="7"/>
  <c r="D50" i="7"/>
  <c r="D58" i="7"/>
  <c r="D54" i="7"/>
  <c r="D49" i="7"/>
  <c r="D57" i="7"/>
  <c r="D63" i="7"/>
  <c r="D62" i="7"/>
  <c r="D52" i="7"/>
  <c r="D56" i="7"/>
  <c r="D48" i="7"/>
  <c r="D55" i="7"/>
  <c r="D53" i="7"/>
  <c r="D61" i="7"/>
  <c r="D60" i="7"/>
  <c r="D59" i="7"/>
  <c r="D47" i="7"/>
  <c r="M54" i="7"/>
  <c r="M47" i="7"/>
  <c r="M53" i="7"/>
  <c r="M61" i="7"/>
  <c r="M52" i="7"/>
  <c r="M60" i="7"/>
  <c r="M57" i="7"/>
  <c r="M56" i="7"/>
  <c r="M48" i="7"/>
  <c r="M55" i="7"/>
  <c r="M63" i="7"/>
  <c r="M62" i="7"/>
  <c r="M51" i="7"/>
  <c r="M59" i="7"/>
  <c r="M50" i="7"/>
  <c r="M58" i="7"/>
  <c r="M49" i="7"/>
  <c r="M64" i="7"/>
  <c r="D51" i="6"/>
  <c r="D55" i="6"/>
  <c r="D59" i="6"/>
  <c r="D63" i="6"/>
  <c r="D60" i="6"/>
  <c r="D48" i="6"/>
  <c r="D54" i="6"/>
  <c r="D58" i="6"/>
  <c r="D62" i="6"/>
  <c r="D49" i="6"/>
  <c r="D52" i="6"/>
  <c r="D56" i="6"/>
  <c r="D64" i="6"/>
  <c r="D50" i="6"/>
  <c r="D47" i="6"/>
  <c r="D53" i="6"/>
  <c r="D57" i="6"/>
  <c r="D61" i="6"/>
  <c r="Q50" i="6"/>
  <c r="Q54" i="6"/>
  <c r="Q58" i="6"/>
  <c r="Q62" i="6"/>
  <c r="Q47" i="6"/>
  <c r="Q53" i="6"/>
  <c r="Q57" i="6"/>
  <c r="Q61" i="6"/>
  <c r="Q49" i="6"/>
  <c r="Q52" i="6"/>
  <c r="Q56" i="6"/>
  <c r="Q60" i="6"/>
  <c r="Q64" i="6"/>
  <c r="Q48" i="6"/>
  <c r="Q51" i="6"/>
  <c r="Q55" i="6"/>
  <c r="Q59" i="6"/>
  <c r="Q63" i="6"/>
  <c r="F52" i="7"/>
  <c r="F51" i="7"/>
  <c r="F59" i="7"/>
  <c r="F48" i="7"/>
  <c r="F53" i="7"/>
  <c r="F60" i="7"/>
  <c r="F64" i="7"/>
  <c r="F50" i="7"/>
  <c r="F58" i="7"/>
  <c r="F54" i="7"/>
  <c r="F61" i="7"/>
  <c r="F49" i="7"/>
  <c r="F57" i="7"/>
  <c r="F56" i="7"/>
  <c r="F55" i="7"/>
  <c r="F63" i="7"/>
  <c r="F62" i="7"/>
  <c r="F47" i="7"/>
  <c r="O48" i="7"/>
  <c r="O55" i="7"/>
  <c r="O54" i="7"/>
  <c r="O62" i="7"/>
  <c r="O58" i="7"/>
  <c r="O63" i="7"/>
  <c r="O47" i="7"/>
  <c r="O53" i="7"/>
  <c r="O61" i="7"/>
  <c r="O50" i="7"/>
  <c r="O52" i="7"/>
  <c r="O60" i="7"/>
  <c r="O64" i="7"/>
  <c r="O51" i="7"/>
  <c r="O59" i="7"/>
  <c r="O49" i="7"/>
  <c r="O57" i="7"/>
  <c r="O56" i="7"/>
  <c r="F49" i="6"/>
  <c r="F52" i="6"/>
  <c r="F56" i="6"/>
  <c r="F60" i="6"/>
  <c r="F64" i="6"/>
  <c r="F51" i="6"/>
  <c r="F55" i="6"/>
  <c r="F59" i="6"/>
  <c r="F63" i="6"/>
  <c r="F48" i="6"/>
  <c r="F54" i="6"/>
  <c r="F58" i="6"/>
  <c r="F62" i="6"/>
  <c r="F50" i="6"/>
  <c r="F47" i="6"/>
  <c r="F53" i="6"/>
  <c r="F57" i="6"/>
  <c r="F61" i="6"/>
  <c r="Q56" i="7"/>
  <c r="Q48" i="7"/>
  <c r="Q55" i="7"/>
  <c r="Q63" i="7"/>
  <c r="Q58" i="7"/>
  <c r="Q54" i="7"/>
  <c r="Q62" i="7"/>
  <c r="Q50" i="7"/>
  <c r="Q49" i="7"/>
  <c r="Q57" i="7"/>
  <c r="Q47" i="7"/>
  <c r="Q53" i="7"/>
  <c r="Q61" i="7"/>
  <c r="Q52" i="7"/>
  <c r="Q60" i="7"/>
  <c r="Q51" i="7"/>
  <c r="Q59" i="7"/>
  <c r="Q64" i="7"/>
  <c r="M53" i="6"/>
  <c r="M57" i="6"/>
  <c r="M61" i="6"/>
  <c r="M52" i="6"/>
  <c r="M56" i="6"/>
  <c r="M60" i="6"/>
  <c r="M64" i="6"/>
  <c r="M51" i="6"/>
  <c r="M55" i="6"/>
  <c r="M59" i="6"/>
  <c r="M63" i="6"/>
  <c r="M54" i="6"/>
  <c r="M58" i="6"/>
  <c r="M62" i="6"/>
  <c r="M48" i="6"/>
  <c r="M50" i="6"/>
  <c r="M47" i="6"/>
  <c r="M49" i="6"/>
  <c r="O47" i="6"/>
  <c r="O53" i="6"/>
  <c r="O57" i="6"/>
  <c r="O61" i="6"/>
  <c r="O50" i="6"/>
  <c r="O54" i="6"/>
  <c r="O62" i="6"/>
  <c r="O49" i="6"/>
  <c r="O52" i="6"/>
  <c r="O56" i="6"/>
  <c r="O60" i="6"/>
  <c r="O64" i="6"/>
  <c r="O58" i="6"/>
  <c r="O48" i="6"/>
  <c r="O51" i="6"/>
  <c r="O55" i="6"/>
  <c r="O59" i="6"/>
  <c r="O63" i="6"/>
  <c r="K11" i="8"/>
  <c r="I11" i="8"/>
  <c r="G11" i="8"/>
  <c r="E11" i="8"/>
  <c r="C11" i="8"/>
  <c r="P71" i="7"/>
  <c r="N71" i="7"/>
  <c r="E71" i="7"/>
  <c r="C71" i="7"/>
  <c r="P70" i="7"/>
  <c r="N70" i="7"/>
  <c r="E70" i="7"/>
  <c r="C70" i="7"/>
  <c r="P69" i="7"/>
  <c r="N69" i="7"/>
  <c r="E69" i="7"/>
  <c r="C69" i="7"/>
  <c r="P68" i="7"/>
  <c r="N68" i="7"/>
  <c r="E68" i="7"/>
  <c r="C68" i="7"/>
  <c r="Q65" i="7"/>
  <c r="O65" i="7"/>
  <c r="M65" i="7"/>
  <c r="F65" i="7"/>
  <c r="D65" i="7"/>
  <c r="Q46" i="7"/>
  <c r="O46" i="7"/>
  <c r="M46" i="7"/>
  <c r="F46" i="7"/>
  <c r="D46" i="7"/>
  <c r="B46" i="7"/>
  <c r="A46" i="7"/>
  <c r="Q45" i="7"/>
  <c r="O45" i="7"/>
  <c r="M45" i="7"/>
  <c r="F45" i="7"/>
  <c r="D45" i="7"/>
  <c r="B45" i="7"/>
  <c r="A45" i="7"/>
  <c r="Q44" i="7"/>
  <c r="O44" i="7"/>
  <c r="M44" i="7"/>
  <c r="F44" i="7"/>
  <c r="D44" i="7"/>
  <c r="B44" i="7"/>
  <c r="A44" i="7"/>
  <c r="Q43" i="7"/>
  <c r="O43" i="7"/>
  <c r="M43" i="7"/>
  <c r="F43" i="7"/>
  <c r="D43" i="7"/>
  <c r="B43" i="7"/>
  <c r="A43" i="7"/>
  <c r="Q42" i="7"/>
  <c r="O42" i="7"/>
  <c r="M42" i="7"/>
  <c r="F42" i="7"/>
  <c r="D42" i="7"/>
  <c r="B42" i="7"/>
  <c r="A42" i="7"/>
  <c r="Q41" i="7"/>
  <c r="O41" i="7"/>
  <c r="M41" i="7"/>
  <c r="F41" i="7"/>
  <c r="D41" i="7"/>
  <c r="B41" i="7"/>
  <c r="A41" i="7"/>
  <c r="Q40" i="7"/>
  <c r="O40" i="7"/>
  <c r="M40" i="7"/>
  <c r="F40" i="7"/>
  <c r="D40" i="7"/>
  <c r="B40" i="7"/>
  <c r="A40" i="7"/>
  <c r="Q39" i="7"/>
  <c r="O39" i="7"/>
  <c r="M39" i="7"/>
  <c r="F39" i="7"/>
  <c r="D39" i="7"/>
  <c r="B39" i="7"/>
  <c r="A39" i="7"/>
  <c r="Q38" i="7"/>
  <c r="O38" i="7"/>
  <c r="M38" i="7"/>
  <c r="F38" i="7"/>
  <c r="D38" i="7"/>
  <c r="B38" i="7"/>
  <c r="A38" i="7"/>
  <c r="Q37" i="7"/>
  <c r="O37" i="7"/>
  <c r="M37" i="7"/>
  <c r="F37" i="7"/>
  <c r="D37" i="7"/>
  <c r="B37" i="7"/>
  <c r="A37" i="7"/>
  <c r="Q36" i="7"/>
  <c r="O36" i="7"/>
  <c r="M36" i="7"/>
  <c r="F36" i="7"/>
  <c r="D36" i="7"/>
  <c r="B36" i="7"/>
  <c r="A36" i="7"/>
  <c r="Q35" i="7"/>
  <c r="O35" i="7"/>
  <c r="M35" i="7"/>
  <c r="F35" i="7"/>
  <c r="D35" i="7"/>
  <c r="B35" i="7"/>
  <c r="A35" i="7"/>
  <c r="Q34" i="7"/>
  <c r="O34" i="7"/>
  <c r="M34" i="7"/>
  <c r="F34" i="7"/>
  <c r="D34" i="7"/>
  <c r="B34" i="7"/>
  <c r="A34" i="7"/>
  <c r="Q33" i="7"/>
  <c r="O33" i="7"/>
  <c r="M33" i="7"/>
  <c r="F33" i="7"/>
  <c r="D33" i="7"/>
  <c r="B33" i="7"/>
  <c r="A33" i="7"/>
  <c r="Q32" i="7"/>
  <c r="O32" i="7"/>
  <c r="M32" i="7"/>
  <c r="F32" i="7"/>
  <c r="D32" i="7"/>
  <c r="B32" i="7"/>
  <c r="A32" i="7"/>
  <c r="Q31" i="7"/>
  <c r="O31" i="7"/>
  <c r="M31" i="7"/>
  <c r="F31" i="7"/>
  <c r="D31" i="7"/>
  <c r="B31" i="7"/>
  <c r="A31" i="7"/>
  <c r="Q30" i="7"/>
  <c r="O30" i="7"/>
  <c r="M30" i="7"/>
  <c r="F30" i="7"/>
  <c r="D30" i="7"/>
  <c r="B30" i="7"/>
  <c r="A30" i="7"/>
  <c r="Q29" i="7"/>
  <c r="O29" i="7"/>
  <c r="M29" i="7"/>
  <c r="F29" i="7"/>
  <c r="D29" i="7"/>
  <c r="B29" i="7"/>
  <c r="A29" i="7"/>
  <c r="Q28" i="7"/>
  <c r="O28" i="7"/>
  <c r="M28" i="7"/>
  <c r="F28" i="7"/>
  <c r="D28" i="7"/>
  <c r="B28" i="7"/>
  <c r="A28" i="7"/>
  <c r="Q27" i="7"/>
  <c r="O27" i="7"/>
  <c r="M27" i="7"/>
  <c r="F27" i="7"/>
  <c r="D27" i="7"/>
  <c r="B27" i="7"/>
  <c r="A27" i="7"/>
  <c r="Q26" i="7"/>
  <c r="O26" i="7"/>
  <c r="M26" i="7"/>
  <c r="F26" i="7"/>
  <c r="D26" i="7"/>
  <c r="B26" i="7"/>
  <c r="A26" i="7"/>
  <c r="Q25" i="7"/>
  <c r="O25" i="7"/>
  <c r="M25" i="7"/>
  <c r="F25" i="7"/>
  <c r="D25" i="7"/>
  <c r="B25" i="7"/>
  <c r="A25" i="7"/>
  <c r="Q24" i="7"/>
  <c r="O24" i="7"/>
  <c r="F24" i="7"/>
  <c r="D24" i="7"/>
  <c r="B24" i="7"/>
  <c r="A24" i="7"/>
  <c r="Q23" i="7"/>
  <c r="O23" i="7"/>
  <c r="M23" i="7"/>
  <c r="F23" i="7"/>
  <c r="D23" i="7"/>
  <c r="B23" i="7"/>
  <c r="A23" i="7"/>
  <c r="Q22" i="7"/>
  <c r="O22" i="7"/>
  <c r="M22" i="7"/>
  <c r="F22" i="7"/>
  <c r="D22" i="7"/>
  <c r="B22" i="7"/>
  <c r="A22" i="7"/>
  <c r="Q21" i="7"/>
  <c r="O21" i="7"/>
  <c r="M21" i="7"/>
  <c r="F21" i="7"/>
  <c r="D21" i="7"/>
  <c r="B21" i="7"/>
  <c r="A21" i="7"/>
  <c r="Q20" i="7"/>
  <c r="O20" i="7"/>
  <c r="M20" i="7"/>
  <c r="F20" i="7"/>
  <c r="D20" i="7"/>
  <c r="B20" i="7"/>
  <c r="A20" i="7"/>
  <c r="Q19" i="7"/>
  <c r="O19" i="7"/>
  <c r="M19" i="7"/>
  <c r="F19" i="7"/>
  <c r="D19" i="7"/>
  <c r="B19" i="7"/>
  <c r="A19" i="7"/>
  <c r="Q18" i="7"/>
  <c r="O18" i="7"/>
  <c r="M18" i="7"/>
  <c r="F18" i="7"/>
  <c r="D18" i="7"/>
  <c r="B18" i="7"/>
  <c r="A18" i="7"/>
  <c r="Q17" i="7"/>
  <c r="O17" i="7"/>
  <c r="M17" i="7"/>
  <c r="F17" i="7"/>
  <c r="D17" i="7"/>
  <c r="B17" i="7"/>
  <c r="A17" i="7"/>
  <c r="Q16" i="7"/>
  <c r="O16" i="7"/>
  <c r="M16" i="7"/>
  <c r="F16" i="7"/>
  <c r="D16" i="7"/>
  <c r="B16" i="7"/>
  <c r="A16" i="7"/>
  <c r="Q15" i="7"/>
  <c r="O15" i="7"/>
  <c r="F15" i="7"/>
  <c r="D15" i="7"/>
  <c r="B15" i="7"/>
  <c r="A15" i="7"/>
  <c r="L14" i="7"/>
  <c r="P13" i="7"/>
  <c r="N13" i="7"/>
  <c r="G13" i="7"/>
  <c r="E13" i="7"/>
  <c r="C13" i="7"/>
  <c r="P71" i="6"/>
  <c r="N71" i="6"/>
  <c r="E71" i="6"/>
  <c r="C71" i="6"/>
  <c r="P70" i="6"/>
  <c r="N70" i="6"/>
  <c r="E70" i="6"/>
  <c r="C70" i="6"/>
  <c r="P69" i="6"/>
  <c r="N69" i="6"/>
  <c r="E69" i="6"/>
  <c r="C69" i="6"/>
  <c r="P68" i="6"/>
  <c r="N68" i="6"/>
  <c r="E68" i="6"/>
  <c r="C68" i="6"/>
  <c r="M16" i="6"/>
  <c r="M17" i="6"/>
  <c r="M18" i="6"/>
  <c r="M19" i="6"/>
  <c r="M20" i="6"/>
  <c r="M21" i="6"/>
  <c r="M22" i="6"/>
  <c r="M23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P10" i="6"/>
  <c r="P11" i="6"/>
  <c r="P12" i="6"/>
  <c r="P9" i="6"/>
  <c r="N11" i="6"/>
  <c r="N12" i="6"/>
  <c r="N10" i="6"/>
  <c r="N9" i="6"/>
  <c r="M16" i="1"/>
  <c r="M17" i="1"/>
  <c r="M18" i="1"/>
  <c r="M19" i="1"/>
  <c r="M20" i="1"/>
  <c r="M21" i="1"/>
  <c r="M22" i="1"/>
  <c r="M23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I16" i="8" l="1"/>
  <c r="J16" i="8" s="1"/>
  <c r="C16" i="8"/>
  <c r="D16" i="8" s="1"/>
  <c r="E16" i="8"/>
  <c r="F16" i="8" s="1"/>
  <c r="G16" i="8"/>
  <c r="K16" i="8"/>
  <c r="L16" i="8" s="1"/>
  <c r="R49" i="6"/>
  <c r="T49" i="6" s="1"/>
  <c r="R53" i="7"/>
  <c r="T53" i="7" s="1"/>
  <c r="R56" i="6"/>
  <c r="T56" i="6" s="1"/>
  <c r="R60" i="7"/>
  <c r="T60" i="7" s="1"/>
  <c r="R52" i="6"/>
  <c r="T52" i="6" s="1"/>
  <c r="R59" i="6"/>
  <c r="T59" i="6" s="1"/>
  <c r="R61" i="7"/>
  <c r="T61" i="7" s="1"/>
  <c r="R57" i="7"/>
  <c r="T57" i="7" s="1"/>
  <c r="R63" i="6"/>
  <c r="T63" i="6" s="1"/>
  <c r="R61" i="6"/>
  <c r="T61" i="6" s="1"/>
  <c r="R55" i="6"/>
  <c r="T55" i="6" s="1"/>
  <c r="R49" i="7"/>
  <c r="T49" i="7" s="1"/>
  <c r="R57" i="6"/>
  <c r="T57" i="6" s="1"/>
  <c r="R62" i="6"/>
  <c r="T62" i="6" s="1"/>
  <c r="R51" i="6"/>
  <c r="T51" i="6" s="1"/>
  <c r="R55" i="7"/>
  <c r="T55" i="7" s="1"/>
  <c r="R54" i="7"/>
  <c r="T54" i="7" s="1"/>
  <c r="R53" i="6"/>
  <c r="T53" i="6" s="1"/>
  <c r="R58" i="6"/>
  <c r="T58" i="6" s="1"/>
  <c r="R64" i="7"/>
  <c r="T64" i="7" s="1"/>
  <c r="R58" i="7"/>
  <c r="T58" i="7" s="1"/>
  <c r="R48" i="7"/>
  <c r="T48" i="7" s="1"/>
  <c r="R47" i="6"/>
  <c r="T47" i="6" s="1"/>
  <c r="R54" i="6"/>
  <c r="T54" i="6" s="1"/>
  <c r="R56" i="7"/>
  <c r="T56" i="7" s="1"/>
  <c r="R50" i="7"/>
  <c r="T50" i="7" s="1"/>
  <c r="R50" i="6"/>
  <c r="T50" i="6" s="1"/>
  <c r="R48" i="6"/>
  <c r="T48" i="6" s="1"/>
  <c r="R47" i="7"/>
  <c r="T47" i="7" s="1"/>
  <c r="R52" i="7"/>
  <c r="T52" i="7" s="1"/>
  <c r="R63" i="7"/>
  <c r="T63" i="7" s="1"/>
  <c r="R64" i="6"/>
  <c r="T64" i="6" s="1"/>
  <c r="R60" i="6"/>
  <c r="T60" i="6" s="1"/>
  <c r="R59" i="7"/>
  <c r="T59" i="7" s="1"/>
  <c r="R62" i="7"/>
  <c r="T62" i="7" s="1"/>
  <c r="R51" i="7"/>
  <c r="T51" i="7" s="1"/>
  <c r="M24" i="1"/>
  <c r="M24" i="7"/>
  <c r="R24" i="7" s="1"/>
  <c r="M24" i="6"/>
  <c r="R23" i="7"/>
  <c r="T23" i="7" s="1"/>
  <c r="P76" i="7"/>
  <c r="E73" i="7"/>
  <c r="E75" i="7"/>
  <c r="N76" i="7"/>
  <c r="P74" i="7"/>
  <c r="C73" i="7"/>
  <c r="N73" i="7"/>
  <c r="N75" i="7"/>
  <c r="N74" i="7"/>
  <c r="C75" i="7"/>
  <c r="P73" i="7"/>
  <c r="P75" i="7"/>
  <c r="C74" i="7"/>
  <c r="C76" i="7"/>
  <c r="E74" i="7"/>
  <c r="E76" i="7"/>
  <c r="R37" i="7"/>
  <c r="T37" i="7" s="1"/>
  <c r="R19" i="7"/>
  <c r="T19" i="7" s="1"/>
  <c r="R22" i="7"/>
  <c r="T22" i="7" s="1"/>
  <c r="R35" i="7"/>
  <c r="T35" i="7" s="1"/>
  <c r="R38" i="7"/>
  <c r="T38" i="7" s="1"/>
  <c r="R40" i="7"/>
  <c r="T40" i="7" s="1"/>
  <c r="R21" i="7"/>
  <c r="T21" i="7" s="1"/>
  <c r="R17" i="7"/>
  <c r="T17" i="7" s="1"/>
  <c r="R33" i="7"/>
  <c r="T33" i="7" s="1"/>
  <c r="R29" i="7"/>
  <c r="T29" i="7" s="1"/>
  <c r="R45" i="7"/>
  <c r="T45" i="7" s="1"/>
  <c r="R20" i="7"/>
  <c r="T20" i="7" s="1"/>
  <c r="R31" i="7"/>
  <c r="T31" i="7" s="1"/>
  <c r="R36" i="7"/>
  <c r="T36" i="7" s="1"/>
  <c r="R65" i="7"/>
  <c r="T65" i="7" s="1"/>
  <c r="R16" i="7"/>
  <c r="T16" i="7" s="1"/>
  <c r="R27" i="7"/>
  <c r="T27" i="7" s="1"/>
  <c r="R32" i="7"/>
  <c r="T32" i="7" s="1"/>
  <c r="R43" i="7"/>
  <c r="T43" i="7" s="1"/>
  <c r="R25" i="7"/>
  <c r="T25" i="7" s="1"/>
  <c r="R41" i="7"/>
  <c r="T41" i="7" s="1"/>
  <c r="R26" i="7"/>
  <c r="T26" i="7" s="1"/>
  <c r="R28" i="7"/>
  <c r="T28" i="7" s="1"/>
  <c r="R39" i="7"/>
  <c r="T39" i="7" s="1"/>
  <c r="R42" i="7"/>
  <c r="T42" i="7" s="1"/>
  <c r="R44" i="7"/>
  <c r="T44" i="7" s="1"/>
  <c r="G68" i="6"/>
  <c r="G68" i="7"/>
  <c r="G73" i="7" s="1"/>
  <c r="M15" i="6"/>
  <c r="G70" i="7"/>
  <c r="G75" i="7" s="1"/>
  <c r="M15" i="7"/>
  <c r="R15" i="7" s="1"/>
  <c r="N16" i="8" s="1"/>
  <c r="G69" i="7"/>
  <c r="G74" i="7" s="1"/>
  <c r="G71" i="7"/>
  <c r="G76" i="7" s="1"/>
  <c r="R18" i="7"/>
  <c r="T18" i="7" s="1"/>
  <c r="R34" i="7"/>
  <c r="T34" i="7" s="1"/>
  <c r="R46" i="7"/>
  <c r="T46" i="7" s="1"/>
  <c r="R30" i="7"/>
  <c r="T30" i="7" s="1"/>
  <c r="G71" i="6"/>
  <c r="G70" i="6"/>
  <c r="G69" i="6"/>
  <c r="M65" i="6"/>
  <c r="H16" i="8" l="1"/>
  <c r="T24" i="7"/>
  <c r="R71" i="7"/>
  <c r="R76" i="7" s="1"/>
  <c r="R68" i="7"/>
  <c r="R73" i="7" s="1"/>
  <c r="R69" i="7"/>
  <c r="R74" i="7" s="1"/>
  <c r="R70" i="7"/>
  <c r="R75" i="7" s="1"/>
  <c r="T15" i="7"/>
  <c r="M15" i="1"/>
  <c r="H12" i="8" l="1"/>
  <c r="G69" i="1"/>
  <c r="G74" i="1" s="1"/>
  <c r="G66" i="1"/>
  <c r="G71" i="1" s="1"/>
  <c r="G67" i="1"/>
  <c r="G72" i="1" s="1"/>
  <c r="G68" i="1"/>
  <c r="G73" i="1" s="1"/>
  <c r="T68" i="7"/>
  <c r="T73" i="7" s="1"/>
  <c r="T71" i="7"/>
  <c r="T76" i="7" s="1"/>
  <c r="T69" i="7"/>
  <c r="T74" i="7" s="1"/>
  <c r="T70" i="7"/>
  <c r="T75" i="7" s="1"/>
  <c r="K5" i="8" l="1"/>
  <c r="E6" i="8"/>
  <c r="E5" i="8"/>
  <c r="K10" i="8"/>
  <c r="K13" i="8" s="1"/>
  <c r="K15" i="8" s="1"/>
  <c r="I10" i="8"/>
  <c r="I13" i="8" s="1"/>
  <c r="I15" i="8" s="1"/>
  <c r="G10" i="8"/>
  <c r="G13" i="8" s="1"/>
  <c r="G15" i="8" s="1"/>
  <c r="E10" i="8"/>
  <c r="E13" i="8" s="1"/>
  <c r="E15" i="8" s="1"/>
  <c r="C10" i="8"/>
  <c r="C13" i="8" s="1"/>
  <c r="C15" i="8" s="1"/>
  <c r="P12" i="7"/>
  <c r="N12" i="7"/>
  <c r="G12" i="7"/>
  <c r="E12" i="7"/>
  <c r="C12" i="7"/>
  <c r="P11" i="7"/>
  <c r="N11" i="7"/>
  <c r="G11" i="7"/>
  <c r="E11" i="7"/>
  <c r="C11" i="7"/>
  <c r="P10" i="7"/>
  <c r="N10" i="7"/>
  <c r="G10" i="7"/>
  <c r="E10" i="7"/>
  <c r="C10" i="7"/>
  <c r="P9" i="7"/>
  <c r="N9" i="7"/>
  <c r="G9" i="7"/>
  <c r="E9" i="7"/>
  <c r="C9" i="7"/>
  <c r="R8" i="7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15" i="6"/>
  <c r="G10" i="6"/>
  <c r="G11" i="6"/>
  <c r="G12" i="6"/>
  <c r="G9" i="6"/>
  <c r="E10" i="6"/>
  <c r="E11" i="6"/>
  <c r="E12" i="6"/>
  <c r="E9" i="6"/>
  <c r="C10" i="6"/>
  <c r="C11" i="6"/>
  <c r="C12" i="6"/>
  <c r="C9" i="6"/>
  <c r="Q65" i="6"/>
  <c r="O65" i="6"/>
  <c r="F65" i="6"/>
  <c r="D65" i="6"/>
  <c r="Q46" i="6"/>
  <c r="O46" i="6"/>
  <c r="F46" i="6"/>
  <c r="D46" i="6"/>
  <c r="Q45" i="6"/>
  <c r="O45" i="6"/>
  <c r="F45" i="6"/>
  <c r="D45" i="6"/>
  <c r="Q44" i="6"/>
  <c r="O44" i="6"/>
  <c r="F44" i="6"/>
  <c r="D44" i="6"/>
  <c r="Q43" i="6"/>
  <c r="O43" i="6"/>
  <c r="F43" i="6"/>
  <c r="D43" i="6"/>
  <c r="Q42" i="6"/>
  <c r="O42" i="6"/>
  <c r="F42" i="6"/>
  <c r="D42" i="6"/>
  <c r="Q41" i="6"/>
  <c r="O41" i="6"/>
  <c r="F41" i="6"/>
  <c r="D41" i="6"/>
  <c r="Q40" i="6"/>
  <c r="O40" i="6"/>
  <c r="F40" i="6"/>
  <c r="D40" i="6"/>
  <c r="Q39" i="6"/>
  <c r="O39" i="6"/>
  <c r="F39" i="6"/>
  <c r="D39" i="6"/>
  <c r="Q38" i="6"/>
  <c r="O38" i="6"/>
  <c r="F38" i="6"/>
  <c r="D38" i="6"/>
  <c r="Q37" i="6"/>
  <c r="O37" i="6"/>
  <c r="F37" i="6"/>
  <c r="D37" i="6"/>
  <c r="Q36" i="6"/>
  <c r="O36" i="6"/>
  <c r="F36" i="6"/>
  <c r="D36" i="6"/>
  <c r="Q35" i="6"/>
  <c r="O35" i="6"/>
  <c r="F35" i="6"/>
  <c r="D35" i="6"/>
  <c r="Q34" i="6"/>
  <c r="O34" i="6"/>
  <c r="F34" i="6"/>
  <c r="D34" i="6"/>
  <c r="Q33" i="6"/>
  <c r="O33" i="6"/>
  <c r="F33" i="6"/>
  <c r="D33" i="6"/>
  <c r="Q32" i="6"/>
  <c r="O32" i="6"/>
  <c r="F32" i="6"/>
  <c r="D32" i="6"/>
  <c r="Q31" i="6"/>
  <c r="O31" i="6"/>
  <c r="D31" i="6"/>
  <c r="Q30" i="6"/>
  <c r="O30" i="6"/>
  <c r="D30" i="6"/>
  <c r="Q29" i="6"/>
  <c r="O29" i="6"/>
  <c r="D29" i="6"/>
  <c r="Q28" i="6"/>
  <c r="O28" i="6"/>
  <c r="D28" i="6"/>
  <c r="Q27" i="6"/>
  <c r="O27" i="6"/>
  <c r="D27" i="6"/>
  <c r="Q26" i="6"/>
  <c r="O26" i="6"/>
  <c r="D26" i="6"/>
  <c r="Q25" i="6"/>
  <c r="O25" i="6"/>
  <c r="D25" i="6"/>
  <c r="Q24" i="6"/>
  <c r="O24" i="6"/>
  <c r="D24" i="6"/>
  <c r="Q23" i="6"/>
  <c r="O23" i="6"/>
  <c r="D23" i="6"/>
  <c r="Q22" i="6"/>
  <c r="O22" i="6"/>
  <c r="D22" i="6"/>
  <c r="Q21" i="6"/>
  <c r="O21" i="6"/>
  <c r="D21" i="6"/>
  <c r="Q20" i="6"/>
  <c r="O20" i="6"/>
  <c r="D20" i="6"/>
  <c r="Q19" i="6"/>
  <c r="O19" i="6"/>
  <c r="D19" i="6"/>
  <c r="Q18" i="6"/>
  <c r="O18" i="6"/>
  <c r="D18" i="6"/>
  <c r="Q17" i="6"/>
  <c r="O17" i="6"/>
  <c r="D17" i="6"/>
  <c r="Q16" i="6"/>
  <c r="O16" i="6"/>
  <c r="D16" i="6"/>
  <c r="Q15" i="6"/>
  <c r="O15" i="6"/>
  <c r="D15" i="6"/>
  <c r="L14" i="6"/>
  <c r="P13" i="6"/>
  <c r="N13" i="6"/>
  <c r="G13" i="6"/>
  <c r="E13" i="6"/>
  <c r="C13" i="6"/>
  <c r="R8" i="6"/>
  <c r="M16" i="4"/>
  <c r="M23" i="4" s="1"/>
  <c r="M30" i="4" s="1"/>
  <c r="M37" i="4" s="1"/>
  <c r="M44" i="4" s="1"/>
  <c r="M17" i="4"/>
  <c r="M24" i="4" s="1"/>
  <c r="M31" i="4" s="1"/>
  <c r="M38" i="4" s="1"/>
  <c r="M45" i="4" s="1"/>
  <c r="M18" i="4"/>
  <c r="M19" i="4"/>
  <c r="M26" i="4" s="1"/>
  <c r="M33" i="4" s="1"/>
  <c r="M40" i="4" s="1"/>
  <c r="M47" i="4" s="1"/>
  <c r="M20" i="4"/>
  <c r="M21" i="4"/>
  <c r="M28" i="4" s="1"/>
  <c r="M35" i="4" s="1"/>
  <c r="M42" i="4" s="1"/>
  <c r="M22" i="4"/>
  <c r="M25" i="4"/>
  <c r="M32" i="4" s="1"/>
  <c r="M39" i="4" s="1"/>
  <c r="M46" i="4" s="1"/>
  <c r="M27" i="4"/>
  <c r="M34" i="4" s="1"/>
  <c r="M41" i="4" s="1"/>
  <c r="M29" i="4"/>
  <c r="M36" i="4" s="1"/>
  <c r="M43" i="4" s="1"/>
  <c r="M15" i="4"/>
  <c r="G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15" i="4"/>
  <c r="M14" i="4"/>
  <c r="P13" i="4"/>
  <c r="N13" i="4"/>
  <c r="H13" i="4"/>
  <c r="F13" i="4"/>
  <c r="D13" i="4"/>
  <c r="R8" i="4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15" i="1"/>
  <c r="L12" i="8" s="1"/>
  <c r="O15" i="1"/>
  <c r="J12" i="8" s="1"/>
  <c r="L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15" i="1"/>
  <c r="D15" i="1"/>
  <c r="R8" i="1"/>
  <c r="N11" i="8" s="1"/>
  <c r="P13" i="1"/>
  <c r="N13" i="1"/>
  <c r="G13" i="1"/>
  <c r="E13" i="1"/>
  <c r="C13" i="1"/>
  <c r="N14" i="8" l="1"/>
  <c r="G14" i="8"/>
  <c r="H14" i="8" s="1"/>
  <c r="C14" i="8"/>
  <c r="D14" i="8" s="1"/>
  <c r="K14" i="8"/>
  <c r="L14" i="8" s="1"/>
  <c r="I14" i="8"/>
  <c r="J14" i="8" s="1"/>
  <c r="E14" i="8"/>
  <c r="F14" i="8" s="1"/>
  <c r="E76" i="6"/>
  <c r="E75" i="6"/>
  <c r="P75" i="6"/>
  <c r="C76" i="6"/>
  <c r="E73" i="6"/>
  <c r="E74" i="6"/>
  <c r="N76" i="6"/>
  <c r="N73" i="6"/>
  <c r="P76" i="6"/>
  <c r="N74" i="6"/>
  <c r="P74" i="6"/>
  <c r="N75" i="6"/>
  <c r="C74" i="6"/>
  <c r="P73" i="6"/>
  <c r="C73" i="6"/>
  <c r="C75" i="6"/>
  <c r="G76" i="6"/>
  <c r="G73" i="6"/>
  <c r="G74" i="6"/>
  <c r="G75" i="6"/>
  <c r="R15" i="1"/>
  <c r="R45" i="6"/>
  <c r="T45" i="6" s="1"/>
  <c r="R21" i="6"/>
  <c r="T21" i="6" s="1"/>
  <c r="R29" i="6"/>
  <c r="T29" i="6" s="1"/>
  <c r="R15" i="6"/>
  <c r="R23" i="6"/>
  <c r="T23" i="6" s="1"/>
  <c r="R65" i="6"/>
  <c r="R39" i="6"/>
  <c r="T39" i="6" s="1"/>
  <c r="R20" i="6"/>
  <c r="T20" i="6" s="1"/>
  <c r="R19" i="6"/>
  <c r="T19" i="6" s="1"/>
  <c r="R22" i="6"/>
  <c r="T22" i="6" s="1"/>
  <c r="R17" i="6"/>
  <c r="T17" i="6" s="1"/>
  <c r="R37" i="6"/>
  <c r="T37" i="6" s="1"/>
  <c r="R42" i="6"/>
  <c r="T42" i="6" s="1"/>
  <c r="R25" i="6"/>
  <c r="T25" i="6" s="1"/>
  <c r="R31" i="6"/>
  <c r="T31" i="6" s="1"/>
  <c r="R16" i="6"/>
  <c r="T16" i="6" s="1"/>
  <c r="R27" i="6"/>
  <c r="T27" i="6" s="1"/>
  <c r="R30" i="6"/>
  <c r="T30" i="6" s="1"/>
  <c r="R33" i="6"/>
  <c r="T33" i="6" s="1"/>
  <c r="R36" i="6"/>
  <c r="T36" i="6" s="1"/>
  <c r="R18" i="6"/>
  <c r="T18" i="6" s="1"/>
  <c r="R24" i="6"/>
  <c r="R38" i="6"/>
  <c r="T38" i="6" s="1"/>
  <c r="R41" i="6"/>
  <c r="T41" i="6" s="1"/>
  <c r="R44" i="6"/>
  <c r="T44" i="6" s="1"/>
  <c r="R26" i="6"/>
  <c r="T26" i="6" s="1"/>
  <c r="R32" i="6"/>
  <c r="T32" i="6" s="1"/>
  <c r="R35" i="6"/>
  <c r="T35" i="6" s="1"/>
  <c r="R46" i="6"/>
  <c r="T46" i="6" s="1"/>
  <c r="R34" i="6"/>
  <c r="T34" i="6" s="1"/>
  <c r="R40" i="6"/>
  <c r="T40" i="6" s="1"/>
  <c r="R43" i="6"/>
  <c r="T43" i="6" s="1"/>
  <c r="R28" i="6"/>
  <c r="T28" i="6" s="1"/>
  <c r="H10" i="5"/>
  <c r="H9" i="5"/>
  <c r="H8" i="5"/>
  <c r="H7" i="5"/>
  <c r="I19" i="5"/>
  <c r="N37" i="5"/>
  <c r="N29" i="5"/>
  <c r="N13" i="5"/>
  <c r="M44" i="5"/>
  <c r="M43" i="5"/>
  <c r="M42" i="5"/>
  <c r="M41" i="5"/>
  <c r="M40" i="5"/>
  <c r="M39" i="5"/>
  <c r="M38" i="5"/>
  <c r="N38" i="5" s="1"/>
  <c r="M37" i="5"/>
  <c r="M36" i="5"/>
  <c r="M35" i="5"/>
  <c r="M34" i="5"/>
  <c r="M33" i="5"/>
  <c r="M32" i="5"/>
  <c r="M31" i="5"/>
  <c r="M30" i="5"/>
  <c r="N30" i="5" s="1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I44" i="5"/>
  <c r="I43" i="5"/>
  <c r="I42" i="5"/>
  <c r="I41" i="5"/>
  <c r="I40" i="5"/>
  <c r="N40" i="5" s="1"/>
  <c r="I39" i="5"/>
  <c r="I38" i="5"/>
  <c r="I37" i="5"/>
  <c r="I36" i="5"/>
  <c r="I35" i="5"/>
  <c r="I34" i="5"/>
  <c r="I33" i="5"/>
  <c r="I32" i="5"/>
  <c r="N32" i="5" s="1"/>
  <c r="I31" i="5"/>
  <c r="I30" i="5"/>
  <c r="I29" i="5"/>
  <c r="I28" i="5"/>
  <c r="I27" i="5"/>
  <c r="I26" i="5"/>
  <c r="I25" i="5"/>
  <c r="I24" i="5"/>
  <c r="N24" i="5" s="1"/>
  <c r="I23" i="5"/>
  <c r="I22" i="5"/>
  <c r="I21" i="5"/>
  <c r="N21" i="5" s="1"/>
  <c r="I20" i="5"/>
  <c r="I18" i="5"/>
  <c r="I17" i="5"/>
  <c r="I16" i="5"/>
  <c r="I15" i="5"/>
  <c r="I14" i="5"/>
  <c r="I13" i="5"/>
  <c r="I12" i="5"/>
  <c r="G44" i="5"/>
  <c r="G43" i="5"/>
  <c r="G42" i="5"/>
  <c r="G41" i="5"/>
  <c r="N41" i="5" s="1"/>
  <c r="G40" i="5"/>
  <c r="G39" i="5"/>
  <c r="G38" i="5"/>
  <c r="G37" i="5"/>
  <c r="G36" i="5"/>
  <c r="G35" i="5"/>
  <c r="G34" i="5"/>
  <c r="G33" i="5"/>
  <c r="N33" i="5" s="1"/>
  <c r="G32" i="5"/>
  <c r="G31" i="5"/>
  <c r="G30" i="5"/>
  <c r="G29" i="5"/>
  <c r="G28" i="5"/>
  <c r="G27" i="5"/>
  <c r="G26" i="5"/>
  <c r="G25" i="5"/>
  <c r="N25" i="5" s="1"/>
  <c r="G24" i="5"/>
  <c r="G23" i="5"/>
  <c r="G22" i="5"/>
  <c r="N22" i="5" s="1"/>
  <c r="G21" i="5"/>
  <c r="G20" i="5"/>
  <c r="G19" i="5"/>
  <c r="G18" i="5"/>
  <c r="G17" i="5"/>
  <c r="N17" i="5" s="1"/>
  <c r="G16" i="5"/>
  <c r="G15" i="5"/>
  <c r="G14" i="5"/>
  <c r="N14" i="5" s="1"/>
  <c r="G13" i="5"/>
  <c r="G12" i="5"/>
  <c r="E44" i="5"/>
  <c r="N44" i="5" s="1"/>
  <c r="E43" i="5"/>
  <c r="N43" i="5" s="1"/>
  <c r="E42" i="5"/>
  <c r="N42" i="5" s="1"/>
  <c r="E41" i="5"/>
  <c r="E40" i="5"/>
  <c r="E39" i="5"/>
  <c r="N39" i="5" s="1"/>
  <c r="E38" i="5"/>
  <c r="E37" i="5"/>
  <c r="E36" i="5"/>
  <c r="N36" i="5" s="1"/>
  <c r="E35" i="5"/>
  <c r="N35" i="5" s="1"/>
  <c r="E34" i="5"/>
  <c r="N34" i="5" s="1"/>
  <c r="E33" i="5"/>
  <c r="E32" i="5"/>
  <c r="E31" i="5"/>
  <c r="N31" i="5" s="1"/>
  <c r="E30" i="5"/>
  <c r="E29" i="5"/>
  <c r="E28" i="5"/>
  <c r="N28" i="5" s="1"/>
  <c r="E27" i="5"/>
  <c r="N27" i="5" s="1"/>
  <c r="E26" i="5"/>
  <c r="N26" i="5" s="1"/>
  <c r="E25" i="5"/>
  <c r="E24" i="5"/>
  <c r="E23" i="5"/>
  <c r="N23" i="5" s="1"/>
  <c r="E22" i="5"/>
  <c r="E21" i="5"/>
  <c r="E20" i="5"/>
  <c r="N20" i="5" s="1"/>
  <c r="E19" i="5"/>
  <c r="E18" i="5"/>
  <c r="N18" i="5" s="1"/>
  <c r="E17" i="5"/>
  <c r="E16" i="5"/>
  <c r="E15" i="5"/>
  <c r="N15" i="5" s="1"/>
  <c r="E14" i="5"/>
  <c r="E13" i="5"/>
  <c r="E12" i="5"/>
  <c r="N12" i="5" s="1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N15" i="4"/>
  <c r="K7" i="3"/>
  <c r="I7" i="3"/>
  <c r="G7" i="3"/>
  <c r="E7" i="3"/>
  <c r="A7" i="3"/>
  <c r="T24" i="6" l="1"/>
  <c r="T65" i="6"/>
  <c r="R70" i="6"/>
  <c r="R75" i="6" s="1"/>
  <c r="R71" i="6"/>
  <c r="R76" i="6" s="1"/>
  <c r="R68" i="6"/>
  <c r="R73" i="6" s="1"/>
  <c r="R69" i="6"/>
  <c r="R74" i="6" s="1"/>
  <c r="T15" i="6"/>
  <c r="N27" i="4"/>
  <c r="P27" i="4" s="1"/>
  <c r="N35" i="4"/>
  <c r="P35" i="4" s="1"/>
  <c r="N43" i="4"/>
  <c r="N47" i="4"/>
  <c r="N23" i="4"/>
  <c r="P23" i="4" s="1"/>
  <c r="N31" i="4"/>
  <c r="P31" i="4" s="1"/>
  <c r="N39" i="4"/>
  <c r="P39" i="4" s="1"/>
  <c r="N16" i="4"/>
  <c r="N24" i="4"/>
  <c r="P24" i="4" s="1"/>
  <c r="N32" i="4"/>
  <c r="P32" i="4" s="1"/>
  <c r="N40" i="4"/>
  <c r="P40" i="4" s="1"/>
  <c r="N17" i="4"/>
  <c r="N25" i="4"/>
  <c r="P25" i="4" s="1"/>
  <c r="N41" i="4"/>
  <c r="P41" i="4" s="1"/>
  <c r="N18" i="4"/>
  <c r="N26" i="4"/>
  <c r="P26" i="4" s="1"/>
  <c r="N34" i="4"/>
  <c r="P34" i="4" s="1"/>
  <c r="N42" i="4"/>
  <c r="P42" i="4" s="1"/>
  <c r="N21" i="4"/>
  <c r="P21" i="4" s="1"/>
  <c r="N29" i="4"/>
  <c r="N37" i="4"/>
  <c r="P37" i="4" s="1"/>
  <c r="N45" i="4"/>
  <c r="P45" i="4" s="1"/>
  <c r="N20" i="4"/>
  <c r="N28" i="4"/>
  <c r="P28" i="4" s="1"/>
  <c r="N36" i="4"/>
  <c r="P36" i="4" s="1"/>
  <c r="N44" i="4"/>
  <c r="P44" i="4" s="1"/>
  <c r="N22" i="4"/>
  <c r="P22" i="4" s="1"/>
  <c r="N30" i="4"/>
  <c r="N38" i="4"/>
  <c r="P38" i="4" s="1"/>
  <c r="N46" i="4"/>
  <c r="P46" i="4" s="1"/>
  <c r="R17" i="1"/>
  <c r="T17" i="1" s="1"/>
  <c r="R25" i="1"/>
  <c r="T25" i="1" s="1"/>
  <c r="R41" i="1"/>
  <c r="T41" i="1" s="1"/>
  <c r="R22" i="1"/>
  <c r="T22" i="1" s="1"/>
  <c r="R30" i="1"/>
  <c r="T30" i="1" s="1"/>
  <c r="R38" i="1"/>
  <c r="T38" i="1" s="1"/>
  <c r="R46" i="1"/>
  <c r="T46" i="1" s="1"/>
  <c r="R21" i="1"/>
  <c r="T21" i="1" s="1"/>
  <c r="R29" i="1"/>
  <c r="T29" i="1" s="1"/>
  <c r="R37" i="1"/>
  <c r="T37" i="1" s="1"/>
  <c r="R45" i="1"/>
  <c r="T45" i="1" s="1"/>
  <c r="R27" i="1"/>
  <c r="T27" i="1" s="1"/>
  <c r="R35" i="1"/>
  <c r="T35" i="1" s="1"/>
  <c r="R43" i="1"/>
  <c r="T43" i="1" s="1"/>
  <c r="N19" i="5"/>
  <c r="P19" i="5" s="1"/>
  <c r="R19" i="1"/>
  <c r="T19" i="1" s="1"/>
  <c r="N16" i="5"/>
  <c r="P16" i="5" s="1"/>
  <c r="N19" i="4"/>
  <c r="P19" i="4" s="1"/>
  <c r="N33" i="4"/>
  <c r="P33" i="4" s="1"/>
  <c r="R33" i="1"/>
  <c r="T33" i="1" s="1"/>
  <c r="R20" i="1"/>
  <c r="T20" i="1" s="1"/>
  <c r="R28" i="1"/>
  <c r="T28" i="1" s="1"/>
  <c r="R36" i="1"/>
  <c r="T36" i="1" s="1"/>
  <c r="R44" i="1"/>
  <c r="T44" i="1" s="1"/>
  <c r="N7" i="3"/>
  <c r="R39" i="1"/>
  <c r="T39" i="1" s="1"/>
  <c r="R16" i="1"/>
  <c r="T16" i="1" s="1"/>
  <c r="R24" i="1"/>
  <c r="N12" i="8" s="1"/>
  <c r="N18" i="8" s="1"/>
  <c r="R32" i="1"/>
  <c r="T32" i="1" s="1"/>
  <c r="R40" i="1"/>
  <c r="T40" i="1" s="1"/>
  <c r="R31" i="1"/>
  <c r="T31" i="1" s="1"/>
  <c r="R23" i="1"/>
  <c r="T23" i="1" s="1"/>
  <c r="R18" i="1"/>
  <c r="T18" i="1" s="1"/>
  <c r="R26" i="1"/>
  <c r="T26" i="1" s="1"/>
  <c r="R34" i="1"/>
  <c r="T34" i="1" s="1"/>
  <c r="R42" i="1"/>
  <c r="T42" i="1" s="1"/>
  <c r="K10" i="3"/>
  <c r="I10" i="3"/>
  <c r="G10" i="3"/>
  <c r="E10" i="3"/>
  <c r="C10" i="3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L50" i="5"/>
  <c r="J50" i="5"/>
  <c r="H50" i="5"/>
  <c r="F50" i="5"/>
  <c r="D50" i="5"/>
  <c r="L49" i="5"/>
  <c r="J49" i="5"/>
  <c r="H49" i="5"/>
  <c r="F49" i="5"/>
  <c r="D49" i="5"/>
  <c r="L48" i="5"/>
  <c r="J48" i="5"/>
  <c r="H48" i="5"/>
  <c r="F48" i="5"/>
  <c r="D48" i="5"/>
  <c r="L47" i="5"/>
  <c r="J47" i="5"/>
  <c r="H47" i="5"/>
  <c r="F47" i="5"/>
  <c r="D47" i="5"/>
  <c r="P44" i="5"/>
  <c r="P43" i="5"/>
  <c r="P42" i="5"/>
  <c r="P41" i="5"/>
  <c r="P40" i="5"/>
  <c r="P39" i="5"/>
  <c r="P38" i="5"/>
  <c r="P37" i="5"/>
  <c r="P36" i="5"/>
  <c r="P35" i="5"/>
  <c r="P34" i="5"/>
  <c r="P33" i="5"/>
  <c r="P32" i="5"/>
  <c r="P31" i="5"/>
  <c r="P30" i="5"/>
  <c r="P29" i="5"/>
  <c r="P28" i="5"/>
  <c r="P27" i="5"/>
  <c r="P26" i="5"/>
  <c r="P25" i="5"/>
  <c r="P24" i="5"/>
  <c r="P23" i="5"/>
  <c r="P22" i="5"/>
  <c r="P21" i="5"/>
  <c r="P20" i="5"/>
  <c r="P18" i="5"/>
  <c r="P17" i="5"/>
  <c r="P15" i="5"/>
  <c r="P14" i="5"/>
  <c r="P13" i="5"/>
  <c r="L7" i="3"/>
  <c r="J7" i="3"/>
  <c r="K8" i="3"/>
  <c r="I8" i="3"/>
  <c r="G8" i="3"/>
  <c r="E8" i="3"/>
  <c r="C8" i="3"/>
  <c r="K6" i="3"/>
  <c r="I6" i="3"/>
  <c r="G6" i="3"/>
  <c r="E6" i="3"/>
  <c r="C6" i="3"/>
  <c r="H7" i="3"/>
  <c r="F7" i="3"/>
  <c r="C7" i="3"/>
  <c r="D7" i="3" s="1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L53" i="4"/>
  <c r="J53" i="4"/>
  <c r="H53" i="4"/>
  <c r="F53" i="4"/>
  <c r="D53" i="4"/>
  <c r="L52" i="4"/>
  <c r="J52" i="4"/>
  <c r="H52" i="4"/>
  <c r="F52" i="4"/>
  <c r="D52" i="4"/>
  <c r="L51" i="4"/>
  <c r="J51" i="4"/>
  <c r="H51" i="4"/>
  <c r="F51" i="4"/>
  <c r="D51" i="4"/>
  <c r="L50" i="4"/>
  <c r="J50" i="4"/>
  <c r="H50" i="4"/>
  <c r="F50" i="4"/>
  <c r="D50" i="4"/>
  <c r="P47" i="4"/>
  <c r="P43" i="4"/>
  <c r="P30" i="4"/>
  <c r="P29" i="4"/>
  <c r="P20" i="4"/>
  <c r="P18" i="4"/>
  <c r="P17" i="4"/>
  <c r="P15" i="4"/>
  <c r="P69" i="1"/>
  <c r="P74" i="1" s="1"/>
  <c r="N69" i="1"/>
  <c r="N74" i="1" s="1"/>
  <c r="E69" i="1"/>
  <c r="E74" i="1" s="1"/>
  <c r="P68" i="1"/>
  <c r="P73" i="1" s="1"/>
  <c r="N68" i="1"/>
  <c r="N73" i="1" s="1"/>
  <c r="E68" i="1"/>
  <c r="E73" i="1" s="1"/>
  <c r="P67" i="1"/>
  <c r="P72" i="1" s="1"/>
  <c r="N67" i="1"/>
  <c r="N72" i="1" s="1"/>
  <c r="E67" i="1"/>
  <c r="E72" i="1" s="1"/>
  <c r="P66" i="1"/>
  <c r="P71" i="1" s="1"/>
  <c r="N66" i="1"/>
  <c r="N71" i="1" s="1"/>
  <c r="E66" i="1"/>
  <c r="E71" i="1" s="1"/>
  <c r="C69" i="1"/>
  <c r="C74" i="1" s="1"/>
  <c r="T24" i="1" l="1"/>
  <c r="T70" i="6"/>
  <c r="T75" i="6" s="1"/>
  <c r="T71" i="6"/>
  <c r="T76" i="6" s="1"/>
  <c r="T69" i="6"/>
  <c r="T74" i="6" s="1"/>
  <c r="T68" i="6"/>
  <c r="T73" i="6" s="1"/>
  <c r="T15" i="1"/>
  <c r="N11" i="3"/>
  <c r="K11" i="3"/>
  <c r="L11" i="3" s="1"/>
  <c r="I11" i="3"/>
  <c r="J11" i="3" s="1"/>
  <c r="G11" i="3"/>
  <c r="H11" i="3" s="1"/>
  <c r="E11" i="3"/>
  <c r="F11" i="3" s="1"/>
  <c r="N9" i="3"/>
  <c r="K9" i="3"/>
  <c r="L9" i="3" s="1"/>
  <c r="I9" i="3"/>
  <c r="J9" i="3" s="1"/>
  <c r="E9" i="3"/>
  <c r="F9" i="3" s="1"/>
  <c r="G9" i="3"/>
  <c r="H9" i="3" s="1"/>
  <c r="N52" i="4"/>
  <c r="N57" i="4" s="1"/>
  <c r="C9" i="3"/>
  <c r="D9" i="3" s="1"/>
  <c r="C11" i="3"/>
  <c r="D11" i="3" s="1"/>
  <c r="F52" i="5"/>
  <c r="D53" i="5"/>
  <c r="L53" i="5"/>
  <c r="J54" i="5"/>
  <c r="H55" i="5"/>
  <c r="N49" i="5"/>
  <c r="N54" i="5" s="1"/>
  <c r="H52" i="5"/>
  <c r="F53" i="5"/>
  <c r="D54" i="5"/>
  <c r="L54" i="5"/>
  <c r="J55" i="5"/>
  <c r="J52" i="5"/>
  <c r="H53" i="5"/>
  <c r="F54" i="5"/>
  <c r="D55" i="5"/>
  <c r="D52" i="5"/>
  <c r="L52" i="5"/>
  <c r="J53" i="5"/>
  <c r="H54" i="5"/>
  <c r="F55" i="5"/>
  <c r="L55" i="5"/>
  <c r="N48" i="5"/>
  <c r="N53" i="5" s="1"/>
  <c r="N47" i="5"/>
  <c r="N52" i="5" s="1"/>
  <c r="N50" i="5"/>
  <c r="N55" i="5" s="1"/>
  <c r="P12" i="5"/>
  <c r="N51" i="4"/>
  <c r="N56" i="4" s="1"/>
  <c r="F55" i="4"/>
  <c r="D56" i="4"/>
  <c r="L56" i="4"/>
  <c r="J57" i="4"/>
  <c r="H55" i="4"/>
  <c r="F56" i="4"/>
  <c r="D57" i="4"/>
  <c r="L57" i="4"/>
  <c r="J58" i="4"/>
  <c r="J55" i="4"/>
  <c r="H56" i="4"/>
  <c r="F57" i="4"/>
  <c r="D58" i="4"/>
  <c r="H58" i="4"/>
  <c r="D55" i="4"/>
  <c r="L55" i="4"/>
  <c r="J56" i="4"/>
  <c r="H57" i="4"/>
  <c r="F58" i="4"/>
  <c r="L58" i="4"/>
  <c r="P16" i="4"/>
  <c r="P53" i="4" s="1"/>
  <c r="P58" i="4" s="1"/>
  <c r="N50" i="4"/>
  <c r="N55" i="4" s="1"/>
  <c r="N53" i="4"/>
  <c r="N58" i="4" s="1"/>
  <c r="R69" i="1"/>
  <c r="R74" i="1" s="1"/>
  <c r="R66" i="1"/>
  <c r="R71" i="1" s="1"/>
  <c r="R67" i="1"/>
  <c r="R72" i="1" s="1"/>
  <c r="R68" i="1"/>
  <c r="R73" i="1" s="1"/>
  <c r="T69" i="1" l="1"/>
  <c r="T74" i="1" s="1"/>
  <c r="T68" i="1"/>
  <c r="T73" i="1" s="1"/>
  <c r="T67" i="1"/>
  <c r="T72" i="1" s="1"/>
  <c r="T66" i="1"/>
  <c r="T71" i="1" s="1"/>
  <c r="N13" i="3"/>
  <c r="P50" i="4"/>
  <c r="P55" i="4" s="1"/>
  <c r="P52" i="4"/>
  <c r="P57" i="4" s="1"/>
  <c r="P51" i="4"/>
  <c r="P56" i="4" s="1"/>
  <c r="P50" i="5"/>
  <c r="P55" i="5" s="1"/>
  <c r="P48" i="5"/>
  <c r="P53" i="5" s="1"/>
  <c r="P49" i="5"/>
  <c r="P54" i="5" s="1"/>
  <c r="P47" i="5"/>
  <c r="P52" i="5" s="1"/>
</calcChain>
</file>

<file path=xl/comments1.xml><?xml version="1.0" encoding="utf-8"?>
<comments xmlns="http://schemas.openxmlformats.org/spreadsheetml/2006/main">
  <authors>
    <author>Vice Academica</author>
  </authors>
  <commentList>
    <comment ref="L14" authorId="0" shapeId="0">
      <text>
        <r>
          <rPr>
            <b/>
            <sz val="9"/>
            <color indexed="81"/>
            <rFont val="Tahoma"/>
            <family val="2"/>
          </rPr>
          <t>Vice Academica:</t>
        </r>
        <r>
          <rPr>
            <sz val="9"/>
            <color indexed="81"/>
            <rFont val="Tahoma"/>
            <family val="2"/>
          </rPr>
          <t xml:space="preserve">
corresponde al  100% del porcentaje de domimnio</t>
        </r>
      </text>
    </comment>
  </commentList>
</comments>
</file>

<file path=xl/sharedStrings.xml><?xml version="1.0" encoding="utf-8"?>
<sst xmlns="http://schemas.openxmlformats.org/spreadsheetml/2006/main" count="225" uniqueCount="66">
  <si>
    <t>FUNDACIÓN UNIVERSITARIA DE POPAYÁN</t>
  </si>
  <si>
    <t>PROGRAMA</t>
  </si>
  <si>
    <t>Recursos Utilizados</t>
  </si>
  <si>
    <t>Presenta y utiliza recursos didácticos, aunque no le saca el mayor provecho a la presentación</t>
  </si>
  <si>
    <t>Recursos presentados pero no utilizados</t>
  </si>
  <si>
    <t>Desarrollo</t>
  </si>
  <si>
    <t>Sabe ajustarse al tiempo asignado, tratando aecuadamente los diversos temas</t>
  </si>
  <si>
    <t>Se ajusta al tiempo asignado, exceptuando el final, donde se toma minutos adicionales.</t>
  </si>
  <si>
    <t>Dedica mucho tiempo a algunos aspectos, lo que hace que descuide el útimo tema a tratar</t>
  </si>
  <si>
    <t>No sabe utilizar el tiempo asignado y tampoco trabaja aecuadamente los temas</t>
  </si>
  <si>
    <t>Dominio</t>
  </si>
  <si>
    <t>Excelente dominio del tema, comunica claramente las ideas y frente a las preguntas emite respuestas precisas</t>
  </si>
  <si>
    <t>Poco dominio, sus respuestas demuestran impresición que obligan a solicitar mayor aclaración</t>
  </si>
  <si>
    <t>No hay dominio del tema lo que no le permite responder correctamente las preguntas</t>
  </si>
  <si>
    <t>Comunicación</t>
  </si>
  <si>
    <t>Respeto</t>
  </si>
  <si>
    <t>Sabe aclarar todas las dudas sobre el tema, con ideas claras y precisas, incluso va más allá del límite de la respuesta</t>
  </si>
  <si>
    <t>Sabe aclarar las dudas de los compañeros, sin ir más allá</t>
  </si>
  <si>
    <t>En algunas preguntas emite respuestas adecuadas y en otras solo son superficiales</t>
  </si>
  <si>
    <t>No sabe aclarar ninguna duda presentada por los compañeros</t>
  </si>
  <si>
    <t>Muestra respeto por el tema tratado y por sus compañeros que requieren algun aclaración</t>
  </si>
  <si>
    <t>Muestra respeto por el tema tratado, pero su forma de responder a sus compañeros no es del todo correcta</t>
  </si>
  <si>
    <t>Muestra poco respeto por el tema tratado y sus respuestas a sus compañeros denota sarcasmo y despectividad</t>
  </si>
  <si>
    <t>No muestra respeto por el tema ni por sus compañeros, dando respuestas inapropiadas</t>
  </si>
  <si>
    <t>Código</t>
  </si>
  <si>
    <t>Contaduría Pública</t>
  </si>
  <si>
    <t>Asignatura</t>
  </si>
  <si>
    <t>Teoría General de Sistemas</t>
  </si>
  <si>
    <t>Docente</t>
  </si>
  <si>
    <t>Wadys Montilla Ortega</t>
  </si>
  <si>
    <t>Grupo</t>
  </si>
  <si>
    <t>Corte</t>
  </si>
  <si>
    <t>Periodo</t>
  </si>
  <si>
    <t>2022-1</t>
  </si>
  <si>
    <t>Hace empleo adecuado de los recursos didácticos, sacándole el mayor provecho, lo que resulta favorable para su presentación</t>
  </si>
  <si>
    <t>Pocos recursos y solo son utilizados en algunos momentos de la presentación</t>
  </si>
  <si>
    <t>EXCELENTE</t>
  </si>
  <si>
    <t>BUENO</t>
  </si>
  <si>
    <t>SUFICIENTE</t>
  </si>
  <si>
    <t>INSUFICIENTE</t>
  </si>
  <si>
    <t>Ponderación</t>
  </si>
  <si>
    <t>DEFICIENTE</t>
  </si>
  <si>
    <t>%</t>
  </si>
  <si>
    <t>CÓDIGO</t>
  </si>
  <si>
    <t>ESTUDIANTE</t>
  </si>
  <si>
    <t>DEF.</t>
  </si>
  <si>
    <t>Sabe ajustarse al tiempo asignado, tratando adecuadamente los diversos temas</t>
  </si>
  <si>
    <t>EXCELENTE        (4,01 a 5)</t>
  </si>
  <si>
    <t>BUENO             (3,01 a 4)</t>
  </si>
  <si>
    <t>DEFICIENTE      (2,01 a 3,0)</t>
  </si>
  <si>
    <t>INSUFICIENTE   (0 a 2,0)</t>
  </si>
  <si>
    <t>Dominio del tema aunque algunas ideas no quedan muy claras y hay error en la respuesta de alguna pregunta</t>
  </si>
  <si>
    <t>Total</t>
  </si>
  <si>
    <t>Final Dominio</t>
  </si>
  <si>
    <t>Ponderación (Nota Final Cargue en SIRES)</t>
  </si>
  <si>
    <t>EXCELENTE        
(4,01 a 5)</t>
  </si>
  <si>
    <t>BUENO             
(3,01 a 4)</t>
  </si>
  <si>
    <t>DEFICIENTE      
(2,01 a 3,0)</t>
  </si>
  <si>
    <t>INSUFICIENTE   
(0 a 2,0)</t>
  </si>
  <si>
    <t>EXCELENTE      
  (4,01 a 5)</t>
  </si>
  <si>
    <t>BUENO           
  (3,01 a 4)</t>
  </si>
  <si>
    <t>DEFICIENTE    
  (2,01 a 3,0)</t>
  </si>
  <si>
    <t>INSUFICIENTE  
 (0 a 2,0)</t>
  </si>
  <si>
    <t>EXCELENTE       
(4,01 a 5)</t>
  </si>
  <si>
    <t>DEFICIENTE     
 (2,01 a 3,0)</t>
  </si>
  <si>
    <t>Programa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</si>
</sst>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8.5"/>
      <color theme="1"/>
      <name val="Calibri"/>
      <family val="2"/>
      <scheme val="minor"/>
    </font>
    <font>
      <b/>
      <sz val="10"/>
      <color theme="3" tint="-0.499984740745262"/>
      <name val="Calibri"/>
      <family val="2"/>
      <scheme val="minor"/>
    </font>
    <font>
      <b/>
      <sz val="10"/>
      <color theme="9" tint="-0.499984740745262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sz val="10"/>
      <color theme="7" tint="-0.499984740745262"/>
      <name val="Calibri"/>
      <family val="2"/>
      <scheme val="minor"/>
    </font>
    <font>
      <b/>
      <sz val="10"/>
      <color theme="5" tint="-0.499984740745262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sz val="8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0"/>
      <name val="Arial"/>
      <family val="2"/>
    </font>
    <font>
      <b/>
      <sz val="11"/>
      <color theme="0"/>
      <name val="Arial"/>
      <family val="2"/>
    </font>
    <font>
      <b/>
      <sz val="11"/>
      <name val="Arial"/>
      <family val="2"/>
    </font>
    <font>
      <b/>
      <sz val="8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6"/>
      <color theme="0"/>
      <name val="Arial"/>
      <family val="2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b/>
      <sz val="2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color theme="0"/>
      <name val="Arial"/>
      <family val="2"/>
    </font>
    <font>
      <b/>
      <sz val="11"/>
      <name val="Calibri"/>
      <family val="2"/>
      <scheme val="minor"/>
    </font>
    <font>
      <b/>
      <sz val="9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 style="thin">
        <color indexed="64"/>
      </right>
      <top/>
      <bottom style="thin">
        <color theme="0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7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6" fontId="4" fillId="3" borderId="0" xfId="0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7" fillId="0" borderId="0" xfId="0" applyFont="1"/>
    <xf numFmtId="0" fontId="10" fillId="0" borderId="0" xfId="0" applyFont="1"/>
    <xf numFmtId="0" fontId="4" fillId="0" borderId="0" xfId="0" applyFont="1" applyAlignment="1">
      <alignment horizontal="center"/>
    </xf>
    <xf numFmtId="164" fontId="6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textRotation="90" wrapText="1"/>
    </xf>
    <xf numFmtId="0" fontId="7" fillId="0" borderId="1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4" fillId="0" borderId="0" xfId="0" applyFont="1"/>
    <xf numFmtId="0" fontId="4" fillId="0" borderId="0" xfId="0" applyFont="1" applyAlignment="1">
      <alignment horizontal="right"/>
    </xf>
    <xf numFmtId="9" fontId="1" fillId="0" borderId="0" xfId="1" applyFont="1" applyAlignment="1">
      <alignment horizontal="center"/>
    </xf>
    <xf numFmtId="0" fontId="11" fillId="6" borderId="0" xfId="0" applyFont="1" applyFill="1"/>
    <xf numFmtId="0" fontId="8" fillId="6" borderId="0" xfId="0" applyFont="1" applyFill="1" applyAlignment="1">
      <alignment horizontal="center"/>
    </xf>
    <xf numFmtId="0" fontId="12" fillId="2" borderId="0" xfId="0" applyFont="1" applyFill="1"/>
    <xf numFmtId="0" fontId="9" fillId="2" borderId="0" xfId="0" applyFont="1" applyFill="1" applyAlignment="1">
      <alignment horizontal="center"/>
    </xf>
    <xf numFmtId="0" fontId="14" fillId="5" borderId="0" xfId="0" applyFont="1" applyFill="1"/>
    <xf numFmtId="0" fontId="13" fillId="5" borderId="0" xfId="0" applyFont="1" applyFill="1" applyAlignment="1">
      <alignment horizontal="center"/>
    </xf>
    <xf numFmtId="0" fontId="15" fillId="4" borderId="0" xfId="0" applyFont="1" applyFill="1"/>
    <xf numFmtId="0" fontId="16" fillId="4" borderId="0" xfId="0" applyFont="1" applyFill="1" applyAlignment="1">
      <alignment horizontal="center"/>
    </xf>
    <xf numFmtId="0" fontId="0" fillId="0" borderId="0" xfId="0" applyAlignment="1">
      <alignment horizontal="left"/>
    </xf>
    <xf numFmtId="164" fontId="19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164" fontId="19" fillId="0" borderId="0" xfId="0" applyNumberFormat="1" applyFont="1" applyAlignment="1">
      <alignment horizontal="center" vertical="center"/>
    </xf>
    <xf numFmtId="0" fontId="7" fillId="0" borderId="0" xfId="0" applyFont="1" applyAlignment="1">
      <alignment textRotation="90" wrapText="1"/>
    </xf>
    <xf numFmtId="0" fontId="4" fillId="0" borderId="0" xfId="0" applyFont="1" applyAlignment="1">
      <alignment horizontal="center" vertical="center" wrapText="1"/>
    </xf>
    <xf numFmtId="9" fontId="3" fillId="7" borderId="0" xfId="0" applyNumberFormat="1" applyFont="1" applyFill="1" applyAlignment="1">
      <alignment horizontal="center"/>
    </xf>
    <xf numFmtId="0" fontId="23" fillId="9" borderId="0" xfId="0" applyFont="1" applyFill="1" applyAlignment="1">
      <alignment horizontal="center"/>
    </xf>
    <xf numFmtId="164" fontId="19" fillId="0" borderId="1" xfId="0" applyNumberFormat="1" applyFont="1" applyBorder="1" applyAlignment="1" applyProtection="1">
      <alignment horizontal="center" vertical="center" wrapText="1"/>
      <protection hidden="1"/>
    </xf>
    <xf numFmtId="164" fontId="19" fillId="0" borderId="0" xfId="0" applyNumberFormat="1" applyFont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vertical="center" wrapText="1"/>
      <protection hidden="1"/>
    </xf>
    <xf numFmtId="164" fontId="0" fillId="0" borderId="0" xfId="0" applyNumberFormat="1"/>
    <xf numFmtId="0" fontId="7" fillId="0" borderId="1" xfId="0" applyFont="1" applyBorder="1" applyAlignment="1" applyProtection="1">
      <alignment vertical="center" wrapText="1"/>
      <protection locked="0"/>
    </xf>
    <xf numFmtId="0" fontId="7" fillId="0" borderId="2" xfId="0" applyFont="1" applyBorder="1" applyAlignment="1" applyProtection="1">
      <alignment vertical="center" wrapText="1"/>
      <protection locked="0"/>
    </xf>
    <xf numFmtId="0" fontId="7" fillId="0" borderId="0" xfId="0" applyFont="1" applyAlignment="1">
      <alignment horizontal="center" textRotation="90" wrapText="1"/>
    </xf>
    <xf numFmtId="0" fontId="4" fillId="0" borderId="0" xfId="0" applyFont="1" applyAlignment="1">
      <alignment horizontal="center"/>
    </xf>
    <xf numFmtId="0" fontId="0" fillId="0" borderId="4" xfId="0" applyBorder="1"/>
    <xf numFmtId="0" fontId="0" fillId="0" borderId="2" xfId="0" applyBorder="1"/>
    <xf numFmtId="0" fontId="0" fillId="0" borderId="9" xfId="0" applyBorder="1" applyAlignment="1">
      <alignment horizontal="center"/>
    </xf>
    <xf numFmtId="0" fontId="0" fillId="0" borderId="0" xfId="0" applyAlignment="1">
      <alignment vertical="center"/>
    </xf>
    <xf numFmtId="0" fontId="25" fillId="8" borderId="0" xfId="0" applyFont="1" applyFill="1" applyAlignment="1">
      <alignment horizontal="center" vertical="center"/>
    </xf>
    <xf numFmtId="9" fontId="26" fillId="10" borderId="0" xfId="0" applyNumberFormat="1" applyFont="1" applyFill="1" applyAlignment="1">
      <alignment horizontal="center" vertical="center"/>
    </xf>
    <xf numFmtId="9" fontId="26" fillId="10" borderId="4" xfId="0" applyNumberFormat="1" applyFont="1" applyFill="1" applyBorder="1" applyAlignment="1">
      <alignment horizontal="center" vertical="center"/>
    </xf>
    <xf numFmtId="0" fontId="25" fillId="8" borderId="4" xfId="0" applyFont="1" applyFill="1" applyBorder="1" applyAlignment="1">
      <alignment horizontal="center" vertical="center"/>
    </xf>
    <xf numFmtId="16" fontId="29" fillId="3" borderId="4" xfId="0" applyNumberFormat="1" applyFont="1" applyFill="1" applyBorder="1" applyAlignment="1">
      <alignment horizontal="center" vertical="center" wrapText="1"/>
    </xf>
    <xf numFmtId="0" fontId="29" fillId="2" borderId="4" xfId="0" applyFont="1" applyFill="1" applyBorder="1" applyAlignment="1">
      <alignment horizontal="center" vertical="center" wrapText="1"/>
    </xf>
    <xf numFmtId="0" fontId="29" fillId="5" borderId="4" xfId="0" applyFont="1" applyFill="1" applyBorder="1" applyAlignment="1">
      <alignment horizontal="center" vertical="center" wrapText="1"/>
    </xf>
    <xf numFmtId="0" fontId="29" fillId="4" borderId="4" xfId="0" applyFont="1" applyFill="1" applyBorder="1" applyAlignment="1">
      <alignment horizontal="center" vertical="center" wrapText="1"/>
    </xf>
    <xf numFmtId="0" fontId="28" fillId="0" borderId="4" xfId="0" applyFont="1" applyBorder="1" applyAlignment="1">
      <alignment vertical="center"/>
    </xf>
    <xf numFmtId="0" fontId="28" fillId="0" borderId="7" xfId="0" applyFont="1" applyBorder="1" applyAlignment="1">
      <alignment vertical="center"/>
    </xf>
    <xf numFmtId="0" fontId="32" fillId="0" borderId="4" xfId="0" applyFont="1" applyBorder="1" applyAlignment="1">
      <alignment horizontal="center" vertical="center"/>
    </xf>
    <xf numFmtId="0" fontId="32" fillId="0" borderId="0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9" fontId="26" fillId="10" borderId="6" xfId="0" applyNumberFormat="1" applyFont="1" applyFill="1" applyBorder="1" applyAlignment="1">
      <alignment horizontal="center" vertical="center"/>
    </xf>
    <xf numFmtId="0" fontId="30" fillId="12" borderId="4" xfId="0" applyFont="1" applyFill="1" applyBorder="1" applyAlignment="1">
      <alignment horizontal="center" vertical="center"/>
    </xf>
    <xf numFmtId="9" fontId="20" fillId="0" borderId="4" xfId="0" applyNumberFormat="1" applyFont="1" applyBorder="1" applyAlignment="1">
      <alignment horizontal="center" vertical="center"/>
    </xf>
    <xf numFmtId="0" fontId="32" fillId="0" borderId="0" xfId="0" applyFont="1" applyAlignment="1">
      <alignment vertical="center"/>
    </xf>
    <xf numFmtId="9" fontId="32" fillId="14" borderId="0" xfId="0" applyNumberFormat="1" applyFont="1" applyFill="1" applyAlignment="1">
      <alignment horizontal="center" vertical="center"/>
    </xf>
    <xf numFmtId="0" fontId="29" fillId="0" borderId="0" xfId="0" applyFont="1" applyAlignment="1">
      <alignment horizontal="center" vertical="center" textRotation="90" wrapText="1"/>
    </xf>
    <xf numFmtId="9" fontId="29" fillId="10" borderId="10" xfId="0" applyNumberFormat="1" applyFont="1" applyFill="1" applyBorder="1" applyAlignment="1">
      <alignment horizontal="center" vertical="center"/>
    </xf>
    <xf numFmtId="9" fontId="29" fillId="10" borderId="10" xfId="0" applyNumberFormat="1" applyFont="1" applyFill="1" applyBorder="1" applyAlignment="1">
      <alignment vertical="center"/>
    </xf>
    <xf numFmtId="0" fontId="23" fillId="11" borderId="4" xfId="0" applyFont="1" applyFill="1" applyBorder="1" applyAlignment="1">
      <alignment horizontal="center"/>
    </xf>
    <xf numFmtId="0" fontId="0" fillId="0" borderId="0" xfId="0" applyFill="1"/>
    <xf numFmtId="0" fontId="1" fillId="0" borderId="0" xfId="0" applyFont="1" applyFill="1"/>
    <xf numFmtId="164" fontId="19" fillId="0" borderId="29" xfId="0" applyNumberFormat="1" applyFont="1" applyBorder="1" applyAlignment="1" applyProtection="1">
      <alignment horizontal="center" vertical="center" wrapText="1"/>
      <protection hidden="1"/>
    </xf>
    <xf numFmtId="164" fontId="19" fillId="0" borderId="35" xfId="0" applyNumberFormat="1" applyFont="1" applyBorder="1" applyAlignment="1" applyProtection="1">
      <alignment horizontal="center" vertical="center" wrapText="1"/>
      <protection hidden="1"/>
    </xf>
    <xf numFmtId="164" fontId="19" fillId="0" borderId="31" xfId="0" applyNumberFormat="1" applyFont="1" applyBorder="1" applyAlignment="1" applyProtection="1">
      <alignment horizontal="center" vertical="center" wrapText="1"/>
      <protection hidden="1"/>
    </xf>
    <xf numFmtId="0" fontId="7" fillId="0" borderId="0" xfId="0" applyFont="1" applyAlignment="1">
      <alignment horizontal="center" textRotation="90" wrapText="1"/>
    </xf>
    <xf numFmtId="0" fontId="8" fillId="6" borderId="28" xfId="0" applyFont="1" applyFill="1" applyBorder="1" applyAlignment="1" applyProtection="1">
      <alignment horizontal="center"/>
      <protection hidden="1"/>
    </xf>
    <xf numFmtId="0" fontId="0" fillId="0" borderId="28" xfId="0" applyBorder="1" applyProtection="1">
      <protection hidden="1"/>
    </xf>
    <xf numFmtId="0" fontId="9" fillId="2" borderId="28" xfId="0" applyFont="1" applyFill="1" applyBorder="1" applyAlignment="1" applyProtection="1">
      <alignment horizontal="center"/>
      <protection hidden="1"/>
    </xf>
    <xf numFmtId="0" fontId="13" fillId="5" borderId="28" xfId="0" applyFont="1" applyFill="1" applyBorder="1" applyAlignment="1" applyProtection="1">
      <alignment horizontal="center"/>
      <protection hidden="1"/>
    </xf>
    <xf numFmtId="0" fontId="16" fillId="4" borderId="28" xfId="0" applyFont="1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9" fontId="1" fillId="0" borderId="28" xfId="1" applyFont="1" applyBorder="1" applyAlignment="1" applyProtection="1">
      <alignment horizontal="center"/>
      <protection hidden="1"/>
    </xf>
    <xf numFmtId="9" fontId="26" fillId="10" borderId="0" xfId="0" applyNumberFormat="1" applyFont="1" applyFill="1" applyAlignment="1" applyProtection="1">
      <alignment horizontal="center" vertical="center"/>
      <protection locked="0"/>
    </xf>
    <xf numFmtId="9" fontId="26" fillId="10" borderId="4" xfId="0" applyNumberFormat="1" applyFont="1" applyFill="1" applyBorder="1" applyAlignment="1" applyProtection="1">
      <alignment horizontal="center" vertical="center"/>
      <protection locked="0"/>
    </xf>
    <xf numFmtId="0" fontId="25" fillId="8" borderId="4" xfId="0" applyFont="1" applyFill="1" applyBorder="1" applyAlignment="1" applyProtection="1">
      <alignment horizontal="center" vertical="center"/>
      <protection hidden="1"/>
    </xf>
    <xf numFmtId="9" fontId="26" fillId="10" borderId="6" xfId="0" applyNumberFormat="1" applyFont="1" applyFill="1" applyBorder="1" applyAlignment="1" applyProtection="1">
      <alignment horizontal="center" vertical="center"/>
      <protection locked="0"/>
    </xf>
    <xf numFmtId="0" fontId="30" fillId="12" borderId="4" xfId="0" applyFont="1" applyFill="1" applyBorder="1" applyAlignment="1" applyProtection="1">
      <alignment horizontal="center" vertical="center"/>
      <protection hidden="1"/>
    </xf>
    <xf numFmtId="0" fontId="0" fillId="0" borderId="4" xfId="0" applyBorder="1" applyProtection="1">
      <protection hidden="1"/>
    </xf>
    <xf numFmtId="9" fontId="20" fillId="0" borderId="4" xfId="0" applyNumberFormat="1" applyFont="1" applyBorder="1" applyAlignment="1" applyProtection="1">
      <alignment horizontal="center" vertical="center"/>
      <protection hidden="1"/>
    </xf>
    <xf numFmtId="164" fontId="6" fillId="15" borderId="4" xfId="0" applyNumberFormat="1" applyFont="1" applyFill="1" applyBorder="1" applyAlignment="1" applyProtection="1">
      <alignment horizontal="center" vertical="center"/>
      <protection locked="0"/>
    </xf>
    <xf numFmtId="164" fontId="6" fillId="7" borderId="4" xfId="0" applyNumberFormat="1" applyFont="1" applyFill="1" applyBorder="1" applyAlignment="1" applyProtection="1">
      <alignment horizontal="center" vertical="center"/>
      <protection hidden="1"/>
    </xf>
    <xf numFmtId="9" fontId="29" fillId="10" borderId="5" xfId="0" applyNumberFormat="1" applyFont="1" applyFill="1" applyBorder="1" applyAlignment="1" applyProtection="1">
      <alignment horizontal="center" vertical="center"/>
      <protection locked="0"/>
    </xf>
    <xf numFmtId="9" fontId="29" fillId="10" borderId="5" xfId="0" applyNumberFormat="1" applyFont="1" applyFill="1" applyBorder="1" applyAlignment="1" applyProtection="1">
      <alignment vertical="center"/>
      <protection locked="0"/>
    </xf>
    <xf numFmtId="164" fontId="6" fillId="15" borderId="5" xfId="0" applyNumberFormat="1" applyFont="1" applyFill="1" applyBorder="1" applyAlignment="1" applyProtection="1">
      <alignment horizontal="center" vertical="center"/>
      <protection locked="0"/>
    </xf>
    <xf numFmtId="9" fontId="32" fillId="14" borderId="5" xfId="0" applyNumberFormat="1" applyFont="1" applyFill="1" applyBorder="1" applyAlignment="1" applyProtection="1">
      <alignment horizontal="center" vertical="center"/>
      <protection hidden="1"/>
    </xf>
    <xf numFmtId="0" fontId="36" fillId="12" borderId="27" xfId="0" applyFont="1" applyFill="1" applyBorder="1" applyAlignment="1" applyProtection="1">
      <alignment horizontal="center" vertical="center" wrapText="1"/>
      <protection hidden="1"/>
    </xf>
    <xf numFmtId="164" fontId="6" fillId="15" borderId="5" xfId="0" applyNumberFormat="1" applyFont="1" applyFill="1" applyBorder="1" applyAlignment="1" applyProtection="1">
      <alignment horizontal="center" vertical="center"/>
      <protection hidden="1"/>
    </xf>
    <xf numFmtId="164" fontId="6" fillId="7" borderId="5" xfId="0" applyNumberFormat="1" applyFont="1" applyFill="1" applyBorder="1" applyAlignment="1" applyProtection="1">
      <alignment horizontal="center" vertical="center"/>
      <protection hidden="1"/>
    </xf>
    <xf numFmtId="164" fontId="4" fillId="0" borderId="4" xfId="0" applyNumberFormat="1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right"/>
      <protection hidden="1"/>
    </xf>
    <xf numFmtId="0" fontId="32" fillId="0" borderId="4" xfId="0" applyFont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/>
      <protection hidden="1"/>
    </xf>
    <xf numFmtId="0" fontId="32" fillId="0" borderId="5" xfId="0" applyFont="1" applyBorder="1" applyAlignment="1" applyProtection="1">
      <alignment horizontal="center" vertical="center"/>
      <protection hidden="1"/>
    </xf>
    <xf numFmtId="0" fontId="0" fillId="0" borderId="9" xfId="0" applyBorder="1" applyAlignment="1" applyProtection="1">
      <alignment horizontal="center"/>
      <protection hidden="1"/>
    </xf>
    <xf numFmtId="0" fontId="0" fillId="0" borderId="2" xfId="0" applyBorder="1" applyProtection="1">
      <protection hidden="1"/>
    </xf>
    <xf numFmtId="0" fontId="25" fillId="8" borderId="0" xfId="0" applyFont="1" applyFill="1" applyAlignment="1" applyProtection="1">
      <alignment horizontal="center" vertical="center"/>
      <protection hidden="1"/>
    </xf>
    <xf numFmtId="9" fontId="26" fillId="10" borderId="0" xfId="0" applyNumberFormat="1" applyFont="1" applyFill="1" applyAlignment="1" applyProtection="1">
      <alignment horizontal="center" vertical="center"/>
      <protection hidden="1"/>
    </xf>
    <xf numFmtId="9" fontId="26" fillId="10" borderId="4" xfId="0" applyNumberFormat="1" applyFont="1" applyFill="1" applyBorder="1" applyAlignment="1" applyProtection="1">
      <alignment horizontal="center" vertical="center"/>
      <protection hidden="1"/>
    </xf>
    <xf numFmtId="9" fontId="26" fillId="10" borderId="6" xfId="0" applyNumberFormat="1" applyFont="1" applyFill="1" applyBorder="1" applyAlignment="1" applyProtection="1">
      <alignment horizontal="center" vertical="center"/>
      <protection hidden="1"/>
    </xf>
    <xf numFmtId="164" fontId="6" fillId="15" borderId="7" xfId="0" applyNumberFormat="1" applyFont="1" applyFill="1" applyBorder="1" applyAlignment="1" applyProtection="1">
      <alignment horizontal="center" vertical="center"/>
      <protection locked="0"/>
    </xf>
    <xf numFmtId="164" fontId="6" fillId="15" borderId="18" xfId="0" applyNumberFormat="1" applyFont="1" applyFill="1" applyBorder="1" applyAlignment="1" applyProtection="1">
      <alignment horizontal="center" vertical="center"/>
      <protection locked="0"/>
    </xf>
    <xf numFmtId="0" fontId="10" fillId="0" borderId="4" xfId="0" applyFont="1" applyBorder="1" applyAlignment="1" applyProtection="1">
      <alignment horizontal="center"/>
      <protection hidden="1"/>
    </xf>
    <xf numFmtId="164" fontId="4" fillId="0" borderId="5" xfId="0" applyNumberFormat="1" applyFont="1" applyBorder="1" applyAlignment="1" applyProtection="1">
      <alignment horizontal="center" vertical="center"/>
      <protection hidden="1"/>
    </xf>
    <xf numFmtId="164" fontId="19" fillId="0" borderId="0" xfId="0" applyNumberFormat="1" applyFont="1" applyAlignment="1" applyProtection="1">
      <alignment horizontal="center" vertical="center" wrapText="1"/>
      <protection hidden="1"/>
    </xf>
    <xf numFmtId="164" fontId="19" fillId="0" borderId="38" xfId="0" applyNumberFormat="1" applyFont="1" applyBorder="1" applyAlignment="1" applyProtection="1">
      <alignment horizontal="center" vertical="center" wrapText="1"/>
      <protection hidden="1"/>
    </xf>
    <xf numFmtId="0" fontId="0" fillId="9" borderId="0" xfId="0" applyFill="1"/>
    <xf numFmtId="164" fontId="19" fillId="0" borderId="4" xfId="0" applyNumberFormat="1" applyFont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vertical="center"/>
      <protection hidden="1"/>
    </xf>
    <xf numFmtId="0" fontId="19" fillId="5" borderId="4" xfId="0" applyFont="1" applyFill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/>
      <protection hidden="1"/>
    </xf>
    <xf numFmtId="0" fontId="1" fillId="0" borderId="0" xfId="0" applyFont="1" applyProtection="1">
      <protection hidden="1"/>
    </xf>
    <xf numFmtId="0" fontId="0" fillId="0" borderId="0" xfId="0" applyFont="1" applyFill="1" applyProtection="1">
      <protection hidden="1"/>
    </xf>
    <xf numFmtId="9" fontId="1" fillId="0" borderId="37" xfId="0" applyNumberFormat="1" applyFont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4" xfId="0" applyFont="1" applyBorder="1" applyAlignment="1" applyProtection="1">
      <alignment horizontal="left" vertical="center" wrapText="1"/>
      <protection hidden="1"/>
    </xf>
    <xf numFmtId="0" fontId="7" fillId="0" borderId="0" xfId="0" applyFont="1" applyAlignment="1" applyProtection="1">
      <alignment textRotation="90" wrapText="1"/>
      <protection hidden="1"/>
    </xf>
    <xf numFmtId="0" fontId="7" fillId="0" borderId="0" xfId="0" applyFont="1" applyAlignment="1" applyProtection="1">
      <alignment vertical="center" wrapText="1"/>
      <protection hidden="1"/>
    </xf>
    <xf numFmtId="0" fontId="7" fillId="0" borderId="0" xfId="0" applyFont="1" applyAlignment="1" applyProtection="1">
      <alignment horizontal="center" textRotation="90" wrapText="1"/>
      <protection hidden="1"/>
    </xf>
    <xf numFmtId="0" fontId="21" fillId="0" borderId="0" xfId="0" applyFont="1" applyAlignment="1" applyProtection="1">
      <alignment horizontal="center" vertical="center"/>
      <protection hidden="1"/>
    </xf>
    <xf numFmtId="0" fontId="18" fillId="0" borderId="0" xfId="0" applyFont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0" fontId="17" fillId="0" borderId="4" xfId="0" applyFont="1" applyBorder="1" applyAlignment="1" applyProtection="1">
      <alignment horizontal="left"/>
      <protection hidden="1"/>
    </xf>
    <xf numFmtId="16" fontId="29" fillId="3" borderId="0" xfId="0" applyNumberFormat="1" applyFont="1" applyFill="1" applyBorder="1" applyAlignment="1" applyProtection="1">
      <alignment horizontal="center" vertical="center" wrapText="1"/>
      <protection hidden="1"/>
    </xf>
    <xf numFmtId="0" fontId="29" fillId="2" borderId="0" xfId="0" applyFont="1" applyFill="1" applyBorder="1" applyAlignment="1" applyProtection="1">
      <alignment horizontal="center" vertical="center" wrapText="1"/>
      <protection hidden="1"/>
    </xf>
    <xf numFmtId="0" fontId="29" fillId="5" borderId="0" xfId="0" applyFont="1" applyFill="1" applyBorder="1" applyAlignment="1" applyProtection="1">
      <alignment horizontal="center" vertical="center" wrapText="1"/>
      <protection hidden="1"/>
    </xf>
    <xf numFmtId="0" fontId="29" fillId="4" borderId="43" xfId="0" applyFont="1" applyFill="1" applyBorder="1" applyAlignment="1" applyProtection="1">
      <alignment horizontal="center" vertical="center" wrapText="1"/>
      <protection hidden="1"/>
    </xf>
    <xf numFmtId="0" fontId="29" fillId="4" borderId="0" xfId="0" applyFont="1" applyFill="1" applyBorder="1" applyAlignment="1" applyProtection="1">
      <alignment horizontal="center" vertical="center" wrapText="1"/>
      <protection hidden="1"/>
    </xf>
    <xf numFmtId="164" fontId="6" fillId="7" borderId="4" xfId="1" applyNumberFormat="1" applyFont="1" applyFill="1" applyBorder="1" applyAlignment="1" applyProtection="1">
      <alignment horizontal="center" vertical="center"/>
      <protection hidden="1"/>
    </xf>
    <xf numFmtId="164" fontId="19" fillId="0" borderId="47" xfId="0" applyNumberFormat="1" applyFont="1" applyBorder="1" applyAlignment="1" applyProtection="1">
      <alignment horizontal="center" vertical="center" wrapText="1"/>
      <protection hidden="1"/>
    </xf>
    <xf numFmtId="0" fontId="7" fillId="0" borderId="48" xfId="0" applyFont="1" applyBorder="1" applyAlignment="1" applyProtection="1">
      <alignment horizontal="left" vertical="center" wrapText="1"/>
      <protection hidden="1"/>
    </xf>
    <xf numFmtId="164" fontId="19" fillId="0" borderId="49" xfId="0" applyNumberFormat="1" applyFont="1" applyBorder="1" applyAlignment="1" applyProtection="1">
      <alignment horizontal="center" vertical="center" wrapText="1"/>
      <protection hidden="1"/>
    </xf>
    <xf numFmtId="164" fontId="19" fillId="0" borderId="50" xfId="0" applyNumberFormat="1" applyFont="1" applyBorder="1" applyAlignment="1" applyProtection="1">
      <alignment horizontal="center" vertical="center" wrapText="1"/>
      <protection hidden="1"/>
    </xf>
    <xf numFmtId="164" fontId="19" fillId="0" borderId="51" xfId="0" applyNumberFormat="1" applyFont="1" applyBorder="1" applyAlignment="1" applyProtection="1">
      <alignment horizontal="center" vertical="center" wrapText="1"/>
      <protection hidden="1"/>
    </xf>
    <xf numFmtId="0" fontId="7" fillId="0" borderId="52" xfId="0" applyFont="1" applyBorder="1" applyAlignment="1" applyProtection="1">
      <alignment horizontal="left" vertical="center" wrapText="1"/>
      <protection hidden="1"/>
    </xf>
    <xf numFmtId="0" fontId="7" fillId="0" borderId="53" xfId="0" applyFont="1" applyBorder="1" applyAlignment="1" applyProtection="1">
      <alignment horizontal="left" vertical="center" wrapText="1"/>
      <protection hidden="1"/>
    </xf>
    <xf numFmtId="1" fontId="10" fillId="0" borderId="4" xfId="0" applyNumberFormat="1" applyFont="1" applyBorder="1" applyAlignment="1" applyProtection="1">
      <alignment horizontal="center"/>
      <protection locked="0"/>
    </xf>
    <xf numFmtId="0" fontId="23" fillId="11" borderId="4" xfId="0" applyFont="1" applyFill="1" applyBorder="1" applyAlignment="1" applyProtection="1">
      <alignment horizontal="center" vertical="center"/>
      <protection hidden="1"/>
    </xf>
    <xf numFmtId="1" fontId="10" fillId="0" borderId="4" xfId="0" applyNumberFormat="1" applyFont="1" applyBorder="1" applyAlignment="1" applyProtection="1">
      <alignment horizontal="center"/>
      <protection hidden="1"/>
    </xf>
    <xf numFmtId="1" fontId="17" fillId="0" borderId="6" xfId="0" applyNumberFormat="1" applyFont="1" applyBorder="1" applyAlignment="1" applyProtection="1">
      <alignment horizontal="left"/>
      <protection locked="0"/>
    </xf>
    <xf numFmtId="1" fontId="17" fillId="0" borderId="6" xfId="0" applyNumberFormat="1" applyFont="1" applyBorder="1" applyAlignment="1" applyProtection="1">
      <alignment horizontal="left" wrapText="1"/>
      <protection locked="0"/>
    </xf>
    <xf numFmtId="1" fontId="17" fillId="0" borderId="6" xfId="0" applyNumberFormat="1" applyFont="1" applyBorder="1" applyAlignment="1" applyProtection="1">
      <alignment horizontal="center"/>
      <protection locked="0"/>
    </xf>
    <xf numFmtId="9" fontId="29" fillId="10" borderId="18" xfId="0" applyNumberFormat="1" applyFont="1" applyFill="1" applyBorder="1" applyAlignment="1" applyProtection="1">
      <alignment horizontal="center" vertical="center"/>
      <protection locked="0"/>
    </xf>
    <xf numFmtId="0" fontId="32" fillId="0" borderId="4" xfId="0" applyFont="1" applyBorder="1" applyAlignment="1" applyProtection="1">
      <alignment horizontal="center" vertical="center" wrapText="1"/>
      <protection locked="0"/>
    </xf>
    <xf numFmtId="0" fontId="32" fillId="0" borderId="4" xfId="0" applyFont="1" applyBorder="1" applyAlignment="1" applyProtection="1">
      <alignment horizontal="center" vertical="center"/>
      <protection locked="0"/>
    </xf>
    <xf numFmtId="0" fontId="32" fillId="0" borderId="5" xfId="0" applyFont="1" applyBorder="1" applyAlignment="1" applyProtection="1">
      <alignment horizontal="center" vertical="center"/>
      <protection locked="0"/>
    </xf>
    <xf numFmtId="0" fontId="32" fillId="0" borderId="5" xfId="0" applyFont="1" applyBorder="1" applyAlignment="1" applyProtection="1">
      <alignment horizontal="center" vertical="center" wrapText="1"/>
      <protection hidden="1"/>
    </xf>
    <xf numFmtId="0" fontId="23" fillId="11" borderId="5" xfId="0" applyFont="1" applyFill="1" applyBorder="1" applyAlignment="1">
      <alignment horizontal="center"/>
    </xf>
    <xf numFmtId="9" fontId="1" fillId="0" borderId="28" xfId="1" applyFont="1" applyBorder="1" applyAlignment="1" applyProtection="1">
      <alignment horizontal="center"/>
      <protection hidden="1"/>
    </xf>
    <xf numFmtId="0" fontId="8" fillId="6" borderId="28" xfId="0" applyFont="1" applyFill="1" applyBorder="1" applyAlignment="1" applyProtection="1">
      <alignment horizontal="center"/>
      <protection hidden="1"/>
    </xf>
    <xf numFmtId="0" fontId="9" fillId="2" borderId="28" xfId="0" applyFont="1" applyFill="1" applyBorder="1" applyAlignment="1" applyProtection="1">
      <alignment horizontal="center"/>
      <protection hidden="1"/>
    </xf>
    <xf numFmtId="0" fontId="13" fillId="5" borderId="28" xfId="0" applyFont="1" applyFill="1" applyBorder="1" applyAlignment="1" applyProtection="1">
      <alignment horizontal="center"/>
      <protection hidden="1"/>
    </xf>
    <xf numFmtId="0" fontId="16" fillId="4" borderId="28" xfId="0" applyFont="1" applyFill="1" applyBorder="1" applyAlignment="1" applyProtection="1">
      <alignment horizontal="center"/>
      <protection hidden="1"/>
    </xf>
    <xf numFmtId="0" fontId="4" fillId="16" borderId="4" xfId="0" applyFont="1" applyFill="1" applyBorder="1" applyAlignment="1">
      <alignment horizontal="center" vertical="center" wrapText="1"/>
    </xf>
    <xf numFmtId="0" fontId="31" fillId="11" borderId="6" xfId="0" applyFont="1" applyFill="1" applyBorder="1" applyAlignment="1" applyProtection="1">
      <alignment horizontal="center" vertical="center"/>
      <protection hidden="1"/>
    </xf>
    <xf numFmtId="0" fontId="38" fillId="0" borderId="4" xfId="0" applyFont="1" applyBorder="1" applyAlignment="1" applyProtection="1">
      <alignment horizontal="left" vertical="center" wrapText="1"/>
      <protection hidden="1"/>
    </xf>
    <xf numFmtId="0" fontId="38" fillId="0" borderId="19" xfId="0" applyFont="1" applyBorder="1" applyAlignment="1" applyProtection="1">
      <alignment horizontal="left" vertical="center" wrapText="1"/>
      <protection hidden="1"/>
    </xf>
    <xf numFmtId="0" fontId="24" fillId="13" borderId="23" xfId="0" applyFont="1" applyFill="1" applyBorder="1" applyAlignment="1" applyProtection="1">
      <alignment horizontal="center" vertical="center"/>
      <protection hidden="1"/>
    </xf>
    <xf numFmtId="0" fontId="24" fillId="13" borderId="24" xfId="0" applyFont="1" applyFill="1" applyBorder="1" applyAlignment="1" applyProtection="1">
      <alignment horizontal="center" vertical="center"/>
      <protection hidden="1"/>
    </xf>
    <xf numFmtId="0" fontId="38" fillId="0" borderId="8" xfId="0" applyFont="1" applyBorder="1" applyAlignment="1" applyProtection="1">
      <alignment horizontal="left" vertical="center" wrapText="1"/>
      <protection hidden="1"/>
    </xf>
    <xf numFmtId="0" fontId="33" fillId="0" borderId="0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0" fillId="0" borderId="0" xfId="0" applyNumberFormat="1" applyFont="1" applyBorder="1" applyAlignment="1" applyProtection="1">
      <alignment horizontal="center" vertical="center"/>
      <protection locked="0"/>
    </xf>
    <xf numFmtId="0" fontId="20" fillId="0" borderId="0" xfId="0" applyFont="1" applyBorder="1" applyAlignment="1" applyProtection="1">
      <alignment horizontal="center" vertical="center"/>
      <protection locked="0"/>
    </xf>
    <xf numFmtId="0" fontId="25" fillId="8" borderId="6" xfId="0" applyFont="1" applyFill="1" applyBorder="1" applyAlignment="1" applyProtection="1">
      <alignment horizontal="center" vertical="center"/>
      <protection hidden="1"/>
    </xf>
    <xf numFmtId="0" fontId="25" fillId="8" borderId="2" xfId="0" applyFont="1" applyFill="1" applyBorder="1" applyAlignment="1" applyProtection="1">
      <alignment horizontal="center" vertical="center"/>
      <protection hidden="1"/>
    </xf>
    <xf numFmtId="0" fontId="25" fillId="8" borderId="7" xfId="0" applyFont="1" applyFill="1" applyBorder="1" applyAlignment="1" applyProtection="1">
      <alignment horizontal="center" vertical="center"/>
      <protection hidden="1"/>
    </xf>
    <xf numFmtId="0" fontId="24" fillId="13" borderId="4" xfId="0" applyFont="1" applyFill="1" applyBorder="1" applyAlignment="1" applyProtection="1">
      <alignment horizontal="center" vertical="center"/>
      <protection hidden="1"/>
    </xf>
    <xf numFmtId="0" fontId="24" fillId="13" borderId="3" xfId="0" applyFont="1" applyFill="1" applyBorder="1" applyAlignment="1" applyProtection="1">
      <alignment horizontal="center" vertical="center"/>
      <protection hidden="1"/>
    </xf>
    <xf numFmtId="0" fontId="24" fillId="13" borderId="1" xfId="0" applyFont="1" applyFill="1" applyBorder="1" applyAlignment="1" applyProtection="1">
      <alignment horizontal="center" vertical="center"/>
      <protection hidden="1"/>
    </xf>
    <xf numFmtId="0" fontId="24" fillId="13" borderId="57" xfId="0" applyFont="1" applyFill="1" applyBorder="1" applyAlignment="1" applyProtection="1">
      <alignment horizontal="center"/>
      <protection hidden="1"/>
    </xf>
    <xf numFmtId="0" fontId="24" fillId="13" borderId="22" xfId="0" applyFont="1" applyFill="1" applyBorder="1" applyAlignment="1" applyProtection="1">
      <alignment horizontal="center"/>
      <protection hidden="1"/>
    </xf>
    <xf numFmtId="0" fontId="24" fillId="13" borderId="26" xfId="0" applyFont="1" applyFill="1" applyBorder="1" applyAlignment="1" applyProtection="1">
      <alignment horizontal="center"/>
      <protection hidden="1"/>
    </xf>
    <xf numFmtId="0" fontId="38" fillId="0" borderId="6" xfId="0" applyFont="1" applyBorder="1" applyAlignment="1" applyProtection="1">
      <alignment horizontal="left" vertical="center" wrapText="1"/>
      <protection hidden="1"/>
    </xf>
    <xf numFmtId="0" fontId="31" fillId="8" borderId="10" xfId="0" applyFont="1" applyFill="1" applyBorder="1" applyAlignment="1" applyProtection="1">
      <alignment horizontal="left" vertical="center"/>
      <protection hidden="1"/>
    </xf>
    <xf numFmtId="0" fontId="31" fillId="8" borderId="14" xfId="0" applyFont="1" applyFill="1" applyBorder="1" applyAlignment="1" applyProtection="1">
      <alignment horizontal="left" vertical="center"/>
      <protection hidden="1"/>
    </xf>
    <xf numFmtId="0" fontId="31" fillId="8" borderId="15" xfId="0" applyFont="1" applyFill="1" applyBorder="1" applyAlignment="1" applyProtection="1">
      <alignment horizontal="left" vertical="center"/>
      <protection hidden="1"/>
    </xf>
    <xf numFmtId="0" fontId="31" fillId="8" borderId="12" xfId="0" applyFont="1" applyFill="1" applyBorder="1" applyAlignment="1" applyProtection="1">
      <alignment horizontal="left" vertical="center"/>
      <protection hidden="1"/>
    </xf>
    <xf numFmtId="0" fontId="31" fillId="8" borderId="13" xfId="0" applyFont="1" applyFill="1" applyBorder="1" applyAlignment="1" applyProtection="1">
      <alignment horizontal="left" vertical="center"/>
      <protection hidden="1"/>
    </xf>
    <xf numFmtId="0" fontId="31" fillId="8" borderId="20" xfId="0" applyFont="1" applyFill="1" applyBorder="1" applyAlignment="1" applyProtection="1">
      <alignment horizontal="left" vertical="center"/>
      <protection hidden="1"/>
    </xf>
    <xf numFmtId="0" fontId="31" fillId="8" borderId="21" xfId="0" applyFont="1" applyFill="1" applyBorder="1" applyAlignment="1" applyProtection="1">
      <alignment horizontal="left" vertical="center"/>
      <protection hidden="1"/>
    </xf>
    <xf numFmtId="0" fontId="31" fillId="11" borderId="41" xfId="0" applyFont="1" applyFill="1" applyBorder="1" applyAlignment="1" applyProtection="1">
      <alignment horizontal="center" vertical="center"/>
      <protection hidden="1"/>
    </xf>
    <xf numFmtId="0" fontId="31" fillId="11" borderId="42" xfId="0" applyFont="1" applyFill="1" applyBorder="1" applyAlignment="1" applyProtection="1">
      <alignment horizontal="center" vertical="center"/>
      <protection hidden="1"/>
    </xf>
    <xf numFmtId="0" fontId="24" fillId="13" borderId="41" xfId="0" applyFont="1" applyFill="1" applyBorder="1" applyAlignment="1" applyProtection="1">
      <alignment horizontal="center" vertical="center"/>
      <protection hidden="1"/>
    </xf>
    <xf numFmtId="0" fontId="24" fillId="13" borderId="18" xfId="0" applyFont="1" applyFill="1" applyBorder="1" applyAlignment="1" applyProtection="1">
      <alignment horizontal="center" vertical="center"/>
      <protection hidden="1"/>
    </xf>
    <xf numFmtId="0" fontId="24" fillId="13" borderId="25" xfId="0" applyFont="1" applyFill="1" applyBorder="1" applyAlignment="1" applyProtection="1">
      <alignment horizontal="center"/>
      <protection hidden="1"/>
    </xf>
    <xf numFmtId="0" fontId="31" fillId="8" borderId="4" xfId="0" applyFont="1" applyFill="1" applyBorder="1" applyAlignment="1" applyProtection="1">
      <alignment horizontal="left" vertical="center"/>
      <protection hidden="1"/>
    </xf>
    <xf numFmtId="0" fontId="31" fillId="8" borderId="58" xfId="0" applyFont="1" applyFill="1" applyBorder="1" applyAlignment="1" applyProtection="1">
      <alignment horizontal="left" vertical="center"/>
      <protection hidden="1"/>
    </xf>
    <xf numFmtId="0" fontId="31" fillId="8" borderId="59" xfId="0" applyFont="1" applyFill="1" applyBorder="1" applyAlignment="1" applyProtection="1">
      <alignment horizontal="left" vertical="center"/>
      <protection hidden="1"/>
    </xf>
    <xf numFmtId="0" fontId="31" fillId="8" borderId="16" xfId="0" applyFont="1" applyFill="1" applyBorder="1" applyAlignment="1" applyProtection="1">
      <alignment horizontal="left" vertical="center"/>
      <protection hidden="1"/>
    </xf>
    <xf numFmtId="0" fontId="31" fillId="8" borderId="17" xfId="0" applyFont="1" applyFill="1" applyBorder="1" applyAlignment="1" applyProtection="1">
      <alignment horizontal="left" vertical="center"/>
      <protection hidden="1"/>
    </xf>
    <xf numFmtId="0" fontId="17" fillId="0" borderId="0" xfId="0" applyFont="1" applyAlignment="1">
      <alignment horizontal="center"/>
    </xf>
    <xf numFmtId="0" fontId="33" fillId="0" borderId="0" xfId="0" applyFont="1" applyAlignment="1">
      <alignment horizontal="center" vertical="center"/>
    </xf>
    <xf numFmtId="0" fontId="22" fillId="12" borderId="8" xfId="0" applyFont="1" applyFill="1" applyBorder="1" applyAlignment="1">
      <alignment horizontal="left" vertical="center"/>
    </xf>
    <xf numFmtId="0" fontId="22" fillId="12" borderId="11" xfId="0" applyFont="1" applyFill="1" applyBorder="1" applyAlignment="1">
      <alignment horizontal="left" vertical="center"/>
    </xf>
    <xf numFmtId="0" fontId="31" fillId="12" borderId="16" xfId="0" applyFont="1" applyFill="1" applyBorder="1" applyAlignment="1">
      <alignment horizontal="left" vertical="center"/>
    </xf>
    <xf numFmtId="0" fontId="31" fillId="12" borderId="17" xfId="0" applyFont="1" applyFill="1" applyBorder="1" applyAlignment="1">
      <alignment horizontal="left" vertical="center"/>
    </xf>
    <xf numFmtId="0" fontId="22" fillId="12" borderId="14" xfId="0" applyFont="1" applyFill="1" applyBorder="1" applyAlignment="1">
      <alignment horizontal="left" vertical="center"/>
    </xf>
    <xf numFmtId="0" fontId="22" fillId="12" borderId="15" xfId="0" applyFont="1" applyFill="1" applyBorder="1" applyAlignment="1">
      <alignment horizontal="left" vertical="center"/>
    </xf>
    <xf numFmtId="0" fontId="22" fillId="12" borderId="12" xfId="0" applyFont="1" applyFill="1" applyBorder="1" applyAlignment="1">
      <alignment horizontal="left" vertical="center"/>
    </xf>
    <xf numFmtId="0" fontId="22" fillId="12" borderId="13" xfId="0" applyFont="1" applyFill="1" applyBorder="1" applyAlignment="1">
      <alignment horizontal="left" vertical="center"/>
    </xf>
    <xf numFmtId="0" fontId="25" fillId="8" borderId="4" xfId="0" applyFont="1" applyFill="1" applyBorder="1" applyAlignment="1">
      <alignment horizontal="center" vertical="center"/>
    </xf>
    <xf numFmtId="0" fontId="27" fillId="0" borderId="4" xfId="0" applyFont="1" applyBorder="1" applyAlignment="1">
      <alignment horizontal="left" vertical="center" wrapText="1"/>
    </xf>
    <xf numFmtId="0" fontId="27" fillId="0" borderId="6" xfId="0" applyFont="1" applyBorder="1" applyAlignment="1">
      <alignment horizontal="left" vertical="center" wrapText="1"/>
    </xf>
    <xf numFmtId="0" fontId="27" fillId="0" borderId="4" xfId="0" applyFont="1" applyBorder="1" applyAlignment="1" applyProtection="1">
      <alignment horizontal="left" vertical="center" wrapText="1"/>
      <protection locked="0"/>
    </xf>
    <xf numFmtId="0" fontId="24" fillId="13" borderId="3" xfId="0" applyFont="1" applyFill="1" applyBorder="1" applyAlignment="1">
      <alignment horizontal="center" vertical="center"/>
    </xf>
    <xf numFmtId="0" fontId="24" fillId="1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textRotation="90" wrapText="1"/>
    </xf>
    <xf numFmtId="0" fontId="29" fillId="0" borderId="0" xfId="0" applyFont="1" applyAlignment="1">
      <alignment horizontal="center" vertical="center"/>
    </xf>
    <xf numFmtId="0" fontId="24" fillId="13" borderId="11" xfId="0" applyFont="1" applyFill="1" applyBorder="1" applyAlignment="1">
      <alignment horizontal="center" vertical="center"/>
    </xf>
    <xf numFmtId="0" fontId="24" fillId="13" borderId="18" xfId="0" applyFont="1" applyFill="1" applyBorder="1" applyAlignment="1">
      <alignment horizontal="center" vertical="center"/>
    </xf>
    <xf numFmtId="0" fontId="24" fillId="13" borderId="4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0" fillId="5" borderId="0" xfId="0" applyFont="1" applyFill="1" applyAlignment="1" applyProtection="1">
      <alignment horizontal="center" vertical="center"/>
      <protection locked="0"/>
    </xf>
    <xf numFmtId="0" fontId="22" fillId="8" borderId="0" xfId="0" applyFont="1" applyFill="1" applyAlignment="1">
      <alignment horizontal="center"/>
    </xf>
    <xf numFmtId="164" fontId="19" fillId="0" borderId="0" xfId="0" applyNumberFormat="1" applyFont="1" applyAlignment="1" applyProtection="1">
      <alignment horizontal="center" vertical="center" wrapText="1"/>
      <protection hidden="1"/>
    </xf>
    <xf numFmtId="164" fontId="22" fillId="8" borderId="3" xfId="0" applyNumberFormat="1" applyFont="1" applyFill="1" applyBorder="1" applyAlignment="1">
      <alignment horizontal="center" vertical="center" wrapText="1"/>
    </xf>
    <xf numFmtId="0" fontId="22" fillId="8" borderId="3" xfId="0" applyFont="1" applyFill="1" applyBorder="1" applyAlignment="1">
      <alignment horizontal="center" vertical="center" wrapText="1"/>
    </xf>
    <xf numFmtId="0" fontId="31" fillId="11" borderId="0" xfId="0" applyFont="1" applyFill="1" applyBorder="1" applyAlignment="1" applyProtection="1">
      <alignment horizontal="center" vertical="center"/>
      <protection hidden="1"/>
    </xf>
    <xf numFmtId="0" fontId="31" fillId="11" borderId="1" xfId="0" applyFont="1" applyFill="1" applyBorder="1" applyAlignment="1" applyProtection="1">
      <alignment horizontal="center" vertical="center"/>
      <protection hidden="1"/>
    </xf>
    <xf numFmtId="0" fontId="31" fillId="11" borderId="16" xfId="0" applyFont="1" applyFill="1" applyBorder="1" applyAlignment="1" applyProtection="1">
      <alignment horizontal="center" vertical="center"/>
      <protection hidden="1"/>
    </xf>
    <xf numFmtId="0" fontId="31" fillId="11" borderId="24" xfId="0" applyFont="1" applyFill="1" applyBorder="1" applyAlignment="1" applyProtection="1">
      <alignment horizontal="center" vertical="center"/>
      <protection hidden="1"/>
    </xf>
    <xf numFmtId="9" fontId="37" fillId="10" borderId="35" xfId="0" applyNumberFormat="1" applyFont="1" applyFill="1" applyBorder="1" applyAlignment="1" applyProtection="1">
      <alignment horizontal="center" vertical="center"/>
      <protection hidden="1"/>
    </xf>
    <xf numFmtId="0" fontId="37" fillId="10" borderId="6" xfId="0" applyFont="1" applyFill="1" applyBorder="1" applyAlignment="1" applyProtection="1">
      <alignment horizontal="center" vertical="center"/>
      <protection hidden="1"/>
    </xf>
    <xf numFmtId="9" fontId="37" fillId="10" borderId="29" xfId="0" applyNumberFormat="1" applyFont="1" applyFill="1" applyBorder="1" applyAlignment="1" applyProtection="1">
      <alignment horizontal="center" vertical="center"/>
      <protection hidden="1"/>
    </xf>
    <xf numFmtId="0" fontId="37" fillId="10" borderId="30" xfId="0" applyFont="1" applyFill="1" applyBorder="1" applyAlignment="1" applyProtection="1">
      <alignment horizontal="center" vertical="center"/>
      <protection hidden="1"/>
    </xf>
    <xf numFmtId="9" fontId="37" fillId="10" borderId="7" xfId="0" applyNumberFormat="1" applyFont="1" applyFill="1" applyBorder="1" applyAlignment="1" applyProtection="1">
      <alignment horizontal="center" vertical="center"/>
      <protection hidden="1"/>
    </xf>
    <xf numFmtId="0" fontId="37" fillId="10" borderId="36" xfId="0" applyFont="1" applyFill="1" applyBorder="1" applyAlignment="1" applyProtection="1">
      <alignment horizontal="center" vertical="center"/>
      <protection hidden="1"/>
    </xf>
    <xf numFmtId="164" fontId="19" fillId="0" borderId="39" xfId="0" applyNumberFormat="1" applyFont="1" applyBorder="1" applyAlignment="1" applyProtection="1">
      <alignment horizontal="center" vertical="center" wrapText="1"/>
      <protection hidden="1"/>
    </xf>
    <xf numFmtId="164" fontId="19" fillId="0" borderId="40" xfId="0" applyNumberFormat="1" applyFont="1" applyBorder="1" applyAlignment="1" applyProtection="1">
      <alignment horizontal="center" vertical="center" wrapText="1"/>
      <protection hidden="1"/>
    </xf>
    <xf numFmtId="164" fontId="19" fillId="0" borderId="38" xfId="0" applyNumberFormat="1" applyFont="1" applyBorder="1" applyAlignment="1" applyProtection="1">
      <alignment horizontal="center" vertical="center" wrapText="1"/>
      <protection hidden="1"/>
    </xf>
    <xf numFmtId="0" fontId="22" fillId="8" borderId="33" xfId="0" applyFont="1" applyFill="1" applyBorder="1" applyAlignment="1" applyProtection="1">
      <alignment horizontal="center"/>
      <protection hidden="1"/>
    </xf>
    <xf numFmtId="0" fontId="22" fillId="8" borderId="34" xfId="0" applyFont="1" applyFill="1" applyBorder="1" applyAlignment="1" applyProtection="1">
      <alignment horizontal="center"/>
      <protection hidden="1"/>
    </xf>
    <xf numFmtId="164" fontId="22" fillId="8" borderId="44" xfId="0" applyNumberFormat="1" applyFont="1" applyFill="1" applyBorder="1" applyAlignment="1" applyProtection="1">
      <alignment horizontal="center" vertical="center" wrapText="1"/>
      <protection hidden="1"/>
    </xf>
    <xf numFmtId="164" fontId="22" fillId="8" borderId="8" xfId="0" applyNumberFormat="1" applyFont="1" applyFill="1" applyBorder="1" applyAlignment="1" applyProtection="1">
      <alignment horizontal="center" vertical="center" wrapText="1"/>
      <protection hidden="1"/>
    </xf>
    <xf numFmtId="164" fontId="22" fillId="8" borderId="45" xfId="0" applyNumberFormat="1" applyFont="1" applyFill="1" applyBorder="1" applyAlignment="1" applyProtection="1">
      <alignment horizontal="center" vertical="center" wrapText="1"/>
      <protection hidden="1"/>
    </xf>
    <xf numFmtId="164" fontId="22" fillId="8" borderId="46" xfId="0" applyNumberFormat="1" applyFont="1" applyFill="1" applyBorder="1" applyAlignment="1" applyProtection="1">
      <alignment horizontal="center" vertical="center" wrapText="1"/>
      <protection hidden="1"/>
    </xf>
    <xf numFmtId="164" fontId="22" fillId="8" borderId="11" xfId="0" applyNumberFormat="1" applyFont="1" applyFill="1" applyBorder="1" applyAlignment="1" applyProtection="1">
      <alignment horizontal="center" vertical="center" wrapText="1"/>
      <protection hidden="1"/>
    </xf>
    <xf numFmtId="164" fontId="22" fillId="8" borderId="19" xfId="0" applyNumberFormat="1" applyFont="1" applyFill="1" applyBorder="1" applyAlignment="1" applyProtection="1">
      <alignment horizontal="center" vertical="center" wrapText="1"/>
      <protection hidden="1"/>
    </xf>
    <xf numFmtId="0" fontId="22" fillId="8" borderId="32" xfId="0" applyFont="1" applyFill="1" applyBorder="1" applyAlignment="1" applyProtection="1">
      <alignment horizontal="center"/>
      <protection hidden="1"/>
    </xf>
    <xf numFmtId="164" fontId="22" fillId="8" borderId="54" xfId="0" applyNumberFormat="1" applyFont="1" applyFill="1" applyBorder="1" applyAlignment="1" applyProtection="1">
      <alignment horizontal="center" vertical="center" wrapText="1"/>
      <protection hidden="1"/>
    </xf>
    <xf numFmtId="164" fontId="22" fillId="8" borderId="9" xfId="0" applyNumberFormat="1" applyFont="1" applyFill="1" applyBorder="1" applyAlignment="1" applyProtection="1">
      <alignment horizontal="center" vertical="center" wrapText="1"/>
      <protection hidden="1"/>
    </xf>
    <xf numFmtId="164" fontId="22" fillId="8" borderId="55" xfId="0" applyNumberFormat="1" applyFont="1" applyFill="1" applyBorder="1" applyAlignment="1" applyProtection="1">
      <alignment horizontal="center" vertical="center" wrapText="1"/>
      <protection hidden="1"/>
    </xf>
    <xf numFmtId="164" fontId="22" fillId="8" borderId="56" xfId="0" applyNumberFormat="1" applyFont="1" applyFill="1" applyBorder="1" applyAlignment="1" applyProtection="1">
      <alignment horizontal="center" vertical="center" wrapText="1"/>
      <protection hidden="1"/>
    </xf>
    <xf numFmtId="164" fontId="22" fillId="8" borderId="17" xfId="0" applyNumberFormat="1" applyFont="1" applyFill="1" applyBorder="1" applyAlignment="1" applyProtection="1">
      <alignment horizontal="center" vertical="center" wrapText="1"/>
      <protection hidden="1"/>
    </xf>
    <xf numFmtId="0" fontId="22" fillId="8" borderId="9" xfId="0" applyFont="1" applyFill="1" applyBorder="1" applyAlignment="1" applyProtection="1">
      <alignment horizontal="center" vertical="center" wrapText="1"/>
      <protection hidden="1"/>
    </xf>
    <xf numFmtId="164" fontId="22" fillId="8" borderId="10" xfId="0" applyNumberFormat="1" applyFont="1" applyFill="1" applyBorder="1" applyAlignment="1" applyProtection="1">
      <alignment horizontal="center" vertical="center" wrapText="1"/>
      <protection hidden="1"/>
    </xf>
    <xf numFmtId="0" fontId="22" fillId="8" borderId="10" xfId="0" applyFont="1" applyFill="1" applyBorder="1" applyAlignment="1" applyProtection="1">
      <alignment horizontal="center" vertical="center" wrapText="1"/>
      <protection hidden="1"/>
    </xf>
    <xf numFmtId="0" fontId="0" fillId="0" borderId="4" xfId="0" applyBorder="1" applyAlignment="1" applyProtection="1">
      <alignment horizontal="center" vertical="center" wrapText="1"/>
      <protection hidden="1"/>
    </xf>
    <xf numFmtId="0" fontId="0" fillId="0" borderId="4" xfId="0" applyBorder="1" applyAlignment="1" applyProtection="1">
      <alignment horizontal="center" vertical="center"/>
      <protection hidden="1"/>
    </xf>
    <xf numFmtId="1" fontId="20" fillId="5" borderId="4" xfId="0" applyNumberFormat="1" applyFont="1" applyFill="1" applyBorder="1" applyAlignment="1" applyProtection="1">
      <alignment horizontal="center" vertical="center"/>
      <protection locked="0"/>
    </xf>
    <xf numFmtId="0" fontId="33" fillId="0" borderId="0" xfId="0" applyFont="1" applyBorder="1" applyAlignment="1" applyProtection="1">
      <alignment horizontal="center" vertical="center"/>
      <protection hidden="1"/>
    </xf>
    <xf numFmtId="0" fontId="2" fillId="0" borderId="0" xfId="0" applyFont="1" applyBorder="1" applyAlignment="1" applyProtection="1">
      <alignment horizontal="center" vertical="center"/>
      <protection hidden="1"/>
    </xf>
    <xf numFmtId="2" fontId="2" fillId="0" borderId="0" xfId="0" applyNumberFormat="1" applyFont="1" applyBorder="1" applyAlignment="1" applyProtection="1">
      <alignment horizontal="center" vertical="center"/>
      <protection hidden="1"/>
    </xf>
  </cellXfs>
  <cellStyles count="2">
    <cellStyle name="Normal" xfId="0" builtinId="0"/>
    <cellStyle name="Porcentaje" xfId="1" builtinId="5"/>
  </cellStyles>
  <dxfs count="253">
    <dxf>
      <font>
        <b/>
        <i val="0"/>
        <color theme="3" tint="-0.499984740745262"/>
      </font>
      <fill>
        <patternFill>
          <bgColor theme="4" tint="0.39994506668294322"/>
        </patternFill>
      </fill>
    </dxf>
    <dxf>
      <font>
        <b/>
        <i val="0"/>
        <color theme="9" tint="-0.499984740745262"/>
      </font>
      <fill>
        <patternFill>
          <bgColor theme="9" tint="0.39994506668294322"/>
        </patternFill>
      </fill>
    </dxf>
    <dxf>
      <font>
        <b/>
        <i val="0"/>
        <color theme="7" tint="-0.499984740745262"/>
      </font>
      <fill>
        <patternFill>
          <bgColor theme="7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b/>
        <i val="0"/>
        <color theme="3" tint="-0.499984740745262"/>
      </font>
      <fill>
        <patternFill>
          <bgColor theme="4" tint="0.39994506668294322"/>
        </patternFill>
      </fill>
    </dxf>
    <dxf>
      <font>
        <b/>
        <i val="0"/>
        <color theme="9" tint="-0.499984740745262"/>
      </font>
      <fill>
        <patternFill>
          <bgColor theme="9" tint="0.39994506668294322"/>
        </patternFill>
      </fill>
    </dxf>
    <dxf>
      <font>
        <b/>
        <i val="0"/>
        <color theme="7" tint="-0.499984740745262"/>
      </font>
      <fill>
        <patternFill>
          <bgColor theme="7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b/>
        <i val="0"/>
        <color theme="3" tint="-0.499984740745262"/>
      </font>
      <fill>
        <patternFill>
          <bgColor theme="4" tint="0.39994506668294322"/>
        </patternFill>
      </fill>
    </dxf>
    <dxf>
      <font>
        <b/>
        <i val="0"/>
        <color theme="9" tint="-0.499984740745262"/>
      </font>
      <fill>
        <patternFill>
          <bgColor theme="9" tint="0.39994506668294322"/>
        </patternFill>
      </fill>
    </dxf>
    <dxf>
      <font>
        <b/>
        <i val="0"/>
        <color theme="7" tint="-0.499984740745262"/>
      </font>
      <fill>
        <patternFill>
          <bgColor theme="7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b/>
        <i val="0"/>
        <color theme="3" tint="-0.499984740745262"/>
      </font>
      <fill>
        <patternFill>
          <bgColor theme="4" tint="0.59996337778862885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theme="7" tint="-0.499984740745262"/>
      </font>
      <fill>
        <patternFill>
          <bgColor theme="7" tint="0.39994506668294322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b/>
        <i val="0"/>
        <color theme="3" tint="-0.499984740745262"/>
      </font>
      <fill>
        <patternFill>
          <bgColor theme="4" tint="0.59996337778862885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theme="7" tint="-0.499984740745262"/>
      </font>
      <fill>
        <patternFill>
          <bgColor theme="7" tint="0.39994506668294322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b/>
        <i val="0"/>
        <color theme="3" tint="-0.499984740745262"/>
      </font>
      <fill>
        <patternFill>
          <bgColor theme="4" tint="0.59996337778862885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theme="7" tint="-0.499984740745262"/>
      </font>
      <fill>
        <patternFill>
          <bgColor theme="7" tint="0.39994506668294322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b/>
        <i val="0"/>
        <color theme="3" tint="-0.499984740745262"/>
      </font>
      <fill>
        <patternFill>
          <bgColor theme="4" tint="0.59996337778862885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theme="7" tint="-0.499984740745262"/>
      </font>
      <fill>
        <patternFill>
          <bgColor theme="7" tint="0.39994506668294322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b/>
        <i val="0"/>
        <color theme="3" tint="-0.499984740745262"/>
      </font>
      <fill>
        <patternFill>
          <bgColor theme="4" tint="0.59996337778862885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theme="7" tint="-0.499984740745262"/>
      </font>
      <fill>
        <patternFill>
          <bgColor theme="7" tint="0.39994506668294322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b/>
        <i val="0"/>
        <color theme="3" tint="-0.499984740745262"/>
      </font>
      <fill>
        <patternFill>
          <bgColor theme="4" tint="0.59996337778862885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theme="7" tint="-0.499984740745262"/>
      </font>
      <fill>
        <patternFill>
          <bgColor theme="7" tint="0.39994506668294322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b/>
        <i val="0"/>
        <color theme="3" tint="-0.499984740745262"/>
      </font>
      <fill>
        <patternFill>
          <bgColor theme="4" tint="0.59996337778862885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theme="7" tint="-0.499984740745262"/>
      </font>
      <fill>
        <patternFill>
          <bgColor theme="7" tint="0.39994506668294322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b/>
        <i val="0"/>
        <color theme="3" tint="-0.499984740745262"/>
      </font>
      <fill>
        <patternFill>
          <bgColor theme="4" tint="0.59996337778862885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theme="7" tint="-0.499984740745262"/>
      </font>
      <fill>
        <patternFill>
          <bgColor theme="7" tint="0.39994506668294322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b/>
        <i val="0"/>
        <color theme="3" tint="-0.499984740745262"/>
      </font>
      <fill>
        <patternFill>
          <bgColor theme="4" tint="0.59996337778862885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theme="7" tint="-0.499984740745262"/>
      </font>
      <fill>
        <patternFill>
          <bgColor theme="7" tint="0.39994506668294322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b/>
        <i val="0"/>
        <color theme="3" tint="-0.499984740745262"/>
      </font>
      <fill>
        <patternFill>
          <bgColor theme="4" tint="0.59996337778862885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theme="7" tint="-0.499984740745262"/>
      </font>
      <fill>
        <patternFill>
          <bgColor theme="7" tint="0.39994506668294322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b/>
        <i val="0"/>
        <color theme="3" tint="-0.499984740745262"/>
      </font>
      <fill>
        <patternFill>
          <bgColor theme="4" tint="0.59996337778862885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theme="7" tint="-0.499984740745262"/>
      </font>
      <fill>
        <patternFill>
          <bgColor theme="7" tint="0.39994506668294322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b/>
        <i val="0"/>
        <color theme="3" tint="-0.499984740745262"/>
      </font>
      <fill>
        <patternFill>
          <bgColor theme="4" tint="0.59996337778862885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theme="7" tint="-0.499984740745262"/>
      </font>
      <fill>
        <patternFill>
          <bgColor theme="7" tint="0.39994506668294322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b/>
        <i val="0"/>
        <color theme="3" tint="-0.499984740745262"/>
      </font>
      <fill>
        <patternFill>
          <bgColor theme="4" tint="0.59996337778862885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theme="7" tint="-0.499984740745262"/>
      </font>
      <fill>
        <patternFill>
          <bgColor theme="7" tint="0.39994506668294322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b/>
        <i val="0"/>
        <color theme="3" tint="-0.499984740745262"/>
      </font>
      <fill>
        <patternFill>
          <bgColor theme="4" tint="0.59996337778862885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theme="7" tint="-0.499984740745262"/>
      </font>
      <fill>
        <patternFill>
          <bgColor theme="7" tint="0.39994506668294322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b/>
        <i val="0"/>
        <color theme="3" tint="-0.499984740745262"/>
      </font>
      <fill>
        <patternFill>
          <bgColor theme="4" tint="0.59996337778862885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theme="7" tint="-0.499984740745262"/>
      </font>
      <fill>
        <patternFill>
          <bgColor theme="7" tint="0.39994506668294322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3" tint="-0.499984740745262"/>
      </font>
      <fill>
        <patternFill>
          <bgColor theme="4" tint="0.39994506668294322"/>
        </patternFill>
      </fill>
    </dxf>
    <dxf>
      <font>
        <b/>
        <i val="0"/>
        <color theme="9" tint="-0.499984740745262"/>
      </font>
      <fill>
        <patternFill>
          <bgColor theme="9" tint="0.39994506668294322"/>
        </patternFill>
      </fill>
    </dxf>
    <dxf>
      <font>
        <b/>
        <i val="0"/>
        <color theme="7" tint="-0.499984740745262"/>
      </font>
      <fill>
        <patternFill>
          <bgColor theme="7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b/>
        <i val="0"/>
        <color theme="3" tint="-0.499984740745262"/>
      </font>
      <fill>
        <patternFill>
          <bgColor theme="4" tint="0.39994506668294322"/>
        </patternFill>
      </fill>
    </dxf>
    <dxf>
      <font>
        <b/>
        <i val="0"/>
        <color theme="9" tint="-0.499984740745262"/>
      </font>
      <fill>
        <patternFill>
          <bgColor theme="9" tint="0.39994506668294322"/>
        </patternFill>
      </fill>
    </dxf>
    <dxf>
      <font>
        <b/>
        <i val="0"/>
        <color theme="7" tint="-0.499984740745262"/>
      </font>
      <fill>
        <patternFill>
          <bgColor theme="7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b/>
        <i val="0"/>
        <color theme="3" tint="-0.499984740745262"/>
      </font>
      <fill>
        <patternFill>
          <bgColor theme="4" tint="0.39994506668294322"/>
        </patternFill>
      </fill>
    </dxf>
    <dxf>
      <font>
        <b/>
        <i val="0"/>
        <color theme="9" tint="-0.499984740745262"/>
      </font>
      <fill>
        <patternFill>
          <bgColor theme="9" tint="0.39994506668294322"/>
        </patternFill>
      </fill>
    </dxf>
    <dxf>
      <font>
        <b/>
        <i val="0"/>
        <color theme="7" tint="-0.499984740745262"/>
      </font>
      <fill>
        <patternFill>
          <bgColor theme="7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b/>
        <i val="0"/>
        <color theme="3" tint="-0.499984740745262"/>
      </font>
      <fill>
        <patternFill>
          <bgColor theme="4" tint="0.39994506668294322"/>
        </patternFill>
      </fill>
    </dxf>
    <dxf>
      <font>
        <b/>
        <i val="0"/>
        <color theme="9" tint="-0.499984740745262"/>
      </font>
      <fill>
        <patternFill>
          <bgColor theme="9" tint="0.39994506668294322"/>
        </patternFill>
      </fill>
    </dxf>
    <dxf>
      <font>
        <b/>
        <i val="0"/>
        <color theme="7" tint="-0.499984740745262"/>
      </font>
      <fill>
        <patternFill>
          <bgColor theme="7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b/>
        <i val="0"/>
        <color theme="3" tint="-0.499984740745262"/>
      </font>
      <fill>
        <patternFill>
          <bgColor theme="4" tint="0.39994506668294322"/>
        </patternFill>
      </fill>
    </dxf>
    <dxf>
      <font>
        <b/>
        <i val="0"/>
        <color theme="9" tint="-0.499984740745262"/>
      </font>
      <fill>
        <patternFill>
          <bgColor theme="9" tint="0.39994506668294322"/>
        </patternFill>
      </fill>
    </dxf>
    <dxf>
      <font>
        <b/>
        <i val="0"/>
        <color theme="7" tint="-0.499984740745262"/>
      </font>
      <fill>
        <patternFill>
          <bgColor theme="7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b/>
        <i val="0"/>
        <color theme="3" tint="-0.499984740745262"/>
      </font>
      <fill>
        <patternFill>
          <bgColor theme="4" tint="0.39994506668294322"/>
        </patternFill>
      </fill>
    </dxf>
    <dxf>
      <font>
        <b/>
        <i val="0"/>
        <color theme="9" tint="-0.499984740745262"/>
      </font>
      <fill>
        <patternFill>
          <bgColor theme="9" tint="0.39994506668294322"/>
        </patternFill>
      </fill>
    </dxf>
    <dxf>
      <font>
        <b/>
        <i val="0"/>
        <color theme="7" tint="-0.499984740745262"/>
      </font>
      <fill>
        <patternFill>
          <bgColor theme="7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b/>
        <i val="0"/>
        <color theme="3" tint="-0.499984740745262"/>
      </font>
      <fill>
        <patternFill>
          <bgColor theme="4" tint="0.39994506668294322"/>
        </patternFill>
      </fill>
    </dxf>
    <dxf>
      <font>
        <b/>
        <i val="0"/>
        <color theme="9" tint="-0.499984740745262"/>
      </font>
      <fill>
        <patternFill>
          <bgColor theme="9" tint="0.39994506668294322"/>
        </patternFill>
      </fill>
    </dxf>
    <dxf>
      <font>
        <b/>
        <i val="0"/>
        <color theme="7" tint="-0.499984740745262"/>
      </font>
      <fill>
        <patternFill>
          <bgColor theme="7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b/>
        <i val="0"/>
        <color theme="3" tint="-0.499984740745262"/>
      </font>
      <fill>
        <patternFill>
          <bgColor theme="4" tint="0.39994506668294322"/>
        </patternFill>
      </fill>
    </dxf>
    <dxf>
      <font>
        <b/>
        <i val="0"/>
        <color theme="9" tint="-0.499984740745262"/>
      </font>
      <fill>
        <patternFill>
          <bgColor theme="9" tint="0.39994506668294322"/>
        </patternFill>
      </fill>
    </dxf>
    <dxf>
      <font>
        <b/>
        <i val="0"/>
        <color theme="7" tint="-0.499984740745262"/>
      </font>
      <fill>
        <patternFill>
          <bgColor theme="7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b/>
        <i val="0"/>
        <color theme="3" tint="-0.499984740745262"/>
      </font>
      <fill>
        <patternFill>
          <bgColor theme="4" tint="0.39994506668294322"/>
        </patternFill>
      </fill>
    </dxf>
    <dxf>
      <font>
        <b/>
        <i val="0"/>
        <color theme="9" tint="-0.499984740745262"/>
      </font>
      <fill>
        <patternFill>
          <bgColor theme="9" tint="0.39994506668294322"/>
        </patternFill>
      </fill>
    </dxf>
    <dxf>
      <font>
        <b/>
        <i val="0"/>
        <color theme="7" tint="-0.499984740745262"/>
      </font>
      <fill>
        <patternFill>
          <bgColor theme="7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b/>
        <i val="0"/>
        <color theme="3" tint="-0.499984740745262"/>
      </font>
      <fill>
        <patternFill>
          <bgColor theme="4" tint="0.39994506668294322"/>
        </patternFill>
      </fill>
    </dxf>
    <dxf>
      <font>
        <b/>
        <i val="0"/>
        <color theme="9" tint="-0.499984740745262"/>
      </font>
      <fill>
        <patternFill>
          <bgColor theme="9" tint="0.39994506668294322"/>
        </patternFill>
      </fill>
    </dxf>
    <dxf>
      <font>
        <b/>
        <i val="0"/>
        <color theme="7" tint="-0.499984740745262"/>
      </font>
      <fill>
        <patternFill>
          <bgColor theme="7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b/>
        <i val="0"/>
        <color theme="3" tint="-0.499984740745262"/>
      </font>
      <fill>
        <patternFill>
          <bgColor theme="4" tint="0.39994506668294322"/>
        </patternFill>
      </fill>
    </dxf>
    <dxf>
      <font>
        <b/>
        <i val="0"/>
        <color theme="9" tint="-0.499984740745262"/>
      </font>
      <fill>
        <patternFill>
          <bgColor theme="9" tint="0.39994506668294322"/>
        </patternFill>
      </fill>
    </dxf>
    <dxf>
      <font>
        <b/>
        <i val="0"/>
        <color theme="7" tint="-0.499984740745262"/>
      </font>
      <fill>
        <patternFill>
          <bgColor theme="7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b/>
        <i val="0"/>
        <color theme="3" tint="-0.499984740745262"/>
      </font>
      <fill>
        <patternFill>
          <bgColor theme="4" tint="0.59996337778862885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theme="7" tint="-0.499984740745262"/>
      </font>
      <fill>
        <patternFill>
          <bgColor theme="7" tint="0.39994506668294322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b/>
        <i val="0"/>
        <color theme="3" tint="-0.499984740745262"/>
      </font>
      <fill>
        <patternFill>
          <bgColor theme="4" tint="0.59996337778862885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theme="7" tint="-0.499984740745262"/>
      </font>
      <fill>
        <patternFill>
          <bgColor theme="7" tint="0.39994506668294322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b/>
        <i val="0"/>
        <color theme="3" tint="-0.499984740745262"/>
      </font>
      <fill>
        <patternFill>
          <bgColor theme="4" tint="0.59996337778862885"/>
        </patternFill>
      </fill>
    </dxf>
    <dxf>
      <font>
        <b/>
        <i val="0"/>
        <color theme="3" tint="-0.499984740745262"/>
      </font>
      <fill>
        <patternFill>
          <bgColor theme="4" tint="0.59996337778862885"/>
        </patternFill>
      </fill>
    </dxf>
    <dxf>
      <font>
        <b/>
        <i val="0"/>
        <color theme="3" tint="-0.499984740745262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3" tint="-0.499984740745262"/>
      </font>
      <fill>
        <patternFill>
          <bgColor theme="4" tint="0.39994506668294322"/>
        </patternFill>
      </fill>
    </dxf>
    <dxf>
      <font>
        <b/>
        <i val="0"/>
        <color theme="9" tint="-0.499984740745262"/>
      </font>
      <fill>
        <patternFill>
          <bgColor theme="9" tint="0.39994506668294322"/>
        </patternFill>
      </fill>
    </dxf>
    <dxf>
      <font>
        <b/>
        <i val="0"/>
        <color theme="7" tint="-0.499984740745262"/>
      </font>
      <fill>
        <patternFill>
          <bgColor theme="7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b/>
        <i val="0"/>
        <color theme="3" tint="-0.499984740745262"/>
      </font>
      <fill>
        <patternFill>
          <bgColor theme="4" tint="0.39994506668294322"/>
        </patternFill>
      </fill>
    </dxf>
    <dxf>
      <font>
        <b/>
        <i val="0"/>
        <color theme="9" tint="-0.499984740745262"/>
      </font>
      <fill>
        <patternFill>
          <bgColor theme="9" tint="0.39994506668294322"/>
        </patternFill>
      </fill>
    </dxf>
    <dxf>
      <font>
        <b/>
        <i val="0"/>
        <color theme="7" tint="-0.499984740745262"/>
      </font>
      <fill>
        <patternFill>
          <bgColor theme="7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b/>
        <i val="0"/>
        <color theme="3" tint="-0.499984740745262"/>
      </font>
      <fill>
        <patternFill>
          <bgColor theme="4" tint="0.59996337778862885"/>
        </patternFill>
      </fill>
    </dxf>
    <dxf>
      <font>
        <b/>
        <i val="0"/>
        <color theme="3" tint="-0.499984740745262"/>
      </font>
      <fill>
        <patternFill>
          <bgColor theme="4" tint="0.59996337778862885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theme="7" tint="-0.499984740745262"/>
      </font>
      <fill>
        <patternFill>
          <bgColor theme="7" tint="0.39994506668294322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b/>
        <i val="0"/>
        <color theme="3" tint="-0.499984740745262"/>
      </font>
      <fill>
        <patternFill>
          <bgColor theme="4" tint="0.59996337778862885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theme="7" tint="-0.499984740745262"/>
      </font>
      <fill>
        <patternFill>
          <bgColor theme="7" tint="0.39994506668294322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b/>
        <i val="0"/>
        <color theme="3" tint="-0.499984740745262"/>
      </font>
      <fill>
        <patternFill>
          <bgColor theme="4" tint="0.59996337778862885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theme="7" tint="-0.499984740745262"/>
      </font>
      <fill>
        <patternFill>
          <bgColor theme="7" tint="0.39994506668294322"/>
        </patternFill>
      </fill>
    </dxf>
    <dxf>
      <font>
        <color theme="5" tint="-0.499984740745262"/>
      </font>
      <fill>
        <patternFill>
          <bgColor theme="5" tint="0.39994506668294322"/>
        </patternFill>
      </fill>
    </dxf>
    <dxf>
      <fill>
        <patternFill>
          <bgColor theme="0"/>
        </patternFill>
      </fill>
    </dxf>
    <dxf>
      <font>
        <b/>
        <i val="0"/>
        <color theme="3" tint="-0.499984740745262"/>
      </font>
      <fill>
        <patternFill>
          <bgColor theme="4" tint="0.59996337778862885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theme="7" tint="-0.499984740745262"/>
      </font>
      <fill>
        <patternFill>
          <bgColor theme="7" tint="0.39994506668294322"/>
        </patternFill>
      </fill>
    </dxf>
    <dxf>
      <font>
        <color theme="5" tint="-0.499984740745262"/>
      </font>
      <fill>
        <patternFill>
          <bgColor theme="5" tint="0.39994506668294322"/>
        </patternFill>
      </fill>
    </dxf>
    <dxf>
      <fill>
        <patternFill>
          <bgColor theme="0"/>
        </patternFill>
      </fill>
    </dxf>
    <dxf>
      <font>
        <b/>
        <i val="0"/>
        <color theme="3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3" tint="-0.499984740745262"/>
      </font>
      <fill>
        <patternFill>
          <bgColor theme="4" tint="0.59996337778862885"/>
        </patternFill>
      </fill>
    </dxf>
    <dxf>
      <font>
        <b/>
        <i val="0"/>
        <color theme="3" tint="-0.499984740745262"/>
      </font>
      <fill>
        <patternFill>
          <bgColor theme="4" tint="0.59996337778862885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theme="7" tint="-0.499984740745262"/>
      </font>
      <fill>
        <patternFill>
          <bgColor theme="7" tint="0.39994506668294322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b/>
        <i val="0"/>
        <color theme="3" tint="-0.499984740745262"/>
      </font>
      <fill>
        <patternFill>
          <bgColor theme="4" tint="0.59996337778862885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theme="7" tint="-0.499984740745262"/>
      </font>
      <fill>
        <patternFill>
          <bgColor theme="7" tint="0.39994506668294322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b/>
        <i val="0"/>
        <color theme="3" tint="-0.499984740745262"/>
      </font>
      <fill>
        <patternFill>
          <bgColor theme="4" tint="0.59996337778862885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theme="7" tint="-0.499984740745262"/>
      </font>
      <fill>
        <patternFill>
          <bgColor theme="7" tint="0.39994506668294322"/>
        </patternFill>
      </fill>
    </dxf>
    <dxf>
      <font>
        <b/>
        <i val="0"/>
        <color theme="3" tint="-0.499984740745262"/>
      </font>
      <fill>
        <patternFill>
          <bgColor theme="4" tint="0.59996337778862885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theme="7" tint="-0.499984740745262"/>
      </font>
      <fill>
        <patternFill>
          <bgColor theme="7" tint="0.39994506668294322"/>
        </patternFill>
      </fill>
    </dxf>
    <dxf>
      <font>
        <color theme="5" tint="-0.499984740745262"/>
      </font>
      <fill>
        <patternFill>
          <bgColor theme="5" tint="0.39994506668294322"/>
        </patternFill>
      </fill>
    </dxf>
    <dxf>
      <fill>
        <patternFill>
          <bgColor theme="0"/>
        </patternFill>
      </fill>
    </dxf>
    <dxf>
      <font>
        <color theme="5" tint="-0.499984740745262"/>
      </font>
      <fill>
        <patternFill>
          <bgColor theme="5" tint="0.39994506668294322"/>
        </patternFill>
      </fill>
    </dxf>
    <dxf>
      <fill>
        <patternFill>
          <bgColor theme="0"/>
        </patternFill>
      </fill>
    </dxf>
    <dxf>
      <font>
        <b/>
        <i val="0"/>
        <color theme="3" tint="-0.499984740745262"/>
      </font>
      <fill>
        <patternFill>
          <bgColor theme="4" tint="0.59996337778862885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theme="7" tint="-0.499984740745262"/>
      </font>
      <fill>
        <patternFill>
          <bgColor theme="7" tint="0.39994506668294322"/>
        </patternFill>
      </fill>
    </dxf>
    <dxf>
      <font>
        <b/>
        <i val="0"/>
        <color theme="3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b/>
        <i val="0"/>
        <color theme="3" tint="-0.499984740745262"/>
      </font>
      <fill>
        <patternFill>
          <bgColor theme="4" tint="0.59996337778862885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theme="7" tint="-0.499984740745262"/>
      </font>
      <fill>
        <patternFill>
          <bgColor theme="7" tint="0.39994506668294322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b/>
        <i val="0"/>
        <color theme="3" tint="-0.499984740745262"/>
      </font>
      <fill>
        <patternFill>
          <bgColor theme="4" tint="0.59996337778862885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theme="7" tint="-0.499984740745262"/>
      </font>
      <fill>
        <patternFill>
          <bgColor theme="7" tint="0.39994506668294322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b/>
        <i val="0"/>
        <color theme="3" tint="-0.499984740745262"/>
      </font>
      <fill>
        <patternFill>
          <bgColor theme="4" tint="0.59996337778862885"/>
        </patternFill>
      </fill>
    </dxf>
    <dxf>
      <font>
        <b/>
        <i val="0"/>
        <color theme="3" tint="-0.499984740745262"/>
      </font>
      <fill>
        <patternFill>
          <bgColor theme="4" tint="0.59996337778862885"/>
        </patternFill>
      </fill>
    </dxf>
    <dxf>
      <font>
        <b/>
        <i val="0"/>
        <color theme="3" tint="-0.499984740745262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3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3" tint="-0.499984740745262"/>
      </font>
      <fill>
        <patternFill>
          <bgColor theme="4" tint="0.59996337778862885"/>
        </patternFill>
      </fill>
    </dxf>
    <dxf>
      <font>
        <b/>
        <i val="0"/>
        <color theme="3" tint="-0.499984740745262"/>
      </font>
      <fill>
        <patternFill>
          <bgColor theme="4" tint="0.59996337778862885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theme="7" tint="-0.499984740745262"/>
      </font>
      <fill>
        <patternFill>
          <bgColor theme="7" tint="0.39994506668294322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b/>
        <i val="0"/>
        <color theme="3" tint="-0.499984740745262"/>
      </font>
      <fill>
        <patternFill>
          <bgColor theme="4" tint="0.59996337778862885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theme="7" tint="-0.499984740745262"/>
      </font>
      <fill>
        <patternFill>
          <bgColor theme="7" tint="0.39994506668294322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b/>
        <i val="0"/>
        <color theme="3" tint="-0.499984740745262"/>
      </font>
      <fill>
        <patternFill>
          <bgColor theme="4" tint="0.59996337778862885"/>
        </patternFill>
      </fill>
    </dxf>
  </dxfs>
  <tableStyles count="0" defaultTableStyle="TableStyleMedium2" defaultPivotStyle="PivotStyleLight16"/>
  <colors>
    <mruColors>
      <color rgb="FF24FCA5"/>
      <color rgb="FF28F877"/>
      <color rgb="FFFAFC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900" b="1">
                <a:solidFill>
                  <a:sysClr val="windowText" lastClr="000000"/>
                </a:solidFill>
              </a:rPr>
              <a:t>Recursos Utilizados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(PERSONAL!$C$7,PERSONAL!$C$9,PERSONAL!$C$11)</c:f>
              <c:numCache>
                <c:formatCode>0.0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63-4F88-9B3A-392A833CE1A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28728543"/>
        <c:axId val="228726047"/>
      </c:lineChart>
      <c:catAx>
        <c:axId val="2287285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28726047"/>
        <c:crosses val="autoZero"/>
        <c:auto val="1"/>
        <c:lblAlgn val="ctr"/>
        <c:lblOffset val="100"/>
        <c:noMultiLvlLbl val="0"/>
      </c:catAx>
      <c:valAx>
        <c:axId val="228726047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28728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900" b="1">
                <a:solidFill>
                  <a:sysClr val="windowText" lastClr="000000"/>
                </a:solidFill>
              </a:rPr>
              <a:t>Desarrollo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(PERSONAL!$E$7,PERSONAL!$E$9,PERSONAL!$E$11)</c:f>
              <c:numCache>
                <c:formatCode>0.0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70-4B67-BA1E-04655E3EA09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28728543"/>
        <c:axId val="228726047"/>
      </c:lineChart>
      <c:catAx>
        <c:axId val="2287285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28726047"/>
        <c:crosses val="autoZero"/>
        <c:auto val="1"/>
        <c:lblAlgn val="ctr"/>
        <c:lblOffset val="100"/>
        <c:noMultiLvlLbl val="0"/>
      </c:catAx>
      <c:valAx>
        <c:axId val="22872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28728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900" b="1">
                <a:solidFill>
                  <a:sysClr val="windowText" lastClr="000000"/>
                </a:solidFill>
              </a:rPr>
              <a:t>Dominio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(PERSONAL!$G$7,PERSONAL!$G$9,PERSONAL!$G$11)</c:f>
              <c:numCache>
                <c:formatCode>0.0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18-45DB-966C-BD593D032C5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28728543"/>
        <c:axId val="228726047"/>
      </c:lineChart>
      <c:catAx>
        <c:axId val="2287285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28726047"/>
        <c:crosses val="autoZero"/>
        <c:auto val="1"/>
        <c:lblAlgn val="ctr"/>
        <c:lblOffset val="100"/>
        <c:noMultiLvlLbl val="0"/>
      </c:catAx>
      <c:valAx>
        <c:axId val="22872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28728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900" b="1">
                <a:solidFill>
                  <a:sysClr val="windowText" lastClr="000000"/>
                </a:solidFill>
              </a:rPr>
              <a:t>Comunicación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(PERSONAL!$I$7,PERSONAL!$I$9,PERSONAL!$I$11)</c:f>
              <c:numCache>
                <c:formatCode>0.0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69-4997-8954-FA80A7C9208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28728543"/>
        <c:axId val="228726047"/>
      </c:lineChart>
      <c:catAx>
        <c:axId val="2287285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28726047"/>
        <c:crosses val="autoZero"/>
        <c:auto val="1"/>
        <c:lblAlgn val="ctr"/>
        <c:lblOffset val="100"/>
        <c:noMultiLvlLbl val="0"/>
      </c:catAx>
      <c:valAx>
        <c:axId val="228726047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28728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900" b="1">
                <a:solidFill>
                  <a:sysClr val="windowText" lastClr="000000"/>
                </a:solidFill>
              </a:rPr>
              <a:t>Respeto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(PERSONAL!$K$7,PERSONAL!$K$9,PERSONAL!$K$11)</c:f>
              <c:numCache>
                <c:formatCode>0.0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CC-4956-89F8-A354C346AD7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28728543"/>
        <c:axId val="228726047"/>
      </c:lineChart>
      <c:catAx>
        <c:axId val="2287285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28726047"/>
        <c:crosses val="autoZero"/>
        <c:auto val="1"/>
        <c:lblAlgn val="ctr"/>
        <c:lblOffset val="100"/>
        <c:noMultiLvlLbl val="0"/>
      </c:catAx>
      <c:valAx>
        <c:axId val="228726047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28728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900" b="1">
                <a:solidFill>
                  <a:sysClr val="windowText" lastClr="000000"/>
                </a:solidFill>
              </a:rPr>
              <a:t>Recursos Utilizados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('Resumen Ind'!$C$12,'Resumen Ind'!$C$14,'Resumen Ind'!$C$16)</c:f>
              <c:numCache>
                <c:formatCode>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7B-4333-A842-5C4BFBAA474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28728543"/>
        <c:axId val="228726047"/>
      </c:lineChart>
      <c:catAx>
        <c:axId val="2287285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28726047"/>
        <c:crosses val="autoZero"/>
        <c:auto val="1"/>
        <c:lblAlgn val="ctr"/>
        <c:lblOffset val="100"/>
        <c:noMultiLvlLbl val="0"/>
      </c:catAx>
      <c:valAx>
        <c:axId val="228726047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28728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900" b="1">
                <a:solidFill>
                  <a:sysClr val="windowText" lastClr="000000"/>
                </a:solidFill>
              </a:rPr>
              <a:t>Desarrollo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('Resumen Ind'!$E$12,'Resumen Ind'!$E$14,'Resumen Ind'!$E$16)</c:f>
              <c:numCache>
                <c:formatCode>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F0-4B7C-ABD2-5F91883B456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28728543"/>
        <c:axId val="228726047"/>
      </c:lineChart>
      <c:catAx>
        <c:axId val="2287285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28726047"/>
        <c:crosses val="autoZero"/>
        <c:auto val="1"/>
        <c:lblAlgn val="ctr"/>
        <c:lblOffset val="100"/>
        <c:noMultiLvlLbl val="0"/>
      </c:catAx>
      <c:valAx>
        <c:axId val="228726047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28728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900" b="1">
                <a:solidFill>
                  <a:sysClr val="windowText" lastClr="000000"/>
                </a:solidFill>
              </a:rPr>
              <a:t>Dominio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('Resumen Ind'!$G$12,'Resumen Ind'!$G$14,'Resumen Ind'!$G$16)</c:f>
              <c:numCache>
                <c:formatCode>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AE-4A63-A3A9-86490EF16AD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28728543"/>
        <c:axId val="228726047"/>
      </c:lineChart>
      <c:catAx>
        <c:axId val="2287285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28726047"/>
        <c:crosses val="autoZero"/>
        <c:auto val="1"/>
        <c:lblAlgn val="ctr"/>
        <c:lblOffset val="100"/>
        <c:noMultiLvlLbl val="0"/>
      </c:catAx>
      <c:valAx>
        <c:axId val="228726047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28728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900" b="1">
                <a:solidFill>
                  <a:sysClr val="windowText" lastClr="000000"/>
                </a:solidFill>
              </a:rPr>
              <a:t>Comunicación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('Resumen Ind'!$I$12,'Resumen Ind'!$I$14,'Resumen Ind'!$I$16)</c:f>
              <c:numCache>
                <c:formatCode>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6C-4C25-AAB6-0A082C0FAA3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28728543"/>
        <c:axId val="228726047"/>
      </c:lineChart>
      <c:catAx>
        <c:axId val="2287285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28726047"/>
        <c:crosses val="autoZero"/>
        <c:auto val="1"/>
        <c:lblAlgn val="ctr"/>
        <c:lblOffset val="100"/>
        <c:noMultiLvlLbl val="0"/>
      </c:catAx>
      <c:valAx>
        <c:axId val="228726047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28728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900" b="1">
                <a:solidFill>
                  <a:sysClr val="windowText" lastClr="000000"/>
                </a:solidFill>
              </a:rPr>
              <a:t>Respeto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('Resumen Ind'!$K$12,'Resumen Ind'!$K$14,'Resumen Ind'!$K$16)</c:f>
              <c:numCache>
                <c:formatCode>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E0-4EE7-9B50-D21225AF9FF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28728543"/>
        <c:axId val="228726047"/>
      </c:lineChart>
      <c:catAx>
        <c:axId val="2287285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28726047"/>
        <c:crosses val="autoZero"/>
        <c:auto val="1"/>
        <c:lblAlgn val="ctr"/>
        <c:lblOffset val="100"/>
        <c:noMultiLvlLbl val="0"/>
      </c:catAx>
      <c:valAx>
        <c:axId val="228726047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28728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ln>
                  <a:solidFill>
                    <a:schemeClr val="accent5">
                      <a:lumMod val="50000"/>
                    </a:schemeClr>
                  </a:solidFill>
                </a:ln>
                <a:solidFill>
                  <a:schemeClr val="accent5">
                    <a:lumMod val="50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CO" b="1">
                <a:ln>
                  <a:solidFill>
                    <a:schemeClr val="accent5">
                      <a:lumMod val="50000"/>
                    </a:schemeClr>
                  </a:solidFill>
                </a:ln>
                <a:solidFill>
                  <a:schemeClr val="accent5">
                    <a:lumMod val="50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Recursos Utilizados</a:t>
            </a:r>
          </a:p>
        </c:rich>
      </c:tx>
      <c:layout>
        <c:manualLayout>
          <c:xMode val="edge"/>
          <c:yMode val="edge"/>
          <c:x val="0.38649191870445632"/>
          <c:y val="1.57038709918342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1796030094240366E-2"/>
          <c:y val="8.3261923998705106E-2"/>
          <c:w val="0.87211441640202558"/>
          <c:h val="0.68536564917947895"/>
        </c:manualLayout>
      </c:layout>
      <c:scatterChart>
        <c:scatterStyle val="smoothMarker"/>
        <c:varyColors val="0"/>
        <c:ser>
          <c:idx val="6"/>
          <c:order val="0"/>
          <c:tx>
            <c:v>Cohorte 1</c:v>
          </c:tx>
          <c:spPr>
            <a:ln>
              <a:solidFill>
                <a:srgbClr val="0070C0"/>
              </a:solidFill>
            </a:ln>
          </c:spPr>
          <c:marker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trendline>
            <c:spPr>
              <a:ln w="6350" cap="flat" cmpd="sng" algn="ctr">
                <a:solidFill>
                  <a:srgbClr val="00B0F0"/>
                </a:solidFill>
                <a:prstDash val="solid"/>
                <a:miter lim="800000"/>
              </a:ln>
              <a:effectLst/>
            </c:spPr>
            <c:trendlineType val="linear"/>
            <c:dispRSqr val="0"/>
            <c:dispEq val="0"/>
          </c:trendline>
          <c:yVal>
            <c:numRef>
              <c:f>'CORTE 1 G1'!$C$15:$C$63</c:f>
              <c:numCache>
                <c:formatCode>0.0</c:formatCode>
                <c:ptCount val="4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C-407A-4B73-AA4D-1D7081887120}"/>
            </c:ext>
          </c:extLst>
        </c:ser>
        <c:ser>
          <c:idx val="7"/>
          <c:order val="1"/>
          <c:tx>
            <c:v>Cohorte 2</c:v>
          </c:tx>
          <c:spPr>
            <a:ln>
              <a:solidFill>
                <a:schemeClr val="accent2"/>
              </a:solidFill>
            </a:ln>
            <a:effectLst>
              <a:softEdge rad="0"/>
            </a:effectLst>
          </c:spPr>
          <c:marker>
            <c:symbol val="diamond"/>
            <c:size val="7"/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accent2"/>
                </a:solidFill>
              </a:ln>
            </c:spPr>
          </c:marker>
          <c:trendline>
            <c:spPr>
              <a:ln w="6350" cap="flat" cmpd="sng" algn="ctr">
                <a:solidFill>
                  <a:srgbClr val="FFC000"/>
                </a:solidFill>
                <a:prstDash val="solid"/>
                <a:miter lim="800000"/>
              </a:ln>
              <a:effectLst/>
            </c:spPr>
            <c:trendlineType val="linear"/>
            <c:dispRSqr val="0"/>
            <c:dispEq val="0"/>
          </c:trendline>
          <c:yVal>
            <c:numRef>
              <c:f>'CORTE 2 REAL'!$C$15:$C$65</c:f>
              <c:numCache>
                <c:formatCode>0.0</c:formatCode>
                <c:ptCount val="5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D-407A-4B73-AA4D-1D7081887120}"/>
            </c:ext>
          </c:extLst>
        </c:ser>
        <c:ser>
          <c:idx val="8"/>
          <c:order val="2"/>
          <c:tx>
            <c:v>Cohorte 3</c:v>
          </c:tx>
          <c:spPr>
            <a:ln>
              <a:solidFill>
                <a:srgbClr val="00B050"/>
              </a:solidFill>
            </a:ln>
            <a:effectLst/>
          </c:spPr>
          <c:marker>
            <c:symbol val="triangle"/>
            <c:size val="7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trendlineType val="linear"/>
            <c:dispRSqr val="0"/>
            <c:dispEq val="0"/>
          </c:trendline>
          <c:trendline>
            <c:spPr>
              <a:ln w="6350" cap="flat" cmpd="sng" algn="ctr">
                <a:solidFill>
                  <a:srgbClr val="24FCA5"/>
                </a:solidFill>
                <a:prstDash val="solid"/>
                <a:miter lim="800000"/>
              </a:ln>
              <a:effectLst/>
            </c:spPr>
            <c:trendlineType val="linear"/>
            <c:dispRSqr val="0"/>
            <c:dispEq val="0"/>
          </c:trendline>
          <c:yVal>
            <c:numRef>
              <c:f>'CORTE 3 REAL'!$C$15:$C$65</c:f>
              <c:numCache>
                <c:formatCode>0.0</c:formatCode>
                <c:ptCount val="5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E-407A-4B73-AA4D-1D70818871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5495616"/>
        <c:axId val="325503936"/>
      </c:scatterChart>
      <c:valAx>
        <c:axId val="325495616"/>
        <c:scaling>
          <c:orientation val="minMax"/>
          <c:max val="4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Estudiantes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25503936"/>
        <c:crosses val="autoZero"/>
        <c:crossBetween val="midCat"/>
        <c:majorUnit val="5"/>
        <c:minorUnit val="1"/>
      </c:valAx>
      <c:valAx>
        <c:axId val="325503936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Notas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25495616"/>
        <c:crosses val="autoZero"/>
        <c:crossBetween val="midCat"/>
        <c:majorUnit val="1"/>
      </c:valAx>
    </c:plotArea>
    <c:legend>
      <c:legendPos val="r"/>
      <c:legendEntry>
        <c:idx val="6"/>
        <c:delete val="1"/>
      </c:legendEntry>
      <c:layout>
        <c:manualLayout>
          <c:xMode val="edge"/>
          <c:yMode val="edge"/>
          <c:x val="6.5607919447087423E-2"/>
          <c:y val="0.84704182348898482"/>
          <c:w val="0.77565316323951772"/>
          <c:h val="0.133142364369870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accent5">
        <a:lumMod val="40000"/>
        <a:lumOff val="60000"/>
      </a:schemeClr>
    </a:solidFill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1" i="0" u="none" strike="noStrike" kern="1200" spc="0" baseline="0">
                <a:ln>
                  <a:solidFill>
                    <a:srgbClr val="4472C4">
                      <a:lumMod val="50000"/>
                    </a:srgbClr>
                  </a:solidFill>
                </a:ln>
                <a:solidFill>
                  <a:srgbClr val="4472C4">
                    <a:lumMod val="50000"/>
                  </a:srgb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CO" sz="1400" b="1" i="0" u="none" strike="noStrike" kern="1200" spc="0" baseline="0">
                <a:ln>
                  <a:solidFill>
                    <a:schemeClr val="accent5">
                      <a:lumMod val="50000"/>
                    </a:schemeClr>
                  </a:solidFill>
                </a:ln>
                <a:solidFill>
                  <a:schemeClr val="accent5">
                    <a:lumMod val="50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Desarrollo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5667711004323169E-2"/>
          <c:y val="0.10524734338727305"/>
          <c:w val="0.86824273549194275"/>
          <c:h val="0.66966177818764472"/>
        </c:manualLayout>
      </c:layout>
      <c:scatterChart>
        <c:scatterStyle val="smoothMarker"/>
        <c:varyColors val="0"/>
        <c:ser>
          <c:idx val="6"/>
          <c:order val="0"/>
          <c:tx>
            <c:v>Cohorte 1</c:v>
          </c:tx>
          <c:spPr>
            <a:ln>
              <a:solidFill>
                <a:srgbClr val="0070C0"/>
              </a:solidFill>
            </a:ln>
          </c:spPr>
          <c:marker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trendline>
            <c:spPr>
              <a:ln w="6350" cap="flat" cmpd="sng" algn="ctr">
                <a:solidFill>
                  <a:srgbClr val="00B0F0"/>
                </a:solidFill>
                <a:prstDash val="solid"/>
                <a:miter lim="800000"/>
              </a:ln>
              <a:effectLst/>
            </c:spPr>
            <c:trendlineType val="linear"/>
            <c:dispRSqr val="0"/>
            <c:dispEq val="0"/>
          </c:trendline>
          <c:yVal>
            <c:numRef>
              <c:f>'CORTE 1 G1'!$E$15:$E$63</c:f>
              <c:numCache>
                <c:formatCode>0.0</c:formatCode>
                <c:ptCount val="4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AA3-4568-AB70-17E480CEC056}"/>
            </c:ext>
          </c:extLst>
        </c:ser>
        <c:ser>
          <c:idx val="7"/>
          <c:order val="1"/>
          <c:tx>
            <c:v>Cohorte 2</c:v>
          </c:tx>
          <c:spPr>
            <a:ln>
              <a:solidFill>
                <a:schemeClr val="accent2">
                  <a:lumMod val="75000"/>
                </a:schemeClr>
              </a:solidFill>
            </a:ln>
          </c:spPr>
          <c:marker>
            <c:symbol val="diamond"/>
            <c:size val="7"/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accent2">
                    <a:lumMod val="75000"/>
                  </a:schemeClr>
                </a:solidFill>
              </a:ln>
            </c:spPr>
          </c:marker>
          <c:trendline>
            <c:spPr>
              <a:ln w="6350" cap="flat" cmpd="sng" algn="ctr">
                <a:solidFill>
                  <a:srgbClr val="FFC000"/>
                </a:solidFill>
                <a:prstDash val="solid"/>
                <a:miter lim="800000"/>
              </a:ln>
              <a:effectLst/>
            </c:spPr>
            <c:trendlineType val="linear"/>
            <c:dispRSqr val="0"/>
            <c:dispEq val="0"/>
          </c:trendline>
          <c:yVal>
            <c:numRef>
              <c:f>'CORTE 2 REAL'!$E$15:$E$65</c:f>
              <c:numCache>
                <c:formatCode>0.0</c:formatCode>
                <c:ptCount val="5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AA3-4568-AB70-17E480CEC056}"/>
            </c:ext>
          </c:extLst>
        </c:ser>
        <c:ser>
          <c:idx val="8"/>
          <c:order val="2"/>
          <c:tx>
            <c:v>Cohorte 3</c:v>
          </c:tx>
          <c:spPr>
            <a:ln>
              <a:solidFill>
                <a:srgbClr val="00B050"/>
              </a:solidFill>
            </a:ln>
          </c:spPr>
          <c:marker>
            <c:spPr>
              <a:solidFill>
                <a:srgbClr val="0070C0"/>
              </a:solidFill>
              <a:ln>
                <a:solidFill>
                  <a:srgbClr val="00B050"/>
                </a:solidFill>
              </a:ln>
            </c:spPr>
          </c:marker>
          <c:trendline>
            <c:trendlineType val="linear"/>
            <c:dispRSqr val="0"/>
            <c:dispEq val="0"/>
          </c:trendline>
          <c:trendline>
            <c:spPr>
              <a:ln w="6350" cap="flat" cmpd="sng" algn="ctr">
                <a:solidFill>
                  <a:srgbClr val="24FCA5"/>
                </a:solidFill>
                <a:prstDash val="solid"/>
                <a:miter lim="800000"/>
              </a:ln>
              <a:effectLst/>
            </c:spPr>
            <c:trendlineType val="linear"/>
            <c:dispRSqr val="0"/>
            <c:dispEq val="0"/>
          </c:trendline>
          <c:yVal>
            <c:numRef>
              <c:f>'CORTE 3 REAL'!$E$15:$E$65</c:f>
              <c:numCache>
                <c:formatCode>0.0</c:formatCode>
                <c:ptCount val="5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AA3-4568-AB70-17E480CEC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5495616"/>
        <c:axId val="325503936"/>
      </c:scatterChart>
      <c:valAx>
        <c:axId val="325495616"/>
        <c:scaling>
          <c:orientation val="minMax"/>
          <c:max val="4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Estudiantes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25503936"/>
        <c:crosses val="autoZero"/>
        <c:crossBetween val="midCat"/>
        <c:majorUnit val="5"/>
        <c:minorUnit val="1"/>
      </c:valAx>
      <c:valAx>
        <c:axId val="325503936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Notas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25495616"/>
        <c:crosses val="autoZero"/>
        <c:crossBetween val="midCat"/>
        <c:majorUnit val="1"/>
      </c:valAx>
    </c:plotArea>
    <c:legend>
      <c:legendPos val="r"/>
      <c:legendEntry>
        <c:idx val="6"/>
        <c:delete val="1"/>
      </c:legendEntry>
      <c:layout>
        <c:manualLayout>
          <c:xMode val="edge"/>
          <c:yMode val="edge"/>
          <c:x val="6.5607919447087423E-2"/>
          <c:y val="0.89101258970279662"/>
          <c:w val="0.93439208055291256"/>
          <c:h val="0.108987337733879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accent2">
        <a:lumMod val="20000"/>
        <a:lumOff val="80000"/>
      </a:schemeClr>
    </a:solidFill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1" i="0" u="none" strike="noStrike" kern="1200" spc="0" baseline="0">
                <a:ln>
                  <a:solidFill>
                    <a:srgbClr val="4472C4">
                      <a:lumMod val="50000"/>
                    </a:srgbClr>
                  </a:solidFill>
                </a:ln>
                <a:solidFill>
                  <a:srgbClr val="4472C4">
                    <a:lumMod val="50000"/>
                  </a:srgb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CO" sz="1400" b="1" i="0" u="none" strike="noStrike" kern="1200" spc="0" baseline="0">
                <a:ln>
                  <a:solidFill>
                    <a:schemeClr val="accent5">
                      <a:lumMod val="50000"/>
                    </a:schemeClr>
                  </a:solidFill>
                </a:ln>
                <a:solidFill>
                  <a:schemeClr val="accent5">
                    <a:lumMod val="50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Dominio - Conocimiento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5988508729116161E-2"/>
          <c:y val="0.11466966598237358"/>
          <c:w val="0.87598609731210841"/>
          <c:h val="0.65395790719581048"/>
        </c:manualLayout>
      </c:layout>
      <c:scatterChart>
        <c:scatterStyle val="smoothMarker"/>
        <c:varyColors val="0"/>
        <c:ser>
          <c:idx val="6"/>
          <c:order val="0"/>
          <c:tx>
            <c:v>Cohorte 1</c:v>
          </c:tx>
          <c:spPr>
            <a:ln>
              <a:solidFill>
                <a:srgbClr val="0070C0"/>
              </a:solidFill>
            </a:ln>
          </c:spPr>
          <c:marker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trendline>
            <c:spPr>
              <a:ln w="6350" cap="flat" cmpd="sng" algn="ctr">
                <a:solidFill>
                  <a:srgbClr val="00B0F0"/>
                </a:solidFill>
                <a:prstDash val="solid"/>
                <a:miter lim="800000"/>
              </a:ln>
              <a:effectLst/>
            </c:spPr>
            <c:trendlineType val="linear"/>
            <c:dispRSqr val="0"/>
            <c:dispEq val="0"/>
          </c:trendline>
          <c:yVal>
            <c:numRef>
              <c:f>'CORTE 1 G1'!$L$15:$L$63</c:f>
              <c:numCache>
                <c:formatCode>0.0</c:formatCode>
                <c:ptCount val="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14C-4489-BA7D-447248CDB6CD}"/>
            </c:ext>
          </c:extLst>
        </c:ser>
        <c:ser>
          <c:idx val="7"/>
          <c:order val="1"/>
          <c:tx>
            <c:v>Cohorte 2</c:v>
          </c:tx>
          <c:marker>
            <c:symbol val="diamond"/>
            <c:size val="7"/>
            <c:spPr>
              <a:solidFill>
                <a:schemeClr val="accent2">
                  <a:lumMod val="75000"/>
                </a:schemeClr>
              </a:solidFill>
            </c:spPr>
          </c:marker>
          <c:trendline>
            <c:spPr>
              <a:ln w="6350" cap="flat" cmpd="sng" algn="ctr">
                <a:solidFill>
                  <a:schemeClr val="accent2"/>
                </a:solidFill>
                <a:prstDash val="solid"/>
                <a:miter lim="800000"/>
              </a:ln>
              <a:effectLst/>
            </c:spPr>
            <c:trendlineType val="linear"/>
            <c:dispRSqr val="0"/>
            <c:dispEq val="0"/>
          </c:trendline>
          <c:yVal>
            <c:numRef>
              <c:f>'CORTE 2 REAL'!$L$15:$L$65</c:f>
              <c:numCache>
                <c:formatCode>0.0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14C-4489-BA7D-447248CDB6CD}"/>
            </c:ext>
          </c:extLst>
        </c:ser>
        <c:ser>
          <c:idx val="8"/>
          <c:order val="2"/>
          <c:tx>
            <c:v>Cohorte 3</c:v>
          </c:tx>
          <c:spPr>
            <a:ln>
              <a:solidFill>
                <a:srgbClr val="00B050"/>
              </a:solidFill>
            </a:ln>
          </c:spPr>
          <c:marker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trendline>
            <c:trendlineType val="linear"/>
            <c:dispRSqr val="0"/>
            <c:dispEq val="0"/>
          </c:trendline>
          <c:trendline>
            <c:spPr>
              <a:ln w="6350" cap="flat" cmpd="sng" algn="ctr">
                <a:solidFill>
                  <a:srgbClr val="24FCA5"/>
                </a:solidFill>
                <a:prstDash val="solid"/>
                <a:miter lim="800000"/>
              </a:ln>
              <a:effectLst/>
            </c:spPr>
            <c:trendlineType val="linear"/>
            <c:dispRSqr val="0"/>
            <c:dispEq val="0"/>
          </c:trendline>
          <c:yVal>
            <c:numRef>
              <c:f>'CORTE 3 REAL'!$L$15:$L$65</c:f>
              <c:numCache>
                <c:formatCode>0.0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14C-4489-BA7D-447248CDB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5495616"/>
        <c:axId val="325503936"/>
      </c:scatterChart>
      <c:valAx>
        <c:axId val="325495616"/>
        <c:scaling>
          <c:orientation val="minMax"/>
          <c:max val="4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Estudiantes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25503936"/>
        <c:crosses val="autoZero"/>
        <c:crossBetween val="midCat"/>
        <c:majorUnit val="5"/>
        <c:minorUnit val="1"/>
      </c:valAx>
      <c:valAx>
        <c:axId val="325503936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Notas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25495616"/>
        <c:crosses val="autoZero"/>
        <c:crossBetween val="midCat"/>
        <c:majorUnit val="1"/>
      </c:valAx>
    </c:plotArea>
    <c:legend>
      <c:legendPos val="r"/>
      <c:layout>
        <c:manualLayout>
          <c:xMode val="edge"/>
          <c:yMode val="edge"/>
          <c:x val="6.5607919447087423E-2"/>
          <c:y val="0.89101258970279662"/>
          <c:w val="0.93439208055291256"/>
          <c:h val="0.108987337733879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1" i="0" u="none" strike="noStrike" kern="1200" spc="0" baseline="0">
                <a:ln>
                  <a:solidFill>
                    <a:schemeClr val="accent5">
                      <a:lumMod val="50000"/>
                    </a:schemeClr>
                  </a:solidFill>
                </a:ln>
                <a:solidFill>
                  <a:schemeClr val="accent5">
                    <a:lumMod val="50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Comunicación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1796030094240366E-2"/>
          <c:y val="0.12409201926605776"/>
          <c:w val="0.85662769276169437"/>
          <c:h val="0.64453574399765745"/>
        </c:manualLayout>
      </c:layout>
      <c:scatterChart>
        <c:scatterStyle val="smoothMarker"/>
        <c:varyColors val="0"/>
        <c:ser>
          <c:idx val="0"/>
          <c:order val="0"/>
          <c:tx>
            <c:v>Cohorte 1</c:v>
          </c:tx>
          <c:spPr>
            <a:ln>
              <a:solidFill>
                <a:srgbClr val="0070C0"/>
              </a:solidFill>
            </a:ln>
          </c:spPr>
          <c:marker>
            <c:spPr>
              <a:ln>
                <a:solidFill>
                  <a:srgbClr val="0070C0"/>
                </a:solidFill>
              </a:ln>
            </c:spPr>
          </c:marker>
          <c:trendline>
            <c:spPr>
              <a:ln>
                <a:solidFill>
                  <a:srgbClr val="0070C0"/>
                </a:solidFill>
              </a:ln>
            </c:spPr>
            <c:trendlineType val="linear"/>
            <c:dispRSqr val="0"/>
            <c:dispEq val="0"/>
          </c:trendline>
          <c:yVal>
            <c:numRef>
              <c:f>'CORTE 1 G1'!$N$15:$N$63</c:f>
              <c:numCache>
                <c:formatCode>0.0</c:formatCode>
                <c:ptCount val="4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453-4EDD-BFAE-1DDE12EBA4F5}"/>
            </c:ext>
          </c:extLst>
        </c:ser>
        <c:ser>
          <c:idx val="1"/>
          <c:order val="1"/>
          <c:tx>
            <c:v>cohorte 2</c:v>
          </c:tx>
          <c:spPr>
            <a:ln>
              <a:solidFill>
                <a:schemeClr val="accent2">
                  <a:lumMod val="75000"/>
                </a:schemeClr>
              </a:solidFill>
            </a:ln>
          </c:spPr>
          <c:marker>
            <c:spPr>
              <a:ln>
                <a:solidFill>
                  <a:schemeClr val="accent2">
                    <a:lumMod val="75000"/>
                  </a:schemeClr>
                </a:solidFill>
              </a:ln>
            </c:spPr>
          </c:marker>
          <c:trendline>
            <c:spPr>
              <a:ln>
                <a:solidFill>
                  <a:srgbClr val="00B050"/>
                </a:solidFill>
              </a:ln>
            </c:spPr>
            <c:trendlineType val="linear"/>
            <c:dispRSqr val="0"/>
            <c:dispEq val="0"/>
          </c:trendline>
          <c:trendline>
            <c:spPr>
              <a:ln>
                <a:solidFill>
                  <a:schemeClr val="accent2">
                    <a:lumMod val="75000"/>
                  </a:schemeClr>
                </a:solidFill>
              </a:ln>
            </c:spPr>
            <c:trendlineType val="linear"/>
            <c:dispRSqr val="0"/>
            <c:dispEq val="0"/>
          </c:trendline>
          <c:yVal>
            <c:numRef>
              <c:f>'CORTE 2 REAL'!$N$15:$N$65</c:f>
              <c:numCache>
                <c:formatCode>0.0</c:formatCode>
                <c:ptCount val="5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453-4EDD-BFAE-1DDE12EBA4F5}"/>
            </c:ext>
          </c:extLst>
        </c:ser>
        <c:ser>
          <c:idx val="2"/>
          <c:order val="2"/>
          <c:tx>
            <c:v>Cohorte 3</c:v>
          </c:tx>
          <c:spPr>
            <a:ln>
              <a:solidFill>
                <a:srgbClr val="00B050"/>
              </a:solidFill>
            </a:ln>
          </c:spPr>
          <c:marker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trendline>
            <c:trendlineType val="linear"/>
            <c:dispRSqr val="0"/>
            <c:dispEq val="0"/>
          </c:trendline>
          <c:trendline>
            <c:spPr>
              <a:ln>
                <a:solidFill>
                  <a:srgbClr val="00B050"/>
                </a:solidFill>
              </a:ln>
            </c:spPr>
            <c:trendlineType val="linear"/>
            <c:dispRSqr val="0"/>
            <c:dispEq val="0"/>
          </c:trendline>
          <c:yVal>
            <c:numRef>
              <c:f>'CORTE 3 REAL'!$N$15:$N$65</c:f>
              <c:numCache>
                <c:formatCode>0.0</c:formatCode>
                <c:ptCount val="5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2453-4EDD-BFAE-1DDE12EBA4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5495616"/>
        <c:axId val="325503936"/>
      </c:scatterChart>
      <c:valAx>
        <c:axId val="325495616"/>
        <c:scaling>
          <c:orientation val="minMax"/>
          <c:max val="4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Estudiantes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25503936"/>
        <c:crosses val="autoZero"/>
        <c:crossBetween val="midCat"/>
        <c:majorUnit val="5"/>
        <c:minorUnit val="1"/>
      </c:valAx>
      <c:valAx>
        <c:axId val="325503936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Notas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25495616"/>
        <c:crosses val="autoZero"/>
        <c:crossBetween val="midCat"/>
        <c:majorUnit val="1"/>
      </c:valAx>
    </c:plotArea>
    <c:legend>
      <c:legendPos val="r"/>
      <c:layout>
        <c:manualLayout>
          <c:xMode val="edge"/>
          <c:yMode val="edge"/>
          <c:x val="6.5607919447087423E-2"/>
          <c:y val="0.89101258970279662"/>
          <c:w val="0.90796816319836204"/>
          <c:h val="0.108987364687005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accent4">
        <a:lumMod val="20000"/>
        <a:lumOff val="80000"/>
      </a:schemeClr>
    </a:solidFill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1" i="0" u="none" strike="noStrike" kern="1200" spc="0" baseline="0">
                <a:ln>
                  <a:solidFill>
                    <a:schemeClr val="accent5">
                      <a:lumMod val="50000"/>
                    </a:schemeClr>
                  </a:solidFill>
                </a:ln>
                <a:solidFill>
                  <a:schemeClr val="accent5">
                    <a:lumMod val="50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Respeto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1796030094240366E-2"/>
          <c:y val="0.12409201926605776"/>
          <c:w val="0.85662769276169437"/>
          <c:h val="0.64453574399765745"/>
        </c:manualLayout>
      </c:layout>
      <c:scatterChart>
        <c:scatterStyle val="smoothMarker"/>
        <c:varyColors val="0"/>
        <c:ser>
          <c:idx val="0"/>
          <c:order val="0"/>
          <c:tx>
            <c:v>cohorte 1</c:v>
          </c:tx>
          <c:spPr>
            <a:ln>
              <a:solidFill>
                <a:srgbClr val="0070C0"/>
              </a:solidFill>
            </a:ln>
          </c:spPr>
          <c:marker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trendline>
            <c:spPr>
              <a:ln>
                <a:solidFill>
                  <a:srgbClr val="0070C0"/>
                </a:solidFill>
              </a:ln>
            </c:spPr>
            <c:trendlineType val="linear"/>
            <c:dispRSqr val="0"/>
            <c:dispEq val="0"/>
          </c:trendline>
          <c:yVal>
            <c:numRef>
              <c:f>'CORTE 1 G1'!$P$15:$P$63</c:f>
              <c:numCache>
                <c:formatCode>0.0</c:formatCode>
                <c:ptCount val="4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F61-45A1-B6F0-BE72B3290DD0}"/>
            </c:ext>
          </c:extLst>
        </c:ser>
        <c:ser>
          <c:idx val="1"/>
          <c:order val="1"/>
          <c:tx>
            <c:v>Cohorte 2</c:v>
          </c:tx>
          <c:trendline>
            <c:spPr>
              <a:ln>
                <a:solidFill>
                  <a:schemeClr val="accent2">
                    <a:lumMod val="75000"/>
                  </a:schemeClr>
                </a:solidFill>
              </a:ln>
            </c:spPr>
            <c:trendlineType val="linear"/>
            <c:dispRSqr val="0"/>
            <c:dispEq val="0"/>
          </c:trendline>
          <c:yVal>
            <c:numRef>
              <c:f>'CORTE 2 REAL'!$P$15:$P$65</c:f>
              <c:numCache>
                <c:formatCode>0.0</c:formatCode>
                <c:ptCount val="5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F61-45A1-B6F0-BE72B3290DD0}"/>
            </c:ext>
          </c:extLst>
        </c:ser>
        <c:ser>
          <c:idx val="2"/>
          <c:order val="2"/>
          <c:tx>
            <c:v>Cohorte 3</c:v>
          </c:tx>
          <c:spPr>
            <a:ln>
              <a:solidFill>
                <a:srgbClr val="00B050"/>
              </a:solidFill>
            </a:ln>
          </c:spPr>
          <c:marker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trendline>
            <c:spPr>
              <a:ln>
                <a:solidFill>
                  <a:srgbClr val="00B050"/>
                </a:solidFill>
              </a:ln>
            </c:spPr>
            <c:trendlineType val="linear"/>
            <c:dispRSqr val="0"/>
            <c:dispEq val="0"/>
          </c:trendline>
          <c:yVal>
            <c:numRef>
              <c:f>'CORTE 3 REAL'!$P$15:$P$65</c:f>
              <c:numCache>
                <c:formatCode>0.0</c:formatCode>
                <c:ptCount val="5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7F61-45A1-B6F0-BE72B3290D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5495616"/>
        <c:axId val="325503936"/>
      </c:scatterChart>
      <c:valAx>
        <c:axId val="325495616"/>
        <c:scaling>
          <c:orientation val="minMax"/>
          <c:max val="4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Estudiantes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25503936"/>
        <c:crosses val="autoZero"/>
        <c:crossBetween val="midCat"/>
        <c:majorUnit val="5"/>
        <c:minorUnit val="1"/>
      </c:valAx>
      <c:valAx>
        <c:axId val="325503936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Notas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25495616"/>
        <c:crosses val="autoZero"/>
        <c:crossBetween val="midCat"/>
        <c:majorUnit val="1"/>
      </c:valAx>
    </c:plotArea>
    <c:legend>
      <c:legendPos val="r"/>
      <c:layout>
        <c:manualLayout>
          <c:xMode val="edge"/>
          <c:yMode val="edge"/>
          <c:x val="6.5607919447087423E-2"/>
          <c:y val="0.89101258970279662"/>
          <c:w val="0.87360653783623032"/>
          <c:h val="0.108987364687005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accent4">
        <a:lumMod val="60000"/>
        <a:lumOff val="40000"/>
      </a:schemeClr>
    </a:solidFill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4.jpe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7" Type="http://schemas.openxmlformats.org/officeDocument/2006/relationships/image" Target="../media/image1.jpg"/><Relationship Id="rId2" Type="http://schemas.openxmlformats.org/officeDocument/2006/relationships/chart" Target="../charts/chart6.xml"/><Relationship Id="rId1" Type="http://schemas.openxmlformats.org/officeDocument/2006/relationships/image" Target="../media/image5.jpeg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7" Type="http://schemas.openxmlformats.org/officeDocument/2006/relationships/chart" Target="../charts/chart15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microsoft.com/office/2007/relationships/hdphoto" Target="../media/hdphoto1.wdp"/><Relationship Id="rId5" Type="http://schemas.openxmlformats.org/officeDocument/2006/relationships/image" Target="../media/image6.png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39687</xdr:colOff>
      <xdr:row>4</xdr:row>
      <xdr:rowOff>71437</xdr:rowOff>
    </xdr:from>
    <xdr:to>
      <xdr:col>20</xdr:col>
      <xdr:colOff>214313</xdr:colOff>
      <xdr:row>8</xdr:row>
      <xdr:rowOff>7938</xdr:rowOff>
    </xdr:to>
    <xdr:sp macro="" textlink="">
      <xdr:nvSpPr>
        <xdr:cNvPr id="3" name="CuadroTexto 2"/>
        <xdr:cNvSpPr txBox="1"/>
      </xdr:nvSpPr>
      <xdr:spPr>
        <a:xfrm>
          <a:off x="15732125" y="1206500"/>
          <a:ext cx="1150938" cy="1008063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1100">
              <a:solidFill>
                <a:schemeClr val="bg1"/>
              </a:solidFill>
            </a:rPr>
            <a:t>este valor no puede superar</a:t>
          </a:r>
          <a:r>
            <a:rPr lang="es-CO" sz="1100" baseline="0">
              <a:solidFill>
                <a:schemeClr val="bg1"/>
              </a:solidFill>
            </a:rPr>
            <a:t> el 100% y no debe estar por debajo de 100%</a:t>
          </a:r>
          <a:endParaRPr lang="es-CO" sz="11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2</xdr:col>
      <xdr:colOff>10582</xdr:colOff>
      <xdr:row>0</xdr:row>
      <xdr:rowOff>158751</xdr:rowOff>
    </xdr:from>
    <xdr:to>
      <xdr:col>16</xdr:col>
      <xdr:colOff>0</xdr:colOff>
      <xdr:row>2</xdr:row>
      <xdr:rowOff>1068917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4360332" y="158751"/>
          <a:ext cx="12700001" cy="1830916"/>
          <a:chOff x="104775" y="75840"/>
          <a:chExt cx="6410325" cy="1000486"/>
        </a:xfrm>
      </xdr:grpSpPr>
      <xdr:sp macro="" textlink="">
        <xdr:nvSpPr>
          <xdr:cNvPr id="14" name="CuadroTexto 1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8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5" name="CuadroTexto 1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2400" b="1">
                <a:latin typeface="Arial" panose="020B0604020202020204" pitchFamily="34" charset="0"/>
                <a:cs typeface="Arial" panose="020B0604020202020204" pitchFamily="34" charset="0"/>
              </a:rPr>
              <a:t>GESTIÓN CURRICULAR</a:t>
            </a:r>
          </a:p>
        </xdr:txBody>
      </xdr:sp>
      <xdr:sp macro="" textlink="">
        <xdr:nvSpPr>
          <xdr:cNvPr id="16" name="CuadroTexto 1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2400" b="1">
                <a:latin typeface="Arial" panose="020B0604020202020204" pitchFamily="34" charset="0"/>
                <a:cs typeface="Arial" panose="020B0604020202020204" pitchFamily="34" charset="0"/>
              </a:rPr>
              <a:t>PLANILLA DE VALORACIÓN</a:t>
            </a:r>
            <a:r>
              <a:rPr lang="es-CO" sz="2400" b="1" baseline="0"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endParaRPr lang="es-CO" sz="24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17" name="Imagen 1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18" name="CuadroTexto 17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2400" b="1">
                <a:latin typeface="Arial" panose="020B0604020202020204" pitchFamily="34" charset="0"/>
                <a:cs typeface="Arial" panose="020B0604020202020204" pitchFamily="34" charset="0"/>
              </a:rPr>
              <a:t>Código:  FO-CU-006</a:t>
            </a:r>
          </a:p>
        </xdr:txBody>
      </xdr:sp>
      <xdr:sp macro="" textlink="">
        <xdr:nvSpPr>
          <xdr:cNvPr id="19" name="CuadroTexto 18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2400" b="1">
                <a:latin typeface="Arial" panose="020B0604020202020204" pitchFamily="34" charset="0"/>
                <a:cs typeface="Arial" panose="020B0604020202020204" pitchFamily="34" charset="0"/>
              </a:rPr>
              <a:t>Versión: 03</a:t>
            </a:r>
          </a:p>
        </xdr:txBody>
      </xdr:sp>
      <xdr:sp macro="" textlink="">
        <xdr:nvSpPr>
          <xdr:cNvPr id="20" name="CuadroTexto 19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800" b="1">
                <a:latin typeface="Arial" panose="020B0604020202020204" pitchFamily="34" charset="0"/>
                <a:cs typeface="Arial" panose="020B0604020202020204" pitchFamily="34" charset="0"/>
              </a:rPr>
              <a:t>Fecha: Enero 2024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2077357</xdr:colOff>
      <xdr:row>0</xdr:row>
      <xdr:rowOff>254000</xdr:rowOff>
    </xdr:from>
    <xdr:to>
      <xdr:col>15</xdr:col>
      <xdr:colOff>1129394</xdr:colOff>
      <xdr:row>2</xdr:row>
      <xdr:rowOff>662215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3601357" y="254000"/>
          <a:ext cx="12559394" cy="1324429"/>
          <a:chOff x="104775" y="75840"/>
          <a:chExt cx="6410325" cy="1000486"/>
        </a:xfrm>
      </xdr:grpSpPr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6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6" name="CuadroTexto 5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2000" b="1">
                <a:latin typeface="Arial" panose="020B0604020202020204" pitchFamily="34" charset="0"/>
                <a:cs typeface="Arial" panose="020B0604020202020204" pitchFamily="34" charset="0"/>
              </a:rPr>
              <a:t>GESTIÓN CURRICULAR</a:t>
            </a:r>
          </a:p>
        </xdr:txBody>
      </xdr:sp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2000" b="1">
                <a:latin typeface="Arial" panose="020B0604020202020204" pitchFamily="34" charset="0"/>
                <a:cs typeface="Arial" panose="020B0604020202020204" pitchFamily="34" charset="0"/>
              </a:rPr>
              <a:t>PLANILLA DE VALORACIÓN</a:t>
            </a:r>
            <a:r>
              <a:rPr lang="es-CO" sz="2000" b="1" baseline="0"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endParaRPr lang="es-CO" sz="2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8" name="Imagen 7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2000" b="1">
                <a:latin typeface="Arial" panose="020B0604020202020204" pitchFamily="34" charset="0"/>
                <a:cs typeface="Arial" panose="020B0604020202020204" pitchFamily="34" charset="0"/>
              </a:rPr>
              <a:t>Código:  FO-CU-006</a:t>
            </a:r>
          </a:p>
        </xdr:txBody>
      </xdr:sp>
      <xdr:sp macro="" textlink="">
        <xdr:nvSpPr>
          <xdr:cNvPr id="10" name="CuadroTexto 9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2000" b="1">
                <a:latin typeface="Arial" panose="020B0604020202020204" pitchFamily="34" charset="0"/>
                <a:cs typeface="Arial" panose="020B0604020202020204" pitchFamily="34" charset="0"/>
              </a:rPr>
              <a:t>Versión: 03</a:t>
            </a:r>
          </a:p>
        </xdr:txBody>
      </xdr:sp>
      <xdr:sp macro="" textlink="">
        <xdr:nvSpPr>
          <xdr:cNvPr id="11" name="CuadroTexto 10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600" b="1">
                <a:latin typeface="Arial" panose="020B0604020202020204" pitchFamily="34" charset="0"/>
                <a:cs typeface="Arial" panose="020B0604020202020204" pitchFamily="34" charset="0"/>
              </a:rPr>
              <a:t>Fecha: Enero 2024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2</xdr:row>
      <xdr:rowOff>9525</xdr:rowOff>
    </xdr:from>
    <xdr:to>
      <xdr:col>1</xdr:col>
      <xdr:colOff>1546695</xdr:colOff>
      <xdr:row>9</xdr:row>
      <xdr:rowOff>225425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500" t="19501" r="25750" b="19750"/>
        <a:stretch/>
      </xdr:blipFill>
      <xdr:spPr>
        <a:xfrm>
          <a:off x="266700" y="381000"/>
          <a:ext cx="1803870" cy="22479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2</xdr:row>
      <xdr:rowOff>9525</xdr:rowOff>
    </xdr:from>
    <xdr:to>
      <xdr:col>1</xdr:col>
      <xdr:colOff>1546695</xdr:colOff>
      <xdr:row>8</xdr:row>
      <xdr:rowOff>542925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500" t="19501" r="25750" b="19750"/>
        <a:stretch/>
      </xdr:blipFill>
      <xdr:spPr>
        <a:xfrm>
          <a:off x="266700" y="381000"/>
          <a:ext cx="1803870" cy="22479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342900</xdr:colOff>
      <xdr:row>7</xdr:row>
      <xdr:rowOff>123825</xdr:rowOff>
    </xdr:from>
    <xdr:to>
      <xdr:col>0</xdr:col>
      <xdr:colOff>1514475</xdr:colOff>
      <xdr:row>12</xdr:row>
      <xdr:rowOff>2639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500" t="19501" r="25750" b="19750"/>
        <a:stretch/>
      </xdr:blipFill>
      <xdr:spPr>
        <a:xfrm>
          <a:off x="342900" y="1647825"/>
          <a:ext cx="1171575" cy="1459964"/>
        </a:xfrm>
        <a:prstGeom prst="rect">
          <a:avLst/>
        </a:prstGeom>
      </xdr:spPr>
    </xdr:pic>
    <xdr:clientData/>
  </xdr:twoCellAnchor>
  <xdr:twoCellAnchor>
    <xdr:from>
      <xdr:col>11</xdr:col>
      <xdr:colOff>1409704</xdr:colOff>
      <xdr:row>14</xdr:row>
      <xdr:rowOff>184763</xdr:rowOff>
    </xdr:from>
    <xdr:to>
      <xdr:col>14</xdr:col>
      <xdr:colOff>209551</xdr:colOff>
      <xdr:row>19</xdr:row>
      <xdr:rowOff>104775</xdr:rowOff>
    </xdr:to>
    <xdr:sp macro="" textlink="">
      <xdr:nvSpPr>
        <xdr:cNvPr id="3" name="Flecha derecha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 rot="16200000">
          <a:off x="11522384" y="3683308"/>
          <a:ext cx="872512" cy="695322"/>
        </a:xfrm>
        <a:prstGeom prst="rightArrow">
          <a:avLst/>
        </a:prstGeom>
        <a:solidFill>
          <a:schemeClr val="accent6">
            <a:lumMod val="50000"/>
          </a:schemeClr>
        </a:solidFill>
        <a:ln>
          <a:noFill/>
        </a:ln>
        <a:effectLst>
          <a:glow rad="101600">
            <a:schemeClr val="accent4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800" b="1">
              <a:latin typeface="+mj-lt"/>
              <a:cs typeface="Arial" panose="020B0604020202020204" pitchFamily="34" charset="0"/>
            </a:rPr>
            <a:t>DEFINITIVA DEL CURSO</a:t>
          </a:r>
        </a:p>
      </xdr:txBody>
    </xdr:sp>
    <xdr:clientData/>
  </xdr:twoCellAnchor>
  <xdr:twoCellAnchor>
    <xdr:from>
      <xdr:col>1</xdr:col>
      <xdr:colOff>361951</xdr:colOff>
      <xdr:row>11</xdr:row>
      <xdr:rowOff>19049</xdr:rowOff>
    </xdr:from>
    <xdr:to>
      <xdr:col>4</xdr:col>
      <xdr:colOff>9526</xdr:colOff>
      <xdr:row>18</xdr:row>
      <xdr:rowOff>28574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1504950</xdr:colOff>
      <xdr:row>11</xdr:row>
      <xdr:rowOff>9525</xdr:rowOff>
    </xdr:from>
    <xdr:to>
      <xdr:col>6</xdr:col>
      <xdr:colOff>19050</xdr:colOff>
      <xdr:row>18</xdr:row>
      <xdr:rowOff>19050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19050</xdr:colOff>
      <xdr:row>11</xdr:row>
      <xdr:rowOff>9525</xdr:rowOff>
    </xdr:from>
    <xdr:to>
      <xdr:col>8</xdr:col>
      <xdr:colOff>47625</xdr:colOff>
      <xdr:row>18</xdr:row>
      <xdr:rowOff>19050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19050</xdr:colOff>
      <xdr:row>11</xdr:row>
      <xdr:rowOff>9525</xdr:rowOff>
    </xdr:from>
    <xdr:to>
      <xdr:col>10</xdr:col>
      <xdr:colOff>47625</xdr:colOff>
      <xdr:row>18</xdr:row>
      <xdr:rowOff>19050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0</xdr:colOff>
      <xdr:row>11</xdr:row>
      <xdr:rowOff>9525</xdr:rowOff>
    </xdr:from>
    <xdr:to>
      <xdr:col>12</xdr:col>
      <xdr:colOff>28575</xdr:colOff>
      <xdr:row>18</xdr:row>
      <xdr:rowOff>19050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181430</xdr:rowOff>
    </xdr:from>
    <xdr:to>
      <xdr:col>15</xdr:col>
      <xdr:colOff>1923143</xdr:colOff>
      <xdr:row>2</xdr:row>
      <xdr:rowOff>952501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3791857" y="181430"/>
          <a:ext cx="13198929" cy="1687285"/>
          <a:chOff x="104775" y="75840"/>
          <a:chExt cx="6410325" cy="1000486"/>
        </a:xfrm>
      </xdr:grpSpPr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6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6" name="CuadroTexto 5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2000" b="1">
                <a:latin typeface="Arial" panose="020B0604020202020204" pitchFamily="34" charset="0"/>
                <a:cs typeface="Arial" panose="020B0604020202020204" pitchFamily="34" charset="0"/>
              </a:rPr>
              <a:t>GESTIÓN CURRICULAR</a:t>
            </a:r>
          </a:p>
        </xdr:txBody>
      </xdr:sp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2000" b="1">
                <a:latin typeface="Arial" panose="020B0604020202020204" pitchFamily="34" charset="0"/>
                <a:cs typeface="Arial" panose="020B0604020202020204" pitchFamily="34" charset="0"/>
              </a:rPr>
              <a:t>PLANILLA DE VALORACIÓN</a:t>
            </a:r>
            <a:r>
              <a:rPr lang="es-CO" sz="2000" b="1" baseline="0"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endParaRPr lang="es-CO" sz="2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8" name="Imagen 7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2000" b="1">
                <a:latin typeface="Arial" panose="020B0604020202020204" pitchFamily="34" charset="0"/>
                <a:cs typeface="Arial" panose="020B0604020202020204" pitchFamily="34" charset="0"/>
              </a:rPr>
              <a:t>Código:  FO-CU-006</a:t>
            </a:r>
          </a:p>
        </xdr:txBody>
      </xdr:sp>
      <xdr:sp macro="" textlink="">
        <xdr:nvSpPr>
          <xdr:cNvPr id="10" name="CuadroTexto 9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2000" b="1">
                <a:latin typeface="Arial" panose="020B0604020202020204" pitchFamily="34" charset="0"/>
                <a:cs typeface="Arial" panose="020B0604020202020204" pitchFamily="34" charset="0"/>
              </a:rPr>
              <a:t>Versión: 03</a:t>
            </a:r>
          </a:p>
        </xdr:txBody>
      </xdr:sp>
      <xdr:sp macro="" textlink="">
        <xdr:nvSpPr>
          <xdr:cNvPr id="11" name="CuadroTexto 10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600" b="1">
                <a:latin typeface="Arial" panose="020B0604020202020204" pitchFamily="34" charset="0"/>
                <a:cs typeface="Arial" panose="020B0604020202020204" pitchFamily="34" charset="0"/>
              </a:rPr>
              <a:t>Fecha: Enero 2024</a:t>
            </a: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269837</xdr:colOff>
      <xdr:row>11</xdr:row>
      <xdr:rowOff>56242</xdr:rowOff>
    </xdr:from>
    <xdr:to>
      <xdr:col>0</xdr:col>
      <xdr:colOff>1642835</xdr:colOff>
      <xdr:row>13</xdr:row>
      <xdr:rowOff>695192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500" t="19501" r="25750" b="19750"/>
        <a:stretch/>
      </xdr:blipFill>
      <xdr:spPr>
        <a:xfrm>
          <a:off x="269837" y="2641599"/>
          <a:ext cx="1372998" cy="1664022"/>
        </a:xfrm>
        <a:prstGeom prst="rect">
          <a:avLst/>
        </a:prstGeom>
      </xdr:spPr>
    </xdr:pic>
    <xdr:clientData/>
  </xdr:twoCellAnchor>
  <xdr:twoCellAnchor>
    <xdr:from>
      <xdr:col>11</xdr:col>
      <xdr:colOff>1683459</xdr:colOff>
      <xdr:row>20</xdr:row>
      <xdr:rowOff>166419</xdr:rowOff>
    </xdr:from>
    <xdr:to>
      <xdr:col>15</xdr:col>
      <xdr:colOff>12702</xdr:colOff>
      <xdr:row>25</xdr:row>
      <xdr:rowOff>86430</xdr:rowOff>
    </xdr:to>
    <xdr:sp macro="" textlink="">
      <xdr:nvSpPr>
        <xdr:cNvPr id="3" name="Flecha derecha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 rot="16200000">
          <a:off x="14178625" y="6479953"/>
          <a:ext cx="872511" cy="1478843"/>
        </a:xfrm>
        <a:prstGeom prst="rightArrow">
          <a:avLst/>
        </a:prstGeom>
        <a:solidFill>
          <a:schemeClr val="accent6">
            <a:lumMod val="50000"/>
          </a:schemeClr>
        </a:solidFill>
        <a:ln>
          <a:noFill/>
        </a:ln>
        <a:effectLst>
          <a:glow rad="101600">
            <a:schemeClr val="accent4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wordArtVert" rtlCol="0" anchor="ctr"/>
        <a:lstStyle/>
        <a:p>
          <a:pPr algn="l"/>
          <a:endParaRPr lang="en-US" sz="800" b="1">
            <a:latin typeface="+mj-lt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361951</xdr:colOff>
      <xdr:row>16</xdr:row>
      <xdr:rowOff>19049</xdr:rowOff>
    </xdr:from>
    <xdr:to>
      <xdr:col>4</xdr:col>
      <xdr:colOff>9526</xdr:colOff>
      <xdr:row>23</xdr:row>
      <xdr:rowOff>28574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1504950</xdr:colOff>
      <xdr:row>16</xdr:row>
      <xdr:rowOff>9525</xdr:rowOff>
    </xdr:from>
    <xdr:to>
      <xdr:col>6</xdr:col>
      <xdr:colOff>19050</xdr:colOff>
      <xdr:row>23</xdr:row>
      <xdr:rowOff>19050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28121</xdr:colOff>
      <xdr:row>16</xdr:row>
      <xdr:rowOff>100239</xdr:rowOff>
    </xdr:from>
    <xdr:to>
      <xdr:col>8</xdr:col>
      <xdr:colOff>56696</xdr:colOff>
      <xdr:row>23</xdr:row>
      <xdr:rowOff>18142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19050</xdr:colOff>
      <xdr:row>16</xdr:row>
      <xdr:rowOff>9525</xdr:rowOff>
    </xdr:from>
    <xdr:to>
      <xdr:col>10</xdr:col>
      <xdr:colOff>47625</xdr:colOff>
      <xdr:row>23</xdr:row>
      <xdr:rowOff>19050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0</xdr:colOff>
      <xdr:row>16</xdr:row>
      <xdr:rowOff>9525</xdr:rowOff>
    </xdr:from>
    <xdr:to>
      <xdr:col>12</xdr:col>
      <xdr:colOff>28575</xdr:colOff>
      <xdr:row>23</xdr:row>
      <xdr:rowOff>19050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13</xdr:col>
      <xdr:colOff>423333</xdr:colOff>
      <xdr:row>24</xdr:row>
      <xdr:rowOff>7056</xdr:rowOff>
    </xdr:from>
    <xdr:ext cx="184731" cy="264560"/>
    <xdr:sp macro="" textlink="">
      <xdr:nvSpPr>
        <xdr:cNvPr id="10" name="CuadroTexto 9"/>
        <xdr:cNvSpPr txBox="1"/>
      </xdr:nvSpPr>
      <xdr:spPr>
        <a:xfrm>
          <a:off x="14111111" y="60536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twoCellAnchor>
    <xdr:from>
      <xdr:col>11</xdr:col>
      <xdr:colOff>1943100</xdr:colOff>
      <xdr:row>22</xdr:row>
      <xdr:rowOff>14112</xdr:rowOff>
    </xdr:from>
    <xdr:to>
      <xdr:col>14</xdr:col>
      <xdr:colOff>0</xdr:colOff>
      <xdr:row>25</xdr:row>
      <xdr:rowOff>50800</xdr:rowOff>
    </xdr:to>
    <xdr:sp macro="" textlink="">
      <xdr:nvSpPr>
        <xdr:cNvPr id="11" name="CuadroTexto 10"/>
        <xdr:cNvSpPr txBox="1"/>
      </xdr:nvSpPr>
      <xdr:spPr>
        <a:xfrm>
          <a:off x="14135100" y="7011812"/>
          <a:ext cx="901700" cy="608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bg1"/>
              </a:solidFill>
              <a:effectLst>
                <a:glow rad="63500">
                  <a:schemeClr val="accent4">
                    <a:satMod val="175000"/>
                    <a:alpha val="40000"/>
                  </a:schemeClr>
                </a:glow>
              </a:effectLst>
              <a:latin typeface="+mn-lt"/>
              <a:ea typeface="+mn-ea"/>
              <a:cs typeface="+mn-cs"/>
            </a:rPr>
            <a:t>DEFINITIVA DEL CURSO</a:t>
          </a:r>
          <a:endParaRPr lang="es-CO">
            <a:solidFill>
              <a:schemeClr val="bg1"/>
            </a:solidFill>
            <a:effectLst>
              <a:glow rad="63500">
                <a:schemeClr val="accent4">
                  <a:satMod val="175000"/>
                  <a:alpha val="40000"/>
                </a:schemeClr>
              </a:glow>
            </a:effectLst>
          </a:endParaRPr>
        </a:p>
        <a:p>
          <a:pPr algn="ctr"/>
          <a:endParaRPr lang="es-CO" sz="11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1</xdr:col>
      <xdr:colOff>99785</xdr:colOff>
      <xdr:row>0</xdr:row>
      <xdr:rowOff>90716</xdr:rowOff>
    </xdr:from>
    <xdr:to>
      <xdr:col>11</xdr:col>
      <xdr:colOff>662214</xdr:colOff>
      <xdr:row>2</xdr:row>
      <xdr:rowOff>825501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2163535" y="90716"/>
          <a:ext cx="10616596" cy="1443868"/>
          <a:chOff x="104775" y="75840"/>
          <a:chExt cx="6410325" cy="1000486"/>
        </a:xfrm>
      </xdr:grpSpPr>
      <xdr:sp macro="" textlink="">
        <xdr:nvSpPr>
          <xdr:cNvPr id="14" name="CuadroTexto 1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4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5" name="CuadroTexto 1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800" b="1">
                <a:latin typeface="Arial" panose="020B0604020202020204" pitchFamily="34" charset="0"/>
                <a:cs typeface="Arial" panose="020B0604020202020204" pitchFamily="34" charset="0"/>
              </a:rPr>
              <a:t>GESTIÓN CURRICULAR</a:t>
            </a:r>
          </a:p>
        </xdr:txBody>
      </xdr:sp>
      <xdr:sp macro="" textlink="">
        <xdr:nvSpPr>
          <xdr:cNvPr id="16" name="CuadroTexto 1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800" b="1">
                <a:latin typeface="Arial" panose="020B0604020202020204" pitchFamily="34" charset="0"/>
                <a:cs typeface="Arial" panose="020B0604020202020204" pitchFamily="34" charset="0"/>
              </a:rPr>
              <a:t>PLANILLA DE VALORACIÓN</a:t>
            </a:r>
            <a:r>
              <a:rPr lang="es-CO" sz="1800" b="1" baseline="0"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endParaRPr lang="es-CO" sz="18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17" name="Imagen 1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18" name="CuadroTexto 17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800" b="1">
                <a:latin typeface="Arial" panose="020B0604020202020204" pitchFamily="34" charset="0"/>
                <a:cs typeface="Arial" panose="020B0604020202020204" pitchFamily="34" charset="0"/>
              </a:rPr>
              <a:t>Código:  FO-CU-006</a:t>
            </a:r>
          </a:p>
        </xdr:txBody>
      </xdr:sp>
      <xdr:sp macro="" textlink="">
        <xdr:nvSpPr>
          <xdr:cNvPr id="19" name="CuadroTexto 18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800" b="1">
                <a:latin typeface="Arial" panose="020B0604020202020204" pitchFamily="34" charset="0"/>
                <a:cs typeface="Arial" panose="020B0604020202020204" pitchFamily="34" charset="0"/>
              </a:rPr>
              <a:t>Versión: 03</a:t>
            </a:r>
          </a:p>
        </xdr:txBody>
      </xdr:sp>
      <xdr:sp macro="" textlink="">
        <xdr:nvSpPr>
          <xdr:cNvPr id="20" name="CuadroTexto 19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400" b="1">
                <a:latin typeface="Arial" panose="020B0604020202020204" pitchFamily="34" charset="0"/>
                <a:cs typeface="Arial" panose="020B0604020202020204" pitchFamily="34" charset="0"/>
              </a:rPr>
              <a:t>Fecha: Enero 2024</a:t>
            </a:r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110066</xdr:colOff>
      <xdr:row>1</xdr:row>
      <xdr:rowOff>10583</xdr:rowOff>
    </xdr:from>
    <xdr:to>
      <xdr:col>8</xdr:col>
      <xdr:colOff>574524</xdr:colOff>
      <xdr:row>23</xdr:row>
      <xdr:rowOff>37797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698499</xdr:colOff>
      <xdr:row>1</xdr:row>
      <xdr:rowOff>-1</xdr:rowOff>
    </xdr:from>
    <xdr:to>
      <xdr:col>17</xdr:col>
      <xdr:colOff>400957</xdr:colOff>
      <xdr:row>23</xdr:row>
      <xdr:rowOff>27213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497417</xdr:colOff>
      <xdr:row>1</xdr:row>
      <xdr:rowOff>-1</xdr:rowOff>
    </xdr:from>
    <xdr:to>
      <xdr:col>26</xdr:col>
      <xdr:colOff>199875</xdr:colOff>
      <xdr:row>23</xdr:row>
      <xdr:rowOff>27213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602720</xdr:colOff>
      <xdr:row>23</xdr:row>
      <xdr:rowOff>161396</xdr:rowOff>
    </xdr:from>
    <xdr:to>
      <xdr:col>12</xdr:col>
      <xdr:colOff>305178</xdr:colOff>
      <xdr:row>46</xdr:row>
      <xdr:rowOff>6047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21</xdr:col>
      <xdr:colOff>693815</xdr:colOff>
      <xdr:row>24</xdr:row>
      <xdr:rowOff>101600</xdr:rowOff>
    </xdr:from>
    <xdr:to>
      <xdr:col>26</xdr:col>
      <xdr:colOff>211246</xdr:colOff>
      <xdr:row>45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colorTemperature colorTemp="72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5500" t="19501" r="25750" b="19750"/>
        <a:stretch/>
      </xdr:blipFill>
      <xdr:spPr>
        <a:xfrm>
          <a:off x="16695815" y="4673600"/>
          <a:ext cx="3327431" cy="3898900"/>
        </a:xfrm>
        <a:prstGeom prst="rect">
          <a:avLst/>
        </a:prstGeom>
      </xdr:spPr>
    </xdr:pic>
    <xdr:clientData/>
  </xdr:twoCellAnchor>
  <xdr:twoCellAnchor>
    <xdr:from>
      <xdr:col>12</xdr:col>
      <xdr:colOff>396875</xdr:colOff>
      <xdr:row>23</xdr:row>
      <xdr:rowOff>119062</xdr:rowOff>
    </xdr:from>
    <xdr:to>
      <xdr:col>21</xdr:col>
      <xdr:colOff>99333</xdr:colOff>
      <xdr:row>45</xdr:row>
      <xdr:rowOff>146275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81"/>
  <sheetViews>
    <sheetView showGridLines="0" tabSelected="1" zoomScale="60" zoomScaleNormal="60" workbookViewId="0">
      <selection activeCell="Y12" sqref="Y12"/>
    </sheetView>
  </sheetViews>
  <sheetFormatPr baseColWidth="10" defaultRowHeight="14.5" x14ac:dyDescent="0.35"/>
  <cols>
    <col min="1" max="1" width="18" customWidth="1"/>
    <col min="2" max="2" width="44.26953125" customWidth="1"/>
    <col min="3" max="3" width="26.81640625" customWidth="1"/>
    <col min="4" max="4" width="7.7265625" customWidth="1"/>
    <col min="5" max="5" width="32.08984375" customWidth="1"/>
    <col min="6" max="6" width="5.54296875" customWidth="1"/>
    <col min="7" max="11" width="5.81640625" customWidth="1"/>
    <col min="12" max="12" width="7.1796875" customWidth="1"/>
    <col min="13" max="13" width="7.7265625" customWidth="1"/>
    <col min="14" max="14" width="30.26953125" customWidth="1"/>
    <col min="15" max="15" width="6" customWidth="1"/>
    <col min="16" max="16" width="29.6328125" customWidth="1"/>
    <col min="17" max="17" width="5.54296875" customWidth="1"/>
    <col min="18" max="18" width="10.81640625" customWidth="1"/>
    <col min="19" max="19" width="0.81640625" customWidth="1"/>
    <col min="20" max="20" width="13.1796875" bestFit="1" customWidth="1"/>
  </cols>
  <sheetData>
    <row r="1" spans="1:22" s="54" customFormat="1" ht="34.5" customHeight="1" x14ac:dyDescent="0.35">
      <c r="A1" s="179"/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80"/>
      <c r="R1" s="180"/>
      <c r="S1" s="180"/>
      <c r="T1" s="180"/>
    </row>
    <row r="2" spans="1:22" ht="38.15" customHeight="1" x14ac:dyDescent="0.35">
      <c r="A2" s="179"/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81"/>
      <c r="R2" s="181"/>
      <c r="S2" s="181"/>
      <c r="T2" s="181"/>
    </row>
    <row r="3" spans="1:22" ht="105.5" customHeight="1" x14ac:dyDescent="0.35">
      <c r="A3" s="179"/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82"/>
      <c r="R3" s="182"/>
      <c r="S3" s="182"/>
      <c r="T3" s="182"/>
    </row>
    <row r="4" spans="1:22" ht="43.5" customHeight="1" x14ac:dyDescent="0.35">
      <c r="C4" s="193" t="s">
        <v>1</v>
      </c>
      <c r="D4" s="193"/>
      <c r="E4" s="162"/>
      <c r="F4" s="88"/>
      <c r="G4" s="88"/>
      <c r="H4" s="88"/>
      <c r="I4" s="88"/>
      <c r="J4" s="88"/>
      <c r="K4" s="88"/>
      <c r="L4" s="88"/>
      <c r="M4" s="88"/>
      <c r="N4" s="193" t="s">
        <v>30</v>
      </c>
      <c r="O4" s="193"/>
      <c r="P4" s="163"/>
      <c r="Q4" s="1"/>
    </row>
    <row r="5" spans="1:22" ht="51" customHeight="1" x14ac:dyDescent="0.35">
      <c r="C5" s="194" t="s">
        <v>26</v>
      </c>
      <c r="D5" s="195"/>
      <c r="E5" s="162"/>
      <c r="F5" s="88"/>
      <c r="G5" s="88"/>
      <c r="H5" s="88"/>
      <c r="I5" s="88"/>
      <c r="J5" s="88"/>
      <c r="K5" s="88"/>
      <c r="L5" s="88"/>
      <c r="M5" s="88"/>
      <c r="N5" s="198" t="s">
        <v>31</v>
      </c>
      <c r="O5" s="199"/>
      <c r="P5" s="164"/>
      <c r="Q5" s="53"/>
    </row>
    <row r="6" spans="1:22" ht="48.5" customHeight="1" x14ac:dyDescent="0.35">
      <c r="C6" s="196" t="s">
        <v>28</v>
      </c>
      <c r="D6" s="197"/>
      <c r="E6" s="163"/>
      <c r="F6" s="88"/>
      <c r="G6" s="88"/>
      <c r="H6" s="88"/>
      <c r="I6" s="88"/>
      <c r="J6" s="88"/>
      <c r="K6" s="88"/>
      <c r="L6" s="88"/>
      <c r="M6" s="88"/>
      <c r="N6" s="198" t="s">
        <v>32</v>
      </c>
      <c r="O6" s="199"/>
      <c r="P6" s="163"/>
      <c r="Q6" s="1"/>
      <c r="R6" s="94" t="s">
        <v>52</v>
      </c>
      <c r="S6" s="88"/>
      <c r="T6" s="88"/>
    </row>
    <row r="7" spans="1:22" ht="5.15" customHeight="1" x14ac:dyDescent="0.35">
      <c r="O7" s="52"/>
      <c r="P7" s="52"/>
      <c r="R7" s="95"/>
      <c r="S7" s="88"/>
      <c r="T7" s="88"/>
    </row>
    <row r="8" spans="1:22" ht="26" x14ac:dyDescent="0.35">
      <c r="C8" s="55" t="s">
        <v>2</v>
      </c>
      <c r="D8" s="90">
        <v>0.01</v>
      </c>
      <c r="E8" s="55" t="s">
        <v>5</v>
      </c>
      <c r="F8" s="90">
        <v>0.02</v>
      </c>
      <c r="G8" s="183" t="s">
        <v>10</v>
      </c>
      <c r="H8" s="184"/>
      <c r="I8" s="184"/>
      <c r="J8" s="184"/>
      <c r="K8" s="184"/>
      <c r="L8" s="185"/>
      <c r="M8" s="91">
        <v>0.95</v>
      </c>
      <c r="N8" s="92" t="s">
        <v>14</v>
      </c>
      <c r="O8" s="91">
        <v>0.01</v>
      </c>
      <c r="P8" s="92" t="s">
        <v>15</v>
      </c>
      <c r="Q8" s="93">
        <v>0.01</v>
      </c>
      <c r="R8" s="96">
        <f>+D8+F8+M8+O8+Q8</f>
        <v>1</v>
      </c>
      <c r="S8" s="88"/>
      <c r="T8" s="88"/>
    </row>
    <row r="9" spans="1:22" ht="58.5" customHeight="1" x14ac:dyDescent="0.35">
      <c r="B9" s="142" t="s">
        <v>55</v>
      </c>
      <c r="C9" s="174" t="s">
        <v>34</v>
      </c>
      <c r="D9" s="174"/>
      <c r="E9" s="174" t="s">
        <v>46</v>
      </c>
      <c r="F9" s="192"/>
      <c r="G9" s="174" t="s">
        <v>11</v>
      </c>
      <c r="H9" s="174"/>
      <c r="I9" s="174"/>
      <c r="J9" s="174"/>
      <c r="K9" s="174"/>
      <c r="L9" s="174"/>
      <c r="M9" s="174"/>
      <c r="N9" s="174" t="s">
        <v>16</v>
      </c>
      <c r="O9" s="174"/>
      <c r="P9" s="174" t="s">
        <v>20</v>
      </c>
      <c r="Q9" s="174"/>
    </row>
    <row r="10" spans="1:22" ht="54" customHeight="1" x14ac:dyDescent="0.35">
      <c r="B10" s="143" t="s">
        <v>56</v>
      </c>
      <c r="C10" s="174" t="s">
        <v>3</v>
      </c>
      <c r="D10" s="174"/>
      <c r="E10" s="174" t="s">
        <v>7</v>
      </c>
      <c r="F10" s="192"/>
      <c r="G10" s="174" t="s">
        <v>51</v>
      </c>
      <c r="H10" s="174"/>
      <c r="I10" s="174"/>
      <c r="J10" s="174"/>
      <c r="K10" s="174"/>
      <c r="L10" s="174"/>
      <c r="M10" s="174"/>
      <c r="N10" s="174" t="s">
        <v>17</v>
      </c>
      <c r="O10" s="174"/>
      <c r="P10" s="174" t="s">
        <v>21</v>
      </c>
      <c r="Q10" s="174"/>
    </row>
    <row r="11" spans="1:22" ht="53.5" customHeight="1" x14ac:dyDescent="0.35">
      <c r="B11" s="144" t="s">
        <v>57</v>
      </c>
      <c r="C11" s="174" t="s">
        <v>35</v>
      </c>
      <c r="D11" s="174"/>
      <c r="E11" s="174" t="s">
        <v>8</v>
      </c>
      <c r="F11" s="192"/>
      <c r="G11" s="174" t="s">
        <v>12</v>
      </c>
      <c r="H11" s="174"/>
      <c r="I11" s="174"/>
      <c r="J11" s="174"/>
      <c r="K11" s="174"/>
      <c r="L11" s="174"/>
      <c r="M11" s="174"/>
      <c r="N11" s="174" t="s">
        <v>18</v>
      </c>
      <c r="O11" s="174"/>
      <c r="P11" s="174" t="s">
        <v>22</v>
      </c>
      <c r="Q11" s="174"/>
      <c r="R11" s="172" t="s">
        <v>54</v>
      </c>
      <c r="S11" s="18"/>
    </row>
    <row r="12" spans="1:22" ht="57" customHeight="1" x14ac:dyDescent="0.35">
      <c r="B12" s="145" t="s">
        <v>58</v>
      </c>
      <c r="C12" s="175" t="s">
        <v>4</v>
      </c>
      <c r="D12" s="175"/>
      <c r="E12" s="175" t="s">
        <v>9</v>
      </c>
      <c r="F12" s="178"/>
      <c r="G12" s="175" t="s">
        <v>13</v>
      </c>
      <c r="H12" s="175"/>
      <c r="I12" s="175"/>
      <c r="J12" s="175"/>
      <c r="K12" s="175"/>
      <c r="L12" s="175"/>
      <c r="M12" s="175"/>
      <c r="N12" s="175" t="s">
        <v>19</v>
      </c>
      <c r="O12" s="175"/>
      <c r="P12" s="175" t="s">
        <v>23</v>
      </c>
      <c r="Q12" s="175"/>
      <c r="R12" s="172"/>
      <c r="S12" s="18"/>
    </row>
    <row r="13" spans="1:22" ht="13" customHeight="1" x14ac:dyDescent="0.35">
      <c r="A13" s="173" t="s">
        <v>24</v>
      </c>
      <c r="B13" s="176" t="s">
        <v>44</v>
      </c>
      <c r="C13" s="186" t="str">
        <f>+C8</f>
        <v>Recursos Utilizados</v>
      </c>
      <c r="D13" s="186"/>
      <c r="E13" s="186" t="str">
        <f>+E8</f>
        <v>Desarrollo</v>
      </c>
      <c r="F13" s="186"/>
      <c r="G13" s="189" t="str">
        <f>+G8</f>
        <v>Dominio</v>
      </c>
      <c r="H13" s="190"/>
      <c r="I13" s="190"/>
      <c r="J13" s="190"/>
      <c r="K13" s="190"/>
      <c r="L13" s="190"/>
      <c r="M13" s="191"/>
      <c r="N13" s="187" t="str">
        <f>+N8</f>
        <v>Comunicación</v>
      </c>
      <c r="O13" s="187"/>
      <c r="P13" s="176" t="str">
        <f>+P8</f>
        <v>Respeto</v>
      </c>
      <c r="Q13" s="187"/>
      <c r="R13" s="172"/>
      <c r="S13" s="49"/>
      <c r="T13" s="11"/>
    </row>
    <row r="14" spans="1:22" s="71" customFormat="1" ht="20.149999999999999" customHeight="1" x14ac:dyDescent="0.35">
      <c r="A14" s="173"/>
      <c r="B14" s="177"/>
      <c r="C14" s="186"/>
      <c r="D14" s="186"/>
      <c r="E14" s="186"/>
      <c r="F14" s="186"/>
      <c r="G14" s="161"/>
      <c r="H14" s="99"/>
      <c r="I14" s="99"/>
      <c r="J14" s="99"/>
      <c r="K14" s="100"/>
      <c r="L14" s="102">
        <f>SUM(G14:K14)</f>
        <v>0</v>
      </c>
      <c r="M14" s="103" t="s">
        <v>53</v>
      </c>
      <c r="N14" s="188"/>
      <c r="O14" s="188"/>
      <c r="P14" s="177"/>
      <c r="Q14" s="188"/>
      <c r="R14" s="172"/>
      <c r="S14" s="73"/>
    </row>
    <row r="15" spans="1:22" ht="11.15" customHeight="1" x14ac:dyDescent="0.35">
      <c r="A15" s="155"/>
      <c r="B15" s="158"/>
      <c r="C15" s="97"/>
      <c r="D15" s="147">
        <f>C15*D$8</f>
        <v>0</v>
      </c>
      <c r="E15" s="97"/>
      <c r="F15" s="98">
        <f>E15*F$8</f>
        <v>0</v>
      </c>
      <c r="G15" s="97"/>
      <c r="H15" s="97"/>
      <c r="I15" s="101"/>
      <c r="J15" s="101"/>
      <c r="K15" s="101"/>
      <c r="L15" s="104">
        <f>+(G15*$G$14)+(H15*$H$14)+($I$14*I15)+($J$14*J15)+($K$14*K15)</f>
        <v>0</v>
      </c>
      <c r="M15" s="105">
        <f>+L15*$M$8</f>
        <v>0</v>
      </c>
      <c r="N15" s="97"/>
      <c r="O15" s="98">
        <f>N15*$O$8</f>
        <v>0</v>
      </c>
      <c r="P15" s="97"/>
      <c r="Q15" s="98">
        <f>P15*$Q$8</f>
        <v>0</v>
      </c>
      <c r="R15" s="121">
        <f>+D15+F15+M15+O15+Q15</f>
        <v>0</v>
      </c>
      <c r="S15" s="88"/>
      <c r="T15" s="107" t="str">
        <f>IF(R15=" "," ",IF(R15&lt;1.95,"INSUFICIENTE",IF(R15&lt;2.95,"DEFICIENTE",IF(R15&lt;3.95,"BUENO","EXCELENTE"))))</f>
        <v>INSUFICIENTE</v>
      </c>
    </row>
    <row r="16" spans="1:22" ht="11.15" customHeight="1" x14ac:dyDescent="0.35">
      <c r="A16" s="155"/>
      <c r="B16" s="159"/>
      <c r="C16" s="97"/>
      <c r="D16" s="98">
        <f t="shared" ref="D16:D63" si="0">C16*D$8</f>
        <v>0</v>
      </c>
      <c r="E16" s="97"/>
      <c r="F16" s="98">
        <f t="shared" ref="F16:F46" si="1">E16*F$8</f>
        <v>0</v>
      </c>
      <c r="G16" s="97"/>
      <c r="H16" s="97"/>
      <c r="I16" s="118"/>
      <c r="J16" s="118"/>
      <c r="K16" s="101"/>
      <c r="L16" s="104">
        <f t="shared" ref="L16:L46" si="2">+(G16*$G$14)+(H16*$H$14)+($I$14*I16)+($J$14*J16)+($K$14*K16)</f>
        <v>0</v>
      </c>
      <c r="M16" s="105">
        <f t="shared" ref="M16:M46" si="3">+L16*$M$8</f>
        <v>0</v>
      </c>
      <c r="N16" s="118"/>
      <c r="O16" s="98">
        <f t="shared" ref="O16:O46" si="4">N16*$O$8</f>
        <v>0</v>
      </c>
      <c r="P16" s="118"/>
      <c r="Q16" s="98">
        <f t="shared" ref="Q16:Q46" si="5">P16*$Q$8</f>
        <v>0</v>
      </c>
      <c r="R16" s="106">
        <f t="shared" ref="R16:R46" si="6">SUM(D16,F16,M16,O16,Q16)</f>
        <v>0</v>
      </c>
      <c r="S16" s="88"/>
      <c r="T16" s="107" t="str">
        <f t="shared" ref="T16:T46" si="7">IF(R16=" "," ",IF(R16&lt;1.95,"INSUFICIENTE",IF(R16&lt;2.95,"DEFICIENTE",IF(R16&lt;3.95,"BUENO","EXCELENTE"))))</f>
        <v>INSUFICIENTE</v>
      </c>
      <c r="V16" s="12"/>
    </row>
    <row r="17" spans="1:22" ht="11.15" customHeight="1" x14ac:dyDescent="0.35">
      <c r="A17" s="155"/>
      <c r="B17" s="158"/>
      <c r="C17" s="97"/>
      <c r="D17" s="98">
        <f t="shared" si="0"/>
        <v>0</v>
      </c>
      <c r="E17" s="97"/>
      <c r="F17" s="98">
        <f t="shared" si="1"/>
        <v>0</v>
      </c>
      <c r="G17" s="97"/>
      <c r="H17" s="97"/>
      <c r="I17" s="118"/>
      <c r="J17" s="118"/>
      <c r="K17" s="101"/>
      <c r="L17" s="104">
        <f t="shared" si="2"/>
        <v>0</v>
      </c>
      <c r="M17" s="105">
        <f t="shared" si="3"/>
        <v>0</v>
      </c>
      <c r="N17" s="118"/>
      <c r="O17" s="98">
        <f t="shared" si="4"/>
        <v>0</v>
      </c>
      <c r="P17" s="118"/>
      <c r="Q17" s="98">
        <f t="shared" si="5"/>
        <v>0</v>
      </c>
      <c r="R17" s="106">
        <f t="shared" si="6"/>
        <v>0</v>
      </c>
      <c r="S17" s="88"/>
      <c r="T17" s="107" t="str">
        <f t="shared" si="7"/>
        <v>INSUFICIENTE</v>
      </c>
      <c r="V17" s="12"/>
    </row>
    <row r="18" spans="1:22" ht="11.15" customHeight="1" x14ac:dyDescent="0.35">
      <c r="A18" s="155"/>
      <c r="B18" s="158"/>
      <c r="C18" s="97"/>
      <c r="D18" s="98">
        <f t="shared" si="0"/>
        <v>0</v>
      </c>
      <c r="E18" s="97"/>
      <c r="F18" s="98">
        <f t="shared" si="1"/>
        <v>0</v>
      </c>
      <c r="G18" s="97"/>
      <c r="H18" s="97"/>
      <c r="I18" s="118"/>
      <c r="J18" s="118"/>
      <c r="K18" s="101"/>
      <c r="L18" s="104">
        <f t="shared" si="2"/>
        <v>0</v>
      </c>
      <c r="M18" s="105">
        <f t="shared" si="3"/>
        <v>0</v>
      </c>
      <c r="N18" s="118"/>
      <c r="O18" s="98">
        <f t="shared" si="4"/>
        <v>0</v>
      </c>
      <c r="P18" s="118"/>
      <c r="Q18" s="98">
        <f t="shared" si="5"/>
        <v>0</v>
      </c>
      <c r="R18" s="106">
        <f t="shared" si="6"/>
        <v>0</v>
      </c>
      <c r="S18" s="88"/>
      <c r="T18" s="107" t="str">
        <f t="shared" si="7"/>
        <v>INSUFICIENTE</v>
      </c>
      <c r="V18" s="12"/>
    </row>
    <row r="19" spans="1:22" ht="11.15" customHeight="1" x14ac:dyDescent="0.35">
      <c r="A19" s="155"/>
      <c r="B19" s="158"/>
      <c r="C19" s="97"/>
      <c r="D19" s="98">
        <f t="shared" si="0"/>
        <v>0</v>
      </c>
      <c r="E19" s="97"/>
      <c r="F19" s="98">
        <f t="shared" si="1"/>
        <v>0</v>
      </c>
      <c r="G19" s="97"/>
      <c r="H19" s="97"/>
      <c r="I19" s="118"/>
      <c r="J19" s="118"/>
      <c r="K19" s="101"/>
      <c r="L19" s="104">
        <f t="shared" si="2"/>
        <v>0</v>
      </c>
      <c r="M19" s="105">
        <f t="shared" si="3"/>
        <v>0</v>
      </c>
      <c r="N19" s="118"/>
      <c r="O19" s="98">
        <f t="shared" si="4"/>
        <v>0</v>
      </c>
      <c r="P19" s="118"/>
      <c r="Q19" s="98">
        <f t="shared" si="5"/>
        <v>0</v>
      </c>
      <c r="R19" s="106">
        <f t="shared" si="6"/>
        <v>0</v>
      </c>
      <c r="S19" s="88"/>
      <c r="T19" s="107" t="str">
        <f t="shared" si="7"/>
        <v>INSUFICIENTE</v>
      </c>
      <c r="V19" s="12"/>
    </row>
    <row r="20" spans="1:22" ht="11.15" customHeight="1" x14ac:dyDescent="0.35">
      <c r="A20" s="155"/>
      <c r="B20" s="158"/>
      <c r="C20" s="97"/>
      <c r="D20" s="98">
        <f t="shared" si="0"/>
        <v>0</v>
      </c>
      <c r="E20" s="97"/>
      <c r="F20" s="98">
        <f t="shared" si="1"/>
        <v>0</v>
      </c>
      <c r="G20" s="97"/>
      <c r="H20" s="97"/>
      <c r="I20" s="118"/>
      <c r="J20" s="118"/>
      <c r="K20" s="101"/>
      <c r="L20" s="104">
        <f t="shared" si="2"/>
        <v>0</v>
      </c>
      <c r="M20" s="105">
        <f t="shared" si="3"/>
        <v>0</v>
      </c>
      <c r="N20" s="97"/>
      <c r="O20" s="98">
        <f t="shared" si="4"/>
        <v>0</v>
      </c>
      <c r="P20" s="97"/>
      <c r="Q20" s="98">
        <f t="shared" si="5"/>
        <v>0</v>
      </c>
      <c r="R20" s="106">
        <f t="shared" si="6"/>
        <v>0</v>
      </c>
      <c r="S20" s="88"/>
      <c r="T20" s="107" t="str">
        <f t="shared" si="7"/>
        <v>INSUFICIENTE</v>
      </c>
    </row>
    <row r="21" spans="1:22" ht="11.15" customHeight="1" x14ac:dyDescent="0.35">
      <c r="A21" s="155"/>
      <c r="B21" s="158"/>
      <c r="C21" s="97"/>
      <c r="D21" s="98">
        <f t="shared" si="0"/>
        <v>0</v>
      </c>
      <c r="E21" s="97"/>
      <c r="F21" s="98">
        <f t="shared" si="1"/>
        <v>0</v>
      </c>
      <c r="G21" s="97"/>
      <c r="H21" s="97"/>
      <c r="I21" s="118"/>
      <c r="J21" s="118"/>
      <c r="K21" s="101"/>
      <c r="L21" s="104">
        <f t="shared" si="2"/>
        <v>0</v>
      </c>
      <c r="M21" s="105">
        <f t="shared" si="3"/>
        <v>0</v>
      </c>
      <c r="N21" s="97"/>
      <c r="O21" s="98">
        <f t="shared" si="4"/>
        <v>0</v>
      </c>
      <c r="P21" s="97"/>
      <c r="Q21" s="98">
        <f t="shared" si="5"/>
        <v>0</v>
      </c>
      <c r="R21" s="106">
        <f t="shared" si="6"/>
        <v>0</v>
      </c>
      <c r="S21" s="88"/>
      <c r="T21" s="107" t="str">
        <f t="shared" si="7"/>
        <v>INSUFICIENTE</v>
      </c>
    </row>
    <row r="22" spans="1:22" ht="11.15" customHeight="1" x14ac:dyDescent="0.35">
      <c r="A22" s="155"/>
      <c r="B22" s="158"/>
      <c r="C22" s="97"/>
      <c r="D22" s="98">
        <f t="shared" si="0"/>
        <v>0</v>
      </c>
      <c r="E22" s="97"/>
      <c r="F22" s="98">
        <f t="shared" si="1"/>
        <v>0</v>
      </c>
      <c r="G22" s="97"/>
      <c r="H22" s="97"/>
      <c r="I22" s="118"/>
      <c r="J22" s="118"/>
      <c r="K22" s="101"/>
      <c r="L22" s="104">
        <f t="shared" si="2"/>
        <v>0</v>
      </c>
      <c r="M22" s="105">
        <f t="shared" si="3"/>
        <v>0</v>
      </c>
      <c r="N22" s="97"/>
      <c r="O22" s="98">
        <f t="shared" si="4"/>
        <v>0</v>
      </c>
      <c r="P22" s="97"/>
      <c r="Q22" s="98">
        <f t="shared" si="5"/>
        <v>0</v>
      </c>
      <c r="R22" s="106">
        <f t="shared" si="6"/>
        <v>0</v>
      </c>
      <c r="S22" s="88"/>
      <c r="T22" s="107" t="str">
        <f t="shared" si="7"/>
        <v>INSUFICIENTE</v>
      </c>
    </row>
    <row r="23" spans="1:22" ht="11.15" customHeight="1" x14ac:dyDescent="0.35">
      <c r="A23" s="155"/>
      <c r="B23" s="158"/>
      <c r="C23" s="97"/>
      <c r="D23" s="98">
        <f t="shared" si="0"/>
        <v>0</v>
      </c>
      <c r="E23" s="97"/>
      <c r="F23" s="98">
        <f t="shared" si="1"/>
        <v>0</v>
      </c>
      <c r="G23" s="97"/>
      <c r="H23" s="97"/>
      <c r="I23" s="101"/>
      <c r="J23" s="101"/>
      <c r="K23" s="101"/>
      <c r="L23" s="104">
        <f t="shared" si="2"/>
        <v>0</v>
      </c>
      <c r="M23" s="105">
        <f t="shared" si="3"/>
        <v>0</v>
      </c>
      <c r="N23" s="97"/>
      <c r="O23" s="98">
        <f t="shared" si="4"/>
        <v>0</v>
      </c>
      <c r="P23" s="97"/>
      <c r="Q23" s="98">
        <f t="shared" si="5"/>
        <v>0</v>
      </c>
      <c r="R23" s="106">
        <f t="shared" si="6"/>
        <v>0</v>
      </c>
      <c r="S23" s="88"/>
      <c r="T23" s="107" t="str">
        <f t="shared" si="7"/>
        <v>INSUFICIENTE</v>
      </c>
    </row>
    <row r="24" spans="1:22" ht="11.15" customHeight="1" x14ac:dyDescent="0.35">
      <c r="A24" s="155"/>
      <c r="B24" s="158"/>
      <c r="C24" s="97"/>
      <c r="D24" s="98">
        <f t="shared" si="0"/>
        <v>0</v>
      </c>
      <c r="E24" s="97"/>
      <c r="F24" s="98">
        <f t="shared" si="1"/>
        <v>0</v>
      </c>
      <c r="G24" s="97"/>
      <c r="H24" s="97"/>
      <c r="I24" s="101"/>
      <c r="J24" s="101"/>
      <c r="K24" s="101"/>
      <c r="L24" s="104">
        <f t="shared" si="2"/>
        <v>0</v>
      </c>
      <c r="M24" s="105">
        <f t="shared" si="3"/>
        <v>0</v>
      </c>
      <c r="N24" s="97"/>
      <c r="O24" s="98">
        <f t="shared" si="4"/>
        <v>0</v>
      </c>
      <c r="P24" s="97"/>
      <c r="Q24" s="98">
        <f t="shared" si="5"/>
        <v>0</v>
      </c>
      <c r="R24" s="106">
        <f t="shared" si="6"/>
        <v>0</v>
      </c>
      <c r="S24" s="88"/>
      <c r="T24" s="107" t="str">
        <f t="shared" si="7"/>
        <v>INSUFICIENTE</v>
      </c>
    </row>
    <row r="25" spans="1:22" ht="11.15" customHeight="1" x14ac:dyDescent="0.35">
      <c r="A25" s="155"/>
      <c r="B25" s="160"/>
      <c r="C25" s="97"/>
      <c r="D25" s="98">
        <f t="shared" si="0"/>
        <v>0</v>
      </c>
      <c r="E25" s="97"/>
      <c r="F25" s="98">
        <f t="shared" si="1"/>
        <v>0</v>
      </c>
      <c r="G25" s="97"/>
      <c r="H25" s="97"/>
      <c r="I25" s="101"/>
      <c r="J25" s="101"/>
      <c r="K25" s="101"/>
      <c r="L25" s="104">
        <f t="shared" si="2"/>
        <v>0</v>
      </c>
      <c r="M25" s="105">
        <f t="shared" si="3"/>
        <v>0</v>
      </c>
      <c r="N25" s="97"/>
      <c r="O25" s="98">
        <f t="shared" si="4"/>
        <v>0</v>
      </c>
      <c r="P25" s="97"/>
      <c r="Q25" s="98">
        <f t="shared" si="5"/>
        <v>0</v>
      </c>
      <c r="R25" s="106">
        <f t="shared" si="6"/>
        <v>0</v>
      </c>
      <c r="S25" s="88"/>
      <c r="T25" s="107" t="str">
        <f t="shared" si="7"/>
        <v>INSUFICIENTE</v>
      </c>
    </row>
    <row r="26" spans="1:22" ht="11.15" customHeight="1" x14ac:dyDescent="0.35">
      <c r="A26" s="155"/>
      <c r="B26" s="160"/>
      <c r="C26" s="97"/>
      <c r="D26" s="98">
        <f t="shared" si="0"/>
        <v>0</v>
      </c>
      <c r="E26" s="97"/>
      <c r="F26" s="98">
        <f t="shared" si="1"/>
        <v>0</v>
      </c>
      <c r="G26" s="119"/>
      <c r="H26" s="97"/>
      <c r="I26" s="101"/>
      <c r="J26" s="101"/>
      <c r="K26" s="101"/>
      <c r="L26" s="104">
        <f t="shared" si="2"/>
        <v>0</v>
      </c>
      <c r="M26" s="105">
        <f t="shared" si="3"/>
        <v>0</v>
      </c>
      <c r="N26" s="97"/>
      <c r="O26" s="98">
        <f t="shared" si="4"/>
        <v>0</v>
      </c>
      <c r="P26" s="97"/>
      <c r="Q26" s="98">
        <f t="shared" si="5"/>
        <v>0</v>
      </c>
      <c r="R26" s="106">
        <f t="shared" si="6"/>
        <v>0</v>
      </c>
      <c r="S26" s="88"/>
      <c r="T26" s="107" t="str">
        <f t="shared" si="7"/>
        <v>INSUFICIENTE</v>
      </c>
    </row>
    <row r="27" spans="1:22" ht="11.15" customHeight="1" x14ac:dyDescent="0.35">
      <c r="A27" s="155"/>
      <c r="B27" s="160"/>
      <c r="C27" s="97"/>
      <c r="D27" s="98">
        <f t="shared" si="0"/>
        <v>0</v>
      </c>
      <c r="E27" s="97"/>
      <c r="F27" s="98">
        <f t="shared" si="1"/>
        <v>0</v>
      </c>
      <c r="G27" s="119"/>
      <c r="H27" s="101"/>
      <c r="I27" s="101"/>
      <c r="J27" s="101"/>
      <c r="K27" s="101"/>
      <c r="L27" s="104">
        <f t="shared" si="2"/>
        <v>0</v>
      </c>
      <c r="M27" s="105">
        <f t="shared" si="3"/>
        <v>0</v>
      </c>
      <c r="N27" s="97"/>
      <c r="O27" s="98">
        <f t="shared" si="4"/>
        <v>0</v>
      </c>
      <c r="P27" s="97"/>
      <c r="Q27" s="98">
        <f t="shared" si="5"/>
        <v>0</v>
      </c>
      <c r="R27" s="106">
        <f t="shared" si="6"/>
        <v>0</v>
      </c>
      <c r="S27" s="88"/>
      <c r="T27" s="107" t="str">
        <f t="shared" si="7"/>
        <v>INSUFICIENTE</v>
      </c>
    </row>
    <row r="28" spans="1:22" ht="11.15" customHeight="1" x14ac:dyDescent="0.35">
      <c r="A28" s="155"/>
      <c r="B28" s="160"/>
      <c r="C28" s="97"/>
      <c r="D28" s="98">
        <f t="shared" si="0"/>
        <v>0</v>
      </c>
      <c r="E28" s="97"/>
      <c r="F28" s="98">
        <f t="shared" si="1"/>
        <v>0</v>
      </c>
      <c r="G28" s="119"/>
      <c r="H28" s="101"/>
      <c r="I28" s="101"/>
      <c r="J28" s="101"/>
      <c r="K28" s="101"/>
      <c r="L28" s="104">
        <f t="shared" si="2"/>
        <v>0</v>
      </c>
      <c r="M28" s="105">
        <f t="shared" si="3"/>
        <v>0</v>
      </c>
      <c r="N28" s="97"/>
      <c r="O28" s="98">
        <f t="shared" si="4"/>
        <v>0</v>
      </c>
      <c r="P28" s="97"/>
      <c r="Q28" s="98">
        <f t="shared" si="5"/>
        <v>0</v>
      </c>
      <c r="R28" s="106">
        <f t="shared" si="6"/>
        <v>0</v>
      </c>
      <c r="S28" s="88"/>
      <c r="T28" s="107" t="str">
        <f t="shared" si="7"/>
        <v>INSUFICIENTE</v>
      </c>
    </row>
    <row r="29" spans="1:22" ht="11.15" customHeight="1" x14ac:dyDescent="0.35">
      <c r="A29" s="155"/>
      <c r="B29" s="160"/>
      <c r="C29" s="97"/>
      <c r="D29" s="98">
        <f t="shared" si="0"/>
        <v>0</v>
      </c>
      <c r="E29" s="97"/>
      <c r="F29" s="98">
        <f t="shared" si="1"/>
        <v>0</v>
      </c>
      <c r="G29" s="119"/>
      <c r="H29" s="101"/>
      <c r="I29" s="101"/>
      <c r="J29" s="101"/>
      <c r="K29" s="101"/>
      <c r="L29" s="104">
        <f t="shared" si="2"/>
        <v>0</v>
      </c>
      <c r="M29" s="105">
        <f t="shared" si="3"/>
        <v>0</v>
      </c>
      <c r="N29" s="97"/>
      <c r="O29" s="98">
        <f t="shared" si="4"/>
        <v>0</v>
      </c>
      <c r="P29" s="97"/>
      <c r="Q29" s="98">
        <f t="shared" si="5"/>
        <v>0</v>
      </c>
      <c r="R29" s="106">
        <f t="shared" si="6"/>
        <v>0</v>
      </c>
      <c r="S29" s="88"/>
      <c r="T29" s="107" t="str">
        <f t="shared" si="7"/>
        <v>INSUFICIENTE</v>
      </c>
    </row>
    <row r="30" spans="1:22" ht="11.15" customHeight="1" x14ac:dyDescent="0.35">
      <c r="A30" s="155"/>
      <c r="B30" s="160"/>
      <c r="C30" s="97"/>
      <c r="D30" s="98">
        <f t="shared" si="0"/>
        <v>0</v>
      </c>
      <c r="E30" s="97"/>
      <c r="F30" s="98">
        <f t="shared" si="1"/>
        <v>0</v>
      </c>
      <c r="G30" s="119"/>
      <c r="H30" s="101"/>
      <c r="I30" s="101"/>
      <c r="J30" s="101"/>
      <c r="K30" s="101"/>
      <c r="L30" s="104">
        <f t="shared" si="2"/>
        <v>0</v>
      </c>
      <c r="M30" s="105">
        <f t="shared" si="3"/>
        <v>0</v>
      </c>
      <c r="N30" s="97"/>
      <c r="O30" s="98">
        <f t="shared" si="4"/>
        <v>0</v>
      </c>
      <c r="P30" s="97"/>
      <c r="Q30" s="98">
        <f t="shared" si="5"/>
        <v>0</v>
      </c>
      <c r="R30" s="106">
        <f t="shared" si="6"/>
        <v>0</v>
      </c>
      <c r="S30" s="88"/>
      <c r="T30" s="107" t="str">
        <f t="shared" si="7"/>
        <v>INSUFICIENTE</v>
      </c>
    </row>
    <row r="31" spans="1:22" ht="11.15" customHeight="1" x14ac:dyDescent="0.35">
      <c r="A31" s="155"/>
      <c r="B31" s="160"/>
      <c r="C31" s="97"/>
      <c r="D31" s="98">
        <f t="shared" si="0"/>
        <v>0</v>
      </c>
      <c r="E31" s="97"/>
      <c r="F31" s="98">
        <f t="shared" si="1"/>
        <v>0</v>
      </c>
      <c r="G31" s="119"/>
      <c r="H31" s="101"/>
      <c r="I31" s="101"/>
      <c r="J31" s="101"/>
      <c r="K31" s="101"/>
      <c r="L31" s="104">
        <f t="shared" si="2"/>
        <v>0</v>
      </c>
      <c r="M31" s="105">
        <f t="shared" si="3"/>
        <v>0</v>
      </c>
      <c r="N31" s="97"/>
      <c r="O31" s="98">
        <f t="shared" si="4"/>
        <v>0</v>
      </c>
      <c r="P31" s="97"/>
      <c r="Q31" s="98">
        <f t="shared" si="5"/>
        <v>0</v>
      </c>
      <c r="R31" s="106">
        <f t="shared" si="6"/>
        <v>0</v>
      </c>
      <c r="S31" s="88"/>
      <c r="T31" s="107" t="str">
        <f t="shared" si="7"/>
        <v>INSUFICIENTE</v>
      </c>
    </row>
    <row r="32" spans="1:22" ht="11.15" customHeight="1" x14ac:dyDescent="0.35">
      <c r="A32" s="155"/>
      <c r="B32" s="160"/>
      <c r="C32" s="97"/>
      <c r="D32" s="98">
        <f t="shared" si="0"/>
        <v>0</v>
      </c>
      <c r="E32" s="97"/>
      <c r="F32" s="98">
        <f t="shared" si="1"/>
        <v>0</v>
      </c>
      <c r="G32" s="119"/>
      <c r="H32" s="101"/>
      <c r="I32" s="101"/>
      <c r="J32" s="101"/>
      <c r="K32" s="101"/>
      <c r="L32" s="104">
        <f t="shared" si="2"/>
        <v>0</v>
      </c>
      <c r="M32" s="105">
        <f t="shared" si="3"/>
        <v>0</v>
      </c>
      <c r="N32" s="97"/>
      <c r="O32" s="98">
        <f t="shared" si="4"/>
        <v>0</v>
      </c>
      <c r="P32" s="97"/>
      <c r="Q32" s="98">
        <f t="shared" si="5"/>
        <v>0</v>
      </c>
      <c r="R32" s="106">
        <f t="shared" si="6"/>
        <v>0</v>
      </c>
      <c r="S32" s="88"/>
      <c r="T32" s="107" t="str">
        <f t="shared" si="7"/>
        <v>INSUFICIENTE</v>
      </c>
    </row>
    <row r="33" spans="1:20" ht="11.15" customHeight="1" x14ac:dyDescent="0.35">
      <c r="A33" s="155"/>
      <c r="B33" s="160"/>
      <c r="C33" s="97"/>
      <c r="D33" s="98">
        <f t="shared" si="0"/>
        <v>0</v>
      </c>
      <c r="E33" s="97"/>
      <c r="F33" s="98">
        <f t="shared" si="1"/>
        <v>0</v>
      </c>
      <c r="G33" s="119"/>
      <c r="H33" s="101"/>
      <c r="I33" s="101"/>
      <c r="J33" s="101"/>
      <c r="K33" s="101"/>
      <c r="L33" s="104">
        <f t="shared" si="2"/>
        <v>0</v>
      </c>
      <c r="M33" s="105">
        <f t="shared" si="3"/>
        <v>0</v>
      </c>
      <c r="N33" s="97"/>
      <c r="O33" s="98">
        <f t="shared" si="4"/>
        <v>0</v>
      </c>
      <c r="P33" s="97"/>
      <c r="Q33" s="98">
        <f t="shared" si="5"/>
        <v>0</v>
      </c>
      <c r="R33" s="106">
        <f t="shared" si="6"/>
        <v>0</v>
      </c>
      <c r="S33" s="88"/>
      <c r="T33" s="107" t="str">
        <f t="shared" si="7"/>
        <v>INSUFICIENTE</v>
      </c>
    </row>
    <row r="34" spans="1:20" ht="11.15" customHeight="1" x14ac:dyDescent="0.35">
      <c r="A34" s="155"/>
      <c r="B34" s="160"/>
      <c r="C34" s="97"/>
      <c r="D34" s="98">
        <f t="shared" si="0"/>
        <v>0</v>
      </c>
      <c r="E34" s="97"/>
      <c r="F34" s="98">
        <f t="shared" si="1"/>
        <v>0</v>
      </c>
      <c r="G34" s="119"/>
      <c r="H34" s="101"/>
      <c r="I34" s="101"/>
      <c r="J34" s="101"/>
      <c r="K34" s="101"/>
      <c r="L34" s="104">
        <f t="shared" si="2"/>
        <v>0</v>
      </c>
      <c r="M34" s="105">
        <f t="shared" si="3"/>
        <v>0</v>
      </c>
      <c r="N34" s="97"/>
      <c r="O34" s="98">
        <f t="shared" si="4"/>
        <v>0</v>
      </c>
      <c r="P34" s="97"/>
      <c r="Q34" s="98">
        <f t="shared" si="5"/>
        <v>0</v>
      </c>
      <c r="R34" s="106">
        <f t="shared" si="6"/>
        <v>0</v>
      </c>
      <c r="S34" s="88"/>
      <c r="T34" s="107" t="str">
        <f t="shared" si="7"/>
        <v>INSUFICIENTE</v>
      </c>
    </row>
    <row r="35" spans="1:20" ht="11.15" customHeight="1" x14ac:dyDescent="0.35">
      <c r="A35" s="155"/>
      <c r="B35" s="160"/>
      <c r="C35" s="97"/>
      <c r="D35" s="98">
        <f t="shared" si="0"/>
        <v>0</v>
      </c>
      <c r="E35" s="97"/>
      <c r="F35" s="98">
        <f t="shared" si="1"/>
        <v>0</v>
      </c>
      <c r="G35" s="119"/>
      <c r="H35" s="101"/>
      <c r="I35" s="101"/>
      <c r="J35" s="101"/>
      <c r="K35" s="101"/>
      <c r="L35" s="104">
        <f t="shared" si="2"/>
        <v>0</v>
      </c>
      <c r="M35" s="105">
        <f t="shared" si="3"/>
        <v>0</v>
      </c>
      <c r="N35" s="97"/>
      <c r="O35" s="98">
        <f t="shared" si="4"/>
        <v>0</v>
      </c>
      <c r="P35" s="97"/>
      <c r="Q35" s="98">
        <f t="shared" si="5"/>
        <v>0</v>
      </c>
      <c r="R35" s="106">
        <f t="shared" si="6"/>
        <v>0</v>
      </c>
      <c r="S35" s="88"/>
      <c r="T35" s="107" t="str">
        <f t="shared" si="7"/>
        <v>INSUFICIENTE</v>
      </c>
    </row>
    <row r="36" spans="1:20" ht="11.15" customHeight="1" x14ac:dyDescent="0.35">
      <c r="A36" s="155"/>
      <c r="B36" s="160"/>
      <c r="C36" s="97"/>
      <c r="D36" s="98">
        <f t="shared" si="0"/>
        <v>0</v>
      </c>
      <c r="E36" s="97"/>
      <c r="F36" s="98">
        <f t="shared" si="1"/>
        <v>0</v>
      </c>
      <c r="G36" s="119"/>
      <c r="H36" s="101"/>
      <c r="I36" s="101"/>
      <c r="J36" s="101"/>
      <c r="K36" s="101"/>
      <c r="L36" s="104">
        <f t="shared" si="2"/>
        <v>0</v>
      </c>
      <c r="M36" s="105">
        <f t="shared" si="3"/>
        <v>0</v>
      </c>
      <c r="N36" s="97"/>
      <c r="O36" s="98">
        <f t="shared" si="4"/>
        <v>0</v>
      </c>
      <c r="P36" s="97"/>
      <c r="Q36" s="98">
        <f t="shared" si="5"/>
        <v>0</v>
      </c>
      <c r="R36" s="106">
        <f t="shared" si="6"/>
        <v>0</v>
      </c>
      <c r="S36" s="88"/>
      <c r="T36" s="107" t="str">
        <f t="shared" si="7"/>
        <v>INSUFICIENTE</v>
      </c>
    </row>
    <row r="37" spans="1:20" ht="11.15" customHeight="1" x14ac:dyDescent="0.35">
      <c r="A37" s="155"/>
      <c r="B37" s="160"/>
      <c r="C37" s="97"/>
      <c r="D37" s="98">
        <f t="shared" si="0"/>
        <v>0</v>
      </c>
      <c r="E37" s="97"/>
      <c r="F37" s="98">
        <f t="shared" si="1"/>
        <v>0</v>
      </c>
      <c r="G37" s="119"/>
      <c r="H37" s="101"/>
      <c r="I37" s="101"/>
      <c r="J37" s="101"/>
      <c r="K37" s="101"/>
      <c r="L37" s="104">
        <f t="shared" si="2"/>
        <v>0</v>
      </c>
      <c r="M37" s="105">
        <f t="shared" si="3"/>
        <v>0</v>
      </c>
      <c r="N37" s="97"/>
      <c r="O37" s="98">
        <f t="shared" si="4"/>
        <v>0</v>
      </c>
      <c r="P37" s="97"/>
      <c r="Q37" s="98">
        <f t="shared" si="5"/>
        <v>0</v>
      </c>
      <c r="R37" s="106">
        <f t="shared" si="6"/>
        <v>0</v>
      </c>
      <c r="S37" s="88"/>
      <c r="T37" s="107" t="str">
        <f t="shared" si="7"/>
        <v>INSUFICIENTE</v>
      </c>
    </row>
    <row r="38" spans="1:20" ht="11.15" customHeight="1" x14ac:dyDescent="0.35">
      <c r="A38" s="155"/>
      <c r="B38" s="160"/>
      <c r="C38" s="97"/>
      <c r="D38" s="98">
        <f t="shared" si="0"/>
        <v>0</v>
      </c>
      <c r="E38" s="97"/>
      <c r="F38" s="98">
        <f t="shared" si="1"/>
        <v>0</v>
      </c>
      <c r="G38" s="119"/>
      <c r="H38" s="101"/>
      <c r="I38" s="101"/>
      <c r="J38" s="101"/>
      <c r="K38" s="101"/>
      <c r="L38" s="104">
        <f t="shared" si="2"/>
        <v>0</v>
      </c>
      <c r="M38" s="105">
        <f t="shared" si="3"/>
        <v>0</v>
      </c>
      <c r="N38" s="97"/>
      <c r="O38" s="98">
        <f t="shared" si="4"/>
        <v>0</v>
      </c>
      <c r="P38" s="97"/>
      <c r="Q38" s="98">
        <f t="shared" si="5"/>
        <v>0</v>
      </c>
      <c r="R38" s="106">
        <f t="shared" si="6"/>
        <v>0</v>
      </c>
      <c r="S38" s="88"/>
      <c r="T38" s="107" t="str">
        <f t="shared" si="7"/>
        <v>INSUFICIENTE</v>
      </c>
    </row>
    <row r="39" spans="1:20" ht="11.15" customHeight="1" x14ac:dyDescent="0.35">
      <c r="A39" s="155"/>
      <c r="B39" s="160"/>
      <c r="C39" s="97"/>
      <c r="D39" s="98">
        <f t="shared" si="0"/>
        <v>0</v>
      </c>
      <c r="E39" s="97"/>
      <c r="F39" s="98">
        <f t="shared" si="1"/>
        <v>0</v>
      </c>
      <c r="G39" s="119"/>
      <c r="H39" s="101"/>
      <c r="I39" s="101"/>
      <c r="J39" s="101"/>
      <c r="K39" s="101"/>
      <c r="L39" s="104">
        <f t="shared" si="2"/>
        <v>0</v>
      </c>
      <c r="M39" s="105">
        <f t="shared" si="3"/>
        <v>0</v>
      </c>
      <c r="N39" s="97"/>
      <c r="O39" s="98">
        <f t="shared" si="4"/>
        <v>0</v>
      </c>
      <c r="P39" s="97"/>
      <c r="Q39" s="98">
        <f t="shared" si="5"/>
        <v>0</v>
      </c>
      <c r="R39" s="106">
        <f t="shared" si="6"/>
        <v>0</v>
      </c>
      <c r="S39" s="88"/>
      <c r="T39" s="107" t="str">
        <f t="shared" si="7"/>
        <v>INSUFICIENTE</v>
      </c>
    </row>
    <row r="40" spans="1:20" ht="11.15" customHeight="1" x14ac:dyDescent="0.35">
      <c r="A40" s="155"/>
      <c r="B40" s="160"/>
      <c r="C40" s="97"/>
      <c r="D40" s="98">
        <f t="shared" si="0"/>
        <v>0</v>
      </c>
      <c r="E40" s="97"/>
      <c r="F40" s="98">
        <f t="shared" si="1"/>
        <v>0</v>
      </c>
      <c r="G40" s="119"/>
      <c r="H40" s="101"/>
      <c r="I40" s="101"/>
      <c r="J40" s="101"/>
      <c r="K40" s="101"/>
      <c r="L40" s="104">
        <f t="shared" si="2"/>
        <v>0</v>
      </c>
      <c r="M40" s="105">
        <f t="shared" si="3"/>
        <v>0</v>
      </c>
      <c r="N40" s="97"/>
      <c r="O40" s="98">
        <f t="shared" si="4"/>
        <v>0</v>
      </c>
      <c r="P40" s="97"/>
      <c r="Q40" s="98">
        <f t="shared" si="5"/>
        <v>0</v>
      </c>
      <c r="R40" s="106">
        <f t="shared" si="6"/>
        <v>0</v>
      </c>
      <c r="S40" s="88"/>
      <c r="T40" s="107" t="str">
        <f t="shared" si="7"/>
        <v>INSUFICIENTE</v>
      </c>
    </row>
    <row r="41" spans="1:20" ht="11.15" customHeight="1" x14ac:dyDescent="0.35">
      <c r="A41" s="155"/>
      <c r="B41" s="160"/>
      <c r="C41" s="97"/>
      <c r="D41" s="98">
        <f t="shared" si="0"/>
        <v>0</v>
      </c>
      <c r="E41" s="97"/>
      <c r="F41" s="98">
        <f t="shared" si="1"/>
        <v>0</v>
      </c>
      <c r="G41" s="119"/>
      <c r="H41" s="101"/>
      <c r="I41" s="101"/>
      <c r="J41" s="101"/>
      <c r="K41" s="101"/>
      <c r="L41" s="104">
        <f t="shared" si="2"/>
        <v>0</v>
      </c>
      <c r="M41" s="105">
        <f t="shared" si="3"/>
        <v>0</v>
      </c>
      <c r="N41" s="97"/>
      <c r="O41" s="98">
        <f t="shared" si="4"/>
        <v>0</v>
      </c>
      <c r="P41" s="97"/>
      <c r="Q41" s="98">
        <f t="shared" si="5"/>
        <v>0</v>
      </c>
      <c r="R41" s="106">
        <f t="shared" si="6"/>
        <v>0</v>
      </c>
      <c r="S41" s="88"/>
      <c r="T41" s="107" t="str">
        <f t="shared" si="7"/>
        <v>INSUFICIENTE</v>
      </c>
    </row>
    <row r="42" spans="1:20" ht="11.15" customHeight="1" x14ac:dyDescent="0.35">
      <c r="A42" s="155"/>
      <c r="B42" s="160"/>
      <c r="C42" s="97"/>
      <c r="D42" s="98">
        <f t="shared" si="0"/>
        <v>0</v>
      </c>
      <c r="E42" s="97"/>
      <c r="F42" s="98">
        <f t="shared" si="1"/>
        <v>0</v>
      </c>
      <c r="G42" s="119"/>
      <c r="H42" s="101"/>
      <c r="I42" s="101"/>
      <c r="J42" s="101"/>
      <c r="K42" s="101"/>
      <c r="L42" s="104">
        <f t="shared" si="2"/>
        <v>0</v>
      </c>
      <c r="M42" s="105">
        <f t="shared" si="3"/>
        <v>0</v>
      </c>
      <c r="N42" s="97"/>
      <c r="O42" s="98">
        <f t="shared" si="4"/>
        <v>0</v>
      </c>
      <c r="P42" s="97"/>
      <c r="Q42" s="98">
        <f t="shared" si="5"/>
        <v>0</v>
      </c>
      <c r="R42" s="106">
        <f t="shared" si="6"/>
        <v>0</v>
      </c>
      <c r="S42" s="88"/>
      <c r="T42" s="107" t="str">
        <f t="shared" si="7"/>
        <v>INSUFICIENTE</v>
      </c>
    </row>
    <row r="43" spans="1:20" ht="11.15" customHeight="1" x14ac:dyDescent="0.35">
      <c r="A43" s="155"/>
      <c r="B43" s="160"/>
      <c r="C43" s="97"/>
      <c r="D43" s="98">
        <f t="shared" si="0"/>
        <v>0</v>
      </c>
      <c r="E43" s="97"/>
      <c r="F43" s="98">
        <f t="shared" si="1"/>
        <v>0</v>
      </c>
      <c r="G43" s="119"/>
      <c r="H43" s="101"/>
      <c r="I43" s="101"/>
      <c r="J43" s="101"/>
      <c r="K43" s="101"/>
      <c r="L43" s="104">
        <f t="shared" si="2"/>
        <v>0</v>
      </c>
      <c r="M43" s="105">
        <f t="shared" si="3"/>
        <v>0</v>
      </c>
      <c r="N43" s="97"/>
      <c r="O43" s="98">
        <f t="shared" si="4"/>
        <v>0</v>
      </c>
      <c r="P43" s="97"/>
      <c r="Q43" s="98">
        <f t="shared" si="5"/>
        <v>0</v>
      </c>
      <c r="R43" s="106">
        <f t="shared" si="6"/>
        <v>0</v>
      </c>
      <c r="S43" s="88"/>
      <c r="T43" s="107" t="str">
        <f t="shared" si="7"/>
        <v>INSUFICIENTE</v>
      </c>
    </row>
    <row r="44" spans="1:20" ht="11.15" customHeight="1" x14ac:dyDescent="0.35">
      <c r="A44" s="155"/>
      <c r="B44" s="160"/>
      <c r="C44" s="97"/>
      <c r="D44" s="98">
        <f t="shared" si="0"/>
        <v>0</v>
      </c>
      <c r="E44" s="97"/>
      <c r="F44" s="98">
        <f t="shared" si="1"/>
        <v>0</v>
      </c>
      <c r="G44" s="119"/>
      <c r="H44" s="101"/>
      <c r="I44" s="101"/>
      <c r="J44" s="101"/>
      <c r="K44" s="101"/>
      <c r="L44" s="104">
        <f t="shared" si="2"/>
        <v>0</v>
      </c>
      <c r="M44" s="105">
        <f t="shared" si="3"/>
        <v>0</v>
      </c>
      <c r="N44" s="97"/>
      <c r="O44" s="98">
        <f t="shared" si="4"/>
        <v>0</v>
      </c>
      <c r="P44" s="97"/>
      <c r="Q44" s="98">
        <f t="shared" si="5"/>
        <v>0</v>
      </c>
      <c r="R44" s="106">
        <f t="shared" si="6"/>
        <v>0</v>
      </c>
      <c r="S44" s="88"/>
      <c r="T44" s="107" t="str">
        <f t="shared" si="7"/>
        <v>INSUFICIENTE</v>
      </c>
    </row>
    <row r="45" spans="1:20" ht="11.15" customHeight="1" x14ac:dyDescent="0.35">
      <c r="A45" s="155"/>
      <c r="B45" s="160"/>
      <c r="C45" s="97"/>
      <c r="D45" s="98">
        <f t="shared" si="0"/>
        <v>0</v>
      </c>
      <c r="E45" s="97"/>
      <c r="F45" s="98">
        <f t="shared" si="1"/>
        <v>0</v>
      </c>
      <c r="G45" s="119"/>
      <c r="H45" s="101"/>
      <c r="I45" s="101"/>
      <c r="J45" s="101"/>
      <c r="K45" s="101"/>
      <c r="L45" s="104">
        <f t="shared" si="2"/>
        <v>0</v>
      </c>
      <c r="M45" s="105">
        <f t="shared" si="3"/>
        <v>0</v>
      </c>
      <c r="N45" s="97"/>
      <c r="O45" s="98">
        <f t="shared" si="4"/>
        <v>0</v>
      </c>
      <c r="P45" s="97"/>
      <c r="Q45" s="98">
        <f t="shared" si="5"/>
        <v>0</v>
      </c>
      <c r="R45" s="106">
        <f t="shared" si="6"/>
        <v>0</v>
      </c>
      <c r="S45" s="88"/>
      <c r="T45" s="107" t="str">
        <f t="shared" si="7"/>
        <v>INSUFICIENTE</v>
      </c>
    </row>
    <row r="46" spans="1:20" ht="11" customHeight="1" x14ac:dyDescent="0.35">
      <c r="A46" s="155"/>
      <c r="B46" s="160"/>
      <c r="C46" s="97"/>
      <c r="D46" s="98">
        <f t="shared" si="0"/>
        <v>0</v>
      </c>
      <c r="E46" s="97"/>
      <c r="F46" s="98">
        <f t="shared" si="1"/>
        <v>0</v>
      </c>
      <c r="G46" s="119"/>
      <c r="H46" s="101"/>
      <c r="I46" s="101"/>
      <c r="J46" s="101"/>
      <c r="K46" s="101"/>
      <c r="L46" s="104">
        <f t="shared" si="2"/>
        <v>0</v>
      </c>
      <c r="M46" s="105">
        <f t="shared" si="3"/>
        <v>0</v>
      </c>
      <c r="N46" s="97"/>
      <c r="O46" s="98">
        <f t="shared" si="4"/>
        <v>0</v>
      </c>
      <c r="P46" s="97"/>
      <c r="Q46" s="98">
        <f t="shared" si="5"/>
        <v>0</v>
      </c>
      <c r="R46" s="106">
        <f t="shared" si="6"/>
        <v>0</v>
      </c>
      <c r="S46" s="88"/>
      <c r="T46" s="107" t="str">
        <f t="shared" si="7"/>
        <v>INSUFICIENTE</v>
      </c>
    </row>
    <row r="47" spans="1:20" ht="11" customHeight="1" x14ac:dyDescent="0.35">
      <c r="A47" s="155"/>
      <c r="B47" s="160"/>
      <c r="C47" s="97"/>
      <c r="D47" s="98">
        <f t="shared" si="0"/>
        <v>0</v>
      </c>
      <c r="E47" s="97"/>
      <c r="F47" s="98">
        <f t="shared" ref="F47:F63" si="8">E47*F$8</f>
        <v>0</v>
      </c>
      <c r="G47" s="119"/>
      <c r="H47" s="101"/>
      <c r="I47" s="101"/>
      <c r="J47" s="101"/>
      <c r="K47" s="101"/>
      <c r="L47" s="104">
        <f t="shared" ref="L47:L63" si="9">+(G47*$G$14)+(H47*$H$14)+($I$14*I47)+($J$14*J47)+($K$14*K47)</f>
        <v>0</v>
      </c>
      <c r="M47" s="105">
        <f t="shared" ref="M47:M63" si="10">+L47*$M$8</f>
        <v>0</v>
      </c>
      <c r="N47" s="97"/>
      <c r="O47" s="98">
        <f t="shared" ref="O47:O63" si="11">N47*$O$8</f>
        <v>0</v>
      </c>
      <c r="P47" s="97"/>
      <c r="Q47" s="98">
        <f t="shared" ref="Q47:Q63" si="12">P47*$Q$8</f>
        <v>0</v>
      </c>
      <c r="R47" s="106">
        <f t="shared" ref="R47:R63" si="13">SUM(D47,F47,M47,O47,Q47)</f>
        <v>0</v>
      </c>
      <c r="S47" s="88"/>
      <c r="T47" s="107" t="str">
        <f t="shared" ref="T47:T63" si="14">IF(R47=" "," ",IF(R47&lt;1.95,"INSUFICIENTE",IF(R47&lt;2.95,"DEFICIENTE",IF(R47&lt;3.95,"BUENO","EXCELENTE"))))</f>
        <v>INSUFICIENTE</v>
      </c>
    </row>
    <row r="48" spans="1:20" ht="11" customHeight="1" x14ac:dyDescent="0.35">
      <c r="A48" s="155"/>
      <c r="B48" s="160"/>
      <c r="C48" s="97"/>
      <c r="D48" s="98">
        <f t="shared" si="0"/>
        <v>0</v>
      </c>
      <c r="E48" s="97"/>
      <c r="F48" s="98">
        <f t="shared" si="8"/>
        <v>0</v>
      </c>
      <c r="G48" s="119"/>
      <c r="H48" s="101"/>
      <c r="I48" s="101"/>
      <c r="J48" s="101"/>
      <c r="K48" s="101"/>
      <c r="L48" s="104">
        <f t="shared" si="9"/>
        <v>0</v>
      </c>
      <c r="M48" s="105">
        <f t="shared" si="10"/>
        <v>0</v>
      </c>
      <c r="N48" s="97"/>
      <c r="O48" s="98">
        <f t="shared" si="11"/>
        <v>0</v>
      </c>
      <c r="P48" s="97"/>
      <c r="Q48" s="98">
        <f t="shared" si="12"/>
        <v>0</v>
      </c>
      <c r="R48" s="106">
        <f t="shared" si="13"/>
        <v>0</v>
      </c>
      <c r="S48" s="88"/>
      <c r="T48" s="107" t="str">
        <f t="shared" si="14"/>
        <v>INSUFICIENTE</v>
      </c>
    </row>
    <row r="49" spans="1:20" ht="11" customHeight="1" x14ac:dyDescent="0.35">
      <c r="A49" s="155"/>
      <c r="B49" s="160"/>
      <c r="C49" s="97"/>
      <c r="D49" s="98">
        <f t="shared" si="0"/>
        <v>0</v>
      </c>
      <c r="E49" s="97"/>
      <c r="F49" s="98">
        <f t="shared" si="8"/>
        <v>0</v>
      </c>
      <c r="G49" s="119"/>
      <c r="H49" s="101"/>
      <c r="I49" s="101"/>
      <c r="J49" s="101"/>
      <c r="K49" s="101"/>
      <c r="L49" s="104">
        <f t="shared" si="9"/>
        <v>0</v>
      </c>
      <c r="M49" s="105">
        <f t="shared" si="10"/>
        <v>0</v>
      </c>
      <c r="N49" s="97"/>
      <c r="O49" s="98">
        <f t="shared" si="11"/>
        <v>0</v>
      </c>
      <c r="P49" s="97"/>
      <c r="Q49" s="98">
        <f t="shared" si="12"/>
        <v>0</v>
      </c>
      <c r="R49" s="106">
        <f t="shared" si="13"/>
        <v>0</v>
      </c>
      <c r="S49" s="88"/>
      <c r="T49" s="107" t="str">
        <f t="shared" si="14"/>
        <v>INSUFICIENTE</v>
      </c>
    </row>
    <row r="50" spans="1:20" ht="11" customHeight="1" x14ac:dyDescent="0.35">
      <c r="A50" s="155"/>
      <c r="B50" s="160"/>
      <c r="C50" s="97"/>
      <c r="D50" s="98">
        <f t="shared" si="0"/>
        <v>0</v>
      </c>
      <c r="E50" s="97"/>
      <c r="F50" s="98">
        <f t="shared" si="8"/>
        <v>0</v>
      </c>
      <c r="G50" s="119"/>
      <c r="H50" s="101"/>
      <c r="I50" s="101"/>
      <c r="J50" s="101"/>
      <c r="K50" s="101"/>
      <c r="L50" s="104">
        <f t="shared" si="9"/>
        <v>0</v>
      </c>
      <c r="M50" s="105">
        <f t="shared" si="10"/>
        <v>0</v>
      </c>
      <c r="N50" s="97"/>
      <c r="O50" s="98">
        <f t="shared" si="11"/>
        <v>0</v>
      </c>
      <c r="P50" s="97"/>
      <c r="Q50" s="98">
        <f t="shared" si="12"/>
        <v>0</v>
      </c>
      <c r="R50" s="106">
        <f t="shared" si="13"/>
        <v>0</v>
      </c>
      <c r="S50" s="88"/>
      <c r="T50" s="107" t="str">
        <f t="shared" si="14"/>
        <v>INSUFICIENTE</v>
      </c>
    </row>
    <row r="51" spans="1:20" ht="11" customHeight="1" x14ac:dyDescent="0.35">
      <c r="A51" s="155"/>
      <c r="B51" s="160"/>
      <c r="C51" s="97"/>
      <c r="D51" s="98">
        <f t="shared" si="0"/>
        <v>0</v>
      </c>
      <c r="E51" s="97"/>
      <c r="F51" s="98">
        <f t="shared" si="8"/>
        <v>0</v>
      </c>
      <c r="G51" s="119"/>
      <c r="H51" s="101"/>
      <c r="I51" s="101"/>
      <c r="J51" s="101"/>
      <c r="K51" s="101"/>
      <c r="L51" s="104">
        <f t="shared" si="9"/>
        <v>0</v>
      </c>
      <c r="M51" s="105">
        <f t="shared" si="10"/>
        <v>0</v>
      </c>
      <c r="N51" s="97"/>
      <c r="O51" s="98">
        <f t="shared" si="11"/>
        <v>0</v>
      </c>
      <c r="P51" s="97"/>
      <c r="Q51" s="98">
        <f t="shared" si="12"/>
        <v>0</v>
      </c>
      <c r="R51" s="106">
        <f t="shared" si="13"/>
        <v>0</v>
      </c>
      <c r="S51" s="88"/>
      <c r="T51" s="107" t="str">
        <f t="shared" si="14"/>
        <v>INSUFICIENTE</v>
      </c>
    </row>
    <row r="52" spans="1:20" ht="11" customHeight="1" x14ac:dyDescent="0.35">
      <c r="A52" s="155"/>
      <c r="B52" s="160"/>
      <c r="C52" s="97"/>
      <c r="D52" s="98">
        <f t="shared" si="0"/>
        <v>0</v>
      </c>
      <c r="E52" s="97"/>
      <c r="F52" s="98">
        <f t="shared" si="8"/>
        <v>0</v>
      </c>
      <c r="G52" s="119"/>
      <c r="H52" s="101"/>
      <c r="I52" s="101"/>
      <c r="J52" s="101"/>
      <c r="K52" s="101"/>
      <c r="L52" s="104">
        <f t="shared" si="9"/>
        <v>0</v>
      </c>
      <c r="M52" s="105">
        <f t="shared" si="10"/>
        <v>0</v>
      </c>
      <c r="N52" s="97"/>
      <c r="O52" s="98">
        <f t="shared" si="11"/>
        <v>0</v>
      </c>
      <c r="P52" s="97"/>
      <c r="Q52" s="98">
        <f t="shared" si="12"/>
        <v>0</v>
      </c>
      <c r="R52" s="106">
        <f t="shared" si="13"/>
        <v>0</v>
      </c>
      <c r="S52" s="88"/>
      <c r="T52" s="107" t="str">
        <f t="shared" si="14"/>
        <v>INSUFICIENTE</v>
      </c>
    </row>
    <row r="53" spans="1:20" ht="11" customHeight="1" x14ac:dyDescent="0.35">
      <c r="A53" s="155"/>
      <c r="B53" s="160"/>
      <c r="C53" s="97"/>
      <c r="D53" s="98">
        <f t="shared" si="0"/>
        <v>0</v>
      </c>
      <c r="E53" s="97"/>
      <c r="F53" s="98">
        <f t="shared" si="8"/>
        <v>0</v>
      </c>
      <c r="G53" s="119"/>
      <c r="H53" s="101"/>
      <c r="I53" s="101"/>
      <c r="J53" s="101"/>
      <c r="K53" s="101"/>
      <c r="L53" s="104">
        <f t="shared" si="9"/>
        <v>0</v>
      </c>
      <c r="M53" s="105">
        <f t="shared" si="10"/>
        <v>0</v>
      </c>
      <c r="N53" s="97"/>
      <c r="O53" s="98">
        <f t="shared" si="11"/>
        <v>0</v>
      </c>
      <c r="P53" s="97"/>
      <c r="Q53" s="98">
        <f t="shared" si="12"/>
        <v>0</v>
      </c>
      <c r="R53" s="106">
        <f t="shared" si="13"/>
        <v>0</v>
      </c>
      <c r="S53" s="88"/>
      <c r="T53" s="107" t="str">
        <f t="shared" si="14"/>
        <v>INSUFICIENTE</v>
      </c>
    </row>
    <row r="54" spans="1:20" ht="11" customHeight="1" x14ac:dyDescent="0.35">
      <c r="A54" s="155"/>
      <c r="B54" s="160"/>
      <c r="C54" s="97"/>
      <c r="D54" s="98">
        <f t="shared" si="0"/>
        <v>0</v>
      </c>
      <c r="E54" s="97"/>
      <c r="F54" s="98">
        <f t="shared" si="8"/>
        <v>0</v>
      </c>
      <c r="G54" s="119"/>
      <c r="H54" s="101"/>
      <c r="I54" s="101"/>
      <c r="J54" s="101"/>
      <c r="K54" s="101"/>
      <c r="L54" s="104">
        <f t="shared" si="9"/>
        <v>0</v>
      </c>
      <c r="M54" s="105">
        <f t="shared" si="10"/>
        <v>0</v>
      </c>
      <c r="N54" s="97"/>
      <c r="O54" s="98">
        <f t="shared" si="11"/>
        <v>0</v>
      </c>
      <c r="P54" s="97"/>
      <c r="Q54" s="98">
        <f t="shared" si="12"/>
        <v>0</v>
      </c>
      <c r="R54" s="106">
        <f t="shared" si="13"/>
        <v>0</v>
      </c>
      <c r="S54" s="88"/>
      <c r="T54" s="107" t="str">
        <f t="shared" si="14"/>
        <v>INSUFICIENTE</v>
      </c>
    </row>
    <row r="55" spans="1:20" ht="11" customHeight="1" x14ac:dyDescent="0.35">
      <c r="A55" s="155"/>
      <c r="B55" s="160"/>
      <c r="C55" s="97"/>
      <c r="D55" s="98">
        <f t="shared" si="0"/>
        <v>0</v>
      </c>
      <c r="E55" s="97"/>
      <c r="F55" s="98">
        <f t="shared" si="8"/>
        <v>0</v>
      </c>
      <c r="G55" s="119"/>
      <c r="H55" s="101"/>
      <c r="I55" s="101"/>
      <c r="J55" s="101"/>
      <c r="K55" s="101"/>
      <c r="L55" s="104">
        <f t="shared" si="9"/>
        <v>0</v>
      </c>
      <c r="M55" s="105">
        <f t="shared" si="10"/>
        <v>0</v>
      </c>
      <c r="N55" s="97"/>
      <c r="O55" s="98">
        <f t="shared" si="11"/>
        <v>0</v>
      </c>
      <c r="P55" s="97"/>
      <c r="Q55" s="98">
        <f t="shared" si="12"/>
        <v>0</v>
      </c>
      <c r="R55" s="106">
        <f t="shared" si="13"/>
        <v>0</v>
      </c>
      <c r="S55" s="88"/>
      <c r="T55" s="107" t="str">
        <f t="shared" si="14"/>
        <v>INSUFICIENTE</v>
      </c>
    </row>
    <row r="56" spans="1:20" ht="11" customHeight="1" x14ac:dyDescent="0.35">
      <c r="A56" s="155"/>
      <c r="B56" s="160"/>
      <c r="C56" s="97"/>
      <c r="D56" s="98">
        <f t="shared" si="0"/>
        <v>0</v>
      </c>
      <c r="E56" s="97"/>
      <c r="F56" s="98">
        <f t="shared" si="8"/>
        <v>0</v>
      </c>
      <c r="G56" s="119"/>
      <c r="H56" s="101"/>
      <c r="I56" s="101"/>
      <c r="J56" s="101"/>
      <c r="K56" s="101"/>
      <c r="L56" s="104">
        <f t="shared" si="9"/>
        <v>0</v>
      </c>
      <c r="M56" s="105">
        <f t="shared" si="10"/>
        <v>0</v>
      </c>
      <c r="N56" s="97"/>
      <c r="O56" s="98">
        <f t="shared" si="11"/>
        <v>0</v>
      </c>
      <c r="P56" s="97"/>
      <c r="Q56" s="98">
        <f t="shared" si="12"/>
        <v>0</v>
      </c>
      <c r="R56" s="106">
        <f t="shared" si="13"/>
        <v>0</v>
      </c>
      <c r="S56" s="88"/>
      <c r="T56" s="107" t="str">
        <f t="shared" si="14"/>
        <v>INSUFICIENTE</v>
      </c>
    </row>
    <row r="57" spans="1:20" ht="11" customHeight="1" x14ac:dyDescent="0.35">
      <c r="A57" s="155"/>
      <c r="B57" s="160"/>
      <c r="C57" s="97"/>
      <c r="D57" s="98">
        <f t="shared" si="0"/>
        <v>0</v>
      </c>
      <c r="E57" s="97"/>
      <c r="F57" s="98">
        <f t="shared" si="8"/>
        <v>0</v>
      </c>
      <c r="G57" s="119"/>
      <c r="H57" s="101"/>
      <c r="I57" s="101"/>
      <c r="J57" s="101"/>
      <c r="K57" s="101"/>
      <c r="L57" s="104">
        <f t="shared" si="9"/>
        <v>0</v>
      </c>
      <c r="M57" s="105">
        <f t="shared" si="10"/>
        <v>0</v>
      </c>
      <c r="N57" s="97"/>
      <c r="O57" s="98">
        <f t="shared" si="11"/>
        <v>0</v>
      </c>
      <c r="P57" s="97"/>
      <c r="Q57" s="98">
        <f t="shared" si="12"/>
        <v>0</v>
      </c>
      <c r="R57" s="106">
        <f t="shared" si="13"/>
        <v>0</v>
      </c>
      <c r="S57" s="88"/>
      <c r="T57" s="107" t="str">
        <f t="shared" si="14"/>
        <v>INSUFICIENTE</v>
      </c>
    </row>
    <row r="58" spans="1:20" ht="11" customHeight="1" x14ac:dyDescent="0.35">
      <c r="A58" s="155"/>
      <c r="B58" s="160"/>
      <c r="C58" s="97"/>
      <c r="D58" s="98">
        <f t="shared" si="0"/>
        <v>0</v>
      </c>
      <c r="E58" s="97"/>
      <c r="F58" s="98">
        <f t="shared" si="8"/>
        <v>0</v>
      </c>
      <c r="G58" s="119"/>
      <c r="H58" s="101"/>
      <c r="I58" s="101"/>
      <c r="J58" s="101"/>
      <c r="K58" s="101"/>
      <c r="L58" s="104">
        <f t="shared" si="9"/>
        <v>0</v>
      </c>
      <c r="M58" s="105">
        <f t="shared" si="10"/>
        <v>0</v>
      </c>
      <c r="N58" s="97"/>
      <c r="O58" s="98">
        <f t="shared" si="11"/>
        <v>0</v>
      </c>
      <c r="P58" s="97"/>
      <c r="Q58" s="98">
        <f t="shared" si="12"/>
        <v>0</v>
      </c>
      <c r="R58" s="106">
        <f t="shared" si="13"/>
        <v>0</v>
      </c>
      <c r="S58" s="88"/>
      <c r="T58" s="107" t="str">
        <f t="shared" si="14"/>
        <v>INSUFICIENTE</v>
      </c>
    </row>
    <row r="59" spans="1:20" ht="11" customHeight="1" x14ac:dyDescent="0.35">
      <c r="A59" s="155"/>
      <c r="B59" s="160"/>
      <c r="C59" s="97"/>
      <c r="D59" s="98">
        <f t="shared" si="0"/>
        <v>0</v>
      </c>
      <c r="E59" s="97"/>
      <c r="F59" s="98">
        <f t="shared" si="8"/>
        <v>0</v>
      </c>
      <c r="G59" s="119"/>
      <c r="H59" s="101"/>
      <c r="I59" s="101"/>
      <c r="J59" s="101"/>
      <c r="K59" s="101"/>
      <c r="L59" s="104">
        <f t="shared" si="9"/>
        <v>0</v>
      </c>
      <c r="M59" s="105">
        <f t="shared" si="10"/>
        <v>0</v>
      </c>
      <c r="N59" s="97"/>
      <c r="O59" s="98">
        <f t="shared" si="11"/>
        <v>0</v>
      </c>
      <c r="P59" s="97"/>
      <c r="Q59" s="98">
        <f t="shared" si="12"/>
        <v>0</v>
      </c>
      <c r="R59" s="106">
        <f t="shared" si="13"/>
        <v>0</v>
      </c>
      <c r="S59" s="88"/>
      <c r="T59" s="107" t="str">
        <f t="shared" si="14"/>
        <v>INSUFICIENTE</v>
      </c>
    </row>
    <row r="60" spans="1:20" ht="11" customHeight="1" x14ac:dyDescent="0.35">
      <c r="A60" s="155"/>
      <c r="B60" s="160"/>
      <c r="C60" s="97"/>
      <c r="D60" s="98">
        <f t="shared" si="0"/>
        <v>0</v>
      </c>
      <c r="E60" s="97"/>
      <c r="F60" s="98">
        <f t="shared" si="8"/>
        <v>0</v>
      </c>
      <c r="G60" s="119"/>
      <c r="H60" s="101"/>
      <c r="I60" s="101"/>
      <c r="J60" s="101"/>
      <c r="K60" s="101"/>
      <c r="L60" s="104">
        <f t="shared" si="9"/>
        <v>0</v>
      </c>
      <c r="M60" s="105">
        <f t="shared" si="10"/>
        <v>0</v>
      </c>
      <c r="N60" s="97"/>
      <c r="O60" s="98">
        <f t="shared" si="11"/>
        <v>0</v>
      </c>
      <c r="P60" s="97"/>
      <c r="Q60" s="98">
        <f t="shared" si="12"/>
        <v>0</v>
      </c>
      <c r="R60" s="106">
        <f t="shared" si="13"/>
        <v>0</v>
      </c>
      <c r="S60" s="88"/>
      <c r="T60" s="107" t="str">
        <f t="shared" si="14"/>
        <v>INSUFICIENTE</v>
      </c>
    </row>
    <row r="61" spans="1:20" ht="11" customHeight="1" x14ac:dyDescent="0.35">
      <c r="A61" s="155"/>
      <c r="B61" s="160"/>
      <c r="C61" s="97"/>
      <c r="D61" s="98">
        <f t="shared" si="0"/>
        <v>0</v>
      </c>
      <c r="E61" s="97"/>
      <c r="F61" s="98">
        <f t="shared" si="8"/>
        <v>0</v>
      </c>
      <c r="G61" s="119"/>
      <c r="H61" s="101"/>
      <c r="I61" s="101"/>
      <c r="J61" s="101"/>
      <c r="K61" s="101"/>
      <c r="L61" s="104">
        <f t="shared" si="9"/>
        <v>0</v>
      </c>
      <c r="M61" s="105">
        <f t="shared" si="10"/>
        <v>0</v>
      </c>
      <c r="N61" s="97"/>
      <c r="O61" s="98">
        <f t="shared" si="11"/>
        <v>0</v>
      </c>
      <c r="P61" s="97"/>
      <c r="Q61" s="98">
        <f t="shared" si="12"/>
        <v>0</v>
      </c>
      <c r="R61" s="106">
        <f t="shared" si="13"/>
        <v>0</v>
      </c>
      <c r="S61" s="88"/>
      <c r="T61" s="107" t="str">
        <f t="shared" si="14"/>
        <v>INSUFICIENTE</v>
      </c>
    </row>
    <row r="62" spans="1:20" ht="11" customHeight="1" x14ac:dyDescent="0.35">
      <c r="A62" s="155"/>
      <c r="B62" s="160"/>
      <c r="C62" s="97"/>
      <c r="D62" s="98">
        <f t="shared" si="0"/>
        <v>0</v>
      </c>
      <c r="E62" s="97"/>
      <c r="F62" s="98">
        <f t="shared" si="8"/>
        <v>0</v>
      </c>
      <c r="G62" s="119"/>
      <c r="H62" s="101"/>
      <c r="I62" s="101"/>
      <c r="J62" s="101"/>
      <c r="K62" s="101"/>
      <c r="L62" s="104">
        <f t="shared" si="9"/>
        <v>0</v>
      </c>
      <c r="M62" s="105">
        <f t="shared" si="10"/>
        <v>0</v>
      </c>
      <c r="N62" s="97"/>
      <c r="O62" s="98">
        <f t="shared" si="11"/>
        <v>0</v>
      </c>
      <c r="P62" s="97"/>
      <c r="Q62" s="98">
        <f t="shared" si="12"/>
        <v>0</v>
      </c>
      <c r="R62" s="106">
        <f t="shared" si="13"/>
        <v>0</v>
      </c>
      <c r="S62" s="88"/>
      <c r="T62" s="107" t="str">
        <f t="shared" si="14"/>
        <v>INSUFICIENTE</v>
      </c>
    </row>
    <row r="63" spans="1:20" ht="11" customHeight="1" x14ac:dyDescent="0.35">
      <c r="A63" s="155"/>
      <c r="B63" s="160"/>
      <c r="C63" s="97"/>
      <c r="D63" s="98">
        <f t="shared" si="0"/>
        <v>0</v>
      </c>
      <c r="E63" s="97"/>
      <c r="F63" s="98">
        <f t="shared" si="8"/>
        <v>0</v>
      </c>
      <c r="G63" s="119"/>
      <c r="H63" s="101"/>
      <c r="I63" s="101"/>
      <c r="J63" s="101"/>
      <c r="K63" s="101"/>
      <c r="L63" s="104">
        <f t="shared" si="9"/>
        <v>0</v>
      </c>
      <c r="M63" s="105">
        <f t="shared" si="10"/>
        <v>0</v>
      </c>
      <c r="N63" s="97"/>
      <c r="O63" s="98">
        <f t="shared" si="11"/>
        <v>0</v>
      </c>
      <c r="P63" s="97"/>
      <c r="Q63" s="98">
        <f t="shared" si="12"/>
        <v>0</v>
      </c>
      <c r="R63" s="106">
        <f t="shared" si="13"/>
        <v>0</v>
      </c>
      <c r="S63" s="88"/>
      <c r="T63" s="107" t="str">
        <f t="shared" si="14"/>
        <v>INSUFICIENTE</v>
      </c>
    </row>
    <row r="65" spans="2:20" ht="5.15" customHeight="1" x14ac:dyDescent="0.35"/>
    <row r="66" spans="2:20" ht="12" customHeight="1" x14ac:dyDescent="0.35">
      <c r="B66" s="88"/>
      <c r="C66" s="168">
        <f>COUNTIF(C15:C63,"&gt;3,95")</f>
        <v>0</v>
      </c>
      <c r="D66" s="168"/>
      <c r="E66" s="168">
        <f>COUNTIF(E15:E63,"&gt;3,95")</f>
        <v>0</v>
      </c>
      <c r="F66" s="168"/>
      <c r="G66" s="168">
        <f>COUNTIF(M15:M63,"&gt;3,95")</f>
        <v>0</v>
      </c>
      <c r="H66" s="168"/>
      <c r="I66" s="168"/>
      <c r="J66" s="168"/>
      <c r="K66" s="168"/>
      <c r="L66" s="168"/>
      <c r="M66" s="168"/>
      <c r="N66" s="168">
        <f>COUNTIF(N15:N63,"&gt;3,95")</f>
        <v>0</v>
      </c>
      <c r="O66" s="168"/>
      <c r="P66" s="168">
        <f>COUNTIF(P15:P63,"&gt;3,95")</f>
        <v>0</v>
      </c>
      <c r="Q66" s="168"/>
      <c r="R66" s="83">
        <f>COUNTIF(R15:R63,"&gt;3,95")</f>
        <v>0</v>
      </c>
      <c r="S66" s="84"/>
      <c r="T66" s="83">
        <f>COUNTIF(T$15:T$63,"EXCELENTE")</f>
        <v>0</v>
      </c>
    </row>
    <row r="67" spans="2:20" ht="12" customHeight="1" x14ac:dyDescent="0.35">
      <c r="B67" s="88"/>
      <c r="C67" s="169">
        <f>COUNTIFS(C15:C63,"&gt;2,95",C15:C63,"&lt;3,95")</f>
        <v>0</v>
      </c>
      <c r="D67" s="169"/>
      <c r="E67" s="169">
        <f>COUNTIFS(E15:E63,"&gt;2,95",E15:E63,"&lt;3,95")</f>
        <v>0</v>
      </c>
      <c r="F67" s="169"/>
      <c r="G67" s="169">
        <f>COUNTIFS(M15:M63,"&gt;2,95",M15:M63,"&lt;3,95")</f>
        <v>0</v>
      </c>
      <c r="H67" s="169"/>
      <c r="I67" s="169"/>
      <c r="J67" s="169"/>
      <c r="K67" s="169"/>
      <c r="L67" s="169"/>
      <c r="M67" s="169"/>
      <c r="N67" s="169">
        <f>COUNTIFS(N15:N63,"&gt;2,95",N15:N63,"&lt;3,95")</f>
        <v>0</v>
      </c>
      <c r="O67" s="169"/>
      <c r="P67" s="169">
        <f>COUNTIFS(P15:P63,"&gt;2,95",P15:P63,"&lt;3,95")</f>
        <v>0</v>
      </c>
      <c r="Q67" s="169"/>
      <c r="R67" s="85">
        <f>COUNTIFS(R15:R63,"&gt;2,95",R15:R63,"&lt;3,95")</f>
        <v>0</v>
      </c>
      <c r="S67" s="84"/>
      <c r="T67" s="85">
        <f>COUNTIF(T$15:T$63,"BUENO")</f>
        <v>0</v>
      </c>
    </row>
    <row r="68" spans="2:20" ht="12" customHeight="1" x14ac:dyDescent="0.35">
      <c r="B68" s="88"/>
      <c r="C68" s="170">
        <f>COUNTIFS(C15:C63,"&gt;1,95",C15:C63,"&lt;2,95")</f>
        <v>0</v>
      </c>
      <c r="D68" s="170"/>
      <c r="E68" s="170">
        <f>COUNTIFS(E15:E63,"&gt;1,95",E15:E63,"&lt;2,95")</f>
        <v>0</v>
      </c>
      <c r="F68" s="170"/>
      <c r="G68" s="170">
        <f>COUNTIFS(M15:M63,"&gt;1,95",M15:M63,"&lt;2,95")</f>
        <v>0</v>
      </c>
      <c r="H68" s="170"/>
      <c r="I68" s="170"/>
      <c r="J68" s="170"/>
      <c r="K68" s="170"/>
      <c r="L68" s="170"/>
      <c r="M68" s="170"/>
      <c r="N68" s="170">
        <f>COUNTIFS(N15:N63,"&gt;1,95",N15:N63,"&lt;2,95")</f>
        <v>0</v>
      </c>
      <c r="O68" s="170"/>
      <c r="P68" s="170">
        <f>COUNTIFS(P15:P63,"&gt;1,95",P15:P63,"&lt;2,95")</f>
        <v>0</v>
      </c>
      <c r="Q68" s="170"/>
      <c r="R68" s="86">
        <f>COUNTIFS(R15:R63,"&gt;1,95",R15:R63,"&lt;2,95")</f>
        <v>0</v>
      </c>
      <c r="S68" s="84"/>
      <c r="T68" s="86">
        <f>COUNTIF(T$15:T$63,"DEFICIENTE")</f>
        <v>0</v>
      </c>
    </row>
    <row r="69" spans="2:20" ht="12" customHeight="1" x14ac:dyDescent="0.35">
      <c r="B69" s="88"/>
      <c r="C69" s="171">
        <f>COUNTIFS(C15:C63,"&gt;=0",C15:C63,"&lt;1,95")</f>
        <v>0</v>
      </c>
      <c r="D69" s="171"/>
      <c r="E69" s="171">
        <f>COUNTIFS(E15:E63,"&gt;=0",E15:E63,"&lt;1,95")</f>
        <v>0</v>
      </c>
      <c r="F69" s="171"/>
      <c r="G69" s="171">
        <f>COUNTIFS(M15:M63,"&gt;=0,01",M15:M63,"&lt;1,95")</f>
        <v>0</v>
      </c>
      <c r="H69" s="171"/>
      <c r="I69" s="171"/>
      <c r="J69" s="171"/>
      <c r="K69" s="171"/>
      <c r="L69" s="171"/>
      <c r="M69" s="171"/>
      <c r="N69" s="171">
        <f>COUNTIFS(N15:N63,"&gt;=0",N15:N63,"&lt;1,95")</f>
        <v>0</v>
      </c>
      <c r="O69" s="171"/>
      <c r="P69" s="171">
        <f>COUNTIFS(P15:P63,"&gt;=0",P15:P63,"&lt;1,95")</f>
        <v>0</v>
      </c>
      <c r="Q69" s="171"/>
      <c r="R69" s="87">
        <f>COUNTIFS(R15:R63,"&gt;=0",R15:R63,"&lt;1,95")</f>
        <v>49</v>
      </c>
      <c r="S69" s="84"/>
      <c r="T69" s="87">
        <f>COUNTIF(T$15:T$63,"INSUFICIENTE")</f>
        <v>49</v>
      </c>
    </row>
    <row r="70" spans="2:20" ht="11.5" customHeight="1" x14ac:dyDescent="0.35"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</row>
    <row r="71" spans="2:20" ht="12" customHeight="1" x14ac:dyDescent="0.35">
      <c r="B71" s="108" t="s">
        <v>42</v>
      </c>
      <c r="C71" s="167" t="str">
        <f>IFERROR(C66/COUNTA($A$15:$A$63)," ")</f>
        <v xml:space="preserve"> </v>
      </c>
      <c r="D71" s="167"/>
      <c r="E71" s="167" t="str">
        <f>IFERROR(E66/COUNTA($A$15:$A$64)," ")</f>
        <v xml:space="preserve"> </v>
      </c>
      <c r="F71" s="167"/>
      <c r="G71" s="167" t="str">
        <f>IFERROR(G66/COUNTA($A$15:$A$64)," ")</f>
        <v xml:space="preserve"> </v>
      </c>
      <c r="H71" s="167"/>
      <c r="I71" s="167"/>
      <c r="J71" s="167"/>
      <c r="K71" s="167"/>
      <c r="L71" s="167"/>
      <c r="M71" s="167"/>
      <c r="N71" s="167" t="str">
        <f>IFERROR(N66/COUNTA($A$15:$A$64)," ")</f>
        <v xml:space="preserve"> </v>
      </c>
      <c r="O71" s="167"/>
      <c r="P71" s="167" t="str">
        <f>IFERROR(P66/COUNTA($A$15:$A$64)," ")</f>
        <v xml:space="preserve"> </v>
      </c>
      <c r="Q71" s="167"/>
      <c r="R71" s="89" t="str">
        <f>IFERROR(R66/COUNTA($A$15:$A$64)," ")</f>
        <v xml:space="preserve"> </v>
      </c>
      <c r="S71" s="88"/>
      <c r="T71" s="89" t="str">
        <f>IFERROR(T66/COUNTA($A$15:$A$64)," ")</f>
        <v xml:space="preserve"> </v>
      </c>
    </row>
    <row r="72" spans="2:20" ht="12" customHeight="1" x14ac:dyDescent="0.35">
      <c r="B72" s="108" t="s">
        <v>42</v>
      </c>
      <c r="C72" s="167" t="str">
        <f>IFERROR(C67/COUNTA($A$15:$A$63)," ")</f>
        <v xml:space="preserve"> </v>
      </c>
      <c r="D72" s="167"/>
      <c r="E72" s="167" t="str">
        <f>IFERROR(E67/COUNTA($A$15:$A$64)," ")</f>
        <v xml:space="preserve"> </v>
      </c>
      <c r="F72" s="167"/>
      <c r="G72" s="167" t="str">
        <f>IFERROR(G67/COUNTA($A$15:$A$64)," ")</f>
        <v xml:space="preserve"> </v>
      </c>
      <c r="H72" s="167"/>
      <c r="I72" s="167"/>
      <c r="J72" s="167"/>
      <c r="K72" s="167"/>
      <c r="L72" s="167"/>
      <c r="M72" s="167"/>
      <c r="N72" s="167" t="str">
        <f>IFERROR(N67/COUNTA($A$15:$A$64)," ")</f>
        <v xml:space="preserve"> </v>
      </c>
      <c r="O72" s="167"/>
      <c r="P72" s="167" t="str">
        <f>IFERROR(P67/COUNTA($A$15:$A$64)," ")</f>
        <v xml:space="preserve"> </v>
      </c>
      <c r="Q72" s="167"/>
      <c r="R72" s="89" t="str">
        <f>IFERROR(R67/COUNTA($A$15:$A$64)," ")</f>
        <v xml:space="preserve"> </v>
      </c>
      <c r="S72" s="88"/>
      <c r="T72" s="89" t="str">
        <f>IFERROR(T67/COUNTA($A$15:$A$64)," ")</f>
        <v xml:space="preserve"> </v>
      </c>
    </row>
    <row r="73" spans="2:20" ht="12" customHeight="1" x14ac:dyDescent="0.35">
      <c r="B73" s="108" t="s">
        <v>42</v>
      </c>
      <c r="C73" s="167" t="str">
        <f>IFERROR(C68/COUNTA($A$15:$A$63)," ")</f>
        <v xml:space="preserve"> </v>
      </c>
      <c r="D73" s="167"/>
      <c r="E73" s="167" t="str">
        <f>IFERROR(E68/COUNTA($A$15:$A$64)," ")</f>
        <v xml:space="preserve"> </v>
      </c>
      <c r="F73" s="167"/>
      <c r="G73" s="167" t="str">
        <f>IFERROR(G68/COUNTA($A$15:$A$64)," ")</f>
        <v xml:space="preserve"> </v>
      </c>
      <c r="H73" s="167"/>
      <c r="I73" s="167"/>
      <c r="J73" s="167"/>
      <c r="K73" s="167"/>
      <c r="L73" s="167"/>
      <c r="M73" s="167"/>
      <c r="N73" s="167" t="str">
        <f>IFERROR(N68/COUNTA($A$15:$A$64)," ")</f>
        <v xml:space="preserve"> </v>
      </c>
      <c r="O73" s="167"/>
      <c r="P73" s="167" t="str">
        <f>IFERROR(P68/COUNTA($A$15:$A$64)," ")</f>
        <v xml:space="preserve"> </v>
      </c>
      <c r="Q73" s="167"/>
      <c r="R73" s="89" t="str">
        <f>IFERROR(R68/COUNTA($A$15:$A$64)," ")</f>
        <v xml:space="preserve"> </v>
      </c>
      <c r="S73" s="88"/>
      <c r="T73" s="89" t="str">
        <f>IFERROR(T68/COUNTA($A$15:$A$64)," ")</f>
        <v xml:space="preserve"> </v>
      </c>
    </row>
    <row r="74" spans="2:20" ht="12" customHeight="1" x14ac:dyDescent="0.35">
      <c r="B74" s="108" t="s">
        <v>42</v>
      </c>
      <c r="C74" s="167" t="str">
        <f>IFERROR(C69/COUNTA($A$15:$A$64)," ")</f>
        <v xml:space="preserve"> </v>
      </c>
      <c r="D74" s="167"/>
      <c r="E74" s="167" t="str">
        <f>IFERROR(E69/COUNTA($A$15:$A$64)," ")</f>
        <v xml:space="preserve"> </v>
      </c>
      <c r="F74" s="167"/>
      <c r="G74" s="167" t="str">
        <f>IFERROR(G69/COUNTA($A$15:$A$63)," ")</f>
        <v xml:space="preserve"> </v>
      </c>
      <c r="H74" s="167"/>
      <c r="I74" s="167"/>
      <c r="J74" s="167"/>
      <c r="K74" s="167"/>
      <c r="L74" s="167"/>
      <c r="M74" s="167"/>
      <c r="N74" s="167" t="str">
        <f>IFERROR(N69/COUNTA($A$15:$A$64)," ")</f>
        <v xml:space="preserve"> </v>
      </c>
      <c r="O74" s="167"/>
      <c r="P74" s="167" t="str">
        <f>IFERROR(P69/COUNTA($A$15:$A$64)," ")</f>
        <v xml:space="preserve"> </v>
      </c>
      <c r="Q74" s="167"/>
      <c r="R74" s="89" t="str">
        <f>IFERROR(R69/COUNTA($A$15:$A$64)," ")</f>
        <v xml:space="preserve"> </v>
      </c>
      <c r="S74" s="88"/>
      <c r="T74" s="89" t="str">
        <f>IFERROR(T69/COUNTA($A$15:$A$64)," ")</f>
        <v xml:space="preserve"> </v>
      </c>
    </row>
    <row r="76" spans="2:20" x14ac:dyDescent="0.35">
      <c r="P76" s="23"/>
    </row>
    <row r="77" spans="2:20" x14ac:dyDescent="0.35">
      <c r="P77" s="23"/>
    </row>
    <row r="78" spans="2:20" x14ac:dyDescent="0.35">
      <c r="P78" s="23"/>
    </row>
    <row r="79" spans="2:20" x14ac:dyDescent="0.35">
      <c r="P79" s="23"/>
    </row>
    <row r="80" spans="2:20" x14ac:dyDescent="0.35">
      <c r="P80" s="23"/>
    </row>
    <row r="81" spans="16:16" x14ac:dyDescent="0.35">
      <c r="P81" s="23"/>
    </row>
  </sheetData>
  <sheetProtection sheet="1" objects="1" scenarios="1"/>
  <mergeCells count="80">
    <mergeCell ref="C4:D4"/>
    <mergeCell ref="C5:D5"/>
    <mergeCell ref="C6:D6"/>
    <mergeCell ref="N4:O4"/>
    <mergeCell ref="N5:O5"/>
    <mergeCell ref="N6:O6"/>
    <mergeCell ref="G8:L8"/>
    <mergeCell ref="C13:D14"/>
    <mergeCell ref="E13:F14"/>
    <mergeCell ref="N13:O14"/>
    <mergeCell ref="P13:Q14"/>
    <mergeCell ref="G13:M13"/>
    <mergeCell ref="P9:Q9"/>
    <mergeCell ref="P10:Q10"/>
    <mergeCell ref="P11:Q11"/>
    <mergeCell ref="P12:Q12"/>
    <mergeCell ref="E9:F9"/>
    <mergeCell ref="E10:F10"/>
    <mergeCell ref="E11:F11"/>
    <mergeCell ref="N9:O9"/>
    <mergeCell ref="N10:O10"/>
    <mergeCell ref="N11:O11"/>
    <mergeCell ref="A1:B3"/>
    <mergeCell ref="C1:P3"/>
    <mergeCell ref="Q1:T1"/>
    <mergeCell ref="Q2:T2"/>
    <mergeCell ref="Q3:T3"/>
    <mergeCell ref="N12:O12"/>
    <mergeCell ref="C12:D12"/>
    <mergeCell ref="C9:D9"/>
    <mergeCell ref="C10:D10"/>
    <mergeCell ref="C11:D11"/>
    <mergeCell ref="E12:F12"/>
    <mergeCell ref="G9:M9"/>
    <mergeCell ref="G10:M10"/>
    <mergeCell ref="A13:A14"/>
    <mergeCell ref="G11:M11"/>
    <mergeCell ref="G12:M12"/>
    <mergeCell ref="B13:B14"/>
    <mergeCell ref="G69:M69"/>
    <mergeCell ref="E66:F66"/>
    <mergeCell ref="E67:F67"/>
    <mergeCell ref="E68:F68"/>
    <mergeCell ref="E69:F69"/>
    <mergeCell ref="N67:O67"/>
    <mergeCell ref="N68:O68"/>
    <mergeCell ref="N69:O69"/>
    <mergeCell ref="G72:M72"/>
    <mergeCell ref="G66:M66"/>
    <mergeCell ref="G67:M67"/>
    <mergeCell ref="G68:M68"/>
    <mergeCell ref="G74:M74"/>
    <mergeCell ref="G71:M71"/>
    <mergeCell ref="N71:O71"/>
    <mergeCell ref="R11:R14"/>
    <mergeCell ref="N72:O72"/>
    <mergeCell ref="N73:O73"/>
    <mergeCell ref="N74:O74"/>
    <mergeCell ref="P71:Q71"/>
    <mergeCell ref="P72:Q72"/>
    <mergeCell ref="P73:Q73"/>
    <mergeCell ref="P74:Q74"/>
    <mergeCell ref="P66:Q66"/>
    <mergeCell ref="P67:Q67"/>
    <mergeCell ref="P68:Q68"/>
    <mergeCell ref="P69:Q69"/>
    <mergeCell ref="N66:O66"/>
    <mergeCell ref="C66:D66"/>
    <mergeCell ref="C67:D67"/>
    <mergeCell ref="C68:D68"/>
    <mergeCell ref="C69:D69"/>
    <mergeCell ref="G73:M73"/>
    <mergeCell ref="C72:D72"/>
    <mergeCell ref="C73:D73"/>
    <mergeCell ref="C74:D74"/>
    <mergeCell ref="E71:F71"/>
    <mergeCell ref="E72:F72"/>
    <mergeCell ref="E73:F73"/>
    <mergeCell ref="E74:F74"/>
    <mergeCell ref="C71:D71"/>
  </mergeCells>
  <conditionalFormatting sqref="R66 C66 E66 N66 G66">
    <cfRule type="expression" dxfId="252" priority="93">
      <formula>#REF!=EXCELENTE</formula>
    </cfRule>
  </conditionalFormatting>
  <conditionalFormatting sqref="R15:R63">
    <cfRule type="cellIs" dxfId="251" priority="21" stopIfTrue="1" operator="between">
      <formula>0</formula>
      <formula>1.94</formula>
    </cfRule>
    <cfRule type="cellIs" dxfId="250" priority="22" operator="between">
      <formula>1.95</formula>
      <formula>2.94</formula>
    </cfRule>
    <cfRule type="cellIs" dxfId="249" priority="23" operator="between">
      <formula>2.95</formula>
      <formula>3.94</formula>
    </cfRule>
    <cfRule type="cellIs" dxfId="248" priority="24" operator="between">
      <formula>3.95</formula>
      <formula>5</formula>
    </cfRule>
  </conditionalFormatting>
  <conditionalFormatting sqref="T15:T63">
    <cfRule type="containsText" dxfId="247" priority="98" operator="containsText" text="INSUFICIENTE">
      <formula>NOT(ISERROR(SEARCH("INSUFICIENTE",T15)))</formula>
    </cfRule>
    <cfRule type="containsText" dxfId="246" priority="99" operator="containsText" text="DEFICIENTE">
      <formula>NOT(ISERROR(SEARCH("DEFICIENTE",T15)))</formula>
    </cfRule>
    <cfRule type="containsText" dxfId="245" priority="100" operator="containsText" text="BUENO">
      <formula>NOT(ISERROR(SEARCH("BUENO",T15)))</formula>
    </cfRule>
    <cfRule type="containsText" dxfId="244" priority="101" operator="containsText" text="EXCELENTE">
      <formula>NOT(ISERROR(SEARCH("EXCELENTE",T15)))</formula>
    </cfRule>
  </conditionalFormatting>
  <conditionalFormatting sqref="T66:T69">
    <cfRule type="expression" dxfId="243" priority="70">
      <formula>#REF!=EXCELENTE</formula>
    </cfRule>
  </conditionalFormatting>
  <conditionalFormatting sqref="R8">
    <cfRule type="cellIs" dxfId="242" priority="14" operator="greaterThan">
      <formula>1</formula>
    </cfRule>
    <cfRule type="cellIs" dxfId="241" priority="15" operator="equal">
      <formula>1</formula>
    </cfRule>
    <cfRule type="cellIs" dxfId="240" priority="16" operator="greaterThan">
      <formula>101</formula>
    </cfRule>
    <cfRule type="cellIs" dxfId="239" priority="17" operator="equal">
      <formula>100</formula>
    </cfRule>
    <cfRule type="cellIs" dxfId="238" priority="19" operator="lessThan">
      <formula>1</formula>
    </cfRule>
  </conditionalFormatting>
  <conditionalFormatting sqref="L14">
    <cfRule type="cellIs" dxfId="237" priority="7" operator="equal">
      <formula>1</formula>
    </cfRule>
    <cfRule type="cellIs" dxfId="236" priority="8" operator="lessThan">
      <formula>100</formula>
    </cfRule>
    <cfRule type="cellIs" dxfId="235" priority="9" operator="lessThan">
      <formula>1</formula>
    </cfRule>
    <cfRule type="cellIs" dxfId="234" priority="10" operator="equal">
      <formula>1</formula>
    </cfRule>
    <cfRule type="cellIs" dxfId="233" priority="11" operator="greaterThan">
      <formula>1</formula>
    </cfRule>
    <cfRule type="cellIs" dxfId="232" priority="12" operator="lessThan">
      <formula>1</formula>
    </cfRule>
    <cfRule type="cellIs" dxfId="231" priority="13" operator="equal">
      <formula>1</formula>
    </cfRule>
  </conditionalFormatting>
  <conditionalFormatting sqref="P66">
    <cfRule type="expression" dxfId="230" priority="6">
      <formula>#REF!=EXCELENTE</formula>
    </cfRule>
  </conditionalFormatting>
  <dataValidations count="1">
    <dataValidation type="custom" allowBlank="1" showInputMessage="1" showErrorMessage="1" errorTitle="Nota no permitida" error="Nota por fuera de rango" sqref="C15:Q63">
      <formula1>C15&lt;=5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6"/>
  <sheetViews>
    <sheetView showGridLines="0" view="pageBreakPreview" zoomScale="70" zoomScaleNormal="70" zoomScaleSheetLayoutView="70" workbookViewId="0">
      <selection activeCell="G5" sqref="G5"/>
    </sheetView>
  </sheetViews>
  <sheetFormatPr baseColWidth="10" defaultRowHeight="14.5" x14ac:dyDescent="0.35"/>
  <cols>
    <col min="1" max="1" width="21.81640625" customWidth="1"/>
    <col min="2" max="2" width="42.1796875" customWidth="1"/>
    <col min="3" max="3" width="31.81640625" customWidth="1"/>
    <col min="4" max="4" width="5.26953125" customWidth="1"/>
    <col min="5" max="5" width="30.81640625" customWidth="1"/>
    <col min="6" max="6" width="5.54296875" customWidth="1"/>
    <col min="7" max="11" width="5.81640625" customWidth="1"/>
    <col min="12" max="12" width="6.54296875" bestFit="1" customWidth="1"/>
    <col min="13" max="13" width="8.1796875" customWidth="1"/>
    <col min="14" max="14" width="27.81640625" customWidth="1"/>
    <col min="15" max="15" width="6" customWidth="1"/>
    <col min="16" max="16" width="29" customWidth="1"/>
    <col min="17" max="17" width="5.54296875" customWidth="1"/>
    <col min="18" max="18" width="10.81640625" customWidth="1"/>
    <col min="19" max="19" width="0.81640625" customWidth="1"/>
    <col min="20" max="20" width="13.1796875" bestFit="1" customWidth="1"/>
  </cols>
  <sheetData>
    <row r="1" spans="1:22" s="54" customFormat="1" ht="34.5" customHeight="1" x14ac:dyDescent="0.35">
      <c r="A1" s="179"/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80"/>
      <c r="R1" s="180"/>
      <c r="S1" s="180"/>
      <c r="T1" s="180"/>
    </row>
    <row r="2" spans="1:22" ht="38.15" customHeight="1" x14ac:dyDescent="0.35">
      <c r="A2" s="179"/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80"/>
      <c r="R2" s="180"/>
      <c r="S2" s="180"/>
      <c r="T2" s="180"/>
    </row>
    <row r="3" spans="1:22" ht="62.5" customHeight="1" x14ac:dyDescent="0.35">
      <c r="A3" s="179"/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80"/>
      <c r="R3" s="180"/>
      <c r="S3" s="180"/>
      <c r="T3" s="180"/>
    </row>
    <row r="4" spans="1:22" ht="21.65" customHeight="1" x14ac:dyDescent="0.35">
      <c r="C4" s="205" t="s">
        <v>1</v>
      </c>
      <c r="D4" s="205"/>
      <c r="E4" s="109">
        <f>+'CORTE 1 G1'!E4</f>
        <v>0</v>
      </c>
      <c r="F4" s="88"/>
      <c r="G4" s="88"/>
      <c r="H4" s="88"/>
      <c r="I4" s="88"/>
      <c r="J4" s="88"/>
      <c r="K4" s="88"/>
      <c r="L4" s="88"/>
      <c r="M4" s="88"/>
      <c r="N4" s="205" t="s">
        <v>30</v>
      </c>
      <c r="O4" s="205"/>
      <c r="P4" s="109">
        <f>+'CORTE 1 G1'!P4</f>
        <v>0</v>
      </c>
      <c r="Q4" s="110"/>
      <c r="R4" s="88"/>
    </row>
    <row r="5" spans="1:22" ht="26.5" customHeight="1" x14ac:dyDescent="0.35">
      <c r="C5" s="206" t="s">
        <v>26</v>
      </c>
      <c r="D5" s="207"/>
      <c r="E5" s="111">
        <f>+'CORTE 1 G1'!E5</f>
        <v>0</v>
      </c>
      <c r="F5" s="88"/>
      <c r="G5" s="88"/>
      <c r="H5" s="88"/>
      <c r="I5" s="88"/>
      <c r="J5" s="88"/>
      <c r="K5" s="88"/>
      <c r="L5" s="88"/>
      <c r="M5" s="88"/>
      <c r="N5" s="208" t="s">
        <v>31</v>
      </c>
      <c r="O5" s="209"/>
      <c r="P5" s="111">
        <v>2</v>
      </c>
      <c r="Q5" s="112"/>
      <c r="R5" s="88"/>
    </row>
    <row r="6" spans="1:22" ht="27" customHeight="1" x14ac:dyDescent="0.35">
      <c r="C6" s="196" t="s">
        <v>28</v>
      </c>
      <c r="D6" s="197"/>
      <c r="E6" s="109">
        <f>+'CORTE 1 G1'!E6</f>
        <v>0</v>
      </c>
      <c r="F6" s="88"/>
      <c r="G6" s="88"/>
      <c r="H6" s="88"/>
      <c r="I6" s="88"/>
      <c r="J6" s="88"/>
      <c r="K6" s="88"/>
      <c r="L6" s="88"/>
      <c r="M6" s="88"/>
      <c r="N6" s="198" t="s">
        <v>32</v>
      </c>
      <c r="O6" s="199"/>
      <c r="P6" s="109">
        <f>+'CORTE 1 G1'!P6</f>
        <v>0</v>
      </c>
      <c r="Q6" s="110"/>
      <c r="R6" s="94" t="s">
        <v>52</v>
      </c>
    </row>
    <row r="7" spans="1:22" ht="5.15" customHeight="1" x14ac:dyDescent="0.35"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113"/>
      <c r="P7" s="113"/>
      <c r="Q7" s="88"/>
      <c r="R7" s="95"/>
    </row>
    <row r="8" spans="1:22" ht="26" x14ac:dyDescent="0.35">
      <c r="C8" s="114" t="s">
        <v>2</v>
      </c>
      <c r="D8" s="115">
        <f>+'CORTE 1 G1'!D8</f>
        <v>0.01</v>
      </c>
      <c r="E8" s="114" t="s">
        <v>5</v>
      </c>
      <c r="F8" s="115">
        <f>+'CORTE 1 G1'!F8</f>
        <v>0.02</v>
      </c>
      <c r="G8" s="183" t="s">
        <v>10</v>
      </c>
      <c r="H8" s="184"/>
      <c r="I8" s="184"/>
      <c r="J8" s="184"/>
      <c r="K8" s="184"/>
      <c r="L8" s="185"/>
      <c r="M8" s="116">
        <f>+'CORTE 1 G1'!M8</f>
        <v>0.95</v>
      </c>
      <c r="N8" s="92" t="s">
        <v>14</v>
      </c>
      <c r="O8" s="116">
        <f>+'CORTE 1 G1'!O8</f>
        <v>0.01</v>
      </c>
      <c r="P8" s="92" t="s">
        <v>15</v>
      </c>
      <c r="Q8" s="117">
        <f>+'CORTE 1 G1'!Q8</f>
        <v>0.01</v>
      </c>
      <c r="R8" s="96">
        <f>+D8+F8+M8+O8+Q8</f>
        <v>1</v>
      </c>
    </row>
    <row r="9" spans="1:22" ht="55" customHeight="1" x14ac:dyDescent="0.35">
      <c r="B9" s="142" t="s">
        <v>59</v>
      </c>
      <c r="C9" s="174" t="str">
        <f>+'CORTE 1 G1'!C9:D9</f>
        <v>Hace empleo adecuado de los recursos didácticos, sacándole el mayor provecho, lo que resulta favorable para su presentación</v>
      </c>
      <c r="D9" s="174"/>
      <c r="E9" s="174" t="str">
        <f>+'CORTE 1 G1'!E9:F9</f>
        <v>Sabe ajustarse al tiempo asignado, tratando adecuadamente los diversos temas</v>
      </c>
      <c r="F9" s="192"/>
      <c r="G9" s="174" t="str">
        <f>+'CORTE 1 G1'!G9:M9</f>
        <v>Excelente dominio del tema, comunica claramente las ideas y frente a las preguntas emite respuestas precisas</v>
      </c>
      <c r="H9" s="174"/>
      <c r="I9" s="174"/>
      <c r="J9" s="174"/>
      <c r="K9" s="174"/>
      <c r="L9" s="174"/>
      <c r="M9" s="174"/>
      <c r="N9" s="174" t="str">
        <f>+'CORTE 1 G1'!N9</f>
        <v>Sabe aclarar todas las dudas sobre el tema, con ideas claras y precisas, incluso va más allá del límite de la respuesta</v>
      </c>
      <c r="O9" s="174"/>
      <c r="P9" s="174" t="str">
        <f>+'CORTE 1 G1'!P9</f>
        <v>Muestra respeto por el tema tratado y por sus compañeros que requieren algun aclaración</v>
      </c>
      <c r="Q9" s="174"/>
      <c r="R9" s="88"/>
    </row>
    <row r="10" spans="1:22" ht="52" customHeight="1" x14ac:dyDescent="0.35">
      <c r="B10" s="143" t="s">
        <v>60</v>
      </c>
      <c r="C10" s="174" t="str">
        <f>+'CORTE 1 G1'!C10:D10</f>
        <v>Presenta y utiliza recursos didácticos, aunque no le saca el mayor provecho a la presentación</v>
      </c>
      <c r="D10" s="174"/>
      <c r="E10" s="174" t="str">
        <f>+'CORTE 1 G1'!E10:F10</f>
        <v>Se ajusta al tiempo asignado, exceptuando el final, donde se toma minutos adicionales.</v>
      </c>
      <c r="F10" s="192"/>
      <c r="G10" s="174" t="str">
        <f>+'CORTE 1 G1'!G10:M10</f>
        <v>Dominio del tema aunque algunas ideas no quedan muy claras y hay error en la respuesta de alguna pregunta</v>
      </c>
      <c r="H10" s="174"/>
      <c r="I10" s="174"/>
      <c r="J10" s="174"/>
      <c r="K10" s="174"/>
      <c r="L10" s="174"/>
      <c r="M10" s="174"/>
      <c r="N10" s="174" t="str">
        <f>+'CORTE 1 G1'!N10</f>
        <v>Sabe aclarar las dudas de los compañeros, sin ir más allá</v>
      </c>
      <c r="O10" s="174"/>
      <c r="P10" s="174" t="str">
        <f>+'CORTE 1 G1'!P10</f>
        <v>Muestra respeto por el tema tratado, pero su forma de responder a sus compañeros no es del todo correcta</v>
      </c>
      <c r="Q10" s="174"/>
      <c r="R10" s="88"/>
    </row>
    <row r="11" spans="1:22" ht="53" customHeight="1" x14ac:dyDescent="0.35">
      <c r="B11" s="144" t="s">
        <v>61</v>
      </c>
      <c r="C11" s="174" t="str">
        <f>+'CORTE 1 G1'!C11:D11</f>
        <v>Pocos recursos y solo son utilizados en algunos momentos de la presentación</v>
      </c>
      <c r="D11" s="174"/>
      <c r="E11" s="174" t="str">
        <f>+'CORTE 1 G1'!E11:F11</f>
        <v>Dedica mucho tiempo a algunos aspectos, lo que hace que descuide el útimo tema a tratar</v>
      </c>
      <c r="F11" s="192"/>
      <c r="G11" s="174" t="str">
        <f>+'CORTE 1 G1'!G11:M11</f>
        <v>Poco dominio, sus respuestas demuestran impresición que obligan a solicitar mayor aclaración</v>
      </c>
      <c r="H11" s="174"/>
      <c r="I11" s="174"/>
      <c r="J11" s="174"/>
      <c r="K11" s="174"/>
      <c r="L11" s="174"/>
      <c r="M11" s="174"/>
      <c r="N11" s="174" t="str">
        <f>+'CORTE 1 G1'!N11</f>
        <v>En algunas preguntas emite respuestas adecuadas y en otras solo son superficiales</v>
      </c>
      <c r="O11" s="174"/>
      <c r="P11" s="174" t="str">
        <f>+'CORTE 1 G1'!P11</f>
        <v>Muestra poco respeto por el tema tratado y sus respuestas a sus compañeros denota sarcasmo y despectividad</v>
      </c>
      <c r="Q11" s="174"/>
      <c r="R11" s="172" t="s">
        <v>54</v>
      </c>
      <c r="S11" s="49"/>
    </row>
    <row r="12" spans="1:22" ht="47" customHeight="1" x14ac:dyDescent="0.35">
      <c r="B12" s="145" t="s">
        <v>62</v>
      </c>
      <c r="C12" s="175" t="str">
        <f>+'CORTE 1 G1'!C12:D12</f>
        <v>Recursos presentados pero no utilizados</v>
      </c>
      <c r="D12" s="175"/>
      <c r="E12" s="175" t="str">
        <f>+'CORTE 1 G1'!E12:F12</f>
        <v>No sabe utilizar el tiempo asignado y tampoco trabaja aecuadamente los temas</v>
      </c>
      <c r="F12" s="178"/>
      <c r="G12" s="175" t="str">
        <f>+'CORTE 1 G1'!G12:M12</f>
        <v>No hay dominio del tema lo que no le permite responder correctamente las preguntas</v>
      </c>
      <c r="H12" s="175"/>
      <c r="I12" s="175"/>
      <c r="J12" s="175"/>
      <c r="K12" s="175"/>
      <c r="L12" s="175"/>
      <c r="M12" s="175"/>
      <c r="N12" s="175" t="str">
        <f>+'CORTE 1 G1'!N12</f>
        <v>No sabe aclarar ninguna duda presentada por los compañeros</v>
      </c>
      <c r="O12" s="175"/>
      <c r="P12" s="175" t="str">
        <f>+'CORTE 1 G1'!P12</f>
        <v>No muestra respeto por el tema ni por sus compañeros, dando respuestas inapropiadas</v>
      </c>
      <c r="Q12" s="175"/>
      <c r="R12" s="172"/>
      <c r="S12" s="49"/>
      <c r="T12" s="46"/>
    </row>
    <row r="13" spans="1:22" ht="13" customHeight="1" x14ac:dyDescent="0.35">
      <c r="A13" s="200" t="s">
        <v>24</v>
      </c>
      <c r="B13" s="200" t="s">
        <v>44</v>
      </c>
      <c r="C13" s="202" t="str">
        <f>+C8</f>
        <v>Recursos Utilizados</v>
      </c>
      <c r="D13" s="202"/>
      <c r="E13" s="176" t="str">
        <f>+E8</f>
        <v>Desarrollo</v>
      </c>
      <c r="F13" s="187"/>
      <c r="G13" s="204" t="str">
        <f>+G8</f>
        <v>Dominio</v>
      </c>
      <c r="H13" s="190"/>
      <c r="I13" s="190"/>
      <c r="J13" s="190"/>
      <c r="K13" s="190"/>
      <c r="L13" s="190"/>
      <c r="M13" s="191"/>
      <c r="N13" s="187" t="str">
        <f>+N8</f>
        <v>Comunicación</v>
      </c>
      <c r="O13" s="187"/>
      <c r="P13" s="176" t="str">
        <f>+P8</f>
        <v>Respeto</v>
      </c>
      <c r="Q13" s="187"/>
      <c r="R13" s="172"/>
      <c r="S13" s="82"/>
      <c r="T13" s="11"/>
    </row>
    <row r="14" spans="1:22" s="71" customFormat="1" ht="20.149999999999999" customHeight="1" x14ac:dyDescent="0.35">
      <c r="A14" s="201"/>
      <c r="B14" s="201"/>
      <c r="C14" s="202"/>
      <c r="D14" s="202"/>
      <c r="E14" s="177"/>
      <c r="F14" s="203"/>
      <c r="G14" s="99"/>
      <c r="H14" s="99"/>
      <c r="I14" s="99"/>
      <c r="J14" s="99"/>
      <c r="K14" s="100"/>
      <c r="L14" s="102">
        <f>SUM(G14:K14)</f>
        <v>0</v>
      </c>
      <c r="M14" s="103" t="s">
        <v>53</v>
      </c>
      <c r="N14" s="188"/>
      <c r="O14" s="188"/>
      <c r="P14" s="177"/>
      <c r="Q14" s="188"/>
      <c r="R14" s="172"/>
      <c r="S14" s="73"/>
    </row>
    <row r="15" spans="1:22" ht="11.15" customHeight="1" x14ac:dyDescent="0.35">
      <c r="A15" s="157">
        <f>+'CORTE 1 G1'!A15</f>
        <v>0</v>
      </c>
      <c r="B15" s="141">
        <f>+'CORTE 1 G1'!B15:B15</f>
        <v>0</v>
      </c>
      <c r="C15" s="119"/>
      <c r="D15" s="105">
        <f>C15*D$8</f>
        <v>0</v>
      </c>
      <c r="E15" s="118"/>
      <c r="F15" s="98">
        <f>E15*F$8</f>
        <v>0</v>
      </c>
      <c r="G15" s="97"/>
      <c r="H15" s="119"/>
      <c r="I15" s="101"/>
      <c r="J15" s="101"/>
      <c r="K15" s="101"/>
      <c r="L15" s="104">
        <f>+(G15*$G$14)+(H15*$H$14)+($I$14*I15)+($J$14*J15)+($K$14*K15)</f>
        <v>0</v>
      </c>
      <c r="M15" s="105">
        <f>+L15*$M$8</f>
        <v>0</v>
      </c>
      <c r="N15" s="97"/>
      <c r="O15" s="98">
        <f>N15*$O$8</f>
        <v>0</v>
      </c>
      <c r="P15" s="118"/>
      <c r="Q15" s="98">
        <f>P15*$Q$8</f>
        <v>0</v>
      </c>
      <c r="R15" s="106">
        <f>SUM(D15,F15,M15,O15,Q15)</f>
        <v>0</v>
      </c>
      <c r="S15" s="88"/>
      <c r="T15" s="107" t="str">
        <f>IF(R15=" "," ",IF(R15&lt;1.95,"INSUFICIENTE",IF(R15&lt;2.95,"DEFICIENTE",IF(R15&lt;3.95,"BUENO","EXCELENTE"))))</f>
        <v>INSUFICIENTE</v>
      </c>
    </row>
    <row r="16" spans="1:22" ht="11.15" customHeight="1" x14ac:dyDescent="0.35">
      <c r="A16" s="157">
        <f>+'CORTE 1 G1'!A16</f>
        <v>0</v>
      </c>
      <c r="B16" s="141">
        <f>+'CORTE 1 G1'!B16:B16</f>
        <v>0</v>
      </c>
      <c r="C16" s="97"/>
      <c r="D16" s="98">
        <f t="shared" ref="D16:D65" si="0">C16*D$8</f>
        <v>0</v>
      </c>
      <c r="E16" s="118"/>
      <c r="F16" s="98">
        <f t="shared" ref="F16:F65" si="1">E16*F$8</f>
        <v>0</v>
      </c>
      <c r="G16" s="118"/>
      <c r="H16" s="97"/>
      <c r="I16" s="97"/>
      <c r="J16" s="97"/>
      <c r="K16" s="101"/>
      <c r="L16" s="104">
        <f t="shared" ref="L16:L65" si="2">+(G16*$G$14)+(H16*$H$14)+($I$14*I16)+($J$14*J16)+($K$14*K16)</f>
        <v>0</v>
      </c>
      <c r="M16" s="98">
        <f t="shared" ref="M16:M65" si="3">+L16*$M$8</f>
        <v>0</v>
      </c>
      <c r="N16" s="118"/>
      <c r="O16" s="98">
        <f t="shared" ref="O16:O65" si="4">N16*$O$8</f>
        <v>0</v>
      </c>
      <c r="P16" s="118"/>
      <c r="Q16" s="98">
        <f t="shared" ref="Q16:Q65" si="5">P16*$Q$8</f>
        <v>0</v>
      </c>
      <c r="R16" s="106">
        <f t="shared" ref="R16:R65" si="6">SUM(D16,F16,M16,O16,Q16)</f>
        <v>0</v>
      </c>
      <c r="S16" s="88"/>
      <c r="T16" s="107" t="str">
        <f t="shared" ref="T16:T65" si="7">IF(R16=" "," ",IF(R16&lt;1.95,"INSUFICIENTE",IF(R16&lt;2.95,"DEFICIENTE",IF(R16&lt;3.95,"BUENO","EXCELENTE"))))</f>
        <v>INSUFICIENTE</v>
      </c>
      <c r="V16" s="12"/>
    </row>
    <row r="17" spans="1:22" ht="11.15" customHeight="1" x14ac:dyDescent="0.35">
      <c r="A17" s="157">
        <f>+'CORTE 1 G1'!A17</f>
        <v>0</v>
      </c>
      <c r="B17" s="141">
        <f>+'CORTE 1 G1'!B17:B17</f>
        <v>0</v>
      </c>
      <c r="C17" s="97"/>
      <c r="D17" s="98">
        <f t="shared" si="0"/>
        <v>0</v>
      </c>
      <c r="E17" s="118"/>
      <c r="F17" s="98">
        <f t="shared" si="1"/>
        <v>0</v>
      </c>
      <c r="G17" s="118"/>
      <c r="H17" s="97"/>
      <c r="I17" s="97"/>
      <c r="J17" s="97"/>
      <c r="K17" s="101"/>
      <c r="L17" s="104">
        <f t="shared" si="2"/>
        <v>0</v>
      </c>
      <c r="M17" s="98">
        <f t="shared" si="3"/>
        <v>0</v>
      </c>
      <c r="N17" s="118"/>
      <c r="O17" s="98">
        <f t="shared" si="4"/>
        <v>0</v>
      </c>
      <c r="P17" s="118"/>
      <c r="Q17" s="98">
        <f t="shared" si="5"/>
        <v>0</v>
      </c>
      <c r="R17" s="106">
        <f t="shared" si="6"/>
        <v>0</v>
      </c>
      <c r="S17" s="88"/>
      <c r="T17" s="107" t="str">
        <f t="shared" si="7"/>
        <v>INSUFICIENTE</v>
      </c>
      <c r="V17" s="12"/>
    </row>
    <row r="18" spans="1:22" ht="11.15" customHeight="1" x14ac:dyDescent="0.35">
      <c r="A18" s="157">
        <f>+'CORTE 1 G1'!A18</f>
        <v>0</v>
      </c>
      <c r="B18" s="141">
        <f>+'CORTE 1 G1'!B18:B18</f>
        <v>0</v>
      </c>
      <c r="C18" s="97"/>
      <c r="D18" s="98">
        <f t="shared" si="0"/>
        <v>0</v>
      </c>
      <c r="E18" s="118"/>
      <c r="F18" s="98">
        <f t="shared" si="1"/>
        <v>0</v>
      </c>
      <c r="G18" s="118"/>
      <c r="H18" s="97"/>
      <c r="I18" s="97"/>
      <c r="J18" s="97"/>
      <c r="K18" s="101"/>
      <c r="L18" s="104">
        <f t="shared" si="2"/>
        <v>0</v>
      </c>
      <c r="M18" s="98">
        <f t="shared" si="3"/>
        <v>0</v>
      </c>
      <c r="N18" s="118"/>
      <c r="O18" s="98">
        <f t="shared" si="4"/>
        <v>0</v>
      </c>
      <c r="P18" s="118"/>
      <c r="Q18" s="98">
        <f t="shared" si="5"/>
        <v>0</v>
      </c>
      <c r="R18" s="106">
        <f t="shared" si="6"/>
        <v>0</v>
      </c>
      <c r="S18" s="88"/>
      <c r="T18" s="107" t="str">
        <f t="shared" si="7"/>
        <v>INSUFICIENTE</v>
      </c>
      <c r="V18" s="12"/>
    </row>
    <row r="19" spans="1:22" ht="11.15" customHeight="1" x14ac:dyDescent="0.35">
      <c r="A19" s="157">
        <f>+'CORTE 1 G1'!A19</f>
        <v>0</v>
      </c>
      <c r="B19" s="141">
        <f>+'CORTE 1 G1'!B19:B19</f>
        <v>0</v>
      </c>
      <c r="C19" s="97"/>
      <c r="D19" s="98">
        <f t="shared" si="0"/>
        <v>0</v>
      </c>
      <c r="E19" s="118"/>
      <c r="F19" s="98">
        <f t="shared" si="1"/>
        <v>0</v>
      </c>
      <c r="G19" s="118"/>
      <c r="H19" s="97"/>
      <c r="I19" s="97"/>
      <c r="J19" s="97"/>
      <c r="K19" s="101"/>
      <c r="L19" s="104">
        <f t="shared" si="2"/>
        <v>0</v>
      </c>
      <c r="M19" s="98">
        <f t="shared" si="3"/>
        <v>0</v>
      </c>
      <c r="N19" s="118"/>
      <c r="O19" s="98">
        <f t="shared" si="4"/>
        <v>0</v>
      </c>
      <c r="P19" s="118"/>
      <c r="Q19" s="98">
        <f t="shared" si="5"/>
        <v>0</v>
      </c>
      <c r="R19" s="106">
        <f t="shared" si="6"/>
        <v>0</v>
      </c>
      <c r="S19" s="88"/>
      <c r="T19" s="107" t="str">
        <f t="shared" si="7"/>
        <v>INSUFICIENTE</v>
      </c>
      <c r="V19" s="12"/>
    </row>
    <row r="20" spans="1:22" ht="11.15" customHeight="1" x14ac:dyDescent="0.35">
      <c r="A20" s="157">
        <f>+'CORTE 1 G1'!A20</f>
        <v>0</v>
      </c>
      <c r="B20" s="141">
        <f>+'CORTE 1 G1'!B20:B20</f>
        <v>0</v>
      </c>
      <c r="C20" s="97"/>
      <c r="D20" s="98">
        <f t="shared" si="0"/>
        <v>0</v>
      </c>
      <c r="E20" s="118"/>
      <c r="F20" s="98">
        <f t="shared" si="1"/>
        <v>0</v>
      </c>
      <c r="G20" s="97"/>
      <c r="H20" s="97"/>
      <c r="I20" s="97"/>
      <c r="J20" s="97"/>
      <c r="K20" s="101"/>
      <c r="L20" s="104">
        <f t="shared" si="2"/>
        <v>0</v>
      </c>
      <c r="M20" s="98">
        <f t="shared" si="3"/>
        <v>0</v>
      </c>
      <c r="N20" s="97"/>
      <c r="O20" s="98">
        <f t="shared" si="4"/>
        <v>0</v>
      </c>
      <c r="P20" s="118"/>
      <c r="Q20" s="98">
        <f t="shared" si="5"/>
        <v>0</v>
      </c>
      <c r="R20" s="106">
        <f t="shared" si="6"/>
        <v>0</v>
      </c>
      <c r="S20" s="88"/>
      <c r="T20" s="107" t="str">
        <f t="shared" si="7"/>
        <v>INSUFICIENTE</v>
      </c>
    </row>
    <row r="21" spans="1:22" ht="11.15" customHeight="1" x14ac:dyDescent="0.35">
      <c r="A21" s="157">
        <f>+'CORTE 1 G1'!A21</f>
        <v>0</v>
      </c>
      <c r="B21" s="141">
        <f>+'CORTE 1 G1'!B21:B21</f>
        <v>0</v>
      </c>
      <c r="C21" s="97"/>
      <c r="D21" s="98">
        <f t="shared" si="0"/>
        <v>0</v>
      </c>
      <c r="E21" s="118"/>
      <c r="F21" s="98">
        <f t="shared" si="1"/>
        <v>0</v>
      </c>
      <c r="G21" s="97"/>
      <c r="H21" s="97"/>
      <c r="I21" s="97"/>
      <c r="J21" s="97"/>
      <c r="K21" s="101"/>
      <c r="L21" s="104">
        <f t="shared" si="2"/>
        <v>0</v>
      </c>
      <c r="M21" s="98">
        <f t="shared" si="3"/>
        <v>0</v>
      </c>
      <c r="N21" s="97"/>
      <c r="O21" s="98">
        <f t="shared" si="4"/>
        <v>0</v>
      </c>
      <c r="P21" s="118"/>
      <c r="Q21" s="98">
        <f t="shared" si="5"/>
        <v>0</v>
      </c>
      <c r="R21" s="106">
        <f t="shared" si="6"/>
        <v>0</v>
      </c>
      <c r="S21" s="88"/>
      <c r="T21" s="107" t="str">
        <f t="shared" si="7"/>
        <v>INSUFICIENTE</v>
      </c>
    </row>
    <row r="22" spans="1:22" ht="11.15" customHeight="1" x14ac:dyDescent="0.35">
      <c r="A22" s="157">
        <f>+'CORTE 1 G1'!A22</f>
        <v>0</v>
      </c>
      <c r="B22" s="141">
        <f>+'CORTE 1 G1'!B22:B22</f>
        <v>0</v>
      </c>
      <c r="C22" s="97"/>
      <c r="D22" s="98">
        <f t="shared" si="0"/>
        <v>0</v>
      </c>
      <c r="E22" s="118"/>
      <c r="F22" s="98">
        <f t="shared" si="1"/>
        <v>0</v>
      </c>
      <c r="G22" s="97"/>
      <c r="H22" s="97"/>
      <c r="I22" s="97"/>
      <c r="J22" s="97"/>
      <c r="K22" s="101"/>
      <c r="L22" s="104">
        <f t="shared" si="2"/>
        <v>0</v>
      </c>
      <c r="M22" s="98">
        <f t="shared" si="3"/>
        <v>0</v>
      </c>
      <c r="N22" s="97"/>
      <c r="O22" s="98">
        <f t="shared" si="4"/>
        <v>0</v>
      </c>
      <c r="P22" s="118"/>
      <c r="Q22" s="98">
        <f t="shared" si="5"/>
        <v>0</v>
      </c>
      <c r="R22" s="106">
        <f t="shared" si="6"/>
        <v>0</v>
      </c>
      <c r="S22" s="88"/>
      <c r="T22" s="107" t="str">
        <f t="shared" si="7"/>
        <v>INSUFICIENTE</v>
      </c>
    </row>
    <row r="23" spans="1:22" ht="11.15" customHeight="1" x14ac:dyDescent="0.35">
      <c r="A23" s="157">
        <f>+'CORTE 1 G1'!A23</f>
        <v>0</v>
      </c>
      <c r="B23" s="141">
        <f>+'CORTE 1 G1'!B23:B23</f>
        <v>0</v>
      </c>
      <c r="C23" s="97"/>
      <c r="D23" s="98">
        <f t="shared" si="0"/>
        <v>0</v>
      </c>
      <c r="E23" s="118"/>
      <c r="F23" s="98">
        <f t="shared" si="1"/>
        <v>0</v>
      </c>
      <c r="G23" s="97"/>
      <c r="H23" s="97"/>
      <c r="I23" s="97"/>
      <c r="J23" s="97"/>
      <c r="K23" s="101"/>
      <c r="L23" s="104">
        <f t="shared" si="2"/>
        <v>0</v>
      </c>
      <c r="M23" s="98">
        <f t="shared" si="3"/>
        <v>0</v>
      </c>
      <c r="N23" s="97"/>
      <c r="O23" s="98">
        <f t="shared" si="4"/>
        <v>0</v>
      </c>
      <c r="P23" s="118"/>
      <c r="Q23" s="98">
        <f t="shared" si="5"/>
        <v>0</v>
      </c>
      <c r="R23" s="106">
        <f t="shared" si="6"/>
        <v>0</v>
      </c>
      <c r="S23" s="88"/>
      <c r="T23" s="107" t="str">
        <f t="shared" si="7"/>
        <v>INSUFICIENTE</v>
      </c>
    </row>
    <row r="24" spans="1:22" ht="11.15" customHeight="1" x14ac:dyDescent="0.35">
      <c r="A24" s="157">
        <f>+'CORTE 1 G1'!A24</f>
        <v>0</v>
      </c>
      <c r="B24" s="141">
        <f>+'CORTE 1 G1'!B24:B24</f>
        <v>0</v>
      </c>
      <c r="C24" s="97"/>
      <c r="D24" s="98">
        <f t="shared" si="0"/>
        <v>0</v>
      </c>
      <c r="E24" s="118"/>
      <c r="F24" s="98">
        <f t="shared" si="1"/>
        <v>0</v>
      </c>
      <c r="G24" s="97"/>
      <c r="H24" s="97"/>
      <c r="I24" s="97"/>
      <c r="J24" s="97"/>
      <c r="K24" s="101"/>
      <c r="L24" s="104">
        <f t="shared" si="2"/>
        <v>0</v>
      </c>
      <c r="M24" s="98">
        <f t="shared" si="3"/>
        <v>0</v>
      </c>
      <c r="N24" s="97"/>
      <c r="O24" s="98">
        <f t="shared" si="4"/>
        <v>0</v>
      </c>
      <c r="P24" s="118"/>
      <c r="Q24" s="98">
        <f t="shared" si="5"/>
        <v>0</v>
      </c>
      <c r="R24" s="106">
        <f t="shared" si="6"/>
        <v>0</v>
      </c>
      <c r="S24" s="88"/>
      <c r="T24" s="107" t="str">
        <f t="shared" si="7"/>
        <v>INSUFICIENTE</v>
      </c>
    </row>
    <row r="25" spans="1:22" ht="11.15" customHeight="1" x14ac:dyDescent="0.35">
      <c r="A25" s="157">
        <f>+'CORTE 1 G1'!A25</f>
        <v>0</v>
      </c>
      <c r="B25" s="141">
        <f>+'CORTE 1 G1'!B25:B25</f>
        <v>0</v>
      </c>
      <c r="C25" s="97"/>
      <c r="D25" s="98">
        <f t="shared" si="0"/>
        <v>0</v>
      </c>
      <c r="E25" s="97"/>
      <c r="F25" s="98">
        <f t="shared" si="1"/>
        <v>0</v>
      </c>
      <c r="G25" s="101"/>
      <c r="H25" s="101"/>
      <c r="I25" s="101"/>
      <c r="J25" s="101"/>
      <c r="K25" s="101"/>
      <c r="L25" s="104">
        <f t="shared" si="2"/>
        <v>0</v>
      </c>
      <c r="M25" s="98">
        <f t="shared" si="3"/>
        <v>0</v>
      </c>
      <c r="N25" s="97"/>
      <c r="O25" s="98">
        <f t="shared" si="4"/>
        <v>0</v>
      </c>
      <c r="P25" s="97"/>
      <c r="Q25" s="98">
        <f t="shared" si="5"/>
        <v>0</v>
      </c>
      <c r="R25" s="106">
        <f t="shared" si="6"/>
        <v>0</v>
      </c>
      <c r="S25" s="88"/>
      <c r="T25" s="107" t="str">
        <f t="shared" si="7"/>
        <v>INSUFICIENTE</v>
      </c>
    </row>
    <row r="26" spans="1:22" ht="11.15" customHeight="1" x14ac:dyDescent="0.35">
      <c r="A26" s="157">
        <f>+'CORTE 1 G1'!A26</f>
        <v>0</v>
      </c>
      <c r="B26" s="141">
        <f>+'CORTE 1 G1'!B26:B26</f>
        <v>0</v>
      </c>
      <c r="C26" s="119"/>
      <c r="D26" s="98">
        <f t="shared" si="0"/>
        <v>0</v>
      </c>
      <c r="E26" s="97"/>
      <c r="F26" s="98">
        <f t="shared" si="1"/>
        <v>0</v>
      </c>
      <c r="G26" s="101"/>
      <c r="H26" s="101"/>
      <c r="I26" s="101"/>
      <c r="J26" s="101"/>
      <c r="K26" s="101"/>
      <c r="L26" s="104">
        <f t="shared" si="2"/>
        <v>0</v>
      </c>
      <c r="M26" s="98">
        <f t="shared" si="3"/>
        <v>0</v>
      </c>
      <c r="N26" s="97"/>
      <c r="O26" s="98">
        <f t="shared" si="4"/>
        <v>0</v>
      </c>
      <c r="P26" s="97"/>
      <c r="Q26" s="98">
        <f t="shared" si="5"/>
        <v>0</v>
      </c>
      <c r="R26" s="106">
        <f t="shared" si="6"/>
        <v>0</v>
      </c>
      <c r="S26" s="88"/>
      <c r="T26" s="107" t="str">
        <f t="shared" si="7"/>
        <v>INSUFICIENTE</v>
      </c>
    </row>
    <row r="27" spans="1:22" ht="11.15" customHeight="1" x14ac:dyDescent="0.35">
      <c r="A27" s="157">
        <f>+'CORTE 1 G1'!A27</f>
        <v>0</v>
      </c>
      <c r="B27" s="141">
        <f>+'CORTE 1 G1'!B27:B27</f>
        <v>0</v>
      </c>
      <c r="C27" s="119"/>
      <c r="D27" s="98">
        <f t="shared" si="0"/>
        <v>0</v>
      </c>
      <c r="E27" s="97"/>
      <c r="F27" s="98">
        <f t="shared" si="1"/>
        <v>0</v>
      </c>
      <c r="G27" s="101"/>
      <c r="H27" s="101"/>
      <c r="I27" s="101"/>
      <c r="J27" s="101"/>
      <c r="K27" s="101"/>
      <c r="L27" s="104">
        <f t="shared" si="2"/>
        <v>0</v>
      </c>
      <c r="M27" s="98">
        <f t="shared" si="3"/>
        <v>0</v>
      </c>
      <c r="N27" s="97"/>
      <c r="O27" s="98">
        <f t="shared" si="4"/>
        <v>0</v>
      </c>
      <c r="P27" s="97"/>
      <c r="Q27" s="98">
        <f t="shared" si="5"/>
        <v>0</v>
      </c>
      <c r="R27" s="106">
        <f t="shared" si="6"/>
        <v>0</v>
      </c>
      <c r="S27" s="88"/>
      <c r="T27" s="107" t="str">
        <f t="shared" si="7"/>
        <v>INSUFICIENTE</v>
      </c>
    </row>
    <row r="28" spans="1:22" ht="11.15" customHeight="1" x14ac:dyDescent="0.35">
      <c r="A28" s="157">
        <f>+'CORTE 1 G1'!A28</f>
        <v>0</v>
      </c>
      <c r="B28" s="141">
        <f>+'CORTE 1 G1'!B28:B28</f>
        <v>0</v>
      </c>
      <c r="C28" s="119"/>
      <c r="D28" s="98">
        <f t="shared" si="0"/>
        <v>0</v>
      </c>
      <c r="E28" s="97"/>
      <c r="F28" s="98">
        <f t="shared" si="1"/>
        <v>0</v>
      </c>
      <c r="G28" s="101"/>
      <c r="H28" s="101"/>
      <c r="I28" s="101"/>
      <c r="J28" s="101"/>
      <c r="K28" s="101"/>
      <c r="L28" s="104">
        <f t="shared" si="2"/>
        <v>0</v>
      </c>
      <c r="M28" s="98">
        <f t="shared" si="3"/>
        <v>0</v>
      </c>
      <c r="N28" s="97"/>
      <c r="O28" s="98">
        <f t="shared" si="4"/>
        <v>0</v>
      </c>
      <c r="P28" s="97"/>
      <c r="Q28" s="98">
        <f t="shared" si="5"/>
        <v>0</v>
      </c>
      <c r="R28" s="106">
        <f t="shared" si="6"/>
        <v>0</v>
      </c>
      <c r="S28" s="88"/>
      <c r="T28" s="107" t="str">
        <f t="shared" si="7"/>
        <v>INSUFICIENTE</v>
      </c>
    </row>
    <row r="29" spans="1:22" ht="11.15" customHeight="1" x14ac:dyDescent="0.35">
      <c r="A29" s="157">
        <f>+'CORTE 1 G1'!A29</f>
        <v>0</v>
      </c>
      <c r="B29" s="141">
        <f>+'CORTE 1 G1'!B29:B29</f>
        <v>0</v>
      </c>
      <c r="C29" s="119"/>
      <c r="D29" s="98">
        <f t="shared" si="0"/>
        <v>0</v>
      </c>
      <c r="E29" s="97"/>
      <c r="F29" s="98">
        <f t="shared" si="1"/>
        <v>0</v>
      </c>
      <c r="G29" s="101"/>
      <c r="H29" s="101"/>
      <c r="I29" s="101"/>
      <c r="J29" s="101"/>
      <c r="K29" s="101"/>
      <c r="L29" s="104">
        <f t="shared" si="2"/>
        <v>0</v>
      </c>
      <c r="M29" s="98">
        <f t="shared" si="3"/>
        <v>0</v>
      </c>
      <c r="N29" s="97"/>
      <c r="O29" s="98">
        <f t="shared" si="4"/>
        <v>0</v>
      </c>
      <c r="P29" s="97"/>
      <c r="Q29" s="98">
        <f t="shared" si="5"/>
        <v>0</v>
      </c>
      <c r="R29" s="106">
        <f t="shared" si="6"/>
        <v>0</v>
      </c>
      <c r="S29" s="88"/>
      <c r="T29" s="107" t="str">
        <f t="shared" si="7"/>
        <v>INSUFICIENTE</v>
      </c>
    </row>
    <row r="30" spans="1:22" ht="11.15" customHeight="1" x14ac:dyDescent="0.35">
      <c r="A30" s="157">
        <f>+'CORTE 1 G1'!A30</f>
        <v>0</v>
      </c>
      <c r="B30" s="141">
        <f>+'CORTE 1 G1'!B30:B30</f>
        <v>0</v>
      </c>
      <c r="C30" s="119"/>
      <c r="D30" s="98">
        <f t="shared" si="0"/>
        <v>0</v>
      </c>
      <c r="E30" s="97"/>
      <c r="F30" s="98">
        <f t="shared" si="1"/>
        <v>0</v>
      </c>
      <c r="G30" s="101"/>
      <c r="H30" s="101"/>
      <c r="I30" s="101"/>
      <c r="J30" s="101"/>
      <c r="K30" s="101"/>
      <c r="L30" s="104">
        <f t="shared" si="2"/>
        <v>0</v>
      </c>
      <c r="M30" s="98">
        <f t="shared" si="3"/>
        <v>0</v>
      </c>
      <c r="N30" s="97"/>
      <c r="O30" s="98">
        <f t="shared" si="4"/>
        <v>0</v>
      </c>
      <c r="P30" s="97"/>
      <c r="Q30" s="98">
        <f t="shared" si="5"/>
        <v>0</v>
      </c>
      <c r="R30" s="106">
        <f t="shared" si="6"/>
        <v>0</v>
      </c>
      <c r="S30" s="88"/>
      <c r="T30" s="107" t="str">
        <f t="shared" si="7"/>
        <v>INSUFICIENTE</v>
      </c>
    </row>
    <row r="31" spans="1:22" ht="11.15" customHeight="1" x14ac:dyDescent="0.35">
      <c r="A31" s="157">
        <f>+'CORTE 1 G1'!A31</f>
        <v>0</v>
      </c>
      <c r="B31" s="141">
        <f>+'CORTE 1 G1'!B31:B31</f>
        <v>0</v>
      </c>
      <c r="C31" s="119"/>
      <c r="D31" s="98">
        <f t="shared" si="0"/>
        <v>0</v>
      </c>
      <c r="E31" s="97"/>
      <c r="F31" s="98">
        <f t="shared" si="1"/>
        <v>0</v>
      </c>
      <c r="G31" s="101"/>
      <c r="H31" s="101"/>
      <c r="I31" s="101"/>
      <c r="J31" s="101"/>
      <c r="K31" s="101"/>
      <c r="L31" s="104">
        <f t="shared" si="2"/>
        <v>0</v>
      </c>
      <c r="M31" s="98">
        <f t="shared" si="3"/>
        <v>0</v>
      </c>
      <c r="N31" s="97"/>
      <c r="O31" s="98">
        <f t="shared" si="4"/>
        <v>0</v>
      </c>
      <c r="P31" s="97"/>
      <c r="Q31" s="98">
        <f t="shared" si="5"/>
        <v>0</v>
      </c>
      <c r="R31" s="106">
        <f t="shared" si="6"/>
        <v>0</v>
      </c>
      <c r="S31" s="88"/>
      <c r="T31" s="107" t="str">
        <f t="shared" si="7"/>
        <v>INSUFICIENTE</v>
      </c>
    </row>
    <row r="32" spans="1:22" ht="11.15" customHeight="1" x14ac:dyDescent="0.35">
      <c r="A32" s="157">
        <f>+'CORTE 1 G1'!A32</f>
        <v>0</v>
      </c>
      <c r="B32" s="141">
        <f>+'CORTE 1 G1'!B32:B32</f>
        <v>0</v>
      </c>
      <c r="C32" s="119"/>
      <c r="D32" s="98">
        <f t="shared" si="0"/>
        <v>0</v>
      </c>
      <c r="E32" s="97"/>
      <c r="F32" s="98">
        <f t="shared" si="1"/>
        <v>0</v>
      </c>
      <c r="G32" s="101"/>
      <c r="H32" s="101"/>
      <c r="I32" s="101"/>
      <c r="J32" s="101"/>
      <c r="K32" s="101"/>
      <c r="L32" s="104">
        <f t="shared" si="2"/>
        <v>0</v>
      </c>
      <c r="M32" s="98">
        <f t="shared" si="3"/>
        <v>0</v>
      </c>
      <c r="N32" s="97"/>
      <c r="O32" s="98">
        <f t="shared" si="4"/>
        <v>0</v>
      </c>
      <c r="P32" s="97"/>
      <c r="Q32" s="98">
        <f t="shared" si="5"/>
        <v>0</v>
      </c>
      <c r="R32" s="106">
        <f t="shared" si="6"/>
        <v>0</v>
      </c>
      <c r="S32" s="88"/>
      <c r="T32" s="107" t="str">
        <f t="shared" si="7"/>
        <v>INSUFICIENTE</v>
      </c>
    </row>
    <row r="33" spans="1:20" ht="11.15" customHeight="1" x14ac:dyDescent="0.35">
      <c r="A33" s="157">
        <f>+'CORTE 1 G1'!A33</f>
        <v>0</v>
      </c>
      <c r="B33" s="141">
        <f>+'CORTE 1 G1'!B33:B33</f>
        <v>0</v>
      </c>
      <c r="C33" s="119"/>
      <c r="D33" s="98">
        <f t="shared" si="0"/>
        <v>0</v>
      </c>
      <c r="E33" s="97"/>
      <c r="F33" s="98">
        <f t="shared" si="1"/>
        <v>0</v>
      </c>
      <c r="G33" s="101"/>
      <c r="H33" s="101"/>
      <c r="I33" s="101"/>
      <c r="J33" s="101"/>
      <c r="K33" s="101"/>
      <c r="L33" s="104">
        <f t="shared" si="2"/>
        <v>0</v>
      </c>
      <c r="M33" s="98">
        <f t="shared" si="3"/>
        <v>0</v>
      </c>
      <c r="N33" s="97"/>
      <c r="O33" s="98">
        <f t="shared" si="4"/>
        <v>0</v>
      </c>
      <c r="P33" s="97"/>
      <c r="Q33" s="98">
        <f t="shared" si="5"/>
        <v>0</v>
      </c>
      <c r="R33" s="106">
        <f t="shared" si="6"/>
        <v>0</v>
      </c>
      <c r="S33" s="88"/>
      <c r="T33" s="107" t="str">
        <f t="shared" si="7"/>
        <v>INSUFICIENTE</v>
      </c>
    </row>
    <row r="34" spans="1:20" ht="11.15" customHeight="1" x14ac:dyDescent="0.35">
      <c r="A34" s="157">
        <f>+'CORTE 1 G1'!A34</f>
        <v>0</v>
      </c>
      <c r="B34" s="141">
        <f>+'CORTE 1 G1'!B34:B34</f>
        <v>0</v>
      </c>
      <c r="C34" s="119"/>
      <c r="D34" s="98">
        <f t="shared" si="0"/>
        <v>0</v>
      </c>
      <c r="E34" s="97"/>
      <c r="F34" s="98">
        <f t="shared" si="1"/>
        <v>0</v>
      </c>
      <c r="G34" s="101"/>
      <c r="H34" s="101"/>
      <c r="I34" s="101"/>
      <c r="J34" s="101"/>
      <c r="K34" s="101"/>
      <c r="L34" s="104">
        <f t="shared" si="2"/>
        <v>0</v>
      </c>
      <c r="M34" s="98">
        <f t="shared" si="3"/>
        <v>0</v>
      </c>
      <c r="N34" s="97"/>
      <c r="O34" s="98">
        <f t="shared" si="4"/>
        <v>0</v>
      </c>
      <c r="P34" s="97"/>
      <c r="Q34" s="98">
        <f t="shared" si="5"/>
        <v>0</v>
      </c>
      <c r="R34" s="106">
        <f t="shared" si="6"/>
        <v>0</v>
      </c>
      <c r="S34" s="88"/>
      <c r="T34" s="107" t="str">
        <f t="shared" si="7"/>
        <v>INSUFICIENTE</v>
      </c>
    </row>
    <row r="35" spans="1:20" ht="11.15" customHeight="1" x14ac:dyDescent="0.35">
      <c r="A35" s="157">
        <f>+'CORTE 1 G1'!A35</f>
        <v>0</v>
      </c>
      <c r="B35" s="141">
        <f>+'CORTE 1 G1'!B35:B35</f>
        <v>0</v>
      </c>
      <c r="C35" s="119"/>
      <c r="D35" s="98">
        <f t="shared" si="0"/>
        <v>0</v>
      </c>
      <c r="E35" s="97"/>
      <c r="F35" s="98">
        <f t="shared" si="1"/>
        <v>0</v>
      </c>
      <c r="G35" s="101"/>
      <c r="H35" s="101"/>
      <c r="I35" s="101"/>
      <c r="J35" s="101"/>
      <c r="K35" s="101"/>
      <c r="L35" s="104">
        <f t="shared" si="2"/>
        <v>0</v>
      </c>
      <c r="M35" s="98">
        <f t="shared" si="3"/>
        <v>0</v>
      </c>
      <c r="N35" s="97"/>
      <c r="O35" s="98">
        <f t="shared" si="4"/>
        <v>0</v>
      </c>
      <c r="P35" s="97"/>
      <c r="Q35" s="98">
        <f t="shared" si="5"/>
        <v>0</v>
      </c>
      <c r="R35" s="106">
        <f t="shared" si="6"/>
        <v>0</v>
      </c>
      <c r="S35" s="88"/>
      <c r="T35" s="107" t="str">
        <f t="shared" si="7"/>
        <v>INSUFICIENTE</v>
      </c>
    </row>
    <row r="36" spans="1:20" ht="11.15" customHeight="1" x14ac:dyDescent="0.35">
      <c r="A36" s="157">
        <f>+'CORTE 1 G1'!A36</f>
        <v>0</v>
      </c>
      <c r="B36" s="141">
        <f>+'CORTE 1 G1'!B36:B36</f>
        <v>0</v>
      </c>
      <c r="C36" s="119"/>
      <c r="D36" s="98">
        <f t="shared" si="0"/>
        <v>0</v>
      </c>
      <c r="E36" s="97"/>
      <c r="F36" s="98">
        <f t="shared" si="1"/>
        <v>0</v>
      </c>
      <c r="G36" s="101"/>
      <c r="H36" s="101"/>
      <c r="I36" s="101"/>
      <c r="J36" s="101"/>
      <c r="K36" s="101"/>
      <c r="L36" s="104">
        <f t="shared" si="2"/>
        <v>0</v>
      </c>
      <c r="M36" s="98">
        <f t="shared" si="3"/>
        <v>0</v>
      </c>
      <c r="N36" s="97"/>
      <c r="O36" s="98">
        <f t="shared" si="4"/>
        <v>0</v>
      </c>
      <c r="P36" s="97"/>
      <c r="Q36" s="98">
        <f t="shared" si="5"/>
        <v>0</v>
      </c>
      <c r="R36" s="106">
        <f t="shared" si="6"/>
        <v>0</v>
      </c>
      <c r="S36" s="88"/>
      <c r="T36" s="107" t="str">
        <f t="shared" si="7"/>
        <v>INSUFICIENTE</v>
      </c>
    </row>
    <row r="37" spans="1:20" ht="11.15" customHeight="1" x14ac:dyDescent="0.35">
      <c r="A37" s="157">
        <f>+'CORTE 1 G1'!A37</f>
        <v>0</v>
      </c>
      <c r="B37" s="141">
        <f>+'CORTE 1 G1'!B37:B37</f>
        <v>0</v>
      </c>
      <c r="C37" s="119"/>
      <c r="D37" s="98">
        <f t="shared" si="0"/>
        <v>0</v>
      </c>
      <c r="E37" s="97"/>
      <c r="F37" s="98">
        <f t="shared" si="1"/>
        <v>0</v>
      </c>
      <c r="G37" s="101"/>
      <c r="H37" s="101"/>
      <c r="I37" s="101"/>
      <c r="J37" s="101"/>
      <c r="K37" s="101"/>
      <c r="L37" s="104">
        <f t="shared" si="2"/>
        <v>0</v>
      </c>
      <c r="M37" s="98">
        <f t="shared" si="3"/>
        <v>0</v>
      </c>
      <c r="N37" s="97"/>
      <c r="O37" s="98">
        <f t="shared" si="4"/>
        <v>0</v>
      </c>
      <c r="P37" s="97"/>
      <c r="Q37" s="98">
        <f t="shared" si="5"/>
        <v>0</v>
      </c>
      <c r="R37" s="106">
        <f t="shared" si="6"/>
        <v>0</v>
      </c>
      <c r="S37" s="88"/>
      <c r="T37" s="107" t="str">
        <f t="shared" si="7"/>
        <v>INSUFICIENTE</v>
      </c>
    </row>
    <row r="38" spans="1:20" ht="11.15" customHeight="1" x14ac:dyDescent="0.35">
      <c r="A38" s="157">
        <f>+'CORTE 1 G1'!A38</f>
        <v>0</v>
      </c>
      <c r="B38" s="141">
        <f>+'CORTE 1 G1'!B38:B38</f>
        <v>0</v>
      </c>
      <c r="C38" s="119"/>
      <c r="D38" s="98">
        <f t="shared" si="0"/>
        <v>0</v>
      </c>
      <c r="E38" s="97"/>
      <c r="F38" s="98">
        <f t="shared" si="1"/>
        <v>0</v>
      </c>
      <c r="G38" s="101"/>
      <c r="H38" s="101"/>
      <c r="I38" s="101"/>
      <c r="J38" s="101"/>
      <c r="K38" s="101"/>
      <c r="L38" s="104">
        <f t="shared" si="2"/>
        <v>0</v>
      </c>
      <c r="M38" s="98">
        <f t="shared" si="3"/>
        <v>0</v>
      </c>
      <c r="N38" s="97"/>
      <c r="O38" s="98">
        <f t="shared" si="4"/>
        <v>0</v>
      </c>
      <c r="P38" s="97"/>
      <c r="Q38" s="98">
        <f t="shared" si="5"/>
        <v>0</v>
      </c>
      <c r="R38" s="106">
        <f t="shared" si="6"/>
        <v>0</v>
      </c>
      <c r="S38" s="88"/>
      <c r="T38" s="107" t="str">
        <f t="shared" si="7"/>
        <v>INSUFICIENTE</v>
      </c>
    </row>
    <row r="39" spans="1:20" ht="11.15" customHeight="1" x14ac:dyDescent="0.35">
      <c r="A39" s="157">
        <f>+'CORTE 1 G1'!A39</f>
        <v>0</v>
      </c>
      <c r="B39" s="141">
        <f>+'CORTE 1 G1'!B39:B39</f>
        <v>0</v>
      </c>
      <c r="C39" s="119"/>
      <c r="D39" s="98">
        <f t="shared" si="0"/>
        <v>0</v>
      </c>
      <c r="E39" s="97"/>
      <c r="F39" s="98">
        <f t="shared" si="1"/>
        <v>0</v>
      </c>
      <c r="G39" s="101"/>
      <c r="H39" s="101"/>
      <c r="I39" s="101"/>
      <c r="J39" s="101"/>
      <c r="K39" s="101"/>
      <c r="L39" s="104">
        <f t="shared" si="2"/>
        <v>0</v>
      </c>
      <c r="M39" s="98">
        <f t="shared" si="3"/>
        <v>0</v>
      </c>
      <c r="N39" s="97"/>
      <c r="O39" s="98">
        <f t="shared" si="4"/>
        <v>0</v>
      </c>
      <c r="P39" s="97"/>
      <c r="Q39" s="98">
        <f t="shared" si="5"/>
        <v>0</v>
      </c>
      <c r="R39" s="106">
        <f t="shared" si="6"/>
        <v>0</v>
      </c>
      <c r="S39" s="88"/>
      <c r="T39" s="107" t="str">
        <f t="shared" si="7"/>
        <v>INSUFICIENTE</v>
      </c>
    </row>
    <row r="40" spans="1:20" ht="11.15" customHeight="1" x14ac:dyDescent="0.35">
      <c r="A40" s="157">
        <f>+'CORTE 1 G1'!A40</f>
        <v>0</v>
      </c>
      <c r="B40" s="141">
        <f>+'CORTE 1 G1'!B40:B40</f>
        <v>0</v>
      </c>
      <c r="C40" s="119"/>
      <c r="D40" s="98">
        <f t="shared" si="0"/>
        <v>0</v>
      </c>
      <c r="E40" s="97"/>
      <c r="F40" s="98">
        <f t="shared" si="1"/>
        <v>0</v>
      </c>
      <c r="G40" s="101"/>
      <c r="H40" s="101"/>
      <c r="I40" s="101"/>
      <c r="J40" s="101"/>
      <c r="K40" s="101"/>
      <c r="L40" s="104">
        <f t="shared" si="2"/>
        <v>0</v>
      </c>
      <c r="M40" s="98">
        <f t="shared" si="3"/>
        <v>0</v>
      </c>
      <c r="N40" s="97"/>
      <c r="O40" s="98">
        <f t="shared" si="4"/>
        <v>0</v>
      </c>
      <c r="P40" s="97"/>
      <c r="Q40" s="98">
        <f t="shared" si="5"/>
        <v>0</v>
      </c>
      <c r="R40" s="106">
        <f t="shared" si="6"/>
        <v>0</v>
      </c>
      <c r="S40" s="88"/>
      <c r="T40" s="107" t="str">
        <f t="shared" si="7"/>
        <v>INSUFICIENTE</v>
      </c>
    </row>
    <row r="41" spans="1:20" ht="11.15" customHeight="1" x14ac:dyDescent="0.35">
      <c r="A41" s="157">
        <f>+'CORTE 1 G1'!A41</f>
        <v>0</v>
      </c>
      <c r="B41" s="141">
        <f>+'CORTE 1 G1'!B41:B41</f>
        <v>0</v>
      </c>
      <c r="C41" s="119"/>
      <c r="D41" s="98">
        <f t="shared" si="0"/>
        <v>0</v>
      </c>
      <c r="E41" s="97"/>
      <c r="F41" s="98">
        <f t="shared" si="1"/>
        <v>0</v>
      </c>
      <c r="G41" s="101"/>
      <c r="H41" s="101"/>
      <c r="I41" s="101"/>
      <c r="J41" s="101"/>
      <c r="K41" s="101"/>
      <c r="L41" s="104">
        <f t="shared" si="2"/>
        <v>0</v>
      </c>
      <c r="M41" s="98">
        <f t="shared" si="3"/>
        <v>0</v>
      </c>
      <c r="N41" s="97"/>
      <c r="O41" s="98">
        <f t="shared" si="4"/>
        <v>0</v>
      </c>
      <c r="P41" s="97"/>
      <c r="Q41" s="98">
        <f t="shared" si="5"/>
        <v>0</v>
      </c>
      <c r="R41" s="106">
        <f t="shared" si="6"/>
        <v>0</v>
      </c>
      <c r="S41" s="88"/>
      <c r="T41" s="107" t="str">
        <f t="shared" si="7"/>
        <v>INSUFICIENTE</v>
      </c>
    </row>
    <row r="42" spans="1:20" ht="11.15" customHeight="1" x14ac:dyDescent="0.35">
      <c r="A42" s="157">
        <f>+'CORTE 1 G1'!A42</f>
        <v>0</v>
      </c>
      <c r="B42" s="141">
        <f>+'CORTE 1 G1'!B42:B42</f>
        <v>0</v>
      </c>
      <c r="C42" s="119"/>
      <c r="D42" s="98">
        <f t="shared" si="0"/>
        <v>0</v>
      </c>
      <c r="E42" s="97"/>
      <c r="F42" s="98">
        <f t="shared" si="1"/>
        <v>0</v>
      </c>
      <c r="G42" s="101"/>
      <c r="H42" s="101"/>
      <c r="I42" s="101"/>
      <c r="J42" s="101"/>
      <c r="K42" s="101"/>
      <c r="L42" s="104">
        <f t="shared" si="2"/>
        <v>0</v>
      </c>
      <c r="M42" s="98">
        <f t="shared" si="3"/>
        <v>0</v>
      </c>
      <c r="N42" s="97"/>
      <c r="O42" s="98">
        <f t="shared" si="4"/>
        <v>0</v>
      </c>
      <c r="P42" s="97"/>
      <c r="Q42" s="98">
        <f t="shared" si="5"/>
        <v>0</v>
      </c>
      <c r="R42" s="106">
        <f t="shared" si="6"/>
        <v>0</v>
      </c>
      <c r="S42" s="88"/>
      <c r="T42" s="107" t="str">
        <f t="shared" si="7"/>
        <v>INSUFICIENTE</v>
      </c>
    </row>
    <row r="43" spans="1:20" ht="11.15" customHeight="1" x14ac:dyDescent="0.35">
      <c r="A43" s="157">
        <f>+'CORTE 1 G1'!A43</f>
        <v>0</v>
      </c>
      <c r="B43" s="141">
        <f>+'CORTE 1 G1'!B43:B43</f>
        <v>0</v>
      </c>
      <c r="C43" s="119"/>
      <c r="D43" s="98">
        <f t="shared" si="0"/>
        <v>0</v>
      </c>
      <c r="E43" s="97"/>
      <c r="F43" s="98">
        <f t="shared" si="1"/>
        <v>0</v>
      </c>
      <c r="G43" s="101"/>
      <c r="H43" s="101"/>
      <c r="I43" s="101"/>
      <c r="J43" s="101"/>
      <c r="K43" s="101"/>
      <c r="L43" s="104">
        <f t="shared" si="2"/>
        <v>0</v>
      </c>
      <c r="M43" s="98">
        <f t="shared" si="3"/>
        <v>0</v>
      </c>
      <c r="N43" s="97"/>
      <c r="O43" s="98">
        <f t="shared" si="4"/>
        <v>0</v>
      </c>
      <c r="P43" s="97"/>
      <c r="Q43" s="98">
        <f t="shared" si="5"/>
        <v>0</v>
      </c>
      <c r="R43" s="106">
        <f t="shared" si="6"/>
        <v>0</v>
      </c>
      <c r="S43" s="88"/>
      <c r="T43" s="107" t="str">
        <f t="shared" si="7"/>
        <v>INSUFICIENTE</v>
      </c>
    </row>
    <row r="44" spans="1:20" ht="11.15" customHeight="1" x14ac:dyDescent="0.35">
      <c r="A44" s="157">
        <f>+'CORTE 1 G1'!A44</f>
        <v>0</v>
      </c>
      <c r="B44" s="141">
        <f>+'CORTE 1 G1'!B44:B44</f>
        <v>0</v>
      </c>
      <c r="C44" s="119"/>
      <c r="D44" s="98">
        <f t="shared" si="0"/>
        <v>0</v>
      </c>
      <c r="E44" s="97"/>
      <c r="F44" s="98">
        <f t="shared" si="1"/>
        <v>0</v>
      </c>
      <c r="G44" s="101"/>
      <c r="H44" s="101"/>
      <c r="I44" s="101"/>
      <c r="J44" s="101"/>
      <c r="K44" s="101"/>
      <c r="L44" s="104">
        <f t="shared" si="2"/>
        <v>0</v>
      </c>
      <c r="M44" s="98">
        <f t="shared" si="3"/>
        <v>0</v>
      </c>
      <c r="N44" s="97"/>
      <c r="O44" s="98">
        <f t="shared" si="4"/>
        <v>0</v>
      </c>
      <c r="P44" s="97"/>
      <c r="Q44" s="98">
        <f t="shared" si="5"/>
        <v>0</v>
      </c>
      <c r="R44" s="106">
        <f t="shared" si="6"/>
        <v>0</v>
      </c>
      <c r="S44" s="88"/>
      <c r="T44" s="107" t="str">
        <f t="shared" si="7"/>
        <v>INSUFICIENTE</v>
      </c>
    </row>
    <row r="45" spans="1:20" ht="11.15" customHeight="1" x14ac:dyDescent="0.35">
      <c r="A45" s="157">
        <f>+'CORTE 1 G1'!A45</f>
        <v>0</v>
      </c>
      <c r="B45" s="141">
        <f>+'CORTE 1 G1'!B45:B45</f>
        <v>0</v>
      </c>
      <c r="C45" s="119"/>
      <c r="D45" s="98">
        <f t="shared" si="0"/>
        <v>0</v>
      </c>
      <c r="E45" s="97"/>
      <c r="F45" s="98">
        <f t="shared" si="1"/>
        <v>0</v>
      </c>
      <c r="G45" s="101"/>
      <c r="H45" s="101"/>
      <c r="I45" s="101"/>
      <c r="J45" s="101"/>
      <c r="K45" s="101"/>
      <c r="L45" s="104">
        <f t="shared" si="2"/>
        <v>0</v>
      </c>
      <c r="M45" s="98">
        <f t="shared" si="3"/>
        <v>0</v>
      </c>
      <c r="N45" s="97"/>
      <c r="O45" s="98">
        <f t="shared" si="4"/>
        <v>0</v>
      </c>
      <c r="P45" s="97"/>
      <c r="Q45" s="98">
        <f t="shared" si="5"/>
        <v>0</v>
      </c>
      <c r="R45" s="106">
        <f t="shared" si="6"/>
        <v>0</v>
      </c>
      <c r="S45" s="88"/>
      <c r="T45" s="107" t="str">
        <f t="shared" si="7"/>
        <v>INSUFICIENTE</v>
      </c>
    </row>
    <row r="46" spans="1:20" ht="11.15" customHeight="1" x14ac:dyDescent="0.35">
      <c r="A46" s="157">
        <f>+'CORTE 1 G1'!A46</f>
        <v>0</v>
      </c>
      <c r="B46" s="141">
        <f>+'CORTE 1 G1'!B46:B46</f>
        <v>0</v>
      </c>
      <c r="C46" s="119"/>
      <c r="D46" s="98">
        <f t="shared" si="0"/>
        <v>0</v>
      </c>
      <c r="E46" s="97"/>
      <c r="F46" s="98">
        <f t="shared" si="1"/>
        <v>0</v>
      </c>
      <c r="G46" s="101"/>
      <c r="H46" s="101"/>
      <c r="I46" s="101"/>
      <c r="J46" s="101"/>
      <c r="K46" s="101"/>
      <c r="L46" s="104">
        <f t="shared" si="2"/>
        <v>0</v>
      </c>
      <c r="M46" s="98">
        <f t="shared" si="3"/>
        <v>0</v>
      </c>
      <c r="N46" s="97"/>
      <c r="O46" s="98">
        <f t="shared" si="4"/>
        <v>0</v>
      </c>
      <c r="P46" s="97"/>
      <c r="Q46" s="98">
        <f t="shared" si="5"/>
        <v>0</v>
      </c>
      <c r="R46" s="106">
        <f t="shared" si="6"/>
        <v>0</v>
      </c>
      <c r="S46" s="88"/>
      <c r="T46" s="107" t="str">
        <f t="shared" si="7"/>
        <v>INSUFICIENTE</v>
      </c>
    </row>
    <row r="47" spans="1:20" ht="11.15" customHeight="1" x14ac:dyDescent="0.35">
      <c r="A47" s="157">
        <f>+'CORTE 1 G1'!A47</f>
        <v>0</v>
      </c>
      <c r="B47" s="141">
        <f>+'CORTE 1 G1'!B47:B47</f>
        <v>0</v>
      </c>
      <c r="C47" s="119"/>
      <c r="D47" s="98">
        <f t="shared" ref="D47:D64" si="8">C47*D$8</f>
        <v>0</v>
      </c>
      <c r="E47" s="97"/>
      <c r="F47" s="98">
        <f t="shared" ref="F47:F64" si="9">E47*F$8</f>
        <v>0</v>
      </c>
      <c r="G47" s="101"/>
      <c r="H47" s="101"/>
      <c r="I47" s="101"/>
      <c r="J47" s="101"/>
      <c r="K47" s="101"/>
      <c r="L47" s="104">
        <f t="shared" ref="L47:L64" si="10">+(G47*$G$14)+(H47*$H$14)+($I$14*I47)+($J$14*J47)+($K$14*K47)</f>
        <v>0</v>
      </c>
      <c r="M47" s="98">
        <f t="shared" ref="M47:M64" si="11">+L47*$M$8</f>
        <v>0</v>
      </c>
      <c r="N47" s="97"/>
      <c r="O47" s="98">
        <f t="shared" ref="O47:O64" si="12">N47*$O$8</f>
        <v>0</v>
      </c>
      <c r="P47" s="97"/>
      <c r="Q47" s="98">
        <f t="shared" ref="Q47:Q64" si="13">P47*$Q$8</f>
        <v>0</v>
      </c>
      <c r="R47" s="106">
        <f t="shared" ref="R47:R64" si="14">SUM(D47,F47,M47,O47,Q47)</f>
        <v>0</v>
      </c>
      <c r="S47" s="88"/>
      <c r="T47" s="107" t="str">
        <f t="shared" ref="T47:T64" si="15">IF(R47=" "," ",IF(R47&lt;1.95,"INSUFICIENTE",IF(R47&lt;2.95,"DEFICIENTE",IF(R47&lt;3.95,"BUENO","EXCELENTE"))))</f>
        <v>INSUFICIENTE</v>
      </c>
    </row>
    <row r="48" spans="1:20" ht="11.15" customHeight="1" x14ac:dyDescent="0.35">
      <c r="A48" s="157">
        <f>+'CORTE 1 G1'!A48</f>
        <v>0</v>
      </c>
      <c r="B48" s="141">
        <f>+'CORTE 1 G1'!B48:B48</f>
        <v>0</v>
      </c>
      <c r="C48" s="119"/>
      <c r="D48" s="98">
        <f t="shared" si="8"/>
        <v>0</v>
      </c>
      <c r="E48" s="97"/>
      <c r="F48" s="98">
        <f t="shared" si="9"/>
        <v>0</v>
      </c>
      <c r="G48" s="101"/>
      <c r="H48" s="101"/>
      <c r="I48" s="101"/>
      <c r="J48" s="101"/>
      <c r="K48" s="101"/>
      <c r="L48" s="104">
        <f t="shared" si="10"/>
        <v>0</v>
      </c>
      <c r="M48" s="98">
        <f t="shared" si="11"/>
        <v>0</v>
      </c>
      <c r="N48" s="97"/>
      <c r="O48" s="98">
        <f t="shared" si="12"/>
        <v>0</v>
      </c>
      <c r="P48" s="97"/>
      <c r="Q48" s="98">
        <f t="shared" si="13"/>
        <v>0</v>
      </c>
      <c r="R48" s="106">
        <f t="shared" si="14"/>
        <v>0</v>
      </c>
      <c r="S48" s="88"/>
      <c r="T48" s="107" t="str">
        <f t="shared" si="15"/>
        <v>INSUFICIENTE</v>
      </c>
    </row>
    <row r="49" spans="1:20" ht="11.15" customHeight="1" x14ac:dyDescent="0.35">
      <c r="A49" s="157">
        <f>+'CORTE 1 G1'!A49</f>
        <v>0</v>
      </c>
      <c r="B49" s="141">
        <f>+'CORTE 1 G1'!B49:B49</f>
        <v>0</v>
      </c>
      <c r="C49" s="119"/>
      <c r="D49" s="98">
        <f t="shared" si="8"/>
        <v>0</v>
      </c>
      <c r="E49" s="97"/>
      <c r="F49" s="98">
        <f t="shared" si="9"/>
        <v>0</v>
      </c>
      <c r="G49" s="101"/>
      <c r="H49" s="101"/>
      <c r="I49" s="101"/>
      <c r="J49" s="101"/>
      <c r="K49" s="101"/>
      <c r="L49" s="104">
        <f t="shared" si="10"/>
        <v>0</v>
      </c>
      <c r="M49" s="98">
        <f t="shared" si="11"/>
        <v>0</v>
      </c>
      <c r="N49" s="97"/>
      <c r="O49" s="98">
        <f t="shared" si="12"/>
        <v>0</v>
      </c>
      <c r="P49" s="97"/>
      <c r="Q49" s="98">
        <f t="shared" si="13"/>
        <v>0</v>
      </c>
      <c r="R49" s="106">
        <f t="shared" si="14"/>
        <v>0</v>
      </c>
      <c r="S49" s="88"/>
      <c r="T49" s="107" t="str">
        <f t="shared" si="15"/>
        <v>INSUFICIENTE</v>
      </c>
    </row>
    <row r="50" spans="1:20" ht="11.15" customHeight="1" x14ac:dyDescent="0.35">
      <c r="A50" s="157">
        <f>+'CORTE 1 G1'!A50</f>
        <v>0</v>
      </c>
      <c r="B50" s="141">
        <f>+'CORTE 1 G1'!B50:B50</f>
        <v>0</v>
      </c>
      <c r="C50" s="119"/>
      <c r="D50" s="98">
        <f t="shared" si="8"/>
        <v>0</v>
      </c>
      <c r="E50" s="97"/>
      <c r="F50" s="98">
        <f t="shared" si="9"/>
        <v>0</v>
      </c>
      <c r="G50" s="101"/>
      <c r="H50" s="101"/>
      <c r="I50" s="101"/>
      <c r="J50" s="101"/>
      <c r="K50" s="101"/>
      <c r="L50" s="104">
        <f t="shared" si="10"/>
        <v>0</v>
      </c>
      <c r="M50" s="98">
        <f t="shared" si="11"/>
        <v>0</v>
      </c>
      <c r="N50" s="97"/>
      <c r="O50" s="98">
        <f t="shared" si="12"/>
        <v>0</v>
      </c>
      <c r="P50" s="97"/>
      <c r="Q50" s="98">
        <f t="shared" si="13"/>
        <v>0</v>
      </c>
      <c r="R50" s="106">
        <f t="shared" si="14"/>
        <v>0</v>
      </c>
      <c r="S50" s="88"/>
      <c r="T50" s="107" t="str">
        <f t="shared" si="15"/>
        <v>INSUFICIENTE</v>
      </c>
    </row>
    <row r="51" spans="1:20" ht="11.15" customHeight="1" x14ac:dyDescent="0.35">
      <c r="A51" s="157">
        <f>+'CORTE 1 G1'!A51</f>
        <v>0</v>
      </c>
      <c r="B51" s="141">
        <f>+'CORTE 1 G1'!B51:B51</f>
        <v>0</v>
      </c>
      <c r="C51" s="119"/>
      <c r="D51" s="98">
        <f t="shared" si="8"/>
        <v>0</v>
      </c>
      <c r="E51" s="97"/>
      <c r="F51" s="98">
        <f t="shared" si="9"/>
        <v>0</v>
      </c>
      <c r="G51" s="101"/>
      <c r="H51" s="101"/>
      <c r="I51" s="101"/>
      <c r="J51" s="101"/>
      <c r="K51" s="101"/>
      <c r="L51" s="104">
        <f t="shared" si="10"/>
        <v>0</v>
      </c>
      <c r="M51" s="98">
        <f t="shared" si="11"/>
        <v>0</v>
      </c>
      <c r="N51" s="97"/>
      <c r="O51" s="98">
        <f t="shared" si="12"/>
        <v>0</v>
      </c>
      <c r="P51" s="97"/>
      <c r="Q51" s="98">
        <f t="shared" si="13"/>
        <v>0</v>
      </c>
      <c r="R51" s="106">
        <f t="shared" si="14"/>
        <v>0</v>
      </c>
      <c r="S51" s="88"/>
      <c r="T51" s="107" t="str">
        <f t="shared" si="15"/>
        <v>INSUFICIENTE</v>
      </c>
    </row>
    <row r="52" spans="1:20" ht="11.15" customHeight="1" x14ac:dyDescent="0.35">
      <c r="A52" s="157">
        <f>+'CORTE 1 G1'!A52</f>
        <v>0</v>
      </c>
      <c r="B52" s="141">
        <f>+'CORTE 1 G1'!B52:B52</f>
        <v>0</v>
      </c>
      <c r="C52" s="119"/>
      <c r="D52" s="98">
        <f t="shared" si="8"/>
        <v>0</v>
      </c>
      <c r="E52" s="97"/>
      <c r="F52" s="98">
        <f t="shared" si="9"/>
        <v>0</v>
      </c>
      <c r="G52" s="101"/>
      <c r="H52" s="101"/>
      <c r="I52" s="101"/>
      <c r="J52" s="101"/>
      <c r="K52" s="101"/>
      <c r="L52" s="104">
        <f t="shared" si="10"/>
        <v>0</v>
      </c>
      <c r="M52" s="98">
        <f t="shared" si="11"/>
        <v>0</v>
      </c>
      <c r="N52" s="97"/>
      <c r="O52" s="98">
        <f t="shared" si="12"/>
        <v>0</v>
      </c>
      <c r="P52" s="97"/>
      <c r="Q52" s="98">
        <f t="shared" si="13"/>
        <v>0</v>
      </c>
      <c r="R52" s="106">
        <f t="shared" si="14"/>
        <v>0</v>
      </c>
      <c r="S52" s="88"/>
      <c r="T52" s="107" t="str">
        <f t="shared" si="15"/>
        <v>INSUFICIENTE</v>
      </c>
    </row>
    <row r="53" spans="1:20" ht="11.15" customHeight="1" x14ac:dyDescent="0.35">
      <c r="A53" s="157">
        <f>+'CORTE 1 G1'!A53</f>
        <v>0</v>
      </c>
      <c r="B53" s="141">
        <f>+'CORTE 1 G1'!B53:B53</f>
        <v>0</v>
      </c>
      <c r="C53" s="119"/>
      <c r="D53" s="98">
        <f t="shared" si="8"/>
        <v>0</v>
      </c>
      <c r="E53" s="97"/>
      <c r="F53" s="98">
        <f t="shared" si="9"/>
        <v>0</v>
      </c>
      <c r="G53" s="101"/>
      <c r="H53" s="101"/>
      <c r="I53" s="101"/>
      <c r="J53" s="101"/>
      <c r="K53" s="101"/>
      <c r="L53" s="104">
        <f t="shared" si="10"/>
        <v>0</v>
      </c>
      <c r="M53" s="98">
        <f t="shared" si="11"/>
        <v>0</v>
      </c>
      <c r="N53" s="97"/>
      <c r="O53" s="98">
        <f t="shared" si="12"/>
        <v>0</v>
      </c>
      <c r="P53" s="97"/>
      <c r="Q53" s="98">
        <f t="shared" si="13"/>
        <v>0</v>
      </c>
      <c r="R53" s="106">
        <f t="shared" si="14"/>
        <v>0</v>
      </c>
      <c r="S53" s="88"/>
      <c r="T53" s="107" t="str">
        <f t="shared" si="15"/>
        <v>INSUFICIENTE</v>
      </c>
    </row>
    <row r="54" spans="1:20" ht="11.15" customHeight="1" x14ac:dyDescent="0.35">
      <c r="A54" s="157">
        <f>+'CORTE 1 G1'!A54</f>
        <v>0</v>
      </c>
      <c r="B54" s="141">
        <f>+'CORTE 1 G1'!B54:B54</f>
        <v>0</v>
      </c>
      <c r="C54" s="119"/>
      <c r="D54" s="98">
        <f t="shared" si="8"/>
        <v>0</v>
      </c>
      <c r="E54" s="97"/>
      <c r="F54" s="98">
        <f t="shared" si="9"/>
        <v>0</v>
      </c>
      <c r="G54" s="101"/>
      <c r="H54" s="101"/>
      <c r="I54" s="101"/>
      <c r="J54" s="101"/>
      <c r="K54" s="101"/>
      <c r="L54" s="104">
        <f t="shared" si="10"/>
        <v>0</v>
      </c>
      <c r="M54" s="98">
        <f t="shared" si="11"/>
        <v>0</v>
      </c>
      <c r="N54" s="97"/>
      <c r="O54" s="98">
        <f t="shared" si="12"/>
        <v>0</v>
      </c>
      <c r="P54" s="97"/>
      <c r="Q54" s="98">
        <f t="shared" si="13"/>
        <v>0</v>
      </c>
      <c r="R54" s="106">
        <f t="shared" si="14"/>
        <v>0</v>
      </c>
      <c r="S54" s="88"/>
      <c r="T54" s="107" t="str">
        <f t="shared" si="15"/>
        <v>INSUFICIENTE</v>
      </c>
    </row>
    <row r="55" spans="1:20" ht="11.15" customHeight="1" x14ac:dyDescent="0.35">
      <c r="A55" s="157">
        <f>+'CORTE 1 G1'!A55</f>
        <v>0</v>
      </c>
      <c r="B55" s="141">
        <f>+'CORTE 1 G1'!B55:B55</f>
        <v>0</v>
      </c>
      <c r="C55" s="119"/>
      <c r="D55" s="98">
        <f t="shared" si="8"/>
        <v>0</v>
      </c>
      <c r="E55" s="97"/>
      <c r="F55" s="98">
        <f t="shared" si="9"/>
        <v>0</v>
      </c>
      <c r="G55" s="101"/>
      <c r="H55" s="101"/>
      <c r="I55" s="101"/>
      <c r="J55" s="101"/>
      <c r="K55" s="101"/>
      <c r="L55" s="104">
        <f t="shared" si="10"/>
        <v>0</v>
      </c>
      <c r="M55" s="98">
        <f t="shared" si="11"/>
        <v>0</v>
      </c>
      <c r="N55" s="97"/>
      <c r="O55" s="98">
        <f t="shared" si="12"/>
        <v>0</v>
      </c>
      <c r="P55" s="97"/>
      <c r="Q55" s="98">
        <f t="shared" si="13"/>
        <v>0</v>
      </c>
      <c r="R55" s="106">
        <f t="shared" si="14"/>
        <v>0</v>
      </c>
      <c r="S55" s="88"/>
      <c r="T55" s="107" t="str">
        <f t="shared" si="15"/>
        <v>INSUFICIENTE</v>
      </c>
    </row>
    <row r="56" spans="1:20" ht="11.15" customHeight="1" x14ac:dyDescent="0.35">
      <c r="A56" s="157">
        <f>+'CORTE 1 G1'!A56</f>
        <v>0</v>
      </c>
      <c r="B56" s="141">
        <f>+'CORTE 1 G1'!B56:B56</f>
        <v>0</v>
      </c>
      <c r="C56" s="119"/>
      <c r="D56" s="98">
        <f t="shared" si="8"/>
        <v>0</v>
      </c>
      <c r="E56" s="97"/>
      <c r="F56" s="98">
        <f t="shared" si="9"/>
        <v>0</v>
      </c>
      <c r="G56" s="101"/>
      <c r="H56" s="101"/>
      <c r="I56" s="101"/>
      <c r="J56" s="101"/>
      <c r="K56" s="101"/>
      <c r="L56" s="104">
        <f t="shared" si="10"/>
        <v>0</v>
      </c>
      <c r="M56" s="98">
        <f t="shared" si="11"/>
        <v>0</v>
      </c>
      <c r="N56" s="97"/>
      <c r="O56" s="98">
        <f t="shared" si="12"/>
        <v>0</v>
      </c>
      <c r="P56" s="97"/>
      <c r="Q56" s="98">
        <f t="shared" si="13"/>
        <v>0</v>
      </c>
      <c r="R56" s="106">
        <f t="shared" si="14"/>
        <v>0</v>
      </c>
      <c r="S56" s="88"/>
      <c r="T56" s="107" t="str">
        <f t="shared" si="15"/>
        <v>INSUFICIENTE</v>
      </c>
    </row>
    <row r="57" spans="1:20" ht="11.15" customHeight="1" x14ac:dyDescent="0.35">
      <c r="A57" s="157">
        <f>+'CORTE 1 G1'!A57</f>
        <v>0</v>
      </c>
      <c r="B57" s="141">
        <f>+'CORTE 1 G1'!B57:B57</f>
        <v>0</v>
      </c>
      <c r="C57" s="119"/>
      <c r="D57" s="98">
        <f t="shared" si="8"/>
        <v>0</v>
      </c>
      <c r="E57" s="97"/>
      <c r="F57" s="98">
        <f t="shared" si="9"/>
        <v>0</v>
      </c>
      <c r="G57" s="101"/>
      <c r="H57" s="101"/>
      <c r="I57" s="101"/>
      <c r="J57" s="101"/>
      <c r="K57" s="101"/>
      <c r="L57" s="104">
        <f t="shared" si="10"/>
        <v>0</v>
      </c>
      <c r="M57" s="98">
        <f t="shared" si="11"/>
        <v>0</v>
      </c>
      <c r="N57" s="97"/>
      <c r="O57" s="98">
        <f t="shared" si="12"/>
        <v>0</v>
      </c>
      <c r="P57" s="97"/>
      <c r="Q57" s="98">
        <f t="shared" si="13"/>
        <v>0</v>
      </c>
      <c r="R57" s="106">
        <f t="shared" si="14"/>
        <v>0</v>
      </c>
      <c r="S57" s="88"/>
      <c r="T57" s="107" t="str">
        <f t="shared" si="15"/>
        <v>INSUFICIENTE</v>
      </c>
    </row>
    <row r="58" spans="1:20" ht="11.15" customHeight="1" x14ac:dyDescent="0.35">
      <c r="A58" s="157">
        <f>+'CORTE 1 G1'!A58</f>
        <v>0</v>
      </c>
      <c r="B58" s="141">
        <f>+'CORTE 1 G1'!B58:B58</f>
        <v>0</v>
      </c>
      <c r="C58" s="119"/>
      <c r="D58" s="98">
        <f t="shared" si="8"/>
        <v>0</v>
      </c>
      <c r="E58" s="97"/>
      <c r="F58" s="98">
        <f t="shared" si="9"/>
        <v>0</v>
      </c>
      <c r="G58" s="101"/>
      <c r="H58" s="101"/>
      <c r="I58" s="101"/>
      <c r="J58" s="101"/>
      <c r="K58" s="101"/>
      <c r="L58" s="104">
        <f t="shared" si="10"/>
        <v>0</v>
      </c>
      <c r="M58" s="98">
        <f t="shared" si="11"/>
        <v>0</v>
      </c>
      <c r="N58" s="97"/>
      <c r="O58" s="98">
        <f t="shared" si="12"/>
        <v>0</v>
      </c>
      <c r="P58" s="97"/>
      <c r="Q58" s="98">
        <f t="shared" si="13"/>
        <v>0</v>
      </c>
      <c r="R58" s="106">
        <f t="shared" si="14"/>
        <v>0</v>
      </c>
      <c r="S58" s="88"/>
      <c r="T58" s="107" t="str">
        <f t="shared" si="15"/>
        <v>INSUFICIENTE</v>
      </c>
    </row>
    <row r="59" spans="1:20" ht="11.15" customHeight="1" x14ac:dyDescent="0.35">
      <c r="A59" s="157">
        <f>+'CORTE 1 G1'!A59</f>
        <v>0</v>
      </c>
      <c r="B59" s="141">
        <f>+'CORTE 1 G1'!B59:B59</f>
        <v>0</v>
      </c>
      <c r="C59" s="119"/>
      <c r="D59" s="98">
        <f t="shared" si="8"/>
        <v>0</v>
      </c>
      <c r="E59" s="97"/>
      <c r="F59" s="98">
        <f t="shared" si="9"/>
        <v>0</v>
      </c>
      <c r="G59" s="101"/>
      <c r="H59" s="101"/>
      <c r="I59" s="101"/>
      <c r="J59" s="101"/>
      <c r="K59" s="101"/>
      <c r="L59" s="104">
        <f t="shared" si="10"/>
        <v>0</v>
      </c>
      <c r="M59" s="98">
        <f t="shared" si="11"/>
        <v>0</v>
      </c>
      <c r="N59" s="97"/>
      <c r="O59" s="98">
        <f t="shared" si="12"/>
        <v>0</v>
      </c>
      <c r="P59" s="97"/>
      <c r="Q59" s="98">
        <f t="shared" si="13"/>
        <v>0</v>
      </c>
      <c r="R59" s="106">
        <f t="shared" si="14"/>
        <v>0</v>
      </c>
      <c r="S59" s="88"/>
      <c r="T59" s="107" t="str">
        <f t="shared" si="15"/>
        <v>INSUFICIENTE</v>
      </c>
    </row>
    <row r="60" spans="1:20" ht="11.15" customHeight="1" x14ac:dyDescent="0.35">
      <c r="A60" s="157">
        <f>+'CORTE 1 G1'!A60</f>
        <v>0</v>
      </c>
      <c r="B60" s="141">
        <f>+'CORTE 1 G1'!B60:B60</f>
        <v>0</v>
      </c>
      <c r="C60" s="119"/>
      <c r="D60" s="98">
        <f t="shared" si="8"/>
        <v>0</v>
      </c>
      <c r="E60" s="97"/>
      <c r="F60" s="98">
        <f t="shared" si="9"/>
        <v>0</v>
      </c>
      <c r="G60" s="101"/>
      <c r="H60" s="101"/>
      <c r="I60" s="101"/>
      <c r="J60" s="101"/>
      <c r="K60" s="101"/>
      <c r="L60" s="104">
        <f t="shared" si="10"/>
        <v>0</v>
      </c>
      <c r="M60" s="98">
        <f t="shared" si="11"/>
        <v>0</v>
      </c>
      <c r="N60" s="97"/>
      <c r="O60" s="98">
        <f t="shared" si="12"/>
        <v>0</v>
      </c>
      <c r="P60" s="97"/>
      <c r="Q60" s="98">
        <f t="shared" si="13"/>
        <v>0</v>
      </c>
      <c r="R60" s="106">
        <f t="shared" si="14"/>
        <v>0</v>
      </c>
      <c r="S60" s="88"/>
      <c r="T60" s="107" t="str">
        <f t="shared" si="15"/>
        <v>INSUFICIENTE</v>
      </c>
    </row>
    <row r="61" spans="1:20" ht="11.15" customHeight="1" x14ac:dyDescent="0.35">
      <c r="A61" s="157">
        <f>+'CORTE 1 G1'!A61</f>
        <v>0</v>
      </c>
      <c r="B61" s="141">
        <f>+'CORTE 1 G1'!B61:B61</f>
        <v>0</v>
      </c>
      <c r="C61" s="119"/>
      <c r="D61" s="98">
        <f t="shared" si="8"/>
        <v>0</v>
      </c>
      <c r="E61" s="97"/>
      <c r="F61" s="98">
        <f t="shared" si="9"/>
        <v>0</v>
      </c>
      <c r="G61" s="101"/>
      <c r="H61" s="101"/>
      <c r="I61" s="101"/>
      <c r="J61" s="101"/>
      <c r="K61" s="101"/>
      <c r="L61" s="104">
        <f t="shared" si="10"/>
        <v>0</v>
      </c>
      <c r="M61" s="98">
        <f t="shared" si="11"/>
        <v>0</v>
      </c>
      <c r="N61" s="97"/>
      <c r="O61" s="98">
        <f t="shared" si="12"/>
        <v>0</v>
      </c>
      <c r="P61" s="97"/>
      <c r="Q61" s="98">
        <f t="shared" si="13"/>
        <v>0</v>
      </c>
      <c r="R61" s="106">
        <f t="shared" si="14"/>
        <v>0</v>
      </c>
      <c r="S61" s="88"/>
      <c r="T61" s="107" t="str">
        <f t="shared" si="15"/>
        <v>INSUFICIENTE</v>
      </c>
    </row>
    <row r="62" spans="1:20" ht="11.15" customHeight="1" x14ac:dyDescent="0.35">
      <c r="A62" s="157">
        <f>+'CORTE 1 G1'!A62</f>
        <v>0</v>
      </c>
      <c r="B62" s="141">
        <f>+'CORTE 1 G1'!B62:B62</f>
        <v>0</v>
      </c>
      <c r="C62" s="119"/>
      <c r="D62" s="98">
        <f t="shared" si="8"/>
        <v>0</v>
      </c>
      <c r="E62" s="97"/>
      <c r="F62" s="98">
        <f t="shared" si="9"/>
        <v>0</v>
      </c>
      <c r="G62" s="101"/>
      <c r="H62" s="101"/>
      <c r="I62" s="101"/>
      <c r="J62" s="101"/>
      <c r="K62" s="101"/>
      <c r="L62" s="104">
        <f t="shared" si="10"/>
        <v>0</v>
      </c>
      <c r="M62" s="98">
        <f t="shared" si="11"/>
        <v>0</v>
      </c>
      <c r="N62" s="97"/>
      <c r="O62" s="98">
        <f t="shared" si="12"/>
        <v>0</v>
      </c>
      <c r="P62" s="97"/>
      <c r="Q62" s="98">
        <f t="shared" si="13"/>
        <v>0</v>
      </c>
      <c r="R62" s="106">
        <f t="shared" si="14"/>
        <v>0</v>
      </c>
      <c r="S62" s="88"/>
      <c r="T62" s="107" t="str">
        <f t="shared" si="15"/>
        <v>INSUFICIENTE</v>
      </c>
    </row>
    <row r="63" spans="1:20" ht="11.15" customHeight="1" x14ac:dyDescent="0.35">
      <c r="A63" s="157">
        <f>+'CORTE 1 G1'!A63</f>
        <v>0</v>
      </c>
      <c r="B63" s="141">
        <f>+'CORTE 1 G1'!B63:B63</f>
        <v>0</v>
      </c>
      <c r="C63" s="119"/>
      <c r="D63" s="98">
        <f t="shared" si="8"/>
        <v>0</v>
      </c>
      <c r="E63" s="97"/>
      <c r="F63" s="98">
        <f t="shared" si="9"/>
        <v>0</v>
      </c>
      <c r="G63" s="101"/>
      <c r="H63" s="101"/>
      <c r="I63" s="101"/>
      <c r="J63" s="101"/>
      <c r="K63" s="101"/>
      <c r="L63" s="104">
        <f t="shared" si="10"/>
        <v>0</v>
      </c>
      <c r="M63" s="98">
        <f t="shared" si="11"/>
        <v>0</v>
      </c>
      <c r="N63" s="97"/>
      <c r="O63" s="98">
        <f t="shared" si="12"/>
        <v>0</v>
      </c>
      <c r="P63" s="97"/>
      <c r="Q63" s="98">
        <f t="shared" si="13"/>
        <v>0</v>
      </c>
      <c r="R63" s="106">
        <f t="shared" si="14"/>
        <v>0</v>
      </c>
      <c r="S63" s="88"/>
      <c r="T63" s="107" t="str">
        <f t="shared" si="15"/>
        <v>INSUFICIENTE</v>
      </c>
    </row>
    <row r="64" spans="1:20" ht="11.15" customHeight="1" x14ac:dyDescent="0.35">
      <c r="A64" s="157">
        <f>+'CORTE 1 G1'!A64</f>
        <v>0</v>
      </c>
      <c r="B64" s="141">
        <f>+'CORTE 1 G1'!B64:B64</f>
        <v>0</v>
      </c>
      <c r="C64" s="119"/>
      <c r="D64" s="98">
        <f t="shared" si="8"/>
        <v>0</v>
      </c>
      <c r="E64" s="97"/>
      <c r="F64" s="98">
        <f t="shared" si="9"/>
        <v>0</v>
      </c>
      <c r="G64" s="101"/>
      <c r="H64" s="101"/>
      <c r="I64" s="101"/>
      <c r="J64" s="101"/>
      <c r="K64" s="101"/>
      <c r="L64" s="104">
        <f t="shared" si="10"/>
        <v>0</v>
      </c>
      <c r="M64" s="98">
        <f t="shared" si="11"/>
        <v>0</v>
      </c>
      <c r="N64" s="97"/>
      <c r="O64" s="98">
        <f t="shared" si="12"/>
        <v>0</v>
      </c>
      <c r="P64" s="97"/>
      <c r="Q64" s="98">
        <f t="shared" si="13"/>
        <v>0</v>
      </c>
      <c r="R64" s="106">
        <f t="shared" si="14"/>
        <v>0</v>
      </c>
      <c r="S64" s="88"/>
      <c r="T64" s="107" t="str">
        <f t="shared" si="15"/>
        <v>INSUFICIENTE</v>
      </c>
    </row>
    <row r="65" spans="1:20" ht="11.15" customHeight="1" x14ac:dyDescent="0.35">
      <c r="A65" s="157">
        <f>+'CORTE 1 G1'!A65</f>
        <v>0</v>
      </c>
      <c r="B65" s="141">
        <f>+'CORTE 1 G1'!B59:B59</f>
        <v>0</v>
      </c>
      <c r="C65" s="119"/>
      <c r="D65" s="98">
        <f t="shared" si="0"/>
        <v>0</v>
      </c>
      <c r="E65" s="97"/>
      <c r="F65" s="98">
        <f t="shared" si="1"/>
        <v>0</v>
      </c>
      <c r="G65" s="101"/>
      <c r="H65" s="101"/>
      <c r="I65" s="101"/>
      <c r="J65" s="101"/>
      <c r="K65" s="101"/>
      <c r="L65" s="104">
        <f t="shared" si="2"/>
        <v>0</v>
      </c>
      <c r="M65" s="98">
        <f t="shared" si="3"/>
        <v>0</v>
      </c>
      <c r="N65" s="97"/>
      <c r="O65" s="98">
        <f t="shared" si="4"/>
        <v>0</v>
      </c>
      <c r="P65" s="97"/>
      <c r="Q65" s="98">
        <f t="shared" si="5"/>
        <v>0</v>
      </c>
      <c r="R65" s="106">
        <f t="shared" si="6"/>
        <v>0</v>
      </c>
      <c r="S65" s="88"/>
      <c r="T65" s="107" t="str">
        <f t="shared" si="7"/>
        <v>INSUFICIENTE</v>
      </c>
    </row>
    <row r="67" spans="1:20" ht="5.15" customHeight="1" x14ac:dyDescent="0.35"/>
    <row r="68" spans="1:20" ht="12" customHeight="1" x14ac:dyDescent="0.35">
      <c r="C68" s="168">
        <f>COUNTIF(C15:C65,"&gt;3,95")</f>
        <v>0</v>
      </c>
      <c r="D68" s="168"/>
      <c r="E68" s="168">
        <f>COUNTIF(E15:E65,"&gt;3,95")</f>
        <v>0</v>
      </c>
      <c r="F68" s="168"/>
      <c r="G68" s="168">
        <f>COUNTIF(L15:L65,"&gt;3,95")</f>
        <v>0</v>
      </c>
      <c r="H68" s="168"/>
      <c r="I68" s="168"/>
      <c r="J68" s="168"/>
      <c r="K68" s="168"/>
      <c r="L68" s="168"/>
      <c r="M68" s="168"/>
      <c r="N68" s="168">
        <f>COUNTIF(N15:N65,"&gt;3,95")</f>
        <v>0</v>
      </c>
      <c r="O68" s="168"/>
      <c r="P68" s="168">
        <f>COUNTIF(P15:P65,"&gt;3,95")</f>
        <v>0</v>
      </c>
      <c r="Q68" s="168"/>
      <c r="R68" s="83">
        <f>COUNTIF(R15:R65,"&gt;3,95")</f>
        <v>0</v>
      </c>
      <c r="S68" s="84"/>
      <c r="T68" s="83">
        <f>COUNTIF(T$15:T$65,"EXCELENTE")</f>
        <v>0</v>
      </c>
    </row>
    <row r="69" spans="1:20" ht="12" customHeight="1" x14ac:dyDescent="0.35">
      <c r="C69" s="169">
        <f>COUNTIFS(C15:C65,"&gt;2,95",C15:C65,"&lt;3,95")</f>
        <v>0</v>
      </c>
      <c r="D69" s="169"/>
      <c r="E69" s="169">
        <f>COUNTIFS(E15:E65,"&gt;2,95",E15:E65,"&lt;3,95")</f>
        <v>0</v>
      </c>
      <c r="F69" s="169"/>
      <c r="G69" s="169">
        <f>COUNTIFS(L15:L65,"&gt;2,95",L15:L65,"&lt;3,95")</f>
        <v>0</v>
      </c>
      <c r="H69" s="169"/>
      <c r="I69" s="169"/>
      <c r="J69" s="169"/>
      <c r="K69" s="169"/>
      <c r="L69" s="169"/>
      <c r="M69" s="169"/>
      <c r="N69" s="169">
        <f>COUNTIFS(N15:N65,"&gt;2,95",N15:N65,"&lt;3,95")</f>
        <v>0</v>
      </c>
      <c r="O69" s="169"/>
      <c r="P69" s="169">
        <f>COUNTIFS(P15:P65,"&gt;2,95",P15:P65,"&lt;3,95")</f>
        <v>0</v>
      </c>
      <c r="Q69" s="169"/>
      <c r="R69" s="85">
        <f>COUNTIFS(R15:R65,"&gt;2,95",R15:R65,"&lt;3,95")</f>
        <v>0</v>
      </c>
      <c r="S69" s="84"/>
      <c r="T69" s="85">
        <f>COUNTIF(T$15:T$65,"BUENO")</f>
        <v>0</v>
      </c>
    </row>
    <row r="70" spans="1:20" ht="12" customHeight="1" x14ac:dyDescent="0.35">
      <c r="C70" s="170">
        <f>COUNTIFS(C15:C65,"&gt;1,95",C15:C65,"&lt;2,95")</f>
        <v>0</v>
      </c>
      <c r="D70" s="170"/>
      <c r="E70" s="170">
        <f>COUNTIFS(E15:E65,"&gt;1,95",E15:E65,"&lt;2,95")</f>
        <v>0</v>
      </c>
      <c r="F70" s="170"/>
      <c r="G70" s="170">
        <f>COUNTIFS(L15:L65,"&gt;1,95",L15:L65,"&lt;2,95")</f>
        <v>0</v>
      </c>
      <c r="H70" s="170"/>
      <c r="I70" s="170"/>
      <c r="J70" s="170"/>
      <c r="K70" s="170"/>
      <c r="L70" s="170"/>
      <c r="M70" s="170"/>
      <c r="N70" s="170">
        <f>COUNTIFS(N15:N65,"&gt;1,95",N15:N65,"&lt;2,95")</f>
        <v>0</v>
      </c>
      <c r="O70" s="170"/>
      <c r="P70" s="170">
        <f>COUNTIFS(P15:P65,"&gt;1,95",P15:P65,"&lt;2,95")</f>
        <v>0</v>
      </c>
      <c r="Q70" s="170"/>
      <c r="R70" s="86">
        <f>COUNTIFS(R15:R65,"&gt;1,95",R15:R65,"&lt;2,95")</f>
        <v>0</v>
      </c>
      <c r="S70" s="84"/>
      <c r="T70" s="86">
        <f>COUNTIF(T$15:T$65,"DEFICIENTE")</f>
        <v>0</v>
      </c>
    </row>
    <row r="71" spans="1:20" ht="12" customHeight="1" x14ac:dyDescent="0.35">
      <c r="C71" s="171">
        <f>COUNTIFS(C15:C65,"&gt;=0",C15:C65,"&lt;1,95")</f>
        <v>0</v>
      </c>
      <c r="D71" s="171"/>
      <c r="E71" s="171">
        <f>COUNTIFS(E15:E65,"&gt;=0",E15:E65,"&lt;1,95")</f>
        <v>0</v>
      </c>
      <c r="F71" s="171"/>
      <c r="G71" s="171">
        <f>COUNTIFS(L15:L65,"&gt;=0",L15:L65,"&lt;1,95")</f>
        <v>51</v>
      </c>
      <c r="H71" s="171"/>
      <c r="I71" s="171"/>
      <c r="J71" s="171"/>
      <c r="K71" s="171"/>
      <c r="L71" s="171"/>
      <c r="M71" s="171"/>
      <c r="N71" s="171">
        <f>COUNTIFS(N15:N65,"&gt;=0",N15:N65,"&lt;1,95")</f>
        <v>0</v>
      </c>
      <c r="O71" s="171"/>
      <c r="P71" s="171">
        <f>COUNTIFS(P15:P65,"&gt;=0",P15:P65,"&lt;1,95")</f>
        <v>0</v>
      </c>
      <c r="Q71" s="171"/>
      <c r="R71" s="87">
        <f>COUNTIFS(R15:R65,"&gt;=0",R15:R65,"&lt;1,95")</f>
        <v>51</v>
      </c>
      <c r="S71" s="84"/>
      <c r="T71" s="87">
        <f>COUNTIF(T$15:T$65,"INSUFICIENTE")</f>
        <v>51</v>
      </c>
    </row>
    <row r="72" spans="1:20" ht="11.5" customHeight="1" x14ac:dyDescent="0.35"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</row>
    <row r="73" spans="1:20" ht="12" customHeight="1" x14ac:dyDescent="0.35">
      <c r="B73" s="22" t="s">
        <v>42</v>
      </c>
      <c r="C73" s="167">
        <f>C68/COUNTA($A$15:$A$66)</f>
        <v>0</v>
      </c>
      <c r="D73" s="167"/>
      <c r="E73" s="167">
        <f>E68/COUNTA($A$15:$A$66)</f>
        <v>0</v>
      </c>
      <c r="F73" s="167"/>
      <c r="G73" s="167">
        <f>G68/COUNTA($A$15:$A$66)</f>
        <v>0</v>
      </c>
      <c r="H73" s="167"/>
      <c r="I73" s="167"/>
      <c r="J73" s="167"/>
      <c r="K73" s="167"/>
      <c r="L73" s="167"/>
      <c r="M73" s="167"/>
      <c r="N73" s="167">
        <f>N68/COUNTA($A$15:$A$66)</f>
        <v>0</v>
      </c>
      <c r="O73" s="167"/>
      <c r="P73" s="167">
        <f>P68/COUNTA($A$15:$A$66)</f>
        <v>0</v>
      </c>
      <c r="Q73" s="167"/>
      <c r="R73" s="89">
        <f>R68/COUNTA($A$15:$A$66)</f>
        <v>0</v>
      </c>
      <c r="S73" s="88"/>
      <c r="T73" s="89">
        <f>T68/COUNTA($A$15:$A$66)</f>
        <v>0</v>
      </c>
    </row>
    <row r="74" spans="1:20" ht="12" customHeight="1" x14ac:dyDescent="0.35">
      <c r="B74" s="22" t="s">
        <v>42</v>
      </c>
      <c r="C74" s="167">
        <f>C69/COUNTA($A$15:$A$66)</f>
        <v>0</v>
      </c>
      <c r="D74" s="167"/>
      <c r="E74" s="167">
        <f>E69/COUNTA($A$15:$A$66)</f>
        <v>0</v>
      </c>
      <c r="F74" s="167"/>
      <c r="G74" s="167">
        <f>G69/COUNTA($A$15:$A$66)</f>
        <v>0</v>
      </c>
      <c r="H74" s="167"/>
      <c r="I74" s="167"/>
      <c r="J74" s="167"/>
      <c r="K74" s="167"/>
      <c r="L74" s="167"/>
      <c r="M74" s="167"/>
      <c r="N74" s="167">
        <f>N69/COUNTA($A$15:$A$66)</f>
        <v>0</v>
      </c>
      <c r="O74" s="167"/>
      <c r="P74" s="167">
        <f>P69/COUNTA($A$15:$A$66)</f>
        <v>0</v>
      </c>
      <c r="Q74" s="167"/>
      <c r="R74" s="89">
        <f>R69/COUNTA($A$15:$A$66)</f>
        <v>0</v>
      </c>
      <c r="S74" s="88"/>
      <c r="T74" s="89">
        <f>T69/COUNTA($A$15:$A$66)</f>
        <v>0</v>
      </c>
    </row>
    <row r="75" spans="1:20" ht="12" customHeight="1" x14ac:dyDescent="0.35">
      <c r="B75" s="22" t="s">
        <v>42</v>
      </c>
      <c r="C75" s="167">
        <f>C70/COUNTA($A$15:$A$66)</f>
        <v>0</v>
      </c>
      <c r="D75" s="167"/>
      <c r="E75" s="167">
        <f>E70/COUNTA($A$15:$A$66)</f>
        <v>0</v>
      </c>
      <c r="F75" s="167"/>
      <c r="G75" s="167">
        <f>G70/COUNTA($A$15:$A$66)</f>
        <v>0</v>
      </c>
      <c r="H75" s="167"/>
      <c r="I75" s="167"/>
      <c r="J75" s="167"/>
      <c r="K75" s="167"/>
      <c r="L75" s="167"/>
      <c r="M75" s="167"/>
      <c r="N75" s="167">
        <f>N70/COUNTA($A$15:$A$66)</f>
        <v>0</v>
      </c>
      <c r="O75" s="167"/>
      <c r="P75" s="167">
        <f>P70/COUNTA($A$15:$A$66)</f>
        <v>0</v>
      </c>
      <c r="Q75" s="167"/>
      <c r="R75" s="89">
        <f>R70/COUNTA($A$15:$A$66)</f>
        <v>0</v>
      </c>
      <c r="S75" s="88"/>
      <c r="T75" s="89">
        <f>T70/COUNTA($A$15:$A$66)</f>
        <v>0</v>
      </c>
    </row>
    <row r="76" spans="1:20" ht="12" customHeight="1" x14ac:dyDescent="0.35">
      <c r="B76" s="22" t="s">
        <v>42</v>
      </c>
      <c r="C76" s="167">
        <f>C71/COUNTA($A$15:$A$66)</f>
        <v>0</v>
      </c>
      <c r="D76" s="167"/>
      <c r="E76" s="167">
        <f>E71/COUNTA($A$15:$A$66)</f>
        <v>0</v>
      </c>
      <c r="F76" s="167"/>
      <c r="G76" s="167">
        <f>G71/COUNTA($A$15:$A$66)</f>
        <v>1</v>
      </c>
      <c r="H76" s="167"/>
      <c r="I76" s="167"/>
      <c r="J76" s="167"/>
      <c r="K76" s="167"/>
      <c r="L76" s="167"/>
      <c r="M76" s="167"/>
      <c r="N76" s="167">
        <f>N71/COUNTA($A$15:$A$66)</f>
        <v>0</v>
      </c>
      <c r="O76" s="167"/>
      <c r="P76" s="167">
        <f>P71/COUNTA($A$15:$A$66)</f>
        <v>0</v>
      </c>
      <c r="Q76" s="167"/>
      <c r="R76" s="89">
        <f>R71/COUNTA($A$15:$A$66)</f>
        <v>1</v>
      </c>
      <c r="S76" s="88"/>
      <c r="T76" s="89">
        <f>T71/COUNTA($A$15:$A$66)</f>
        <v>1</v>
      </c>
    </row>
    <row r="78" spans="1:20" x14ac:dyDescent="0.35">
      <c r="P78" s="23"/>
    </row>
    <row r="79" spans="1:20" x14ac:dyDescent="0.35">
      <c r="P79" s="23"/>
    </row>
    <row r="80" spans="1:20" x14ac:dyDescent="0.35">
      <c r="P80" s="23"/>
    </row>
    <row r="81" spans="16:16" x14ac:dyDescent="0.35">
      <c r="P81" s="23"/>
    </row>
    <row r="83" spans="16:16" x14ac:dyDescent="0.35">
      <c r="P83" s="23"/>
    </row>
    <row r="84" spans="16:16" x14ac:dyDescent="0.35">
      <c r="P84" s="23"/>
    </row>
    <row r="85" spans="16:16" x14ac:dyDescent="0.35">
      <c r="P85" s="23"/>
    </row>
    <row r="86" spans="16:16" x14ac:dyDescent="0.35">
      <c r="P86" s="23"/>
    </row>
    <row r="88" spans="16:16" x14ac:dyDescent="0.35">
      <c r="P88" s="23"/>
    </row>
    <row r="89" spans="16:16" x14ac:dyDescent="0.35">
      <c r="P89" s="23"/>
    </row>
    <row r="90" spans="16:16" x14ac:dyDescent="0.35">
      <c r="P90" s="23"/>
    </row>
    <row r="91" spans="16:16" x14ac:dyDescent="0.35">
      <c r="P91" s="23"/>
    </row>
    <row r="93" spans="16:16" x14ac:dyDescent="0.35">
      <c r="P93" s="23"/>
    </row>
    <row r="94" spans="16:16" x14ac:dyDescent="0.35">
      <c r="P94" s="23"/>
    </row>
    <row r="95" spans="16:16" x14ac:dyDescent="0.35">
      <c r="P95" s="23"/>
    </row>
    <row r="96" spans="16:16" x14ac:dyDescent="0.35">
      <c r="P96" s="23"/>
    </row>
  </sheetData>
  <sheetProtection sheet="1" objects="1" scenarios="1"/>
  <mergeCells count="80">
    <mergeCell ref="C10:D10"/>
    <mergeCell ref="E10:F10"/>
    <mergeCell ref="G10:M10"/>
    <mergeCell ref="N10:O10"/>
    <mergeCell ref="P10:Q10"/>
    <mergeCell ref="A1:B3"/>
    <mergeCell ref="C1:P3"/>
    <mergeCell ref="Q1:T1"/>
    <mergeCell ref="Q2:T2"/>
    <mergeCell ref="Q3:T3"/>
    <mergeCell ref="P9:Q9"/>
    <mergeCell ref="C4:D4"/>
    <mergeCell ref="N4:O4"/>
    <mergeCell ref="C5:D5"/>
    <mergeCell ref="N5:O5"/>
    <mergeCell ref="C6:D6"/>
    <mergeCell ref="N6:O6"/>
    <mergeCell ref="G8:L8"/>
    <mergeCell ref="C9:D9"/>
    <mergeCell ref="E9:F9"/>
    <mergeCell ref="G9:M9"/>
    <mergeCell ref="N9:O9"/>
    <mergeCell ref="G11:M11"/>
    <mergeCell ref="N11:O11"/>
    <mergeCell ref="P11:Q11"/>
    <mergeCell ref="C13:D14"/>
    <mergeCell ref="E13:F14"/>
    <mergeCell ref="G13:M13"/>
    <mergeCell ref="N13:O14"/>
    <mergeCell ref="P13:Q14"/>
    <mergeCell ref="C12:D12"/>
    <mergeCell ref="E12:F12"/>
    <mergeCell ref="G12:M12"/>
    <mergeCell ref="N12:O12"/>
    <mergeCell ref="P12:Q12"/>
    <mergeCell ref="C11:D11"/>
    <mergeCell ref="E11:F11"/>
    <mergeCell ref="C68:D68"/>
    <mergeCell ref="E68:F68"/>
    <mergeCell ref="G68:M68"/>
    <mergeCell ref="N68:O68"/>
    <mergeCell ref="P68:Q68"/>
    <mergeCell ref="C69:D69"/>
    <mergeCell ref="E69:F69"/>
    <mergeCell ref="G69:M69"/>
    <mergeCell ref="N69:O69"/>
    <mergeCell ref="P69:Q69"/>
    <mergeCell ref="C70:D70"/>
    <mergeCell ref="E70:F70"/>
    <mergeCell ref="G70:M70"/>
    <mergeCell ref="N70:O70"/>
    <mergeCell ref="P70:Q70"/>
    <mergeCell ref="C71:D71"/>
    <mergeCell ref="E71:F71"/>
    <mergeCell ref="G71:M71"/>
    <mergeCell ref="N71:O71"/>
    <mergeCell ref="P71:Q71"/>
    <mergeCell ref="N74:O74"/>
    <mergeCell ref="P74:Q74"/>
    <mergeCell ref="C73:D73"/>
    <mergeCell ref="E73:F73"/>
    <mergeCell ref="G73:M73"/>
    <mergeCell ref="N73:O73"/>
    <mergeCell ref="P73:Q73"/>
    <mergeCell ref="A13:A14"/>
    <mergeCell ref="B13:B14"/>
    <mergeCell ref="R11:R14"/>
    <mergeCell ref="C76:D76"/>
    <mergeCell ref="E76:F76"/>
    <mergeCell ref="G76:M76"/>
    <mergeCell ref="N76:O76"/>
    <mergeCell ref="P76:Q76"/>
    <mergeCell ref="C75:D75"/>
    <mergeCell ref="E75:F75"/>
    <mergeCell ref="G75:M75"/>
    <mergeCell ref="N75:O75"/>
    <mergeCell ref="P75:Q75"/>
    <mergeCell ref="C74:D74"/>
    <mergeCell ref="E74:F74"/>
    <mergeCell ref="G74:M74"/>
  </mergeCells>
  <conditionalFormatting sqref="R8">
    <cfRule type="cellIs" dxfId="229" priority="35" operator="greaterThan">
      <formula>1</formula>
    </cfRule>
    <cfRule type="cellIs" dxfId="228" priority="36" operator="equal">
      <formula>1</formula>
    </cfRule>
    <cfRule type="cellIs" dxfId="227" priority="37" operator="greaterThan">
      <formula>101</formula>
    </cfRule>
    <cfRule type="cellIs" dxfId="226" priority="38" operator="equal">
      <formula>100</formula>
    </cfRule>
    <cfRule type="cellIs" dxfId="225" priority="39" operator="lessThan">
      <formula>1</formula>
    </cfRule>
  </conditionalFormatting>
  <conditionalFormatting sqref="R68 C68 E68 N68 G68">
    <cfRule type="expression" dxfId="224" priority="18">
      <formula>#REF!=EXCELENTE</formula>
    </cfRule>
  </conditionalFormatting>
  <conditionalFormatting sqref="T68:T71">
    <cfRule type="expression" dxfId="223" priority="17">
      <formula>#REF!=EXCELENTE</formula>
    </cfRule>
  </conditionalFormatting>
  <conditionalFormatting sqref="P68">
    <cfRule type="expression" dxfId="222" priority="16">
      <formula>#REF!=EXCELENTE</formula>
    </cfRule>
  </conditionalFormatting>
  <conditionalFormatting sqref="R15:R65">
    <cfRule type="cellIs" dxfId="221" priority="8" stopIfTrue="1" operator="between">
      <formula>0</formula>
      <formula>1.94</formula>
    </cfRule>
    <cfRule type="cellIs" dxfId="220" priority="9" operator="between">
      <formula>1.95</formula>
      <formula>2.94</formula>
    </cfRule>
    <cfRule type="cellIs" dxfId="219" priority="10" operator="between">
      <formula>2.95</formula>
      <formula>3.94</formula>
    </cfRule>
    <cfRule type="cellIs" dxfId="218" priority="11" operator="between">
      <formula>3.95</formula>
      <formula>5</formula>
    </cfRule>
  </conditionalFormatting>
  <conditionalFormatting sqref="T15:T65">
    <cfRule type="containsText" dxfId="217" priority="12" operator="containsText" text="INSUFICIENTE">
      <formula>NOT(ISERROR(SEARCH("INSUFICIENTE",T15)))</formula>
    </cfRule>
    <cfRule type="containsText" dxfId="216" priority="13" operator="containsText" text="DEFICIENTE">
      <formula>NOT(ISERROR(SEARCH("DEFICIENTE",T15)))</formula>
    </cfRule>
    <cfRule type="containsText" dxfId="215" priority="14" operator="containsText" text="BUENO">
      <formula>NOT(ISERROR(SEARCH("BUENO",T15)))</formula>
    </cfRule>
    <cfRule type="containsText" dxfId="214" priority="15" operator="containsText" text="EXCELENTE">
      <formula>NOT(ISERROR(SEARCH("EXCELENTE",T15)))</formula>
    </cfRule>
  </conditionalFormatting>
  <conditionalFormatting sqref="L14">
    <cfRule type="cellIs" dxfId="213" priority="1" operator="equal">
      <formula>1</formula>
    </cfRule>
    <cfRule type="cellIs" dxfId="212" priority="2" operator="lessThan">
      <formula>100</formula>
    </cfRule>
    <cfRule type="cellIs" dxfId="211" priority="3" operator="lessThan">
      <formula>1</formula>
    </cfRule>
    <cfRule type="cellIs" dxfId="210" priority="4" operator="equal">
      <formula>1</formula>
    </cfRule>
    <cfRule type="cellIs" dxfId="209" priority="5" operator="greaterThan">
      <formula>1</formula>
    </cfRule>
    <cfRule type="cellIs" dxfId="208" priority="6" operator="lessThan">
      <formula>1</formula>
    </cfRule>
    <cfRule type="cellIs" dxfId="207" priority="7" operator="equal">
      <formula>1</formula>
    </cfRule>
  </conditionalFormatting>
  <dataValidations count="1">
    <dataValidation type="custom" allowBlank="1" showInputMessage="1" showErrorMessage="1" errorTitle="Nota no permitida" error="Nota por fuera de rango" sqref="C15:Q65">
      <formula1>C15&lt;=5</formula1>
    </dataValidation>
  </dataValidations>
  <pageMargins left="0.7" right="0.7" top="0.75" bottom="0.75" header="0.3" footer="0.3"/>
  <pageSetup paperSize="9" scale="31" orientation="portrait" r:id="rId1"/>
  <colBreaks count="1" manualBreakCount="1">
    <brk id="20" max="80" man="1"/>
  </colBreaks>
  <ignoredErrors>
    <ignoredError sqref="M9:M12 G9:K12" unlocked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8"/>
  <sheetViews>
    <sheetView showGridLines="0" zoomScale="80" zoomScaleNormal="80" workbookViewId="0">
      <pane ySplit="11" topLeftCell="A12" activePane="bottomLeft" state="frozen"/>
      <selection pane="bottomLeft" activeCell="M15" sqref="M15:M47"/>
    </sheetView>
  </sheetViews>
  <sheetFormatPr baseColWidth="10" defaultRowHeight="14.5" x14ac:dyDescent="0.35"/>
  <cols>
    <col min="1" max="1" width="7.81640625" bestFit="1" customWidth="1"/>
    <col min="2" max="2" width="27.81640625" customWidth="1"/>
    <col min="3" max="3" width="18.1796875" customWidth="1"/>
    <col min="4" max="4" width="22.7265625" customWidth="1"/>
    <col min="5" max="5" width="5.81640625" customWidth="1"/>
    <col min="6" max="6" width="26.26953125" customWidth="1"/>
    <col min="7" max="7" width="5.81640625" customWidth="1"/>
    <col min="8" max="8" width="7.81640625" customWidth="1"/>
    <col min="9" max="9" width="6.453125" customWidth="1"/>
    <col min="10" max="10" width="5.54296875" customWidth="1"/>
    <col min="11" max="11" width="6.81640625" customWidth="1"/>
    <col min="12" max="12" width="9.26953125" customWidth="1"/>
    <col min="13" max="13" width="8.54296875" customWidth="1"/>
    <col min="14" max="14" width="17.26953125" customWidth="1"/>
    <col min="15" max="15" width="6.453125" customWidth="1"/>
    <col min="16" max="16" width="13.1796875" bestFit="1" customWidth="1"/>
  </cols>
  <sheetData>
    <row r="1" spans="1:20" ht="17.149999999999999" customHeight="1" x14ac:dyDescent="0.35">
      <c r="A1" s="211" t="s">
        <v>0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1"/>
    </row>
    <row r="2" spans="1:20" ht="13" customHeight="1" x14ac:dyDescent="0.35">
      <c r="A2" s="211"/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211"/>
    </row>
    <row r="3" spans="1:20" ht="13" customHeight="1" x14ac:dyDescent="0.35">
      <c r="A3" s="211"/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211"/>
      <c r="S3" s="211"/>
      <c r="T3" s="211"/>
    </row>
    <row r="4" spans="1:20" ht="13" customHeight="1" x14ac:dyDescent="0.35">
      <c r="D4" s="212" t="s">
        <v>1</v>
      </c>
      <c r="E4" s="213"/>
      <c r="F4" s="63" t="s">
        <v>25</v>
      </c>
      <c r="N4" s="214" t="s">
        <v>30</v>
      </c>
      <c r="O4" s="215"/>
      <c r="P4" s="65">
        <v>1</v>
      </c>
      <c r="Q4" s="1"/>
    </row>
    <row r="5" spans="1:20" ht="22.5" customHeight="1" x14ac:dyDescent="0.35">
      <c r="D5" s="216" t="s">
        <v>26</v>
      </c>
      <c r="E5" s="217"/>
      <c r="F5" s="63" t="s">
        <v>27</v>
      </c>
      <c r="N5" s="214" t="s">
        <v>31</v>
      </c>
      <c r="O5" s="215"/>
      <c r="P5" s="66">
        <v>1</v>
      </c>
      <c r="Q5" s="53"/>
    </row>
    <row r="6" spans="1:20" ht="20" x14ac:dyDescent="0.35">
      <c r="D6" s="218" t="s">
        <v>28</v>
      </c>
      <c r="E6" s="219"/>
      <c r="F6" s="64" t="s">
        <v>29</v>
      </c>
      <c r="N6" s="214" t="s">
        <v>32</v>
      </c>
      <c r="O6" s="215"/>
      <c r="P6" s="65" t="s">
        <v>33</v>
      </c>
      <c r="Q6" s="1"/>
      <c r="R6" s="69" t="s">
        <v>52</v>
      </c>
    </row>
    <row r="7" spans="1:20" x14ac:dyDescent="0.35">
      <c r="O7" s="52"/>
      <c r="P7" s="52"/>
      <c r="R7" s="51"/>
    </row>
    <row r="8" spans="1:20" ht="26" x14ac:dyDescent="0.35">
      <c r="D8" s="55" t="s">
        <v>2</v>
      </c>
      <c r="E8" s="56">
        <v>0.1</v>
      </c>
      <c r="F8" s="55" t="s">
        <v>5</v>
      </c>
      <c r="G8" s="56">
        <v>0.1</v>
      </c>
      <c r="H8" s="220" t="s">
        <v>10</v>
      </c>
      <c r="I8" s="220"/>
      <c r="J8" s="220"/>
      <c r="K8" s="220"/>
      <c r="L8" s="220"/>
      <c r="M8" s="57">
        <v>0.6</v>
      </c>
      <c r="N8" s="58" t="s">
        <v>14</v>
      </c>
      <c r="O8" s="57">
        <v>0.1</v>
      </c>
      <c r="P8" s="58" t="s">
        <v>15</v>
      </c>
      <c r="Q8" s="68">
        <v>0.1</v>
      </c>
      <c r="R8" s="70">
        <f>+E8+G8+M8+O8+Q8</f>
        <v>1</v>
      </c>
    </row>
    <row r="9" spans="1:20" ht="45" customHeight="1" x14ac:dyDescent="0.35">
      <c r="C9" s="59" t="s">
        <v>47</v>
      </c>
      <c r="D9" s="221" t="s">
        <v>34</v>
      </c>
      <c r="E9" s="221"/>
      <c r="F9" s="221" t="s">
        <v>46</v>
      </c>
      <c r="G9" s="222"/>
      <c r="H9" s="223" t="s">
        <v>11</v>
      </c>
      <c r="I9" s="223"/>
      <c r="J9" s="223"/>
      <c r="K9" s="223"/>
      <c r="L9" s="223"/>
      <c r="M9" s="223"/>
      <c r="N9" s="221" t="s">
        <v>16</v>
      </c>
      <c r="O9" s="221"/>
      <c r="P9" s="221" t="s">
        <v>20</v>
      </c>
      <c r="Q9" s="221"/>
    </row>
    <row r="10" spans="1:20" ht="28.5" customHeight="1" x14ac:dyDescent="0.35">
      <c r="C10" s="60" t="s">
        <v>48</v>
      </c>
      <c r="D10" s="221" t="s">
        <v>3</v>
      </c>
      <c r="E10" s="221"/>
      <c r="F10" s="221" t="s">
        <v>7</v>
      </c>
      <c r="G10" s="222"/>
      <c r="H10" s="223" t="s">
        <v>51</v>
      </c>
      <c r="I10" s="223"/>
      <c r="J10" s="223"/>
      <c r="K10" s="223"/>
      <c r="L10" s="223"/>
      <c r="M10" s="223"/>
      <c r="N10" s="221" t="s">
        <v>17</v>
      </c>
      <c r="O10" s="221"/>
      <c r="P10" s="221" t="s">
        <v>21</v>
      </c>
      <c r="Q10" s="221"/>
    </row>
    <row r="11" spans="1:20" ht="28.5" customHeight="1" x14ac:dyDescent="0.35">
      <c r="C11" s="61" t="s">
        <v>49</v>
      </c>
      <c r="D11" s="221" t="s">
        <v>35</v>
      </c>
      <c r="E11" s="221"/>
      <c r="F11" s="221" t="s">
        <v>8</v>
      </c>
      <c r="G11" s="222"/>
      <c r="H11" s="223" t="s">
        <v>12</v>
      </c>
      <c r="I11" s="223"/>
      <c r="J11" s="223"/>
      <c r="K11" s="223"/>
      <c r="L11" s="223"/>
      <c r="M11" s="223"/>
      <c r="N11" s="221" t="s">
        <v>18</v>
      </c>
      <c r="O11" s="221"/>
      <c r="P11" s="221" t="s">
        <v>22</v>
      </c>
      <c r="Q11" s="221"/>
      <c r="R11" s="226" t="s">
        <v>40</v>
      </c>
      <c r="S11" s="49"/>
    </row>
    <row r="12" spans="1:20" ht="35.15" customHeight="1" x14ac:dyDescent="0.35">
      <c r="C12" s="62" t="s">
        <v>50</v>
      </c>
      <c r="D12" s="221" t="s">
        <v>4</v>
      </c>
      <c r="E12" s="221"/>
      <c r="F12" s="221" t="s">
        <v>9</v>
      </c>
      <c r="G12" s="222"/>
      <c r="H12" s="223" t="s">
        <v>13</v>
      </c>
      <c r="I12" s="223"/>
      <c r="J12" s="223"/>
      <c r="K12" s="223"/>
      <c r="L12" s="223"/>
      <c r="M12" s="223"/>
      <c r="N12" s="221" t="s">
        <v>19</v>
      </c>
      <c r="O12" s="221"/>
      <c r="P12" s="221" t="s">
        <v>23</v>
      </c>
      <c r="Q12" s="221"/>
      <c r="R12" s="226"/>
      <c r="S12" s="49"/>
    </row>
    <row r="13" spans="1:20" ht="13" customHeight="1" x14ac:dyDescent="0.35">
      <c r="A13" s="50"/>
      <c r="B13" s="50"/>
      <c r="C13" s="50"/>
      <c r="D13" s="224" t="str">
        <f>+D8</f>
        <v>Recursos Utilizados</v>
      </c>
      <c r="E13" s="224"/>
      <c r="F13" s="224" t="str">
        <f>+F8</f>
        <v>Desarrollo</v>
      </c>
      <c r="G13" s="228"/>
      <c r="H13" s="230" t="str">
        <f>+H8</f>
        <v>Dominio</v>
      </c>
      <c r="I13" s="230"/>
      <c r="J13" s="230"/>
      <c r="K13" s="230"/>
      <c r="L13" s="230"/>
      <c r="M13" s="230"/>
      <c r="N13" s="224" t="str">
        <f>+N8</f>
        <v>Comunicación</v>
      </c>
      <c r="O13" s="224"/>
      <c r="P13" s="224" t="str">
        <f>+P8</f>
        <v>Respeto</v>
      </c>
      <c r="Q13" s="224"/>
      <c r="R13" s="11"/>
      <c r="S13" s="49"/>
      <c r="T13" s="11"/>
    </row>
    <row r="14" spans="1:20" ht="13" customHeight="1" x14ac:dyDescent="0.35">
      <c r="A14" s="67" t="s">
        <v>24</v>
      </c>
      <c r="B14" s="227" t="s">
        <v>44</v>
      </c>
      <c r="C14" s="227"/>
      <c r="D14" s="225"/>
      <c r="E14" s="225"/>
      <c r="F14" s="225"/>
      <c r="G14" s="229"/>
      <c r="H14" s="74">
        <v>0.1</v>
      </c>
      <c r="I14" s="74">
        <v>0.1</v>
      </c>
      <c r="J14" s="74">
        <v>0.2</v>
      </c>
      <c r="K14" s="74">
        <v>0.2</v>
      </c>
      <c r="L14" s="75">
        <v>0.4</v>
      </c>
      <c r="M14" s="72">
        <f>SUM(H14:L14)</f>
        <v>1</v>
      </c>
      <c r="N14" s="225"/>
      <c r="O14" s="225"/>
      <c r="P14" s="225"/>
      <c r="Q14" s="225"/>
      <c r="R14" s="71"/>
      <c r="S14" s="73"/>
      <c r="T14" s="71"/>
    </row>
    <row r="15" spans="1:20" ht="11.15" customHeight="1" x14ac:dyDescent="0.35">
      <c r="A15" s="13">
        <f>'CORTE 1 G1'!A15</f>
        <v>0</v>
      </c>
      <c r="B15" s="210">
        <f>'CORTE 1 G1'!B15:B15</f>
        <v>0</v>
      </c>
      <c r="C15" s="210"/>
      <c r="D15" s="15">
        <v>1</v>
      </c>
      <c r="E15" s="15">
        <f>D15*E$8</f>
        <v>0.1</v>
      </c>
      <c r="F15" s="15">
        <v>3</v>
      </c>
      <c r="G15" s="15">
        <f>F15*G$8</f>
        <v>0.30000000000000004</v>
      </c>
      <c r="H15" s="15">
        <v>2.6</v>
      </c>
      <c r="I15" s="15">
        <f>H15*I$11</f>
        <v>0</v>
      </c>
      <c r="J15" s="15">
        <v>1.6</v>
      </c>
      <c r="K15" s="15">
        <f>J15*K$11</f>
        <v>0</v>
      </c>
      <c r="L15" s="15">
        <v>3</v>
      </c>
      <c r="M15" s="15">
        <f>(SUMPRODUCT(H15:L15,$H$14:$L$14)*M8)</f>
        <v>1.0680000000000001</v>
      </c>
      <c r="N15" s="16">
        <f>SUM(E15+G15+I15+K15+M15)</f>
        <v>1.468</v>
      </c>
      <c r="P15" s="17" t="str">
        <f>IF(N15=" "," ",IF(N15&lt;1.95,"INSUFICIENTE",IF(N15&lt;2.95,"DEFICIENTE",IF(N15&lt;3.95,"BUENO","EXCELENTE"))))</f>
        <v>INSUFICIENTE</v>
      </c>
    </row>
    <row r="16" spans="1:20" ht="11.15" customHeight="1" x14ac:dyDescent="0.35">
      <c r="A16" s="13">
        <f>'CORTE 1 G1'!A16</f>
        <v>0</v>
      </c>
      <c r="B16" s="210">
        <f>'CORTE 1 G1'!B16:B16</f>
        <v>0</v>
      </c>
      <c r="C16" s="210"/>
      <c r="D16" s="15">
        <v>1</v>
      </c>
      <c r="E16" s="15">
        <f t="shared" ref="E16:E47" si="0">D16*E$8</f>
        <v>0.1</v>
      </c>
      <c r="F16" s="15">
        <v>3</v>
      </c>
      <c r="G16" s="15">
        <f t="shared" ref="G16:G47" si="1">F16*G$11</f>
        <v>0</v>
      </c>
      <c r="H16" s="15">
        <v>2.6</v>
      </c>
      <c r="I16" s="15">
        <f t="shared" ref="I16:I47" si="2">H16*I$11</f>
        <v>0</v>
      </c>
      <c r="J16" s="15">
        <v>1.6</v>
      </c>
      <c r="K16" s="15">
        <f t="shared" ref="K16" si="3">J16*K$11</f>
        <v>0</v>
      </c>
      <c r="L16" s="15">
        <v>3</v>
      </c>
      <c r="M16" s="15">
        <f t="shared" ref="M16:M47" si="4">(SUMPRODUCT(H16:L16,$H$14:$L$14)*M9)</f>
        <v>0</v>
      </c>
      <c r="N16" s="16">
        <f t="shared" ref="N16:N47" si="5">SUM(E16+G16+I16+K16+M16)</f>
        <v>0.1</v>
      </c>
      <c r="P16" s="17" t="str">
        <f t="shared" ref="P16:P47" si="6">IF(N16=" "," ",IF(N16&lt;1.95,"INSUFICIENTE",IF(N16&lt;2.95,"DEFICIENTE",IF(N16&lt;3.95,"BUENO","EXCELENTE"))))</f>
        <v>INSUFICIENTE</v>
      </c>
      <c r="R16" s="12"/>
    </row>
    <row r="17" spans="1:18" ht="11.15" customHeight="1" x14ac:dyDescent="0.35">
      <c r="A17" s="13">
        <f>'CORTE 1 G1'!A17</f>
        <v>0</v>
      </c>
      <c r="B17" s="210">
        <f>'CORTE 1 G1'!B17:B17</f>
        <v>0</v>
      </c>
      <c r="C17" s="210"/>
      <c r="D17" s="15">
        <v>1</v>
      </c>
      <c r="E17" s="15">
        <f t="shared" si="0"/>
        <v>0.1</v>
      </c>
      <c r="F17" s="15">
        <v>3</v>
      </c>
      <c r="G17" s="15">
        <f t="shared" si="1"/>
        <v>0</v>
      </c>
      <c r="H17" s="15">
        <v>2.6</v>
      </c>
      <c r="I17" s="15">
        <f t="shared" si="2"/>
        <v>0</v>
      </c>
      <c r="J17" s="15">
        <v>1.6</v>
      </c>
      <c r="K17" s="15">
        <f t="shared" ref="K17" si="7">J17*K$11</f>
        <v>0</v>
      </c>
      <c r="L17" s="15">
        <v>3</v>
      </c>
      <c r="M17" s="15">
        <f t="shared" si="4"/>
        <v>0</v>
      </c>
      <c r="N17" s="16">
        <f t="shared" si="5"/>
        <v>0.1</v>
      </c>
      <c r="P17" s="17" t="str">
        <f t="shared" si="6"/>
        <v>INSUFICIENTE</v>
      </c>
      <c r="R17" s="12"/>
    </row>
    <row r="18" spans="1:18" ht="11.15" customHeight="1" x14ac:dyDescent="0.35">
      <c r="A18" s="13">
        <f>'CORTE 1 G1'!A18</f>
        <v>0</v>
      </c>
      <c r="B18" s="210">
        <f>'CORTE 1 G1'!B18:B18</f>
        <v>0</v>
      </c>
      <c r="C18" s="210"/>
      <c r="D18" s="15">
        <v>1</v>
      </c>
      <c r="E18" s="15">
        <f t="shared" si="0"/>
        <v>0.1</v>
      </c>
      <c r="F18" s="15">
        <v>3</v>
      </c>
      <c r="G18" s="15">
        <f t="shared" si="1"/>
        <v>0</v>
      </c>
      <c r="H18" s="15">
        <v>2.6</v>
      </c>
      <c r="I18" s="15">
        <f t="shared" si="2"/>
        <v>0</v>
      </c>
      <c r="J18" s="15">
        <v>1.6</v>
      </c>
      <c r="K18" s="15">
        <f t="shared" ref="K18" si="8">J18*K$11</f>
        <v>0</v>
      </c>
      <c r="L18" s="15">
        <v>3</v>
      </c>
      <c r="M18" s="15">
        <f t="shared" si="4"/>
        <v>0</v>
      </c>
      <c r="N18" s="16">
        <f t="shared" si="5"/>
        <v>0.1</v>
      </c>
      <c r="P18" s="17" t="str">
        <f t="shared" si="6"/>
        <v>INSUFICIENTE</v>
      </c>
      <c r="R18" s="12"/>
    </row>
    <row r="19" spans="1:18" ht="11.15" customHeight="1" x14ac:dyDescent="0.35">
      <c r="A19" s="13">
        <f>'CORTE 1 G1'!A19</f>
        <v>0</v>
      </c>
      <c r="B19" s="210">
        <f>'CORTE 1 G1'!B19:B19</f>
        <v>0</v>
      </c>
      <c r="C19" s="210"/>
      <c r="D19" s="15">
        <v>3</v>
      </c>
      <c r="E19" s="15">
        <f t="shared" si="0"/>
        <v>0.30000000000000004</v>
      </c>
      <c r="F19" s="15">
        <v>3.5</v>
      </c>
      <c r="G19" s="15">
        <f t="shared" si="1"/>
        <v>0</v>
      </c>
      <c r="H19" s="15">
        <v>3.5</v>
      </c>
      <c r="I19" s="15">
        <f t="shared" si="2"/>
        <v>0</v>
      </c>
      <c r="J19" s="15">
        <v>2</v>
      </c>
      <c r="K19" s="15">
        <f t="shared" ref="K19" si="9">J19*K$11</f>
        <v>0</v>
      </c>
      <c r="L19" s="15">
        <v>3</v>
      </c>
      <c r="M19" s="15">
        <f t="shared" si="4"/>
        <v>0</v>
      </c>
      <c r="N19" s="16">
        <f t="shared" si="5"/>
        <v>0.30000000000000004</v>
      </c>
      <c r="P19" s="17" t="str">
        <f t="shared" si="6"/>
        <v>INSUFICIENTE</v>
      </c>
      <c r="R19" s="12"/>
    </row>
    <row r="20" spans="1:18" ht="11.15" customHeight="1" x14ac:dyDescent="0.35">
      <c r="A20" s="13">
        <f>'CORTE 1 G1'!A20</f>
        <v>0</v>
      </c>
      <c r="B20" s="210">
        <f>'CORTE 1 G1'!B20:B20</f>
        <v>0</v>
      </c>
      <c r="C20" s="210"/>
      <c r="D20" s="15">
        <v>1</v>
      </c>
      <c r="E20" s="15">
        <f t="shared" si="0"/>
        <v>0.1</v>
      </c>
      <c r="F20" s="15">
        <v>1</v>
      </c>
      <c r="G20" s="15">
        <f t="shared" si="1"/>
        <v>0</v>
      </c>
      <c r="H20" s="15">
        <v>3</v>
      </c>
      <c r="I20" s="15">
        <f t="shared" si="2"/>
        <v>0</v>
      </c>
      <c r="J20" s="15">
        <v>2.5</v>
      </c>
      <c r="K20" s="15">
        <f t="shared" ref="K20" si="10">J20*K$11</f>
        <v>0</v>
      </c>
      <c r="L20" s="15">
        <v>3.9</v>
      </c>
      <c r="M20" s="15">
        <f t="shared" si="4"/>
        <v>0</v>
      </c>
      <c r="N20" s="16">
        <f t="shared" si="5"/>
        <v>0.1</v>
      </c>
      <c r="P20" s="17" t="str">
        <f t="shared" si="6"/>
        <v>INSUFICIENTE</v>
      </c>
    </row>
    <row r="21" spans="1:18" ht="11.15" customHeight="1" x14ac:dyDescent="0.35">
      <c r="A21" s="13">
        <f>'CORTE 1 G1'!A21</f>
        <v>0</v>
      </c>
      <c r="B21" s="210">
        <f>'CORTE 1 G1'!B21:B21</f>
        <v>0</v>
      </c>
      <c r="C21" s="210"/>
      <c r="D21" s="15">
        <v>1</v>
      </c>
      <c r="E21" s="15">
        <f t="shared" si="0"/>
        <v>0.1</v>
      </c>
      <c r="F21" s="15">
        <v>3</v>
      </c>
      <c r="G21" s="15">
        <f t="shared" si="1"/>
        <v>0</v>
      </c>
      <c r="H21" s="15">
        <v>2.6</v>
      </c>
      <c r="I21" s="15">
        <f t="shared" si="2"/>
        <v>0</v>
      </c>
      <c r="J21" s="15">
        <v>1.6</v>
      </c>
      <c r="K21" s="15">
        <f t="shared" ref="K21" si="11">J21*K$11</f>
        <v>0</v>
      </c>
      <c r="L21" s="15">
        <v>3</v>
      </c>
      <c r="M21" s="15">
        <f t="shared" si="4"/>
        <v>1.7800000000000002</v>
      </c>
      <c r="N21" s="16">
        <f t="shared" si="5"/>
        <v>1.8800000000000003</v>
      </c>
      <c r="P21" s="17" t="str">
        <f t="shared" si="6"/>
        <v>INSUFICIENTE</v>
      </c>
    </row>
    <row r="22" spans="1:18" ht="11.15" customHeight="1" x14ac:dyDescent="0.35">
      <c r="A22" s="13">
        <f>'CORTE 1 G1'!A22</f>
        <v>0</v>
      </c>
      <c r="B22" s="210">
        <f>'CORTE 1 G1'!B22:B22</f>
        <v>0</v>
      </c>
      <c r="C22" s="210"/>
      <c r="D22" s="15">
        <v>3</v>
      </c>
      <c r="E22" s="15">
        <f t="shared" si="0"/>
        <v>0.30000000000000004</v>
      </c>
      <c r="F22" s="15">
        <v>3</v>
      </c>
      <c r="G22" s="15">
        <f t="shared" si="1"/>
        <v>0</v>
      </c>
      <c r="H22" s="15">
        <v>4</v>
      </c>
      <c r="I22" s="15">
        <f t="shared" si="2"/>
        <v>0</v>
      </c>
      <c r="J22" s="15">
        <v>4</v>
      </c>
      <c r="K22" s="15">
        <f t="shared" ref="K22" si="12">J22*K$11</f>
        <v>0</v>
      </c>
      <c r="L22" s="15">
        <v>3</v>
      </c>
      <c r="M22" s="15">
        <f t="shared" si="4"/>
        <v>2.5632000000000006</v>
      </c>
      <c r="N22" s="16">
        <f t="shared" si="5"/>
        <v>2.8632000000000009</v>
      </c>
      <c r="P22" s="17" t="str">
        <f t="shared" si="6"/>
        <v>DEFICIENTE</v>
      </c>
    </row>
    <row r="23" spans="1:18" ht="11.15" customHeight="1" x14ac:dyDescent="0.35">
      <c r="A23" s="13">
        <f>'CORTE 1 G1'!A23</f>
        <v>0</v>
      </c>
      <c r="B23" s="210">
        <f>'CORTE 1 G1'!B23:B23</f>
        <v>0</v>
      </c>
      <c r="C23" s="210"/>
      <c r="D23" s="15">
        <v>4.5999999999999996</v>
      </c>
      <c r="E23" s="15">
        <f t="shared" si="0"/>
        <v>0.45999999999999996</v>
      </c>
      <c r="F23" s="15">
        <v>3</v>
      </c>
      <c r="G23" s="15">
        <f t="shared" si="1"/>
        <v>0</v>
      </c>
      <c r="H23" s="15">
        <v>2.6</v>
      </c>
      <c r="I23" s="15">
        <f t="shared" si="2"/>
        <v>0</v>
      </c>
      <c r="J23" s="15">
        <v>1.6</v>
      </c>
      <c r="K23" s="15">
        <f t="shared" ref="K23" si="13">J23*K$11</f>
        <v>0</v>
      </c>
      <c r="L23" s="15">
        <v>3</v>
      </c>
      <c r="M23" s="15">
        <f t="shared" si="4"/>
        <v>0</v>
      </c>
      <c r="N23" s="16">
        <f t="shared" si="5"/>
        <v>0.45999999999999996</v>
      </c>
      <c r="P23" s="17" t="str">
        <f t="shared" si="6"/>
        <v>INSUFICIENTE</v>
      </c>
    </row>
    <row r="24" spans="1:18" ht="11.15" customHeight="1" x14ac:dyDescent="0.35">
      <c r="A24" s="13">
        <f>'CORTE 1 G1'!A24</f>
        <v>0</v>
      </c>
      <c r="B24" s="210">
        <f>'CORTE 1 G1'!B24:B24</f>
        <v>0</v>
      </c>
      <c r="C24" s="210"/>
      <c r="D24" s="15">
        <v>1</v>
      </c>
      <c r="E24" s="15">
        <f t="shared" si="0"/>
        <v>0.1</v>
      </c>
      <c r="F24" s="15">
        <v>3</v>
      </c>
      <c r="G24" s="15">
        <f t="shared" si="1"/>
        <v>0</v>
      </c>
      <c r="H24" s="15">
        <v>2.6</v>
      </c>
      <c r="I24" s="15">
        <f t="shared" si="2"/>
        <v>0</v>
      </c>
      <c r="J24" s="15">
        <v>1.6</v>
      </c>
      <c r="K24" s="15">
        <f t="shared" ref="K24" si="14">J24*K$11</f>
        <v>0</v>
      </c>
      <c r="L24" s="15">
        <v>3</v>
      </c>
      <c r="M24" s="15">
        <f t="shared" si="4"/>
        <v>0</v>
      </c>
      <c r="N24" s="16">
        <f t="shared" si="5"/>
        <v>0.1</v>
      </c>
      <c r="P24" s="17" t="str">
        <f t="shared" si="6"/>
        <v>INSUFICIENTE</v>
      </c>
    </row>
    <row r="25" spans="1:18" ht="11.15" customHeight="1" x14ac:dyDescent="0.35">
      <c r="A25" s="13">
        <f>'CORTE 1 G1'!A25</f>
        <v>0</v>
      </c>
      <c r="B25" s="210">
        <f>'CORTE 1 G1'!B25:B25</f>
        <v>0</v>
      </c>
      <c r="C25" s="210"/>
      <c r="D25" s="15">
        <v>1</v>
      </c>
      <c r="E25" s="15">
        <f t="shared" si="0"/>
        <v>0.1</v>
      </c>
      <c r="F25" s="15">
        <v>3</v>
      </c>
      <c r="G25" s="15">
        <f t="shared" si="1"/>
        <v>0</v>
      </c>
      <c r="H25" s="15">
        <v>2.6</v>
      </c>
      <c r="I25" s="15">
        <f t="shared" si="2"/>
        <v>0</v>
      </c>
      <c r="J25" s="15">
        <v>1.6</v>
      </c>
      <c r="K25" s="15">
        <f t="shared" ref="K25" si="15">J25*K$11</f>
        <v>0</v>
      </c>
      <c r="L25" s="15">
        <v>3</v>
      </c>
      <c r="M25" s="15">
        <f t="shared" si="4"/>
        <v>0</v>
      </c>
      <c r="N25" s="16">
        <f t="shared" si="5"/>
        <v>0.1</v>
      </c>
      <c r="P25" s="17" t="str">
        <f t="shared" si="6"/>
        <v>INSUFICIENTE</v>
      </c>
    </row>
    <row r="26" spans="1:18" ht="11.15" customHeight="1" x14ac:dyDescent="0.35">
      <c r="A26" s="13">
        <f>'CORTE 1 G1'!A26</f>
        <v>0</v>
      </c>
      <c r="B26" s="210">
        <f>'CORTE 1 G1'!B26:B26</f>
        <v>0</v>
      </c>
      <c r="C26" s="210"/>
      <c r="D26" s="15">
        <v>2</v>
      </c>
      <c r="E26" s="15">
        <f t="shared" si="0"/>
        <v>0.2</v>
      </c>
      <c r="F26" s="15">
        <v>3</v>
      </c>
      <c r="G26" s="15">
        <f t="shared" si="1"/>
        <v>0</v>
      </c>
      <c r="H26" s="15">
        <v>2.6</v>
      </c>
      <c r="I26" s="15">
        <f t="shared" si="2"/>
        <v>0</v>
      </c>
      <c r="J26" s="15">
        <v>1.6</v>
      </c>
      <c r="K26" s="15">
        <f t="shared" ref="K26" si="16">J26*K$11</f>
        <v>0</v>
      </c>
      <c r="L26" s="15">
        <v>3</v>
      </c>
      <c r="M26" s="15">
        <f t="shared" si="4"/>
        <v>0</v>
      </c>
      <c r="N26" s="16">
        <f t="shared" si="5"/>
        <v>0.2</v>
      </c>
      <c r="P26" s="17" t="str">
        <f t="shared" si="6"/>
        <v>INSUFICIENTE</v>
      </c>
    </row>
    <row r="27" spans="1:18" ht="11.15" customHeight="1" x14ac:dyDescent="0.35">
      <c r="A27" s="13">
        <f>'CORTE 1 G1'!A27</f>
        <v>0</v>
      </c>
      <c r="B27" s="210">
        <f>'CORTE 1 G1'!B27:B27</f>
        <v>0</v>
      </c>
      <c r="C27" s="210"/>
      <c r="D27" s="15">
        <v>1</v>
      </c>
      <c r="E27" s="15">
        <f t="shared" si="0"/>
        <v>0.1</v>
      </c>
      <c r="F27" s="15">
        <v>3</v>
      </c>
      <c r="G27" s="15">
        <f t="shared" si="1"/>
        <v>0</v>
      </c>
      <c r="H27" s="15">
        <v>2.6</v>
      </c>
      <c r="I27" s="15">
        <f t="shared" si="2"/>
        <v>0</v>
      </c>
      <c r="J27" s="15">
        <v>1.6</v>
      </c>
      <c r="K27" s="15">
        <f t="shared" ref="K27" si="17">J27*K$11</f>
        <v>0</v>
      </c>
      <c r="L27" s="15">
        <v>3</v>
      </c>
      <c r="M27" s="15">
        <f t="shared" si="4"/>
        <v>0</v>
      </c>
      <c r="N27" s="16">
        <f t="shared" si="5"/>
        <v>0.1</v>
      </c>
      <c r="P27" s="17" t="str">
        <f t="shared" si="6"/>
        <v>INSUFICIENTE</v>
      </c>
    </row>
    <row r="28" spans="1:18" ht="11.15" customHeight="1" x14ac:dyDescent="0.35">
      <c r="A28" s="13">
        <f>'CORTE 1 G1'!A28</f>
        <v>0</v>
      </c>
      <c r="B28" s="210">
        <f>'CORTE 1 G1'!B28:B28</f>
        <v>0</v>
      </c>
      <c r="C28" s="210"/>
      <c r="D28" s="15">
        <v>2.5</v>
      </c>
      <c r="E28" s="15">
        <f t="shared" si="0"/>
        <v>0.25</v>
      </c>
      <c r="F28" s="15">
        <v>3</v>
      </c>
      <c r="G28" s="15">
        <f t="shared" si="1"/>
        <v>0</v>
      </c>
      <c r="H28" s="15">
        <v>2.6</v>
      </c>
      <c r="I28" s="15">
        <f t="shared" si="2"/>
        <v>0</v>
      </c>
      <c r="J28" s="15">
        <v>1.6</v>
      </c>
      <c r="K28" s="15">
        <f t="shared" ref="K28" si="18">J28*K$11</f>
        <v>0</v>
      </c>
      <c r="L28" s="15">
        <v>3</v>
      </c>
      <c r="M28" s="15">
        <f t="shared" si="4"/>
        <v>3.168400000000001</v>
      </c>
      <c r="N28" s="16">
        <f t="shared" si="5"/>
        <v>3.418400000000001</v>
      </c>
      <c r="P28" s="17" t="str">
        <f t="shared" si="6"/>
        <v>BUENO</v>
      </c>
    </row>
    <row r="29" spans="1:18" ht="11.15" customHeight="1" x14ac:dyDescent="0.35">
      <c r="A29" s="13">
        <f>'CORTE 1 G1'!A29</f>
        <v>0</v>
      </c>
      <c r="B29" s="210">
        <f>'CORTE 1 G1'!B29:B29</f>
        <v>0</v>
      </c>
      <c r="C29" s="210"/>
      <c r="D29" s="15">
        <v>1.3</v>
      </c>
      <c r="E29" s="15">
        <f t="shared" si="0"/>
        <v>0.13</v>
      </c>
      <c r="F29" s="15">
        <v>3</v>
      </c>
      <c r="G29" s="15">
        <f t="shared" si="1"/>
        <v>0</v>
      </c>
      <c r="H29" s="15">
        <v>2.6</v>
      </c>
      <c r="I29" s="15">
        <f t="shared" si="2"/>
        <v>0</v>
      </c>
      <c r="J29" s="15">
        <v>1.6</v>
      </c>
      <c r="K29" s="15">
        <f t="shared" ref="K29" si="19">J29*K$11</f>
        <v>0</v>
      </c>
      <c r="L29" s="15">
        <v>3</v>
      </c>
      <c r="M29" s="15">
        <f t="shared" si="4"/>
        <v>4.5624960000000021</v>
      </c>
      <c r="N29" s="16">
        <f t="shared" si="5"/>
        <v>4.692496000000002</v>
      </c>
      <c r="P29" s="17" t="str">
        <f t="shared" si="6"/>
        <v>EXCELENTE</v>
      </c>
    </row>
    <row r="30" spans="1:18" ht="11.15" customHeight="1" x14ac:dyDescent="0.35">
      <c r="A30" s="13">
        <f>'CORTE 1 G1'!A30</f>
        <v>0</v>
      </c>
      <c r="B30" s="210">
        <f>'CORTE 1 G1'!B30:B30</f>
        <v>0</v>
      </c>
      <c r="C30" s="210"/>
      <c r="D30" s="15">
        <v>1</v>
      </c>
      <c r="E30" s="15">
        <f t="shared" si="0"/>
        <v>0.1</v>
      </c>
      <c r="F30" s="15">
        <v>3</v>
      </c>
      <c r="G30" s="15">
        <f t="shared" si="1"/>
        <v>0</v>
      </c>
      <c r="H30" s="15">
        <v>2.6</v>
      </c>
      <c r="I30" s="15">
        <f t="shared" si="2"/>
        <v>0</v>
      </c>
      <c r="J30" s="15">
        <v>1.6</v>
      </c>
      <c r="K30" s="15">
        <f t="shared" ref="K30" si="20">J30*K$11</f>
        <v>0</v>
      </c>
      <c r="L30" s="15">
        <v>3</v>
      </c>
      <c r="M30" s="15">
        <f t="shared" si="4"/>
        <v>0</v>
      </c>
      <c r="N30" s="16">
        <f t="shared" si="5"/>
        <v>0.1</v>
      </c>
      <c r="P30" s="17" t="str">
        <f t="shared" si="6"/>
        <v>INSUFICIENTE</v>
      </c>
    </row>
    <row r="31" spans="1:18" ht="11.15" customHeight="1" x14ac:dyDescent="0.35">
      <c r="A31" s="13">
        <f>'CORTE 1 G1'!A31</f>
        <v>0</v>
      </c>
      <c r="B31" s="210">
        <f>'CORTE 1 G1'!B31:B31</f>
        <v>0</v>
      </c>
      <c r="C31" s="210"/>
      <c r="D31" s="15">
        <v>2</v>
      </c>
      <c r="E31" s="15">
        <f t="shared" si="0"/>
        <v>0.2</v>
      </c>
      <c r="F31" s="15">
        <v>3</v>
      </c>
      <c r="G31" s="15">
        <f t="shared" si="1"/>
        <v>0</v>
      </c>
      <c r="H31" s="15">
        <v>2.6</v>
      </c>
      <c r="I31" s="15">
        <f t="shared" si="2"/>
        <v>0</v>
      </c>
      <c r="J31" s="15">
        <v>1.6</v>
      </c>
      <c r="K31" s="15">
        <f t="shared" ref="K31" si="21">J31*K$11</f>
        <v>0</v>
      </c>
      <c r="L31" s="15">
        <v>3</v>
      </c>
      <c r="M31" s="15">
        <f t="shared" si="4"/>
        <v>0</v>
      </c>
      <c r="N31" s="16">
        <f t="shared" si="5"/>
        <v>0.2</v>
      </c>
      <c r="P31" s="17" t="str">
        <f t="shared" si="6"/>
        <v>INSUFICIENTE</v>
      </c>
    </row>
    <row r="32" spans="1:18" ht="11.15" customHeight="1" x14ac:dyDescent="0.35">
      <c r="A32" s="13">
        <f>'CORTE 1 G1'!A32</f>
        <v>0</v>
      </c>
      <c r="B32" s="210">
        <f>'CORTE 1 G1'!B32:B32</f>
        <v>0</v>
      </c>
      <c r="C32" s="210"/>
      <c r="D32" s="15">
        <v>5</v>
      </c>
      <c r="E32" s="15">
        <f t="shared" si="0"/>
        <v>0.5</v>
      </c>
      <c r="F32" s="15">
        <v>3</v>
      </c>
      <c r="G32" s="15">
        <f t="shared" si="1"/>
        <v>0</v>
      </c>
      <c r="H32" s="15">
        <v>2.6</v>
      </c>
      <c r="I32" s="15">
        <f t="shared" si="2"/>
        <v>0</v>
      </c>
      <c r="J32" s="15">
        <v>1.6</v>
      </c>
      <c r="K32" s="15">
        <f t="shared" ref="K32" si="22">J32*K$11</f>
        <v>0</v>
      </c>
      <c r="L32" s="15">
        <v>3</v>
      </c>
      <c r="M32" s="15">
        <f t="shared" si="4"/>
        <v>0</v>
      </c>
      <c r="N32" s="16">
        <f t="shared" si="5"/>
        <v>0.5</v>
      </c>
      <c r="P32" s="17" t="str">
        <f t="shared" si="6"/>
        <v>INSUFICIENTE</v>
      </c>
    </row>
    <row r="33" spans="1:16" ht="11.15" customHeight="1" x14ac:dyDescent="0.35">
      <c r="A33" s="13">
        <f>'CORTE 1 G1'!A33</f>
        <v>0</v>
      </c>
      <c r="B33" s="210">
        <f>'CORTE 1 G1'!B33:B33</f>
        <v>0</v>
      </c>
      <c r="C33" s="210"/>
      <c r="D33" s="15">
        <v>4</v>
      </c>
      <c r="E33" s="15">
        <f t="shared" si="0"/>
        <v>0.4</v>
      </c>
      <c r="F33" s="15">
        <v>3.8</v>
      </c>
      <c r="G33" s="15">
        <f t="shared" si="1"/>
        <v>0</v>
      </c>
      <c r="H33" s="15">
        <v>4</v>
      </c>
      <c r="I33" s="15">
        <f t="shared" si="2"/>
        <v>0</v>
      </c>
      <c r="J33" s="15">
        <v>4.5</v>
      </c>
      <c r="K33" s="15">
        <f t="shared" ref="K33" si="23">J33*K$11</f>
        <v>0</v>
      </c>
      <c r="L33" s="15">
        <v>5</v>
      </c>
      <c r="M33" s="15">
        <f t="shared" si="4"/>
        <v>0</v>
      </c>
      <c r="N33" s="16">
        <f t="shared" si="5"/>
        <v>0.4</v>
      </c>
      <c r="P33" s="17" t="str">
        <f t="shared" si="6"/>
        <v>INSUFICIENTE</v>
      </c>
    </row>
    <row r="34" spans="1:16" ht="11.15" customHeight="1" x14ac:dyDescent="0.35">
      <c r="A34" s="13">
        <f>'CORTE 1 G1'!A34</f>
        <v>0</v>
      </c>
      <c r="B34" s="210">
        <f>'CORTE 1 G1'!B34:B34</f>
        <v>0</v>
      </c>
      <c r="C34" s="210"/>
      <c r="D34" s="15">
        <v>3.2</v>
      </c>
      <c r="E34" s="15">
        <f t="shared" si="0"/>
        <v>0.32000000000000006</v>
      </c>
      <c r="F34" s="15">
        <v>3</v>
      </c>
      <c r="G34" s="15">
        <f t="shared" si="1"/>
        <v>0</v>
      </c>
      <c r="H34" s="15">
        <v>2.6</v>
      </c>
      <c r="I34" s="15">
        <f t="shared" si="2"/>
        <v>0</v>
      </c>
      <c r="J34" s="15">
        <v>1.6</v>
      </c>
      <c r="K34" s="15">
        <f t="shared" ref="K34" si="24">J34*K$11</f>
        <v>0</v>
      </c>
      <c r="L34" s="15">
        <v>3</v>
      </c>
      <c r="M34" s="15">
        <f t="shared" si="4"/>
        <v>0</v>
      </c>
      <c r="N34" s="16">
        <f t="shared" si="5"/>
        <v>0.32000000000000006</v>
      </c>
      <c r="P34" s="17" t="str">
        <f t="shared" si="6"/>
        <v>INSUFICIENTE</v>
      </c>
    </row>
    <row r="35" spans="1:16" ht="11.15" customHeight="1" x14ac:dyDescent="0.35">
      <c r="A35" s="13">
        <f>'CORTE 1 G1'!A35</f>
        <v>0</v>
      </c>
      <c r="B35" s="210">
        <f>'CORTE 1 G1'!B35:B35</f>
        <v>0</v>
      </c>
      <c r="C35" s="210"/>
      <c r="D35" s="15">
        <v>3.2</v>
      </c>
      <c r="E35" s="15">
        <f t="shared" si="0"/>
        <v>0.32000000000000006</v>
      </c>
      <c r="F35" s="15">
        <v>3</v>
      </c>
      <c r="G35" s="15">
        <f t="shared" si="1"/>
        <v>0</v>
      </c>
      <c r="H35" s="15">
        <v>2.6</v>
      </c>
      <c r="I35" s="15">
        <f t="shared" si="2"/>
        <v>0</v>
      </c>
      <c r="J35" s="15">
        <v>1.6</v>
      </c>
      <c r="K35" s="15">
        <f t="shared" ref="K35" si="25">J35*K$11</f>
        <v>0</v>
      </c>
      <c r="L35" s="15">
        <v>3</v>
      </c>
      <c r="M35" s="15">
        <f t="shared" si="4"/>
        <v>5.6397520000000023</v>
      </c>
      <c r="N35" s="16">
        <f t="shared" si="5"/>
        <v>5.9597520000000026</v>
      </c>
      <c r="P35" s="17" t="str">
        <f t="shared" si="6"/>
        <v>EXCELENTE</v>
      </c>
    </row>
    <row r="36" spans="1:16" ht="11.15" customHeight="1" x14ac:dyDescent="0.35">
      <c r="A36" s="13">
        <f>'CORTE 1 G1'!A36</f>
        <v>0</v>
      </c>
      <c r="B36" s="210">
        <f>'CORTE 1 G1'!B36:B36</f>
        <v>0</v>
      </c>
      <c r="C36" s="210"/>
      <c r="D36" s="15">
        <v>2.9</v>
      </c>
      <c r="E36" s="15">
        <f t="shared" si="0"/>
        <v>0.28999999999999998</v>
      </c>
      <c r="F36" s="15">
        <v>3</v>
      </c>
      <c r="G36" s="15">
        <f t="shared" si="1"/>
        <v>0</v>
      </c>
      <c r="H36" s="15">
        <v>2.6</v>
      </c>
      <c r="I36" s="15">
        <f t="shared" si="2"/>
        <v>0</v>
      </c>
      <c r="J36" s="15">
        <v>1.6</v>
      </c>
      <c r="K36" s="15">
        <f t="shared" ref="K36" si="26">J36*K$11</f>
        <v>0</v>
      </c>
      <c r="L36" s="15">
        <v>3</v>
      </c>
      <c r="M36" s="15">
        <f t="shared" si="4"/>
        <v>8.121242880000004</v>
      </c>
      <c r="N36" s="16">
        <f t="shared" si="5"/>
        <v>8.4112428800000032</v>
      </c>
      <c r="P36" s="17" t="str">
        <f t="shared" si="6"/>
        <v>EXCELENTE</v>
      </c>
    </row>
    <row r="37" spans="1:16" ht="11.15" customHeight="1" x14ac:dyDescent="0.35">
      <c r="A37" s="13">
        <f>'CORTE 1 G1'!A37</f>
        <v>0</v>
      </c>
      <c r="B37" s="210">
        <f>'CORTE 1 G1'!B37:B37</f>
        <v>0</v>
      </c>
      <c r="C37" s="210"/>
      <c r="D37" s="15">
        <v>2.5</v>
      </c>
      <c r="E37" s="15">
        <f t="shared" si="0"/>
        <v>0.25</v>
      </c>
      <c r="F37" s="15">
        <v>3</v>
      </c>
      <c r="G37" s="15">
        <f t="shared" si="1"/>
        <v>0</v>
      </c>
      <c r="H37" s="15">
        <v>2.6</v>
      </c>
      <c r="I37" s="15">
        <f t="shared" si="2"/>
        <v>0</v>
      </c>
      <c r="J37" s="15">
        <v>1.6</v>
      </c>
      <c r="K37" s="15">
        <f t="shared" ref="K37" si="27">J37*K$11</f>
        <v>0</v>
      </c>
      <c r="L37" s="15">
        <v>3</v>
      </c>
      <c r="M37" s="15">
        <f t="shared" si="4"/>
        <v>0</v>
      </c>
      <c r="N37" s="16">
        <f t="shared" si="5"/>
        <v>0.25</v>
      </c>
      <c r="P37" s="17" t="str">
        <f t="shared" si="6"/>
        <v>INSUFICIENTE</v>
      </c>
    </row>
    <row r="38" spans="1:16" ht="11.15" customHeight="1" x14ac:dyDescent="0.35">
      <c r="A38" s="13">
        <f>'CORTE 1 G1'!A38</f>
        <v>0</v>
      </c>
      <c r="B38" s="210">
        <f>'CORTE 1 G1'!B38:B38</f>
        <v>0</v>
      </c>
      <c r="C38" s="210"/>
      <c r="D38" s="15">
        <v>5</v>
      </c>
      <c r="E38" s="15">
        <f t="shared" si="0"/>
        <v>0.5</v>
      </c>
      <c r="F38" s="15">
        <v>3</v>
      </c>
      <c r="G38" s="15">
        <f t="shared" si="1"/>
        <v>0</v>
      </c>
      <c r="H38" s="15">
        <v>2.6</v>
      </c>
      <c r="I38" s="15">
        <f t="shared" si="2"/>
        <v>0</v>
      </c>
      <c r="J38" s="15">
        <v>1.6</v>
      </c>
      <c r="K38" s="15">
        <f t="shared" ref="K38" si="28">J38*K$11</f>
        <v>0</v>
      </c>
      <c r="L38" s="15">
        <v>3</v>
      </c>
      <c r="M38" s="15">
        <f t="shared" si="4"/>
        <v>0</v>
      </c>
      <c r="N38" s="16">
        <f t="shared" si="5"/>
        <v>0.5</v>
      </c>
      <c r="P38" s="17" t="str">
        <f t="shared" si="6"/>
        <v>INSUFICIENTE</v>
      </c>
    </row>
    <row r="39" spans="1:16" ht="11.15" customHeight="1" x14ac:dyDescent="0.35">
      <c r="A39" s="13">
        <f>'CORTE 1 G1'!A39</f>
        <v>0</v>
      </c>
      <c r="B39" s="210">
        <f>'CORTE 1 G1'!B39:B39</f>
        <v>0</v>
      </c>
      <c r="C39" s="210"/>
      <c r="D39" s="15">
        <v>1.3</v>
      </c>
      <c r="E39" s="15">
        <f t="shared" si="0"/>
        <v>0.13</v>
      </c>
      <c r="F39" s="15">
        <v>3</v>
      </c>
      <c r="G39" s="15">
        <f t="shared" si="1"/>
        <v>0</v>
      </c>
      <c r="H39" s="15">
        <v>2.6</v>
      </c>
      <c r="I39" s="15">
        <f t="shared" si="2"/>
        <v>0</v>
      </c>
      <c r="J39" s="15">
        <v>1.6</v>
      </c>
      <c r="K39" s="15">
        <f t="shared" ref="K39" si="29">J39*K$11</f>
        <v>0</v>
      </c>
      <c r="L39" s="15">
        <v>3</v>
      </c>
      <c r="M39" s="15">
        <f t="shared" si="4"/>
        <v>0</v>
      </c>
      <c r="N39" s="16">
        <f t="shared" si="5"/>
        <v>0.13</v>
      </c>
      <c r="P39" s="17" t="str">
        <f t="shared" si="6"/>
        <v>INSUFICIENTE</v>
      </c>
    </row>
    <row r="40" spans="1:16" ht="11.15" customHeight="1" x14ac:dyDescent="0.35">
      <c r="A40" s="13">
        <f>'CORTE 1 G1'!A40</f>
        <v>0</v>
      </c>
      <c r="B40" s="210">
        <f>'CORTE 1 G1'!B40:B40</f>
        <v>0</v>
      </c>
      <c r="C40" s="210"/>
      <c r="D40" s="15">
        <v>2</v>
      </c>
      <c r="E40" s="15">
        <f t="shared" si="0"/>
        <v>0.2</v>
      </c>
      <c r="F40" s="15">
        <v>3</v>
      </c>
      <c r="G40" s="15">
        <f t="shared" si="1"/>
        <v>0</v>
      </c>
      <c r="H40" s="15">
        <v>2.6</v>
      </c>
      <c r="I40" s="15">
        <f t="shared" si="2"/>
        <v>0</v>
      </c>
      <c r="J40" s="15">
        <v>1.6</v>
      </c>
      <c r="K40" s="15">
        <f t="shared" ref="K40" si="30">J40*K$11</f>
        <v>0</v>
      </c>
      <c r="L40" s="15">
        <v>3</v>
      </c>
      <c r="M40" s="15">
        <f t="shared" si="4"/>
        <v>0</v>
      </c>
      <c r="N40" s="16">
        <f t="shared" si="5"/>
        <v>0.2</v>
      </c>
      <c r="P40" s="17" t="str">
        <f t="shared" si="6"/>
        <v>INSUFICIENTE</v>
      </c>
    </row>
    <row r="41" spans="1:16" ht="11.15" customHeight="1" x14ac:dyDescent="0.35">
      <c r="A41" s="13">
        <f>'CORTE 1 G1'!A41</f>
        <v>0</v>
      </c>
      <c r="B41" s="210">
        <f>'CORTE 1 G1'!B41:B41</f>
        <v>0</v>
      </c>
      <c r="C41" s="210"/>
      <c r="D41" s="15">
        <v>4</v>
      </c>
      <c r="E41" s="15">
        <f t="shared" si="0"/>
        <v>0.4</v>
      </c>
      <c r="F41" s="15">
        <v>2.6</v>
      </c>
      <c r="G41" s="15">
        <f t="shared" si="1"/>
        <v>0</v>
      </c>
      <c r="H41" s="15">
        <v>4.3</v>
      </c>
      <c r="I41" s="15">
        <f t="shared" si="2"/>
        <v>0</v>
      </c>
      <c r="J41" s="15">
        <v>3.5</v>
      </c>
      <c r="K41" s="15">
        <f t="shared" ref="K41" si="31">J41*K$11</f>
        <v>0</v>
      </c>
      <c r="L41" s="15">
        <v>4</v>
      </c>
      <c r="M41" s="15">
        <f t="shared" si="4"/>
        <v>0</v>
      </c>
      <c r="N41" s="16">
        <f t="shared" si="5"/>
        <v>0.4</v>
      </c>
      <c r="P41" s="17" t="str">
        <f t="shared" si="6"/>
        <v>INSUFICIENTE</v>
      </c>
    </row>
    <row r="42" spans="1:16" ht="11.15" customHeight="1" x14ac:dyDescent="0.35">
      <c r="A42" s="13">
        <f>'CORTE 1 G1'!A42</f>
        <v>0</v>
      </c>
      <c r="B42" s="210">
        <f>'CORTE 1 G1'!B42:B42</f>
        <v>0</v>
      </c>
      <c r="C42" s="210"/>
      <c r="D42" s="15">
        <v>1</v>
      </c>
      <c r="E42" s="15">
        <f t="shared" si="0"/>
        <v>0.1</v>
      </c>
      <c r="F42" s="15">
        <v>3</v>
      </c>
      <c r="G42" s="15">
        <f t="shared" si="1"/>
        <v>0</v>
      </c>
      <c r="H42" s="15">
        <v>2.6</v>
      </c>
      <c r="I42" s="15">
        <f t="shared" si="2"/>
        <v>0</v>
      </c>
      <c r="J42" s="15">
        <v>1.6</v>
      </c>
      <c r="K42" s="15">
        <f t="shared" ref="K42" si="32">J42*K$11</f>
        <v>0</v>
      </c>
      <c r="L42" s="15">
        <v>3</v>
      </c>
      <c r="M42" s="15">
        <f t="shared" si="4"/>
        <v>10.038758560000005</v>
      </c>
      <c r="N42" s="16">
        <f t="shared" si="5"/>
        <v>10.138758560000005</v>
      </c>
      <c r="P42" s="17" t="str">
        <f t="shared" si="6"/>
        <v>EXCELENTE</v>
      </c>
    </row>
    <row r="43" spans="1:16" ht="11.15" customHeight="1" x14ac:dyDescent="0.35">
      <c r="A43" s="13">
        <f>'CORTE 1 G1'!A43</f>
        <v>0</v>
      </c>
      <c r="B43" s="210">
        <f>'CORTE 1 G1'!B43:B43</f>
        <v>0</v>
      </c>
      <c r="C43" s="210"/>
      <c r="D43" s="15">
        <v>1</v>
      </c>
      <c r="E43" s="15">
        <f t="shared" si="0"/>
        <v>0.1</v>
      </c>
      <c r="F43" s="15">
        <v>3</v>
      </c>
      <c r="G43" s="15">
        <f t="shared" si="1"/>
        <v>0</v>
      </c>
      <c r="H43" s="15">
        <v>2.6</v>
      </c>
      <c r="I43" s="15">
        <f t="shared" si="2"/>
        <v>0</v>
      </c>
      <c r="J43" s="15">
        <v>1.6</v>
      </c>
      <c r="K43" s="15">
        <f t="shared" ref="K43" si="33">J43*K$11</f>
        <v>0</v>
      </c>
      <c r="L43" s="15">
        <v>3</v>
      </c>
      <c r="M43" s="15">
        <f t="shared" si="4"/>
        <v>14.455812326400009</v>
      </c>
      <c r="N43" s="16">
        <f t="shared" si="5"/>
        <v>14.555812326400009</v>
      </c>
      <c r="P43" s="17" t="str">
        <f t="shared" si="6"/>
        <v>EXCELENTE</v>
      </c>
    </row>
    <row r="44" spans="1:16" ht="11.15" customHeight="1" x14ac:dyDescent="0.35">
      <c r="A44" s="13">
        <f>'CORTE 1 G1'!A44</f>
        <v>0</v>
      </c>
      <c r="B44" s="210">
        <f>'CORTE 1 G1'!B44:B44</f>
        <v>0</v>
      </c>
      <c r="C44" s="210"/>
      <c r="D44" s="15">
        <v>1</v>
      </c>
      <c r="E44" s="15">
        <f t="shared" si="0"/>
        <v>0.1</v>
      </c>
      <c r="F44" s="15">
        <v>3</v>
      </c>
      <c r="G44" s="15">
        <f t="shared" si="1"/>
        <v>0</v>
      </c>
      <c r="H44" s="15">
        <v>2.6</v>
      </c>
      <c r="I44" s="15">
        <f t="shared" si="2"/>
        <v>0</v>
      </c>
      <c r="J44" s="15">
        <v>1.6</v>
      </c>
      <c r="K44" s="15">
        <f t="shared" ref="K44" si="34">J44*K$11</f>
        <v>0</v>
      </c>
      <c r="L44" s="15">
        <v>3</v>
      </c>
      <c r="M44" s="15">
        <f t="shared" si="4"/>
        <v>0</v>
      </c>
      <c r="N44" s="16">
        <f t="shared" si="5"/>
        <v>0.1</v>
      </c>
      <c r="P44" s="17" t="str">
        <f t="shared" si="6"/>
        <v>INSUFICIENTE</v>
      </c>
    </row>
    <row r="45" spans="1:16" ht="11.15" customHeight="1" x14ac:dyDescent="0.35">
      <c r="A45" s="13">
        <f>'CORTE 1 G1'!A45</f>
        <v>0</v>
      </c>
      <c r="B45" s="210">
        <f>'CORTE 1 G1'!B45:B45</f>
        <v>0</v>
      </c>
      <c r="C45" s="210"/>
      <c r="D45" s="15">
        <v>1</v>
      </c>
      <c r="E45" s="15">
        <f t="shared" si="0"/>
        <v>0.1</v>
      </c>
      <c r="F45" s="15">
        <v>3</v>
      </c>
      <c r="G45" s="15">
        <f t="shared" si="1"/>
        <v>0</v>
      </c>
      <c r="H45" s="15">
        <v>2.6</v>
      </c>
      <c r="I45" s="15">
        <f t="shared" si="2"/>
        <v>0</v>
      </c>
      <c r="J45" s="15">
        <v>1.6</v>
      </c>
      <c r="K45" s="15">
        <f t="shared" ref="K45" si="35">J45*K$11</f>
        <v>0</v>
      </c>
      <c r="L45" s="15">
        <v>3</v>
      </c>
      <c r="M45" s="15">
        <f t="shared" si="4"/>
        <v>0</v>
      </c>
      <c r="N45" s="16">
        <f t="shared" si="5"/>
        <v>0.1</v>
      </c>
      <c r="P45" s="17" t="str">
        <f t="shared" si="6"/>
        <v>INSUFICIENTE</v>
      </c>
    </row>
    <row r="46" spans="1:16" ht="11.15" customHeight="1" x14ac:dyDescent="0.35">
      <c r="A46" s="13">
        <f>'CORTE 1 G1'!A46</f>
        <v>0</v>
      </c>
      <c r="B46" s="210">
        <f>'CORTE 1 G1'!B46:B46</f>
        <v>0</v>
      </c>
      <c r="C46" s="210"/>
      <c r="D46" s="15">
        <v>1</v>
      </c>
      <c r="E46" s="15">
        <f t="shared" si="0"/>
        <v>0.1</v>
      </c>
      <c r="F46" s="15">
        <v>3</v>
      </c>
      <c r="G46" s="15">
        <f t="shared" si="1"/>
        <v>0</v>
      </c>
      <c r="H46" s="15">
        <v>2.6</v>
      </c>
      <c r="I46" s="15">
        <f t="shared" si="2"/>
        <v>0</v>
      </c>
      <c r="J46" s="15">
        <v>1.6</v>
      </c>
      <c r="K46" s="15">
        <f t="shared" ref="K46" si="36">J46*K$11</f>
        <v>0</v>
      </c>
      <c r="L46" s="15">
        <v>3</v>
      </c>
      <c r="M46" s="15">
        <f t="shared" si="4"/>
        <v>0</v>
      </c>
      <c r="N46" s="16">
        <f t="shared" si="5"/>
        <v>0.1</v>
      </c>
      <c r="P46" s="17" t="str">
        <f t="shared" si="6"/>
        <v>INSUFICIENTE</v>
      </c>
    </row>
    <row r="47" spans="1:16" ht="11.15" customHeight="1" x14ac:dyDescent="0.35">
      <c r="A47" s="13">
        <f>'CORTE 1 G1'!A63</f>
        <v>0</v>
      </c>
      <c r="B47" s="210">
        <f>'CORTE 1 G1'!B63:B63</f>
        <v>0</v>
      </c>
      <c r="C47" s="210"/>
      <c r="D47" s="15">
        <v>1</v>
      </c>
      <c r="E47" s="15">
        <f t="shared" si="0"/>
        <v>0.1</v>
      </c>
      <c r="F47" s="15">
        <v>3</v>
      </c>
      <c r="G47" s="15">
        <f t="shared" si="1"/>
        <v>0</v>
      </c>
      <c r="H47" s="15">
        <v>2.6</v>
      </c>
      <c r="I47" s="15">
        <f t="shared" si="2"/>
        <v>0</v>
      </c>
      <c r="J47" s="15">
        <v>1.6</v>
      </c>
      <c r="K47" s="15">
        <f t="shared" ref="K47" si="37">J47*K$11</f>
        <v>0</v>
      </c>
      <c r="L47" s="15">
        <v>3</v>
      </c>
      <c r="M47" s="15">
        <f t="shared" si="4"/>
        <v>0</v>
      </c>
      <c r="N47" s="16">
        <f t="shared" si="5"/>
        <v>0.1</v>
      </c>
      <c r="P47" s="17" t="str">
        <f t="shared" si="6"/>
        <v>INSUFICIENTE</v>
      </c>
    </row>
    <row r="49" spans="2:16" ht="5.15" customHeight="1" x14ac:dyDescent="0.35"/>
    <row r="50" spans="2:16" ht="12" customHeight="1" x14ac:dyDescent="0.35">
      <c r="C50" s="24" t="s">
        <v>36</v>
      </c>
      <c r="D50" s="25">
        <f>COUNTIF(D15:D47,"&gt;3,95")</f>
        <v>5</v>
      </c>
      <c r="E50" s="25"/>
      <c r="F50" s="25">
        <f>COUNTIF(F15:F47,"&gt;3,95")</f>
        <v>0</v>
      </c>
      <c r="G50" s="25"/>
      <c r="H50" s="25">
        <f t="shared" ref="H50:N50" si="38">COUNTIF(H15:H47,"&gt;3,95")</f>
        <v>3</v>
      </c>
      <c r="I50" s="25"/>
      <c r="J50" s="25">
        <f t="shared" si="38"/>
        <v>2</v>
      </c>
      <c r="K50" s="25"/>
      <c r="L50" s="25">
        <f t="shared" si="38"/>
        <v>2</v>
      </c>
      <c r="M50" s="25"/>
      <c r="N50" s="25">
        <f t="shared" si="38"/>
        <v>5</v>
      </c>
      <c r="P50" s="25">
        <f>COUNTIF(P$15:P$47,"EXCELENTE")</f>
        <v>5</v>
      </c>
    </row>
    <row r="51" spans="2:16" ht="12" customHeight="1" x14ac:dyDescent="0.35">
      <c r="C51" s="26" t="s">
        <v>37</v>
      </c>
      <c r="D51" s="27">
        <f>COUNTIFS(D15:D47,"&gt;2,95",D15:D47,"&lt;3,95")</f>
        <v>4</v>
      </c>
      <c r="E51" s="27"/>
      <c r="F51" s="27">
        <f t="shared" ref="F51:N51" si="39">COUNTIFS(F15:F47,"&gt;2,95",F15:F47,"&lt;3,95")</f>
        <v>31</v>
      </c>
      <c r="G51" s="27"/>
      <c r="H51" s="27">
        <f t="shared" si="39"/>
        <v>2</v>
      </c>
      <c r="I51" s="27"/>
      <c r="J51" s="27">
        <f t="shared" si="39"/>
        <v>1</v>
      </c>
      <c r="K51" s="27"/>
      <c r="L51" s="27">
        <f t="shared" si="39"/>
        <v>31</v>
      </c>
      <c r="M51" s="27"/>
      <c r="N51" s="27">
        <f t="shared" si="39"/>
        <v>1</v>
      </c>
      <c r="P51" s="27">
        <f>COUNTIF(P$15:P$47,"BUENO")</f>
        <v>1</v>
      </c>
    </row>
    <row r="52" spans="2:16" ht="12" customHeight="1" x14ac:dyDescent="0.35">
      <c r="C52" s="28" t="s">
        <v>41</v>
      </c>
      <c r="D52" s="29">
        <f>COUNTIFS(D15:D47,"&gt;1,95",D15:D47,"&lt;2,95")</f>
        <v>6</v>
      </c>
      <c r="E52" s="29"/>
      <c r="F52" s="29">
        <f t="shared" ref="F52:N52" si="40">COUNTIFS(F15:F47,"&gt;1,95",F15:F47,"&lt;2,95")</f>
        <v>1</v>
      </c>
      <c r="G52" s="29"/>
      <c r="H52" s="29">
        <f t="shared" si="40"/>
        <v>28</v>
      </c>
      <c r="I52" s="29"/>
      <c r="J52" s="29">
        <f t="shared" si="40"/>
        <v>2</v>
      </c>
      <c r="K52" s="29"/>
      <c r="L52" s="29">
        <f t="shared" si="40"/>
        <v>0</v>
      </c>
      <c r="M52" s="29"/>
      <c r="N52" s="29">
        <f t="shared" si="40"/>
        <v>1</v>
      </c>
      <c r="P52" s="29">
        <f>COUNTIF(P$15:P$47,"DEFICIENTE")</f>
        <v>1</v>
      </c>
    </row>
    <row r="53" spans="2:16" ht="12" customHeight="1" x14ac:dyDescent="0.35">
      <c r="C53" s="30" t="s">
        <v>39</v>
      </c>
      <c r="D53" s="31">
        <f>COUNTIFS(D15:D47,"&gt;=0",D15:D47,"&lt;1,95")</f>
        <v>18</v>
      </c>
      <c r="E53" s="31"/>
      <c r="F53" s="31">
        <f t="shared" ref="F53:N53" si="41">COUNTIFS(F15:F47,"&gt;=0",F15:F47,"&lt;1,95")</f>
        <v>1</v>
      </c>
      <c r="G53" s="31"/>
      <c r="H53" s="31">
        <f t="shared" si="41"/>
        <v>0</v>
      </c>
      <c r="I53" s="31"/>
      <c r="J53" s="31">
        <f t="shared" si="41"/>
        <v>28</v>
      </c>
      <c r="K53" s="31"/>
      <c r="L53" s="31">
        <f t="shared" si="41"/>
        <v>0</v>
      </c>
      <c r="M53" s="31"/>
      <c r="N53" s="31">
        <f t="shared" si="41"/>
        <v>26</v>
      </c>
      <c r="P53" s="31">
        <f>COUNTIF(P$15:P$47,"INSUFICIENTE")</f>
        <v>26</v>
      </c>
    </row>
    <row r="54" spans="2:16" ht="5.15" customHeight="1" x14ac:dyDescent="0.35"/>
    <row r="55" spans="2:16" ht="12" customHeight="1" x14ac:dyDescent="0.35">
      <c r="B55" s="22" t="s">
        <v>42</v>
      </c>
      <c r="C55" s="21" t="s">
        <v>36</v>
      </c>
      <c r="D55" s="23">
        <f>D50/COUNTA($A$15:$A$48)</f>
        <v>0.15151515151515152</v>
      </c>
      <c r="E55" s="23"/>
      <c r="F55" s="23">
        <f t="shared" ref="F55:P55" si="42">F50/COUNTA($A$15:$A$48)</f>
        <v>0</v>
      </c>
      <c r="G55" s="23"/>
      <c r="H55" s="23">
        <f t="shared" si="42"/>
        <v>9.0909090909090912E-2</v>
      </c>
      <c r="I55" s="23"/>
      <c r="J55" s="23">
        <f t="shared" si="42"/>
        <v>6.0606060606060608E-2</v>
      </c>
      <c r="K55" s="23"/>
      <c r="L55" s="23">
        <f t="shared" si="42"/>
        <v>6.0606060606060608E-2</v>
      </c>
      <c r="M55" s="23"/>
      <c r="N55" s="23">
        <f t="shared" si="42"/>
        <v>0.15151515151515152</v>
      </c>
      <c r="P55" s="23">
        <f t="shared" si="42"/>
        <v>0.15151515151515152</v>
      </c>
    </row>
    <row r="56" spans="2:16" ht="12" customHeight="1" x14ac:dyDescent="0.35">
      <c r="B56" s="22" t="s">
        <v>42</v>
      </c>
      <c r="C56" s="21" t="s">
        <v>37</v>
      </c>
      <c r="D56" s="23">
        <f t="shared" ref="D56:P58" si="43">D51/COUNTA($A$15:$A$48)</f>
        <v>0.12121212121212122</v>
      </c>
      <c r="E56" s="23"/>
      <c r="F56" s="23">
        <f t="shared" si="43"/>
        <v>0.93939393939393945</v>
      </c>
      <c r="G56" s="23"/>
      <c r="H56" s="23">
        <f t="shared" si="43"/>
        <v>6.0606060606060608E-2</v>
      </c>
      <c r="I56" s="23"/>
      <c r="J56" s="23">
        <f t="shared" si="43"/>
        <v>3.0303030303030304E-2</v>
      </c>
      <c r="K56" s="23"/>
      <c r="L56" s="23">
        <f t="shared" si="43"/>
        <v>0.93939393939393945</v>
      </c>
      <c r="M56" s="23"/>
      <c r="N56" s="23">
        <f t="shared" si="43"/>
        <v>3.0303030303030304E-2</v>
      </c>
      <c r="P56" s="23">
        <f t="shared" si="43"/>
        <v>3.0303030303030304E-2</v>
      </c>
    </row>
    <row r="57" spans="2:16" ht="12" customHeight="1" x14ac:dyDescent="0.35">
      <c r="B57" s="22" t="s">
        <v>42</v>
      </c>
      <c r="C57" s="21" t="s">
        <v>41</v>
      </c>
      <c r="D57" s="23">
        <f t="shared" si="43"/>
        <v>0.18181818181818182</v>
      </c>
      <c r="E57" s="23"/>
      <c r="F57" s="23">
        <f t="shared" si="43"/>
        <v>3.0303030303030304E-2</v>
      </c>
      <c r="G57" s="23"/>
      <c r="H57" s="23">
        <f t="shared" si="43"/>
        <v>0.84848484848484851</v>
      </c>
      <c r="I57" s="23"/>
      <c r="J57" s="23">
        <f t="shared" si="43"/>
        <v>6.0606060606060608E-2</v>
      </c>
      <c r="K57" s="23"/>
      <c r="L57" s="23">
        <f t="shared" si="43"/>
        <v>0</v>
      </c>
      <c r="M57" s="23"/>
      <c r="N57" s="23">
        <f t="shared" si="43"/>
        <v>3.0303030303030304E-2</v>
      </c>
      <c r="P57" s="23">
        <f t="shared" si="43"/>
        <v>3.0303030303030304E-2</v>
      </c>
    </row>
    <row r="58" spans="2:16" ht="12" customHeight="1" x14ac:dyDescent="0.35">
      <c r="B58" s="22" t="s">
        <v>42</v>
      </c>
      <c r="C58" s="21" t="s">
        <v>39</v>
      </c>
      <c r="D58" s="23">
        <f t="shared" si="43"/>
        <v>0.54545454545454541</v>
      </c>
      <c r="E58" s="23"/>
      <c r="F58" s="23">
        <f t="shared" si="43"/>
        <v>3.0303030303030304E-2</v>
      </c>
      <c r="G58" s="23"/>
      <c r="H58" s="23">
        <f t="shared" si="43"/>
        <v>0</v>
      </c>
      <c r="I58" s="23"/>
      <c r="J58" s="23">
        <f t="shared" si="43"/>
        <v>0.84848484848484851</v>
      </c>
      <c r="K58" s="23"/>
      <c r="L58" s="23">
        <f t="shared" si="43"/>
        <v>0</v>
      </c>
      <c r="M58" s="23"/>
      <c r="N58" s="23">
        <f t="shared" si="43"/>
        <v>0.78787878787878785</v>
      </c>
      <c r="P58" s="23">
        <f t="shared" si="43"/>
        <v>0.78787878787878785</v>
      </c>
    </row>
  </sheetData>
  <mergeCells count="68">
    <mergeCell ref="B14:C14"/>
    <mergeCell ref="D13:E14"/>
    <mergeCell ref="F13:G14"/>
    <mergeCell ref="H13:M13"/>
    <mergeCell ref="N13:O14"/>
    <mergeCell ref="P13:Q14"/>
    <mergeCell ref="R11:R12"/>
    <mergeCell ref="D12:E12"/>
    <mergeCell ref="F12:G12"/>
    <mergeCell ref="H12:M12"/>
    <mergeCell ref="N12:O12"/>
    <mergeCell ref="P12:Q12"/>
    <mergeCell ref="D11:E11"/>
    <mergeCell ref="F11:G11"/>
    <mergeCell ref="H11:M11"/>
    <mergeCell ref="N11:O11"/>
    <mergeCell ref="P11:Q11"/>
    <mergeCell ref="P9:Q9"/>
    <mergeCell ref="D10:E10"/>
    <mergeCell ref="F10:G10"/>
    <mergeCell ref="H10:M10"/>
    <mergeCell ref="N10:O10"/>
    <mergeCell ref="P10:Q10"/>
    <mergeCell ref="B18:C18"/>
    <mergeCell ref="B15:C15"/>
    <mergeCell ref="B16:C16"/>
    <mergeCell ref="B17:C17"/>
    <mergeCell ref="A1:T3"/>
    <mergeCell ref="D4:E4"/>
    <mergeCell ref="N4:O4"/>
    <mergeCell ref="D5:E5"/>
    <mergeCell ref="N5:O5"/>
    <mergeCell ref="D6:E6"/>
    <mergeCell ref="N6:O6"/>
    <mergeCell ref="H8:L8"/>
    <mergeCell ref="D9:E9"/>
    <mergeCell ref="F9:G9"/>
    <mergeCell ref="H9:M9"/>
    <mergeCell ref="N9:O9"/>
    <mergeCell ref="B41:C41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30:C30"/>
    <mergeCell ref="B19:C19"/>
    <mergeCell ref="B20:C20"/>
    <mergeCell ref="B21:C21"/>
    <mergeCell ref="B22:C22"/>
    <mergeCell ref="B23:C23"/>
    <mergeCell ref="B25:C25"/>
    <mergeCell ref="B26:C26"/>
    <mergeCell ref="B27:C27"/>
    <mergeCell ref="B28:C28"/>
    <mergeCell ref="B29:C29"/>
    <mergeCell ref="B24:C24"/>
    <mergeCell ref="B43:C43"/>
    <mergeCell ref="B44:C44"/>
    <mergeCell ref="B45:C45"/>
    <mergeCell ref="B46:C46"/>
    <mergeCell ref="B47:C47"/>
  </mergeCells>
  <conditionalFormatting sqref="C50:N50">
    <cfRule type="expression" dxfId="206" priority="80">
      <formula>$C$50=EXCELENTE</formula>
    </cfRule>
  </conditionalFormatting>
  <conditionalFormatting sqref="D15:I47">
    <cfRule type="cellIs" dxfId="205" priority="39" operator="between">
      <formula>1.95</formula>
      <formula>2.94</formula>
    </cfRule>
    <cfRule type="cellIs" dxfId="204" priority="40" operator="between">
      <formula>2.95</formula>
      <formula>3.95</formula>
    </cfRule>
    <cfRule type="cellIs" dxfId="203" priority="41" operator="between">
      <formula>3.95</formula>
      <formula>5</formula>
    </cfRule>
  </conditionalFormatting>
  <conditionalFormatting sqref="D15:M47">
    <cfRule type="cellIs" dxfId="202" priority="17" operator="equal">
      <formula>0</formula>
    </cfRule>
    <cfRule type="cellIs" dxfId="201" priority="18" stopIfTrue="1" operator="between">
      <formula>0</formula>
      <formula>1.94</formula>
    </cfRule>
  </conditionalFormatting>
  <conditionalFormatting sqref="H15:H47 J15:J47 L15:L47">
    <cfRule type="cellIs" dxfId="200" priority="65" operator="equal">
      <formula>0</formula>
    </cfRule>
    <cfRule type="cellIs" dxfId="199" priority="66" stopIfTrue="1" operator="between">
      <formula>0</formula>
      <formula>1.94</formula>
    </cfRule>
    <cfRule type="cellIs" dxfId="198" priority="67" operator="between">
      <formula>1.95</formula>
      <formula>2.94</formula>
    </cfRule>
    <cfRule type="cellIs" dxfId="197" priority="68" operator="between">
      <formula>2.95</formula>
      <formula>3.95</formula>
    </cfRule>
    <cfRule type="cellIs" dxfId="196" priority="69" operator="between">
      <formula>3.95</formula>
      <formula>5</formula>
    </cfRule>
  </conditionalFormatting>
  <conditionalFormatting sqref="K15:M47">
    <cfRule type="cellIs" dxfId="195" priority="19" operator="between">
      <formula>1.95</formula>
      <formula>2.94</formula>
    </cfRule>
    <cfRule type="cellIs" dxfId="194" priority="20" operator="between">
      <formula>2.95</formula>
      <formula>3.95</formula>
    </cfRule>
    <cfRule type="cellIs" dxfId="193" priority="21" operator="between">
      <formula>3.95</formula>
      <formula>5</formula>
    </cfRule>
  </conditionalFormatting>
  <conditionalFormatting sqref="N15:N47">
    <cfRule type="cellIs" dxfId="192" priority="13" stopIfTrue="1" operator="between">
      <formula>0</formula>
      <formula>1.94</formula>
    </cfRule>
    <cfRule type="cellIs" dxfId="191" priority="14" operator="between">
      <formula>1.95</formula>
      <formula>2.94</formula>
    </cfRule>
    <cfRule type="cellIs" dxfId="190" priority="15" operator="between">
      <formula>2.95</formula>
      <formula>3.94</formula>
    </cfRule>
    <cfRule type="cellIs" dxfId="189" priority="16" operator="between">
      <formula>3.95</formula>
      <formula>5</formula>
    </cfRule>
  </conditionalFormatting>
  <conditionalFormatting sqref="P15:P47">
    <cfRule type="containsText" dxfId="188" priority="85" operator="containsText" text="INSUFICIENTE">
      <formula>NOT(ISERROR(SEARCH("INSUFICIENTE",P15)))</formula>
    </cfRule>
    <cfRule type="containsText" dxfId="187" priority="86" operator="containsText" text="DEFICIENTE">
      <formula>NOT(ISERROR(SEARCH("DEFICIENTE",P15)))</formula>
    </cfRule>
    <cfRule type="containsText" dxfId="186" priority="87" operator="containsText" text="BUENO">
      <formula>NOT(ISERROR(SEARCH("BUENO",P15)))</formula>
    </cfRule>
    <cfRule type="containsText" dxfId="185" priority="88" operator="containsText" text="EXCELENTE">
      <formula>NOT(ISERROR(SEARCH("EXCELENTE",P15)))</formula>
    </cfRule>
  </conditionalFormatting>
  <conditionalFormatting sqref="P50:P53">
    <cfRule type="expression" dxfId="184" priority="62">
      <formula>$C$50=EXCELENTE</formula>
    </cfRule>
  </conditionalFormatting>
  <conditionalFormatting sqref="R8">
    <cfRule type="cellIs" dxfId="183" priority="8" operator="greaterThan">
      <formula>1</formula>
    </cfRule>
    <cfRule type="cellIs" dxfId="182" priority="9" operator="equal">
      <formula>1</formula>
    </cfRule>
    <cfRule type="cellIs" dxfId="181" priority="10" operator="greaterThan">
      <formula>101</formula>
    </cfRule>
    <cfRule type="cellIs" dxfId="180" priority="11" operator="equal">
      <formula>100</formula>
    </cfRule>
    <cfRule type="cellIs" dxfId="179" priority="12" operator="lessThan">
      <formula>1</formula>
    </cfRule>
  </conditionalFormatting>
  <conditionalFormatting sqref="M14">
    <cfRule type="cellIs" dxfId="178" priority="1" operator="equal">
      <formula>1</formula>
    </cfRule>
    <cfRule type="cellIs" dxfId="177" priority="2" operator="lessThan">
      <formula>100</formula>
    </cfRule>
    <cfRule type="cellIs" dxfId="176" priority="3" operator="lessThan">
      <formula>1</formula>
    </cfRule>
    <cfRule type="cellIs" dxfId="175" priority="4" operator="equal">
      <formula>1</formula>
    </cfRule>
    <cfRule type="cellIs" dxfId="174" priority="5" operator="greaterThan">
      <formula>1</formula>
    </cfRule>
    <cfRule type="cellIs" dxfId="173" priority="6" operator="lessThan">
      <formula>1</formula>
    </cfRule>
    <cfRule type="cellIs" dxfId="172" priority="7" operator="equal">
      <formula>1</formula>
    </cfRule>
  </conditionalFormatting>
  <dataValidations count="1">
    <dataValidation type="custom" allowBlank="1" showInputMessage="1" showErrorMessage="1" errorTitle="Nota no permitida" error="Nota por fuera de rango" sqref="D15:M47">
      <formula1>D15&lt;=5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5"/>
  <sheetViews>
    <sheetView showGridLines="0" zoomScale="80" zoomScaleNormal="80" workbookViewId="0">
      <pane ySplit="11" topLeftCell="A12" activePane="bottomLeft" state="frozen"/>
      <selection pane="bottomLeft" activeCell="N12" sqref="N12"/>
    </sheetView>
  </sheetViews>
  <sheetFormatPr baseColWidth="10" defaultRowHeight="14.5" x14ac:dyDescent="0.35"/>
  <cols>
    <col min="1" max="1" width="7.81640625" bestFit="1" customWidth="1"/>
    <col min="2" max="2" width="27.81640625" customWidth="1"/>
    <col min="3" max="3" width="11.26953125" customWidth="1"/>
    <col min="4" max="4" width="22.7265625" customWidth="1"/>
    <col min="5" max="5" width="3.7265625" customWidth="1"/>
    <col min="6" max="6" width="22.7265625" customWidth="1"/>
    <col min="7" max="7" width="3.7265625" customWidth="1"/>
    <col min="8" max="8" width="22.7265625" customWidth="1"/>
    <col min="9" max="9" width="3.7265625" customWidth="1"/>
    <col min="10" max="10" width="22.7265625" customWidth="1"/>
    <col min="11" max="11" width="3.7265625" customWidth="1"/>
    <col min="12" max="12" width="22.7265625" customWidth="1"/>
    <col min="13" max="13" width="3.7265625" customWidth="1"/>
    <col min="14" max="14" width="5.54296875" customWidth="1"/>
    <col min="15" max="15" width="0.81640625" customWidth="1"/>
    <col min="16" max="16" width="13.1796875" bestFit="1" customWidth="1"/>
  </cols>
  <sheetData>
    <row r="1" spans="1:18" ht="17.149999999999999" customHeight="1" x14ac:dyDescent="0.45">
      <c r="D1" s="231" t="s">
        <v>0</v>
      </c>
      <c r="E1" s="231"/>
      <c r="F1" s="231"/>
      <c r="G1" s="231"/>
      <c r="H1" s="231"/>
      <c r="I1" s="231"/>
      <c r="J1" s="231"/>
      <c r="K1" s="8"/>
      <c r="L1" s="9"/>
      <c r="M1" s="9"/>
    </row>
    <row r="2" spans="1:18" ht="13" customHeight="1" x14ac:dyDescent="0.35">
      <c r="D2" s="3" t="s">
        <v>1</v>
      </c>
      <c r="E2" s="3"/>
      <c r="F2" t="s">
        <v>25</v>
      </c>
      <c r="J2" s="10" t="s">
        <v>30</v>
      </c>
      <c r="K2" s="10"/>
      <c r="L2" s="1">
        <v>1</v>
      </c>
      <c r="M2" s="1"/>
    </row>
    <row r="3" spans="1:18" ht="13" customHeight="1" x14ac:dyDescent="0.35">
      <c r="D3" s="3" t="s">
        <v>26</v>
      </c>
      <c r="E3" s="3"/>
      <c r="F3" t="s">
        <v>27</v>
      </c>
      <c r="J3" s="10" t="s">
        <v>31</v>
      </c>
      <c r="K3" s="10"/>
      <c r="L3" s="1">
        <v>3</v>
      </c>
      <c r="M3" s="1"/>
    </row>
    <row r="4" spans="1:18" ht="13" customHeight="1" x14ac:dyDescent="0.35">
      <c r="D4" s="3" t="s">
        <v>28</v>
      </c>
      <c r="E4" s="3"/>
      <c r="F4" t="s">
        <v>29</v>
      </c>
      <c r="J4" s="10" t="s">
        <v>32</v>
      </c>
      <c r="K4" s="10"/>
      <c r="L4" s="1" t="s">
        <v>33</v>
      </c>
      <c r="M4" s="1"/>
    </row>
    <row r="5" spans="1:18" ht="5.15" customHeight="1" x14ac:dyDescent="0.35"/>
    <row r="6" spans="1:18" x14ac:dyDescent="0.35">
      <c r="D6" s="42" t="s">
        <v>2</v>
      </c>
      <c r="E6" s="42"/>
      <c r="F6" s="42" t="s">
        <v>5</v>
      </c>
      <c r="G6" s="42"/>
      <c r="H6" s="42" t="s">
        <v>10</v>
      </c>
      <c r="I6" s="42"/>
      <c r="J6" s="42" t="s">
        <v>14</v>
      </c>
      <c r="K6" s="42"/>
      <c r="L6" s="42" t="s">
        <v>15</v>
      </c>
      <c r="M6" s="42"/>
    </row>
    <row r="7" spans="1:18" ht="42" x14ac:dyDescent="0.35">
      <c r="C7" s="4" t="s">
        <v>47</v>
      </c>
      <c r="D7" s="19" t="s">
        <v>34</v>
      </c>
      <c r="E7" s="19"/>
      <c r="F7" s="19" t="s">
        <v>6</v>
      </c>
      <c r="G7" s="19"/>
      <c r="H7" s="47" t="str">
        <f>'CORTE 1 G1'!G9</f>
        <v>Excelente dominio del tema, comunica claramente las ideas y frente a las preguntas emite respuestas precisas</v>
      </c>
      <c r="I7" s="19"/>
      <c r="J7" s="19" t="s">
        <v>16</v>
      </c>
      <c r="K7" s="19"/>
      <c r="L7" s="19" t="s">
        <v>20</v>
      </c>
      <c r="M7" s="34"/>
    </row>
    <row r="8" spans="1:18" ht="42" x14ac:dyDescent="0.35">
      <c r="C8" s="5" t="s">
        <v>48</v>
      </c>
      <c r="D8" s="20" t="s">
        <v>3</v>
      </c>
      <c r="E8" s="20"/>
      <c r="F8" s="20" t="s">
        <v>7</v>
      </c>
      <c r="G8" s="20"/>
      <c r="H8" s="48" t="str">
        <f>'CORTE 1 G1'!G10</f>
        <v>Dominio del tema aunque algunas ideas no quedan muy claras y hay error en la respuesta de alguna pregunta</v>
      </c>
      <c r="I8" s="20"/>
      <c r="J8" s="20" t="s">
        <v>17</v>
      </c>
      <c r="K8" s="20"/>
      <c r="L8" s="20" t="s">
        <v>21</v>
      </c>
      <c r="M8" s="34"/>
    </row>
    <row r="9" spans="1:18" ht="45" customHeight="1" x14ac:dyDescent="0.35">
      <c r="C9" s="6" t="s">
        <v>49</v>
      </c>
      <c r="D9" s="20" t="s">
        <v>35</v>
      </c>
      <c r="E9" s="20"/>
      <c r="F9" s="20" t="s">
        <v>8</v>
      </c>
      <c r="G9" s="20"/>
      <c r="H9" s="48" t="str">
        <f>'CORTE 1 G1'!G11</f>
        <v>Poco dominio, sus respuestas demuestran impresición que obligan a solicitar mayor aclaración</v>
      </c>
      <c r="I9" s="20"/>
      <c r="J9" s="20" t="s">
        <v>18</v>
      </c>
      <c r="K9" s="20"/>
      <c r="L9" s="20" t="s">
        <v>22</v>
      </c>
      <c r="M9" s="34"/>
      <c r="N9" s="226" t="s">
        <v>40</v>
      </c>
      <c r="O9" s="18"/>
    </row>
    <row r="10" spans="1:18" ht="31.5" x14ac:dyDescent="0.35">
      <c r="C10" s="7" t="s">
        <v>50</v>
      </c>
      <c r="D10" s="20" t="s">
        <v>4</v>
      </c>
      <c r="E10" s="20"/>
      <c r="F10" s="20" t="s">
        <v>9</v>
      </c>
      <c r="G10" s="20"/>
      <c r="H10" s="48" t="str">
        <f>'CORTE 1 G1'!G12</f>
        <v>No hay dominio del tema lo que no le permite responder correctamente las preguntas</v>
      </c>
      <c r="I10" s="20"/>
      <c r="J10" s="20" t="s">
        <v>19</v>
      </c>
      <c r="K10" s="20"/>
      <c r="L10" s="20" t="s">
        <v>23</v>
      </c>
      <c r="M10" s="34"/>
      <c r="N10" s="226"/>
      <c r="O10" s="18"/>
    </row>
    <row r="11" spans="1:18" ht="13" customHeight="1" x14ac:dyDescent="0.35">
      <c r="A11" s="14" t="s">
        <v>24</v>
      </c>
      <c r="B11" s="232" t="s">
        <v>44</v>
      </c>
      <c r="C11" s="232"/>
      <c r="E11" s="41">
        <v>0.15</v>
      </c>
      <c r="G11" s="41">
        <v>0.15</v>
      </c>
      <c r="I11" s="41">
        <v>0.4</v>
      </c>
      <c r="K11" s="41">
        <v>0.15</v>
      </c>
      <c r="M11" s="41">
        <v>0.15</v>
      </c>
    </row>
    <row r="12" spans="1:18" ht="11.15" customHeight="1" x14ac:dyDescent="0.35">
      <c r="A12" s="13">
        <f>'CORTE 1 G1'!A15</f>
        <v>0</v>
      </c>
      <c r="B12" s="210">
        <f>'CORTE 1 G1'!B15:B15</f>
        <v>0</v>
      </c>
      <c r="C12" s="210"/>
      <c r="D12" s="15">
        <v>5</v>
      </c>
      <c r="E12" s="15">
        <f>D12*E$11</f>
        <v>0.75</v>
      </c>
      <c r="F12" s="15">
        <v>3</v>
      </c>
      <c r="G12" s="15">
        <f>F12*G$11</f>
        <v>0.44999999999999996</v>
      </c>
      <c r="H12" s="15">
        <v>2.6</v>
      </c>
      <c r="I12" s="15">
        <f>H12*I$11</f>
        <v>1.04</v>
      </c>
      <c r="J12" s="15">
        <v>1.6</v>
      </c>
      <c r="K12" s="15">
        <f>J12*K$11</f>
        <v>0.24</v>
      </c>
      <c r="L12" s="15">
        <v>3</v>
      </c>
      <c r="M12" s="15">
        <f>L12*M$11</f>
        <v>0.44999999999999996</v>
      </c>
      <c r="N12" s="16">
        <f>SUM(E12+G12+I12+K12+M12)</f>
        <v>2.9300000000000006</v>
      </c>
      <c r="P12" s="17" t="str">
        <f>IF(N12=" "," ",IF(N12&lt;1.95,"INSUFICIENTE",IF(N12&lt;2.95,"DEFICIENTE",IF(N12&lt;3.95,"BUENO","EXCELENTE"))))</f>
        <v>DEFICIENTE</v>
      </c>
    </row>
    <row r="13" spans="1:18" ht="11.15" customHeight="1" x14ac:dyDescent="0.35">
      <c r="A13" s="13">
        <f>'CORTE 1 G1'!A16</f>
        <v>0</v>
      </c>
      <c r="B13" s="210">
        <f>'CORTE 1 G1'!B16:B16</f>
        <v>0</v>
      </c>
      <c r="C13" s="210"/>
      <c r="D13" s="15">
        <v>3</v>
      </c>
      <c r="E13" s="15">
        <f t="shared" ref="E13:E44" si="0">D13*E$11</f>
        <v>0.44999999999999996</v>
      </c>
      <c r="F13" s="15">
        <v>3</v>
      </c>
      <c r="G13" s="15">
        <f t="shared" ref="G13:G44" si="1">F13*G$11</f>
        <v>0.44999999999999996</v>
      </c>
      <c r="H13" s="15">
        <v>2.6</v>
      </c>
      <c r="I13" s="15">
        <f t="shared" ref="I13:I44" si="2">H13*I$11</f>
        <v>1.04</v>
      </c>
      <c r="J13" s="15">
        <v>1.6</v>
      </c>
      <c r="K13" s="15">
        <f t="shared" ref="K13:K44" si="3">J13*K$11</f>
        <v>0.24</v>
      </c>
      <c r="L13" s="15">
        <v>3</v>
      </c>
      <c r="M13" s="15">
        <f t="shared" ref="M13:M44" si="4">L13*M$11</f>
        <v>0.44999999999999996</v>
      </c>
      <c r="N13" s="16">
        <f t="shared" ref="N13:N44" si="5">SUM(E13+G13+I13+K13+M13)</f>
        <v>2.63</v>
      </c>
      <c r="P13" s="17" t="str">
        <f t="shared" ref="P13:P44" si="6">IF(N13=" "," ",IF(N13&lt;1.95,"INSUFICIENTE",IF(N13&lt;2.95,"DEFICIENTE",IF(N13&lt;3.95,"BUENO","EXCELENTE"))))</f>
        <v>DEFICIENTE</v>
      </c>
      <c r="R13" s="12" t="s">
        <v>36</v>
      </c>
    </row>
    <row r="14" spans="1:18" ht="11.15" customHeight="1" x14ac:dyDescent="0.35">
      <c r="A14" s="13">
        <f>'CORTE 1 G1'!A17</f>
        <v>0</v>
      </c>
      <c r="B14" s="210">
        <f>'CORTE 1 G1'!B17:B17</f>
        <v>0</v>
      </c>
      <c r="C14" s="210"/>
      <c r="D14" s="15">
        <v>2.1</v>
      </c>
      <c r="E14" s="15">
        <f t="shared" si="0"/>
        <v>0.315</v>
      </c>
      <c r="F14" s="15">
        <v>3</v>
      </c>
      <c r="G14" s="15">
        <f t="shared" si="1"/>
        <v>0.44999999999999996</v>
      </c>
      <c r="H14" s="15">
        <v>2.6</v>
      </c>
      <c r="I14" s="15">
        <f t="shared" si="2"/>
        <v>1.04</v>
      </c>
      <c r="J14" s="15">
        <v>1.6</v>
      </c>
      <c r="K14" s="15">
        <f t="shared" si="3"/>
        <v>0.24</v>
      </c>
      <c r="L14" s="15">
        <v>3</v>
      </c>
      <c r="M14" s="15">
        <f t="shared" si="4"/>
        <v>0.44999999999999996</v>
      </c>
      <c r="N14" s="16">
        <f t="shared" si="5"/>
        <v>2.4950000000000001</v>
      </c>
      <c r="P14" s="17" t="str">
        <f t="shared" si="6"/>
        <v>DEFICIENTE</v>
      </c>
      <c r="R14" s="12" t="s">
        <v>37</v>
      </c>
    </row>
    <row r="15" spans="1:18" ht="11.15" customHeight="1" x14ac:dyDescent="0.35">
      <c r="A15" s="13">
        <f>'CORTE 1 G1'!A18</f>
        <v>0</v>
      </c>
      <c r="B15" s="210">
        <f>'CORTE 1 G1'!B18:B18</f>
        <v>0</v>
      </c>
      <c r="C15" s="210"/>
      <c r="D15" s="15">
        <v>5</v>
      </c>
      <c r="E15" s="15">
        <f t="shared" si="0"/>
        <v>0.75</v>
      </c>
      <c r="F15" s="15">
        <v>3</v>
      </c>
      <c r="G15" s="15">
        <f t="shared" si="1"/>
        <v>0.44999999999999996</v>
      </c>
      <c r="H15" s="15">
        <v>2.6</v>
      </c>
      <c r="I15" s="15">
        <f t="shared" si="2"/>
        <v>1.04</v>
      </c>
      <c r="J15" s="15">
        <v>1.6</v>
      </c>
      <c r="K15" s="15">
        <f t="shared" si="3"/>
        <v>0.24</v>
      </c>
      <c r="L15" s="15">
        <v>3</v>
      </c>
      <c r="M15" s="15">
        <f t="shared" si="4"/>
        <v>0.44999999999999996</v>
      </c>
      <c r="N15" s="16">
        <f t="shared" si="5"/>
        <v>2.9300000000000006</v>
      </c>
      <c r="P15" s="17" t="str">
        <f t="shared" si="6"/>
        <v>DEFICIENTE</v>
      </c>
      <c r="R15" s="12" t="s">
        <v>38</v>
      </c>
    </row>
    <row r="16" spans="1:18" ht="11.15" customHeight="1" x14ac:dyDescent="0.35">
      <c r="A16" s="13">
        <f>'CORTE 1 G1'!A19</f>
        <v>0</v>
      </c>
      <c r="B16" s="210">
        <f>'CORTE 1 G1'!B19:B19</f>
        <v>0</v>
      </c>
      <c r="C16" s="210"/>
      <c r="D16" s="15">
        <v>4</v>
      </c>
      <c r="E16" s="15">
        <f t="shared" si="0"/>
        <v>0.6</v>
      </c>
      <c r="F16" s="15">
        <v>3.5</v>
      </c>
      <c r="G16" s="15">
        <f t="shared" si="1"/>
        <v>0.52500000000000002</v>
      </c>
      <c r="H16" s="15">
        <v>4</v>
      </c>
      <c r="I16" s="15">
        <f t="shared" si="2"/>
        <v>1.6</v>
      </c>
      <c r="J16" s="15">
        <v>4.8</v>
      </c>
      <c r="K16" s="15">
        <f t="shared" si="3"/>
        <v>0.72</v>
      </c>
      <c r="L16" s="15">
        <v>4</v>
      </c>
      <c r="M16" s="15">
        <f t="shared" si="4"/>
        <v>0.6</v>
      </c>
      <c r="N16" s="16">
        <f t="shared" si="5"/>
        <v>4.0449999999999999</v>
      </c>
      <c r="P16" s="17" t="str">
        <f t="shared" si="6"/>
        <v>EXCELENTE</v>
      </c>
      <c r="R16" s="12" t="s">
        <v>39</v>
      </c>
    </row>
    <row r="17" spans="1:16" ht="11.15" customHeight="1" x14ac:dyDescent="0.35">
      <c r="A17" s="13">
        <f>'CORTE 1 G1'!A20</f>
        <v>0</v>
      </c>
      <c r="B17" s="210">
        <f>'CORTE 1 G1'!B20:B20</f>
        <v>0</v>
      </c>
      <c r="C17" s="210"/>
      <c r="D17" s="15">
        <v>1</v>
      </c>
      <c r="E17" s="15">
        <f t="shared" si="0"/>
        <v>0.15</v>
      </c>
      <c r="F17" s="15">
        <v>5</v>
      </c>
      <c r="G17" s="15">
        <f t="shared" si="1"/>
        <v>0.75</v>
      </c>
      <c r="H17" s="15">
        <v>5</v>
      </c>
      <c r="I17" s="15">
        <f t="shared" si="2"/>
        <v>2</v>
      </c>
      <c r="J17" s="15">
        <v>1</v>
      </c>
      <c r="K17" s="15">
        <f t="shared" si="3"/>
        <v>0.15</v>
      </c>
      <c r="L17" s="15">
        <v>3</v>
      </c>
      <c r="M17" s="15">
        <f t="shared" si="4"/>
        <v>0.44999999999999996</v>
      </c>
      <c r="N17" s="16">
        <f t="shared" si="5"/>
        <v>3.5</v>
      </c>
      <c r="P17" s="17" t="str">
        <f t="shared" si="6"/>
        <v>BUENO</v>
      </c>
    </row>
    <row r="18" spans="1:16" ht="11.15" customHeight="1" x14ac:dyDescent="0.35">
      <c r="A18" s="13">
        <f>'CORTE 1 G1'!A21</f>
        <v>0</v>
      </c>
      <c r="B18" s="210">
        <f>'CORTE 1 G1'!B21:B21</f>
        <v>0</v>
      </c>
      <c r="C18" s="210"/>
      <c r="D18" s="15">
        <v>3.2</v>
      </c>
      <c r="E18" s="15">
        <f t="shared" si="0"/>
        <v>0.48</v>
      </c>
      <c r="F18" s="15">
        <v>3</v>
      </c>
      <c r="G18" s="15">
        <f t="shared" si="1"/>
        <v>0.44999999999999996</v>
      </c>
      <c r="H18" s="15">
        <v>2.6</v>
      </c>
      <c r="I18" s="15">
        <f t="shared" si="2"/>
        <v>1.04</v>
      </c>
      <c r="J18" s="15">
        <v>1.6</v>
      </c>
      <c r="K18" s="15">
        <f t="shared" si="3"/>
        <v>0.24</v>
      </c>
      <c r="L18" s="15">
        <v>3</v>
      </c>
      <c r="M18" s="15">
        <f t="shared" si="4"/>
        <v>0.44999999999999996</v>
      </c>
      <c r="N18" s="16">
        <f t="shared" si="5"/>
        <v>2.66</v>
      </c>
      <c r="P18" s="17" t="str">
        <f t="shared" si="6"/>
        <v>DEFICIENTE</v>
      </c>
    </row>
    <row r="19" spans="1:16" ht="11.15" customHeight="1" x14ac:dyDescent="0.35">
      <c r="A19" s="13">
        <f>'CORTE 1 G1'!A22</f>
        <v>0</v>
      </c>
      <c r="B19" s="210">
        <f>'CORTE 1 G1'!B22:B22</f>
        <v>0</v>
      </c>
      <c r="C19" s="210"/>
      <c r="D19" s="15">
        <v>4</v>
      </c>
      <c r="E19" s="15">
        <f t="shared" si="0"/>
        <v>0.6</v>
      </c>
      <c r="F19" s="15">
        <v>2</v>
      </c>
      <c r="G19" s="15">
        <f t="shared" si="1"/>
        <v>0.3</v>
      </c>
      <c r="H19" s="15">
        <v>3</v>
      </c>
      <c r="I19" s="15">
        <f>H19*I$11</f>
        <v>1.2000000000000002</v>
      </c>
      <c r="J19" s="15">
        <v>2.5</v>
      </c>
      <c r="K19" s="15">
        <f t="shared" si="3"/>
        <v>0.375</v>
      </c>
      <c r="L19" s="15">
        <v>3</v>
      </c>
      <c r="M19" s="15">
        <f t="shared" si="4"/>
        <v>0.44999999999999996</v>
      </c>
      <c r="N19" s="16">
        <f t="shared" si="5"/>
        <v>2.9249999999999998</v>
      </c>
      <c r="P19" s="17" t="str">
        <f t="shared" si="6"/>
        <v>DEFICIENTE</v>
      </c>
    </row>
    <row r="20" spans="1:16" ht="11.15" customHeight="1" x14ac:dyDescent="0.35">
      <c r="A20" s="13">
        <f>'CORTE 1 G1'!A23</f>
        <v>0</v>
      </c>
      <c r="B20" s="210">
        <f>'CORTE 1 G1'!B23:B23</f>
        <v>0</v>
      </c>
      <c r="C20" s="210"/>
      <c r="D20" s="15">
        <v>4.5999999999999996</v>
      </c>
      <c r="E20" s="15">
        <f t="shared" si="0"/>
        <v>0.69</v>
      </c>
      <c r="F20" s="15">
        <v>3</v>
      </c>
      <c r="G20" s="15">
        <f t="shared" si="1"/>
        <v>0.44999999999999996</v>
      </c>
      <c r="H20" s="15">
        <v>2.6</v>
      </c>
      <c r="I20" s="15">
        <f t="shared" si="2"/>
        <v>1.04</v>
      </c>
      <c r="J20" s="15">
        <v>1.6</v>
      </c>
      <c r="K20" s="15">
        <f t="shared" si="3"/>
        <v>0.24</v>
      </c>
      <c r="L20" s="15">
        <v>3</v>
      </c>
      <c r="M20" s="15">
        <f t="shared" si="4"/>
        <v>0.44999999999999996</v>
      </c>
      <c r="N20" s="16">
        <f t="shared" si="5"/>
        <v>2.87</v>
      </c>
      <c r="P20" s="17" t="str">
        <f t="shared" si="6"/>
        <v>DEFICIENTE</v>
      </c>
    </row>
    <row r="21" spans="1:16" ht="11.15" customHeight="1" x14ac:dyDescent="0.35">
      <c r="A21" s="13">
        <f>'CORTE 1 G1'!A24</f>
        <v>0</v>
      </c>
      <c r="B21" s="210">
        <f>'CORTE 1 G1'!B24:B24</f>
        <v>0</v>
      </c>
      <c r="C21" s="210"/>
      <c r="D21" s="15">
        <v>5</v>
      </c>
      <c r="E21" s="15">
        <f t="shared" si="0"/>
        <v>0.75</v>
      </c>
      <c r="F21" s="15">
        <v>3</v>
      </c>
      <c r="G21" s="15">
        <f t="shared" si="1"/>
        <v>0.44999999999999996</v>
      </c>
      <c r="H21" s="15">
        <v>2.6</v>
      </c>
      <c r="I21" s="15">
        <f t="shared" si="2"/>
        <v>1.04</v>
      </c>
      <c r="J21" s="15">
        <v>1.6</v>
      </c>
      <c r="K21" s="15">
        <f t="shared" si="3"/>
        <v>0.24</v>
      </c>
      <c r="L21" s="15">
        <v>3</v>
      </c>
      <c r="M21" s="15">
        <f t="shared" si="4"/>
        <v>0.44999999999999996</v>
      </c>
      <c r="N21" s="16">
        <f t="shared" si="5"/>
        <v>2.9300000000000006</v>
      </c>
      <c r="P21" s="17" t="str">
        <f t="shared" si="6"/>
        <v>DEFICIENTE</v>
      </c>
    </row>
    <row r="22" spans="1:16" ht="11.15" customHeight="1" x14ac:dyDescent="0.35">
      <c r="A22" s="13">
        <f>'CORTE 1 G1'!A25</f>
        <v>0</v>
      </c>
      <c r="B22" s="210">
        <f>'CORTE 1 G1'!B25:B25</f>
        <v>0</v>
      </c>
      <c r="C22" s="210"/>
      <c r="D22" s="15">
        <v>5</v>
      </c>
      <c r="E22" s="15">
        <f t="shared" si="0"/>
        <v>0.75</v>
      </c>
      <c r="F22" s="15">
        <v>3</v>
      </c>
      <c r="G22" s="15">
        <f t="shared" si="1"/>
        <v>0.44999999999999996</v>
      </c>
      <c r="H22" s="15">
        <v>2.6</v>
      </c>
      <c r="I22" s="15">
        <f t="shared" si="2"/>
        <v>1.04</v>
      </c>
      <c r="J22" s="15">
        <v>1.6</v>
      </c>
      <c r="K22" s="15">
        <f t="shared" si="3"/>
        <v>0.24</v>
      </c>
      <c r="L22" s="15">
        <v>3</v>
      </c>
      <c r="M22" s="15">
        <f t="shared" si="4"/>
        <v>0.44999999999999996</v>
      </c>
      <c r="N22" s="16">
        <f t="shared" si="5"/>
        <v>2.9300000000000006</v>
      </c>
      <c r="P22" s="17" t="str">
        <f t="shared" si="6"/>
        <v>DEFICIENTE</v>
      </c>
    </row>
    <row r="23" spans="1:16" ht="11.15" customHeight="1" x14ac:dyDescent="0.35">
      <c r="A23" s="13">
        <f>'CORTE 1 G1'!A26</f>
        <v>0</v>
      </c>
      <c r="B23" s="210">
        <f>'CORTE 1 G1'!B26:B26</f>
        <v>0</v>
      </c>
      <c r="C23" s="210"/>
      <c r="D23" s="15">
        <v>5</v>
      </c>
      <c r="E23" s="15">
        <f t="shared" si="0"/>
        <v>0.75</v>
      </c>
      <c r="F23" s="15">
        <v>3</v>
      </c>
      <c r="G23" s="15">
        <f t="shared" si="1"/>
        <v>0.44999999999999996</v>
      </c>
      <c r="H23" s="15">
        <v>2.6</v>
      </c>
      <c r="I23" s="15">
        <f t="shared" si="2"/>
        <v>1.04</v>
      </c>
      <c r="J23" s="15">
        <v>1.6</v>
      </c>
      <c r="K23" s="15">
        <f t="shared" si="3"/>
        <v>0.24</v>
      </c>
      <c r="L23" s="15">
        <v>3</v>
      </c>
      <c r="M23" s="15">
        <f t="shared" si="4"/>
        <v>0.44999999999999996</v>
      </c>
      <c r="N23" s="16">
        <f t="shared" si="5"/>
        <v>2.9300000000000006</v>
      </c>
      <c r="P23" s="17" t="str">
        <f t="shared" si="6"/>
        <v>DEFICIENTE</v>
      </c>
    </row>
    <row r="24" spans="1:16" ht="11.15" customHeight="1" x14ac:dyDescent="0.35">
      <c r="A24" s="13">
        <f>'CORTE 1 G1'!A27</f>
        <v>0</v>
      </c>
      <c r="B24" s="210">
        <f>'CORTE 1 G1'!B27:B27</f>
        <v>0</v>
      </c>
      <c r="C24" s="210"/>
      <c r="D24" s="15">
        <v>5</v>
      </c>
      <c r="E24" s="15">
        <f t="shared" si="0"/>
        <v>0.75</v>
      </c>
      <c r="F24" s="15">
        <v>3</v>
      </c>
      <c r="G24" s="15">
        <f t="shared" si="1"/>
        <v>0.44999999999999996</v>
      </c>
      <c r="H24" s="15">
        <v>2.6</v>
      </c>
      <c r="I24" s="15">
        <f t="shared" si="2"/>
        <v>1.04</v>
      </c>
      <c r="J24" s="15">
        <v>1.6</v>
      </c>
      <c r="K24" s="15">
        <f t="shared" si="3"/>
        <v>0.24</v>
      </c>
      <c r="L24" s="15">
        <v>3</v>
      </c>
      <c r="M24" s="15">
        <f t="shared" si="4"/>
        <v>0.44999999999999996</v>
      </c>
      <c r="N24" s="16">
        <f t="shared" si="5"/>
        <v>2.9300000000000006</v>
      </c>
      <c r="P24" s="17" t="str">
        <f t="shared" si="6"/>
        <v>DEFICIENTE</v>
      </c>
    </row>
    <row r="25" spans="1:16" ht="11.15" customHeight="1" x14ac:dyDescent="0.35">
      <c r="A25" s="13">
        <f>'CORTE 1 G1'!A28</f>
        <v>0</v>
      </c>
      <c r="B25" s="210">
        <f>'CORTE 1 G1'!B28:B28</f>
        <v>0</v>
      </c>
      <c r="C25" s="210"/>
      <c r="D25" s="15">
        <v>3</v>
      </c>
      <c r="E25" s="15">
        <f t="shared" si="0"/>
        <v>0.44999999999999996</v>
      </c>
      <c r="F25" s="15">
        <v>3</v>
      </c>
      <c r="G25" s="15">
        <f t="shared" si="1"/>
        <v>0.44999999999999996</v>
      </c>
      <c r="H25" s="15">
        <v>2.6</v>
      </c>
      <c r="I25" s="15">
        <f t="shared" si="2"/>
        <v>1.04</v>
      </c>
      <c r="J25" s="15">
        <v>1.6</v>
      </c>
      <c r="K25" s="15">
        <f t="shared" si="3"/>
        <v>0.24</v>
      </c>
      <c r="L25" s="15">
        <v>3</v>
      </c>
      <c r="M25" s="15">
        <f t="shared" si="4"/>
        <v>0.44999999999999996</v>
      </c>
      <c r="N25" s="16">
        <f t="shared" si="5"/>
        <v>2.63</v>
      </c>
      <c r="P25" s="17" t="str">
        <f t="shared" si="6"/>
        <v>DEFICIENTE</v>
      </c>
    </row>
    <row r="26" spans="1:16" ht="11.15" customHeight="1" x14ac:dyDescent="0.35">
      <c r="A26" s="13">
        <f>'CORTE 1 G1'!A29</f>
        <v>0</v>
      </c>
      <c r="B26" s="210">
        <f>'CORTE 1 G1'!B29:B29</f>
        <v>0</v>
      </c>
      <c r="C26" s="210"/>
      <c r="D26" s="15">
        <v>4</v>
      </c>
      <c r="E26" s="15">
        <f t="shared" si="0"/>
        <v>0.6</v>
      </c>
      <c r="F26" s="15">
        <v>3</v>
      </c>
      <c r="G26" s="15">
        <f t="shared" si="1"/>
        <v>0.44999999999999996</v>
      </c>
      <c r="H26" s="15">
        <v>2.6</v>
      </c>
      <c r="I26" s="15">
        <f t="shared" si="2"/>
        <v>1.04</v>
      </c>
      <c r="J26" s="15">
        <v>1.6</v>
      </c>
      <c r="K26" s="15">
        <f t="shared" si="3"/>
        <v>0.24</v>
      </c>
      <c r="L26" s="15">
        <v>3</v>
      </c>
      <c r="M26" s="15">
        <f t="shared" si="4"/>
        <v>0.44999999999999996</v>
      </c>
      <c r="N26" s="16">
        <f t="shared" si="5"/>
        <v>2.7800000000000002</v>
      </c>
      <c r="P26" s="17" t="str">
        <f t="shared" si="6"/>
        <v>DEFICIENTE</v>
      </c>
    </row>
    <row r="27" spans="1:16" ht="11.15" customHeight="1" x14ac:dyDescent="0.35">
      <c r="A27" s="13">
        <f>'CORTE 1 G1'!A30</f>
        <v>0</v>
      </c>
      <c r="B27" s="210">
        <f>'CORTE 1 G1'!B30:B30</f>
        <v>0</v>
      </c>
      <c r="C27" s="210"/>
      <c r="D27" s="15">
        <v>5</v>
      </c>
      <c r="E27" s="15">
        <f t="shared" si="0"/>
        <v>0.75</v>
      </c>
      <c r="F27" s="15">
        <v>5</v>
      </c>
      <c r="G27" s="15">
        <f t="shared" si="1"/>
        <v>0.75</v>
      </c>
      <c r="H27" s="15">
        <v>2.6</v>
      </c>
      <c r="I27" s="15">
        <f t="shared" si="2"/>
        <v>1.04</v>
      </c>
      <c r="J27" s="15">
        <v>5</v>
      </c>
      <c r="K27" s="15">
        <f t="shared" si="3"/>
        <v>0.75</v>
      </c>
      <c r="L27" s="15">
        <v>3</v>
      </c>
      <c r="M27" s="15">
        <f t="shared" si="4"/>
        <v>0.44999999999999996</v>
      </c>
      <c r="N27" s="16">
        <f t="shared" si="5"/>
        <v>3.74</v>
      </c>
      <c r="P27" s="17" t="str">
        <f t="shared" si="6"/>
        <v>BUENO</v>
      </c>
    </row>
    <row r="28" spans="1:16" ht="11.15" customHeight="1" x14ac:dyDescent="0.35">
      <c r="A28" s="13">
        <f>'CORTE 1 G1'!A31</f>
        <v>0</v>
      </c>
      <c r="B28" s="210">
        <f>'CORTE 1 G1'!B31:B31</f>
        <v>0</v>
      </c>
      <c r="C28" s="210"/>
      <c r="D28" s="15">
        <v>2</v>
      </c>
      <c r="E28" s="15">
        <f t="shared" si="0"/>
        <v>0.3</v>
      </c>
      <c r="F28" s="15">
        <v>3</v>
      </c>
      <c r="G28" s="15">
        <f t="shared" si="1"/>
        <v>0.44999999999999996</v>
      </c>
      <c r="H28" s="15">
        <v>2.6</v>
      </c>
      <c r="I28" s="15">
        <f t="shared" si="2"/>
        <v>1.04</v>
      </c>
      <c r="J28" s="15">
        <v>1.6</v>
      </c>
      <c r="K28" s="15">
        <f t="shared" si="3"/>
        <v>0.24</v>
      </c>
      <c r="L28" s="15">
        <v>3</v>
      </c>
      <c r="M28" s="15">
        <f t="shared" si="4"/>
        <v>0.44999999999999996</v>
      </c>
      <c r="N28" s="16">
        <f t="shared" si="5"/>
        <v>2.4800000000000004</v>
      </c>
      <c r="P28" s="17" t="str">
        <f t="shared" si="6"/>
        <v>DEFICIENTE</v>
      </c>
    </row>
    <row r="29" spans="1:16" ht="11.15" customHeight="1" x14ac:dyDescent="0.35">
      <c r="A29" s="13">
        <f>'CORTE 1 G1'!A32</f>
        <v>0</v>
      </c>
      <c r="B29" s="210">
        <f>'CORTE 1 G1'!B32:B32</f>
        <v>0</v>
      </c>
      <c r="C29" s="210"/>
      <c r="D29" s="15">
        <v>5</v>
      </c>
      <c r="E29" s="15">
        <f t="shared" si="0"/>
        <v>0.75</v>
      </c>
      <c r="F29" s="15">
        <v>3</v>
      </c>
      <c r="G29" s="15">
        <f t="shared" si="1"/>
        <v>0.44999999999999996</v>
      </c>
      <c r="H29" s="15">
        <v>2.6</v>
      </c>
      <c r="I29" s="15">
        <f t="shared" si="2"/>
        <v>1.04</v>
      </c>
      <c r="J29" s="15">
        <v>1.6</v>
      </c>
      <c r="K29" s="15">
        <f t="shared" si="3"/>
        <v>0.24</v>
      </c>
      <c r="L29" s="15">
        <v>3</v>
      </c>
      <c r="M29" s="15">
        <f t="shared" si="4"/>
        <v>0.44999999999999996</v>
      </c>
      <c r="N29" s="16">
        <f t="shared" si="5"/>
        <v>2.9300000000000006</v>
      </c>
      <c r="P29" s="17" t="str">
        <f t="shared" si="6"/>
        <v>DEFICIENTE</v>
      </c>
    </row>
    <row r="30" spans="1:16" ht="11.15" customHeight="1" x14ac:dyDescent="0.35">
      <c r="A30" s="13">
        <f>'CORTE 1 G1'!A33</f>
        <v>0</v>
      </c>
      <c r="B30" s="210">
        <f>'CORTE 1 G1'!B33:B33</f>
        <v>0</v>
      </c>
      <c r="C30" s="210"/>
      <c r="D30" s="15">
        <v>4.8</v>
      </c>
      <c r="E30" s="15">
        <f t="shared" si="0"/>
        <v>0.72</v>
      </c>
      <c r="F30" s="15">
        <v>4.2</v>
      </c>
      <c r="G30" s="15">
        <f t="shared" si="1"/>
        <v>0.63</v>
      </c>
      <c r="H30" s="15">
        <v>3.8</v>
      </c>
      <c r="I30" s="15">
        <f t="shared" si="2"/>
        <v>1.52</v>
      </c>
      <c r="J30" s="15">
        <v>4.5</v>
      </c>
      <c r="K30" s="15">
        <f t="shared" si="3"/>
        <v>0.67499999999999993</v>
      </c>
      <c r="L30" s="15">
        <v>5</v>
      </c>
      <c r="M30" s="15">
        <f t="shared" si="4"/>
        <v>0.75</v>
      </c>
      <c r="N30" s="16">
        <f t="shared" si="5"/>
        <v>4.2949999999999999</v>
      </c>
      <c r="P30" s="17" t="str">
        <f t="shared" si="6"/>
        <v>EXCELENTE</v>
      </c>
    </row>
    <row r="31" spans="1:16" ht="11.15" customHeight="1" x14ac:dyDescent="0.35">
      <c r="A31" s="13">
        <f>'CORTE 1 G1'!A34</f>
        <v>0</v>
      </c>
      <c r="B31" s="210">
        <f>'CORTE 1 G1'!B34:B34</f>
        <v>0</v>
      </c>
      <c r="C31" s="210"/>
      <c r="D31" s="15">
        <v>3.2</v>
      </c>
      <c r="E31" s="15">
        <f t="shared" si="0"/>
        <v>0.48</v>
      </c>
      <c r="F31" s="15">
        <v>4</v>
      </c>
      <c r="G31" s="15">
        <f t="shared" si="1"/>
        <v>0.6</v>
      </c>
      <c r="H31" s="15">
        <v>2.6</v>
      </c>
      <c r="I31" s="15">
        <f t="shared" si="2"/>
        <v>1.04</v>
      </c>
      <c r="J31" s="15">
        <v>1.6</v>
      </c>
      <c r="K31" s="15">
        <f t="shared" si="3"/>
        <v>0.24</v>
      </c>
      <c r="L31" s="15">
        <v>3</v>
      </c>
      <c r="M31" s="15">
        <f t="shared" si="4"/>
        <v>0.44999999999999996</v>
      </c>
      <c r="N31" s="16">
        <f t="shared" si="5"/>
        <v>2.8100000000000005</v>
      </c>
      <c r="P31" s="17" t="str">
        <f t="shared" si="6"/>
        <v>DEFICIENTE</v>
      </c>
    </row>
    <row r="32" spans="1:16" ht="11.15" customHeight="1" x14ac:dyDescent="0.35">
      <c r="A32" s="13">
        <f>'CORTE 1 G1'!A35</f>
        <v>0</v>
      </c>
      <c r="B32" s="210">
        <f>'CORTE 1 G1'!B35:B35</f>
        <v>0</v>
      </c>
      <c r="C32" s="210"/>
      <c r="D32" s="15">
        <v>3.2</v>
      </c>
      <c r="E32" s="15">
        <f t="shared" si="0"/>
        <v>0.48</v>
      </c>
      <c r="F32" s="15">
        <v>3</v>
      </c>
      <c r="G32" s="15">
        <f t="shared" si="1"/>
        <v>0.44999999999999996</v>
      </c>
      <c r="H32" s="15">
        <v>2.6</v>
      </c>
      <c r="I32" s="15">
        <f t="shared" si="2"/>
        <v>1.04</v>
      </c>
      <c r="J32" s="15">
        <v>1.6</v>
      </c>
      <c r="K32" s="15">
        <f t="shared" si="3"/>
        <v>0.24</v>
      </c>
      <c r="L32" s="15">
        <v>3</v>
      </c>
      <c r="M32" s="15">
        <f t="shared" si="4"/>
        <v>0.44999999999999996</v>
      </c>
      <c r="N32" s="16">
        <f t="shared" si="5"/>
        <v>2.66</v>
      </c>
      <c r="P32" s="17" t="str">
        <f t="shared" si="6"/>
        <v>DEFICIENTE</v>
      </c>
    </row>
    <row r="33" spans="1:16" ht="11.15" customHeight="1" x14ac:dyDescent="0.35">
      <c r="A33" s="13">
        <f>'CORTE 1 G1'!A36</f>
        <v>0</v>
      </c>
      <c r="B33" s="210">
        <f>'CORTE 1 G1'!B36:B36</f>
        <v>0</v>
      </c>
      <c r="C33" s="210"/>
      <c r="D33" s="15">
        <v>2.9</v>
      </c>
      <c r="E33" s="15">
        <f t="shared" si="0"/>
        <v>0.435</v>
      </c>
      <c r="F33" s="15">
        <v>3</v>
      </c>
      <c r="G33" s="15">
        <f t="shared" si="1"/>
        <v>0.44999999999999996</v>
      </c>
      <c r="H33" s="15">
        <v>2.6</v>
      </c>
      <c r="I33" s="15">
        <f t="shared" si="2"/>
        <v>1.04</v>
      </c>
      <c r="J33" s="15">
        <v>1.6</v>
      </c>
      <c r="K33" s="15">
        <f t="shared" si="3"/>
        <v>0.24</v>
      </c>
      <c r="L33" s="15">
        <v>3</v>
      </c>
      <c r="M33" s="15">
        <f t="shared" si="4"/>
        <v>0.44999999999999996</v>
      </c>
      <c r="N33" s="16">
        <f t="shared" si="5"/>
        <v>2.6150000000000002</v>
      </c>
      <c r="P33" s="17" t="str">
        <f t="shared" si="6"/>
        <v>DEFICIENTE</v>
      </c>
    </row>
    <row r="34" spans="1:16" ht="11.15" customHeight="1" x14ac:dyDescent="0.35">
      <c r="A34" s="13">
        <f>'CORTE 1 G1'!A37</f>
        <v>0</v>
      </c>
      <c r="B34" s="210">
        <f>'CORTE 1 G1'!B37:B37</f>
        <v>0</v>
      </c>
      <c r="C34" s="210"/>
      <c r="D34" s="15">
        <v>2.5</v>
      </c>
      <c r="E34" s="15">
        <f t="shared" si="0"/>
        <v>0.375</v>
      </c>
      <c r="F34" s="15">
        <v>3</v>
      </c>
      <c r="G34" s="15">
        <f t="shared" si="1"/>
        <v>0.44999999999999996</v>
      </c>
      <c r="H34" s="15">
        <v>2.6</v>
      </c>
      <c r="I34" s="15">
        <f t="shared" si="2"/>
        <v>1.04</v>
      </c>
      <c r="J34" s="15">
        <v>1.6</v>
      </c>
      <c r="K34" s="15">
        <f t="shared" si="3"/>
        <v>0.24</v>
      </c>
      <c r="L34" s="15">
        <v>3</v>
      </c>
      <c r="M34" s="15">
        <f t="shared" si="4"/>
        <v>0.44999999999999996</v>
      </c>
      <c r="N34" s="16">
        <f t="shared" si="5"/>
        <v>2.5549999999999997</v>
      </c>
      <c r="P34" s="17" t="str">
        <f t="shared" si="6"/>
        <v>DEFICIENTE</v>
      </c>
    </row>
    <row r="35" spans="1:16" ht="11.15" customHeight="1" x14ac:dyDescent="0.35">
      <c r="A35" s="13">
        <f>'CORTE 1 G1'!A38</f>
        <v>0</v>
      </c>
      <c r="B35" s="210">
        <f>'CORTE 1 G1'!B38:B38</f>
        <v>0</v>
      </c>
      <c r="C35" s="210"/>
      <c r="D35" s="15">
        <v>5</v>
      </c>
      <c r="E35" s="15">
        <f t="shared" si="0"/>
        <v>0.75</v>
      </c>
      <c r="F35" s="15">
        <v>3</v>
      </c>
      <c r="G35" s="15">
        <f t="shared" si="1"/>
        <v>0.44999999999999996</v>
      </c>
      <c r="H35" s="15">
        <v>2.6</v>
      </c>
      <c r="I35" s="15">
        <f t="shared" si="2"/>
        <v>1.04</v>
      </c>
      <c r="J35" s="15">
        <v>1.6</v>
      </c>
      <c r="K35" s="15">
        <f t="shared" si="3"/>
        <v>0.24</v>
      </c>
      <c r="L35" s="15">
        <v>3</v>
      </c>
      <c r="M35" s="15">
        <f t="shared" si="4"/>
        <v>0.44999999999999996</v>
      </c>
      <c r="N35" s="16">
        <f t="shared" si="5"/>
        <v>2.9300000000000006</v>
      </c>
      <c r="P35" s="17" t="str">
        <f t="shared" si="6"/>
        <v>DEFICIENTE</v>
      </c>
    </row>
    <row r="36" spans="1:16" ht="11.15" customHeight="1" x14ac:dyDescent="0.35">
      <c r="A36" s="13">
        <f>'CORTE 1 G1'!A39</f>
        <v>0</v>
      </c>
      <c r="B36" s="210">
        <f>'CORTE 1 G1'!B39:B39</f>
        <v>0</v>
      </c>
      <c r="C36" s="210"/>
      <c r="D36" s="15">
        <v>5</v>
      </c>
      <c r="E36" s="15">
        <f t="shared" si="0"/>
        <v>0.75</v>
      </c>
      <c r="F36" s="15">
        <v>3</v>
      </c>
      <c r="G36" s="15">
        <f t="shared" si="1"/>
        <v>0.44999999999999996</v>
      </c>
      <c r="H36" s="15">
        <v>2.6</v>
      </c>
      <c r="I36" s="15">
        <f t="shared" si="2"/>
        <v>1.04</v>
      </c>
      <c r="J36" s="15">
        <v>1.6</v>
      </c>
      <c r="K36" s="15">
        <f t="shared" si="3"/>
        <v>0.24</v>
      </c>
      <c r="L36" s="15">
        <v>3</v>
      </c>
      <c r="M36" s="15">
        <f t="shared" si="4"/>
        <v>0.44999999999999996</v>
      </c>
      <c r="N36" s="16">
        <f t="shared" si="5"/>
        <v>2.9300000000000006</v>
      </c>
      <c r="P36" s="17" t="str">
        <f t="shared" si="6"/>
        <v>DEFICIENTE</v>
      </c>
    </row>
    <row r="37" spans="1:16" ht="11.15" customHeight="1" x14ac:dyDescent="0.35">
      <c r="A37" s="13">
        <f>'CORTE 1 G1'!A40</f>
        <v>0</v>
      </c>
      <c r="B37" s="210">
        <f>'CORTE 1 G1'!B40:B40</f>
        <v>0</v>
      </c>
      <c r="C37" s="210"/>
      <c r="D37" s="15">
        <v>4</v>
      </c>
      <c r="E37" s="15">
        <f t="shared" si="0"/>
        <v>0.6</v>
      </c>
      <c r="F37" s="15">
        <v>3</v>
      </c>
      <c r="G37" s="15">
        <f t="shared" si="1"/>
        <v>0.44999999999999996</v>
      </c>
      <c r="H37" s="15">
        <v>2.6</v>
      </c>
      <c r="I37" s="15">
        <f t="shared" si="2"/>
        <v>1.04</v>
      </c>
      <c r="J37" s="15">
        <v>1.6</v>
      </c>
      <c r="K37" s="15">
        <f t="shared" si="3"/>
        <v>0.24</v>
      </c>
      <c r="L37" s="15">
        <v>3</v>
      </c>
      <c r="M37" s="15">
        <f t="shared" si="4"/>
        <v>0.44999999999999996</v>
      </c>
      <c r="N37" s="16">
        <f t="shared" si="5"/>
        <v>2.7800000000000002</v>
      </c>
      <c r="P37" s="17" t="str">
        <f t="shared" si="6"/>
        <v>DEFICIENTE</v>
      </c>
    </row>
    <row r="38" spans="1:16" ht="11.15" customHeight="1" x14ac:dyDescent="0.35">
      <c r="A38" s="13">
        <f>'CORTE 1 G1'!A41</f>
        <v>0</v>
      </c>
      <c r="B38" s="210">
        <f>'CORTE 1 G1'!B41:B41</f>
        <v>0</v>
      </c>
      <c r="C38" s="210"/>
      <c r="D38" s="15">
        <v>4.8</v>
      </c>
      <c r="E38" s="15">
        <f t="shared" si="0"/>
        <v>0.72</v>
      </c>
      <c r="F38" s="15">
        <v>4.2</v>
      </c>
      <c r="G38" s="15">
        <f t="shared" si="1"/>
        <v>0.63</v>
      </c>
      <c r="H38" s="15">
        <v>3.8</v>
      </c>
      <c r="I38" s="15">
        <f t="shared" si="2"/>
        <v>1.52</v>
      </c>
      <c r="J38" s="15">
        <v>4.5</v>
      </c>
      <c r="K38" s="15">
        <f t="shared" si="3"/>
        <v>0.67499999999999993</v>
      </c>
      <c r="L38" s="15">
        <v>5</v>
      </c>
      <c r="M38" s="15">
        <f t="shared" si="4"/>
        <v>0.75</v>
      </c>
      <c r="N38" s="16">
        <f t="shared" si="5"/>
        <v>4.2949999999999999</v>
      </c>
      <c r="P38" s="17" t="str">
        <f t="shared" si="6"/>
        <v>EXCELENTE</v>
      </c>
    </row>
    <row r="39" spans="1:16" ht="11.15" customHeight="1" x14ac:dyDescent="0.35">
      <c r="A39" s="13">
        <f>'CORTE 1 G1'!A42</f>
        <v>0</v>
      </c>
      <c r="B39" s="210">
        <f>'CORTE 1 G1'!B42:B42</f>
        <v>0</v>
      </c>
      <c r="C39" s="210"/>
      <c r="D39" s="15">
        <v>3.4</v>
      </c>
      <c r="E39" s="15">
        <f t="shared" si="0"/>
        <v>0.51</v>
      </c>
      <c r="F39" s="15">
        <v>3</v>
      </c>
      <c r="G39" s="15">
        <f t="shared" si="1"/>
        <v>0.44999999999999996</v>
      </c>
      <c r="H39" s="15">
        <v>2.6</v>
      </c>
      <c r="I39" s="15">
        <f t="shared" si="2"/>
        <v>1.04</v>
      </c>
      <c r="J39" s="15">
        <v>1.6</v>
      </c>
      <c r="K39" s="15">
        <f t="shared" si="3"/>
        <v>0.24</v>
      </c>
      <c r="L39" s="15">
        <v>3</v>
      </c>
      <c r="M39" s="15">
        <f t="shared" si="4"/>
        <v>0.44999999999999996</v>
      </c>
      <c r="N39" s="16">
        <f t="shared" si="5"/>
        <v>2.6900000000000004</v>
      </c>
      <c r="P39" s="17" t="str">
        <f t="shared" si="6"/>
        <v>DEFICIENTE</v>
      </c>
    </row>
    <row r="40" spans="1:16" ht="11.15" customHeight="1" x14ac:dyDescent="0.35">
      <c r="A40" s="13">
        <f>'CORTE 1 G1'!A43</f>
        <v>0</v>
      </c>
      <c r="B40" s="210">
        <f>'CORTE 1 G1'!B43:B43</f>
        <v>0</v>
      </c>
      <c r="C40" s="210"/>
      <c r="D40" s="15">
        <v>3.5</v>
      </c>
      <c r="E40" s="15">
        <f t="shared" si="0"/>
        <v>0.52500000000000002</v>
      </c>
      <c r="F40" s="15">
        <v>3</v>
      </c>
      <c r="G40" s="15">
        <f t="shared" si="1"/>
        <v>0.44999999999999996</v>
      </c>
      <c r="H40" s="15">
        <v>2.6</v>
      </c>
      <c r="I40" s="15">
        <f t="shared" si="2"/>
        <v>1.04</v>
      </c>
      <c r="J40" s="15">
        <v>1.6</v>
      </c>
      <c r="K40" s="15">
        <f t="shared" si="3"/>
        <v>0.24</v>
      </c>
      <c r="L40" s="15">
        <v>3</v>
      </c>
      <c r="M40" s="15">
        <f t="shared" si="4"/>
        <v>0.44999999999999996</v>
      </c>
      <c r="N40" s="16">
        <f t="shared" si="5"/>
        <v>2.7050000000000001</v>
      </c>
      <c r="P40" s="17" t="str">
        <f t="shared" si="6"/>
        <v>DEFICIENTE</v>
      </c>
    </row>
    <row r="41" spans="1:16" ht="11.15" customHeight="1" x14ac:dyDescent="0.35">
      <c r="A41" s="13">
        <f>'CORTE 1 G1'!A44</f>
        <v>0</v>
      </c>
      <c r="B41" s="210">
        <f>'CORTE 1 G1'!B44:B44</f>
        <v>0</v>
      </c>
      <c r="C41" s="210"/>
      <c r="D41" s="15">
        <v>3.5</v>
      </c>
      <c r="E41" s="15">
        <f t="shared" si="0"/>
        <v>0.52500000000000002</v>
      </c>
      <c r="F41" s="15">
        <v>3</v>
      </c>
      <c r="G41" s="15">
        <f t="shared" si="1"/>
        <v>0.44999999999999996</v>
      </c>
      <c r="H41" s="15">
        <v>2.6</v>
      </c>
      <c r="I41" s="15">
        <f t="shared" si="2"/>
        <v>1.04</v>
      </c>
      <c r="J41" s="15">
        <v>1.6</v>
      </c>
      <c r="K41" s="15">
        <f t="shared" si="3"/>
        <v>0.24</v>
      </c>
      <c r="L41" s="15">
        <v>3</v>
      </c>
      <c r="M41" s="15">
        <f t="shared" si="4"/>
        <v>0.44999999999999996</v>
      </c>
      <c r="N41" s="16">
        <f t="shared" si="5"/>
        <v>2.7050000000000001</v>
      </c>
      <c r="P41" s="17" t="str">
        <f t="shared" si="6"/>
        <v>DEFICIENTE</v>
      </c>
    </row>
    <row r="42" spans="1:16" ht="11.15" customHeight="1" x14ac:dyDescent="0.35">
      <c r="A42" s="13">
        <f>'CORTE 1 G1'!A45</f>
        <v>0</v>
      </c>
      <c r="B42" s="210">
        <f>'CORTE 1 G1'!B45:B45</f>
        <v>0</v>
      </c>
      <c r="C42" s="210"/>
      <c r="D42" s="15">
        <v>3.2</v>
      </c>
      <c r="E42" s="15">
        <f t="shared" si="0"/>
        <v>0.48</v>
      </c>
      <c r="F42" s="15">
        <v>3</v>
      </c>
      <c r="G42" s="15">
        <f t="shared" si="1"/>
        <v>0.44999999999999996</v>
      </c>
      <c r="H42" s="15">
        <v>2.6</v>
      </c>
      <c r="I42" s="15">
        <f t="shared" si="2"/>
        <v>1.04</v>
      </c>
      <c r="J42" s="15">
        <v>1.6</v>
      </c>
      <c r="K42" s="15">
        <f t="shared" si="3"/>
        <v>0.24</v>
      </c>
      <c r="L42" s="15">
        <v>3</v>
      </c>
      <c r="M42" s="15">
        <f t="shared" si="4"/>
        <v>0.44999999999999996</v>
      </c>
      <c r="N42" s="16">
        <f t="shared" si="5"/>
        <v>2.66</v>
      </c>
      <c r="P42" s="17" t="str">
        <f t="shared" si="6"/>
        <v>DEFICIENTE</v>
      </c>
    </row>
    <row r="43" spans="1:16" ht="11.15" customHeight="1" x14ac:dyDescent="0.35">
      <c r="A43" s="13">
        <f>'CORTE 1 G1'!A46</f>
        <v>0</v>
      </c>
      <c r="B43" s="210">
        <f>'CORTE 1 G1'!B46:B46</f>
        <v>0</v>
      </c>
      <c r="C43" s="210"/>
      <c r="D43" s="15">
        <v>5</v>
      </c>
      <c r="E43" s="15">
        <f t="shared" si="0"/>
        <v>0.75</v>
      </c>
      <c r="F43" s="15">
        <v>3</v>
      </c>
      <c r="G43" s="15">
        <f t="shared" si="1"/>
        <v>0.44999999999999996</v>
      </c>
      <c r="H43" s="15">
        <v>2.6</v>
      </c>
      <c r="I43" s="15">
        <f t="shared" si="2"/>
        <v>1.04</v>
      </c>
      <c r="J43" s="15">
        <v>1.6</v>
      </c>
      <c r="K43" s="15">
        <f t="shared" si="3"/>
        <v>0.24</v>
      </c>
      <c r="L43" s="15">
        <v>3</v>
      </c>
      <c r="M43" s="15">
        <f t="shared" si="4"/>
        <v>0.44999999999999996</v>
      </c>
      <c r="N43" s="16">
        <f t="shared" si="5"/>
        <v>2.9300000000000006</v>
      </c>
      <c r="P43" s="17" t="str">
        <f t="shared" si="6"/>
        <v>DEFICIENTE</v>
      </c>
    </row>
    <row r="44" spans="1:16" ht="11.15" customHeight="1" x14ac:dyDescent="0.35">
      <c r="A44" s="13">
        <f>'CORTE 1 G1'!A63</f>
        <v>0</v>
      </c>
      <c r="B44" s="210">
        <f>'CORTE 1 G1'!B63:B63</f>
        <v>0</v>
      </c>
      <c r="C44" s="210"/>
      <c r="D44" s="15">
        <v>5</v>
      </c>
      <c r="E44" s="15">
        <f t="shared" si="0"/>
        <v>0.75</v>
      </c>
      <c r="F44" s="15">
        <v>3</v>
      </c>
      <c r="G44" s="15">
        <f t="shared" si="1"/>
        <v>0.44999999999999996</v>
      </c>
      <c r="H44" s="15">
        <v>2.6</v>
      </c>
      <c r="I44" s="15">
        <f t="shared" si="2"/>
        <v>1.04</v>
      </c>
      <c r="J44" s="15">
        <v>1.6</v>
      </c>
      <c r="K44" s="15">
        <f t="shared" si="3"/>
        <v>0.24</v>
      </c>
      <c r="L44" s="15">
        <v>3</v>
      </c>
      <c r="M44" s="15">
        <f t="shared" si="4"/>
        <v>0.44999999999999996</v>
      </c>
      <c r="N44" s="16">
        <f t="shared" si="5"/>
        <v>2.9300000000000006</v>
      </c>
      <c r="P44" s="17" t="str">
        <f t="shared" si="6"/>
        <v>DEFICIENTE</v>
      </c>
    </row>
    <row r="46" spans="1:16" ht="5.15" customHeight="1" x14ac:dyDescent="0.35"/>
    <row r="47" spans="1:16" ht="12" customHeight="1" x14ac:dyDescent="0.35">
      <c r="C47" s="24" t="s">
        <v>36</v>
      </c>
      <c r="D47" s="25">
        <f>COUNTIF(D12:D44,"&gt;3,95")</f>
        <v>19</v>
      </c>
      <c r="E47" s="25"/>
      <c r="F47" s="25">
        <f>COUNTIF(F12:F44,"&gt;3,95")</f>
        <v>5</v>
      </c>
      <c r="G47" s="25"/>
      <c r="H47" s="25">
        <f t="shared" ref="H47:N47" si="7">COUNTIF(H12:H44,"&gt;3,95")</f>
        <v>2</v>
      </c>
      <c r="I47" s="25"/>
      <c r="J47" s="25">
        <f t="shared" si="7"/>
        <v>4</v>
      </c>
      <c r="K47" s="25"/>
      <c r="L47" s="25">
        <f t="shared" si="7"/>
        <v>3</v>
      </c>
      <c r="M47" s="25"/>
      <c r="N47" s="25">
        <f t="shared" si="7"/>
        <v>3</v>
      </c>
      <c r="P47" s="25">
        <f>COUNTIF(P$12:P$44,"EXCELENTE")</f>
        <v>3</v>
      </c>
    </row>
    <row r="48" spans="1:16" ht="12" customHeight="1" x14ac:dyDescent="0.35">
      <c r="C48" s="26" t="s">
        <v>37</v>
      </c>
      <c r="D48" s="27">
        <f>COUNTIFS(D12:D44,"&gt;2,95",D12:D44,"&lt;3,95")</f>
        <v>9</v>
      </c>
      <c r="E48" s="27"/>
      <c r="F48" s="27">
        <f t="shared" ref="F48:N48" si="8">COUNTIFS(F12:F44,"&gt;2,95",F12:F44,"&lt;3,95")</f>
        <v>27</v>
      </c>
      <c r="G48" s="27"/>
      <c r="H48" s="27">
        <f t="shared" si="8"/>
        <v>3</v>
      </c>
      <c r="I48" s="27"/>
      <c r="J48" s="27">
        <f t="shared" si="8"/>
        <v>0</v>
      </c>
      <c r="K48" s="27"/>
      <c r="L48" s="27">
        <f t="shared" si="8"/>
        <v>30</v>
      </c>
      <c r="M48" s="27"/>
      <c r="N48" s="27">
        <f t="shared" si="8"/>
        <v>2</v>
      </c>
      <c r="P48" s="27">
        <f>COUNTIF(P$12:P$44,"BUENO")</f>
        <v>2</v>
      </c>
    </row>
    <row r="49" spans="2:16" ht="12" customHeight="1" x14ac:dyDescent="0.35">
      <c r="C49" s="28" t="s">
        <v>41</v>
      </c>
      <c r="D49" s="29">
        <f>COUNTIFS(D12:D44,"&gt;1,95",D12:D44,"&lt;2,95")</f>
        <v>4</v>
      </c>
      <c r="E49" s="29"/>
      <c r="F49" s="29">
        <f t="shared" ref="F49:N49" si="9">COUNTIFS(F12:F44,"&gt;1,95",F12:F44,"&lt;2,95")</f>
        <v>1</v>
      </c>
      <c r="G49" s="29"/>
      <c r="H49" s="29">
        <f t="shared" si="9"/>
        <v>28</v>
      </c>
      <c r="I49" s="29"/>
      <c r="J49" s="29">
        <f t="shared" si="9"/>
        <v>1</v>
      </c>
      <c r="K49" s="29"/>
      <c r="L49" s="29">
        <f t="shared" si="9"/>
        <v>0</v>
      </c>
      <c r="M49" s="29"/>
      <c r="N49" s="29">
        <f t="shared" si="9"/>
        <v>28</v>
      </c>
      <c r="P49" s="29">
        <f>COUNTIF(P$12:P$44,"DEFICIENTE")</f>
        <v>28</v>
      </c>
    </row>
    <row r="50" spans="2:16" ht="12" customHeight="1" x14ac:dyDescent="0.35">
      <c r="C50" s="30" t="s">
        <v>39</v>
      </c>
      <c r="D50" s="31">
        <f>COUNTIFS(D12:D44,"&gt;=0",D12:D44,"&lt;1,95")</f>
        <v>1</v>
      </c>
      <c r="E50" s="31"/>
      <c r="F50" s="31">
        <f t="shared" ref="F50:N50" si="10">COUNTIFS(F12:F44,"&gt;=0",F12:F44,"&lt;1,95")</f>
        <v>0</v>
      </c>
      <c r="G50" s="31"/>
      <c r="H50" s="31">
        <f t="shared" si="10"/>
        <v>0</v>
      </c>
      <c r="I50" s="31"/>
      <c r="J50" s="31">
        <f t="shared" si="10"/>
        <v>28</v>
      </c>
      <c r="K50" s="31"/>
      <c r="L50" s="31">
        <f t="shared" si="10"/>
        <v>0</v>
      </c>
      <c r="M50" s="31"/>
      <c r="N50" s="31">
        <f t="shared" si="10"/>
        <v>0</v>
      </c>
      <c r="P50" s="31">
        <f>COUNTIF(P$12:P$44,"INSUFICIENTE")</f>
        <v>0</v>
      </c>
    </row>
    <row r="51" spans="2:16" ht="5.15" customHeight="1" x14ac:dyDescent="0.35"/>
    <row r="52" spans="2:16" ht="12" customHeight="1" x14ac:dyDescent="0.35">
      <c r="B52" s="22" t="s">
        <v>42</v>
      </c>
      <c r="C52" s="21" t="s">
        <v>36</v>
      </c>
      <c r="D52" s="23">
        <f>D47/COUNTA($A$12:$A$45)</f>
        <v>0.5757575757575758</v>
      </c>
      <c r="E52" s="23"/>
      <c r="F52" s="23">
        <f t="shared" ref="F52:P52" si="11">F47/COUNTA($A$12:$A$45)</f>
        <v>0.15151515151515152</v>
      </c>
      <c r="G52" s="23"/>
      <c r="H52" s="23">
        <f t="shared" si="11"/>
        <v>6.0606060606060608E-2</v>
      </c>
      <c r="I52" s="23"/>
      <c r="J52" s="23">
        <f t="shared" si="11"/>
        <v>0.12121212121212122</v>
      </c>
      <c r="K52" s="23"/>
      <c r="L52" s="23">
        <f t="shared" si="11"/>
        <v>9.0909090909090912E-2</v>
      </c>
      <c r="M52" s="23"/>
      <c r="N52" s="23">
        <f t="shared" si="11"/>
        <v>9.0909090909090912E-2</v>
      </c>
      <c r="P52" s="23">
        <f t="shared" si="11"/>
        <v>9.0909090909090912E-2</v>
      </c>
    </row>
    <row r="53" spans="2:16" ht="12" customHeight="1" x14ac:dyDescent="0.35">
      <c r="B53" s="22" t="s">
        <v>42</v>
      </c>
      <c r="C53" s="21" t="s">
        <v>37</v>
      </c>
      <c r="D53" s="23">
        <f t="shared" ref="D53:P55" si="12">D48/COUNTA($A$12:$A$45)</f>
        <v>0.27272727272727271</v>
      </c>
      <c r="E53" s="23"/>
      <c r="F53" s="23">
        <f t="shared" si="12"/>
        <v>0.81818181818181823</v>
      </c>
      <c r="G53" s="23"/>
      <c r="H53" s="23">
        <f t="shared" si="12"/>
        <v>9.0909090909090912E-2</v>
      </c>
      <c r="I53" s="23"/>
      <c r="J53" s="23">
        <f t="shared" si="12"/>
        <v>0</v>
      </c>
      <c r="K53" s="23"/>
      <c r="L53" s="23">
        <f t="shared" si="12"/>
        <v>0.90909090909090906</v>
      </c>
      <c r="M53" s="23"/>
      <c r="N53" s="23">
        <f t="shared" si="12"/>
        <v>6.0606060606060608E-2</v>
      </c>
      <c r="P53" s="23">
        <f t="shared" si="12"/>
        <v>6.0606060606060608E-2</v>
      </c>
    </row>
    <row r="54" spans="2:16" ht="12" customHeight="1" x14ac:dyDescent="0.35">
      <c r="B54" s="22" t="s">
        <v>42</v>
      </c>
      <c r="C54" s="21" t="s">
        <v>41</v>
      </c>
      <c r="D54" s="23">
        <f t="shared" si="12"/>
        <v>0.12121212121212122</v>
      </c>
      <c r="E54" s="23"/>
      <c r="F54" s="23">
        <f t="shared" si="12"/>
        <v>3.0303030303030304E-2</v>
      </c>
      <c r="G54" s="23"/>
      <c r="H54" s="23">
        <f t="shared" si="12"/>
        <v>0.84848484848484851</v>
      </c>
      <c r="I54" s="23"/>
      <c r="J54" s="23">
        <f t="shared" si="12"/>
        <v>3.0303030303030304E-2</v>
      </c>
      <c r="K54" s="23"/>
      <c r="L54" s="23">
        <f t="shared" si="12"/>
        <v>0</v>
      </c>
      <c r="M54" s="23"/>
      <c r="N54" s="23">
        <f t="shared" si="12"/>
        <v>0.84848484848484851</v>
      </c>
      <c r="P54" s="23">
        <f t="shared" si="12"/>
        <v>0.84848484848484851</v>
      </c>
    </row>
    <row r="55" spans="2:16" ht="12" customHeight="1" x14ac:dyDescent="0.35">
      <c r="B55" s="22" t="s">
        <v>42</v>
      </c>
      <c r="C55" s="21" t="s">
        <v>39</v>
      </c>
      <c r="D55" s="23">
        <f t="shared" si="12"/>
        <v>3.0303030303030304E-2</v>
      </c>
      <c r="E55" s="23"/>
      <c r="F55" s="23">
        <f t="shared" si="12"/>
        <v>0</v>
      </c>
      <c r="G55" s="23"/>
      <c r="H55" s="23">
        <f t="shared" si="12"/>
        <v>0</v>
      </c>
      <c r="I55" s="23"/>
      <c r="J55" s="23">
        <f t="shared" si="12"/>
        <v>0.84848484848484851</v>
      </c>
      <c r="K55" s="23"/>
      <c r="L55" s="23">
        <f t="shared" si="12"/>
        <v>0</v>
      </c>
      <c r="M55" s="23"/>
      <c r="N55" s="23">
        <f t="shared" si="12"/>
        <v>0</v>
      </c>
      <c r="P55" s="23">
        <f t="shared" si="12"/>
        <v>0</v>
      </c>
    </row>
  </sheetData>
  <mergeCells count="36">
    <mergeCell ref="B20:C20"/>
    <mergeCell ref="D1:J1"/>
    <mergeCell ref="N9:N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32:C32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44:C44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</mergeCells>
  <conditionalFormatting sqref="C47:N47">
    <cfRule type="expression" dxfId="171" priority="78">
      <formula>$C$47=EXCELENTE</formula>
    </cfRule>
  </conditionalFormatting>
  <conditionalFormatting sqref="D12:M44">
    <cfRule type="cellIs" dxfId="170" priority="5" operator="equal">
      <formula>0</formula>
    </cfRule>
    <cfRule type="cellIs" dxfId="169" priority="6" stopIfTrue="1" operator="between">
      <formula>0</formula>
      <formula>1.94</formula>
    </cfRule>
    <cfRule type="cellIs" dxfId="168" priority="7" operator="between">
      <formula>1.95</formula>
      <formula>2.94</formula>
    </cfRule>
    <cfRule type="cellIs" dxfId="167" priority="8" operator="between">
      <formula>2.95</formula>
      <formula>3.95</formula>
    </cfRule>
    <cfRule type="cellIs" dxfId="166" priority="9" operator="between">
      <formula>3.95</formula>
      <formula>5</formula>
    </cfRule>
  </conditionalFormatting>
  <conditionalFormatting sqref="J12:J44 L12:L44">
    <cfRule type="cellIs" dxfId="165" priority="50" operator="equal">
      <formula>0</formula>
    </cfRule>
    <cfRule type="cellIs" dxfId="164" priority="51" stopIfTrue="1" operator="between">
      <formula>0</formula>
      <formula>1.94</formula>
    </cfRule>
    <cfRule type="cellIs" dxfId="163" priority="52" operator="between">
      <formula>1.95</formula>
      <formula>2.94</formula>
    </cfRule>
    <cfRule type="cellIs" dxfId="162" priority="53" operator="between">
      <formula>2.95</formula>
      <formula>3.95</formula>
    </cfRule>
    <cfRule type="cellIs" dxfId="161" priority="54" operator="between">
      <formula>3.95</formula>
      <formula>5</formula>
    </cfRule>
  </conditionalFormatting>
  <conditionalFormatting sqref="N12:N44">
    <cfRule type="cellIs" dxfId="160" priority="1" stopIfTrue="1" operator="between">
      <formula>0</formula>
      <formula>1.94</formula>
    </cfRule>
    <cfRule type="cellIs" dxfId="159" priority="2" operator="between">
      <formula>1.95</formula>
      <formula>2.94</formula>
    </cfRule>
    <cfRule type="cellIs" dxfId="158" priority="3" operator="between">
      <formula>2.95</formula>
      <formula>3.94</formula>
    </cfRule>
    <cfRule type="cellIs" dxfId="157" priority="4" operator="between">
      <formula>3.95</formula>
      <formula>5</formula>
    </cfRule>
  </conditionalFormatting>
  <conditionalFormatting sqref="P12:P44">
    <cfRule type="containsText" dxfId="156" priority="83" operator="containsText" text="INSUFICIENTE">
      <formula>NOT(ISERROR(SEARCH("INSUFICIENTE",P12)))</formula>
    </cfRule>
    <cfRule type="containsText" dxfId="155" priority="84" operator="containsText" text="DEFICIENTE">
      <formula>NOT(ISERROR(SEARCH("DEFICIENTE",P12)))</formula>
    </cfRule>
    <cfRule type="containsText" dxfId="154" priority="85" operator="containsText" text="BUENO">
      <formula>NOT(ISERROR(SEARCH("BUENO",P12)))</formula>
    </cfRule>
    <cfRule type="containsText" dxfId="153" priority="86" operator="containsText" text="EXCELENTE">
      <formula>NOT(ISERROR(SEARCH("EXCELENTE",P12)))</formula>
    </cfRule>
  </conditionalFormatting>
  <conditionalFormatting sqref="P47:P50">
    <cfRule type="expression" dxfId="152" priority="60">
      <formula>$C$47=EXCELENTE</formula>
    </cfRule>
  </conditionalFormatting>
  <dataValidations count="1">
    <dataValidation type="custom" allowBlank="1" showInputMessage="1" showErrorMessage="1" errorTitle="Nota no permitida" error="Nota por fuera de rango" sqref="D12:M44">
      <formula1>D12&lt;=5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Views>
    <sheetView showGridLines="0" zoomScale="90" zoomScaleNormal="90" workbookViewId="0">
      <selection activeCell="C7" sqref="C7"/>
    </sheetView>
  </sheetViews>
  <sheetFormatPr baseColWidth="10" defaultRowHeight="14.5" x14ac:dyDescent="0.35"/>
  <cols>
    <col min="1" max="1" width="27.81640625" customWidth="1"/>
    <col min="2" max="3" width="5.7265625" customWidth="1"/>
    <col min="4" max="4" width="22.7265625" customWidth="1"/>
    <col min="5" max="5" width="5.7265625" customWidth="1"/>
    <col min="6" max="6" width="22.7265625" customWidth="1"/>
    <col min="7" max="7" width="5.7265625" customWidth="1"/>
    <col min="8" max="8" width="22.7265625" customWidth="1"/>
    <col min="9" max="9" width="5.7265625" customWidth="1"/>
    <col min="10" max="10" width="22.7265625" customWidth="1"/>
    <col min="11" max="11" width="5.7265625" customWidth="1"/>
    <col min="12" max="12" width="22.7265625" customWidth="1"/>
    <col min="13" max="13" width="0.81640625" customWidth="1"/>
    <col min="14" max="14" width="4.81640625" customWidth="1"/>
    <col min="15" max="15" width="13.1796875" bestFit="1" customWidth="1"/>
  </cols>
  <sheetData>
    <row r="1" spans="1:16" ht="17.149999999999999" customHeight="1" x14ac:dyDescent="0.45">
      <c r="C1" s="231" t="s">
        <v>0</v>
      </c>
      <c r="D1" s="231"/>
      <c r="E1" s="231"/>
      <c r="F1" s="231"/>
      <c r="G1" s="231"/>
      <c r="H1" s="231"/>
      <c r="I1" s="231"/>
      <c r="J1" s="231"/>
      <c r="K1" s="8"/>
      <c r="L1" s="9"/>
    </row>
    <row r="2" spans="1:16" ht="13" customHeight="1" x14ac:dyDescent="0.35">
      <c r="A2" s="2" t="s">
        <v>43</v>
      </c>
      <c r="D2" s="10" t="s">
        <v>1</v>
      </c>
      <c r="E2" s="3"/>
      <c r="F2" t="s">
        <v>25</v>
      </c>
      <c r="H2" s="10" t="s">
        <v>30</v>
      </c>
      <c r="I2" s="10"/>
      <c r="J2" s="32">
        <v>1</v>
      </c>
    </row>
    <row r="3" spans="1:16" ht="13" customHeight="1" x14ac:dyDescent="0.35">
      <c r="A3" s="233">
        <v>18211055</v>
      </c>
      <c r="D3" s="10" t="s">
        <v>26</v>
      </c>
      <c r="E3" s="3"/>
      <c r="F3" t="s">
        <v>27</v>
      </c>
      <c r="H3" s="10" t="s">
        <v>32</v>
      </c>
      <c r="I3" s="10"/>
      <c r="J3" s="32" t="s">
        <v>33</v>
      </c>
    </row>
    <row r="4" spans="1:16" ht="13" customHeight="1" x14ac:dyDescent="0.35">
      <c r="A4" s="233"/>
      <c r="D4" s="10" t="s">
        <v>28</v>
      </c>
      <c r="E4" s="3"/>
      <c r="F4" t="s">
        <v>29</v>
      </c>
    </row>
    <row r="5" spans="1:16" ht="5.15" customHeight="1" x14ac:dyDescent="0.35"/>
    <row r="6" spans="1:16" ht="15.5" x14ac:dyDescent="0.35">
      <c r="A6" s="2" t="s">
        <v>44</v>
      </c>
      <c r="B6" s="3" t="s">
        <v>31</v>
      </c>
      <c r="C6" s="234" t="str">
        <f>'CORTE 1 G1'!C8</f>
        <v>Recursos Utilizados</v>
      </c>
      <c r="D6" s="234"/>
      <c r="E6" s="234" t="str">
        <f>'CORTE 1 G1'!E8</f>
        <v>Desarrollo</v>
      </c>
      <c r="F6" s="234"/>
      <c r="G6" s="234" t="str">
        <f>'CORTE 1 G1'!G8</f>
        <v>Dominio</v>
      </c>
      <c r="H6" s="234"/>
      <c r="I6" s="234" t="str">
        <f>'CORTE 1 G1'!N8</f>
        <v>Comunicación</v>
      </c>
      <c r="J6" s="234"/>
      <c r="K6" s="234" t="str">
        <f>'CORTE 1 G1'!P8</f>
        <v>Respeto</v>
      </c>
      <c r="L6" s="234"/>
      <c r="N6" s="3" t="s">
        <v>45</v>
      </c>
    </row>
    <row r="7" spans="1:16" ht="19.5" x14ac:dyDescent="0.35">
      <c r="A7" s="36" t="e">
        <f>PROPER(VLOOKUP(A3,'CORTE 1 G1'!A15:T63,2,))</f>
        <v>#N/A</v>
      </c>
      <c r="B7" s="37">
        <v>1</v>
      </c>
      <c r="C7" s="43" t="e">
        <f>VLOOKUP(A$3,'CORTE 1 G1'!A$15:R$63,4,0)</f>
        <v>#N/A</v>
      </c>
      <c r="D7" s="45" t="e">
        <f>IF(C7&lt;1.95,'CORTE 1 G1'!C12,IF(C7&lt;2.95,'CORTE 1 G1'!C11,IF(C7&lt;3.95,'CORTE 1 G1'!C10,IF(C7&lt;=5,'CORTE 1 G1'!C9))))</f>
        <v>#N/A</v>
      </c>
      <c r="E7" s="43" t="e">
        <f>VLOOKUP(A$3,'CORTE 1 G1'!A$15:R$63,6,0)</f>
        <v>#N/A</v>
      </c>
      <c r="F7" s="45" t="e">
        <f>IF(E7&lt;1.95,'CORTE 1 G1'!E12,IF(E7&lt;2.95,'CORTE 1 G1'!E11,IF(E7&lt;3.95,'CORTE 1 G1'!E10,IF(E7&lt;=5,'CORTE 1 G1'!E9))))</f>
        <v>#N/A</v>
      </c>
      <c r="G7" s="43" t="e">
        <f>VLOOKUP(A$3,'CORTE 1 G1'!A$15:R$63,8,0)</f>
        <v>#N/A</v>
      </c>
      <c r="H7" s="45" t="e">
        <f>IF(G7&lt;1.95,'CORTE 1 G1'!G12,IF(G7&lt;2.95,'CORTE 1 G1'!G11,IF(G7&lt;3.95,'CORTE 1 G1'!G10,IF(G7&lt;=5,'CORTE 1 G1'!G9))))</f>
        <v>#N/A</v>
      </c>
      <c r="I7" s="43" t="e">
        <f>VLOOKUP(A$3,'CORTE 1 G1'!A$15:R$63,10,0)</f>
        <v>#N/A</v>
      </c>
      <c r="J7" s="45" t="e">
        <f>IF(I7&lt;1.95,'CORTE 1 G1'!N12,IF(I7&lt;2.95,'CORTE 1 G1'!N11,IF(I7&lt;3.95,'CORTE 1 G1'!N10,IF(I7&lt;=5,'CORTE 1 G1'!N9))))</f>
        <v>#N/A</v>
      </c>
      <c r="K7" s="43" t="e">
        <f>VLOOKUP(A$3,'CORTE 1 G1'!A$15:R$63,12,0)</f>
        <v>#N/A</v>
      </c>
      <c r="L7" s="45" t="e">
        <f>IF(K7&lt;1.95,'CORTE 1 G1'!P12,IF(K7&lt;2.95,'CORTE 1 G1'!P11,IF(K7&lt;3.95,'CORTE 1 G1'!P10,IF(K7&lt;=5,'CORTE 1 G1'!P9))))</f>
        <v>#N/A</v>
      </c>
      <c r="N7" s="44" t="e">
        <f>VLOOKUP(A$3,'CORTE 1 G1'!A$15:R$63,14,0)</f>
        <v>#N/A</v>
      </c>
      <c r="P7" s="46"/>
    </row>
    <row r="8" spans="1:16" ht="15" customHeight="1" x14ac:dyDescent="0.35">
      <c r="A8" s="36"/>
      <c r="B8" s="37"/>
      <c r="C8" s="236" t="str">
        <f>'CORTE 2 G1'!D6</f>
        <v>Docente</v>
      </c>
      <c r="D8" s="236"/>
      <c r="E8" s="236" t="str">
        <f>'CORTE 2 G1'!F6</f>
        <v>Wadys Montilla Ortega</v>
      </c>
      <c r="F8" s="236"/>
      <c r="G8" s="236">
        <f>'CORTE 2 G1'!H6</f>
        <v>0</v>
      </c>
      <c r="H8" s="236"/>
      <c r="I8" s="236">
        <f>'CORTE 2 G1'!J6</f>
        <v>0</v>
      </c>
      <c r="J8" s="236"/>
      <c r="K8" s="236">
        <f>'CORTE 2 G1'!L6</f>
        <v>0</v>
      </c>
      <c r="L8" s="236"/>
      <c r="N8" s="38"/>
    </row>
    <row r="9" spans="1:16" ht="19.5" x14ac:dyDescent="0.35">
      <c r="B9" s="37">
        <v>2</v>
      </c>
      <c r="C9" s="43" t="e">
        <f>VLOOKUP(A$3,'CORTE 2 G1'!A$15:N$47,4,0)</f>
        <v>#N/A</v>
      </c>
      <c r="D9" s="45" t="e">
        <f>IF(C9&lt;1.95,'CORTE 2 G1'!D10,IF(C9&lt;2.95,'CORTE 2 G1'!D9,IF(C9&lt;3.95,'CORTE 2 G1'!D8,IF(C9&lt;=5,'CORTE 2 G1'!D7))))</f>
        <v>#N/A</v>
      </c>
      <c r="E9" s="43" t="e">
        <f>VLOOKUP(A$3,'CORTE 2 G1'!A$15:N$47,6,0)</f>
        <v>#N/A</v>
      </c>
      <c r="F9" s="45" t="e">
        <f>IF(E9&lt;1.95,'CORTE 2 G1'!F10,IF(E9&lt;2.95,'CORTE 2 G1'!F9,IF(E9&lt;3.95,'CORTE 2 G1'!F8,IF(E9&lt;=5,'CORTE 2 G1'!F7))))</f>
        <v>#N/A</v>
      </c>
      <c r="G9" s="43" t="e">
        <f>VLOOKUP(A$3,'CORTE 2 G1'!A$15:N$47,8,0)</f>
        <v>#N/A</v>
      </c>
      <c r="H9" s="45" t="e">
        <f>IF(G9&lt;1.95,'CORTE 1 G1'!G12,IF(G9&lt;2.95,'CORTE 1 G1'!G11,IF(G9&lt;3.95,'CORTE 1 G1'!G10,IF(G9&lt;=5,'CORTE 1 G1'!G9))))</f>
        <v>#N/A</v>
      </c>
      <c r="I9" s="43" t="e">
        <f>VLOOKUP(A$3,'CORTE 2 G1'!A$15:N$47,10,0)</f>
        <v>#N/A</v>
      </c>
      <c r="J9" s="45" t="e">
        <f>IF(I9&lt;1.95,'CORTE 2 G1'!J10,IF(I9&lt;2.95,'CORTE 2 G1'!J9,IF(I9&lt;3.95,'CORTE 2 G1'!J8,IF(I9&lt;=5,'CORTE 2 G1'!J7))))</f>
        <v>#N/A</v>
      </c>
      <c r="K9" s="43" t="e">
        <f>VLOOKUP(A$3,'CORTE 2 G1'!A$15:N$47,12,0)</f>
        <v>#N/A</v>
      </c>
      <c r="L9" s="45" t="e">
        <f>IF(K9&lt;1.95,'CORTE 2 G1'!L10,IF(K9&lt;2.95,'CORTE 2 G1'!L9,IF(K9&lt;3.95,'CORTE 2 G1'!L8,IF(K9&lt;=5,'CORTE 2 G1'!L7))))</f>
        <v>#N/A</v>
      </c>
      <c r="N9" s="44" t="e">
        <f>VLOOKUP(A$3,'CORTE 2 G1'!A$15:N$47,14,0)</f>
        <v>#N/A</v>
      </c>
      <c r="P9" s="46"/>
    </row>
    <row r="10" spans="1:16" ht="15" customHeight="1" x14ac:dyDescent="0.35">
      <c r="B10" s="37"/>
      <c r="C10" s="236" t="str">
        <f>'CORTE 3 G1'!D6</f>
        <v>Recursos Utilizados</v>
      </c>
      <c r="D10" s="236"/>
      <c r="E10" s="236" t="str">
        <f>'CORTE 3 G1'!F6</f>
        <v>Desarrollo</v>
      </c>
      <c r="F10" s="236"/>
      <c r="G10" s="236" t="str">
        <f>'CORTE 3 G1'!H6</f>
        <v>Dominio</v>
      </c>
      <c r="H10" s="236"/>
      <c r="I10" s="237" t="str">
        <f>'CORTE 3 G1'!J6</f>
        <v>Comunicación</v>
      </c>
      <c r="J10" s="237"/>
      <c r="K10" s="237" t="str">
        <f>'CORTE 3 G1'!L6</f>
        <v>Respeto</v>
      </c>
      <c r="L10" s="237"/>
    </row>
    <row r="11" spans="1:16" ht="45" customHeight="1" x14ac:dyDescent="0.35">
      <c r="B11" s="37">
        <v>3</v>
      </c>
      <c r="C11" s="43" t="e">
        <f>VLOOKUP(A$3,'CORTE 3 G1'!A$12:N$44,4,0)</f>
        <v>#N/A</v>
      </c>
      <c r="D11" s="45" t="e">
        <f>IF(C11&lt;1.95,'CORTE 3 G1'!D10,IF(C11&lt;2.95,'CORTE 3 G1'!D9,IF(C11&lt;3.95,'CORTE 3 G1'!D8,IF(C11&lt;=5,'CORTE 3 G1'!D7))))</f>
        <v>#N/A</v>
      </c>
      <c r="E11" s="43" t="e">
        <f>VLOOKUP(A$3,'CORTE 3 G1'!A$12:N$44,6,0)</f>
        <v>#N/A</v>
      </c>
      <c r="F11" s="45" t="e">
        <f>IF(E11&lt;1.95,'CORTE 3 G1'!F10,IF(E11&lt;2.95,'CORTE 3 G1'!F9,IF(E11&lt;3.95,'CORTE 3 G1'!F8,IF(E11&lt;=5,'CORTE 3 G1'!F7))))</f>
        <v>#N/A</v>
      </c>
      <c r="G11" s="43" t="e">
        <f>VLOOKUP(A$3,'CORTE 3 G1'!A$12:N$44,8,0)</f>
        <v>#N/A</v>
      </c>
      <c r="H11" s="45" t="e">
        <f>IF(G11&lt;1.95,'CORTE 3 G1'!H10,IF(G11&lt;2.95,'CORTE 3 G1'!H9,IF(G11&lt;3.95,'CORTE 3 G1'!H8,IF(G11&lt;=5,'CORTE 3 G1'!H7))))</f>
        <v>#N/A</v>
      </c>
      <c r="I11" s="43" t="e">
        <f>VLOOKUP(A$3,'CORTE 3 G1'!A$12:N$44,10,0)</f>
        <v>#N/A</v>
      </c>
      <c r="J11" s="45" t="e">
        <f>IF(I11&lt;1.95,'CORTE 3 G1'!J10,IF(I11&lt;2.95,'CORTE 3 G1'!J9,IF(I11&lt;3.95,'CORTE 3 G1'!J8,IF(I11&lt;=5,'CORTE 3 G1'!J7))))</f>
        <v>#N/A</v>
      </c>
      <c r="K11" s="43" t="e">
        <f>VLOOKUP(A$3,'CORTE 3 G1'!A$12:N$44,12,0)</f>
        <v>#N/A</v>
      </c>
      <c r="L11" s="45" t="e">
        <f>IF(K11&lt;1.95,'CORTE 3 G1'!L10,IF(K11&lt;2.95,'CORTE 3 G1'!L9,IF(K11&lt;3.95,'CORTE 3 G1'!L8,IF(K11&lt;=5,'CORTE 3 G1'!L7))))</f>
        <v>#N/A</v>
      </c>
      <c r="M11" s="39"/>
      <c r="N11" s="44" t="e">
        <f>VLOOKUP(A$3,'CORTE 3 G1'!A$12:N$44,14,0)</f>
        <v>#N/A</v>
      </c>
      <c r="P11" s="46"/>
    </row>
    <row r="12" spans="1:16" ht="5.15" customHeight="1" x14ac:dyDescent="0.35">
      <c r="B12" s="37"/>
      <c r="C12" s="33"/>
      <c r="D12" s="34"/>
      <c r="E12" s="33"/>
      <c r="F12" s="34"/>
      <c r="G12" s="33"/>
      <c r="H12" s="34"/>
      <c r="I12" s="33"/>
      <c r="J12" s="34"/>
      <c r="K12" s="34"/>
      <c r="L12" s="34"/>
      <c r="M12" s="39"/>
      <c r="N12" s="18"/>
    </row>
    <row r="13" spans="1:16" ht="19.5" customHeight="1" x14ac:dyDescent="0.35">
      <c r="C13" s="35"/>
      <c r="D13" s="34"/>
      <c r="E13" s="34"/>
      <c r="F13" s="34"/>
      <c r="G13" s="34"/>
      <c r="H13" s="34"/>
      <c r="I13" s="34"/>
      <c r="J13" s="34"/>
      <c r="K13" s="34"/>
      <c r="L13" s="40"/>
      <c r="M13" s="39"/>
      <c r="N13" s="235" t="e">
        <f>(N7*30%)+(N9*30%)+(N11*40%)</f>
        <v>#N/A</v>
      </c>
      <c r="P13" s="46"/>
    </row>
    <row r="14" spans="1:16" ht="5.15" customHeight="1" x14ac:dyDescent="0.35">
      <c r="N14" s="235"/>
    </row>
    <row r="15" spans="1:16" x14ac:dyDescent="0.35">
      <c r="N15" s="235"/>
    </row>
  </sheetData>
  <sheetProtection algorithmName="SHA-512" hashValue="706CUPmbWexA02946Qws/BKUXi/Ws0dzhgGSaw5VjkmsYDLzkMwzVWCHrCx1O0cumZCVWKsRZFRzOQhgeQ1ReQ==" saltValue="WEk8/TLHfkXHIlrTrO8w2g==" spinCount="100000" sheet="1" objects="1" scenarios="1"/>
  <mergeCells count="18">
    <mergeCell ref="C1:J1"/>
    <mergeCell ref="N13:N15"/>
    <mergeCell ref="G10:H10"/>
    <mergeCell ref="I10:J10"/>
    <mergeCell ref="K10:L10"/>
    <mergeCell ref="C8:D8"/>
    <mergeCell ref="E8:F8"/>
    <mergeCell ref="G8:H8"/>
    <mergeCell ref="I8:J8"/>
    <mergeCell ref="K8:L8"/>
    <mergeCell ref="C10:D10"/>
    <mergeCell ref="E10:F10"/>
    <mergeCell ref="A3:A4"/>
    <mergeCell ref="E6:F6"/>
    <mergeCell ref="G6:H6"/>
    <mergeCell ref="I6:J6"/>
    <mergeCell ref="K6:L6"/>
    <mergeCell ref="C6:D6"/>
  </mergeCells>
  <conditionalFormatting sqref="C7 E7 G7 I7 K7 N7">
    <cfRule type="cellIs" dxfId="151" priority="5" operator="between">
      <formula>0</formula>
      <formula>1.94</formula>
    </cfRule>
    <cfRule type="cellIs" dxfId="150" priority="6" operator="between">
      <formula>1.95</formula>
      <formula>2.94</formula>
    </cfRule>
    <cfRule type="cellIs" dxfId="149" priority="7" operator="between">
      <formula>2.95</formula>
      <formula>3.94</formula>
    </cfRule>
    <cfRule type="cellIs" dxfId="148" priority="8" operator="between">
      <formula>3.95</formula>
      <formula>5</formula>
    </cfRule>
  </conditionalFormatting>
  <conditionalFormatting sqref="C9 C11 E9 E11 G9 G11 I9 I11 K9 K11 N9 N11 N13">
    <cfRule type="cellIs" dxfId="147" priority="1" operator="between">
      <formula>0</formula>
      <formula>1.94</formula>
    </cfRule>
    <cfRule type="cellIs" dxfId="146" priority="2" operator="between">
      <formula>1.95</formula>
      <formula>2.94</formula>
    </cfRule>
    <cfRule type="cellIs" dxfId="145" priority="3" operator="between">
      <formula>2.95</formula>
      <formula>3.94</formula>
    </cfRule>
    <cfRule type="cellIs" dxfId="144" priority="4" operator="between">
      <formula>3.95</formula>
      <formula>5</formula>
    </cfRule>
  </conditionalFormatting>
  <pageMargins left="0" right="0" top="0" bottom="0" header="0.31496062992125984" footer="0.31496062992125984"/>
  <pageSetup paperSize="11" scale="5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6"/>
  <sheetViews>
    <sheetView showGridLines="0" zoomScale="70" zoomScaleNormal="70" workbookViewId="0">
      <selection activeCell="I5" sqref="I5"/>
    </sheetView>
  </sheetViews>
  <sheetFormatPr baseColWidth="10" defaultRowHeight="14.5" x14ac:dyDescent="0.35"/>
  <cols>
    <col min="1" max="1" width="14.08984375" customWidth="1"/>
    <col min="2" max="2" width="40.1796875" customWidth="1"/>
    <col min="3" max="3" width="30.54296875" customWidth="1"/>
    <col min="4" max="4" width="5.26953125" customWidth="1"/>
    <col min="5" max="5" width="33.1796875" customWidth="1"/>
    <col min="6" max="6" width="5.54296875" customWidth="1"/>
    <col min="7" max="11" width="5.81640625" customWidth="1"/>
    <col min="12" max="12" width="7.26953125" customWidth="1"/>
    <col min="13" max="13" width="14" customWidth="1"/>
    <col min="14" max="14" width="30.26953125" customWidth="1"/>
    <col min="15" max="15" width="6" customWidth="1"/>
    <col min="16" max="16" width="28.54296875" customWidth="1"/>
    <col min="17" max="17" width="5.54296875" customWidth="1"/>
    <col min="18" max="18" width="10.81640625" customWidth="1"/>
    <col min="19" max="19" width="0.81640625" customWidth="1"/>
    <col min="20" max="20" width="13.1796875" bestFit="1" customWidth="1"/>
  </cols>
  <sheetData>
    <row r="1" spans="1:22" s="54" customFormat="1" ht="34.5" customHeight="1" x14ac:dyDescent="0.35">
      <c r="A1" s="179"/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80"/>
      <c r="R1" s="180"/>
      <c r="S1" s="180"/>
      <c r="T1" s="180"/>
    </row>
    <row r="2" spans="1:22" ht="38.15" customHeight="1" x14ac:dyDescent="0.35">
      <c r="A2" s="179"/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80"/>
      <c r="R2" s="180"/>
      <c r="S2" s="180"/>
      <c r="T2" s="180"/>
    </row>
    <row r="3" spans="1:22" ht="91.5" customHeight="1" x14ac:dyDescent="0.35">
      <c r="A3" s="179"/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80"/>
      <c r="R3" s="180"/>
      <c r="S3" s="180"/>
      <c r="T3" s="180"/>
    </row>
    <row r="4" spans="1:22" ht="25" customHeight="1" x14ac:dyDescent="0.35">
      <c r="C4" s="205" t="s">
        <v>65</v>
      </c>
      <c r="D4" s="205"/>
      <c r="E4" s="109">
        <f>+'CORTE 1 G1'!E4</f>
        <v>0</v>
      </c>
      <c r="F4" s="88"/>
      <c r="G4" s="88"/>
      <c r="H4" s="88"/>
      <c r="I4" s="88"/>
      <c r="J4" s="88"/>
      <c r="K4" s="88"/>
      <c r="L4" s="88"/>
      <c r="M4" s="88"/>
      <c r="N4" s="205" t="s">
        <v>30</v>
      </c>
      <c r="O4" s="205"/>
      <c r="P4" s="109">
        <f>+'CORTE 1 G1'!P4</f>
        <v>0</v>
      </c>
      <c r="Q4" s="110"/>
      <c r="R4" s="88"/>
    </row>
    <row r="5" spans="1:22" ht="46" customHeight="1" x14ac:dyDescent="0.35">
      <c r="C5" s="206" t="s">
        <v>26</v>
      </c>
      <c r="D5" s="207"/>
      <c r="E5" s="165">
        <f>+'CORTE 1 G1'!E5</f>
        <v>0</v>
      </c>
      <c r="F5" s="88"/>
      <c r="G5" s="88"/>
      <c r="H5" s="88"/>
      <c r="I5" s="88"/>
      <c r="J5" s="88"/>
      <c r="K5" s="88"/>
      <c r="L5" s="88"/>
      <c r="M5" s="88"/>
      <c r="N5" s="208" t="s">
        <v>31</v>
      </c>
      <c r="O5" s="209"/>
      <c r="P5" s="111">
        <v>3</v>
      </c>
      <c r="Q5" s="112"/>
      <c r="R5" s="88"/>
    </row>
    <row r="6" spans="1:22" ht="27" customHeight="1" x14ac:dyDescent="0.35">
      <c r="C6" s="196" t="s">
        <v>28</v>
      </c>
      <c r="D6" s="197"/>
      <c r="E6" s="109">
        <f>+'CORTE 1 G1'!E6</f>
        <v>0</v>
      </c>
      <c r="F6" s="88"/>
      <c r="G6" s="88"/>
      <c r="H6" s="88"/>
      <c r="I6" s="88"/>
      <c r="J6" s="88"/>
      <c r="K6" s="88"/>
      <c r="L6" s="88"/>
      <c r="M6" s="88"/>
      <c r="N6" s="198" t="s">
        <v>32</v>
      </c>
      <c r="O6" s="199"/>
      <c r="P6" s="109">
        <f>+'CORTE 1 G1'!P6</f>
        <v>0</v>
      </c>
      <c r="Q6" s="110"/>
      <c r="R6" s="94" t="s">
        <v>52</v>
      </c>
    </row>
    <row r="7" spans="1:22" ht="5.15" customHeight="1" x14ac:dyDescent="0.35"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113"/>
      <c r="P7" s="113"/>
      <c r="Q7" s="88"/>
      <c r="R7" s="95"/>
    </row>
    <row r="8" spans="1:22" ht="26" x14ac:dyDescent="0.35">
      <c r="C8" s="114" t="s">
        <v>2</v>
      </c>
      <c r="D8" s="115">
        <f>+'CORTE 1 G1'!D8</f>
        <v>0.01</v>
      </c>
      <c r="E8" s="114" t="s">
        <v>5</v>
      </c>
      <c r="F8" s="115">
        <f>+'CORTE 1 G1'!F8</f>
        <v>0.02</v>
      </c>
      <c r="G8" s="183" t="s">
        <v>10</v>
      </c>
      <c r="H8" s="184"/>
      <c r="I8" s="184"/>
      <c r="J8" s="184"/>
      <c r="K8" s="184"/>
      <c r="L8" s="185"/>
      <c r="M8" s="116">
        <f>+'CORTE 1 G1'!M8</f>
        <v>0.95</v>
      </c>
      <c r="N8" s="92" t="s">
        <v>14</v>
      </c>
      <c r="O8" s="116">
        <f>+'CORTE 1 G1'!O8</f>
        <v>0.01</v>
      </c>
      <c r="P8" s="92" t="s">
        <v>15</v>
      </c>
      <c r="Q8" s="117">
        <f>+'CORTE 1 G1'!Q8</f>
        <v>0.01</v>
      </c>
      <c r="R8" s="96">
        <f>+D8+F8+M8+O8+Q8</f>
        <v>1</v>
      </c>
    </row>
    <row r="9" spans="1:22" ht="55" customHeight="1" x14ac:dyDescent="0.35">
      <c r="B9" s="142" t="s">
        <v>63</v>
      </c>
      <c r="C9" s="174" t="str">
        <f>+'CORTE 1 G1'!C9:D9</f>
        <v>Hace empleo adecuado de los recursos didácticos, sacándole el mayor provecho, lo que resulta favorable para su presentación</v>
      </c>
      <c r="D9" s="174"/>
      <c r="E9" s="174" t="str">
        <f>+'CORTE 1 G1'!E9:F9</f>
        <v>Sabe ajustarse al tiempo asignado, tratando adecuadamente los diversos temas</v>
      </c>
      <c r="F9" s="192"/>
      <c r="G9" s="174" t="str">
        <f>+'CORTE 1 G1'!G9:M9</f>
        <v>Excelente dominio del tema, comunica claramente las ideas y frente a las preguntas emite respuestas precisas</v>
      </c>
      <c r="H9" s="174"/>
      <c r="I9" s="174"/>
      <c r="J9" s="174"/>
      <c r="K9" s="174"/>
      <c r="L9" s="174"/>
      <c r="M9" s="174"/>
      <c r="N9" s="174" t="str">
        <f>+'CORTE 1 G1'!N9:O9</f>
        <v>Sabe aclarar todas las dudas sobre el tema, con ideas claras y precisas, incluso va más allá del límite de la respuesta</v>
      </c>
      <c r="O9" s="174"/>
      <c r="P9" s="174" t="str">
        <f>+'CORTE 1 G1'!P9:Q9</f>
        <v>Muestra respeto por el tema tratado y por sus compañeros que requieren algun aclaración</v>
      </c>
      <c r="Q9" s="174"/>
      <c r="R9" s="88"/>
    </row>
    <row r="10" spans="1:22" ht="52.5" customHeight="1" x14ac:dyDescent="0.35">
      <c r="B10" s="143" t="s">
        <v>56</v>
      </c>
      <c r="C10" s="174" t="str">
        <f>+'CORTE 1 G1'!C10:D10</f>
        <v>Presenta y utiliza recursos didácticos, aunque no le saca el mayor provecho a la presentación</v>
      </c>
      <c r="D10" s="174"/>
      <c r="E10" s="174" t="str">
        <f>+'CORTE 1 G1'!E10:F10</f>
        <v>Se ajusta al tiempo asignado, exceptuando el final, donde se toma minutos adicionales.</v>
      </c>
      <c r="F10" s="192"/>
      <c r="G10" s="174" t="str">
        <f>+'CORTE 1 G1'!G10:M10</f>
        <v>Dominio del tema aunque algunas ideas no quedan muy claras y hay error en la respuesta de alguna pregunta</v>
      </c>
      <c r="H10" s="174"/>
      <c r="I10" s="174"/>
      <c r="J10" s="174"/>
      <c r="K10" s="174"/>
      <c r="L10" s="174"/>
      <c r="M10" s="174"/>
      <c r="N10" s="174" t="str">
        <f>+'CORTE 1 G1'!N10:O10</f>
        <v>Sabe aclarar las dudas de los compañeros, sin ir más allá</v>
      </c>
      <c r="O10" s="174"/>
      <c r="P10" s="174" t="str">
        <f>+'CORTE 1 G1'!P10:Q10</f>
        <v>Muestra respeto por el tema tratado, pero su forma de responder a sus compañeros no es del todo correcta</v>
      </c>
      <c r="Q10" s="174"/>
      <c r="R10" s="88"/>
    </row>
    <row r="11" spans="1:22" ht="54.5" customHeight="1" x14ac:dyDescent="0.35">
      <c r="B11" s="144" t="s">
        <v>64</v>
      </c>
      <c r="C11" s="174" t="str">
        <f>+'CORTE 1 G1'!C11:D11</f>
        <v>Pocos recursos y solo son utilizados en algunos momentos de la presentación</v>
      </c>
      <c r="D11" s="174"/>
      <c r="E11" s="174" t="str">
        <f>+'CORTE 1 G1'!E11:F11</f>
        <v>Dedica mucho tiempo a algunos aspectos, lo que hace que descuide el útimo tema a tratar</v>
      </c>
      <c r="F11" s="192"/>
      <c r="G11" s="174" t="str">
        <f>+'CORTE 1 G1'!G11:M11</f>
        <v>Poco dominio, sus respuestas demuestran impresición que obligan a solicitar mayor aclaración</v>
      </c>
      <c r="H11" s="174"/>
      <c r="I11" s="174"/>
      <c r="J11" s="174"/>
      <c r="K11" s="174"/>
      <c r="L11" s="174"/>
      <c r="M11" s="174"/>
      <c r="N11" s="174" t="str">
        <f>+'CORTE 1 G1'!N11:O11</f>
        <v>En algunas preguntas emite respuestas adecuadas y en otras solo son superficiales</v>
      </c>
      <c r="O11" s="174"/>
      <c r="P11" s="174" t="str">
        <f>+'CORTE 1 G1'!P11:Q11</f>
        <v>Muestra poco respeto por el tema tratado y sus respuestas a sus compañeros denota sarcasmo y despectividad</v>
      </c>
      <c r="Q11" s="174"/>
      <c r="R11" s="172" t="s">
        <v>54</v>
      </c>
      <c r="S11" s="82"/>
    </row>
    <row r="12" spans="1:22" ht="41.5" customHeight="1" x14ac:dyDescent="0.35">
      <c r="B12" s="146" t="s">
        <v>62</v>
      </c>
      <c r="C12" s="175" t="str">
        <f>+'CORTE 1 G1'!C12:D12</f>
        <v>Recursos presentados pero no utilizados</v>
      </c>
      <c r="D12" s="175"/>
      <c r="E12" s="175" t="str">
        <f>+'CORTE 1 G1'!E12:F12</f>
        <v>No sabe utilizar el tiempo asignado y tampoco trabaja aecuadamente los temas</v>
      </c>
      <c r="F12" s="178"/>
      <c r="G12" s="175" t="str">
        <f>+'CORTE 1 G1'!G12:M12</f>
        <v>No hay dominio del tema lo que no le permite responder correctamente las preguntas</v>
      </c>
      <c r="H12" s="175"/>
      <c r="I12" s="175"/>
      <c r="J12" s="175"/>
      <c r="K12" s="175"/>
      <c r="L12" s="175"/>
      <c r="M12" s="175"/>
      <c r="N12" s="175" t="str">
        <f>+'CORTE 1 G1'!N12:O12</f>
        <v>No sabe aclarar ninguna duda presentada por los compañeros</v>
      </c>
      <c r="O12" s="175"/>
      <c r="P12" s="175" t="str">
        <f>+'CORTE 1 G1'!P12:Q12</f>
        <v>No muestra respeto por el tema ni por sus compañeros, dando respuestas inapropiadas</v>
      </c>
      <c r="Q12" s="175"/>
      <c r="R12" s="172"/>
      <c r="S12" s="82"/>
      <c r="T12" s="46"/>
    </row>
    <row r="13" spans="1:22" ht="13" customHeight="1" x14ac:dyDescent="0.35">
      <c r="A13" s="238" t="s">
        <v>24</v>
      </c>
      <c r="B13" s="240" t="s">
        <v>44</v>
      </c>
      <c r="C13" s="187" t="str">
        <f>+C8</f>
        <v>Recursos Utilizados</v>
      </c>
      <c r="D13" s="187"/>
      <c r="E13" s="176" t="str">
        <f>+E8</f>
        <v>Desarrollo</v>
      </c>
      <c r="F13" s="187"/>
      <c r="G13" s="204" t="str">
        <f>+G8</f>
        <v>Dominio</v>
      </c>
      <c r="H13" s="190"/>
      <c r="I13" s="190"/>
      <c r="J13" s="190"/>
      <c r="K13" s="190"/>
      <c r="L13" s="190"/>
      <c r="M13" s="191"/>
      <c r="N13" s="187" t="str">
        <f>+N8</f>
        <v>Comunicación</v>
      </c>
      <c r="O13" s="187"/>
      <c r="P13" s="176" t="str">
        <f>+P8</f>
        <v>Respeto</v>
      </c>
      <c r="Q13" s="187"/>
      <c r="R13" s="172"/>
      <c r="S13" s="82"/>
      <c r="T13" s="11"/>
    </row>
    <row r="14" spans="1:22" s="71" customFormat="1" ht="20.149999999999999" customHeight="1" x14ac:dyDescent="0.35">
      <c r="A14" s="239"/>
      <c r="B14" s="241"/>
      <c r="C14" s="188"/>
      <c r="D14" s="188"/>
      <c r="E14" s="177"/>
      <c r="F14" s="203"/>
      <c r="G14" s="161"/>
      <c r="H14" s="99"/>
      <c r="I14" s="99"/>
      <c r="J14" s="99"/>
      <c r="K14" s="100"/>
      <c r="L14" s="102">
        <f>SUM(G14:K14)</f>
        <v>0</v>
      </c>
      <c r="M14" s="103" t="s">
        <v>53</v>
      </c>
      <c r="N14" s="188"/>
      <c r="O14" s="188"/>
      <c r="P14" s="177"/>
      <c r="Q14" s="188"/>
      <c r="R14" s="172"/>
      <c r="S14" s="73"/>
    </row>
    <row r="15" spans="1:22" ht="11.15" customHeight="1" x14ac:dyDescent="0.35">
      <c r="A15" s="120">
        <f>+'CORTE 1 G1'!A15</f>
        <v>0</v>
      </c>
      <c r="B15" s="141">
        <f>+'CORTE 1 G1'!B15:B15</f>
        <v>0</v>
      </c>
      <c r="C15" s="119"/>
      <c r="D15" s="98">
        <f>C15*D$8</f>
        <v>0</v>
      </c>
      <c r="E15" s="97"/>
      <c r="F15" s="98">
        <f>E15*F$8</f>
        <v>0</v>
      </c>
      <c r="G15" s="97"/>
      <c r="H15" s="97"/>
      <c r="I15" s="101"/>
      <c r="J15" s="101"/>
      <c r="K15" s="101"/>
      <c r="L15" s="104">
        <f>+(G15*$G$14)+(H15*$H$14)+($I$14*I15)+($J$14*J15)+($K$14*K15)</f>
        <v>0</v>
      </c>
      <c r="M15" s="105">
        <f>+L15*$M$8</f>
        <v>0</v>
      </c>
      <c r="N15" s="118"/>
      <c r="O15" s="98">
        <f>N15*$O$8</f>
        <v>0</v>
      </c>
      <c r="P15" s="101"/>
      <c r="Q15" s="98">
        <f>P15*$Q$8</f>
        <v>0</v>
      </c>
      <c r="R15" s="106">
        <f>SUM(D15,F15,M15,O15,Q15)</f>
        <v>0</v>
      </c>
      <c r="S15" s="88"/>
      <c r="T15" s="107" t="str">
        <f>IF(R15=" "," ",IF(R15&lt;1.95,"INSUFICIENTE",IF(R15&lt;2.95,"DEFICIENTE",IF(R15&lt;3.95,"BUENO","EXCELENTE"))))</f>
        <v>INSUFICIENTE</v>
      </c>
    </row>
    <row r="16" spans="1:22" ht="11.15" customHeight="1" x14ac:dyDescent="0.35">
      <c r="A16" s="120">
        <f>+'CORTE 1 G1'!A16</f>
        <v>0</v>
      </c>
      <c r="B16" s="141">
        <f>+'CORTE 1 G1'!B16:B16</f>
        <v>0</v>
      </c>
      <c r="C16" s="97"/>
      <c r="D16" s="98">
        <f t="shared" ref="D16:D65" si="0">C16*D$8</f>
        <v>0</v>
      </c>
      <c r="E16" s="118"/>
      <c r="F16" s="98">
        <f t="shared" ref="F16:F65" si="1">E16*F$8</f>
        <v>0</v>
      </c>
      <c r="G16" s="97"/>
      <c r="H16" s="97"/>
      <c r="I16" s="118"/>
      <c r="J16" s="118"/>
      <c r="K16" s="101"/>
      <c r="L16" s="104">
        <f t="shared" ref="L16:L65" si="2">+(G16*$G$14)+(H16*$H$14)+($I$14*I16)+($J$14*J16)+($K$14*K16)</f>
        <v>0</v>
      </c>
      <c r="M16" s="98">
        <f t="shared" ref="M16:M65" si="3">+L16*$M$8</f>
        <v>0</v>
      </c>
      <c r="N16" s="118"/>
      <c r="O16" s="98">
        <f t="shared" ref="O16:O65" si="4">N16*$O$8</f>
        <v>0</v>
      </c>
      <c r="P16" s="97"/>
      <c r="Q16" s="98">
        <f t="shared" ref="Q16:Q65" si="5">P16*$Q$8</f>
        <v>0</v>
      </c>
      <c r="R16" s="106">
        <f t="shared" ref="R16:R65" si="6">SUM(D16,F16,M16,O16,Q16)</f>
        <v>0</v>
      </c>
      <c r="S16" s="88"/>
      <c r="T16" s="107" t="str">
        <f t="shared" ref="T16:T65" si="7">IF(R16=" "," ",IF(R16&lt;1.95,"INSUFICIENTE",IF(R16&lt;2.95,"DEFICIENTE",IF(R16&lt;3.95,"BUENO","EXCELENTE"))))</f>
        <v>INSUFICIENTE</v>
      </c>
      <c r="V16" s="12"/>
    </row>
    <row r="17" spans="1:22" ht="11.15" customHeight="1" x14ac:dyDescent="0.35">
      <c r="A17" s="120">
        <f>+'CORTE 1 G1'!A17</f>
        <v>0</v>
      </c>
      <c r="B17" s="141">
        <f>+'CORTE 1 G1'!B17:B17</f>
        <v>0</v>
      </c>
      <c r="C17" s="97"/>
      <c r="D17" s="98">
        <f t="shared" si="0"/>
        <v>0</v>
      </c>
      <c r="E17" s="118"/>
      <c r="F17" s="98">
        <f t="shared" si="1"/>
        <v>0</v>
      </c>
      <c r="G17" s="97"/>
      <c r="H17" s="97"/>
      <c r="I17" s="118"/>
      <c r="J17" s="118"/>
      <c r="K17" s="101"/>
      <c r="L17" s="104">
        <f t="shared" si="2"/>
        <v>0</v>
      </c>
      <c r="M17" s="98">
        <f t="shared" si="3"/>
        <v>0</v>
      </c>
      <c r="N17" s="118"/>
      <c r="O17" s="98">
        <f t="shared" si="4"/>
        <v>0</v>
      </c>
      <c r="P17" s="97"/>
      <c r="Q17" s="98">
        <f t="shared" si="5"/>
        <v>0</v>
      </c>
      <c r="R17" s="106">
        <f t="shared" si="6"/>
        <v>0</v>
      </c>
      <c r="S17" s="88"/>
      <c r="T17" s="107" t="str">
        <f t="shared" si="7"/>
        <v>INSUFICIENTE</v>
      </c>
      <c r="V17" s="12"/>
    </row>
    <row r="18" spans="1:22" ht="11.15" customHeight="1" x14ac:dyDescent="0.35">
      <c r="A18" s="120">
        <f>+'CORTE 1 G1'!A18</f>
        <v>0</v>
      </c>
      <c r="B18" s="141">
        <f>+'CORTE 1 G1'!B18:B18</f>
        <v>0</v>
      </c>
      <c r="C18" s="97"/>
      <c r="D18" s="98">
        <f t="shared" si="0"/>
        <v>0</v>
      </c>
      <c r="E18" s="118"/>
      <c r="F18" s="98">
        <f t="shared" si="1"/>
        <v>0</v>
      </c>
      <c r="G18" s="97"/>
      <c r="H18" s="97"/>
      <c r="I18" s="118"/>
      <c r="J18" s="118"/>
      <c r="K18" s="101"/>
      <c r="L18" s="104">
        <f t="shared" si="2"/>
        <v>0</v>
      </c>
      <c r="M18" s="98">
        <f t="shared" si="3"/>
        <v>0</v>
      </c>
      <c r="N18" s="118"/>
      <c r="O18" s="98">
        <f t="shared" si="4"/>
        <v>0</v>
      </c>
      <c r="P18" s="97"/>
      <c r="Q18" s="98">
        <f t="shared" si="5"/>
        <v>0</v>
      </c>
      <c r="R18" s="106">
        <f t="shared" si="6"/>
        <v>0</v>
      </c>
      <c r="S18" s="88"/>
      <c r="T18" s="107" t="str">
        <f t="shared" si="7"/>
        <v>INSUFICIENTE</v>
      </c>
      <c r="V18" s="12"/>
    </row>
    <row r="19" spans="1:22" ht="11.15" customHeight="1" x14ac:dyDescent="0.35">
      <c r="A19" s="120">
        <f>+'CORTE 1 G1'!A19</f>
        <v>0</v>
      </c>
      <c r="B19" s="141">
        <f>+'CORTE 1 G1'!B19:B19</f>
        <v>0</v>
      </c>
      <c r="C19" s="97"/>
      <c r="D19" s="98">
        <f t="shared" si="0"/>
        <v>0</v>
      </c>
      <c r="E19" s="118"/>
      <c r="F19" s="98">
        <f t="shared" si="1"/>
        <v>0</v>
      </c>
      <c r="G19" s="97"/>
      <c r="H19" s="97"/>
      <c r="I19" s="118"/>
      <c r="J19" s="118"/>
      <c r="K19" s="101"/>
      <c r="L19" s="104">
        <f t="shared" si="2"/>
        <v>0</v>
      </c>
      <c r="M19" s="98">
        <f t="shared" si="3"/>
        <v>0</v>
      </c>
      <c r="N19" s="118"/>
      <c r="O19" s="98">
        <f t="shared" si="4"/>
        <v>0</v>
      </c>
      <c r="P19" s="97"/>
      <c r="Q19" s="98">
        <f t="shared" si="5"/>
        <v>0</v>
      </c>
      <c r="R19" s="106">
        <f t="shared" si="6"/>
        <v>0</v>
      </c>
      <c r="S19" s="88"/>
      <c r="T19" s="107" t="str">
        <f t="shared" si="7"/>
        <v>INSUFICIENTE</v>
      </c>
      <c r="V19" s="12"/>
    </row>
    <row r="20" spans="1:22" ht="11.15" customHeight="1" x14ac:dyDescent="0.35">
      <c r="A20" s="120">
        <f>+'CORTE 1 G1'!A20</f>
        <v>0</v>
      </c>
      <c r="B20" s="141">
        <f>+'CORTE 1 G1'!B20:B20</f>
        <v>0</v>
      </c>
      <c r="C20" s="97"/>
      <c r="D20" s="98">
        <f t="shared" si="0"/>
        <v>0</v>
      </c>
      <c r="E20" s="97"/>
      <c r="F20" s="98">
        <f t="shared" si="1"/>
        <v>0</v>
      </c>
      <c r="G20" s="97"/>
      <c r="H20" s="97"/>
      <c r="I20" s="118"/>
      <c r="J20" s="118"/>
      <c r="K20" s="101"/>
      <c r="L20" s="104">
        <f t="shared" si="2"/>
        <v>0</v>
      </c>
      <c r="M20" s="98">
        <f t="shared" si="3"/>
        <v>0</v>
      </c>
      <c r="N20" s="118"/>
      <c r="O20" s="98">
        <f t="shared" si="4"/>
        <v>0</v>
      </c>
      <c r="P20" s="97"/>
      <c r="Q20" s="98">
        <f t="shared" si="5"/>
        <v>0</v>
      </c>
      <c r="R20" s="106">
        <f t="shared" si="6"/>
        <v>0</v>
      </c>
      <c r="S20" s="88"/>
      <c r="T20" s="107" t="str">
        <f t="shared" si="7"/>
        <v>INSUFICIENTE</v>
      </c>
    </row>
    <row r="21" spans="1:22" ht="11.15" customHeight="1" x14ac:dyDescent="0.35">
      <c r="A21" s="120">
        <f>+'CORTE 1 G1'!A21</f>
        <v>0</v>
      </c>
      <c r="B21" s="141">
        <f>+'CORTE 1 G1'!B21:B21</f>
        <v>0</v>
      </c>
      <c r="C21" s="97"/>
      <c r="D21" s="98">
        <f t="shared" si="0"/>
        <v>0</v>
      </c>
      <c r="E21" s="97"/>
      <c r="F21" s="98">
        <f t="shared" si="1"/>
        <v>0</v>
      </c>
      <c r="G21" s="97"/>
      <c r="H21" s="97"/>
      <c r="I21" s="118"/>
      <c r="J21" s="118"/>
      <c r="K21" s="101"/>
      <c r="L21" s="104">
        <f t="shared" si="2"/>
        <v>0</v>
      </c>
      <c r="M21" s="98">
        <f t="shared" si="3"/>
        <v>0</v>
      </c>
      <c r="N21" s="118"/>
      <c r="O21" s="98">
        <f t="shared" si="4"/>
        <v>0</v>
      </c>
      <c r="P21" s="97"/>
      <c r="Q21" s="98">
        <f t="shared" si="5"/>
        <v>0</v>
      </c>
      <c r="R21" s="106">
        <f t="shared" si="6"/>
        <v>0</v>
      </c>
      <c r="S21" s="88"/>
      <c r="T21" s="107" t="str">
        <f t="shared" si="7"/>
        <v>INSUFICIENTE</v>
      </c>
    </row>
    <row r="22" spans="1:22" ht="11.15" customHeight="1" x14ac:dyDescent="0.35">
      <c r="A22" s="120">
        <f>+'CORTE 1 G1'!A22</f>
        <v>0</v>
      </c>
      <c r="B22" s="141">
        <f>+'CORTE 1 G1'!B22:B22</f>
        <v>0</v>
      </c>
      <c r="C22" s="97"/>
      <c r="D22" s="98">
        <f t="shared" si="0"/>
        <v>0</v>
      </c>
      <c r="E22" s="97"/>
      <c r="F22" s="98">
        <f t="shared" si="1"/>
        <v>0</v>
      </c>
      <c r="G22" s="97"/>
      <c r="H22" s="97"/>
      <c r="I22" s="118"/>
      <c r="J22" s="118"/>
      <c r="K22" s="101"/>
      <c r="L22" s="104">
        <f t="shared" si="2"/>
        <v>0</v>
      </c>
      <c r="M22" s="98">
        <f t="shared" si="3"/>
        <v>0</v>
      </c>
      <c r="N22" s="118"/>
      <c r="O22" s="98">
        <f t="shared" si="4"/>
        <v>0</v>
      </c>
      <c r="P22" s="97"/>
      <c r="Q22" s="98">
        <f t="shared" si="5"/>
        <v>0</v>
      </c>
      <c r="R22" s="106">
        <f t="shared" si="6"/>
        <v>0</v>
      </c>
      <c r="S22" s="88"/>
      <c r="T22" s="107" t="str">
        <f t="shared" si="7"/>
        <v>INSUFICIENTE</v>
      </c>
    </row>
    <row r="23" spans="1:22" ht="11.15" customHeight="1" x14ac:dyDescent="0.35">
      <c r="A23" s="120">
        <f>+'CORTE 1 G1'!A23</f>
        <v>0</v>
      </c>
      <c r="B23" s="141">
        <f>+'CORTE 1 G1'!B23:B23</f>
        <v>0</v>
      </c>
      <c r="C23" s="97"/>
      <c r="D23" s="98">
        <f t="shared" si="0"/>
        <v>0</v>
      </c>
      <c r="E23" s="97"/>
      <c r="F23" s="98">
        <f t="shared" si="1"/>
        <v>0</v>
      </c>
      <c r="G23" s="97"/>
      <c r="H23" s="97"/>
      <c r="I23" s="101"/>
      <c r="J23" s="101"/>
      <c r="K23" s="101"/>
      <c r="L23" s="104">
        <f t="shared" si="2"/>
        <v>0</v>
      </c>
      <c r="M23" s="98">
        <f t="shared" si="3"/>
        <v>0</v>
      </c>
      <c r="N23" s="118"/>
      <c r="O23" s="98">
        <f t="shared" si="4"/>
        <v>0</v>
      </c>
      <c r="P23" s="97"/>
      <c r="Q23" s="98">
        <f t="shared" si="5"/>
        <v>0</v>
      </c>
      <c r="R23" s="106">
        <f t="shared" si="6"/>
        <v>0</v>
      </c>
      <c r="S23" s="88"/>
      <c r="T23" s="107" t="str">
        <f t="shared" si="7"/>
        <v>INSUFICIENTE</v>
      </c>
    </row>
    <row r="24" spans="1:22" ht="11.15" customHeight="1" x14ac:dyDescent="0.35">
      <c r="A24" s="120">
        <f>+'CORTE 1 G1'!A24</f>
        <v>0</v>
      </c>
      <c r="B24" s="141">
        <f>+'CORTE 1 G1'!B24:B24</f>
        <v>0</v>
      </c>
      <c r="C24" s="118"/>
      <c r="D24" s="98">
        <f t="shared" si="0"/>
        <v>0</v>
      </c>
      <c r="E24" s="97"/>
      <c r="F24" s="98">
        <f t="shared" si="1"/>
        <v>0</v>
      </c>
      <c r="G24" s="97"/>
      <c r="H24" s="97"/>
      <c r="I24" s="101"/>
      <c r="J24" s="101"/>
      <c r="K24" s="101"/>
      <c r="L24" s="104">
        <f t="shared" si="2"/>
        <v>0</v>
      </c>
      <c r="M24" s="98">
        <f t="shared" si="3"/>
        <v>0</v>
      </c>
      <c r="N24" s="118"/>
      <c r="O24" s="98">
        <f t="shared" si="4"/>
        <v>0</v>
      </c>
      <c r="P24" s="97"/>
      <c r="Q24" s="98">
        <f t="shared" si="5"/>
        <v>0</v>
      </c>
      <c r="R24" s="106">
        <f t="shared" si="6"/>
        <v>0</v>
      </c>
      <c r="S24" s="88"/>
      <c r="T24" s="107" t="str">
        <f t="shared" si="7"/>
        <v>INSUFICIENTE</v>
      </c>
    </row>
    <row r="25" spans="1:22" ht="11.15" customHeight="1" x14ac:dyDescent="0.35">
      <c r="A25" s="120">
        <f>+'CORTE 1 G1'!A25</f>
        <v>0</v>
      </c>
      <c r="B25" s="141">
        <f>+'CORTE 1 G1'!B25:B25</f>
        <v>0</v>
      </c>
      <c r="C25" s="118"/>
      <c r="D25" s="98">
        <f t="shared" si="0"/>
        <v>0</v>
      </c>
      <c r="E25" s="118"/>
      <c r="F25" s="98">
        <f t="shared" si="1"/>
        <v>0</v>
      </c>
      <c r="G25" s="97"/>
      <c r="H25" s="97"/>
      <c r="I25" s="101"/>
      <c r="J25" s="101"/>
      <c r="K25" s="101"/>
      <c r="L25" s="104">
        <f t="shared" si="2"/>
        <v>0</v>
      </c>
      <c r="M25" s="98">
        <f t="shared" si="3"/>
        <v>0</v>
      </c>
      <c r="N25" s="97"/>
      <c r="O25" s="98">
        <f t="shared" si="4"/>
        <v>0</v>
      </c>
      <c r="P25" s="101"/>
      <c r="Q25" s="98">
        <f t="shared" si="5"/>
        <v>0</v>
      </c>
      <c r="R25" s="106">
        <f t="shared" si="6"/>
        <v>0</v>
      </c>
      <c r="S25" s="88"/>
      <c r="T25" s="107" t="str">
        <f t="shared" si="7"/>
        <v>INSUFICIENTE</v>
      </c>
    </row>
    <row r="26" spans="1:22" ht="11.15" customHeight="1" x14ac:dyDescent="0.35">
      <c r="A26" s="120">
        <f>+'CORTE 1 G1'!A26</f>
        <v>0</v>
      </c>
      <c r="B26" s="141">
        <f>+'CORTE 1 G1'!B26:B26</f>
        <v>0</v>
      </c>
      <c r="C26" s="118"/>
      <c r="D26" s="98">
        <f t="shared" si="0"/>
        <v>0</v>
      </c>
      <c r="E26" s="118"/>
      <c r="F26" s="98">
        <f t="shared" si="1"/>
        <v>0</v>
      </c>
      <c r="G26" s="119"/>
      <c r="H26" s="97"/>
      <c r="I26" s="101"/>
      <c r="J26" s="101"/>
      <c r="K26" s="101"/>
      <c r="L26" s="104">
        <f t="shared" si="2"/>
        <v>0</v>
      </c>
      <c r="M26" s="98">
        <f t="shared" si="3"/>
        <v>0</v>
      </c>
      <c r="N26" s="97"/>
      <c r="O26" s="98">
        <f t="shared" si="4"/>
        <v>0</v>
      </c>
      <c r="P26" s="97"/>
      <c r="Q26" s="98">
        <f t="shared" si="5"/>
        <v>0</v>
      </c>
      <c r="R26" s="106">
        <f t="shared" si="6"/>
        <v>0</v>
      </c>
      <c r="S26" s="88"/>
      <c r="T26" s="107" t="str">
        <f t="shared" si="7"/>
        <v>INSUFICIENTE</v>
      </c>
    </row>
    <row r="27" spans="1:22" ht="11.15" customHeight="1" x14ac:dyDescent="0.35">
      <c r="A27" s="120">
        <f>+'CORTE 1 G1'!A27</f>
        <v>0</v>
      </c>
      <c r="B27" s="141">
        <f>+'CORTE 1 G1'!B27:B27</f>
        <v>0</v>
      </c>
      <c r="C27" s="118"/>
      <c r="D27" s="98">
        <f t="shared" si="0"/>
        <v>0</v>
      </c>
      <c r="E27" s="118"/>
      <c r="F27" s="98">
        <f t="shared" si="1"/>
        <v>0</v>
      </c>
      <c r="G27" s="119"/>
      <c r="H27" s="101"/>
      <c r="I27" s="101"/>
      <c r="J27" s="101"/>
      <c r="K27" s="101"/>
      <c r="L27" s="104">
        <f t="shared" si="2"/>
        <v>0</v>
      </c>
      <c r="M27" s="98">
        <f t="shared" si="3"/>
        <v>0</v>
      </c>
      <c r="N27" s="97"/>
      <c r="O27" s="98">
        <f t="shared" si="4"/>
        <v>0</v>
      </c>
      <c r="P27" s="97"/>
      <c r="Q27" s="98">
        <f t="shared" si="5"/>
        <v>0</v>
      </c>
      <c r="R27" s="106">
        <f t="shared" si="6"/>
        <v>0</v>
      </c>
      <c r="S27" s="88"/>
      <c r="T27" s="107" t="str">
        <f t="shared" si="7"/>
        <v>INSUFICIENTE</v>
      </c>
    </row>
    <row r="28" spans="1:22" ht="11.15" customHeight="1" x14ac:dyDescent="0.35">
      <c r="A28" s="120">
        <f>+'CORTE 1 G1'!A28</f>
        <v>0</v>
      </c>
      <c r="B28" s="141">
        <f>+'CORTE 1 G1'!B28:B28</f>
        <v>0</v>
      </c>
      <c r="C28" s="118"/>
      <c r="D28" s="98">
        <f t="shared" si="0"/>
        <v>0</v>
      </c>
      <c r="E28" s="118"/>
      <c r="F28" s="98">
        <f t="shared" si="1"/>
        <v>0</v>
      </c>
      <c r="G28" s="101"/>
      <c r="H28" s="101"/>
      <c r="I28" s="101"/>
      <c r="J28" s="101"/>
      <c r="K28" s="101"/>
      <c r="L28" s="104">
        <f t="shared" si="2"/>
        <v>0</v>
      </c>
      <c r="M28" s="98">
        <f t="shared" si="3"/>
        <v>0</v>
      </c>
      <c r="N28" s="97"/>
      <c r="O28" s="98">
        <f t="shared" si="4"/>
        <v>0</v>
      </c>
      <c r="P28" s="97"/>
      <c r="Q28" s="98">
        <f t="shared" si="5"/>
        <v>0</v>
      </c>
      <c r="R28" s="106">
        <f t="shared" si="6"/>
        <v>0</v>
      </c>
      <c r="S28" s="88"/>
      <c r="T28" s="107" t="str">
        <f t="shared" si="7"/>
        <v>INSUFICIENTE</v>
      </c>
    </row>
    <row r="29" spans="1:22" ht="11.15" customHeight="1" x14ac:dyDescent="0.35">
      <c r="A29" s="120">
        <f>+'CORTE 1 G1'!A29</f>
        <v>0</v>
      </c>
      <c r="B29" s="141">
        <f>+'CORTE 1 G1'!B29:B29</f>
        <v>0</v>
      </c>
      <c r="C29" s="118"/>
      <c r="D29" s="98">
        <f t="shared" si="0"/>
        <v>0</v>
      </c>
      <c r="E29" s="118"/>
      <c r="F29" s="98">
        <f t="shared" si="1"/>
        <v>0</v>
      </c>
      <c r="G29" s="101"/>
      <c r="H29" s="101"/>
      <c r="I29" s="101"/>
      <c r="J29" s="101"/>
      <c r="K29" s="101"/>
      <c r="L29" s="104">
        <f t="shared" si="2"/>
        <v>0</v>
      </c>
      <c r="M29" s="98">
        <f t="shared" si="3"/>
        <v>0</v>
      </c>
      <c r="N29" s="97"/>
      <c r="O29" s="98">
        <f t="shared" si="4"/>
        <v>0</v>
      </c>
      <c r="P29" s="97"/>
      <c r="Q29" s="98">
        <f t="shared" si="5"/>
        <v>0</v>
      </c>
      <c r="R29" s="106">
        <f t="shared" si="6"/>
        <v>0</v>
      </c>
      <c r="S29" s="88"/>
      <c r="T29" s="107" t="str">
        <f t="shared" si="7"/>
        <v>INSUFICIENTE</v>
      </c>
    </row>
    <row r="30" spans="1:22" ht="11.15" customHeight="1" x14ac:dyDescent="0.35">
      <c r="A30" s="120">
        <f>+'CORTE 1 G1'!A30</f>
        <v>0</v>
      </c>
      <c r="B30" s="141">
        <f>+'CORTE 1 G1'!B30:B30</f>
        <v>0</v>
      </c>
      <c r="C30" s="118"/>
      <c r="D30" s="98">
        <f t="shared" si="0"/>
        <v>0</v>
      </c>
      <c r="E30" s="118"/>
      <c r="F30" s="98">
        <f t="shared" si="1"/>
        <v>0</v>
      </c>
      <c r="G30" s="101"/>
      <c r="H30" s="101"/>
      <c r="I30" s="101"/>
      <c r="J30" s="101"/>
      <c r="K30" s="101"/>
      <c r="L30" s="104">
        <f t="shared" si="2"/>
        <v>0</v>
      </c>
      <c r="M30" s="98">
        <f t="shared" si="3"/>
        <v>0</v>
      </c>
      <c r="N30" s="97"/>
      <c r="O30" s="98">
        <f t="shared" si="4"/>
        <v>0</v>
      </c>
      <c r="P30" s="97"/>
      <c r="Q30" s="98">
        <f t="shared" si="5"/>
        <v>0</v>
      </c>
      <c r="R30" s="106">
        <f t="shared" si="6"/>
        <v>0</v>
      </c>
      <c r="S30" s="88"/>
      <c r="T30" s="107" t="str">
        <f t="shared" si="7"/>
        <v>INSUFICIENTE</v>
      </c>
    </row>
    <row r="31" spans="1:22" ht="11.15" customHeight="1" x14ac:dyDescent="0.35">
      <c r="A31" s="120">
        <f>+'CORTE 1 G1'!A31</f>
        <v>0</v>
      </c>
      <c r="B31" s="141">
        <f>+'CORTE 1 G1'!B31:B31</f>
        <v>0</v>
      </c>
      <c r="C31" s="118"/>
      <c r="D31" s="98">
        <f t="shared" si="0"/>
        <v>0</v>
      </c>
      <c r="E31" s="118"/>
      <c r="F31" s="98">
        <f t="shared" si="1"/>
        <v>0</v>
      </c>
      <c r="G31" s="101"/>
      <c r="H31" s="101"/>
      <c r="I31" s="101"/>
      <c r="J31" s="101"/>
      <c r="K31" s="101"/>
      <c r="L31" s="104">
        <f t="shared" si="2"/>
        <v>0</v>
      </c>
      <c r="M31" s="98">
        <f t="shared" si="3"/>
        <v>0</v>
      </c>
      <c r="N31" s="97"/>
      <c r="O31" s="98">
        <f t="shared" si="4"/>
        <v>0</v>
      </c>
      <c r="P31" s="97"/>
      <c r="Q31" s="98">
        <f t="shared" si="5"/>
        <v>0</v>
      </c>
      <c r="R31" s="106">
        <f t="shared" si="6"/>
        <v>0</v>
      </c>
      <c r="S31" s="88"/>
      <c r="T31" s="107" t="str">
        <f t="shared" si="7"/>
        <v>INSUFICIENTE</v>
      </c>
    </row>
    <row r="32" spans="1:22" ht="11.15" customHeight="1" x14ac:dyDescent="0.35">
      <c r="A32" s="120">
        <f>+'CORTE 1 G1'!A32</f>
        <v>0</v>
      </c>
      <c r="B32" s="141">
        <f>+'CORTE 1 G1'!B32:B32</f>
        <v>0</v>
      </c>
      <c r="C32" s="118"/>
      <c r="D32" s="98">
        <f t="shared" si="0"/>
        <v>0</v>
      </c>
      <c r="E32" s="118"/>
      <c r="F32" s="98">
        <f t="shared" si="1"/>
        <v>0</v>
      </c>
      <c r="G32" s="101"/>
      <c r="H32" s="101"/>
      <c r="I32" s="101"/>
      <c r="J32" s="101"/>
      <c r="K32" s="101"/>
      <c r="L32" s="104">
        <f t="shared" si="2"/>
        <v>0</v>
      </c>
      <c r="M32" s="98">
        <f t="shared" si="3"/>
        <v>0</v>
      </c>
      <c r="N32" s="97"/>
      <c r="O32" s="98">
        <f t="shared" si="4"/>
        <v>0</v>
      </c>
      <c r="P32" s="97"/>
      <c r="Q32" s="98">
        <f t="shared" si="5"/>
        <v>0</v>
      </c>
      <c r="R32" s="106">
        <f t="shared" si="6"/>
        <v>0</v>
      </c>
      <c r="S32" s="88"/>
      <c r="T32" s="107" t="str">
        <f t="shared" si="7"/>
        <v>INSUFICIENTE</v>
      </c>
    </row>
    <row r="33" spans="1:20" ht="11.15" customHeight="1" x14ac:dyDescent="0.35">
      <c r="A33" s="120">
        <f>+'CORTE 1 G1'!A33</f>
        <v>0</v>
      </c>
      <c r="B33" s="141">
        <f>+'CORTE 1 G1'!B33:B33</f>
        <v>0</v>
      </c>
      <c r="C33" s="118"/>
      <c r="D33" s="98">
        <f t="shared" si="0"/>
        <v>0</v>
      </c>
      <c r="E33" s="118"/>
      <c r="F33" s="98">
        <f t="shared" si="1"/>
        <v>0</v>
      </c>
      <c r="G33" s="101"/>
      <c r="H33" s="101"/>
      <c r="I33" s="101"/>
      <c r="J33" s="101"/>
      <c r="K33" s="101"/>
      <c r="L33" s="104">
        <f t="shared" si="2"/>
        <v>0</v>
      </c>
      <c r="M33" s="98">
        <f t="shared" si="3"/>
        <v>0</v>
      </c>
      <c r="N33" s="97"/>
      <c r="O33" s="98">
        <f t="shared" si="4"/>
        <v>0</v>
      </c>
      <c r="P33" s="97"/>
      <c r="Q33" s="98">
        <f t="shared" si="5"/>
        <v>0</v>
      </c>
      <c r="R33" s="106">
        <f t="shared" si="6"/>
        <v>0</v>
      </c>
      <c r="S33" s="88"/>
      <c r="T33" s="107" t="str">
        <f t="shared" si="7"/>
        <v>INSUFICIENTE</v>
      </c>
    </row>
    <row r="34" spans="1:20" ht="11.15" customHeight="1" x14ac:dyDescent="0.35">
      <c r="A34" s="120">
        <f>+'CORTE 1 G1'!A34</f>
        <v>0</v>
      </c>
      <c r="B34" s="141">
        <f>+'CORTE 1 G1'!B34:B34</f>
        <v>0</v>
      </c>
      <c r="C34" s="118"/>
      <c r="D34" s="98">
        <f t="shared" si="0"/>
        <v>0</v>
      </c>
      <c r="E34" s="118"/>
      <c r="F34" s="98">
        <f t="shared" si="1"/>
        <v>0</v>
      </c>
      <c r="G34" s="101"/>
      <c r="H34" s="101"/>
      <c r="I34" s="101"/>
      <c r="J34" s="101"/>
      <c r="K34" s="101"/>
      <c r="L34" s="104">
        <f t="shared" si="2"/>
        <v>0</v>
      </c>
      <c r="M34" s="98">
        <f t="shared" si="3"/>
        <v>0</v>
      </c>
      <c r="N34" s="97"/>
      <c r="O34" s="98">
        <f t="shared" si="4"/>
        <v>0</v>
      </c>
      <c r="P34" s="97"/>
      <c r="Q34" s="98">
        <f t="shared" si="5"/>
        <v>0</v>
      </c>
      <c r="R34" s="106">
        <f t="shared" si="6"/>
        <v>0</v>
      </c>
      <c r="S34" s="88"/>
      <c r="T34" s="107" t="str">
        <f t="shared" si="7"/>
        <v>INSUFICIENTE</v>
      </c>
    </row>
    <row r="35" spans="1:20" ht="11.15" customHeight="1" x14ac:dyDescent="0.35">
      <c r="A35" s="120">
        <f>+'CORTE 1 G1'!A35</f>
        <v>0</v>
      </c>
      <c r="B35" s="141">
        <f>+'CORTE 1 G1'!B35:B35</f>
        <v>0</v>
      </c>
      <c r="C35" s="118"/>
      <c r="D35" s="98">
        <f t="shared" si="0"/>
        <v>0</v>
      </c>
      <c r="E35" s="118"/>
      <c r="F35" s="98">
        <f t="shared" si="1"/>
        <v>0</v>
      </c>
      <c r="G35" s="101"/>
      <c r="H35" s="101"/>
      <c r="I35" s="101"/>
      <c r="J35" s="101"/>
      <c r="K35" s="101"/>
      <c r="L35" s="104">
        <f t="shared" si="2"/>
        <v>0</v>
      </c>
      <c r="M35" s="98">
        <f t="shared" si="3"/>
        <v>0</v>
      </c>
      <c r="N35" s="97"/>
      <c r="O35" s="98">
        <f t="shared" si="4"/>
        <v>0</v>
      </c>
      <c r="P35" s="97"/>
      <c r="Q35" s="98">
        <f t="shared" si="5"/>
        <v>0</v>
      </c>
      <c r="R35" s="106">
        <f t="shared" si="6"/>
        <v>0</v>
      </c>
      <c r="S35" s="88"/>
      <c r="T35" s="107" t="str">
        <f t="shared" si="7"/>
        <v>INSUFICIENTE</v>
      </c>
    </row>
    <row r="36" spans="1:20" ht="11.15" customHeight="1" x14ac:dyDescent="0.35">
      <c r="A36" s="120">
        <f>+'CORTE 1 G1'!A36</f>
        <v>0</v>
      </c>
      <c r="B36" s="141">
        <f>+'CORTE 1 G1'!B36:B36</f>
        <v>0</v>
      </c>
      <c r="C36" s="118"/>
      <c r="D36" s="98">
        <f t="shared" si="0"/>
        <v>0</v>
      </c>
      <c r="E36" s="118"/>
      <c r="F36" s="98">
        <f t="shared" si="1"/>
        <v>0</v>
      </c>
      <c r="G36" s="101"/>
      <c r="H36" s="101"/>
      <c r="I36" s="101"/>
      <c r="J36" s="101"/>
      <c r="K36" s="101"/>
      <c r="L36" s="104">
        <f t="shared" si="2"/>
        <v>0</v>
      </c>
      <c r="M36" s="98">
        <f t="shared" si="3"/>
        <v>0</v>
      </c>
      <c r="N36" s="97"/>
      <c r="O36" s="98">
        <f t="shared" si="4"/>
        <v>0</v>
      </c>
      <c r="P36" s="97"/>
      <c r="Q36" s="98">
        <f t="shared" si="5"/>
        <v>0</v>
      </c>
      <c r="R36" s="106">
        <f t="shared" si="6"/>
        <v>0</v>
      </c>
      <c r="S36" s="88"/>
      <c r="T36" s="107" t="str">
        <f t="shared" si="7"/>
        <v>INSUFICIENTE</v>
      </c>
    </row>
    <row r="37" spans="1:20" ht="11.15" customHeight="1" x14ac:dyDescent="0.35">
      <c r="A37" s="120">
        <f>+'CORTE 1 G1'!A37</f>
        <v>0</v>
      </c>
      <c r="B37" s="141">
        <f>+'CORTE 1 G1'!B37:B37</f>
        <v>0</v>
      </c>
      <c r="C37" s="118"/>
      <c r="D37" s="98">
        <f t="shared" si="0"/>
        <v>0</v>
      </c>
      <c r="E37" s="118"/>
      <c r="F37" s="98">
        <f t="shared" si="1"/>
        <v>0</v>
      </c>
      <c r="G37" s="101"/>
      <c r="H37" s="101"/>
      <c r="I37" s="101"/>
      <c r="J37" s="101"/>
      <c r="K37" s="101"/>
      <c r="L37" s="104">
        <f t="shared" si="2"/>
        <v>0</v>
      </c>
      <c r="M37" s="98">
        <f t="shared" si="3"/>
        <v>0</v>
      </c>
      <c r="N37" s="97"/>
      <c r="O37" s="98">
        <f t="shared" si="4"/>
        <v>0</v>
      </c>
      <c r="P37" s="97"/>
      <c r="Q37" s="98">
        <f t="shared" si="5"/>
        <v>0</v>
      </c>
      <c r="R37" s="106">
        <f t="shared" si="6"/>
        <v>0</v>
      </c>
      <c r="S37" s="88"/>
      <c r="T37" s="107" t="str">
        <f t="shared" si="7"/>
        <v>INSUFICIENTE</v>
      </c>
    </row>
    <row r="38" spans="1:20" ht="11.15" customHeight="1" x14ac:dyDescent="0.35">
      <c r="A38" s="120">
        <f>+'CORTE 1 G1'!A38</f>
        <v>0</v>
      </c>
      <c r="B38" s="141">
        <f>+'CORTE 1 G1'!B38:B38</f>
        <v>0</v>
      </c>
      <c r="C38" s="118"/>
      <c r="D38" s="98">
        <f t="shared" si="0"/>
        <v>0</v>
      </c>
      <c r="E38" s="118"/>
      <c r="F38" s="98">
        <f t="shared" si="1"/>
        <v>0</v>
      </c>
      <c r="G38" s="101"/>
      <c r="H38" s="101"/>
      <c r="I38" s="101"/>
      <c r="J38" s="101"/>
      <c r="K38" s="101"/>
      <c r="L38" s="104">
        <f t="shared" si="2"/>
        <v>0</v>
      </c>
      <c r="M38" s="98">
        <f t="shared" si="3"/>
        <v>0</v>
      </c>
      <c r="N38" s="97"/>
      <c r="O38" s="98">
        <f t="shared" si="4"/>
        <v>0</v>
      </c>
      <c r="P38" s="97"/>
      <c r="Q38" s="98">
        <f t="shared" si="5"/>
        <v>0</v>
      </c>
      <c r="R38" s="106">
        <f t="shared" si="6"/>
        <v>0</v>
      </c>
      <c r="S38" s="88"/>
      <c r="T38" s="107" t="str">
        <f t="shared" si="7"/>
        <v>INSUFICIENTE</v>
      </c>
    </row>
    <row r="39" spans="1:20" ht="11.15" customHeight="1" x14ac:dyDescent="0.35">
      <c r="A39" s="120">
        <f>+'CORTE 1 G1'!A39</f>
        <v>0</v>
      </c>
      <c r="B39" s="141">
        <f>+'CORTE 1 G1'!B39:B39</f>
        <v>0</v>
      </c>
      <c r="C39" s="118"/>
      <c r="D39" s="98">
        <f t="shared" si="0"/>
        <v>0</v>
      </c>
      <c r="E39" s="118"/>
      <c r="F39" s="98">
        <f t="shared" si="1"/>
        <v>0</v>
      </c>
      <c r="G39" s="101"/>
      <c r="H39" s="101"/>
      <c r="I39" s="101"/>
      <c r="J39" s="101"/>
      <c r="K39" s="101"/>
      <c r="L39" s="104">
        <f t="shared" si="2"/>
        <v>0</v>
      </c>
      <c r="M39" s="98">
        <f t="shared" si="3"/>
        <v>0</v>
      </c>
      <c r="N39" s="97"/>
      <c r="O39" s="98">
        <f t="shared" si="4"/>
        <v>0</v>
      </c>
      <c r="P39" s="97"/>
      <c r="Q39" s="98">
        <f t="shared" si="5"/>
        <v>0</v>
      </c>
      <c r="R39" s="106">
        <f t="shared" si="6"/>
        <v>0</v>
      </c>
      <c r="S39" s="88"/>
      <c r="T39" s="107" t="str">
        <f t="shared" si="7"/>
        <v>INSUFICIENTE</v>
      </c>
    </row>
    <row r="40" spans="1:20" ht="11.15" customHeight="1" x14ac:dyDescent="0.35">
      <c r="A40" s="120">
        <f>+'CORTE 1 G1'!A40</f>
        <v>0</v>
      </c>
      <c r="B40" s="141">
        <f>+'CORTE 1 G1'!B40:B40</f>
        <v>0</v>
      </c>
      <c r="C40" s="118"/>
      <c r="D40" s="98">
        <f t="shared" si="0"/>
        <v>0</v>
      </c>
      <c r="E40" s="118"/>
      <c r="F40" s="98">
        <f t="shared" si="1"/>
        <v>0</v>
      </c>
      <c r="G40" s="101"/>
      <c r="H40" s="101"/>
      <c r="I40" s="101"/>
      <c r="J40" s="101"/>
      <c r="K40" s="101"/>
      <c r="L40" s="104">
        <f t="shared" si="2"/>
        <v>0</v>
      </c>
      <c r="M40" s="98">
        <f t="shared" si="3"/>
        <v>0</v>
      </c>
      <c r="N40" s="97"/>
      <c r="O40" s="98">
        <f t="shared" si="4"/>
        <v>0</v>
      </c>
      <c r="P40" s="97"/>
      <c r="Q40" s="98">
        <f t="shared" si="5"/>
        <v>0</v>
      </c>
      <c r="R40" s="106">
        <f t="shared" si="6"/>
        <v>0</v>
      </c>
      <c r="S40" s="88"/>
      <c r="T40" s="107" t="str">
        <f t="shared" si="7"/>
        <v>INSUFICIENTE</v>
      </c>
    </row>
    <row r="41" spans="1:20" ht="11.15" customHeight="1" x14ac:dyDescent="0.35">
      <c r="A41" s="120">
        <f>+'CORTE 1 G1'!A41</f>
        <v>0</v>
      </c>
      <c r="B41" s="141">
        <f>+'CORTE 1 G1'!B41:B41</f>
        <v>0</v>
      </c>
      <c r="C41" s="118"/>
      <c r="D41" s="98">
        <f t="shared" si="0"/>
        <v>0</v>
      </c>
      <c r="E41" s="118"/>
      <c r="F41" s="98">
        <f t="shared" si="1"/>
        <v>0</v>
      </c>
      <c r="G41" s="101"/>
      <c r="H41" s="101"/>
      <c r="I41" s="101"/>
      <c r="J41" s="101"/>
      <c r="K41" s="101"/>
      <c r="L41" s="104">
        <f t="shared" si="2"/>
        <v>0</v>
      </c>
      <c r="M41" s="98">
        <f t="shared" si="3"/>
        <v>0</v>
      </c>
      <c r="N41" s="97"/>
      <c r="O41" s="98">
        <f t="shared" si="4"/>
        <v>0</v>
      </c>
      <c r="P41" s="97"/>
      <c r="Q41" s="98">
        <f t="shared" si="5"/>
        <v>0</v>
      </c>
      <c r="R41" s="106">
        <f t="shared" si="6"/>
        <v>0</v>
      </c>
      <c r="S41" s="88"/>
      <c r="T41" s="107" t="str">
        <f t="shared" si="7"/>
        <v>INSUFICIENTE</v>
      </c>
    </row>
    <row r="42" spans="1:20" ht="11.15" customHeight="1" x14ac:dyDescent="0.35">
      <c r="A42" s="120">
        <f>+'CORTE 1 G1'!A42</f>
        <v>0</v>
      </c>
      <c r="B42" s="141">
        <f>+'CORTE 1 G1'!B42:B42</f>
        <v>0</v>
      </c>
      <c r="C42" s="118"/>
      <c r="D42" s="98">
        <f t="shared" si="0"/>
        <v>0</v>
      </c>
      <c r="E42" s="118"/>
      <c r="F42" s="98">
        <f t="shared" si="1"/>
        <v>0</v>
      </c>
      <c r="G42" s="101"/>
      <c r="H42" s="101"/>
      <c r="I42" s="101"/>
      <c r="J42" s="101"/>
      <c r="K42" s="101"/>
      <c r="L42" s="104">
        <f t="shared" si="2"/>
        <v>0</v>
      </c>
      <c r="M42" s="98">
        <f t="shared" si="3"/>
        <v>0</v>
      </c>
      <c r="N42" s="97"/>
      <c r="O42" s="98">
        <f t="shared" si="4"/>
        <v>0</v>
      </c>
      <c r="P42" s="97"/>
      <c r="Q42" s="98">
        <f t="shared" si="5"/>
        <v>0</v>
      </c>
      <c r="R42" s="106">
        <f t="shared" si="6"/>
        <v>0</v>
      </c>
      <c r="S42" s="88"/>
      <c r="T42" s="107" t="str">
        <f t="shared" si="7"/>
        <v>INSUFICIENTE</v>
      </c>
    </row>
    <row r="43" spans="1:20" ht="11.15" customHeight="1" x14ac:dyDescent="0.35">
      <c r="A43" s="120">
        <f>+'CORTE 1 G1'!A43</f>
        <v>0</v>
      </c>
      <c r="B43" s="141">
        <f>+'CORTE 1 G1'!B43:B43</f>
        <v>0</v>
      </c>
      <c r="C43" s="118"/>
      <c r="D43" s="98">
        <f t="shared" si="0"/>
        <v>0</v>
      </c>
      <c r="E43" s="118"/>
      <c r="F43" s="98">
        <f t="shared" si="1"/>
        <v>0</v>
      </c>
      <c r="G43" s="101"/>
      <c r="H43" s="101"/>
      <c r="I43" s="101"/>
      <c r="J43" s="101"/>
      <c r="K43" s="101"/>
      <c r="L43" s="104">
        <f t="shared" si="2"/>
        <v>0</v>
      </c>
      <c r="M43" s="98">
        <f t="shared" si="3"/>
        <v>0</v>
      </c>
      <c r="N43" s="97"/>
      <c r="O43" s="98">
        <f t="shared" si="4"/>
        <v>0</v>
      </c>
      <c r="P43" s="97"/>
      <c r="Q43" s="98">
        <f t="shared" si="5"/>
        <v>0</v>
      </c>
      <c r="R43" s="106">
        <f t="shared" si="6"/>
        <v>0</v>
      </c>
      <c r="S43" s="88"/>
      <c r="T43" s="107" t="str">
        <f t="shared" si="7"/>
        <v>INSUFICIENTE</v>
      </c>
    </row>
    <row r="44" spans="1:20" ht="11.15" customHeight="1" x14ac:dyDescent="0.35">
      <c r="A44" s="120">
        <f>+'CORTE 1 G1'!A44</f>
        <v>0</v>
      </c>
      <c r="B44" s="141">
        <f>+'CORTE 1 G1'!B44:B44</f>
        <v>0</v>
      </c>
      <c r="C44" s="118"/>
      <c r="D44" s="98">
        <f t="shared" si="0"/>
        <v>0</v>
      </c>
      <c r="E44" s="118"/>
      <c r="F44" s="98">
        <f t="shared" si="1"/>
        <v>0</v>
      </c>
      <c r="G44" s="101"/>
      <c r="H44" s="101"/>
      <c r="I44" s="101"/>
      <c r="J44" s="101"/>
      <c r="K44" s="101"/>
      <c r="L44" s="104">
        <f t="shared" si="2"/>
        <v>0</v>
      </c>
      <c r="M44" s="98">
        <f t="shared" si="3"/>
        <v>0</v>
      </c>
      <c r="N44" s="97"/>
      <c r="O44" s="98">
        <f t="shared" si="4"/>
        <v>0</v>
      </c>
      <c r="P44" s="97"/>
      <c r="Q44" s="98">
        <f t="shared" si="5"/>
        <v>0</v>
      </c>
      <c r="R44" s="106">
        <f t="shared" si="6"/>
        <v>0</v>
      </c>
      <c r="S44" s="88"/>
      <c r="T44" s="107" t="str">
        <f t="shared" si="7"/>
        <v>INSUFICIENTE</v>
      </c>
    </row>
    <row r="45" spans="1:20" ht="11.15" customHeight="1" x14ac:dyDescent="0.35">
      <c r="A45" s="120">
        <f>+'CORTE 1 G1'!A45</f>
        <v>0</v>
      </c>
      <c r="B45" s="141">
        <f>+'CORTE 1 G1'!B45:B45</f>
        <v>0</v>
      </c>
      <c r="C45" s="118"/>
      <c r="D45" s="98">
        <f t="shared" si="0"/>
        <v>0</v>
      </c>
      <c r="E45" s="118"/>
      <c r="F45" s="98">
        <f t="shared" si="1"/>
        <v>0</v>
      </c>
      <c r="G45" s="101"/>
      <c r="H45" s="101"/>
      <c r="I45" s="101"/>
      <c r="J45" s="101"/>
      <c r="K45" s="101"/>
      <c r="L45" s="104">
        <f t="shared" si="2"/>
        <v>0</v>
      </c>
      <c r="M45" s="98">
        <f t="shared" si="3"/>
        <v>0</v>
      </c>
      <c r="N45" s="97"/>
      <c r="O45" s="98">
        <f t="shared" si="4"/>
        <v>0</v>
      </c>
      <c r="P45" s="97"/>
      <c r="Q45" s="98">
        <f t="shared" si="5"/>
        <v>0</v>
      </c>
      <c r="R45" s="106">
        <f t="shared" si="6"/>
        <v>0</v>
      </c>
      <c r="S45" s="88"/>
      <c r="T45" s="107" t="str">
        <f t="shared" si="7"/>
        <v>INSUFICIENTE</v>
      </c>
    </row>
    <row r="46" spans="1:20" ht="11.15" customHeight="1" x14ac:dyDescent="0.35">
      <c r="A46" s="120">
        <f>+'CORTE 1 G1'!A46</f>
        <v>0</v>
      </c>
      <c r="B46" s="141">
        <f>+'CORTE 1 G1'!B46:B46</f>
        <v>0</v>
      </c>
      <c r="C46" s="118"/>
      <c r="D46" s="98">
        <f t="shared" si="0"/>
        <v>0</v>
      </c>
      <c r="E46" s="118"/>
      <c r="F46" s="98">
        <f t="shared" si="1"/>
        <v>0</v>
      </c>
      <c r="G46" s="101"/>
      <c r="H46" s="101"/>
      <c r="I46" s="101"/>
      <c r="J46" s="101"/>
      <c r="K46" s="101"/>
      <c r="L46" s="104">
        <f t="shared" si="2"/>
        <v>0</v>
      </c>
      <c r="M46" s="98">
        <f t="shared" si="3"/>
        <v>0</v>
      </c>
      <c r="N46" s="97"/>
      <c r="O46" s="98">
        <f t="shared" si="4"/>
        <v>0</v>
      </c>
      <c r="P46" s="97"/>
      <c r="Q46" s="98">
        <f t="shared" si="5"/>
        <v>0</v>
      </c>
      <c r="R46" s="106">
        <f t="shared" si="6"/>
        <v>0</v>
      </c>
      <c r="S46" s="88"/>
      <c r="T46" s="107" t="str">
        <f t="shared" si="7"/>
        <v>INSUFICIENTE</v>
      </c>
    </row>
    <row r="47" spans="1:20" ht="11.15" customHeight="1" x14ac:dyDescent="0.35">
      <c r="A47" s="120">
        <f>+'CORTE 1 G1'!A47</f>
        <v>0</v>
      </c>
      <c r="B47" s="141">
        <f>+'CORTE 1 G1'!B47:B47</f>
        <v>0</v>
      </c>
      <c r="C47" s="118"/>
      <c r="D47" s="98">
        <f t="shared" ref="D47:D64" si="8">C47*D$8</f>
        <v>0</v>
      </c>
      <c r="E47" s="118"/>
      <c r="F47" s="98">
        <f t="shared" ref="F47:F64" si="9">E47*F$8</f>
        <v>0</v>
      </c>
      <c r="G47" s="101"/>
      <c r="H47" s="101"/>
      <c r="I47" s="101"/>
      <c r="J47" s="101"/>
      <c r="K47" s="101"/>
      <c r="L47" s="104">
        <f t="shared" ref="L47:L64" si="10">+(G47*$G$14)+(H47*$H$14)+($I$14*I47)+($J$14*J47)+($K$14*K47)</f>
        <v>0</v>
      </c>
      <c r="M47" s="98">
        <f t="shared" ref="M47:M64" si="11">+L47*$M$8</f>
        <v>0</v>
      </c>
      <c r="N47" s="97"/>
      <c r="O47" s="98">
        <f t="shared" ref="O47:O64" si="12">N47*$O$8</f>
        <v>0</v>
      </c>
      <c r="P47" s="97"/>
      <c r="Q47" s="98">
        <f t="shared" ref="Q47:Q64" si="13">P47*$Q$8</f>
        <v>0</v>
      </c>
      <c r="R47" s="106">
        <f t="shared" ref="R47:R64" si="14">SUM(D47,F47,M47,O47,Q47)</f>
        <v>0</v>
      </c>
      <c r="S47" s="88"/>
      <c r="T47" s="107" t="str">
        <f t="shared" ref="T47:T64" si="15">IF(R47=" "," ",IF(R47&lt;1.95,"INSUFICIENTE",IF(R47&lt;2.95,"DEFICIENTE",IF(R47&lt;3.95,"BUENO","EXCELENTE"))))</f>
        <v>INSUFICIENTE</v>
      </c>
    </row>
    <row r="48" spans="1:20" ht="11.15" customHeight="1" x14ac:dyDescent="0.35">
      <c r="A48" s="120">
        <f>+'CORTE 1 G1'!A48</f>
        <v>0</v>
      </c>
      <c r="B48" s="141">
        <f>+'CORTE 1 G1'!B48:B48</f>
        <v>0</v>
      </c>
      <c r="C48" s="118"/>
      <c r="D48" s="98">
        <f t="shared" si="8"/>
        <v>0</v>
      </c>
      <c r="E48" s="118"/>
      <c r="F48" s="98">
        <f t="shared" si="9"/>
        <v>0</v>
      </c>
      <c r="G48" s="101"/>
      <c r="H48" s="101"/>
      <c r="I48" s="101"/>
      <c r="J48" s="101"/>
      <c r="K48" s="101"/>
      <c r="L48" s="104">
        <f t="shared" si="10"/>
        <v>0</v>
      </c>
      <c r="M48" s="98">
        <f t="shared" si="11"/>
        <v>0</v>
      </c>
      <c r="N48" s="97"/>
      <c r="O48" s="98">
        <f t="shared" si="12"/>
        <v>0</v>
      </c>
      <c r="P48" s="97"/>
      <c r="Q48" s="98">
        <f t="shared" si="13"/>
        <v>0</v>
      </c>
      <c r="R48" s="106">
        <f t="shared" si="14"/>
        <v>0</v>
      </c>
      <c r="S48" s="88"/>
      <c r="T48" s="107" t="str">
        <f t="shared" si="15"/>
        <v>INSUFICIENTE</v>
      </c>
    </row>
    <row r="49" spans="1:20" ht="11.15" customHeight="1" x14ac:dyDescent="0.35">
      <c r="A49" s="120">
        <f>+'CORTE 1 G1'!A49</f>
        <v>0</v>
      </c>
      <c r="B49" s="141">
        <f>+'CORTE 1 G1'!B49:B49</f>
        <v>0</v>
      </c>
      <c r="C49" s="118"/>
      <c r="D49" s="98">
        <f t="shared" si="8"/>
        <v>0</v>
      </c>
      <c r="E49" s="118"/>
      <c r="F49" s="98">
        <f t="shared" si="9"/>
        <v>0</v>
      </c>
      <c r="G49" s="101"/>
      <c r="H49" s="101"/>
      <c r="I49" s="101"/>
      <c r="J49" s="101"/>
      <c r="K49" s="101"/>
      <c r="L49" s="104">
        <f t="shared" si="10"/>
        <v>0</v>
      </c>
      <c r="M49" s="98">
        <f t="shared" si="11"/>
        <v>0</v>
      </c>
      <c r="N49" s="97"/>
      <c r="O49" s="98">
        <f t="shared" si="12"/>
        <v>0</v>
      </c>
      <c r="P49" s="97"/>
      <c r="Q49" s="98">
        <f t="shared" si="13"/>
        <v>0</v>
      </c>
      <c r="R49" s="106">
        <f t="shared" si="14"/>
        <v>0</v>
      </c>
      <c r="S49" s="88"/>
      <c r="T49" s="107" t="str">
        <f t="shared" si="15"/>
        <v>INSUFICIENTE</v>
      </c>
    </row>
    <row r="50" spans="1:20" ht="11.15" customHeight="1" x14ac:dyDescent="0.35">
      <c r="A50" s="120">
        <f>+'CORTE 1 G1'!A50</f>
        <v>0</v>
      </c>
      <c r="B50" s="141">
        <f>+'CORTE 1 G1'!B50:B50</f>
        <v>0</v>
      </c>
      <c r="C50" s="118"/>
      <c r="D50" s="98">
        <f t="shared" si="8"/>
        <v>0</v>
      </c>
      <c r="E50" s="118"/>
      <c r="F50" s="98">
        <f t="shared" si="9"/>
        <v>0</v>
      </c>
      <c r="G50" s="101"/>
      <c r="H50" s="101"/>
      <c r="I50" s="101"/>
      <c r="J50" s="101"/>
      <c r="K50" s="101"/>
      <c r="L50" s="104">
        <f t="shared" si="10"/>
        <v>0</v>
      </c>
      <c r="M50" s="98">
        <f t="shared" si="11"/>
        <v>0</v>
      </c>
      <c r="N50" s="97"/>
      <c r="O50" s="98">
        <f t="shared" si="12"/>
        <v>0</v>
      </c>
      <c r="P50" s="97"/>
      <c r="Q50" s="98">
        <f t="shared" si="13"/>
        <v>0</v>
      </c>
      <c r="R50" s="106">
        <f t="shared" si="14"/>
        <v>0</v>
      </c>
      <c r="S50" s="88"/>
      <c r="T50" s="107" t="str">
        <f t="shared" si="15"/>
        <v>INSUFICIENTE</v>
      </c>
    </row>
    <row r="51" spans="1:20" ht="11.15" customHeight="1" x14ac:dyDescent="0.35">
      <c r="A51" s="120">
        <f>+'CORTE 1 G1'!A51</f>
        <v>0</v>
      </c>
      <c r="B51" s="141">
        <f>+'CORTE 1 G1'!B51:B51</f>
        <v>0</v>
      </c>
      <c r="C51" s="118"/>
      <c r="D51" s="98">
        <f t="shared" si="8"/>
        <v>0</v>
      </c>
      <c r="E51" s="118"/>
      <c r="F51" s="98">
        <f t="shared" si="9"/>
        <v>0</v>
      </c>
      <c r="G51" s="101"/>
      <c r="H51" s="101"/>
      <c r="I51" s="101"/>
      <c r="J51" s="101"/>
      <c r="K51" s="101"/>
      <c r="L51" s="104">
        <f t="shared" si="10"/>
        <v>0</v>
      </c>
      <c r="M51" s="98">
        <f t="shared" si="11"/>
        <v>0</v>
      </c>
      <c r="N51" s="97"/>
      <c r="O51" s="98">
        <f t="shared" si="12"/>
        <v>0</v>
      </c>
      <c r="P51" s="97"/>
      <c r="Q51" s="98">
        <f t="shared" si="13"/>
        <v>0</v>
      </c>
      <c r="R51" s="106">
        <f t="shared" si="14"/>
        <v>0</v>
      </c>
      <c r="S51" s="88"/>
      <c r="T51" s="107" t="str">
        <f t="shared" si="15"/>
        <v>INSUFICIENTE</v>
      </c>
    </row>
    <row r="52" spans="1:20" ht="11.15" customHeight="1" x14ac:dyDescent="0.35">
      <c r="A52" s="120">
        <f>+'CORTE 1 G1'!A52</f>
        <v>0</v>
      </c>
      <c r="B52" s="141">
        <f>+'CORTE 1 G1'!B52:B52</f>
        <v>0</v>
      </c>
      <c r="C52" s="118"/>
      <c r="D52" s="98">
        <f t="shared" si="8"/>
        <v>0</v>
      </c>
      <c r="E52" s="118"/>
      <c r="F52" s="98">
        <f t="shared" si="9"/>
        <v>0</v>
      </c>
      <c r="G52" s="101"/>
      <c r="H52" s="101"/>
      <c r="I52" s="101"/>
      <c r="J52" s="101"/>
      <c r="K52" s="101"/>
      <c r="L52" s="104">
        <f t="shared" si="10"/>
        <v>0</v>
      </c>
      <c r="M52" s="98">
        <f t="shared" si="11"/>
        <v>0</v>
      </c>
      <c r="N52" s="97"/>
      <c r="O52" s="98">
        <f t="shared" si="12"/>
        <v>0</v>
      </c>
      <c r="P52" s="97"/>
      <c r="Q52" s="98">
        <f t="shared" si="13"/>
        <v>0</v>
      </c>
      <c r="R52" s="106">
        <f t="shared" si="14"/>
        <v>0</v>
      </c>
      <c r="S52" s="88"/>
      <c r="T52" s="107" t="str">
        <f t="shared" si="15"/>
        <v>INSUFICIENTE</v>
      </c>
    </row>
    <row r="53" spans="1:20" ht="11.15" customHeight="1" x14ac:dyDescent="0.35">
      <c r="A53" s="120">
        <f>+'CORTE 1 G1'!A53</f>
        <v>0</v>
      </c>
      <c r="B53" s="141">
        <f>+'CORTE 1 G1'!B53:B53</f>
        <v>0</v>
      </c>
      <c r="C53" s="118"/>
      <c r="D53" s="98">
        <f t="shared" si="8"/>
        <v>0</v>
      </c>
      <c r="E53" s="118"/>
      <c r="F53" s="98">
        <f t="shared" si="9"/>
        <v>0</v>
      </c>
      <c r="G53" s="101"/>
      <c r="H53" s="101"/>
      <c r="I53" s="101"/>
      <c r="J53" s="101"/>
      <c r="K53" s="101"/>
      <c r="L53" s="104">
        <f t="shared" si="10"/>
        <v>0</v>
      </c>
      <c r="M53" s="98">
        <f t="shared" si="11"/>
        <v>0</v>
      </c>
      <c r="N53" s="97"/>
      <c r="O53" s="98">
        <f t="shared" si="12"/>
        <v>0</v>
      </c>
      <c r="P53" s="97"/>
      <c r="Q53" s="98">
        <f t="shared" si="13"/>
        <v>0</v>
      </c>
      <c r="R53" s="106">
        <f t="shared" si="14"/>
        <v>0</v>
      </c>
      <c r="S53" s="88"/>
      <c r="T53" s="107" t="str">
        <f t="shared" si="15"/>
        <v>INSUFICIENTE</v>
      </c>
    </row>
    <row r="54" spans="1:20" ht="11.15" customHeight="1" x14ac:dyDescent="0.35">
      <c r="A54" s="120">
        <f>+'CORTE 1 G1'!A54</f>
        <v>0</v>
      </c>
      <c r="B54" s="141">
        <f>+'CORTE 1 G1'!B54:B54</f>
        <v>0</v>
      </c>
      <c r="C54" s="118"/>
      <c r="D54" s="98">
        <f t="shared" si="8"/>
        <v>0</v>
      </c>
      <c r="E54" s="118"/>
      <c r="F54" s="98">
        <f t="shared" si="9"/>
        <v>0</v>
      </c>
      <c r="G54" s="101"/>
      <c r="H54" s="101"/>
      <c r="I54" s="101"/>
      <c r="J54" s="101"/>
      <c r="K54" s="101"/>
      <c r="L54" s="104">
        <f t="shared" si="10"/>
        <v>0</v>
      </c>
      <c r="M54" s="98">
        <f t="shared" si="11"/>
        <v>0</v>
      </c>
      <c r="N54" s="97"/>
      <c r="O54" s="98">
        <f t="shared" si="12"/>
        <v>0</v>
      </c>
      <c r="P54" s="97"/>
      <c r="Q54" s="98">
        <f t="shared" si="13"/>
        <v>0</v>
      </c>
      <c r="R54" s="106">
        <f t="shared" si="14"/>
        <v>0</v>
      </c>
      <c r="S54" s="88"/>
      <c r="T54" s="107" t="str">
        <f t="shared" si="15"/>
        <v>INSUFICIENTE</v>
      </c>
    </row>
    <row r="55" spans="1:20" ht="11.15" customHeight="1" x14ac:dyDescent="0.35">
      <c r="A55" s="120">
        <f>+'CORTE 1 G1'!A55</f>
        <v>0</v>
      </c>
      <c r="B55" s="141">
        <f>+'CORTE 1 G1'!B55:B55</f>
        <v>0</v>
      </c>
      <c r="C55" s="118"/>
      <c r="D55" s="98">
        <f t="shared" si="8"/>
        <v>0</v>
      </c>
      <c r="E55" s="118"/>
      <c r="F55" s="98">
        <f t="shared" si="9"/>
        <v>0</v>
      </c>
      <c r="G55" s="101"/>
      <c r="H55" s="101"/>
      <c r="I55" s="101"/>
      <c r="J55" s="101"/>
      <c r="K55" s="101"/>
      <c r="L55" s="104">
        <f t="shared" si="10"/>
        <v>0</v>
      </c>
      <c r="M55" s="98">
        <f t="shared" si="11"/>
        <v>0</v>
      </c>
      <c r="N55" s="97"/>
      <c r="O55" s="98">
        <f t="shared" si="12"/>
        <v>0</v>
      </c>
      <c r="P55" s="97"/>
      <c r="Q55" s="98">
        <f t="shared" si="13"/>
        <v>0</v>
      </c>
      <c r="R55" s="106">
        <f t="shared" si="14"/>
        <v>0</v>
      </c>
      <c r="S55" s="88"/>
      <c r="T55" s="107" t="str">
        <f t="shared" si="15"/>
        <v>INSUFICIENTE</v>
      </c>
    </row>
    <row r="56" spans="1:20" ht="11.15" customHeight="1" x14ac:dyDescent="0.35">
      <c r="A56" s="120">
        <f>+'CORTE 1 G1'!A56</f>
        <v>0</v>
      </c>
      <c r="B56" s="141">
        <f>+'CORTE 1 G1'!B56:B56</f>
        <v>0</v>
      </c>
      <c r="C56" s="118"/>
      <c r="D56" s="98">
        <f t="shared" si="8"/>
        <v>0</v>
      </c>
      <c r="E56" s="118"/>
      <c r="F56" s="98">
        <f t="shared" si="9"/>
        <v>0</v>
      </c>
      <c r="G56" s="101"/>
      <c r="H56" s="101"/>
      <c r="I56" s="101"/>
      <c r="J56" s="101"/>
      <c r="K56" s="101"/>
      <c r="L56" s="104">
        <f t="shared" si="10"/>
        <v>0</v>
      </c>
      <c r="M56" s="98">
        <f t="shared" si="11"/>
        <v>0</v>
      </c>
      <c r="N56" s="97"/>
      <c r="O56" s="98">
        <f t="shared" si="12"/>
        <v>0</v>
      </c>
      <c r="P56" s="97"/>
      <c r="Q56" s="98">
        <f t="shared" si="13"/>
        <v>0</v>
      </c>
      <c r="R56" s="106">
        <f t="shared" si="14"/>
        <v>0</v>
      </c>
      <c r="S56" s="88"/>
      <c r="T56" s="107" t="str">
        <f t="shared" si="15"/>
        <v>INSUFICIENTE</v>
      </c>
    </row>
    <row r="57" spans="1:20" ht="11.15" customHeight="1" x14ac:dyDescent="0.35">
      <c r="A57" s="120">
        <f>+'CORTE 1 G1'!A57</f>
        <v>0</v>
      </c>
      <c r="B57" s="141">
        <f>+'CORTE 1 G1'!B57:B57</f>
        <v>0</v>
      </c>
      <c r="C57" s="118"/>
      <c r="D57" s="98">
        <f t="shared" si="8"/>
        <v>0</v>
      </c>
      <c r="E57" s="118"/>
      <c r="F57" s="98">
        <f t="shared" si="9"/>
        <v>0</v>
      </c>
      <c r="G57" s="101"/>
      <c r="H57" s="101"/>
      <c r="I57" s="101"/>
      <c r="J57" s="101"/>
      <c r="K57" s="101"/>
      <c r="L57" s="104">
        <f t="shared" si="10"/>
        <v>0</v>
      </c>
      <c r="M57" s="98">
        <f t="shared" si="11"/>
        <v>0</v>
      </c>
      <c r="N57" s="97"/>
      <c r="O57" s="98">
        <f t="shared" si="12"/>
        <v>0</v>
      </c>
      <c r="P57" s="97"/>
      <c r="Q57" s="98">
        <f t="shared" si="13"/>
        <v>0</v>
      </c>
      <c r="R57" s="106">
        <f t="shared" si="14"/>
        <v>0</v>
      </c>
      <c r="S57" s="88"/>
      <c r="T57" s="107" t="str">
        <f t="shared" si="15"/>
        <v>INSUFICIENTE</v>
      </c>
    </row>
    <row r="58" spans="1:20" ht="11.15" customHeight="1" x14ac:dyDescent="0.35">
      <c r="A58" s="120">
        <f>+'CORTE 1 G1'!A58</f>
        <v>0</v>
      </c>
      <c r="B58" s="141">
        <f>+'CORTE 1 G1'!B58:B58</f>
        <v>0</v>
      </c>
      <c r="C58" s="118"/>
      <c r="D58" s="98">
        <f t="shared" si="8"/>
        <v>0</v>
      </c>
      <c r="E58" s="118"/>
      <c r="F58" s="98">
        <f t="shared" si="9"/>
        <v>0</v>
      </c>
      <c r="G58" s="101"/>
      <c r="H58" s="101"/>
      <c r="I58" s="101"/>
      <c r="J58" s="101"/>
      <c r="K58" s="101"/>
      <c r="L58" s="104">
        <f t="shared" si="10"/>
        <v>0</v>
      </c>
      <c r="M58" s="98">
        <f t="shared" si="11"/>
        <v>0</v>
      </c>
      <c r="N58" s="97"/>
      <c r="O58" s="98">
        <f t="shared" si="12"/>
        <v>0</v>
      </c>
      <c r="P58" s="97"/>
      <c r="Q58" s="98">
        <f t="shared" si="13"/>
        <v>0</v>
      </c>
      <c r="R58" s="106">
        <f t="shared" si="14"/>
        <v>0</v>
      </c>
      <c r="S58" s="88"/>
      <c r="T58" s="107" t="str">
        <f t="shared" si="15"/>
        <v>INSUFICIENTE</v>
      </c>
    </row>
    <row r="59" spans="1:20" ht="11.15" customHeight="1" x14ac:dyDescent="0.35">
      <c r="A59" s="120">
        <f>+'CORTE 1 G1'!A59</f>
        <v>0</v>
      </c>
      <c r="B59" s="141">
        <f>+'CORTE 1 G1'!B59:B59</f>
        <v>0</v>
      </c>
      <c r="C59" s="118"/>
      <c r="D59" s="98">
        <f t="shared" si="8"/>
        <v>0</v>
      </c>
      <c r="E59" s="118"/>
      <c r="F59" s="98">
        <f t="shared" si="9"/>
        <v>0</v>
      </c>
      <c r="G59" s="101"/>
      <c r="H59" s="101"/>
      <c r="I59" s="101"/>
      <c r="J59" s="101"/>
      <c r="K59" s="101"/>
      <c r="L59" s="104">
        <f t="shared" si="10"/>
        <v>0</v>
      </c>
      <c r="M59" s="98">
        <f t="shared" si="11"/>
        <v>0</v>
      </c>
      <c r="N59" s="97"/>
      <c r="O59" s="98">
        <f t="shared" si="12"/>
        <v>0</v>
      </c>
      <c r="P59" s="97"/>
      <c r="Q59" s="98">
        <f t="shared" si="13"/>
        <v>0</v>
      </c>
      <c r="R59" s="106">
        <f t="shared" si="14"/>
        <v>0</v>
      </c>
      <c r="S59" s="88"/>
      <c r="T59" s="107" t="str">
        <f t="shared" si="15"/>
        <v>INSUFICIENTE</v>
      </c>
    </row>
    <row r="60" spans="1:20" ht="11.15" customHeight="1" x14ac:dyDescent="0.35">
      <c r="A60" s="120">
        <f>+'CORTE 1 G1'!A60</f>
        <v>0</v>
      </c>
      <c r="B60" s="141">
        <f>+'CORTE 1 G1'!B60:B60</f>
        <v>0</v>
      </c>
      <c r="C60" s="118"/>
      <c r="D60" s="98">
        <f t="shared" si="8"/>
        <v>0</v>
      </c>
      <c r="E60" s="118"/>
      <c r="F60" s="98">
        <f t="shared" si="9"/>
        <v>0</v>
      </c>
      <c r="G60" s="101"/>
      <c r="H60" s="101"/>
      <c r="I60" s="101"/>
      <c r="J60" s="101"/>
      <c r="K60" s="101"/>
      <c r="L60" s="104">
        <f t="shared" si="10"/>
        <v>0</v>
      </c>
      <c r="M60" s="98">
        <f t="shared" si="11"/>
        <v>0</v>
      </c>
      <c r="N60" s="97"/>
      <c r="O60" s="98">
        <f t="shared" si="12"/>
        <v>0</v>
      </c>
      <c r="P60" s="97"/>
      <c r="Q60" s="98">
        <f t="shared" si="13"/>
        <v>0</v>
      </c>
      <c r="R60" s="106">
        <f t="shared" si="14"/>
        <v>0</v>
      </c>
      <c r="S60" s="88"/>
      <c r="T60" s="107" t="str">
        <f t="shared" si="15"/>
        <v>INSUFICIENTE</v>
      </c>
    </row>
    <row r="61" spans="1:20" ht="11.15" customHeight="1" x14ac:dyDescent="0.35">
      <c r="A61" s="120">
        <f>+'CORTE 1 G1'!A61</f>
        <v>0</v>
      </c>
      <c r="B61" s="141">
        <f>+'CORTE 1 G1'!B61:B61</f>
        <v>0</v>
      </c>
      <c r="C61" s="118"/>
      <c r="D61" s="98">
        <f t="shared" si="8"/>
        <v>0</v>
      </c>
      <c r="E61" s="118"/>
      <c r="F61" s="98">
        <f t="shared" si="9"/>
        <v>0</v>
      </c>
      <c r="G61" s="101"/>
      <c r="H61" s="101"/>
      <c r="I61" s="101"/>
      <c r="J61" s="101"/>
      <c r="K61" s="101"/>
      <c r="L61" s="104">
        <f t="shared" si="10"/>
        <v>0</v>
      </c>
      <c r="M61" s="98">
        <f t="shared" si="11"/>
        <v>0</v>
      </c>
      <c r="N61" s="97"/>
      <c r="O61" s="98">
        <f t="shared" si="12"/>
        <v>0</v>
      </c>
      <c r="P61" s="97"/>
      <c r="Q61" s="98">
        <f t="shared" si="13"/>
        <v>0</v>
      </c>
      <c r="R61" s="106">
        <f t="shared" si="14"/>
        <v>0</v>
      </c>
      <c r="S61" s="88"/>
      <c r="T61" s="107" t="str">
        <f t="shared" si="15"/>
        <v>INSUFICIENTE</v>
      </c>
    </row>
    <row r="62" spans="1:20" ht="11.15" customHeight="1" x14ac:dyDescent="0.35">
      <c r="A62" s="120">
        <f>+'CORTE 1 G1'!A62</f>
        <v>0</v>
      </c>
      <c r="B62" s="141">
        <f>+'CORTE 1 G1'!B62:B62</f>
        <v>0</v>
      </c>
      <c r="C62" s="118"/>
      <c r="D62" s="98">
        <f t="shared" si="8"/>
        <v>0</v>
      </c>
      <c r="E62" s="118"/>
      <c r="F62" s="98">
        <f t="shared" si="9"/>
        <v>0</v>
      </c>
      <c r="G62" s="101"/>
      <c r="H62" s="101"/>
      <c r="I62" s="101"/>
      <c r="J62" s="101"/>
      <c r="K62" s="101"/>
      <c r="L62" s="104">
        <f t="shared" si="10"/>
        <v>0</v>
      </c>
      <c r="M62" s="98">
        <f t="shared" si="11"/>
        <v>0</v>
      </c>
      <c r="N62" s="97"/>
      <c r="O62" s="98">
        <f t="shared" si="12"/>
        <v>0</v>
      </c>
      <c r="P62" s="97"/>
      <c r="Q62" s="98">
        <f t="shared" si="13"/>
        <v>0</v>
      </c>
      <c r="R62" s="106">
        <f t="shared" si="14"/>
        <v>0</v>
      </c>
      <c r="S62" s="88"/>
      <c r="T62" s="107" t="str">
        <f t="shared" si="15"/>
        <v>INSUFICIENTE</v>
      </c>
    </row>
    <row r="63" spans="1:20" ht="11.15" customHeight="1" x14ac:dyDescent="0.35">
      <c r="A63" s="120">
        <f>+'CORTE 1 G1'!A63</f>
        <v>0</v>
      </c>
      <c r="B63" s="141">
        <f>+'CORTE 1 G1'!B63:B63</f>
        <v>0</v>
      </c>
      <c r="C63" s="118"/>
      <c r="D63" s="98">
        <f t="shared" si="8"/>
        <v>0</v>
      </c>
      <c r="E63" s="118"/>
      <c r="F63" s="98">
        <f t="shared" si="9"/>
        <v>0</v>
      </c>
      <c r="G63" s="101"/>
      <c r="H63" s="101"/>
      <c r="I63" s="101"/>
      <c r="J63" s="101"/>
      <c r="K63" s="101"/>
      <c r="L63" s="104">
        <f t="shared" si="10"/>
        <v>0</v>
      </c>
      <c r="M63" s="98">
        <f t="shared" si="11"/>
        <v>0</v>
      </c>
      <c r="N63" s="97"/>
      <c r="O63" s="98">
        <f t="shared" si="12"/>
        <v>0</v>
      </c>
      <c r="P63" s="97"/>
      <c r="Q63" s="98">
        <f t="shared" si="13"/>
        <v>0</v>
      </c>
      <c r="R63" s="106">
        <f t="shared" si="14"/>
        <v>0</v>
      </c>
      <c r="S63" s="88"/>
      <c r="T63" s="107" t="str">
        <f t="shared" si="15"/>
        <v>INSUFICIENTE</v>
      </c>
    </row>
    <row r="64" spans="1:20" ht="11.15" customHeight="1" x14ac:dyDescent="0.35">
      <c r="A64" s="120">
        <f>+'CORTE 1 G1'!A64</f>
        <v>0</v>
      </c>
      <c r="B64" s="141">
        <f>+'CORTE 1 G1'!B64:B64</f>
        <v>0</v>
      </c>
      <c r="C64" s="118"/>
      <c r="D64" s="98">
        <f t="shared" si="8"/>
        <v>0</v>
      </c>
      <c r="E64" s="118"/>
      <c r="F64" s="98">
        <f t="shared" si="9"/>
        <v>0</v>
      </c>
      <c r="G64" s="101"/>
      <c r="H64" s="101"/>
      <c r="I64" s="101"/>
      <c r="J64" s="101"/>
      <c r="K64" s="101"/>
      <c r="L64" s="104">
        <f t="shared" si="10"/>
        <v>0</v>
      </c>
      <c r="M64" s="98">
        <f t="shared" si="11"/>
        <v>0</v>
      </c>
      <c r="N64" s="97"/>
      <c r="O64" s="98">
        <f t="shared" si="12"/>
        <v>0</v>
      </c>
      <c r="P64" s="97"/>
      <c r="Q64" s="98">
        <f t="shared" si="13"/>
        <v>0</v>
      </c>
      <c r="R64" s="106">
        <f t="shared" si="14"/>
        <v>0</v>
      </c>
      <c r="S64" s="88"/>
      <c r="T64" s="107" t="str">
        <f t="shared" si="15"/>
        <v>INSUFICIENTE</v>
      </c>
    </row>
    <row r="65" spans="1:20" ht="11.15" customHeight="1" x14ac:dyDescent="0.35">
      <c r="A65" s="120">
        <f>+'CORTE 1 G1'!A65</f>
        <v>0</v>
      </c>
      <c r="B65" s="141">
        <f>+'CORTE 1 G1'!B65:B65</f>
        <v>0</v>
      </c>
      <c r="C65" s="118"/>
      <c r="D65" s="98">
        <f t="shared" si="0"/>
        <v>0</v>
      </c>
      <c r="E65" s="118"/>
      <c r="F65" s="98">
        <f t="shared" si="1"/>
        <v>0</v>
      </c>
      <c r="G65" s="101"/>
      <c r="H65" s="101"/>
      <c r="I65" s="101"/>
      <c r="J65" s="101"/>
      <c r="K65" s="101"/>
      <c r="L65" s="104">
        <f t="shared" si="2"/>
        <v>0</v>
      </c>
      <c r="M65" s="98">
        <f t="shared" si="3"/>
        <v>0</v>
      </c>
      <c r="N65" s="97"/>
      <c r="O65" s="98">
        <f t="shared" si="4"/>
        <v>0</v>
      </c>
      <c r="P65" s="97"/>
      <c r="Q65" s="98">
        <f t="shared" si="5"/>
        <v>0</v>
      </c>
      <c r="R65" s="106">
        <f t="shared" si="6"/>
        <v>0</v>
      </c>
      <c r="S65" s="88"/>
      <c r="T65" s="107" t="str">
        <f t="shared" si="7"/>
        <v>INSUFICIENTE</v>
      </c>
    </row>
    <row r="67" spans="1:20" ht="5.15" customHeight="1" x14ac:dyDescent="0.35"/>
    <row r="68" spans="1:20" ht="12" customHeight="1" x14ac:dyDescent="0.35">
      <c r="C68" s="168">
        <f>COUNTIF(C15:C65,"&gt;3,95")</f>
        <v>0</v>
      </c>
      <c r="D68" s="168"/>
      <c r="E68" s="168">
        <f>COUNTIF(E15:E65,"&gt;3,95")</f>
        <v>0</v>
      </c>
      <c r="F68" s="168"/>
      <c r="G68" s="168">
        <f>COUNTIF(L15:L65,"&gt;3,95")</f>
        <v>0</v>
      </c>
      <c r="H68" s="168"/>
      <c r="I68" s="168"/>
      <c r="J68" s="168"/>
      <c r="K68" s="168"/>
      <c r="L68" s="168"/>
      <c r="M68" s="168"/>
      <c r="N68" s="168">
        <f>COUNTIF(N15:N65,"&gt;3,95")</f>
        <v>0</v>
      </c>
      <c r="O68" s="168"/>
      <c r="P68" s="168">
        <f>COUNTIF(P15:P65,"&gt;3,95")</f>
        <v>0</v>
      </c>
      <c r="Q68" s="168"/>
      <c r="R68" s="83">
        <f>COUNTIF(R15:R65,"&gt;3,95")</f>
        <v>0</v>
      </c>
      <c r="S68" s="84"/>
      <c r="T68" s="83">
        <f>COUNTIF(T$15:T$65,"EXCELENTE")</f>
        <v>0</v>
      </c>
    </row>
    <row r="69" spans="1:20" ht="12" customHeight="1" x14ac:dyDescent="0.35">
      <c r="C69" s="169">
        <f>COUNTIFS(C15:C65,"&gt;2,95",C15:C65,"&lt;3,95")</f>
        <v>0</v>
      </c>
      <c r="D69" s="169"/>
      <c r="E69" s="169">
        <f>COUNTIFS(E15:E65,"&gt;2,95",E15:E65,"&lt;3,95")</f>
        <v>0</v>
      </c>
      <c r="F69" s="169"/>
      <c r="G69" s="169">
        <f>COUNTIFS(L15:L65,"&gt;2,95",L15:L65,"&lt;3,95")</f>
        <v>0</v>
      </c>
      <c r="H69" s="169"/>
      <c r="I69" s="169"/>
      <c r="J69" s="169"/>
      <c r="K69" s="169"/>
      <c r="L69" s="169"/>
      <c r="M69" s="169"/>
      <c r="N69" s="169">
        <f>COUNTIFS(N15:N65,"&gt;2,95",N15:N65,"&lt;3,95")</f>
        <v>0</v>
      </c>
      <c r="O69" s="169"/>
      <c r="P69" s="169">
        <f>COUNTIFS(P15:P65,"&gt;2,95",P15:P65,"&lt;3,95")</f>
        <v>0</v>
      </c>
      <c r="Q69" s="169"/>
      <c r="R69" s="85">
        <f>COUNTIFS(R15:R65,"&gt;2,95",R15:R65,"&lt;3,95")</f>
        <v>0</v>
      </c>
      <c r="S69" s="84"/>
      <c r="T69" s="85">
        <f>COUNTIF(T$15:T$65,"BUENO")</f>
        <v>0</v>
      </c>
    </row>
    <row r="70" spans="1:20" ht="12" customHeight="1" x14ac:dyDescent="0.35">
      <c r="C70" s="170">
        <f>COUNTIFS(C15:C65,"&gt;1,95",C15:C65,"&lt;2,95")</f>
        <v>0</v>
      </c>
      <c r="D70" s="170"/>
      <c r="E70" s="170">
        <f>COUNTIFS(E15:E65,"&gt;1,95",E15:E65,"&lt;2,95")</f>
        <v>0</v>
      </c>
      <c r="F70" s="170"/>
      <c r="G70" s="170">
        <f>COUNTIFS(L15:L65,"&gt;1,95",L15:L65,"&lt;2,95")</f>
        <v>0</v>
      </c>
      <c r="H70" s="170"/>
      <c r="I70" s="170"/>
      <c r="J70" s="170"/>
      <c r="K70" s="170"/>
      <c r="L70" s="170"/>
      <c r="M70" s="170"/>
      <c r="N70" s="170">
        <f>COUNTIFS(N15:N65,"&gt;1,95",N15:N65,"&lt;2,95")</f>
        <v>0</v>
      </c>
      <c r="O70" s="170"/>
      <c r="P70" s="170">
        <f>COUNTIFS(P15:P65,"&gt;1,95",P15:P65,"&lt;2,95")</f>
        <v>0</v>
      </c>
      <c r="Q70" s="170"/>
      <c r="R70" s="86">
        <f>COUNTIFS(R15:R65,"&gt;1,95",R15:R65,"&lt;2,95")</f>
        <v>0</v>
      </c>
      <c r="S70" s="84"/>
      <c r="T70" s="86">
        <f>COUNTIF(T$15:T$65,"DEFICIENTE")</f>
        <v>0</v>
      </c>
    </row>
    <row r="71" spans="1:20" ht="12" customHeight="1" x14ac:dyDescent="0.35">
      <c r="C71" s="171">
        <f>COUNTIFS(C15:C65,"&gt;=0",C15:C65,"&lt;1,95")</f>
        <v>0</v>
      </c>
      <c r="D71" s="171"/>
      <c r="E71" s="171">
        <f>COUNTIFS(E15:E65,"&gt;=0",E15:E65,"&lt;1,95")</f>
        <v>0</v>
      </c>
      <c r="F71" s="171"/>
      <c r="G71" s="171">
        <f>COUNTIFS(L15:L65,"&gt;=0",L15:L65,"&lt;1,95")</f>
        <v>51</v>
      </c>
      <c r="H71" s="171"/>
      <c r="I71" s="171"/>
      <c r="J71" s="171"/>
      <c r="K71" s="171"/>
      <c r="L71" s="171"/>
      <c r="M71" s="171"/>
      <c r="N71" s="171">
        <f>COUNTIFS(N15:N65,"&gt;=0",N15:N65,"&lt;1,95")</f>
        <v>0</v>
      </c>
      <c r="O71" s="171"/>
      <c r="P71" s="171">
        <f>COUNTIFS(P15:P65,"&gt;=0",P15:P65,"&lt;1,95")</f>
        <v>0</v>
      </c>
      <c r="Q71" s="171"/>
      <c r="R71" s="87">
        <f>COUNTIFS(R15:R65,"&gt;=0",R15:R65,"&lt;1,95")</f>
        <v>51</v>
      </c>
      <c r="S71" s="84"/>
      <c r="T71" s="87">
        <f>COUNTIF(T$15:T$65,"INSUFICIENTE")</f>
        <v>51</v>
      </c>
    </row>
    <row r="72" spans="1:20" ht="11.5" customHeight="1" x14ac:dyDescent="0.35"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</row>
    <row r="73" spans="1:20" ht="12" customHeight="1" x14ac:dyDescent="0.35">
      <c r="B73" s="22" t="s">
        <v>42</v>
      </c>
      <c r="C73" s="167">
        <f>C68/COUNTA($A$15:$A$66)</f>
        <v>0</v>
      </c>
      <c r="D73" s="167"/>
      <c r="E73" s="167">
        <f>E68/COUNTA($A$15:$A$66)</f>
        <v>0</v>
      </c>
      <c r="F73" s="167"/>
      <c r="G73" s="167">
        <f>G68/COUNTA($A$15:$A$66)</f>
        <v>0</v>
      </c>
      <c r="H73" s="167"/>
      <c r="I73" s="167"/>
      <c r="J73" s="167"/>
      <c r="K73" s="167"/>
      <c r="L73" s="167"/>
      <c r="M73" s="167"/>
      <c r="N73" s="167">
        <f>N68/COUNTA($A$15:$A$66)</f>
        <v>0</v>
      </c>
      <c r="O73" s="167"/>
      <c r="P73" s="167">
        <f>P68/COUNTA($A$15:$A$66)</f>
        <v>0</v>
      </c>
      <c r="Q73" s="167"/>
      <c r="R73" s="89">
        <f>R68/COUNTA($A$15:$A$66)</f>
        <v>0</v>
      </c>
      <c r="S73" s="88"/>
      <c r="T73" s="89">
        <f>T68/COUNTA($A$15:$A$66)</f>
        <v>0</v>
      </c>
    </row>
    <row r="74" spans="1:20" ht="12" customHeight="1" x14ac:dyDescent="0.35">
      <c r="B74" s="22" t="s">
        <v>42</v>
      </c>
      <c r="C74" s="167">
        <f>C69/COUNTA($A$15:$A$66)</f>
        <v>0</v>
      </c>
      <c r="D74" s="167"/>
      <c r="E74" s="167">
        <f>E69/COUNTA($A$15:$A$66)</f>
        <v>0</v>
      </c>
      <c r="F74" s="167"/>
      <c r="G74" s="167">
        <f>G69/COUNTA($A$15:$A$66)</f>
        <v>0</v>
      </c>
      <c r="H74" s="167"/>
      <c r="I74" s="167"/>
      <c r="J74" s="167"/>
      <c r="K74" s="167"/>
      <c r="L74" s="167"/>
      <c r="M74" s="167"/>
      <c r="N74" s="167">
        <f>N69/COUNTA($A$15:$A$66)</f>
        <v>0</v>
      </c>
      <c r="O74" s="167"/>
      <c r="P74" s="167">
        <f>P69/COUNTA($A$15:$A$66)</f>
        <v>0</v>
      </c>
      <c r="Q74" s="167"/>
      <c r="R74" s="89">
        <f>R69/COUNTA($A$15:$A$66)</f>
        <v>0</v>
      </c>
      <c r="S74" s="88"/>
      <c r="T74" s="89">
        <f>T69/COUNTA($A$15:$A$66)</f>
        <v>0</v>
      </c>
    </row>
    <row r="75" spans="1:20" ht="12" customHeight="1" x14ac:dyDescent="0.35">
      <c r="B75" s="22" t="s">
        <v>42</v>
      </c>
      <c r="C75" s="167">
        <f>C70/COUNTA($A$15:$A$66)</f>
        <v>0</v>
      </c>
      <c r="D75" s="167"/>
      <c r="E75" s="167">
        <f>E70/COUNTA($A$15:$A$66)</f>
        <v>0</v>
      </c>
      <c r="F75" s="167"/>
      <c r="G75" s="167">
        <f>G70/COUNTA($A$15:$A$66)</f>
        <v>0</v>
      </c>
      <c r="H75" s="167"/>
      <c r="I75" s="167"/>
      <c r="J75" s="167"/>
      <c r="K75" s="167"/>
      <c r="L75" s="167"/>
      <c r="M75" s="167"/>
      <c r="N75" s="167">
        <f>N70/COUNTA($A$15:$A$66)</f>
        <v>0</v>
      </c>
      <c r="O75" s="167"/>
      <c r="P75" s="167">
        <f>P70/COUNTA($A$15:$A$66)</f>
        <v>0</v>
      </c>
      <c r="Q75" s="167"/>
      <c r="R75" s="89">
        <f>R70/COUNTA($A$15:$A$66)</f>
        <v>0</v>
      </c>
      <c r="S75" s="88"/>
      <c r="T75" s="89">
        <f>T70/COUNTA($A$15:$A$66)</f>
        <v>0</v>
      </c>
    </row>
    <row r="76" spans="1:20" ht="12" customHeight="1" x14ac:dyDescent="0.35">
      <c r="B76" s="22" t="s">
        <v>42</v>
      </c>
      <c r="C76" s="167">
        <f>C71/COUNTA($A$15:$A$66)</f>
        <v>0</v>
      </c>
      <c r="D76" s="167"/>
      <c r="E76" s="167">
        <f>E71/COUNTA($A$15:$A$66)</f>
        <v>0</v>
      </c>
      <c r="F76" s="167"/>
      <c r="G76" s="167">
        <f>G71/COUNTA($A$15:$A$66)</f>
        <v>1</v>
      </c>
      <c r="H76" s="167"/>
      <c r="I76" s="167"/>
      <c r="J76" s="167"/>
      <c r="K76" s="167"/>
      <c r="L76" s="167"/>
      <c r="M76" s="167"/>
      <c r="N76" s="167">
        <f>N71/COUNTA($A$15:$A$66)</f>
        <v>0</v>
      </c>
      <c r="O76" s="167"/>
      <c r="P76" s="167">
        <f>P71/COUNTA($A$15:$A$66)</f>
        <v>0</v>
      </c>
      <c r="Q76" s="167"/>
      <c r="R76" s="89">
        <f>R71/COUNTA($A$15:$A$66)</f>
        <v>1</v>
      </c>
      <c r="S76" s="88"/>
      <c r="T76" s="89">
        <f>T71/COUNTA($A$15:$A$66)</f>
        <v>1</v>
      </c>
    </row>
    <row r="77" spans="1:20" x14ac:dyDescent="0.35">
      <c r="C77" s="88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</row>
    <row r="78" spans="1:20" x14ac:dyDescent="0.35">
      <c r="P78" s="23"/>
    </row>
    <row r="79" spans="1:20" x14ac:dyDescent="0.35">
      <c r="P79" s="23"/>
    </row>
    <row r="80" spans="1:20" x14ac:dyDescent="0.35">
      <c r="P80" s="23"/>
    </row>
    <row r="81" spans="16:16" x14ac:dyDescent="0.35">
      <c r="P81" s="23"/>
    </row>
    <row r="83" spans="16:16" x14ac:dyDescent="0.35">
      <c r="P83" s="23"/>
    </row>
    <row r="84" spans="16:16" x14ac:dyDescent="0.35">
      <c r="P84" s="23"/>
    </row>
    <row r="85" spans="16:16" x14ac:dyDescent="0.35">
      <c r="P85" s="23"/>
    </row>
    <row r="86" spans="16:16" x14ac:dyDescent="0.35">
      <c r="P86" s="23"/>
    </row>
    <row r="88" spans="16:16" x14ac:dyDescent="0.35">
      <c r="P88" s="23"/>
    </row>
    <row r="89" spans="16:16" x14ac:dyDescent="0.35">
      <c r="P89" s="23"/>
    </row>
    <row r="90" spans="16:16" x14ac:dyDescent="0.35">
      <c r="P90" s="23"/>
    </row>
    <row r="91" spans="16:16" x14ac:dyDescent="0.35">
      <c r="P91" s="23"/>
    </row>
    <row r="93" spans="16:16" x14ac:dyDescent="0.35">
      <c r="P93" s="23"/>
    </row>
    <row r="94" spans="16:16" x14ac:dyDescent="0.35">
      <c r="P94" s="23"/>
    </row>
    <row r="95" spans="16:16" x14ac:dyDescent="0.35">
      <c r="P95" s="23"/>
    </row>
    <row r="96" spans="16:16" x14ac:dyDescent="0.35">
      <c r="P96" s="23"/>
    </row>
  </sheetData>
  <sheetProtection sheet="1" objects="1" scenarios="1"/>
  <mergeCells count="80">
    <mergeCell ref="P9:Q9"/>
    <mergeCell ref="C4:D4"/>
    <mergeCell ref="N4:O4"/>
    <mergeCell ref="C5:D5"/>
    <mergeCell ref="N5:O5"/>
    <mergeCell ref="C6:D6"/>
    <mergeCell ref="N6:O6"/>
    <mergeCell ref="A1:B3"/>
    <mergeCell ref="C1:P3"/>
    <mergeCell ref="C13:D14"/>
    <mergeCell ref="E13:F14"/>
    <mergeCell ref="G13:M13"/>
    <mergeCell ref="N13:O14"/>
    <mergeCell ref="P13:Q14"/>
    <mergeCell ref="Q1:T1"/>
    <mergeCell ref="Q2:T2"/>
    <mergeCell ref="Q3:T3"/>
    <mergeCell ref="C11:D11"/>
    <mergeCell ref="E11:F11"/>
    <mergeCell ref="G11:M11"/>
    <mergeCell ref="N11:O11"/>
    <mergeCell ref="P11:Q11"/>
    <mergeCell ref="R11:R14"/>
    <mergeCell ref="N10:O10"/>
    <mergeCell ref="P10:Q10"/>
    <mergeCell ref="A13:A14"/>
    <mergeCell ref="C69:D69"/>
    <mergeCell ref="E69:F69"/>
    <mergeCell ref="B13:B14"/>
    <mergeCell ref="G69:M69"/>
    <mergeCell ref="N69:O69"/>
    <mergeCell ref="P69:Q69"/>
    <mergeCell ref="C68:D68"/>
    <mergeCell ref="E68:F68"/>
    <mergeCell ref="N12:O12"/>
    <mergeCell ref="P12:Q12"/>
    <mergeCell ref="G68:M68"/>
    <mergeCell ref="N68:O68"/>
    <mergeCell ref="P68:Q68"/>
    <mergeCell ref="C9:D9"/>
    <mergeCell ref="E9:F9"/>
    <mergeCell ref="G8:L8"/>
    <mergeCell ref="G9:M9"/>
    <mergeCell ref="N9:O9"/>
    <mergeCell ref="C10:D10"/>
    <mergeCell ref="E10:F10"/>
    <mergeCell ref="G10:M10"/>
    <mergeCell ref="C70:D70"/>
    <mergeCell ref="E70:F70"/>
    <mergeCell ref="G70:M70"/>
    <mergeCell ref="C12:D12"/>
    <mergeCell ref="E12:F12"/>
    <mergeCell ref="G12:M12"/>
    <mergeCell ref="N70:O70"/>
    <mergeCell ref="P70:Q70"/>
    <mergeCell ref="C71:D71"/>
    <mergeCell ref="E71:F71"/>
    <mergeCell ref="G71:M71"/>
    <mergeCell ref="N71:O71"/>
    <mergeCell ref="P71:Q71"/>
    <mergeCell ref="C73:D73"/>
    <mergeCell ref="E73:F73"/>
    <mergeCell ref="G73:M73"/>
    <mergeCell ref="N73:O73"/>
    <mergeCell ref="P73:Q73"/>
    <mergeCell ref="C74:D74"/>
    <mergeCell ref="E74:F74"/>
    <mergeCell ref="G74:M74"/>
    <mergeCell ref="N74:O74"/>
    <mergeCell ref="P74:Q74"/>
    <mergeCell ref="C75:D75"/>
    <mergeCell ref="E75:F75"/>
    <mergeCell ref="G75:M75"/>
    <mergeCell ref="N75:O75"/>
    <mergeCell ref="P75:Q75"/>
    <mergeCell ref="C76:D76"/>
    <mergeCell ref="E76:F76"/>
    <mergeCell ref="G76:M76"/>
    <mergeCell ref="N76:O76"/>
    <mergeCell ref="P76:Q76"/>
  </mergeCells>
  <conditionalFormatting sqref="R8">
    <cfRule type="cellIs" dxfId="143" priority="19" operator="greaterThan">
      <formula>1</formula>
    </cfRule>
    <cfRule type="cellIs" dxfId="142" priority="20" operator="equal">
      <formula>1</formula>
    </cfRule>
    <cfRule type="cellIs" dxfId="141" priority="21" operator="greaterThan">
      <formula>101</formula>
    </cfRule>
    <cfRule type="cellIs" dxfId="140" priority="22" operator="equal">
      <formula>100</formula>
    </cfRule>
    <cfRule type="cellIs" dxfId="139" priority="23" operator="lessThan">
      <formula>1</formula>
    </cfRule>
  </conditionalFormatting>
  <conditionalFormatting sqref="R68 C68 E68 N68 G68">
    <cfRule type="expression" dxfId="138" priority="18">
      <formula>#REF!=EXCELENTE</formula>
    </cfRule>
  </conditionalFormatting>
  <conditionalFormatting sqref="T68:T71">
    <cfRule type="expression" dxfId="137" priority="17">
      <formula>#REF!=EXCELENTE</formula>
    </cfRule>
  </conditionalFormatting>
  <conditionalFormatting sqref="P68">
    <cfRule type="expression" dxfId="136" priority="16">
      <formula>#REF!=EXCELENTE</formula>
    </cfRule>
  </conditionalFormatting>
  <conditionalFormatting sqref="R15:R65">
    <cfRule type="cellIs" dxfId="135" priority="8" stopIfTrue="1" operator="between">
      <formula>0</formula>
      <formula>1.94</formula>
    </cfRule>
    <cfRule type="cellIs" dxfId="134" priority="9" operator="between">
      <formula>1.95</formula>
      <formula>2.94</formula>
    </cfRule>
    <cfRule type="cellIs" dxfId="133" priority="10" operator="between">
      <formula>2.95</formula>
      <formula>3.94</formula>
    </cfRule>
    <cfRule type="cellIs" dxfId="132" priority="11" operator="between">
      <formula>3.95</formula>
      <formula>5</formula>
    </cfRule>
  </conditionalFormatting>
  <conditionalFormatting sqref="T15:T65">
    <cfRule type="containsText" dxfId="131" priority="12" operator="containsText" text="INSUFICIENTE">
      <formula>NOT(ISERROR(SEARCH("INSUFICIENTE",T15)))</formula>
    </cfRule>
    <cfRule type="containsText" dxfId="130" priority="13" operator="containsText" text="DEFICIENTE">
      <formula>NOT(ISERROR(SEARCH("DEFICIENTE",T15)))</formula>
    </cfRule>
    <cfRule type="containsText" dxfId="129" priority="14" operator="containsText" text="BUENO">
      <formula>NOT(ISERROR(SEARCH("BUENO",T15)))</formula>
    </cfRule>
    <cfRule type="containsText" dxfId="128" priority="15" operator="containsText" text="EXCELENTE">
      <formula>NOT(ISERROR(SEARCH("EXCELENTE",T15)))</formula>
    </cfRule>
  </conditionalFormatting>
  <conditionalFormatting sqref="L14">
    <cfRule type="cellIs" dxfId="127" priority="1" operator="equal">
      <formula>1</formula>
    </cfRule>
    <cfRule type="cellIs" dxfId="126" priority="2" operator="lessThan">
      <formula>100</formula>
    </cfRule>
    <cfRule type="cellIs" dxfId="125" priority="3" operator="lessThan">
      <formula>1</formula>
    </cfRule>
    <cfRule type="cellIs" dxfId="124" priority="4" operator="equal">
      <formula>1</formula>
    </cfRule>
    <cfRule type="cellIs" dxfId="123" priority="5" operator="greaterThan">
      <formula>1</formula>
    </cfRule>
    <cfRule type="cellIs" dxfId="122" priority="6" operator="lessThan">
      <formula>1</formula>
    </cfRule>
    <cfRule type="cellIs" dxfId="121" priority="7" operator="equal">
      <formula>1</formula>
    </cfRule>
  </conditionalFormatting>
  <dataValidations count="1">
    <dataValidation type="custom" allowBlank="1" showInputMessage="1" showErrorMessage="1" errorTitle="Nota no permitida" error="Nota por fuera de rango" sqref="C15:Q65">
      <formula1>C15&lt;=5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showGridLines="0" zoomScale="60" zoomScaleNormal="60" zoomScaleSheetLayoutView="70" workbookViewId="0">
      <selection activeCell="L6" sqref="L6"/>
    </sheetView>
  </sheetViews>
  <sheetFormatPr baseColWidth="10" defaultRowHeight="14.5" x14ac:dyDescent="0.35"/>
  <cols>
    <col min="1" max="1" width="29.54296875" customWidth="1"/>
    <col min="2" max="2" width="5.81640625" customWidth="1"/>
    <col min="3" max="3" width="7" bestFit="1" customWidth="1"/>
    <col min="4" max="4" width="23.54296875" customWidth="1"/>
    <col min="5" max="5" width="9.26953125" customWidth="1"/>
    <col min="6" max="6" width="21.453125" customWidth="1"/>
    <col min="7" max="7" width="7.81640625" customWidth="1"/>
    <col min="8" max="8" width="25" customWidth="1"/>
    <col min="9" max="9" width="7.1796875" customWidth="1"/>
    <col min="10" max="10" width="28.1796875" customWidth="1"/>
    <col min="11" max="11" width="8.81640625" customWidth="1"/>
    <col min="12" max="12" width="28.54296875" customWidth="1"/>
    <col min="13" max="13" width="2.81640625" customWidth="1"/>
    <col min="14" max="14" width="12.90625" customWidth="1"/>
    <col min="15" max="15" width="4.26953125" customWidth="1"/>
  </cols>
  <sheetData>
    <row r="1" spans="1:15" s="54" customFormat="1" ht="21.65" customHeight="1" x14ac:dyDescent="0.35">
      <c r="A1" s="271"/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2"/>
      <c r="M1" s="272"/>
      <c r="N1" s="272"/>
      <c r="O1" s="126"/>
    </row>
    <row r="2" spans="1:15" ht="34" customHeight="1" x14ac:dyDescent="0.35">
      <c r="A2" s="271"/>
      <c r="B2" s="271"/>
      <c r="C2" s="271"/>
      <c r="D2" s="271"/>
      <c r="E2" s="271"/>
      <c r="F2" s="271"/>
      <c r="G2" s="271"/>
      <c r="H2" s="271"/>
      <c r="I2" s="271"/>
      <c r="J2" s="271"/>
      <c r="K2" s="271"/>
      <c r="L2" s="273"/>
      <c r="M2" s="273"/>
      <c r="N2" s="273"/>
      <c r="O2" s="88"/>
    </row>
    <row r="3" spans="1:15" ht="73.5" customHeight="1" x14ac:dyDescent="0.35">
      <c r="A3" s="271"/>
      <c r="B3" s="271"/>
      <c r="C3" s="271"/>
      <c r="D3" s="271"/>
      <c r="E3" s="271"/>
      <c r="F3" s="271"/>
      <c r="G3" s="271"/>
      <c r="H3" s="271"/>
      <c r="I3" s="271"/>
      <c r="J3" s="271"/>
      <c r="K3" s="271"/>
      <c r="L3" s="272"/>
      <c r="M3" s="272"/>
      <c r="N3" s="272"/>
      <c r="O3" s="88"/>
    </row>
    <row r="4" spans="1:15" ht="29" customHeight="1" x14ac:dyDescent="0.45">
      <c r="A4" s="166" t="s">
        <v>43</v>
      </c>
      <c r="C4" s="128"/>
      <c r="D4" s="128"/>
      <c r="E4" s="128"/>
      <c r="F4" s="128"/>
      <c r="G4" s="128"/>
      <c r="H4" s="128"/>
      <c r="I4" s="128"/>
      <c r="J4" s="128"/>
      <c r="K4" s="88"/>
      <c r="L4" s="88"/>
      <c r="M4" s="88"/>
      <c r="N4" s="88"/>
      <c r="O4" s="88"/>
    </row>
    <row r="5" spans="1:15" ht="21.5" customHeight="1" x14ac:dyDescent="0.35">
      <c r="A5" s="270">
        <v>1</v>
      </c>
      <c r="C5" s="88"/>
      <c r="D5" s="156" t="s">
        <v>65</v>
      </c>
      <c r="E5" s="269">
        <f>+'CORTE 1 G1'!E4</f>
        <v>0</v>
      </c>
      <c r="F5" s="269"/>
      <c r="G5" s="269"/>
      <c r="H5" s="88"/>
      <c r="I5" s="88"/>
      <c r="J5" s="156" t="s">
        <v>30</v>
      </c>
      <c r="K5" s="269">
        <f>+'CORTE 1 G1'!P4</f>
        <v>0</v>
      </c>
      <c r="L5" s="269"/>
      <c r="M5" s="88"/>
      <c r="N5" s="88"/>
      <c r="O5" s="88"/>
    </row>
    <row r="6" spans="1:15" ht="35.5" customHeight="1" x14ac:dyDescent="0.35">
      <c r="A6" s="270"/>
      <c r="C6" s="88"/>
      <c r="D6" s="156" t="s">
        <v>26</v>
      </c>
      <c r="E6" s="268">
        <f>+'CORTE 1 G1'!E5</f>
        <v>0</v>
      </c>
      <c r="F6" s="268"/>
      <c r="G6" s="268"/>
      <c r="H6" s="88"/>
      <c r="I6" s="88"/>
      <c r="J6" s="88"/>
      <c r="K6" s="88"/>
      <c r="L6" s="88"/>
      <c r="M6" s="88"/>
      <c r="N6" s="88"/>
      <c r="O6" s="88"/>
    </row>
    <row r="7" spans="1:15" ht="25" customHeight="1" x14ac:dyDescent="0.35">
      <c r="A7" s="76" t="s">
        <v>44</v>
      </c>
      <c r="C7" s="88"/>
      <c r="D7" s="156" t="s">
        <v>28</v>
      </c>
      <c r="E7" s="269">
        <f>+'CORTE 1 G1'!E6</f>
        <v>0</v>
      </c>
      <c r="F7" s="269"/>
      <c r="G7" s="269"/>
      <c r="H7" s="88"/>
      <c r="I7" s="88"/>
      <c r="J7" s="88"/>
      <c r="K7" s="88"/>
      <c r="L7" s="88"/>
      <c r="M7" s="88"/>
      <c r="N7" s="88"/>
      <c r="O7" s="88"/>
    </row>
    <row r="8" spans="1:15" ht="38.15" customHeight="1" x14ac:dyDescent="0.35">
      <c r="A8" s="127" t="str">
        <f>IFERROR(PROPER(VLOOKUP(A5,'CORTE 1 G1'!A15:T63,2,)),"No Existe")</f>
        <v>No Existe</v>
      </c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</row>
    <row r="9" spans="1:15" ht="15" thickBot="1" x14ac:dyDescent="0.4"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</row>
    <row r="10" spans="1:15" ht="16" thickBot="1" x14ac:dyDescent="0.4">
      <c r="B10" s="3" t="s">
        <v>31</v>
      </c>
      <c r="C10" s="259" t="str">
        <f>'CORTE 1 G1'!C8</f>
        <v>Recursos Utilizados</v>
      </c>
      <c r="D10" s="251"/>
      <c r="E10" s="251" t="str">
        <f>'CORTE 1 G1'!E8</f>
        <v>Desarrollo</v>
      </c>
      <c r="F10" s="251"/>
      <c r="G10" s="251" t="str">
        <f>'CORTE 1 G1'!G8</f>
        <v>Dominio</v>
      </c>
      <c r="H10" s="251"/>
      <c r="I10" s="251" t="str">
        <f>'CORTE 1 G1'!N8</f>
        <v>Comunicación</v>
      </c>
      <c r="J10" s="251"/>
      <c r="K10" s="251" t="str">
        <f>'CORTE 1 G1'!P8</f>
        <v>Respeto</v>
      </c>
      <c r="L10" s="252"/>
      <c r="M10" s="88"/>
      <c r="N10" s="129" t="s">
        <v>45</v>
      </c>
      <c r="O10" s="88"/>
    </row>
    <row r="11" spans="1:15" s="77" customFormat="1" x14ac:dyDescent="0.35">
      <c r="B11" s="78"/>
      <c r="C11" s="242">
        <f>+'CORTE 1 G1'!D8</f>
        <v>0.01</v>
      </c>
      <c r="D11" s="243"/>
      <c r="E11" s="244">
        <f>+'CORTE 1 G1'!F8</f>
        <v>0.02</v>
      </c>
      <c r="F11" s="245"/>
      <c r="G11" s="246">
        <f>+'CORTE 1 G1'!M8</f>
        <v>0.95</v>
      </c>
      <c r="H11" s="243"/>
      <c r="I11" s="244">
        <f>+'CORTE 1 G1'!O8</f>
        <v>0.01</v>
      </c>
      <c r="J11" s="245"/>
      <c r="K11" s="246">
        <f>+'CORTE 1 G1'!Q8</f>
        <v>0.01</v>
      </c>
      <c r="L11" s="247"/>
      <c r="M11" s="130"/>
      <c r="N11" s="131">
        <f>+'CORTE 1 G1'!R8</f>
        <v>1</v>
      </c>
      <c r="O11" s="132"/>
    </row>
    <row r="12" spans="1:15" ht="60.5" customHeight="1" thickBot="1" x14ac:dyDescent="0.4">
      <c r="B12" s="37">
        <v>1</v>
      </c>
      <c r="C12" s="80" t="str">
        <f>IFERROR(VLOOKUP($A$5,'CORTE 1 G1'!$A$15:$T$63,3,FALSE)," ")</f>
        <v xml:space="preserve"> </v>
      </c>
      <c r="D12" s="133" t="str">
        <f>IF(C12=" "," ",IF(C12&lt;2,'CORTE 1 G1'!$E$12,IF(C12&lt;3,'CORTE 1 G1'!$E$11,IF(C12&lt;4,'CORTE 1 G1'!$E$10,'CORTE 1 G1'!$E$9:$E$9))))</f>
        <v xml:space="preserve"> </v>
      </c>
      <c r="E12" s="79" t="str">
        <f>IFERROR(VLOOKUP($A$5,'CORTE 1 G1'!$A$15:$T$63,5,FALSE)," ")</f>
        <v xml:space="preserve"> </v>
      </c>
      <c r="F12" s="133" t="str">
        <f>IF(E12=" "," ",IF(E12&lt;2,'CORTE 1 G1'!$E$12,IF(E12&lt;3,'CORTE 1 G1'!$E$11,IF(E12&lt;4,'CORTE 1 G1'!$E$10,'CORTE 1 G1'!$E$9:$E$9))))</f>
        <v xml:space="preserve"> </v>
      </c>
      <c r="G12" s="79" t="str">
        <f>IFERROR(VLOOKUP($A$5,'CORTE 1 G1'!$A$15:$T$63,12,FALSE)," ")</f>
        <v xml:space="preserve"> </v>
      </c>
      <c r="H12" s="133" t="str">
        <f>IF(G12=" "," ",IF(G12&lt;2,'CORTE 1 G1'!$G$12,IF(G12&lt;3,'CORTE 1 G1'!$G$11,IF(G12&lt;4,'CORTE 1 G1'!$G$10,'CORTE 1 G1'!$G$9:$G$9))))</f>
        <v xml:space="preserve"> </v>
      </c>
      <c r="I12" s="79" t="str">
        <f>IFERROR(VLOOKUP($A$5,'CORTE 1 G1'!$A$15:$T$63,14,FALSE)," ")</f>
        <v xml:space="preserve"> </v>
      </c>
      <c r="J12" s="133" t="str">
        <f>IF(I12=" "," ",IF(I12&lt;2,'CORTE 1 G1'!$N$12,IF(I12&lt;3,'CORTE 1 G1'!$N$11,IF(I12&lt;4,'CORTE 1 G1'!$N$10,'CORTE 1 G1'!$N$9:$N$9))))</f>
        <v xml:space="preserve"> </v>
      </c>
      <c r="K12" s="125" t="str">
        <f>IFERROR(VLOOKUP($A$5,'CORTE 1 G1'!$A$15:$T$63,16,FALSE)," ")</f>
        <v xml:space="preserve"> </v>
      </c>
      <c r="L12" s="134" t="str">
        <f>IF(K12=" "," ",IF(K12&lt;2,'CORTE 1 G1'!$P$12,IF(K12&lt;3,'CORTE 1 G1'!$P$11,IF(K12&lt;4,'CORTE 1 G1'!$P$10,'CORTE 1 G1'!$P$9:$P$9))))</f>
        <v xml:space="preserve"> </v>
      </c>
      <c r="M12" s="88"/>
      <c r="N12" s="123" t="str">
        <f>IFERROR(VLOOKUP($A$5,'CORTE 1 G1'!$A$15:$T$63,18,FALSE)," ")</f>
        <v xml:space="preserve"> </v>
      </c>
      <c r="O12" s="88"/>
    </row>
    <row r="13" spans="1:15" ht="20" thickBot="1" x14ac:dyDescent="0.4">
      <c r="A13" s="36"/>
      <c r="B13" s="37"/>
      <c r="C13" s="253" t="str">
        <f>+C10</f>
        <v>Recursos Utilizados</v>
      </c>
      <c r="D13" s="254"/>
      <c r="E13" s="255" t="str">
        <f>+E10</f>
        <v>Desarrollo</v>
      </c>
      <c r="F13" s="256"/>
      <c r="G13" s="257" t="str">
        <f>+G10</f>
        <v>Dominio</v>
      </c>
      <c r="H13" s="254"/>
      <c r="I13" s="255" t="str">
        <f>+I10</f>
        <v>Comunicación</v>
      </c>
      <c r="J13" s="254"/>
      <c r="K13" s="258" t="str">
        <f>+K10</f>
        <v>Respeto</v>
      </c>
      <c r="L13" s="258"/>
      <c r="M13" s="88"/>
      <c r="N13" s="44"/>
      <c r="O13" s="88"/>
    </row>
    <row r="14" spans="1:15" ht="72" customHeight="1" thickBot="1" x14ac:dyDescent="0.4">
      <c r="B14" s="37">
        <v>2</v>
      </c>
      <c r="C14" s="148" t="str">
        <f>IFERROR(VLOOKUP($A$5,'CORTE 2 REAL'!$A$15:$T$63,3,FALSE)," ")</f>
        <v xml:space="preserve"> </v>
      </c>
      <c r="D14" s="149" t="str">
        <f>IF(C14=" "," ",IF(C14&lt;2,'CORTE 1 G1'!$E$12,IF(C14&lt;3,'CORTE 1 G1'!$E$11,IF(C14&lt;4,'CORTE 1 G1'!$E$10,'CORTE 1 G1'!$E$9:$E$9))))</f>
        <v xml:space="preserve"> </v>
      </c>
      <c r="E14" s="150" t="str">
        <f>IFERROR(VLOOKUP($A$5,'CORTE 2 REAL'!$A$15:$T$63,5,FALSE)," ")</f>
        <v xml:space="preserve"> </v>
      </c>
      <c r="F14" s="149" t="str">
        <f>IF(E14=" "," ",IF(E14&lt;2,'CORTE 1 G1'!$E$12,IF(E14&lt;3,'CORTE 1 G1'!$E$11,IF(E14&lt;4,'CORTE 1 G1'!$E$10,'CORTE 1 G1'!$E$9:$E$9))))</f>
        <v xml:space="preserve"> </v>
      </c>
      <c r="G14" s="151" t="str">
        <f>IFERROR(VLOOKUP($A$5,'CORTE 2 REAL'!$A$15:$T$65,12,FALSE)," ")</f>
        <v xml:space="preserve"> </v>
      </c>
      <c r="H14" s="149" t="str">
        <f>IF(G14=" "," ",IF(G14&lt;2,'CORTE 1 G1'!$G$12,IF(G14&lt;3,'CORTE 1 G1'!$G$11,IF(G14&lt;4,'CORTE 1 G1'!$G$10,'CORTE 1 G1'!$G$9:$G$9))))</f>
        <v xml:space="preserve"> </v>
      </c>
      <c r="I14" s="150" t="str">
        <f>IFERROR(VLOOKUP($A$5,'CORTE 2 REAL'!$A$15:$T$65,14,FALSE)," ")</f>
        <v xml:space="preserve"> </v>
      </c>
      <c r="J14" s="149" t="str">
        <f>IF(I14=" "," ",IF(I14&lt;2,'CORTE 1 G1'!$N$12,IF(I14&lt;3,'CORTE 1 G1'!$N$11,IF(I14&lt;4,'CORTE 1 G1'!$N$10,'CORTE 1 G1'!$N$9:$N$9))))</f>
        <v xml:space="preserve"> </v>
      </c>
      <c r="K14" s="152" t="str">
        <f>IFERROR(VLOOKUP($A$5,'CORTE 2 REAL'!$A$15:$T$65,16,FALSE)," ")</f>
        <v xml:space="preserve"> </v>
      </c>
      <c r="L14" s="153" t="str">
        <f>IF(K14=" "," ",IF(K14&lt;2,'CORTE 1 G1'!$P$12,IF(K14&lt;3,'CORTE 1 G1'!$P$11,IF(K14&lt;4,'CORTE 1 G1'!$P$10,'CORTE 1 G1'!$P$9:$P$9))))</f>
        <v xml:space="preserve"> </v>
      </c>
      <c r="M14" s="88"/>
      <c r="N14" s="81" t="str">
        <f>IFERROR(VLOOKUP($A$5,'CORTE 2 REAL'!$A$15:$T$65,18,FALSE)," ")</f>
        <v xml:space="preserve"> </v>
      </c>
      <c r="O14" s="88"/>
    </row>
    <row r="15" spans="1:15" ht="16" thickBot="1" x14ac:dyDescent="0.4">
      <c r="B15" s="37"/>
      <c r="C15" s="260" t="str">
        <f>+C13</f>
        <v>Recursos Utilizados</v>
      </c>
      <c r="D15" s="261"/>
      <c r="E15" s="262" t="str">
        <f>+E13</f>
        <v>Desarrollo</v>
      </c>
      <c r="F15" s="263"/>
      <c r="G15" s="264" t="str">
        <f>+G13</f>
        <v>Dominio</v>
      </c>
      <c r="H15" s="261"/>
      <c r="I15" s="262" t="str">
        <f>+I13</f>
        <v>Comunicación</v>
      </c>
      <c r="J15" s="265"/>
      <c r="K15" s="266" t="str">
        <f>+K13</f>
        <v>Respeto</v>
      </c>
      <c r="L15" s="267"/>
      <c r="M15" s="88"/>
      <c r="N15" s="88"/>
      <c r="O15" s="88"/>
    </row>
    <row r="16" spans="1:15" ht="70" customHeight="1" thickBot="1" x14ac:dyDescent="0.4">
      <c r="B16" s="37">
        <v>3</v>
      </c>
      <c r="C16" s="148" t="str">
        <f>IFERROR(VLOOKUP($A$5,'CORTE 3 REAL'!$A$15:$T$63,3,FALSE)," ")</f>
        <v xml:space="preserve"> </v>
      </c>
      <c r="D16" s="149" t="str">
        <f>IF(C16=" "," ",IF(C16&lt;2,'CORTE 1 G1'!$E$12,IF(C16&lt;3,'CORTE 1 G1'!$E$11,IF(C16&lt;4,'CORTE 1 G1'!$E$10,'CORTE 1 G1'!$E$9:$E$9))))</f>
        <v xml:space="preserve"> </v>
      </c>
      <c r="E16" s="150" t="str">
        <f>IFERROR(VLOOKUP($A$5,'CORTE 3 REAL'!$A$15:$T$65,5,FALSE)," ")</f>
        <v xml:space="preserve"> </v>
      </c>
      <c r="F16" s="149" t="str">
        <f>IF(E16=" "," ",IF(E16&lt;2,'CORTE 1 G1'!$E$12,IF(E16&lt;3,'CORTE 1 G1'!$E$11,IF(E16&lt;4,'CORTE 1 G1'!$E$10,'CORTE 1 G1'!$E$9:$E$9))))</f>
        <v xml:space="preserve"> </v>
      </c>
      <c r="G16" s="148" t="str">
        <f>IFERROR(VLOOKUP($A$5,'CORTE 3 REAL'!$A$15:$T$65,12,FALSE)," ")</f>
        <v xml:space="preserve"> </v>
      </c>
      <c r="H16" s="154" t="str">
        <f>IF(G16=" "," ",IF(G16&lt;2,'CORTE 1 G1'!$G$12,IF(G16&lt;3,'CORTE 1 G1'!$G$11,IF(G16&lt;4,'CORTE 1 G1'!$G$10,'CORTE 1 G1'!$G$9:$G$9))))</f>
        <v xml:space="preserve"> </v>
      </c>
      <c r="I16" s="151" t="str">
        <f>IFERROR(VLOOKUP($A$5,'CORTE 3 REAL'!$A$15:$T$65,14,FALSE)," ")</f>
        <v xml:space="preserve"> </v>
      </c>
      <c r="J16" s="149" t="str">
        <f>IF(I16=" "," ",IF(I16&lt;2,'CORTE 1 G1'!$N$12,IF(I16&lt;3,'CORTE 1 G1'!$N$11,IF(I16&lt;4,'CORTE 1 G1'!$N$10,'CORTE 1 G1'!$N$9:$N$9))))</f>
        <v xml:space="preserve"> </v>
      </c>
      <c r="K16" s="152" t="str">
        <f>IFERROR(VLOOKUP($A$5,'CORTE 3 REAL'!$A$15:$T$65,16,FALSE)," ")</f>
        <v xml:space="preserve"> </v>
      </c>
      <c r="L16" s="153" t="str">
        <f>IF(K16=" "," ",IF(K16&lt;2,'CORTE 1 G1'!$P$12,IF(K16&lt;3,'CORTE 1 G1'!$P$11,IF(K16&lt;4,'CORTE 1 G1'!$P$10,'CORTE 1 G1'!$P$9:$P$9))))</f>
        <v xml:space="preserve"> </v>
      </c>
      <c r="M16" s="135"/>
      <c r="N16" s="81" t="str">
        <f>IFERROR(VLOOKUP($A$5,'CORTE 3 REAL'!$A$15:$T$65,18,FALSE)," ")</f>
        <v xml:space="preserve"> </v>
      </c>
      <c r="O16" s="88"/>
    </row>
    <row r="17" spans="2:15" ht="20" thickBot="1" x14ac:dyDescent="0.4">
      <c r="B17" s="138"/>
      <c r="C17" s="122"/>
      <c r="D17" s="136"/>
      <c r="E17" s="122"/>
      <c r="F17" s="136"/>
      <c r="G17" s="122"/>
      <c r="H17" s="136"/>
      <c r="I17" s="122"/>
      <c r="J17" s="136"/>
      <c r="K17" s="136"/>
      <c r="L17" s="136"/>
      <c r="M17" s="135"/>
      <c r="N17" s="137"/>
      <c r="O17" s="88"/>
    </row>
    <row r="18" spans="2:15" ht="15.5" x14ac:dyDescent="0.35">
      <c r="B18" s="88"/>
      <c r="C18" s="139"/>
      <c r="D18" s="136"/>
      <c r="E18" s="136"/>
      <c r="F18" s="136"/>
      <c r="G18" s="136"/>
      <c r="H18" s="136"/>
      <c r="I18" s="136"/>
      <c r="J18" s="136"/>
      <c r="K18" s="136"/>
      <c r="L18" s="140"/>
      <c r="M18" s="135"/>
      <c r="N18" s="248" t="str">
        <f>IFERROR((N12*30%)+(N14*30%)+(N16*40%)," ")</f>
        <v xml:space="preserve"> </v>
      </c>
      <c r="O18" s="88"/>
    </row>
    <row r="19" spans="2:15" x14ac:dyDescent="0.35">
      <c r="B19" s="88"/>
      <c r="C19" s="88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249"/>
      <c r="O19" s="88"/>
    </row>
    <row r="20" spans="2:15" ht="15" thickBot="1" x14ac:dyDescent="0.4"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250"/>
      <c r="O20" s="88"/>
    </row>
    <row r="21" spans="2:15" x14ac:dyDescent="0.35">
      <c r="B21" s="88"/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</row>
    <row r="22" spans="2:15" x14ac:dyDescent="0.35"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</row>
    <row r="23" spans="2:15" x14ac:dyDescent="0.35">
      <c r="B23" s="88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</row>
    <row r="24" spans="2:15" x14ac:dyDescent="0.35"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</row>
    <row r="25" spans="2:15" x14ac:dyDescent="0.35"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</row>
    <row r="26" spans="2:15" x14ac:dyDescent="0.35"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</row>
  </sheetData>
  <sheetProtection algorithmName="SHA-512" hashValue="bcq2/rNlOBPB1sbooIjWjnsRvtUlWCNallmim2ieX360CTsu+9mbgg2ubkJJCkk9RrCAg3ZnICkpJyLQIBoR6w==" saltValue="PKa5Y8G5Jd1hvFsbZcdSFw==" spinCount="100000" sheet="1" objects="1" scenarios="1"/>
  <mergeCells count="31">
    <mergeCell ref="E6:G6"/>
    <mergeCell ref="E7:G7"/>
    <mergeCell ref="K5:L5"/>
    <mergeCell ref="A5:A6"/>
    <mergeCell ref="A1:C3"/>
    <mergeCell ref="L1:N1"/>
    <mergeCell ref="L2:N2"/>
    <mergeCell ref="L3:N3"/>
    <mergeCell ref="D1:K3"/>
    <mergeCell ref="E5:G5"/>
    <mergeCell ref="N18:N20"/>
    <mergeCell ref="K10:L10"/>
    <mergeCell ref="C13:D13"/>
    <mergeCell ref="E13:F13"/>
    <mergeCell ref="G13:H13"/>
    <mergeCell ref="I13:J13"/>
    <mergeCell ref="K13:L13"/>
    <mergeCell ref="C10:D10"/>
    <mergeCell ref="E10:F10"/>
    <mergeCell ref="G10:H10"/>
    <mergeCell ref="I10:J10"/>
    <mergeCell ref="C15:D15"/>
    <mergeCell ref="E15:F15"/>
    <mergeCell ref="G15:H15"/>
    <mergeCell ref="I15:J15"/>
    <mergeCell ref="K15:L15"/>
    <mergeCell ref="C11:D11"/>
    <mergeCell ref="E11:F11"/>
    <mergeCell ref="G11:H11"/>
    <mergeCell ref="I11:J11"/>
    <mergeCell ref="K11:L11"/>
  </mergeCells>
  <conditionalFormatting sqref="C12 E12 I12 K12 N12 G12">
    <cfRule type="cellIs" dxfId="120" priority="242" operator="between">
      <formula>0</formula>
      <formula>1.94</formula>
    </cfRule>
    <cfRule type="cellIs" dxfId="119" priority="243" operator="between">
      <formula>1.95</formula>
      <formula>2.94</formula>
    </cfRule>
    <cfRule type="cellIs" dxfId="118" priority="244" operator="between">
      <formula>2.95</formula>
      <formula>3.94</formula>
    </cfRule>
    <cfRule type="cellIs" dxfId="117" priority="245" operator="between">
      <formula>3.95</formula>
      <formula>5</formula>
    </cfRule>
  </conditionalFormatting>
  <conditionalFormatting sqref="N18">
    <cfRule type="cellIs" dxfId="116" priority="238" operator="between">
      <formula>0</formula>
      <formula>1.94</formula>
    </cfRule>
    <cfRule type="cellIs" dxfId="115" priority="239" operator="between">
      <formula>1.95</formula>
      <formula>2.94</formula>
    </cfRule>
    <cfRule type="cellIs" dxfId="114" priority="240" operator="between">
      <formula>2.95</formula>
      <formula>3.94</formula>
    </cfRule>
    <cfRule type="cellIs" dxfId="113" priority="241" operator="between">
      <formula>3.95</formula>
      <formula>5</formula>
    </cfRule>
  </conditionalFormatting>
  <conditionalFormatting sqref="G14">
    <cfRule type="cellIs" dxfId="112" priority="218" operator="between">
      <formula>0</formula>
      <formula>1.94</formula>
    </cfRule>
    <cfRule type="cellIs" dxfId="111" priority="219" operator="between">
      <formula>1.95</formula>
      <formula>2.94</formula>
    </cfRule>
    <cfRule type="cellIs" dxfId="110" priority="220" operator="between">
      <formula>2.95</formula>
      <formula>3.94</formula>
    </cfRule>
    <cfRule type="cellIs" dxfId="109" priority="221" operator="between">
      <formula>3.95</formula>
      <formula>5</formula>
    </cfRule>
  </conditionalFormatting>
  <conditionalFormatting sqref="I14">
    <cfRule type="cellIs" dxfId="108" priority="214" operator="between">
      <formula>0</formula>
      <formula>1.94</formula>
    </cfRule>
    <cfRule type="cellIs" dxfId="107" priority="215" operator="between">
      <formula>1.95</formula>
      <formula>2.94</formula>
    </cfRule>
    <cfRule type="cellIs" dxfId="106" priority="216" operator="between">
      <formula>2.95</formula>
      <formula>3.94</formula>
    </cfRule>
    <cfRule type="cellIs" dxfId="105" priority="217" operator="between">
      <formula>3.95</formula>
      <formula>5</formula>
    </cfRule>
  </conditionalFormatting>
  <conditionalFormatting sqref="K14">
    <cfRule type="cellIs" dxfId="104" priority="210" operator="between">
      <formula>0</formula>
      <formula>1.94</formula>
    </cfRule>
    <cfRule type="cellIs" dxfId="103" priority="211" operator="between">
      <formula>1.95</formula>
      <formula>2.94</formula>
    </cfRule>
    <cfRule type="cellIs" dxfId="102" priority="212" operator="between">
      <formula>2.95</formula>
      <formula>3.94</formula>
    </cfRule>
    <cfRule type="cellIs" dxfId="101" priority="213" operator="between">
      <formula>3.95</formula>
      <formula>5</formula>
    </cfRule>
  </conditionalFormatting>
  <conditionalFormatting sqref="N14">
    <cfRule type="cellIs" dxfId="100" priority="206" operator="between">
      <formula>0</formula>
      <formula>1.94</formula>
    </cfRule>
    <cfRule type="cellIs" dxfId="99" priority="207" operator="between">
      <formula>1.95</formula>
      <formula>2.94</formula>
    </cfRule>
    <cfRule type="cellIs" dxfId="98" priority="208" operator="between">
      <formula>2.95</formula>
      <formula>3.94</formula>
    </cfRule>
    <cfRule type="cellIs" dxfId="97" priority="209" operator="between">
      <formula>3.95</formula>
      <formula>5</formula>
    </cfRule>
  </conditionalFormatting>
  <conditionalFormatting sqref="E16">
    <cfRule type="cellIs" dxfId="96" priority="194" operator="between">
      <formula>0</formula>
      <formula>1.94</formula>
    </cfRule>
    <cfRule type="cellIs" dxfId="95" priority="195" operator="between">
      <formula>1.95</formula>
      <formula>2.94</formula>
    </cfRule>
    <cfRule type="cellIs" dxfId="94" priority="196" operator="between">
      <formula>2.95</formula>
      <formula>3.94</formula>
    </cfRule>
    <cfRule type="cellIs" dxfId="93" priority="197" operator="between">
      <formula>3.95</formula>
      <formula>5</formula>
    </cfRule>
  </conditionalFormatting>
  <conditionalFormatting sqref="G16">
    <cfRule type="cellIs" dxfId="92" priority="190" operator="between">
      <formula>0</formula>
      <formula>1.94</formula>
    </cfRule>
    <cfRule type="cellIs" dxfId="91" priority="191" operator="between">
      <formula>1.95</formula>
      <formula>2.94</formula>
    </cfRule>
    <cfRule type="cellIs" dxfId="90" priority="192" operator="between">
      <formula>2.95</formula>
      <formula>3.94</formula>
    </cfRule>
    <cfRule type="cellIs" dxfId="89" priority="193" operator="between">
      <formula>3.95</formula>
      <formula>5</formula>
    </cfRule>
  </conditionalFormatting>
  <conditionalFormatting sqref="I16">
    <cfRule type="cellIs" dxfId="88" priority="186" operator="between">
      <formula>0</formula>
      <formula>1.94</formula>
    </cfRule>
    <cfRule type="cellIs" dxfId="87" priority="187" operator="between">
      <formula>1.95</formula>
      <formula>2.94</formula>
    </cfRule>
    <cfRule type="cellIs" dxfId="86" priority="188" operator="between">
      <formula>2.95</formula>
      <formula>3.94</formula>
    </cfRule>
    <cfRule type="cellIs" dxfId="85" priority="189" operator="between">
      <formula>3.95</formula>
      <formula>5</formula>
    </cfRule>
  </conditionalFormatting>
  <conditionalFormatting sqref="K16">
    <cfRule type="cellIs" dxfId="84" priority="182" operator="between">
      <formula>0</formula>
      <formula>1.94</formula>
    </cfRule>
    <cfRule type="cellIs" dxfId="83" priority="183" operator="between">
      <formula>1.95</formula>
      <formula>2.94</formula>
    </cfRule>
    <cfRule type="cellIs" dxfId="82" priority="184" operator="between">
      <formula>2.95</formula>
      <formula>3.94</formula>
    </cfRule>
    <cfRule type="cellIs" dxfId="81" priority="185" operator="between">
      <formula>3.95</formula>
      <formula>5</formula>
    </cfRule>
  </conditionalFormatting>
  <conditionalFormatting sqref="N16">
    <cfRule type="cellIs" dxfId="80" priority="178" operator="between">
      <formula>0</formula>
      <formula>1.94</formula>
    </cfRule>
    <cfRule type="cellIs" dxfId="79" priority="179" operator="between">
      <formula>1.95</formula>
      <formula>2.94</formula>
    </cfRule>
    <cfRule type="cellIs" dxfId="78" priority="180" operator="between">
      <formula>2.95</formula>
      <formula>3.94</formula>
    </cfRule>
    <cfRule type="cellIs" dxfId="77" priority="181" operator="between">
      <formula>3.95</formula>
      <formula>5</formula>
    </cfRule>
  </conditionalFormatting>
  <conditionalFormatting sqref="N11">
    <cfRule type="cellIs" dxfId="76" priority="173" operator="greaterThan">
      <formula>1</formula>
    </cfRule>
    <cfRule type="cellIs" dxfId="75" priority="174" operator="equal">
      <formula>1</formula>
    </cfRule>
    <cfRule type="cellIs" dxfId="74" priority="175" operator="greaterThan">
      <formula>101</formula>
    </cfRule>
    <cfRule type="cellIs" dxfId="73" priority="176" operator="equal">
      <formula>100</formula>
    </cfRule>
    <cfRule type="cellIs" dxfId="72" priority="177" operator="lessThan">
      <formula>1</formula>
    </cfRule>
  </conditionalFormatting>
  <conditionalFormatting sqref="L12">
    <cfRule type="containsText" dxfId="71" priority="65" operator="containsText" text="INSUFICIENTE">
      <formula>NOT(ISERROR(SEARCH("INSUFICIENTE",L12)))</formula>
    </cfRule>
    <cfRule type="containsText" dxfId="70" priority="66" operator="containsText" text="DEFICIENTE">
      <formula>NOT(ISERROR(SEARCH("DEFICIENTE",L12)))</formula>
    </cfRule>
    <cfRule type="containsText" dxfId="69" priority="67" operator="containsText" text="BUENO">
      <formula>NOT(ISERROR(SEARCH("BUENO",L12)))</formula>
    </cfRule>
    <cfRule type="containsText" dxfId="68" priority="68" operator="containsText" text="EXCELENTE">
      <formula>NOT(ISERROR(SEARCH("EXCELENTE",L12)))</formula>
    </cfRule>
  </conditionalFormatting>
  <conditionalFormatting sqref="F12">
    <cfRule type="containsText" dxfId="67" priority="109" operator="containsText" text="INSUFICIENTE">
      <formula>NOT(ISERROR(SEARCH("INSUFICIENTE",F12)))</formula>
    </cfRule>
    <cfRule type="containsText" dxfId="66" priority="110" operator="containsText" text="DEFICIENTE">
      <formula>NOT(ISERROR(SEARCH("DEFICIENTE",F12)))</formula>
    </cfRule>
    <cfRule type="containsText" dxfId="65" priority="111" operator="containsText" text="BUENO">
      <formula>NOT(ISERROR(SEARCH("BUENO",F12)))</formula>
    </cfRule>
    <cfRule type="containsText" dxfId="64" priority="112" operator="containsText" text="EXCELENTE">
      <formula>NOT(ISERROR(SEARCH("EXCELENTE",F12)))</formula>
    </cfRule>
  </conditionalFormatting>
  <conditionalFormatting sqref="H12">
    <cfRule type="containsText" dxfId="63" priority="93" operator="containsText" text="INSUFICIENTE">
      <formula>NOT(ISERROR(SEARCH("INSUFICIENTE",H12)))</formula>
    </cfRule>
    <cfRule type="containsText" dxfId="62" priority="94" operator="containsText" text="DEFICIENTE">
      <formula>NOT(ISERROR(SEARCH("DEFICIENTE",H12)))</formula>
    </cfRule>
    <cfRule type="containsText" dxfId="61" priority="95" operator="containsText" text="BUENO">
      <formula>NOT(ISERROR(SEARCH("BUENO",H12)))</formula>
    </cfRule>
    <cfRule type="containsText" dxfId="60" priority="96" operator="containsText" text="EXCELENTE">
      <formula>NOT(ISERROR(SEARCH("EXCELENTE",H12)))</formula>
    </cfRule>
  </conditionalFormatting>
  <conditionalFormatting sqref="D14">
    <cfRule type="containsText" dxfId="59" priority="49" operator="containsText" text="INSUFICIENTE">
      <formula>NOT(ISERROR(SEARCH("INSUFICIENTE",D14)))</formula>
    </cfRule>
    <cfRule type="containsText" dxfId="58" priority="50" operator="containsText" text="DEFICIENTE">
      <formula>NOT(ISERROR(SEARCH("DEFICIENTE",D14)))</formula>
    </cfRule>
    <cfRule type="containsText" dxfId="57" priority="51" operator="containsText" text="BUENO">
      <formula>NOT(ISERROR(SEARCH("BUENO",D14)))</formula>
    </cfRule>
    <cfRule type="containsText" dxfId="56" priority="52" operator="containsText" text="EXCELENTE">
      <formula>NOT(ISERROR(SEARCH("EXCELENTE",D14)))</formula>
    </cfRule>
  </conditionalFormatting>
  <conditionalFormatting sqref="J12">
    <cfRule type="containsText" dxfId="55" priority="77" operator="containsText" text="INSUFICIENTE">
      <formula>NOT(ISERROR(SEARCH("INSUFICIENTE",J12)))</formula>
    </cfRule>
    <cfRule type="containsText" dxfId="54" priority="78" operator="containsText" text="DEFICIENTE">
      <formula>NOT(ISERROR(SEARCH("DEFICIENTE",J12)))</formula>
    </cfRule>
    <cfRule type="containsText" dxfId="53" priority="79" operator="containsText" text="BUENO">
      <formula>NOT(ISERROR(SEARCH("BUENO",J12)))</formula>
    </cfRule>
    <cfRule type="containsText" dxfId="52" priority="80" operator="containsText" text="EXCELENTE">
      <formula>NOT(ISERROR(SEARCH("EXCELENTE",J12)))</formula>
    </cfRule>
  </conditionalFormatting>
  <conditionalFormatting sqref="D16">
    <cfRule type="containsText" dxfId="51" priority="45" operator="containsText" text="INSUFICIENTE">
      <formula>NOT(ISERROR(SEARCH("INSUFICIENTE",D16)))</formula>
    </cfRule>
    <cfRule type="containsText" dxfId="50" priority="46" operator="containsText" text="DEFICIENTE">
      <formula>NOT(ISERROR(SEARCH("DEFICIENTE",D16)))</formula>
    </cfRule>
    <cfRule type="containsText" dxfId="49" priority="47" operator="containsText" text="BUENO">
      <formula>NOT(ISERROR(SEARCH("BUENO",D16)))</formula>
    </cfRule>
    <cfRule type="containsText" dxfId="48" priority="48" operator="containsText" text="EXCELENTE">
      <formula>NOT(ISERROR(SEARCH("EXCELENTE",D16)))</formula>
    </cfRule>
  </conditionalFormatting>
  <conditionalFormatting sqref="F14">
    <cfRule type="containsText" dxfId="47" priority="41" operator="containsText" text="INSUFICIENTE">
      <formula>NOT(ISERROR(SEARCH("INSUFICIENTE",F14)))</formula>
    </cfRule>
    <cfRule type="containsText" dxfId="46" priority="42" operator="containsText" text="DEFICIENTE">
      <formula>NOT(ISERROR(SEARCH("DEFICIENTE",F14)))</formula>
    </cfRule>
    <cfRule type="containsText" dxfId="45" priority="43" operator="containsText" text="BUENO">
      <formula>NOT(ISERROR(SEARCH("BUENO",F14)))</formula>
    </cfRule>
    <cfRule type="containsText" dxfId="44" priority="44" operator="containsText" text="EXCELENTE">
      <formula>NOT(ISERROR(SEARCH("EXCELENTE",F14)))</formula>
    </cfRule>
  </conditionalFormatting>
  <conditionalFormatting sqref="D12">
    <cfRule type="containsText" dxfId="43" priority="53" operator="containsText" text="INSUFICIENTE">
      <formula>NOT(ISERROR(SEARCH("INSUFICIENTE",D12)))</formula>
    </cfRule>
    <cfRule type="containsText" dxfId="42" priority="54" operator="containsText" text="DEFICIENTE">
      <formula>NOT(ISERROR(SEARCH("DEFICIENTE",D12)))</formula>
    </cfRule>
    <cfRule type="containsText" dxfId="41" priority="55" operator="containsText" text="BUENO">
      <formula>NOT(ISERROR(SEARCH("BUENO",D12)))</formula>
    </cfRule>
    <cfRule type="containsText" dxfId="40" priority="56" operator="containsText" text="EXCELENTE">
      <formula>NOT(ISERROR(SEARCH("EXCELENTE",D12)))</formula>
    </cfRule>
  </conditionalFormatting>
  <conditionalFormatting sqref="F16">
    <cfRule type="containsText" dxfId="39" priority="37" operator="containsText" text="INSUFICIENTE">
      <formula>NOT(ISERROR(SEARCH("INSUFICIENTE",F16)))</formula>
    </cfRule>
    <cfRule type="containsText" dxfId="38" priority="38" operator="containsText" text="DEFICIENTE">
      <formula>NOT(ISERROR(SEARCH("DEFICIENTE",F16)))</formula>
    </cfRule>
    <cfRule type="containsText" dxfId="37" priority="39" operator="containsText" text="BUENO">
      <formula>NOT(ISERROR(SEARCH("BUENO",F16)))</formula>
    </cfRule>
    <cfRule type="containsText" dxfId="36" priority="40" operator="containsText" text="EXCELENTE">
      <formula>NOT(ISERROR(SEARCH("EXCELENTE",F16)))</formula>
    </cfRule>
  </conditionalFormatting>
  <conditionalFormatting sqref="H14">
    <cfRule type="containsText" dxfId="35" priority="33" operator="containsText" text="INSUFICIENTE">
      <formula>NOT(ISERROR(SEARCH("INSUFICIENTE",H14)))</formula>
    </cfRule>
    <cfRule type="containsText" dxfId="34" priority="34" operator="containsText" text="DEFICIENTE">
      <formula>NOT(ISERROR(SEARCH("DEFICIENTE",H14)))</formula>
    </cfRule>
    <cfRule type="containsText" dxfId="33" priority="35" operator="containsText" text="BUENO">
      <formula>NOT(ISERROR(SEARCH("BUENO",H14)))</formula>
    </cfRule>
    <cfRule type="containsText" dxfId="32" priority="36" operator="containsText" text="EXCELENTE">
      <formula>NOT(ISERROR(SEARCH("EXCELENTE",H14)))</formula>
    </cfRule>
  </conditionalFormatting>
  <conditionalFormatting sqref="H16">
    <cfRule type="containsText" dxfId="31" priority="29" operator="containsText" text="INSUFICIENTE">
      <formula>NOT(ISERROR(SEARCH("INSUFICIENTE",H16)))</formula>
    </cfRule>
    <cfRule type="containsText" dxfId="30" priority="30" operator="containsText" text="DEFICIENTE">
      <formula>NOT(ISERROR(SEARCH("DEFICIENTE",H16)))</formula>
    </cfRule>
    <cfRule type="containsText" dxfId="29" priority="31" operator="containsText" text="BUENO">
      <formula>NOT(ISERROR(SEARCH("BUENO",H16)))</formula>
    </cfRule>
    <cfRule type="containsText" dxfId="28" priority="32" operator="containsText" text="EXCELENTE">
      <formula>NOT(ISERROR(SEARCH("EXCELENTE",H16)))</formula>
    </cfRule>
  </conditionalFormatting>
  <conditionalFormatting sqref="J14">
    <cfRule type="containsText" dxfId="27" priority="25" operator="containsText" text="INSUFICIENTE">
      <formula>NOT(ISERROR(SEARCH("INSUFICIENTE",J14)))</formula>
    </cfRule>
    <cfRule type="containsText" dxfId="26" priority="26" operator="containsText" text="DEFICIENTE">
      <formula>NOT(ISERROR(SEARCH("DEFICIENTE",J14)))</formula>
    </cfRule>
    <cfRule type="containsText" dxfId="25" priority="27" operator="containsText" text="BUENO">
      <formula>NOT(ISERROR(SEARCH("BUENO",J14)))</formula>
    </cfRule>
    <cfRule type="containsText" dxfId="24" priority="28" operator="containsText" text="EXCELENTE">
      <formula>NOT(ISERROR(SEARCH("EXCELENTE",J14)))</formula>
    </cfRule>
  </conditionalFormatting>
  <conditionalFormatting sqref="J16">
    <cfRule type="containsText" dxfId="23" priority="21" operator="containsText" text="INSUFICIENTE">
      <formula>NOT(ISERROR(SEARCH("INSUFICIENTE",J16)))</formula>
    </cfRule>
    <cfRule type="containsText" dxfId="22" priority="22" operator="containsText" text="DEFICIENTE">
      <formula>NOT(ISERROR(SEARCH("DEFICIENTE",J16)))</formula>
    </cfRule>
    <cfRule type="containsText" dxfId="21" priority="23" operator="containsText" text="BUENO">
      <formula>NOT(ISERROR(SEARCH("BUENO",J16)))</formula>
    </cfRule>
    <cfRule type="containsText" dxfId="20" priority="24" operator="containsText" text="EXCELENTE">
      <formula>NOT(ISERROR(SEARCH("EXCELENTE",J16)))</formula>
    </cfRule>
  </conditionalFormatting>
  <conditionalFormatting sqref="L14">
    <cfRule type="containsText" dxfId="19" priority="17" operator="containsText" text="INSUFICIENTE">
      <formula>NOT(ISERROR(SEARCH("INSUFICIENTE",L14)))</formula>
    </cfRule>
    <cfRule type="containsText" dxfId="18" priority="18" operator="containsText" text="DEFICIENTE">
      <formula>NOT(ISERROR(SEARCH("DEFICIENTE",L14)))</formula>
    </cfRule>
    <cfRule type="containsText" dxfId="17" priority="19" operator="containsText" text="BUENO">
      <formula>NOT(ISERROR(SEARCH("BUENO",L14)))</formula>
    </cfRule>
    <cfRule type="containsText" dxfId="16" priority="20" operator="containsText" text="EXCELENTE">
      <formula>NOT(ISERROR(SEARCH("EXCELENTE",L14)))</formula>
    </cfRule>
  </conditionalFormatting>
  <conditionalFormatting sqref="L16">
    <cfRule type="containsText" dxfId="15" priority="13" operator="containsText" text="INSUFICIENTE">
      <formula>NOT(ISERROR(SEARCH("INSUFICIENTE",L16)))</formula>
    </cfRule>
    <cfRule type="containsText" dxfId="14" priority="14" operator="containsText" text="DEFICIENTE">
      <formula>NOT(ISERROR(SEARCH("DEFICIENTE",L16)))</formula>
    </cfRule>
    <cfRule type="containsText" dxfId="13" priority="15" operator="containsText" text="BUENO">
      <formula>NOT(ISERROR(SEARCH("BUENO",L16)))</formula>
    </cfRule>
    <cfRule type="containsText" dxfId="12" priority="16" operator="containsText" text="EXCELENTE">
      <formula>NOT(ISERROR(SEARCH("EXCELENTE",L16)))</formula>
    </cfRule>
  </conditionalFormatting>
  <conditionalFormatting sqref="C14">
    <cfRule type="cellIs" dxfId="11" priority="9" operator="between">
      <formula>0</formula>
      <formula>1.94</formula>
    </cfRule>
    <cfRule type="cellIs" dxfId="10" priority="10" operator="between">
      <formula>1.95</formula>
      <formula>2.94</formula>
    </cfRule>
    <cfRule type="cellIs" dxfId="9" priority="11" operator="between">
      <formula>2.95</formula>
      <formula>3.94</formula>
    </cfRule>
    <cfRule type="cellIs" dxfId="8" priority="12" operator="between">
      <formula>3.95</formula>
      <formula>5</formula>
    </cfRule>
  </conditionalFormatting>
  <conditionalFormatting sqref="E14">
    <cfRule type="cellIs" dxfId="7" priority="5" operator="between">
      <formula>0</formula>
      <formula>1.94</formula>
    </cfRule>
    <cfRule type="cellIs" dxfId="6" priority="6" operator="between">
      <formula>1.95</formula>
      <formula>2.94</formula>
    </cfRule>
    <cfRule type="cellIs" dxfId="5" priority="7" operator="between">
      <formula>2.95</formula>
      <formula>3.94</formula>
    </cfRule>
    <cfRule type="cellIs" dxfId="4" priority="8" operator="between">
      <formula>3.95</formula>
      <formula>5</formula>
    </cfRule>
  </conditionalFormatting>
  <conditionalFormatting sqref="C16">
    <cfRule type="cellIs" dxfId="3" priority="1" operator="between">
      <formula>0</formula>
      <formula>1.94</formula>
    </cfRule>
    <cfRule type="cellIs" dxfId="2" priority="2" operator="between">
      <formula>1.95</formula>
      <formula>2.94</formula>
    </cfRule>
    <cfRule type="cellIs" dxfId="1" priority="3" operator="between">
      <formula>2.95</formula>
      <formula>3.94</formula>
    </cfRule>
    <cfRule type="cellIs" dxfId="0" priority="4" operator="between">
      <formula>3.95</formula>
      <formula>5</formula>
    </cfRule>
  </conditionalFormatting>
  <pageMargins left="0.23622047244094491" right="0.23622047244094491" top="0.74803149606299213" bottom="0.74803149606299213" header="0.31496062992125984" footer="0.31496062992125984"/>
  <pageSetup scale="60" orientation="landscape" verticalDpi="4294967295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7"/>
  <sheetViews>
    <sheetView showGridLines="0" view="pageBreakPreview" zoomScale="50" zoomScaleNormal="50" zoomScaleSheetLayoutView="50" workbookViewId="0">
      <selection activeCell="E50" sqref="E50"/>
    </sheetView>
  </sheetViews>
  <sheetFormatPr baseColWidth="10" defaultRowHeight="14.5" x14ac:dyDescent="0.35"/>
  <sheetData>
    <row r="1" spans="1:27" x14ac:dyDescent="0.35">
      <c r="A1" s="124"/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</row>
    <row r="2" spans="1:27" x14ac:dyDescent="0.35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</row>
    <row r="3" spans="1:27" x14ac:dyDescent="0.35">
      <c r="A3" s="124"/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</row>
    <row r="4" spans="1:27" x14ac:dyDescent="0.35">
      <c r="A4" s="124"/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</row>
    <row r="5" spans="1:27" x14ac:dyDescent="0.35">
      <c r="A5" s="124"/>
      <c r="B5" s="124"/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4"/>
    </row>
    <row r="6" spans="1:27" x14ac:dyDescent="0.35">
      <c r="A6" s="124"/>
      <c r="B6" s="124"/>
      <c r="C6" s="124"/>
      <c r="D6" s="124"/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</row>
    <row r="7" spans="1:27" x14ac:dyDescent="0.35">
      <c r="A7" s="124"/>
      <c r="B7" s="124"/>
      <c r="C7" s="124"/>
      <c r="D7" s="124"/>
      <c r="E7" s="124"/>
      <c r="F7" s="124"/>
      <c r="G7" s="124"/>
      <c r="H7" s="124"/>
      <c r="I7" s="124"/>
      <c r="J7" s="124"/>
      <c r="K7" s="124"/>
      <c r="L7" s="124"/>
      <c r="M7" s="124"/>
      <c r="N7" s="124"/>
      <c r="O7" s="124"/>
      <c r="P7" s="124"/>
      <c r="Q7" s="124"/>
      <c r="R7" s="124"/>
      <c r="S7" s="124"/>
      <c r="T7" s="124"/>
      <c r="U7" s="124"/>
      <c r="V7" s="124"/>
      <c r="W7" s="124"/>
      <c r="X7" s="124"/>
      <c r="Y7" s="124"/>
      <c r="Z7" s="124"/>
      <c r="AA7" s="124"/>
    </row>
    <row r="8" spans="1:27" x14ac:dyDescent="0.35">
      <c r="A8" s="124"/>
      <c r="B8" s="124"/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</row>
    <row r="9" spans="1:27" x14ac:dyDescent="0.35">
      <c r="A9" s="124"/>
      <c r="B9" s="124"/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4"/>
      <c r="T9" s="124"/>
      <c r="U9" s="124"/>
      <c r="V9" s="124"/>
      <c r="W9" s="124"/>
      <c r="X9" s="124"/>
      <c r="Y9" s="124"/>
      <c r="Z9" s="124"/>
      <c r="AA9" s="124"/>
    </row>
    <row r="10" spans="1:27" x14ac:dyDescent="0.35">
      <c r="A10" s="124"/>
      <c r="B10" s="124"/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</row>
    <row r="11" spans="1:27" x14ac:dyDescent="0.35">
      <c r="A11" s="124"/>
      <c r="B11" s="124"/>
      <c r="C11" s="124"/>
      <c r="D11" s="124"/>
      <c r="E11" s="124"/>
      <c r="F11" s="124"/>
      <c r="G11" s="124"/>
      <c r="H11" s="124"/>
      <c r="I11" s="124"/>
      <c r="J11" s="124"/>
      <c r="K11" s="124"/>
      <c r="L11" s="124"/>
      <c r="M11" s="124"/>
      <c r="N11" s="124"/>
      <c r="O11" s="124"/>
      <c r="P11" s="124"/>
      <c r="Q11" s="124"/>
      <c r="R11" s="124"/>
      <c r="S11" s="124"/>
      <c r="T11" s="124"/>
      <c r="U11" s="124"/>
      <c r="V11" s="124"/>
      <c r="W11" s="124"/>
      <c r="X11" s="124"/>
      <c r="Y11" s="124"/>
      <c r="Z11" s="124"/>
      <c r="AA11" s="124"/>
    </row>
    <row r="12" spans="1:27" x14ac:dyDescent="0.35">
      <c r="A12" s="124"/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24"/>
      <c r="Q12" s="124"/>
      <c r="R12" s="124"/>
      <c r="S12" s="124"/>
      <c r="T12" s="124"/>
      <c r="U12" s="124"/>
      <c r="V12" s="124"/>
      <c r="W12" s="124"/>
      <c r="X12" s="124"/>
      <c r="Y12" s="124"/>
      <c r="Z12" s="124"/>
      <c r="AA12" s="124"/>
    </row>
    <row r="13" spans="1:27" x14ac:dyDescent="0.35">
      <c r="A13" s="124"/>
      <c r="B13" s="124"/>
      <c r="C13" s="124"/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124"/>
      <c r="O13" s="124"/>
      <c r="P13" s="124"/>
      <c r="Q13" s="124"/>
      <c r="R13" s="124"/>
      <c r="S13" s="124"/>
      <c r="T13" s="124"/>
      <c r="U13" s="124"/>
      <c r="V13" s="124"/>
      <c r="W13" s="124"/>
      <c r="X13" s="124"/>
      <c r="Y13" s="124"/>
      <c r="Z13" s="124"/>
      <c r="AA13" s="124"/>
    </row>
    <row r="14" spans="1:27" x14ac:dyDescent="0.35">
      <c r="A14" s="124"/>
      <c r="B14" s="124"/>
      <c r="C14" s="124"/>
      <c r="D14" s="124"/>
      <c r="E14" s="124"/>
      <c r="F14" s="124"/>
      <c r="G14" s="124"/>
      <c r="H14" s="124"/>
      <c r="I14" s="124"/>
      <c r="J14" s="124"/>
      <c r="K14" s="124"/>
      <c r="L14" s="124"/>
      <c r="M14" s="124"/>
      <c r="N14" s="124"/>
      <c r="O14" s="124"/>
      <c r="P14" s="124"/>
      <c r="Q14" s="124"/>
      <c r="R14" s="124"/>
      <c r="S14" s="124"/>
      <c r="T14" s="124"/>
      <c r="U14" s="124"/>
      <c r="V14" s="124"/>
      <c r="W14" s="124"/>
      <c r="X14" s="124"/>
      <c r="Y14" s="124"/>
      <c r="Z14" s="124"/>
      <c r="AA14" s="124"/>
    </row>
    <row r="15" spans="1:27" x14ac:dyDescent="0.35">
      <c r="A15" s="124"/>
      <c r="B15" s="124"/>
      <c r="C15" s="124"/>
      <c r="D15" s="124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  <c r="AA15" s="124"/>
    </row>
    <row r="16" spans="1:27" x14ac:dyDescent="0.35">
      <c r="A16" s="124"/>
      <c r="B16" s="124"/>
      <c r="C16" s="124"/>
      <c r="D16" s="124"/>
      <c r="E16" s="124"/>
      <c r="F16" s="124"/>
      <c r="G16" s="124"/>
      <c r="H16" s="124"/>
      <c r="I16" s="124"/>
      <c r="J16" s="124"/>
      <c r="K16" s="124"/>
      <c r="L16" s="124"/>
      <c r="M16" s="124"/>
      <c r="N16" s="124"/>
      <c r="O16" s="124"/>
      <c r="P16" s="124"/>
      <c r="Q16" s="124"/>
      <c r="R16" s="124"/>
      <c r="S16" s="124"/>
      <c r="T16" s="124"/>
      <c r="U16" s="124"/>
      <c r="V16" s="124"/>
      <c r="W16" s="124"/>
      <c r="X16" s="124"/>
      <c r="Y16" s="124"/>
      <c r="Z16" s="124"/>
      <c r="AA16" s="124"/>
    </row>
    <row r="17" spans="1:27" x14ac:dyDescent="0.35">
      <c r="A17" s="124"/>
      <c r="B17" s="124"/>
      <c r="C17" s="124"/>
      <c r="D17" s="124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24"/>
      <c r="T17" s="124"/>
      <c r="U17" s="124"/>
      <c r="V17" s="124"/>
      <c r="W17" s="124"/>
      <c r="X17" s="124"/>
      <c r="Y17" s="124"/>
      <c r="Z17" s="124"/>
      <c r="AA17" s="124"/>
    </row>
    <row r="18" spans="1:27" x14ac:dyDescent="0.35">
      <c r="A18" s="124"/>
      <c r="B18" s="124"/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124"/>
      <c r="N18" s="124"/>
      <c r="O18" s="124"/>
      <c r="P18" s="124"/>
      <c r="Q18" s="124"/>
      <c r="R18" s="124"/>
      <c r="S18" s="124"/>
      <c r="T18" s="124"/>
      <c r="U18" s="124"/>
      <c r="V18" s="124"/>
      <c r="W18" s="124"/>
      <c r="X18" s="124"/>
      <c r="Y18" s="124"/>
      <c r="Z18" s="124"/>
      <c r="AA18" s="124"/>
    </row>
    <row r="19" spans="1:27" x14ac:dyDescent="0.35">
      <c r="A19" s="124"/>
      <c r="B19" s="124"/>
      <c r="C19" s="124"/>
      <c r="D19" s="124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24"/>
      <c r="T19" s="124"/>
      <c r="U19" s="124"/>
      <c r="V19" s="124"/>
      <c r="W19" s="124"/>
      <c r="X19" s="124"/>
      <c r="Y19" s="124"/>
      <c r="Z19" s="124"/>
      <c r="AA19" s="124"/>
    </row>
    <row r="20" spans="1:27" x14ac:dyDescent="0.35">
      <c r="A20" s="124"/>
      <c r="B20" s="124"/>
      <c r="C20" s="124"/>
      <c r="D20" s="124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124"/>
    </row>
    <row r="21" spans="1:27" x14ac:dyDescent="0.35">
      <c r="A21" s="124"/>
      <c r="B21" s="124"/>
      <c r="C21" s="124"/>
      <c r="D21" s="124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24"/>
      <c r="T21" s="124"/>
      <c r="U21" s="124"/>
      <c r="V21" s="124"/>
      <c r="W21" s="124"/>
      <c r="X21" s="124"/>
      <c r="Y21" s="124"/>
      <c r="Z21" s="124"/>
      <c r="AA21" s="124"/>
    </row>
    <row r="22" spans="1:27" x14ac:dyDescent="0.35">
      <c r="A22" s="124"/>
      <c r="B22" s="124"/>
      <c r="C22" s="124"/>
      <c r="D22" s="124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124"/>
      <c r="R22" s="124"/>
      <c r="S22" s="124"/>
      <c r="T22" s="124"/>
      <c r="U22" s="124"/>
      <c r="V22" s="124"/>
      <c r="W22" s="124"/>
      <c r="X22" s="124"/>
      <c r="Y22" s="124"/>
      <c r="Z22" s="124"/>
      <c r="AA22" s="124"/>
    </row>
    <row r="23" spans="1:27" x14ac:dyDescent="0.35">
      <c r="A23" s="124"/>
      <c r="B23" s="124"/>
      <c r="C23" s="124"/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  <c r="T23" s="124"/>
      <c r="U23" s="124"/>
      <c r="V23" s="124"/>
      <c r="W23" s="124"/>
      <c r="X23" s="124"/>
      <c r="Y23" s="124"/>
      <c r="Z23" s="124"/>
      <c r="AA23" s="124"/>
    </row>
    <row r="24" spans="1:27" x14ac:dyDescent="0.35">
      <c r="A24" s="124"/>
      <c r="B24" s="124"/>
      <c r="C24" s="124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  <c r="AA24" s="124"/>
    </row>
    <row r="25" spans="1:27" x14ac:dyDescent="0.35">
      <c r="A25" s="124"/>
      <c r="B25" s="124"/>
      <c r="C25" s="124"/>
      <c r="D25" s="124"/>
      <c r="E25" s="124"/>
      <c r="F25" s="124"/>
      <c r="G25" s="124"/>
      <c r="H25" s="124"/>
      <c r="I25" s="124"/>
      <c r="J25" s="124"/>
      <c r="K25" s="124"/>
      <c r="L25" s="124"/>
      <c r="M25" s="124"/>
      <c r="N25" s="124"/>
      <c r="O25" s="124"/>
      <c r="P25" s="124"/>
      <c r="Q25" s="124"/>
      <c r="R25" s="124"/>
      <c r="S25" s="124"/>
      <c r="T25" s="124"/>
      <c r="U25" s="124"/>
      <c r="V25" s="124"/>
      <c r="W25" s="124"/>
      <c r="X25" s="124"/>
      <c r="Y25" s="124"/>
      <c r="Z25" s="124"/>
      <c r="AA25" s="124"/>
    </row>
    <row r="26" spans="1:27" x14ac:dyDescent="0.35">
      <c r="A26" s="124"/>
      <c r="B26" s="124"/>
      <c r="C26" s="124"/>
      <c r="D26" s="124"/>
      <c r="E26" s="124"/>
      <c r="F26" s="124"/>
      <c r="G26" s="124"/>
      <c r="H26" s="124"/>
      <c r="I26" s="124"/>
      <c r="J26" s="124"/>
      <c r="K26" s="124"/>
      <c r="L26" s="124"/>
      <c r="M26" s="124"/>
      <c r="N26" s="124"/>
      <c r="O26" s="124"/>
      <c r="P26" s="124"/>
      <c r="Q26" s="124"/>
      <c r="R26" s="124"/>
      <c r="S26" s="124"/>
      <c r="T26" s="124"/>
      <c r="U26" s="124"/>
      <c r="V26" s="124"/>
      <c r="W26" s="124"/>
      <c r="X26" s="124"/>
      <c r="Y26" s="124"/>
      <c r="Z26" s="124"/>
      <c r="AA26" s="124"/>
    </row>
    <row r="27" spans="1:27" x14ac:dyDescent="0.35">
      <c r="A27" s="124"/>
      <c r="B27" s="124"/>
      <c r="C27" s="124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4"/>
      <c r="Q27" s="124"/>
      <c r="R27" s="124"/>
      <c r="S27" s="124"/>
      <c r="T27" s="124"/>
      <c r="U27" s="124"/>
      <c r="V27" s="124"/>
      <c r="W27" s="124"/>
      <c r="X27" s="124"/>
      <c r="Y27" s="124"/>
      <c r="Z27" s="124"/>
      <c r="AA27" s="124"/>
    </row>
    <row r="28" spans="1:27" x14ac:dyDescent="0.35">
      <c r="A28" s="124"/>
      <c r="B28" s="124"/>
      <c r="C28" s="124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24"/>
      <c r="AA28" s="124"/>
    </row>
    <row r="29" spans="1:27" x14ac:dyDescent="0.35">
      <c r="A29" s="124"/>
      <c r="B29" s="124"/>
      <c r="C29" s="124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Q29" s="124"/>
      <c r="R29" s="124"/>
      <c r="S29" s="124"/>
      <c r="T29" s="124"/>
      <c r="U29" s="124"/>
      <c r="V29" s="124"/>
      <c r="W29" s="124"/>
      <c r="X29" s="124"/>
      <c r="Y29" s="124"/>
      <c r="Z29" s="124"/>
      <c r="AA29" s="124"/>
    </row>
    <row r="30" spans="1:27" x14ac:dyDescent="0.35">
      <c r="A30" s="124"/>
      <c r="B30" s="124"/>
      <c r="C30" s="124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4"/>
      <c r="Q30" s="124"/>
      <c r="R30" s="124"/>
      <c r="S30" s="124"/>
      <c r="T30" s="124"/>
      <c r="U30" s="124"/>
      <c r="V30" s="124"/>
      <c r="W30" s="124"/>
      <c r="X30" s="124"/>
      <c r="Y30" s="124"/>
      <c r="Z30" s="124"/>
      <c r="AA30" s="124"/>
    </row>
    <row r="31" spans="1:27" x14ac:dyDescent="0.35">
      <c r="A31" s="124"/>
      <c r="B31" s="124"/>
      <c r="C31" s="124"/>
      <c r="D31" s="124"/>
      <c r="E31" s="124"/>
      <c r="F31" s="124"/>
      <c r="G31" s="124"/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4"/>
      <c r="S31" s="124"/>
      <c r="T31" s="124"/>
      <c r="U31" s="124"/>
      <c r="V31" s="124"/>
      <c r="W31" s="124"/>
      <c r="X31" s="124"/>
      <c r="Y31" s="124"/>
      <c r="Z31" s="124"/>
      <c r="AA31" s="124"/>
    </row>
    <row r="32" spans="1:27" x14ac:dyDescent="0.35">
      <c r="A32" s="124"/>
      <c r="B32" s="124"/>
      <c r="C32" s="124"/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24"/>
      <c r="AA32" s="124"/>
    </row>
    <row r="33" spans="1:27" x14ac:dyDescent="0.35">
      <c r="A33" s="124"/>
      <c r="B33" s="124"/>
      <c r="C33" s="124"/>
      <c r="D33" s="124"/>
      <c r="E33" s="124"/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4"/>
      <c r="Q33" s="124"/>
      <c r="R33" s="124"/>
      <c r="S33" s="124"/>
      <c r="T33" s="124"/>
      <c r="U33" s="124"/>
      <c r="V33" s="124"/>
      <c r="W33" s="124"/>
      <c r="X33" s="124"/>
      <c r="Y33" s="124"/>
      <c r="Z33" s="124"/>
      <c r="AA33" s="124"/>
    </row>
    <row r="34" spans="1:27" x14ac:dyDescent="0.35">
      <c r="A34" s="124"/>
      <c r="B34" s="124"/>
      <c r="C34" s="124"/>
      <c r="D34" s="124"/>
      <c r="E34" s="124"/>
      <c r="F34" s="124"/>
      <c r="G34" s="124"/>
      <c r="H34" s="124"/>
      <c r="I34" s="124"/>
      <c r="J34" s="124"/>
      <c r="K34" s="124"/>
      <c r="L34" s="124"/>
      <c r="M34" s="124"/>
      <c r="N34" s="124"/>
      <c r="O34" s="124"/>
      <c r="P34" s="124"/>
      <c r="Q34" s="124"/>
      <c r="R34" s="124"/>
      <c r="S34" s="124"/>
      <c r="T34" s="124"/>
      <c r="U34" s="124"/>
      <c r="V34" s="124"/>
      <c r="W34" s="124"/>
      <c r="X34" s="124"/>
      <c r="Y34" s="124"/>
      <c r="Z34" s="124"/>
      <c r="AA34" s="124"/>
    </row>
    <row r="35" spans="1:27" x14ac:dyDescent="0.35">
      <c r="A35" s="124"/>
      <c r="B35" s="124"/>
      <c r="C35" s="124"/>
      <c r="D35" s="124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  <c r="AA35" s="124"/>
    </row>
    <row r="36" spans="1:27" x14ac:dyDescent="0.35">
      <c r="A36" s="124"/>
      <c r="B36" s="124"/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24"/>
    </row>
    <row r="37" spans="1:27" x14ac:dyDescent="0.35">
      <c r="A37" s="124"/>
      <c r="B37" s="124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124"/>
      <c r="N37" s="124"/>
      <c r="O37" s="124"/>
      <c r="P37" s="124"/>
      <c r="Q37" s="124"/>
      <c r="R37" s="124"/>
      <c r="S37" s="124"/>
      <c r="T37" s="124"/>
      <c r="U37" s="124"/>
      <c r="V37" s="124"/>
      <c r="W37" s="124"/>
      <c r="X37" s="124"/>
      <c r="Y37" s="124"/>
      <c r="Z37" s="124"/>
      <c r="AA37" s="124"/>
    </row>
    <row r="38" spans="1:27" x14ac:dyDescent="0.35">
      <c r="A38" s="124"/>
      <c r="B38" s="124"/>
      <c r="C38" s="124"/>
      <c r="D38" s="124"/>
      <c r="E38" s="124"/>
      <c r="F38" s="124"/>
      <c r="G38" s="124"/>
      <c r="H38" s="124"/>
      <c r="I38" s="124"/>
      <c r="J38" s="124"/>
      <c r="K38" s="124"/>
      <c r="L38" s="124"/>
      <c r="M38" s="124"/>
      <c r="N38" s="124"/>
      <c r="O38" s="124"/>
      <c r="P38" s="124"/>
      <c r="Q38" s="124"/>
      <c r="R38" s="124"/>
      <c r="S38" s="124"/>
      <c r="T38" s="124"/>
      <c r="U38" s="124"/>
      <c r="V38" s="124"/>
      <c r="W38" s="124"/>
      <c r="X38" s="124"/>
      <c r="Y38" s="124"/>
      <c r="Z38" s="124"/>
      <c r="AA38" s="124"/>
    </row>
    <row r="39" spans="1:27" x14ac:dyDescent="0.35">
      <c r="A39" s="124"/>
      <c r="B39" s="124"/>
      <c r="C39" s="124"/>
      <c r="D39" s="124"/>
      <c r="E39" s="124"/>
      <c r="F39" s="124"/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124"/>
      <c r="S39" s="124"/>
      <c r="T39" s="124"/>
      <c r="U39" s="124"/>
      <c r="V39" s="124"/>
      <c r="W39" s="124"/>
      <c r="X39" s="124"/>
      <c r="Y39" s="124"/>
      <c r="Z39" s="124"/>
      <c r="AA39" s="124"/>
    </row>
    <row r="40" spans="1:27" x14ac:dyDescent="0.35">
      <c r="A40" s="124"/>
      <c r="B40" s="124"/>
      <c r="C40" s="124"/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124"/>
      <c r="O40" s="124"/>
      <c r="P40" s="124"/>
      <c r="Q40" s="124"/>
      <c r="R40" s="124"/>
      <c r="S40" s="124"/>
      <c r="T40" s="124"/>
      <c r="U40" s="124"/>
      <c r="V40" s="124"/>
      <c r="W40" s="124"/>
      <c r="X40" s="124"/>
      <c r="Y40" s="124"/>
      <c r="Z40" s="124"/>
      <c r="AA40" s="124"/>
    </row>
    <row r="41" spans="1:27" x14ac:dyDescent="0.35">
      <c r="A41" s="124"/>
      <c r="B41" s="124"/>
      <c r="C41" s="124"/>
      <c r="D41" s="124"/>
      <c r="E41" s="124"/>
      <c r="F41" s="124"/>
      <c r="G41" s="124"/>
      <c r="H41" s="124"/>
      <c r="I41" s="124"/>
      <c r="J41" s="124"/>
      <c r="K41" s="124"/>
      <c r="L41" s="124"/>
      <c r="M41" s="124"/>
      <c r="N41" s="124"/>
      <c r="O41" s="124"/>
      <c r="P41" s="124"/>
      <c r="Q41" s="124"/>
      <c r="R41" s="124"/>
      <c r="S41" s="124"/>
      <c r="T41" s="124"/>
      <c r="U41" s="124"/>
      <c r="V41" s="124"/>
      <c r="W41" s="124"/>
      <c r="X41" s="124"/>
      <c r="Y41" s="124"/>
      <c r="Z41" s="124"/>
      <c r="AA41" s="124"/>
    </row>
    <row r="42" spans="1:27" x14ac:dyDescent="0.35">
      <c r="A42" s="124"/>
      <c r="B42" s="124"/>
      <c r="C42" s="124"/>
      <c r="D42" s="124"/>
      <c r="E42" s="124"/>
      <c r="F42" s="124"/>
      <c r="G42" s="124"/>
      <c r="H42" s="124"/>
      <c r="I42" s="124"/>
      <c r="J42" s="124"/>
      <c r="K42" s="124"/>
      <c r="L42" s="124"/>
      <c r="M42" s="124"/>
      <c r="N42" s="124"/>
      <c r="O42" s="124"/>
      <c r="P42" s="124"/>
      <c r="Q42" s="124"/>
      <c r="R42" s="124"/>
      <c r="S42" s="124"/>
      <c r="T42" s="124"/>
      <c r="U42" s="124"/>
      <c r="V42" s="124"/>
      <c r="W42" s="124"/>
      <c r="X42" s="124"/>
      <c r="Y42" s="124"/>
      <c r="Z42" s="124"/>
      <c r="AA42" s="124"/>
    </row>
    <row r="43" spans="1:27" x14ac:dyDescent="0.35">
      <c r="A43" s="124"/>
      <c r="B43" s="124"/>
      <c r="C43" s="124"/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Q43" s="124"/>
      <c r="R43" s="124"/>
      <c r="S43" s="124"/>
      <c r="T43" s="124"/>
      <c r="U43" s="124"/>
      <c r="V43" s="124"/>
      <c r="W43" s="124"/>
      <c r="X43" s="124"/>
      <c r="Y43" s="124"/>
      <c r="Z43" s="124"/>
      <c r="AA43" s="124"/>
    </row>
    <row r="44" spans="1:27" x14ac:dyDescent="0.35">
      <c r="A44" s="124"/>
      <c r="B44" s="124"/>
      <c r="C44" s="124"/>
      <c r="D44" s="124"/>
      <c r="E44" s="124"/>
      <c r="F44" s="124"/>
      <c r="G44" s="124"/>
      <c r="H44" s="124"/>
      <c r="I44" s="124"/>
      <c r="J44" s="124"/>
      <c r="K44" s="124"/>
      <c r="L44" s="124"/>
      <c r="M44" s="124"/>
      <c r="N44" s="124"/>
      <c r="O44" s="124"/>
      <c r="P44" s="124"/>
      <c r="Q44" s="124"/>
      <c r="R44" s="124"/>
      <c r="S44" s="124"/>
      <c r="T44" s="124"/>
      <c r="U44" s="124"/>
      <c r="V44" s="124"/>
      <c r="W44" s="124"/>
      <c r="X44" s="124"/>
      <c r="Y44" s="124"/>
      <c r="Z44" s="124"/>
      <c r="AA44" s="124"/>
    </row>
    <row r="45" spans="1:27" x14ac:dyDescent="0.35">
      <c r="A45" s="124"/>
      <c r="B45" s="124"/>
      <c r="C45" s="124"/>
      <c r="D45" s="124"/>
      <c r="E45" s="124"/>
      <c r="F45" s="124"/>
      <c r="G45" s="124"/>
      <c r="H45" s="124"/>
      <c r="I45" s="124"/>
      <c r="J45" s="124"/>
      <c r="K45" s="124"/>
      <c r="L45" s="124"/>
      <c r="M45" s="124"/>
      <c r="N45" s="124"/>
      <c r="O45" s="124"/>
      <c r="P45" s="124"/>
      <c r="Q45" s="124"/>
      <c r="R45" s="124"/>
      <c r="S45" s="124"/>
      <c r="T45" s="124"/>
      <c r="U45" s="124"/>
      <c r="V45" s="124"/>
      <c r="W45" s="124"/>
      <c r="X45" s="124"/>
      <c r="Y45" s="124"/>
      <c r="Z45" s="124"/>
      <c r="AA45" s="124"/>
    </row>
    <row r="46" spans="1:27" x14ac:dyDescent="0.35">
      <c r="A46" s="124"/>
      <c r="B46" s="124"/>
      <c r="C46" s="124"/>
      <c r="D46" s="124"/>
      <c r="E46" s="124"/>
      <c r="F46" s="124"/>
      <c r="G46" s="124"/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124"/>
      <c r="S46" s="124"/>
      <c r="T46" s="124"/>
      <c r="U46" s="124"/>
      <c r="V46" s="124"/>
      <c r="W46" s="124"/>
      <c r="X46" s="124"/>
      <c r="Y46" s="124"/>
      <c r="Z46" s="124"/>
      <c r="AA46" s="124"/>
    </row>
    <row r="47" spans="1:27" x14ac:dyDescent="0.35">
      <c r="A47" s="124"/>
      <c r="B47" s="124"/>
      <c r="C47" s="124"/>
      <c r="D47" s="124"/>
      <c r="E47" s="124"/>
      <c r="F47" s="124"/>
      <c r="G47" s="124"/>
      <c r="H47" s="124"/>
      <c r="I47" s="124"/>
      <c r="J47" s="124"/>
      <c r="K47" s="124"/>
      <c r="L47" s="124"/>
      <c r="M47" s="124"/>
      <c r="N47" s="124"/>
      <c r="O47" s="124"/>
      <c r="P47" s="124"/>
      <c r="Q47" s="124"/>
      <c r="R47" s="124"/>
      <c r="S47" s="124"/>
      <c r="T47" s="124"/>
      <c r="U47" s="124"/>
      <c r="V47" s="124"/>
      <c r="W47" s="124"/>
      <c r="X47" s="124"/>
      <c r="Y47" s="124"/>
      <c r="Z47" s="124"/>
      <c r="AA47" s="124"/>
    </row>
  </sheetData>
  <sheetProtection algorithmName="SHA-512" hashValue="eHBgou+74ofuNfeerj1qrG1AIs0eOw0wGzpVUBXdPvWHzYG8HQhkUZsn0FAoi97+BBaid45QNjcUJxrCnKLRdg==" saltValue="rWfr81RxCuB0dcSdu3iz6A==" spinCount="100000" sheet="1" objects="1" scenarios="1"/>
  <pageMargins left="0.7" right="0.7" top="0.75" bottom="0.75" header="0.3" footer="0.3"/>
  <pageSetup scale="30" orientation="portrait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</vt:i4>
      </vt:variant>
    </vt:vector>
  </HeadingPairs>
  <TitlesOfParts>
    <vt:vector size="10" baseType="lpstr">
      <vt:lpstr>CORTE 1 G1</vt:lpstr>
      <vt:lpstr>CORTE 2 REAL</vt:lpstr>
      <vt:lpstr>CORTE 2 G1</vt:lpstr>
      <vt:lpstr>CORTE 3 G1</vt:lpstr>
      <vt:lpstr>PERSONAL</vt:lpstr>
      <vt:lpstr>CORTE 3 REAL</vt:lpstr>
      <vt:lpstr>Resumen Ind</vt:lpstr>
      <vt:lpstr>Resumen Gral</vt:lpstr>
      <vt:lpstr>'CORTE 2 REAL'!Área_de_impresión</vt:lpstr>
      <vt:lpstr>'Resumen Ind'!Área_de_impresión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Wadys Montilla Ortega</dc:creator>
  <cp:lastModifiedBy>COORDINACION CALIDAD</cp:lastModifiedBy>
  <cp:lastPrinted>2024-01-26T16:23:36Z</cp:lastPrinted>
  <dcterms:created xsi:type="dcterms:W3CDTF">2022-02-16T05:42:25Z</dcterms:created>
  <dcterms:modified xsi:type="dcterms:W3CDTF">2024-01-26T21:12:24Z</dcterms:modified>
</cp:coreProperties>
</file>