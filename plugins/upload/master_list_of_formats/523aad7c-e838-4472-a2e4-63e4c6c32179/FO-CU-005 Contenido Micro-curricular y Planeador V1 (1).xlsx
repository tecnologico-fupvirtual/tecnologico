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USER\Downloads\"/>
    </mc:Choice>
  </mc:AlternateContent>
  <workbookProtection workbookAlgorithmName="SHA-512" workbookHashValue="qtW771wGY4gyCjHAOH/yYB90XnwfDcq0UQcV/kZL6dpMNtasSQUu7Rc/O2eflBhMnp9FUGh2zL3mv43Ol/YP5A==" workbookSaltValue="+bfINZXoQ+3+DeCSn4u6Gg==" workbookSpinCount="100000" lockStructure="1"/>
  <bookViews>
    <workbookView xWindow="0" yWindow="0" windowWidth="19200" windowHeight="6930" tabRatio="877" firstSheet="4" activeTab="9"/>
  </bookViews>
  <sheets>
    <sheet name="Instrucciónes de Uso " sheetId="12" r:id="rId1"/>
    <sheet name="1. INICIAL" sheetId="9" r:id="rId2"/>
    <sheet name="2. RAP-RAC" sheetId="3" r:id="rId3"/>
    <sheet name="BASE" sheetId="5" state="hidden" r:id="rId4"/>
    <sheet name="3. ESTRATEG. APRENDIZAJE" sheetId="6" r:id="rId5"/>
    <sheet name="4. Contenido" sheetId="11" r:id="rId6"/>
    <sheet name="5. BIBLIOGRAFIA-CIBERGRAFIA" sheetId="10" r:id="rId7"/>
    <sheet name="6. Rúbricas" sheetId="8" r:id="rId8"/>
    <sheet name="Documento Imprimir" sheetId="1" r:id="rId9"/>
    <sheet name="Planeador Docente Imprimir" sheetId="13" r:id="rId10"/>
    <sheet name="Hoja1" sheetId="14" state="hidden" r:id="rId11"/>
  </sheets>
  <definedNames>
    <definedName name="_xlnm.Print_Area" localSheetId="2">'2. RAP-RAC'!$A$1:$H$41</definedName>
    <definedName name="_xlnm.Print_Area" localSheetId="4">'3. ESTRATEG. APRENDIZAJE'!$A$1:$I$45</definedName>
    <definedName name="_xlnm.Print_Area" localSheetId="6">'5. BIBLIOGRAFIA-CIBERGRAFIA'!$A$1:$D$66</definedName>
    <definedName name="_xlnm.Print_Area" localSheetId="8">'Documento Imprimir'!$A$1:$H$278</definedName>
    <definedName name="_xlnm.Print_Area" localSheetId="0">'Instrucciónes de Uso '!$A$1:$J$40</definedName>
    <definedName name="_xlnm.Print_Area" localSheetId="9">'Planeador Docente Imprimir'!$A$1:$V$203</definedName>
    <definedName name="_xlnm.Print_Titles" localSheetId="8">'Documento Imprimir'!$1:$6</definedName>
    <definedName name="_xlnm.Print_Titles" localSheetId="9">'Planeador Docente Imprimir'!$1:$6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3" i="13" l="1"/>
  <c r="U142" i="13"/>
  <c r="T142" i="13"/>
  <c r="R54" i="13"/>
  <c r="S54" i="13"/>
  <c r="T54" i="13"/>
  <c r="V54" i="13" s="1"/>
  <c r="U54" i="13"/>
  <c r="R55" i="13"/>
  <c r="S55" i="13"/>
  <c r="T55" i="13"/>
  <c r="U55" i="13"/>
  <c r="V55" i="13"/>
  <c r="R56" i="13"/>
  <c r="S56" i="13"/>
  <c r="T56" i="13"/>
  <c r="U56" i="13"/>
  <c r="V56" i="13" s="1"/>
  <c r="R57" i="13"/>
  <c r="S57" i="13"/>
  <c r="T57" i="13"/>
  <c r="V57" i="13" s="1"/>
  <c r="U57" i="13"/>
  <c r="R58" i="13"/>
  <c r="S58" i="13"/>
  <c r="T58" i="13"/>
  <c r="U58" i="13"/>
  <c r="V58" i="13"/>
  <c r="R59" i="13"/>
  <c r="S59" i="13"/>
  <c r="T59" i="13"/>
  <c r="U59" i="13"/>
  <c r="V59" i="13"/>
  <c r="N54" i="13"/>
  <c r="N55" i="13"/>
  <c r="N56" i="13"/>
  <c r="N57" i="13"/>
  <c r="N58" i="13"/>
  <c r="M54" i="13"/>
  <c r="M55" i="13"/>
  <c r="M56" i="13"/>
  <c r="M57" i="13"/>
  <c r="M58" i="13"/>
  <c r="L54" i="13"/>
  <c r="L55" i="13"/>
  <c r="L56" i="13"/>
  <c r="L57" i="13"/>
  <c r="L58" i="13"/>
  <c r="F57" i="13"/>
  <c r="F58" i="13"/>
  <c r="F54" i="13"/>
  <c r="F55" i="13"/>
  <c r="F56" i="13"/>
  <c r="I45" i="10" l="1"/>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44" i="10"/>
  <c r="I39" i="10"/>
  <c r="I40" i="10"/>
  <c r="I41" i="10"/>
  <c r="I42" i="10"/>
  <c r="I43" i="10"/>
  <c r="I32" i="10"/>
  <c r="I33" i="10"/>
  <c r="I34" i="10"/>
  <c r="I35" i="10"/>
  <c r="I36" i="10"/>
  <c r="I37" i="10"/>
  <c r="I38" i="10"/>
  <c r="I21" i="10"/>
  <c r="I22" i="10"/>
  <c r="I23" i="10"/>
  <c r="I24" i="10"/>
  <c r="I25" i="10"/>
  <c r="I26" i="10"/>
  <c r="I27" i="10"/>
  <c r="I28" i="10"/>
  <c r="I29" i="10"/>
  <c r="I30" i="10"/>
  <c r="I31" i="10"/>
  <c r="I9" i="10"/>
  <c r="I10" i="10"/>
  <c r="I11" i="10"/>
  <c r="I12" i="10"/>
  <c r="I13" i="10"/>
  <c r="I14" i="10"/>
  <c r="I15" i="10"/>
  <c r="I16" i="10"/>
  <c r="I17" i="10"/>
  <c r="I18" i="10"/>
  <c r="I19" i="10"/>
  <c r="I20" i="10"/>
  <c r="V140" i="13"/>
  <c r="U61" i="13" l="1"/>
  <c r="U62" i="13"/>
  <c r="T60" i="13"/>
  <c r="T61" i="13"/>
  <c r="T62" i="13"/>
  <c r="V61" i="13" l="1"/>
  <c r="V62" i="13"/>
  <c r="A133" i="1"/>
  <c r="O111" i="13" l="1"/>
  <c r="H215" i="1"/>
  <c r="H216" i="1"/>
  <c r="H217" i="1"/>
  <c r="H214" i="1"/>
  <c r="G215" i="1"/>
  <c r="G216" i="1"/>
  <c r="G217" i="1"/>
  <c r="G214" i="1"/>
  <c r="F215" i="1"/>
  <c r="F216" i="1"/>
  <c r="F217" i="1"/>
  <c r="E215" i="1"/>
  <c r="F214" i="1"/>
  <c r="E216" i="1"/>
  <c r="E217" i="1"/>
  <c r="E214" i="1"/>
  <c r="J154" i="13"/>
  <c r="L154" i="13"/>
  <c r="L127" i="13"/>
  <c r="M127" i="13"/>
  <c r="N127" i="13"/>
  <c r="L128" i="13"/>
  <c r="M128" i="13"/>
  <c r="N128" i="13"/>
  <c r="L129" i="13"/>
  <c r="M129" i="13"/>
  <c r="N129" i="13"/>
  <c r="L130" i="13"/>
  <c r="M130" i="13"/>
  <c r="N130" i="13"/>
  <c r="L131" i="13"/>
  <c r="M131" i="13"/>
  <c r="N131" i="13"/>
  <c r="L132" i="13"/>
  <c r="M132" i="13"/>
  <c r="N132" i="13"/>
  <c r="L133" i="13"/>
  <c r="M133" i="13"/>
  <c r="N133" i="13"/>
  <c r="L134" i="13"/>
  <c r="M134" i="13"/>
  <c r="N134" i="13"/>
  <c r="L135" i="13"/>
  <c r="M135" i="13"/>
  <c r="N135" i="13"/>
  <c r="L136" i="13"/>
  <c r="M136" i="13"/>
  <c r="N136" i="13"/>
  <c r="L137" i="13"/>
  <c r="M137" i="13"/>
  <c r="N137" i="13"/>
  <c r="L138" i="13"/>
  <c r="M138" i="13"/>
  <c r="N138" i="13"/>
  <c r="L139" i="13"/>
  <c r="M139" i="13"/>
  <c r="N139" i="13"/>
  <c r="L140" i="13"/>
  <c r="M140" i="13"/>
  <c r="N140" i="13"/>
  <c r="M126" i="13"/>
  <c r="N126" i="13"/>
  <c r="L126" i="13"/>
  <c r="O126" i="13"/>
  <c r="O96" i="13"/>
  <c r="O81" i="13"/>
  <c r="O66" i="13"/>
  <c r="O51" i="13"/>
  <c r="F259" i="1"/>
  <c r="B16" i="1"/>
  <c r="B17" i="1"/>
  <c r="B18" i="1"/>
  <c r="B19" i="1"/>
  <c r="B20" i="1"/>
  <c r="B21" i="1"/>
  <c r="B22" i="1"/>
  <c r="B23" i="1"/>
  <c r="A136" i="1"/>
  <c r="A137" i="1"/>
  <c r="K16" i="11"/>
  <c r="H24" i="11"/>
  <c r="H40" i="11" s="1"/>
  <c r="G24" i="11"/>
  <c r="G40" i="11" s="1"/>
  <c r="A124" i="1" l="1"/>
  <c r="A125" i="1"/>
  <c r="A126" i="1"/>
  <c r="A127" i="1"/>
  <c r="A128" i="1"/>
  <c r="A129" i="1"/>
  <c r="A130" i="1"/>
  <c r="A131" i="1"/>
  <c r="A132" i="1"/>
  <c r="A134" i="1"/>
  <c r="H253" i="1"/>
  <c r="H254" i="1"/>
  <c r="H255" i="1"/>
  <c r="F255" i="1"/>
  <c r="F253" i="1"/>
  <c r="F254" i="1"/>
  <c r="C255" i="1"/>
  <c r="C253" i="1"/>
  <c r="C254" i="1"/>
  <c r="A253" i="1"/>
  <c r="A254" i="1"/>
  <c r="A255" i="1"/>
  <c r="H244" i="1"/>
  <c r="H245" i="1"/>
  <c r="H246" i="1"/>
  <c r="H247" i="1"/>
  <c r="H248" i="1"/>
  <c r="H249" i="1"/>
  <c r="H250" i="1"/>
  <c r="H251" i="1"/>
  <c r="H252" i="1"/>
  <c r="H242" i="1"/>
  <c r="H243" i="1"/>
  <c r="H234" i="1"/>
  <c r="H235" i="1"/>
  <c r="H236" i="1"/>
  <c r="H237" i="1"/>
  <c r="H238" i="1"/>
  <c r="H239" i="1"/>
  <c r="H240" i="1"/>
  <c r="H241" i="1"/>
  <c r="F247" i="1"/>
  <c r="F248" i="1"/>
  <c r="F249" i="1"/>
  <c r="F250" i="1"/>
  <c r="F251" i="1"/>
  <c r="F252" i="1"/>
  <c r="F244" i="1"/>
  <c r="F245" i="1"/>
  <c r="F246" i="1"/>
  <c r="F234" i="1"/>
  <c r="F235" i="1"/>
  <c r="F236" i="1"/>
  <c r="F237" i="1"/>
  <c r="F238" i="1"/>
  <c r="F239" i="1"/>
  <c r="F240" i="1"/>
  <c r="F241" i="1"/>
  <c r="F242" i="1"/>
  <c r="F243" i="1"/>
  <c r="C244" i="1"/>
  <c r="C245" i="1"/>
  <c r="C246" i="1"/>
  <c r="C247" i="1"/>
  <c r="C248" i="1"/>
  <c r="C249" i="1"/>
  <c r="C250" i="1"/>
  <c r="C251" i="1"/>
  <c r="C252" i="1"/>
  <c r="C241" i="1"/>
  <c r="C242" i="1"/>
  <c r="C243" i="1"/>
  <c r="C234" i="1"/>
  <c r="C235" i="1"/>
  <c r="C236" i="1"/>
  <c r="C237" i="1"/>
  <c r="C238" i="1"/>
  <c r="C239" i="1"/>
  <c r="C240" i="1"/>
  <c r="A250" i="1"/>
  <c r="A251" i="1"/>
  <c r="A252" i="1"/>
  <c r="A244" i="1"/>
  <c r="A245" i="1"/>
  <c r="A246" i="1"/>
  <c r="A247" i="1"/>
  <c r="A248" i="1"/>
  <c r="A249" i="1"/>
  <c r="A238" i="1"/>
  <c r="A239" i="1"/>
  <c r="A240" i="1"/>
  <c r="A241" i="1"/>
  <c r="A242" i="1"/>
  <c r="A243" i="1"/>
  <c r="A234" i="1"/>
  <c r="A235" i="1"/>
  <c r="A236" i="1"/>
  <c r="A237" i="1"/>
  <c r="H221" i="1"/>
  <c r="H222" i="1"/>
  <c r="H223" i="1"/>
  <c r="H224" i="1"/>
  <c r="H225" i="1"/>
  <c r="H226" i="1"/>
  <c r="H227" i="1"/>
  <c r="H228" i="1"/>
  <c r="H229" i="1"/>
  <c r="H230" i="1"/>
  <c r="H231" i="1"/>
  <c r="H232" i="1"/>
  <c r="H233" i="1"/>
  <c r="F221" i="1"/>
  <c r="F222" i="1"/>
  <c r="F223" i="1"/>
  <c r="F224" i="1"/>
  <c r="F225" i="1"/>
  <c r="F226" i="1"/>
  <c r="F227" i="1"/>
  <c r="F228" i="1"/>
  <c r="F229" i="1"/>
  <c r="F230" i="1"/>
  <c r="F231" i="1"/>
  <c r="F232" i="1"/>
  <c r="F233" i="1"/>
  <c r="C221" i="1"/>
  <c r="C222" i="1"/>
  <c r="C223" i="1"/>
  <c r="C224" i="1"/>
  <c r="C225" i="1"/>
  <c r="C226" i="1"/>
  <c r="C227" i="1"/>
  <c r="C228" i="1"/>
  <c r="C229" i="1"/>
  <c r="C230" i="1"/>
  <c r="C231" i="1"/>
  <c r="C232" i="1"/>
  <c r="C233" i="1"/>
  <c r="A221" i="1"/>
  <c r="A222" i="1"/>
  <c r="A223" i="1"/>
  <c r="A224" i="1"/>
  <c r="A225" i="1"/>
  <c r="A226" i="1"/>
  <c r="A227" i="1"/>
  <c r="A228" i="1"/>
  <c r="A229" i="1"/>
  <c r="A230" i="1"/>
  <c r="A231" i="1"/>
  <c r="A232" i="1"/>
  <c r="A233" i="1"/>
  <c r="B53" i="1" l="1"/>
  <c r="I8" i="10" l="1"/>
  <c r="A173" i="13" l="1"/>
  <c r="A170" i="13"/>
  <c r="A167" i="13"/>
  <c r="A164" i="13"/>
  <c r="A161" i="13"/>
  <c r="A158" i="13"/>
  <c r="R152" i="13"/>
  <c r="R153" i="13"/>
  <c r="R154" i="13"/>
  <c r="R155" i="13"/>
  <c r="R151" i="13"/>
  <c r="Q152" i="13"/>
  <c r="Q153" i="13"/>
  <c r="Q154" i="13"/>
  <c r="Q155" i="13"/>
  <c r="Q151" i="13"/>
  <c r="Q150" i="13"/>
  <c r="Q148" i="13"/>
  <c r="R146" i="13"/>
  <c r="R147" i="13"/>
  <c r="R148" i="13"/>
  <c r="R145" i="13"/>
  <c r="Q146" i="13"/>
  <c r="Q147" i="13"/>
  <c r="Q145" i="13"/>
  <c r="Q144" i="13"/>
  <c r="L152" i="13"/>
  <c r="L151" i="13"/>
  <c r="J152" i="13"/>
  <c r="J153" i="13"/>
  <c r="J151" i="13"/>
  <c r="J150" i="13"/>
  <c r="L146" i="13"/>
  <c r="L147" i="13"/>
  <c r="L148" i="13"/>
  <c r="L149" i="13"/>
  <c r="L145" i="13"/>
  <c r="J146" i="13"/>
  <c r="J147" i="13"/>
  <c r="J148" i="13"/>
  <c r="J149" i="13"/>
  <c r="J145" i="13"/>
  <c r="J144" i="13"/>
  <c r="C152" i="13"/>
  <c r="C153" i="13"/>
  <c r="C154" i="13"/>
  <c r="C155" i="13"/>
  <c r="C151" i="13"/>
  <c r="A155" i="13"/>
  <c r="A152" i="13"/>
  <c r="A153" i="13"/>
  <c r="A154" i="13"/>
  <c r="A151" i="13"/>
  <c r="A150" i="13"/>
  <c r="C146" i="13"/>
  <c r="C147" i="13"/>
  <c r="C148" i="13"/>
  <c r="C149" i="13"/>
  <c r="A149" i="13"/>
  <c r="A146" i="13"/>
  <c r="A147" i="13"/>
  <c r="A148" i="13"/>
  <c r="A145" i="13"/>
  <c r="C145" i="13"/>
  <c r="A144" i="13"/>
  <c r="T36" i="13"/>
  <c r="T37" i="13"/>
  <c r="F22" i="13"/>
  <c r="F23" i="13"/>
  <c r="F24" i="13"/>
  <c r="F25" i="13"/>
  <c r="F26" i="13"/>
  <c r="H8" i="13"/>
  <c r="H82" i="1"/>
  <c r="H83" i="1"/>
  <c r="H84" i="1"/>
  <c r="H68" i="1"/>
  <c r="H69" i="1"/>
  <c r="H70" i="1"/>
  <c r="H71" i="1"/>
  <c r="H72" i="1"/>
  <c r="H73" i="1"/>
  <c r="B62" i="1" l="1"/>
  <c r="B61" i="1"/>
  <c r="E202" i="1"/>
  <c r="E203" i="1"/>
  <c r="E204" i="1"/>
  <c r="E205" i="1"/>
  <c r="E206" i="1"/>
  <c r="E201" i="1"/>
  <c r="E198" i="1"/>
  <c r="E199" i="1"/>
  <c r="E197" i="1"/>
  <c r="E192" i="1"/>
  <c r="E193" i="1"/>
  <c r="E194" i="1"/>
  <c r="E195" i="1"/>
  <c r="E191" i="1"/>
  <c r="A204" i="1"/>
  <c r="A205" i="1"/>
  <c r="A206" i="1"/>
  <c r="A203" i="1"/>
  <c r="A198" i="1"/>
  <c r="A199" i="1"/>
  <c r="A200" i="1"/>
  <c r="A201" i="1"/>
  <c r="A197" i="1"/>
  <c r="A192" i="1"/>
  <c r="A193" i="1"/>
  <c r="A194" i="1"/>
  <c r="A195" i="1"/>
  <c r="A191" i="1"/>
  <c r="F206" i="1"/>
  <c r="F205" i="1"/>
  <c r="F204" i="1"/>
  <c r="F203" i="1"/>
  <c r="F202" i="1"/>
  <c r="F201" i="1"/>
  <c r="B206" i="1"/>
  <c r="B205" i="1" l="1"/>
  <c r="B204" i="1"/>
  <c r="B203" i="1" l="1"/>
  <c r="A202" i="1"/>
  <c r="F193" i="1"/>
  <c r="F199" i="1"/>
  <c r="F198" i="1"/>
  <c r="F197" i="1"/>
  <c r="E196" i="1"/>
  <c r="F195" i="1"/>
  <c r="F194" i="1"/>
  <c r="F192" i="1"/>
  <c r="F191" i="1"/>
  <c r="E190" i="1"/>
  <c r="B201" i="1"/>
  <c r="B200" i="1"/>
  <c r="B199" i="1"/>
  <c r="B198" i="1"/>
  <c r="B197" i="1"/>
  <c r="A196" i="1"/>
  <c r="B195" i="1"/>
  <c r="B194" i="1"/>
  <c r="B193" i="1"/>
  <c r="B192" i="1"/>
  <c r="B191" i="1"/>
  <c r="A190" i="1"/>
  <c r="R127" i="13" l="1"/>
  <c r="S127" i="13"/>
  <c r="T127" i="13"/>
  <c r="U127" i="13"/>
  <c r="R128" i="13"/>
  <c r="S128" i="13"/>
  <c r="T128" i="13"/>
  <c r="U128" i="13"/>
  <c r="R129" i="13"/>
  <c r="S129" i="13"/>
  <c r="T129" i="13"/>
  <c r="U129" i="13"/>
  <c r="R130" i="13"/>
  <c r="S130" i="13"/>
  <c r="T130" i="13"/>
  <c r="U130" i="13"/>
  <c r="R131" i="13"/>
  <c r="S131" i="13"/>
  <c r="T131" i="13"/>
  <c r="U131" i="13"/>
  <c r="R132" i="13"/>
  <c r="S132" i="13"/>
  <c r="T132" i="13"/>
  <c r="U132" i="13"/>
  <c r="R133" i="13"/>
  <c r="S133" i="13"/>
  <c r="T133" i="13"/>
  <c r="U133" i="13"/>
  <c r="R134" i="13"/>
  <c r="S134" i="13"/>
  <c r="T134" i="13"/>
  <c r="U134" i="13"/>
  <c r="R135" i="13"/>
  <c r="S135" i="13"/>
  <c r="T135" i="13"/>
  <c r="U135" i="13"/>
  <c r="R136" i="13"/>
  <c r="S136" i="13"/>
  <c r="T136" i="13"/>
  <c r="U136" i="13"/>
  <c r="R137" i="13"/>
  <c r="S137" i="13"/>
  <c r="T137" i="13"/>
  <c r="U137" i="13"/>
  <c r="R138" i="13"/>
  <c r="S138" i="13"/>
  <c r="T138" i="13"/>
  <c r="U138" i="13"/>
  <c r="R139" i="13"/>
  <c r="S139" i="13"/>
  <c r="T139" i="13"/>
  <c r="U139" i="13"/>
  <c r="S126" i="13"/>
  <c r="T126" i="13"/>
  <c r="U126" i="13"/>
  <c r="R126" i="13"/>
  <c r="R112" i="13"/>
  <c r="S112" i="13"/>
  <c r="T112" i="13"/>
  <c r="U112" i="13"/>
  <c r="R113" i="13"/>
  <c r="S113" i="13"/>
  <c r="T113" i="13"/>
  <c r="U113" i="13"/>
  <c r="R114" i="13"/>
  <c r="S114" i="13"/>
  <c r="T114" i="13"/>
  <c r="U114" i="13"/>
  <c r="R115" i="13"/>
  <c r="S115" i="13"/>
  <c r="T115" i="13"/>
  <c r="U115" i="13"/>
  <c r="R116" i="13"/>
  <c r="S116" i="13"/>
  <c r="T116" i="13"/>
  <c r="U116" i="13"/>
  <c r="R117" i="13"/>
  <c r="S117" i="13"/>
  <c r="T117" i="13"/>
  <c r="U117" i="13"/>
  <c r="R118" i="13"/>
  <c r="S118" i="13"/>
  <c r="T118" i="13"/>
  <c r="U118" i="13"/>
  <c r="R119" i="13"/>
  <c r="S119" i="13"/>
  <c r="T119" i="13"/>
  <c r="U119" i="13"/>
  <c r="R120" i="13"/>
  <c r="S120" i="13"/>
  <c r="T120" i="13"/>
  <c r="U120" i="13"/>
  <c r="R121" i="13"/>
  <c r="S121" i="13"/>
  <c r="T121" i="13"/>
  <c r="U121" i="13"/>
  <c r="R122" i="13"/>
  <c r="S122" i="13"/>
  <c r="T122" i="13"/>
  <c r="U122" i="13"/>
  <c r="R123" i="13"/>
  <c r="S123" i="13"/>
  <c r="T123" i="13"/>
  <c r="U123" i="13"/>
  <c r="R124" i="13"/>
  <c r="S124" i="13"/>
  <c r="T124" i="13"/>
  <c r="U124" i="13"/>
  <c r="R125" i="13"/>
  <c r="S125" i="13"/>
  <c r="T125" i="13"/>
  <c r="U125" i="13"/>
  <c r="S111" i="13"/>
  <c r="T111" i="13"/>
  <c r="U111" i="13"/>
  <c r="R111" i="13"/>
  <c r="M112" i="13"/>
  <c r="N112" i="13"/>
  <c r="M113" i="13"/>
  <c r="N113" i="13"/>
  <c r="M114" i="13"/>
  <c r="N114" i="13"/>
  <c r="M115" i="13"/>
  <c r="N115" i="13"/>
  <c r="M116" i="13"/>
  <c r="N116" i="13"/>
  <c r="M117" i="13"/>
  <c r="N117" i="13"/>
  <c r="M118" i="13"/>
  <c r="N118" i="13"/>
  <c r="M119" i="13"/>
  <c r="N119" i="13"/>
  <c r="M120" i="13"/>
  <c r="N120" i="13"/>
  <c r="M121" i="13"/>
  <c r="N121" i="13"/>
  <c r="M122" i="13"/>
  <c r="N122" i="13"/>
  <c r="M123" i="13"/>
  <c r="N123" i="13"/>
  <c r="M124" i="13"/>
  <c r="N124" i="13"/>
  <c r="M125" i="13"/>
  <c r="N125" i="13"/>
  <c r="N111" i="13"/>
  <c r="M111" i="13"/>
  <c r="L112" i="13"/>
  <c r="L113" i="13"/>
  <c r="L114" i="13"/>
  <c r="L115" i="13"/>
  <c r="L116" i="13"/>
  <c r="L117" i="13"/>
  <c r="L118" i="13"/>
  <c r="L119" i="13"/>
  <c r="L120" i="13"/>
  <c r="L121" i="13"/>
  <c r="L122" i="13"/>
  <c r="L123" i="13"/>
  <c r="L124" i="13"/>
  <c r="L125" i="13"/>
  <c r="L111" i="13"/>
  <c r="R97" i="13"/>
  <c r="S97" i="13"/>
  <c r="T97" i="13"/>
  <c r="U97" i="13"/>
  <c r="R98" i="13"/>
  <c r="S98" i="13"/>
  <c r="T98" i="13"/>
  <c r="U98" i="13"/>
  <c r="R99" i="13"/>
  <c r="S99" i="13"/>
  <c r="T99" i="13"/>
  <c r="U99" i="13"/>
  <c r="R100" i="13"/>
  <c r="S100" i="13"/>
  <c r="T100" i="13"/>
  <c r="U100" i="13"/>
  <c r="R101" i="13"/>
  <c r="S101" i="13"/>
  <c r="T101" i="13"/>
  <c r="U101" i="13"/>
  <c r="R102" i="13"/>
  <c r="S102" i="13"/>
  <c r="T102" i="13"/>
  <c r="U102" i="13"/>
  <c r="R103" i="13"/>
  <c r="S103" i="13"/>
  <c r="T103" i="13"/>
  <c r="U103" i="13"/>
  <c r="R104" i="13"/>
  <c r="S104" i="13"/>
  <c r="T104" i="13"/>
  <c r="U104" i="13"/>
  <c r="R105" i="13"/>
  <c r="S105" i="13"/>
  <c r="T105" i="13"/>
  <c r="U105" i="13"/>
  <c r="R106" i="13"/>
  <c r="S106" i="13"/>
  <c r="T106" i="13"/>
  <c r="U106" i="13"/>
  <c r="R107" i="13"/>
  <c r="S107" i="13"/>
  <c r="T107" i="13"/>
  <c r="U107" i="13"/>
  <c r="R108" i="13"/>
  <c r="S108" i="13"/>
  <c r="T108" i="13"/>
  <c r="U108" i="13"/>
  <c r="R109" i="13"/>
  <c r="S109" i="13"/>
  <c r="T109" i="13"/>
  <c r="U109" i="13"/>
  <c r="R110" i="13"/>
  <c r="S110" i="13"/>
  <c r="T110" i="13"/>
  <c r="U110" i="13"/>
  <c r="S96" i="13"/>
  <c r="T96" i="13"/>
  <c r="U96" i="13"/>
  <c r="R96" i="13"/>
  <c r="L97" i="13"/>
  <c r="M97" i="13"/>
  <c r="N97" i="13"/>
  <c r="L98" i="13"/>
  <c r="M98" i="13"/>
  <c r="N98" i="13"/>
  <c r="L99" i="13"/>
  <c r="M99" i="13"/>
  <c r="N99" i="13"/>
  <c r="L100" i="13"/>
  <c r="M100" i="13"/>
  <c r="N100" i="13"/>
  <c r="L101" i="13"/>
  <c r="M101" i="13"/>
  <c r="N101" i="13"/>
  <c r="L102" i="13"/>
  <c r="M102" i="13"/>
  <c r="N102" i="13"/>
  <c r="L103" i="13"/>
  <c r="M103" i="13"/>
  <c r="N103" i="13"/>
  <c r="L104" i="13"/>
  <c r="M104" i="13"/>
  <c r="N104" i="13"/>
  <c r="L105" i="13"/>
  <c r="M105" i="13"/>
  <c r="N105" i="13"/>
  <c r="L106" i="13"/>
  <c r="M106" i="13"/>
  <c r="N106" i="13"/>
  <c r="L107" i="13"/>
  <c r="M107" i="13"/>
  <c r="N107" i="13"/>
  <c r="L108" i="13"/>
  <c r="M108" i="13"/>
  <c r="N108" i="13"/>
  <c r="L109" i="13"/>
  <c r="M109" i="13"/>
  <c r="N109" i="13"/>
  <c r="L110" i="13"/>
  <c r="M110" i="13"/>
  <c r="N110" i="13"/>
  <c r="M96" i="13"/>
  <c r="N96" i="13"/>
  <c r="L96" i="13"/>
  <c r="R82" i="13"/>
  <c r="S82" i="13"/>
  <c r="T82" i="13"/>
  <c r="U82" i="13"/>
  <c r="R83" i="13"/>
  <c r="S83" i="13"/>
  <c r="T83" i="13"/>
  <c r="U83" i="13"/>
  <c r="R84" i="13"/>
  <c r="S84" i="13"/>
  <c r="T84" i="13"/>
  <c r="U84" i="13"/>
  <c r="R85" i="13"/>
  <c r="S85" i="13"/>
  <c r="T85" i="13"/>
  <c r="U85" i="13"/>
  <c r="R86" i="13"/>
  <c r="S86" i="13"/>
  <c r="T86" i="13"/>
  <c r="U86" i="13"/>
  <c r="R87" i="13"/>
  <c r="S87" i="13"/>
  <c r="T87" i="13"/>
  <c r="U87" i="13"/>
  <c r="R88" i="13"/>
  <c r="S88" i="13"/>
  <c r="T88" i="13"/>
  <c r="U88" i="13"/>
  <c r="R89" i="13"/>
  <c r="S89" i="13"/>
  <c r="T89" i="13"/>
  <c r="U89" i="13"/>
  <c r="R90" i="13"/>
  <c r="S90" i="13"/>
  <c r="T90" i="13"/>
  <c r="U90" i="13"/>
  <c r="R91" i="13"/>
  <c r="S91" i="13"/>
  <c r="T91" i="13"/>
  <c r="U91" i="13"/>
  <c r="R92" i="13"/>
  <c r="S92" i="13"/>
  <c r="T92" i="13"/>
  <c r="U92" i="13"/>
  <c r="R93" i="13"/>
  <c r="S93" i="13"/>
  <c r="T93" i="13"/>
  <c r="U93" i="13"/>
  <c r="R94" i="13"/>
  <c r="S94" i="13"/>
  <c r="T94" i="13"/>
  <c r="U94" i="13"/>
  <c r="R95" i="13"/>
  <c r="S95" i="13"/>
  <c r="T95" i="13"/>
  <c r="U95" i="13"/>
  <c r="S81" i="13"/>
  <c r="T81" i="13"/>
  <c r="U81" i="13"/>
  <c r="R81" i="13"/>
  <c r="L82" i="13"/>
  <c r="M82" i="13"/>
  <c r="N82" i="13"/>
  <c r="L83" i="13"/>
  <c r="M83" i="13"/>
  <c r="N83" i="13"/>
  <c r="L84" i="13"/>
  <c r="M84" i="13"/>
  <c r="N84" i="13"/>
  <c r="L85" i="13"/>
  <c r="M85" i="13"/>
  <c r="N85" i="13"/>
  <c r="L86" i="13"/>
  <c r="M86" i="13"/>
  <c r="N86" i="13"/>
  <c r="L87" i="13"/>
  <c r="M87" i="13"/>
  <c r="N87" i="13"/>
  <c r="L88" i="13"/>
  <c r="M88" i="13"/>
  <c r="N88" i="13"/>
  <c r="L89" i="13"/>
  <c r="M89" i="13"/>
  <c r="N89" i="13"/>
  <c r="L90" i="13"/>
  <c r="M90" i="13"/>
  <c r="N90" i="13"/>
  <c r="L91" i="13"/>
  <c r="M91" i="13"/>
  <c r="N91" i="13"/>
  <c r="L92" i="13"/>
  <c r="M92" i="13"/>
  <c r="N92" i="13"/>
  <c r="L93" i="13"/>
  <c r="M93" i="13"/>
  <c r="N93" i="13"/>
  <c r="L94" i="13"/>
  <c r="M94" i="13"/>
  <c r="N94" i="13"/>
  <c r="L95" i="13"/>
  <c r="M95" i="13"/>
  <c r="N95" i="13"/>
  <c r="M81" i="13"/>
  <c r="N81" i="13"/>
  <c r="L81" i="13"/>
  <c r="T80" i="13"/>
  <c r="U80" i="13"/>
  <c r="T67" i="13"/>
  <c r="U67" i="13"/>
  <c r="T68" i="13"/>
  <c r="U68" i="13"/>
  <c r="T69" i="13"/>
  <c r="U69" i="13"/>
  <c r="T70" i="13"/>
  <c r="U70" i="13"/>
  <c r="T71" i="13"/>
  <c r="U71" i="13"/>
  <c r="T72" i="13"/>
  <c r="U72" i="13"/>
  <c r="T73" i="13"/>
  <c r="U73" i="13"/>
  <c r="T74" i="13"/>
  <c r="U74" i="13"/>
  <c r="T75" i="13"/>
  <c r="U75" i="13"/>
  <c r="T76" i="13"/>
  <c r="U76" i="13"/>
  <c r="T77" i="13"/>
  <c r="U77" i="13"/>
  <c r="T78" i="13"/>
  <c r="U78" i="13"/>
  <c r="T79" i="13"/>
  <c r="U79" i="13"/>
  <c r="U66" i="13"/>
  <c r="T66" i="13"/>
  <c r="S67" i="13"/>
  <c r="S68" i="13"/>
  <c r="S69" i="13"/>
  <c r="S70" i="13"/>
  <c r="S71" i="13"/>
  <c r="S72" i="13"/>
  <c r="S73" i="13"/>
  <c r="S74" i="13"/>
  <c r="S75" i="13"/>
  <c r="S76" i="13"/>
  <c r="S77" i="13"/>
  <c r="S78" i="13"/>
  <c r="S79" i="13"/>
  <c r="S80" i="13"/>
  <c r="S66" i="13"/>
  <c r="R80" i="13"/>
  <c r="R67" i="13"/>
  <c r="R68" i="13"/>
  <c r="R69" i="13"/>
  <c r="R70" i="13"/>
  <c r="R71" i="13"/>
  <c r="R72" i="13"/>
  <c r="R73" i="13"/>
  <c r="R74" i="13"/>
  <c r="R75" i="13"/>
  <c r="R76" i="13"/>
  <c r="R77" i="13"/>
  <c r="R78" i="13"/>
  <c r="R79" i="13"/>
  <c r="R66" i="13"/>
  <c r="L67" i="13"/>
  <c r="M67" i="13"/>
  <c r="N67" i="13"/>
  <c r="L68" i="13"/>
  <c r="M68" i="13"/>
  <c r="N68" i="13"/>
  <c r="L69" i="13"/>
  <c r="M69" i="13"/>
  <c r="N69" i="13"/>
  <c r="L70" i="13"/>
  <c r="M70" i="13"/>
  <c r="N70" i="13"/>
  <c r="L71" i="13"/>
  <c r="M71" i="13"/>
  <c r="N71" i="13"/>
  <c r="L72" i="13"/>
  <c r="M72" i="13"/>
  <c r="N72" i="13"/>
  <c r="L73" i="13"/>
  <c r="M73" i="13"/>
  <c r="N73" i="13"/>
  <c r="L74" i="13"/>
  <c r="M74" i="13"/>
  <c r="N74" i="13"/>
  <c r="L75" i="13"/>
  <c r="M75" i="13"/>
  <c r="N75" i="13"/>
  <c r="L76" i="13"/>
  <c r="M76" i="13"/>
  <c r="N76" i="13"/>
  <c r="L77" i="13"/>
  <c r="M77" i="13"/>
  <c r="N77" i="13"/>
  <c r="L78" i="13"/>
  <c r="M78" i="13"/>
  <c r="N78" i="13"/>
  <c r="L79" i="13"/>
  <c r="M79" i="13"/>
  <c r="N79" i="13"/>
  <c r="L80" i="13"/>
  <c r="M80" i="13"/>
  <c r="N80" i="13"/>
  <c r="M66" i="13"/>
  <c r="N66" i="13"/>
  <c r="L66" i="13"/>
  <c r="R62" i="13"/>
  <c r="S62" i="13"/>
  <c r="R63" i="13"/>
  <c r="S63" i="13"/>
  <c r="T63" i="13"/>
  <c r="U63" i="13"/>
  <c r="R64" i="13"/>
  <c r="S64" i="13"/>
  <c r="T64" i="13"/>
  <c r="U64" i="13"/>
  <c r="R65" i="13"/>
  <c r="S65" i="13"/>
  <c r="T65" i="13"/>
  <c r="U65" i="13"/>
  <c r="F15" i="13"/>
  <c r="V98" i="13" l="1"/>
  <c r="V104" i="13"/>
  <c r="V106" i="13"/>
  <c r="V76" i="13"/>
  <c r="V72" i="13"/>
  <c r="V110" i="13"/>
  <c r="V102" i="13"/>
  <c r="V68" i="13"/>
  <c r="V108" i="13"/>
  <c r="V100" i="13"/>
  <c r="V124" i="13"/>
  <c r="V122" i="13"/>
  <c r="V120" i="13"/>
  <c r="V118" i="13"/>
  <c r="V116" i="13"/>
  <c r="V114" i="13"/>
  <c r="V112" i="13"/>
  <c r="V139" i="13"/>
  <c r="V73" i="13"/>
  <c r="V77" i="13"/>
  <c r="V137" i="13"/>
  <c r="V135" i="13"/>
  <c r="V133" i="13"/>
  <c r="V69" i="13"/>
  <c r="V78" i="13"/>
  <c r="V74" i="13"/>
  <c r="V70" i="13"/>
  <c r="V80" i="13"/>
  <c r="V109" i="13"/>
  <c r="V107" i="13"/>
  <c r="V105" i="13"/>
  <c r="V103" i="13"/>
  <c r="V101" i="13"/>
  <c r="V99" i="13"/>
  <c r="V97" i="13"/>
  <c r="V96" i="13"/>
  <c r="V131" i="13"/>
  <c r="V111" i="13"/>
  <c r="V125" i="13"/>
  <c r="V123" i="13"/>
  <c r="V121" i="13"/>
  <c r="V119" i="13"/>
  <c r="V117" i="13"/>
  <c r="V115" i="13"/>
  <c r="V113" i="13"/>
  <c r="V138" i="13"/>
  <c r="V136" i="13"/>
  <c r="V134" i="13"/>
  <c r="V132" i="13"/>
  <c r="V130" i="13"/>
  <c r="V128" i="13"/>
  <c r="V64" i="13"/>
  <c r="V94" i="13"/>
  <c r="V92" i="13"/>
  <c r="V90" i="13"/>
  <c r="V88" i="13"/>
  <c r="V81" i="13"/>
  <c r="V129" i="13"/>
  <c r="V127" i="13"/>
  <c r="V79" i="13"/>
  <c r="V75" i="13"/>
  <c r="V71" i="13"/>
  <c r="V67" i="13"/>
  <c r="V126" i="13"/>
  <c r="V86" i="13"/>
  <c r="V84" i="13"/>
  <c r="V82" i="13"/>
  <c r="V65" i="13"/>
  <c r="V63" i="13"/>
  <c r="V66" i="13"/>
  <c r="V95" i="13"/>
  <c r="V93" i="13"/>
  <c r="V91" i="13"/>
  <c r="V89" i="13"/>
  <c r="V87" i="13"/>
  <c r="V85" i="13"/>
  <c r="V83" i="13"/>
  <c r="S52" i="13"/>
  <c r="T52" i="13"/>
  <c r="U52" i="13"/>
  <c r="S53" i="13"/>
  <c r="T53" i="13"/>
  <c r="U53" i="13"/>
  <c r="S60" i="13"/>
  <c r="U60" i="13"/>
  <c r="V60" i="13" s="1"/>
  <c r="S61" i="13"/>
  <c r="R52" i="13"/>
  <c r="R53" i="13"/>
  <c r="R60" i="13"/>
  <c r="R61" i="13"/>
  <c r="U51" i="13"/>
  <c r="T51" i="13"/>
  <c r="S51" i="13"/>
  <c r="R51" i="13"/>
  <c r="N52" i="13"/>
  <c r="N53" i="13"/>
  <c r="N59" i="13"/>
  <c r="N60" i="13"/>
  <c r="N61" i="13"/>
  <c r="N62" i="13"/>
  <c r="N63" i="13"/>
  <c r="N64" i="13"/>
  <c r="N65" i="13"/>
  <c r="M52" i="13"/>
  <c r="M53" i="13"/>
  <c r="M59" i="13"/>
  <c r="M60" i="13"/>
  <c r="M61" i="13"/>
  <c r="M62" i="13"/>
  <c r="M63" i="13"/>
  <c r="M64" i="13"/>
  <c r="M65" i="13"/>
  <c r="L52" i="13"/>
  <c r="L53" i="13"/>
  <c r="L59" i="13"/>
  <c r="L60" i="13"/>
  <c r="L61" i="13"/>
  <c r="L62" i="13"/>
  <c r="L63" i="13"/>
  <c r="L64" i="13"/>
  <c r="L65" i="13"/>
  <c r="N51" i="13"/>
  <c r="M51" i="13"/>
  <c r="L51" i="13"/>
  <c r="V53" i="13" l="1"/>
  <c r="V52" i="13"/>
  <c r="V51" i="13"/>
  <c r="F127" i="13"/>
  <c r="F128" i="13"/>
  <c r="F129" i="13"/>
  <c r="F130" i="13"/>
  <c r="F131" i="13"/>
  <c r="F132" i="13"/>
  <c r="F133" i="13"/>
  <c r="F134" i="13"/>
  <c r="F135" i="13"/>
  <c r="F136" i="13"/>
  <c r="F137" i="13"/>
  <c r="F138" i="13"/>
  <c r="F139" i="13"/>
  <c r="F140" i="13"/>
  <c r="F126" i="13"/>
  <c r="F112" i="13"/>
  <c r="F113" i="13"/>
  <c r="F114" i="13"/>
  <c r="F115" i="13"/>
  <c r="F116" i="13"/>
  <c r="F117" i="13"/>
  <c r="F118" i="13"/>
  <c r="F119" i="13"/>
  <c r="F120" i="13"/>
  <c r="F121" i="13"/>
  <c r="F122" i="13"/>
  <c r="F123" i="13"/>
  <c r="F124" i="13"/>
  <c r="F125" i="13"/>
  <c r="F111" i="13"/>
  <c r="F97" i="13"/>
  <c r="F98" i="13"/>
  <c r="F99" i="13"/>
  <c r="F100" i="13"/>
  <c r="F101" i="13"/>
  <c r="F102" i="13"/>
  <c r="F103" i="13"/>
  <c r="F104" i="13"/>
  <c r="F105" i="13"/>
  <c r="F106" i="13"/>
  <c r="F107" i="13"/>
  <c r="F108" i="13"/>
  <c r="F109" i="13"/>
  <c r="F110" i="13"/>
  <c r="F96" i="13"/>
  <c r="B126" i="13"/>
  <c r="B111" i="13"/>
  <c r="B96" i="13"/>
  <c r="B81" i="13"/>
  <c r="F82" i="13"/>
  <c r="F83" i="13"/>
  <c r="F84" i="13"/>
  <c r="F85" i="13"/>
  <c r="F86" i="13"/>
  <c r="F87" i="13"/>
  <c r="F88" i="13"/>
  <c r="F89" i="13"/>
  <c r="F90" i="13"/>
  <c r="F91" i="13"/>
  <c r="F92" i="13"/>
  <c r="F93" i="13"/>
  <c r="F94" i="13"/>
  <c r="F95" i="13"/>
  <c r="F81" i="13"/>
  <c r="F80" i="13"/>
  <c r="F77" i="13"/>
  <c r="F78" i="13"/>
  <c r="F79" i="13"/>
  <c r="F67" i="13"/>
  <c r="F68" i="13"/>
  <c r="F69" i="13"/>
  <c r="F70" i="13"/>
  <c r="F71" i="13"/>
  <c r="F72" i="13"/>
  <c r="F73" i="13"/>
  <c r="F74" i="13"/>
  <c r="F75" i="13"/>
  <c r="F76" i="13"/>
  <c r="F66" i="13"/>
  <c r="F59" i="13"/>
  <c r="F60" i="13"/>
  <c r="F61" i="13"/>
  <c r="F62" i="13"/>
  <c r="F63" i="13"/>
  <c r="F64" i="13"/>
  <c r="F65" i="13"/>
  <c r="F52" i="13"/>
  <c r="F53" i="13"/>
  <c r="F51" i="13"/>
  <c r="B66" i="13"/>
  <c r="B51" i="13"/>
  <c r="T40" i="13"/>
  <c r="T41" i="13"/>
  <c r="T42" i="13"/>
  <c r="T43" i="13"/>
  <c r="T44" i="13"/>
  <c r="T45" i="13"/>
  <c r="T46" i="13"/>
  <c r="T39" i="13"/>
  <c r="T29" i="13"/>
  <c r="T30" i="13"/>
  <c r="T31" i="13"/>
  <c r="T32" i="13"/>
  <c r="T33" i="13"/>
  <c r="T34" i="13"/>
  <c r="T35" i="13"/>
  <c r="T28" i="13"/>
  <c r="A39" i="13"/>
  <c r="A28" i="13"/>
  <c r="F19" i="13"/>
  <c r="F20" i="13"/>
  <c r="F21" i="13"/>
  <c r="F18" i="13"/>
  <c r="F17" i="13"/>
  <c r="F12" i="13"/>
  <c r="T11" i="13"/>
  <c r="O11" i="13"/>
  <c r="F11" i="13"/>
  <c r="P10" i="13"/>
  <c r="H10" i="13"/>
  <c r="H9" i="13"/>
  <c r="C8" i="1"/>
  <c r="V142" i="13" l="1"/>
  <c r="D217" i="1"/>
  <c r="D216" i="1"/>
  <c r="D215" i="1"/>
  <c r="D214" i="1"/>
  <c r="A75" i="1" l="1"/>
  <c r="A178" i="1"/>
  <c r="A179" i="1"/>
  <c r="A180" i="1"/>
  <c r="A181" i="1"/>
  <c r="A182" i="1"/>
  <c r="A183" i="1"/>
  <c r="A184" i="1"/>
  <c r="A185" i="1"/>
  <c r="A186" i="1"/>
  <c r="A187" i="1"/>
  <c r="A188" i="1"/>
  <c r="A176" i="1"/>
  <c r="A177" i="1"/>
  <c r="A175" i="1"/>
  <c r="A174" i="1"/>
  <c r="B172" i="1"/>
  <c r="A158" i="1"/>
  <c r="A159" i="1"/>
  <c r="A160" i="1"/>
  <c r="A161" i="1"/>
  <c r="A162" i="1"/>
  <c r="A163" i="1"/>
  <c r="A164" i="1"/>
  <c r="A165" i="1"/>
  <c r="A166" i="1"/>
  <c r="A167" i="1"/>
  <c r="A168" i="1"/>
  <c r="A169" i="1"/>
  <c r="A170" i="1"/>
  <c r="A171" i="1"/>
  <c r="A157" i="1"/>
  <c r="B155" i="1"/>
  <c r="A141" i="1"/>
  <c r="A142" i="1"/>
  <c r="A143" i="1"/>
  <c r="A144" i="1"/>
  <c r="A145" i="1"/>
  <c r="A146" i="1"/>
  <c r="A147" i="1"/>
  <c r="A148" i="1"/>
  <c r="A149" i="1"/>
  <c r="A150" i="1"/>
  <c r="A151" i="1"/>
  <c r="A152" i="1"/>
  <c r="A153" i="1"/>
  <c r="A154" i="1"/>
  <c r="A140" i="1"/>
  <c r="B138" i="1"/>
  <c r="A135" i="1"/>
  <c r="A123" i="1"/>
  <c r="B121" i="1"/>
  <c r="A107" i="1"/>
  <c r="A108" i="1"/>
  <c r="A109" i="1"/>
  <c r="A110" i="1"/>
  <c r="A111" i="1"/>
  <c r="A112" i="1"/>
  <c r="A113" i="1"/>
  <c r="A114" i="1"/>
  <c r="A115" i="1"/>
  <c r="A116" i="1"/>
  <c r="A117" i="1"/>
  <c r="A118" i="1"/>
  <c r="A119" i="1"/>
  <c r="A120" i="1"/>
  <c r="A106" i="1"/>
  <c r="B104" i="1"/>
  <c r="A90" i="1"/>
  <c r="A91" i="1"/>
  <c r="A92" i="1"/>
  <c r="A93" i="1"/>
  <c r="A94" i="1"/>
  <c r="A95" i="1"/>
  <c r="A96" i="1"/>
  <c r="A97" i="1"/>
  <c r="A98" i="1"/>
  <c r="A99" i="1"/>
  <c r="A100" i="1"/>
  <c r="A101" i="1"/>
  <c r="A102" i="1"/>
  <c r="A103" i="1"/>
  <c r="A89" i="1"/>
  <c r="B87" i="1"/>
  <c r="H260" i="1"/>
  <c r="H261" i="1"/>
  <c r="H262" i="1"/>
  <c r="H263" i="1"/>
  <c r="H264" i="1"/>
  <c r="H265" i="1"/>
  <c r="H266" i="1"/>
  <c r="H267" i="1"/>
  <c r="H268" i="1"/>
  <c r="H269" i="1"/>
  <c r="H270" i="1"/>
  <c r="H271" i="1"/>
  <c r="H272" i="1"/>
  <c r="H273" i="1"/>
  <c r="H274" i="1"/>
  <c r="H275" i="1"/>
  <c r="H276" i="1"/>
  <c r="H277" i="1"/>
  <c r="H278" i="1"/>
  <c r="H259" i="1"/>
  <c r="F260" i="1"/>
  <c r="F261" i="1"/>
  <c r="F262" i="1"/>
  <c r="F263" i="1"/>
  <c r="F264" i="1"/>
  <c r="F265" i="1"/>
  <c r="F266" i="1"/>
  <c r="F267" i="1"/>
  <c r="F268" i="1"/>
  <c r="F269" i="1"/>
  <c r="F270" i="1"/>
  <c r="F271" i="1"/>
  <c r="F272" i="1"/>
  <c r="F273" i="1"/>
  <c r="F274" i="1"/>
  <c r="F275" i="1"/>
  <c r="F276" i="1"/>
  <c r="F277" i="1"/>
  <c r="F278" i="1"/>
  <c r="C260" i="1"/>
  <c r="C261" i="1"/>
  <c r="C262" i="1"/>
  <c r="C263" i="1"/>
  <c r="C264" i="1"/>
  <c r="C265" i="1"/>
  <c r="C266" i="1"/>
  <c r="C267" i="1"/>
  <c r="C268" i="1"/>
  <c r="C269" i="1"/>
  <c r="C270" i="1"/>
  <c r="C271" i="1"/>
  <c r="C272" i="1"/>
  <c r="C273" i="1"/>
  <c r="C274" i="1"/>
  <c r="C275" i="1"/>
  <c r="C276" i="1"/>
  <c r="C277" i="1"/>
  <c r="C278" i="1"/>
  <c r="C259" i="1"/>
  <c r="A260" i="1"/>
  <c r="A261" i="1"/>
  <c r="A262" i="1"/>
  <c r="A263" i="1"/>
  <c r="A264" i="1"/>
  <c r="A265" i="1"/>
  <c r="A266" i="1"/>
  <c r="A267" i="1"/>
  <c r="A268" i="1"/>
  <c r="A269" i="1"/>
  <c r="A270" i="1"/>
  <c r="A271" i="1"/>
  <c r="A272" i="1"/>
  <c r="A273" i="1"/>
  <c r="A274" i="1"/>
  <c r="A275" i="1"/>
  <c r="A276" i="1"/>
  <c r="A277" i="1"/>
  <c r="A278" i="1"/>
  <c r="A259" i="1"/>
  <c r="H220" i="1"/>
  <c r="C220" i="1"/>
  <c r="F220" i="1"/>
  <c r="A220" i="1"/>
  <c r="H81" i="1"/>
  <c r="H80" i="1"/>
  <c r="H79" i="1"/>
  <c r="H78" i="1"/>
  <c r="H77" i="1"/>
  <c r="H76" i="1"/>
  <c r="H75" i="1"/>
  <c r="C9" i="1"/>
  <c r="E10" i="1"/>
  <c r="A26" i="1" l="1"/>
  <c r="B15" i="1"/>
  <c r="B14" i="1"/>
  <c r="H10" i="1"/>
  <c r="B10" i="1"/>
  <c r="F9" i="1"/>
  <c r="C7" i="1"/>
  <c r="H65" i="1" l="1"/>
  <c r="H66" i="1"/>
  <c r="H67" i="1"/>
  <c r="H64" i="1"/>
  <c r="A64" i="1"/>
  <c r="B60" i="1"/>
  <c r="B59" i="1"/>
  <c r="B58" i="1"/>
  <c r="B57" i="1"/>
  <c r="B56" i="1"/>
  <c r="B55" i="1"/>
  <c r="B54" i="1"/>
</calcChain>
</file>

<file path=xl/comments1.xml><?xml version="1.0" encoding="utf-8"?>
<comments xmlns="http://schemas.openxmlformats.org/spreadsheetml/2006/main">
  <authors>
    <author>Vice Academica</author>
  </authors>
  <commentList>
    <comment ref="F10" authorId="0" shapeId="0">
      <text>
        <r>
          <rPr>
            <b/>
            <sz val="9"/>
            <color indexed="81"/>
            <rFont val="Tahoma"/>
            <family val="2"/>
          </rPr>
          <t>Vice Academica:</t>
        </r>
        <r>
          <rPr>
            <sz val="9"/>
            <color indexed="81"/>
            <rFont val="Tahoma"/>
            <family val="2"/>
          </rPr>
          <t xml:space="preserve">
</t>
        </r>
      </text>
    </comment>
    <comment ref="A24" authorId="0" shapeId="0">
      <text>
        <r>
          <rPr>
            <b/>
            <sz val="9"/>
            <color indexed="81"/>
            <rFont val="Tahoma"/>
            <family val="2"/>
          </rPr>
          <t>Vice Academica:</t>
        </r>
        <r>
          <rPr>
            <sz val="9"/>
            <color indexed="81"/>
            <rFont val="Tahoma"/>
            <family val="2"/>
          </rPr>
          <t xml:space="preserve">
Realizar un resumen de la asignatura (Máximo 3,000 caracteres)</t>
        </r>
      </text>
    </comment>
    <comment ref="A25" authorId="0" shapeId="0">
      <text>
        <r>
          <rPr>
            <b/>
            <sz val="9"/>
            <color indexed="81"/>
            <rFont val="Tahoma"/>
            <family val="2"/>
          </rPr>
          <t>Vice Academica:</t>
        </r>
        <r>
          <rPr>
            <sz val="9"/>
            <color indexed="81"/>
            <rFont val="Tahoma"/>
            <family val="2"/>
          </rPr>
          <t xml:space="preserve">
Vice Academica:
Realizar un resumen de la asignatura (Máximo 3,000 caracteres)</t>
        </r>
      </text>
    </comment>
  </commentList>
</comments>
</file>

<file path=xl/comments2.xml><?xml version="1.0" encoding="utf-8"?>
<comments xmlns="http://schemas.openxmlformats.org/spreadsheetml/2006/main">
  <authors>
    <author>Vice Academica</author>
  </authors>
  <commentList>
    <comment ref="B19" authorId="0" shapeId="0">
      <text>
        <r>
          <rPr>
            <b/>
            <sz val="9"/>
            <color indexed="81"/>
            <rFont val="Tahoma"/>
            <family val="2"/>
          </rPr>
          <t>Vice Academica:</t>
        </r>
        <r>
          <rPr>
            <sz val="9"/>
            <color indexed="81"/>
            <rFont val="Tahoma"/>
            <family val="2"/>
          </rPr>
          <t xml:space="preserve">
Aquí va el resultado de Aprendizaje</t>
        </r>
      </text>
    </comment>
  </commentList>
</comments>
</file>

<file path=xl/comments3.xml><?xml version="1.0" encoding="utf-8"?>
<comments xmlns="http://schemas.openxmlformats.org/spreadsheetml/2006/main">
  <authors>
    <author>Vice Academica</author>
  </authors>
  <commentList>
    <comment ref="B8" authorId="0" shapeId="0">
      <text>
        <r>
          <rPr>
            <b/>
            <sz val="9"/>
            <color indexed="81"/>
            <rFont val="Tahoma"/>
            <family val="2"/>
          </rPr>
          <t>Vice Academica:</t>
        </r>
        <r>
          <rPr>
            <sz val="9"/>
            <color indexed="81"/>
            <rFont val="Tahoma"/>
            <family val="2"/>
          </rPr>
          <t xml:space="preserve">
Aquí poner el nombre de la temática</t>
        </r>
      </text>
    </comment>
  </commentList>
</comments>
</file>

<file path=xl/sharedStrings.xml><?xml version="1.0" encoding="utf-8"?>
<sst xmlns="http://schemas.openxmlformats.org/spreadsheetml/2006/main" count="491" uniqueCount="307">
  <si>
    <t>RAP 1</t>
  </si>
  <si>
    <t>RAP 2</t>
  </si>
  <si>
    <t>RAP 3</t>
  </si>
  <si>
    <t>Estrategias de Aprendizaje</t>
  </si>
  <si>
    <t>Tipo del curso</t>
  </si>
  <si>
    <t>CONTENIDO MICRO-CURRICULAR</t>
  </si>
  <si>
    <t>X</t>
  </si>
  <si>
    <t>RAP 4</t>
  </si>
  <si>
    <t>Administracion De Empresas</t>
  </si>
  <si>
    <t>Administracion De Empresas - Mod. Virtual</t>
  </si>
  <si>
    <t>Administracion De Empresas Agropecuarias</t>
  </si>
  <si>
    <t>Administracion Empresas Agropecuarias - Mod.Virtual</t>
  </si>
  <si>
    <t>Arquitectura</t>
  </si>
  <si>
    <t>Comunicacion Social</t>
  </si>
  <si>
    <t>Comunicacion Social - Mod. Virtual</t>
  </si>
  <si>
    <t>Contaduria Publica</t>
  </si>
  <si>
    <t>Derecho</t>
  </si>
  <si>
    <t>Ecologia</t>
  </si>
  <si>
    <t>Economia</t>
  </si>
  <si>
    <t>Especializacion En Derecho Constitucional</t>
  </si>
  <si>
    <t>Especializacion En Derecho Procesal</t>
  </si>
  <si>
    <t>Especializacion En  Riesgo de desastres integrada a la planificación Territorial</t>
  </si>
  <si>
    <t>Especializacion En Psicologia Educativa</t>
  </si>
  <si>
    <t>Especializacion En Psicologia Social Comunitaria</t>
  </si>
  <si>
    <t>Especializacion Gerencia Del Talento Humano</t>
  </si>
  <si>
    <t>Ingenieria De Sistemas</t>
  </si>
  <si>
    <t>Ingenieria Industrial</t>
  </si>
  <si>
    <t>Licenciatura En Educacion Basica Con Enfasis En Educacion Artistica</t>
  </si>
  <si>
    <t>Licenciatura En Educación Artística Y Cultural</t>
  </si>
  <si>
    <t>Psicologia</t>
  </si>
  <si>
    <t>Trabajo Social</t>
  </si>
  <si>
    <t>Ingeniería Agroecologica</t>
  </si>
  <si>
    <t>Nombre de los Programas</t>
  </si>
  <si>
    <t>Semestre</t>
  </si>
  <si>
    <t>I</t>
  </si>
  <si>
    <t>II</t>
  </si>
  <si>
    <t>III</t>
  </si>
  <si>
    <t>IV</t>
  </si>
  <si>
    <t>V</t>
  </si>
  <si>
    <t>VI</t>
  </si>
  <si>
    <t>VII</t>
  </si>
  <si>
    <t>VIII</t>
  </si>
  <si>
    <t>IX</t>
  </si>
  <si>
    <t>Posgrado</t>
  </si>
  <si>
    <t xml:space="preserve">Teórico </t>
  </si>
  <si>
    <t>Práctico</t>
  </si>
  <si>
    <t>Teórico Práctico</t>
  </si>
  <si>
    <t>Habilitable</t>
  </si>
  <si>
    <t>No Habilitable</t>
  </si>
  <si>
    <r>
      <t>RESULTADOS DE APRENDIZAJE DE PROGRAMA (RAP)</t>
    </r>
    <r>
      <rPr>
        <b/>
        <sz val="11"/>
        <color rgb="FFFF0000"/>
        <rFont val="Calibri"/>
        <family val="2"/>
        <scheme val="minor"/>
      </rPr>
      <t xml:space="preserve"> (Que el micro currículo tributa)</t>
    </r>
  </si>
  <si>
    <t>RAC 1</t>
  </si>
  <si>
    <t>RAP 5</t>
  </si>
  <si>
    <t>Tributa a RAP</t>
  </si>
  <si>
    <t>Asignatura 
Habilitable</t>
  </si>
  <si>
    <t>Marque X</t>
  </si>
  <si>
    <t>Asignatura Habilitable:</t>
  </si>
  <si>
    <t>RAP 6</t>
  </si>
  <si>
    <t>RAP 7</t>
  </si>
  <si>
    <t>RAP 8</t>
  </si>
  <si>
    <t>CONTENIDO:</t>
  </si>
  <si>
    <t>Nombre del Tema 1:</t>
  </si>
  <si>
    <t>Nombre del Tema 2:</t>
  </si>
  <si>
    <t>Nombre del Tema 3:</t>
  </si>
  <si>
    <t>Nombre del Tema 4:</t>
  </si>
  <si>
    <t>Nombre del Tema 5:</t>
  </si>
  <si>
    <t>Nombre del Tema 6:</t>
  </si>
  <si>
    <t xml:space="preserve">Horas Trabajo Independiente </t>
  </si>
  <si>
    <t>Código de Asignatura</t>
  </si>
  <si>
    <t>Nombre de la Asignatura</t>
  </si>
  <si>
    <t>Programa Académico</t>
  </si>
  <si>
    <t>Semestre:</t>
  </si>
  <si>
    <t>Horas Acompañamiento Directo:</t>
  </si>
  <si>
    <t>Número de Créditos:</t>
  </si>
  <si>
    <t>Conocimientos Previos</t>
  </si>
  <si>
    <t>Descripción de la Asignatura</t>
  </si>
  <si>
    <t xml:space="preserve">Seleccione </t>
  </si>
  <si>
    <t>Lección Magistral</t>
  </si>
  <si>
    <t>Estudios de Caso</t>
  </si>
  <si>
    <t>Aprendizaje Orientado a Proyecto</t>
  </si>
  <si>
    <t>Aprendizaje Colaborativo</t>
  </si>
  <si>
    <t>Aprendizaje Basado en Problemas</t>
  </si>
  <si>
    <t xml:space="preserve">El método de Problemas </t>
  </si>
  <si>
    <t xml:space="preserve">El método del juego de roles </t>
  </si>
  <si>
    <t>El método de situaciones (o de casos)</t>
  </si>
  <si>
    <t>El método de indagación</t>
  </si>
  <si>
    <t>La tutoría</t>
  </si>
  <si>
    <t xml:space="preserve">La enseñanza por descubrimiento </t>
  </si>
  <si>
    <t>El método de proyectos</t>
  </si>
  <si>
    <t xml:space="preserve">La enseñanza tradicional </t>
  </si>
  <si>
    <t>La enseñanza expositiva</t>
  </si>
  <si>
    <t>N°</t>
  </si>
  <si>
    <t>Estrategias centrada en el proceso y/o mediaciones didácticas</t>
  </si>
  <si>
    <t>El seminario investigativo.</t>
  </si>
  <si>
    <t>La enseñanza mediante el conflicto cognitivo.</t>
  </si>
  <si>
    <t>La enseñanza mediante la investigación dirigida.</t>
  </si>
  <si>
    <t>El taller educativo</t>
  </si>
  <si>
    <t>Estrategias centradas en el objeto de conocimiento.</t>
  </si>
  <si>
    <t>Las prácticas o pasantías.</t>
  </si>
  <si>
    <t>La enseñanza por expliación y contrastación de modelos.</t>
  </si>
  <si>
    <t>La enseñanza basada en analogías o aprendizajes por transferencia análogica.</t>
  </si>
  <si>
    <t>La enseñanza por comprensión.</t>
  </si>
  <si>
    <t>El modelo didáctico operativo.</t>
  </si>
  <si>
    <t>El método de los cuatro pasos.</t>
  </si>
  <si>
    <t>La simulación.</t>
  </si>
  <si>
    <t>Estrategias centrada en el docente</t>
  </si>
  <si>
    <t>Estrategias centrada en el alumno</t>
  </si>
  <si>
    <t>Rubrica de Evaluación</t>
  </si>
  <si>
    <t>Conocimientos, dominio del tema</t>
  </si>
  <si>
    <t xml:space="preserve">Recursos Utilizados, Desarrollo </t>
  </si>
  <si>
    <t>Comunicación, Respeto</t>
  </si>
  <si>
    <t>Excelente</t>
  </si>
  <si>
    <t>Bueno</t>
  </si>
  <si>
    <t>Deficiente</t>
  </si>
  <si>
    <t>Insuficiente</t>
  </si>
  <si>
    <t>Dominio/ Conocimiento</t>
  </si>
  <si>
    <t>Recursos Utilizados</t>
  </si>
  <si>
    <t>Desarrollo</t>
  </si>
  <si>
    <t>Comunicación</t>
  </si>
  <si>
    <t>Respeto</t>
  </si>
  <si>
    <t>Sabe aclarar todas las dudas sobre el tema con ideas claras y precisas incluso va más allá del límite de la respuesta</t>
  </si>
  <si>
    <t>En algunos en algunas preguntas emite respuestas adecuadas y en otras solo son superficiales</t>
  </si>
  <si>
    <t>No sabe aclarar ninguna duda presentada por los compañeros y del docente</t>
  </si>
  <si>
    <t>Muestra respeto por el tema tratado pero la forma de responder a sus compañeros no es del todo correcta</t>
  </si>
  <si>
    <t>Criterio de Valoración</t>
  </si>
  <si>
    <t>Poco dominio sus respuestas demuestran imprecisión que obligan a solicitar mayor aclaración</t>
  </si>
  <si>
    <t>No hay dominio del tema lo que no le permite responder correctamente las preguntas</t>
  </si>
  <si>
    <t>Sabe aclarar las dudas de los compañeros sin ir más allá</t>
  </si>
  <si>
    <t>Muestra respeto por el tema tratado y por sus compañeros que requieren alguna  aclaración</t>
  </si>
  <si>
    <t>Muestra poco respeto por el tema tratado y sus respuestas a sus compañeros denota sarcasmo y despectividad</t>
  </si>
  <si>
    <t>Escala de valoración</t>
  </si>
  <si>
    <t>Descripción del Desempeño</t>
  </si>
  <si>
    <t xml:space="preserve">El saber hacer </t>
  </si>
  <si>
    <t>El ser</t>
  </si>
  <si>
    <t xml:space="preserve">El saber </t>
  </si>
  <si>
    <t>Desde</t>
  </si>
  <si>
    <t>Hasta</t>
  </si>
  <si>
    <t>BIBLIOGRAFIA</t>
  </si>
  <si>
    <t>AUTOR (ES)</t>
  </si>
  <si>
    <t>TITULO</t>
  </si>
  <si>
    <t>Editorial</t>
  </si>
  <si>
    <t>Edición y/ o Año</t>
  </si>
  <si>
    <t>CIBERGRAFÍA</t>
  </si>
  <si>
    <t>Recuperado Día/Mes/Año</t>
  </si>
  <si>
    <t xml:space="preserve">Disponible en
&lt;URL&gt;
</t>
  </si>
  <si>
    <t>Escoja la estrategia utilizar, marque con X al lado izquierdo</t>
  </si>
  <si>
    <r>
      <t>RESULTADOS DE APRENDIZAJE DE CURSO (RAC)</t>
    </r>
    <r>
      <rPr>
        <b/>
        <sz val="9"/>
        <color rgb="FFFF0000"/>
        <rFont val="Arial"/>
        <family val="2"/>
      </rPr>
      <t xml:space="preserve"> (En caso de formular un RAC adicional inserte una fila Y AGREGUE LA TRIBBUTACIÓN)</t>
    </r>
  </si>
  <si>
    <t>La elaboración de RAC, se realiza basado en la taxonomia de Bloom: Semestres de (9) y (10)</t>
  </si>
  <si>
    <t>RAC 2</t>
  </si>
  <si>
    <r>
      <t xml:space="preserve">Descripción de la Asignatura  </t>
    </r>
    <r>
      <rPr>
        <b/>
        <sz val="9"/>
        <color rgb="FFFFFF00"/>
        <rFont val="Arial"/>
        <family val="2"/>
      </rPr>
      <t>(Máximo 3,000 caracteres)</t>
    </r>
  </si>
  <si>
    <t>El ser y el convivir</t>
  </si>
  <si>
    <r>
      <t xml:space="preserve">Otros </t>
    </r>
    <r>
      <rPr>
        <b/>
        <sz val="11"/>
        <color rgb="FFFFFF00"/>
        <rFont val="Arial"/>
        <family val="2"/>
      </rPr>
      <t>(Describir cuales) y marcarlas al lado izquierdo con una X</t>
    </r>
  </si>
  <si>
    <t>INSTRUCCIONES PARA DILIGENCIAMIENTO DE LA PLANTILLA DE MICROCURRÍCULOS</t>
  </si>
  <si>
    <t>La plantilla esta compuesta de (6) partes de las cuales solo se puede diligenciar (5), en los espacios en blanco. Se debe tener en cuenta que, la última hoja denominada Principal, es la hoja que debe ser impresa y entregada a registro. Adicionalmente se debe aclarar que la hoja se encuentra protegida a excepción de la fecha de actualización, y el acta de comité donde se aprobó el microcurrículo.</t>
  </si>
  <si>
    <t>Notas de Aclaración:</t>
  </si>
  <si>
    <t>Esta hoja corresponde a la información relacionada con el programa, código de asignatura, horas trabajo independiente, número de créditos, horas acompañamiento directo, conocimientos previos, descripción de la asignatura y determinar si es o no habilitable.</t>
  </si>
  <si>
    <t>2. RAP - RAC</t>
  </si>
  <si>
    <t>1. INICIAL:</t>
  </si>
  <si>
    <t>3. ESTRATEG. APRENDIZAJE</t>
  </si>
  <si>
    <r>
      <rPr>
        <b/>
        <i/>
        <sz val="11"/>
        <rFont val="Calibri"/>
        <family val="2"/>
        <scheme val="minor"/>
      </rPr>
      <t xml:space="preserve">Esta hoja corresponde a la información relacionada con los resultados de aprendizaje de programa (RAP) y los resultados de aprendizaje de curso (RAC). </t>
    </r>
    <r>
      <rPr>
        <i/>
        <sz val="11"/>
        <rFont val="Calibri"/>
        <family val="2"/>
        <scheme val="minor"/>
      </rPr>
      <t xml:space="preserve">
1. Los resultados que se describan en este Microcurrilculo, debe ser nombrados todos los del programa
2. De acuerdo a los lineamientos institucionales por cada asignatura se debe generar un (1) ó máximo (2) resultados de aprendizaje de curso,  el docente que genere o requeriera campos adicionales debe generar una solicitud a la </t>
    </r>
    <r>
      <rPr>
        <b/>
        <i/>
        <u/>
        <sz val="11"/>
        <color rgb="FFC00000"/>
        <rFont val="Calibri"/>
        <family val="2"/>
        <scheme val="minor"/>
      </rPr>
      <t xml:space="preserve">coord.gestioncurricular@fup.edu.co </t>
    </r>
    <r>
      <rPr>
        <i/>
        <sz val="11"/>
        <rFont val="Calibri"/>
        <family val="2"/>
        <scheme val="minor"/>
      </rPr>
      <t>para la edición de la plantilla.
3. Por cada Resultado de Aprendizaje de curso se debe marcar a cual RAP esta tributando.</t>
    </r>
  </si>
  <si>
    <t>Esta hoja describe las diferentes estrategias que se utilizan para el aprendizaje, el docente debe marcar con una X al lado izquierdo, para mencionar la que va utilizar en el desarrollo de la asignatura.
Si el docente no encuentra alguna estrategía con la cual se sienta identificado, en la parte inferior hay disponibles (3) renglones para mencionar la que utiliza.</t>
  </si>
  <si>
    <t>4. CONTENIDO</t>
  </si>
  <si>
    <t>Esta hoja cuenta con un espacio para diligenciar el título de la tematica en cada unidad, y cuenta con 15 renglones para decribir los temas.</t>
  </si>
  <si>
    <t>5. BIBLIOGRAFIA-CIBERGRAFIA</t>
  </si>
  <si>
    <t>Esta hoja cuenta con un espacio para diligenciar la bibliografia, y la cibergrafía, es importante recordar utilizar el material tambien generado por investigación intern, de los profes y estudiantes investigadores.</t>
  </si>
  <si>
    <t>PRINCIPAL</t>
  </si>
  <si>
    <r>
      <t xml:space="preserve">Esta hoja no es editable en su contenido, solo se puede actualizar la fecha de aprobación del comité curricular.
</t>
    </r>
    <r>
      <rPr>
        <b/>
        <i/>
        <sz val="11"/>
        <rFont val="Calibri"/>
        <family val="2"/>
        <scheme val="minor"/>
      </rPr>
      <t xml:space="preserve">NOTA: </t>
    </r>
    <r>
      <rPr>
        <i/>
        <sz val="11"/>
        <rFont val="Calibri"/>
        <family val="2"/>
        <scheme val="minor"/>
      </rPr>
      <t>En esta hoja se encuentran descritas las rúbricas las cuales son lineamientos institucionales, si el docente genera rúbricas diferentes, al momento de entregar el archivo de notas, debe convertitrlas en las establoecidas de manera institucional.</t>
    </r>
  </si>
  <si>
    <t>Descripción de la Actividad Curricular:</t>
  </si>
  <si>
    <t>Nombre del Docente:</t>
  </si>
  <si>
    <t>Nombre de la Asignatura:</t>
  </si>
  <si>
    <t>Unidad Temática</t>
  </si>
  <si>
    <t>Temas de la unidad temática</t>
  </si>
  <si>
    <t>Fecha</t>
  </si>
  <si>
    <t>Día</t>
  </si>
  <si>
    <t>Mes</t>
  </si>
  <si>
    <t>Año</t>
  </si>
  <si>
    <t>Horas Totales</t>
  </si>
  <si>
    <t>Hr. I</t>
  </si>
  <si>
    <t>Hr. P</t>
  </si>
  <si>
    <t>Presencial</t>
  </si>
  <si>
    <t>independiente</t>
  </si>
  <si>
    <t>Estrategia Pedagógica
Actividad</t>
  </si>
  <si>
    <t>OBJETIVO ESPECÍFICO POR UNIDAD</t>
  </si>
  <si>
    <t>Unidad Tématica</t>
  </si>
  <si>
    <t>Documentos Sugeridos</t>
  </si>
  <si>
    <t>Observaciones</t>
  </si>
  <si>
    <t>VoBo</t>
  </si>
  <si>
    <t>Acta N°</t>
  </si>
  <si>
    <t>Fecha:</t>
  </si>
  <si>
    <t>RESULTADOS DE APRENDIZAJE DE PROGRAMA (RAP) (Que el micro currículo tributa)</t>
  </si>
  <si>
    <t>RESULTADOS DE APRENDIZAJE DEL CURSO (RAC)  
Nota: En caso de formular un RAC adicional inserte un cuadro adicional</t>
  </si>
  <si>
    <t>TEMATICA</t>
  </si>
  <si>
    <t>PRESENCIAL</t>
  </si>
  <si>
    <t>PORCENTAJE</t>
  </si>
  <si>
    <t>INDEPENDIENTE</t>
  </si>
  <si>
    <t xml:space="preserve"> AÑO</t>
  </si>
  <si>
    <t xml:space="preserve">  MES  </t>
  </si>
  <si>
    <t xml:space="preserve">DÍA     </t>
  </si>
  <si>
    <t xml:space="preserve">Fecha </t>
  </si>
  <si>
    <t>CONTENIDO</t>
  </si>
  <si>
    <t>Presenta recursos pero no son utilizados</t>
  </si>
  <si>
    <t>Tiene excelente dominio del tema, comunica claramente las ideas y frente a las preguntas emite respuestas precisas</t>
  </si>
  <si>
    <t>No demuestra respeto por el tema ni por sus compañeros dando respuestas inapropiadas</t>
  </si>
  <si>
    <t>GESTIÓN CURRICULAR</t>
  </si>
  <si>
    <t>DOCENCIA</t>
  </si>
  <si>
    <t>PLANEADOR DOCENTE</t>
  </si>
  <si>
    <t>SECCIÓN 1 
INICIAL</t>
  </si>
  <si>
    <t>SECCIÓN 2 
RAP-RAC</t>
  </si>
  <si>
    <t>SECCIÓN 3 
ESTRATEGIA DE APRENDIZAJE</t>
  </si>
  <si>
    <t>SECCIÓN 5
BIBLIOGRAFIA-CIBERGRAFIA</t>
  </si>
  <si>
    <t>SECCIÓN 6
RÚBRICAS</t>
  </si>
  <si>
    <t>Código: FO-CU-07</t>
  </si>
  <si>
    <t xml:space="preserve">dia </t>
  </si>
  <si>
    <t>mes</t>
  </si>
  <si>
    <t xml:space="preserve">año </t>
  </si>
  <si>
    <t>Hr trabajo Presencial</t>
  </si>
  <si>
    <t>Hr Trabajo Independiente</t>
  </si>
  <si>
    <t>Estrategís Pedagógica (Presencial)</t>
  </si>
  <si>
    <t>Estrategís Pedagógica (Independiente)</t>
  </si>
  <si>
    <t># Estrategia</t>
  </si>
  <si>
    <t>Exposición del Académico</t>
  </si>
  <si>
    <t>Lectura dirigida</t>
  </si>
  <si>
    <t>Revisión Bibliográfica</t>
  </si>
  <si>
    <t>Problemas Reales</t>
  </si>
  <si>
    <t>Análisis completo del Problema</t>
  </si>
  <si>
    <t>Desarrollo de Guías</t>
  </si>
  <si>
    <t>Realización de un Proyecto</t>
  </si>
  <si>
    <t>Resolver problemas o Actividades.</t>
  </si>
  <si>
    <t>Asumir Responsabilidades</t>
  </si>
  <si>
    <t>Guías y procedimientos</t>
  </si>
  <si>
    <t xml:space="preserve">Integración de grupos
</t>
  </si>
  <si>
    <t>Foro del Diálogo</t>
  </si>
  <si>
    <t xml:space="preserve">Panel de discusión </t>
  </si>
  <si>
    <t>Seminario</t>
  </si>
  <si>
    <t>Conferencia</t>
  </si>
  <si>
    <t>Visitas de Campo o empresarial</t>
  </si>
  <si>
    <t>Prácticas de Laboratorio</t>
  </si>
  <si>
    <t>1_1</t>
  </si>
  <si>
    <t>1_2</t>
  </si>
  <si>
    <t>1_3</t>
  </si>
  <si>
    <t>1_4</t>
  </si>
  <si>
    <t>1_5</t>
  </si>
  <si>
    <t>2_1</t>
  </si>
  <si>
    <t>2_2</t>
  </si>
  <si>
    <t>2_3</t>
  </si>
  <si>
    <t>2_4</t>
  </si>
  <si>
    <t>2_5</t>
  </si>
  <si>
    <t>3_1</t>
  </si>
  <si>
    <t>3_2</t>
  </si>
  <si>
    <t>3_3</t>
  </si>
  <si>
    <t>3_4</t>
  </si>
  <si>
    <t>4_1</t>
  </si>
  <si>
    <t>4_2</t>
  </si>
  <si>
    <t>4_3</t>
  </si>
  <si>
    <t>Participación en Proyectos de Investigación</t>
  </si>
  <si>
    <t>El profesor como facilitador</t>
  </si>
  <si>
    <t>Situaciones Problemáticas de contexto real</t>
  </si>
  <si>
    <t>Simulaciones</t>
  </si>
  <si>
    <t>5_1</t>
  </si>
  <si>
    <t>5_2</t>
  </si>
  <si>
    <t>5_3</t>
  </si>
  <si>
    <t>6_1</t>
  </si>
  <si>
    <t>6_2</t>
  </si>
  <si>
    <t>3_5</t>
  </si>
  <si>
    <t>Código: FO-CU-005</t>
  </si>
  <si>
    <t>Versión: 01</t>
  </si>
  <si>
    <t>Talleres teóricos - prácticos (Talleres teniendo en cuenta el ABP)</t>
  </si>
  <si>
    <t>Otros</t>
  </si>
  <si>
    <t>La clase Invertida - The Flipped Classroom.</t>
  </si>
  <si>
    <t>RAP 9</t>
  </si>
  <si>
    <t>RAP 10</t>
  </si>
  <si>
    <t>utiliza pocos recursos y solo son utilizados en algunos momentos de su proceso académico.</t>
  </si>
  <si>
    <t>Presenta y utiliza recursos didácticos, aunque no le saca el mayor provecho  para el desarrollo de su proceso académico.</t>
  </si>
  <si>
    <t>Hace empleo adecuado de los recursos didácticos, sacándole el mayor provecho, lo que resulta favorable para el desarrollo de su proceso académico.</t>
  </si>
  <si>
    <t>Aprovecha y se ajusta al tiempo asignado, para la entrega de sus actividades académicas.</t>
  </si>
  <si>
    <t xml:space="preserve">Se ajusta al tiempo asignado, en algunas ocasiones,para la entrega de sus actividades académicas. </t>
  </si>
  <si>
    <t>El tiempo asignado no lo utiliza 
adecuadamente en la entrega de las actividades académicas.</t>
  </si>
  <si>
    <t>Escribir el nombre del Docente</t>
  </si>
  <si>
    <t>RESULTADOS DE APRENDIZAJE DE PROGRAMA (RAP)</t>
  </si>
  <si>
    <t>S.T</t>
  </si>
  <si>
    <r>
      <t xml:space="preserve"> S.T</t>
    </r>
    <r>
      <rPr>
        <b/>
        <sz val="10"/>
        <color theme="1"/>
        <rFont val="Times New Roman"/>
        <family val="1"/>
      </rPr>
      <t> </t>
    </r>
  </si>
  <si>
    <r>
      <t xml:space="preserve"> TOTAL</t>
    </r>
    <r>
      <rPr>
        <b/>
        <sz val="10"/>
        <color theme="1"/>
        <rFont val="Times New Roman"/>
        <family val="1"/>
      </rPr>
      <t> </t>
    </r>
    <r>
      <rPr>
        <b/>
        <sz val="10"/>
        <color theme="1"/>
        <rFont val="Arial"/>
        <family val="2"/>
      </rPr>
      <t>:</t>
    </r>
  </si>
  <si>
    <t>6_3</t>
  </si>
  <si>
    <t>6_4</t>
  </si>
  <si>
    <t>6_5</t>
  </si>
  <si>
    <t>6_6</t>
  </si>
  <si>
    <r>
      <t xml:space="preserve">Estrategía Pedagógica (Presencial)
</t>
    </r>
    <r>
      <rPr>
        <i/>
        <sz val="9"/>
        <color rgb="FFFF0000"/>
        <rFont val="Arial"/>
        <family val="2"/>
      </rPr>
      <t>Revisar las del punto 3</t>
    </r>
  </si>
  <si>
    <r>
      <t xml:space="preserve">Estrategía Pedagógica (Independiente)
</t>
    </r>
    <r>
      <rPr>
        <i/>
        <sz val="9"/>
        <color rgb="FFFF0000"/>
        <rFont val="Arial"/>
        <family val="2"/>
      </rPr>
      <t>Revisar las del punto 3</t>
    </r>
  </si>
  <si>
    <t>5_4</t>
  </si>
  <si>
    <t>objetivo especifico por 
Unidad 1</t>
  </si>
  <si>
    <t>objetivo especifico por 
Unidad 2</t>
  </si>
  <si>
    <t>objetivo especifico por 
Unidad 3</t>
  </si>
  <si>
    <t>objetivo especifico por 
Unidad 4</t>
  </si>
  <si>
    <t>objetivo especifico por 
Unidad 5</t>
  </si>
  <si>
    <t>objetivo especifico por 
Unidad 6</t>
  </si>
  <si>
    <t>2.96</t>
  </si>
  <si>
    <t xml:space="preserve">SECCIÓN 4
CONTENIDO Esta sección se diligencia los contenidos orientados.
Por favor no eliminar filas ni casillas </t>
  </si>
  <si>
    <t>Dedica mucho tiempo algunos aspectos, lo que hace que demore en la entrega de sus actividades.</t>
  </si>
  <si>
    <t>Maneja el Dominio del tema, aunque algunas ideas no quedan muy claras y hay error en la respuesta de una pregunta</t>
  </si>
  <si>
    <r>
      <t xml:space="preserve">Estrategís Pedagógica (Presencial)
</t>
    </r>
    <r>
      <rPr>
        <i/>
        <sz val="9"/>
        <color rgb="FFFF0000"/>
        <rFont val="Arial"/>
        <family val="2"/>
      </rPr>
      <t>Revisar las del punto 3</t>
    </r>
  </si>
  <si>
    <r>
      <t xml:space="preserve">Estrategís Pedagógica (Independiente)
</t>
    </r>
    <r>
      <rPr>
        <i/>
        <sz val="9"/>
        <color rgb="FFFF0000"/>
        <rFont val="Arial"/>
        <family val="2"/>
      </rPr>
      <t>Revisar las del punto 3</t>
    </r>
  </si>
  <si>
    <r>
      <t xml:space="preserve">Revisar los verbos, de acuerdo al dominio del tema, de acuerdo la taxonomía de Bloom
Recuerdar la estructura de creación del Resultado de Aprendizaje:
</t>
    </r>
    <r>
      <rPr>
        <sz val="9"/>
        <color rgb="FF00B0F0"/>
        <rFont val="Arial"/>
        <family val="2"/>
      </rPr>
      <t xml:space="preserve">
</t>
    </r>
    <r>
      <rPr>
        <b/>
        <sz val="12"/>
        <color rgb="FF00B0F0"/>
        <rFont val="Arial"/>
        <family val="2"/>
      </rPr>
      <t xml:space="preserve">Verbo en Infinitivo + Objeto y/o sujeto + Condición/ Contexto
</t>
    </r>
    <r>
      <rPr>
        <b/>
        <sz val="12"/>
        <color rgb="FFFF0000"/>
        <rFont val="Arial"/>
        <family val="2"/>
      </rPr>
      <t xml:space="preserve">
El resultado de Aprendizaje de Curso se escribe en la parte azul</t>
    </r>
  </si>
  <si>
    <r>
      <t xml:space="preserve">
</t>
    </r>
    <r>
      <rPr>
        <b/>
        <sz val="12"/>
        <color rgb="FFFF0000"/>
        <rFont val="Arial"/>
        <family val="2"/>
      </rPr>
      <t>Si Aplica, poner un segundo RAC, poner en la recuadro azul claro</t>
    </r>
    <r>
      <rPr>
        <sz val="9"/>
        <color theme="1"/>
        <rFont val="Arial"/>
        <family val="2"/>
      </rPr>
      <t xml:space="preserve">
Revisar los verbos, de acuerdo al dominio del tema, de acuerdo la taxonomía de Bloom
Recuerdar la estructura de creación del Resultado de Aprendizaje:
</t>
    </r>
    <r>
      <rPr>
        <sz val="9"/>
        <color rgb="FF00B0F0"/>
        <rFont val="Arial"/>
        <family val="2"/>
      </rPr>
      <t xml:space="preserve">
</t>
    </r>
    <r>
      <rPr>
        <b/>
        <sz val="12"/>
        <color rgb="FF00B0F0"/>
        <rFont val="Arial"/>
        <family val="2"/>
      </rPr>
      <t>Verbo en Infinitivo + Objeto y/o sujeto + Condición/ Contexto</t>
    </r>
  </si>
  <si>
    <t>Mediación por Tics</t>
  </si>
  <si>
    <t>Recurso Multimedia</t>
  </si>
  <si>
    <t>N/A</t>
  </si>
  <si>
    <t>Fecha : junio 2023</t>
  </si>
  <si>
    <t>SISTEMA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</si>
</sst>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44" formatCode="_-&quot;$&quot;\ * #,##0.00_-;\-&quot;$&quot;\ * #,##0.00_-;_-&quot;$&quot;\ * &quot;-&quot;??_-;_-@_-"/>
    <numFmt numFmtId="43" formatCode="_-* #,##0.00_-;\-* #,##0.00_-;_-* &quot;-&quot;??_-;_-@_-"/>
    <numFmt numFmtId="164" formatCode="_-* #,##0_-;\-* #,##0_-;_-* &quot;-&quot;??_-;_-@_-"/>
    <numFmt numFmtId="165" formatCode="dd/mm/yy;@"/>
  </numFmts>
  <fonts count="57" x14ac:knownFonts="1">
    <font>
      <sz val="11"/>
      <color theme="1"/>
      <name val="Calibri"/>
      <family val="2"/>
      <scheme val="minor"/>
    </font>
    <font>
      <b/>
      <sz val="11"/>
      <color theme="0"/>
      <name val="Calibri"/>
      <family val="2"/>
      <scheme val="minor"/>
    </font>
    <font>
      <b/>
      <sz val="9"/>
      <color theme="1"/>
      <name val="Arial"/>
      <family val="2"/>
    </font>
    <font>
      <b/>
      <sz val="12"/>
      <color theme="1"/>
      <name val="Arial"/>
      <family val="2"/>
    </font>
    <font>
      <sz val="11"/>
      <color theme="1"/>
      <name val="Arial"/>
      <family val="2"/>
    </font>
    <font>
      <b/>
      <sz val="11"/>
      <color rgb="FFFF0000"/>
      <name val="Calibri"/>
      <family val="2"/>
      <scheme val="minor"/>
    </font>
    <font>
      <sz val="9"/>
      <color theme="1"/>
      <name val="Arial"/>
      <family val="2"/>
    </font>
    <font>
      <sz val="7"/>
      <color rgb="FF676A6C"/>
      <name val="Open Sans"/>
      <family val="2"/>
    </font>
    <font>
      <sz val="9"/>
      <name val="Arial"/>
      <family val="2"/>
    </font>
    <font>
      <b/>
      <sz val="9"/>
      <color theme="0"/>
      <name val="Arial"/>
      <family val="2"/>
    </font>
    <font>
      <sz val="9"/>
      <color theme="0"/>
      <name val="Arial"/>
      <family val="2"/>
    </font>
    <font>
      <b/>
      <sz val="9"/>
      <color rgb="FFFF0000"/>
      <name val="Arial"/>
      <family val="2"/>
    </font>
    <font>
      <sz val="9"/>
      <color indexed="81"/>
      <name val="Tahoma"/>
      <family val="2"/>
    </font>
    <font>
      <b/>
      <sz val="9"/>
      <color indexed="81"/>
      <name val="Tahoma"/>
      <family val="2"/>
    </font>
    <font>
      <sz val="9"/>
      <color rgb="FFFF0000"/>
      <name val="Arial"/>
      <family val="2"/>
    </font>
    <font>
      <sz val="10"/>
      <color theme="1"/>
      <name val="Arial"/>
      <family val="2"/>
    </font>
    <font>
      <b/>
      <u/>
      <sz val="9"/>
      <color theme="1"/>
      <name val="Arial"/>
      <family val="2"/>
    </font>
    <font>
      <b/>
      <sz val="11"/>
      <color theme="1"/>
      <name val="Calibri"/>
      <family val="2"/>
      <scheme val="minor"/>
    </font>
    <font>
      <b/>
      <sz val="10"/>
      <color theme="1"/>
      <name val="Arial"/>
      <family val="2"/>
    </font>
    <font>
      <b/>
      <sz val="11"/>
      <color theme="0"/>
      <name val="Arial"/>
      <family val="2"/>
    </font>
    <font>
      <b/>
      <u/>
      <sz val="11"/>
      <color theme="1"/>
      <name val="Arial"/>
      <family val="2"/>
    </font>
    <font>
      <b/>
      <sz val="8"/>
      <color theme="0"/>
      <name val="Arial"/>
      <family val="2"/>
    </font>
    <font>
      <sz val="11"/>
      <color theme="0"/>
      <name val="Arial"/>
      <family val="2"/>
    </font>
    <font>
      <b/>
      <sz val="9"/>
      <color rgb="FFFFFF00"/>
      <name val="Arial"/>
      <family val="2"/>
    </font>
    <font>
      <b/>
      <sz val="11"/>
      <color rgb="FFFFFF00"/>
      <name val="Arial"/>
      <family val="2"/>
    </font>
    <font>
      <b/>
      <sz val="11"/>
      <color rgb="FFFF0000"/>
      <name val="Arial"/>
      <family val="2"/>
    </font>
    <font>
      <b/>
      <sz val="8"/>
      <color theme="1"/>
      <name val="Calibri"/>
      <family val="2"/>
      <scheme val="minor"/>
    </font>
    <font>
      <b/>
      <sz val="8"/>
      <color theme="1"/>
      <name val="Arial"/>
      <family val="2"/>
    </font>
    <font>
      <sz val="8"/>
      <color theme="1"/>
      <name val="Arial"/>
      <family val="2"/>
    </font>
    <font>
      <i/>
      <sz val="11"/>
      <name val="Calibri"/>
      <family val="2"/>
      <scheme val="minor"/>
    </font>
    <font>
      <b/>
      <sz val="12"/>
      <color theme="0"/>
      <name val="Arial"/>
      <family val="2"/>
    </font>
    <font>
      <b/>
      <i/>
      <sz val="11"/>
      <name val="Calibri"/>
      <family val="2"/>
      <scheme val="minor"/>
    </font>
    <font>
      <b/>
      <i/>
      <u/>
      <sz val="11"/>
      <color rgb="FFC00000"/>
      <name val="Calibri"/>
      <family val="2"/>
      <scheme val="minor"/>
    </font>
    <font>
      <b/>
      <sz val="16"/>
      <color theme="0"/>
      <name val="Arial"/>
      <family val="2"/>
    </font>
    <font>
      <b/>
      <sz val="14"/>
      <color theme="1"/>
      <name val="Arial"/>
      <family val="2"/>
    </font>
    <font>
      <sz val="9"/>
      <color rgb="FF00B0F0"/>
      <name val="Arial"/>
      <family val="2"/>
    </font>
    <font>
      <b/>
      <sz val="12"/>
      <color rgb="FF00B0F0"/>
      <name val="Arial"/>
      <family val="2"/>
    </font>
    <font>
      <sz val="12"/>
      <color theme="1"/>
      <name val="Arial"/>
      <family val="2"/>
    </font>
    <font>
      <sz val="8"/>
      <name val="Arial"/>
      <family val="2"/>
    </font>
    <font>
      <b/>
      <sz val="10"/>
      <name val="Arial"/>
      <family val="2"/>
    </font>
    <font>
      <sz val="12"/>
      <color theme="0"/>
      <name val="Arial"/>
      <family val="2"/>
    </font>
    <font>
      <b/>
      <sz val="20"/>
      <color theme="0"/>
      <name val="Arial"/>
      <family val="2"/>
    </font>
    <font>
      <b/>
      <sz val="20"/>
      <color theme="0"/>
      <name val="Calibri"/>
      <family val="2"/>
      <scheme val="minor"/>
    </font>
    <font>
      <i/>
      <sz val="9"/>
      <color rgb="FFFF0000"/>
      <name val="Arial"/>
      <family val="2"/>
    </font>
    <font>
      <sz val="11"/>
      <color theme="1"/>
      <name val="Calibri"/>
      <family val="2"/>
      <scheme val="minor"/>
    </font>
    <font>
      <sz val="10"/>
      <color theme="0"/>
      <name val="Arial"/>
      <family val="2"/>
    </font>
    <font>
      <sz val="12"/>
      <name val="Arial"/>
      <family val="2"/>
    </font>
    <font>
      <sz val="12"/>
      <color theme="1"/>
      <name val="Calibri"/>
      <family val="2"/>
      <scheme val="minor"/>
    </font>
    <font>
      <b/>
      <sz val="10"/>
      <color theme="1"/>
      <name val="Times New Roman"/>
      <family val="1"/>
    </font>
    <font>
      <b/>
      <sz val="14"/>
      <color theme="0"/>
      <name val="Arial"/>
      <family val="2"/>
    </font>
    <font>
      <b/>
      <sz val="8"/>
      <name val="Arial"/>
      <family val="2"/>
    </font>
    <font>
      <sz val="11"/>
      <color theme="0" tint="-0.34998626667073579"/>
      <name val="Calibri"/>
      <family val="2"/>
      <scheme val="minor"/>
    </font>
    <font>
      <sz val="11"/>
      <color theme="1"/>
      <name val="Verdana"/>
      <family val="2"/>
    </font>
    <font>
      <sz val="10"/>
      <color theme="1"/>
      <name val="Verdana"/>
      <family val="2"/>
    </font>
    <font>
      <sz val="10"/>
      <color rgb="FF000000"/>
      <name val="Verdana"/>
      <family val="2"/>
    </font>
    <font>
      <u/>
      <sz val="11"/>
      <color theme="10"/>
      <name val="Calibri"/>
      <family val="2"/>
      <scheme val="minor"/>
    </font>
    <font>
      <b/>
      <sz val="12"/>
      <color rgb="FFFF0000"/>
      <name val="Arial"/>
      <family val="2"/>
    </font>
  </fonts>
  <fills count="24">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rgb="FF0070C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00B0F0"/>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4" tint="0.79998168889431442"/>
        <bgColor rgb="FF000000"/>
      </patternFill>
    </fill>
  </fills>
  <borders count="1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theme="0"/>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indexed="64"/>
      </left>
      <right/>
      <top style="thin">
        <color indexed="64"/>
      </top>
      <bottom style="medium">
        <color theme="0"/>
      </bottom>
      <diagonal/>
    </border>
    <border>
      <left/>
      <right style="thin">
        <color indexed="64"/>
      </right>
      <top style="thin">
        <color indexed="64"/>
      </top>
      <bottom style="medium">
        <color theme="0"/>
      </bottom>
      <diagonal/>
    </border>
    <border>
      <left/>
      <right/>
      <top style="medium">
        <color indexed="64"/>
      </top>
      <bottom/>
      <diagonal/>
    </border>
    <border>
      <left/>
      <right style="medium">
        <color indexed="64"/>
      </right>
      <top style="medium">
        <color indexed="64"/>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style="medium">
        <color indexed="64"/>
      </left>
      <right/>
      <top style="thin">
        <color theme="0"/>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indexed="64"/>
      </bottom>
      <diagonal/>
    </border>
    <border>
      <left/>
      <right style="thin">
        <color theme="0"/>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medium">
        <color theme="0"/>
      </left>
      <right style="medium">
        <color theme="0"/>
      </right>
      <top/>
      <bottom style="medium">
        <color theme="0"/>
      </bottom>
      <diagonal/>
    </border>
    <border>
      <left style="thin">
        <color indexed="64"/>
      </left>
      <right style="thin">
        <color indexed="64"/>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theme="0"/>
      </left>
      <right/>
      <top style="thin">
        <color indexed="64"/>
      </top>
      <bottom style="thin">
        <color indexed="64"/>
      </bottom>
      <diagonal/>
    </border>
    <border>
      <left style="thin">
        <color theme="0"/>
      </left>
      <right style="thin">
        <color indexed="64"/>
      </right>
      <top style="thin">
        <color theme="0"/>
      </top>
      <bottom style="thin">
        <color indexed="64"/>
      </bottom>
      <diagonal/>
    </border>
    <border>
      <left style="thin">
        <color theme="0"/>
      </left>
      <right style="thin">
        <color indexed="64"/>
      </right>
      <top style="thin">
        <color indexed="64"/>
      </top>
      <bottom/>
      <diagonal/>
    </border>
    <border>
      <left style="thin">
        <color indexed="64"/>
      </left>
      <right style="thin">
        <color theme="0"/>
      </right>
      <top style="thin">
        <color indexed="64"/>
      </top>
      <bottom/>
      <diagonal/>
    </border>
    <border>
      <left style="thin">
        <color theme="0"/>
      </left>
      <right style="thin">
        <color theme="0"/>
      </right>
      <top/>
      <bottom/>
      <diagonal/>
    </border>
    <border>
      <left style="thin">
        <color theme="0"/>
      </left>
      <right style="thin">
        <color theme="0"/>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bottom style="thin">
        <color theme="0"/>
      </bottom>
      <diagonal/>
    </border>
    <border>
      <left/>
      <right style="medium">
        <color indexed="64"/>
      </right>
      <top/>
      <bottom style="thin">
        <color theme="0"/>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theme="0"/>
      </right>
      <top style="thin">
        <color theme="0"/>
      </top>
      <bottom style="thin">
        <color indexed="64"/>
      </bottom>
      <diagonal/>
    </border>
    <border>
      <left/>
      <right style="thin">
        <color indexed="64"/>
      </right>
      <top style="thin">
        <color theme="0"/>
      </top>
      <bottom style="thin">
        <color indexed="64"/>
      </bottom>
      <diagonal/>
    </border>
    <border>
      <left/>
      <right style="medium">
        <color indexed="64"/>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thin">
        <color indexed="64"/>
      </right>
      <top/>
      <bottom style="thin">
        <color indexed="64"/>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medium">
        <color theme="1" tint="0.499984740745262"/>
      </left>
      <right style="thin">
        <color indexed="64"/>
      </right>
      <top style="thin">
        <color indexed="64"/>
      </top>
      <bottom style="thin">
        <color indexed="64"/>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left>
      <right/>
      <top style="thin">
        <color rgb="FFFFFFFF"/>
      </top>
      <bottom style="thin">
        <color indexed="64"/>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double">
        <color theme="1" tint="0.499984740745262"/>
      </right>
      <top style="thin">
        <color theme="1" tint="0.499984740745262"/>
      </top>
      <bottom style="thin">
        <color theme="1" tint="0.499984740745262"/>
      </bottom>
      <diagonal/>
    </border>
    <border>
      <left/>
      <right style="double">
        <color theme="1" tint="0.499984740745262"/>
      </right>
      <top style="thin">
        <color theme="1" tint="0.499984740745262"/>
      </top>
      <bottom/>
      <diagonal/>
    </border>
    <border>
      <left style="double">
        <color theme="1" tint="0.499984740745262"/>
      </left>
      <right/>
      <top style="thin">
        <color theme="1" tint="0.499984740745262"/>
      </top>
      <bottom style="thin">
        <color theme="1" tint="0.499984740745262"/>
      </bottom>
      <diagonal/>
    </border>
    <border>
      <left style="thin">
        <color theme="1" tint="0.499984740745262"/>
      </left>
      <right/>
      <top/>
      <bottom/>
      <diagonal/>
    </border>
    <border>
      <left/>
      <right style="thin">
        <color indexed="64"/>
      </right>
      <top style="medium">
        <color indexed="64"/>
      </top>
      <bottom/>
      <diagonal/>
    </border>
    <border>
      <left style="medium">
        <color indexed="64"/>
      </left>
      <right style="medium">
        <color indexed="64"/>
      </right>
      <top/>
      <bottom style="hair">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theme="1" tint="0.499984740745262"/>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top style="medium">
        <color indexed="64"/>
      </top>
      <bottom/>
      <diagonal/>
    </border>
    <border>
      <left style="medium">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theme="1" tint="0.499984740745262"/>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theme="1" tint="0.499984740745262"/>
      </left>
      <right style="thin">
        <color indexed="64"/>
      </right>
      <top/>
      <bottom style="thin">
        <color indexed="64"/>
      </bottom>
      <diagonal/>
    </border>
    <border>
      <left style="thin">
        <color theme="1" tint="0.499984740745262"/>
      </left>
      <right style="thin">
        <color theme="1" tint="0.499984740745262"/>
      </right>
      <top/>
      <bottom style="thin">
        <color theme="1" tint="0.499984740745262"/>
      </bottom>
      <diagonal/>
    </border>
    <border>
      <left style="medium">
        <color indexed="64"/>
      </left>
      <right style="medium">
        <color indexed="64"/>
      </right>
      <top style="thin">
        <color indexed="64"/>
      </top>
      <bottom/>
      <diagonal/>
    </border>
    <border>
      <left style="medium">
        <color indexed="64"/>
      </left>
      <right style="medium">
        <color indexed="64"/>
      </right>
      <top style="hair">
        <color indexed="64"/>
      </top>
      <bottom/>
      <diagonal/>
    </border>
    <border>
      <left style="medium">
        <color indexed="64"/>
      </left>
      <right style="medium">
        <color indexed="64"/>
      </right>
      <top/>
      <bottom style="thin">
        <color indexed="64"/>
      </bottom>
      <diagonal/>
    </border>
    <border>
      <left style="double">
        <color rgb="FFFFC000"/>
      </left>
      <right/>
      <top style="double">
        <color rgb="FFFFC000"/>
      </top>
      <bottom style="double">
        <color rgb="FFFFC000"/>
      </bottom>
      <diagonal/>
    </border>
    <border>
      <left/>
      <right/>
      <top style="double">
        <color rgb="FFFFC000"/>
      </top>
      <bottom style="double">
        <color rgb="FFFFC000"/>
      </bottom>
      <diagonal/>
    </border>
    <border>
      <left/>
      <right style="double">
        <color rgb="FFFFC000"/>
      </right>
      <top style="double">
        <color rgb="FFFFC000"/>
      </top>
      <bottom style="double">
        <color rgb="FFFFC000"/>
      </bottom>
      <diagonal/>
    </border>
  </borders>
  <cellStyleXfs count="3">
    <xf numFmtId="0" fontId="0" fillId="0" borderId="0"/>
    <xf numFmtId="44" fontId="44" fillId="0" borderId="0" applyFont="0" applyFill="0" applyBorder="0" applyAlignment="0" applyProtection="0"/>
    <xf numFmtId="0" fontId="55" fillId="0" borderId="0" applyNumberFormat="0" applyFill="0" applyBorder="0" applyAlignment="0" applyProtection="0"/>
  </cellStyleXfs>
  <cellXfs count="791">
    <xf numFmtId="0" fontId="0" fillId="0" borderId="0" xfId="0"/>
    <xf numFmtId="0" fontId="7" fillId="0" borderId="0" xfId="0" applyFont="1" applyAlignment="1">
      <alignment horizontal="left" vertical="center" wrapText="1"/>
    </xf>
    <xf numFmtId="0" fontId="3" fillId="0" borderId="0" xfId="0" applyFont="1" applyAlignment="1">
      <alignment horizontal="center"/>
    </xf>
    <xf numFmtId="0" fontId="4" fillId="0" borderId="0" xfId="0" applyFont="1"/>
    <xf numFmtId="0" fontId="3" fillId="0" borderId="0" xfId="0" applyFont="1" applyAlignment="1">
      <alignment horizontal="center" wrapText="1"/>
    </xf>
    <xf numFmtId="0" fontId="6" fillId="0" borderId="0" xfId="0" applyFont="1"/>
    <xf numFmtId="0" fontId="6" fillId="0" borderId="6" xfId="0" applyFont="1" applyBorder="1"/>
    <xf numFmtId="0" fontId="6" fillId="0" borderId="0" xfId="0" applyFont="1" applyAlignment="1">
      <alignment vertical="center"/>
    </xf>
    <xf numFmtId="0" fontId="10" fillId="5" borderId="6" xfId="0" applyFont="1" applyFill="1" applyBorder="1" applyAlignment="1">
      <alignment horizontal="left" vertical="center" wrapText="1"/>
    </xf>
    <xf numFmtId="0" fontId="6" fillId="5" borderId="6" xfId="0" applyFont="1" applyFill="1" applyBorder="1" applyAlignment="1">
      <alignment vertical="center"/>
    </xf>
    <xf numFmtId="0" fontId="6" fillId="0" borderId="0" xfId="0" applyFont="1" applyAlignment="1">
      <alignment horizontal="center" vertical="center"/>
    </xf>
    <xf numFmtId="0" fontId="0" fillId="0" borderId="0" xfId="0" applyAlignment="1"/>
    <xf numFmtId="0" fontId="4" fillId="0" borderId="0" xfId="0" applyFont="1" applyAlignment="1">
      <alignment vertical="center"/>
    </xf>
    <xf numFmtId="0" fontId="10" fillId="2" borderId="43" xfId="0" applyFont="1" applyFill="1" applyBorder="1" applyAlignment="1" applyProtection="1">
      <alignment horizontal="center" vertical="center" wrapText="1"/>
      <protection hidden="1"/>
    </xf>
    <xf numFmtId="0" fontId="10" fillId="2" borderId="9" xfId="0" applyFont="1" applyFill="1" applyBorder="1" applyAlignment="1" applyProtection="1">
      <alignment horizontal="left" vertical="center"/>
      <protection hidden="1"/>
    </xf>
    <xf numFmtId="0" fontId="10" fillId="5" borderId="6" xfId="0" applyFont="1" applyFill="1" applyBorder="1" applyAlignment="1" applyProtection="1">
      <alignment horizontal="left" vertical="center" wrapText="1"/>
      <protection hidden="1"/>
    </xf>
    <xf numFmtId="0" fontId="6" fillId="5" borderId="6" xfId="0" applyFont="1" applyFill="1" applyBorder="1" applyAlignment="1" applyProtection="1">
      <alignment vertical="center"/>
      <protection hidden="1"/>
    </xf>
    <xf numFmtId="43" fontId="10" fillId="0" borderId="1" xfId="0" applyNumberFormat="1" applyFont="1" applyBorder="1" applyAlignment="1" applyProtection="1">
      <alignment horizontal="center" vertical="center"/>
      <protection hidden="1"/>
    </xf>
    <xf numFmtId="0" fontId="21" fillId="2" borderId="23" xfId="0" applyFont="1" applyFill="1" applyBorder="1" applyAlignment="1" applyProtection="1">
      <alignment horizontal="center"/>
      <protection hidden="1"/>
    </xf>
    <xf numFmtId="0" fontId="21" fillId="2" borderId="23" xfId="0" applyFont="1" applyFill="1" applyBorder="1" applyAlignment="1" applyProtection="1">
      <alignment horizontal="center" vertical="center" wrapText="1"/>
      <protection hidden="1"/>
    </xf>
    <xf numFmtId="2" fontId="26" fillId="10" borderId="1" xfId="0" applyNumberFormat="1" applyFont="1" applyFill="1" applyBorder="1" applyAlignment="1" applyProtection="1">
      <alignment horizontal="center" vertical="center"/>
      <protection hidden="1"/>
    </xf>
    <xf numFmtId="0" fontId="27" fillId="3" borderId="1" xfId="0" applyFont="1" applyFill="1" applyBorder="1" applyAlignment="1" applyProtection="1">
      <alignment horizontal="center" vertical="center" textRotation="90" wrapText="1"/>
      <protection hidden="1"/>
    </xf>
    <xf numFmtId="0" fontId="28" fillId="10" borderId="1" xfId="0" applyFont="1" applyFill="1" applyBorder="1" applyAlignment="1" applyProtection="1">
      <alignment vertical="center" wrapText="1"/>
      <protection hidden="1"/>
    </xf>
    <xf numFmtId="2" fontId="26" fillId="6" borderId="1" xfId="0" applyNumberFormat="1" applyFont="1" applyFill="1" applyBorder="1" applyAlignment="1" applyProtection="1">
      <alignment horizontal="center" vertical="center"/>
      <protection hidden="1"/>
    </xf>
    <xf numFmtId="0" fontId="27" fillId="12" borderId="1" xfId="0" applyFont="1" applyFill="1" applyBorder="1" applyAlignment="1" applyProtection="1">
      <alignment horizontal="center" vertical="center" textRotation="90" wrapText="1"/>
      <protection hidden="1"/>
    </xf>
    <xf numFmtId="2" fontId="26" fillId="7" borderId="1" xfId="0" applyNumberFormat="1" applyFont="1" applyFill="1" applyBorder="1" applyAlignment="1" applyProtection="1">
      <alignment horizontal="center" vertical="center"/>
      <protection hidden="1"/>
    </xf>
    <xf numFmtId="0" fontId="27" fillId="8" borderId="1" xfId="0" applyFont="1" applyFill="1" applyBorder="1" applyAlignment="1" applyProtection="1">
      <alignment horizontal="center" vertical="center" textRotation="90" wrapText="1"/>
      <protection hidden="1"/>
    </xf>
    <xf numFmtId="2" fontId="26" fillId="11" borderId="12" xfId="0" applyNumberFormat="1" applyFont="1" applyFill="1" applyBorder="1" applyAlignment="1" applyProtection="1">
      <alignment horizontal="center" vertical="center"/>
      <protection hidden="1"/>
    </xf>
    <xf numFmtId="0" fontId="27" fillId="9" borderId="12" xfId="0" applyFont="1" applyFill="1" applyBorder="1" applyAlignment="1" applyProtection="1">
      <alignment horizontal="center" vertical="center" textRotation="90" wrapText="1"/>
      <protection hidden="1"/>
    </xf>
    <xf numFmtId="0" fontId="6" fillId="0" borderId="0" xfId="0" applyFont="1" applyBorder="1"/>
    <xf numFmtId="0" fontId="9" fillId="2" borderId="23" xfId="0" applyFont="1" applyFill="1" applyBorder="1" applyAlignment="1" applyProtection="1">
      <alignment vertical="center"/>
      <protection hidden="1"/>
    </xf>
    <xf numFmtId="0" fontId="9" fillId="2" borderId="23" xfId="0" applyFont="1" applyFill="1" applyBorder="1" applyAlignment="1" applyProtection="1">
      <alignment horizontal="center" vertical="center" wrapText="1"/>
      <protection hidden="1"/>
    </xf>
    <xf numFmtId="2" fontId="17" fillId="10" borderId="1" xfId="0" applyNumberFormat="1" applyFont="1" applyFill="1" applyBorder="1" applyAlignment="1" applyProtection="1">
      <alignment horizontal="center" vertical="center"/>
      <protection hidden="1"/>
    </xf>
    <xf numFmtId="0" fontId="2" fillId="3" borderId="1" xfId="0" applyFont="1" applyFill="1" applyBorder="1" applyAlignment="1" applyProtection="1">
      <alignment horizontal="center" vertical="center" textRotation="90" wrapText="1"/>
      <protection hidden="1"/>
    </xf>
    <xf numFmtId="2" fontId="17" fillId="6" borderId="1" xfId="0" applyNumberFormat="1" applyFont="1" applyFill="1" applyBorder="1" applyAlignment="1" applyProtection="1">
      <alignment horizontal="center" vertical="center"/>
      <protection hidden="1"/>
    </xf>
    <xf numFmtId="0" fontId="2" fillId="12" borderId="1" xfId="0" applyFont="1" applyFill="1" applyBorder="1" applyAlignment="1" applyProtection="1">
      <alignment horizontal="center" vertical="center" textRotation="90" wrapText="1"/>
      <protection hidden="1"/>
    </xf>
    <xf numFmtId="2" fontId="17" fillId="7" borderId="1" xfId="0" applyNumberFormat="1" applyFont="1" applyFill="1" applyBorder="1" applyAlignment="1" applyProtection="1">
      <alignment horizontal="center" vertical="center"/>
      <protection hidden="1"/>
    </xf>
    <xf numFmtId="0" fontId="2" fillId="8" borderId="1" xfId="0" applyFont="1" applyFill="1" applyBorder="1" applyAlignment="1" applyProtection="1">
      <alignment horizontal="center" vertical="center" textRotation="90" wrapText="1"/>
      <protection hidden="1"/>
    </xf>
    <xf numFmtId="2" fontId="17" fillId="11" borderId="1" xfId="0" applyNumberFormat="1" applyFont="1" applyFill="1" applyBorder="1" applyAlignment="1" applyProtection="1">
      <alignment horizontal="center" vertical="center"/>
      <protection hidden="1"/>
    </xf>
    <xf numFmtId="0" fontId="2" fillId="9" borderId="1" xfId="0" applyFont="1" applyFill="1" applyBorder="1" applyAlignment="1" applyProtection="1">
      <alignment horizontal="center" vertical="center" textRotation="90" wrapText="1"/>
      <protection hidden="1"/>
    </xf>
    <xf numFmtId="0" fontId="10" fillId="3" borderId="65" xfId="0" applyFont="1" applyFill="1" applyBorder="1" applyAlignment="1" applyProtection="1">
      <alignment horizontal="center" vertical="center" wrapText="1"/>
      <protection hidden="1"/>
    </xf>
    <xf numFmtId="0" fontId="10" fillId="3" borderId="66" xfId="0" applyFont="1" applyFill="1" applyBorder="1" applyAlignment="1" applyProtection="1">
      <alignment horizontal="center" vertical="center" wrapText="1"/>
      <protection hidden="1"/>
    </xf>
    <xf numFmtId="0" fontId="8" fillId="18" borderId="1" xfId="0" applyFont="1" applyFill="1" applyBorder="1" applyAlignment="1" applyProtection="1">
      <alignment horizontal="center" vertical="center"/>
      <protection hidden="1"/>
    </xf>
    <xf numFmtId="0" fontId="10" fillId="2" borderId="73" xfId="0" applyFont="1" applyFill="1" applyBorder="1" applyAlignment="1" applyProtection="1">
      <alignment horizontal="center" vertical="center" textRotation="90" wrapText="1"/>
      <protection hidden="1"/>
    </xf>
    <xf numFmtId="0" fontId="10" fillId="2" borderId="51" xfId="0" applyFont="1" applyFill="1" applyBorder="1" applyAlignment="1" applyProtection="1">
      <alignment horizontal="center" vertical="center" textRotation="90" wrapText="1"/>
      <protection hidden="1"/>
    </xf>
    <xf numFmtId="0" fontId="10" fillId="2" borderId="52" xfId="0" applyFont="1" applyFill="1" applyBorder="1" applyAlignment="1" applyProtection="1">
      <alignment horizontal="center" vertical="center" textRotation="90" wrapText="1"/>
      <protection hidden="1"/>
    </xf>
    <xf numFmtId="0" fontId="6" fillId="0" borderId="0" xfId="0" applyFont="1" applyAlignment="1">
      <alignment wrapText="1"/>
    </xf>
    <xf numFmtId="0" fontId="10" fillId="2" borderId="84" xfId="0" applyFont="1" applyFill="1" applyBorder="1" applyAlignment="1" applyProtection="1">
      <alignment horizontal="center" vertical="center" textRotation="90"/>
      <protection hidden="1"/>
    </xf>
    <xf numFmtId="0" fontId="21" fillId="2" borderId="22" xfId="0" applyFont="1" applyFill="1" applyBorder="1" applyAlignment="1" applyProtection="1">
      <alignment horizontal="center" vertical="center" wrapText="1"/>
      <protection hidden="1"/>
    </xf>
    <xf numFmtId="0" fontId="8" fillId="18" borderId="1" xfId="0" applyFont="1" applyFill="1" applyBorder="1" applyAlignment="1" applyProtection="1">
      <alignment horizontal="center" vertical="center"/>
      <protection hidden="1"/>
    </xf>
    <xf numFmtId="0" fontId="15" fillId="10" borderId="1" xfId="0" applyFont="1" applyFill="1" applyBorder="1" applyAlignment="1" applyProtection="1">
      <alignment horizontal="justify" vertical="center" wrapText="1"/>
      <protection locked="0"/>
    </xf>
    <xf numFmtId="0" fontId="15" fillId="6" borderId="1" xfId="0" applyFont="1" applyFill="1" applyBorder="1" applyAlignment="1" applyProtection="1">
      <alignment horizontal="justify" vertical="center" wrapText="1"/>
      <protection locked="0"/>
    </xf>
    <xf numFmtId="0" fontId="15" fillId="7" borderId="1" xfId="0" applyFont="1" applyFill="1" applyBorder="1" applyAlignment="1" applyProtection="1">
      <alignment horizontal="justify" vertical="center" wrapText="1"/>
      <protection locked="0"/>
    </xf>
    <xf numFmtId="0" fontId="15" fillId="11" borderId="1" xfId="0" applyFont="1" applyFill="1" applyBorder="1" applyAlignment="1" applyProtection="1">
      <alignment horizontal="justify" vertical="center" wrapText="1"/>
      <protection locked="0"/>
    </xf>
    <xf numFmtId="0" fontId="15" fillId="10" borderId="1" xfId="0" applyFont="1" applyFill="1" applyBorder="1" applyAlignment="1" applyProtection="1">
      <alignment horizontal="justify" vertical="center" wrapText="1"/>
      <protection hidden="1"/>
    </xf>
    <xf numFmtId="0" fontId="15" fillId="6" borderId="1" xfId="0" applyFont="1" applyFill="1" applyBorder="1" applyAlignment="1" applyProtection="1">
      <alignment horizontal="justify" vertical="center" wrapText="1"/>
      <protection hidden="1"/>
    </xf>
    <xf numFmtId="0" fontId="15" fillId="7" borderId="1" xfId="0" applyFont="1" applyFill="1" applyBorder="1" applyAlignment="1" applyProtection="1">
      <alignment horizontal="justify" vertical="center" wrapText="1"/>
      <protection hidden="1"/>
    </xf>
    <xf numFmtId="0" fontId="15" fillId="11" borderId="1" xfId="0" applyFont="1" applyFill="1" applyBorder="1" applyAlignment="1" applyProtection="1">
      <alignment horizontal="justify" vertical="center" wrapText="1"/>
      <protection hidden="1"/>
    </xf>
    <xf numFmtId="0" fontId="40" fillId="2" borderId="1" xfId="0" applyFont="1" applyFill="1" applyBorder="1" applyAlignment="1" applyProtection="1">
      <alignment vertical="center" textRotation="90" wrapText="1"/>
      <protection hidden="1"/>
    </xf>
    <xf numFmtId="0" fontId="40" fillId="2" borderId="1" xfId="0" applyFont="1" applyFill="1" applyBorder="1" applyAlignment="1" applyProtection="1">
      <alignment horizontal="center" vertical="center" textRotation="90" wrapText="1"/>
      <protection hidden="1"/>
    </xf>
    <xf numFmtId="0" fontId="40" fillId="2" borderId="45" xfId="0" applyFont="1" applyFill="1" applyBorder="1" applyAlignment="1" applyProtection="1">
      <alignment horizontal="center" vertical="center" textRotation="90" wrapText="1"/>
      <protection hidden="1"/>
    </xf>
    <xf numFmtId="0" fontId="6" fillId="0" borderId="57" xfId="0" applyFont="1" applyBorder="1" applyAlignment="1" applyProtection="1">
      <alignment horizontal="justify" vertical="justify"/>
      <protection hidden="1"/>
    </xf>
    <xf numFmtId="0" fontId="6" fillId="0" borderId="0" xfId="0" applyFont="1" applyBorder="1" applyAlignment="1" applyProtection="1">
      <alignment horizontal="justify" vertical="justify"/>
      <protection hidden="1"/>
    </xf>
    <xf numFmtId="0" fontId="6" fillId="0" borderId="21" xfId="0" applyFont="1" applyBorder="1" applyAlignment="1" applyProtection="1">
      <alignment horizontal="centerContinuous" vertical="justify"/>
      <protection hidden="1"/>
    </xf>
    <xf numFmtId="0" fontId="6" fillId="0" borderId="88" xfId="0" applyFont="1" applyBorder="1" applyAlignment="1" applyProtection="1">
      <alignment horizontal="center" vertical="center"/>
      <protection hidden="1"/>
    </xf>
    <xf numFmtId="0" fontId="6" fillId="0" borderId="89" xfId="0" applyFont="1" applyBorder="1" applyAlignment="1" applyProtection="1">
      <alignment horizontal="center" vertical="center"/>
      <protection hidden="1"/>
    </xf>
    <xf numFmtId="0" fontId="2" fillId="0" borderId="67" xfId="0" applyFont="1" applyBorder="1" applyAlignment="1" applyProtection="1">
      <alignment horizontal="center" vertical="center"/>
      <protection hidden="1"/>
    </xf>
    <xf numFmtId="0" fontId="6" fillId="0" borderId="115" xfId="0" applyFont="1" applyBorder="1" applyProtection="1">
      <protection locked="0"/>
    </xf>
    <xf numFmtId="0" fontId="8" fillId="18" borderId="88" xfId="0" applyFont="1" applyFill="1" applyBorder="1" applyAlignment="1" applyProtection="1">
      <alignment horizontal="center" vertical="center"/>
      <protection hidden="1"/>
    </xf>
    <xf numFmtId="0" fontId="8" fillId="18" borderId="89" xfId="0" applyFont="1" applyFill="1" applyBorder="1" applyAlignment="1" applyProtection="1">
      <alignment horizontal="center" vertical="center"/>
      <protection hidden="1"/>
    </xf>
    <xf numFmtId="0" fontId="8" fillId="18" borderId="90" xfId="0" applyFont="1" applyFill="1" applyBorder="1" applyAlignment="1" applyProtection="1">
      <alignment horizontal="center" vertical="center"/>
      <protection hidden="1"/>
    </xf>
    <xf numFmtId="0" fontId="6" fillId="0" borderId="89" xfId="0" applyFont="1" applyBorder="1" applyAlignment="1" applyProtection="1">
      <protection locked="0"/>
    </xf>
    <xf numFmtId="0" fontId="6" fillId="0" borderId="107" xfId="0" applyFont="1" applyBorder="1" applyAlignment="1" applyProtection="1">
      <alignment wrapText="1"/>
      <protection locked="0"/>
    </xf>
    <xf numFmtId="0" fontId="6" fillId="0" borderId="110" xfId="0" applyFont="1" applyBorder="1" applyAlignment="1" applyProtection="1">
      <protection locked="0"/>
    </xf>
    <xf numFmtId="0" fontId="6" fillId="0" borderId="111" xfId="0" applyFont="1" applyBorder="1" applyAlignment="1" applyProtection="1">
      <alignment wrapText="1"/>
      <protection locked="0"/>
    </xf>
    <xf numFmtId="0" fontId="6" fillId="0" borderId="88" xfId="0" applyFont="1" applyBorder="1" applyAlignment="1" applyProtection="1">
      <protection locked="0"/>
    </xf>
    <xf numFmtId="0" fontId="6" fillId="0" borderId="88" xfId="0" applyFont="1" applyBorder="1" applyProtection="1">
      <protection locked="0"/>
    </xf>
    <xf numFmtId="0" fontId="6" fillId="0" borderId="113" xfId="0" applyFont="1" applyBorder="1" applyAlignment="1" applyProtection="1">
      <alignment wrapText="1"/>
      <protection locked="0"/>
    </xf>
    <xf numFmtId="0" fontId="6" fillId="0" borderId="89" xfId="0" applyFont="1" applyBorder="1" applyProtection="1">
      <protection locked="0"/>
    </xf>
    <xf numFmtId="0" fontId="6" fillId="0" borderId="110" xfId="0" applyFont="1" applyBorder="1" applyProtection="1">
      <protection locked="0"/>
    </xf>
    <xf numFmtId="0" fontId="0" fillId="0" borderId="100" xfId="0" applyBorder="1" applyAlignment="1" applyProtection="1">
      <alignment horizontal="center"/>
      <protection locked="0"/>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4" fillId="0" borderId="3" xfId="0" applyFont="1" applyBorder="1" applyAlignment="1">
      <alignment horizontal="left"/>
    </xf>
    <xf numFmtId="0" fontId="4" fillId="0" borderId="1" xfId="0" applyFont="1" applyBorder="1" applyAlignment="1">
      <alignment horizontal="left"/>
    </xf>
    <xf numFmtId="0" fontId="6" fillId="0" borderId="3" xfId="0" applyFont="1" applyBorder="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6" fillId="0" borderId="6" xfId="0" applyFont="1" applyBorder="1" applyAlignment="1">
      <alignment horizontal="left"/>
    </xf>
    <xf numFmtId="0" fontId="6" fillId="0" borderId="89" xfId="0" applyFont="1" applyBorder="1" applyAlignment="1" applyProtection="1">
      <alignment horizontal="center"/>
      <protection locked="0"/>
    </xf>
    <xf numFmtId="0" fontId="6" fillId="0" borderId="110" xfId="0" applyFont="1" applyBorder="1" applyAlignment="1" applyProtection="1">
      <alignment horizontal="center"/>
      <protection locked="0"/>
    </xf>
    <xf numFmtId="0" fontId="6" fillId="0" borderId="88" xfId="0" applyFont="1" applyBorder="1" applyAlignment="1" applyProtection="1">
      <alignment horizontal="center"/>
      <protection locked="0"/>
    </xf>
    <xf numFmtId="0" fontId="6" fillId="0" borderId="0" xfId="0" applyFont="1" applyAlignment="1">
      <alignment horizontal="center"/>
    </xf>
    <xf numFmtId="0" fontId="15" fillId="0" borderId="9" xfId="0" applyFont="1" applyBorder="1" applyAlignment="1" applyProtection="1">
      <alignment horizontal="left" vertical="top" wrapText="1"/>
      <protection locked="0"/>
    </xf>
    <xf numFmtId="0" fontId="6" fillId="0" borderId="110" xfId="0" applyFont="1" applyBorder="1" applyAlignment="1" applyProtection="1">
      <alignment horizontal="center" vertical="center"/>
      <protection locked="0"/>
    </xf>
    <xf numFmtId="0" fontId="19" fillId="4" borderId="9" xfId="0" applyFont="1" applyFill="1" applyBorder="1" applyAlignment="1" applyProtection="1">
      <alignment vertical="center"/>
      <protection hidden="1"/>
    </xf>
    <xf numFmtId="0" fontId="19" fillId="4" borderId="10" xfId="0" applyFont="1" applyFill="1" applyBorder="1" applyAlignment="1" applyProtection="1">
      <alignment vertical="center"/>
      <protection hidden="1"/>
    </xf>
    <xf numFmtId="0" fontId="19" fillId="4" borderId="120" xfId="0" applyFont="1" applyFill="1" applyBorder="1" applyAlignment="1" applyProtection="1">
      <alignment vertical="center"/>
      <protection hidden="1"/>
    </xf>
    <xf numFmtId="0" fontId="10" fillId="2" borderId="0" xfId="0" applyFont="1" applyFill="1" applyBorder="1" applyAlignment="1" applyProtection="1">
      <alignment horizontal="center" vertical="center" wrapText="1"/>
      <protection locked="0"/>
    </xf>
    <xf numFmtId="0" fontId="6" fillId="0" borderId="0" xfId="0" applyFont="1" applyAlignment="1">
      <alignment horizontal="left"/>
    </xf>
    <xf numFmtId="0" fontId="16" fillId="7" borderId="3" xfId="0" applyFont="1" applyFill="1" applyBorder="1" applyAlignment="1">
      <alignment horizontal="left" vertical="center"/>
    </xf>
    <xf numFmtId="0" fontId="16" fillId="7" borderId="1" xfId="0" applyFont="1" applyFill="1" applyBorder="1" applyAlignment="1">
      <alignment horizontal="left" vertical="center"/>
    </xf>
    <xf numFmtId="0" fontId="16" fillId="7" borderId="2" xfId="0" applyFont="1" applyFill="1" applyBorder="1" applyAlignment="1">
      <alignment horizontal="left" vertical="center"/>
    </xf>
    <xf numFmtId="0" fontId="16" fillId="7" borderId="6" xfId="0" applyFont="1" applyFill="1" applyBorder="1" applyAlignment="1">
      <alignment horizontal="left" vertical="center"/>
    </xf>
    <xf numFmtId="0" fontId="16" fillId="0" borderId="2" xfId="0" applyFont="1" applyBorder="1" applyAlignment="1">
      <alignment horizontal="left" vertical="center"/>
    </xf>
    <xf numFmtId="0" fontId="16" fillId="0" borderId="6" xfId="0" applyFont="1" applyBorder="1" applyAlignment="1">
      <alignment horizontal="left" vertical="center"/>
    </xf>
    <xf numFmtId="0" fontId="16" fillId="0" borderId="3" xfId="0" applyFont="1" applyBorder="1" applyAlignment="1">
      <alignment horizontal="left" vertical="center"/>
    </xf>
    <xf numFmtId="0" fontId="10" fillId="2" borderId="1" xfId="0" applyFont="1" applyFill="1" applyBorder="1" applyAlignment="1" applyProtection="1">
      <alignment horizontal="left" vertical="center"/>
      <protection hidden="1"/>
    </xf>
    <xf numFmtId="0" fontId="0" fillId="0" borderId="0" xfId="0" applyAlignment="1">
      <alignment horizontal="left"/>
    </xf>
    <xf numFmtId="0" fontId="6" fillId="0" borderId="0" xfId="0" applyFont="1" applyBorder="1" applyAlignment="1">
      <alignment horizontal="left" vertical="center"/>
    </xf>
    <xf numFmtId="0" fontId="4" fillId="0" borderId="3" xfId="0" applyFont="1" applyBorder="1" applyAlignment="1">
      <alignment horizontal="left"/>
    </xf>
    <xf numFmtId="0" fontId="4" fillId="0" borderId="1" xfId="0" applyFont="1" applyBorder="1" applyAlignment="1">
      <alignment horizontal="left"/>
    </xf>
    <xf numFmtId="0" fontId="8" fillId="18" borderId="90" xfId="0" applyFont="1" applyFill="1" applyBorder="1" applyAlignment="1" applyProtection="1">
      <alignment horizontal="center" vertical="center"/>
      <protection hidden="1"/>
    </xf>
    <xf numFmtId="43" fontId="6" fillId="0" borderId="0" xfId="0" applyNumberFormat="1" applyFont="1" applyBorder="1" applyAlignment="1" applyProtection="1">
      <protection hidden="1"/>
    </xf>
    <xf numFmtId="43" fontId="2" fillId="0" borderId="1" xfId="0" applyNumberFormat="1" applyFont="1" applyFill="1" applyBorder="1" applyAlignment="1" applyProtection="1">
      <alignment horizontal="center" vertical="center"/>
      <protection hidden="1"/>
    </xf>
    <xf numFmtId="43" fontId="2" fillId="0" borderId="130" xfId="0" applyNumberFormat="1" applyFont="1" applyFill="1" applyBorder="1" applyAlignment="1" applyProtection="1">
      <alignment horizontal="center" vertical="center"/>
      <protection hidden="1"/>
    </xf>
    <xf numFmtId="43" fontId="38" fillId="18" borderId="2" xfId="0" applyNumberFormat="1" applyFont="1" applyFill="1" applyBorder="1" applyAlignment="1" applyProtection="1">
      <alignment horizontal="left" vertical="center"/>
      <protection hidden="1"/>
    </xf>
    <xf numFmtId="43" fontId="38" fillId="18" borderId="6" xfId="0" applyNumberFormat="1" applyFont="1" applyFill="1" applyBorder="1" applyAlignment="1" applyProtection="1">
      <alignment horizontal="left" vertical="center"/>
      <protection hidden="1"/>
    </xf>
    <xf numFmtId="43" fontId="38" fillId="18" borderId="128" xfId="0" applyNumberFormat="1" applyFont="1" applyFill="1" applyBorder="1" applyAlignment="1" applyProtection="1">
      <alignment horizontal="left" vertical="center"/>
      <protection hidden="1"/>
    </xf>
    <xf numFmtId="43" fontId="6" fillId="0" borderId="113" xfId="0" applyNumberFormat="1" applyFont="1" applyBorder="1" applyAlignment="1" applyProtection="1">
      <alignment horizontal="centerContinuous" vertical="justify"/>
      <protection hidden="1"/>
    </xf>
    <xf numFmtId="43" fontId="6" fillId="0" borderId="107" xfId="0" applyNumberFormat="1" applyFont="1" applyBorder="1" applyAlignment="1" applyProtection="1">
      <alignment horizontal="centerContinuous" vertical="justify"/>
      <protection hidden="1"/>
    </xf>
    <xf numFmtId="43" fontId="6" fillId="0" borderId="115" xfId="0" applyNumberFormat="1" applyFont="1" applyBorder="1" applyAlignment="1" applyProtection="1">
      <alignment horizontal="centerContinuous" vertical="justify"/>
      <protection hidden="1"/>
    </xf>
    <xf numFmtId="43" fontId="6" fillId="0" borderId="45" xfId="0" applyNumberFormat="1" applyFont="1" applyBorder="1" applyAlignment="1" applyProtection="1">
      <alignment horizontal="centerContinuous" vertical="justify"/>
      <protection hidden="1"/>
    </xf>
    <xf numFmtId="0" fontId="10" fillId="13" borderId="44" xfId="0" applyFont="1" applyFill="1" applyBorder="1" applyAlignment="1" applyProtection="1">
      <alignment horizontal="center" vertical="center" wrapText="1"/>
      <protection hidden="1"/>
    </xf>
    <xf numFmtId="0" fontId="10" fillId="13" borderId="132" xfId="0" applyFont="1" applyFill="1" applyBorder="1" applyAlignment="1" applyProtection="1">
      <alignment horizontal="center" vertical="center" wrapText="1"/>
      <protection hidden="1"/>
    </xf>
    <xf numFmtId="164" fontId="8" fillId="0" borderId="12" xfId="0" applyNumberFormat="1" applyFont="1" applyBorder="1" applyAlignment="1" applyProtection="1">
      <alignment horizontal="center" vertical="center"/>
      <protection hidden="1"/>
    </xf>
    <xf numFmtId="164" fontId="8" fillId="5" borderId="1" xfId="0" applyNumberFormat="1" applyFont="1" applyFill="1" applyBorder="1" applyAlignment="1" applyProtection="1">
      <alignment horizontal="center" vertical="center"/>
      <protection hidden="1"/>
    </xf>
    <xf numFmtId="0" fontId="46" fillId="18" borderId="1" xfId="0" applyFont="1" applyFill="1" applyBorder="1" applyAlignment="1" applyProtection="1">
      <alignment horizontal="center" vertical="center"/>
      <protection hidden="1"/>
    </xf>
    <xf numFmtId="43" fontId="46" fillId="0" borderId="6" xfId="0" applyNumberFormat="1" applyFont="1" applyBorder="1" applyAlignment="1" applyProtection="1">
      <alignment horizontal="center" vertical="center"/>
      <protection hidden="1"/>
    </xf>
    <xf numFmtId="43" fontId="46" fillId="0" borderId="3" xfId="0" applyNumberFormat="1" applyFont="1" applyBorder="1" applyAlignment="1" applyProtection="1">
      <alignment horizontal="center" vertical="center"/>
      <protection hidden="1"/>
    </xf>
    <xf numFmtId="0" fontId="15" fillId="0" borderId="0" xfId="0" applyFont="1" applyAlignment="1">
      <alignment vertical="center"/>
    </xf>
    <xf numFmtId="0" fontId="6" fillId="0" borderId="0" xfId="0" applyFont="1" applyBorder="1" applyAlignment="1">
      <alignment vertical="center"/>
    </xf>
    <xf numFmtId="41" fontId="18" fillId="0" borderId="13" xfId="0" applyNumberFormat="1" applyFont="1" applyBorder="1" applyAlignment="1" applyProtection="1">
      <alignment horizontal="center" vertical="center" wrapText="1"/>
      <protection hidden="1"/>
    </xf>
    <xf numFmtId="41" fontId="18" fillId="0" borderId="1" xfId="0" applyNumberFormat="1" applyFont="1" applyBorder="1" applyAlignment="1" applyProtection="1">
      <alignment horizontal="center" vertical="center" wrapText="1"/>
      <protection hidden="1"/>
    </xf>
    <xf numFmtId="43" fontId="2" fillId="18" borderId="129" xfId="0" applyNumberFormat="1" applyFont="1" applyFill="1" applyBorder="1" applyAlignment="1"/>
    <xf numFmtId="43" fontId="2" fillId="18" borderId="6" xfId="0" applyNumberFormat="1" applyFont="1" applyFill="1" applyBorder="1" applyAlignment="1"/>
    <xf numFmtId="43" fontId="2" fillId="18" borderId="3" xfId="0" applyNumberFormat="1" applyFont="1" applyFill="1" applyBorder="1" applyAlignment="1"/>
    <xf numFmtId="41" fontId="50" fillId="0" borderId="121" xfId="0" applyNumberFormat="1" applyFont="1" applyFill="1" applyBorder="1" applyAlignment="1" applyProtection="1">
      <alignment horizontal="center" vertical="center"/>
      <protection hidden="1"/>
    </xf>
    <xf numFmtId="41" fontId="38" fillId="18" borderId="121" xfId="0" applyNumberFormat="1" applyFont="1" applyFill="1" applyBorder="1" applyAlignment="1" applyProtection="1">
      <alignment vertical="center"/>
      <protection hidden="1"/>
    </xf>
    <xf numFmtId="0" fontId="6" fillId="0" borderId="107" xfId="0" applyFont="1" applyBorder="1" applyAlignment="1" applyProtection="1">
      <alignment horizontal="justify" vertical="top"/>
      <protection locked="0"/>
    </xf>
    <xf numFmtId="0" fontId="6" fillId="0" borderId="1" xfId="0" applyNumberFormat="1" applyFont="1" applyBorder="1" applyAlignment="1" applyProtection="1">
      <alignment horizontal="center" vertical="top"/>
      <protection locked="0"/>
    </xf>
    <xf numFmtId="0" fontId="55" fillId="0" borderId="113" xfId="2" applyBorder="1" applyAlignment="1" applyProtection="1">
      <alignment horizontal="justify" vertical="top"/>
      <protection locked="0"/>
    </xf>
    <xf numFmtId="0" fontId="55" fillId="0" borderId="107" xfId="2" applyBorder="1" applyAlignment="1" applyProtection="1">
      <alignment horizontal="justify" vertical="top"/>
      <protection locked="0"/>
    </xf>
    <xf numFmtId="164" fontId="6" fillId="0" borderId="113" xfId="0" applyNumberFormat="1" applyFont="1" applyBorder="1" applyAlignment="1" applyProtection="1">
      <alignment horizontal="centerContinuous" vertical="justify"/>
      <protection hidden="1"/>
    </xf>
    <xf numFmtId="0" fontId="6" fillId="0" borderId="106" xfId="0" applyFont="1" applyBorder="1" applyAlignment="1" applyProtection="1">
      <alignment horizontal="justify" vertical="top"/>
      <protection locked="0"/>
    </xf>
    <xf numFmtId="0" fontId="6" fillId="0" borderId="94" xfId="0" applyFont="1" applyBorder="1" applyAlignment="1" applyProtection="1">
      <alignment horizontal="justify" vertical="top"/>
      <protection locked="0"/>
    </xf>
    <xf numFmtId="14" fontId="6" fillId="0" borderId="88" xfId="0" applyNumberFormat="1" applyFont="1" applyBorder="1" applyAlignment="1" applyProtection="1">
      <alignment horizontal="justify" vertical="top"/>
      <protection locked="0"/>
    </xf>
    <xf numFmtId="0" fontId="6" fillId="0" borderId="88" xfId="0" applyFont="1" applyBorder="1" applyAlignment="1" applyProtection="1">
      <alignment horizontal="justify" vertical="top"/>
      <protection locked="0"/>
    </xf>
    <xf numFmtId="0" fontId="6" fillId="0" borderId="89" xfId="0" applyFont="1" applyBorder="1" applyAlignment="1" applyProtection="1">
      <alignment horizontal="justify" vertical="top"/>
      <protection locked="0"/>
    </xf>
    <xf numFmtId="0" fontId="6" fillId="0" borderId="1" xfId="0" applyFont="1" applyBorder="1" applyAlignment="1" applyProtection="1">
      <alignment horizontal="justify" vertical="top"/>
      <protection locked="0"/>
    </xf>
    <xf numFmtId="0" fontId="6" fillId="0" borderId="1" xfId="0" applyFont="1" applyBorder="1" applyAlignment="1" applyProtection="1">
      <alignment horizontal="center" vertical="top"/>
      <protection locked="0"/>
    </xf>
    <xf numFmtId="0" fontId="6" fillId="0" borderId="108" xfId="0" applyFont="1" applyBorder="1" applyAlignment="1" applyProtection="1">
      <alignment horizontal="justify" vertical="top"/>
      <protection locked="0"/>
    </xf>
    <xf numFmtId="0" fontId="6" fillId="0" borderId="1" xfId="0" applyFont="1" applyBorder="1" applyAlignment="1" applyProtection="1">
      <alignment horizontal="justify" vertical="top" wrapText="1"/>
      <protection locked="0"/>
    </xf>
    <xf numFmtId="0" fontId="6" fillId="0" borderId="114" xfId="0" applyFont="1" applyBorder="1" applyAlignment="1" applyProtection="1">
      <alignment horizontal="center"/>
      <protection locked="0"/>
    </xf>
    <xf numFmtId="0" fontId="6" fillId="0" borderId="90" xfId="0" applyFont="1" applyBorder="1" applyAlignment="1" applyProtection="1">
      <alignment horizontal="center"/>
      <protection locked="0"/>
    </xf>
    <xf numFmtId="0" fontId="6" fillId="0" borderId="108" xfId="0" applyFont="1" applyBorder="1" applyAlignment="1" applyProtection="1">
      <alignment horizontal="justify" vertical="top" wrapText="1"/>
      <protection locked="0"/>
    </xf>
    <xf numFmtId="0" fontId="6" fillId="0" borderId="112" xfId="0" applyFont="1" applyBorder="1" applyAlignment="1" applyProtection="1">
      <alignment horizontal="justify" vertical="top"/>
      <protection locked="0"/>
    </xf>
    <xf numFmtId="0" fontId="10" fillId="2" borderId="49" xfId="0" applyFont="1" applyFill="1" applyBorder="1" applyAlignment="1" applyProtection="1">
      <alignment horizontal="center" vertical="center"/>
      <protection hidden="1"/>
    </xf>
    <xf numFmtId="0" fontId="10" fillId="2" borderId="47" xfId="0" applyFont="1" applyFill="1" applyBorder="1" applyAlignment="1" applyProtection="1">
      <alignment horizontal="center" vertical="center"/>
      <protection hidden="1"/>
    </xf>
    <xf numFmtId="0" fontId="9" fillId="13" borderId="5" xfId="0" applyFont="1" applyFill="1" applyBorder="1" applyAlignment="1" applyProtection="1">
      <alignment horizontal="center" vertical="center"/>
      <protection hidden="1"/>
    </xf>
    <xf numFmtId="0" fontId="10" fillId="13" borderId="122" xfId="0" applyFont="1" applyFill="1" applyBorder="1" applyAlignment="1" applyProtection="1">
      <alignment horizontal="center" vertical="center" wrapText="1"/>
      <protection hidden="1"/>
    </xf>
    <xf numFmtId="0" fontId="0" fillId="0" borderId="142" xfId="0" applyBorder="1" applyAlignment="1" applyProtection="1">
      <alignment horizontal="center"/>
      <protection locked="0"/>
    </xf>
    <xf numFmtId="0" fontId="6" fillId="0" borderId="0" xfId="0" applyFont="1" applyAlignment="1" applyProtection="1">
      <alignment horizontal="center" vertical="center"/>
      <protection hidden="1"/>
    </xf>
    <xf numFmtId="0" fontId="6" fillId="0" borderId="8" xfId="0" applyFont="1" applyBorder="1" applyAlignment="1" applyProtection="1">
      <alignment horizontal="center" vertical="center"/>
      <protection hidden="1"/>
    </xf>
    <xf numFmtId="0" fontId="0" fillId="22" borderId="1" xfId="0" applyFill="1" applyBorder="1" applyProtection="1">
      <protection locked="0"/>
    </xf>
    <xf numFmtId="0" fontId="6" fillId="0" borderId="19" xfId="0" applyFont="1" applyBorder="1" applyAlignment="1" applyProtection="1">
      <alignment horizontal="center" vertical="center"/>
      <protection hidden="1"/>
    </xf>
    <xf numFmtId="0" fontId="0" fillId="22" borderId="144" xfId="0" applyFill="1" applyBorder="1" applyProtection="1">
      <protection locked="0"/>
    </xf>
    <xf numFmtId="0" fontId="10" fillId="2" borderId="119" xfId="0" applyFont="1" applyFill="1" applyBorder="1" applyAlignment="1" applyProtection="1">
      <alignment horizontal="center" vertical="center" wrapText="1"/>
      <protection hidden="1"/>
    </xf>
    <xf numFmtId="0" fontId="10" fillId="2" borderId="48" xfId="0" applyFont="1" applyFill="1" applyBorder="1" applyAlignment="1" applyProtection="1">
      <alignment horizontal="center" vertical="center" wrapText="1"/>
      <protection hidden="1"/>
    </xf>
    <xf numFmtId="0" fontId="10" fillId="2" borderId="38" xfId="0" applyFont="1" applyFill="1" applyBorder="1" applyAlignment="1" applyProtection="1">
      <alignment horizontal="center" vertical="center" wrapText="1"/>
      <protection hidden="1"/>
    </xf>
    <xf numFmtId="0" fontId="10" fillId="2" borderId="47" xfId="0" applyFont="1" applyFill="1" applyBorder="1" applyAlignment="1" applyProtection="1">
      <alignment horizontal="center" vertical="center" wrapText="1"/>
      <protection hidden="1"/>
    </xf>
    <xf numFmtId="0" fontId="10" fillId="2" borderId="81" xfId="0" applyFont="1" applyFill="1" applyBorder="1" applyAlignment="1" applyProtection="1">
      <alignment horizontal="center" vertical="center" wrapText="1"/>
      <protection hidden="1"/>
    </xf>
    <xf numFmtId="0" fontId="10" fillId="2" borderId="118" xfId="0" applyFont="1" applyFill="1" applyBorder="1" applyAlignment="1" applyProtection="1">
      <alignment horizontal="center" vertical="center" wrapText="1"/>
      <protection hidden="1"/>
    </xf>
    <xf numFmtId="0" fontId="53" fillId="0" borderId="1" xfId="0" applyNumberFormat="1" applyFont="1" applyBorder="1" applyAlignment="1" applyProtection="1">
      <alignment horizontal="center"/>
      <protection locked="0"/>
    </xf>
    <xf numFmtId="0" fontId="54" fillId="0" borderId="1" xfId="0" applyNumberFormat="1" applyFont="1" applyBorder="1" applyAlignment="1" applyProtection="1">
      <alignment horizontal="center"/>
      <protection locked="0"/>
    </xf>
    <xf numFmtId="0" fontId="53" fillId="0" borderId="1" xfId="0" applyNumberFormat="1" applyFont="1" applyBorder="1" applyAlignment="1" applyProtection="1">
      <alignment horizontal="center" vertical="center"/>
      <protection locked="0"/>
    </xf>
    <xf numFmtId="0" fontId="53" fillId="0" borderId="1" xfId="0" applyNumberFormat="1" applyFont="1" applyBorder="1" applyAlignment="1" applyProtection="1">
      <alignment horizontal="center" vertical="center" wrapText="1"/>
      <protection locked="0"/>
    </xf>
    <xf numFmtId="0" fontId="53" fillId="0" borderId="1" xfId="0" applyFont="1" applyBorder="1" applyAlignment="1" applyProtection="1">
      <alignment horizontal="center" vertical="center" wrapText="1"/>
      <protection locked="0"/>
    </xf>
    <xf numFmtId="41" fontId="6" fillId="0" borderId="146" xfId="0" applyNumberFormat="1" applyFont="1" applyBorder="1" applyAlignment="1" applyProtection="1">
      <alignment horizontal="center"/>
    </xf>
    <xf numFmtId="41" fontId="6" fillId="0" borderId="74" xfId="0" applyNumberFormat="1" applyFont="1" applyBorder="1" applyAlignment="1" applyProtection="1">
      <alignment horizontal="center" vertical="center"/>
    </xf>
    <xf numFmtId="41" fontId="6" fillId="0" borderId="121" xfId="0" applyNumberFormat="1" applyFont="1" applyBorder="1" applyAlignment="1" applyProtection="1">
      <alignment horizontal="center"/>
    </xf>
    <xf numFmtId="41" fontId="6" fillId="0" borderId="1" xfId="0" applyNumberFormat="1" applyFont="1" applyBorder="1" applyAlignment="1" applyProtection="1">
      <alignment horizontal="center" vertical="center"/>
    </xf>
    <xf numFmtId="41" fontId="6" fillId="0" borderId="149" xfId="0" applyNumberFormat="1" applyFont="1" applyBorder="1" applyAlignment="1" applyProtection="1">
      <alignment horizontal="center"/>
    </xf>
    <xf numFmtId="41" fontId="6" fillId="0" borderId="144" xfId="0" applyNumberFormat="1" applyFont="1" applyBorder="1" applyAlignment="1" applyProtection="1">
      <alignment horizontal="center" vertical="center"/>
    </xf>
    <xf numFmtId="41" fontId="6" fillId="0" borderId="144" xfId="0" applyNumberFormat="1" applyFont="1" applyBorder="1" applyAlignment="1" applyProtection="1"/>
    <xf numFmtId="0" fontId="28" fillId="6" borderId="1" xfId="0" applyFont="1" applyFill="1" applyBorder="1" applyAlignment="1" applyProtection="1">
      <alignment horizontal="left" vertical="center" wrapText="1"/>
      <protection hidden="1"/>
    </xf>
    <xf numFmtId="0" fontId="28" fillId="7" borderId="1" xfId="0" applyFont="1" applyFill="1" applyBorder="1" applyAlignment="1" applyProtection="1">
      <alignment horizontal="left" vertical="center" wrapText="1"/>
      <protection hidden="1"/>
    </xf>
    <xf numFmtId="0" fontId="28" fillId="11" borderId="12" xfId="0" applyFont="1" applyFill="1" applyBorder="1" applyAlignment="1" applyProtection="1">
      <alignment horizontal="left" vertical="center" wrapText="1"/>
      <protection hidden="1"/>
    </xf>
    <xf numFmtId="0" fontId="10" fillId="2" borderId="1" xfId="0" applyFont="1" applyFill="1" applyBorder="1" applyAlignment="1" applyProtection="1">
      <alignment vertical="center" wrapText="1"/>
      <protection hidden="1"/>
    </xf>
    <xf numFmtId="0" fontId="10" fillId="2" borderId="1" xfId="0" applyFont="1" applyFill="1" applyBorder="1" applyAlignment="1" applyProtection="1">
      <alignment vertical="center" wrapText="1"/>
      <protection hidden="1"/>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6" fillId="0" borderId="90" xfId="0" applyFont="1" applyBorder="1" applyAlignment="1" applyProtection="1">
      <alignment horizontal="center" vertical="center"/>
      <protection locked="0"/>
    </xf>
    <xf numFmtId="0" fontId="10" fillId="2" borderId="38" xfId="0" applyFont="1" applyFill="1" applyBorder="1" applyAlignment="1" applyProtection="1">
      <alignment horizontal="center" vertical="center"/>
      <protection hidden="1"/>
    </xf>
    <xf numFmtId="0" fontId="10" fillId="2" borderId="42" xfId="0" applyFont="1" applyFill="1" applyBorder="1" applyAlignment="1" applyProtection="1">
      <alignment horizontal="center" vertical="center"/>
      <protection hidden="1"/>
    </xf>
    <xf numFmtId="0" fontId="8" fillId="22" borderId="53" xfId="0" applyFont="1" applyFill="1" applyBorder="1" applyAlignment="1" applyProtection="1">
      <alignment horizontal="center" vertical="center" wrapText="1"/>
      <protection locked="0"/>
    </xf>
    <xf numFmtId="0" fontId="8" fillId="22" borderId="53" xfId="0" applyFont="1" applyFill="1" applyBorder="1" applyAlignment="1" applyProtection="1">
      <alignment horizontal="center" vertical="center"/>
      <protection locked="0"/>
    </xf>
    <xf numFmtId="0" fontId="10" fillId="2" borderId="10" xfId="0" applyFont="1" applyFill="1" applyBorder="1" applyAlignment="1" applyProtection="1">
      <alignment horizontal="center" vertical="center" wrapText="1"/>
      <protection hidden="1"/>
    </xf>
    <xf numFmtId="0" fontId="51" fillId="0" borderId="0" xfId="0" applyFont="1" applyProtection="1">
      <protection hidden="1"/>
    </xf>
    <xf numFmtId="0" fontId="10" fillId="3" borderId="165" xfId="0" applyFont="1" applyFill="1" applyBorder="1" applyAlignment="1" applyProtection="1">
      <alignment horizontal="center" vertical="center" wrapText="1"/>
      <protection hidden="1"/>
    </xf>
    <xf numFmtId="0" fontId="0" fillId="0" borderId="166" xfId="0" applyBorder="1" applyAlignment="1" applyProtection="1">
      <alignment horizontal="center"/>
      <protection locked="0"/>
    </xf>
    <xf numFmtId="0" fontId="9" fillId="3" borderId="86" xfId="0" applyFont="1" applyFill="1" applyBorder="1" applyAlignment="1" applyProtection="1">
      <alignment horizontal="center" vertical="center"/>
      <protection hidden="1"/>
    </xf>
    <xf numFmtId="0" fontId="10" fillId="3" borderId="167" xfId="0" applyFont="1" applyFill="1" applyBorder="1" applyAlignment="1" applyProtection="1">
      <alignment horizontal="center" vertical="center" wrapText="1"/>
      <protection hidden="1"/>
    </xf>
    <xf numFmtId="0" fontId="55" fillId="0" borderId="0" xfId="2" applyProtection="1">
      <protection locked="0"/>
    </xf>
    <xf numFmtId="0" fontId="8" fillId="23" borderId="134" xfId="0" applyFont="1" applyFill="1" applyBorder="1" applyAlignment="1" applyProtection="1">
      <alignment horizontal="center" vertical="center" wrapText="1"/>
      <protection locked="0"/>
    </xf>
    <xf numFmtId="0" fontId="10" fillId="2" borderId="0" xfId="0" applyFont="1" applyFill="1" applyBorder="1" applyAlignment="1" applyProtection="1">
      <alignment horizontal="center" vertical="center" wrapText="1"/>
      <protection hidden="1"/>
    </xf>
    <xf numFmtId="0" fontId="52" fillId="0" borderId="0" xfId="0" applyFont="1" applyAlignment="1" applyProtection="1">
      <alignment horizontal="center" vertical="center"/>
      <protection locked="0"/>
    </xf>
    <xf numFmtId="0" fontId="0" fillId="0" borderId="6" xfId="0" applyBorder="1" applyAlignment="1" applyProtection="1">
      <alignment vertical="center" wrapText="1"/>
      <protection locked="0"/>
    </xf>
    <xf numFmtId="0" fontId="6" fillId="0" borderId="0" xfId="0" applyFont="1" applyAlignment="1">
      <alignment horizontal="left" vertical="center"/>
    </xf>
    <xf numFmtId="0" fontId="30" fillId="15" borderId="59" xfId="0" applyFont="1" applyFill="1" applyBorder="1" applyAlignment="1">
      <alignment horizontal="left"/>
    </xf>
    <xf numFmtId="0" fontId="30" fillId="15" borderId="60" xfId="0" applyFont="1" applyFill="1" applyBorder="1" applyAlignment="1">
      <alignment horizontal="left"/>
    </xf>
    <xf numFmtId="0" fontId="30" fillId="15" borderId="61" xfId="0" applyFont="1" applyFill="1" applyBorder="1" applyAlignment="1">
      <alignment horizontal="left"/>
    </xf>
    <xf numFmtId="0" fontId="29" fillId="16" borderId="62" xfId="0" applyFont="1" applyFill="1" applyBorder="1" applyAlignment="1">
      <alignment horizontal="justify" vertical="justify" wrapText="1"/>
    </xf>
    <xf numFmtId="0" fontId="29" fillId="16" borderId="26" xfId="0" applyFont="1" applyFill="1" applyBorder="1" applyAlignment="1">
      <alignment horizontal="justify" vertical="justify" wrapText="1"/>
    </xf>
    <xf numFmtId="0" fontId="29" fillId="16" borderId="27" xfId="0" applyFont="1" applyFill="1" applyBorder="1" applyAlignment="1">
      <alignment horizontal="justify" vertical="justify" wrapText="1"/>
    </xf>
    <xf numFmtId="0" fontId="29" fillId="16" borderId="57" xfId="0" applyFont="1" applyFill="1" applyBorder="1" applyAlignment="1">
      <alignment horizontal="justify" vertical="justify" wrapText="1"/>
    </xf>
    <xf numFmtId="0" fontId="29" fillId="16" borderId="0" xfId="0" applyFont="1" applyFill="1" applyBorder="1" applyAlignment="1">
      <alignment horizontal="justify" vertical="justify" wrapText="1"/>
    </xf>
    <xf numFmtId="0" fontId="29" fillId="16" borderId="21" xfId="0" applyFont="1" applyFill="1" applyBorder="1" applyAlignment="1">
      <alignment horizontal="justify" vertical="justify" wrapText="1"/>
    </xf>
    <xf numFmtId="0" fontId="29" fillId="16" borderId="58" xfId="0" applyFont="1" applyFill="1" applyBorder="1" applyAlignment="1">
      <alignment horizontal="justify" vertical="justify" wrapText="1"/>
    </xf>
    <xf numFmtId="0" fontId="29" fillId="16" borderId="19" xfId="0" applyFont="1" applyFill="1" applyBorder="1" applyAlignment="1">
      <alignment horizontal="justify" vertical="justify" wrapText="1"/>
    </xf>
    <xf numFmtId="0" fontId="29" fillId="16" borderId="20" xfId="0" applyFont="1" applyFill="1" applyBorder="1" applyAlignment="1">
      <alignment horizontal="justify" vertical="justify" wrapText="1"/>
    </xf>
    <xf numFmtId="0" fontId="8" fillId="0" borderId="62" xfId="0" applyFont="1" applyBorder="1" applyAlignment="1" applyProtection="1">
      <alignment horizontal="center"/>
      <protection hidden="1"/>
    </xf>
    <xf numFmtId="0" fontId="8" fillId="0" borderId="26" xfId="0" applyFont="1" applyBorder="1" applyAlignment="1" applyProtection="1">
      <alignment horizontal="center"/>
      <protection hidden="1"/>
    </xf>
    <xf numFmtId="0" fontId="8" fillId="0" borderId="57" xfId="0" applyFont="1" applyBorder="1" applyAlignment="1" applyProtection="1">
      <alignment horizontal="center"/>
      <protection hidden="1"/>
    </xf>
    <xf numFmtId="0" fontId="8" fillId="0" borderId="0" xfId="0" applyFont="1" applyBorder="1" applyAlignment="1" applyProtection="1">
      <alignment horizontal="center"/>
      <protection hidden="1"/>
    </xf>
    <xf numFmtId="0" fontId="33" fillId="14" borderId="26" xfId="0" applyFont="1" applyFill="1" applyBorder="1" applyAlignment="1" applyProtection="1">
      <alignment horizontal="center" vertical="center" wrapText="1"/>
      <protection hidden="1"/>
    </xf>
    <xf numFmtId="0" fontId="33" fillId="14" borderId="27" xfId="0" applyFont="1" applyFill="1" applyBorder="1" applyAlignment="1" applyProtection="1">
      <alignment horizontal="center" vertical="center" wrapText="1"/>
      <protection hidden="1"/>
    </xf>
    <xf numFmtId="0" fontId="33" fillId="14" borderId="0" xfId="0" applyFont="1" applyFill="1" applyBorder="1" applyAlignment="1" applyProtection="1">
      <alignment horizontal="center" vertical="center" wrapText="1"/>
      <protection hidden="1"/>
    </xf>
    <xf numFmtId="0" fontId="33" fillId="14" borderId="21" xfId="0" applyFont="1" applyFill="1" applyBorder="1" applyAlignment="1" applyProtection="1">
      <alignment horizontal="center" vertical="center" wrapText="1"/>
      <protection hidden="1"/>
    </xf>
    <xf numFmtId="0" fontId="29" fillId="16" borderId="62" xfId="0" applyFont="1" applyFill="1" applyBorder="1" applyAlignment="1">
      <alignment horizontal="justify" wrapText="1"/>
    </xf>
    <xf numFmtId="0" fontId="29" fillId="16" borderId="26" xfId="0" applyFont="1" applyFill="1" applyBorder="1" applyAlignment="1">
      <alignment horizontal="justify" wrapText="1"/>
    </xf>
    <xf numFmtId="0" fontId="29" fillId="16" borderId="27" xfId="0" applyFont="1" applyFill="1" applyBorder="1" applyAlignment="1">
      <alignment horizontal="justify" wrapText="1"/>
    </xf>
    <xf numFmtId="0" fontId="29" fillId="16" borderId="57" xfId="0" applyFont="1" applyFill="1" applyBorder="1" applyAlignment="1">
      <alignment horizontal="justify" wrapText="1"/>
    </xf>
    <xf numFmtId="0" fontId="29" fillId="16" borderId="0" xfId="0" applyFont="1" applyFill="1" applyBorder="1" applyAlignment="1">
      <alignment horizontal="justify" wrapText="1"/>
    </xf>
    <xf numFmtId="0" fontId="29" fillId="16" borderId="21" xfId="0" applyFont="1" applyFill="1" applyBorder="1" applyAlignment="1">
      <alignment horizontal="justify" wrapText="1"/>
    </xf>
    <xf numFmtId="0" fontId="29" fillId="16" borderId="58" xfId="0" applyFont="1" applyFill="1" applyBorder="1" applyAlignment="1">
      <alignment horizontal="justify" wrapText="1"/>
    </xf>
    <xf numFmtId="0" fontId="29" fillId="16" borderId="19" xfId="0" applyFont="1" applyFill="1" applyBorder="1" applyAlignment="1">
      <alignment horizontal="justify" wrapText="1"/>
    </xf>
    <xf numFmtId="0" fontId="29" fillId="16" borderId="20" xfId="0" applyFont="1" applyFill="1" applyBorder="1" applyAlignment="1">
      <alignment horizontal="justify" wrapText="1"/>
    </xf>
    <xf numFmtId="0" fontId="30" fillId="13" borderId="57" xfId="0" applyFont="1" applyFill="1" applyBorder="1" applyAlignment="1" applyProtection="1">
      <alignment horizontal="left" vertical="center"/>
      <protection hidden="1"/>
    </xf>
    <xf numFmtId="0" fontId="30" fillId="13" borderId="0" xfId="0" applyFont="1" applyFill="1" applyBorder="1" applyAlignment="1" applyProtection="1">
      <alignment horizontal="left" vertical="center"/>
      <protection hidden="1"/>
    </xf>
    <xf numFmtId="0" fontId="30" fillId="13" borderId="21" xfId="0" applyFont="1" applyFill="1" applyBorder="1" applyAlignment="1" applyProtection="1">
      <alignment horizontal="left" vertical="center"/>
      <protection hidden="1"/>
    </xf>
    <xf numFmtId="0" fontId="4" fillId="17" borderId="62" xfId="0" applyFont="1" applyFill="1" applyBorder="1" applyAlignment="1">
      <alignment horizontal="justify" vertical="center"/>
    </xf>
    <xf numFmtId="0" fontId="4" fillId="17" borderId="26" xfId="0" applyFont="1" applyFill="1" applyBorder="1" applyAlignment="1">
      <alignment horizontal="justify" vertical="center"/>
    </xf>
    <xf numFmtId="0" fontId="4" fillId="17" borderId="27" xfId="0" applyFont="1" applyFill="1" applyBorder="1" applyAlignment="1">
      <alignment horizontal="justify" vertical="center"/>
    </xf>
    <xf numFmtId="0" fontId="4" fillId="17" borderId="57" xfId="0" applyFont="1" applyFill="1" applyBorder="1" applyAlignment="1">
      <alignment horizontal="justify" vertical="center"/>
    </xf>
    <xf numFmtId="0" fontId="4" fillId="17" borderId="0" xfId="0" applyFont="1" applyFill="1" applyBorder="1" applyAlignment="1">
      <alignment horizontal="justify" vertical="center"/>
    </xf>
    <xf numFmtId="0" fontId="4" fillId="17" borderId="21" xfId="0" applyFont="1" applyFill="1" applyBorder="1" applyAlignment="1">
      <alignment horizontal="justify" vertical="center"/>
    </xf>
    <xf numFmtId="0" fontId="4" fillId="17" borderId="58" xfId="0" applyFont="1" applyFill="1" applyBorder="1" applyAlignment="1">
      <alignment horizontal="justify" vertical="center"/>
    </xf>
    <xf numFmtId="0" fontId="4" fillId="17" borderId="19" xfId="0" applyFont="1" applyFill="1" applyBorder="1" applyAlignment="1">
      <alignment horizontal="justify" vertical="center"/>
    </xf>
    <xf numFmtId="0" fontId="4" fillId="17" borderId="20" xfId="0" applyFont="1" applyFill="1" applyBorder="1" applyAlignment="1">
      <alignment horizontal="justify" vertical="center"/>
    </xf>
    <xf numFmtId="0" fontId="29" fillId="17" borderId="26" xfId="0" applyFont="1" applyFill="1" applyBorder="1" applyAlignment="1" applyProtection="1">
      <alignment horizontal="justify" vertical="center" wrapText="1"/>
      <protection hidden="1"/>
    </xf>
    <xf numFmtId="0" fontId="29" fillId="17" borderId="0" xfId="0" applyFont="1" applyFill="1" applyBorder="1" applyAlignment="1" applyProtection="1">
      <alignment horizontal="justify" vertical="center" wrapText="1"/>
      <protection hidden="1"/>
    </xf>
    <xf numFmtId="0" fontId="29" fillId="16" borderId="62" xfId="0" applyFont="1" applyFill="1" applyBorder="1" applyAlignment="1">
      <alignment horizontal="justify" vertical="center" wrapText="1"/>
    </xf>
    <xf numFmtId="0" fontId="29" fillId="16" borderId="26" xfId="0" applyFont="1" applyFill="1" applyBorder="1" applyAlignment="1">
      <alignment horizontal="justify" vertical="center" wrapText="1"/>
    </xf>
    <xf numFmtId="0" fontId="29" fillId="16" borderId="27" xfId="0" applyFont="1" applyFill="1" applyBorder="1" applyAlignment="1">
      <alignment horizontal="justify" vertical="center" wrapText="1"/>
    </xf>
    <xf numFmtId="0" fontId="29" fillId="16" borderId="57" xfId="0" applyFont="1" applyFill="1" applyBorder="1" applyAlignment="1">
      <alignment horizontal="justify" vertical="center" wrapText="1"/>
    </xf>
    <xf numFmtId="0" fontId="29" fillId="16" borderId="0" xfId="0" applyFont="1" applyFill="1" applyBorder="1" applyAlignment="1">
      <alignment horizontal="justify" vertical="center" wrapText="1"/>
    </xf>
    <xf numFmtId="0" fontId="29" fillId="16" borderId="21" xfId="0" applyFont="1" applyFill="1" applyBorder="1" applyAlignment="1">
      <alignment horizontal="justify" vertical="center" wrapText="1"/>
    </xf>
    <xf numFmtId="0" fontId="29" fillId="16" borderId="58" xfId="0" applyFont="1" applyFill="1" applyBorder="1" applyAlignment="1">
      <alignment horizontal="justify" vertical="center" wrapText="1"/>
    </xf>
    <xf numFmtId="0" fontId="29" fillId="16" borderId="19" xfId="0" applyFont="1" applyFill="1" applyBorder="1" applyAlignment="1">
      <alignment horizontal="justify" vertical="center" wrapText="1"/>
    </xf>
    <xf numFmtId="0" fontId="29" fillId="16" borderId="20" xfId="0" applyFont="1" applyFill="1" applyBorder="1" applyAlignment="1">
      <alignment horizontal="justify" vertical="center" wrapText="1"/>
    </xf>
    <xf numFmtId="0" fontId="30" fillId="13" borderId="59" xfId="0" applyFont="1" applyFill="1" applyBorder="1" applyAlignment="1">
      <alignment horizontal="left"/>
    </xf>
    <xf numFmtId="0" fontId="30" fillId="13" borderId="60" xfId="0" applyFont="1" applyFill="1" applyBorder="1" applyAlignment="1">
      <alignment horizontal="left"/>
    </xf>
    <xf numFmtId="0" fontId="30" fillId="13" borderId="61" xfId="0" applyFont="1" applyFill="1" applyBorder="1" applyAlignment="1">
      <alignment horizontal="left"/>
    </xf>
    <xf numFmtId="0" fontId="41" fillId="19" borderId="7" xfId="0" applyFont="1" applyFill="1" applyBorder="1" applyAlignment="1" applyProtection="1">
      <alignment horizontal="center" vertical="center" wrapText="1"/>
      <protection hidden="1"/>
    </xf>
    <xf numFmtId="0" fontId="9" fillId="19" borderId="4" xfId="0" applyFont="1" applyFill="1" applyBorder="1" applyAlignment="1" applyProtection="1">
      <alignment horizontal="center" vertical="center"/>
      <protection hidden="1"/>
    </xf>
    <xf numFmtId="0" fontId="9" fillId="19" borderId="14" xfId="0" applyFont="1" applyFill="1" applyBorder="1" applyAlignment="1" applyProtection="1">
      <alignment horizontal="center" vertical="center"/>
      <protection hidden="1"/>
    </xf>
    <xf numFmtId="0" fontId="9" fillId="19" borderId="5" xfId="0" applyFont="1" applyFill="1" applyBorder="1" applyAlignment="1" applyProtection="1">
      <alignment horizontal="center" vertical="center"/>
      <protection hidden="1"/>
    </xf>
    <xf numFmtId="0" fontId="9" fillId="19" borderId="0" xfId="0" applyFont="1" applyFill="1" applyBorder="1" applyAlignment="1" applyProtection="1">
      <alignment horizontal="center" vertical="center"/>
      <protection hidden="1"/>
    </xf>
    <xf numFmtId="0" fontId="9" fillId="19" borderId="8" xfId="0" applyFont="1" applyFill="1" applyBorder="1" applyAlignment="1" applyProtection="1">
      <alignment horizontal="center" vertical="center"/>
      <protection hidden="1"/>
    </xf>
    <xf numFmtId="0" fontId="9" fillId="19" borderId="9" xfId="0" applyFont="1" applyFill="1" applyBorder="1" applyAlignment="1" applyProtection="1">
      <alignment horizontal="center" vertical="center"/>
      <protection hidden="1"/>
    </xf>
    <xf numFmtId="0" fontId="9" fillId="19" borderId="10" xfId="0" applyFont="1" applyFill="1" applyBorder="1" applyAlignment="1" applyProtection="1">
      <alignment horizontal="center" vertical="center"/>
      <protection hidden="1"/>
    </xf>
    <xf numFmtId="0" fontId="9" fillId="19" borderId="11" xfId="0" applyFont="1" applyFill="1" applyBorder="1" applyAlignment="1" applyProtection="1">
      <alignment horizontal="center" vertical="center"/>
      <protection hidden="1"/>
    </xf>
    <xf numFmtId="0" fontId="10" fillId="2" borderId="13" xfId="0" applyFont="1" applyFill="1" applyBorder="1" applyAlignment="1" applyProtection="1">
      <alignment vertical="center"/>
      <protection hidden="1"/>
    </xf>
    <xf numFmtId="0" fontId="10" fillId="2" borderId="1" xfId="0" applyFont="1" applyFill="1" applyBorder="1" applyAlignment="1" applyProtection="1">
      <alignment vertical="center" wrapText="1"/>
      <protection hidden="1"/>
    </xf>
    <xf numFmtId="0" fontId="10" fillId="2" borderId="2" xfId="0" applyFont="1" applyFill="1" applyBorder="1" applyAlignment="1" applyProtection="1">
      <alignment vertical="center" wrapText="1"/>
      <protection hidden="1"/>
    </xf>
    <xf numFmtId="0" fontId="2" fillId="0" borderId="2"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8" fillId="0" borderId="2" xfId="0" applyNumberFormat="1" applyFont="1" applyBorder="1" applyAlignment="1" applyProtection="1">
      <alignment horizontal="center" vertical="center"/>
      <protection locked="0"/>
    </xf>
    <xf numFmtId="0" fontId="8" fillId="0" borderId="3" xfId="0" applyNumberFormat="1"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0" fillId="0" borderId="2"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10" fillId="2" borderId="12" xfId="0" applyFont="1" applyFill="1" applyBorder="1" applyAlignment="1" applyProtection="1">
      <alignment horizontal="left" vertical="center" wrapText="1"/>
      <protection hidden="1"/>
    </xf>
    <xf numFmtId="0" fontId="10" fillId="2" borderId="5" xfId="0" applyFont="1" applyFill="1" applyBorder="1" applyAlignment="1" applyProtection="1">
      <alignment horizontal="left" vertical="center" wrapText="1"/>
      <protection hidden="1"/>
    </xf>
    <xf numFmtId="0" fontId="10" fillId="2" borderId="0" xfId="0" applyFont="1" applyFill="1" applyBorder="1" applyAlignment="1" applyProtection="1">
      <alignment horizontal="left" vertical="center" wrapText="1"/>
      <protection hidden="1"/>
    </xf>
    <xf numFmtId="0" fontId="10" fillId="2" borderId="4" xfId="0" applyFont="1" applyFill="1" applyBorder="1" applyAlignment="1" applyProtection="1">
      <alignment horizontal="center" vertical="center" wrapText="1"/>
      <protection hidden="1"/>
    </xf>
    <xf numFmtId="0" fontId="8" fillId="5" borderId="6" xfId="0" applyFont="1" applyFill="1" applyBorder="1" applyAlignment="1" applyProtection="1">
      <alignment horizontal="center" vertical="center" wrapText="1"/>
      <protection locked="0"/>
    </xf>
    <xf numFmtId="0" fontId="9" fillId="2" borderId="0" xfId="0" applyFont="1" applyFill="1" applyAlignment="1" applyProtection="1">
      <alignment horizontal="center" vertical="center"/>
      <protection hidden="1"/>
    </xf>
    <xf numFmtId="0" fontId="6" fillId="0" borderId="17" xfId="0" applyFont="1" applyBorder="1" applyAlignment="1">
      <alignment horizontal="center" vertical="center"/>
    </xf>
    <xf numFmtId="0" fontId="6" fillId="0" borderId="16" xfId="0" applyFont="1" applyBorder="1" applyAlignment="1">
      <alignment horizontal="center" vertical="center"/>
    </xf>
    <xf numFmtId="0" fontId="6" fillId="0" borderId="15" xfId="0" applyFont="1" applyBorder="1" applyAlignment="1">
      <alignment horizontal="center" vertical="center"/>
    </xf>
    <xf numFmtId="0" fontId="15" fillId="0" borderId="7" xfId="0" applyFont="1" applyBorder="1" applyAlignment="1" applyProtection="1">
      <alignment horizontal="justify" vertical="top" wrapText="1"/>
      <protection locked="0"/>
    </xf>
    <xf numFmtId="0" fontId="15" fillId="0" borderId="4" xfId="0" applyFont="1" applyBorder="1" applyAlignment="1" applyProtection="1">
      <alignment horizontal="justify" vertical="top" wrapText="1"/>
      <protection locked="0"/>
    </xf>
    <xf numFmtId="0" fontId="15" fillId="0" borderId="14" xfId="0" applyFont="1" applyBorder="1" applyAlignment="1" applyProtection="1">
      <alignment horizontal="justify" vertical="top" wrapText="1"/>
      <protection locked="0"/>
    </xf>
    <xf numFmtId="0" fontId="15" fillId="0" borderId="5" xfId="0" applyFont="1" applyBorder="1" applyAlignment="1" applyProtection="1">
      <alignment horizontal="justify" vertical="top" wrapText="1"/>
      <protection locked="0"/>
    </xf>
    <xf numFmtId="0" fontId="15" fillId="0" borderId="0" xfId="0" applyFont="1" applyBorder="1" applyAlignment="1" applyProtection="1">
      <alignment horizontal="justify" vertical="top" wrapText="1"/>
      <protection locked="0"/>
    </xf>
    <xf numFmtId="0" fontId="15" fillId="0" borderId="8" xfId="0" applyFont="1" applyBorder="1" applyAlignment="1" applyProtection="1">
      <alignment horizontal="justify" vertical="top" wrapText="1"/>
      <protection locked="0"/>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6" fillId="0" borderId="90" xfId="0" applyFont="1" applyBorder="1" applyAlignment="1" applyProtection="1">
      <alignment horizontal="center" vertical="center"/>
      <protection locked="0"/>
    </xf>
    <xf numFmtId="0" fontId="25" fillId="22" borderId="168" xfId="0" applyFont="1" applyFill="1" applyBorder="1" applyAlignment="1" applyProtection="1">
      <alignment horizontal="center" vertical="center"/>
      <protection locked="0"/>
    </xf>
    <xf numFmtId="0" fontId="25" fillId="22" borderId="169" xfId="0" applyFont="1" applyFill="1" applyBorder="1" applyAlignment="1" applyProtection="1">
      <alignment horizontal="center" vertical="center"/>
      <protection locked="0"/>
    </xf>
    <xf numFmtId="0" fontId="25" fillId="22" borderId="170" xfId="0" applyFont="1" applyFill="1" applyBorder="1" applyAlignment="1" applyProtection="1">
      <alignment horizontal="center" vertical="center"/>
      <protection locked="0"/>
    </xf>
    <xf numFmtId="0" fontId="9" fillId="13" borderId="26" xfId="0" applyFont="1" applyFill="1" applyBorder="1" applyAlignment="1" applyProtection="1">
      <alignment horizontal="center" vertical="center" wrapText="1"/>
      <protection hidden="1"/>
    </xf>
    <xf numFmtId="0" fontId="9" fillId="13" borderId="0" xfId="0" applyFont="1" applyFill="1" applyBorder="1" applyAlignment="1" applyProtection="1">
      <alignment horizontal="center" vertical="center" wrapText="1"/>
      <protection hidden="1"/>
    </xf>
    <xf numFmtId="0" fontId="6" fillId="0" borderId="0" xfId="0" applyFont="1" applyBorder="1" applyAlignment="1" applyProtection="1">
      <alignment horizontal="justify" vertical="top" wrapText="1"/>
      <protection hidden="1"/>
    </xf>
    <xf numFmtId="0" fontId="6" fillId="0" borderId="19" xfId="0" applyFont="1" applyBorder="1" applyAlignment="1" applyProtection="1">
      <alignment horizontal="justify" vertical="top" wrapText="1"/>
      <protection hidden="1"/>
    </xf>
    <xf numFmtId="0" fontId="1" fillId="2" borderId="13" xfId="0" applyFont="1" applyFill="1" applyBorder="1" applyAlignment="1" applyProtection="1">
      <alignment horizontal="center" vertical="center"/>
      <protection hidden="1"/>
    </xf>
    <xf numFmtId="0" fontId="6" fillId="0" borderId="91" xfId="0" applyFont="1" applyBorder="1" applyAlignment="1" applyProtection="1">
      <alignment horizontal="justify" vertical="center" wrapText="1"/>
      <protection locked="0"/>
    </xf>
    <xf numFmtId="0" fontId="6" fillId="0" borderId="92" xfId="0" applyFont="1" applyBorder="1" applyAlignment="1" applyProtection="1">
      <alignment horizontal="justify" vertical="center" wrapText="1"/>
      <protection locked="0"/>
    </xf>
    <xf numFmtId="0" fontId="6" fillId="0" borderId="93" xfId="0" applyFont="1" applyBorder="1" applyAlignment="1" applyProtection="1">
      <alignment horizontal="justify" vertical="center" wrapText="1"/>
      <protection locked="0"/>
    </xf>
    <xf numFmtId="0" fontId="6" fillId="0" borderId="94" xfId="0" applyFont="1" applyBorder="1" applyAlignment="1" applyProtection="1">
      <alignment horizontal="justify" vertical="center" wrapText="1"/>
      <protection locked="0"/>
    </xf>
    <xf numFmtId="0" fontId="6" fillId="0" borderId="95" xfId="0" applyFont="1" applyBorder="1" applyAlignment="1" applyProtection="1">
      <alignment horizontal="justify" vertical="center" wrapText="1"/>
      <protection locked="0"/>
    </xf>
    <xf numFmtId="0" fontId="6" fillId="0" borderId="96" xfId="0" applyFont="1" applyBorder="1" applyAlignment="1" applyProtection="1">
      <alignment horizontal="justify" vertical="center" wrapText="1"/>
      <protection locked="0"/>
    </xf>
    <xf numFmtId="0" fontId="6" fillId="22" borderId="168" xfId="0" applyFont="1" applyFill="1" applyBorder="1" applyAlignment="1" applyProtection="1">
      <alignment horizontal="center" vertical="center" wrapText="1"/>
      <protection locked="0"/>
    </xf>
    <xf numFmtId="0" fontId="6" fillId="22" borderId="169" xfId="0" applyFont="1" applyFill="1" applyBorder="1" applyAlignment="1" applyProtection="1">
      <alignment horizontal="center" vertical="center" wrapText="1"/>
      <protection locked="0"/>
    </xf>
    <xf numFmtId="0" fontId="6" fillId="22" borderId="170" xfId="0" applyFont="1" applyFill="1" applyBorder="1" applyAlignment="1" applyProtection="1">
      <alignment horizontal="center" vertical="center" wrapText="1"/>
      <protection locked="0"/>
    </xf>
    <xf numFmtId="0" fontId="9" fillId="3" borderId="12" xfId="0" applyFont="1" applyFill="1" applyBorder="1" applyAlignment="1" applyProtection="1">
      <alignment horizontal="center" vertical="center" wrapText="1"/>
      <protection hidden="1"/>
    </xf>
    <xf numFmtId="0" fontId="6" fillId="0" borderId="7" xfId="0" applyFont="1" applyBorder="1" applyAlignment="1" applyProtection="1">
      <alignment horizontal="justify" vertical="center"/>
      <protection locked="0"/>
    </xf>
    <xf numFmtId="0" fontId="6" fillId="0" borderId="4" xfId="0" applyFont="1" applyBorder="1" applyAlignment="1" applyProtection="1">
      <alignment horizontal="justify" vertical="center"/>
      <protection locked="0"/>
    </xf>
    <xf numFmtId="0" fontId="6" fillId="0" borderId="14" xfId="0" applyFont="1" applyBorder="1" applyAlignment="1" applyProtection="1">
      <alignment horizontal="justify" vertical="center"/>
      <protection locked="0"/>
    </xf>
    <xf numFmtId="0" fontId="6" fillId="0" borderId="9" xfId="0" applyFont="1" applyBorder="1" applyAlignment="1" applyProtection="1">
      <alignment horizontal="justify" vertical="center"/>
      <protection locked="0"/>
    </xf>
    <xf numFmtId="0" fontId="6" fillId="0" borderId="10" xfId="0" applyFont="1" applyBorder="1" applyAlignment="1" applyProtection="1">
      <alignment horizontal="justify" vertical="center"/>
      <protection locked="0"/>
    </xf>
    <xf numFmtId="0" fontId="6" fillId="0" borderId="11" xfId="0" applyFont="1" applyBorder="1" applyAlignment="1" applyProtection="1">
      <alignment horizontal="justify" vertical="center"/>
      <protection locked="0"/>
    </xf>
    <xf numFmtId="0" fontId="9" fillId="3" borderId="4" xfId="0" applyFont="1" applyFill="1" applyBorder="1" applyAlignment="1" applyProtection="1">
      <alignment horizontal="center" vertical="center" wrapText="1"/>
      <protection hidden="1"/>
    </xf>
    <xf numFmtId="0" fontId="9" fillId="3" borderId="0" xfId="0" applyFont="1" applyFill="1" applyBorder="1" applyAlignment="1" applyProtection="1">
      <alignment horizontal="center" vertical="center" wrapText="1"/>
      <protection hidden="1"/>
    </xf>
    <xf numFmtId="0" fontId="6" fillId="0" borderId="94" xfId="0" applyFont="1" applyBorder="1" applyAlignment="1" applyProtection="1">
      <alignment horizontal="justify" vertical="center"/>
      <protection locked="0"/>
    </xf>
    <xf numFmtId="0" fontId="6" fillId="0" borderId="95" xfId="0" applyFont="1" applyBorder="1" applyAlignment="1" applyProtection="1">
      <alignment horizontal="justify" vertical="center"/>
      <protection locked="0"/>
    </xf>
    <xf numFmtId="0" fontId="6" fillId="0" borderId="96" xfId="0" applyFont="1" applyBorder="1" applyAlignment="1" applyProtection="1">
      <alignment horizontal="justify" vertical="center"/>
      <protection locked="0"/>
    </xf>
    <xf numFmtId="0" fontId="6" fillId="0" borderId="97" xfId="0" applyFont="1" applyBorder="1" applyAlignment="1" applyProtection="1">
      <alignment horizontal="justify" vertical="center"/>
      <protection locked="0"/>
    </xf>
    <xf numFmtId="0" fontId="6" fillId="0" borderId="98" xfId="0" applyFont="1" applyBorder="1" applyAlignment="1" applyProtection="1">
      <alignment horizontal="justify" vertical="center"/>
      <protection locked="0"/>
    </xf>
    <xf numFmtId="0" fontId="6" fillId="0" borderId="99" xfId="0" applyFont="1" applyBorder="1" applyAlignment="1" applyProtection="1">
      <alignment horizontal="justify" vertical="center"/>
      <protection locked="0"/>
    </xf>
    <xf numFmtId="0" fontId="41" fillId="19" borderId="0" xfId="0" applyFont="1" applyFill="1" applyBorder="1" applyAlignment="1" applyProtection="1">
      <alignment horizontal="center" vertical="center" wrapText="1"/>
      <protection hidden="1"/>
    </xf>
    <xf numFmtId="0" fontId="42" fillId="19" borderId="0" xfId="0" applyFont="1" applyFill="1" applyBorder="1" applyAlignment="1" applyProtection="1">
      <alignment horizontal="center" vertical="center"/>
      <protection hidden="1"/>
    </xf>
    <xf numFmtId="0" fontId="6" fillId="0" borderId="7" xfId="0" applyFont="1" applyBorder="1" applyAlignment="1" applyProtection="1">
      <alignment horizontal="left" vertical="justify"/>
      <protection locked="0"/>
    </xf>
    <xf numFmtId="0" fontId="6" fillId="0" borderId="4" xfId="0" applyFont="1" applyBorder="1" applyAlignment="1" applyProtection="1">
      <alignment horizontal="left" vertical="justify"/>
      <protection locked="0"/>
    </xf>
    <xf numFmtId="0" fontId="6" fillId="0" borderId="14" xfId="0" applyFont="1" applyBorder="1" applyAlignment="1" applyProtection="1">
      <alignment horizontal="left" vertical="justify"/>
      <protection locked="0"/>
    </xf>
    <xf numFmtId="0" fontId="19" fillId="4" borderId="7" xfId="0" applyFont="1" applyFill="1" applyBorder="1" applyAlignment="1" applyProtection="1">
      <alignment horizontal="left" vertical="center"/>
      <protection hidden="1"/>
    </xf>
    <xf numFmtId="0" fontId="19" fillId="4" borderId="4" xfId="0" applyFont="1" applyFill="1" applyBorder="1" applyAlignment="1" applyProtection="1">
      <alignment horizontal="left" vertical="center"/>
      <protection hidden="1"/>
    </xf>
    <xf numFmtId="0" fontId="6" fillId="0" borderId="7" xfId="0" applyFont="1" applyBorder="1" applyAlignment="1" applyProtection="1">
      <alignment horizontal="left" vertical="justify"/>
      <protection hidden="1"/>
    </xf>
    <xf numFmtId="0" fontId="6" fillId="0" borderId="4" xfId="0" applyFont="1" applyBorder="1" applyAlignment="1" applyProtection="1">
      <alignment horizontal="left" vertical="justify"/>
      <protection hidden="1"/>
    </xf>
    <xf numFmtId="0" fontId="6" fillId="0" borderId="14" xfId="0" applyFont="1" applyBorder="1" applyAlignment="1" applyProtection="1">
      <alignment horizontal="left" vertical="justify"/>
      <protection hidden="1"/>
    </xf>
    <xf numFmtId="0" fontId="6" fillId="0" borderId="7" xfId="0" applyNumberFormat="1" applyFont="1" applyBorder="1" applyAlignment="1" applyProtection="1">
      <alignment horizontal="left" vertical="justify" wrapText="1"/>
      <protection hidden="1"/>
    </xf>
    <xf numFmtId="0" fontId="6" fillId="0" borderId="4" xfId="0" applyNumberFormat="1" applyFont="1" applyBorder="1" applyAlignment="1" applyProtection="1">
      <alignment horizontal="left" vertical="justify" wrapText="1"/>
      <protection hidden="1"/>
    </xf>
    <xf numFmtId="0" fontId="6" fillId="0" borderId="14" xfId="0" applyNumberFormat="1" applyFont="1" applyBorder="1" applyAlignment="1" applyProtection="1">
      <alignment horizontal="left" vertical="justify" wrapText="1"/>
      <protection hidden="1"/>
    </xf>
    <xf numFmtId="0" fontId="6" fillId="0" borderId="7" xfId="0" applyFont="1" applyBorder="1" applyAlignment="1" applyProtection="1">
      <alignment horizontal="left" vertical="justify" wrapText="1"/>
      <protection hidden="1"/>
    </xf>
    <xf numFmtId="0" fontId="6" fillId="0" borderId="4" xfId="0" applyFont="1" applyBorder="1" applyAlignment="1" applyProtection="1">
      <alignment horizontal="left" vertical="justify" wrapText="1"/>
      <protection hidden="1"/>
    </xf>
    <xf numFmtId="0" fontId="6" fillId="0" borderId="18" xfId="0" applyFont="1" applyBorder="1" applyAlignment="1" applyProtection="1">
      <alignment horizontal="left" vertical="justify" wrapText="1"/>
      <protection hidden="1"/>
    </xf>
    <xf numFmtId="0" fontId="6" fillId="0" borderId="3" xfId="0" applyFont="1" applyBorder="1" applyAlignment="1">
      <alignment horizontal="left"/>
    </xf>
    <xf numFmtId="0" fontId="6" fillId="0" borderId="1" xfId="0" applyFont="1" applyBorder="1" applyAlignment="1">
      <alignment horizontal="left"/>
    </xf>
    <xf numFmtId="0" fontId="4" fillId="0" borderId="3" xfId="0" applyFont="1" applyBorder="1" applyAlignment="1">
      <alignment horizontal="left"/>
    </xf>
    <xf numFmtId="0" fontId="4" fillId="0" borderId="1" xfId="0" applyFont="1" applyBorder="1" applyAlignment="1">
      <alignment horizontal="left"/>
    </xf>
    <xf numFmtId="0" fontId="20" fillId="0" borderId="2" xfId="0" applyFont="1" applyBorder="1" applyAlignment="1">
      <alignment horizontal="left" vertical="center"/>
    </xf>
    <xf numFmtId="0" fontId="20" fillId="0" borderId="6" xfId="0" applyFont="1" applyBorder="1" applyAlignment="1">
      <alignment horizontal="left" vertical="center"/>
    </xf>
    <xf numFmtId="0" fontId="20" fillId="0" borderId="3" xfId="0" applyFont="1" applyBorder="1" applyAlignment="1">
      <alignment horizontal="left" vertical="center"/>
    </xf>
    <xf numFmtId="0" fontId="14" fillId="2" borderId="67" xfId="0" applyFont="1" applyFill="1" applyBorder="1" applyAlignment="1" applyProtection="1">
      <alignment horizontal="center" vertical="center"/>
      <protection hidden="1"/>
    </xf>
    <xf numFmtId="0" fontId="6" fillId="0" borderId="144" xfId="0" applyFont="1" applyBorder="1" applyAlignment="1" applyProtection="1">
      <alignment horizontal="left" vertical="justify"/>
      <protection locked="0"/>
    </xf>
    <xf numFmtId="0" fontId="16" fillId="7" borderId="2" xfId="0" applyFont="1" applyFill="1" applyBorder="1" applyAlignment="1">
      <alignment horizontal="left" vertical="center"/>
    </xf>
    <xf numFmtId="0" fontId="16" fillId="7" borderId="6" xfId="0" applyFont="1" applyFill="1" applyBorder="1" applyAlignment="1">
      <alignment horizontal="left" vertical="center"/>
    </xf>
    <xf numFmtId="0" fontId="16" fillId="7" borderId="3" xfId="0" applyFont="1" applyFill="1" applyBorder="1" applyAlignment="1">
      <alignment horizontal="left" vertical="center"/>
    </xf>
    <xf numFmtId="0" fontId="6" fillId="0" borderId="2" xfId="0" applyFont="1" applyBorder="1" applyAlignment="1">
      <alignment horizontal="left"/>
    </xf>
    <xf numFmtId="0" fontId="6" fillId="0" borderId="6" xfId="0" applyFont="1" applyBorder="1" applyAlignment="1">
      <alignment horizontal="left"/>
    </xf>
    <xf numFmtId="0" fontId="9" fillId="2" borderId="31" xfId="0" applyFont="1" applyFill="1" applyBorder="1" applyAlignment="1" applyProtection="1">
      <alignment horizontal="center" vertical="center"/>
      <protection locked="0"/>
    </xf>
    <xf numFmtId="0" fontId="9" fillId="2" borderId="0" xfId="0" applyFont="1" applyFill="1" applyBorder="1" applyAlignment="1" applyProtection="1">
      <alignment horizontal="center" vertical="center"/>
      <protection locked="0"/>
    </xf>
    <xf numFmtId="0" fontId="15" fillId="0" borderId="94" xfId="0" applyFont="1" applyBorder="1" applyAlignment="1" applyProtection="1">
      <alignment horizontal="left" vertical="top" wrapText="1"/>
      <protection locked="0"/>
    </xf>
    <xf numFmtId="0" fontId="15" fillId="0" borderId="95" xfId="0" applyFont="1" applyBorder="1" applyAlignment="1" applyProtection="1">
      <alignment horizontal="left" vertical="top" wrapText="1"/>
      <protection locked="0"/>
    </xf>
    <xf numFmtId="0" fontId="15" fillId="0" borderId="97" xfId="0" applyFont="1" applyBorder="1" applyAlignment="1" applyProtection="1">
      <alignment horizontal="left" vertical="top" wrapText="1"/>
      <protection locked="0"/>
    </xf>
    <xf numFmtId="0" fontId="15" fillId="0" borderId="98" xfId="0" applyFont="1" applyBorder="1" applyAlignment="1" applyProtection="1">
      <alignment horizontal="left" vertical="top" wrapText="1"/>
      <protection locked="0"/>
    </xf>
    <xf numFmtId="0" fontId="15" fillId="0" borderId="101" xfId="0" applyFont="1" applyBorder="1" applyAlignment="1" applyProtection="1">
      <alignment horizontal="left" vertical="top" wrapText="1"/>
      <protection locked="0"/>
    </xf>
    <xf numFmtId="0" fontId="15" fillId="0" borderId="102" xfId="0" applyFont="1" applyBorder="1" applyAlignment="1" applyProtection="1">
      <alignment horizontal="left" vertical="top" wrapText="1"/>
      <protection locked="0"/>
    </xf>
    <xf numFmtId="0" fontId="41" fillId="19" borderId="5" xfId="0" applyFont="1" applyFill="1" applyBorder="1" applyAlignment="1" applyProtection="1">
      <alignment horizontal="center" vertical="center" wrapText="1"/>
      <protection hidden="1"/>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9" fillId="2" borderId="39" xfId="0" applyFont="1" applyFill="1" applyBorder="1" applyAlignment="1" applyProtection="1">
      <alignment horizontal="center" vertical="center"/>
      <protection hidden="1"/>
    </xf>
    <xf numFmtId="0" fontId="9" fillId="2" borderId="40" xfId="0" applyFont="1" applyFill="1" applyBorder="1" applyAlignment="1" applyProtection="1">
      <alignment horizontal="center" vertical="center"/>
      <protection hidden="1"/>
    </xf>
    <xf numFmtId="0" fontId="9" fillId="2" borderId="41" xfId="0" applyFont="1" applyFill="1" applyBorder="1" applyAlignment="1" applyProtection="1">
      <alignment horizontal="center" vertical="center"/>
      <protection hidden="1"/>
    </xf>
    <xf numFmtId="0" fontId="41" fillId="19" borderId="0" xfId="0" applyFont="1" applyFill="1" applyBorder="1" applyAlignment="1" applyProtection="1">
      <alignment horizontal="center" vertical="center"/>
      <protection hidden="1"/>
    </xf>
    <xf numFmtId="0" fontId="9" fillId="2" borderId="104" xfId="0" applyFont="1" applyFill="1" applyBorder="1" applyAlignment="1" applyProtection="1">
      <alignment horizontal="center" vertical="center"/>
      <protection hidden="1"/>
    </xf>
    <xf numFmtId="0" fontId="9" fillId="2" borderId="29" xfId="0" applyFont="1" applyFill="1" applyBorder="1" applyAlignment="1" applyProtection="1">
      <alignment horizontal="center" vertical="center"/>
      <protection hidden="1"/>
    </xf>
    <xf numFmtId="0" fontId="9" fillId="2" borderId="105" xfId="0" applyFont="1" applyFill="1" applyBorder="1" applyAlignment="1" applyProtection="1">
      <alignment horizontal="center" vertical="center"/>
      <protection hidden="1"/>
    </xf>
    <xf numFmtId="0" fontId="21" fillId="2" borderId="22" xfId="0" applyFont="1" applyFill="1" applyBorder="1" applyAlignment="1" applyProtection="1">
      <alignment horizontal="center" vertical="center" wrapText="1"/>
      <protection hidden="1"/>
    </xf>
    <xf numFmtId="0" fontId="21" fillId="2" borderId="23" xfId="0" applyFont="1" applyFill="1" applyBorder="1" applyAlignment="1" applyProtection="1">
      <alignment horizontal="center" vertical="center" wrapText="1"/>
      <protection hidden="1"/>
    </xf>
    <xf numFmtId="0" fontId="19" fillId="2" borderId="22" xfId="0" applyFont="1" applyFill="1" applyBorder="1" applyAlignment="1" applyProtection="1">
      <alignment horizontal="center" vertical="center"/>
      <protection hidden="1"/>
    </xf>
    <xf numFmtId="0" fontId="22" fillId="2" borderId="13" xfId="0" applyFont="1" applyFill="1" applyBorder="1" applyAlignment="1" applyProtection="1">
      <alignment horizontal="center" vertical="center"/>
      <protection hidden="1"/>
    </xf>
    <xf numFmtId="0" fontId="22" fillId="2" borderId="1" xfId="0" applyFont="1" applyFill="1" applyBorder="1" applyAlignment="1" applyProtection="1">
      <alignment horizontal="center" vertical="center"/>
      <protection hidden="1"/>
    </xf>
    <xf numFmtId="0" fontId="18" fillId="6" borderId="2" xfId="0" applyFont="1" applyFill="1" applyBorder="1" applyAlignment="1" applyProtection="1">
      <alignment horizontal="left"/>
      <protection hidden="1"/>
    </xf>
    <xf numFmtId="0" fontId="18" fillId="6" borderId="3" xfId="0" applyFont="1" applyFill="1" applyBorder="1" applyAlignment="1" applyProtection="1">
      <alignment horizontal="left"/>
      <protection hidden="1"/>
    </xf>
    <xf numFmtId="0" fontId="18" fillId="6" borderId="24" xfId="0" applyFont="1" applyFill="1" applyBorder="1" applyAlignment="1" applyProtection="1">
      <alignment horizontal="left"/>
      <protection hidden="1"/>
    </xf>
    <xf numFmtId="0" fontId="18" fillId="6" borderId="25" xfId="0" applyFont="1" applyFill="1" applyBorder="1" applyAlignment="1" applyProtection="1">
      <alignment horizontal="left"/>
      <protection hidden="1"/>
    </xf>
    <xf numFmtId="0" fontId="4" fillId="0" borderId="1" xfId="0" applyFont="1" applyBorder="1" applyAlignment="1" applyProtection="1">
      <alignment horizontal="left"/>
      <protection hidden="1"/>
    </xf>
    <xf numFmtId="0" fontId="4" fillId="0" borderId="12" xfId="0" applyFont="1" applyBorder="1" applyAlignment="1" applyProtection="1">
      <alignment horizontal="left"/>
      <protection hidden="1"/>
    </xf>
    <xf numFmtId="0" fontId="9" fillId="2" borderId="36" xfId="0" applyFont="1" applyFill="1" applyBorder="1" applyAlignment="1" applyProtection="1">
      <alignment horizontal="center" vertical="center"/>
      <protection hidden="1"/>
    </xf>
    <xf numFmtId="0" fontId="9" fillId="2" borderId="37" xfId="0" applyFont="1" applyFill="1" applyBorder="1" applyAlignment="1" applyProtection="1">
      <alignment horizontal="center" vertical="center"/>
      <protection hidden="1"/>
    </xf>
    <xf numFmtId="43" fontId="15" fillId="0" borderId="88" xfId="0" applyNumberFormat="1" applyFont="1" applyBorder="1" applyAlignment="1" applyProtection="1">
      <alignment horizontal="left" vertical="center" wrapText="1"/>
      <protection hidden="1"/>
    </xf>
    <xf numFmtId="43" fontId="15" fillId="0" borderId="89" xfId="0" applyNumberFormat="1" applyFont="1" applyBorder="1" applyAlignment="1" applyProtection="1">
      <alignment horizontal="left" vertical="center" wrapText="1"/>
      <protection hidden="1"/>
    </xf>
    <xf numFmtId="43" fontId="15" fillId="0" borderId="116" xfId="0" applyNumberFormat="1" applyFont="1" applyBorder="1" applyAlignment="1" applyProtection="1">
      <alignment horizontal="left" vertical="center" wrapText="1"/>
      <protection hidden="1"/>
    </xf>
    <xf numFmtId="43" fontId="10" fillId="2" borderId="31" xfId="0" applyNumberFormat="1" applyFont="1" applyFill="1" applyBorder="1" applyAlignment="1" applyProtection="1">
      <alignment horizontal="left" vertical="center" wrapText="1"/>
      <protection hidden="1"/>
    </xf>
    <xf numFmtId="43" fontId="10" fillId="2" borderId="0" xfId="0" applyNumberFormat="1" applyFont="1" applyFill="1" applyBorder="1" applyAlignment="1" applyProtection="1">
      <alignment horizontal="left" vertical="center" wrapText="1"/>
      <protection hidden="1"/>
    </xf>
    <xf numFmtId="43" fontId="10" fillId="2" borderId="32" xfId="0" applyNumberFormat="1" applyFont="1" applyFill="1" applyBorder="1" applyAlignment="1" applyProtection="1">
      <alignment horizontal="left" vertical="center" wrapText="1"/>
      <protection hidden="1"/>
    </xf>
    <xf numFmtId="43" fontId="10" fillId="2" borderId="28" xfId="0" applyNumberFormat="1" applyFont="1" applyFill="1" applyBorder="1" applyAlignment="1" applyProtection="1">
      <alignment horizontal="left" vertical="center" wrapText="1"/>
      <protection hidden="1"/>
    </xf>
    <xf numFmtId="43" fontId="10" fillId="2" borderId="29" xfId="0" applyNumberFormat="1" applyFont="1" applyFill="1" applyBorder="1" applyAlignment="1" applyProtection="1">
      <alignment horizontal="left" vertical="center" wrapText="1"/>
      <protection hidden="1"/>
    </xf>
    <xf numFmtId="43" fontId="10" fillId="2" borderId="30" xfId="0" applyNumberFormat="1" applyFont="1" applyFill="1" applyBorder="1" applyAlignment="1" applyProtection="1">
      <alignment horizontal="left" vertical="center" wrapText="1"/>
      <protection hidden="1"/>
    </xf>
    <xf numFmtId="43" fontId="15" fillId="0" borderId="90" xfId="0" applyNumberFormat="1" applyFont="1" applyBorder="1" applyAlignment="1" applyProtection="1">
      <alignment horizontal="left" vertical="center" wrapText="1"/>
      <protection hidden="1"/>
    </xf>
    <xf numFmtId="1" fontId="8" fillId="0" borderId="13" xfId="0" applyNumberFormat="1" applyFont="1" applyBorder="1" applyAlignment="1" applyProtection="1">
      <alignment horizontal="center" vertical="center"/>
      <protection hidden="1"/>
    </xf>
    <xf numFmtId="43" fontId="8" fillId="0" borderId="6" xfId="1" applyNumberFormat="1" applyFont="1" applyBorder="1" applyAlignment="1" applyProtection="1">
      <alignment horizontal="center" vertical="center"/>
      <protection hidden="1"/>
    </xf>
    <xf numFmtId="43" fontId="6" fillId="0" borderId="90" xfId="0" applyNumberFormat="1" applyFont="1" applyBorder="1" applyAlignment="1" applyProtection="1">
      <alignment horizontal="justify" vertical="center"/>
      <protection hidden="1"/>
    </xf>
    <xf numFmtId="0" fontId="8" fillId="5" borderId="6" xfId="0" applyFont="1" applyFill="1" applyBorder="1" applyAlignment="1" applyProtection="1">
      <alignment horizontal="center" vertical="center" wrapText="1"/>
      <protection hidden="1"/>
    </xf>
    <xf numFmtId="0" fontId="1" fillId="2" borderId="1" xfId="0" applyFont="1" applyFill="1" applyBorder="1" applyAlignment="1" applyProtection="1">
      <alignment horizontal="center" vertical="center"/>
      <protection hidden="1"/>
    </xf>
    <xf numFmtId="43" fontId="6" fillId="0" borderId="88" xfId="0" applyNumberFormat="1" applyFont="1" applyBorder="1" applyAlignment="1" applyProtection="1">
      <alignment horizontal="center"/>
      <protection locked="0"/>
    </xf>
    <xf numFmtId="0" fontId="6" fillId="0" borderId="0" xfId="0" applyFont="1" applyAlignment="1">
      <alignment horizontal="center"/>
    </xf>
    <xf numFmtId="0" fontId="6" fillId="0" borderId="17" xfId="0" applyFont="1" applyBorder="1" applyAlignment="1" applyProtection="1">
      <alignment horizontal="center" vertical="center"/>
      <protection hidden="1"/>
    </xf>
    <xf numFmtId="0" fontId="6" fillId="0" borderId="16" xfId="0" applyFont="1" applyBorder="1" applyAlignment="1" applyProtection="1">
      <alignment horizontal="center" vertical="center"/>
      <protection hidden="1"/>
    </xf>
    <xf numFmtId="0" fontId="6" fillId="0" borderId="15" xfId="0" applyFont="1" applyBorder="1" applyAlignment="1" applyProtection="1">
      <alignment horizontal="center" vertical="center"/>
      <protection hidden="1"/>
    </xf>
    <xf numFmtId="43" fontId="6" fillId="0" borderId="89" xfId="0" applyNumberFormat="1" applyFont="1" applyBorder="1" applyAlignment="1" applyProtection="1">
      <alignment horizontal="center"/>
      <protection locked="0"/>
    </xf>
    <xf numFmtId="43" fontId="6" fillId="0" borderId="89" xfId="0" applyNumberFormat="1" applyFont="1" applyBorder="1" applyAlignment="1" applyProtection="1">
      <alignment horizontal="justify" vertical="center"/>
      <protection hidden="1"/>
    </xf>
    <xf numFmtId="0" fontId="9" fillId="2" borderId="1" xfId="0"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protection hidden="1"/>
    </xf>
    <xf numFmtId="43" fontId="15" fillId="0" borderId="91" xfId="0" applyNumberFormat="1" applyFont="1" applyBorder="1" applyAlignment="1" applyProtection="1">
      <alignment horizontal="left" vertical="center" wrapText="1"/>
      <protection hidden="1"/>
    </xf>
    <xf numFmtId="43" fontId="15" fillId="0" borderId="92" xfId="0" applyNumberFormat="1" applyFont="1" applyBorder="1" applyAlignment="1" applyProtection="1">
      <alignment horizontal="left" vertical="center" wrapText="1"/>
      <protection hidden="1"/>
    </xf>
    <xf numFmtId="43" fontId="15" fillId="0" borderId="93" xfId="0" applyNumberFormat="1" applyFont="1" applyBorder="1" applyAlignment="1" applyProtection="1">
      <alignment horizontal="left" vertical="center" wrapText="1"/>
      <protection hidden="1"/>
    </xf>
    <xf numFmtId="43" fontId="10" fillId="2" borderId="53" xfId="0" applyNumberFormat="1" applyFont="1" applyFill="1" applyBorder="1" applyAlignment="1" applyProtection="1">
      <alignment horizontal="left" vertical="center" wrapText="1"/>
      <protection hidden="1"/>
    </xf>
    <xf numFmtId="43" fontId="10" fillId="2" borderId="4" xfId="0" applyNumberFormat="1" applyFont="1" applyFill="1" applyBorder="1" applyAlignment="1" applyProtection="1">
      <alignment horizontal="left" vertical="center" wrapText="1"/>
      <protection hidden="1"/>
    </xf>
    <xf numFmtId="43" fontId="10" fillId="2" borderId="54" xfId="0" applyNumberFormat="1" applyFont="1" applyFill="1" applyBorder="1" applyAlignment="1" applyProtection="1">
      <alignment horizontal="left" vertical="center" wrapText="1"/>
      <protection hidden="1"/>
    </xf>
    <xf numFmtId="43" fontId="10" fillId="2" borderId="55" xfId="0" applyNumberFormat="1" applyFont="1" applyFill="1" applyBorder="1" applyAlignment="1" applyProtection="1">
      <alignment horizontal="left" vertical="center" wrapText="1"/>
      <protection hidden="1"/>
    </xf>
    <xf numFmtId="43" fontId="10" fillId="2" borderId="10" xfId="0" applyNumberFormat="1" applyFont="1" applyFill="1" applyBorder="1" applyAlignment="1" applyProtection="1">
      <alignment horizontal="left" vertical="center" wrapText="1"/>
      <protection hidden="1"/>
    </xf>
    <xf numFmtId="43" fontId="10" fillId="2" borderId="56" xfId="0" applyNumberFormat="1" applyFont="1" applyFill="1" applyBorder="1" applyAlignment="1" applyProtection="1">
      <alignment horizontal="left" vertical="center" wrapText="1"/>
      <protection hidden="1"/>
    </xf>
    <xf numFmtId="0" fontId="10" fillId="2" borderId="33" xfId="0" applyFont="1" applyFill="1" applyBorder="1" applyAlignment="1" applyProtection="1">
      <alignment horizontal="center" vertical="center"/>
      <protection hidden="1"/>
    </xf>
    <xf numFmtId="0" fontId="10" fillId="2" borderId="34" xfId="0" applyFont="1" applyFill="1" applyBorder="1" applyAlignment="1" applyProtection="1">
      <alignment horizontal="center" vertical="center"/>
      <protection hidden="1"/>
    </xf>
    <xf numFmtId="0" fontId="10" fillId="2" borderId="35" xfId="0" applyFont="1" applyFill="1" applyBorder="1" applyAlignment="1" applyProtection="1">
      <alignment horizontal="center" vertical="center"/>
      <protection hidden="1"/>
    </xf>
    <xf numFmtId="0" fontId="6" fillId="0" borderId="12" xfId="0" applyFont="1" applyFill="1" applyBorder="1" applyAlignment="1">
      <alignment horizontal="center" vertical="center"/>
    </xf>
    <xf numFmtId="0" fontId="10" fillId="2" borderId="0" xfId="0" applyFont="1" applyFill="1" applyBorder="1" applyAlignment="1" applyProtection="1">
      <alignment horizontal="center" wrapText="1"/>
      <protection hidden="1"/>
    </xf>
    <xf numFmtId="43" fontId="10" fillId="2" borderId="31" xfId="0" applyNumberFormat="1" applyFont="1" applyFill="1" applyBorder="1" applyAlignment="1" applyProtection="1">
      <alignment horizontal="center" vertical="center" wrapText="1"/>
      <protection hidden="1"/>
    </xf>
    <xf numFmtId="43" fontId="10" fillId="2" borderId="0" xfId="0" applyNumberFormat="1" applyFont="1" applyFill="1" applyBorder="1" applyAlignment="1" applyProtection="1">
      <alignment horizontal="center" vertical="center" wrapText="1"/>
      <protection hidden="1"/>
    </xf>
    <xf numFmtId="43" fontId="10" fillId="2" borderId="32" xfId="0" applyNumberFormat="1" applyFont="1" applyFill="1" applyBorder="1" applyAlignment="1" applyProtection="1">
      <alignment horizontal="center" vertical="center" wrapText="1"/>
      <protection hidden="1"/>
    </xf>
    <xf numFmtId="43" fontId="10" fillId="2" borderId="28" xfId="0" applyNumberFormat="1" applyFont="1" applyFill="1" applyBorder="1" applyAlignment="1" applyProtection="1">
      <alignment horizontal="center" vertical="center" wrapText="1"/>
      <protection hidden="1"/>
    </xf>
    <xf numFmtId="43" fontId="10" fillId="2" borderId="29" xfId="0" applyNumberFormat="1" applyFont="1" applyFill="1" applyBorder="1" applyAlignment="1" applyProtection="1">
      <alignment horizontal="center" vertical="center" wrapText="1"/>
      <protection hidden="1"/>
    </xf>
    <xf numFmtId="43" fontId="10" fillId="2" borderId="30" xfId="0" applyNumberFormat="1" applyFont="1" applyFill="1" applyBorder="1" applyAlignment="1" applyProtection="1">
      <alignment horizontal="center" vertical="center" wrapText="1"/>
      <protection hidden="1"/>
    </xf>
    <xf numFmtId="43" fontId="15" fillId="0" borderId="101" xfId="0" applyNumberFormat="1" applyFont="1" applyBorder="1" applyAlignment="1" applyProtection="1">
      <alignment horizontal="left" vertical="center" wrapText="1"/>
      <protection hidden="1"/>
    </xf>
    <xf numFmtId="43" fontId="15" fillId="0" borderId="102" xfId="0" applyNumberFormat="1" applyFont="1" applyBorder="1" applyAlignment="1" applyProtection="1">
      <alignment horizontal="left" vertical="center" wrapText="1"/>
      <protection hidden="1"/>
    </xf>
    <xf numFmtId="43" fontId="15" fillId="0" borderId="103" xfId="0" applyNumberFormat="1" applyFont="1" applyBorder="1" applyAlignment="1" applyProtection="1">
      <alignment horizontal="left" vertical="center" wrapText="1"/>
      <protection hidden="1"/>
    </xf>
    <xf numFmtId="43" fontId="15" fillId="0" borderId="94" xfId="0" applyNumberFormat="1" applyFont="1" applyBorder="1" applyAlignment="1" applyProtection="1">
      <alignment horizontal="left" vertical="center" wrapText="1"/>
      <protection hidden="1"/>
    </xf>
    <xf numFmtId="43" fontId="15" fillId="0" borderId="95" xfId="0" applyNumberFormat="1" applyFont="1" applyBorder="1" applyAlignment="1" applyProtection="1">
      <alignment horizontal="left" vertical="center" wrapText="1"/>
      <protection hidden="1"/>
    </xf>
    <xf numFmtId="43" fontId="15" fillId="0" borderId="96" xfId="0" applyNumberFormat="1" applyFont="1" applyBorder="1" applyAlignment="1" applyProtection="1">
      <alignment horizontal="left" vertical="center" wrapText="1"/>
      <protection hidden="1"/>
    </xf>
    <xf numFmtId="0" fontId="2" fillId="0" borderId="1" xfId="0" applyFont="1" applyBorder="1" applyAlignment="1" applyProtection="1">
      <alignment horizontal="center" vertical="center"/>
      <protection hidden="1"/>
    </xf>
    <xf numFmtId="43" fontId="2" fillId="0" borderId="1" xfId="0" applyNumberFormat="1" applyFont="1" applyBorder="1" applyAlignment="1" applyProtection="1">
      <alignment horizontal="center" vertical="center"/>
      <protection hidden="1"/>
    </xf>
    <xf numFmtId="43" fontId="2" fillId="0" borderId="12" xfId="0" applyNumberFormat="1" applyFont="1" applyBorder="1" applyAlignment="1" applyProtection="1">
      <alignment horizontal="center" vertical="center"/>
      <protection hidden="1"/>
    </xf>
    <xf numFmtId="3" fontId="6" fillId="0" borderId="7" xfId="0" applyNumberFormat="1" applyFont="1" applyBorder="1" applyAlignment="1" applyProtection="1">
      <alignment horizontal="justify" vertical="top" wrapText="1"/>
      <protection locked="0"/>
    </xf>
    <xf numFmtId="3" fontId="6" fillId="0" borderId="4" xfId="0" applyNumberFormat="1" applyFont="1" applyBorder="1" applyAlignment="1" applyProtection="1">
      <alignment horizontal="justify" vertical="top" wrapText="1"/>
      <protection locked="0"/>
    </xf>
    <xf numFmtId="3" fontId="6" fillId="0" borderId="14" xfId="0" applyNumberFormat="1" applyFont="1" applyBorder="1" applyAlignment="1" applyProtection="1">
      <alignment horizontal="justify" vertical="top" wrapText="1"/>
      <protection locked="0"/>
    </xf>
    <xf numFmtId="3" fontId="6" fillId="0" borderId="5" xfId="0" applyNumberFormat="1" applyFont="1" applyBorder="1" applyAlignment="1" applyProtection="1">
      <alignment horizontal="justify" vertical="top" wrapText="1"/>
      <protection locked="0"/>
    </xf>
    <xf numFmtId="3" fontId="6" fillId="0" borderId="0" xfId="0" applyNumberFormat="1" applyFont="1" applyBorder="1" applyAlignment="1" applyProtection="1">
      <alignment horizontal="justify" vertical="top" wrapText="1"/>
      <protection locked="0"/>
    </xf>
    <xf numFmtId="3" fontId="6" fillId="0" borderId="8" xfId="0" applyNumberFormat="1" applyFont="1" applyBorder="1" applyAlignment="1" applyProtection="1">
      <alignment horizontal="justify" vertical="top" wrapText="1"/>
      <protection locked="0"/>
    </xf>
    <xf numFmtId="3" fontId="6" fillId="0" borderId="9" xfId="0" applyNumberFormat="1" applyFont="1" applyBorder="1" applyAlignment="1" applyProtection="1">
      <alignment horizontal="justify" vertical="top" wrapText="1"/>
      <protection locked="0"/>
    </xf>
    <xf numFmtId="3" fontId="6" fillId="0" borderId="10" xfId="0" applyNumberFormat="1" applyFont="1" applyBorder="1" applyAlignment="1" applyProtection="1">
      <alignment horizontal="justify" vertical="top" wrapText="1"/>
      <protection locked="0"/>
    </xf>
    <xf numFmtId="3" fontId="6" fillId="0" borderId="11" xfId="0" applyNumberFormat="1" applyFont="1" applyBorder="1" applyAlignment="1" applyProtection="1">
      <alignment horizontal="justify" vertical="top" wrapText="1"/>
      <protection locked="0"/>
    </xf>
    <xf numFmtId="0" fontId="6" fillId="0" borderId="1" xfId="0" applyFont="1" applyBorder="1" applyAlignment="1" applyProtection="1">
      <alignment horizontal="center"/>
      <protection hidden="1"/>
    </xf>
    <xf numFmtId="0" fontId="10" fillId="2" borderId="1" xfId="0" applyFont="1" applyFill="1" applyBorder="1" applyAlignment="1" applyProtection="1">
      <alignment vertical="center"/>
      <protection hidden="1"/>
    </xf>
    <xf numFmtId="43" fontId="6" fillId="0" borderId="4" xfId="0" applyNumberFormat="1" applyFont="1" applyBorder="1" applyAlignment="1" applyProtection="1">
      <alignment horizontal="center" vertical="center"/>
      <protection hidden="1"/>
    </xf>
    <xf numFmtId="43" fontId="6" fillId="0" borderId="88" xfId="0" applyNumberFormat="1" applyFont="1" applyBorder="1" applyAlignment="1" applyProtection="1">
      <alignment horizontal="justify" vertical="center"/>
      <protection hidden="1"/>
    </xf>
    <xf numFmtId="0" fontId="2" fillId="0" borderId="7"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43" fontId="15" fillId="0" borderId="97" xfId="0" applyNumberFormat="1" applyFont="1" applyBorder="1" applyAlignment="1" applyProtection="1">
      <alignment horizontal="left" vertical="center" wrapText="1"/>
      <protection hidden="1"/>
    </xf>
    <xf numFmtId="43" fontId="15" fillId="0" borderId="98" xfId="0" applyNumberFormat="1" applyFont="1" applyBorder="1" applyAlignment="1" applyProtection="1">
      <alignment horizontal="left" vertical="center" wrapText="1"/>
      <protection hidden="1"/>
    </xf>
    <xf numFmtId="43" fontId="15" fillId="0" borderId="99" xfId="0" applyNumberFormat="1" applyFont="1" applyBorder="1" applyAlignment="1" applyProtection="1">
      <alignment horizontal="left" vertical="center" wrapText="1"/>
      <protection hidden="1"/>
    </xf>
    <xf numFmtId="43" fontId="38" fillId="18" borderId="2" xfId="0" applyNumberFormat="1" applyFont="1" applyFill="1" applyBorder="1" applyAlignment="1" applyProtection="1">
      <alignment horizontal="left" vertical="center"/>
      <protection hidden="1"/>
    </xf>
    <xf numFmtId="43" fontId="38" fillId="18" borderId="6" xfId="0" applyNumberFormat="1" applyFont="1" applyFill="1" applyBorder="1" applyAlignment="1" applyProtection="1">
      <alignment horizontal="left" vertical="center"/>
      <protection hidden="1"/>
    </xf>
    <xf numFmtId="43" fontId="38" fillId="18" borderId="128" xfId="0" applyNumberFormat="1" applyFont="1" applyFill="1" applyBorder="1" applyAlignment="1" applyProtection="1">
      <alignment horizontal="left" vertical="center"/>
      <protection hidden="1"/>
    </xf>
    <xf numFmtId="43" fontId="38" fillId="18" borderId="3" xfId="0" applyNumberFormat="1" applyFont="1" applyFill="1" applyBorder="1" applyAlignment="1" applyProtection="1">
      <alignment horizontal="left" vertical="center"/>
      <protection hidden="1"/>
    </xf>
    <xf numFmtId="0" fontId="45" fillId="2" borderId="1" xfId="0" applyFont="1" applyFill="1" applyBorder="1" applyAlignment="1" applyProtection="1">
      <alignment horizontal="center" vertical="center"/>
      <protection hidden="1"/>
    </xf>
    <xf numFmtId="1" fontId="2" fillId="18" borderId="2" xfId="0" applyNumberFormat="1" applyFont="1" applyFill="1" applyBorder="1" applyAlignment="1" applyProtection="1">
      <alignment horizontal="center" vertical="center"/>
      <protection hidden="1"/>
    </xf>
    <xf numFmtId="1" fontId="2" fillId="18" borderId="6" xfId="0" applyNumberFormat="1" applyFont="1" applyFill="1" applyBorder="1" applyAlignment="1" applyProtection="1">
      <alignment horizontal="center" vertical="center"/>
      <protection hidden="1"/>
    </xf>
    <xf numFmtId="1" fontId="2" fillId="18" borderId="128" xfId="0" applyNumberFormat="1" applyFont="1" applyFill="1" applyBorder="1" applyAlignment="1" applyProtection="1">
      <alignment horizontal="center" vertical="center"/>
      <protection hidden="1"/>
    </xf>
    <xf numFmtId="43" fontId="6" fillId="0" borderId="112" xfId="0" applyNumberFormat="1" applyFont="1" applyBorder="1" applyAlignment="1" applyProtection="1">
      <alignment horizontal="justify" vertical="justify"/>
      <protection hidden="1"/>
    </xf>
    <xf numFmtId="43" fontId="6" fillId="0" borderId="88" xfId="0" applyNumberFormat="1" applyFont="1" applyBorder="1" applyAlignment="1" applyProtection="1">
      <alignment horizontal="justify" vertical="justify"/>
      <protection hidden="1"/>
    </xf>
    <xf numFmtId="0" fontId="10" fillId="2" borderId="38" xfId="0" applyFont="1" applyFill="1" applyBorder="1" applyAlignment="1" applyProtection="1">
      <alignment horizontal="center" vertical="center"/>
      <protection hidden="1"/>
    </xf>
    <xf numFmtId="0" fontId="39" fillId="18" borderId="24" xfId="0" applyFont="1" applyFill="1" applyBorder="1" applyAlignment="1" applyProtection="1">
      <alignment horizontal="left"/>
      <protection hidden="1"/>
    </xf>
    <xf numFmtId="0" fontId="39" fillId="18" borderId="25" xfId="0" applyFont="1" applyFill="1" applyBorder="1" applyAlignment="1" applyProtection="1">
      <alignment horizontal="left"/>
      <protection hidden="1"/>
    </xf>
    <xf numFmtId="0" fontId="21" fillId="2" borderId="22" xfId="0" applyFont="1" applyFill="1" applyBorder="1" applyAlignment="1" applyProtection="1">
      <alignment horizontal="center" wrapText="1"/>
      <protection hidden="1"/>
    </xf>
    <xf numFmtId="0" fontId="21" fillId="2" borderId="23" xfId="0" applyFont="1" applyFill="1" applyBorder="1" applyAlignment="1" applyProtection="1">
      <alignment horizontal="center" wrapText="1"/>
      <protection hidden="1"/>
    </xf>
    <xf numFmtId="0" fontId="21" fillId="2" borderId="22" xfId="0" applyFont="1" applyFill="1" applyBorder="1" applyAlignment="1" applyProtection="1">
      <alignment horizontal="center"/>
      <protection hidden="1"/>
    </xf>
    <xf numFmtId="0" fontId="21" fillId="2" borderId="36" xfId="0" applyFont="1" applyFill="1" applyBorder="1" applyAlignment="1" applyProtection="1">
      <alignment horizontal="center"/>
      <protection hidden="1"/>
    </xf>
    <xf numFmtId="0" fontId="21" fillId="2" borderId="37" xfId="0" applyFont="1" applyFill="1" applyBorder="1" applyAlignment="1" applyProtection="1">
      <alignment horizontal="center"/>
      <protection hidden="1"/>
    </xf>
    <xf numFmtId="43" fontId="6" fillId="0" borderId="91" xfId="0" applyNumberFormat="1" applyFont="1" applyBorder="1" applyAlignment="1" applyProtection="1">
      <alignment horizontal="justify" vertical="justify"/>
      <protection hidden="1"/>
    </xf>
    <xf numFmtId="43" fontId="6" fillId="0" borderId="92" xfId="0" applyNumberFormat="1" applyFont="1" applyBorder="1" applyAlignment="1" applyProtection="1">
      <alignment horizontal="justify" vertical="justify"/>
      <protection hidden="1"/>
    </xf>
    <xf numFmtId="43" fontId="6" fillId="0" borderId="93" xfId="0" applyNumberFormat="1" applyFont="1" applyBorder="1" applyAlignment="1" applyProtection="1">
      <alignment horizontal="justify" vertical="justify"/>
      <protection hidden="1"/>
    </xf>
    <xf numFmtId="43" fontId="6" fillId="0" borderId="108" xfId="0" applyNumberFormat="1" applyFont="1" applyBorder="1" applyAlignment="1" applyProtection="1">
      <alignment horizontal="justify" vertical="justify"/>
      <protection hidden="1"/>
    </xf>
    <xf numFmtId="43" fontId="6" fillId="0" borderId="89" xfId="0" applyNumberFormat="1" applyFont="1" applyBorder="1" applyAlignment="1" applyProtection="1">
      <alignment horizontal="justify" vertical="justify"/>
      <protection hidden="1"/>
    </xf>
    <xf numFmtId="43" fontId="6" fillId="0" borderId="94" xfId="0" applyNumberFormat="1" applyFont="1" applyBorder="1" applyAlignment="1" applyProtection="1">
      <alignment horizontal="justify" vertical="justify"/>
      <protection hidden="1"/>
    </xf>
    <xf numFmtId="43" fontId="6" fillId="0" borderId="95" xfId="0" applyNumberFormat="1" applyFont="1" applyBorder="1" applyAlignment="1" applyProtection="1">
      <alignment horizontal="justify" vertical="justify"/>
      <protection hidden="1"/>
    </xf>
    <xf numFmtId="43" fontId="6" fillId="0" borderId="96" xfId="0" applyNumberFormat="1" applyFont="1" applyBorder="1" applyAlignment="1" applyProtection="1">
      <alignment horizontal="justify" vertical="justify"/>
      <protection hidden="1"/>
    </xf>
    <xf numFmtId="165" fontId="6" fillId="0" borderId="89" xfId="0" applyNumberFormat="1" applyFont="1" applyBorder="1" applyAlignment="1" applyProtection="1">
      <alignment horizontal="center" vertical="center"/>
      <protection hidden="1"/>
    </xf>
    <xf numFmtId="0" fontId="10" fillId="2" borderId="42" xfId="0" applyFont="1" applyFill="1" applyBorder="1" applyAlignment="1" applyProtection="1">
      <alignment horizontal="center" vertical="center"/>
      <protection hidden="1"/>
    </xf>
    <xf numFmtId="43" fontId="6" fillId="0" borderId="44" xfId="0" applyNumberFormat="1" applyFont="1" applyBorder="1" applyAlignment="1" applyProtection="1">
      <alignment horizontal="justify" vertical="justify"/>
      <protection hidden="1"/>
    </xf>
    <xf numFmtId="43" fontId="6" fillId="0" borderId="1" xfId="0" applyNumberFormat="1" applyFont="1" applyBorder="1" applyAlignment="1" applyProtection="1">
      <alignment horizontal="justify" vertical="justify"/>
      <protection hidden="1"/>
    </xf>
    <xf numFmtId="43" fontId="6" fillId="0" borderId="2" xfId="0" applyNumberFormat="1" applyFont="1" applyBorder="1" applyAlignment="1" applyProtection="1">
      <alignment horizontal="justify" vertical="justify"/>
      <protection hidden="1"/>
    </xf>
    <xf numFmtId="43" fontId="6" fillId="0" borderId="6" xfId="0" applyNumberFormat="1" applyFont="1" applyBorder="1" applyAlignment="1" applyProtection="1">
      <alignment horizontal="justify" vertical="justify"/>
      <protection hidden="1"/>
    </xf>
    <xf numFmtId="43" fontId="6" fillId="0" borderId="3" xfId="0" applyNumberFormat="1" applyFont="1" applyBorder="1" applyAlignment="1" applyProtection="1">
      <alignment horizontal="justify" vertical="justify"/>
      <protection hidden="1"/>
    </xf>
    <xf numFmtId="43" fontId="6" fillId="0" borderId="114" xfId="0" applyNumberFormat="1" applyFont="1" applyBorder="1" applyAlignment="1" applyProtection="1">
      <alignment horizontal="justify" vertical="justify"/>
      <protection hidden="1"/>
    </xf>
    <xf numFmtId="43" fontId="6" fillId="0" borderId="90" xfId="0" applyNumberFormat="1" applyFont="1" applyBorder="1" applyAlignment="1" applyProtection="1">
      <alignment horizontal="justify" vertical="justify"/>
      <protection hidden="1"/>
    </xf>
    <xf numFmtId="43" fontId="6" fillId="0" borderId="97" xfId="0" applyNumberFormat="1" applyFont="1" applyBorder="1" applyAlignment="1" applyProtection="1">
      <alignment horizontal="justify" vertical="justify"/>
      <protection hidden="1"/>
    </xf>
    <xf numFmtId="43" fontId="6" fillId="0" borderId="98" xfId="0" applyNumberFormat="1" applyFont="1" applyBorder="1" applyAlignment="1" applyProtection="1">
      <alignment horizontal="justify" vertical="justify"/>
      <protection hidden="1"/>
    </xf>
    <xf numFmtId="43" fontId="6" fillId="0" borderId="99" xfId="0" applyNumberFormat="1" applyFont="1" applyBorder="1" applyAlignment="1" applyProtection="1">
      <alignment horizontal="justify" vertical="justify"/>
      <protection hidden="1"/>
    </xf>
    <xf numFmtId="165" fontId="6" fillId="0" borderId="90" xfId="0" applyNumberFormat="1" applyFont="1" applyBorder="1" applyAlignment="1" applyProtection="1">
      <alignment horizontal="center" vertical="center"/>
      <protection hidden="1"/>
    </xf>
    <xf numFmtId="0" fontId="39" fillId="18" borderId="2" xfId="0" applyFont="1" applyFill="1" applyBorder="1" applyAlignment="1" applyProtection="1">
      <alignment horizontal="left"/>
      <protection hidden="1"/>
    </xf>
    <xf numFmtId="0" fontId="39" fillId="18" borderId="3" xfId="0" applyFont="1" applyFill="1" applyBorder="1" applyAlignment="1" applyProtection="1">
      <alignment horizontal="left"/>
      <protection hidden="1"/>
    </xf>
    <xf numFmtId="43" fontId="38" fillId="18" borderId="2" xfId="0" applyNumberFormat="1" applyFont="1" applyFill="1" applyBorder="1" applyAlignment="1" applyProtection="1">
      <alignment horizontal="left" vertical="center" wrapText="1"/>
      <protection hidden="1"/>
    </xf>
    <xf numFmtId="43" fontId="38" fillId="18" borderId="6" xfId="0" applyNumberFormat="1" applyFont="1" applyFill="1" applyBorder="1" applyAlignment="1" applyProtection="1">
      <alignment horizontal="left" vertical="center" wrapText="1"/>
      <protection hidden="1"/>
    </xf>
    <xf numFmtId="43" fontId="38" fillId="18" borderId="128" xfId="0" applyNumberFormat="1" applyFont="1" applyFill="1" applyBorder="1" applyAlignment="1" applyProtection="1">
      <alignment horizontal="left" vertical="center" wrapText="1"/>
      <protection hidden="1"/>
    </xf>
    <xf numFmtId="43" fontId="38" fillId="18" borderId="2" xfId="1" applyNumberFormat="1" applyFont="1" applyFill="1" applyBorder="1" applyAlignment="1" applyProtection="1">
      <alignment horizontal="justify" vertical="justify"/>
      <protection hidden="1"/>
    </xf>
    <xf numFmtId="43" fontId="38" fillId="18" borderId="6" xfId="1" applyNumberFormat="1" applyFont="1" applyFill="1" applyBorder="1" applyAlignment="1" applyProtection="1">
      <alignment horizontal="justify" vertical="justify"/>
      <protection hidden="1"/>
    </xf>
    <xf numFmtId="43" fontId="38" fillId="18" borderId="3" xfId="1" applyNumberFormat="1" applyFont="1" applyFill="1" applyBorder="1" applyAlignment="1" applyProtection="1">
      <alignment horizontal="justify" vertical="justify"/>
      <protection hidden="1"/>
    </xf>
    <xf numFmtId="165" fontId="6" fillId="0" borderId="88" xfId="0" applyNumberFormat="1" applyFont="1" applyBorder="1" applyAlignment="1" applyProtection="1">
      <alignment horizontal="center" vertical="center"/>
      <protection hidden="1"/>
    </xf>
    <xf numFmtId="43" fontId="6" fillId="0" borderId="7" xfId="0" applyNumberFormat="1" applyFont="1" applyBorder="1" applyAlignment="1" applyProtection="1">
      <alignment horizontal="justify" vertical="top"/>
      <protection hidden="1"/>
    </xf>
    <xf numFmtId="43" fontId="6" fillId="0" borderId="4" xfId="0" applyNumberFormat="1" applyFont="1" applyBorder="1" applyAlignment="1" applyProtection="1">
      <alignment horizontal="justify" vertical="top"/>
      <protection hidden="1"/>
    </xf>
    <xf numFmtId="43" fontId="6" fillId="0" borderId="14" xfId="0" applyNumberFormat="1" applyFont="1" applyBorder="1" applyAlignment="1" applyProtection="1">
      <alignment horizontal="justify" vertical="top"/>
      <protection hidden="1"/>
    </xf>
    <xf numFmtId="43" fontId="6" fillId="0" borderId="5" xfId="0" applyNumberFormat="1" applyFont="1" applyBorder="1" applyAlignment="1" applyProtection="1">
      <alignment horizontal="justify" vertical="top"/>
      <protection hidden="1"/>
    </xf>
    <xf numFmtId="43" fontId="6" fillId="0" borderId="0" xfId="0" applyNumberFormat="1" applyFont="1" applyBorder="1" applyAlignment="1" applyProtection="1">
      <alignment horizontal="justify" vertical="top"/>
      <protection hidden="1"/>
    </xf>
    <xf numFmtId="43" fontId="6" fillId="0" borderId="8" xfId="0" applyNumberFormat="1" applyFont="1" applyBorder="1" applyAlignment="1" applyProtection="1">
      <alignment horizontal="justify" vertical="top"/>
      <protection hidden="1"/>
    </xf>
    <xf numFmtId="43" fontId="6" fillId="0" borderId="9" xfId="0" applyNumberFormat="1" applyFont="1" applyBorder="1" applyAlignment="1" applyProtection="1">
      <alignment horizontal="justify" vertical="top"/>
      <protection hidden="1"/>
    </xf>
    <xf numFmtId="43" fontId="6" fillId="0" borderId="10" xfId="0" applyNumberFormat="1" applyFont="1" applyBorder="1" applyAlignment="1" applyProtection="1">
      <alignment horizontal="justify" vertical="top"/>
      <protection hidden="1"/>
    </xf>
    <xf numFmtId="43" fontId="6" fillId="0" borderId="11" xfId="0" applyNumberFormat="1" applyFont="1" applyBorder="1" applyAlignment="1" applyProtection="1">
      <alignment horizontal="justify" vertical="top"/>
      <protection hidden="1"/>
    </xf>
    <xf numFmtId="43" fontId="6" fillId="0" borderId="1" xfId="0" applyNumberFormat="1" applyFont="1" applyBorder="1" applyAlignment="1" applyProtection="1">
      <alignment horizontal="justify" vertical="top"/>
      <protection hidden="1"/>
    </xf>
    <xf numFmtId="43" fontId="2" fillId="18" borderId="2" xfId="0" applyNumberFormat="1" applyFont="1" applyFill="1" applyBorder="1" applyAlignment="1" applyProtection="1">
      <alignment horizontal="center" vertical="center"/>
      <protection hidden="1"/>
    </xf>
    <xf numFmtId="43" fontId="2" fillId="18" borderId="6" xfId="0" applyNumberFormat="1" applyFont="1" applyFill="1" applyBorder="1" applyAlignment="1" applyProtection="1">
      <alignment horizontal="center" vertical="center"/>
      <protection hidden="1"/>
    </xf>
    <xf numFmtId="43" fontId="2" fillId="18" borderId="128" xfId="0" applyNumberFormat="1" applyFont="1" applyFill="1" applyBorder="1" applyAlignment="1" applyProtection="1">
      <alignment horizontal="center" vertical="center"/>
      <protection hidden="1"/>
    </xf>
    <xf numFmtId="1" fontId="2" fillId="18" borderId="129" xfId="0" applyNumberFormat="1" applyFont="1" applyFill="1" applyBorder="1" applyAlignment="1" applyProtection="1">
      <alignment horizontal="center" vertical="center"/>
      <protection hidden="1"/>
    </xf>
    <xf numFmtId="1" fontId="2" fillId="18" borderId="3" xfId="0" applyNumberFormat="1" applyFont="1" applyFill="1" applyBorder="1" applyAlignment="1" applyProtection="1">
      <alignment horizontal="center" vertical="center"/>
      <protection hidden="1"/>
    </xf>
    <xf numFmtId="43" fontId="2" fillId="18" borderId="129" xfId="0" applyNumberFormat="1" applyFont="1" applyFill="1" applyBorder="1" applyAlignment="1" applyProtection="1">
      <alignment horizontal="center" vertical="center"/>
      <protection hidden="1"/>
    </xf>
    <xf numFmtId="43" fontId="2" fillId="18" borderId="3" xfId="0" applyNumberFormat="1" applyFont="1" applyFill="1" applyBorder="1" applyAlignment="1" applyProtection="1">
      <alignment horizontal="center" vertical="center"/>
      <protection hidden="1"/>
    </xf>
    <xf numFmtId="0" fontId="30" fillId="2" borderId="60" xfId="0" applyFont="1" applyFill="1" applyBorder="1" applyAlignment="1" applyProtection="1">
      <alignment horizontal="center" vertical="center" wrapText="1"/>
      <protection hidden="1"/>
    </xf>
    <xf numFmtId="41" fontId="6" fillId="0" borderId="121" xfId="0" applyNumberFormat="1" applyFont="1" applyBorder="1" applyAlignment="1" applyProtection="1">
      <alignment horizontal="left" vertical="center" wrapText="1"/>
    </xf>
    <xf numFmtId="0" fontId="6" fillId="0" borderId="4" xfId="0" applyFont="1" applyBorder="1" applyAlignment="1" applyProtection="1">
      <alignment horizontal="center"/>
      <protection locked="0"/>
    </xf>
    <xf numFmtId="0" fontId="6" fillId="0" borderId="19" xfId="0" applyFont="1" applyBorder="1" applyAlignment="1" applyProtection="1">
      <alignment horizontal="center"/>
      <protection locked="0"/>
    </xf>
    <xf numFmtId="0" fontId="6" fillId="0" borderId="89" xfId="0" applyFont="1" applyBorder="1" applyAlignment="1" applyProtection="1">
      <alignment horizontal="center"/>
      <protection locked="0"/>
    </xf>
    <xf numFmtId="0" fontId="6" fillId="0" borderId="110" xfId="0" applyFont="1" applyBorder="1" applyAlignment="1" applyProtection="1">
      <alignment horizontal="center"/>
      <protection locked="0"/>
    </xf>
    <xf numFmtId="0" fontId="6" fillId="0" borderId="88" xfId="0" applyFont="1" applyBorder="1" applyAlignment="1" applyProtection="1">
      <alignment horizontal="center"/>
      <protection locked="0"/>
    </xf>
    <xf numFmtId="0" fontId="6" fillId="0" borderId="112"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0" borderId="109" xfId="0" applyFont="1" applyBorder="1" applyAlignment="1" applyProtection="1">
      <alignment horizontal="center"/>
      <protection locked="0"/>
    </xf>
    <xf numFmtId="0" fontId="30" fillId="2" borderId="50" xfId="0" applyFont="1" applyFill="1" applyBorder="1" applyAlignment="1" applyProtection="1">
      <alignment horizontal="center" vertical="center" wrapText="1"/>
      <protection hidden="1"/>
    </xf>
    <xf numFmtId="0" fontId="30" fillId="2" borderId="74" xfId="0" applyFont="1" applyFill="1" applyBorder="1" applyAlignment="1" applyProtection="1">
      <alignment horizontal="center" vertical="center" wrapText="1"/>
      <protection hidden="1"/>
    </xf>
    <xf numFmtId="0" fontId="30" fillId="2" borderId="44" xfId="0" applyFont="1" applyFill="1" applyBorder="1" applyAlignment="1" applyProtection="1">
      <alignment horizontal="center" vertical="center" wrapText="1"/>
      <protection hidden="1"/>
    </xf>
    <xf numFmtId="0" fontId="30" fillId="2" borderId="1" xfId="0" applyFont="1" applyFill="1" applyBorder="1" applyAlignment="1" applyProtection="1">
      <alignment horizontal="center" vertical="center" wrapText="1"/>
      <protection hidden="1"/>
    </xf>
    <xf numFmtId="0" fontId="30" fillId="2" borderId="74" xfId="0" applyFont="1" applyFill="1" applyBorder="1" applyAlignment="1" applyProtection="1">
      <alignment horizontal="center" vertical="center" textRotation="90" wrapText="1"/>
      <protection hidden="1"/>
    </xf>
    <xf numFmtId="0" fontId="30" fillId="2" borderId="1" xfId="0" applyFont="1" applyFill="1" applyBorder="1" applyAlignment="1" applyProtection="1">
      <alignment horizontal="center" vertical="center" textRotation="90" wrapText="1"/>
      <protection hidden="1"/>
    </xf>
    <xf numFmtId="0" fontId="40" fillId="2" borderId="74" xfId="0" applyFont="1" applyFill="1" applyBorder="1" applyAlignment="1" applyProtection="1">
      <alignment horizontal="center" vertical="center"/>
      <protection hidden="1"/>
    </xf>
    <xf numFmtId="0" fontId="40" fillId="2" borderId="75" xfId="0" applyFont="1" applyFill="1" applyBorder="1" applyAlignment="1" applyProtection="1">
      <alignment horizontal="center" vertical="center"/>
      <protection hidden="1"/>
    </xf>
    <xf numFmtId="0" fontId="40" fillId="2" borderId="74" xfId="0" applyFont="1" applyFill="1" applyBorder="1" applyAlignment="1" applyProtection="1">
      <alignment horizontal="center"/>
      <protection hidden="1"/>
    </xf>
    <xf numFmtId="0" fontId="30" fillId="2" borderId="23" xfId="0" applyFont="1" applyFill="1" applyBorder="1" applyAlignment="1" applyProtection="1">
      <alignment horizontal="center" vertical="center"/>
      <protection hidden="1"/>
    </xf>
    <xf numFmtId="43" fontId="6" fillId="0" borderId="1" xfId="0" applyNumberFormat="1" applyFont="1" applyBorder="1" applyAlignment="1" applyProtection="1">
      <alignment horizontal="center"/>
      <protection locked="0"/>
    </xf>
    <xf numFmtId="41" fontId="38" fillId="18" borderId="125" xfId="0" applyNumberFormat="1" applyFont="1" applyFill="1" applyBorder="1" applyAlignment="1" applyProtection="1">
      <alignment horizontal="left" vertical="center"/>
      <protection hidden="1"/>
    </xf>
    <xf numFmtId="41" fontId="38" fillId="18" borderId="126" xfId="0" applyNumberFormat="1" applyFont="1" applyFill="1" applyBorder="1" applyAlignment="1" applyProtection="1">
      <alignment horizontal="left" vertical="center"/>
      <protection hidden="1"/>
    </xf>
    <xf numFmtId="41" fontId="38" fillId="18" borderId="127" xfId="0" applyNumberFormat="1" applyFont="1" applyFill="1" applyBorder="1" applyAlignment="1" applyProtection="1">
      <alignment horizontal="left" vertical="center"/>
      <protection hidden="1"/>
    </xf>
    <xf numFmtId="41" fontId="38" fillId="18" borderId="125" xfId="0" applyNumberFormat="1" applyFont="1" applyFill="1" applyBorder="1" applyAlignment="1" applyProtection="1">
      <alignment horizontal="left" vertical="center" wrapText="1"/>
      <protection hidden="1"/>
    </xf>
    <xf numFmtId="41" fontId="38" fillId="18" borderId="126" xfId="0" applyNumberFormat="1" applyFont="1" applyFill="1" applyBorder="1" applyAlignment="1" applyProtection="1">
      <alignment horizontal="left" vertical="center" wrapText="1"/>
      <protection hidden="1"/>
    </xf>
    <xf numFmtId="41" fontId="38" fillId="18" borderId="127" xfId="0" applyNumberFormat="1" applyFont="1" applyFill="1" applyBorder="1" applyAlignment="1" applyProtection="1">
      <alignment horizontal="left" vertical="center" wrapText="1"/>
      <protection hidden="1"/>
    </xf>
    <xf numFmtId="41" fontId="2" fillId="20" borderId="127" xfId="0" applyNumberFormat="1" applyFont="1" applyFill="1" applyBorder="1" applyAlignment="1" applyProtection="1">
      <alignment horizontal="center" vertical="center"/>
      <protection hidden="1"/>
    </xf>
    <xf numFmtId="41" fontId="2" fillId="20" borderId="121" xfId="0" applyNumberFormat="1" applyFont="1" applyFill="1" applyBorder="1" applyAlignment="1" applyProtection="1">
      <alignment horizontal="center" vertical="center"/>
      <protection hidden="1"/>
    </xf>
    <xf numFmtId="0" fontId="6" fillId="0" borderId="63" xfId="0" applyFont="1" applyBorder="1" applyAlignment="1" applyProtection="1">
      <alignment horizontal="center"/>
      <protection locked="0"/>
    </xf>
    <xf numFmtId="0" fontId="6" fillId="0" borderId="64" xfId="0" applyFont="1" applyBorder="1" applyAlignment="1" applyProtection="1">
      <alignment horizontal="center"/>
      <protection locked="0"/>
    </xf>
    <xf numFmtId="0" fontId="9" fillId="2" borderId="1" xfId="0" applyFont="1" applyFill="1" applyBorder="1" applyAlignment="1" applyProtection="1">
      <alignment horizontal="left" vertical="center"/>
      <protection hidden="1"/>
    </xf>
    <xf numFmtId="0" fontId="2" fillId="0" borderId="1" xfId="0" applyFont="1" applyBorder="1" applyAlignment="1" applyProtection="1">
      <alignment horizontal="center" vertical="center"/>
      <protection locked="0"/>
    </xf>
    <xf numFmtId="0" fontId="6" fillId="0" borderId="1" xfId="0" applyFont="1" applyBorder="1" applyAlignment="1" applyProtection="1">
      <alignment horizontal="center"/>
      <protection locked="0"/>
    </xf>
    <xf numFmtId="0" fontId="9" fillId="2" borderId="57" xfId="0" applyFont="1" applyFill="1" applyBorder="1" applyAlignment="1" applyProtection="1">
      <alignment horizontal="center" vertical="center"/>
      <protection hidden="1"/>
    </xf>
    <xf numFmtId="0" fontId="9" fillId="2" borderId="0" xfId="0" applyFont="1" applyFill="1" applyBorder="1" applyAlignment="1" applyProtection="1">
      <alignment horizontal="center" vertical="center"/>
      <protection hidden="1"/>
    </xf>
    <xf numFmtId="0" fontId="2" fillId="0" borderId="2"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9" fillId="2" borderId="2" xfId="0" applyFont="1" applyFill="1" applyBorder="1" applyAlignment="1" applyProtection="1">
      <alignment horizontal="left" vertical="center"/>
      <protection hidden="1"/>
    </xf>
    <xf numFmtId="0" fontId="9" fillId="2" borderId="3" xfId="0" applyFont="1" applyFill="1" applyBorder="1" applyAlignment="1" applyProtection="1">
      <alignment horizontal="left" vertical="center"/>
      <protection hidden="1"/>
    </xf>
    <xf numFmtId="41" fontId="50" fillId="21" borderId="125" xfId="0" applyNumberFormat="1" applyFont="1" applyFill="1" applyBorder="1" applyAlignment="1" applyProtection="1">
      <alignment horizontal="center" vertical="center"/>
      <protection hidden="1"/>
    </xf>
    <xf numFmtId="41" fontId="50" fillId="21" borderId="126" xfId="0" applyNumberFormat="1" applyFont="1" applyFill="1" applyBorder="1" applyAlignment="1" applyProtection="1">
      <alignment horizontal="center" vertical="center"/>
      <protection hidden="1"/>
    </xf>
    <xf numFmtId="41" fontId="50" fillId="21" borderId="127" xfId="0" applyNumberFormat="1" applyFont="1" applyFill="1" applyBorder="1" applyAlignment="1" applyProtection="1">
      <alignment horizontal="center" vertical="center"/>
      <protection hidden="1"/>
    </xf>
    <xf numFmtId="41" fontId="6" fillId="0" borderId="146" xfId="0" applyNumberFormat="1" applyFont="1" applyBorder="1" applyAlignment="1" applyProtection="1">
      <alignment horizontal="left" vertical="center" wrapText="1"/>
    </xf>
    <xf numFmtId="41" fontId="6" fillId="0" borderId="86" xfId="0" applyNumberFormat="1" applyFont="1" applyBorder="1" applyAlignment="1" applyProtection="1">
      <alignment horizontal="center" vertical="center"/>
    </xf>
    <xf numFmtId="41" fontId="6" fillId="0" borderId="46" xfId="0" applyNumberFormat="1" applyFont="1" applyBorder="1" applyAlignment="1" applyProtection="1">
      <alignment horizontal="center" vertical="center"/>
    </xf>
    <xf numFmtId="41" fontId="6" fillId="0" borderId="87" xfId="0" applyNumberFormat="1" applyFont="1" applyBorder="1" applyAlignment="1" applyProtection="1">
      <alignment horizontal="center" vertical="center"/>
    </xf>
    <xf numFmtId="41" fontId="6" fillId="0" borderId="145" xfId="0" applyNumberFormat="1" applyFont="1" applyBorder="1" applyAlignment="1" applyProtection="1">
      <alignment horizontal="center" vertical="center"/>
    </xf>
    <xf numFmtId="41" fontId="6" fillId="0" borderId="146" xfId="0" applyNumberFormat="1" applyFont="1" applyBorder="1" applyAlignment="1" applyProtection="1">
      <alignment horizontal="center" vertical="center"/>
    </xf>
    <xf numFmtId="41" fontId="6" fillId="0" borderId="123" xfId="0" applyNumberFormat="1" applyFont="1" applyBorder="1" applyAlignment="1" applyProtection="1">
      <alignment horizontal="center" vertical="center"/>
    </xf>
    <xf numFmtId="41" fontId="6" fillId="0" borderId="121" xfId="0" applyNumberFormat="1" applyFont="1" applyBorder="1" applyAlignment="1" applyProtection="1">
      <alignment horizontal="center" vertical="center"/>
    </xf>
    <xf numFmtId="41" fontId="6" fillId="0" borderId="148" xfId="0" applyNumberFormat="1" applyFont="1" applyBorder="1" applyAlignment="1" applyProtection="1">
      <alignment horizontal="center" vertical="center"/>
    </xf>
    <xf numFmtId="41" fontId="6" fillId="0" borderId="149" xfId="0" applyNumberFormat="1" applyFont="1" applyBorder="1" applyAlignment="1" applyProtection="1">
      <alignment horizontal="center" vertical="center"/>
    </xf>
    <xf numFmtId="41" fontId="6" fillId="0" borderId="149" xfId="0" applyNumberFormat="1" applyFont="1" applyBorder="1" applyAlignment="1" applyProtection="1">
      <alignment horizontal="left" vertical="center" wrapText="1"/>
    </xf>
    <xf numFmtId="41" fontId="6" fillId="0" borderId="1" xfId="0" applyNumberFormat="1" applyFont="1" applyBorder="1" applyAlignment="1" applyProtection="1">
      <alignment horizontal="center" vertical="center"/>
      <protection hidden="1"/>
    </xf>
    <xf numFmtId="43" fontId="46" fillId="0" borderId="1" xfId="0" applyNumberFormat="1" applyFont="1" applyBorder="1" applyAlignment="1" applyProtection="1">
      <alignment horizontal="center" vertical="center"/>
      <protection hidden="1"/>
    </xf>
    <xf numFmtId="0" fontId="37" fillId="0" borderId="7" xfId="0" applyFont="1" applyBorder="1" applyAlignment="1" applyProtection="1">
      <alignment horizontal="justify" vertical="center"/>
      <protection hidden="1"/>
    </xf>
    <xf numFmtId="0" fontId="37" fillId="0" borderId="4" xfId="0" applyFont="1" applyBorder="1" applyAlignment="1" applyProtection="1">
      <alignment horizontal="justify" vertical="center"/>
      <protection hidden="1"/>
    </xf>
    <xf numFmtId="0" fontId="37" fillId="0" borderId="14" xfId="0" applyFont="1" applyBorder="1" applyAlignment="1" applyProtection="1">
      <alignment horizontal="justify" vertical="center"/>
      <protection hidden="1"/>
    </xf>
    <xf numFmtId="0" fontId="37" fillId="0" borderId="5" xfId="0" applyFont="1" applyBorder="1" applyAlignment="1" applyProtection="1">
      <alignment horizontal="justify" vertical="center"/>
      <protection hidden="1"/>
    </xf>
    <xf numFmtId="0" fontId="37" fillId="0" borderId="0" xfId="0" applyFont="1" applyBorder="1" applyAlignment="1" applyProtection="1">
      <alignment horizontal="justify" vertical="center"/>
      <protection hidden="1"/>
    </xf>
    <xf numFmtId="0" fontId="37" fillId="0" borderId="8" xfId="0" applyFont="1" applyBorder="1" applyAlignment="1" applyProtection="1">
      <alignment horizontal="justify" vertical="center"/>
      <protection hidden="1"/>
    </xf>
    <xf numFmtId="0" fontId="37" fillId="0" borderId="9" xfId="0" applyFont="1" applyBorder="1" applyAlignment="1" applyProtection="1">
      <alignment horizontal="justify" vertical="center"/>
      <protection hidden="1"/>
    </xf>
    <xf numFmtId="0" fontId="37" fillId="0" borderId="10" xfId="0" applyFont="1" applyBorder="1" applyAlignment="1" applyProtection="1">
      <alignment horizontal="justify" vertical="center"/>
      <protection hidden="1"/>
    </xf>
    <xf numFmtId="0" fontId="37" fillId="0" borderId="11" xfId="0" applyFont="1" applyBorder="1" applyAlignment="1" applyProtection="1">
      <alignment horizontal="justify" vertical="center"/>
      <protection hidden="1"/>
    </xf>
    <xf numFmtId="41" fontId="6" fillId="0" borderId="13" xfId="0" applyNumberFormat="1" applyFont="1" applyBorder="1" applyAlignment="1" applyProtection="1">
      <alignment horizontal="center" vertical="center"/>
      <protection hidden="1"/>
    </xf>
    <xf numFmtId="43" fontId="46" fillId="5" borderId="1" xfId="0" applyNumberFormat="1" applyFont="1" applyFill="1" applyBorder="1" applyAlignment="1" applyProtection="1">
      <alignment horizontal="justify" vertical="center" wrapText="1"/>
      <protection hidden="1"/>
    </xf>
    <xf numFmtId="0" fontId="3" fillId="0" borderId="7" xfId="0" applyFont="1" applyBorder="1" applyAlignment="1" applyProtection="1">
      <alignment horizontal="center" vertical="center"/>
      <protection hidden="1"/>
    </xf>
    <xf numFmtId="0" fontId="3" fillId="0" borderId="4" xfId="0" applyFont="1" applyBorder="1" applyAlignment="1" applyProtection="1">
      <alignment horizontal="center" vertical="center"/>
      <protection hidden="1"/>
    </xf>
    <xf numFmtId="0" fontId="3" fillId="0" borderId="14" xfId="0" applyFont="1" applyBorder="1" applyAlignment="1" applyProtection="1">
      <alignment horizontal="center" vertical="center"/>
      <protection hidden="1"/>
    </xf>
    <xf numFmtId="0" fontId="3" fillId="0" borderId="9"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40" fillId="2" borderId="7" xfId="0" applyFont="1" applyFill="1" applyBorder="1" applyAlignment="1" applyProtection="1">
      <alignment horizontal="left" vertical="center" wrapText="1"/>
      <protection hidden="1"/>
    </xf>
    <xf numFmtId="0" fontId="40" fillId="2" borderId="4" xfId="0" applyFont="1" applyFill="1" applyBorder="1" applyAlignment="1" applyProtection="1">
      <alignment horizontal="left" vertical="center" wrapText="1"/>
      <protection hidden="1"/>
    </xf>
    <xf numFmtId="41" fontId="6" fillId="0" borderId="62" xfId="0" applyNumberFormat="1" applyFont="1" applyBorder="1" applyAlignment="1" applyProtection="1">
      <alignment horizontal="justify" vertical="center"/>
      <protection locked="0"/>
    </xf>
    <xf numFmtId="41" fontId="6" fillId="0" borderId="26" xfId="0" applyNumberFormat="1" applyFont="1" applyBorder="1" applyAlignment="1" applyProtection="1">
      <alignment horizontal="justify" vertical="center"/>
      <protection locked="0"/>
    </xf>
    <xf numFmtId="41" fontId="6" fillId="0" borderId="141" xfId="0" applyNumberFormat="1" applyFont="1" applyBorder="1" applyAlignment="1" applyProtection="1">
      <alignment horizontal="justify" vertical="center"/>
      <protection locked="0"/>
    </xf>
    <xf numFmtId="41" fontId="6" fillId="0" borderId="57" xfId="0" applyNumberFormat="1" applyFont="1" applyBorder="1" applyAlignment="1" applyProtection="1">
      <alignment horizontal="justify" vertical="center"/>
      <protection locked="0"/>
    </xf>
    <xf numFmtId="41" fontId="6" fillId="0" borderId="0" xfId="0" applyNumberFormat="1" applyFont="1" applyBorder="1" applyAlignment="1" applyProtection="1">
      <alignment horizontal="justify" vertical="center"/>
      <protection locked="0"/>
    </xf>
    <xf numFmtId="41" fontId="6" fillId="0" borderId="8" xfId="0" applyNumberFormat="1" applyFont="1" applyBorder="1" applyAlignment="1" applyProtection="1">
      <alignment horizontal="justify" vertical="center"/>
      <protection locked="0"/>
    </xf>
    <xf numFmtId="41" fontId="6" fillId="0" borderId="58" xfId="0" applyNumberFormat="1" applyFont="1" applyBorder="1" applyAlignment="1" applyProtection="1">
      <alignment horizontal="justify" vertical="center"/>
      <protection locked="0"/>
    </xf>
    <xf numFmtId="41" fontId="6" fillId="0" borderId="19" xfId="0" applyNumberFormat="1" applyFont="1" applyBorder="1" applyAlignment="1" applyProtection="1">
      <alignment horizontal="justify" vertical="center"/>
      <protection locked="0"/>
    </xf>
    <xf numFmtId="41" fontId="6" fillId="0" borderId="143" xfId="0" applyNumberFormat="1" applyFont="1" applyBorder="1" applyAlignment="1" applyProtection="1">
      <alignment horizontal="justify" vertical="center"/>
      <protection locked="0"/>
    </xf>
    <xf numFmtId="41" fontId="37" fillId="0" borderId="89" xfId="0" applyNumberFormat="1" applyFont="1" applyBorder="1" applyAlignment="1" applyProtection="1">
      <alignment horizontal="justify" vertical="center"/>
      <protection hidden="1"/>
    </xf>
    <xf numFmtId="0" fontId="6" fillId="0" borderId="7"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14"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6" fillId="0" borderId="0" xfId="0" applyFont="1" applyBorder="1" applyAlignment="1" applyProtection="1">
      <alignment horizontal="center"/>
      <protection hidden="1"/>
    </xf>
    <xf numFmtId="0" fontId="6" fillId="0" borderId="8" xfId="0" applyFont="1" applyBorder="1" applyAlignment="1" applyProtection="1">
      <alignment horizontal="center"/>
      <protection hidden="1"/>
    </xf>
    <xf numFmtId="0" fontId="6" fillId="0" borderId="9" xfId="0" applyFont="1" applyBorder="1" applyAlignment="1" applyProtection="1">
      <alignment horizontal="center"/>
      <protection hidden="1"/>
    </xf>
    <xf numFmtId="0" fontId="6" fillId="0" borderId="10" xfId="0" applyFont="1" applyBorder="1" applyAlignment="1" applyProtection="1">
      <alignment horizontal="center"/>
      <protection hidden="1"/>
    </xf>
    <xf numFmtId="0" fontId="6" fillId="0" borderId="11" xfId="0" applyFont="1" applyBorder="1" applyAlignment="1" applyProtection="1">
      <alignment horizontal="center"/>
      <protection hidden="1"/>
    </xf>
    <xf numFmtId="0" fontId="34" fillId="0" borderId="7" xfId="0" applyFont="1" applyBorder="1" applyAlignment="1" applyProtection="1">
      <alignment horizontal="center" vertical="center"/>
      <protection hidden="1"/>
    </xf>
    <xf numFmtId="0" fontId="34" fillId="0" borderId="4" xfId="0" applyFont="1" applyBorder="1" applyAlignment="1" applyProtection="1">
      <alignment horizontal="center" vertical="center"/>
      <protection hidden="1"/>
    </xf>
    <xf numFmtId="0" fontId="34" fillId="0" borderId="14" xfId="0" applyFont="1" applyBorder="1" applyAlignment="1" applyProtection="1">
      <alignment horizontal="center" vertical="center"/>
      <protection hidden="1"/>
    </xf>
    <xf numFmtId="0" fontId="34" fillId="0" borderId="5" xfId="0" applyFont="1" applyBorder="1" applyAlignment="1" applyProtection="1">
      <alignment horizontal="center" vertical="center"/>
      <protection hidden="1"/>
    </xf>
    <xf numFmtId="0" fontId="34" fillId="0" borderId="0" xfId="0" applyFont="1" applyBorder="1" applyAlignment="1" applyProtection="1">
      <alignment horizontal="center" vertical="center"/>
      <protection hidden="1"/>
    </xf>
    <xf numFmtId="0" fontId="34" fillId="0" borderId="8" xfId="0" applyFont="1" applyBorder="1" applyAlignment="1" applyProtection="1">
      <alignment horizontal="center" vertical="center"/>
      <protection hidden="1"/>
    </xf>
    <xf numFmtId="0" fontId="34" fillId="0" borderId="9" xfId="0" applyFont="1" applyBorder="1" applyAlignment="1" applyProtection="1">
      <alignment horizontal="center" vertical="center"/>
      <protection hidden="1"/>
    </xf>
    <xf numFmtId="0" fontId="34" fillId="0" borderId="10" xfId="0" applyFont="1" applyBorder="1" applyAlignment="1" applyProtection="1">
      <alignment horizontal="center" vertical="center"/>
      <protection hidden="1"/>
    </xf>
    <xf numFmtId="0" fontId="34" fillId="0" borderId="11" xfId="0" applyFont="1" applyBorder="1" applyAlignment="1" applyProtection="1">
      <alignment horizontal="center" vertical="center"/>
      <protection hidden="1"/>
    </xf>
    <xf numFmtId="0" fontId="10" fillId="2" borderId="2" xfId="0" applyFont="1" applyFill="1" applyBorder="1" applyAlignment="1" applyProtection="1">
      <alignment horizontal="center" vertical="center"/>
      <protection hidden="1"/>
    </xf>
    <xf numFmtId="0" fontId="10" fillId="2" borderId="7" xfId="0" applyFont="1" applyFill="1" applyBorder="1" applyAlignment="1" applyProtection="1">
      <alignment horizontal="center" vertical="center"/>
      <protection hidden="1"/>
    </xf>
    <xf numFmtId="0" fontId="10" fillId="2" borderId="15" xfId="0" applyFont="1" applyFill="1" applyBorder="1" applyAlignment="1" applyProtection="1">
      <alignment horizontal="center" vertical="center" wrapText="1"/>
      <protection hidden="1"/>
    </xf>
    <xf numFmtId="0" fontId="10" fillId="2" borderId="1" xfId="0" applyFont="1" applyFill="1" applyBorder="1" applyAlignment="1" applyProtection="1">
      <alignment horizontal="center" vertical="center" wrapText="1"/>
      <protection hidden="1"/>
    </xf>
    <xf numFmtId="0" fontId="10" fillId="2" borderId="17" xfId="0" applyFont="1" applyFill="1" applyBorder="1" applyAlignment="1" applyProtection="1">
      <alignment horizontal="center" vertical="center" wrapText="1"/>
      <protection hidden="1"/>
    </xf>
    <xf numFmtId="0" fontId="10" fillId="2" borderId="82" xfId="0" applyFont="1" applyFill="1" applyBorder="1" applyAlignment="1" applyProtection="1">
      <alignment horizontal="center" vertical="center" wrapText="1"/>
      <protection hidden="1"/>
    </xf>
    <xf numFmtId="0" fontId="10" fillId="2" borderId="12" xfId="0" applyFont="1" applyFill="1" applyBorder="1" applyAlignment="1" applyProtection="1">
      <alignment horizontal="center" vertical="center" wrapText="1"/>
      <protection hidden="1"/>
    </xf>
    <xf numFmtId="0" fontId="10" fillId="2" borderId="83" xfId="0" applyFont="1" applyFill="1" applyBorder="1" applyAlignment="1" applyProtection="1">
      <alignment horizontal="center" vertical="center" wrapText="1"/>
      <protection hidden="1"/>
    </xf>
    <xf numFmtId="0" fontId="6" fillId="0" borderId="2" xfId="0" applyFont="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3" xfId="0" applyFont="1" applyBorder="1" applyAlignment="1" applyProtection="1">
      <alignment horizontal="center"/>
      <protection hidden="1"/>
    </xf>
    <xf numFmtId="43" fontId="40" fillId="2" borderId="1" xfId="0" applyNumberFormat="1" applyFont="1" applyFill="1" applyBorder="1" applyAlignment="1" applyProtection="1">
      <alignment horizontal="left" vertical="center" wrapText="1"/>
      <protection hidden="1"/>
    </xf>
    <xf numFmtId="164" fontId="46" fillId="0" borderId="1" xfId="0" applyNumberFormat="1" applyFont="1" applyFill="1" applyBorder="1" applyAlignment="1" applyProtection="1">
      <alignment horizontal="justify" vertical="center" wrapText="1"/>
      <protection hidden="1"/>
    </xf>
    <xf numFmtId="164" fontId="37" fillId="0" borderId="1" xfId="0" applyNumberFormat="1" applyFont="1" applyBorder="1" applyAlignment="1" applyProtection="1">
      <alignment horizontal="center" vertical="center"/>
      <protection hidden="1"/>
    </xf>
    <xf numFmtId="43" fontId="46" fillId="5" borderId="2" xfId="0" applyNumberFormat="1" applyFont="1" applyFill="1" applyBorder="1" applyAlignment="1" applyProtection="1">
      <alignment horizontal="justify" vertical="center" wrapText="1"/>
      <protection hidden="1"/>
    </xf>
    <xf numFmtId="43" fontId="46" fillId="5" borderId="6" xfId="0" applyNumberFormat="1" applyFont="1" applyFill="1" applyBorder="1" applyAlignment="1" applyProtection="1">
      <alignment horizontal="justify" vertical="center" wrapText="1"/>
      <protection hidden="1"/>
    </xf>
    <xf numFmtId="43" fontId="46" fillId="5" borderId="3" xfId="0" applyNumberFormat="1" applyFont="1" applyFill="1" applyBorder="1" applyAlignment="1" applyProtection="1">
      <alignment horizontal="justify" vertical="center" wrapText="1"/>
      <protection hidden="1"/>
    </xf>
    <xf numFmtId="0" fontId="40" fillId="2" borderId="81" xfId="0" applyFont="1" applyFill="1" applyBorder="1" applyAlignment="1" applyProtection="1">
      <alignment horizontal="left" vertical="center" wrapText="1"/>
      <protection hidden="1"/>
    </xf>
    <xf numFmtId="0" fontId="40" fillId="2" borderId="76" xfId="0" applyFont="1" applyFill="1" applyBorder="1" applyAlignment="1" applyProtection="1">
      <alignment horizontal="left" vertical="center" wrapText="1"/>
      <protection hidden="1"/>
    </xf>
    <xf numFmtId="0" fontId="40" fillId="2" borderId="68" xfId="0" applyFont="1" applyFill="1" applyBorder="1" applyAlignment="1" applyProtection="1">
      <alignment vertical="center" wrapText="1"/>
      <protection hidden="1"/>
    </xf>
    <xf numFmtId="0" fontId="40" fillId="2" borderId="69" xfId="0" applyFont="1" applyFill="1" applyBorder="1" applyAlignment="1" applyProtection="1">
      <alignment vertical="center" wrapText="1"/>
      <protection hidden="1"/>
    </xf>
    <xf numFmtId="0" fontId="40" fillId="2" borderId="70" xfId="0" applyFont="1" applyFill="1" applyBorder="1" applyAlignment="1" applyProtection="1">
      <alignment vertical="center" wrapText="1"/>
      <protection hidden="1"/>
    </xf>
    <xf numFmtId="0" fontId="40" fillId="2" borderId="72" xfId="0" applyFont="1" applyFill="1" applyBorder="1" applyAlignment="1" applyProtection="1">
      <alignment horizontal="left" vertical="center" wrapText="1"/>
      <protection hidden="1"/>
    </xf>
    <xf numFmtId="0" fontId="10" fillId="2" borderId="77" xfId="0" applyFont="1" applyFill="1" applyBorder="1" applyAlignment="1" applyProtection="1">
      <alignment horizontal="center" vertical="center"/>
      <protection hidden="1"/>
    </xf>
    <xf numFmtId="0" fontId="10" fillId="2" borderId="78" xfId="0" applyFont="1" applyFill="1" applyBorder="1" applyAlignment="1" applyProtection="1">
      <alignment horizontal="center" vertical="center"/>
      <protection hidden="1"/>
    </xf>
    <xf numFmtId="0" fontId="10" fillId="2" borderId="79" xfId="0" applyFont="1" applyFill="1" applyBorder="1" applyAlignment="1" applyProtection="1">
      <alignment horizontal="center" vertical="center"/>
      <protection hidden="1"/>
    </xf>
    <xf numFmtId="1" fontId="46" fillId="0" borderId="2" xfId="0" applyNumberFormat="1" applyFont="1" applyBorder="1" applyAlignment="1" applyProtection="1">
      <alignment horizontal="center" vertical="center"/>
      <protection hidden="1"/>
    </xf>
    <xf numFmtId="1" fontId="46" fillId="0" borderId="6" xfId="0" applyNumberFormat="1" applyFont="1" applyBorder="1" applyAlignment="1" applyProtection="1">
      <alignment horizontal="center" vertical="center"/>
      <protection hidden="1"/>
    </xf>
    <xf numFmtId="1" fontId="46" fillId="0" borderId="3" xfId="0" applyNumberFormat="1" applyFont="1" applyBorder="1" applyAlignment="1" applyProtection="1">
      <alignment horizontal="center" vertical="center"/>
      <protection hidden="1"/>
    </xf>
    <xf numFmtId="43" fontId="3" fillId="0" borderId="2" xfId="0" applyNumberFormat="1" applyFont="1" applyBorder="1" applyAlignment="1" applyProtection="1">
      <alignment horizontal="center" vertical="center"/>
      <protection hidden="1"/>
    </xf>
    <xf numFmtId="43" fontId="3" fillId="0" borderId="6" xfId="0" applyNumberFormat="1" applyFont="1" applyBorder="1" applyAlignment="1" applyProtection="1">
      <alignment horizontal="center" vertical="center"/>
      <protection hidden="1"/>
    </xf>
    <xf numFmtId="43" fontId="3" fillId="0" borderId="3" xfId="0" applyNumberFormat="1" applyFont="1" applyBorder="1" applyAlignment="1" applyProtection="1">
      <alignment horizontal="center" vertical="center"/>
      <protection hidden="1"/>
    </xf>
    <xf numFmtId="164" fontId="46" fillId="5" borderId="1" xfId="0" applyNumberFormat="1" applyFont="1" applyFill="1" applyBorder="1" applyAlignment="1" applyProtection="1">
      <alignment horizontal="center" vertical="center"/>
      <protection hidden="1"/>
    </xf>
    <xf numFmtId="0" fontId="10" fillId="2" borderId="77" xfId="0" applyFont="1" applyFill="1" applyBorder="1" applyAlignment="1" applyProtection="1">
      <alignment horizontal="center" vertical="center" wrapText="1"/>
      <protection hidden="1"/>
    </xf>
    <xf numFmtId="0" fontId="9" fillId="2" borderId="80" xfId="0" applyFont="1" applyFill="1" applyBorder="1" applyAlignment="1" applyProtection="1">
      <alignment horizontal="center" vertical="center"/>
      <protection hidden="1"/>
    </xf>
    <xf numFmtId="0" fontId="9" fillId="2" borderId="53" xfId="0" applyFont="1" applyFill="1" applyBorder="1" applyAlignment="1" applyProtection="1">
      <alignment horizontal="center" vertical="center"/>
      <protection hidden="1"/>
    </xf>
    <xf numFmtId="0" fontId="9" fillId="2" borderId="16" xfId="0" applyFont="1" applyFill="1" applyBorder="1" applyAlignment="1" applyProtection="1">
      <alignment horizontal="center" vertical="center"/>
      <protection hidden="1"/>
    </xf>
    <xf numFmtId="0" fontId="9" fillId="2" borderId="85" xfId="0" applyFont="1" applyFill="1" applyBorder="1" applyAlignment="1" applyProtection="1">
      <alignment horizontal="center" vertical="center"/>
      <protection hidden="1"/>
    </xf>
    <xf numFmtId="0" fontId="9" fillId="2" borderId="3" xfId="0" applyFont="1" applyFill="1" applyBorder="1" applyAlignment="1" applyProtection="1">
      <alignment horizontal="center" vertical="center" textRotation="90" wrapText="1"/>
      <protection hidden="1"/>
    </xf>
    <xf numFmtId="0" fontId="9" fillId="2" borderId="14" xfId="0" applyFont="1" applyFill="1" applyBorder="1" applyAlignment="1" applyProtection="1">
      <alignment horizontal="center" vertical="center" textRotation="90" wrapText="1"/>
      <protection hidden="1"/>
    </xf>
    <xf numFmtId="0" fontId="49" fillId="2" borderId="7" xfId="0" applyFont="1" applyFill="1" applyBorder="1" applyAlignment="1" applyProtection="1">
      <alignment horizontal="center"/>
      <protection hidden="1"/>
    </xf>
    <xf numFmtId="0" fontId="49" fillId="2" borderId="4" xfId="0" applyFont="1" applyFill="1" applyBorder="1" applyAlignment="1" applyProtection="1">
      <alignment horizontal="center"/>
      <protection hidden="1"/>
    </xf>
    <xf numFmtId="41" fontId="6" fillId="0" borderId="147" xfId="0" applyNumberFormat="1" applyFont="1" applyBorder="1" applyAlignment="1" applyProtection="1">
      <alignment horizontal="center" vertical="center" wrapText="1"/>
    </xf>
    <xf numFmtId="41" fontId="6" fillId="0" borderId="26" xfId="0" applyNumberFormat="1" applyFont="1" applyBorder="1" applyAlignment="1" applyProtection="1">
      <alignment horizontal="center" vertical="center" wrapText="1"/>
    </xf>
    <xf numFmtId="41" fontId="6" fillId="0" borderId="141" xfId="0" applyNumberFormat="1" applyFont="1" applyBorder="1" applyAlignment="1" applyProtection="1">
      <alignment horizontal="center" vertical="center" wrapText="1"/>
    </xf>
    <xf numFmtId="41" fontId="6" fillId="0" borderId="140" xfId="0" applyNumberFormat="1" applyFont="1" applyBorder="1" applyAlignment="1" applyProtection="1">
      <alignment horizontal="center" vertical="center" wrapText="1"/>
    </xf>
    <xf numFmtId="41" fontId="6" fillId="0" borderId="0" xfId="0" applyNumberFormat="1" applyFont="1" applyBorder="1" applyAlignment="1" applyProtection="1">
      <alignment horizontal="center" vertical="center" wrapText="1"/>
    </xf>
    <xf numFmtId="41" fontId="6" fillId="0" borderId="8" xfId="0" applyNumberFormat="1" applyFont="1" applyBorder="1" applyAlignment="1" applyProtection="1">
      <alignment horizontal="center" vertical="center" wrapText="1"/>
    </xf>
    <xf numFmtId="41" fontId="6" fillId="0" borderId="150" xfId="0" applyNumberFormat="1" applyFont="1" applyBorder="1" applyAlignment="1" applyProtection="1">
      <alignment horizontal="center" vertical="center" wrapText="1"/>
    </xf>
    <xf numFmtId="41" fontId="6" fillId="0" borderId="19" xfId="0" applyNumberFormat="1" applyFont="1" applyBorder="1" applyAlignment="1" applyProtection="1">
      <alignment horizontal="center" vertical="center" wrapText="1"/>
    </xf>
    <xf numFmtId="41" fontId="6" fillId="0" borderId="143" xfId="0" applyNumberFormat="1" applyFont="1" applyBorder="1" applyAlignment="1" applyProtection="1">
      <alignment horizontal="center" vertical="center" wrapText="1"/>
    </xf>
    <xf numFmtId="43" fontId="37" fillId="0" borderId="6" xfId="0" applyNumberFormat="1" applyFont="1" applyBorder="1" applyAlignment="1" applyProtection="1">
      <alignment horizontal="center" vertical="center"/>
      <protection hidden="1"/>
    </xf>
    <xf numFmtId="43" fontId="37" fillId="0" borderId="3" xfId="0" applyNumberFormat="1" applyFont="1" applyBorder="1" applyAlignment="1" applyProtection="1">
      <alignment horizontal="center" vertical="center"/>
      <protection hidden="1"/>
    </xf>
    <xf numFmtId="0" fontId="46" fillId="18" borderId="89" xfId="0" applyFont="1" applyFill="1" applyBorder="1" applyAlignment="1" applyProtection="1">
      <alignment horizontal="center" vertical="center"/>
      <protection hidden="1"/>
    </xf>
    <xf numFmtId="43" fontId="40" fillId="2" borderId="1" xfId="0" applyNumberFormat="1" applyFont="1" applyFill="1" applyBorder="1" applyAlignment="1" applyProtection="1">
      <alignment horizontal="justify" vertical="center" wrapText="1"/>
      <protection hidden="1"/>
    </xf>
    <xf numFmtId="43" fontId="40" fillId="2" borderId="1" xfId="0" applyNumberFormat="1" applyFont="1" applyFill="1" applyBorder="1" applyAlignment="1" applyProtection="1">
      <alignment horizontal="justify" vertical="center"/>
      <protection hidden="1"/>
    </xf>
    <xf numFmtId="0" fontId="1" fillId="2" borderId="7"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46" fillId="18" borderId="116" xfId="0" applyFont="1" applyFill="1" applyBorder="1" applyAlignment="1" applyProtection="1">
      <alignment horizontal="center" vertical="center"/>
      <protection hidden="1"/>
    </xf>
    <xf numFmtId="41" fontId="37" fillId="0" borderId="116" xfId="0" applyNumberFormat="1" applyFont="1" applyBorder="1" applyAlignment="1" applyProtection="1">
      <alignment horizontal="justify" vertical="center"/>
      <protection hidden="1"/>
    </xf>
    <xf numFmtId="0" fontId="40" fillId="2" borderId="5" xfId="0" applyFont="1" applyFill="1" applyBorder="1" applyAlignment="1" applyProtection="1">
      <alignment horizontal="left" vertical="center" wrapText="1"/>
      <protection hidden="1"/>
    </xf>
    <xf numFmtId="0" fontId="40" fillId="2" borderId="0" xfId="0" applyFont="1" applyFill="1" applyBorder="1" applyAlignment="1" applyProtection="1">
      <alignment horizontal="left" vertical="center" wrapText="1"/>
      <protection hidden="1"/>
    </xf>
    <xf numFmtId="0" fontId="40" fillId="2" borderId="8" xfId="0" applyFont="1" applyFill="1" applyBorder="1" applyAlignment="1" applyProtection="1">
      <alignment horizontal="left" vertical="center" wrapText="1"/>
      <protection hidden="1"/>
    </xf>
    <xf numFmtId="0" fontId="40" fillId="2" borderId="31" xfId="0" applyFont="1" applyFill="1" applyBorder="1" applyAlignment="1" applyProtection="1">
      <alignment horizontal="left" vertical="center" wrapText="1"/>
      <protection hidden="1"/>
    </xf>
    <xf numFmtId="41" fontId="38" fillId="20" borderId="125" xfId="0" applyNumberFormat="1" applyFont="1" applyFill="1" applyBorder="1" applyAlignment="1" applyProtection="1">
      <alignment horizontal="center" vertical="center"/>
      <protection hidden="1"/>
    </xf>
    <xf numFmtId="41" fontId="38" fillId="20" borderId="126" xfId="0" applyNumberFormat="1" applyFont="1" applyFill="1" applyBorder="1" applyAlignment="1" applyProtection="1">
      <alignment horizontal="center" vertical="center"/>
      <protection hidden="1"/>
    </xf>
    <xf numFmtId="41" fontId="38" fillId="20" borderId="127" xfId="0" applyNumberFormat="1" applyFont="1" applyFill="1" applyBorder="1" applyAlignment="1" applyProtection="1">
      <alignment horizontal="center" vertical="center"/>
      <protection hidden="1"/>
    </xf>
    <xf numFmtId="41" fontId="2" fillId="21" borderId="139" xfId="0" applyNumberFormat="1" applyFont="1" applyFill="1" applyBorder="1" applyAlignment="1" applyProtection="1">
      <alignment horizontal="center" vertical="center"/>
      <protection hidden="1"/>
    </xf>
    <xf numFmtId="41" fontId="2" fillId="21" borderId="126" xfId="0" applyNumberFormat="1" applyFont="1" applyFill="1" applyBorder="1" applyAlignment="1" applyProtection="1">
      <alignment horizontal="center" vertical="center"/>
      <protection hidden="1"/>
    </xf>
    <xf numFmtId="41" fontId="2" fillId="21" borderId="125" xfId="0" applyNumberFormat="1" applyFont="1" applyFill="1" applyBorder="1" applyAlignment="1" applyProtection="1">
      <alignment horizontal="center" vertical="center"/>
      <protection hidden="1"/>
    </xf>
    <xf numFmtId="41" fontId="2" fillId="21" borderId="137" xfId="0" applyNumberFormat="1" applyFont="1" applyFill="1" applyBorder="1" applyAlignment="1" applyProtection="1">
      <alignment horizontal="center" vertical="center"/>
      <protection hidden="1"/>
    </xf>
    <xf numFmtId="41" fontId="2" fillId="21" borderId="127" xfId="0" applyNumberFormat="1" applyFont="1" applyFill="1" applyBorder="1" applyAlignment="1" applyProtection="1">
      <alignment horizontal="center" vertical="center"/>
      <protection hidden="1"/>
    </xf>
    <xf numFmtId="41" fontId="38" fillId="20" borderId="125" xfId="0" applyNumberFormat="1" applyFont="1" applyFill="1" applyBorder="1" applyAlignment="1" applyProtection="1">
      <alignment horizontal="left" vertical="center" wrapText="1"/>
      <protection hidden="1"/>
    </xf>
    <xf numFmtId="41" fontId="38" fillId="20" borderId="126" xfId="0" applyNumberFormat="1" applyFont="1" applyFill="1" applyBorder="1" applyAlignment="1" applyProtection="1">
      <alignment horizontal="left" vertical="center" wrapText="1"/>
      <protection hidden="1"/>
    </xf>
    <xf numFmtId="41" fontId="38" fillId="20" borderId="137" xfId="0" applyNumberFormat="1" applyFont="1" applyFill="1" applyBorder="1" applyAlignment="1" applyProtection="1">
      <alignment horizontal="left" vertical="center" wrapText="1"/>
      <protection hidden="1"/>
    </xf>
    <xf numFmtId="41" fontId="38" fillId="20" borderId="125" xfId="0" applyNumberFormat="1" applyFont="1" applyFill="1" applyBorder="1" applyAlignment="1" applyProtection="1">
      <alignment horizontal="left" vertical="center"/>
      <protection hidden="1"/>
    </xf>
    <xf numFmtId="41" fontId="38" fillId="20" borderId="126" xfId="0" applyNumberFormat="1" applyFont="1" applyFill="1" applyBorder="1" applyAlignment="1" applyProtection="1">
      <alignment horizontal="left" vertical="center"/>
      <protection hidden="1"/>
    </xf>
    <xf numFmtId="41" fontId="38" fillId="20" borderId="127" xfId="0" applyNumberFormat="1" applyFont="1" applyFill="1" applyBorder="1" applyAlignment="1" applyProtection="1">
      <alignment horizontal="left" vertical="center"/>
      <protection hidden="1"/>
    </xf>
    <xf numFmtId="41" fontId="38" fillId="18" borderId="125" xfId="0" applyNumberFormat="1" applyFont="1" applyFill="1" applyBorder="1" applyAlignment="1" applyProtection="1">
      <alignment horizontal="center" vertical="center"/>
      <protection hidden="1"/>
    </xf>
    <xf numFmtId="41" fontId="38" fillId="18" borderId="126" xfId="0" applyNumberFormat="1" applyFont="1" applyFill="1" applyBorder="1" applyAlignment="1" applyProtection="1">
      <alignment horizontal="center" vertical="center"/>
      <protection hidden="1"/>
    </xf>
    <xf numFmtId="41" fontId="38" fillId="18" borderId="127" xfId="0" applyNumberFormat="1" applyFont="1" applyFill="1" applyBorder="1" applyAlignment="1" applyProtection="1">
      <alignment horizontal="center" vertical="center"/>
      <protection hidden="1"/>
    </xf>
    <xf numFmtId="41" fontId="38" fillId="18" borderId="135" xfId="0" applyNumberFormat="1" applyFont="1" applyFill="1" applyBorder="1" applyAlignment="1" applyProtection="1">
      <alignment horizontal="center" vertical="center"/>
      <protection hidden="1"/>
    </xf>
    <xf numFmtId="41" fontId="38" fillId="18" borderId="136" xfId="0" applyNumberFormat="1" applyFont="1" applyFill="1" applyBorder="1" applyAlignment="1" applyProtection="1">
      <alignment horizontal="center" vertical="center"/>
      <protection hidden="1"/>
    </xf>
    <xf numFmtId="0" fontId="30" fillId="2" borderId="71" xfId="0" applyFont="1" applyFill="1" applyBorder="1" applyAlignment="1" applyProtection="1">
      <alignment horizontal="center" vertical="center"/>
      <protection hidden="1"/>
    </xf>
    <xf numFmtId="41" fontId="38" fillId="20" borderId="135" xfId="0" applyNumberFormat="1" applyFont="1" applyFill="1" applyBorder="1" applyAlignment="1" applyProtection="1">
      <alignment horizontal="left" vertical="center" wrapText="1"/>
      <protection hidden="1"/>
    </xf>
    <xf numFmtId="41" fontId="38" fillId="20" borderId="136" xfId="0" applyNumberFormat="1" applyFont="1" applyFill="1" applyBorder="1" applyAlignment="1" applyProtection="1">
      <alignment horizontal="left" vertical="center" wrapText="1"/>
      <protection hidden="1"/>
    </xf>
    <xf numFmtId="41" fontId="38" fillId="20" borderId="138" xfId="0" applyNumberFormat="1" applyFont="1" applyFill="1" applyBorder="1" applyAlignment="1" applyProtection="1">
      <alignment horizontal="left" vertical="center" wrapText="1"/>
      <protection hidden="1"/>
    </xf>
    <xf numFmtId="0" fontId="3" fillId="0" borderId="7" xfId="0" applyFont="1" applyFill="1" applyBorder="1" applyAlignment="1" applyProtection="1">
      <alignment horizontal="center" vertical="center"/>
      <protection hidden="1"/>
    </xf>
    <xf numFmtId="0" fontId="3" fillId="0" borderId="4" xfId="0" applyFont="1" applyFill="1" applyBorder="1" applyAlignment="1" applyProtection="1">
      <alignment horizontal="center" vertical="center"/>
      <protection hidden="1"/>
    </xf>
    <xf numFmtId="0" fontId="3" fillId="0" borderId="14" xfId="0" applyFont="1" applyFill="1" applyBorder="1" applyAlignment="1" applyProtection="1">
      <alignment horizontal="center" vertical="center"/>
      <protection hidden="1"/>
    </xf>
    <xf numFmtId="0" fontId="3" fillId="0" borderId="9"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protection hidden="1"/>
    </xf>
    <xf numFmtId="0" fontId="3" fillId="0" borderId="11" xfId="0" applyFont="1" applyFill="1" applyBorder="1" applyAlignment="1" applyProtection="1">
      <alignment horizontal="center" vertical="center"/>
      <protection hidden="1"/>
    </xf>
    <xf numFmtId="0" fontId="47" fillId="0" borderId="4" xfId="0" applyFont="1" applyBorder="1" applyAlignment="1" applyProtection="1">
      <alignment horizontal="center"/>
      <protection hidden="1"/>
    </xf>
    <xf numFmtId="0" fontId="47" fillId="0" borderId="6" xfId="0" applyFont="1" applyBorder="1" applyAlignment="1" applyProtection="1">
      <alignment horizontal="center"/>
      <protection hidden="1"/>
    </xf>
    <xf numFmtId="0" fontId="46" fillId="22" borderId="6" xfId="0" applyFont="1" applyFill="1" applyBorder="1" applyAlignment="1" applyProtection="1">
      <alignment horizontal="center" vertical="center" wrapText="1"/>
      <protection hidden="1"/>
    </xf>
    <xf numFmtId="0" fontId="46" fillId="22" borderId="3" xfId="0" applyFont="1" applyFill="1" applyBorder="1" applyAlignment="1" applyProtection="1">
      <alignment horizontal="center" vertical="center" wrapText="1"/>
      <protection hidden="1"/>
    </xf>
    <xf numFmtId="0" fontId="46" fillId="5" borderId="6" xfId="0" applyFont="1" applyFill="1" applyBorder="1" applyAlignment="1" applyProtection="1">
      <alignment horizontal="left" vertical="top" wrapText="1"/>
      <protection hidden="1"/>
    </xf>
    <xf numFmtId="0" fontId="46" fillId="5" borderId="3" xfId="0" applyFont="1" applyFill="1" applyBorder="1" applyAlignment="1" applyProtection="1">
      <alignment horizontal="left" vertical="top" wrapText="1"/>
      <protection hidden="1"/>
    </xf>
    <xf numFmtId="41" fontId="6" fillId="0" borderId="50" xfId="0" applyNumberFormat="1" applyFont="1" applyBorder="1" applyAlignment="1" applyProtection="1">
      <alignment horizontal="center" vertical="center" wrapText="1"/>
    </xf>
    <xf numFmtId="41" fontId="6" fillId="0" borderId="74" xfId="0" applyNumberFormat="1" applyFont="1" applyBorder="1" applyAlignment="1" applyProtection="1">
      <alignment horizontal="center" vertical="center" wrapText="1"/>
    </xf>
    <xf numFmtId="41" fontId="15" fillId="0" borderId="117" xfId="0" applyNumberFormat="1" applyFont="1" applyBorder="1" applyAlignment="1" applyProtection="1">
      <alignment vertical="center" wrapText="1"/>
    </xf>
    <xf numFmtId="41" fontId="15" fillId="0" borderId="117" xfId="0" applyNumberFormat="1" applyFont="1" applyBorder="1" applyAlignment="1" applyProtection="1">
      <alignment vertical="center"/>
    </xf>
    <xf numFmtId="41" fontId="6" fillId="0" borderId="131" xfId="0" applyNumberFormat="1" applyFont="1" applyBorder="1" applyAlignment="1" applyProtection="1">
      <alignment horizontal="center" vertical="center" wrapText="1"/>
    </xf>
    <xf numFmtId="41" fontId="15" fillId="0" borderId="74" xfId="0" applyNumberFormat="1" applyFont="1" applyBorder="1" applyAlignment="1" applyProtection="1">
      <alignment vertical="center"/>
    </xf>
    <xf numFmtId="41" fontId="15" fillId="0" borderId="75" xfId="0" applyNumberFormat="1" applyFont="1" applyBorder="1" applyAlignment="1" applyProtection="1">
      <alignment vertical="center" wrapText="1"/>
    </xf>
    <xf numFmtId="41" fontId="6" fillId="0" borderId="44" xfId="0" applyNumberFormat="1" applyFont="1" applyBorder="1" applyAlignment="1" applyProtection="1">
      <alignment horizontal="center" vertical="center" wrapText="1"/>
    </xf>
    <xf numFmtId="41" fontId="6" fillId="0" borderId="1" xfId="0" applyNumberFormat="1" applyFont="1" applyBorder="1" applyAlignment="1" applyProtection="1">
      <alignment horizontal="center" vertical="center" wrapText="1"/>
    </xf>
    <xf numFmtId="41" fontId="6" fillId="0" borderId="89" xfId="0" applyNumberFormat="1" applyFont="1" applyBorder="1" applyAlignment="1" applyProtection="1">
      <alignment horizontal="left" vertical="center" wrapText="1"/>
    </xf>
    <xf numFmtId="41" fontId="6" fillId="0" borderId="89" xfId="0" applyNumberFormat="1" applyFont="1" applyBorder="1" applyAlignment="1" applyProtection="1">
      <alignment horizontal="center"/>
    </xf>
    <xf numFmtId="41" fontId="6" fillId="0" borderId="5" xfId="0" applyNumberFormat="1" applyFont="1" applyBorder="1" applyAlignment="1" applyProtection="1">
      <alignment horizontal="center" vertical="center" wrapText="1"/>
    </xf>
    <xf numFmtId="41" fontId="6" fillId="0" borderId="1" xfId="0" applyNumberFormat="1" applyFont="1" applyBorder="1" applyAlignment="1" applyProtection="1"/>
    <xf numFmtId="41" fontId="15" fillId="0" borderId="45" xfId="0" applyNumberFormat="1" applyFont="1" applyBorder="1" applyAlignment="1" applyProtection="1">
      <alignment vertical="center" wrapText="1"/>
    </xf>
    <xf numFmtId="41" fontId="6" fillId="0" borderId="132" xfId="0" applyNumberFormat="1" applyFont="1" applyBorder="1" applyAlignment="1" applyProtection="1">
      <alignment horizontal="center" vertical="center" wrapText="1"/>
    </xf>
    <xf numFmtId="41" fontId="6" fillId="0" borderId="144" xfId="0" applyNumberFormat="1" applyFont="1" applyBorder="1" applyAlignment="1" applyProtection="1">
      <alignment horizontal="center" vertical="center" wrapText="1"/>
    </xf>
    <xf numFmtId="41" fontId="6" fillId="0" borderId="110" xfId="0" applyNumberFormat="1" applyFont="1" applyBorder="1" applyAlignment="1" applyProtection="1">
      <alignment horizontal="left" vertical="center" wrapText="1"/>
    </xf>
    <xf numFmtId="41" fontId="6" fillId="0" borderId="110" xfId="0" applyNumberFormat="1" applyFont="1" applyBorder="1" applyAlignment="1" applyProtection="1">
      <alignment horizontal="center"/>
    </xf>
    <xf numFmtId="41" fontId="6" fillId="0" borderId="158" xfId="0" applyNumberFormat="1" applyFont="1" applyBorder="1" applyAlignment="1" applyProtection="1">
      <alignment horizontal="center" vertical="center" wrapText="1"/>
    </xf>
    <xf numFmtId="41" fontId="15" fillId="0" borderId="133" xfId="0" applyNumberFormat="1" applyFont="1" applyBorder="1" applyAlignment="1" applyProtection="1">
      <alignment vertical="center" wrapText="1"/>
    </xf>
    <xf numFmtId="41" fontId="6" fillId="0" borderId="162" xfId="0" applyNumberFormat="1" applyFont="1" applyBorder="1" applyAlignment="1" applyProtection="1">
      <alignment horizontal="center" vertical="center"/>
    </xf>
    <xf numFmtId="41" fontId="6" fillId="0" borderId="163" xfId="0" applyNumberFormat="1" applyFont="1" applyBorder="1" applyAlignment="1" applyProtection="1">
      <alignment horizontal="center" vertical="center"/>
    </xf>
    <xf numFmtId="41" fontId="6" fillId="0" borderId="13" xfId="0" applyNumberFormat="1" applyFont="1" applyBorder="1" applyAlignment="1" applyProtection="1">
      <alignment horizontal="center" vertical="center"/>
    </xf>
    <xf numFmtId="41" fontId="6" fillId="0" borderId="9" xfId="0" applyNumberFormat="1" applyFont="1" applyBorder="1" applyAlignment="1" applyProtection="1">
      <alignment horizontal="center" vertical="center"/>
    </xf>
    <xf numFmtId="41" fontId="6" fillId="0" borderId="164" xfId="0" applyNumberFormat="1" applyFont="1" applyBorder="1" applyAlignment="1" applyProtection="1">
      <alignment horizontal="left" vertical="center" wrapText="1"/>
    </xf>
    <xf numFmtId="41" fontId="6" fillId="0" borderId="164" xfId="0" applyNumberFormat="1" applyFont="1" applyBorder="1" applyAlignment="1" applyProtection="1">
      <alignment horizontal="center"/>
    </xf>
    <xf numFmtId="41" fontId="6" fillId="0" borderId="13" xfId="0" applyNumberFormat="1" applyFont="1" applyBorder="1" applyAlignment="1" applyProtection="1">
      <alignment horizontal="center" vertical="center"/>
    </xf>
    <xf numFmtId="41" fontId="6" fillId="0" borderId="13" xfId="0" applyNumberFormat="1" applyFont="1" applyBorder="1" applyAlignment="1" applyProtection="1"/>
    <xf numFmtId="41" fontId="6" fillId="0" borderId="161" xfId="0" applyNumberFormat="1" applyFont="1" applyBorder="1" applyAlignment="1" applyProtection="1">
      <alignment wrapText="1"/>
    </xf>
    <xf numFmtId="41" fontId="6" fillId="0" borderId="124" xfId="0" applyNumberFormat="1" applyFont="1" applyBorder="1" applyAlignment="1" applyProtection="1">
      <alignment horizontal="center" vertical="center"/>
    </xf>
    <xf numFmtId="41" fontId="6" fillId="0" borderId="1" xfId="0" applyNumberFormat="1" applyFont="1" applyBorder="1" applyAlignment="1" applyProtection="1">
      <alignment horizontal="center" vertical="center"/>
    </xf>
    <xf numFmtId="41" fontId="6" fillId="0" borderId="2" xfId="0" applyNumberFormat="1" applyFont="1" applyBorder="1" applyAlignment="1" applyProtection="1">
      <alignment horizontal="center" vertical="center"/>
    </xf>
    <xf numFmtId="41" fontId="6" fillId="0" borderId="159" xfId="0" applyNumberFormat="1" applyFont="1" applyBorder="1" applyAlignment="1" applyProtection="1">
      <alignment horizontal="center" vertical="center"/>
    </xf>
    <xf numFmtId="41" fontId="6" fillId="0" borderId="144" xfId="0" applyNumberFormat="1" applyFont="1" applyBorder="1" applyAlignment="1" applyProtection="1">
      <alignment horizontal="center" vertical="center"/>
    </xf>
    <xf numFmtId="41" fontId="6" fillId="0" borderId="160" xfId="0" applyNumberFormat="1" applyFont="1" applyBorder="1" applyAlignment="1" applyProtection="1">
      <alignment horizontal="center" vertical="center"/>
    </xf>
    <xf numFmtId="41" fontId="6" fillId="0" borderId="133" xfId="0" applyNumberFormat="1" applyFont="1" applyBorder="1" applyAlignment="1" applyProtection="1">
      <alignment wrapText="1"/>
    </xf>
    <xf numFmtId="41" fontId="6" fillId="0" borderId="50" xfId="0" applyNumberFormat="1" applyFont="1" applyBorder="1" applyAlignment="1" applyProtection="1">
      <alignment horizontal="center" vertical="center"/>
    </xf>
    <xf numFmtId="41" fontId="6" fillId="0" borderId="74" xfId="0" applyNumberFormat="1" applyFont="1" applyBorder="1" applyAlignment="1" applyProtection="1">
      <alignment horizontal="center" vertical="center"/>
    </xf>
    <xf numFmtId="41" fontId="6" fillId="0" borderId="151" xfId="0" applyNumberFormat="1" applyFont="1" applyBorder="1" applyAlignment="1" applyProtection="1">
      <alignment horizontal="left" vertical="center" wrapText="1"/>
    </xf>
    <xf numFmtId="41" fontId="6" fillId="0" borderId="152" xfId="0" applyNumberFormat="1" applyFont="1" applyBorder="1" applyAlignment="1" applyProtection="1">
      <alignment horizontal="left" vertical="center" wrapText="1"/>
    </xf>
    <xf numFmtId="41" fontId="6" fillId="0" borderId="153" xfId="0" applyNumberFormat="1" applyFont="1" applyBorder="1" applyAlignment="1" applyProtection="1">
      <alignment horizontal="left" vertical="center" wrapText="1"/>
    </xf>
    <xf numFmtId="41" fontId="6" fillId="0" borderId="117" xfId="0" applyNumberFormat="1" applyFont="1" applyBorder="1" applyAlignment="1" applyProtection="1">
      <alignment horizontal="center" wrapText="1"/>
    </xf>
    <xf numFmtId="41" fontId="6" fillId="0" borderId="74" xfId="0" applyNumberFormat="1" applyFont="1" applyBorder="1" applyAlignment="1" applyProtection="1">
      <alignment horizontal="center" vertical="center" wrapText="1"/>
    </xf>
    <xf numFmtId="41" fontId="6" fillId="0" borderId="44" xfId="0" applyNumberFormat="1" applyFont="1" applyBorder="1" applyAlignment="1" applyProtection="1">
      <alignment horizontal="center" vertical="center"/>
    </xf>
    <xf numFmtId="41" fontId="6" fillId="0" borderId="94" xfId="0" applyNumberFormat="1" applyFont="1" applyBorder="1" applyAlignment="1" applyProtection="1">
      <alignment horizontal="left" vertical="center" wrapText="1"/>
    </xf>
    <xf numFmtId="41" fontId="6" fillId="0" borderId="95" xfId="0" applyNumberFormat="1" applyFont="1" applyBorder="1" applyAlignment="1" applyProtection="1">
      <alignment horizontal="left" vertical="center" wrapText="1"/>
    </xf>
    <xf numFmtId="41" fontId="6" fillId="0" borderId="96" xfId="0" applyNumberFormat="1" applyFont="1" applyBorder="1" applyAlignment="1" applyProtection="1">
      <alignment horizontal="left" vertical="center" wrapText="1"/>
    </xf>
    <xf numFmtId="41" fontId="6" fillId="0" borderId="116" xfId="0" applyNumberFormat="1" applyFont="1" applyBorder="1" applyAlignment="1" applyProtection="1">
      <alignment horizontal="center" wrapText="1"/>
    </xf>
    <xf numFmtId="41" fontId="6" fillId="0" borderId="1" xfId="0" applyNumberFormat="1" applyFont="1" applyBorder="1" applyAlignment="1" applyProtection="1">
      <alignment horizontal="center" vertical="center" wrapText="1"/>
    </xf>
    <xf numFmtId="41" fontId="6" fillId="0" borderId="132" xfId="0" applyNumberFormat="1" applyFont="1" applyBorder="1" applyAlignment="1" applyProtection="1">
      <alignment horizontal="center" vertical="center"/>
    </xf>
    <xf numFmtId="41" fontId="6" fillId="0" borderId="154" xfId="0" applyNumberFormat="1" applyFont="1" applyBorder="1" applyAlignment="1" applyProtection="1">
      <alignment horizontal="left" vertical="center" wrapText="1"/>
    </xf>
    <xf numFmtId="41" fontId="6" fillId="0" borderId="155" xfId="0" applyNumberFormat="1" applyFont="1" applyBorder="1" applyAlignment="1" applyProtection="1">
      <alignment horizontal="left" vertical="center" wrapText="1"/>
    </xf>
    <xf numFmtId="41" fontId="6" fillId="0" borderId="156" xfId="0" applyNumberFormat="1" applyFont="1" applyBorder="1" applyAlignment="1" applyProtection="1">
      <alignment horizontal="left" vertical="center" wrapText="1"/>
    </xf>
    <xf numFmtId="41" fontId="6" fillId="0" borderId="157" xfId="0" applyNumberFormat="1" applyFont="1" applyBorder="1" applyAlignment="1" applyProtection="1">
      <alignment horizontal="center" wrapText="1"/>
    </xf>
    <xf numFmtId="41" fontId="6" fillId="0" borderId="144" xfId="0" applyNumberFormat="1" applyFont="1" applyBorder="1" applyAlignment="1" applyProtection="1">
      <alignment horizontal="center" vertical="center" wrapText="1"/>
    </xf>
  </cellXfs>
  <cellStyles count="3">
    <cellStyle name="Hipervínculo" xfId="2" builtinId="8"/>
    <cellStyle name="Moneda" xfId="1" builtinId="4"/>
    <cellStyle name="Normal" xfId="0" builtinId="0"/>
  </cellStyles>
  <dxfs count="4">
    <dxf>
      <fill>
        <patternFill>
          <fgColor theme="0"/>
          <bgColor rgb="FF002060"/>
        </patternFill>
      </fill>
    </dxf>
    <dxf>
      <fill>
        <patternFill>
          <fgColor theme="0"/>
          <bgColor rgb="FF002060"/>
        </patternFill>
      </fill>
    </dxf>
    <dxf>
      <fill>
        <patternFill>
          <fgColor theme="0"/>
          <bgColor rgb="FF002060"/>
        </patternFill>
      </fill>
    </dxf>
    <dxf>
      <fill>
        <patternFill>
          <fgColor theme="0"/>
          <bgColor rgb="FF002060"/>
        </patternFill>
      </fill>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2</xdr:col>
      <xdr:colOff>473844</xdr:colOff>
      <xdr:row>4</xdr:row>
      <xdr:rowOff>80818</xdr:rowOff>
    </xdr:to>
    <xdr:pic>
      <xdr:nvPicPr>
        <xdr:cNvPr id="5" name="Imagen 4">
          <a:extLst>
            <a:ext uri="{FF2B5EF4-FFF2-40B4-BE49-F238E27FC236}">
              <a16:creationId xmlns:a16="http://schemas.microsoft.com/office/drawing/2014/main" id="{1FDFE687-2465-46E5-AB0E-F87B3296A7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506" t="27270" r="12468" b="27231"/>
        <a:stretch/>
      </xdr:blipFill>
      <xdr:spPr>
        <a:xfrm>
          <a:off x="0" y="165100"/>
          <a:ext cx="1501389" cy="615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753533</xdr:colOff>
      <xdr:row>7</xdr:row>
      <xdr:rowOff>0</xdr:rowOff>
    </xdr:from>
    <xdr:to>
      <xdr:col>7</xdr:col>
      <xdr:colOff>683683</xdr:colOff>
      <xdr:row>7</xdr:row>
      <xdr:rowOff>0</xdr:rowOff>
    </xdr:to>
    <xdr:sp macro="" textlink="">
      <xdr:nvSpPr>
        <xdr:cNvPr id="7" name="CuadroTexto 6"/>
        <xdr:cNvSpPr txBox="1"/>
      </xdr:nvSpPr>
      <xdr:spPr>
        <a:xfrm>
          <a:off x="5325533" y="2262717"/>
          <a:ext cx="692150" cy="24765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Guardar</a:t>
          </a:r>
        </a:p>
      </xdr:txBody>
    </xdr:sp>
    <xdr:clientData/>
  </xdr:twoCellAnchor>
  <xdr:twoCellAnchor editAs="oneCell">
    <xdr:from>
      <xdr:col>9</xdr:col>
      <xdr:colOff>0</xdr:colOff>
      <xdr:row>23</xdr:row>
      <xdr:rowOff>0</xdr:rowOff>
    </xdr:from>
    <xdr:to>
      <xdr:col>9</xdr:col>
      <xdr:colOff>304800</xdr:colOff>
      <xdr:row>24</xdr:row>
      <xdr:rowOff>120650</xdr:rowOff>
    </xdr:to>
    <xdr:sp macro="" textlink="">
      <xdr:nvSpPr>
        <xdr:cNvPr id="1026" name="AutoShape 2" descr="Verbos taxonomia de bloom"/>
        <xdr:cNvSpPr>
          <a:spLocks noChangeAspect="1" noChangeArrowheads="1"/>
        </xdr:cNvSpPr>
      </xdr:nvSpPr>
      <xdr:spPr bwMode="auto">
        <a:xfrm>
          <a:off x="6858000" y="624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184275</xdr:colOff>
      <xdr:row>11</xdr:row>
      <xdr:rowOff>78365</xdr:rowOff>
    </xdr:from>
    <xdr:to>
      <xdr:col>18</xdr:col>
      <xdr:colOff>678389</xdr:colOff>
      <xdr:row>32</xdr:row>
      <xdr:rowOff>15118</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0275" y="3105198"/>
          <a:ext cx="8114114" cy="6046864"/>
        </a:xfrm>
        <a:prstGeom prst="rect">
          <a:avLst/>
        </a:prstGeom>
      </xdr:spPr>
    </xdr:pic>
    <xdr:clientData/>
  </xdr:twoCellAnchor>
  <xdr:twoCellAnchor>
    <xdr:from>
      <xdr:col>8</xdr:col>
      <xdr:colOff>149694</xdr:colOff>
      <xdr:row>14</xdr:row>
      <xdr:rowOff>271896</xdr:rowOff>
    </xdr:from>
    <xdr:to>
      <xdr:col>16</xdr:col>
      <xdr:colOff>670860</xdr:colOff>
      <xdr:row>16</xdr:row>
      <xdr:rowOff>11213</xdr:rowOff>
    </xdr:to>
    <xdr:sp macro="" textlink="">
      <xdr:nvSpPr>
        <xdr:cNvPr id="8" name="CuadroTexto 7"/>
        <xdr:cNvSpPr txBox="1"/>
      </xdr:nvSpPr>
      <xdr:spPr>
        <a:xfrm rot="20426928">
          <a:off x="7591894" y="5396346"/>
          <a:ext cx="6617166" cy="501317"/>
        </a:xfrm>
        <a:prstGeom prst="rightArrow">
          <a:avLst>
            <a:gd name="adj1" fmla="val 50000"/>
            <a:gd name="adj2" fmla="val 96663"/>
          </a:avLst>
        </a:prstGeom>
        <a:solidFill>
          <a:srgbClr val="FFFF00"/>
        </a:solidFill>
        <a:ln w="9525"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800" b="1">
              <a:solidFill>
                <a:sysClr val="windowText" lastClr="000000"/>
              </a:solidFill>
              <a:latin typeface="Arial" panose="020B0604020202020204" pitchFamily="34" charset="0"/>
              <a:cs typeface="Arial" panose="020B0604020202020204" pitchFamily="34" charset="0"/>
            </a:rPr>
            <a:t>Avance</a:t>
          </a:r>
          <a:r>
            <a:rPr lang="es-CO" sz="1800" b="1" baseline="0">
              <a:solidFill>
                <a:sysClr val="windowText" lastClr="000000"/>
              </a:solidFill>
              <a:latin typeface="Arial" panose="020B0604020202020204" pitchFamily="34" charset="0"/>
              <a:cs typeface="Arial" panose="020B0604020202020204" pitchFamily="34" charset="0"/>
            </a:rPr>
            <a:t> del plan de Estudios</a:t>
          </a:r>
          <a:endParaRPr lang="es-CO" sz="18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366891</xdr:colOff>
      <xdr:row>44</xdr:row>
      <xdr:rowOff>77608</xdr:rowOff>
    </xdr:from>
    <xdr:to>
      <xdr:col>18</xdr:col>
      <xdr:colOff>183446</xdr:colOff>
      <xdr:row>45</xdr:row>
      <xdr:rowOff>105831</xdr:rowOff>
    </xdr:to>
    <xdr:sp macro="" textlink="">
      <xdr:nvSpPr>
        <xdr:cNvPr id="3" name="CuadroTexto 2"/>
        <xdr:cNvSpPr txBox="1"/>
      </xdr:nvSpPr>
      <xdr:spPr>
        <a:xfrm>
          <a:off x="9334502" y="9546164"/>
          <a:ext cx="5912555"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https://es.scribd.com/document/360544532/Posibles-Verbos-Precisos-Bloom-pdf</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327025</xdr:colOff>
      <xdr:row>0</xdr:row>
      <xdr:rowOff>77788</xdr:rowOff>
    </xdr:from>
    <xdr:to>
      <xdr:col>1</xdr:col>
      <xdr:colOff>548640</xdr:colOff>
      <xdr:row>5</xdr:row>
      <xdr:rowOff>134938</xdr:rowOff>
    </xdr:to>
    <xdr:pic>
      <xdr:nvPicPr>
        <xdr:cNvPr id="2" name="Imagen 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327025" y="77788"/>
          <a:ext cx="955040" cy="890588"/>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128687</xdr:colOff>
      <xdr:row>0</xdr:row>
      <xdr:rowOff>0</xdr:rowOff>
    </xdr:from>
    <xdr:to>
      <xdr:col>4</xdr:col>
      <xdr:colOff>507070</xdr:colOff>
      <xdr:row>5</xdr:row>
      <xdr:rowOff>131368</xdr:rowOff>
    </xdr:to>
    <xdr:pic>
      <xdr:nvPicPr>
        <xdr:cNvPr id="2" name="Imagen 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10238" b="9428"/>
        <a:stretch/>
      </xdr:blipFill>
      <xdr:spPr bwMode="auto">
        <a:xfrm>
          <a:off x="424036" y="0"/>
          <a:ext cx="1124139" cy="1054333"/>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C00000"/>
  </sheetPr>
  <dimension ref="A1:J40"/>
  <sheetViews>
    <sheetView view="pageBreakPreview" topLeftCell="A10" zoomScale="110" zoomScaleNormal="100" zoomScaleSheetLayoutView="110" workbookViewId="0">
      <selection activeCell="D1" sqref="D1:J6"/>
    </sheetView>
  </sheetViews>
  <sheetFormatPr baseColWidth="10" defaultRowHeight="14.5" x14ac:dyDescent="0.35"/>
  <cols>
    <col min="1" max="7" width="7.453125" customWidth="1"/>
    <col min="8" max="8" width="8.54296875" customWidth="1"/>
    <col min="10" max="10" width="18" customWidth="1"/>
  </cols>
  <sheetData>
    <row r="1" spans="1:10" s="5" customFormat="1" ht="11.5" customHeight="1" x14ac:dyDescent="0.25">
      <c r="A1" s="221"/>
      <c r="B1" s="222"/>
      <c r="C1" s="222"/>
      <c r="D1" s="225" t="s">
        <v>151</v>
      </c>
      <c r="E1" s="225"/>
      <c r="F1" s="225"/>
      <c r="G1" s="225"/>
      <c r="H1" s="225"/>
      <c r="I1" s="225"/>
      <c r="J1" s="226"/>
    </row>
    <row r="2" spans="1:10" s="5" customFormat="1" ht="14.5" customHeight="1" x14ac:dyDescent="0.25">
      <c r="A2" s="223"/>
      <c r="B2" s="224"/>
      <c r="C2" s="224"/>
      <c r="D2" s="227"/>
      <c r="E2" s="227"/>
      <c r="F2" s="227"/>
      <c r="G2" s="227"/>
      <c r="H2" s="227"/>
      <c r="I2" s="227"/>
      <c r="J2" s="228"/>
    </row>
    <row r="3" spans="1:10" s="5" customFormat="1" ht="14.5" customHeight="1" x14ac:dyDescent="0.25">
      <c r="A3" s="223"/>
      <c r="B3" s="224"/>
      <c r="C3" s="224"/>
      <c r="D3" s="227"/>
      <c r="E3" s="227"/>
      <c r="F3" s="227"/>
      <c r="G3" s="227"/>
      <c r="H3" s="227"/>
      <c r="I3" s="227"/>
      <c r="J3" s="228"/>
    </row>
    <row r="4" spans="1:10" s="5" customFormat="1" ht="14.5" customHeight="1" x14ac:dyDescent="0.25">
      <c r="A4" s="223"/>
      <c r="B4" s="224"/>
      <c r="C4" s="224"/>
      <c r="D4" s="227"/>
      <c r="E4" s="227"/>
      <c r="F4" s="227"/>
      <c r="G4" s="227"/>
      <c r="H4" s="227"/>
      <c r="I4" s="227"/>
      <c r="J4" s="228"/>
    </row>
    <row r="5" spans="1:10" s="5" customFormat="1" ht="11.5" x14ac:dyDescent="0.25">
      <c r="A5" s="223"/>
      <c r="B5" s="224"/>
      <c r="C5" s="224"/>
      <c r="D5" s="227"/>
      <c r="E5" s="227"/>
      <c r="F5" s="227"/>
      <c r="G5" s="227"/>
      <c r="H5" s="227"/>
      <c r="I5" s="227"/>
      <c r="J5" s="228"/>
    </row>
    <row r="6" spans="1:10" s="5" customFormat="1" ht="11.5" x14ac:dyDescent="0.25">
      <c r="A6" s="223"/>
      <c r="B6" s="224"/>
      <c r="C6" s="224"/>
      <c r="D6" s="227"/>
      <c r="E6" s="227"/>
      <c r="F6" s="227"/>
      <c r="G6" s="227"/>
      <c r="H6" s="227"/>
      <c r="I6" s="227"/>
      <c r="J6" s="228"/>
    </row>
    <row r="7" spans="1:10" s="5" customFormat="1" ht="18" customHeight="1" thickBot="1" x14ac:dyDescent="0.3">
      <c r="A7" s="238" t="s">
        <v>153</v>
      </c>
      <c r="B7" s="239"/>
      <c r="C7" s="239"/>
      <c r="D7" s="239"/>
      <c r="E7" s="239"/>
      <c r="F7" s="239"/>
      <c r="G7" s="239"/>
      <c r="H7" s="239"/>
      <c r="I7" s="239"/>
      <c r="J7" s="240"/>
    </row>
    <row r="8" spans="1:10" ht="18" customHeight="1" x14ac:dyDescent="0.35">
      <c r="A8" s="241" t="s">
        <v>152</v>
      </c>
      <c r="B8" s="242"/>
      <c r="C8" s="242"/>
      <c r="D8" s="242"/>
      <c r="E8" s="242"/>
      <c r="F8" s="242"/>
      <c r="G8" s="242"/>
      <c r="H8" s="242"/>
      <c r="I8" s="242"/>
      <c r="J8" s="243"/>
    </row>
    <row r="9" spans="1:10" ht="24.65" customHeight="1" x14ac:dyDescent="0.35">
      <c r="A9" s="244"/>
      <c r="B9" s="245"/>
      <c r="C9" s="245"/>
      <c r="D9" s="245"/>
      <c r="E9" s="245"/>
      <c r="F9" s="245"/>
      <c r="G9" s="245"/>
      <c r="H9" s="245"/>
      <c r="I9" s="245"/>
      <c r="J9" s="246"/>
    </row>
    <row r="10" spans="1:10" ht="27.65" customHeight="1" thickBot="1" x14ac:dyDescent="0.4">
      <c r="A10" s="247"/>
      <c r="B10" s="248"/>
      <c r="C10" s="248"/>
      <c r="D10" s="248"/>
      <c r="E10" s="248"/>
      <c r="F10" s="248"/>
      <c r="G10" s="248"/>
      <c r="H10" s="248"/>
      <c r="I10" s="248"/>
      <c r="J10" s="249"/>
    </row>
    <row r="11" spans="1:10" ht="16" thickBot="1" x14ac:dyDescent="0.4">
      <c r="A11" s="209" t="s">
        <v>156</v>
      </c>
      <c r="B11" s="210"/>
      <c r="C11" s="210"/>
      <c r="D11" s="210"/>
      <c r="E11" s="210"/>
      <c r="F11" s="210"/>
      <c r="G11" s="210"/>
      <c r="H11" s="210"/>
      <c r="I11" s="210"/>
      <c r="J11" s="211"/>
    </row>
    <row r="12" spans="1:10" ht="15.65" customHeight="1" x14ac:dyDescent="0.35">
      <c r="A12" s="229" t="s">
        <v>154</v>
      </c>
      <c r="B12" s="230"/>
      <c r="C12" s="230"/>
      <c r="D12" s="230"/>
      <c r="E12" s="230"/>
      <c r="F12" s="230"/>
      <c r="G12" s="230"/>
      <c r="H12" s="230"/>
      <c r="I12" s="230"/>
      <c r="J12" s="231"/>
    </row>
    <row r="13" spans="1:10" ht="14.5" customHeight="1" x14ac:dyDescent="0.35">
      <c r="A13" s="232"/>
      <c r="B13" s="233"/>
      <c r="C13" s="233"/>
      <c r="D13" s="233"/>
      <c r="E13" s="233"/>
      <c r="F13" s="233"/>
      <c r="G13" s="233"/>
      <c r="H13" s="233"/>
      <c r="I13" s="233"/>
      <c r="J13" s="234"/>
    </row>
    <row r="14" spans="1:10" ht="14.5" customHeight="1" thickBot="1" x14ac:dyDescent="0.4">
      <c r="A14" s="235"/>
      <c r="B14" s="236"/>
      <c r="C14" s="236"/>
      <c r="D14" s="236"/>
      <c r="E14" s="236"/>
      <c r="F14" s="236"/>
      <c r="G14" s="236"/>
      <c r="H14" s="236"/>
      <c r="I14" s="236"/>
      <c r="J14" s="237"/>
    </row>
    <row r="15" spans="1:10" ht="16" thickBot="1" x14ac:dyDescent="0.4">
      <c r="A15" s="209" t="s">
        <v>155</v>
      </c>
      <c r="B15" s="210"/>
      <c r="C15" s="210"/>
      <c r="D15" s="210"/>
      <c r="E15" s="210"/>
      <c r="F15" s="210"/>
      <c r="G15" s="210"/>
      <c r="H15" s="210"/>
      <c r="I15" s="210"/>
      <c r="J15" s="211"/>
    </row>
    <row r="16" spans="1:10" ht="14.5" customHeight="1" x14ac:dyDescent="0.35">
      <c r="A16" s="212" t="s">
        <v>158</v>
      </c>
      <c r="B16" s="213"/>
      <c r="C16" s="213"/>
      <c r="D16" s="213"/>
      <c r="E16" s="213"/>
      <c r="F16" s="213"/>
      <c r="G16" s="213"/>
      <c r="H16" s="213"/>
      <c r="I16" s="213"/>
      <c r="J16" s="214"/>
    </row>
    <row r="17" spans="1:10" ht="14.5" customHeight="1" x14ac:dyDescent="0.35">
      <c r="A17" s="215"/>
      <c r="B17" s="216"/>
      <c r="C17" s="216"/>
      <c r="D17" s="216"/>
      <c r="E17" s="216"/>
      <c r="F17" s="216"/>
      <c r="G17" s="216"/>
      <c r="H17" s="216"/>
      <c r="I17" s="216"/>
      <c r="J17" s="217"/>
    </row>
    <row r="18" spans="1:10" ht="14.5" customHeight="1" x14ac:dyDescent="0.35">
      <c r="A18" s="215"/>
      <c r="B18" s="216"/>
      <c r="C18" s="216"/>
      <c r="D18" s="216"/>
      <c r="E18" s="216"/>
      <c r="F18" s="216"/>
      <c r="G18" s="216"/>
      <c r="H18" s="216"/>
      <c r="I18" s="216"/>
      <c r="J18" s="217"/>
    </row>
    <row r="19" spans="1:10" ht="14.5" customHeight="1" x14ac:dyDescent="0.35">
      <c r="A19" s="215"/>
      <c r="B19" s="216"/>
      <c r="C19" s="216"/>
      <c r="D19" s="216"/>
      <c r="E19" s="216"/>
      <c r="F19" s="216"/>
      <c r="G19" s="216"/>
      <c r="H19" s="216"/>
      <c r="I19" s="216"/>
      <c r="J19" s="217"/>
    </row>
    <row r="20" spans="1:10" ht="14.5" customHeight="1" x14ac:dyDescent="0.35">
      <c r="A20" s="215"/>
      <c r="B20" s="216"/>
      <c r="C20" s="216"/>
      <c r="D20" s="216"/>
      <c r="E20" s="216"/>
      <c r="F20" s="216"/>
      <c r="G20" s="216"/>
      <c r="H20" s="216"/>
      <c r="I20" s="216"/>
      <c r="J20" s="217"/>
    </row>
    <row r="21" spans="1:10" ht="14.5" customHeight="1" x14ac:dyDescent="0.35">
      <c r="A21" s="215"/>
      <c r="B21" s="216"/>
      <c r="C21" s="216"/>
      <c r="D21" s="216"/>
      <c r="E21" s="216"/>
      <c r="F21" s="216"/>
      <c r="G21" s="216"/>
      <c r="H21" s="216"/>
      <c r="I21" s="216"/>
      <c r="J21" s="217"/>
    </row>
    <row r="22" spans="1:10" ht="15" thickBot="1" x14ac:dyDescent="0.4">
      <c r="A22" s="218"/>
      <c r="B22" s="219"/>
      <c r="C22" s="219"/>
      <c r="D22" s="219"/>
      <c r="E22" s="219"/>
      <c r="F22" s="219"/>
      <c r="G22" s="219"/>
      <c r="H22" s="219"/>
      <c r="I22" s="219"/>
      <c r="J22" s="220"/>
    </row>
    <row r="23" spans="1:10" ht="16" thickBot="1" x14ac:dyDescent="0.4">
      <c r="A23" s="209" t="s">
        <v>157</v>
      </c>
      <c r="B23" s="210"/>
      <c r="C23" s="210"/>
      <c r="D23" s="210"/>
      <c r="E23" s="210"/>
      <c r="F23" s="210"/>
      <c r="G23" s="210"/>
      <c r="H23" s="210"/>
      <c r="I23" s="210"/>
      <c r="J23" s="211"/>
    </row>
    <row r="24" spans="1:10" x14ac:dyDescent="0.35">
      <c r="A24" s="252" t="s">
        <v>159</v>
      </c>
      <c r="B24" s="253"/>
      <c r="C24" s="253"/>
      <c r="D24" s="253"/>
      <c r="E24" s="253"/>
      <c r="F24" s="253"/>
      <c r="G24" s="253"/>
      <c r="H24" s="253"/>
      <c r="I24" s="253"/>
      <c r="J24" s="254"/>
    </row>
    <row r="25" spans="1:10" x14ac:dyDescent="0.35">
      <c r="A25" s="255"/>
      <c r="B25" s="256"/>
      <c r="C25" s="256"/>
      <c r="D25" s="256"/>
      <c r="E25" s="256"/>
      <c r="F25" s="256"/>
      <c r="G25" s="256"/>
      <c r="H25" s="256"/>
      <c r="I25" s="256"/>
      <c r="J25" s="257"/>
    </row>
    <row r="26" spans="1:10" x14ac:dyDescent="0.35">
      <c r="A26" s="255"/>
      <c r="B26" s="256"/>
      <c r="C26" s="256"/>
      <c r="D26" s="256"/>
      <c r="E26" s="256"/>
      <c r="F26" s="256"/>
      <c r="G26" s="256"/>
      <c r="H26" s="256"/>
      <c r="I26" s="256"/>
      <c r="J26" s="257"/>
    </row>
    <row r="27" spans="1:10" ht="15" thickBot="1" x14ac:dyDescent="0.4">
      <c r="A27" s="258"/>
      <c r="B27" s="259"/>
      <c r="C27" s="259"/>
      <c r="D27" s="259"/>
      <c r="E27" s="259"/>
      <c r="F27" s="259"/>
      <c r="G27" s="259"/>
      <c r="H27" s="259"/>
      <c r="I27" s="259"/>
      <c r="J27" s="260"/>
    </row>
    <row r="28" spans="1:10" ht="16" thickBot="1" x14ac:dyDescent="0.4">
      <c r="A28" s="209" t="s">
        <v>160</v>
      </c>
      <c r="B28" s="210"/>
      <c r="C28" s="210"/>
      <c r="D28" s="210"/>
      <c r="E28" s="210"/>
      <c r="F28" s="210"/>
      <c r="G28" s="210"/>
      <c r="H28" s="210"/>
      <c r="I28" s="210"/>
      <c r="J28" s="211"/>
    </row>
    <row r="29" spans="1:10" x14ac:dyDescent="0.35">
      <c r="A29" s="252" t="s">
        <v>161</v>
      </c>
      <c r="B29" s="253"/>
      <c r="C29" s="253"/>
      <c r="D29" s="253"/>
      <c r="E29" s="253"/>
      <c r="F29" s="253"/>
      <c r="G29" s="253"/>
      <c r="H29" s="253"/>
      <c r="I29" s="253"/>
      <c r="J29" s="254"/>
    </row>
    <row r="30" spans="1:10" ht="15" thickBot="1" x14ac:dyDescent="0.4">
      <c r="A30" s="258"/>
      <c r="B30" s="259"/>
      <c r="C30" s="259"/>
      <c r="D30" s="259"/>
      <c r="E30" s="259"/>
      <c r="F30" s="259"/>
      <c r="G30" s="259"/>
      <c r="H30" s="259"/>
      <c r="I30" s="259"/>
      <c r="J30" s="260"/>
    </row>
    <row r="31" spans="1:10" ht="16" thickBot="1" x14ac:dyDescent="0.4">
      <c r="A31" s="209" t="s">
        <v>162</v>
      </c>
      <c r="B31" s="210"/>
      <c r="C31" s="210"/>
      <c r="D31" s="210"/>
      <c r="E31" s="210"/>
      <c r="F31" s="210"/>
      <c r="G31" s="210"/>
      <c r="H31" s="210"/>
      <c r="I31" s="210"/>
      <c r="J31" s="211"/>
    </row>
    <row r="32" spans="1:10" x14ac:dyDescent="0.35">
      <c r="A32" s="252" t="s">
        <v>163</v>
      </c>
      <c r="B32" s="253"/>
      <c r="C32" s="253"/>
      <c r="D32" s="253"/>
      <c r="E32" s="253"/>
      <c r="F32" s="253"/>
      <c r="G32" s="253"/>
      <c r="H32" s="253"/>
      <c r="I32" s="253"/>
      <c r="J32" s="254"/>
    </row>
    <row r="33" spans="1:10" ht="15" thickBot="1" x14ac:dyDescent="0.4">
      <c r="A33" s="258"/>
      <c r="B33" s="259"/>
      <c r="C33" s="259"/>
      <c r="D33" s="259"/>
      <c r="E33" s="259"/>
      <c r="F33" s="259"/>
      <c r="G33" s="259"/>
      <c r="H33" s="259"/>
      <c r="I33" s="259"/>
      <c r="J33" s="260"/>
    </row>
    <row r="34" spans="1:10" ht="16" thickBot="1" x14ac:dyDescent="0.4">
      <c r="A34" s="261" t="s">
        <v>164</v>
      </c>
      <c r="B34" s="262"/>
      <c r="C34" s="262"/>
      <c r="D34" s="262"/>
      <c r="E34" s="262"/>
      <c r="F34" s="262"/>
      <c r="G34" s="262"/>
      <c r="H34" s="262"/>
      <c r="I34" s="262"/>
      <c r="J34" s="263"/>
    </row>
    <row r="35" spans="1:10" ht="14.5" customHeight="1" x14ac:dyDescent="0.35">
      <c r="A35" s="250" t="s">
        <v>165</v>
      </c>
      <c r="B35" s="250"/>
      <c r="C35" s="250"/>
      <c r="D35" s="250"/>
      <c r="E35" s="250"/>
      <c r="F35" s="250"/>
      <c r="G35" s="250"/>
      <c r="H35" s="250"/>
      <c r="I35" s="250"/>
      <c r="J35" s="250"/>
    </row>
    <row r="36" spans="1:10" x14ac:dyDescent="0.35">
      <c r="A36" s="251"/>
      <c r="B36" s="251"/>
      <c r="C36" s="251"/>
      <c r="D36" s="251"/>
      <c r="E36" s="251"/>
      <c r="F36" s="251"/>
      <c r="G36" s="251"/>
      <c r="H36" s="251"/>
      <c r="I36" s="251"/>
      <c r="J36" s="251"/>
    </row>
    <row r="37" spans="1:10" x14ac:dyDescent="0.35">
      <c r="A37" s="251"/>
      <c r="B37" s="251"/>
      <c r="C37" s="251"/>
      <c r="D37" s="251"/>
      <c r="E37" s="251"/>
      <c r="F37" s="251"/>
      <c r="G37" s="251"/>
      <c r="H37" s="251"/>
      <c r="I37" s="251"/>
      <c r="J37" s="251"/>
    </row>
    <row r="38" spans="1:10" x14ac:dyDescent="0.35">
      <c r="A38" s="251"/>
      <c r="B38" s="251"/>
      <c r="C38" s="251"/>
      <c r="D38" s="251"/>
      <c r="E38" s="251"/>
      <c r="F38" s="251"/>
      <c r="G38" s="251"/>
      <c r="H38" s="251"/>
      <c r="I38" s="251"/>
      <c r="J38" s="251"/>
    </row>
    <row r="39" spans="1:10" x14ac:dyDescent="0.35">
      <c r="A39" s="251"/>
      <c r="B39" s="251"/>
      <c r="C39" s="251"/>
      <c r="D39" s="251"/>
      <c r="E39" s="251"/>
      <c r="F39" s="251"/>
      <c r="G39" s="251"/>
      <c r="H39" s="251"/>
      <c r="I39" s="251"/>
      <c r="J39" s="251"/>
    </row>
    <row r="40" spans="1:10" x14ac:dyDescent="0.35">
      <c r="A40" s="251"/>
      <c r="B40" s="251"/>
      <c r="C40" s="251"/>
      <c r="D40" s="251"/>
      <c r="E40" s="251"/>
      <c r="F40" s="251"/>
      <c r="G40" s="251"/>
      <c r="H40" s="251"/>
      <c r="I40" s="251"/>
      <c r="J40" s="251"/>
    </row>
  </sheetData>
  <sheetProtection algorithmName="SHA-512" hashValue="SaseleUgjc5v3R8VAAYyn+8PM5GHW3mzyw+pBEcpSaGXL0/6lbGMDVbnpy/lEDQMamA/x75JdVBgJnIRWSZRtQ==" saltValue="5S+3KIdiOSKtP7bZzOpOZQ==" spinCount="100000" sheet="1" objects="1" scenarios="1" selectLockedCells="1" selectUnlockedCells="1"/>
  <mergeCells count="16">
    <mergeCell ref="A35:J40"/>
    <mergeCell ref="A24:J27"/>
    <mergeCell ref="A28:J28"/>
    <mergeCell ref="A29:J30"/>
    <mergeCell ref="A31:J31"/>
    <mergeCell ref="A32:J33"/>
    <mergeCell ref="A34:J34"/>
    <mergeCell ref="A15:J15"/>
    <mergeCell ref="A16:J22"/>
    <mergeCell ref="A23:J23"/>
    <mergeCell ref="A1:C6"/>
    <mergeCell ref="D1:J6"/>
    <mergeCell ref="A11:J11"/>
    <mergeCell ref="A12:J14"/>
    <mergeCell ref="A7:J7"/>
    <mergeCell ref="A8:J10"/>
  </mergeCells>
  <pageMargins left="0.70866141732283472" right="0.70866141732283472" top="0.74803149606299213" bottom="0.74803149606299213" header="0.31496062992125984" footer="0.31496062992125984"/>
  <pageSetup orientation="portrait" verticalDpi="4294967295"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theme="9" tint="0.79998168889431442"/>
  </sheetPr>
  <dimension ref="A1:H57"/>
  <sheetViews>
    <sheetView view="pageLayout" topLeftCell="A36" zoomScaleNormal="100" workbookViewId="0">
      <selection activeCell="A25" sqref="A25:H47"/>
    </sheetView>
  </sheetViews>
  <sheetFormatPr baseColWidth="10" defaultRowHeight="14.5" x14ac:dyDescent="0.35"/>
  <sheetData>
    <row r="1" spans="1:8" s="5" customFormat="1" ht="11.5" x14ac:dyDescent="0.25">
      <c r="A1" s="264" t="s">
        <v>205</v>
      </c>
      <c r="B1" s="265"/>
      <c r="C1" s="265"/>
      <c r="D1" s="265"/>
      <c r="E1" s="265"/>
      <c r="F1" s="265"/>
      <c r="G1" s="265"/>
      <c r="H1" s="266"/>
    </row>
    <row r="2" spans="1:8" s="5" customFormat="1" ht="14.5" customHeight="1" x14ac:dyDescent="0.25">
      <c r="A2" s="267"/>
      <c r="B2" s="268"/>
      <c r="C2" s="268"/>
      <c r="D2" s="268"/>
      <c r="E2" s="268"/>
      <c r="F2" s="268"/>
      <c r="G2" s="268"/>
      <c r="H2" s="269"/>
    </row>
    <row r="3" spans="1:8" s="5" customFormat="1" ht="14.5" customHeight="1" x14ac:dyDescent="0.25">
      <c r="A3" s="267"/>
      <c r="B3" s="268"/>
      <c r="C3" s="268"/>
      <c r="D3" s="268"/>
      <c r="E3" s="268"/>
      <c r="F3" s="268"/>
      <c r="G3" s="268"/>
      <c r="H3" s="269"/>
    </row>
    <row r="4" spans="1:8" s="5" customFormat="1" ht="14.5" customHeight="1" x14ac:dyDescent="0.25">
      <c r="A4" s="267"/>
      <c r="B4" s="268"/>
      <c r="C4" s="268"/>
      <c r="D4" s="268"/>
      <c r="E4" s="268"/>
      <c r="F4" s="268"/>
      <c r="G4" s="268"/>
      <c r="H4" s="269"/>
    </row>
    <row r="5" spans="1:8" s="5" customFormat="1" ht="11.5" x14ac:dyDescent="0.25">
      <c r="A5" s="267"/>
      <c r="B5" s="268"/>
      <c r="C5" s="268"/>
      <c r="D5" s="268"/>
      <c r="E5" s="268"/>
      <c r="F5" s="268"/>
      <c r="G5" s="268"/>
      <c r="H5" s="269"/>
    </row>
    <row r="6" spans="1:8" s="5" customFormat="1" ht="11.5" x14ac:dyDescent="0.25">
      <c r="A6" s="270"/>
      <c r="B6" s="271"/>
      <c r="C6" s="271"/>
      <c r="D6" s="271"/>
      <c r="E6" s="271"/>
      <c r="F6" s="271"/>
      <c r="G6" s="271"/>
      <c r="H6" s="272"/>
    </row>
    <row r="7" spans="1:8" s="5" customFormat="1" ht="21" customHeight="1" x14ac:dyDescent="0.25">
      <c r="A7" s="273" t="s">
        <v>69</v>
      </c>
      <c r="B7" s="273"/>
      <c r="C7" s="282"/>
      <c r="D7" s="283"/>
      <c r="E7" s="283"/>
      <c r="F7" s="283"/>
      <c r="G7" s="283"/>
      <c r="H7" s="207"/>
    </row>
    <row r="8" spans="1:8" s="5" customFormat="1" ht="20.149999999999999" customHeight="1" x14ac:dyDescent="0.25">
      <c r="A8" s="274" t="s">
        <v>68</v>
      </c>
      <c r="B8" s="275"/>
      <c r="C8" s="276"/>
      <c r="D8" s="277"/>
      <c r="E8" s="277"/>
      <c r="F8" s="277"/>
      <c r="G8" s="277"/>
      <c r="H8" s="278"/>
    </row>
    <row r="9" spans="1:8" s="5" customFormat="1" ht="20.149999999999999" customHeight="1" x14ac:dyDescent="0.25">
      <c r="A9" s="274" t="s">
        <v>67</v>
      </c>
      <c r="B9" s="274"/>
      <c r="C9" s="279"/>
      <c r="D9" s="280"/>
      <c r="E9" s="14" t="s">
        <v>70</v>
      </c>
      <c r="F9" s="281"/>
      <c r="G9" s="281"/>
      <c r="H9" s="6"/>
    </row>
    <row r="10" spans="1:8" s="7" customFormat="1" ht="27.65" customHeight="1" x14ac:dyDescent="0.35">
      <c r="A10" s="188" t="s">
        <v>72</v>
      </c>
      <c r="B10" s="206">
        <v>2</v>
      </c>
      <c r="C10" s="284" t="s">
        <v>71</v>
      </c>
      <c r="D10" s="284"/>
      <c r="E10" s="206">
        <v>2</v>
      </c>
      <c r="F10" s="285" t="s">
        <v>66</v>
      </c>
      <c r="G10" s="286"/>
      <c r="H10" s="206">
        <v>4</v>
      </c>
    </row>
    <row r="11" spans="1:8" s="7" customFormat="1" ht="20.149999999999999" customHeight="1" x14ac:dyDescent="0.35">
      <c r="A11" s="287" t="s">
        <v>55</v>
      </c>
      <c r="B11" s="287"/>
      <c r="C11" s="288" t="s">
        <v>47</v>
      </c>
      <c r="D11" s="288"/>
      <c r="E11" s="288"/>
      <c r="F11" s="8"/>
      <c r="G11" s="8"/>
      <c r="H11" s="9"/>
    </row>
    <row r="12" spans="1:8" s="5" customFormat="1" ht="17.5" customHeight="1" x14ac:dyDescent="0.25">
      <c r="A12" s="289" t="s">
        <v>73</v>
      </c>
      <c r="B12" s="289"/>
      <c r="C12" s="289"/>
      <c r="D12" s="289"/>
      <c r="E12" s="289"/>
      <c r="F12" s="289"/>
      <c r="G12" s="289"/>
      <c r="H12" s="289"/>
    </row>
    <row r="13" spans="1:8" s="5" customFormat="1" ht="11.5" x14ac:dyDescent="0.25">
      <c r="A13" s="64">
        <v>1</v>
      </c>
      <c r="B13" s="299"/>
      <c r="C13" s="299"/>
      <c r="D13" s="299"/>
      <c r="E13" s="299"/>
      <c r="F13" s="299"/>
      <c r="G13" s="299"/>
      <c r="H13" s="299"/>
    </row>
    <row r="14" spans="1:8" s="5" customFormat="1" ht="11.5" x14ac:dyDescent="0.25">
      <c r="A14" s="65">
        <v>2</v>
      </c>
      <c r="B14" s="300"/>
      <c r="C14" s="300"/>
      <c r="D14" s="300"/>
      <c r="E14" s="300"/>
      <c r="F14" s="300"/>
      <c r="G14" s="300"/>
      <c r="H14" s="300"/>
    </row>
    <row r="15" spans="1:8" s="5" customFormat="1" ht="11.5" x14ac:dyDescent="0.25">
      <c r="A15" s="65">
        <v>3</v>
      </c>
      <c r="B15" s="300"/>
      <c r="C15" s="300"/>
      <c r="D15" s="300"/>
      <c r="E15" s="300"/>
      <c r="F15" s="300"/>
      <c r="G15" s="300"/>
      <c r="H15" s="300"/>
    </row>
    <row r="16" spans="1:8" s="5" customFormat="1" ht="11.5" x14ac:dyDescent="0.25">
      <c r="A16" s="65">
        <v>4</v>
      </c>
      <c r="B16" s="300"/>
      <c r="C16" s="300"/>
      <c r="D16" s="300"/>
      <c r="E16" s="300"/>
      <c r="F16" s="300"/>
      <c r="G16" s="300"/>
      <c r="H16" s="300"/>
    </row>
    <row r="17" spans="1:8" s="5" customFormat="1" ht="11.5" x14ac:dyDescent="0.25">
      <c r="A17" s="65">
        <v>5</v>
      </c>
      <c r="B17" s="300"/>
      <c r="C17" s="300"/>
      <c r="D17" s="300"/>
      <c r="E17" s="300"/>
      <c r="F17" s="300"/>
      <c r="G17" s="300"/>
      <c r="H17" s="300"/>
    </row>
    <row r="18" spans="1:8" s="5" customFormat="1" ht="11.5" x14ac:dyDescent="0.25">
      <c r="A18" s="65">
        <v>6</v>
      </c>
      <c r="B18" s="300"/>
      <c r="C18" s="300"/>
      <c r="D18" s="300"/>
      <c r="E18" s="300"/>
      <c r="F18" s="300"/>
      <c r="G18" s="300"/>
      <c r="H18" s="300"/>
    </row>
    <row r="19" spans="1:8" s="5" customFormat="1" ht="11.5" x14ac:dyDescent="0.25">
      <c r="A19" s="65">
        <v>7</v>
      </c>
      <c r="B19" s="300"/>
      <c r="C19" s="300"/>
      <c r="D19" s="300"/>
      <c r="E19" s="300"/>
      <c r="F19" s="300"/>
      <c r="G19" s="300"/>
      <c r="H19" s="300"/>
    </row>
    <row r="20" spans="1:8" s="5" customFormat="1" ht="11.5" x14ac:dyDescent="0.25">
      <c r="A20" s="65">
        <v>8</v>
      </c>
      <c r="B20" s="300"/>
      <c r="C20" s="300"/>
      <c r="D20" s="300"/>
      <c r="E20" s="300"/>
      <c r="F20" s="300"/>
      <c r="G20" s="300"/>
      <c r="H20" s="300"/>
    </row>
    <row r="21" spans="1:8" s="5" customFormat="1" ht="11.5" x14ac:dyDescent="0.25">
      <c r="A21" s="65">
        <v>9</v>
      </c>
      <c r="B21" s="300"/>
      <c r="C21" s="300"/>
      <c r="D21" s="300"/>
      <c r="E21" s="300"/>
      <c r="F21" s="300"/>
      <c r="G21" s="300"/>
      <c r="H21" s="300"/>
    </row>
    <row r="22" spans="1:8" s="5" customFormat="1" ht="11.5" x14ac:dyDescent="0.25">
      <c r="A22" s="65">
        <v>10</v>
      </c>
      <c r="B22" s="301"/>
      <c r="C22" s="301"/>
      <c r="D22" s="301"/>
      <c r="E22" s="301"/>
      <c r="F22" s="301"/>
      <c r="G22" s="301"/>
      <c r="H22" s="301"/>
    </row>
    <row r="23" spans="1:8" s="5" customFormat="1" ht="10.5" customHeight="1" x14ac:dyDescent="0.25">
      <c r="A23" s="290"/>
      <c r="B23" s="291"/>
      <c r="C23" s="291"/>
      <c r="D23" s="291"/>
      <c r="E23" s="291"/>
      <c r="F23" s="291"/>
      <c r="G23" s="291"/>
      <c r="H23" s="292"/>
    </row>
    <row r="24" spans="1:8" s="5" customFormat="1" ht="16" customHeight="1" x14ac:dyDescent="0.25">
      <c r="A24" s="289" t="s">
        <v>148</v>
      </c>
      <c r="B24" s="289"/>
      <c r="C24" s="289"/>
      <c r="D24" s="289"/>
      <c r="E24" s="289"/>
      <c r="F24" s="289"/>
      <c r="G24" s="289"/>
      <c r="H24" s="289"/>
    </row>
    <row r="25" spans="1:8" s="5" customFormat="1" ht="14.5" customHeight="1" x14ac:dyDescent="0.25">
      <c r="A25" s="293"/>
      <c r="B25" s="294"/>
      <c r="C25" s="294"/>
      <c r="D25" s="294"/>
      <c r="E25" s="294"/>
      <c r="F25" s="294"/>
      <c r="G25" s="294"/>
      <c r="H25" s="295"/>
    </row>
    <row r="26" spans="1:8" s="5" customFormat="1" ht="14.5" customHeight="1" x14ac:dyDescent="0.25">
      <c r="A26" s="296"/>
      <c r="B26" s="297"/>
      <c r="C26" s="297"/>
      <c r="D26" s="297"/>
      <c r="E26" s="297"/>
      <c r="F26" s="297"/>
      <c r="G26" s="297"/>
      <c r="H26" s="298"/>
    </row>
    <row r="27" spans="1:8" s="5" customFormat="1" ht="14.5" customHeight="1" x14ac:dyDescent="0.25">
      <c r="A27" s="296"/>
      <c r="B27" s="297"/>
      <c r="C27" s="297"/>
      <c r="D27" s="297"/>
      <c r="E27" s="297"/>
      <c r="F27" s="297"/>
      <c r="G27" s="297"/>
      <c r="H27" s="298"/>
    </row>
    <row r="28" spans="1:8" s="5" customFormat="1" ht="14.5" customHeight="1" x14ac:dyDescent="0.25">
      <c r="A28" s="296"/>
      <c r="B28" s="297"/>
      <c r="C28" s="297"/>
      <c r="D28" s="297"/>
      <c r="E28" s="297"/>
      <c r="F28" s="297"/>
      <c r="G28" s="297"/>
      <c r="H28" s="298"/>
    </row>
    <row r="29" spans="1:8" s="5" customFormat="1" ht="14.5" customHeight="1" x14ac:dyDescent="0.25">
      <c r="A29" s="296"/>
      <c r="B29" s="297"/>
      <c r="C29" s="297"/>
      <c r="D29" s="297"/>
      <c r="E29" s="297"/>
      <c r="F29" s="297"/>
      <c r="G29" s="297"/>
      <c r="H29" s="298"/>
    </row>
    <row r="30" spans="1:8" s="5" customFormat="1" ht="14.5" customHeight="1" x14ac:dyDescent="0.25">
      <c r="A30" s="296"/>
      <c r="B30" s="297"/>
      <c r="C30" s="297"/>
      <c r="D30" s="297"/>
      <c r="E30" s="297"/>
      <c r="F30" s="297"/>
      <c r="G30" s="297"/>
      <c r="H30" s="298"/>
    </row>
    <row r="31" spans="1:8" s="5" customFormat="1" ht="14.5" customHeight="1" x14ac:dyDescent="0.25">
      <c r="A31" s="296"/>
      <c r="B31" s="297"/>
      <c r="C31" s="297"/>
      <c r="D31" s="297"/>
      <c r="E31" s="297"/>
      <c r="F31" s="297"/>
      <c r="G31" s="297"/>
      <c r="H31" s="298"/>
    </row>
    <row r="32" spans="1:8" s="5" customFormat="1" ht="14.5" customHeight="1" x14ac:dyDescent="0.25">
      <c r="A32" s="296"/>
      <c r="B32" s="297"/>
      <c r="C32" s="297"/>
      <c r="D32" s="297"/>
      <c r="E32" s="297"/>
      <c r="F32" s="297"/>
      <c r="G32" s="297"/>
      <c r="H32" s="298"/>
    </row>
    <row r="33" spans="1:8" s="5" customFormat="1" ht="14.5" customHeight="1" x14ac:dyDescent="0.25">
      <c r="A33" s="296"/>
      <c r="B33" s="297"/>
      <c r="C33" s="297"/>
      <c r="D33" s="297"/>
      <c r="E33" s="297"/>
      <c r="F33" s="297"/>
      <c r="G33" s="297"/>
      <c r="H33" s="298"/>
    </row>
    <row r="34" spans="1:8" s="5" customFormat="1" ht="14.5" customHeight="1" x14ac:dyDescent="0.25">
      <c r="A34" s="296"/>
      <c r="B34" s="297"/>
      <c r="C34" s="297"/>
      <c r="D34" s="297"/>
      <c r="E34" s="297"/>
      <c r="F34" s="297"/>
      <c r="G34" s="297"/>
      <c r="H34" s="298"/>
    </row>
    <row r="35" spans="1:8" s="5" customFormat="1" ht="14.5" customHeight="1" x14ac:dyDescent="0.25">
      <c r="A35" s="296"/>
      <c r="B35" s="297"/>
      <c r="C35" s="297"/>
      <c r="D35" s="297"/>
      <c r="E35" s="297"/>
      <c r="F35" s="297"/>
      <c r="G35" s="297"/>
      <c r="H35" s="298"/>
    </row>
    <row r="36" spans="1:8" s="5" customFormat="1" ht="14.5" customHeight="1" x14ac:dyDescent="0.25">
      <c r="A36" s="296"/>
      <c r="B36" s="297"/>
      <c r="C36" s="297"/>
      <c r="D36" s="297"/>
      <c r="E36" s="297"/>
      <c r="F36" s="297"/>
      <c r="G36" s="297"/>
      <c r="H36" s="298"/>
    </row>
    <row r="37" spans="1:8" s="5" customFormat="1" ht="14.5" customHeight="1" x14ac:dyDescent="0.25">
      <c r="A37" s="296"/>
      <c r="B37" s="297"/>
      <c r="C37" s="297"/>
      <c r="D37" s="297"/>
      <c r="E37" s="297"/>
      <c r="F37" s="297"/>
      <c r="G37" s="297"/>
      <c r="H37" s="298"/>
    </row>
    <row r="38" spans="1:8" s="5" customFormat="1" ht="14.5" customHeight="1" x14ac:dyDescent="0.25">
      <c r="A38" s="296"/>
      <c r="B38" s="297"/>
      <c r="C38" s="297"/>
      <c r="D38" s="297"/>
      <c r="E38" s="297"/>
      <c r="F38" s="297"/>
      <c r="G38" s="297"/>
      <c r="H38" s="298"/>
    </row>
    <row r="39" spans="1:8" s="5" customFormat="1" ht="14.5" customHeight="1" x14ac:dyDescent="0.25">
      <c r="A39" s="296"/>
      <c r="B39" s="297"/>
      <c r="C39" s="297"/>
      <c r="D39" s="297"/>
      <c r="E39" s="297"/>
      <c r="F39" s="297"/>
      <c r="G39" s="297"/>
      <c r="H39" s="298"/>
    </row>
    <row r="40" spans="1:8" s="5" customFormat="1" ht="14.5" customHeight="1" x14ac:dyDescent="0.25">
      <c r="A40" s="296"/>
      <c r="B40" s="297"/>
      <c r="C40" s="297"/>
      <c r="D40" s="297"/>
      <c r="E40" s="297"/>
      <c r="F40" s="297"/>
      <c r="G40" s="297"/>
      <c r="H40" s="298"/>
    </row>
    <row r="41" spans="1:8" s="5" customFormat="1" ht="14.5" customHeight="1" x14ac:dyDescent="0.25">
      <c r="A41" s="296"/>
      <c r="B41" s="297"/>
      <c r="C41" s="297"/>
      <c r="D41" s="297"/>
      <c r="E41" s="297"/>
      <c r="F41" s="297"/>
      <c r="G41" s="297"/>
      <c r="H41" s="298"/>
    </row>
    <row r="42" spans="1:8" s="5" customFormat="1" ht="14.5" customHeight="1" x14ac:dyDescent="0.25">
      <c r="A42" s="296"/>
      <c r="B42" s="297"/>
      <c r="C42" s="297"/>
      <c r="D42" s="297"/>
      <c r="E42" s="297"/>
      <c r="F42" s="297"/>
      <c r="G42" s="297"/>
      <c r="H42" s="298"/>
    </row>
    <row r="43" spans="1:8" s="5" customFormat="1" ht="14.5" customHeight="1" x14ac:dyDescent="0.25">
      <c r="A43" s="296"/>
      <c r="B43" s="297"/>
      <c r="C43" s="297"/>
      <c r="D43" s="297"/>
      <c r="E43" s="297"/>
      <c r="F43" s="297"/>
      <c r="G43" s="297"/>
      <c r="H43" s="298"/>
    </row>
    <row r="44" spans="1:8" s="5" customFormat="1" ht="14.5" customHeight="1" x14ac:dyDescent="0.25">
      <c r="A44" s="296"/>
      <c r="B44" s="297"/>
      <c r="C44" s="297"/>
      <c r="D44" s="297"/>
      <c r="E44" s="297"/>
      <c r="F44" s="297"/>
      <c r="G44" s="297"/>
      <c r="H44" s="298"/>
    </row>
    <row r="45" spans="1:8" s="5" customFormat="1" ht="14.5" customHeight="1" x14ac:dyDescent="0.25">
      <c r="A45" s="296"/>
      <c r="B45" s="297"/>
      <c r="C45" s="297"/>
      <c r="D45" s="297"/>
      <c r="E45" s="297"/>
      <c r="F45" s="297"/>
      <c r="G45" s="297"/>
      <c r="H45" s="298"/>
    </row>
    <row r="46" spans="1:8" s="5" customFormat="1" ht="14.5" customHeight="1" x14ac:dyDescent="0.25">
      <c r="A46" s="296"/>
      <c r="B46" s="297"/>
      <c r="C46" s="297"/>
      <c r="D46" s="297"/>
      <c r="E46" s="297"/>
      <c r="F46" s="297"/>
      <c r="G46" s="297"/>
      <c r="H46" s="298"/>
    </row>
    <row r="47" spans="1:8" s="5" customFormat="1" ht="14.5" customHeight="1" x14ac:dyDescent="0.25">
      <c r="A47" s="296"/>
      <c r="B47" s="297"/>
      <c r="C47" s="297"/>
      <c r="D47" s="297"/>
      <c r="E47" s="297"/>
      <c r="F47" s="297"/>
      <c r="G47" s="297"/>
      <c r="H47" s="298"/>
    </row>
    <row r="48" spans="1:8" s="5" customFormat="1" ht="14.5" customHeight="1" x14ac:dyDescent="0.35">
      <c r="A48" s="11"/>
      <c r="B48" s="11"/>
      <c r="C48" s="11"/>
      <c r="D48" s="11"/>
      <c r="E48" s="11"/>
      <c r="F48" s="11"/>
      <c r="G48" s="11"/>
      <c r="H48" s="11"/>
    </row>
    <row r="49" spans="1:8" s="5" customFormat="1" ht="14.5" customHeight="1" x14ac:dyDescent="0.35">
      <c r="A49" s="11"/>
      <c r="B49" s="11"/>
      <c r="C49" s="11"/>
      <c r="D49" s="11"/>
      <c r="E49" s="11"/>
      <c r="F49" s="11"/>
      <c r="G49" s="11"/>
      <c r="H49" s="11"/>
    </row>
    <row r="50" spans="1:8" s="5" customFormat="1" ht="14.5" customHeight="1" x14ac:dyDescent="0.35">
      <c r="A50" s="11"/>
      <c r="B50" s="11"/>
      <c r="C50" s="11"/>
      <c r="D50" s="11"/>
      <c r="E50" s="11"/>
      <c r="F50" s="11"/>
      <c r="G50" s="11"/>
      <c r="H50" s="11"/>
    </row>
    <row r="51" spans="1:8" s="5" customFormat="1" ht="14.5" customHeight="1" x14ac:dyDescent="0.35">
      <c r="A51" s="11"/>
      <c r="B51" s="11"/>
      <c r="C51" s="11"/>
      <c r="D51" s="11"/>
      <c r="E51" s="11"/>
      <c r="F51" s="11"/>
      <c r="G51" s="11"/>
      <c r="H51" s="11"/>
    </row>
    <row r="52" spans="1:8" s="5" customFormat="1" ht="14.5" customHeight="1" x14ac:dyDescent="0.35">
      <c r="A52" s="11"/>
      <c r="B52" s="11"/>
      <c r="C52" s="11"/>
      <c r="D52" s="11"/>
      <c r="E52" s="11"/>
      <c r="F52" s="11"/>
      <c r="G52" s="11"/>
      <c r="H52" s="11"/>
    </row>
    <row r="53" spans="1:8" s="5" customFormat="1" ht="14.5" customHeight="1" x14ac:dyDescent="0.35">
      <c r="A53" s="11"/>
      <c r="B53" s="11"/>
      <c r="C53" s="11"/>
      <c r="D53" s="11"/>
      <c r="E53" s="11"/>
      <c r="F53" s="11"/>
      <c r="G53" s="11"/>
      <c r="H53" s="11"/>
    </row>
    <row r="54" spans="1:8" s="5" customFormat="1" x14ac:dyDescent="0.35">
      <c r="A54"/>
      <c r="B54"/>
      <c r="C54"/>
      <c r="D54"/>
      <c r="E54"/>
      <c r="F54"/>
      <c r="G54"/>
      <c r="H54"/>
    </row>
    <row r="55" spans="1:8" s="5" customFormat="1" x14ac:dyDescent="0.35">
      <c r="A55"/>
      <c r="B55"/>
      <c r="C55"/>
      <c r="D55"/>
      <c r="E55"/>
      <c r="F55"/>
      <c r="G55"/>
      <c r="H55"/>
    </row>
    <row r="56" spans="1:8" s="5" customFormat="1" x14ac:dyDescent="0.35">
      <c r="A56"/>
      <c r="B56"/>
      <c r="C56"/>
      <c r="D56"/>
      <c r="E56"/>
      <c r="F56"/>
      <c r="G56"/>
      <c r="H56"/>
    </row>
    <row r="57" spans="1:8" s="5" customFormat="1" x14ac:dyDescent="0.35">
      <c r="A57"/>
      <c r="B57"/>
      <c r="C57"/>
      <c r="D57"/>
      <c r="E57"/>
      <c r="F57"/>
      <c r="G57"/>
      <c r="H57"/>
    </row>
  </sheetData>
  <sheetProtection algorithmName="SHA-512" hashValue="RgiG/elBoSGfnAa2HLcMh0maJ2pqx4NtorQiIP7cM0Wr6cM0hXV0rZYXSPOmq4lmgOsi8zmLJTY6TPEA8x6sfQ==" saltValue="+cSDjJfuTPChkEfgJTNhVg==" spinCount="100000" sheet="1" objects="1" scenarios="1"/>
  <mergeCells count="26">
    <mergeCell ref="A23:H23"/>
    <mergeCell ref="A24:H24"/>
    <mergeCell ref="A25:H47"/>
    <mergeCell ref="B13:H13"/>
    <mergeCell ref="B14:H14"/>
    <mergeCell ref="B15:H15"/>
    <mergeCell ref="B16:H16"/>
    <mergeCell ref="B17:H17"/>
    <mergeCell ref="B22:H22"/>
    <mergeCell ref="B18:H18"/>
    <mergeCell ref="B19:H19"/>
    <mergeCell ref="B20:H20"/>
    <mergeCell ref="B21:H21"/>
    <mergeCell ref="C10:D10"/>
    <mergeCell ref="F10:G10"/>
    <mergeCell ref="A11:B11"/>
    <mergeCell ref="C11:E11"/>
    <mergeCell ref="A12:H12"/>
    <mergeCell ref="A1:H6"/>
    <mergeCell ref="A7:B7"/>
    <mergeCell ref="A8:B8"/>
    <mergeCell ref="C8:H8"/>
    <mergeCell ref="A9:B9"/>
    <mergeCell ref="C9:D9"/>
    <mergeCell ref="F9:G9"/>
    <mergeCell ref="C7:G7"/>
  </mergeCells>
  <dataValidations count="1">
    <dataValidation type="textLength" allowBlank="1" showInputMessage="1" showErrorMessage="1" sqref="A25">
      <formula1>20</formula1>
      <formula2>3001</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BASE!$B$3:$B$28</xm:f>
          </x14:formula1>
          <xm:sqref>C7</xm:sqref>
        </x14:dataValidation>
        <x14:dataValidation type="list" allowBlank="1" showInputMessage="1" showErrorMessage="1">
          <x14:formula1>
            <xm:f>BASE!$D$3:$D$13</xm:f>
          </x14:formula1>
          <xm:sqref>F9:G9</xm:sqref>
        </x14:dataValidation>
        <x14:dataValidation type="list" allowBlank="1" showInputMessage="1" showErrorMessage="1">
          <x14:formula1>
            <xm:f>BASE!$H$3:$H$4</xm:f>
          </x14:formula1>
          <xm:sqref>C11:E11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theme="9" tint="0.59999389629810485"/>
  </sheetPr>
  <dimension ref="A1:J40"/>
  <sheetViews>
    <sheetView view="pageBreakPreview" topLeftCell="A16" zoomScaleNormal="100" zoomScaleSheetLayoutView="100" workbookViewId="0">
      <selection activeCell="B19" sqref="B19:H19"/>
    </sheetView>
  </sheetViews>
  <sheetFormatPr baseColWidth="10" defaultRowHeight="14.5" x14ac:dyDescent="0.35"/>
  <cols>
    <col min="8" max="8" width="30.1796875" customWidth="1"/>
  </cols>
  <sheetData>
    <row r="1" spans="1:9" x14ac:dyDescent="0.35">
      <c r="A1" s="334" t="s">
        <v>206</v>
      </c>
      <c r="B1" s="335"/>
      <c r="C1" s="335"/>
      <c r="D1" s="335"/>
      <c r="E1" s="335"/>
      <c r="F1" s="335"/>
      <c r="G1" s="335"/>
      <c r="H1" s="335"/>
    </row>
    <row r="2" spans="1:9" ht="14.5" customHeight="1" x14ac:dyDescent="0.35">
      <c r="A2" s="335"/>
      <c r="B2" s="335"/>
      <c r="C2" s="335"/>
      <c r="D2" s="335"/>
      <c r="E2" s="335"/>
      <c r="F2" s="335"/>
      <c r="G2" s="335"/>
      <c r="H2" s="335"/>
    </row>
    <row r="3" spans="1:9" ht="14.5" customHeight="1" x14ac:dyDescent="0.35">
      <c r="A3" s="335"/>
      <c r="B3" s="335"/>
      <c r="C3" s="335"/>
      <c r="D3" s="335"/>
      <c r="E3" s="335"/>
      <c r="F3" s="335"/>
      <c r="G3" s="335"/>
      <c r="H3" s="335"/>
    </row>
    <row r="4" spans="1:9" ht="14.5" customHeight="1" x14ac:dyDescent="0.35">
      <c r="A4" s="335"/>
      <c r="B4" s="335"/>
      <c r="C4" s="335"/>
      <c r="D4" s="335"/>
      <c r="E4" s="335"/>
      <c r="F4" s="335"/>
      <c r="G4" s="335"/>
      <c r="H4" s="335"/>
    </row>
    <row r="5" spans="1:9" x14ac:dyDescent="0.35">
      <c r="A5" s="335"/>
      <c r="B5" s="335"/>
      <c r="C5" s="335"/>
      <c r="D5" s="335"/>
      <c r="E5" s="335"/>
      <c r="F5" s="335"/>
      <c r="G5" s="335"/>
      <c r="H5" s="335"/>
    </row>
    <row r="6" spans="1:9" x14ac:dyDescent="0.35">
      <c r="A6" s="335"/>
      <c r="B6" s="335"/>
      <c r="C6" s="335"/>
      <c r="D6" s="335"/>
      <c r="E6" s="335"/>
      <c r="F6" s="335"/>
      <c r="G6" s="335"/>
      <c r="H6" s="335"/>
    </row>
    <row r="7" spans="1:9" ht="31.5" customHeight="1" x14ac:dyDescent="0.35">
      <c r="A7" s="309" t="s">
        <v>49</v>
      </c>
      <c r="B7" s="309"/>
      <c r="C7" s="309"/>
      <c r="D7" s="309"/>
      <c r="E7" s="309"/>
      <c r="F7" s="309"/>
      <c r="G7" s="309"/>
      <c r="H7" s="309"/>
    </row>
    <row r="8" spans="1:9" s="108" customFormat="1" ht="45" customHeight="1" x14ac:dyDescent="0.35">
      <c r="A8" s="107" t="s">
        <v>0</v>
      </c>
      <c r="B8" s="310"/>
      <c r="C8" s="311"/>
      <c r="D8" s="311"/>
      <c r="E8" s="311"/>
      <c r="F8" s="311"/>
      <c r="G8" s="311"/>
      <c r="H8" s="312"/>
    </row>
    <row r="9" spans="1:9" s="108" customFormat="1" ht="45" customHeight="1" x14ac:dyDescent="0.35">
      <c r="A9" s="107" t="s">
        <v>1</v>
      </c>
      <c r="B9" s="313"/>
      <c r="C9" s="314"/>
      <c r="D9" s="314"/>
      <c r="E9" s="314"/>
      <c r="F9" s="314"/>
      <c r="G9" s="314"/>
      <c r="H9" s="315"/>
    </row>
    <row r="10" spans="1:9" s="108" customFormat="1" ht="45" customHeight="1" x14ac:dyDescent="0.35">
      <c r="A10" s="107" t="s">
        <v>2</v>
      </c>
      <c r="B10" s="313"/>
      <c r="C10" s="314"/>
      <c r="D10" s="314"/>
      <c r="E10" s="314"/>
      <c r="F10" s="314"/>
      <c r="G10" s="314"/>
      <c r="H10" s="315"/>
    </row>
    <row r="11" spans="1:9" s="108" customFormat="1" ht="45" customHeight="1" x14ac:dyDescent="0.35">
      <c r="A11" s="107" t="s">
        <v>7</v>
      </c>
      <c r="B11" s="313"/>
      <c r="C11" s="314"/>
      <c r="D11" s="314"/>
      <c r="E11" s="314"/>
      <c r="F11" s="314"/>
      <c r="G11" s="314"/>
      <c r="H11" s="315"/>
    </row>
    <row r="12" spans="1:9" s="108" customFormat="1" ht="45" customHeight="1" x14ac:dyDescent="0.35">
      <c r="A12" s="107" t="s">
        <v>51</v>
      </c>
      <c r="B12" s="313"/>
      <c r="C12" s="314"/>
      <c r="D12" s="314"/>
      <c r="E12" s="314"/>
      <c r="F12" s="314"/>
      <c r="G12" s="314"/>
      <c r="H12" s="314"/>
      <c r="I12" s="109"/>
    </row>
    <row r="13" spans="1:9" ht="30" customHeight="1" x14ac:dyDescent="0.35">
      <c r="A13" s="107" t="s">
        <v>56</v>
      </c>
      <c r="B13" s="328"/>
      <c r="C13" s="329"/>
      <c r="D13" s="329"/>
      <c r="E13" s="329"/>
      <c r="F13" s="329"/>
      <c r="G13" s="329"/>
      <c r="H13" s="330"/>
    </row>
    <row r="14" spans="1:9" ht="30" customHeight="1" x14ac:dyDescent="0.35">
      <c r="A14" s="107" t="s">
        <v>57</v>
      </c>
      <c r="B14" s="328"/>
      <c r="C14" s="329"/>
      <c r="D14" s="329"/>
      <c r="E14" s="329"/>
      <c r="F14" s="329"/>
      <c r="G14" s="329"/>
      <c r="H14" s="330"/>
    </row>
    <row r="15" spans="1:9" ht="30" customHeight="1" x14ac:dyDescent="0.35">
      <c r="A15" s="107" t="s">
        <v>58</v>
      </c>
      <c r="B15" s="331"/>
      <c r="C15" s="332"/>
      <c r="D15" s="332"/>
      <c r="E15" s="332"/>
      <c r="F15" s="332"/>
      <c r="G15" s="332"/>
      <c r="H15" s="333"/>
    </row>
    <row r="16" spans="1:9" ht="30" customHeight="1" x14ac:dyDescent="0.35">
      <c r="A16" s="107" t="s">
        <v>268</v>
      </c>
      <c r="B16" s="320"/>
      <c r="C16" s="321"/>
      <c r="D16" s="321"/>
      <c r="E16" s="321"/>
      <c r="F16" s="321"/>
      <c r="G16" s="321"/>
      <c r="H16" s="322"/>
    </row>
    <row r="17" spans="1:8" ht="30" customHeight="1" x14ac:dyDescent="0.35">
      <c r="A17" s="107" t="s">
        <v>269</v>
      </c>
      <c r="B17" s="323"/>
      <c r="C17" s="324"/>
      <c r="D17" s="324"/>
      <c r="E17" s="324"/>
      <c r="F17" s="324"/>
      <c r="G17" s="324"/>
      <c r="H17" s="325"/>
    </row>
    <row r="18" spans="1:8" ht="33.65" customHeight="1" thickBot="1" x14ac:dyDescent="0.4">
      <c r="A18" s="319" t="s">
        <v>145</v>
      </c>
      <c r="B18" s="319"/>
      <c r="C18" s="319"/>
      <c r="D18" s="319"/>
      <c r="E18" s="319"/>
      <c r="F18" s="319"/>
      <c r="G18" s="319"/>
      <c r="H18" s="319"/>
    </row>
    <row r="19" spans="1:8" ht="42" customHeight="1" thickTop="1" thickBot="1" x14ac:dyDescent="0.4">
      <c r="A19" s="201" t="s">
        <v>50</v>
      </c>
      <c r="B19" s="316"/>
      <c r="C19" s="317"/>
      <c r="D19" s="317"/>
      <c r="E19" s="317"/>
      <c r="F19" s="317"/>
      <c r="G19" s="317"/>
      <c r="H19" s="318"/>
    </row>
    <row r="20" spans="1:8" ht="14.5" customHeight="1" thickTop="1" x14ac:dyDescent="0.35">
      <c r="A20" s="326" t="s">
        <v>52</v>
      </c>
      <c r="B20" s="202" t="s">
        <v>0</v>
      </c>
      <c r="C20" s="161"/>
      <c r="D20" s="307" t="s">
        <v>300</v>
      </c>
      <c r="E20" s="307"/>
      <c r="F20" s="307"/>
      <c r="G20" s="307"/>
      <c r="H20" s="307"/>
    </row>
    <row r="21" spans="1:8" x14ac:dyDescent="0.35">
      <c r="A21" s="327"/>
      <c r="B21" s="40" t="s">
        <v>1</v>
      </c>
      <c r="C21" s="80"/>
      <c r="D21" s="307"/>
      <c r="E21" s="307"/>
      <c r="F21" s="307"/>
      <c r="G21" s="307"/>
      <c r="H21" s="307"/>
    </row>
    <row r="22" spans="1:8" x14ac:dyDescent="0.35">
      <c r="A22" s="327"/>
      <c r="B22" s="40" t="s">
        <v>2</v>
      </c>
      <c r="C22" s="80"/>
      <c r="D22" s="307"/>
      <c r="E22" s="307"/>
      <c r="F22" s="307"/>
      <c r="G22" s="307"/>
      <c r="H22" s="307"/>
    </row>
    <row r="23" spans="1:8" x14ac:dyDescent="0.35">
      <c r="A23" s="327"/>
      <c r="B23" s="40" t="s">
        <v>7</v>
      </c>
      <c r="C23" s="80"/>
      <c r="D23" s="307"/>
      <c r="E23" s="307"/>
      <c r="F23" s="307"/>
      <c r="G23" s="307"/>
      <c r="H23" s="307"/>
    </row>
    <row r="24" spans="1:8" x14ac:dyDescent="0.35">
      <c r="A24" s="327"/>
      <c r="B24" s="40" t="s">
        <v>51</v>
      </c>
      <c r="C24" s="80"/>
      <c r="D24" s="307"/>
      <c r="E24" s="307"/>
      <c r="F24" s="307"/>
      <c r="G24" s="307"/>
      <c r="H24" s="307"/>
    </row>
    <row r="25" spans="1:8" x14ac:dyDescent="0.35">
      <c r="A25" s="327"/>
      <c r="B25" s="40" t="s">
        <v>56</v>
      </c>
      <c r="C25" s="80"/>
      <c r="D25" s="307"/>
      <c r="E25" s="307"/>
      <c r="F25" s="307"/>
      <c r="G25" s="307"/>
      <c r="H25" s="307"/>
    </row>
    <row r="26" spans="1:8" x14ac:dyDescent="0.35">
      <c r="A26" s="327"/>
      <c r="B26" s="40" t="s">
        <v>57</v>
      </c>
      <c r="C26" s="80"/>
      <c r="D26" s="307"/>
      <c r="E26" s="307"/>
      <c r="F26" s="307"/>
      <c r="G26" s="307"/>
      <c r="H26" s="307"/>
    </row>
    <row r="27" spans="1:8" ht="15" thickBot="1" x14ac:dyDescent="0.4">
      <c r="A27" s="327"/>
      <c r="B27" s="41" t="s">
        <v>58</v>
      </c>
      <c r="C27" s="80"/>
      <c r="D27" s="307"/>
      <c r="E27" s="307"/>
      <c r="F27" s="307"/>
      <c r="G27" s="307"/>
      <c r="H27" s="307"/>
    </row>
    <row r="28" spans="1:8" x14ac:dyDescent="0.35">
      <c r="A28" s="327"/>
      <c r="B28" s="40" t="s">
        <v>268</v>
      </c>
      <c r="C28" s="80"/>
      <c r="D28" s="307"/>
      <c r="E28" s="307"/>
      <c r="F28" s="307"/>
      <c r="G28" s="307"/>
      <c r="H28" s="307"/>
    </row>
    <row r="29" spans="1:8" ht="15" thickBot="1" x14ac:dyDescent="0.4">
      <c r="A29" s="327"/>
      <c r="B29" s="199" t="s">
        <v>269</v>
      </c>
      <c r="C29" s="200"/>
      <c r="D29" s="307"/>
      <c r="E29" s="307"/>
      <c r="F29" s="307"/>
      <c r="G29" s="307"/>
      <c r="H29" s="307"/>
    </row>
    <row r="30" spans="1:8" ht="36.65" customHeight="1" thickTop="1" thickBot="1" x14ac:dyDescent="0.4">
      <c r="A30" s="159" t="s">
        <v>147</v>
      </c>
      <c r="B30" s="302"/>
      <c r="C30" s="303"/>
      <c r="D30" s="303"/>
      <c r="E30" s="303"/>
      <c r="F30" s="303"/>
      <c r="G30" s="303"/>
      <c r="H30" s="304"/>
    </row>
    <row r="31" spans="1:8" ht="14.5" customHeight="1" thickTop="1" x14ac:dyDescent="0.35">
      <c r="A31" s="305" t="s">
        <v>52</v>
      </c>
      <c r="B31" s="160" t="s">
        <v>0</v>
      </c>
      <c r="C31" s="161"/>
      <c r="D31" s="307" t="s">
        <v>301</v>
      </c>
      <c r="E31" s="307"/>
      <c r="F31" s="307"/>
      <c r="G31" s="307"/>
      <c r="H31" s="307"/>
    </row>
    <row r="32" spans="1:8" x14ac:dyDescent="0.35">
      <c r="A32" s="306"/>
      <c r="B32" s="123" t="s">
        <v>1</v>
      </c>
      <c r="C32" s="80"/>
      <c r="D32" s="307"/>
      <c r="E32" s="307"/>
      <c r="F32" s="307"/>
      <c r="G32" s="307"/>
      <c r="H32" s="307"/>
    </row>
    <row r="33" spans="1:10" x14ac:dyDescent="0.35">
      <c r="A33" s="306"/>
      <c r="B33" s="123" t="s">
        <v>2</v>
      </c>
      <c r="C33" s="80"/>
      <c r="D33" s="307"/>
      <c r="E33" s="307"/>
      <c r="F33" s="307"/>
      <c r="G33" s="307"/>
      <c r="H33" s="307"/>
      <c r="J33" t="s">
        <v>146</v>
      </c>
    </row>
    <row r="34" spans="1:10" x14ac:dyDescent="0.35">
      <c r="A34" s="306"/>
      <c r="B34" s="123" t="s">
        <v>7</v>
      </c>
      <c r="C34" s="80"/>
      <c r="D34" s="307"/>
      <c r="E34" s="307"/>
      <c r="F34" s="307"/>
      <c r="G34" s="307"/>
      <c r="H34" s="307"/>
    </row>
    <row r="35" spans="1:10" x14ac:dyDescent="0.35">
      <c r="A35" s="306"/>
      <c r="B35" s="123" t="s">
        <v>51</v>
      </c>
      <c r="C35" s="80"/>
      <c r="D35" s="307"/>
      <c r="E35" s="307"/>
      <c r="F35" s="307"/>
      <c r="G35" s="307"/>
      <c r="H35" s="307"/>
    </row>
    <row r="36" spans="1:10" x14ac:dyDescent="0.35">
      <c r="A36" s="306"/>
      <c r="B36" s="123" t="s">
        <v>56</v>
      </c>
      <c r="C36" s="80"/>
      <c r="D36" s="307"/>
      <c r="E36" s="307"/>
      <c r="F36" s="307"/>
      <c r="G36" s="307"/>
      <c r="H36" s="307"/>
    </row>
    <row r="37" spans="1:10" x14ac:dyDescent="0.35">
      <c r="A37" s="306"/>
      <c r="B37" s="123" t="s">
        <v>57</v>
      </c>
      <c r="C37" s="80"/>
      <c r="D37" s="307"/>
      <c r="E37" s="307"/>
      <c r="F37" s="307"/>
      <c r="G37" s="307"/>
      <c r="H37" s="307"/>
    </row>
    <row r="38" spans="1:10" x14ac:dyDescent="0.35">
      <c r="A38" s="306"/>
      <c r="B38" s="123" t="s">
        <v>58</v>
      </c>
      <c r="C38" s="80"/>
      <c r="D38" s="307"/>
      <c r="E38" s="307"/>
      <c r="F38" s="307"/>
      <c r="G38" s="307"/>
      <c r="H38" s="307"/>
    </row>
    <row r="39" spans="1:10" x14ac:dyDescent="0.35">
      <c r="A39" s="306"/>
      <c r="B39" s="123" t="s">
        <v>268</v>
      </c>
      <c r="C39" s="80"/>
      <c r="D39" s="307"/>
      <c r="E39" s="307"/>
      <c r="F39" s="307"/>
      <c r="G39" s="307"/>
      <c r="H39" s="307"/>
    </row>
    <row r="40" spans="1:10" ht="15" thickBot="1" x14ac:dyDescent="0.4">
      <c r="A40" s="306"/>
      <c r="B40" s="124" t="s">
        <v>269</v>
      </c>
      <c r="C40" s="80"/>
      <c r="D40" s="308"/>
      <c r="E40" s="308"/>
      <c r="F40" s="308"/>
      <c r="G40" s="308"/>
      <c r="H40" s="308"/>
    </row>
  </sheetData>
  <sheetProtection algorithmName="SHA-512" hashValue="TrUOrMuJbido4qHgK4+KljV3v/RMQ2GAee49q57JhW7e9ba8EdGugHLStfo7bmZJ8oZP/fJM5LoPaFOmV6n36Q==" saltValue="fuEGqR40sYocee8Vm5mrPg==" spinCount="100000" sheet="1"/>
  <mergeCells count="19">
    <mergeCell ref="B14:H14"/>
    <mergeCell ref="B15:H15"/>
    <mergeCell ref="A1:H6"/>
    <mergeCell ref="B30:H30"/>
    <mergeCell ref="A31:A40"/>
    <mergeCell ref="D31:H40"/>
    <mergeCell ref="A7:H7"/>
    <mergeCell ref="B8:H8"/>
    <mergeCell ref="B9:H9"/>
    <mergeCell ref="B10:H10"/>
    <mergeCell ref="B19:H19"/>
    <mergeCell ref="A18:H18"/>
    <mergeCell ref="B11:H11"/>
    <mergeCell ref="B12:H12"/>
    <mergeCell ref="B16:H16"/>
    <mergeCell ref="B17:H17"/>
    <mergeCell ref="A20:A29"/>
    <mergeCell ref="D20:H29"/>
    <mergeCell ref="B13:H13"/>
  </mergeCells>
  <pageMargins left="0.7" right="0.7" top="0.75" bottom="0.75" header="0.3" footer="0.3"/>
  <pageSetup scale="75" orientation="portrait" r:id="rId1"/>
  <rowBreaks count="2" manualBreakCount="2">
    <brk id="18" max="7" man="1"/>
    <brk id="40" max="7" man="1"/>
  </row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BASE!$J$3</xm:f>
          </x14:formula1>
          <xm:sqref>C31:C40</xm:sqref>
        </x14:dataValidation>
        <x14:dataValidation type="list" allowBlank="1" showInputMessage="1" showErrorMessage="1">
          <x14:formula1>
            <xm:f>BASE!$J$3</xm:f>
          </x14:formula1>
          <xm:sqref>C20:C29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B2:J26"/>
  <sheetViews>
    <sheetView workbookViewId="0">
      <selection activeCell="B27" sqref="B27"/>
    </sheetView>
  </sheetViews>
  <sheetFormatPr baseColWidth="10" defaultRowHeight="14.5" x14ac:dyDescent="0.35"/>
  <cols>
    <col min="2" max="2" width="41.7265625" customWidth="1"/>
    <col min="6" max="6" width="16.1796875" bestFit="1" customWidth="1"/>
    <col min="8" max="8" width="19.1796875" bestFit="1" customWidth="1"/>
  </cols>
  <sheetData>
    <row r="2" spans="2:10" ht="31.5" customHeight="1" x14ac:dyDescent="0.35">
      <c r="B2" s="2" t="s">
        <v>32</v>
      </c>
      <c r="D2" s="2" t="s">
        <v>33</v>
      </c>
      <c r="F2" s="2" t="s">
        <v>4</v>
      </c>
      <c r="H2" s="4" t="s">
        <v>53</v>
      </c>
      <c r="J2" s="4" t="s">
        <v>54</v>
      </c>
    </row>
    <row r="3" spans="2:10" x14ac:dyDescent="0.35">
      <c r="B3" s="1" t="s">
        <v>8</v>
      </c>
      <c r="D3" t="s">
        <v>34</v>
      </c>
      <c r="F3" t="s">
        <v>44</v>
      </c>
      <c r="H3" s="3" t="s">
        <v>47</v>
      </c>
      <c r="J3" t="s">
        <v>6</v>
      </c>
    </row>
    <row r="4" spans="2:10" x14ac:dyDescent="0.35">
      <c r="B4" s="1" t="s">
        <v>9</v>
      </c>
      <c r="D4" t="s">
        <v>35</v>
      </c>
      <c r="F4" t="s">
        <v>45</v>
      </c>
      <c r="H4" s="3" t="s">
        <v>48</v>
      </c>
    </row>
    <row r="5" spans="2:10" x14ac:dyDescent="0.35">
      <c r="B5" s="1" t="s">
        <v>10</v>
      </c>
      <c r="D5" t="s">
        <v>36</v>
      </c>
      <c r="F5" t="s">
        <v>46</v>
      </c>
      <c r="H5" s="3"/>
    </row>
    <row r="6" spans="2:10" x14ac:dyDescent="0.35">
      <c r="B6" s="1" t="s">
        <v>11</v>
      </c>
      <c r="D6" t="s">
        <v>37</v>
      </c>
    </row>
    <row r="7" spans="2:10" x14ac:dyDescent="0.35">
      <c r="B7" s="1" t="s">
        <v>12</v>
      </c>
      <c r="D7" t="s">
        <v>38</v>
      </c>
    </row>
    <row r="8" spans="2:10" x14ac:dyDescent="0.35">
      <c r="B8" s="1" t="s">
        <v>13</v>
      </c>
      <c r="D8" t="s">
        <v>39</v>
      </c>
    </row>
    <row r="9" spans="2:10" x14ac:dyDescent="0.35">
      <c r="B9" s="1" t="s">
        <v>14</v>
      </c>
      <c r="D9" t="s">
        <v>40</v>
      </c>
    </row>
    <row r="10" spans="2:10" x14ac:dyDescent="0.35">
      <c r="B10" s="1" t="s">
        <v>15</v>
      </c>
      <c r="D10" t="s">
        <v>41</v>
      </c>
    </row>
    <row r="11" spans="2:10" x14ac:dyDescent="0.35">
      <c r="B11" s="1" t="s">
        <v>16</v>
      </c>
      <c r="D11" t="s">
        <v>42</v>
      </c>
    </row>
    <row r="12" spans="2:10" x14ac:dyDescent="0.35">
      <c r="B12" s="1" t="s">
        <v>17</v>
      </c>
      <c r="D12" t="s">
        <v>6</v>
      </c>
    </row>
    <row r="13" spans="2:10" x14ac:dyDescent="0.35">
      <c r="B13" s="1" t="s">
        <v>18</v>
      </c>
      <c r="D13" t="s">
        <v>43</v>
      </c>
    </row>
    <row r="14" spans="2:10" x14ac:dyDescent="0.35">
      <c r="B14" s="1" t="s">
        <v>19</v>
      </c>
    </row>
    <row r="15" spans="2:10" x14ac:dyDescent="0.35">
      <c r="B15" s="1" t="s">
        <v>20</v>
      </c>
    </row>
    <row r="16" spans="2:10" ht="21" x14ac:dyDescent="0.35">
      <c r="B16" s="1" t="s">
        <v>21</v>
      </c>
    </row>
    <row r="17" spans="2:2" x14ac:dyDescent="0.35">
      <c r="B17" s="1" t="s">
        <v>22</v>
      </c>
    </row>
    <row r="18" spans="2:2" x14ac:dyDescent="0.35">
      <c r="B18" s="1" t="s">
        <v>23</v>
      </c>
    </row>
    <row r="19" spans="2:2" x14ac:dyDescent="0.35">
      <c r="B19" s="1" t="s">
        <v>24</v>
      </c>
    </row>
    <row r="20" spans="2:2" x14ac:dyDescent="0.35">
      <c r="B20" s="1" t="s">
        <v>25</v>
      </c>
    </row>
    <row r="21" spans="2:2" x14ac:dyDescent="0.35">
      <c r="B21" s="1" t="s">
        <v>26</v>
      </c>
    </row>
    <row r="22" spans="2:2" ht="21" x14ac:dyDescent="0.35">
      <c r="B22" s="1" t="s">
        <v>27</v>
      </c>
    </row>
    <row r="23" spans="2:2" x14ac:dyDescent="0.35">
      <c r="B23" s="1" t="s">
        <v>28</v>
      </c>
    </row>
    <row r="24" spans="2:2" x14ac:dyDescent="0.35">
      <c r="B24" s="1" t="s">
        <v>29</v>
      </c>
    </row>
    <row r="25" spans="2:2" x14ac:dyDescent="0.35">
      <c r="B25" s="1" t="s">
        <v>30</v>
      </c>
    </row>
    <row r="26" spans="2:2" x14ac:dyDescent="0.35">
      <c r="B26" s="1"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theme="9" tint="0.39997558519241921"/>
  </sheetPr>
  <dimension ref="A1:N45"/>
  <sheetViews>
    <sheetView view="pageLayout" topLeftCell="A34" zoomScaleNormal="100" zoomScaleSheetLayoutView="110" workbookViewId="0">
      <selection activeCell="B22" sqref="B22:B24"/>
    </sheetView>
  </sheetViews>
  <sheetFormatPr baseColWidth="10" defaultColWidth="10.81640625" defaultRowHeight="11.5" x14ac:dyDescent="0.25"/>
  <cols>
    <col min="1" max="10" width="10.81640625" style="5"/>
    <col min="11" max="11" width="2.453125" style="5" hidden="1" customWidth="1"/>
    <col min="12" max="13" width="0" style="5" hidden="1" customWidth="1"/>
    <col min="14" max="14" width="38.7265625" style="5" hidden="1" customWidth="1"/>
    <col min="15" max="16384" width="10.81640625" style="5"/>
  </cols>
  <sheetData>
    <row r="1" spans="1:14" ht="11.5" customHeight="1" x14ac:dyDescent="0.25">
      <c r="A1" s="334" t="s">
        <v>207</v>
      </c>
      <c r="B1" s="334"/>
      <c r="C1" s="334"/>
      <c r="D1" s="334"/>
      <c r="E1" s="334"/>
      <c r="F1" s="334"/>
      <c r="G1" s="334"/>
      <c r="H1" s="334"/>
      <c r="I1" s="334"/>
    </row>
    <row r="2" spans="1:14" ht="14.5" customHeight="1" x14ac:dyDescent="0.25">
      <c r="A2" s="334"/>
      <c r="B2" s="334"/>
      <c r="C2" s="334"/>
      <c r="D2" s="334"/>
      <c r="E2" s="334"/>
      <c r="F2" s="334"/>
      <c r="G2" s="334"/>
      <c r="H2" s="334"/>
      <c r="I2" s="334"/>
      <c r="K2" s="86" t="s">
        <v>90</v>
      </c>
      <c r="L2" s="100" t="s">
        <v>105</v>
      </c>
      <c r="M2" s="101"/>
      <c r="N2" s="101"/>
    </row>
    <row r="3" spans="1:14" ht="14.5" customHeight="1" x14ac:dyDescent="0.25">
      <c r="A3" s="334"/>
      <c r="B3" s="334"/>
      <c r="C3" s="334"/>
      <c r="D3" s="334"/>
      <c r="E3" s="334"/>
      <c r="F3" s="334"/>
      <c r="G3" s="334"/>
      <c r="H3" s="334"/>
      <c r="I3" s="334"/>
      <c r="K3" s="86">
        <v>1</v>
      </c>
      <c r="L3" s="85" t="s">
        <v>81</v>
      </c>
      <c r="M3" s="86"/>
      <c r="N3" s="86"/>
    </row>
    <row r="4" spans="1:14" ht="14.5" customHeight="1" x14ac:dyDescent="0.25">
      <c r="A4" s="334"/>
      <c r="B4" s="334"/>
      <c r="C4" s="334"/>
      <c r="D4" s="334"/>
      <c r="E4" s="334"/>
      <c r="F4" s="334"/>
      <c r="G4" s="334"/>
      <c r="H4" s="334"/>
      <c r="I4" s="334"/>
      <c r="K4" s="86">
        <v>2</v>
      </c>
      <c r="L4" s="85" t="s">
        <v>82</v>
      </c>
      <c r="M4" s="86"/>
      <c r="N4" s="86"/>
    </row>
    <row r="5" spans="1:14" x14ac:dyDescent="0.25">
      <c r="A5" s="334"/>
      <c r="B5" s="334"/>
      <c r="C5" s="334"/>
      <c r="D5" s="334"/>
      <c r="E5" s="334"/>
      <c r="F5" s="334"/>
      <c r="G5" s="334"/>
      <c r="H5" s="334"/>
      <c r="I5" s="334"/>
      <c r="K5" s="86">
        <v>3</v>
      </c>
      <c r="L5" s="85" t="s">
        <v>83</v>
      </c>
      <c r="M5" s="86"/>
      <c r="N5" s="86"/>
    </row>
    <row r="6" spans="1:14" ht="16.5" customHeight="1" x14ac:dyDescent="0.25">
      <c r="A6" s="334"/>
      <c r="B6" s="334"/>
      <c r="C6" s="334"/>
      <c r="D6" s="334"/>
      <c r="E6" s="334"/>
      <c r="F6" s="334"/>
      <c r="G6" s="334"/>
      <c r="H6" s="334"/>
      <c r="I6" s="334"/>
      <c r="K6" s="86">
        <v>4</v>
      </c>
      <c r="L6" s="85" t="s">
        <v>84</v>
      </c>
      <c r="M6" s="86"/>
      <c r="N6" s="86"/>
    </row>
    <row r="7" spans="1:14" ht="25" customHeight="1" x14ac:dyDescent="0.25">
      <c r="A7" s="66" t="s">
        <v>218</v>
      </c>
      <c r="B7" s="66" t="s">
        <v>75</v>
      </c>
      <c r="C7" s="357" t="s">
        <v>144</v>
      </c>
      <c r="D7" s="357"/>
      <c r="E7" s="357"/>
      <c r="F7" s="357"/>
      <c r="G7" s="357"/>
      <c r="H7" s="357"/>
      <c r="I7" s="357"/>
      <c r="K7" s="86">
        <v>5</v>
      </c>
      <c r="L7" s="85" t="s">
        <v>85</v>
      </c>
      <c r="M7" s="86"/>
      <c r="N7" s="86"/>
    </row>
    <row r="8" spans="1:14" s="7" customFormat="1" ht="14.5" customHeight="1" x14ac:dyDescent="0.25">
      <c r="A8" s="162">
        <v>1</v>
      </c>
      <c r="B8" s="95" t="s">
        <v>76</v>
      </c>
      <c r="C8" s="96"/>
      <c r="D8" s="96"/>
      <c r="E8" s="96"/>
      <c r="F8" s="96"/>
      <c r="G8" s="96"/>
      <c r="H8" s="96"/>
      <c r="I8" s="97"/>
      <c r="K8" s="86">
        <v>6</v>
      </c>
      <c r="L8" s="85" t="s">
        <v>86</v>
      </c>
      <c r="M8" s="86"/>
      <c r="N8" s="86"/>
    </row>
    <row r="9" spans="1:14" ht="11.5" customHeight="1" x14ac:dyDescent="0.35">
      <c r="A9" s="163" t="s">
        <v>236</v>
      </c>
      <c r="B9" s="164"/>
      <c r="C9" s="344" t="s">
        <v>219</v>
      </c>
      <c r="D9" s="345"/>
      <c r="E9" s="345"/>
      <c r="F9" s="345"/>
      <c r="G9" s="345"/>
      <c r="H9" s="345"/>
      <c r="I9" s="346"/>
      <c r="K9" s="86">
        <v>7</v>
      </c>
      <c r="L9" s="85" t="s">
        <v>87</v>
      </c>
      <c r="M9" s="86"/>
      <c r="N9" s="86"/>
    </row>
    <row r="10" spans="1:14" ht="11.5" customHeight="1" x14ac:dyDescent="0.35">
      <c r="A10" s="163" t="s">
        <v>237</v>
      </c>
      <c r="B10" s="164"/>
      <c r="C10" s="344" t="s">
        <v>220</v>
      </c>
      <c r="D10" s="345"/>
      <c r="E10" s="345"/>
      <c r="F10" s="345"/>
      <c r="G10" s="345"/>
      <c r="H10" s="345"/>
      <c r="I10" s="346"/>
      <c r="K10" s="87"/>
      <c r="L10" s="88"/>
      <c r="M10" s="88"/>
      <c r="N10" s="85"/>
    </row>
    <row r="11" spans="1:14" ht="11.5" customHeight="1" x14ac:dyDescent="0.35">
      <c r="A11" s="163" t="s">
        <v>238</v>
      </c>
      <c r="B11" s="164"/>
      <c r="C11" s="344" t="s">
        <v>221</v>
      </c>
      <c r="D11" s="345"/>
      <c r="E11" s="345"/>
      <c r="F11" s="345"/>
      <c r="G11" s="345"/>
      <c r="H11" s="345"/>
      <c r="I11" s="346"/>
      <c r="K11" s="87"/>
      <c r="L11" s="88"/>
      <c r="M11" s="88"/>
      <c r="N11" s="85"/>
    </row>
    <row r="12" spans="1:14" ht="12" customHeight="1" x14ac:dyDescent="0.35">
      <c r="A12" s="163" t="s">
        <v>239</v>
      </c>
      <c r="B12" s="164"/>
      <c r="C12" s="344" t="s">
        <v>232</v>
      </c>
      <c r="D12" s="345"/>
      <c r="E12" s="345"/>
      <c r="F12" s="345"/>
      <c r="G12" s="345"/>
      <c r="H12" s="345"/>
      <c r="I12" s="346"/>
      <c r="K12" s="102" t="s">
        <v>104</v>
      </c>
      <c r="L12" s="103"/>
      <c r="M12" s="103"/>
      <c r="N12" s="100"/>
    </row>
    <row r="13" spans="1:14" ht="12" customHeight="1" x14ac:dyDescent="0.35">
      <c r="A13" s="163" t="s">
        <v>240</v>
      </c>
      <c r="B13" s="164"/>
      <c r="C13" s="344" t="s">
        <v>233</v>
      </c>
      <c r="D13" s="345"/>
      <c r="E13" s="345"/>
      <c r="F13" s="345"/>
      <c r="G13" s="345"/>
      <c r="H13" s="345"/>
      <c r="I13" s="346"/>
      <c r="K13" s="86">
        <v>1</v>
      </c>
      <c r="L13" s="350" t="s">
        <v>88</v>
      </c>
      <c r="M13" s="351"/>
      <c r="N13" s="351"/>
    </row>
    <row r="14" spans="1:14" s="7" customFormat="1" ht="11.5" customHeight="1" x14ac:dyDescent="0.25">
      <c r="A14" s="162">
        <v>2</v>
      </c>
      <c r="B14" s="95" t="s">
        <v>77</v>
      </c>
      <c r="C14" s="96"/>
      <c r="D14" s="96"/>
      <c r="E14" s="96"/>
      <c r="F14" s="96"/>
      <c r="G14" s="96"/>
      <c r="H14" s="96"/>
      <c r="I14" s="97"/>
      <c r="K14" s="86">
        <v>2</v>
      </c>
      <c r="L14" s="350" t="s">
        <v>89</v>
      </c>
      <c r="M14" s="351"/>
      <c r="N14" s="351"/>
    </row>
    <row r="15" spans="1:14" ht="11.5" customHeight="1" x14ac:dyDescent="0.35">
      <c r="A15" s="162" t="s">
        <v>241</v>
      </c>
      <c r="B15" s="164"/>
      <c r="C15" s="347" t="s">
        <v>222</v>
      </c>
      <c r="D15" s="348"/>
      <c r="E15" s="348"/>
      <c r="F15" s="348"/>
      <c r="G15" s="348"/>
      <c r="H15" s="348"/>
      <c r="I15" s="349"/>
      <c r="K15" s="86">
        <v>3</v>
      </c>
      <c r="L15" s="350" t="s">
        <v>83</v>
      </c>
      <c r="M15" s="351"/>
      <c r="N15" s="351"/>
    </row>
    <row r="16" spans="1:14" ht="12" customHeight="1" x14ac:dyDescent="0.35">
      <c r="A16" s="162" t="s">
        <v>242</v>
      </c>
      <c r="B16" s="164"/>
      <c r="C16" s="347" t="s">
        <v>223</v>
      </c>
      <c r="D16" s="348"/>
      <c r="E16" s="348"/>
      <c r="F16" s="348"/>
      <c r="G16" s="348"/>
      <c r="H16" s="348"/>
      <c r="I16" s="349"/>
      <c r="K16" s="86"/>
      <c r="L16" s="85"/>
      <c r="M16" s="86"/>
      <c r="N16" s="86"/>
    </row>
    <row r="17" spans="1:14" ht="12" customHeight="1" x14ac:dyDescent="0.35">
      <c r="A17" s="162" t="s">
        <v>243</v>
      </c>
      <c r="B17" s="164"/>
      <c r="C17" s="347" t="s">
        <v>224</v>
      </c>
      <c r="D17" s="348"/>
      <c r="E17" s="348"/>
      <c r="F17" s="348"/>
      <c r="G17" s="348"/>
      <c r="H17" s="348"/>
      <c r="I17" s="349"/>
      <c r="K17" s="86"/>
      <c r="L17" s="85"/>
      <c r="M17" s="86"/>
      <c r="N17" s="86"/>
    </row>
    <row r="18" spans="1:14" ht="12" customHeight="1" x14ac:dyDescent="0.35">
      <c r="A18" s="162" t="s">
        <v>244</v>
      </c>
      <c r="B18" s="164"/>
      <c r="C18" s="347" t="s">
        <v>234</v>
      </c>
      <c r="D18" s="348"/>
      <c r="E18" s="348"/>
      <c r="F18" s="348"/>
      <c r="G18" s="348"/>
      <c r="H18" s="348"/>
      <c r="I18" s="349"/>
      <c r="K18" s="86">
        <v>4</v>
      </c>
      <c r="L18" s="350" t="s">
        <v>84</v>
      </c>
      <c r="M18" s="351"/>
      <c r="N18" s="351"/>
    </row>
    <row r="19" spans="1:14" ht="12" customHeight="1" x14ac:dyDescent="0.35">
      <c r="A19" s="162" t="s">
        <v>245</v>
      </c>
      <c r="B19" s="164"/>
      <c r="C19" s="347" t="s">
        <v>235</v>
      </c>
      <c r="D19" s="348"/>
      <c r="E19" s="348"/>
      <c r="F19" s="348"/>
      <c r="G19" s="348"/>
      <c r="H19" s="348"/>
      <c r="I19" s="349"/>
      <c r="K19" s="86">
        <v>5</v>
      </c>
      <c r="L19" s="350" t="s">
        <v>85</v>
      </c>
      <c r="M19" s="351"/>
      <c r="N19" s="351"/>
    </row>
    <row r="20" spans="1:14" s="12" customFormat="1" ht="14" customHeight="1" x14ac:dyDescent="0.25">
      <c r="A20" s="162">
        <v>3</v>
      </c>
      <c r="B20" s="95" t="s">
        <v>78</v>
      </c>
      <c r="C20" s="96"/>
      <c r="D20" s="96"/>
      <c r="E20" s="96"/>
      <c r="F20" s="96"/>
      <c r="G20" s="96"/>
      <c r="H20" s="96"/>
      <c r="I20" s="97"/>
      <c r="K20" s="86">
        <v>6</v>
      </c>
      <c r="L20" s="350" t="s">
        <v>86</v>
      </c>
      <c r="M20" s="351"/>
      <c r="N20" s="351"/>
    </row>
    <row r="21" spans="1:14" ht="11.5" customHeight="1" x14ac:dyDescent="0.35">
      <c r="A21" s="162" t="s">
        <v>246</v>
      </c>
      <c r="B21" s="164"/>
      <c r="C21" s="341" t="s">
        <v>225</v>
      </c>
      <c r="D21" s="342"/>
      <c r="E21" s="342"/>
      <c r="F21" s="342"/>
      <c r="G21" s="342"/>
      <c r="H21" s="342"/>
      <c r="I21" s="343"/>
      <c r="K21" s="86"/>
      <c r="L21" s="85"/>
      <c r="M21" s="86"/>
      <c r="N21" s="86"/>
    </row>
    <row r="22" spans="1:14" ht="11.5" customHeight="1" x14ac:dyDescent="0.35">
      <c r="A22" s="162" t="s">
        <v>247</v>
      </c>
      <c r="B22" s="164"/>
      <c r="C22" s="341" t="s">
        <v>226</v>
      </c>
      <c r="D22" s="342"/>
      <c r="E22" s="342"/>
      <c r="F22" s="342"/>
      <c r="G22" s="342"/>
      <c r="H22" s="342"/>
      <c r="I22" s="343"/>
      <c r="K22" s="86"/>
      <c r="L22" s="85"/>
      <c r="M22" s="86"/>
      <c r="N22" s="86"/>
    </row>
    <row r="23" spans="1:14" ht="11.5" customHeight="1" x14ac:dyDescent="0.35">
      <c r="A23" s="162" t="s">
        <v>248</v>
      </c>
      <c r="B23" s="164"/>
      <c r="C23" s="341" t="s">
        <v>227</v>
      </c>
      <c r="D23" s="342"/>
      <c r="E23" s="342"/>
      <c r="F23" s="342"/>
      <c r="G23" s="342"/>
      <c r="H23" s="342"/>
      <c r="I23" s="343"/>
      <c r="K23" s="86"/>
      <c r="L23" s="85"/>
      <c r="M23" s="86"/>
      <c r="N23" s="86"/>
    </row>
    <row r="24" spans="1:14" ht="13.5" customHeight="1" x14ac:dyDescent="0.35">
      <c r="A24" s="162" t="s">
        <v>249</v>
      </c>
      <c r="B24" s="164"/>
      <c r="C24" s="341" t="s">
        <v>228</v>
      </c>
      <c r="D24" s="342"/>
      <c r="E24" s="342"/>
      <c r="F24" s="342"/>
      <c r="G24" s="342"/>
      <c r="H24" s="342"/>
      <c r="I24" s="343"/>
      <c r="K24" s="84">
        <v>7</v>
      </c>
      <c r="L24" s="352" t="s">
        <v>87</v>
      </c>
      <c r="M24" s="353"/>
      <c r="N24" s="353"/>
    </row>
    <row r="25" spans="1:14" ht="13.5" customHeight="1" x14ac:dyDescent="0.35">
      <c r="A25" s="162" t="s">
        <v>262</v>
      </c>
      <c r="B25" s="164"/>
      <c r="C25" s="341" t="s">
        <v>253</v>
      </c>
      <c r="D25" s="342"/>
      <c r="E25" s="342"/>
      <c r="F25" s="342"/>
      <c r="G25" s="342"/>
      <c r="H25" s="342"/>
      <c r="I25" s="343"/>
      <c r="K25" s="359"/>
      <c r="L25" s="360"/>
      <c r="M25" s="360"/>
      <c r="N25" s="361"/>
    </row>
    <row r="26" spans="1:14" s="3" customFormat="1" ht="14" customHeight="1" x14ac:dyDescent="0.3">
      <c r="A26" s="162">
        <v>4</v>
      </c>
      <c r="B26" s="95" t="s">
        <v>79</v>
      </c>
      <c r="C26" s="96"/>
      <c r="D26" s="96"/>
      <c r="E26" s="96"/>
      <c r="F26" s="96"/>
      <c r="G26" s="96"/>
      <c r="H26" s="96"/>
      <c r="I26" s="97"/>
      <c r="K26" s="86"/>
      <c r="L26" s="362"/>
      <c r="M26" s="363"/>
      <c r="N26" s="350"/>
    </row>
    <row r="27" spans="1:14" ht="11.5" customHeight="1" x14ac:dyDescent="0.35">
      <c r="A27" s="162" t="s">
        <v>250</v>
      </c>
      <c r="B27" s="164"/>
      <c r="C27" s="344" t="s">
        <v>229</v>
      </c>
      <c r="D27" s="345"/>
      <c r="E27" s="345"/>
      <c r="F27" s="345"/>
      <c r="G27" s="345"/>
      <c r="H27" s="345"/>
      <c r="I27" s="346"/>
      <c r="K27" s="86"/>
      <c r="L27" s="362"/>
      <c r="M27" s="363"/>
      <c r="N27" s="350"/>
    </row>
    <row r="28" spans="1:14" ht="11.5" customHeight="1" x14ac:dyDescent="0.35">
      <c r="A28" s="162" t="s">
        <v>251</v>
      </c>
      <c r="B28" s="164"/>
      <c r="C28" s="344" t="s">
        <v>231</v>
      </c>
      <c r="D28" s="345"/>
      <c r="E28" s="345"/>
      <c r="F28" s="345"/>
      <c r="G28" s="345"/>
      <c r="H28" s="345"/>
      <c r="I28" s="346"/>
      <c r="K28" s="87"/>
      <c r="L28" s="88"/>
      <c r="M28" s="88"/>
      <c r="N28" s="85"/>
    </row>
    <row r="29" spans="1:14" ht="14" customHeight="1" x14ac:dyDescent="0.35">
      <c r="A29" s="162" t="s">
        <v>252</v>
      </c>
      <c r="B29" s="164"/>
      <c r="C29" s="344" t="s">
        <v>230</v>
      </c>
      <c r="D29" s="345"/>
      <c r="E29" s="345"/>
      <c r="F29" s="345"/>
      <c r="G29" s="345"/>
      <c r="H29" s="345"/>
      <c r="I29" s="346"/>
      <c r="K29" s="354" t="s">
        <v>91</v>
      </c>
      <c r="L29" s="355"/>
      <c r="M29" s="355"/>
      <c r="N29" s="356"/>
    </row>
    <row r="30" spans="1:14" s="3" customFormat="1" ht="14" customHeight="1" x14ac:dyDescent="0.3">
      <c r="A30" s="162">
        <v>5</v>
      </c>
      <c r="B30" s="95" t="s">
        <v>80</v>
      </c>
      <c r="C30" s="96"/>
      <c r="D30" s="96"/>
      <c r="E30" s="96"/>
      <c r="F30" s="96"/>
      <c r="G30" s="96"/>
      <c r="H30" s="96"/>
      <c r="I30" s="97"/>
      <c r="K30" s="86">
        <v>1</v>
      </c>
      <c r="L30" s="350" t="s">
        <v>103</v>
      </c>
      <c r="M30" s="351"/>
      <c r="N30" s="351"/>
    </row>
    <row r="31" spans="1:14" ht="11.5" customHeight="1" x14ac:dyDescent="0.35">
      <c r="A31" s="162" t="s">
        <v>257</v>
      </c>
      <c r="B31" s="164"/>
      <c r="C31" s="341" t="s">
        <v>255</v>
      </c>
      <c r="D31" s="342"/>
      <c r="E31" s="342"/>
      <c r="F31" s="342"/>
      <c r="G31" s="342"/>
      <c r="H31" s="342"/>
      <c r="I31" s="343"/>
      <c r="K31" s="86">
        <v>2</v>
      </c>
      <c r="L31" s="350" t="s">
        <v>92</v>
      </c>
      <c r="M31" s="351"/>
      <c r="N31" s="351"/>
    </row>
    <row r="32" spans="1:14" ht="11.5" customHeight="1" x14ac:dyDescent="0.35">
      <c r="A32" s="162" t="s">
        <v>258</v>
      </c>
      <c r="B32" s="164"/>
      <c r="C32" s="341" t="s">
        <v>256</v>
      </c>
      <c r="D32" s="342"/>
      <c r="E32" s="342"/>
      <c r="F32" s="342"/>
      <c r="G32" s="342"/>
      <c r="H32" s="342"/>
      <c r="I32" s="343"/>
      <c r="K32" s="86">
        <v>3</v>
      </c>
      <c r="L32" s="350" t="s">
        <v>102</v>
      </c>
      <c r="M32" s="351"/>
      <c r="N32" s="351"/>
    </row>
    <row r="33" spans="1:14" ht="11.5" customHeight="1" x14ac:dyDescent="0.35">
      <c r="A33" s="162" t="s">
        <v>259</v>
      </c>
      <c r="B33" s="164"/>
      <c r="C33" s="341" t="s">
        <v>254</v>
      </c>
      <c r="D33" s="342"/>
      <c r="E33" s="342"/>
      <c r="F33" s="342"/>
      <c r="G33" s="342"/>
      <c r="H33" s="342"/>
      <c r="I33" s="343"/>
      <c r="K33" s="84">
        <v>4</v>
      </c>
      <c r="L33" s="352" t="s">
        <v>101</v>
      </c>
      <c r="M33" s="353"/>
      <c r="N33" s="353"/>
    </row>
    <row r="34" spans="1:14" ht="11.5" customHeight="1" x14ac:dyDescent="0.35">
      <c r="A34" s="162" t="s">
        <v>287</v>
      </c>
      <c r="B34" s="164"/>
      <c r="C34" s="341" t="s">
        <v>265</v>
      </c>
      <c r="D34" s="342"/>
      <c r="E34" s="342"/>
      <c r="F34" s="342"/>
      <c r="G34" s="342"/>
      <c r="H34" s="342"/>
      <c r="I34" s="343"/>
      <c r="K34" s="111"/>
      <c r="L34" s="110"/>
      <c r="M34" s="111"/>
      <c r="N34" s="111"/>
    </row>
    <row r="35" spans="1:14" s="12" customFormat="1" ht="14" customHeight="1" x14ac:dyDescent="0.25">
      <c r="A35" s="162">
        <v>6</v>
      </c>
      <c r="B35" s="339" t="s">
        <v>150</v>
      </c>
      <c r="C35" s="340"/>
      <c r="D35" s="340"/>
      <c r="E35" s="340"/>
      <c r="F35" s="340"/>
      <c r="G35" s="340"/>
      <c r="H35" s="340"/>
      <c r="I35" s="340"/>
      <c r="K35" s="86">
        <v>5</v>
      </c>
      <c r="L35" s="350" t="s">
        <v>93</v>
      </c>
      <c r="M35" s="351"/>
      <c r="N35" s="351"/>
    </row>
    <row r="36" spans="1:14" ht="11.5" customHeight="1" x14ac:dyDescent="0.35">
      <c r="A36" s="162" t="s">
        <v>260</v>
      </c>
      <c r="B36" s="164"/>
      <c r="C36" s="336" t="s">
        <v>267</v>
      </c>
      <c r="D36" s="337"/>
      <c r="E36" s="337"/>
      <c r="F36" s="337"/>
      <c r="G36" s="337"/>
      <c r="H36" s="337"/>
      <c r="I36" s="338"/>
      <c r="K36" s="86">
        <v>6</v>
      </c>
      <c r="L36" s="85" t="s">
        <v>94</v>
      </c>
      <c r="M36" s="86"/>
      <c r="N36" s="86"/>
    </row>
    <row r="37" spans="1:14" ht="11.5" customHeight="1" x14ac:dyDescent="0.35">
      <c r="A37" s="162" t="s">
        <v>261</v>
      </c>
      <c r="B37" s="164"/>
      <c r="C37" s="336" t="s">
        <v>302</v>
      </c>
      <c r="D37" s="337"/>
      <c r="E37" s="337"/>
      <c r="F37" s="337"/>
      <c r="G37" s="337"/>
      <c r="H37" s="337"/>
      <c r="I37" s="338"/>
      <c r="K37" s="84">
        <v>7</v>
      </c>
      <c r="L37" s="83" t="s">
        <v>95</v>
      </c>
      <c r="M37" s="84"/>
      <c r="N37" s="84"/>
    </row>
    <row r="38" spans="1:14" s="3" customFormat="1" ht="14" customHeight="1" x14ac:dyDescent="0.35">
      <c r="A38" s="162" t="s">
        <v>281</v>
      </c>
      <c r="B38" s="164"/>
      <c r="C38" s="336" t="s">
        <v>303</v>
      </c>
      <c r="D38" s="337"/>
      <c r="E38" s="337"/>
      <c r="F38" s="337"/>
      <c r="G38" s="337"/>
      <c r="H38" s="337"/>
      <c r="I38" s="338"/>
      <c r="K38" s="104" t="s">
        <v>96</v>
      </c>
      <c r="L38" s="105"/>
      <c r="M38" s="105"/>
      <c r="N38" s="106"/>
    </row>
    <row r="39" spans="1:14" ht="11.5" customHeight="1" x14ac:dyDescent="0.35">
      <c r="A39" s="162" t="s">
        <v>282</v>
      </c>
      <c r="B39" s="164"/>
      <c r="C39" s="336"/>
      <c r="D39" s="337"/>
      <c r="E39" s="337"/>
      <c r="F39" s="337"/>
      <c r="G39" s="337"/>
      <c r="H39" s="337"/>
      <c r="I39" s="338"/>
      <c r="K39" s="86">
        <v>1</v>
      </c>
      <c r="L39" s="85" t="s">
        <v>99</v>
      </c>
      <c r="M39" s="86"/>
      <c r="N39" s="86"/>
    </row>
    <row r="40" spans="1:14" ht="14.5" x14ac:dyDescent="0.35">
      <c r="A40" s="162" t="s">
        <v>283</v>
      </c>
      <c r="B40" s="164"/>
      <c r="C40" s="336"/>
      <c r="D40" s="337"/>
      <c r="E40" s="337"/>
      <c r="F40" s="337"/>
      <c r="G40" s="337"/>
      <c r="H40" s="337"/>
      <c r="I40" s="338"/>
      <c r="K40" s="84">
        <v>2</v>
      </c>
      <c r="L40" s="83" t="s">
        <v>98</v>
      </c>
      <c r="M40" s="84"/>
      <c r="N40" s="84"/>
    </row>
    <row r="41" spans="1:14" ht="15" thickBot="1" x14ac:dyDescent="0.4">
      <c r="A41" s="165" t="s">
        <v>284</v>
      </c>
      <c r="B41" s="166"/>
      <c r="C41" s="358"/>
      <c r="D41" s="358"/>
      <c r="E41" s="358"/>
      <c r="F41" s="358"/>
      <c r="G41" s="358"/>
      <c r="H41" s="358"/>
      <c r="I41" s="358"/>
      <c r="K41" s="86">
        <v>3</v>
      </c>
      <c r="L41" s="85" t="s">
        <v>97</v>
      </c>
      <c r="M41" s="86"/>
      <c r="N41" s="86"/>
    </row>
    <row r="42" spans="1:14" s="3" customFormat="1" ht="14.5" x14ac:dyDescent="0.35">
      <c r="A42"/>
      <c r="B42"/>
      <c r="C42" s="108"/>
      <c r="D42" s="108"/>
      <c r="E42" s="108"/>
      <c r="F42" s="108"/>
      <c r="G42" s="108"/>
      <c r="H42" s="108"/>
      <c r="I42" s="108"/>
      <c r="K42" s="86">
        <v>4</v>
      </c>
      <c r="L42" s="85" t="s">
        <v>100</v>
      </c>
      <c r="M42" s="86"/>
      <c r="N42" s="86"/>
    </row>
    <row r="43" spans="1:14" ht="14.5" x14ac:dyDescent="0.35">
      <c r="A43"/>
      <c r="B43"/>
      <c r="C43"/>
      <c r="D43"/>
      <c r="E43"/>
      <c r="F43"/>
      <c r="G43"/>
      <c r="H43"/>
      <c r="I43"/>
      <c r="K43" s="99"/>
      <c r="L43" s="99"/>
      <c r="M43" s="99"/>
      <c r="N43" s="99"/>
    </row>
    <row r="44" spans="1:14" ht="14.5" x14ac:dyDescent="0.35">
      <c r="A44"/>
      <c r="B44"/>
      <c r="C44"/>
      <c r="D44"/>
      <c r="E44"/>
      <c r="F44"/>
      <c r="G44"/>
      <c r="H44"/>
      <c r="I44"/>
      <c r="K44" s="84">
        <v>2</v>
      </c>
      <c r="L44" s="83" t="s">
        <v>98</v>
      </c>
      <c r="M44" s="84"/>
      <c r="N44" s="84"/>
    </row>
    <row r="45" spans="1:14" ht="14.5" x14ac:dyDescent="0.35">
      <c r="A45"/>
      <c r="B45"/>
      <c r="C45"/>
      <c r="D45"/>
      <c r="E45"/>
      <c r="F45"/>
      <c r="G45"/>
      <c r="H45"/>
      <c r="I45"/>
    </row>
  </sheetData>
  <sheetProtection algorithmName="SHA-512" hashValue="iE8DUkkUEcVZ2wSy8KdBQecj79YSutTExO72EhcY3qsOLZGU70ohnn/dV9hO0tAi4SyZMm8I6LyHUZsSVynRyA==" saltValue="SavdbDoDtwvbx3nP5eH43A==" spinCount="100000" sheet="1" objects="1" scenarios="1"/>
  <mergeCells count="47">
    <mergeCell ref="C41:I41"/>
    <mergeCell ref="L13:N13"/>
    <mergeCell ref="L24:N24"/>
    <mergeCell ref="K25:N25"/>
    <mergeCell ref="L26:N26"/>
    <mergeCell ref="L27:N27"/>
    <mergeCell ref="L14:N14"/>
    <mergeCell ref="L15:N15"/>
    <mergeCell ref="L18:N18"/>
    <mergeCell ref="L19:N19"/>
    <mergeCell ref="L20:N20"/>
    <mergeCell ref="C27:I27"/>
    <mergeCell ref="C28:I28"/>
    <mergeCell ref="C29:I29"/>
    <mergeCell ref="C31:I31"/>
    <mergeCell ref="C33:I33"/>
    <mergeCell ref="A1:I6"/>
    <mergeCell ref="L35:N35"/>
    <mergeCell ref="L30:N30"/>
    <mergeCell ref="L31:N31"/>
    <mergeCell ref="L32:N32"/>
    <mergeCell ref="L33:N33"/>
    <mergeCell ref="K29:N29"/>
    <mergeCell ref="C7:I7"/>
    <mergeCell ref="C11:I11"/>
    <mergeCell ref="C10:I10"/>
    <mergeCell ref="C9:I9"/>
    <mergeCell ref="C21:I21"/>
    <mergeCell ref="C22:I22"/>
    <mergeCell ref="C23:I23"/>
    <mergeCell ref="C15:I15"/>
    <mergeCell ref="C16:I16"/>
    <mergeCell ref="C13:I13"/>
    <mergeCell ref="C19:I19"/>
    <mergeCell ref="C12:I12"/>
    <mergeCell ref="C17:I17"/>
    <mergeCell ref="C18:I18"/>
    <mergeCell ref="C40:I40"/>
    <mergeCell ref="B35:I35"/>
    <mergeCell ref="C39:I39"/>
    <mergeCell ref="C37:I37"/>
    <mergeCell ref="C24:I24"/>
    <mergeCell ref="C34:I34"/>
    <mergeCell ref="C32:I32"/>
    <mergeCell ref="C36:I36"/>
    <mergeCell ref="C38:I38"/>
    <mergeCell ref="C25:I25"/>
  </mergeCells>
  <pageMargins left="0.7" right="0.7" top="0.75" bottom="0.75" header="0.3" footer="0.3"/>
  <pageSetup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BASE!$J$3</xm:f>
          </x14:formula1>
          <xm:sqref>B15:B19 B21:B25 B27:B29 B31:B34 B36:B41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9" tint="-0.499984740745262"/>
  </sheetPr>
  <dimension ref="A1:K103"/>
  <sheetViews>
    <sheetView view="pageBreakPreview" topLeftCell="A76" zoomScale="80" zoomScaleNormal="100" zoomScaleSheetLayoutView="80" workbookViewId="0">
      <selection activeCell="C104" sqref="C104"/>
    </sheetView>
  </sheetViews>
  <sheetFormatPr baseColWidth="10" defaultRowHeight="14.5" x14ac:dyDescent="0.35"/>
  <cols>
    <col min="1" max="1" width="11.81640625" bestFit="1" customWidth="1"/>
    <col min="2" max="2" width="70.90625" customWidth="1"/>
    <col min="3" max="3" width="24" customWidth="1"/>
    <col min="8" max="8" width="13.54296875" customWidth="1"/>
    <col min="11" max="11" width="0" hidden="1" customWidth="1"/>
  </cols>
  <sheetData>
    <row r="1" spans="1:11" ht="14.5" customHeight="1" x14ac:dyDescent="0.35">
      <c r="A1" s="372" t="s">
        <v>295</v>
      </c>
      <c r="B1" s="334"/>
      <c r="C1" s="334"/>
      <c r="D1" s="334"/>
      <c r="E1" s="334"/>
      <c r="F1" s="334"/>
      <c r="G1" s="334"/>
      <c r="H1" s="334"/>
      <c r="I1" s="334"/>
      <c r="J1" s="334"/>
    </row>
    <row r="2" spans="1:11" ht="14.5" customHeight="1" x14ac:dyDescent="0.35">
      <c r="A2" s="372"/>
      <c r="B2" s="334"/>
      <c r="C2" s="334"/>
      <c r="D2" s="334"/>
      <c r="E2" s="334"/>
      <c r="F2" s="334"/>
      <c r="G2" s="334"/>
      <c r="H2" s="334"/>
      <c r="I2" s="334"/>
      <c r="J2" s="334"/>
    </row>
    <row r="3" spans="1:11" ht="14.5" customHeight="1" x14ac:dyDescent="0.35">
      <c r="A3" s="372"/>
      <c r="B3" s="334"/>
      <c r="C3" s="334"/>
      <c r="D3" s="334"/>
      <c r="E3" s="334"/>
      <c r="F3" s="334"/>
      <c r="G3" s="334"/>
      <c r="H3" s="334"/>
      <c r="I3" s="334"/>
      <c r="J3" s="334"/>
    </row>
    <row r="4" spans="1:11" ht="14.5" customHeight="1" x14ac:dyDescent="0.35">
      <c r="A4" s="372"/>
      <c r="B4" s="334"/>
      <c r="C4" s="334"/>
      <c r="D4" s="334"/>
      <c r="E4" s="334"/>
      <c r="F4" s="334"/>
      <c r="G4" s="334"/>
      <c r="H4" s="334"/>
      <c r="I4" s="334"/>
      <c r="J4" s="334"/>
    </row>
    <row r="5" spans="1:11" ht="14.5" customHeight="1" x14ac:dyDescent="0.35">
      <c r="A5" s="372"/>
      <c r="B5" s="334"/>
      <c r="C5" s="334"/>
      <c r="D5" s="334"/>
      <c r="E5" s="334"/>
      <c r="F5" s="334"/>
      <c r="G5" s="334"/>
      <c r="H5" s="334"/>
      <c r="I5" s="334"/>
      <c r="J5" s="334"/>
    </row>
    <row r="6" spans="1:11" ht="14.5" customHeight="1" x14ac:dyDescent="0.35">
      <c r="A6" s="372"/>
      <c r="B6" s="334"/>
      <c r="C6" s="334"/>
      <c r="D6" s="334"/>
      <c r="E6" s="334"/>
      <c r="F6" s="334"/>
      <c r="G6" s="334"/>
      <c r="H6" s="334"/>
      <c r="I6" s="334"/>
      <c r="J6" s="334"/>
    </row>
    <row r="7" spans="1:11" s="5" customFormat="1" ht="20.149999999999999" customHeight="1" x14ac:dyDescent="0.25">
      <c r="A7" s="364" t="s">
        <v>198</v>
      </c>
      <c r="B7" s="365"/>
      <c r="C7" s="365"/>
      <c r="D7" s="365"/>
      <c r="E7" s="365"/>
      <c r="F7" s="365"/>
      <c r="G7" s="365"/>
      <c r="H7" s="365"/>
      <c r="I7" s="365"/>
      <c r="J7" s="365"/>
    </row>
    <row r="8" spans="1:11" s="5" customFormat="1" ht="64.5" customHeight="1" x14ac:dyDescent="0.25">
      <c r="A8" s="172" t="s">
        <v>60</v>
      </c>
      <c r="B8" s="204"/>
      <c r="C8" s="167" t="s">
        <v>288</v>
      </c>
      <c r="D8" s="168" t="s">
        <v>211</v>
      </c>
      <c r="E8" s="168" t="s">
        <v>212</v>
      </c>
      <c r="F8" s="169" t="s">
        <v>213</v>
      </c>
      <c r="G8" s="170" t="s">
        <v>285</v>
      </c>
      <c r="H8" s="170" t="s">
        <v>286</v>
      </c>
      <c r="I8" s="170" t="s">
        <v>214</v>
      </c>
      <c r="J8" s="171" t="s">
        <v>215</v>
      </c>
    </row>
    <row r="9" spans="1:11" s="5" customFormat="1" ht="26.5" customHeight="1" x14ac:dyDescent="0.25">
      <c r="A9" s="370"/>
      <c r="B9" s="371"/>
      <c r="C9" s="373"/>
      <c r="D9" s="93"/>
      <c r="E9" s="93"/>
      <c r="F9" s="93"/>
      <c r="G9" s="93"/>
      <c r="H9" s="93"/>
      <c r="I9" s="93"/>
      <c r="J9" s="93"/>
    </row>
    <row r="10" spans="1:11" s="5" customFormat="1" ht="21" customHeight="1" x14ac:dyDescent="0.25">
      <c r="A10" s="366"/>
      <c r="B10" s="367"/>
      <c r="C10" s="374"/>
      <c r="D10" s="93"/>
      <c r="E10" s="93"/>
      <c r="F10" s="93"/>
      <c r="G10" s="93"/>
      <c r="H10" s="93"/>
      <c r="I10" s="93"/>
      <c r="J10" s="93"/>
    </row>
    <row r="11" spans="1:11" s="5" customFormat="1" ht="19" customHeight="1" x14ac:dyDescent="0.25">
      <c r="A11" s="366"/>
      <c r="B11" s="367"/>
      <c r="C11" s="374"/>
      <c r="D11" s="93"/>
      <c r="E11" s="93"/>
      <c r="F11" s="93"/>
      <c r="G11" s="93"/>
      <c r="H11" s="93"/>
      <c r="I11" s="93"/>
      <c r="J11" s="93"/>
    </row>
    <row r="12" spans="1:11" s="5" customFormat="1" ht="20" customHeight="1" x14ac:dyDescent="0.25">
      <c r="A12" s="366"/>
      <c r="B12" s="367"/>
      <c r="C12" s="374"/>
      <c r="D12" s="93"/>
      <c r="E12" s="93"/>
      <c r="F12" s="93"/>
      <c r="G12" s="93"/>
      <c r="H12" s="93"/>
      <c r="I12" s="93"/>
      <c r="J12" s="93"/>
    </row>
    <row r="13" spans="1:11" s="5" customFormat="1" ht="12.65" customHeight="1" x14ac:dyDescent="0.25">
      <c r="A13" s="366"/>
      <c r="B13" s="367"/>
      <c r="C13" s="374"/>
      <c r="D13" s="93"/>
      <c r="E13" s="93"/>
      <c r="F13" s="93"/>
      <c r="G13" s="93"/>
      <c r="H13" s="93"/>
      <c r="I13" s="93"/>
      <c r="J13" s="93"/>
    </row>
    <row r="14" spans="1:11" s="5" customFormat="1" ht="12.65" customHeight="1" x14ac:dyDescent="0.25">
      <c r="A14" s="366"/>
      <c r="B14" s="367"/>
      <c r="C14" s="374"/>
      <c r="D14" s="93"/>
      <c r="E14" s="93"/>
      <c r="F14" s="93"/>
      <c r="G14" s="93"/>
      <c r="H14" s="93"/>
      <c r="I14" s="93"/>
      <c r="J14" s="93"/>
    </row>
    <row r="15" spans="1:11" s="5" customFormat="1" ht="12.65" customHeight="1" x14ac:dyDescent="0.25">
      <c r="A15" s="366"/>
      <c r="B15" s="367"/>
      <c r="C15" s="374"/>
      <c r="D15" s="93"/>
      <c r="E15" s="93"/>
      <c r="F15" s="93"/>
      <c r="G15" s="93"/>
      <c r="H15" s="93"/>
      <c r="I15" s="93"/>
      <c r="J15" s="93"/>
    </row>
    <row r="16" spans="1:11" s="5" customFormat="1" ht="12.5" x14ac:dyDescent="0.25">
      <c r="A16" s="366"/>
      <c r="B16" s="367"/>
      <c r="C16" s="374"/>
      <c r="D16" s="93"/>
      <c r="E16" s="93"/>
      <c r="F16" s="93"/>
      <c r="G16" s="93"/>
      <c r="H16" s="93"/>
      <c r="I16" s="93"/>
      <c r="J16" s="93"/>
      <c r="K16" s="5">
        <f>13*40%</f>
        <v>5.2</v>
      </c>
    </row>
    <row r="17" spans="1:10" s="5" customFormat="1" ht="12.65" customHeight="1" x14ac:dyDescent="0.25">
      <c r="A17" s="366"/>
      <c r="B17" s="367"/>
      <c r="C17" s="374"/>
      <c r="D17" s="93"/>
      <c r="E17" s="93"/>
      <c r="F17" s="93"/>
      <c r="G17" s="93"/>
      <c r="H17" s="93"/>
      <c r="I17" s="93"/>
      <c r="J17" s="93"/>
    </row>
    <row r="18" spans="1:10" s="5" customFormat="1" ht="12.65" customHeight="1" x14ac:dyDescent="0.25">
      <c r="A18" s="366"/>
      <c r="B18" s="367"/>
      <c r="C18" s="374"/>
      <c r="D18" s="93"/>
      <c r="E18" s="93"/>
      <c r="F18" s="93"/>
      <c r="G18" s="93"/>
      <c r="H18" s="93"/>
      <c r="I18" s="93"/>
      <c r="J18" s="93"/>
    </row>
    <row r="19" spans="1:10" s="5" customFormat="1" ht="12.5" x14ac:dyDescent="0.25">
      <c r="A19" s="366"/>
      <c r="B19" s="367"/>
      <c r="C19" s="374"/>
      <c r="D19" s="93"/>
      <c r="E19" s="93"/>
      <c r="F19" s="93"/>
      <c r="G19" s="93"/>
      <c r="H19" s="93"/>
      <c r="I19" s="93"/>
      <c r="J19" s="93"/>
    </row>
    <row r="20" spans="1:10" s="5" customFormat="1" ht="12.65" customHeight="1" x14ac:dyDescent="0.25">
      <c r="A20" s="366"/>
      <c r="B20" s="367"/>
      <c r="C20" s="374"/>
      <c r="D20" s="93"/>
      <c r="E20" s="93"/>
      <c r="F20" s="93"/>
      <c r="G20" s="93"/>
      <c r="H20" s="93"/>
      <c r="I20" s="93"/>
      <c r="J20" s="93"/>
    </row>
    <row r="21" spans="1:10" s="5" customFormat="1" ht="12.5" x14ac:dyDescent="0.25">
      <c r="A21" s="366"/>
      <c r="B21" s="367"/>
      <c r="C21" s="374"/>
      <c r="D21" s="93"/>
      <c r="E21" s="93"/>
      <c r="F21" s="93"/>
      <c r="G21" s="93"/>
      <c r="H21" s="93"/>
      <c r="I21" s="93"/>
      <c r="J21" s="93"/>
    </row>
    <row r="22" spans="1:10" s="5" customFormat="1" ht="12.65" customHeight="1" x14ac:dyDescent="0.25">
      <c r="A22" s="366"/>
      <c r="B22" s="367"/>
      <c r="C22" s="374"/>
      <c r="D22" s="93"/>
      <c r="E22" s="93"/>
      <c r="F22" s="93"/>
      <c r="G22" s="93"/>
      <c r="H22" s="93"/>
      <c r="I22" s="93"/>
      <c r="J22" s="93"/>
    </row>
    <row r="23" spans="1:10" s="5" customFormat="1" ht="12.65" customHeight="1" x14ac:dyDescent="0.25">
      <c r="A23" s="368"/>
      <c r="B23" s="369"/>
      <c r="C23" s="374"/>
      <c r="D23" s="93"/>
      <c r="E23" s="93"/>
      <c r="F23" s="93"/>
      <c r="G23" s="93"/>
      <c r="H23" s="93"/>
      <c r="I23" s="93"/>
      <c r="J23" s="93"/>
    </row>
    <row r="24" spans="1:10" s="5" customFormat="1" ht="60" customHeight="1" x14ac:dyDescent="0.25">
      <c r="A24" s="205" t="s">
        <v>61</v>
      </c>
      <c r="B24" s="195"/>
      <c r="C24" s="169" t="s">
        <v>289</v>
      </c>
      <c r="D24" s="168" t="s">
        <v>211</v>
      </c>
      <c r="E24" s="197" t="s">
        <v>212</v>
      </c>
      <c r="F24" s="169" t="s">
        <v>213</v>
      </c>
      <c r="G24" s="170" t="str">
        <f>+G8</f>
        <v>Estrategía Pedagógica (Presencial)
Revisar las del punto 3</v>
      </c>
      <c r="H24" s="170" t="str">
        <f>+H8</f>
        <v>Estrategía Pedagógica (Independiente)
Revisar las del punto 3</v>
      </c>
      <c r="I24" s="170" t="s">
        <v>214</v>
      </c>
      <c r="J24" s="171" t="s">
        <v>215</v>
      </c>
    </row>
    <row r="25" spans="1:10" s="5" customFormat="1" ht="12.5" customHeight="1" x14ac:dyDescent="0.25">
      <c r="A25" s="370"/>
      <c r="B25" s="371"/>
      <c r="C25" s="373"/>
      <c r="D25" s="93"/>
      <c r="E25" s="93"/>
      <c r="F25" s="93"/>
      <c r="G25" s="93"/>
      <c r="H25" s="93"/>
      <c r="I25" s="93"/>
      <c r="J25" s="93"/>
    </row>
    <row r="26" spans="1:10" s="5" customFormat="1" ht="12.5" customHeight="1" x14ac:dyDescent="0.25">
      <c r="A26" s="366"/>
      <c r="B26" s="367"/>
      <c r="C26" s="374"/>
      <c r="D26" s="93"/>
      <c r="E26" s="93"/>
      <c r="F26" s="93"/>
      <c r="G26" s="93"/>
      <c r="H26" s="93"/>
      <c r="I26" s="93"/>
      <c r="J26" s="93"/>
    </row>
    <row r="27" spans="1:10" s="5" customFormat="1" ht="12.5" customHeight="1" x14ac:dyDescent="0.25">
      <c r="A27" s="366"/>
      <c r="B27" s="367"/>
      <c r="C27" s="374"/>
      <c r="D27" s="93"/>
      <c r="E27" s="93"/>
      <c r="F27" s="93"/>
      <c r="G27" s="93"/>
      <c r="H27" s="93"/>
      <c r="I27" s="93"/>
      <c r="J27" s="93"/>
    </row>
    <row r="28" spans="1:10" s="5" customFormat="1" ht="12.5" customHeight="1" x14ac:dyDescent="0.25">
      <c r="A28" s="366"/>
      <c r="B28" s="367"/>
      <c r="C28" s="374"/>
      <c r="D28" s="93"/>
      <c r="E28" s="93"/>
      <c r="F28" s="93"/>
      <c r="G28" s="93"/>
      <c r="H28" s="93"/>
      <c r="I28" s="93"/>
      <c r="J28" s="93"/>
    </row>
    <row r="29" spans="1:10" s="5" customFormat="1" ht="12.65" customHeight="1" x14ac:dyDescent="0.25">
      <c r="A29" s="366"/>
      <c r="B29" s="367"/>
      <c r="C29" s="374"/>
      <c r="D29" s="93"/>
      <c r="E29" s="93"/>
      <c r="F29" s="93"/>
      <c r="G29" s="93"/>
      <c r="H29" s="93"/>
      <c r="I29" s="93"/>
      <c r="J29" s="93"/>
    </row>
    <row r="30" spans="1:10" s="5" customFormat="1" ht="12.65" customHeight="1" x14ac:dyDescent="0.25">
      <c r="A30" s="366"/>
      <c r="B30" s="367"/>
      <c r="C30" s="374"/>
      <c r="D30" s="93"/>
      <c r="E30" s="93"/>
      <c r="F30" s="93"/>
      <c r="G30" s="93"/>
      <c r="H30" s="93"/>
      <c r="I30" s="93"/>
      <c r="J30" s="93"/>
    </row>
    <row r="31" spans="1:10" s="5" customFormat="1" ht="12.65" customHeight="1" x14ac:dyDescent="0.25">
      <c r="A31" s="366"/>
      <c r="B31" s="367"/>
      <c r="C31" s="374"/>
      <c r="D31" s="93"/>
      <c r="E31" s="93"/>
      <c r="F31" s="93"/>
      <c r="G31" s="93"/>
      <c r="H31" s="93"/>
      <c r="I31" s="93"/>
      <c r="J31" s="93"/>
    </row>
    <row r="32" spans="1:10" s="5" customFormat="1" ht="12.65" customHeight="1" x14ac:dyDescent="0.25">
      <c r="A32" s="366"/>
      <c r="B32" s="367"/>
      <c r="C32" s="374"/>
      <c r="D32" s="93"/>
      <c r="E32" s="93"/>
      <c r="F32" s="93"/>
      <c r="G32" s="93"/>
      <c r="H32" s="93"/>
      <c r="I32" s="93"/>
      <c r="J32" s="93"/>
    </row>
    <row r="33" spans="1:10" s="5" customFormat="1" ht="12.65" customHeight="1" x14ac:dyDescent="0.25">
      <c r="A33" s="366"/>
      <c r="B33" s="367"/>
      <c r="C33" s="374"/>
      <c r="D33" s="93"/>
      <c r="E33" s="93"/>
      <c r="F33" s="93"/>
      <c r="G33" s="93"/>
      <c r="H33" s="93"/>
      <c r="I33" s="93"/>
      <c r="J33" s="93"/>
    </row>
    <row r="34" spans="1:10" s="5" customFormat="1" ht="12.65" customHeight="1" x14ac:dyDescent="0.25">
      <c r="A34" s="366"/>
      <c r="B34" s="367"/>
      <c r="C34" s="374"/>
      <c r="D34" s="93"/>
      <c r="E34" s="93"/>
      <c r="F34" s="93"/>
      <c r="G34" s="93"/>
      <c r="H34" s="93"/>
      <c r="I34" s="93"/>
      <c r="J34" s="93"/>
    </row>
    <row r="35" spans="1:10" s="5" customFormat="1" ht="12.65" customHeight="1" x14ac:dyDescent="0.25">
      <c r="A35" s="366"/>
      <c r="B35" s="367"/>
      <c r="C35" s="374"/>
      <c r="D35" s="93"/>
      <c r="E35" s="93"/>
      <c r="F35" s="93"/>
      <c r="G35" s="93"/>
      <c r="H35" s="93"/>
      <c r="I35" s="93"/>
      <c r="J35" s="93"/>
    </row>
    <row r="36" spans="1:10" s="5" customFormat="1" ht="12.65" customHeight="1" x14ac:dyDescent="0.25">
      <c r="A36" s="366"/>
      <c r="B36" s="367"/>
      <c r="C36" s="374"/>
      <c r="D36" s="93"/>
      <c r="E36" s="93"/>
      <c r="F36" s="93"/>
      <c r="G36" s="93"/>
      <c r="H36" s="93"/>
      <c r="I36" s="93"/>
      <c r="J36" s="93"/>
    </row>
    <row r="37" spans="1:10" s="5" customFormat="1" ht="12.65" customHeight="1" x14ac:dyDescent="0.25">
      <c r="A37" s="366"/>
      <c r="B37" s="367"/>
      <c r="C37" s="374"/>
      <c r="D37" s="93"/>
      <c r="E37" s="93"/>
      <c r="F37" s="93"/>
      <c r="G37" s="93"/>
      <c r="H37" s="93"/>
      <c r="I37" s="93"/>
      <c r="J37" s="93"/>
    </row>
    <row r="38" spans="1:10" s="5" customFormat="1" ht="12.65" customHeight="1" x14ac:dyDescent="0.25">
      <c r="A38" s="366"/>
      <c r="B38" s="367"/>
      <c r="C38" s="374"/>
      <c r="D38" s="93"/>
      <c r="E38" s="93"/>
      <c r="F38" s="93"/>
      <c r="G38" s="93"/>
      <c r="H38" s="93"/>
      <c r="I38" s="93"/>
      <c r="J38" s="93"/>
    </row>
    <row r="39" spans="1:10" s="5" customFormat="1" ht="12.65" customHeight="1" x14ac:dyDescent="0.25">
      <c r="A39" s="368"/>
      <c r="B39" s="369"/>
      <c r="C39" s="374"/>
      <c r="D39" s="93"/>
      <c r="E39" s="93"/>
      <c r="F39" s="93"/>
      <c r="G39" s="93"/>
      <c r="H39" s="93"/>
      <c r="I39" s="93"/>
      <c r="J39" s="93"/>
    </row>
    <row r="40" spans="1:10" s="7" customFormat="1" ht="62.5" customHeight="1" x14ac:dyDescent="0.35">
      <c r="A40" s="98" t="s">
        <v>62</v>
      </c>
      <c r="B40" s="195"/>
      <c r="C40" s="169" t="s">
        <v>290</v>
      </c>
      <c r="D40" s="168" t="s">
        <v>211</v>
      </c>
      <c r="E40" s="197" t="s">
        <v>212</v>
      </c>
      <c r="F40" s="169" t="s">
        <v>213</v>
      </c>
      <c r="G40" s="170" t="str">
        <f>+G24</f>
        <v>Estrategía Pedagógica (Presencial)
Revisar las del punto 3</v>
      </c>
      <c r="H40" s="170" t="str">
        <f>+H24</f>
        <v>Estrategía Pedagógica (Independiente)
Revisar las del punto 3</v>
      </c>
      <c r="I40" s="170" t="s">
        <v>214</v>
      </c>
      <c r="J40" s="171" t="s">
        <v>215</v>
      </c>
    </row>
    <row r="41" spans="1:10" s="5" customFormat="1" ht="12.65" customHeight="1" x14ac:dyDescent="0.25">
      <c r="A41" s="370"/>
      <c r="B41" s="371"/>
      <c r="C41" s="373"/>
      <c r="D41" s="93"/>
      <c r="E41" s="93"/>
      <c r="F41" s="93"/>
      <c r="G41" s="93"/>
      <c r="H41" s="93"/>
      <c r="I41" s="93"/>
      <c r="J41" s="93"/>
    </row>
    <row r="42" spans="1:10" s="5" customFormat="1" ht="12.65" customHeight="1" x14ac:dyDescent="0.25">
      <c r="A42" s="366"/>
      <c r="B42" s="367"/>
      <c r="C42" s="374"/>
      <c r="D42" s="93"/>
      <c r="E42" s="93"/>
      <c r="F42" s="93"/>
      <c r="G42" s="93"/>
      <c r="H42" s="93"/>
      <c r="I42" s="93"/>
      <c r="J42" s="93"/>
    </row>
    <row r="43" spans="1:10" s="5" customFormat="1" ht="12.65" customHeight="1" x14ac:dyDescent="0.25">
      <c r="A43" s="366"/>
      <c r="B43" s="367"/>
      <c r="C43" s="374"/>
      <c r="D43" s="93"/>
      <c r="E43" s="93"/>
      <c r="F43" s="93"/>
      <c r="G43" s="93"/>
      <c r="H43" s="93"/>
      <c r="I43" s="93"/>
      <c r="J43" s="93"/>
    </row>
    <row r="44" spans="1:10" s="5" customFormat="1" ht="12.65" customHeight="1" x14ac:dyDescent="0.25">
      <c r="A44" s="366"/>
      <c r="B44" s="367"/>
      <c r="C44" s="374"/>
      <c r="D44" s="93"/>
      <c r="E44" s="93"/>
      <c r="F44" s="93"/>
      <c r="G44" s="93"/>
      <c r="H44" s="93"/>
      <c r="I44" s="93"/>
      <c r="J44" s="93"/>
    </row>
    <row r="45" spans="1:10" s="5" customFormat="1" ht="12.65" customHeight="1" x14ac:dyDescent="0.25">
      <c r="A45" s="366"/>
      <c r="B45" s="367"/>
      <c r="C45" s="374"/>
      <c r="D45" s="93"/>
      <c r="E45" s="93"/>
      <c r="F45" s="93"/>
      <c r="G45" s="93"/>
      <c r="H45" s="93"/>
      <c r="I45" s="93"/>
      <c r="J45" s="93"/>
    </row>
    <row r="46" spans="1:10" s="5" customFormat="1" ht="12.65" customHeight="1" x14ac:dyDescent="0.25">
      <c r="A46" s="366"/>
      <c r="B46" s="367"/>
      <c r="C46" s="374"/>
      <c r="D46" s="93"/>
      <c r="E46" s="93"/>
      <c r="F46" s="93"/>
      <c r="G46" s="93"/>
      <c r="H46" s="93"/>
      <c r="I46" s="93"/>
      <c r="J46" s="93"/>
    </row>
    <row r="47" spans="1:10" s="5" customFormat="1" ht="12.65" customHeight="1" x14ac:dyDescent="0.25">
      <c r="A47" s="366"/>
      <c r="B47" s="367"/>
      <c r="C47" s="374"/>
      <c r="D47" s="93"/>
      <c r="E47" s="93"/>
      <c r="F47" s="93"/>
      <c r="G47" s="93"/>
      <c r="H47" s="93"/>
      <c r="I47" s="93"/>
      <c r="J47" s="93"/>
    </row>
    <row r="48" spans="1:10" s="7" customFormat="1" ht="12.5" x14ac:dyDescent="0.35">
      <c r="A48" s="366"/>
      <c r="B48" s="367"/>
      <c r="C48" s="374"/>
      <c r="D48" s="93"/>
      <c r="E48" s="93"/>
      <c r="F48" s="93"/>
      <c r="G48" s="93"/>
      <c r="H48" s="93"/>
      <c r="I48" s="93"/>
      <c r="J48" s="93"/>
    </row>
    <row r="49" spans="1:10" s="5" customFormat="1" ht="12.5" x14ac:dyDescent="0.25">
      <c r="A49" s="366"/>
      <c r="B49" s="367"/>
      <c r="C49" s="374"/>
      <c r="D49" s="93"/>
      <c r="E49" s="93"/>
      <c r="F49" s="93"/>
      <c r="G49" s="93"/>
      <c r="H49" s="93"/>
      <c r="I49" s="93"/>
      <c r="J49" s="93"/>
    </row>
    <row r="50" spans="1:10" s="5" customFormat="1" ht="12.5" x14ac:dyDescent="0.25">
      <c r="A50" s="366"/>
      <c r="B50" s="367"/>
      <c r="C50" s="374"/>
      <c r="D50" s="93"/>
      <c r="E50" s="93"/>
      <c r="F50" s="93"/>
      <c r="G50" s="93"/>
      <c r="H50" s="93"/>
      <c r="I50" s="93"/>
      <c r="J50" s="93"/>
    </row>
    <row r="51" spans="1:10" s="5" customFormat="1" ht="12.5" x14ac:dyDescent="0.25">
      <c r="A51" s="366"/>
      <c r="B51" s="367"/>
      <c r="C51" s="374"/>
      <c r="D51" s="93"/>
      <c r="E51" s="93"/>
      <c r="F51" s="93"/>
      <c r="G51" s="93"/>
      <c r="H51" s="93"/>
      <c r="I51" s="93"/>
      <c r="J51" s="93"/>
    </row>
    <row r="52" spans="1:10" s="5" customFormat="1" ht="12.5" x14ac:dyDescent="0.25">
      <c r="A52" s="366"/>
      <c r="B52" s="367"/>
      <c r="C52" s="374"/>
      <c r="D52" s="93"/>
      <c r="E52" s="93"/>
      <c r="F52" s="93"/>
      <c r="G52" s="93"/>
      <c r="H52" s="93"/>
      <c r="I52" s="93"/>
      <c r="J52" s="93"/>
    </row>
    <row r="53" spans="1:10" s="5" customFormat="1" ht="12.5" x14ac:dyDescent="0.25">
      <c r="A53" s="366"/>
      <c r="B53" s="367"/>
      <c r="C53" s="374"/>
      <c r="D53" s="93"/>
      <c r="E53" s="93"/>
      <c r="F53" s="93"/>
      <c r="G53" s="93"/>
      <c r="H53" s="93"/>
      <c r="I53" s="93"/>
      <c r="J53" s="93"/>
    </row>
    <row r="54" spans="1:10" s="5" customFormat="1" ht="12.5" x14ac:dyDescent="0.25">
      <c r="A54" s="366"/>
      <c r="B54" s="367"/>
      <c r="C54" s="374"/>
      <c r="D54" s="93"/>
      <c r="E54" s="93"/>
      <c r="F54" s="93"/>
      <c r="G54" s="93"/>
      <c r="H54" s="93"/>
      <c r="I54" s="93"/>
      <c r="J54" s="93"/>
    </row>
    <row r="55" spans="1:10" s="5" customFormat="1" ht="12.5" x14ac:dyDescent="0.25">
      <c r="A55" s="368"/>
      <c r="B55" s="369"/>
      <c r="C55" s="374"/>
      <c r="D55" s="93"/>
      <c r="E55" s="93"/>
      <c r="F55" s="93"/>
      <c r="G55" s="93"/>
      <c r="H55" s="93"/>
      <c r="I55" s="93"/>
      <c r="J55" s="93"/>
    </row>
    <row r="56" spans="1:10" s="7" customFormat="1" ht="59" customHeight="1" x14ac:dyDescent="0.35">
      <c r="A56" s="98" t="s">
        <v>63</v>
      </c>
      <c r="B56" s="196"/>
      <c r="C56" s="169" t="s">
        <v>291</v>
      </c>
      <c r="D56" s="168" t="s">
        <v>211</v>
      </c>
      <c r="E56" s="197" t="s">
        <v>212</v>
      </c>
      <c r="F56" s="169" t="s">
        <v>213</v>
      </c>
      <c r="G56" s="170" t="s">
        <v>298</v>
      </c>
      <c r="H56" s="170" t="s">
        <v>299</v>
      </c>
      <c r="I56" s="170" t="s">
        <v>214</v>
      </c>
      <c r="J56" s="171" t="s">
        <v>215</v>
      </c>
    </row>
    <row r="57" spans="1:10" s="5" customFormat="1" ht="12.5" x14ac:dyDescent="0.25">
      <c r="A57" s="370"/>
      <c r="B57" s="371"/>
      <c r="C57" s="373"/>
      <c r="D57" s="93"/>
      <c r="E57" s="93"/>
      <c r="F57" s="93"/>
      <c r="G57" s="93"/>
      <c r="H57" s="93"/>
      <c r="I57" s="93"/>
      <c r="J57" s="93"/>
    </row>
    <row r="58" spans="1:10" s="5" customFormat="1" ht="12.5" x14ac:dyDescent="0.25">
      <c r="A58" s="366"/>
      <c r="B58" s="367"/>
      <c r="C58" s="374"/>
      <c r="D58" s="93"/>
      <c r="E58" s="93"/>
      <c r="F58" s="93"/>
      <c r="G58" s="93"/>
      <c r="H58" s="93"/>
      <c r="I58" s="93"/>
      <c r="J58" s="93"/>
    </row>
    <row r="59" spans="1:10" s="5" customFormat="1" ht="12.5" x14ac:dyDescent="0.25">
      <c r="A59" s="366"/>
      <c r="B59" s="367"/>
      <c r="C59" s="374"/>
      <c r="D59" s="93"/>
      <c r="E59" s="93"/>
      <c r="F59" s="93"/>
      <c r="G59" s="93"/>
      <c r="H59" s="93"/>
      <c r="I59" s="93"/>
      <c r="J59" s="93"/>
    </row>
    <row r="60" spans="1:10" s="5" customFormat="1" ht="12.5" x14ac:dyDescent="0.25">
      <c r="A60" s="366"/>
      <c r="B60" s="367"/>
      <c r="C60" s="374"/>
      <c r="D60" s="93"/>
      <c r="E60" s="93"/>
      <c r="F60" s="93"/>
      <c r="G60" s="93"/>
      <c r="H60" s="93"/>
      <c r="I60" s="93"/>
      <c r="J60" s="93"/>
    </row>
    <row r="61" spans="1:10" s="5" customFormat="1" ht="12.5" x14ac:dyDescent="0.25">
      <c r="A61" s="366"/>
      <c r="B61" s="367"/>
      <c r="C61" s="374"/>
      <c r="D61" s="93"/>
      <c r="E61" s="93"/>
      <c r="F61" s="93"/>
      <c r="G61" s="93"/>
      <c r="H61" s="93"/>
      <c r="I61" s="93"/>
      <c r="J61" s="93"/>
    </row>
    <row r="62" spans="1:10" s="5" customFormat="1" ht="12.5" x14ac:dyDescent="0.25">
      <c r="A62" s="366"/>
      <c r="B62" s="367"/>
      <c r="C62" s="374"/>
      <c r="D62" s="93"/>
      <c r="E62" s="93"/>
      <c r="F62" s="93"/>
      <c r="G62" s="93"/>
      <c r="H62" s="93"/>
      <c r="I62" s="93"/>
      <c r="J62" s="93"/>
    </row>
    <row r="63" spans="1:10" s="5" customFormat="1" ht="12.5" x14ac:dyDescent="0.25">
      <c r="A63" s="366"/>
      <c r="B63" s="367"/>
      <c r="C63" s="374"/>
      <c r="D63" s="93"/>
      <c r="E63" s="93"/>
      <c r="F63" s="93"/>
      <c r="G63" s="93"/>
      <c r="H63" s="93"/>
      <c r="I63" s="93"/>
      <c r="J63" s="93"/>
    </row>
    <row r="64" spans="1:10" s="5" customFormat="1" ht="12.5" x14ac:dyDescent="0.25">
      <c r="A64" s="366"/>
      <c r="B64" s="367"/>
      <c r="C64" s="374"/>
      <c r="D64" s="93"/>
      <c r="E64" s="93"/>
      <c r="F64" s="93"/>
      <c r="G64" s="93"/>
      <c r="H64" s="93"/>
      <c r="I64" s="93"/>
      <c r="J64" s="93"/>
    </row>
    <row r="65" spans="1:10" s="5" customFormat="1" ht="12.5" x14ac:dyDescent="0.25">
      <c r="A65" s="366"/>
      <c r="B65" s="367"/>
      <c r="C65" s="374"/>
      <c r="D65" s="93"/>
      <c r="E65" s="93"/>
      <c r="F65" s="93"/>
      <c r="G65" s="93"/>
      <c r="H65" s="93"/>
      <c r="I65" s="93"/>
      <c r="J65" s="93"/>
    </row>
    <row r="66" spans="1:10" s="5" customFormat="1" ht="12.5" x14ac:dyDescent="0.25">
      <c r="A66" s="366"/>
      <c r="B66" s="367"/>
      <c r="C66" s="374"/>
      <c r="D66" s="93"/>
      <c r="E66" s="93"/>
      <c r="F66" s="93"/>
      <c r="G66" s="93"/>
      <c r="H66" s="93"/>
      <c r="I66" s="93"/>
      <c r="J66" s="93"/>
    </row>
    <row r="67" spans="1:10" s="5" customFormat="1" ht="12.5" x14ac:dyDescent="0.25">
      <c r="A67" s="366"/>
      <c r="B67" s="367"/>
      <c r="C67" s="374"/>
      <c r="D67" s="93"/>
      <c r="E67" s="93"/>
      <c r="F67" s="93"/>
      <c r="G67" s="93"/>
      <c r="H67" s="93"/>
      <c r="I67" s="93"/>
      <c r="J67" s="93"/>
    </row>
    <row r="68" spans="1:10" s="5" customFormat="1" ht="12.5" x14ac:dyDescent="0.25">
      <c r="A68" s="366"/>
      <c r="B68" s="367"/>
      <c r="C68" s="374"/>
      <c r="D68" s="93"/>
      <c r="E68" s="93"/>
      <c r="F68" s="93"/>
      <c r="G68" s="93"/>
      <c r="H68" s="93"/>
      <c r="I68" s="93"/>
      <c r="J68" s="93"/>
    </row>
    <row r="69" spans="1:10" s="5" customFormat="1" ht="12.5" x14ac:dyDescent="0.25">
      <c r="A69" s="366"/>
      <c r="B69" s="367"/>
      <c r="C69" s="374"/>
      <c r="D69" s="93"/>
      <c r="E69" s="93"/>
      <c r="F69" s="93"/>
      <c r="G69" s="93"/>
      <c r="H69" s="93"/>
      <c r="I69" s="93"/>
      <c r="J69" s="93"/>
    </row>
    <row r="70" spans="1:10" s="5" customFormat="1" ht="12.5" x14ac:dyDescent="0.25">
      <c r="A70" s="366"/>
      <c r="B70" s="367"/>
      <c r="C70" s="374"/>
      <c r="D70" s="93"/>
      <c r="E70" s="93"/>
      <c r="F70" s="93"/>
      <c r="G70" s="93"/>
      <c r="H70" s="93"/>
      <c r="I70" s="93"/>
      <c r="J70" s="93"/>
    </row>
    <row r="71" spans="1:10" s="5" customFormat="1" ht="12.5" x14ac:dyDescent="0.25">
      <c r="A71" s="368"/>
      <c r="B71" s="369"/>
      <c r="C71" s="374"/>
      <c r="D71" s="93"/>
      <c r="E71" s="93"/>
      <c r="F71" s="93"/>
      <c r="G71" s="93"/>
      <c r="H71" s="93"/>
      <c r="I71" s="93"/>
      <c r="J71" s="93"/>
    </row>
    <row r="72" spans="1:10" s="5" customFormat="1" ht="48" customHeight="1" x14ac:dyDescent="0.25">
      <c r="A72" s="98" t="s">
        <v>64</v>
      </c>
      <c r="B72" s="196"/>
      <c r="C72" s="169" t="s">
        <v>292</v>
      </c>
      <c r="D72" s="168" t="s">
        <v>211</v>
      </c>
      <c r="E72" s="197" t="s">
        <v>212</v>
      </c>
      <c r="F72" s="169" t="s">
        <v>213</v>
      </c>
      <c r="G72" s="170" t="s">
        <v>216</v>
      </c>
      <c r="H72" s="170" t="s">
        <v>217</v>
      </c>
      <c r="I72" s="170" t="s">
        <v>214</v>
      </c>
      <c r="J72" s="171" t="s">
        <v>215</v>
      </c>
    </row>
    <row r="73" spans="1:10" s="5" customFormat="1" ht="12.65" customHeight="1" x14ac:dyDescent="0.25">
      <c r="A73" s="370"/>
      <c r="B73" s="371"/>
      <c r="C73" s="373"/>
      <c r="D73" s="93"/>
      <c r="E73" s="93"/>
      <c r="F73" s="93"/>
      <c r="G73" s="93"/>
      <c r="H73" s="93"/>
      <c r="I73" s="93"/>
      <c r="J73" s="93"/>
    </row>
    <row r="74" spans="1:10" s="5" customFormat="1" ht="12.65" customHeight="1" x14ac:dyDescent="0.25">
      <c r="A74" s="366"/>
      <c r="B74" s="367"/>
      <c r="C74" s="374"/>
      <c r="D74" s="93"/>
      <c r="E74" s="93"/>
      <c r="F74" s="93"/>
      <c r="G74" s="93"/>
      <c r="H74" s="93"/>
      <c r="I74" s="93"/>
      <c r="J74" s="93"/>
    </row>
    <row r="75" spans="1:10" s="5" customFormat="1" ht="12.65" customHeight="1" x14ac:dyDescent="0.25">
      <c r="A75" s="366"/>
      <c r="B75" s="367"/>
      <c r="C75" s="374"/>
      <c r="D75" s="93"/>
      <c r="E75" s="93"/>
      <c r="F75" s="93"/>
      <c r="G75" s="93"/>
      <c r="H75" s="93"/>
      <c r="I75" s="93"/>
      <c r="J75" s="93"/>
    </row>
    <row r="76" spans="1:10" s="5" customFormat="1" ht="12.65" customHeight="1" x14ac:dyDescent="0.25">
      <c r="A76" s="366"/>
      <c r="B76" s="367"/>
      <c r="C76" s="374"/>
      <c r="D76" s="93"/>
      <c r="E76" s="93"/>
      <c r="F76" s="93"/>
      <c r="G76" s="93"/>
      <c r="H76" s="93"/>
      <c r="I76" s="93"/>
      <c r="J76" s="93"/>
    </row>
    <row r="77" spans="1:10" s="5" customFormat="1" ht="12.65" customHeight="1" x14ac:dyDescent="0.25">
      <c r="A77" s="366"/>
      <c r="B77" s="367"/>
      <c r="C77" s="374"/>
      <c r="D77" s="93"/>
      <c r="E77" s="93"/>
      <c r="F77" s="93"/>
      <c r="G77" s="93"/>
      <c r="H77" s="93"/>
      <c r="I77" s="93"/>
      <c r="J77" s="93"/>
    </row>
    <row r="78" spans="1:10" s="5" customFormat="1" ht="10" customHeight="1" x14ac:dyDescent="0.25">
      <c r="A78" s="366"/>
      <c r="B78" s="367"/>
      <c r="C78" s="374"/>
      <c r="D78" s="93"/>
      <c r="E78" s="93"/>
      <c r="F78" s="93"/>
      <c r="G78" s="93"/>
      <c r="H78" s="93"/>
      <c r="I78" s="93"/>
      <c r="J78" s="93"/>
    </row>
    <row r="79" spans="1:10" s="5" customFormat="1" ht="10" customHeight="1" x14ac:dyDescent="0.25">
      <c r="A79" s="366"/>
      <c r="B79" s="367"/>
      <c r="C79" s="374"/>
      <c r="D79" s="93"/>
      <c r="E79" s="93"/>
      <c r="F79" s="93"/>
      <c r="G79" s="93"/>
      <c r="H79" s="93"/>
      <c r="I79" s="93"/>
      <c r="J79" s="93"/>
    </row>
    <row r="80" spans="1:10" s="5" customFormat="1" ht="12.5" x14ac:dyDescent="0.25">
      <c r="A80" s="366"/>
      <c r="B80" s="367"/>
      <c r="C80" s="374"/>
      <c r="D80" s="93"/>
      <c r="E80" s="93"/>
      <c r="F80" s="93"/>
      <c r="G80" s="93"/>
      <c r="H80" s="93"/>
      <c r="I80" s="93"/>
      <c r="J80" s="93"/>
    </row>
    <row r="81" spans="1:10" s="5" customFormat="1" ht="12.5" x14ac:dyDescent="0.25">
      <c r="A81" s="366"/>
      <c r="B81" s="367"/>
      <c r="C81" s="374"/>
      <c r="D81" s="93"/>
      <c r="E81" s="93"/>
      <c r="F81" s="93"/>
      <c r="G81" s="93"/>
      <c r="H81" s="93"/>
      <c r="I81" s="93"/>
      <c r="J81" s="93"/>
    </row>
    <row r="82" spans="1:10" s="5" customFormat="1" ht="12.5" x14ac:dyDescent="0.25">
      <c r="A82" s="366"/>
      <c r="B82" s="367"/>
      <c r="C82" s="374"/>
      <c r="D82" s="93"/>
      <c r="E82" s="93"/>
      <c r="F82" s="93"/>
      <c r="G82" s="93"/>
      <c r="H82" s="93"/>
      <c r="I82" s="93"/>
      <c r="J82" s="93"/>
    </row>
    <row r="83" spans="1:10" s="5" customFormat="1" ht="12.5" x14ac:dyDescent="0.25">
      <c r="A83" s="366"/>
      <c r="B83" s="367"/>
      <c r="C83" s="374"/>
      <c r="D83" s="93"/>
      <c r="E83" s="93"/>
      <c r="F83" s="93"/>
      <c r="G83" s="93"/>
      <c r="H83" s="93"/>
      <c r="I83" s="93"/>
      <c r="J83" s="93"/>
    </row>
    <row r="84" spans="1:10" s="5" customFormat="1" ht="12.5" x14ac:dyDescent="0.25">
      <c r="A84" s="366"/>
      <c r="B84" s="367"/>
      <c r="C84" s="374"/>
      <c r="D84" s="93"/>
      <c r="E84" s="93"/>
      <c r="F84" s="93"/>
      <c r="G84" s="93"/>
      <c r="H84" s="93"/>
      <c r="I84" s="93"/>
      <c r="J84" s="93"/>
    </row>
    <row r="85" spans="1:10" s="5" customFormat="1" ht="12.5" x14ac:dyDescent="0.25">
      <c r="A85" s="366"/>
      <c r="B85" s="367"/>
      <c r="C85" s="374"/>
      <c r="D85" s="93"/>
      <c r="E85" s="93"/>
      <c r="F85" s="93"/>
      <c r="G85" s="93"/>
      <c r="H85" s="93"/>
      <c r="I85" s="93"/>
      <c r="J85" s="93"/>
    </row>
    <row r="86" spans="1:10" s="5" customFormat="1" ht="12.5" x14ac:dyDescent="0.25">
      <c r="A86" s="366"/>
      <c r="B86" s="367"/>
      <c r="C86" s="374"/>
      <c r="D86" s="93"/>
      <c r="E86" s="93"/>
      <c r="F86" s="93"/>
      <c r="G86" s="93"/>
      <c r="H86" s="93"/>
      <c r="I86" s="93"/>
      <c r="J86" s="93"/>
    </row>
    <row r="87" spans="1:10" s="5" customFormat="1" ht="12.5" x14ac:dyDescent="0.25">
      <c r="A87" s="368"/>
      <c r="B87" s="369"/>
      <c r="C87" s="374"/>
      <c r="D87" s="93"/>
      <c r="E87" s="93"/>
      <c r="F87" s="93"/>
      <c r="G87" s="93"/>
      <c r="H87" s="93"/>
      <c r="I87" s="93"/>
      <c r="J87" s="93"/>
    </row>
    <row r="88" spans="1:10" s="5" customFormat="1" ht="43" customHeight="1" x14ac:dyDescent="0.25">
      <c r="A88" s="98" t="s">
        <v>65</v>
      </c>
      <c r="B88" s="195"/>
      <c r="C88" s="169" t="s">
        <v>293</v>
      </c>
      <c r="D88" s="168" t="s">
        <v>211</v>
      </c>
      <c r="E88" s="197" t="s">
        <v>212</v>
      </c>
      <c r="F88" s="169" t="s">
        <v>213</v>
      </c>
      <c r="G88" s="170" t="s">
        <v>216</v>
      </c>
      <c r="H88" s="170" t="s">
        <v>217</v>
      </c>
      <c r="I88" s="170" t="s">
        <v>214</v>
      </c>
      <c r="J88" s="171" t="s">
        <v>215</v>
      </c>
    </row>
    <row r="89" spans="1:10" s="5" customFormat="1" ht="12.5" x14ac:dyDescent="0.25">
      <c r="A89" s="370"/>
      <c r="B89" s="371"/>
      <c r="C89" s="373"/>
      <c r="D89" s="93"/>
      <c r="E89" s="93"/>
      <c r="F89" s="93"/>
      <c r="G89" s="93"/>
      <c r="H89" s="93"/>
      <c r="I89" s="93"/>
      <c r="J89" s="93"/>
    </row>
    <row r="90" spans="1:10" s="5" customFormat="1" ht="12.5" x14ac:dyDescent="0.25">
      <c r="A90" s="366"/>
      <c r="B90" s="367"/>
      <c r="C90" s="374"/>
      <c r="D90" s="93"/>
      <c r="E90" s="93"/>
      <c r="F90" s="93"/>
      <c r="G90" s="93"/>
      <c r="H90" s="93"/>
      <c r="I90" s="93"/>
      <c r="J90" s="93"/>
    </row>
    <row r="91" spans="1:10" s="5" customFormat="1" ht="12.5" x14ac:dyDescent="0.25">
      <c r="A91" s="366"/>
      <c r="B91" s="367"/>
      <c r="C91" s="374"/>
      <c r="D91" s="93"/>
      <c r="E91" s="93"/>
      <c r="F91" s="93"/>
      <c r="G91" s="93"/>
      <c r="H91" s="93"/>
      <c r="I91" s="93"/>
      <c r="J91" s="93"/>
    </row>
    <row r="92" spans="1:10" s="5" customFormat="1" ht="12.5" x14ac:dyDescent="0.25">
      <c r="A92" s="366"/>
      <c r="B92" s="367"/>
      <c r="C92" s="374"/>
      <c r="D92" s="93"/>
      <c r="E92" s="93"/>
      <c r="F92" s="93"/>
      <c r="G92" s="93"/>
      <c r="H92" s="93"/>
      <c r="I92" s="93"/>
      <c r="J92" s="93"/>
    </row>
    <row r="93" spans="1:10" s="5" customFormat="1" ht="12.5" x14ac:dyDescent="0.25">
      <c r="A93" s="366"/>
      <c r="B93" s="367"/>
      <c r="C93" s="374"/>
      <c r="D93" s="93"/>
      <c r="E93" s="93"/>
      <c r="F93" s="93"/>
      <c r="G93" s="93"/>
      <c r="H93" s="93"/>
      <c r="I93" s="93"/>
      <c r="J93" s="93"/>
    </row>
    <row r="94" spans="1:10" s="5" customFormat="1" ht="12.5" x14ac:dyDescent="0.25">
      <c r="A94" s="366"/>
      <c r="B94" s="367"/>
      <c r="C94" s="374"/>
      <c r="D94" s="93"/>
      <c r="E94" s="93"/>
      <c r="F94" s="93"/>
      <c r="G94" s="93"/>
      <c r="H94" s="93"/>
      <c r="I94" s="93"/>
      <c r="J94" s="93"/>
    </row>
    <row r="95" spans="1:10" s="5" customFormat="1" ht="12.5" x14ac:dyDescent="0.25">
      <c r="A95" s="366"/>
      <c r="B95" s="367"/>
      <c r="C95" s="374"/>
      <c r="D95" s="93"/>
      <c r="E95" s="93"/>
      <c r="F95" s="93"/>
      <c r="G95" s="93"/>
      <c r="H95" s="93"/>
      <c r="I95" s="93"/>
      <c r="J95" s="93"/>
    </row>
    <row r="96" spans="1:10" s="5" customFormat="1" ht="12.5" x14ac:dyDescent="0.25">
      <c r="A96" s="366"/>
      <c r="B96" s="367"/>
      <c r="C96" s="374"/>
      <c r="D96" s="93"/>
      <c r="E96" s="93"/>
      <c r="F96" s="93"/>
      <c r="G96" s="93"/>
      <c r="H96" s="93"/>
      <c r="I96" s="93"/>
      <c r="J96" s="93"/>
    </row>
    <row r="97" spans="1:10" s="5" customFormat="1" ht="12.5" x14ac:dyDescent="0.25">
      <c r="A97" s="366"/>
      <c r="B97" s="367"/>
      <c r="C97" s="374"/>
      <c r="D97" s="93"/>
      <c r="E97" s="93"/>
      <c r="F97" s="93"/>
      <c r="G97" s="93"/>
      <c r="H97" s="93"/>
      <c r="I97" s="93"/>
      <c r="J97" s="93"/>
    </row>
    <row r="98" spans="1:10" s="5" customFormat="1" ht="12.5" x14ac:dyDescent="0.25">
      <c r="A98" s="366"/>
      <c r="B98" s="367"/>
      <c r="C98" s="374"/>
      <c r="D98" s="93"/>
      <c r="E98" s="93"/>
      <c r="F98" s="93"/>
      <c r="G98" s="93"/>
      <c r="H98" s="93"/>
      <c r="I98" s="93"/>
      <c r="J98" s="93"/>
    </row>
    <row r="99" spans="1:10" s="5" customFormat="1" ht="12.5" x14ac:dyDescent="0.25">
      <c r="A99" s="366"/>
      <c r="B99" s="367"/>
      <c r="C99" s="374"/>
      <c r="D99" s="93"/>
      <c r="E99" s="93"/>
      <c r="F99" s="93"/>
      <c r="G99" s="93"/>
      <c r="H99" s="93"/>
      <c r="I99" s="93"/>
      <c r="J99" s="93"/>
    </row>
    <row r="100" spans="1:10" s="5" customFormat="1" ht="12.5" x14ac:dyDescent="0.25">
      <c r="A100" s="366"/>
      <c r="B100" s="367"/>
      <c r="C100" s="374"/>
      <c r="D100" s="93"/>
      <c r="E100" s="93"/>
      <c r="F100" s="93"/>
      <c r="G100" s="93"/>
      <c r="H100" s="93"/>
      <c r="I100" s="93"/>
      <c r="J100" s="93"/>
    </row>
    <row r="101" spans="1:10" s="5" customFormat="1" ht="12.5" x14ac:dyDescent="0.25">
      <c r="A101" s="366"/>
      <c r="B101" s="367"/>
      <c r="C101" s="374"/>
      <c r="D101" s="93"/>
      <c r="E101" s="93"/>
      <c r="F101" s="93"/>
      <c r="G101" s="93"/>
      <c r="H101" s="93"/>
      <c r="I101" s="93"/>
      <c r="J101" s="93"/>
    </row>
    <row r="102" spans="1:10" s="5" customFormat="1" ht="12.5" x14ac:dyDescent="0.25">
      <c r="A102" s="366"/>
      <c r="B102" s="367"/>
      <c r="C102" s="374"/>
      <c r="D102" s="93"/>
      <c r="E102" s="93"/>
      <c r="F102" s="93"/>
      <c r="G102" s="93"/>
      <c r="H102" s="93"/>
      <c r="I102" s="93"/>
      <c r="J102" s="93"/>
    </row>
    <row r="103" spans="1:10" s="5" customFormat="1" ht="12.5" x14ac:dyDescent="0.25">
      <c r="A103" s="368"/>
      <c r="B103" s="369"/>
      <c r="C103" s="374"/>
      <c r="D103" s="93"/>
      <c r="E103" s="93"/>
      <c r="F103" s="93"/>
      <c r="G103" s="93"/>
      <c r="H103" s="93"/>
      <c r="I103" s="93"/>
      <c r="J103" s="93"/>
    </row>
  </sheetData>
  <sheetProtection algorithmName="SHA-512" hashValue="WP3ijgWtcAot4XE0XmfTDQWTAqqwPFwSE1O0f1EyXyXnUCrHsZHgoiXUZfO7pcObeXq5RYW2nbl92xthb9oIug==" saltValue="xKwFFIchIw3UDUZMu6xy7Q==" spinCount="100000" sheet="1" objects="1" scenarios="1"/>
  <mergeCells count="98">
    <mergeCell ref="C9:C23"/>
    <mergeCell ref="C25:C39"/>
    <mergeCell ref="C41:C55"/>
    <mergeCell ref="C57:C71"/>
    <mergeCell ref="C73:C87"/>
    <mergeCell ref="C89:C103"/>
    <mergeCell ref="A102:B102"/>
    <mergeCell ref="A103:B103"/>
    <mergeCell ref="A83:B83"/>
    <mergeCell ref="A84:B84"/>
    <mergeCell ref="A85:B85"/>
    <mergeCell ref="A86:B86"/>
    <mergeCell ref="A87:B87"/>
    <mergeCell ref="A93:B93"/>
    <mergeCell ref="A94:B94"/>
    <mergeCell ref="A95:B95"/>
    <mergeCell ref="A96:B96"/>
    <mergeCell ref="A97:B97"/>
    <mergeCell ref="A89:B89"/>
    <mergeCell ref="A90:B90"/>
    <mergeCell ref="A91:B91"/>
    <mergeCell ref="A10:B10"/>
    <mergeCell ref="A11:B11"/>
    <mergeCell ref="A25:B25"/>
    <mergeCell ref="A64:B64"/>
    <mergeCell ref="A65:B65"/>
    <mergeCell ref="A26:B26"/>
    <mergeCell ref="A35:B35"/>
    <mergeCell ref="A36:B36"/>
    <mergeCell ref="A37:B37"/>
    <mergeCell ref="A27:B27"/>
    <mergeCell ref="A39:B39"/>
    <mergeCell ref="A33:B33"/>
    <mergeCell ref="A34:B34"/>
    <mergeCell ref="A38:B38"/>
    <mergeCell ref="A57:B57"/>
    <mergeCell ref="A58:B58"/>
    <mergeCell ref="A99:B99"/>
    <mergeCell ref="A100:B100"/>
    <mergeCell ref="A101:B101"/>
    <mergeCell ref="A69:B69"/>
    <mergeCell ref="A70:B70"/>
    <mergeCell ref="A71:B71"/>
    <mergeCell ref="A79:B79"/>
    <mergeCell ref="A80:B80"/>
    <mergeCell ref="A92:B92"/>
    <mergeCell ref="A81:B81"/>
    <mergeCell ref="A98:B98"/>
    <mergeCell ref="A66:B66"/>
    <mergeCell ref="A67:B67"/>
    <mergeCell ref="A68:B68"/>
    <mergeCell ref="A63:B63"/>
    <mergeCell ref="A62:B62"/>
    <mergeCell ref="A59:B59"/>
    <mergeCell ref="A60:B60"/>
    <mergeCell ref="A61:B61"/>
    <mergeCell ref="A41:B41"/>
    <mergeCell ref="A48:B48"/>
    <mergeCell ref="A42:B42"/>
    <mergeCell ref="A49:B49"/>
    <mergeCell ref="A50:B50"/>
    <mergeCell ref="A43:B43"/>
    <mergeCell ref="A44:B44"/>
    <mergeCell ref="A45:B45"/>
    <mergeCell ref="A46:B46"/>
    <mergeCell ref="A47:B47"/>
    <mergeCell ref="A1:J6"/>
    <mergeCell ref="A82:B82"/>
    <mergeCell ref="A51:B51"/>
    <mergeCell ref="A52:B52"/>
    <mergeCell ref="A53:B53"/>
    <mergeCell ref="A54:B54"/>
    <mergeCell ref="A55:B55"/>
    <mergeCell ref="A73:B73"/>
    <mergeCell ref="A74:B74"/>
    <mergeCell ref="A75:B75"/>
    <mergeCell ref="A76:B76"/>
    <mergeCell ref="A77:B77"/>
    <mergeCell ref="A78:B78"/>
    <mergeCell ref="A18:B18"/>
    <mergeCell ref="A19:B19"/>
    <mergeCell ref="A20:B20"/>
    <mergeCell ref="A7:J7"/>
    <mergeCell ref="A32:B32"/>
    <mergeCell ref="A12:B12"/>
    <mergeCell ref="A13:B13"/>
    <mergeCell ref="A14:B14"/>
    <mergeCell ref="A15:B15"/>
    <mergeCell ref="A16:B16"/>
    <mergeCell ref="A17:B17"/>
    <mergeCell ref="A23:B23"/>
    <mergeCell ref="A29:B29"/>
    <mergeCell ref="A30:B30"/>
    <mergeCell ref="A21:B21"/>
    <mergeCell ref="A22:B22"/>
    <mergeCell ref="A28:B28"/>
    <mergeCell ref="A31:B31"/>
    <mergeCell ref="A9:B9"/>
  </mergeCells>
  <pageMargins left="0.7" right="0.7" top="0.75" bottom="0.75" header="0.3" footer="0.3"/>
  <pageSetup scale="47" orientation="portrait" r:id="rId1"/>
  <rowBreaks count="2" manualBreakCount="2">
    <brk id="53" max="16383" man="1"/>
    <brk id="55" max="16383"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theme="9" tint="-0.249977111117893"/>
  </sheetPr>
  <dimension ref="A1:I105"/>
  <sheetViews>
    <sheetView view="pageBreakPreview" topLeftCell="B41" zoomScaleNormal="100" zoomScaleSheetLayoutView="100" workbookViewId="0">
      <selection activeCell="J6" sqref="J5:J6"/>
    </sheetView>
  </sheetViews>
  <sheetFormatPr baseColWidth="10" defaultRowHeight="14.5" x14ac:dyDescent="0.35"/>
  <cols>
    <col min="1" max="1" width="22.08984375" customWidth="1"/>
    <col min="2" max="2" width="30.36328125" customWidth="1"/>
    <col min="3" max="3" width="31.7265625" customWidth="1"/>
    <col min="4" max="4" width="32.453125" customWidth="1"/>
    <col min="9" max="9" width="10.90625" style="198"/>
  </cols>
  <sheetData>
    <row r="1" spans="1:9" x14ac:dyDescent="0.35">
      <c r="A1" s="334" t="s">
        <v>208</v>
      </c>
      <c r="B1" s="378"/>
      <c r="C1" s="378"/>
      <c r="D1" s="378"/>
    </row>
    <row r="2" spans="1:9" ht="14.5" customHeight="1" x14ac:dyDescent="0.35">
      <c r="A2" s="378"/>
      <c r="B2" s="378"/>
      <c r="C2" s="378"/>
      <c r="D2" s="378"/>
    </row>
    <row r="3" spans="1:9" ht="14.5" customHeight="1" x14ac:dyDescent="0.35">
      <c r="A3" s="378"/>
      <c r="B3" s="378"/>
      <c r="C3" s="378"/>
      <c r="D3" s="378"/>
    </row>
    <row r="4" spans="1:9" ht="14.5" customHeight="1" x14ac:dyDescent="0.35">
      <c r="A4" s="378"/>
      <c r="B4" s="378"/>
      <c r="C4" s="378"/>
      <c r="D4" s="378"/>
    </row>
    <row r="5" spans="1:9" x14ac:dyDescent="0.35">
      <c r="A5" s="378"/>
      <c r="B5" s="378"/>
      <c r="C5" s="378"/>
      <c r="D5" s="378"/>
    </row>
    <row r="6" spans="1:9" x14ac:dyDescent="0.35">
      <c r="A6" s="378"/>
      <c r="B6" s="378"/>
      <c r="C6" s="378"/>
      <c r="D6" s="378"/>
    </row>
    <row r="7" spans="1:9" x14ac:dyDescent="0.35">
      <c r="A7" s="379" t="s">
        <v>136</v>
      </c>
      <c r="B7" s="380"/>
      <c r="C7" s="380"/>
      <c r="D7" s="381"/>
      <c r="I7" s="198" t="s">
        <v>304</v>
      </c>
    </row>
    <row r="8" spans="1:9" ht="23" customHeight="1" x14ac:dyDescent="0.35">
      <c r="A8" s="157" t="s">
        <v>137</v>
      </c>
      <c r="B8" s="158" t="s">
        <v>138</v>
      </c>
      <c r="C8" s="158" t="s">
        <v>139</v>
      </c>
      <c r="D8" s="13" t="s">
        <v>140</v>
      </c>
      <c r="I8" s="198">
        <f>+B9</f>
        <v>0</v>
      </c>
    </row>
    <row r="9" spans="1:9" x14ac:dyDescent="0.35">
      <c r="A9" s="149"/>
      <c r="B9" s="149"/>
      <c r="C9" s="149"/>
      <c r="D9" s="173"/>
      <c r="I9" s="198">
        <f t="shared" ref="I9:I43" si="0">+B10</f>
        <v>0</v>
      </c>
    </row>
    <row r="10" spans="1:9" x14ac:dyDescent="0.35">
      <c r="A10" s="149"/>
      <c r="B10" s="149"/>
      <c r="C10" s="149"/>
      <c r="D10" s="140"/>
      <c r="I10" s="198">
        <f t="shared" si="0"/>
        <v>0</v>
      </c>
    </row>
    <row r="11" spans="1:9" x14ac:dyDescent="0.35">
      <c r="A11" s="149"/>
      <c r="B11" s="149"/>
      <c r="C11" s="149"/>
      <c r="D11" s="140"/>
      <c r="I11" s="198">
        <f t="shared" si="0"/>
        <v>0</v>
      </c>
    </row>
    <row r="12" spans="1:9" x14ac:dyDescent="0.35">
      <c r="A12" s="149"/>
      <c r="B12" s="149"/>
      <c r="C12" s="149"/>
      <c r="D12" s="140"/>
      <c r="I12" s="198">
        <f t="shared" si="0"/>
        <v>0</v>
      </c>
    </row>
    <row r="13" spans="1:9" x14ac:dyDescent="0.35">
      <c r="A13" s="149"/>
      <c r="B13" s="149"/>
      <c r="C13" s="149"/>
      <c r="D13" s="140"/>
      <c r="I13" s="198">
        <f t="shared" si="0"/>
        <v>0</v>
      </c>
    </row>
    <row r="14" spans="1:9" x14ac:dyDescent="0.35">
      <c r="A14" s="149"/>
      <c r="B14" s="149"/>
      <c r="C14" s="149"/>
      <c r="D14" s="140"/>
      <c r="I14" s="198">
        <f t="shared" si="0"/>
        <v>0</v>
      </c>
    </row>
    <row r="15" spans="1:9" x14ac:dyDescent="0.35">
      <c r="A15" s="149"/>
      <c r="B15" s="149"/>
      <c r="C15" s="149"/>
      <c r="D15" s="140"/>
      <c r="I15" s="198">
        <f t="shared" si="0"/>
        <v>0</v>
      </c>
    </row>
    <row r="16" spans="1:9" x14ac:dyDescent="0.35">
      <c r="A16" s="149"/>
      <c r="B16" s="149"/>
      <c r="C16" s="149"/>
      <c r="D16" s="140"/>
      <c r="I16" s="198">
        <f t="shared" si="0"/>
        <v>0</v>
      </c>
    </row>
    <row r="17" spans="1:9" x14ac:dyDescent="0.35">
      <c r="A17" s="152"/>
      <c r="B17" s="149"/>
      <c r="C17" s="149"/>
      <c r="D17" s="140"/>
      <c r="I17" s="198">
        <f t="shared" si="0"/>
        <v>0</v>
      </c>
    </row>
    <row r="18" spans="1:9" x14ac:dyDescent="0.35">
      <c r="A18" s="149"/>
      <c r="B18" s="149"/>
      <c r="C18" s="149"/>
      <c r="D18" s="174"/>
      <c r="I18" s="198">
        <f t="shared" si="0"/>
        <v>0</v>
      </c>
    </row>
    <row r="19" spans="1:9" x14ac:dyDescent="0.35">
      <c r="A19" s="149"/>
      <c r="B19" s="149"/>
      <c r="C19" s="149"/>
      <c r="D19" s="174"/>
      <c r="I19" s="198">
        <f t="shared" si="0"/>
        <v>0</v>
      </c>
    </row>
    <row r="20" spans="1:9" x14ac:dyDescent="0.35">
      <c r="A20" s="149"/>
      <c r="B20" s="149"/>
      <c r="C20" s="149"/>
      <c r="D20" s="175"/>
      <c r="I20" s="198">
        <f t="shared" si="0"/>
        <v>0</v>
      </c>
    </row>
    <row r="21" spans="1:9" x14ac:dyDescent="0.35">
      <c r="A21" s="149"/>
      <c r="B21" s="149"/>
      <c r="C21" s="149"/>
      <c r="D21" s="173"/>
      <c r="I21" s="198">
        <f t="shared" si="0"/>
        <v>0</v>
      </c>
    </row>
    <row r="22" spans="1:9" x14ac:dyDescent="0.35">
      <c r="A22" s="149"/>
      <c r="B22" s="149"/>
      <c r="C22" s="152"/>
      <c r="D22" s="140"/>
      <c r="I22" s="198">
        <f t="shared" si="0"/>
        <v>0</v>
      </c>
    </row>
    <row r="23" spans="1:9" x14ac:dyDescent="0.35">
      <c r="A23" s="150"/>
      <c r="B23" s="149"/>
      <c r="C23" s="149"/>
      <c r="D23" s="176"/>
      <c r="I23" s="198">
        <f t="shared" si="0"/>
        <v>0</v>
      </c>
    </row>
    <row r="24" spans="1:9" x14ac:dyDescent="0.35">
      <c r="A24" s="150"/>
      <c r="B24" s="149"/>
      <c r="C24" s="149"/>
      <c r="D24" s="176"/>
      <c r="I24" s="198">
        <f t="shared" si="0"/>
        <v>0</v>
      </c>
    </row>
    <row r="25" spans="1:9" x14ac:dyDescent="0.35">
      <c r="A25" s="150"/>
      <c r="B25" s="149"/>
      <c r="C25" s="149"/>
      <c r="D25" s="176"/>
      <c r="I25" s="198">
        <f t="shared" si="0"/>
        <v>0</v>
      </c>
    </row>
    <row r="26" spans="1:9" x14ac:dyDescent="0.35">
      <c r="A26" s="177"/>
      <c r="B26" s="149"/>
      <c r="C26" s="177"/>
      <c r="D26" s="176"/>
      <c r="I26" s="198">
        <f t="shared" si="0"/>
        <v>0</v>
      </c>
    </row>
    <row r="27" spans="1:9" x14ac:dyDescent="0.35">
      <c r="A27" s="177"/>
      <c r="B27" s="149"/>
      <c r="C27" s="177"/>
      <c r="D27" s="176"/>
      <c r="I27" s="198">
        <f t="shared" si="0"/>
        <v>0</v>
      </c>
    </row>
    <row r="28" spans="1:9" x14ac:dyDescent="0.35">
      <c r="A28" s="177"/>
      <c r="B28" s="149"/>
      <c r="C28" s="177"/>
      <c r="D28" s="176"/>
      <c r="I28" s="198">
        <f t="shared" si="0"/>
        <v>0</v>
      </c>
    </row>
    <row r="29" spans="1:9" x14ac:dyDescent="0.35">
      <c r="A29" s="149"/>
      <c r="B29" s="149"/>
      <c r="C29" s="149"/>
      <c r="D29" s="173"/>
      <c r="I29" s="198">
        <f t="shared" si="0"/>
        <v>0</v>
      </c>
    </row>
    <row r="30" spans="1:9" x14ac:dyDescent="0.35">
      <c r="A30" s="149"/>
      <c r="B30" s="149"/>
      <c r="C30" s="149"/>
      <c r="D30" s="174"/>
      <c r="I30" s="198">
        <f t="shared" si="0"/>
        <v>0</v>
      </c>
    </row>
    <row r="31" spans="1:9" x14ac:dyDescent="0.35">
      <c r="A31" s="149"/>
      <c r="B31" s="149"/>
      <c r="C31" s="150"/>
      <c r="D31" s="173"/>
      <c r="I31" s="198">
        <f t="shared" si="0"/>
        <v>0</v>
      </c>
    </row>
    <row r="32" spans="1:9" x14ac:dyDescent="0.35">
      <c r="A32" s="149"/>
      <c r="B32" s="149"/>
      <c r="C32" s="149"/>
      <c r="D32" s="176"/>
      <c r="I32" s="198">
        <f t="shared" si="0"/>
        <v>0</v>
      </c>
    </row>
    <row r="33" spans="1:9" x14ac:dyDescent="0.35">
      <c r="A33" s="144"/>
      <c r="B33" s="149"/>
      <c r="C33" s="145"/>
      <c r="D33" s="139"/>
      <c r="I33" s="198">
        <f t="shared" si="0"/>
        <v>0</v>
      </c>
    </row>
    <row r="34" spans="1:9" x14ac:dyDescent="0.35">
      <c r="A34" s="144"/>
      <c r="B34" s="149"/>
      <c r="C34" s="145"/>
      <c r="D34" s="139"/>
      <c r="I34" s="198">
        <f t="shared" si="0"/>
        <v>0</v>
      </c>
    </row>
    <row r="35" spans="1:9" x14ac:dyDescent="0.35">
      <c r="A35" s="144"/>
      <c r="B35" s="149"/>
      <c r="C35" s="145"/>
      <c r="D35" s="139"/>
      <c r="I35" s="198">
        <f t="shared" si="0"/>
        <v>0</v>
      </c>
    </row>
    <row r="36" spans="1:9" x14ac:dyDescent="0.35">
      <c r="A36" s="144"/>
      <c r="B36" s="149"/>
      <c r="C36" s="145"/>
      <c r="D36" s="139"/>
      <c r="I36" s="198">
        <f t="shared" si="0"/>
        <v>0</v>
      </c>
    </row>
    <row r="37" spans="1:9" x14ac:dyDescent="0.35">
      <c r="A37" s="144"/>
      <c r="B37" s="149"/>
      <c r="C37" s="145"/>
      <c r="D37" s="139"/>
      <c r="I37" s="198">
        <f t="shared" si="0"/>
        <v>0</v>
      </c>
    </row>
    <row r="38" spans="1:9" x14ac:dyDescent="0.35">
      <c r="A38" s="144"/>
      <c r="B38" s="149"/>
      <c r="C38" s="145"/>
      <c r="D38" s="139"/>
      <c r="I38" s="198">
        <f t="shared" si="0"/>
        <v>0</v>
      </c>
    </row>
    <row r="39" spans="1:9" x14ac:dyDescent="0.35">
      <c r="A39" s="144"/>
      <c r="B39" s="149"/>
      <c r="C39" s="145"/>
      <c r="D39" s="139"/>
      <c r="I39" s="198">
        <f t="shared" si="0"/>
        <v>0</v>
      </c>
    </row>
    <row r="40" spans="1:9" x14ac:dyDescent="0.35">
      <c r="A40" s="144"/>
      <c r="B40" s="149"/>
      <c r="C40" s="145"/>
      <c r="D40" s="139"/>
      <c r="I40" s="198">
        <f t="shared" si="0"/>
        <v>0</v>
      </c>
    </row>
    <row r="41" spans="1:9" x14ac:dyDescent="0.35">
      <c r="A41" s="144"/>
      <c r="B41" s="149"/>
      <c r="C41" s="145"/>
      <c r="D41" s="139"/>
      <c r="I41" s="198">
        <f t="shared" si="0"/>
        <v>0</v>
      </c>
    </row>
    <row r="42" spans="1:9" x14ac:dyDescent="0.35">
      <c r="A42" s="144"/>
      <c r="B42" s="149"/>
      <c r="C42" s="145"/>
      <c r="D42" s="139"/>
      <c r="I42" s="198">
        <f t="shared" si="0"/>
        <v>0</v>
      </c>
    </row>
    <row r="43" spans="1:9" x14ac:dyDescent="0.35">
      <c r="A43" s="144"/>
      <c r="B43" s="149"/>
      <c r="C43" s="145"/>
      <c r="D43" s="139"/>
      <c r="I43" s="198">
        <f t="shared" si="0"/>
        <v>0</v>
      </c>
    </row>
    <row r="44" spans="1:9" ht="15" thickBot="1" x14ac:dyDescent="0.4">
      <c r="A44" s="144"/>
      <c r="B44" s="149"/>
      <c r="C44" s="145"/>
      <c r="D44" s="139"/>
      <c r="I44" s="198">
        <f>+B47</f>
        <v>0</v>
      </c>
    </row>
    <row r="45" spans="1:9" x14ac:dyDescent="0.35">
      <c r="A45" s="375" t="s">
        <v>141</v>
      </c>
      <c r="B45" s="376"/>
      <c r="C45" s="376"/>
      <c r="D45" s="377"/>
      <c r="I45" s="198">
        <f t="shared" ref="I45:I105" si="1">+B48</f>
        <v>0</v>
      </c>
    </row>
    <row r="46" spans="1:9" ht="34.5" x14ac:dyDescent="0.35">
      <c r="A46" s="194" t="s">
        <v>137</v>
      </c>
      <c r="B46" s="193" t="s">
        <v>138</v>
      </c>
      <c r="C46" s="193" t="s">
        <v>142</v>
      </c>
      <c r="D46" s="13" t="s">
        <v>143</v>
      </c>
      <c r="I46" s="198">
        <f t="shared" si="1"/>
        <v>0</v>
      </c>
    </row>
    <row r="47" spans="1:9" x14ac:dyDescent="0.35">
      <c r="A47" s="156"/>
      <c r="B47" s="147"/>
      <c r="C47" s="146"/>
      <c r="D47" s="141"/>
      <c r="I47" s="198">
        <f t="shared" si="1"/>
        <v>0</v>
      </c>
    </row>
    <row r="48" spans="1:9" x14ac:dyDescent="0.35">
      <c r="A48" s="151"/>
      <c r="B48" s="147"/>
      <c r="C48" s="146"/>
      <c r="D48" s="142"/>
      <c r="I48" s="198">
        <f t="shared" si="1"/>
        <v>0</v>
      </c>
    </row>
    <row r="49" spans="1:9" x14ac:dyDescent="0.35">
      <c r="A49" s="151"/>
      <c r="B49" s="147"/>
      <c r="C49" s="146"/>
      <c r="D49" s="142"/>
      <c r="I49" s="198">
        <f t="shared" si="1"/>
        <v>0</v>
      </c>
    </row>
    <row r="50" spans="1:9" x14ac:dyDescent="0.35">
      <c r="A50" s="151"/>
      <c r="B50" s="147"/>
      <c r="C50" s="146"/>
      <c r="D50" s="142"/>
      <c r="I50" s="198">
        <f t="shared" si="1"/>
        <v>0</v>
      </c>
    </row>
    <row r="51" spans="1:9" x14ac:dyDescent="0.35">
      <c r="A51" s="151"/>
      <c r="B51" s="147"/>
      <c r="C51" s="146"/>
      <c r="D51" s="142"/>
      <c r="I51" s="198">
        <f t="shared" si="1"/>
        <v>0</v>
      </c>
    </row>
    <row r="52" spans="1:9" x14ac:dyDescent="0.35">
      <c r="A52" s="155"/>
      <c r="B52" s="147"/>
      <c r="C52" s="146"/>
      <c r="D52" s="142"/>
      <c r="I52" s="198">
        <f t="shared" si="1"/>
        <v>0</v>
      </c>
    </row>
    <row r="53" spans="1:9" x14ac:dyDescent="0.35">
      <c r="A53" s="151"/>
      <c r="B53" s="147"/>
      <c r="C53" s="146"/>
      <c r="D53" s="203"/>
      <c r="I53" s="198">
        <f t="shared" si="1"/>
        <v>0</v>
      </c>
    </row>
    <row r="54" spans="1:9" x14ac:dyDescent="0.35">
      <c r="A54" s="151"/>
      <c r="B54" s="147"/>
      <c r="C54" s="146"/>
      <c r="D54" s="139"/>
      <c r="I54" s="198">
        <f t="shared" si="1"/>
        <v>0</v>
      </c>
    </row>
    <row r="55" spans="1:9" x14ac:dyDescent="0.35">
      <c r="A55" s="151"/>
      <c r="B55" s="147"/>
      <c r="C55" s="146"/>
      <c r="D55" s="139"/>
      <c r="I55" s="198">
        <f t="shared" si="1"/>
        <v>0</v>
      </c>
    </row>
    <row r="56" spans="1:9" x14ac:dyDescent="0.35">
      <c r="A56" s="151"/>
      <c r="B56" s="147"/>
      <c r="C56" s="146"/>
      <c r="D56" s="139"/>
      <c r="I56" s="198">
        <f t="shared" si="1"/>
        <v>0</v>
      </c>
    </row>
    <row r="57" spans="1:9" x14ac:dyDescent="0.35">
      <c r="A57" s="151"/>
      <c r="B57" s="147"/>
      <c r="C57" s="146"/>
      <c r="D57" s="139"/>
      <c r="I57" s="198">
        <f t="shared" si="1"/>
        <v>0</v>
      </c>
    </row>
    <row r="58" spans="1:9" x14ac:dyDescent="0.35">
      <c r="A58" s="151"/>
      <c r="B58" s="147"/>
      <c r="C58" s="148"/>
      <c r="D58" s="139"/>
      <c r="I58" s="198">
        <f t="shared" si="1"/>
        <v>0</v>
      </c>
    </row>
    <row r="59" spans="1:9" x14ac:dyDescent="0.35">
      <c r="A59" s="151"/>
      <c r="B59" s="147"/>
      <c r="C59" s="148"/>
      <c r="D59" s="139"/>
      <c r="I59" s="198">
        <f t="shared" si="1"/>
        <v>0</v>
      </c>
    </row>
    <row r="60" spans="1:9" x14ac:dyDescent="0.35">
      <c r="A60" s="151"/>
      <c r="B60" s="147"/>
      <c r="C60" s="148"/>
      <c r="D60" s="139"/>
      <c r="I60" s="198">
        <f t="shared" si="1"/>
        <v>0</v>
      </c>
    </row>
    <row r="61" spans="1:9" x14ac:dyDescent="0.35">
      <c r="A61" s="151"/>
      <c r="B61" s="147"/>
      <c r="C61" s="148"/>
      <c r="D61" s="139"/>
      <c r="I61" s="198">
        <f t="shared" si="1"/>
        <v>0</v>
      </c>
    </row>
    <row r="62" spans="1:9" x14ac:dyDescent="0.35">
      <c r="A62" s="151"/>
      <c r="B62" s="147"/>
      <c r="C62" s="148"/>
      <c r="D62" s="139"/>
      <c r="I62" s="198">
        <f t="shared" si="1"/>
        <v>0</v>
      </c>
    </row>
    <row r="63" spans="1:9" x14ac:dyDescent="0.35">
      <c r="A63" s="151"/>
      <c r="B63" s="147"/>
      <c r="C63" s="148"/>
      <c r="D63" s="139"/>
      <c r="I63" s="198">
        <f t="shared" si="1"/>
        <v>0</v>
      </c>
    </row>
    <row r="64" spans="1:9" x14ac:dyDescent="0.35">
      <c r="A64" s="151"/>
      <c r="B64" s="147"/>
      <c r="C64" s="148"/>
      <c r="D64" s="139"/>
      <c r="I64" s="198">
        <f t="shared" si="1"/>
        <v>0</v>
      </c>
    </row>
    <row r="65" spans="1:9" x14ac:dyDescent="0.35">
      <c r="A65" s="151"/>
      <c r="B65" s="147"/>
      <c r="C65" s="148"/>
      <c r="D65" s="139"/>
      <c r="I65" s="198">
        <f t="shared" si="1"/>
        <v>0</v>
      </c>
    </row>
    <row r="66" spans="1:9" x14ac:dyDescent="0.35">
      <c r="A66" s="153"/>
      <c r="B66" s="147"/>
      <c r="C66" s="154"/>
      <c r="D66" s="67"/>
      <c r="I66" s="198">
        <f t="shared" si="1"/>
        <v>0</v>
      </c>
    </row>
    <row r="67" spans="1:9" x14ac:dyDescent="0.35">
      <c r="I67" s="198">
        <f t="shared" si="1"/>
        <v>0</v>
      </c>
    </row>
    <row r="68" spans="1:9" x14ac:dyDescent="0.35">
      <c r="I68" s="198">
        <f t="shared" si="1"/>
        <v>0</v>
      </c>
    </row>
    <row r="69" spans="1:9" x14ac:dyDescent="0.35">
      <c r="I69" s="198">
        <f t="shared" si="1"/>
        <v>0</v>
      </c>
    </row>
    <row r="70" spans="1:9" x14ac:dyDescent="0.35">
      <c r="I70" s="198">
        <f t="shared" si="1"/>
        <v>0</v>
      </c>
    </row>
    <row r="71" spans="1:9" x14ac:dyDescent="0.35">
      <c r="I71" s="198">
        <f t="shared" si="1"/>
        <v>0</v>
      </c>
    </row>
    <row r="72" spans="1:9" x14ac:dyDescent="0.35">
      <c r="I72" s="198">
        <f t="shared" si="1"/>
        <v>0</v>
      </c>
    </row>
    <row r="73" spans="1:9" x14ac:dyDescent="0.35">
      <c r="I73" s="198">
        <f t="shared" si="1"/>
        <v>0</v>
      </c>
    </row>
    <row r="74" spans="1:9" x14ac:dyDescent="0.35">
      <c r="I74" s="198">
        <f t="shared" si="1"/>
        <v>0</v>
      </c>
    </row>
    <row r="75" spans="1:9" x14ac:dyDescent="0.35">
      <c r="I75" s="198">
        <f t="shared" si="1"/>
        <v>0</v>
      </c>
    </row>
    <row r="76" spans="1:9" x14ac:dyDescent="0.35">
      <c r="I76" s="198">
        <f t="shared" si="1"/>
        <v>0</v>
      </c>
    </row>
    <row r="77" spans="1:9" x14ac:dyDescent="0.35">
      <c r="I77" s="198">
        <f t="shared" si="1"/>
        <v>0</v>
      </c>
    </row>
    <row r="78" spans="1:9" x14ac:dyDescent="0.35">
      <c r="I78" s="198">
        <f t="shared" si="1"/>
        <v>0</v>
      </c>
    </row>
    <row r="79" spans="1:9" x14ac:dyDescent="0.35">
      <c r="I79" s="198">
        <f t="shared" si="1"/>
        <v>0</v>
      </c>
    </row>
    <row r="80" spans="1:9" x14ac:dyDescent="0.35">
      <c r="I80" s="198">
        <f t="shared" si="1"/>
        <v>0</v>
      </c>
    </row>
    <row r="81" spans="9:9" x14ac:dyDescent="0.35">
      <c r="I81" s="198">
        <f t="shared" si="1"/>
        <v>0</v>
      </c>
    </row>
    <row r="82" spans="9:9" x14ac:dyDescent="0.35">
      <c r="I82" s="198">
        <f t="shared" si="1"/>
        <v>0</v>
      </c>
    </row>
    <row r="83" spans="9:9" x14ac:dyDescent="0.35">
      <c r="I83" s="198">
        <f t="shared" si="1"/>
        <v>0</v>
      </c>
    </row>
    <row r="84" spans="9:9" x14ac:dyDescent="0.35">
      <c r="I84" s="198">
        <f t="shared" si="1"/>
        <v>0</v>
      </c>
    </row>
    <row r="85" spans="9:9" x14ac:dyDescent="0.35">
      <c r="I85" s="198">
        <f t="shared" si="1"/>
        <v>0</v>
      </c>
    </row>
    <row r="86" spans="9:9" x14ac:dyDescent="0.35">
      <c r="I86" s="198">
        <f t="shared" si="1"/>
        <v>0</v>
      </c>
    </row>
    <row r="87" spans="9:9" x14ac:dyDescent="0.35">
      <c r="I87" s="198">
        <f t="shared" si="1"/>
        <v>0</v>
      </c>
    </row>
    <row r="88" spans="9:9" x14ac:dyDescent="0.35">
      <c r="I88" s="198">
        <f t="shared" si="1"/>
        <v>0</v>
      </c>
    </row>
    <row r="89" spans="9:9" x14ac:dyDescent="0.35">
      <c r="I89" s="198">
        <f t="shared" si="1"/>
        <v>0</v>
      </c>
    </row>
    <row r="90" spans="9:9" x14ac:dyDescent="0.35">
      <c r="I90" s="198">
        <f t="shared" si="1"/>
        <v>0</v>
      </c>
    </row>
    <row r="91" spans="9:9" x14ac:dyDescent="0.35">
      <c r="I91" s="198">
        <f t="shared" si="1"/>
        <v>0</v>
      </c>
    </row>
    <row r="92" spans="9:9" x14ac:dyDescent="0.35">
      <c r="I92" s="198">
        <f t="shared" si="1"/>
        <v>0</v>
      </c>
    </row>
    <row r="93" spans="9:9" x14ac:dyDescent="0.35">
      <c r="I93" s="198">
        <f t="shared" si="1"/>
        <v>0</v>
      </c>
    </row>
    <row r="94" spans="9:9" x14ac:dyDescent="0.35">
      <c r="I94" s="198">
        <f t="shared" si="1"/>
        <v>0</v>
      </c>
    </row>
    <row r="95" spans="9:9" x14ac:dyDescent="0.35">
      <c r="I95" s="198">
        <f t="shared" si="1"/>
        <v>0</v>
      </c>
    </row>
    <row r="96" spans="9:9" x14ac:dyDescent="0.35">
      <c r="I96" s="198">
        <f t="shared" si="1"/>
        <v>0</v>
      </c>
    </row>
    <row r="97" spans="9:9" x14ac:dyDescent="0.35">
      <c r="I97" s="198">
        <f t="shared" si="1"/>
        <v>0</v>
      </c>
    </row>
    <row r="98" spans="9:9" x14ac:dyDescent="0.35">
      <c r="I98" s="198">
        <f t="shared" si="1"/>
        <v>0</v>
      </c>
    </row>
    <row r="99" spans="9:9" x14ac:dyDescent="0.35">
      <c r="I99" s="198">
        <f t="shared" si="1"/>
        <v>0</v>
      </c>
    </row>
    <row r="100" spans="9:9" x14ac:dyDescent="0.35">
      <c r="I100" s="198">
        <f t="shared" si="1"/>
        <v>0</v>
      </c>
    </row>
    <row r="101" spans="9:9" x14ac:dyDescent="0.35">
      <c r="I101" s="198">
        <f t="shared" si="1"/>
        <v>0</v>
      </c>
    </row>
    <row r="102" spans="9:9" x14ac:dyDescent="0.35">
      <c r="I102" s="198">
        <f t="shared" si="1"/>
        <v>0</v>
      </c>
    </row>
    <row r="103" spans="9:9" x14ac:dyDescent="0.35">
      <c r="I103" s="198">
        <f t="shared" si="1"/>
        <v>0</v>
      </c>
    </row>
    <row r="104" spans="9:9" x14ac:dyDescent="0.35">
      <c r="I104" s="198">
        <f t="shared" si="1"/>
        <v>0</v>
      </c>
    </row>
    <row r="105" spans="9:9" x14ac:dyDescent="0.35">
      <c r="I105" s="198">
        <f t="shared" si="1"/>
        <v>0</v>
      </c>
    </row>
  </sheetData>
  <sheetProtection algorithmName="SHA-512" hashValue="YX8I92xDhKLVFUL8MQSsLulBDXCp3IGhISX9hnJH/FsVQVhCW+PzHMQnuzkfZlkSMaOQiyaQPrdaRLsByNhJkA==" saltValue="aNPx2gQSH1a5EKgOeJuVjw==" spinCount="100000" sheet="1" objects="1" scenarios="1"/>
  <mergeCells count="3">
    <mergeCell ref="A45:D45"/>
    <mergeCell ref="A1:D6"/>
    <mergeCell ref="A7:D7"/>
  </mergeCells>
  <pageMargins left="0.7" right="0.7" top="0.75" bottom="0.75" header="0.3" footer="0.3"/>
  <pageSetup scale="8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H17"/>
  <sheetViews>
    <sheetView zoomScale="80" zoomScaleNormal="80" zoomScaleSheetLayoutView="90" workbookViewId="0">
      <selection activeCell="F15" sqref="F15"/>
    </sheetView>
  </sheetViews>
  <sheetFormatPr baseColWidth="10" defaultRowHeight="14.5" x14ac:dyDescent="0.35"/>
  <cols>
    <col min="1" max="1" width="9" customWidth="1"/>
    <col min="4" max="4" width="25.453125" customWidth="1"/>
    <col min="5" max="5" width="27.26953125" customWidth="1"/>
    <col min="6" max="6" width="27.81640625" customWidth="1"/>
    <col min="7" max="7" width="27.1796875" customWidth="1"/>
    <col min="8" max="8" width="32.26953125" customWidth="1"/>
  </cols>
  <sheetData>
    <row r="1" spans="1:8" s="5" customFormat="1" ht="11.5" x14ac:dyDescent="0.25">
      <c r="A1" s="334" t="s">
        <v>209</v>
      </c>
      <c r="B1" s="378"/>
      <c r="C1" s="378"/>
      <c r="D1" s="378"/>
      <c r="E1" s="378"/>
      <c r="F1" s="378"/>
      <c r="G1" s="378"/>
      <c r="H1" s="378"/>
    </row>
    <row r="2" spans="1:8" s="5" customFormat="1" ht="14.5" customHeight="1" x14ac:dyDescent="0.25">
      <c r="A2" s="378"/>
      <c r="B2" s="378"/>
      <c r="C2" s="378"/>
      <c r="D2" s="378"/>
      <c r="E2" s="378"/>
      <c r="F2" s="378"/>
      <c r="G2" s="378"/>
      <c r="H2" s="378"/>
    </row>
    <row r="3" spans="1:8" s="5" customFormat="1" ht="14.5" customHeight="1" x14ac:dyDescent="0.25">
      <c r="A3" s="378"/>
      <c r="B3" s="378"/>
      <c r="C3" s="378"/>
      <c r="D3" s="378"/>
      <c r="E3" s="378"/>
      <c r="F3" s="378"/>
      <c r="G3" s="378"/>
      <c r="H3" s="378"/>
    </row>
    <row r="4" spans="1:8" s="5" customFormat="1" ht="14.5" customHeight="1" x14ac:dyDescent="0.25">
      <c r="A4" s="378"/>
      <c r="B4" s="378"/>
      <c r="C4" s="378"/>
      <c r="D4" s="378"/>
      <c r="E4" s="378"/>
      <c r="F4" s="378"/>
      <c r="G4" s="378"/>
      <c r="H4" s="378"/>
    </row>
    <row r="5" spans="1:8" s="5" customFormat="1" ht="11.5" x14ac:dyDescent="0.25">
      <c r="A5" s="378"/>
      <c r="B5" s="378"/>
      <c r="C5" s="378"/>
      <c r="D5" s="378"/>
      <c r="E5" s="378"/>
      <c r="F5" s="378"/>
      <c r="G5" s="378"/>
      <c r="H5" s="378"/>
    </row>
    <row r="6" spans="1:8" s="5" customFormat="1" ht="11.5" x14ac:dyDescent="0.25">
      <c r="A6" s="378"/>
      <c r="B6" s="378"/>
      <c r="C6" s="378"/>
      <c r="D6" s="378"/>
      <c r="E6" s="378"/>
      <c r="F6" s="378"/>
      <c r="G6" s="378"/>
      <c r="H6" s="378"/>
    </row>
    <row r="7" spans="1:8" x14ac:dyDescent="0.35">
      <c r="A7" s="385" t="s">
        <v>106</v>
      </c>
      <c r="B7" s="385"/>
      <c r="C7" s="385"/>
      <c r="D7" s="385"/>
      <c r="E7" s="385"/>
      <c r="F7" s="385"/>
      <c r="G7" s="385"/>
      <c r="H7" s="385"/>
    </row>
    <row r="8" spans="1:8" x14ac:dyDescent="0.35">
      <c r="A8" s="386"/>
      <c r="B8" s="386"/>
      <c r="C8" s="386"/>
      <c r="D8" s="386"/>
      <c r="E8" s="386"/>
      <c r="F8" s="386"/>
      <c r="G8" s="386"/>
      <c r="H8" s="386"/>
    </row>
    <row r="9" spans="1:8" x14ac:dyDescent="0.35">
      <c r="A9" s="387" t="s">
        <v>133</v>
      </c>
      <c r="B9" s="388"/>
      <c r="C9" s="391" t="s">
        <v>107</v>
      </c>
      <c r="D9" s="391"/>
      <c r="E9" s="391"/>
      <c r="F9" s="391"/>
      <c r="G9" s="391"/>
      <c r="H9" s="391"/>
    </row>
    <row r="10" spans="1:8" x14ac:dyDescent="0.35">
      <c r="A10" s="387" t="s">
        <v>131</v>
      </c>
      <c r="B10" s="388"/>
      <c r="C10" s="391" t="s">
        <v>108</v>
      </c>
      <c r="D10" s="391"/>
      <c r="E10" s="391"/>
      <c r="F10" s="391"/>
      <c r="G10" s="391"/>
      <c r="H10" s="391"/>
    </row>
    <row r="11" spans="1:8" ht="15" thickBot="1" x14ac:dyDescent="0.4">
      <c r="A11" s="389" t="s">
        <v>132</v>
      </c>
      <c r="B11" s="390"/>
      <c r="C11" s="392" t="s">
        <v>109</v>
      </c>
      <c r="D11" s="392"/>
      <c r="E11" s="392"/>
      <c r="F11" s="392"/>
      <c r="G11" s="392"/>
      <c r="H11" s="392"/>
    </row>
    <row r="12" spans="1:8" ht="14.5" customHeight="1" thickBot="1" x14ac:dyDescent="0.4">
      <c r="A12" s="393" t="s">
        <v>129</v>
      </c>
      <c r="B12" s="394"/>
      <c r="C12" s="382" t="s">
        <v>123</v>
      </c>
      <c r="D12" s="48"/>
      <c r="E12" s="384" t="s">
        <v>130</v>
      </c>
      <c r="F12" s="384"/>
      <c r="G12" s="384"/>
      <c r="H12" s="384"/>
    </row>
    <row r="13" spans="1:8" ht="32.15" customHeight="1" x14ac:dyDescent="0.35">
      <c r="A13" s="30" t="s">
        <v>134</v>
      </c>
      <c r="B13" s="30" t="s">
        <v>135</v>
      </c>
      <c r="C13" s="383"/>
      <c r="D13" s="31" t="s">
        <v>115</v>
      </c>
      <c r="E13" s="31" t="s">
        <v>116</v>
      </c>
      <c r="F13" s="31" t="s">
        <v>114</v>
      </c>
      <c r="G13" s="31" t="s">
        <v>117</v>
      </c>
      <c r="H13" s="31" t="s">
        <v>118</v>
      </c>
    </row>
    <row r="14" spans="1:8" ht="84" customHeight="1" x14ac:dyDescent="0.35">
      <c r="A14" s="32">
        <v>4</v>
      </c>
      <c r="B14" s="32">
        <v>5</v>
      </c>
      <c r="C14" s="33" t="s">
        <v>110</v>
      </c>
      <c r="D14" s="54" t="s">
        <v>272</v>
      </c>
      <c r="E14" s="54" t="s">
        <v>273</v>
      </c>
      <c r="F14" s="50" t="s">
        <v>200</v>
      </c>
      <c r="G14" s="54" t="s">
        <v>119</v>
      </c>
      <c r="H14" s="54" t="s">
        <v>127</v>
      </c>
    </row>
    <row r="15" spans="1:8" ht="72" customHeight="1" x14ac:dyDescent="0.35">
      <c r="A15" s="34" t="s">
        <v>294</v>
      </c>
      <c r="B15" s="34">
        <v>3.99</v>
      </c>
      <c r="C15" s="35" t="s">
        <v>111</v>
      </c>
      <c r="D15" s="55" t="s">
        <v>271</v>
      </c>
      <c r="E15" s="55" t="s">
        <v>274</v>
      </c>
      <c r="F15" s="51" t="s">
        <v>297</v>
      </c>
      <c r="G15" s="55" t="s">
        <v>126</v>
      </c>
      <c r="H15" s="55" t="s">
        <v>122</v>
      </c>
    </row>
    <row r="16" spans="1:8" ht="67" customHeight="1" x14ac:dyDescent="0.35">
      <c r="A16" s="36">
        <v>2</v>
      </c>
      <c r="B16" s="36">
        <v>2.95</v>
      </c>
      <c r="C16" s="37" t="s">
        <v>112</v>
      </c>
      <c r="D16" s="56" t="s">
        <v>270</v>
      </c>
      <c r="E16" s="56" t="s">
        <v>296</v>
      </c>
      <c r="F16" s="52" t="s">
        <v>124</v>
      </c>
      <c r="G16" s="56" t="s">
        <v>120</v>
      </c>
      <c r="H16" s="56" t="s">
        <v>128</v>
      </c>
    </row>
    <row r="17" spans="1:8" ht="66" customHeight="1" x14ac:dyDescent="0.35">
      <c r="A17" s="38">
        <v>0</v>
      </c>
      <c r="B17" s="38">
        <v>1.99</v>
      </c>
      <c r="C17" s="39" t="s">
        <v>113</v>
      </c>
      <c r="D17" s="57" t="s">
        <v>199</v>
      </c>
      <c r="E17" s="57" t="s">
        <v>275</v>
      </c>
      <c r="F17" s="53" t="s">
        <v>125</v>
      </c>
      <c r="G17" s="57" t="s">
        <v>121</v>
      </c>
      <c r="H17" s="57" t="s">
        <v>201</v>
      </c>
    </row>
  </sheetData>
  <sheetProtection algorithmName="SHA-512" hashValue="cdGr5+dqcFrTYrDGnl+GMjjvbWX8xCkCn+te9ZScbwaA1mzALR6FEYG4wFp3+of5+ql+EjNYCnkDWJqNS+3/Qw==" saltValue="G0/cCAlAhNHHZ7xgUwwXpw==" spinCount="100000" sheet="1" objects="1" scenarios="1"/>
  <mergeCells count="11">
    <mergeCell ref="A1:H6"/>
    <mergeCell ref="C12:C13"/>
    <mergeCell ref="E12:H12"/>
    <mergeCell ref="A7:H8"/>
    <mergeCell ref="A10:B10"/>
    <mergeCell ref="A11:B11"/>
    <mergeCell ref="C9:H9"/>
    <mergeCell ref="C10:H10"/>
    <mergeCell ref="C11:H11"/>
    <mergeCell ref="A9:B9"/>
    <mergeCell ref="A12:B12"/>
  </mergeCells>
  <pageMargins left="0.7" right="0.7" top="0.75" bottom="0.75" header="0.3" footer="0.3"/>
  <pageSetup scale="52" orientation="portrait"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sheetPr>
  <dimension ref="A1:H278"/>
  <sheetViews>
    <sheetView showGridLines="0" view="pageLayout" topLeftCell="A257" zoomScaleNormal="112" zoomScaleSheetLayoutView="130" workbookViewId="0">
      <selection activeCell="G5" sqref="G5:H6"/>
    </sheetView>
  </sheetViews>
  <sheetFormatPr baseColWidth="10" defaultColWidth="10.81640625" defaultRowHeight="11.5" x14ac:dyDescent="0.25"/>
  <cols>
    <col min="1" max="1" width="10.26953125" style="5" customWidth="1"/>
    <col min="2" max="3" width="10.81640625" style="5" customWidth="1"/>
    <col min="4" max="4" width="10.453125" style="5" customWidth="1"/>
    <col min="5" max="5" width="9.7265625" style="5" customWidth="1"/>
    <col min="6" max="6" width="9.81640625" style="5" customWidth="1"/>
    <col min="7" max="7" width="10.81640625" style="5" customWidth="1"/>
    <col min="8" max="8" width="10.54296875" style="5" customWidth="1"/>
    <col min="9" max="16384" width="10.81640625" style="5"/>
  </cols>
  <sheetData>
    <row r="1" spans="1:8" x14ac:dyDescent="0.25">
      <c r="A1" s="457"/>
      <c r="B1" s="457"/>
      <c r="C1" s="445" t="s">
        <v>202</v>
      </c>
      <c r="D1" s="445"/>
      <c r="E1" s="445"/>
      <c r="F1" s="445"/>
      <c r="G1" s="445" t="s">
        <v>263</v>
      </c>
      <c r="H1" s="445"/>
    </row>
    <row r="2" spans="1:8" ht="14.5" customHeight="1" x14ac:dyDescent="0.25">
      <c r="A2" s="457"/>
      <c r="B2" s="457"/>
      <c r="C2" s="445"/>
      <c r="D2" s="445"/>
      <c r="E2" s="445"/>
      <c r="F2" s="445"/>
      <c r="G2" s="445"/>
      <c r="H2" s="445"/>
    </row>
    <row r="3" spans="1:8" ht="14.5" customHeight="1" x14ac:dyDescent="0.25">
      <c r="A3" s="457"/>
      <c r="B3" s="457"/>
      <c r="C3" s="445"/>
      <c r="D3" s="445"/>
      <c r="E3" s="445"/>
      <c r="F3" s="445"/>
      <c r="G3" s="461" t="s">
        <v>264</v>
      </c>
      <c r="H3" s="462"/>
    </row>
    <row r="4" spans="1:8" ht="14.5" customHeight="1" x14ac:dyDescent="0.25">
      <c r="A4" s="457"/>
      <c r="B4" s="457"/>
      <c r="C4" s="445" t="s">
        <v>5</v>
      </c>
      <c r="D4" s="445"/>
      <c r="E4" s="445"/>
      <c r="F4" s="445"/>
      <c r="G4" s="463"/>
      <c r="H4" s="464"/>
    </row>
    <row r="5" spans="1:8" x14ac:dyDescent="0.25">
      <c r="A5" s="457"/>
      <c r="B5" s="457"/>
      <c r="C5" s="445"/>
      <c r="D5" s="445"/>
      <c r="E5" s="445"/>
      <c r="F5" s="445"/>
      <c r="G5" s="461" t="s">
        <v>305</v>
      </c>
      <c r="H5" s="462"/>
    </row>
    <row r="6" spans="1:8" x14ac:dyDescent="0.25">
      <c r="A6" s="457"/>
      <c r="B6" s="457"/>
      <c r="C6" s="445"/>
      <c r="D6" s="445"/>
      <c r="E6" s="445"/>
      <c r="F6" s="445"/>
      <c r="G6" s="463"/>
      <c r="H6" s="464"/>
    </row>
    <row r="7" spans="1:8" ht="23" customHeight="1" x14ac:dyDescent="0.25">
      <c r="A7" s="458" t="s">
        <v>69</v>
      </c>
      <c r="B7" s="458"/>
      <c r="C7" s="459">
        <f>+'1. INICIAL'!C7:G7</f>
        <v>0</v>
      </c>
      <c r="D7" s="459"/>
      <c r="E7" s="459"/>
      <c r="F7" s="459"/>
      <c r="G7" s="459"/>
      <c r="H7" s="113"/>
    </row>
    <row r="8" spans="1:8" ht="20.149999999999999" customHeight="1" x14ac:dyDescent="0.25">
      <c r="A8" s="274" t="s">
        <v>68</v>
      </c>
      <c r="B8" s="275"/>
      <c r="C8" s="446">
        <f>+'1. INICIAL'!C8</f>
        <v>0</v>
      </c>
      <c r="D8" s="446"/>
      <c r="E8" s="446"/>
      <c r="F8" s="447"/>
      <c r="G8" s="447"/>
      <c r="H8" s="447"/>
    </row>
    <row r="9" spans="1:8" ht="20.149999999999999" customHeight="1" x14ac:dyDescent="0.25">
      <c r="A9" s="274" t="s">
        <v>67</v>
      </c>
      <c r="B9" s="274"/>
      <c r="C9" s="405">
        <f>+'1. INICIAL'!C9:D9</f>
        <v>0</v>
      </c>
      <c r="D9" s="405"/>
      <c r="E9" s="14" t="s">
        <v>70</v>
      </c>
      <c r="F9" s="406">
        <f>+'1. INICIAL'!F9:G9</f>
        <v>0</v>
      </c>
      <c r="G9" s="406"/>
      <c r="H9" s="406"/>
    </row>
    <row r="10" spans="1:8" s="7" customFormat="1" ht="27.65" customHeight="1" x14ac:dyDescent="0.35">
      <c r="A10" s="189" t="s">
        <v>72</v>
      </c>
      <c r="B10" s="126">
        <f>+'1. INICIAL'!B10</f>
        <v>2</v>
      </c>
      <c r="C10" s="284" t="s">
        <v>71</v>
      </c>
      <c r="D10" s="284"/>
      <c r="E10" s="125">
        <f>+'1. INICIAL'!E10</f>
        <v>2</v>
      </c>
      <c r="F10" s="285" t="s">
        <v>66</v>
      </c>
      <c r="G10" s="286"/>
      <c r="H10" s="125">
        <f>+'1. INICIAL'!H10</f>
        <v>4</v>
      </c>
    </row>
    <row r="11" spans="1:8" s="7" customFormat="1" ht="20.149999999999999" customHeight="1" x14ac:dyDescent="0.35">
      <c r="A11" s="287" t="s">
        <v>55</v>
      </c>
      <c r="B11" s="287"/>
      <c r="C11" s="408" t="s">
        <v>47</v>
      </c>
      <c r="D11" s="408"/>
      <c r="E11" s="408"/>
      <c r="F11" s="15"/>
      <c r="G11" s="15"/>
      <c r="H11" s="16"/>
    </row>
    <row r="12" spans="1:8" x14ac:dyDescent="0.25">
      <c r="A12" s="411"/>
      <c r="B12" s="411"/>
      <c r="C12" s="411"/>
      <c r="D12" s="411"/>
      <c r="E12" s="411"/>
      <c r="F12" s="411"/>
      <c r="G12" s="411"/>
      <c r="H12" s="411"/>
    </row>
    <row r="13" spans="1:8" ht="17.5" customHeight="1" x14ac:dyDescent="0.25">
      <c r="A13" s="289" t="s">
        <v>73</v>
      </c>
      <c r="B13" s="289"/>
      <c r="C13" s="289"/>
      <c r="D13" s="289"/>
      <c r="E13" s="289"/>
      <c r="F13" s="289"/>
      <c r="G13" s="289"/>
      <c r="H13" s="289"/>
    </row>
    <row r="14" spans="1:8" x14ac:dyDescent="0.25">
      <c r="A14" s="190">
        <v>1</v>
      </c>
      <c r="B14" s="410">
        <f>+'1. INICIAL'!B13:H13</f>
        <v>0</v>
      </c>
      <c r="C14" s="410"/>
      <c r="D14" s="410"/>
      <c r="E14" s="410"/>
      <c r="F14" s="410"/>
      <c r="G14" s="410"/>
      <c r="H14" s="410"/>
    </row>
    <row r="15" spans="1:8" x14ac:dyDescent="0.25">
      <c r="A15" s="191">
        <v>2</v>
      </c>
      <c r="B15" s="415">
        <f>+'1. INICIAL'!B14:H14</f>
        <v>0</v>
      </c>
      <c r="C15" s="415"/>
      <c r="D15" s="415"/>
      <c r="E15" s="415"/>
      <c r="F15" s="415"/>
      <c r="G15" s="415"/>
      <c r="H15" s="415"/>
    </row>
    <row r="16" spans="1:8" x14ac:dyDescent="0.25">
      <c r="A16" s="191">
        <v>3</v>
      </c>
      <c r="B16" s="415">
        <f>+'1. INICIAL'!B15:H15</f>
        <v>0</v>
      </c>
      <c r="C16" s="415"/>
      <c r="D16" s="415"/>
      <c r="E16" s="415"/>
      <c r="F16" s="415"/>
      <c r="G16" s="415"/>
      <c r="H16" s="415"/>
    </row>
    <row r="17" spans="1:8" x14ac:dyDescent="0.25">
      <c r="A17" s="191">
        <v>4</v>
      </c>
      <c r="B17" s="415">
        <f>+'1. INICIAL'!B16:H16</f>
        <v>0</v>
      </c>
      <c r="C17" s="415"/>
      <c r="D17" s="415"/>
      <c r="E17" s="415"/>
      <c r="F17" s="415"/>
      <c r="G17" s="415"/>
      <c r="H17" s="415"/>
    </row>
    <row r="18" spans="1:8" x14ac:dyDescent="0.25">
      <c r="A18" s="191">
        <v>5</v>
      </c>
      <c r="B18" s="415">
        <f>+'1. INICIAL'!B17:H17</f>
        <v>0</v>
      </c>
      <c r="C18" s="415"/>
      <c r="D18" s="415"/>
      <c r="E18" s="415"/>
      <c r="F18" s="415"/>
      <c r="G18" s="415"/>
      <c r="H18" s="415"/>
    </row>
    <row r="19" spans="1:8" x14ac:dyDescent="0.25">
      <c r="A19" s="192">
        <v>6</v>
      </c>
      <c r="B19" s="415">
        <f>+'1. INICIAL'!B18:H18</f>
        <v>0</v>
      </c>
      <c r="C19" s="415"/>
      <c r="D19" s="415"/>
      <c r="E19" s="415"/>
      <c r="F19" s="415"/>
      <c r="G19" s="415"/>
      <c r="H19" s="415"/>
    </row>
    <row r="20" spans="1:8" x14ac:dyDescent="0.25">
      <c r="A20" s="192">
        <v>7</v>
      </c>
      <c r="B20" s="415">
        <f>+'1. INICIAL'!B19:H19</f>
        <v>0</v>
      </c>
      <c r="C20" s="415"/>
      <c r="D20" s="415"/>
      <c r="E20" s="415"/>
      <c r="F20" s="415"/>
      <c r="G20" s="415"/>
      <c r="H20" s="415"/>
    </row>
    <row r="21" spans="1:8" x14ac:dyDescent="0.25">
      <c r="A21" s="192">
        <v>8</v>
      </c>
      <c r="B21" s="415">
        <f>+'1. INICIAL'!B20:H20</f>
        <v>0</v>
      </c>
      <c r="C21" s="415"/>
      <c r="D21" s="415"/>
      <c r="E21" s="415"/>
      <c r="F21" s="415"/>
      <c r="G21" s="415"/>
      <c r="H21" s="415"/>
    </row>
    <row r="22" spans="1:8" x14ac:dyDescent="0.25">
      <c r="A22" s="192">
        <v>9</v>
      </c>
      <c r="B22" s="415">
        <f>+'1. INICIAL'!B21:H21</f>
        <v>0</v>
      </c>
      <c r="C22" s="415"/>
      <c r="D22" s="415"/>
      <c r="E22" s="415"/>
      <c r="F22" s="415"/>
      <c r="G22" s="415"/>
      <c r="H22" s="415"/>
    </row>
    <row r="23" spans="1:8" x14ac:dyDescent="0.25">
      <c r="A23" s="192">
        <v>10</v>
      </c>
      <c r="B23" s="415">
        <f>+'1. INICIAL'!B22:H22</f>
        <v>0</v>
      </c>
      <c r="C23" s="415"/>
      <c r="D23" s="415"/>
      <c r="E23" s="415"/>
      <c r="F23" s="415"/>
      <c r="G23" s="415"/>
      <c r="H23" s="415"/>
    </row>
    <row r="24" spans="1:8" x14ac:dyDescent="0.25">
      <c r="A24" s="412"/>
      <c r="B24" s="413"/>
      <c r="C24" s="413"/>
      <c r="D24" s="413"/>
      <c r="E24" s="413"/>
      <c r="F24" s="413"/>
      <c r="G24" s="413"/>
      <c r="H24" s="414"/>
    </row>
    <row r="25" spans="1:8" ht="16" customHeight="1" x14ac:dyDescent="0.25">
      <c r="A25" s="289" t="s">
        <v>74</v>
      </c>
      <c r="B25" s="289"/>
      <c r="C25" s="289"/>
      <c r="D25" s="289"/>
      <c r="E25" s="289"/>
      <c r="F25" s="289"/>
      <c r="G25" s="289"/>
      <c r="H25" s="289"/>
    </row>
    <row r="26" spans="1:8" ht="14.5" customHeight="1" x14ac:dyDescent="0.25">
      <c r="A26" s="448">
        <f>+'1. INICIAL'!A25</f>
        <v>0</v>
      </c>
      <c r="B26" s="449"/>
      <c r="C26" s="449"/>
      <c r="D26" s="449"/>
      <c r="E26" s="449"/>
      <c r="F26" s="449"/>
      <c r="G26" s="449"/>
      <c r="H26" s="450"/>
    </row>
    <row r="27" spans="1:8" x14ac:dyDescent="0.25">
      <c r="A27" s="451"/>
      <c r="B27" s="452"/>
      <c r="C27" s="452"/>
      <c r="D27" s="452"/>
      <c r="E27" s="452"/>
      <c r="F27" s="452"/>
      <c r="G27" s="452"/>
      <c r="H27" s="453"/>
    </row>
    <row r="28" spans="1:8" x14ac:dyDescent="0.25">
      <c r="A28" s="451"/>
      <c r="B28" s="452"/>
      <c r="C28" s="452"/>
      <c r="D28" s="452"/>
      <c r="E28" s="452"/>
      <c r="F28" s="452"/>
      <c r="G28" s="452"/>
      <c r="H28" s="453"/>
    </row>
    <row r="29" spans="1:8" x14ac:dyDescent="0.25">
      <c r="A29" s="451"/>
      <c r="B29" s="452"/>
      <c r="C29" s="452"/>
      <c r="D29" s="452"/>
      <c r="E29" s="452"/>
      <c r="F29" s="452"/>
      <c r="G29" s="452"/>
      <c r="H29" s="453"/>
    </row>
    <row r="30" spans="1:8" x14ac:dyDescent="0.25">
      <c r="A30" s="451"/>
      <c r="B30" s="452"/>
      <c r="C30" s="452"/>
      <c r="D30" s="452"/>
      <c r="E30" s="452"/>
      <c r="F30" s="452"/>
      <c r="G30" s="452"/>
      <c r="H30" s="453"/>
    </row>
    <row r="31" spans="1:8" x14ac:dyDescent="0.25">
      <c r="A31" s="451"/>
      <c r="B31" s="452"/>
      <c r="C31" s="452"/>
      <c r="D31" s="452"/>
      <c r="E31" s="452"/>
      <c r="F31" s="452"/>
      <c r="G31" s="452"/>
      <c r="H31" s="453"/>
    </row>
    <row r="32" spans="1:8" x14ac:dyDescent="0.25">
      <c r="A32" s="451"/>
      <c r="B32" s="452"/>
      <c r="C32" s="452"/>
      <c r="D32" s="452"/>
      <c r="E32" s="452"/>
      <c r="F32" s="452"/>
      <c r="G32" s="452"/>
      <c r="H32" s="453"/>
    </row>
    <row r="33" spans="1:8" x14ac:dyDescent="0.25">
      <c r="A33" s="451"/>
      <c r="B33" s="452"/>
      <c r="C33" s="452"/>
      <c r="D33" s="452"/>
      <c r="E33" s="452"/>
      <c r="F33" s="452"/>
      <c r="G33" s="452"/>
      <c r="H33" s="453"/>
    </row>
    <row r="34" spans="1:8" x14ac:dyDescent="0.25">
      <c r="A34" s="451"/>
      <c r="B34" s="452"/>
      <c r="C34" s="452"/>
      <c r="D34" s="452"/>
      <c r="E34" s="452"/>
      <c r="F34" s="452"/>
      <c r="G34" s="452"/>
      <c r="H34" s="453"/>
    </row>
    <row r="35" spans="1:8" x14ac:dyDescent="0.25">
      <c r="A35" s="451"/>
      <c r="B35" s="452"/>
      <c r="C35" s="452"/>
      <c r="D35" s="452"/>
      <c r="E35" s="452"/>
      <c r="F35" s="452"/>
      <c r="G35" s="452"/>
      <c r="H35" s="453"/>
    </row>
    <row r="36" spans="1:8" x14ac:dyDescent="0.25">
      <c r="A36" s="451"/>
      <c r="B36" s="452"/>
      <c r="C36" s="452"/>
      <c r="D36" s="452"/>
      <c r="E36" s="452"/>
      <c r="F36" s="452"/>
      <c r="G36" s="452"/>
      <c r="H36" s="453"/>
    </row>
    <row r="37" spans="1:8" x14ac:dyDescent="0.25">
      <c r="A37" s="451"/>
      <c r="B37" s="452"/>
      <c r="C37" s="452"/>
      <c r="D37" s="452"/>
      <c r="E37" s="452"/>
      <c r="F37" s="452"/>
      <c r="G37" s="452"/>
      <c r="H37" s="453"/>
    </row>
    <row r="38" spans="1:8" x14ac:dyDescent="0.25">
      <c r="A38" s="451"/>
      <c r="B38" s="452"/>
      <c r="C38" s="452"/>
      <c r="D38" s="452"/>
      <c r="E38" s="452"/>
      <c r="F38" s="452"/>
      <c r="G38" s="452"/>
      <c r="H38" s="453"/>
    </row>
    <row r="39" spans="1:8" x14ac:dyDescent="0.25">
      <c r="A39" s="451"/>
      <c r="B39" s="452"/>
      <c r="C39" s="452"/>
      <c r="D39" s="452"/>
      <c r="E39" s="452"/>
      <c r="F39" s="452"/>
      <c r="G39" s="452"/>
      <c r="H39" s="453"/>
    </row>
    <row r="40" spans="1:8" x14ac:dyDescent="0.25">
      <c r="A40" s="451"/>
      <c r="B40" s="452"/>
      <c r="C40" s="452"/>
      <c r="D40" s="452"/>
      <c r="E40" s="452"/>
      <c r="F40" s="452"/>
      <c r="G40" s="452"/>
      <c r="H40" s="453"/>
    </row>
    <row r="41" spans="1:8" x14ac:dyDescent="0.25">
      <c r="A41" s="451"/>
      <c r="B41" s="452"/>
      <c r="C41" s="452"/>
      <c r="D41" s="452"/>
      <c r="E41" s="452"/>
      <c r="F41" s="452"/>
      <c r="G41" s="452"/>
      <c r="H41" s="453"/>
    </row>
    <row r="42" spans="1:8" x14ac:dyDescent="0.25">
      <c r="A42" s="451"/>
      <c r="B42" s="452"/>
      <c r="C42" s="452"/>
      <c r="D42" s="452"/>
      <c r="E42" s="452"/>
      <c r="F42" s="452"/>
      <c r="G42" s="452"/>
      <c r="H42" s="453"/>
    </row>
    <row r="43" spans="1:8" x14ac:dyDescent="0.25">
      <c r="A43" s="451"/>
      <c r="B43" s="452"/>
      <c r="C43" s="452"/>
      <c r="D43" s="452"/>
      <c r="E43" s="452"/>
      <c r="F43" s="452"/>
      <c r="G43" s="452"/>
      <c r="H43" s="453"/>
    </row>
    <row r="44" spans="1:8" x14ac:dyDescent="0.25">
      <c r="A44" s="451"/>
      <c r="B44" s="452"/>
      <c r="C44" s="452"/>
      <c r="D44" s="452"/>
      <c r="E44" s="452"/>
      <c r="F44" s="452"/>
      <c r="G44" s="452"/>
      <c r="H44" s="453"/>
    </row>
    <row r="45" spans="1:8" x14ac:dyDescent="0.25">
      <c r="A45" s="451"/>
      <c r="B45" s="452"/>
      <c r="C45" s="452"/>
      <c r="D45" s="452"/>
      <c r="E45" s="452"/>
      <c r="F45" s="452"/>
      <c r="G45" s="452"/>
      <c r="H45" s="453"/>
    </row>
    <row r="46" spans="1:8" x14ac:dyDescent="0.25">
      <c r="A46" s="451"/>
      <c r="B46" s="452"/>
      <c r="C46" s="452"/>
      <c r="D46" s="452"/>
      <c r="E46" s="452"/>
      <c r="F46" s="452"/>
      <c r="G46" s="452"/>
      <c r="H46" s="453"/>
    </row>
    <row r="47" spans="1:8" x14ac:dyDescent="0.25">
      <c r="A47" s="451"/>
      <c r="B47" s="452"/>
      <c r="C47" s="452"/>
      <c r="D47" s="452"/>
      <c r="E47" s="452"/>
      <c r="F47" s="452"/>
      <c r="G47" s="452"/>
      <c r="H47" s="453"/>
    </row>
    <row r="48" spans="1:8" x14ac:dyDescent="0.25">
      <c r="A48" s="451"/>
      <c r="B48" s="452"/>
      <c r="C48" s="452"/>
      <c r="D48" s="452"/>
      <c r="E48" s="452"/>
      <c r="F48" s="452"/>
      <c r="G48" s="452"/>
      <c r="H48" s="453"/>
    </row>
    <row r="49" spans="1:8" x14ac:dyDescent="0.25">
      <c r="A49" s="451"/>
      <c r="B49" s="452"/>
      <c r="C49" s="452"/>
      <c r="D49" s="452"/>
      <c r="E49" s="452"/>
      <c r="F49" s="452"/>
      <c r="G49" s="452"/>
      <c r="H49" s="453"/>
    </row>
    <row r="50" spans="1:8" x14ac:dyDescent="0.25">
      <c r="A50" s="451"/>
      <c r="B50" s="452"/>
      <c r="C50" s="452"/>
      <c r="D50" s="452"/>
      <c r="E50" s="452"/>
      <c r="F50" s="452"/>
      <c r="G50" s="452"/>
      <c r="H50" s="453"/>
    </row>
    <row r="51" spans="1:8" ht="10" customHeight="1" x14ac:dyDescent="0.25">
      <c r="A51" s="454"/>
      <c r="B51" s="455"/>
      <c r="C51" s="455"/>
      <c r="D51" s="455"/>
      <c r="E51" s="455"/>
      <c r="F51" s="455"/>
      <c r="G51" s="455"/>
      <c r="H51" s="456"/>
    </row>
    <row r="52" spans="1:8" ht="30.65" customHeight="1" x14ac:dyDescent="0.25">
      <c r="A52" s="409" t="s">
        <v>188</v>
      </c>
      <c r="B52" s="409"/>
      <c r="C52" s="409"/>
      <c r="D52" s="409"/>
      <c r="E52" s="409"/>
      <c r="F52" s="409"/>
      <c r="G52" s="409"/>
      <c r="H52" s="409"/>
    </row>
    <row r="53" spans="1:8" s="10" customFormat="1" ht="29.5" customHeight="1" x14ac:dyDescent="0.35">
      <c r="A53" s="68" t="s">
        <v>0</v>
      </c>
      <c r="B53" s="460">
        <f>+'2. RAP-RAC'!B8:H8</f>
        <v>0</v>
      </c>
      <c r="C53" s="460"/>
      <c r="D53" s="460"/>
      <c r="E53" s="460"/>
      <c r="F53" s="460"/>
      <c r="G53" s="460"/>
      <c r="H53" s="460"/>
    </row>
    <row r="54" spans="1:8" s="10" customFormat="1" ht="29.5" customHeight="1" x14ac:dyDescent="0.35">
      <c r="A54" s="69" t="s">
        <v>1</v>
      </c>
      <c r="B54" s="416">
        <f>+'2. RAP-RAC'!B9:H9</f>
        <v>0</v>
      </c>
      <c r="C54" s="416"/>
      <c r="D54" s="416"/>
      <c r="E54" s="416"/>
      <c r="F54" s="416"/>
      <c r="G54" s="416"/>
      <c r="H54" s="416"/>
    </row>
    <row r="55" spans="1:8" s="10" customFormat="1" ht="29.5" customHeight="1" x14ac:dyDescent="0.35">
      <c r="A55" s="69" t="s">
        <v>2</v>
      </c>
      <c r="B55" s="416">
        <f>+'2. RAP-RAC'!B10:H10</f>
        <v>0</v>
      </c>
      <c r="C55" s="416"/>
      <c r="D55" s="416"/>
      <c r="E55" s="416"/>
      <c r="F55" s="416"/>
      <c r="G55" s="416"/>
      <c r="H55" s="416"/>
    </row>
    <row r="56" spans="1:8" s="10" customFormat="1" ht="29.5" customHeight="1" x14ac:dyDescent="0.35">
      <c r="A56" s="69" t="s">
        <v>7</v>
      </c>
      <c r="B56" s="416">
        <f>+'2. RAP-RAC'!B11:H11</f>
        <v>0</v>
      </c>
      <c r="C56" s="416"/>
      <c r="D56" s="416"/>
      <c r="E56" s="416"/>
      <c r="F56" s="416"/>
      <c r="G56" s="416"/>
      <c r="H56" s="416"/>
    </row>
    <row r="57" spans="1:8" s="10" customFormat="1" ht="29.5" customHeight="1" x14ac:dyDescent="0.35">
      <c r="A57" s="69" t="s">
        <v>51</v>
      </c>
      <c r="B57" s="416">
        <f>+'2. RAP-RAC'!B12:H12</f>
        <v>0</v>
      </c>
      <c r="C57" s="416"/>
      <c r="D57" s="416"/>
      <c r="E57" s="416"/>
      <c r="F57" s="416"/>
      <c r="G57" s="416"/>
      <c r="H57" s="416"/>
    </row>
    <row r="58" spans="1:8" s="10" customFormat="1" ht="29.5" customHeight="1" x14ac:dyDescent="0.35">
      <c r="A58" s="69" t="s">
        <v>56</v>
      </c>
      <c r="B58" s="416">
        <f>+'2. RAP-RAC'!B13:H13</f>
        <v>0</v>
      </c>
      <c r="C58" s="416"/>
      <c r="D58" s="416"/>
      <c r="E58" s="416"/>
      <c r="F58" s="416"/>
      <c r="G58" s="416"/>
      <c r="H58" s="416"/>
    </row>
    <row r="59" spans="1:8" s="10" customFormat="1" ht="29.5" customHeight="1" x14ac:dyDescent="0.35">
      <c r="A59" s="69" t="s">
        <v>57</v>
      </c>
      <c r="B59" s="416">
        <f>+'2. RAP-RAC'!B14:H14</f>
        <v>0</v>
      </c>
      <c r="C59" s="416"/>
      <c r="D59" s="416"/>
      <c r="E59" s="416"/>
      <c r="F59" s="416"/>
      <c r="G59" s="416"/>
      <c r="H59" s="416"/>
    </row>
    <row r="60" spans="1:8" s="10" customFormat="1" ht="29.5" customHeight="1" x14ac:dyDescent="0.35">
      <c r="A60" s="70" t="s">
        <v>58</v>
      </c>
      <c r="B60" s="407">
        <f>+'2. RAP-RAC'!B15:H15</f>
        <v>0</v>
      </c>
      <c r="C60" s="407"/>
      <c r="D60" s="407"/>
      <c r="E60" s="407"/>
      <c r="F60" s="407"/>
      <c r="G60" s="407"/>
      <c r="H60" s="407"/>
    </row>
    <row r="61" spans="1:8" s="10" customFormat="1" ht="29.5" customHeight="1" x14ac:dyDescent="0.35">
      <c r="A61" s="112" t="s">
        <v>268</v>
      </c>
      <c r="B61" s="407">
        <f>+'2. RAP-RAC'!B16:H16</f>
        <v>0</v>
      </c>
      <c r="C61" s="407"/>
      <c r="D61" s="407"/>
      <c r="E61" s="407"/>
      <c r="F61" s="407"/>
      <c r="G61" s="407"/>
      <c r="H61" s="407"/>
    </row>
    <row r="62" spans="1:8" s="10" customFormat="1" ht="29.5" customHeight="1" x14ac:dyDescent="0.35">
      <c r="A62" s="112" t="s">
        <v>269</v>
      </c>
      <c r="B62" s="407">
        <f>+'2. RAP-RAC'!B17:H17</f>
        <v>0</v>
      </c>
      <c r="C62" s="407"/>
      <c r="D62" s="407"/>
      <c r="E62" s="407"/>
      <c r="F62" s="407"/>
      <c r="G62" s="407"/>
      <c r="H62" s="407"/>
    </row>
    <row r="63" spans="1:8" ht="36.65" customHeight="1" x14ac:dyDescent="0.25">
      <c r="A63" s="417" t="s">
        <v>189</v>
      </c>
      <c r="B63" s="418"/>
      <c r="C63" s="418"/>
      <c r="D63" s="418"/>
      <c r="E63" s="418"/>
      <c r="F63" s="418"/>
      <c r="G63" s="418"/>
      <c r="H63" s="418"/>
    </row>
    <row r="64" spans="1:8" x14ac:dyDescent="0.25">
      <c r="A64" s="516">
        <f>+'2. RAP-RAC'!B19</f>
        <v>0</v>
      </c>
      <c r="B64" s="517"/>
      <c r="C64" s="517"/>
      <c r="D64" s="517"/>
      <c r="E64" s="517"/>
      <c r="F64" s="518"/>
      <c r="G64" s="42" t="s">
        <v>0</v>
      </c>
      <c r="H64" s="17">
        <f>+'2. RAP-RAC'!C20</f>
        <v>0</v>
      </c>
    </row>
    <row r="65" spans="1:8" x14ac:dyDescent="0.25">
      <c r="A65" s="519"/>
      <c r="B65" s="520"/>
      <c r="C65" s="520"/>
      <c r="D65" s="520"/>
      <c r="E65" s="520"/>
      <c r="F65" s="521"/>
      <c r="G65" s="42" t="s">
        <v>1</v>
      </c>
      <c r="H65" s="17">
        <f>+'2. RAP-RAC'!C21</f>
        <v>0</v>
      </c>
    </row>
    <row r="66" spans="1:8" x14ac:dyDescent="0.25">
      <c r="A66" s="519"/>
      <c r="B66" s="520"/>
      <c r="C66" s="520"/>
      <c r="D66" s="520"/>
      <c r="E66" s="520"/>
      <c r="F66" s="521"/>
      <c r="G66" s="42" t="s">
        <v>2</v>
      </c>
      <c r="H66" s="17">
        <f>+'2. RAP-RAC'!C22</f>
        <v>0</v>
      </c>
    </row>
    <row r="67" spans="1:8" x14ac:dyDescent="0.25">
      <c r="A67" s="519"/>
      <c r="B67" s="520"/>
      <c r="C67" s="520"/>
      <c r="D67" s="520"/>
      <c r="E67" s="520"/>
      <c r="F67" s="521"/>
      <c r="G67" s="42" t="s">
        <v>7</v>
      </c>
      <c r="H67" s="17">
        <f>+'2. RAP-RAC'!C23</f>
        <v>0</v>
      </c>
    </row>
    <row r="68" spans="1:8" x14ac:dyDescent="0.25">
      <c r="A68" s="519"/>
      <c r="B68" s="520"/>
      <c r="C68" s="520"/>
      <c r="D68" s="520"/>
      <c r="E68" s="520"/>
      <c r="F68" s="521"/>
      <c r="G68" s="42" t="s">
        <v>51</v>
      </c>
      <c r="H68" s="17">
        <f>+'2. RAP-RAC'!C24</f>
        <v>0</v>
      </c>
    </row>
    <row r="69" spans="1:8" x14ac:dyDescent="0.25">
      <c r="A69" s="519"/>
      <c r="B69" s="520"/>
      <c r="C69" s="520"/>
      <c r="D69" s="520"/>
      <c r="E69" s="520"/>
      <c r="F69" s="521"/>
      <c r="G69" s="42" t="s">
        <v>56</v>
      </c>
      <c r="H69" s="17">
        <f>+'2. RAP-RAC'!C25</f>
        <v>0</v>
      </c>
    </row>
    <row r="70" spans="1:8" x14ac:dyDescent="0.25">
      <c r="A70" s="519"/>
      <c r="B70" s="520"/>
      <c r="C70" s="520"/>
      <c r="D70" s="520"/>
      <c r="E70" s="520"/>
      <c r="F70" s="521"/>
      <c r="G70" s="42" t="s">
        <v>57</v>
      </c>
      <c r="H70" s="17">
        <f>+'2. RAP-RAC'!C26</f>
        <v>0</v>
      </c>
    </row>
    <row r="71" spans="1:8" x14ac:dyDescent="0.25">
      <c r="A71" s="519"/>
      <c r="B71" s="520"/>
      <c r="C71" s="520"/>
      <c r="D71" s="520"/>
      <c r="E71" s="520"/>
      <c r="F71" s="521"/>
      <c r="G71" s="42" t="s">
        <v>58</v>
      </c>
      <c r="H71" s="17">
        <f>+'2. RAP-RAC'!C27</f>
        <v>0</v>
      </c>
    </row>
    <row r="72" spans="1:8" x14ac:dyDescent="0.25">
      <c r="A72" s="519"/>
      <c r="B72" s="520"/>
      <c r="C72" s="520"/>
      <c r="D72" s="520"/>
      <c r="E72" s="520"/>
      <c r="F72" s="521"/>
      <c r="G72" s="49" t="s">
        <v>268</v>
      </c>
      <c r="H72" s="17">
        <f>+'2. RAP-RAC'!C28</f>
        <v>0</v>
      </c>
    </row>
    <row r="73" spans="1:8" x14ac:dyDescent="0.25">
      <c r="A73" s="522"/>
      <c r="B73" s="523"/>
      <c r="C73" s="523"/>
      <c r="D73" s="523"/>
      <c r="E73" s="523"/>
      <c r="F73" s="524"/>
      <c r="G73" s="49" t="s">
        <v>269</v>
      </c>
      <c r="H73" s="17">
        <f>+'2. RAP-RAC'!C29</f>
        <v>0</v>
      </c>
    </row>
    <row r="74" spans="1:8" ht="36.65" customHeight="1" x14ac:dyDescent="0.25">
      <c r="A74" s="417" t="s">
        <v>189</v>
      </c>
      <c r="B74" s="418"/>
      <c r="C74" s="418"/>
      <c r="D74" s="418"/>
      <c r="E74" s="418"/>
      <c r="F74" s="418"/>
      <c r="G74" s="418"/>
      <c r="H74" s="418"/>
    </row>
    <row r="75" spans="1:8" x14ac:dyDescent="0.25">
      <c r="A75" s="525">
        <f>+'2. RAP-RAC'!B30</f>
        <v>0</v>
      </c>
      <c r="B75" s="525"/>
      <c r="C75" s="525"/>
      <c r="D75" s="525"/>
      <c r="E75" s="525"/>
      <c r="F75" s="525"/>
      <c r="G75" s="49" t="s">
        <v>0</v>
      </c>
      <c r="H75" s="17">
        <f>+'2. RAP-RAC'!C31</f>
        <v>0</v>
      </c>
    </row>
    <row r="76" spans="1:8" x14ac:dyDescent="0.25">
      <c r="A76" s="525"/>
      <c r="B76" s="525"/>
      <c r="C76" s="525"/>
      <c r="D76" s="525"/>
      <c r="E76" s="525"/>
      <c r="F76" s="525"/>
      <c r="G76" s="49" t="s">
        <v>1</v>
      </c>
      <c r="H76" s="17">
        <f>+'2. RAP-RAC'!C32</f>
        <v>0</v>
      </c>
    </row>
    <row r="77" spans="1:8" x14ac:dyDescent="0.25">
      <c r="A77" s="525"/>
      <c r="B77" s="525"/>
      <c r="C77" s="525"/>
      <c r="D77" s="525"/>
      <c r="E77" s="525"/>
      <c r="F77" s="525"/>
      <c r="G77" s="49" t="s">
        <v>2</v>
      </c>
      <c r="H77" s="17">
        <f>+'2. RAP-RAC'!C33</f>
        <v>0</v>
      </c>
    </row>
    <row r="78" spans="1:8" x14ac:dyDescent="0.25">
      <c r="A78" s="525"/>
      <c r="B78" s="525"/>
      <c r="C78" s="525"/>
      <c r="D78" s="525"/>
      <c r="E78" s="525"/>
      <c r="F78" s="525"/>
      <c r="G78" s="49" t="s">
        <v>7</v>
      </c>
      <c r="H78" s="17">
        <f>+'2. RAP-RAC'!C34</f>
        <v>0</v>
      </c>
    </row>
    <row r="79" spans="1:8" x14ac:dyDescent="0.25">
      <c r="A79" s="525"/>
      <c r="B79" s="525"/>
      <c r="C79" s="525"/>
      <c r="D79" s="525"/>
      <c r="E79" s="525"/>
      <c r="F79" s="525"/>
      <c r="G79" s="49" t="s">
        <v>51</v>
      </c>
      <c r="H79" s="17">
        <f>+'2. RAP-RAC'!C35</f>
        <v>0</v>
      </c>
    </row>
    <row r="80" spans="1:8" x14ac:dyDescent="0.25">
      <c r="A80" s="525"/>
      <c r="B80" s="525"/>
      <c r="C80" s="525"/>
      <c r="D80" s="525"/>
      <c r="E80" s="525"/>
      <c r="F80" s="525"/>
      <c r="G80" s="49" t="s">
        <v>56</v>
      </c>
      <c r="H80" s="17">
        <f>+'2. RAP-RAC'!C36</f>
        <v>0</v>
      </c>
    </row>
    <row r="81" spans="1:8" x14ac:dyDescent="0.25">
      <c r="A81" s="525"/>
      <c r="B81" s="525"/>
      <c r="C81" s="525"/>
      <c r="D81" s="525"/>
      <c r="E81" s="525"/>
      <c r="F81" s="525"/>
      <c r="G81" s="49" t="s">
        <v>57</v>
      </c>
      <c r="H81" s="17">
        <f>+'2. RAP-RAC'!C37</f>
        <v>0</v>
      </c>
    </row>
    <row r="82" spans="1:8" x14ac:dyDescent="0.25">
      <c r="A82" s="525"/>
      <c r="B82" s="525"/>
      <c r="C82" s="525"/>
      <c r="D82" s="525"/>
      <c r="E82" s="525"/>
      <c r="F82" s="525"/>
      <c r="G82" s="49" t="s">
        <v>58</v>
      </c>
      <c r="H82" s="17">
        <f>+'2. RAP-RAC'!C38</f>
        <v>0</v>
      </c>
    </row>
    <row r="83" spans="1:8" x14ac:dyDescent="0.25">
      <c r="A83" s="525"/>
      <c r="B83" s="525"/>
      <c r="C83" s="525"/>
      <c r="D83" s="525"/>
      <c r="E83" s="525"/>
      <c r="F83" s="525"/>
      <c r="G83" s="49" t="s">
        <v>268</v>
      </c>
      <c r="H83" s="17">
        <f>+'2. RAP-RAC'!C39</f>
        <v>0</v>
      </c>
    </row>
    <row r="84" spans="1:8" x14ac:dyDescent="0.25">
      <c r="A84" s="525"/>
      <c r="B84" s="525"/>
      <c r="C84" s="525"/>
      <c r="D84" s="525"/>
      <c r="E84" s="525"/>
      <c r="F84" s="525"/>
      <c r="G84" s="49" t="s">
        <v>269</v>
      </c>
      <c r="H84" s="17">
        <f>+'2. RAP-RAC'!C40</f>
        <v>0</v>
      </c>
    </row>
    <row r="85" spans="1:8" ht="9.5" customHeight="1" x14ac:dyDescent="0.25">
      <c r="A85" s="431"/>
      <c r="B85" s="431"/>
      <c r="C85" s="431"/>
      <c r="D85" s="431"/>
      <c r="E85" s="431"/>
      <c r="F85" s="431"/>
      <c r="G85" s="431"/>
      <c r="H85" s="431"/>
    </row>
    <row r="86" spans="1:8" ht="20.149999999999999" customHeight="1" x14ac:dyDescent="0.25">
      <c r="A86" s="428" t="s">
        <v>59</v>
      </c>
      <c r="B86" s="429"/>
      <c r="C86" s="429"/>
      <c r="D86" s="429"/>
      <c r="E86" s="429"/>
      <c r="F86" s="429"/>
      <c r="G86" s="429"/>
      <c r="H86" s="430"/>
    </row>
    <row r="87" spans="1:8" x14ac:dyDescent="0.25">
      <c r="A87" s="432" t="s">
        <v>60</v>
      </c>
      <c r="B87" s="433">
        <f>+'4. Contenido'!B8</f>
        <v>0</v>
      </c>
      <c r="C87" s="434"/>
      <c r="D87" s="434"/>
      <c r="E87" s="434"/>
      <c r="F87" s="434"/>
      <c r="G87" s="434"/>
      <c r="H87" s="435"/>
    </row>
    <row r="88" spans="1:8" s="208" customFormat="1" ht="22.75" customHeight="1" x14ac:dyDescent="0.35">
      <c r="A88" s="432"/>
      <c r="B88" s="436"/>
      <c r="C88" s="437"/>
      <c r="D88" s="437"/>
      <c r="E88" s="437"/>
      <c r="F88" s="437"/>
      <c r="G88" s="437"/>
      <c r="H88" s="438"/>
    </row>
    <row r="89" spans="1:8" s="208" customFormat="1" ht="22.75" customHeight="1" x14ac:dyDescent="0.35">
      <c r="A89" s="397">
        <f>+'4. Contenido'!A9:B9</f>
        <v>0</v>
      </c>
      <c r="B89" s="397"/>
      <c r="C89" s="397"/>
      <c r="D89" s="397"/>
      <c r="E89" s="397"/>
      <c r="F89" s="397"/>
      <c r="G89" s="397"/>
      <c r="H89" s="397"/>
    </row>
    <row r="90" spans="1:8" s="208" customFormat="1" ht="22.75" customHeight="1" x14ac:dyDescent="0.35">
      <c r="A90" s="396">
        <f>+'4. Contenido'!A10:B10</f>
        <v>0</v>
      </c>
      <c r="B90" s="396"/>
      <c r="C90" s="396"/>
      <c r="D90" s="396"/>
      <c r="E90" s="396"/>
      <c r="F90" s="396"/>
      <c r="G90" s="396"/>
      <c r="H90" s="396"/>
    </row>
    <row r="91" spans="1:8" s="208" customFormat="1" ht="22.75" customHeight="1" x14ac:dyDescent="0.35">
      <c r="A91" s="396">
        <f>+'4. Contenido'!A11:B11</f>
        <v>0</v>
      </c>
      <c r="B91" s="396"/>
      <c r="C91" s="396"/>
      <c r="D91" s="396"/>
      <c r="E91" s="396"/>
      <c r="F91" s="396"/>
      <c r="G91" s="396"/>
      <c r="H91" s="396"/>
    </row>
    <row r="92" spans="1:8" s="208" customFormat="1" ht="22.75" customHeight="1" x14ac:dyDescent="0.35">
      <c r="A92" s="396">
        <f>+'4. Contenido'!A12:B12</f>
        <v>0</v>
      </c>
      <c r="B92" s="396"/>
      <c r="C92" s="396"/>
      <c r="D92" s="396"/>
      <c r="E92" s="396"/>
      <c r="F92" s="396"/>
      <c r="G92" s="396"/>
      <c r="H92" s="396"/>
    </row>
    <row r="93" spans="1:8" s="208" customFormat="1" ht="22.75" customHeight="1" x14ac:dyDescent="0.35">
      <c r="A93" s="396">
        <f>+'4. Contenido'!A13:B13</f>
        <v>0</v>
      </c>
      <c r="B93" s="396"/>
      <c r="C93" s="396"/>
      <c r="D93" s="396"/>
      <c r="E93" s="396"/>
      <c r="F93" s="396"/>
      <c r="G93" s="396"/>
      <c r="H93" s="396"/>
    </row>
    <row r="94" spans="1:8" s="208" customFormat="1" ht="22.75" customHeight="1" x14ac:dyDescent="0.35">
      <c r="A94" s="396">
        <f>+'4. Contenido'!A14:B14</f>
        <v>0</v>
      </c>
      <c r="B94" s="396"/>
      <c r="C94" s="396"/>
      <c r="D94" s="396"/>
      <c r="E94" s="396"/>
      <c r="F94" s="396"/>
      <c r="G94" s="396"/>
      <c r="H94" s="396"/>
    </row>
    <row r="95" spans="1:8" s="208" customFormat="1" ht="22.75" customHeight="1" x14ac:dyDescent="0.35">
      <c r="A95" s="396">
        <f>+'4. Contenido'!A15:B15</f>
        <v>0</v>
      </c>
      <c r="B95" s="396"/>
      <c r="C95" s="396"/>
      <c r="D95" s="396"/>
      <c r="E95" s="396"/>
      <c r="F95" s="396"/>
      <c r="G95" s="396"/>
      <c r="H95" s="396"/>
    </row>
    <row r="96" spans="1:8" s="208" customFormat="1" ht="22.75" customHeight="1" x14ac:dyDescent="0.35">
      <c r="A96" s="396">
        <f>+'4. Contenido'!A16:B16</f>
        <v>0</v>
      </c>
      <c r="B96" s="396"/>
      <c r="C96" s="396"/>
      <c r="D96" s="396"/>
      <c r="E96" s="396"/>
      <c r="F96" s="396"/>
      <c r="G96" s="396"/>
      <c r="H96" s="396"/>
    </row>
    <row r="97" spans="1:8" s="208" customFormat="1" ht="22.75" customHeight="1" x14ac:dyDescent="0.35">
      <c r="A97" s="396">
        <f>+'4. Contenido'!A17:B17</f>
        <v>0</v>
      </c>
      <c r="B97" s="396"/>
      <c r="C97" s="396"/>
      <c r="D97" s="396"/>
      <c r="E97" s="396"/>
      <c r="F97" s="396"/>
      <c r="G97" s="396"/>
      <c r="H97" s="396"/>
    </row>
    <row r="98" spans="1:8" s="208" customFormat="1" ht="22.75" customHeight="1" x14ac:dyDescent="0.35">
      <c r="A98" s="396">
        <f>+'4. Contenido'!A18:B18</f>
        <v>0</v>
      </c>
      <c r="B98" s="396"/>
      <c r="C98" s="396"/>
      <c r="D98" s="396"/>
      <c r="E98" s="396"/>
      <c r="F98" s="396"/>
      <c r="G98" s="396"/>
      <c r="H98" s="396"/>
    </row>
    <row r="99" spans="1:8" s="208" customFormat="1" ht="22.75" customHeight="1" x14ac:dyDescent="0.35">
      <c r="A99" s="396">
        <f>+'4. Contenido'!A19:B19</f>
        <v>0</v>
      </c>
      <c r="B99" s="396"/>
      <c r="C99" s="396"/>
      <c r="D99" s="396"/>
      <c r="E99" s="396"/>
      <c r="F99" s="396"/>
      <c r="G99" s="396"/>
      <c r="H99" s="396"/>
    </row>
    <row r="100" spans="1:8" s="208" customFormat="1" ht="22.75" customHeight="1" x14ac:dyDescent="0.35">
      <c r="A100" s="396">
        <f>+'4. Contenido'!A20:B20</f>
        <v>0</v>
      </c>
      <c r="B100" s="396"/>
      <c r="C100" s="396"/>
      <c r="D100" s="396"/>
      <c r="E100" s="396"/>
      <c r="F100" s="396"/>
      <c r="G100" s="396"/>
      <c r="H100" s="396"/>
    </row>
    <row r="101" spans="1:8" s="208" customFormat="1" ht="22.75" customHeight="1" x14ac:dyDescent="0.35">
      <c r="A101" s="396">
        <f>+'4. Contenido'!A21:B21</f>
        <v>0</v>
      </c>
      <c r="B101" s="396"/>
      <c r="C101" s="396"/>
      <c r="D101" s="396"/>
      <c r="E101" s="396"/>
      <c r="F101" s="396"/>
      <c r="G101" s="396"/>
      <c r="H101" s="396"/>
    </row>
    <row r="102" spans="1:8" s="208" customFormat="1" ht="22.75" customHeight="1" x14ac:dyDescent="0.35">
      <c r="A102" s="396">
        <f>+'4. Contenido'!A22:B22</f>
        <v>0</v>
      </c>
      <c r="B102" s="396"/>
      <c r="C102" s="396"/>
      <c r="D102" s="396"/>
      <c r="E102" s="396"/>
      <c r="F102" s="396"/>
      <c r="G102" s="396"/>
      <c r="H102" s="396"/>
    </row>
    <row r="103" spans="1:8" s="208" customFormat="1" ht="22.75" customHeight="1" x14ac:dyDescent="0.35">
      <c r="A103" s="404">
        <f>+'4. Contenido'!A23:B23</f>
        <v>0</v>
      </c>
      <c r="B103" s="404"/>
      <c r="C103" s="404"/>
      <c r="D103" s="404"/>
      <c r="E103" s="404"/>
      <c r="F103" s="404"/>
      <c r="G103" s="404"/>
      <c r="H103" s="404"/>
    </row>
    <row r="104" spans="1:8" s="208" customFormat="1" ht="22.75" customHeight="1" x14ac:dyDescent="0.35">
      <c r="A104" s="286" t="s">
        <v>61</v>
      </c>
      <c r="B104" s="398">
        <f>+'4. Contenido'!B24</f>
        <v>0</v>
      </c>
      <c r="C104" s="399"/>
      <c r="D104" s="399"/>
      <c r="E104" s="399"/>
      <c r="F104" s="399"/>
      <c r="G104" s="399"/>
      <c r="H104" s="400"/>
    </row>
    <row r="105" spans="1:8" s="208" customFormat="1" ht="22.75" customHeight="1" x14ac:dyDescent="0.35">
      <c r="A105" s="286"/>
      <c r="B105" s="401"/>
      <c r="C105" s="402"/>
      <c r="D105" s="402"/>
      <c r="E105" s="402"/>
      <c r="F105" s="402"/>
      <c r="G105" s="402"/>
      <c r="H105" s="403"/>
    </row>
    <row r="106" spans="1:8" s="208" customFormat="1" ht="22.75" customHeight="1" x14ac:dyDescent="0.35">
      <c r="A106" s="395">
        <f>+'4. Contenido'!A25:B25</f>
        <v>0</v>
      </c>
      <c r="B106" s="395"/>
      <c r="C106" s="395"/>
      <c r="D106" s="395"/>
      <c r="E106" s="395"/>
      <c r="F106" s="395"/>
      <c r="G106" s="395"/>
      <c r="H106" s="395"/>
    </row>
    <row r="107" spans="1:8" s="208" customFormat="1" ht="22.75" customHeight="1" x14ac:dyDescent="0.35">
      <c r="A107" s="396">
        <f>+'4. Contenido'!A26:B26</f>
        <v>0</v>
      </c>
      <c r="B107" s="396"/>
      <c r="C107" s="396"/>
      <c r="D107" s="396"/>
      <c r="E107" s="396"/>
      <c r="F107" s="396"/>
      <c r="G107" s="396"/>
      <c r="H107" s="396"/>
    </row>
    <row r="108" spans="1:8" s="208" customFormat="1" ht="22.75" customHeight="1" x14ac:dyDescent="0.35">
      <c r="A108" s="396">
        <f>+'4. Contenido'!A27:B27</f>
        <v>0</v>
      </c>
      <c r="B108" s="396"/>
      <c r="C108" s="396"/>
      <c r="D108" s="396"/>
      <c r="E108" s="396"/>
      <c r="F108" s="396"/>
      <c r="G108" s="396"/>
      <c r="H108" s="396"/>
    </row>
    <row r="109" spans="1:8" s="208" customFormat="1" ht="22.75" customHeight="1" x14ac:dyDescent="0.35">
      <c r="A109" s="396">
        <f>+'4. Contenido'!A28:B28</f>
        <v>0</v>
      </c>
      <c r="B109" s="396"/>
      <c r="C109" s="396"/>
      <c r="D109" s="396"/>
      <c r="E109" s="396"/>
      <c r="F109" s="396"/>
      <c r="G109" s="396"/>
      <c r="H109" s="396"/>
    </row>
    <row r="110" spans="1:8" s="208" customFormat="1" ht="22.75" customHeight="1" x14ac:dyDescent="0.35">
      <c r="A110" s="396">
        <f>+'4. Contenido'!A29:B29</f>
        <v>0</v>
      </c>
      <c r="B110" s="396"/>
      <c r="C110" s="396"/>
      <c r="D110" s="396"/>
      <c r="E110" s="396"/>
      <c r="F110" s="396"/>
      <c r="G110" s="396"/>
      <c r="H110" s="396"/>
    </row>
    <row r="111" spans="1:8" s="208" customFormat="1" ht="22.75" customHeight="1" x14ac:dyDescent="0.35">
      <c r="A111" s="396">
        <f>+'4. Contenido'!A30:B30</f>
        <v>0</v>
      </c>
      <c r="B111" s="396"/>
      <c r="C111" s="396"/>
      <c r="D111" s="396"/>
      <c r="E111" s="396"/>
      <c r="F111" s="396"/>
      <c r="G111" s="396"/>
      <c r="H111" s="396"/>
    </row>
    <row r="112" spans="1:8" s="208" customFormat="1" ht="22.75" customHeight="1" x14ac:dyDescent="0.35">
      <c r="A112" s="396">
        <f>+'4. Contenido'!A31:B31</f>
        <v>0</v>
      </c>
      <c r="B112" s="396"/>
      <c r="C112" s="396"/>
      <c r="D112" s="396"/>
      <c r="E112" s="396"/>
      <c r="F112" s="396"/>
      <c r="G112" s="396"/>
      <c r="H112" s="396"/>
    </row>
    <row r="113" spans="1:8" s="208" customFormat="1" ht="22.75" customHeight="1" x14ac:dyDescent="0.35">
      <c r="A113" s="396">
        <f>+'4. Contenido'!A32:B32</f>
        <v>0</v>
      </c>
      <c r="B113" s="396"/>
      <c r="C113" s="396"/>
      <c r="D113" s="396"/>
      <c r="E113" s="396"/>
      <c r="F113" s="396"/>
      <c r="G113" s="396"/>
      <c r="H113" s="396"/>
    </row>
    <row r="114" spans="1:8" s="208" customFormat="1" ht="22.75" customHeight="1" x14ac:dyDescent="0.35">
      <c r="A114" s="396">
        <f>+'4. Contenido'!A33:B33</f>
        <v>0</v>
      </c>
      <c r="B114" s="396"/>
      <c r="C114" s="396"/>
      <c r="D114" s="396"/>
      <c r="E114" s="396"/>
      <c r="F114" s="396"/>
      <c r="G114" s="396"/>
      <c r="H114" s="396"/>
    </row>
    <row r="115" spans="1:8" s="208" customFormat="1" ht="22.75" customHeight="1" x14ac:dyDescent="0.35">
      <c r="A115" s="396">
        <f>+'4. Contenido'!A34:B34</f>
        <v>0</v>
      </c>
      <c r="B115" s="396"/>
      <c r="C115" s="396"/>
      <c r="D115" s="396"/>
      <c r="E115" s="396"/>
      <c r="F115" s="396"/>
      <c r="G115" s="396"/>
      <c r="H115" s="396"/>
    </row>
    <row r="116" spans="1:8" s="208" customFormat="1" ht="22.75" customHeight="1" x14ac:dyDescent="0.35">
      <c r="A116" s="396">
        <f>+'4. Contenido'!A35:B35</f>
        <v>0</v>
      </c>
      <c r="B116" s="396"/>
      <c r="C116" s="396"/>
      <c r="D116" s="396"/>
      <c r="E116" s="396"/>
      <c r="F116" s="396"/>
      <c r="G116" s="396"/>
      <c r="H116" s="396"/>
    </row>
    <row r="117" spans="1:8" s="208" customFormat="1" ht="22.75" customHeight="1" x14ac:dyDescent="0.35">
      <c r="A117" s="396">
        <f>+'4. Contenido'!A36:B36</f>
        <v>0</v>
      </c>
      <c r="B117" s="396"/>
      <c r="C117" s="396"/>
      <c r="D117" s="396"/>
      <c r="E117" s="396"/>
      <c r="F117" s="396"/>
      <c r="G117" s="396"/>
      <c r="H117" s="396"/>
    </row>
    <row r="118" spans="1:8" s="208" customFormat="1" ht="22.75" customHeight="1" x14ac:dyDescent="0.35">
      <c r="A118" s="396">
        <f>+'4. Contenido'!A37:B37</f>
        <v>0</v>
      </c>
      <c r="B118" s="396"/>
      <c r="C118" s="396"/>
      <c r="D118" s="396"/>
      <c r="E118" s="396"/>
      <c r="F118" s="396"/>
      <c r="G118" s="396"/>
      <c r="H118" s="396"/>
    </row>
    <row r="119" spans="1:8" s="208" customFormat="1" ht="22.75" customHeight="1" x14ac:dyDescent="0.35">
      <c r="A119" s="396">
        <f>+'4. Contenido'!A38:B38</f>
        <v>0</v>
      </c>
      <c r="B119" s="396"/>
      <c r="C119" s="396"/>
      <c r="D119" s="396"/>
      <c r="E119" s="396"/>
      <c r="F119" s="396"/>
      <c r="G119" s="396"/>
      <c r="H119" s="396"/>
    </row>
    <row r="120" spans="1:8" s="208" customFormat="1" ht="22.75" customHeight="1" x14ac:dyDescent="0.35">
      <c r="A120" s="404">
        <f>+'4. Contenido'!A39:B39</f>
        <v>0</v>
      </c>
      <c r="B120" s="404"/>
      <c r="C120" s="404"/>
      <c r="D120" s="404"/>
      <c r="E120" s="404"/>
      <c r="F120" s="404"/>
      <c r="G120" s="404"/>
      <c r="H120" s="404"/>
    </row>
    <row r="121" spans="1:8" s="208" customFormat="1" ht="22.75" customHeight="1" x14ac:dyDescent="0.35">
      <c r="A121" s="286" t="s">
        <v>62</v>
      </c>
      <c r="B121" s="398">
        <f>+'4. Contenido'!B40</f>
        <v>0</v>
      </c>
      <c r="C121" s="399"/>
      <c r="D121" s="399"/>
      <c r="E121" s="399"/>
      <c r="F121" s="399"/>
      <c r="G121" s="399"/>
      <c r="H121" s="400"/>
    </row>
    <row r="122" spans="1:8" s="208" customFormat="1" ht="22.75" customHeight="1" x14ac:dyDescent="0.35">
      <c r="A122" s="286"/>
      <c r="B122" s="401"/>
      <c r="C122" s="402"/>
      <c r="D122" s="402"/>
      <c r="E122" s="402"/>
      <c r="F122" s="402"/>
      <c r="G122" s="402"/>
      <c r="H122" s="403"/>
    </row>
    <row r="123" spans="1:8" s="208" customFormat="1" ht="22.75" customHeight="1" x14ac:dyDescent="0.35">
      <c r="A123" s="439">
        <f>+'4. Contenido'!A41:B41</f>
        <v>0</v>
      </c>
      <c r="B123" s="440"/>
      <c r="C123" s="440"/>
      <c r="D123" s="440"/>
      <c r="E123" s="440"/>
      <c r="F123" s="440"/>
      <c r="G123" s="440"/>
      <c r="H123" s="441"/>
    </row>
    <row r="124" spans="1:8" s="208" customFormat="1" ht="22.75" customHeight="1" x14ac:dyDescent="0.35">
      <c r="A124" s="439">
        <f>+'4. Contenido'!A42:B42</f>
        <v>0</v>
      </c>
      <c r="B124" s="440"/>
      <c r="C124" s="440"/>
      <c r="D124" s="440"/>
      <c r="E124" s="440"/>
      <c r="F124" s="440"/>
      <c r="G124" s="440"/>
      <c r="H124" s="441"/>
    </row>
    <row r="125" spans="1:8" s="208" customFormat="1" ht="22.75" customHeight="1" x14ac:dyDescent="0.35">
      <c r="A125" s="439">
        <f>+'4. Contenido'!A43:B43</f>
        <v>0</v>
      </c>
      <c r="B125" s="440"/>
      <c r="C125" s="440"/>
      <c r="D125" s="440"/>
      <c r="E125" s="440"/>
      <c r="F125" s="440"/>
      <c r="G125" s="440"/>
      <c r="H125" s="441"/>
    </row>
    <row r="126" spans="1:8" s="208" customFormat="1" ht="22.75" customHeight="1" x14ac:dyDescent="0.35">
      <c r="A126" s="439">
        <f>+'4. Contenido'!A44:B44</f>
        <v>0</v>
      </c>
      <c r="B126" s="440"/>
      <c r="C126" s="440"/>
      <c r="D126" s="440"/>
      <c r="E126" s="440"/>
      <c r="F126" s="440"/>
      <c r="G126" s="440"/>
      <c r="H126" s="441"/>
    </row>
    <row r="127" spans="1:8" s="208" customFormat="1" ht="22.75" customHeight="1" x14ac:dyDescent="0.35">
      <c r="A127" s="439">
        <f>+'4. Contenido'!A45:B45</f>
        <v>0</v>
      </c>
      <c r="B127" s="440"/>
      <c r="C127" s="440"/>
      <c r="D127" s="440"/>
      <c r="E127" s="440"/>
      <c r="F127" s="440"/>
      <c r="G127" s="440"/>
      <c r="H127" s="441"/>
    </row>
    <row r="128" spans="1:8" s="208" customFormat="1" ht="22.75" customHeight="1" x14ac:dyDescent="0.35">
      <c r="A128" s="439">
        <f>+'4. Contenido'!A46:B46</f>
        <v>0</v>
      </c>
      <c r="B128" s="440"/>
      <c r="C128" s="440"/>
      <c r="D128" s="440"/>
      <c r="E128" s="440"/>
      <c r="F128" s="440"/>
      <c r="G128" s="440"/>
      <c r="H128" s="441"/>
    </row>
    <row r="129" spans="1:8" s="208" customFormat="1" ht="22.75" customHeight="1" x14ac:dyDescent="0.35">
      <c r="A129" s="439">
        <f>+'4. Contenido'!A47:B47</f>
        <v>0</v>
      </c>
      <c r="B129" s="440"/>
      <c r="C129" s="440"/>
      <c r="D129" s="440"/>
      <c r="E129" s="440"/>
      <c r="F129" s="440"/>
      <c r="G129" s="440"/>
      <c r="H129" s="441"/>
    </row>
    <row r="130" spans="1:8" s="208" customFormat="1" ht="22.75" customHeight="1" x14ac:dyDescent="0.35">
      <c r="A130" s="439">
        <f>+'4. Contenido'!A48:B48</f>
        <v>0</v>
      </c>
      <c r="B130" s="440"/>
      <c r="C130" s="440"/>
      <c r="D130" s="440"/>
      <c r="E130" s="440"/>
      <c r="F130" s="440"/>
      <c r="G130" s="440"/>
      <c r="H130" s="441"/>
    </row>
    <row r="131" spans="1:8" s="208" customFormat="1" ht="22.75" customHeight="1" x14ac:dyDescent="0.35">
      <c r="A131" s="439">
        <f>+'4. Contenido'!A49:B49</f>
        <v>0</v>
      </c>
      <c r="B131" s="440"/>
      <c r="C131" s="440"/>
      <c r="D131" s="440"/>
      <c r="E131" s="440"/>
      <c r="F131" s="440"/>
      <c r="G131" s="440"/>
      <c r="H131" s="441"/>
    </row>
    <row r="132" spans="1:8" s="208" customFormat="1" ht="22.75" customHeight="1" x14ac:dyDescent="0.35">
      <c r="A132" s="439">
        <f>+'4. Contenido'!A50:B50</f>
        <v>0</v>
      </c>
      <c r="B132" s="440"/>
      <c r="C132" s="440"/>
      <c r="D132" s="440"/>
      <c r="E132" s="440"/>
      <c r="F132" s="440"/>
      <c r="G132" s="440"/>
      <c r="H132" s="441"/>
    </row>
    <row r="133" spans="1:8" s="208" customFormat="1" ht="22.75" customHeight="1" x14ac:dyDescent="0.35">
      <c r="A133" s="439">
        <f>+'4. Contenido'!A51:B51</f>
        <v>0</v>
      </c>
      <c r="B133" s="440"/>
      <c r="C133" s="440"/>
      <c r="D133" s="440"/>
      <c r="E133" s="440"/>
      <c r="F133" s="440"/>
      <c r="G133" s="440"/>
      <c r="H133" s="441"/>
    </row>
    <row r="134" spans="1:8" s="208" customFormat="1" ht="22.75" customHeight="1" x14ac:dyDescent="0.35">
      <c r="A134" s="439">
        <f>+'4. Contenido'!A52:B52</f>
        <v>0</v>
      </c>
      <c r="B134" s="440"/>
      <c r="C134" s="440"/>
      <c r="D134" s="440"/>
      <c r="E134" s="440"/>
      <c r="F134" s="440"/>
      <c r="G134" s="440"/>
      <c r="H134" s="441"/>
    </row>
    <row r="135" spans="1:8" s="208" customFormat="1" ht="22.75" customHeight="1" x14ac:dyDescent="0.35">
      <c r="A135" s="442">
        <f>+'4. Contenido'!A53:B53</f>
        <v>0</v>
      </c>
      <c r="B135" s="443"/>
      <c r="C135" s="443"/>
      <c r="D135" s="443"/>
      <c r="E135" s="443"/>
      <c r="F135" s="443"/>
      <c r="G135" s="443"/>
      <c r="H135" s="444"/>
    </row>
    <row r="136" spans="1:8" s="208" customFormat="1" ht="22.75" customHeight="1" x14ac:dyDescent="0.35">
      <c r="A136" s="442">
        <f>+'4. Contenido'!A54:B54</f>
        <v>0</v>
      </c>
      <c r="B136" s="443"/>
      <c r="C136" s="443"/>
      <c r="D136" s="443"/>
      <c r="E136" s="443"/>
      <c r="F136" s="443"/>
      <c r="G136" s="443"/>
      <c r="H136" s="444"/>
    </row>
    <row r="137" spans="1:8" s="208" customFormat="1" ht="22.75" customHeight="1" x14ac:dyDescent="0.35">
      <c r="A137" s="442">
        <f>+'4. Contenido'!A55:B55</f>
        <v>0</v>
      </c>
      <c r="B137" s="443"/>
      <c r="C137" s="443"/>
      <c r="D137" s="443"/>
      <c r="E137" s="443"/>
      <c r="F137" s="443"/>
      <c r="G137" s="443"/>
      <c r="H137" s="444"/>
    </row>
    <row r="138" spans="1:8" s="208" customFormat="1" ht="22.75" customHeight="1" x14ac:dyDescent="0.35">
      <c r="A138" s="399" t="s">
        <v>63</v>
      </c>
      <c r="B138" s="422">
        <f>+'4. Contenido'!B56</f>
        <v>0</v>
      </c>
      <c r="C138" s="423"/>
      <c r="D138" s="423"/>
      <c r="E138" s="423"/>
      <c r="F138" s="423"/>
      <c r="G138" s="423"/>
      <c r="H138" s="424"/>
    </row>
    <row r="139" spans="1:8" s="208" customFormat="1" ht="22.75" customHeight="1" x14ac:dyDescent="0.35">
      <c r="A139" s="399"/>
      <c r="B139" s="425"/>
      <c r="C139" s="426"/>
      <c r="D139" s="426"/>
      <c r="E139" s="426"/>
      <c r="F139" s="426"/>
      <c r="G139" s="426"/>
      <c r="H139" s="427"/>
    </row>
    <row r="140" spans="1:8" s="208" customFormat="1" ht="22.75" customHeight="1" x14ac:dyDescent="0.35">
      <c r="A140" s="419">
        <f>+'4. Contenido'!A57:B57</f>
        <v>0</v>
      </c>
      <c r="B140" s="420"/>
      <c r="C140" s="420"/>
      <c r="D140" s="420"/>
      <c r="E140" s="420"/>
      <c r="F140" s="420"/>
      <c r="G140" s="420"/>
      <c r="H140" s="421"/>
    </row>
    <row r="141" spans="1:8" s="208" customFormat="1" ht="22.75" customHeight="1" x14ac:dyDescent="0.35">
      <c r="A141" s="442">
        <f>+'4. Contenido'!A58:B58</f>
        <v>0</v>
      </c>
      <c r="B141" s="443"/>
      <c r="C141" s="443"/>
      <c r="D141" s="443"/>
      <c r="E141" s="443"/>
      <c r="F141" s="443"/>
      <c r="G141" s="443"/>
      <c r="H141" s="444"/>
    </row>
    <row r="142" spans="1:8" s="208" customFormat="1" ht="22.75" customHeight="1" x14ac:dyDescent="0.35">
      <c r="A142" s="442">
        <f>+'4. Contenido'!A59:B59</f>
        <v>0</v>
      </c>
      <c r="B142" s="443"/>
      <c r="C142" s="443"/>
      <c r="D142" s="443"/>
      <c r="E142" s="443"/>
      <c r="F142" s="443"/>
      <c r="G142" s="443"/>
      <c r="H142" s="444"/>
    </row>
    <row r="143" spans="1:8" s="208" customFormat="1" ht="22.75" customHeight="1" x14ac:dyDescent="0.35">
      <c r="A143" s="442">
        <f>+'4. Contenido'!A60:B60</f>
        <v>0</v>
      </c>
      <c r="B143" s="443"/>
      <c r="C143" s="443"/>
      <c r="D143" s="443"/>
      <c r="E143" s="443"/>
      <c r="F143" s="443"/>
      <c r="G143" s="443"/>
      <c r="H143" s="444"/>
    </row>
    <row r="144" spans="1:8" s="208" customFormat="1" ht="22.75" customHeight="1" x14ac:dyDescent="0.35">
      <c r="A144" s="442">
        <f>+'4. Contenido'!A61:B61</f>
        <v>0</v>
      </c>
      <c r="B144" s="443"/>
      <c r="C144" s="443"/>
      <c r="D144" s="443"/>
      <c r="E144" s="443"/>
      <c r="F144" s="443"/>
      <c r="G144" s="443"/>
      <c r="H144" s="444"/>
    </row>
    <row r="145" spans="1:8" s="208" customFormat="1" ht="22.75" customHeight="1" x14ac:dyDescent="0.35">
      <c r="A145" s="442">
        <f>+'4. Contenido'!A62:B62</f>
        <v>0</v>
      </c>
      <c r="B145" s="443"/>
      <c r="C145" s="443"/>
      <c r="D145" s="443"/>
      <c r="E145" s="443"/>
      <c r="F145" s="443"/>
      <c r="G145" s="443"/>
      <c r="H145" s="444"/>
    </row>
    <row r="146" spans="1:8" s="208" customFormat="1" ht="22.75" customHeight="1" x14ac:dyDescent="0.35">
      <c r="A146" s="442">
        <f>+'4. Contenido'!A63:B63</f>
        <v>0</v>
      </c>
      <c r="B146" s="443"/>
      <c r="C146" s="443"/>
      <c r="D146" s="443"/>
      <c r="E146" s="443"/>
      <c r="F146" s="443"/>
      <c r="G146" s="443"/>
      <c r="H146" s="444"/>
    </row>
    <row r="147" spans="1:8" s="208" customFormat="1" ht="22.75" customHeight="1" x14ac:dyDescent="0.35">
      <c r="A147" s="442">
        <f>+'4. Contenido'!A64:B64</f>
        <v>0</v>
      </c>
      <c r="B147" s="443"/>
      <c r="C147" s="443"/>
      <c r="D147" s="443"/>
      <c r="E147" s="443"/>
      <c r="F147" s="443"/>
      <c r="G147" s="443"/>
      <c r="H147" s="444"/>
    </row>
    <row r="148" spans="1:8" s="208" customFormat="1" ht="22.75" customHeight="1" x14ac:dyDescent="0.35">
      <c r="A148" s="442">
        <f>+'4. Contenido'!A65:B65</f>
        <v>0</v>
      </c>
      <c r="B148" s="443"/>
      <c r="C148" s="443"/>
      <c r="D148" s="443"/>
      <c r="E148" s="443"/>
      <c r="F148" s="443"/>
      <c r="G148" s="443"/>
      <c r="H148" s="444"/>
    </row>
    <row r="149" spans="1:8" s="208" customFormat="1" ht="22.75" customHeight="1" x14ac:dyDescent="0.35">
      <c r="A149" s="442">
        <f>+'4. Contenido'!A66:B66</f>
        <v>0</v>
      </c>
      <c r="B149" s="443"/>
      <c r="C149" s="443"/>
      <c r="D149" s="443"/>
      <c r="E149" s="443"/>
      <c r="F149" s="443"/>
      <c r="G149" s="443"/>
      <c r="H149" s="444"/>
    </row>
    <row r="150" spans="1:8" s="208" customFormat="1" ht="22.75" customHeight="1" x14ac:dyDescent="0.35">
      <c r="A150" s="442">
        <f>+'4. Contenido'!A67:B67</f>
        <v>0</v>
      </c>
      <c r="B150" s="443"/>
      <c r="C150" s="443"/>
      <c r="D150" s="443"/>
      <c r="E150" s="443"/>
      <c r="F150" s="443"/>
      <c r="G150" s="443"/>
      <c r="H150" s="444"/>
    </row>
    <row r="151" spans="1:8" s="208" customFormat="1" ht="22.75" customHeight="1" x14ac:dyDescent="0.35">
      <c r="A151" s="442">
        <f>+'4. Contenido'!A68:B68</f>
        <v>0</v>
      </c>
      <c r="B151" s="443"/>
      <c r="C151" s="443"/>
      <c r="D151" s="443"/>
      <c r="E151" s="443"/>
      <c r="F151" s="443"/>
      <c r="G151" s="443"/>
      <c r="H151" s="444"/>
    </row>
    <row r="152" spans="1:8" s="208" customFormat="1" ht="22.75" customHeight="1" x14ac:dyDescent="0.35">
      <c r="A152" s="442">
        <f>+'4. Contenido'!A69:B69</f>
        <v>0</v>
      </c>
      <c r="B152" s="443"/>
      <c r="C152" s="443"/>
      <c r="D152" s="443"/>
      <c r="E152" s="443"/>
      <c r="F152" s="443"/>
      <c r="G152" s="443"/>
      <c r="H152" s="444"/>
    </row>
    <row r="153" spans="1:8" s="208" customFormat="1" ht="22.75" customHeight="1" x14ac:dyDescent="0.35">
      <c r="A153" s="442">
        <f>+'4. Contenido'!A70:B70</f>
        <v>0</v>
      </c>
      <c r="B153" s="443"/>
      <c r="C153" s="443"/>
      <c r="D153" s="443"/>
      <c r="E153" s="443"/>
      <c r="F153" s="443"/>
      <c r="G153" s="443"/>
      <c r="H153" s="444"/>
    </row>
    <row r="154" spans="1:8" s="208" customFormat="1" ht="22.75" customHeight="1" x14ac:dyDescent="0.35">
      <c r="A154" s="465">
        <f>+'4. Contenido'!A71:B71</f>
        <v>0</v>
      </c>
      <c r="B154" s="466"/>
      <c r="C154" s="466"/>
      <c r="D154" s="466"/>
      <c r="E154" s="466"/>
      <c r="F154" s="466"/>
      <c r="G154" s="466"/>
      <c r="H154" s="467"/>
    </row>
    <row r="155" spans="1:8" s="208" customFormat="1" ht="22.75" customHeight="1" x14ac:dyDescent="0.35">
      <c r="A155" s="399" t="s">
        <v>64</v>
      </c>
      <c r="B155" s="398">
        <f>+'4. Contenido'!B72</f>
        <v>0</v>
      </c>
      <c r="C155" s="399"/>
      <c r="D155" s="399"/>
      <c r="E155" s="399"/>
      <c r="F155" s="399"/>
      <c r="G155" s="399"/>
      <c r="H155" s="400"/>
    </row>
    <row r="156" spans="1:8" s="208" customFormat="1" ht="22.75" customHeight="1" x14ac:dyDescent="0.35">
      <c r="A156" s="399"/>
      <c r="B156" s="401"/>
      <c r="C156" s="402"/>
      <c r="D156" s="402"/>
      <c r="E156" s="402"/>
      <c r="F156" s="402"/>
      <c r="G156" s="402"/>
      <c r="H156" s="403"/>
    </row>
    <row r="157" spans="1:8" s="208" customFormat="1" ht="22.75" customHeight="1" x14ac:dyDescent="0.35">
      <c r="A157" s="439">
        <f>+'4. Contenido'!A73:B73</f>
        <v>0</v>
      </c>
      <c r="B157" s="440"/>
      <c r="C157" s="440"/>
      <c r="D157" s="440"/>
      <c r="E157" s="440"/>
      <c r="F157" s="440"/>
      <c r="G157" s="440"/>
      <c r="H157" s="441"/>
    </row>
    <row r="158" spans="1:8" s="208" customFormat="1" ht="22.75" customHeight="1" x14ac:dyDescent="0.35">
      <c r="A158" s="442">
        <f>+'4. Contenido'!A74:B74</f>
        <v>0</v>
      </c>
      <c r="B158" s="443"/>
      <c r="C158" s="443"/>
      <c r="D158" s="443"/>
      <c r="E158" s="443"/>
      <c r="F158" s="443"/>
      <c r="G158" s="443"/>
      <c r="H158" s="444"/>
    </row>
    <row r="159" spans="1:8" s="208" customFormat="1" ht="22.75" customHeight="1" x14ac:dyDescent="0.35">
      <c r="A159" s="442">
        <f>+'4. Contenido'!A75:B75</f>
        <v>0</v>
      </c>
      <c r="B159" s="443"/>
      <c r="C159" s="443"/>
      <c r="D159" s="443"/>
      <c r="E159" s="443"/>
      <c r="F159" s="443"/>
      <c r="G159" s="443"/>
      <c r="H159" s="444"/>
    </row>
    <row r="160" spans="1:8" s="208" customFormat="1" ht="22.75" customHeight="1" x14ac:dyDescent="0.35">
      <c r="A160" s="442">
        <f>+'4. Contenido'!A76:B76</f>
        <v>0</v>
      </c>
      <c r="B160" s="443"/>
      <c r="C160" s="443"/>
      <c r="D160" s="443"/>
      <c r="E160" s="443"/>
      <c r="F160" s="443"/>
      <c r="G160" s="443"/>
      <c r="H160" s="444"/>
    </row>
    <row r="161" spans="1:8" s="208" customFormat="1" ht="22.75" customHeight="1" x14ac:dyDescent="0.35">
      <c r="A161" s="442">
        <f>+'4. Contenido'!A77:B77</f>
        <v>0</v>
      </c>
      <c r="B161" s="443"/>
      <c r="C161" s="443"/>
      <c r="D161" s="443"/>
      <c r="E161" s="443"/>
      <c r="F161" s="443"/>
      <c r="G161" s="443"/>
      <c r="H161" s="444"/>
    </row>
    <row r="162" spans="1:8" s="208" customFormat="1" ht="22.75" customHeight="1" x14ac:dyDescent="0.35">
      <c r="A162" s="442">
        <f>+'4. Contenido'!A78:B78</f>
        <v>0</v>
      </c>
      <c r="B162" s="443"/>
      <c r="C162" s="443"/>
      <c r="D162" s="443"/>
      <c r="E162" s="443"/>
      <c r="F162" s="443"/>
      <c r="G162" s="443"/>
      <c r="H162" s="444"/>
    </row>
    <row r="163" spans="1:8" s="208" customFormat="1" ht="22.75" customHeight="1" x14ac:dyDescent="0.35">
      <c r="A163" s="442">
        <f>+'4. Contenido'!A79:B79</f>
        <v>0</v>
      </c>
      <c r="B163" s="443"/>
      <c r="C163" s="443"/>
      <c r="D163" s="443"/>
      <c r="E163" s="443"/>
      <c r="F163" s="443"/>
      <c r="G163" s="443"/>
      <c r="H163" s="444"/>
    </row>
    <row r="164" spans="1:8" s="208" customFormat="1" ht="22.75" customHeight="1" x14ac:dyDescent="0.35">
      <c r="A164" s="442">
        <f>+'4. Contenido'!A80:B80</f>
        <v>0</v>
      </c>
      <c r="B164" s="443"/>
      <c r="C164" s="443"/>
      <c r="D164" s="443"/>
      <c r="E164" s="443"/>
      <c r="F164" s="443"/>
      <c r="G164" s="443"/>
      <c r="H164" s="444"/>
    </row>
    <row r="165" spans="1:8" s="208" customFormat="1" ht="22.75" customHeight="1" x14ac:dyDescent="0.35">
      <c r="A165" s="442">
        <f>+'4. Contenido'!A81:B81</f>
        <v>0</v>
      </c>
      <c r="B165" s="443"/>
      <c r="C165" s="443"/>
      <c r="D165" s="443"/>
      <c r="E165" s="443"/>
      <c r="F165" s="443"/>
      <c r="G165" s="443"/>
      <c r="H165" s="444"/>
    </row>
    <row r="166" spans="1:8" s="208" customFormat="1" ht="22.75" customHeight="1" x14ac:dyDescent="0.35">
      <c r="A166" s="442">
        <f>+'4. Contenido'!A82:B82</f>
        <v>0</v>
      </c>
      <c r="B166" s="443"/>
      <c r="C166" s="443"/>
      <c r="D166" s="443"/>
      <c r="E166" s="443"/>
      <c r="F166" s="443"/>
      <c r="G166" s="443"/>
      <c r="H166" s="444"/>
    </row>
    <row r="167" spans="1:8" s="208" customFormat="1" ht="22.75" customHeight="1" x14ac:dyDescent="0.35">
      <c r="A167" s="442">
        <f>+'4. Contenido'!A83:B83</f>
        <v>0</v>
      </c>
      <c r="B167" s="443"/>
      <c r="C167" s="443"/>
      <c r="D167" s="443"/>
      <c r="E167" s="443"/>
      <c r="F167" s="443"/>
      <c r="G167" s="443"/>
      <c r="H167" s="444"/>
    </row>
    <row r="168" spans="1:8" s="208" customFormat="1" ht="22.75" customHeight="1" x14ac:dyDescent="0.35">
      <c r="A168" s="442">
        <f>+'4. Contenido'!A84:B84</f>
        <v>0</v>
      </c>
      <c r="B168" s="443"/>
      <c r="C168" s="443"/>
      <c r="D168" s="443"/>
      <c r="E168" s="443"/>
      <c r="F168" s="443"/>
      <c r="G168" s="443"/>
      <c r="H168" s="444"/>
    </row>
    <row r="169" spans="1:8" s="208" customFormat="1" ht="22.75" customHeight="1" x14ac:dyDescent="0.35">
      <c r="A169" s="442">
        <f>+'4. Contenido'!A85:B85</f>
        <v>0</v>
      </c>
      <c r="B169" s="443"/>
      <c r="C169" s="443"/>
      <c r="D169" s="443"/>
      <c r="E169" s="443"/>
      <c r="F169" s="443"/>
      <c r="G169" s="443"/>
      <c r="H169" s="444"/>
    </row>
    <row r="170" spans="1:8" s="208" customFormat="1" ht="22.75" customHeight="1" x14ac:dyDescent="0.35">
      <c r="A170" s="442">
        <f>+'4. Contenido'!A86:B86</f>
        <v>0</v>
      </c>
      <c r="B170" s="443"/>
      <c r="C170" s="443"/>
      <c r="D170" s="443"/>
      <c r="E170" s="443"/>
      <c r="F170" s="443"/>
      <c r="G170" s="443"/>
      <c r="H170" s="444"/>
    </row>
    <row r="171" spans="1:8" s="208" customFormat="1" ht="22.75" customHeight="1" x14ac:dyDescent="0.35">
      <c r="A171" s="465">
        <f>+'4. Contenido'!A87:B87</f>
        <v>0</v>
      </c>
      <c r="B171" s="466"/>
      <c r="C171" s="466"/>
      <c r="D171" s="466"/>
      <c r="E171" s="466"/>
      <c r="F171" s="466"/>
      <c r="G171" s="466"/>
      <c r="H171" s="467"/>
    </row>
    <row r="172" spans="1:8" s="208" customFormat="1" ht="22.75" customHeight="1" x14ac:dyDescent="0.35">
      <c r="A172" s="399" t="s">
        <v>65</v>
      </c>
      <c r="B172" s="398">
        <f>+'4. Contenido'!B88</f>
        <v>0</v>
      </c>
      <c r="C172" s="399"/>
      <c r="D172" s="399"/>
      <c r="E172" s="399"/>
      <c r="F172" s="399"/>
      <c r="G172" s="399"/>
      <c r="H172" s="400"/>
    </row>
    <row r="173" spans="1:8" s="208" customFormat="1" ht="22.75" customHeight="1" x14ac:dyDescent="0.35">
      <c r="A173" s="399"/>
      <c r="B173" s="401"/>
      <c r="C173" s="402"/>
      <c r="D173" s="402"/>
      <c r="E173" s="402"/>
      <c r="F173" s="402"/>
      <c r="G173" s="402"/>
      <c r="H173" s="403"/>
    </row>
    <row r="174" spans="1:8" s="208" customFormat="1" ht="22.75" customHeight="1" x14ac:dyDescent="0.35">
      <c r="A174" s="419">
        <f>+'4. Contenido'!A89:B89</f>
        <v>0</v>
      </c>
      <c r="B174" s="420"/>
      <c r="C174" s="420"/>
      <c r="D174" s="420"/>
      <c r="E174" s="420"/>
      <c r="F174" s="420"/>
      <c r="G174" s="420"/>
      <c r="H174" s="421"/>
    </row>
    <row r="175" spans="1:8" s="208" customFormat="1" ht="22.75" customHeight="1" x14ac:dyDescent="0.35">
      <c r="A175" s="442">
        <f>+'4. Contenido'!A90:B90</f>
        <v>0</v>
      </c>
      <c r="B175" s="443"/>
      <c r="C175" s="443"/>
      <c r="D175" s="443"/>
      <c r="E175" s="443"/>
      <c r="F175" s="443"/>
      <c r="G175" s="443"/>
      <c r="H175" s="444"/>
    </row>
    <row r="176" spans="1:8" s="208" customFormat="1" ht="22.75" customHeight="1" x14ac:dyDescent="0.35">
      <c r="A176" s="442">
        <f>+'4. Contenido'!A91:B91</f>
        <v>0</v>
      </c>
      <c r="B176" s="443"/>
      <c r="C176" s="443"/>
      <c r="D176" s="443"/>
      <c r="E176" s="443"/>
      <c r="F176" s="443"/>
      <c r="G176" s="443"/>
      <c r="H176" s="444"/>
    </row>
    <row r="177" spans="1:8" s="208" customFormat="1" ht="22.75" customHeight="1" x14ac:dyDescent="0.35">
      <c r="A177" s="442">
        <f>+'4. Contenido'!A92:B92</f>
        <v>0</v>
      </c>
      <c r="B177" s="443"/>
      <c r="C177" s="443"/>
      <c r="D177" s="443"/>
      <c r="E177" s="443"/>
      <c r="F177" s="443"/>
      <c r="G177" s="443"/>
      <c r="H177" s="444"/>
    </row>
    <row r="178" spans="1:8" s="208" customFormat="1" ht="22.75" customHeight="1" x14ac:dyDescent="0.35">
      <c r="A178" s="442">
        <f>+'4. Contenido'!A93:B93</f>
        <v>0</v>
      </c>
      <c r="B178" s="443"/>
      <c r="C178" s="443"/>
      <c r="D178" s="443"/>
      <c r="E178" s="443"/>
      <c r="F178" s="443"/>
      <c r="G178" s="443"/>
      <c r="H178" s="444"/>
    </row>
    <row r="179" spans="1:8" s="208" customFormat="1" ht="22.75" customHeight="1" x14ac:dyDescent="0.35">
      <c r="A179" s="442">
        <f>+'4. Contenido'!A94:B94</f>
        <v>0</v>
      </c>
      <c r="B179" s="443"/>
      <c r="C179" s="443"/>
      <c r="D179" s="443"/>
      <c r="E179" s="443"/>
      <c r="F179" s="443"/>
      <c r="G179" s="443"/>
      <c r="H179" s="444"/>
    </row>
    <row r="180" spans="1:8" s="208" customFormat="1" ht="22.75" customHeight="1" x14ac:dyDescent="0.35">
      <c r="A180" s="442">
        <f>+'4. Contenido'!A95:B95</f>
        <v>0</v>
      </c>
      <c r="B180" s="443"/>
      <c r="C180" s="443"/>
      <c r="D180" s="443"/>
      <c r="E180" s="443"/>
      <c r="F180" s="443"/>
      <c r="G180" s="443"/>
      <c r="H180" s="444"/>
    </row>
    <row r="181" spans="1:8" s="208" customFormat="1" ht="22.75" customHeight="1" x14ac:dyDescent="0.35">
      <c r="A181" s="442">
        <f>+'4. Contenido'!A96:B96</f>
        <v>0</v>
      </c>
      <c r="B181" s="443"/>
      <c r="C181" s="443"/>
      <c r="D181" s="443"/>
      <c r="E181" s="443"/>
      <c r="F181" s="443"/>
      <c r="G181" s="443"/>
      <c r="H181" s="444"/>
    </row>
    <row r="182" spans="1:8" s="208" customFormat="1" ht="22.75" customHeight="1" x14ac:dyDescent="0.35">
      <c r="A182" s="442">
        <f>+'4. Contenido'!A97:B97</f>
        <v>0</v>
      </c>
      <c r="B182" s="443"/>
      <c r="C182" s="443"/>
      <c r="D182" s="443"/>
      <c r="E182" s="443"/>
      <c r="F182" s="443"/>
      <c r="G182" s="443"/>
      <c r="H182" s="444"/>
    </row>
    <row r="183" spans="1:8" s="208" customFormat="1" ht="22.75" customHeight="1" x14ac:dyDescent="0.35">
      <c r="A183" s="442">
        <f>+'4. Contenido'!A98:B98</f>
        <v>0</v>
      </c>
      <c r="B183" s="443"/>
      <c r="C183" s="443"/>
      <c r="D183" s="443"/>
      <c r="E183" s="443"/>
      <c r="F183" s="443"/>
      <c r="G183" s="443"/>
      <c r="H183" s="444"/>
    </row>
    <row r="184" spans="1:8" s="208" customFormat="1" ht="22.75" customHeight="1" x14ac:dyDescent="0.35">
      <c r="A184" s="442">
        <f>+'4. Contenido'!A99:B99</f>
        <v>0</v>
      </c>
      <c r="B184" s="443"/>
      <c r="C184" s="443"/>
      <c r="D184" s="443"/>
      <c r="E184" s="443"/>
      <c r="F184" s="443"/>
      <c r="G184" s="443"/>
      <c r="H184" s="444"/>
    </row>
    <row r="185" spans="1:8" s="208" customFormat="1" ht="22.75" customHeight="1" x14ac:dyDescent="0.35">
      <c r="A185" s="442">
        <f>+'4. Contenido'!A100:B100</f>
        <v>0</v>
      </c>
      <c r="B185" s="443"/>
      <c r="C185" s="443"/>
      <c r="D185" s="443"/>
      <c r="E185" s="443"/>
      <c r="F185" s="443"/>
      <c r="G185" s="443"/>
      <c r="H185" s="444"/>
    </row>
    <row r="186" spans="1:8" s="208" customFormat="1" ht="22.75" customHeight="1" x14ac:dyDescent="0.35">
      <c r="A186" s="442">
        <f>+'4. Contenido'!A101:B101</f>
        <v>0</v>
      </c>
      <c r="B186" s="443"/>
      <c r="C186" s="443"/>
      <c r="D186" s="443"/>
      <c r="E186" s="443"/>
      <c r="F186" s="443"/>
      <c r="G186" s="443"/>
      <c r="H186" s="444"/>
    </row>
    <row r="187" spans="1:8" s="208" customFormat="1" ht="22.75" customHeight="1" x14ac:dyDescent="0.35">
      <c r="A187" s="442">
        <f>+'4. Contenido'!A102:B102</f>
        <v>0</v>
      </c>
      <c r="B187" s="443"/>
      <c r="C187" s="443"/>
      <c r="D187" s="443"/>
      <c r="E187" s="443"/>
      <c r="F187" s="443"/>
      <c r="G187" s="443"/>
      <c r="H187" s="444"/>
    </row>
    <row r="188" spans="1:8" s="208" customFormat="1" ht="22.75" customHeight="1" x14ac:dyDescent="0.35">
      <c r="A188" s="465">
        <f>+'4. Contenido'!A103:B103</f>
        <v>0</v>
      </c>
      <c r="B188" s="466"/>
      <c r="C188" s="466"/>
      <c r="D188" s="466"/>
      <c r="E188" s="466"/>
      <c r="F188" s="466"/>
      <c r="G188" s="466"/>
      <c r="H188" s="467"/>
    </row>
    <row r="189" spans="1:8" ht="18" customHeight="1" x14ac:dyDescent="0.25">
      <c r="A189" s="472" t="s">
        <v>3</v>
      </c>
      <c r="B189" s="472"/>
      <c r="C189" s="472"/>
      <c r="D189" s="472"/>
      <c r="E189" s="472"/>
      <c r="F189" s="472"/>
      <c r="G189" s="472"/>
      <c r="H189" s="472"/>
    </row>
    <row r="190" spans="1:8" ht="11.5" customHeight="1" x14ac:dyDescent="0.25">
      <c r="A190" s="473" t="str">
        <f>+'3. ESTRATEG. APRENDIZAJE'!B8</f>
        <v>Lección Magistral</v>
      </c>
      <c r="B190" s="474"/>
      <c r="C190" s="474"/>
      <c r="D190" s="475"/>
      <c r="E190" s="529" t="str">
        <f>+'3. ESTRATEG. APRENDIZAJE'!B20</f>
        <v>Aprendizaje Orientado a Proyecto</v>
      </c>
      <c r="F190" s="474"/>
      <c r="G190" s="474"/>
      <c r="H190" s="530"/>
    </row>
    <row r="191" spans="1:8" x14ac:dyDescent="0.25">
      <c r="A191" s="114">
        <f>+'3. ESTRATEG. APRENDIZAJE'!B9</f>
        <v>0</v>
      </c>
      <c r="B191" s="468" t="str">
        <f>+'3. ESTRATEG. APRENDIZAJE'!C9</f>
        <v>Exposición del Académico</v>
      </c>
      <c r="C191" s="469"/>
      <c r="D191" s="470"/>
      <c r="E191" s="115">
        <f>+'3. ESTRATEG. APRENDIZAJE'!B21</f>
        <v>0</v>
      </c>
      <c r="F191" s="468" t="str">
        <f>+'3. ESTRATEG. APRENDIZAJE'!C21</f>
        <v>Realización de un Proyecto</v>
      </c>
      <c r="G191" s="469"/>
      <c r="H191" s="471"/>
    </row>
    <row r="192" spans="1:8" ht="11.5" customHeight="1" x14ac:dyDescent="0.25">
      <c r="A192" s="114">
        <f>+'3. ESTRATEG. APRENDIZAJE'!B10</f>
        <v>0</v>
      </c>
      <c r="B192" s="468" t="str">
        <f>+'3. ESTRATEG. APRENDIZAJE'!C10</f>
        <v>Lectura dirigida</v>
      </c>
      <c r="C192" s="469"/>
      <c r="D192" s="470"/>
      <c r="E192" s="115">
        <f>+'3. ESTRATEG. APRENDIZAJE'!B22</f>
        <v>0</v>
      </c>
      <c r="F192" s="468" t="str">
        <f>+'3. ESTRATEG. APRENDIZAJE'!C22</f>
        <v>Resolver problemas o Actividades.</v>
      </c>
      <c r="G192" s="469"/>
      <c r="H192" s="471"/>
    </row>
    <row r="193" spans="1:8" ht="11.5" customHeight="1" x14ac:dyDescent="0.25">
      <c r="A193" s="114">
        <f>+'3. ESTRATEG. APRENDIZAJE'!B11</f>
        <v>0</v>
      </c>
      <c r="B193" s="468" t="str">
        <f>+'3. ESTRATEG. APRENDIZAJE'!C11</f>
        <v>Revisión Bibliográfica</v>
      </c>
      <c r="C193" s="469"/>
      <c r="D193" s="470"/>
      <c r="E193" s="115">
        <f>+'3. ESTRATEG. APRENDIZAJE'!B23</f>
        <v>0</v>
      </c>
      <c r="F193" s="468" t="str">
        <f>+'3. ESTRATEG. APRENDIZAJE'!C23</f>
        <v>Asumir Responsabilidades</v>
      </c>
      <c r="G193" s="469"/>
      <c r="H193" s="471"/>
    </row>
    <row r="194" spans="1:8" ht="11.5" customHeight="1" x14ac:dyDescent="0.25">
      <c r="A194" s="114">
        <f>+'3. ESTRATEG. APRENDIZAJE'!B12</f>
        <v>0</v>
      </c>
      <c r="B194" s="468" t="str">
        <f>+'3. ESTRATEG. APRENDIZAJE'!C12</f>
        <v>Seminario</v>
      </c>
      <c r="C194" s="469"/>
      <c r="D194" s="470"/>
      <c r="E194" s="115">
        <f>+'3. ESTRATEG. APRENDIZAJE'!B24</f>
        <v>0</v>
      </c>
      <c r="F194" s="468" t="str">
        <f>+'3. ESTRATEG. APRENDIZAJE'!C24</f>
        <v>Guías y procedimientos</v>
      </c>
      <c r="G194" s="469"/>
      <c r="H194" s="471"/>
    </row>
    <row r="195" spans="1:8" ht="11.5" customHeight="1" x14ac:dyDescent="0.25">
      <c r="A195" s="114">
        <f>+'3. ESTRATEG. APRENDIZAJE'!B13</f>
        <v>0</v>
      </c>
      <c r="B195" s="468" t="str">
        <f>+'3. ESTRATEG. APRENDIZAJE'!C13</f>
        <v>Conferencia</v>
      </c>
      <c r="C195" s="469"/>
      <c r="D195" s="470"/>
      <c r="E195" s="115">
        <f>+'3. ESTRATEG. APRENDIZAJE'!B25</f>
        <v>0</v>
      </c>
      <c r="F195" s="468" t="str">
        <f>+'3. ESTRATEG. APRENDIZAJE'!C25</f>
        <v>Participación en Proyectos de Investigación</v>
      </c>
      <c r="G195" s="469"/>
      <c r="H195" s="471"/>
    </row>
    <row r="196" spans="1:8" ht="11.5" customHeight="1" x14ac:dyDescent="0.25">
      <c r="A196" s="526" t="str">
        <f>+'3. ESTRATEG. APRENDIZAJE'!B14</f>
        <v>Estudios de Caso</v>
      </c>
      <c r="B196" s="527"/>
      <c r="C196" s="527"/>
      <c r="D196" s="528"/>
      <c r="E196" s="531" t="str">
        <f>+'3. ESTRATEG. APRENDIZAJE'!B26</f>
        <v>Aprendizaje Colaborativo</v>
      </c>
      <c r="F196" s="527"/>
      <c r="G196" s="527"/>
      <c r="H196" s="532"/>
    </row>
    <row r="197" spans="1:8" ht="11.5" customHeight="1" x14ac:dyDescent="0.25">
      <c r="A197" s="114">
        <f>+'3. ESTRATEG. APRENDIZAJE'!B15</f>
        <v>0</v>
      </c>
      <c r="B197" s="468" t="str">
        <f>+'3. ESTRATEG. APRENDIZAJE'!C15</f>
        <v>Problemas Reales</v>
      </c>
      <c r="C197" s="469"/>
      <c r="D197" s="470"/>
      <c r="E197" s="115">
        <f>+'3. ESTRATEG. APRENDIZAJE'!B27</f>
        <v>0</v>
      </c>
      <c r="F197" s="468" t="str">
        <f>+'3. ESTRATEG. APRENDIZAJE'!C27</f>
        <v xml:space="preserve">Integración de grupos
</v>
      </c>
      <c r="G197" s="469"/>
      <c r="H197" s="471"/>
    </row>
    <row r="198" spans="1:8" ht="11.5" customHeight="1" x14ac:dyDescent="0.25">
      <c r="A198" s="114">
        <f>+'3. ESTRATEG. APRENDIZAJE'!B16</f>
        <v>0</v>
      </c>
      <c r="B198" s="468" t="str">
        <f>+'3. ESTRATEG. APRENDIZAJE'!C16</f>
        <v>Análisis completo del Problema</v>
      </c>
      <c r="C198" s="469"/>
      <c r="D198" s="470"/>
      <c r="E198" s="115">
        <f>+'3. ESTRATEG. APRENDIZAJE'!B28</f>
        <v>0</v>
      </c>
      <c r="F198" s="468" t="str">
        <f>+'3. ESTRATEG. APRENDIZAJE'!C28</f>
        <v xml:space="preserve">Panel de discusión </v>
      </c>
      <c r="G198" s="469"/>
      <c r="H198" s="471"/>
    </row>
    <row r="199" spans="1:8" ht="11.5" customHeight="1" x14ac:dyDescent="0.25">
      <c r="A199" s="114">
        <f>+'3. ESTRATEG. APRENDIZAJE'!B17</f>
        <v>0</v>
      </c>
      <c r="B199" s="468" t="str">
        <f>+'3. ESTRATEG. APRENDIZAJE'!C17</f>
        <v>Desarrollo de Guías</v>
      </c>
      <c r="C199" s="469"/>
      <c r="D199" s="470"/>
      <c r="E199" s="115">
        <f>+'3. ESTRATEG. APRENDIZAJE'!B29</f>
        <v>0</v>
      </c>
      <c r="F199" s="468" t="str">
        <f>+'3. ESTRATEG. APRENDIZAJE'!C29</f>
        <v>Foro del Diálogo</v>
      </c>
      <c r="G199" s="469"/>
      <c r="H199" s="471"/>
    </row>
    <row r="200" spans="1:8" ht="11.5" customHeight="1" x14ac:dyDescent="0.25">
      <c r="A200" s="114">
        <f>+'3. ESTRATEG. APRENDIZAJE'!B18</f>
        <v>0</v>
      </c>
      <c r="B200" s="468" t="str">
        <f>+'3. ESTRATEG. APRENDIZAJE'!C18</f>
        <v>Visitas de Campo o empresarial</v>
      </c>
      <c r="C200" s="469"/>
      <c r="D200" s="470"/>
      <c r="E200" s="134" t="s">
        <v>266</v>
      </c>
      <c r="F200" s="135"/>
      <c r="G200" s="135"/>
      <c r="H200" s="136"/>
    </row>
    <row r="201" spans="1:8" ht="11.5" customHeight="1" x14ac:dyDescent="0.25">
      <c r="A201" s="114">
        <f>+'3. ESTRATEG. APRENDIZAJE'!B19</f>
        <v>0</v>
      </c>
      <c r="B201" s="116" t="str">
        <f>+'3. ESTRATEG. APRENDIZAJE'!C19</f>
        <v>Prácticas de Laboratorio</v>
      </c>
      <c r="C201" s="117"/>
      <c r="D201" s="118"/>
      <c r="E201" s="115">
        <f>+'3. ESTRATEG. APRENDIZAJE'!B36</f>
        <v>0</v>
      </c>
      <c r="F201" s="512" t="str">
        <f>+'3. ESTRATEG. APRENDIZAJE'!C36</f>
        <v>La clase Invertida - The Flipped Classroom.</v>
      </c>
      <c r="G201" s="513"/>
      <c r="H201" s="514"/>
    </row>
    <row r="202" spans="1:8" ht="11.5" customHeight="1" x14ac:dyDescent="0.25">
      <c r="A202" s="526" t="str">
        <f>+'3. ESTRATEG. APRENDIZAJE'!B30</f>
        <v>Aprendizaje Basado en Problemas</v>
      </c>
      <c r="B202" s="527"/>
      <c r="C202" s="527"/>
      <c r="D202" s="528"/>
      <c r="E202" s="115">
        <f>+'3. ESTRATEG. APRENDIZAJE'!B37</f>
        <v>0</v>
      </c>
      <c r="F202" s="512" t="str">
        <f>+'3. ESTRATEG. APRENDIZAJE'!C37</f>
        <v>Mediación por Tics</v>
      </c>
      <c r="G202" s="513"/>
      <c r="H202" s="514"/>
    </row>
    <row r="203" spans="1:8" ht="11.5" customHeight="1" x14ac:dyDescent="0.25">
      <c r="A203" s="114">
        <f>+'3. ESTRATEG. APRENDIZAJE'!B31</f>
        <v>0</v>
      </c>
      <c r="B203" s="116" t="str">
        <f>+'3. ESTRATEG. APRENDIZAJE'!C31</f>
        <v>Situaciones Problemáticas de contexto real</v>
      </c>
      <c r="C203" s="117"/>
      <c r="D203" s="118"/>
      <c r="E203" s="115">
        <f>+'3. ESTRATEG. APRENDIZAJE'!B38</f>
        <v>0</v>
      </c>
      <c r="F203" s="512" t="str">
        <f>+'3. ESTRATEG. APRENDIZAJE'!C38</f>
        <v>Recurso Multimedia</v>
      </c>
      <c r="G203" s="513"/>
      <c r="H203" s="514"/>
    </row>
    <row r="204" spans="1:8" ht="11.5" customHeight="1" x14ac:dyDescent="0.25">
      <c r="A204" s="114">
        <f>+'3. ESTRATEG. APRENDIZAJE'!B32</f>
        <v>0</v>
      </c>
      <c r="B204" s="116" t="str">
        <f>+'3. ESTRATEG. APRENDIZAJE'!C32</f>
        <v>Simulaciones</v>
      </c>
      <c r="C204" s="117"/>
      <c r="D204" s="118"/>
      <c r="E204" s="115">
        <f>+'3. ESTRATEG. APRENDIZAJE'!B39</f>
        <v>0</v>
      </c>
      <c r="F204" s="512">
        <f>+'3. ESTRATEG. APRENDIZAJE'!C39</f>
        <v>0</v>
      </c>
      <c r="G204" s="513"/>
      <c r="H204" s="514"/>
    </row>
    <row r="205" spans="1:8" ht="11.5" customHeight="1" x14ac:dyDescent="0.25">
      <c r="A205" s="114">
        <f>+'3. ESTRATEG. APRENDIZAJE'!B33</f>
        <v>0</v>
      </c>
      <c r="B205" s="116" t="str">
        <f>+'3. ESTRATEG. APRENDIZAJE'!C33</f>
        <v>El profesor como facilitador</v>
      </c>
      <c r="C205" s="117"/>
      <c r="D205" s="118"/>
      <c r="E205" s="115">
        <f>+'3. ESTRATEG. APRENDIZAJE'!B40</f>
        <v>0</v>
      </c>
      <c r="F205" s="512">
        <f>+'3. ESTRATEG. APRENDIZAJE'!B40</f>
        <v>0</v>
      </c>
      <c r="G205" s="513"/>
      <c r="H205" s="514"/>
    </row>
    <row r="206" spans="1:8" ht="20.5" customHeight="1" x14ac:dyDescent="0.25">
      <c r="A206" s="114">
        <f>+'3. ESTRATEG. APRENDIZAJE'!B34</f>
        <v>0</v>
      </c>
      <c r="B206" s="509" t="str">
        <f>+'3. ESTRATEG. APRENDIZAJE'!C34</f>
        <v>Talleres teóricos - prácticos (Talleres teniendo en cuenta el ABP)</v>
      </c>
      <c r="C206" s="510"/>
      <c r="D206" s="511"/>
      <c r="E206" s="115">
        <f>+'3. ESTRATEG. APRENDIZAJE'!B41</f>
        <v>0</v>
      </c>
      <c r="F206" s="512">
        <f>+'3. ESTRATEG. APRENDIZAJE'!C41</f>
        <v>0</v>
      </c>
      <c r="G206" s="513"/>
      <c r="H206" s="514"/>
    </row>
    <row r="207" spans="1:8" x14ac:dyDescent="0.25">
      <c r="A207" s="386" t="s">
        <v>106</v>
      </c>
      <c r="B207" s="386"/>
      <c r="C207" s="386"/>
      <c r="D207" s="386"/>
      <c r="E207" s="386"/>
      <c r="F207" s="386"/>
      <c r="G207" s="386"/>
      <c r="H207" s="386"/>
    </row>
    <row r="208" spans="1:8" x14ac:dyDescent="0.25">
      <c r="A208" s="386"/>
      <c r="B208" s="386"/>
      <c r="C208" s="386"/>
      <c r="D208" s="386"/>
      <c r="E208" s="386"/>
      <c r="F208" s="386"/>
      <c r="G208" s="386"/>
      <c r="H208" s="386"/>
    </row>
    <row r="209" spans="1:8" ht="14" x14ac:dyDescent="0.3">
      <c r="A209" s="507" t="s">
        <v>133</v>
      </c>
      <c r="B209" s="508"/>
      <c r="C209" s="391" t="s">
        <v>107</v>
      </c>
      <c r="D209" s="391"/>
      <c r="E209" s="391"/>
      <c r="F209" s="391"/>
      <c r="G209" s="391"/>
      <c r="H209" s="391"/>
    </row>
    <row r="210" spans="1:8" ht="14" x14ac:dyDescent="0.3">
      <c r="A210" s="507" t="s">
        <v>131</v>
      </c>
      <c r="B210" s="508"/>
      <c r="C210" s="391" t="s">
        <v>108</v>
      </c>
      <c r="D210" s="391"/>
      <c r="E210" s="391"/>
      <c r="F210" s="391"/>
      <c r="G210" s="391"/>
      <c r="H210" s="391"/>
    </row>
    <row r="211" spans="1:8" ht="14.5" thickBot="1" x14ac:dyDescent="0.35">
      <c r="A211" s="479" t="s">
        <v>149</v>
      </c>
      <c r="B211" s="480"/>
      <c r="C211" s="392" t="s">
        <v>109</v>
      </c>
      <c r="D211" s="392"/>
      <c r="E211" s="392"/>
      <c r="F211" s="392"/>
      <c r="G211" s="392"/>
      <c r="H211" s="392"/>
    </row>
    <row r="212" spans="1:8" ht="15" customHeight="1" thickBot="1" x14ac:dyDescent="0.3">
      <c r="A212" s="484" t="s">
        <v>129</v>
      </c>
      <c r="B212" s="485"/>
      <c r="C212" s="481" t="s">
        <v>123</v>
      </c>
      <c r="D212" s="483" t="s">
        <v>130</v>
      </c>
      <c r="E212" s="483"/>
      <c r="F212" s="483"/>
      <c r="G212" s="483"/>
      <c r="H212" s="483"/>
    </row>
    <row r="213" spans="1:8" ht="31.5" x14ac:dyDescent="0.25">
      <c r="A213" s="18" t="s">
        <v>134</v>
      </c>
      <c r="B213" s="18" t="s">
        <v>135</v>
      </c>
      <c r="C213" s="482"/>
      <c r="D213" s="19" t="s">
        <v>114</v>
      </c>
      <c r="E213" s="19" t="s">
        <v>115</v>
      </c>
      <c r="F213" s="19" t="s">
        <v>116</v>
      </c>
      <c r="G213" s="19" t="s">
        <v>117</v>
      </c>
      <c r="H213" s="19" t="s">
        <v>118</v>
      </c>
    </row>
    <row r="214" spans="1:8" ht="130" x14ac:dyDescent="0.25">
      <c r="A214" s="20">
        <v>4.01</v>
      </c>
      <c r="B214" s="20">
        <v>5</v>
      </c>
      <c r="C214" s="21" t="s">
        <v>110</v>
      </c>
      <c r="D214" s="22" t="str">
        <f>+'6. Rúbricas'!F14</f>
        <v>Tiene excelente dominio del tema, comunica claramente las ideas y frente a las preguntas emite respuestas precisas</v>
      </c>
      <c r="E214" s="22" t="str">
        <f>+'6. Rúbricas'!D14</f>
        <v>Hace empleo adecuado de los recursos didácticos, sacándole el mayor provecho, lo que resulta favorable para el desarrollo de su proceso académico.</v>
      </c>
      <c r="F214" s="22" t="str">
        <f>+'6. Rúbricas'!E14</f>
        <v>Aprovecha y se ajusta al tiempo asignado, para la entrega de sus actividades académicas.</v>
      </c>
      <c r="G214" s="22" t="str">
        <f>+'6. Rúbricas'!G14</f>
        <v>Sabe aclarar todas las dudas sobre el tema con ideas claras y precisas incluso va más allá del límite de la respuesta</v>
      </c>
      <c r="H214" s="22" t="str">
        <f>+'6. Rúbricas'!H14</f>
        <v>Muestra respeto por el tema tratado y por sus compañeros que requieren alguna  aclaración</v>
      </c>
    </row>
    <row r="215" spans="1:8" ht="110" x14ac:dyDescent="0.25">
      <c r="A215" s="23">
        <v>3.01</v>
      </c>
      <c r="B215" s="23">
        <v>4</v>
      </c>
      <c r="C215" s="24" t="s">
        <v>111</v>
      </c>
      <c r="D215" s="185" t="str">
        <f>+'6. Rúbricas'!F15</f>
        <v>Maneja el Dominio del tema, aunque algunas ideas no quedan muy claras y hay error en la respuesta de una pregunta</v>
      </c>
      <c r="E215" s="185" t="str">
        <f>+'6. Rúbricas'!D15</f>
        <v>Presenta y utiliza recursos didácticos, aunque no le saca el mayor provecho  para el desarrollo de su proceso académico.</v>
      </c>
      <c r="F215" s="185" t="str">
        <f>+'6. Rúbricas'!E15</f>
        <v xml:space="preserve">Se ajusta al tiempo asignado, en algunas ocasiones,para la entrega de sus actividades académicas. </v>
      </c>
      <c r="G215" s="185" t="str">
        <f>+'6. Rúbricas'!G15</f>
        <v>Sabe aclarar las dudas de los compañeros sin ir más allá</v>
      </c>
      <c r="H215" s="185" t="str">
        <f>+'6. Rúbricas'!H15</f>
        <v>Muestra respeto por el tema tratado pero la forma de responder a sus compañeros no es del todo correcta</v>
      </c>
    </row>
    <row r="216" spans="1:8" ht="90" x14ac:dyDescent="0.25">
      <c r="A216" s="25">
        <v>2.0099999999999998</v>
      </c>
      <c r="B216" s="25">
        <v>3</v>
      </c>
      <c r="C216" s="26" t="s">
        <v>112</v>
      </c>
      <c r="D216" s="186" t="str">
        <f>+'6. Rúbricas'!F16</f>
        <v>Poco dominio sus respuestas demuestran imprecisión que obligan a solicitar mayor aclaración</v>
      </c>
      <c r="E216" s="186" t="str">
        <f>+'6. Rúbricas'!D16</f>
        <v>utiliza pocos recursos y solo son utilizados en algunos momentos de su proceso académico.</v>
      </c>
      <c r="F216" s="186" t="str">
        <f>+'6. Rúbricas'!E16</f>
        <v>Dedica mucho tiempo algunos aspectos, lo que hace que demore en la entrega de sus actividades.</v>
      </c>
      <c r="G216" s="186" t="str">
        <f>+'6. Rúbricas'!G16</f>
        <v>En algunos en algunas preguntas emite respuestas adecuadas y en otras solo son superficiales</v>
      </c>
      <c r="H216" s="186" t="str">
        <f>+'6. Rúbricas'!H16</f>
        <v>Muestra poco respeto por el tema tratado y sus respuestas a sus compañeros denota sarcasmo y despectividad</v>
      </c>
    </row>
    <row r="217" spans="1:8" ht="69" customHeight="1" thickBot="1" x14ac:dyDescent="0.3">
      <c r="A217" s="27">
        <v>0</v>
      </c>
      <c r="B217" s="27">
        <v>2</v>
      </c>
      <c r="C217" s="28" t="s">
        <v>113</v>
      </c>
      <c r="D217" s="187" t="str">
        <f>+'6. Rúbricas'!F17</f>
        <v>No hay dominio del tema lo que no le permite responder correctamente las preguntas</v>
      </c>
      <c r="E217" s="187" t="str">
        <f>+'6. Rúbricas'!D17</f>
        <v>Presenta recursos pero no son utilizados</v>
      </c>
      <c r="F217" s="187" t="str">
        <f>+'6. Rúbricas'!E17</f>
        <v>El tiempo asignado no lo utiliza 
adecuadamente en la entrega de las actividades académicas.</v>
      </c>
      <c r="G217" s="187" t="str">
        <f>+'6. Rúbricas'!G17</f>
        <v>No sabe aclarar ninguna duda presentada por los compañeros y del docente</v>
      </c>
      <c r="H217" s="187" t="str">
        <f>+'6. Rúbricas'!H17</f>
        <v>No demuestra respeto por el tema ni por sus compañeros dando respuestas inapropiadas</v>
      </c>
    </row>
    <row r="218" spans="1:8" ht="16" customHeight="1" x14ac:dyDescent="0.25">
      <c r="A218" s="375" t="s">
        <v>136</v>
      </c>
      <c r="B218" s="376"/>
      <c r="C218" s="376"/>
      <c r="D218" s="376"/>
      <c r="E218" s="376"/>
      <c r="F218" s="376"/>
      <c r="G218" s="376"/>
      <c r="H218" s="377"/>
    </row>
    <row r="219" spans="1:8" ht="23" x14ac:dyDescent="0.25">
      <c r="A219" s="495" t="s">
        <v>137</v>
      </c>
      <c r="B219" s="478"/>
      <c r="C219" s="478" t="s">
        <v>138</v>
      </c>
      <c r="D219" s="478"/>
      <c r="E219" s="478"/>
      <c r="F219" s="478" t="s">
        <v>139</v>
      </c>
      <c r="G219" s="478"/>
      <c r="H219" s="13" t="s">
        <v>140</v>
      </c>
    </row>
    <row r="220" spans="1:8" x14ac:dyDescent="0.25">
      <c r="A220" s="476">
        <f>+'5. BIBLIOGRAFIA-CIBERGRAFIA'!A9:A9</f>
        <v>0</v>
      </c>
      <c r="B220" s="477"/>
      <c r="C220" s="486">
        <f>+'5. BIBLIOGRAFIA-CIBERGRAFIA'!B9:B9</f>
        <v>0</v>
      </c>
      <c r="D220" s="487"/>
      <c r="E220" s="488"/>
      <c r="F220" s="477">
        <f>+'5. BIBLIOGRAFIA-CIBERGRAFIA'!C9:C9</f>
        <v>0</v>
      </c>
      <c r="G220" s="477"/>
      <c r="H220" s="143">
        <f>+'5. BIBLIOGRAFIA-CIBERGRAFIA'!D9</f>
        <v>0</v>
      </c>
    </row>
    <row r="221" spans="1:8" x14ac:dyDescent="0.25">
      <c r="A221" s="476">
        <f>+'5. BIBLIOGRAFIA-CIBERGRAFIA'!A10:A10</f>
        <v>0</v>
      </c>
      <c r="B221" s="477"/>
      <c r="C221" s="486">
        <f>+'5. BIBLIOGRAFIA-CIBERGRAFIA'!B10:B10</f>
        <v>0</v>
      </c>
      <c r="D221" s="487"/>
      <c r="E221" s="488"/>
      <c r="F221" s="477">
        <f>+'5. BIBLIOGRAFIA-CIBERGRAFIA'!C10:C10</f>
        <v>0</v>
      </c>
      <c r="G221" s="477"/>
      <c r="H221" s="143">
        <f>+'5. BIBLIOGRAFIA-CIBERGRAFIA'!D10</f>
        <v>0</v>
      </c>
    </row>
    <row r="222" spans="1:8" x14ac:dyDescent="0.25">
      <c r="A222" s="476">
        <f>+'5. BIBLIOGRAFIA-CIBERGRAFIA'!A11:A11</f>
        <v>0</v>
      </c>
      <c r="B222" s="477"/>
      <c r="C222" s="486">
        <f>+'5. BIBLIOGRAFIA-CIBERGRAFIA'!B11:B11</f>
        <v>0</v>
      </c>
      <c r="D222" s="487"/>
      <c r="E222" s="488"/>
      <c r="F222" s="477">
        <f>+'5. BIBLIOGRAFIA-CIBERGRAFIA'!C11:C11</f>
        <v>0</v>
      </c>
      <c r="G222" s="477"/>
      <c r="H222" s="143">
        <f>+'5. BIBLIOGRAFIA-CIBERGRAFIA'!D11</f>
        <v>0</v>
      </c>
    </row>
    <row r="223" spans="1:8" x14ac:dyDescent="0.25">
      <c r="A223" s="476">
        <f>+'5. BIBLIOGRAFIA-CIBERGRAFIA'!A12:A12</f>
        <v>0</v>
      </c>
      <c r="B223" s="477"/>
      <c r="C223" s="486">
        <f>+'5. BIBLIOGRAFIA-CIBERGRAFIA'!B12:B12</f>
        <v>0</v>
      </c>
      <c r="D223" s="487"/>
      <c r="E223" s="488"/>
      <c r="F223" s="477">
        <f>+'5. BIBLIOGRAFIA-CIBERGRAFIA'!C12:C12</f>
        <v>0</v>
      </c>
      <c r="G223" s="477"/>
      <c r="H223" s="143">
        <f>+'5. BIBLIOGRAFIA-CIBERGRAFIA'!D12</f>
        <v>0</v>
      </c>
    </row>
    <row r="224" spans="1:8" x14ac:dyDescent="0.25">
      <c r="A224" s="476">
        <f>+'5. BIBLIOGRAFIA-CIBERGRAFIA'!A13:A13</f>
        <v>0</v>
      </c>
      <c r="B224" s="477"/>
      <c r="C224" s="486">
        <f>+'5. BIBLIOGRAFIA-CIBERGRAFIA'!B13:B13</f>
        <v>0</v>
      </c>
      <c r="D224" s="487"/>
      <c r="E224" s="488"/>
      <c r="F224" s="477">
        <f>+'5. BIBLIOGRAFIA-CIBERGRAFIA'!C13:C13</f>
        <v>0</v>
      </c>
      <c r="G224" s="477"/>
      <c r="H224" s="143">
        <f>+'5. BIBLIOGRAFIA-CIBERGRAFIA'!D13</f>
        <v>0</v>
      </c>
    </row>
    <row r="225" spans="1:8" x14ac:dyDescent="0.25">
      <c r="A225" s="476">
        <f>+'5. BIBLIOGRAFIA-CIBERGRAFIA'!A14:A14</f>
        <v>0</v>
      </c>
      <c r="B225" s="477"/>
      <c r="C225" s="486">
        <f>+'5. BIBLIOGRAFIA-CIBERGRAFIA'!B14:B14</f>
        <v>0</v>
      </c>
      <c r="D225" s="487"/>
      <c r="E225" s="488"/>
      <c r="F225" s="477">
        <f>+'5. BIBLIOGRAFIA-CIBERGRAFIA'!C14:C14</f>
        <v>0</v>
      </c>
      <c r="G225" s="477"/>
      <c r="H225" s="143">
        <f>+'5. BIBLIOGRAFIA-CIBERGRAFIA'!D14</f>
        <v>0</v>
      </c>
    </row>
    <row r="226" spans="1:8" x14ac:dyDescent="0.25">
      <c r="A226" s="476">
        <f>+'5. BIBLIOGRAFIA-CIBERGRAFIA'!A15:A15</f>
        <v>0</v>
      </c>
      <c r="B226" s="477"/>
      <c r="C226" s="486">
        <f>+'5. BIBLIOGRAFIA-CIBERGRAFIA'!B15:B15</f>
        <v>0</v>
      </c>
      <c r="D226" s="487"/>
      <c r="E226" s="488"/>
      <c r="F226" s="477">
        <f>+'5. BIBLIOGRAFIA-CIBERGRAFIA'!C15:C15</f>
        <v>0</v>
      </c>
      <c r="G226" s="477"/>
      <c r="H226" s="143">
        <f>+'5. BIBLIOGRAFIA-CIBERGRAFIA'!D15</f>
        <v>0</v>
      </c>
    </row>
    <row r="227" spans="1:8" x14ac:dyDescent="0.25">
      <c r="A227" s="476">
        <f>+'5. BIBLIOGRAFIA-CIBERGRAFIA'!A16:A16</f>
        <v>0</v>
      </c>
      <c r="B227" s="477"/>
      <c r="C227" s="486">
        <f>+'5. BIBLIOGRAFIA-CIBERGRAFIA'!B16:B16</f>
        <v>0</v>
      </c>
      <c r="D227" s="487"/>
      <c r="E227" s="488"/>
      <c r="F227" s="477">
        <f>+'5. BIBLIOGRAFIA-CIBERGRAFIA'!C16:C16</f>
        <v>0</v>
      </c>
      <c r="G227" s="477"/>
      <c r="H227" s="143">
        <f>+'5. BIBLIOGRAFIA-CIBERGRAFIA'!D16</f>
        <v>0</v>
      </c>
    </row>
    <row r="228" spans="1:8" x14ac:dyDescent="0.25">
      <c r="A228" s="476">
        <f>+'5. BIBLIOGRAFIA-CIBERGRAFIA'!A17:A17</f>
        <v>0</v>
      </c>
      <c r="B228" s="477"/>
      <c r="C228" s="486">
        <f>+'5. BIBLIOGRAFIA-CIBERGRAFIA'!B17:B17</f>
        <v>0</v>
      </c>
      <c r="D228" s="487"/>
      <c r="E228" s="488"/>
      <c r="F228" s="477">
        <f>+'5. BIBLIOGRAFIA-CIBERGRAFIA'!C17:C17</f>
        <v>0</v>
      </c>
      <c r="G228" s="477"/>
      <c r="H228" s="143">
        <f>+'5. BIBLIOGRAFIA-CIBERGRAFIA'!D17</f>
        <v>0</v>
      </c>
    </row>
    <row r="229" spans="1:8" x14ac:dyDescent="0.25">
      <c r="A229" s="476">
        <f>+'5. BIBLIOGRAFIA-CIBERGRAFIA'!A18:A18</f>
        <v>0</v>
      </c>
      <c r="B229" s="477"/>
      <c r="C229" s="486">
        <f>+'5. BIBLIOGRAFIA-CIBERGRAFIA'!B18:B18</f>
        <v>0</v>
      </c>
      <c r="D229" s="487"/>
      <c r="E229" s="488"/>
      <c r="F229" s="477">
        <f>+'5. BIBLIOGRAFIA-CIBERGRAFIA'!C18:C18</f>
        <v>0</v>
      </c>
      <c r="G229" s="477"/>
      <c r="H229" s="143">
        <f>+'5. BIBLIOGRAFIA-CIBERGRAFIA'!D18</f>
        <v>0</v>
      </c>
    </row>
    <row r="230" spans="1:8" x14ac:dyDescent="0.25">
      <c r="A230" s="476">
        <f>+'5. BIBLIOGRAFIA-CIBERGRAFIA'!A19:A19</f>
        <v>0</v>
      </c>
      <c r="B230" s="477"/>
      <c r="C230" s="486">
        <f>+'5. BIBLIOGRAFIA-CIBERGRAFIA'!B19:B19</f>
        <v>0</v>
      </c>
      <c r="D230" s="487"/>
      <c r="E230" s="488"/>
      <c r="F230" s="477">
        <f>+'5. BIBLIOGRAFIA-CIBERGRAFIA'!C19:C19</f>
        <v>0</v>
      </c>
      <c r="G230" s="477"/>
      <c r="H230" s="143">
        <f>+'5. BIBLIOGRAFIA-CIBERGRAFIA'!D19</f>
        <v>0</v>
      </c>
    </row>
    <row r="231" spans="1:8" x14ac:dyDescent="0.25">
      <c r="A231" s="476">
        <f>+'5. BIBLIOGRAFIA-CIBERGRAFIA'!A20:A20</f>
        <v>0</v>
      </c>
      <c r="B231" s="477"/>
      <c r="C231" s="486">
        <f>+'5. BIBLIOGRAFIA-CIBERGRAFIA'!B20:B20</f>
        <v>0</v>
      </c>
      <c r="D231" s="487"/>
      <c r="E231" s="488"/>
      <c r="F231" s="477">
        <f>+'5. BIBLIOGRAFIA-CIBERGRAFIA'!C20:C20</f>
        <v>0</v>
      </c>
      <c r="G231" s="477"/>
      <c r="H231" s="143">
        <f>+'5. BIBLIOGRAFIA-CIBERGRAFIA'!D20</f>
        <v>0</v>
      </c>
    </row>
    <row r="232" spans="1:8" x14ac:dyDescent="0.25">
      <c r="A232" s="476">
        <f>+'5. BIBLIOGRAFIA-CIBERGRAFIA'!A21:A21</f>
        <v>0</v>
      </c>
      <c r="B232" s="477"/>
      <c r="C232" s="486">
        <f>+'5. BIBLIOGRAFIA-CIBERGRAFIA'!B21:B21</f>
        <v>0</v>
      </c>
      <c r="D232" s="487"/>
      <c r="E232" s="488"/>
      <c r="F232" s="477">
        <f>+'5. BIBLIOGRAFIA-CIBERGRAFIA'!C21:C21</f>
        <v>0</v>
      </c>
      <c r="G232" s="477"/>
      <c r="H232" s="143">
        <f>+'5. BIBLIOGRAFIA-CIBERGRAFIA'!D21</f>
        <v>0</v>
      </c>
    </row>
    <row r="233" spans="1:8" x14ac:dyDescent="0.25">
      <c r="A233" s="476">
        <f>+'5. BIBLIOGRAFIA-CIBERGRAFIA'!A22:A22</f>
        <v>0</v>
      </c>
      <c r="B233" s="477"/>
      <c r="C233" s="486">
        <f>+'5. BIBLIOGRAFIA-CIBERGRAFIA'!B22:B22</f>
        <v>0</v>
      </c>
      <c r="D233" s="487"/>
      <c r="E233" s="488"/>
      <c r="F233" s="477">
        <f>+'5. BIBLIOGRAFIA-CIBERGRAFIA'!C22:C22</f>
        <v>0</v>
      </c>
      <c r="G233" s="477"/>
      <c r="H233" s="143">
        <f>+'5. BIBLIOGRAFIA-CIBERGRAFIA'!D22</f>
        <v>0</v>
      </c>
    </row>
    <row r="234" spans="1:8" x14ac:dyDescent="0.25">
      <c r="A234" s="476">
        <f>+'5. BIBLIOGRAFIA-CIBERGRAFIA'!A23:A23</f>
        <v>0</v>
      </c>
      <c r="B234" s="477"/>
      <c r="C234" s="486">
        <f>+'5. BIBLIOGRAFIA-CIBERGRAFIA'!B23:B23</f>
        <v>0</v>
      </c>
      <c r="D234" s="487"/>
      <c r="E234" s="488"/>
      <c r="F234" s="477">
        <f>+'5. BIBLIOGRAFIA-CIBERGRAFIA'!C23:C23</f>
        <v>0</v>
      </c>
      <c r="G234" s="477"/>
      <c r="H234" s="143">
        <f>+'5. BIBLIOGRAFIA-CIBERGRAFIA'!D23</f>
        <v>0</v>
      </c>
    </row>
    <row r="235" spans="1:8" x14ac:dyDescent="0.25">
      <c r="A235" s="476">
        <f>+'5. BIBLIOGRAFIA-CIBERGRAFIA'!A24:A24</f>
        <v>0</v>
      </c>
      <c r="B235" s="477"/>
      <c r="C235" s="486">
        <f>+'5. BIBLIOGRAFIA-CIBERGRAFIA'!B24:B24</f>
        <v>0</v>
      </c>
      <c r="D235" s="487"/>
      <c r="E235" s="488"/>
      <c r="F235" s="477">
        <f>+'5. BIBLIOGRAFIA-CIBERGRAFIA'!C24:C24</f>
        <v>0</v>
      </c>
      <c r="G235" s="477"/>
      <c r="H235" s="143">
        <f>+'5. BIBLIOGRAFIA-CIBERGRAFIA'!D24</f>
        <v>0</v>
      </c>
    </row>
    <row r="236" spans="1:8" x14ac:dyDescent="0.25">
      <c r="A236" s="476">
        <f>+'5. BIBLIOGRAFIA-CIBERGRAFIA'!A25:A25</f>
        <v>0</v>
      </c>
      <c r="B236" s="477"/>
      <c r="C236" s="486">
        <f>+'5. BIBLIOGRAFIA-CIBERGRAFIA'!B25:B25</f>
        <v>0</v>
      </c>
      <c r="D236" s="487"/>
      <c r="E236" s="488"/>
      <c r="F236" s="477">
        <f>+'5. BIBLIOGRAFIA-CIBERGRAFIA'!C25:C25</f>
        <v>0</v>
      </c>
      <c r="G236" s="477"/>
      <c r="H236" s="143">
        <f>+'5. BIBLIOGRAFIA-CIBERGRAFIA'!D25</f>
        <v>0</v>
      </c>
    </row>
    <row r="237" spans="1:8" x14ac:dyDescent="0.25">
      <c r="A237" s="476">
        <f>+'5. BIBLIOGRAFIA-CIBERGRAFIA'!A26:A26</f>
        <v>0</v>
      </c>
      <c r="B237" s="477"/>
      <c r="C237" s="486">
        <f>+'5. BIBLIOGRAFIA-CIBERGRAFIA'!B26:B26</f>
        <v>0</v>
      </c>
      <c r="D237" s="487"/>
      <c r="E237" s="488"/>
      <c r="F237" s="477">
        <f>+'5. BIBLIOGRAFIA-CIBERGRAFIA'!C26:C26</f>
        <v>0</v>
      </c>
      <c r="G237" s="477"/>
      <c r="H237" s="143">
        <f>+'5. BIBLIOGRAFIA-CIBERGRAFIA'!D26</f>
        <v>0</v>
      </c>
    </row>
    <row r="238" spans="1:8" x14ac:dyDescent="0.25">
      <c r="A238" s="476">
        <f>+'5. BIBLIOGRAFIA-CIBERGRAFIA'!A27:A27</f>
        <v>0</v>
      </c>
      <c r="B238" s="477"/>
      <c r="C238" s="486">
        <f>+'5. BIBLIOGRAFIA-CIBERGRAFIA'!B27:B27</f>
        <v>0</v>
      </c>
      <c r="D238" s="487"/>
      <c r="E238" s="488"/>
      <c r="F238" s="477">
        <f>+'5. BIBLIOGRAFIA-CIBERGRAFIA'!C27:C27</f>
        <v>0</v>
      </c>
      <c r="G238" s="477"/>
      <c r="H238" s="143">
        <f>+'5. BIBLIOGRAFIA-CIBERGRAFIA'!D27</f>
        <v>0</v>
      </c>
    </row>
    <row r="239" spans="1:8" x14ac:dyDescent="0.25">
      <c r="A239" s="476">
        <f>+'5. BIBLIOGRAFIA-CIBERGRAFIA'!A28:A28</f>
        <v>0</v>
      </c>
      <c r="B239" s="477"/>
      <c r="C239" s="486">
        <f>+'5. BIBLIOGRAFIA-CIBERGRAFIA'!B28:B28</f>
        <v>0</v>
      </c>
      <c r="D239" s="487"/>
      <c r="E239" s="488"/>
      <c r="F239" s="477">
        <f>+'5. BIBLIOGRAFIA-CIBERGRAFIA'!C28:C28</f>
        <v>0</v>
      </c>
      <c r="G239" s="477"/>
      <c r="H239" s="143">
        <f>+'5. BIBLIOGRAFIA-CIBERGRAFIA'!D28</f>
        <v>0</v>
      </c>
    </row>
    <row r="240" spans="1:8" x14ac:dyDescent="0.25">
      <c r="A240" s="476">
        <f>+'5. BIBLIOGRAFIA-CIBERGRAFIA'!A29:A29</f>
        <v>0</v>
      </c>
      <c r="B240" s="477"/>
      <c r="C240" s="486">
        <f>+'5. BIBLIOGRAFIA-CIBERGRAFIA'!B29:B29</f>
        <v>0</v>
      </c>
      <c r="D240" s="487"/>
      <c r="E240" s="488"/>
      <c r="F240" s="477">
        <f>+'5. BIBLIOGRAFIA-CIBERGRAFIA'!C29:C29</f>
        <v>0</v>
      </c>
      <c r="G240" s="477"/>
      <c r="H240" s="143">
        <f>+'5. BIBLIOGRAFIA-CIBERGRAFIA'!D29</f>
        <v>0</v>
      </c>
    </row>
    <row r="241" spans="1:8" x14ac:dyDescent="0.25">
      <c r="A241" s="476">
        <f>+'5. BIBLIOGRAFIA-CIBERGRAFIA'!A30:A30</f>
        <v>0</v>
      </c>
      <c r="B241" s="477"/>
      <c r="C241" s="486">
        <f>+'5. BIBLIOGRAFIA-CIBERGRAFIA'!B30:B30</f>
        <v>0</v>
      </c>
      <c r="D241" s="487"/>
      <c r="E241" s="488"/>
      <c r="F241" s="477">
        <f>+'5. BIBLIOGRAFIA-CIBERGRAFIA'!C30:C30</f>
        <v>0</v>
      </c>
      <c r="G241" s="477"/>
      <c r="H241" s="143">
        <f>+'5. BIBLIOGRAFIA-CIBERGRAFIA'!D30</f>
        <v>0</v>
      </c>
    </row>
    <row r="242" spans="1:8" x14ac:dyDescent="0.25">
      <c r="A242" s="476">
        <f>+'5. BIBLIOGRAFIA-CIBERGRAFIA'!A31:A31</f>
        <v>0</v>
      </c>
      <c r="B242" s="477"/>
      <c r="C242" s="486">
        <f>+'5. BIBLIOGRAFIA-CIBERGRAFIA'!B31:B31</f>
        <v>0</v>
      </c>
      <c r="D242" s="487"/>
      <c r="E242" s="488"/>
      <c r="F242" s="477">
        <f>+'5. BIBLIOGRAFIA-CIBERGRAFIA'!C31:C31</f>
        <v>0</v>
      </c>
      <c r="G242" s="477"/>
      <c r="H242" s="143">
        <f>+'5. BIBLIOGRAFIA-CIBERGRAFIA'!D31</f>
        <v>0</v>
      </c>
    </row>
    <row r="243" spans="1:8" x14ac:dyDescent="0.25">
      <c r="A243" s="476">
        <f>+'5. BIBLIOGRAFIA-CIBERGRAFIA'!A32:A32</f>
        <v>0</v>
      </c>
      <c r="B243" s="477"/>
      <c r="C243" s="486">
        <f>+'5. BIBLIOGRAFIA-CIBERGRAFIA'!B32:B32</f>
        <v>0</v>
      </c>
      <c r="D243" s="487"/>
      <c r="E243" s="488"/>
      <c r="F243" s="477">
        <f>+'5. BIBLIOGRAFIA-CIBERGRAFIA'!C32:C32</f>
        <v>0</v>
      </c>
      <c r="G243" s="477"/>
      <c r="H243" s="143">
        <f>+'5. BIBLIOGRAFIA-CIBERGRAFIA'!D32</f>
        <v>0</v>
      </c>
    </row>
    <row r="244" spans="1:8" hidden="1" x14ac:dyDescent="0.25">
      <c r="A244" s="476">
        <f>+'5. BIBLIOGRAFIA-CIBERGRAFIA'!A33:A33</f>
        <v>0</v>
      </c>
      <c r="B244" s="477"/>
      <c r="C244" s="486">
        <f>+'5. BIBLIOGRAFIA-CIBERGRAFIA'!B33:B33</f>
        <v>0</v>
      </c>
      <c r="D244" s="487"/>
      <c r="E244" s="488"/>
      <c r="F244" s="477">
        <f>+'5. BIBLIOGRAFIA-CIBERGRAFIA'!C33:C33</f>
        <v>0</v>
      </c>
      <c r="G244" s="477"/>
      <c r="H244" s="119">
        <f>+'5. BIBLIOGRAFIA-CIBERGRAFIA'!D33</f>
        <v>0</v>
      </c>
    </row>
    <row r="245" spans="1:8" hidden="1" x14ac:dyDescent="0.25">
      <c r="A245" s="476">
        <f>+'5. BIBLIOGRAFIA-CIBERGRAFIA'!A34:A34</f>
        <v>0</v>
      </c>
      <c r="B245" s="477"/>
      <c r="C245" s="486">
        <f>+'5. BIBLIOGRAFIA-CIBERGRAFIA'!B34:B34</f>
        <v>0</v>
      </c>
      <c r="D245" s="487"/>
      <c r="E245" s="488"/>
      <c r="F245" s="477">
        <f>+'5. BIBLIOGRAFIA-CIBERGRAFIA'!C34:C34</f>
        <v>0</v>
      </c>
      <c r="G245" s="477"/>
      <c r="H245" s="119">
        <f>+'5. BIBLIOGRAFIA-CIBERGRAFIA'!D34</f>
        <v>0</v>
      </c>
    </row>
    <row r="246" spans="1:8" hidden="1" x14ac:dyDescent="0.25">
      <c r="A246" s="476">
        <f>+'5. BIBLIOGRAFIA-CIBERGRAFIA'!A35:A35</f>
        <v>0</v>
      </c>
      <c r="B246" s="477"/>
      <c r="C246" s="486">
        <f>+'5. BIBLIOGRAFIA-CIBERGRAFIA'!B35:B35</f>
        <v>0</v>
      </c>
      <c r="D246" s="487"/>
      <c r="E246" s="488"/>
      <c r="F246" s="477">
        <f>+'5. BIBLIOGRAFIA-CIBERGRAFIA'!C35:C35</f>
        <v>0</v>
      </c>
      <c r="G246" s="477"/>
      <c r="H246" s="119">
        <f>+'5. BIBLIOGRAFIA-CIBERGRAFIA'!D35</f>
        <v>0</v>
      </c>
    </row>
    <row r="247" spans="1:8" hidden="1" x14ac:dyDescent="0.25">
      <c r="A247" s="476">
        <f>+'5. BIBLIOGRAFIA-CIBERGRAFIA'!A36:A36</f>
        <v>0</v>
      </c>
      <c r="B247" s="477"/>
      <c r="C247" s="486">
        <f>+'5. BIBLIOGRAFIA-CIBERGRAFIA'!B36:B36</f>
        <v>0</v>
      </c>
      <c r="D247" s="487"/>
      <c r="E247" s="488"/>
      <c r="F247" s="477">
        <f>+'5. BIBLIOGRAFIA-CIBERGRAFIA'!C36:C36</f>
        <v>0</v>
      </c>
      <c r="G247" s="477"/>
      <c r="H247" s="119">
        <f>+'5. BIBLIOGRAFIA-CIBERGRAFIA'!D36</f>
        <v>0</v>
      </c>
    </row>
    <row r="248" spans="1:8" hidden="1" x14ac:dyDescent="0.25">
      <c r="A248" s="476">
        <f>+'5. BIBLIOGRAFIA-CIBERGRAFIA'!A37:A37</f>
        <v>0</v>
      </c>
      <c r="B248" s="477"/>
      <c r="C248" s="486">
        <f>+'5. BIBLIOGRAFIA-CIBERGRAFIA'!B37:B37</f>
        <v>0</v>
      </c>
      <c r="D248" s="487"/>
      <c r="E248" s="488"/>
      <c r="F248" s="477">
        <f>+'5. BIBLIOGRAFIA-CIBERGRAFIA'!C37:C37</f>
        <v>0</v>
      </c>
      <c r="G248" s="477"/>
      <c r="H248" s="119">
        <f>+'5. BIBLIOGRAFIA-CIBERGRAFIA'!D37</f>
        <v>0</v>
      </c>
    </row>
    <row r="249" spans="1:8" hidden="1" x14ac:dyDescent="0.25">
      <c r="A249" s="476">
        <f>+'5. BIBLIOGRAFIA-CIBERGRAFIA'!A38:A38</f>
        <v>0</v>
      </c>
      <c r="B249" s="477"/>
      <c r="C249" s="486">
        <f>+'5. BIBLIOGRAFIA-CIBERGRAFIA'!B38:B38</f>
        <v>0</v>
      </c>
      <c r="D249" s="487"/>
      <c r="E249" s="488"/>
      <c r="F249" s="477">
        <f>+'5. BIBLIOGRAFIA-CIBERGRAFIA'!C38:C38</f>
        <v>0</v>
      </c>
      <c r="G249" s="477"/>
      <c r="H249" s="119">
        <f>+'5. BIBLIOGRAFIA-CIBERGRAFIA'!D38</f>
        <v>0</v>
      </c>
    </row>
    <row r="250" spans="1:8" hidden="1" x14ac:dyDescent="0.25">
      <c r="A250" s="476">
        <f>+'5. BIBLIOGRAFIA-CIBERGRAFIA'!A39:A39</f>
        <v>0</v>
      </c>
      <c r="B250" s="477"/>
      <c r="C250" s="486">
        <f>+'5. BIBLIOGRAFIA-CIBERGRAFIA'!B39:B39</f>
        <v>0</v>
      </c>
      <c r="D250" s="487"/>
      <c r="E250" s="488"/>
      <c r="F250" s="477">
        <f>+'5. BIBLIOGRAFIA-CIBERGRAFIA'!C39:C39</f>
        <v>0</v>
      </c>
      <c r="G250" s="477"/>
      <c r="H250" s="119">
        <f>+'5. BIBLIOGRAFIA-CIBERGRAFIA'!D39</f>
        <v>0</v>
      </c>
    </row>
    <row r="251" spans="1:8" hidden="1" x14ac:dyDescent="0.25">
      <c r="A251" s="476">
        <f>+'5. BIBLIOGRAFIA-CIBERGRAFIA'!A40:A40</f>
        <v>0</v>
      </c>
      <c r="B251" s="477"/>
      <c r="C251" s="486">
        <f>+'5. BIBLIOGRAFIA-CIBERGRAFIA'!B40:B40</f>
        <v>0</v>
      </c>
      <c r="D251" s="487"/>
      <c r="E251" s="488"/>
      <c r="F251" s="477">
        <f>+'5. BIBLIOGRAFIA-CIBERGRAFIA'!C40:C40</f>
        <v>0</v>
      </c>
      <c r="G251" s="477"/>
      <c r="H251" s="119">
        <f>+'5. BIBLIOGRAFIA-CIBERGRAFIA'!D40</f>
        <v>0</v>
      </c>
    </row>
    <row r="252" spans="1:8" hidden="1" x14ac:dyDescent="0.25">
      <c r="A252" s="476">
        <f>+'5. BIBLIOGRAFIA-CIBERGRAFIA'!A41:A41</f>
        <v>0</v>
      </c>
      <c r="B252" s="477"/>
      <c r="C252" s="486">
        <f>+'5. BIBLIOGRAFIA-CIBERGRAFIA'!B41:B41</f>
        <v>0</v>
      </c>
      <c r="D252" s="487"/>
      <c r="E252" s="488"/>
      <c r="F252" s="477">
        <f>+'5. BIBLIOGRAFIA-CIBERGRAFIA'!C41:C41</f>
        <v>0</v>
      </c>
      <c r="G252" s="477"/>
      <c r="H252" s="119">
        <f>+'5. BIBLIOGRAFIA-CIBERGRAFIA'!D41</f>
        <v>0</v>
      </c>
    </row>
    <row r="253" spans="1:8" hidden="1" x14ac:dyDescent="0.25">
      <c r="A253" s="476">
        <f>+'5. BIBLIOGRAFIA-CIBERGRAFIA'!A42:A42</f>
        <v>0</v>
      </c>
      <c r="B253" s="477"/>
      <c r="C253" s="486">
        <f>+'5. BIBLIOGRAFIA-CIBERGRAFIA'!B42:B42</f>
        <v>0</v>
      </c>
      <c r="D253" s="487"/>
      <c r="E253" s="488"/>
      <c r="F253" s="477">
        <f>+'5. BIBLIOGRAFIA-CIBERGRAFIA'!C42:C42</f>
        <v>0</v>
      </c>
      <c r="G253" s="477"/>
      <c r="H253" s="119">
        <f>+'5. BIBLIOGRAFIA-CIBERGRAFIA'!D42</f>
        <v>0</v>
      </c>
    </row>
    <row r="254" spans="1:8" hidden="1" x14ac:dyDescent="0.25">
      <c r="A254" s="476">
        <f>+'5. BIBLIOGRAFIA-CIBERGRAFIA'!A43:A43</f>
        <v>0</v>
      </c>
      <c r="B254" s="477"/>
      <c r="C254" s="486">
        <f>+'5. BIBLIOGRAFIA-CIBERGRAFIA'!B43:B43</f>
        <v>0</v>
      </c>
      <c r="D254" s="487"/>
      <c r="E254" s="488"/>
      <c r="F254" s="477">
        <f>+'5. BIBLIOGRAFIA-CIBERGRAFIA'!C43:C43</f>
        <v>0</v>
      </c>
      <c r="G254" s="477"/>
      <c r="H254" s="119">
        <f>+'5. BIBLIOGRAFIA-CIBERGRAFIA'!D43</f>
        <v>0</v>
      </c>
    </row>
    <row r="255" spans="1:8" hidden="1" x14ac:dyDescent="0.25">
      <c r="A255" s="476">
        <f>+'5. BIBLIOGRAFIA-CIBERGRAFIA'!A44:A44</f>
        <v>0</v>
      </c>
      <c r="B255" s="477"/>
      <c r="C255" s="486">
        <f>+'5. BIBLIOGRAFIA-CIBERGRAFIA'!B44:B44</f>
        <v>0</v>
      </c>
      <c r="D255" s="487"/>
      <c r="E255" s="488"/>
      <c r="F255" s="477">
        <f>+'5. BIBLIOGRAFIA-CIBERGRAFIA'!C44:C44</f>
        <v>0</v>
      </c>
      <c r="G255" s="477"/>
      <c r="H255" s="119">
        <f>+'5. BIBLIOGRAFIA-CIBERGRAFIA'!D44</f>
        <v>0</v>
      </c>
    </row>
    <row r="256" spans="1:8" ht="12" thickBot="1" x14ac:dyDescent="0.3">
      <c r="A256" s="61"/>
      <c r="B256" s="62"/>
      <c r="C256" s="62"/>
      <c r="D256" s="62"/>
      <c r="E256" s="62"/>
      <c r="F256" s="62"/>
      <c r="G256" s="62"/>
      <c r="H256" s="63"/>
    </row>
    <row r="257" spans="1:8" x14ac:dyDescent="0.25">
      <c r="A257" s="375" t="s">
        <v>141</v>
      </c>
      <c r="B257" s="376"/>
      <c r="C257" s="376"/>
      <c r="D257" s="376"/>
      <c r="E257" s="376"/>
      <c r="F257" s="376"/>
      <c r="G257" s="376"/>
      <c r="H257" s="377"/>
    </row>
    <row r="258" spans="1:8" ht="46" x14ac:dyDescent="0.25">
      <c r="A258" s="495" t="s">
        <v>137</v>
      </c>
      <c r="B258" s="478"/>
      <c r="C258" s="478" t="s">
        <v>138</v>
      </c>
      <c r="D258" s="478"/>
      <c r="E258" s="478"/>
      <c r="F258" s="478" t="s">
        <v>142</v>
      </c>
      <c r="G258" s="478"/>
      <c r="H258" s="13" t="s">
        <v>143</v>
      </c>
    </row>
    <row r="259" spans="1:8" x14ac:dyDescent="0.25">
      <c r="A259" s="496">
        <f>+'5. BIBLIOGRAFIA-CIBERGRAFIA'!A47:A47</f>
        <v>0</v>
      </c>
      <c r="B259" s="497"/>
      <c r="C259" s="498">
        <f>+'5. BIBLIOGRAFIA-CIBERGRAFIA'!B47:B47</f>
        <v>0</v>
      </c>
      <c r="D259" s="499"/>
      <c r="E259" s="500"/>
      <c r="F259" s="515">
        <f>+'5. BIBLIOGRAFIA-CIBERGRAFIA'!C47:C47</f>
        <v>0</v>
      </c>
      <c r="G259" s="515"/>
      <c r="H259" s="122">
        <f>+'5. BIBLIOGRAFIA-CIBERGRAFIA'!D47</f>
        <v>0</v>
      </c>
    </row>
    <row r="260" spans="1:8" x14ac:dyDescent="0.25">
      <c r="A260" s="476">
        <f>+'5. BIBLIOGRAFIA-CIBERGRAFIA'!A48:A48</f>
        <v>0</v>
      </c>
      <c r="B260" s="477"/>
      <c r="C260" s="486">
        <f>+'5. BIBLIOGRAFIA-CIBERGRAFIA'!B48:B48</f>
        <v>0</v>
      </c>
      <c r="D260" s="487"/>
      <c r="E260" s="488"/>
      <c r="F260" s="515">
        <f>+'5. BIBLIOGRAFIA-CIBERGRAFIA'!C48:C48</f>
        <v>0</v>
      </c>
      <c r="G260" s="515"/>
      <c r="H260" s="119">
        <f>+'5. BIBLIOGRAFIA-CIBERGRAFIA'!D48</f>
        <v>0</v>
      </c>
    </row>
    <row r="261" spans="1:8" x14ac:dyDescent="0.25">
      <c r="A261" s="489">
        <f>+'5. BIBLIOGRAFIA-CIBERGRAFIA'!A49:A49</f>
        <v>0</v>
      </c>
      <c r="B261" s="490"/>
      <c r="C261" s="491">
        <f>+'5. BIBLIOGRAFIA-CIBERGRAFIA'!B49:B49</f>
        <v>0</v>
      </c>
      <c r="D261" s="492"/>
      <c r="E261" s="493"/>
      <c r="F261" s="494">
        <f>+'5. BIBLIOGRAFIA-CIBERGRAFIA'!C49:C49</f>
        <v>0</v>
      </c>
      <c r="G261" s="494"/>
      <c r="H261" s="120">
        <f>+'5. BIBLIOGRAFIA-CIBERGRAFIA'!D49</f>
        <v>0</v>
      </c>
    </row>
    <row r="262" spans="1:8" x14ac:dyDescent="0.25">
      <c r="A262" s="489">
        <f>+'5. BIBLIOGRAFIA-CIBERGRAFIA'!A50:A50</f>
        <v>0</v>
      </c>
      <c r="B262" s="490"/>
      <c r="C262" s="491">
        <f>+'5. BIBLIOGRAFIA-CIBERGRAFIA'!B50:B50</f>
        <v>0</v>
      </c>
      <c r="D262" s="492"/>
      <c r="E262" s="493"/>
      <c r="F262" s="494">
        <f>+'5. BIBLIOGRAFIA-CIBERGRAFIA'!C50:C50</f>
        <v>0</v>
      </c>
      <c r="G262" s="494"/>
      <c r="H262" s="120">
        <f>+'5. BIBLIOGRAFIA-CIBERGRAFIA'!D50</f>
        <v>0</v>
      </c>
    </row>
    <row r="263" spans="1:8" x14ac:dyDescent="0.25">
      <c r="A263" s="489">
        <f>+'5. BIBLIOGRAFIA-CIBERGRAFIA'!A51:A51</f>
        <v>0</v>
      </c>
      <c r="B263" s="490"/>
      <c r="C263" s="491">
        <f>+'5. BIBLIOGRAFIA-CIBERGRAFIA'!B51:B51</f>
        <v>0</v>
      </c>
      <c r="D263" s="492"/>
      <c r="E263" s="493"/>
      <c r="F263" s="494">
        <f>+'5. BIBLIOGRAFIA-CIBERGRAFIA'!C51:C51</f>
        <v>0</v>
      </c>
      <c r="G263" s="494"/>
      <c r="H263" s="120">
        <f>+'5. BIBLIOGRAFIA-CIBERGRAFIA'!D51</f>
        <v>0</v>
      </c>
    </row>
    <row r="264" spans="1:8" x14ac:dyDescent="0.25">
      <c r="A264" s="489">
        <f>+'5. BIBLIOGRAFIA-CIBERGRAFIA'!A52:A52</f>
        <v>0</v>
      </c>
      <c r="B264" s="490"/>
      <c r="C264" s="491">
        <f>+'5. BIBLIOGRAFIA-CIBERGRAFIA'!B52:B52</f>
        <v>0</v>
      </c>
      <c r="D264" s="492"/>
      <c r="E264" s="493"/>
      <c r="F264" s="494">
        <f>+'5. BIBLIOGRAFIA-CIBERGRAFIA'!C52:C52</f>
        <v>0</v>
      </c>
      <c r="G264" s="494"/>
      <c r="H264" s="120">
        <f>+'5. BIBLIOGRAFIA-CIBERGRAFIA'!D52</f>
        <v>0</v>
      </c>
    </row>
    <row r="265" spans="1:8" x14ac:dyDescent="0.25">
      <c r="A265" s="489">
        <f>+'5. BIBLIOGRAFIA-CIBERGRAFIA'!A53:A53</f>
        <v>0</v>
      </c>
      <c r="B265" s="490"/>
      <c r="C265" s="491">
        <f>+'5. BIBLIOGRAFIA-CIBERGRAFIA'!B53:B53</f>
        <v>0</v>
      </c>
      <c r="D265" s="492"/>
      <c r="E265" s="493"/>
      <c r="F265" s="494">
        <f>+'5. BIBLIOGRAFIA-CIBERGRAFIA'!C53:C53</f>
        <v>0</v>
      </c>
      <c r="G265" s="494"/>
      <c r="H265" s="120">
        <f>+'5. BIBLIOGRAFIA-CIBERGRAFIA'!D53</f>
        <v>0</v>
      </c>
    </row>
    <row r="266" spans="1:8" x14ac:dyDescent="0.25">
      <c r="A266" s="489">
        <f>+'5. BIBLIOGRAFIA-CIBERGRAFIA'!A54:A54</f>
        <v>0</v>
      </c>
      <c r="B266" s="490"/>
      <c r="C266" s="491">
        <f>+'5. BIBLIOGRAFIA-CIBERGRAFIA'!B54:B54</f>
        <v>0</v>
      </c>
      <c r="D266" s="492"/>
      <c r="E266" s="493"/>
      <c r="F266" s="494">
        <f>+'5. BIBLIOGRAFIA-CIBERGRAFIA'!C54:C54</f>
        <v>0</v>
      </c>
      <c r="G266" s="494"/>
      <c r="H266" s="120">
        <f>+'5. BIBLIOGRAFIA-CIBERGRAFIA'!D54</f>
        <v>0</v>
      </c>
    </row>
    <row r="267" spans="1:8" x14ac:dyDescent="0.25">
      <c r="A267" s="489">
        <f>+'5. BIBLIOGRAFIA-CIBERGRAFIA'!A55:A55</f>
        <v>0</v>
      </c>
      <c r="B267" s="490"/>
      <c r="C267" s="491">
        <f>+'5. BIBLIOGRAFIA-CIBERGRAFIA'!B55:B55</f>
        <v>0</v>
      </c>
      <c r="D267" s="492"/>
      <c r="E267" s="493"/>
      <c r="F267" s="494">
        <f>+'5. BIBLIOGRAFIA-CIBERGRAFIA'!C55:C55</f>
        <v>0</v>
      </c>
      <c r="G267" s="494"/>
      <c r="H267" s="120">
        <f>+'5. BIBLIOGRAFIA-CIBERGRAFIA'!D55</f>
        <v>0</v>
      </c>
    </row>
    <row r="268" spans="1:8" x14ac:dyDescent="0.25">
      <c r="A268" s="489">
        <f>+'5. BIBLIOGRAFIA-CIBERGRAFIA'!A56:A56</f>
        <v>0</v>
      </c>
      <c r="B268" s="490"/>
      <c r="C268" s="491">
        <f>+'5. BIBLIOGRAFIA-CIBERGRAFIA'!B56:B56</f>
        <v>0</v>
      </c>
      <c r="D268" s="492"/>
      <c r="E268" s="493"/>
      <c r="F268" s="494">
        <f>+'5. BIBLIOGRAFIA-CIBERGRAFIA'!C56:C56</f>
        <v>0</v>
      </c>
      <c r="G268" s="494"/>
      <c r="H268" s="120">
        <f>+'5. BIBLIOGRAFIA-CIBERGRAFIA'!D56</f>
        <v>0</v>
      </c>
    </row>
    <row r="269" spans="1:8" x14ac:dyDescent="0.25">
      <c r="A269" s="489">
        <f>+'5. BIBLIOGRAFIA-CIBERGRAFIA'!A57:A57</f>
        <v>0</v>
      </c>
      <c r="B269" s="490"/>
      <c r="C269" s="491">
        <f>+'5. BIBLIOGRAFIA-CIBERGRAFIA'!B57:B57</f>
        <v>0</v>
      </c>
      <c r="D269" s="492"/>
      <c r="E269" s="493"/>
      <c r="F269" s="494">
        <f>+'5. BIBLIOGRAFIA-CIBERGRAFIA'!C57:C57</f>
        <v>0</v>
      </c>
      <c r="G269" s="494"/>
      <c r="H269" s="120">
        <f>+'5. BIBLIOGRAFIA-CIBERGRAFIA'!D57</f>
        <v>0</v>
      </c>
    </row>
    <row r="270" spans="1:8" x14ac:dyDescent="0.25">
      <c r="A270" s="489">
        <f>+'5. BIBLIOGRAFIA-CIBERGRAFIA'!A58:A58</f>
        <v>0</v>
      </c>
      <c r="B270" s="490"/>
      <c r="C270" s="491">
        <f>+'5. BIBLIOGRAFIA-CIBERGRAFIA'!B58:B58</f>
        <v>0</v>
      </c>
      <c r="D270" s="492"/>
      <c r="E270" s="493"/>
      <c r="F270" s="494">
        <f>+'5. BIBLIOGRAFIA-CIBERGRAFIA'!C58:C58</f>
        <v>0</v>
      </c>
      <c r="G270" s="494"/>
      <c r="H270" s="120">
        <f>+'5. BIBLIOGRAFIA-CIBERGRAFIA'!D58</f>
        <v>0</v>
      </c>
    </row>
    <row r="271" spans="1:8" x14ac:dyDescent="0.25">
      <c r="A271" s="489">
        <f>+'5. BIBLIOGRAFIA-CIBERGRAFIA'!A59:A59</f>
        <v>0</v>
      </c>
      <c r="B271" s="490"/>
      <c r="C271" s="491">
        <f>+'5. BIBLIOGRAFIA-CIBERGRAFIA'!B59:B59</f>
        <v>0</v>
      </c>
      <c r="D271" s="492"/>
      <c r="E271" s="493"/>
      <c r="F271" s="494">
        <f>+'5. BIBLIOGRAFIA-CIBERGRAFIA'!C59:C59</f>
        <v>0</v>
      </c>
      <c r="G271" s="494"/>
      <c r="H271" s="120">
        <f>+'5. BIBLIOGRAFIA-CIBERGRAFIA'!D59</f>
        <v>0</v>
      </c>
    </row>
    <row r="272" spans="1:8" x14ac:dyDescent="0.25">
      <c r="A272" s="489">
        <f>+'5. BIBLIOGRAFIA-CIBERGRAFIA'!A60:A60</f>
        <v>0</v>
      </c>
      <c r="B272" s="490"/>
      <c r="C272" s="491">
        <f>+'5. BIBLIOGRAFIA-CIBERGRAFIA'!B60:B60</f>
        <v>0</v>
      </c>
      <c r="D272" s="492"/>
      <c r="E272" s="493"/>
      <c r="F272" s="494">
        <f>+'5. BIBLIOGRAFIA-CIBERGRAFIA'!C60:C60</f>
        <v>0</v>
      </c>
      <c r="G272" s="494"/>
      <c r="H272" s="120">
        <f>+'5. BIBLIOGRAFIA-CIBERGRAFIA'!D60</f>
        <v>0</v>
      </c>
    </row>
    <row r="273" spans="1:8" x14ac:dyDescent="0.25">
      <c r="A273" s="489">
        <f>+'5. BIBLIOGRAFIA-CIBERGRAFIA'!A61:A61</f>
        <v>0</v>
      </c>
      <c r="B273" s="490"/>
      <c r="C273" s="491">
        <f>+'5. BIBLIOGRAFIA-CIBERGRAFIA'!B61:B61</f>
        <v>0</v>
      </c>
      <c r="D273" s="492"/>
      <c r="E273" s="493"/>
      <c r="F273" s="494">
        <f>+'5. BIBLIOGRAFIA-CIBERGRAFIA'!C61:C61</f>
        <v>0</v>
      </c>
      <c r="G273" s="494"/>
      <c r="H273" s="120">
        <f>+'5. BIBLIOGRAFIA-CIBERGRAFIA'!D61</f>
        <v>0</v>
      </c>
    </row>
    <row r="274" spans="1:8" x14ac:dyDescent="0.25">
      <c r="A274" s="489">
        <f>+'5. BIBLIOGRAFIA-CIBERGRAFIA'!A62:A62</f>
        <v>0</v>
      </c>
      <c r="B274" s="490"/>
      <c r="C274" s="491">
        <f>+'5. BIBLIOGRAFIA-CIBERGRAFIA'!B62:B62</f>
        <v>0</v>
      </c>
      <c r="D274" s="492"/>
      <c r="E274" s="493"/>
      <c r="F274" s="494">
        <f>+'5. BIBLIOGRAFIA-CIBERGRAFIA'!C62:C62</f>
        <v>0</v>
      </c>
      <c r="G274" s="494"/>
      <c r="H274" s="120">
        <f>+'5. BIBLIOGRAFIA-CIBERGRAFIA'!D62</f>
        <v>0</v>
      </c>
    </row>
    <row r="275" spans="1:8" x14ac:dyDescent="0.25">
      <c r="A275" s="489">
        <f>+'5. BIBLIOGRAFIA-CIBERGRAFIA'!A63:A63</f>
        <v>0</v>
      </c>
      <c r="B275" s="490"/>
      <c r="C275" s="491">
        <f>+'5. BIBLIOGRAFIA-CIBERGRAFIA'!B63:B63</f>
        <v>0</v>
      </c>
      <c r="D275" s="492"/>
      <c r="E275" s="493"/>
      <c r="F275" s="494">
        <f>+'5. BIBLIOGRAFIA-CIBERGRAFIA'!C63:C63</f>
        <v>0</v>
      </c>
      <c r="G275" s="494"/>
      <c r="H275" s="120">
        <f>+'5. BIBLIOGRAFIA-CIBERGRAFIA'!D63</f>
        <v>0</v>
      </c>
    </row>
    <row r="276" spans="1:8" x14ac:dyDescent="0.25">
      <c r="A276" s="489">
        <f>+'5. BIBLIOGRAFIA-CIBERGRAFIA'!A64:A64</f>
        <v>0</v>
      </c>
      <c r="B276" s="490"/>
      <c r="C276" s="491">
        <f>+'5. BIBLIOGRAFIA-CIBERGRAFIA'!B64:B64</f>
        <v>0</v>
      </c>
      <c r="D276" s="492"/>
      <c r="E276" s="493"/>
      <c r="F276" s="494">
        <f>+'5. BIBLIOGRAFIA-CIBERGRAFIA'!C64:C64</f>
        <v>0</v>
      </c>
      <c r="G276" s="494"/>
      <c r="H276" s="120">
        <f>+'5. BIBLIOGRAFIA-CIBERGRAFIA'!D64</f>
        <v>0</v>
      </c>
    </row>
    <row r="277" spans="1:8" x14ac:dyDescent="0.25">
      <c r="A277" s="489">
        <f>+'5. BIBLIOGRAFIA-CIBERGRAFIA'!A65:A65</f>
        <v>0</v>
      </c>
      <c r="B277" s="490"/>
      <c r="C277" s="491">
        <f>+'5. BIBLIOGRAFIA-CIBERGRAFIA'!B65:B65</f>
        <v>0</v>
      </c>
      <c r="D277" s="492"/>
      <c r="E277" s="493"/>
      <c r="F277" s="494">
        <f>+'5. BIBLIOGRAFIA-CIBERGRAFIA'!C65:C65</f>
        <v>0</v>
      </c>
      <c r="G277" s="494"/>
      <c r="H277" s="120">
        <f>+'5. BIBLIOGRAFIA-CIBERGRAFIA'!D65</f>
        <v>0</v>
      </c>
    </row>
    <row r="278" spans="1:8" x14ac:dyDescent="0.25">
      <c r="A278" s="501">
        <f>+'5. BIBLIOGRAFIA-CIBERGRAFIA'!A66:A66</f>
        <v>0</v>
      </c>
      <c r="B278" s="502"/>
      <c r="C278" s="503">
        <f>+'5. BIBLIOGRAFIA-CIBERGRAFIA'!B66:B66</f>
        <v>0</v>
      </c>
      <c r="D278" s="504"/>
      <c r="E278" s="505"/>
      <c r="F278" s="506">
        <f>+'5. BIBLIOGRAFIA-CIBERGRAFIA'!C66:C66</f>
        <v>0</v>
      </c>
      <c r="G278" s="506"/>
      <c r="H278" s="121">
        <f>+'5. BIBLIOGRAFIA-CIBERGRAFIA'!D66</f>
        <v>0</v>
      </c>
    </row>
  </sheetData>
  <sheetProtection algorithmName="SHA-512" hashValue="WTSk06YpG5pX2PQsQJxj5VstulE4Bi7HdECs/hSZ9ZmayM1oEIks7LK+gYQDGzrFm1AuGngNRnagAQVqxGj9Lg==" saltValue="0BrBvmCYhrrRVeRvoH8YlA==" spinCount="100000" sheet="1" formatCells="0" formatRows="0" selectLockedCells="1" selectUnlockedCells="1"/>
  <mergeCells count="367">
    <mergeCell ref="A137:H137"/>
    <mergeCell ref="B20:H20"/>
    <mergeCell ref="B21:H21"/>
    <mergeCell ref="B22:H22"/>
    <mergeCell ref="B23:H23"/>
    <mergeCell ref="A253:B253"/>
    <mergeCell ref="A254:B254"/>
    <mergeCell ref="C253:E253"/>
    <mergeCell ref="C254:E254"/>
    <mergeCell ref="F253:G253"/>
    <mergeCell ref="F254:G254"/>
    <mergeCell ref="C240:E240"/>
    <mergeCell ref="C241:E241"/>
    <mergeCell ref="C242:E242"/>
    <mergeCell ref="C243:E243"/>
    <mergeCell ref="F243:G243"/>
    <mergeCell ref="F244:G244"/>
    <mergeCell ref="F245:G245"/>
    <mergeCell ref="F246:G246"/>
    <mergeCell ref="F247:G247"/>
    <mergeCell ref="F248:G248"/>
    <mergeCell ref="F249:G249"/>
    <mergeCell ref="F250:G250"/>
    <mergeCell ref="F251:G251"/>
    <mergeCell ref="A251:B251"/>
    <mergeCell ref="C251:E251"/>
    <mergeCell ref="A242:B242"/>
    <mergeCell ref="F234:G234"/>
    <mergeCell ref="F235:G235"/>
    <mergeCell ref="F236:G236"/>
    <mergeCell ref="F237:G237"/>
    <mergeCell ref="F238:G238"/>
    <mergeCell ref="F239:G239"/>
    <mergeCell ref="F240:G240"/>
    <mergeCell ref="F241:G241"/>
    <mergeCell ref="F242:G242"/>
    <mergeCell ref="C234:E234"/>
    <mergeCell ref="C235:E235"/>
    <mergeCell ref="C236:E236"/>
    <mergeCell ref="C237:E237"/>
    <mergeCell ref="C238:E238"/>
    <mergeCell ref="C239:E239"/>
    <mergeCell ref="A248:B248"/>
    <mergeCell ref="A249:B249"/>
    <mergeCell ref="A250:B250"/>
    <mergeCell ref="C244:E244"/>
    <mergeCell ref="C245:E245"/>
    <mergeCell ref="C246:E246"/>
    <mergeCell ref="C247:E247"/>
    <mergeCell ref="C248:E248"/>
    <mergeCell ref="C249:E249"/>
    <mergeCell ref="C250:E250"/>
    <mergeCell ref="A234:B234"/>
    <mergeCell ref="A235:B235"/>
    <mergeCell ref="A236:B236"/>
    <mergeCell ref="A237:B237"/>
    <mergeCell ref="A238:B238"/>
    <mergeCell ref="A239:B239"/>
    <mergeCell ref="A240:B240"/>
    <mergeCell ref="A241:B241"/>
    <mergeCell ref="A243:B243"/>
    <mergeCell ref="F194:H194"/>
    <mergeCell ref="F195:H195"/>
    <mergeCell ref="F199:H199"/>
    <mergeCell ref="B61:H61"/>
    <mergeCell ref="B62:H62"/>
    <mergeCell ref="A64:F73"/>
    <mergeCell ref="A75:F84"/>
    <mergeCell ref="A202:D202"/>
    <mergeCell ref="E190:H190"/>
    <mergeCell ref="E196:H196"/>
    <mergeCell ref="F201:H201"/>
    <mergeCell ref="F202:H202"/>
    <mergeCell ref="B200:D200"/>
    <mergeCell ref="A74:H74"/>
    <mergeCell ref="B194:D194"/>
    <mergeCell ref="B195:D195"/>
    <mergeCell ref="A196:D196"/>
    <mergeCell ref="A186:H186"/>
    <mergeCell ref="A187:H187"/>
    <mergeCell ref="A179:H179"/>
    <mergeCell ref="A180:H180"/>
    <mergeCell ref="A181:H181"/>
    <mergeCell ref="A188:H188"/>
    <mergeCell ref="B192:D192"/>
    <mergeCell ref="C231:E231"/>
    <mergeCell ref="C232:E232"/>
    <mergeCell ref="C255:E255"/>
    <mergeCell ref="A257:H257"/>
    <mergeCell ref="F231:G231"/>
    <mergeCell ref="A228:B228"/>
    <mergeCell ref="C228:E228"/>
    <mergeCell ref="A229:B229"/>
    <mergeCell ref="A230:B230"/>
    <mergeCell ref="A231:B231"/>
    <mergeCell ref="F232:G232"/>
    <mergeCell ref="F255:G255"/>
    <mergeCell ref="A233:B233"/>
    <mergeCell ref="A252:B252"/>
    <mergeCell ref="C233:E233"/>
    <mergeCell ref="C252:E252"/>
    <mergeCell ref="F233:G233"/>
    <mergeCell ref="F252:G252"/>
    <mergeCell ref="A232:B232"/>
    <mergeCell ref="A255:B255"/>
    <mergeCell ref="A244:B244"/>
    <mergeCell ref="A245:B245"/>
    <mergeCell ref="A246:B246"/>
    <mergeCell ref="A247:B247"/>
    <mergeCell ref="C262:E262"/>
    <mergeCell ref="C263:E263"/>
    <mergeCell ref="C264:E264"/>
    <mergeCell ref="C265:E265"/>
    <mergeCell ref="C266:E266"/>
    <mergeCell ref="C267:E267"/>
    <mergeCell ref="C268:E268"/>
    <mergeCell ref="F259:G259"/>
    <mergeCell ref="F260:G260"/>
    <mergeCell ref="F261:G261"/>
    <mergeCell ref="F262:G262"/>
    <mergeCell ref="F263:G263"/>
    <mergeCell ref="F264:G264"/>
    <mergeCell ref="F265:G265"/>
    <mergeCell ref="F266:G266"/>
    <mergeCell ref="F267:G267"/>
    <mergeCell ref="F268:G268"/>
    <mergeCell ref="C261:E261"/>
    <mergeCell ref="A222:B222"/>
    <mergeCell ref="A223:B223"/>
    <mergeCell ref="C220:E220"/>
    <mergeCell ref="C221:E221"/>
    <mergeCell ref="C222:E222"/>
    <mergeCell ref="C223:E223"/>
    <mergeCell ref="F220:G220"/>
    <mergeCell ref="F221:G221"/>
    <mergeCell ref="F222:G222"/>
    <mergeCell ref="F223:G223"/>
    <mergeCell ref="A220:B220"/>
    <mergeCell ref="A221:B221"/>
    <mergeCell ref="C219:E219"/>
    <mergeCell ref="A219:B219"/>
    <mergeCell ref="A207:H208"/>
    <mergeCell ref="A209:B209"/>
    <mergeCell ref="C209:H209"/>
    <mergeCell ref="A210:B210"/>
    <mergeCell ref="C210:H210"/>
    <mergeCell ref="F197:H197"/>
    <mergeCell ref="F198:H198"/>
    <mergeCell ref="B199:D199"/>
    <mergeCell ref="B197:D197"/>
    <mergeCell ref="B198:D198"/>
    <mergeCell ref="B206:D206"/>
    <mergeCell ref="F206:H206"/>
    <mergeCell ref="F204:H204"/>
    <mergeCell ref="F205:H205"/>
    <mergeCell ref="F203:H203"/>
    <mergeCell ref="A278:B278"/>
    <mergeCell ref="C278:E278"/>
    <mergeCell ref="F278:G278"/>
    <mergeCell ref="A276:B276"/>
    <mergeCell ref="C276:E276"/>
    <mergeCell ref="F276:G276"/>
    <mergeCell ref="A277:B277"/>
    <mergeCell ref="C277:E277"/>
    <mergeCell ref="F277:G277"/>
    <mergeCell ref="A274:B274"/>
    <mergeCell ref="C274:E274"/>
    <mergeCell ref="F274:G274"/>
    <mergeCell ref="A275:B275"/>
    <mergeCell ref="C275:E275"/>
    <mergeCell ref="F275:G275"/>
    <mergeCell ref="A272:B272"/>
    <mergeCell ref="C272:E272"/>
    <mergeCell ref="F272:G272"/>
    <mergeCell ref="A273:B273"/>
    <mergeCell ref="C273:E273"/>
    <mergeCell ref="F273:G273"/>
    <mergeCell ref="A270:B270"/>
    <mergeCell ref="C270:E270"/>
    <mergeCell ref="F270:G270"/>
    <mergeCell ref="A271:B271"/>
    <mergeCell ref="C271:E271"/>
    <mergeCell ref="F271:G271"/>
    <mergeCell ref="A258:B258"/>
    <mergeCell ref="C258:E258"/>
    <mergeCell ref="F258:G258"/>
    <mergeCell ref="A269:B269"/>
    <mergeCell ref="C269:E269"/>
    <mergeCell ref="F269:G269"/>
    <mergeCell ref="A259:B259"/>
    <mergeCell ref="A260:B260"/>
    <mergeCell ref="A261:B261"/>
    <mergeCell ref="A262:B262"/>
    <mergeCell ref="A263:B263"/>
    <mergeCell ref="A264:B264"/>
    <mergeCell ref="A265:B265"/>
    <mergeCell ref="A266:B266"/>
    <mergeCell ref="A267:B267"/>
    <mergeCell ref="A268:B268"/>
    <mergeCell ref="C259:E259"/>
    <mergeCell ref="C260:E260"/>
    <mergeCell ref="A224:B224"/>
    <mergeCell ref="A225:B225"/>
    <mergeCell ref="A218:H218"/>
    <mergeCell ref="F219:G219"/>
    <mergeCell ref="F228:G228"/>
    <mergeCell ref="F229:G229"/>
    <mergeCell ref="F230:G230"/>
    <mergeCell ref="A211:B211"/>
    <mergeCell ref="C211:H211"/>
    <mergeCell ref="C212:C213"/>
    <mergeCell ref="D212:H212"/>
    <mergeCell ref="A212:B212"/>
    <mergeCell ref="C229:E229"/>
    <mergeCell ref="C230:E230"/>
    <mergeCell ref="A226:B226"/>
    <mergeCell ref="A227:B227"/>
    <mergeCell ref="C224:E224"/>
    <mergeCell ref="C225:E225"/>
    <mergeCell ref="C226:E226"/>
    <mergeCell ref="C227:E227"/>
    <mergeCell ref="F224:G224"/>
    <mergeCell ref="F225:G225"/>
    <mergeCell ref="F226:G226"/>
    <mergeCell ref="F227:G227"/>
    <mergeCell ref="B193:D193"/>
    <mergeCell ref="F192:H192"/>
    <mergeCell ref="F193:H193"/>
    <mergeCell ref="B191:D191"/>
    <mergeCell ref="F191:H191"/>
    <mergeCell ref="A189:H189"/>
    <mergeCell ref="A182:H182"/>
    <mergeCell ref="A183:H183"/>
    <mergeCell ref="A184:H184"/>
    <mergeCell ref="A185:H185"/>
    <mergeCell ref="A190:D190"/>
    <mergeCell ref="A175:H175"/>
    <mergeCell ref="A176:H176"/>
    <mergeCell ref="A177:H177"/>
    <mergeCell ref="A178:H178"/>
    <mergeCell ref="A169:H169"/>
    <mergeCell ref="A170:H170"/>
    <mergeCell ref="A171:H171"/>
    <mergeCell ref="A141:H141"/>
    <mergeCell ref="A142:H142"/>
    <mergeCell ref="A143:H143"/>
    <mergeCell ref="A144:H144"/>
    <mergeCell ref="A145:H145"/>
    <mergeCell ref="A158:H158"/>
    <mergeCell ref="A157:H157"/>
    <mergeCell ref="A151:H151"/>
    <mergeCell ref="A152:H152"/>
    <mergeCell ref="A153:H153"/>
    <mergeCell ref="A154:H154"/>
    <mergeCell ref="A150:H150"/>
    <mergeCell ref="A146:H146"/>
    <mergeCell ref="A172:A173"/>
    <mergeCell ref="B172:H173"/>
    <mergeCell ref="A167:H167"/>
    <mergeCell ref="A168:H168"/>
    <mergeCell ref="A127:H127"/>
    <mergeCell ref="A128:H128"/>
    <mergeCell ref="A119:H119"/>
    <mergeCell ref="A116:H116"/>
    <mergeCell ref="A117:H117"/>
    <mergeCell ref="A118:H118"/>
    <mergeCell ref="A120:H120"/>
    <mergeCell ref="A111:H111"/>
    <mergeCell ref="A112:H112"/>
    <mergeCell ref="A113:H113"/>
    <mergeCell ref="A114:H114"/>
    <mergeCell ref="A115:H115"/>
    <mergeCell ref="A126:H126"/>
    <mergeCell ref="A164:H164"/>
    <mergeCell ref="A165:H165"/>
    <mergeCell ref="A166:H166"/>
    <mergeCell ref="A159:H159"/>
    <mergeCell ref="A160:H160"/>
    <mergeCell ref="A161:H161"/>
    <mergeCell ref="A162:H162"/>
    <mergeCell ref="A163:H163"/>
    <mergeCell ref="A174:H174"/>
    <mergeCell ref="A147:H147"/>
    <mergeCell ref="A148:H148"/>
    <mergeCell ref="A149:H149"/>
    <mergeCell ref="C1:F3"/>
    <mergeCell ref="C4:F6"/>
    <mergeCell ref="C8:H8"/>
    <mergeCell ref="C10:D10"/>
    <mergeCell ref="F10:G10"/>
    <mergeCell ref="B59:H59"/>
    <mergeCell ref="A26:H51"/>
    <mergeCell ref="A1:B6"/>
    <mergeCell ref="G1:H2"/>
    <mergeCell ref="A7:B7"/>
    <mergeCell ref="A8:B8"/>
    <mergeCell ref="A9:B9"/>
    <mergeCell ref="C7:G7"/>
    <mergeCell ref="B53:H53"/>
    <mergeCell ref="B54:H54"/>
    <mergeCell ref="G3:H4"/>
    <mergeCell ref="G5:H6"/>
    <mergeCell ref="A125:H125"/>
    <mergeCell ref="A121:A122"/>
    <mergeCell ref="B121:H122"/>
    <mergeCell ref="A138:A139"/>
    <mergeCell ref="A155:A156"/>
    <mergeCell ref="B155:H156"/>
    <mergeCell ref="B58:H58"/>
    <mergeCell ref="A63:H63"/>
    <mergeCell ref="B55:H55"/>
    <mergeCell ref="B56:H56"/>
    <mergeCell ref="B57:H57"/>
    <mergeCell ref="A140:H140"/>
    <mergeCell ref="B138:H139"/>
    <mergeCell ref="A86:H86"/>
    <mergeCell ref="A85:H85"/>
    <mergeCell ref="A87:A88"/>
    <mergeCell ref="B87:H88"/>
    <mergeCell ref="A129:H129"/>
    <mergeCell ref="A130:H130"/>
    <mergeCell ref="A131:H131"/>
    <mergeCell ref="A135:H135"/>
    <mergeCell ref="A136:H136"/>
    <mergeCell ref="A123:H123"/>
    <mergeCell ref="A124:H124"/>
    <mergeCell ref="A132:H132"/>
    <mergeCell ref="A133:H133"/>
    <mergeCell ref="A134:H134"/>
    <mergeCell ref="A110:H110"/>
    <mergeCell ref="C9:D9"/>
    <mergeCell ref="F9:H9"/>
    <mergeCell ref="B60:H60"/>
    <mergeCell ref="A11:B11"/>
    <mergeCell ref="C11:E11"/>
    <mergeCell ref="A25:H25"/>
    <mergeCell ref="A52:H52"/>
    <mergeCell ref="B14:H14"/>
    <mergeCell ref="A12:H12"/>
    <mergeCell ref="A24:H24"/>
    <mergeCell ref="A13:H13"/>
    <mergeCell ref="B15:H15"/>
    <mergeCell ref="B16:H16"/>
    <mergeCell ref="B17:H17"/>
    <mergeCell ref="B18:H18"/>
    <mergeCell ref="B19:H19"/>
    <mergeCell ref="A106:H106"/>
    <mergeCell ref="A107:H107"/>
    <mergeCell ref="A108:H108"/>
    <mergeCell ref="A109:H109"/>
    <mergeCell ref="A89:H89"/>
    <mergeCell ref="A104:A105"/>
    <mergeCell ref="B104:H105"/>
    <mergeCell ref="A103:H103"/>
    <mergeCell ref="A90:H90"/>
    <mergeCell ref="A91:H91"/>
    <mergeCell ref="A92:H92"/>
    <mergeCell ref="A93:H93"/>
    <mergeCell ref="A94:H94"/>
    <mergeCell ref="A95:H95"/>
    <mergeCell ref="A96:H96"/>
    <mergeCell ref="A99:H99"/>
    <mergeCell ref="A100:H100"/>
    <mergeCell ref="A97:H97"/>
    <mergeCell ref="A98:H98"/>
    <mergeCell ref="A101:H101"/>
    <mergeCell ref="A102:H102"/>
  </mergeCells>
  <conditionalFormatting sqref="H64:H73">
    <cfRule type="containsText" dxfId="3" priority="2" operator="containsText" text="x">
      <formula>NOT(ISERROR(SEARCH("x",H64)))</formula>
    </cfRule>
  </conditionalFormatting>
  <conditionalFormatting sqref="H75:H84">
    <cfRule type="containsText" dxfId="2" priority="1" operator="containsText" text="x">
      <formula>NOT(ISERROR(SEARCH("x",H75)))</formula>
    </cfRule>
  </conditionalFormatting>
  <dataValidations count="1">
    <dataValidation type="textLength" allowBlank="1" showInputMessage="1" showErrorMessage="1" sqref="A89:A103 A174:H174 A140:A154">
      <formula1>20</formula1>
      <formula2>650</formula2>
    </dataValidation>
  </dataValidations>
  <printOptions horizontalCentered="1"/>
  <pageMargins left="0.98425196850393704" right="0.98425196850393704" top="1.1811023622047245" bottom="0.98425196850393704" header="0" footer="0.31496062992125984"/>
  <pageSetup scale="99" orientation="portrait" r:id="rId1"/>
  <headerFooter>
    <oddFooter xml:space="preserve">&amp;L&amp;"-,Negrita"
Fecha de Acta:
&amp;R&amp;"Arial,Negrita"&amp;10
Número de Acta Microcurricular:
&amp;"Arial,Normal"&amp;9
&amp;P de &amp;N&amp;"Arial,Negrita"&amp;11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BASE!$B$3:$B$26</xm:f>
          </x14:formula1>
          <xm:sqref>H7</xm:sqref>
        </x14:dataValidation>
        <x14:dataValidation type="list" allowBlank="1" showInputMessage="1" showErrorMessage="1">
          <x14:formula1>
            <xm:f>BASE!$H$3:$H$4</xm:f>
          </x14:formula1>
          <xm:sqref>C11:E11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sheetPr>
  <dimension ref="A1:AF203"/>
  <sheetViews>
    <sheetView showGridLines="0" tabSelected="1" view="pageBreakPreview" topLeftCell="A81" zoomScale="86" zoomScaleNormal="86" zoomScaleSheetLayoutView="86" zoomScalePageLayoutView="70" workbookViewId="0">
      <selection activeCell="F91" sqref="F91:K91"/>
    </sheetView>
  </sheetViews>
  <sheetFormatPr baseColWidth="10" defaultColWidth="10.81640625" defaultRowHeight="11.5" x14ac:dyDescent="0.25"/>
  <cols>
    <col min="1" max="1" width="4.1796875" style="5" customWidth="1"/>
    <col min="2" max="2" width="3.453125" style="5" customWidth="1"/>
    <col min="3" max="4" width="3.54296875" style="5" customWidth="1"/>
    <col min="5" max="5" width="9.54296875" style="5" customWidth="1"/>
    <col min="6" max="6" width="8.453125" style="5" customWidth="1"/>
    <col min="7" max="7" width="14.81640625" style="5" customWidth="1"/>
    <col min="8" max="8" width="9.36328125" style="5" customWidth="1"/>
    <col min="9" max="10" width="5.81640625" style="5" customWidth="1"/>
    <col min="11" max="11" width="9.7265625" style="5" customWidth="1"/>
    <col min="12" max="13" width="6.26953125" style="92" customWidth="1"/>
    <col min="14" max="14" width="7.26953125" style="92" customWidth="1"/>
    <col min="15" max="15" width="6.26953125" style="5" customWidth="1"/>
    <col min="16" max="16" width="19.08984375" style="5" customWidth="1"/>
    <col min="17" max="17" width="7.90625" style="5" customWidth="1"/>
    <col min="18" max="18" width="5.1796875" style="10" customWidth="1"/>
    <col min="19" max="19" width="8.26953125" style="10" customWidth="1"/>
    <col min="20" max="20" width="4.7265625" style="5" customWidth="1"/>
    <col min="21" max="21" width="3.81640625" style="5" customWidth="1"/>
    <col min="22" max="22" width="17" style="46" customWidth="1"/>
    <col min="23" max="16384" width="10.81640625" style="5"/>
  </cols>
  <sheetData>
    <row r="1" spans="1:22" ht="14.5" customHeight="1" x14ac:dyDescent="0.25">
      <c r="A1" s="619"/>
      <c r="B1" s="620"/>
      <c r="C1" s="620"/>
      <c r="D1" s="620"/>
      <c r="E1" s="621"/>
      <c r="F1" s="628" t="s">
        <v>203</v>
      </c>
      <c r="G1" s="629"/>
      <c r="H1" s="629"/>
      <c r="I1" s="629"/>
      <c r="J1" s="629"/>
      <c r="K1" s="629"/>
      <c r="L1" s="629"/>
      <c r="M1" s="629"/>
      <c r="N1" s="629"/>
      <c r="O1" s="629"/>
      <c r="P1" s="629"/>
      <c r="Q1" s="629"/>
      <c r="R1" s="630"/>
      <c r="S1" s="724" t="s">
        <v>210</v>
      </c>
      <c r="T1" s="725"/>
      <c r="U1" s="725"/>
      <c r="V1" s="726"/>
    </row>
    <row r="2" spans="1:22" ht="14.5" customHeight="1" x14ac:dyDescent="0.25">
      <c r="A2" s="622"/>
      <c r="B2" s="623"/>
      <c r="C2" s="623"/>
      <c r="D2" s="623"/>
      <c r="E2" s="624"/>
      <c r="F2" s="631"/>
      <c r="G2" s="632"/>
      <c r="H2" s="632"/>
      <c r="I2" s="632"/>
      <c r="J2" s="632"/>
      <c r="K2" s="632"/>
      <c r="L2" s="632"/>
      <c r="M2" s="632"/>
      <c r="N2" s="632"/>
      <c r="O2" s="632"/>
      <c r="P2" s="632"/>
      <c r="Q2" s="632"/>
      <c r="R2" s="633"/>
      <c r="S2" s="727"/>
      <c r="T2" s="728"/>
      <c r="U2" s="728"/>
      <c r="V2" s="729"/>
    </row>
    <row r="3" spans="1:22" ht="14.5" customHeight="1" x14ac:dyDescent="0.25">
      <c r="A3" s="622"/>
      <c r="B3" s="623"/>
      <c r="C3" s="623"/>
      <c r="D3" s="623"/>
      <c r="E3" s="624"/>
      <c r="F3" s="634"/>
      <c r="G3" s="635"/>
      <c r="H3" s="635"/>
      <c r="I3" s="635"/>
      <c r="J3" s="635"/>
      <c r="K3" s="635"/>
      <c r="L3" s="635"/>
      <c r="M3" s="635"/>
      <c r="N3" s="635"/>
      <c r="O3" s="635"/>
      <c r="P3" s="635"/>
      <c r="Q3" s="635"/>
      <c r="R3" s="636"/>
      <c r="S3" s="601" t="s">
        <v>264</v>
      </c>
      <c r="T3" s="602"/>
      <c r="U3" s="602"/>
      <c r="V3" s="603"/>
    </row>
    <row r="4" spans="1:22" ht="14.5" customHeight="1" x14ac:dyDescent="0.25">
      <c r="A4" s="622"/>
      <c r="B4" s="623"/>
      <c r="C4" s="623"/>
      <c r="D4" s="623"/>
      <c r="E4" s="624"/>
      <c r="F4" s="628" t="s">
        <v>204</v>
      </c>
      <c r="G4" s="629"/>
      <c r="H4" s="629"/>
      <c r="I4" s="629"/>
      <c r="J4" s="629"/>
      <c r="K4" s="629"/>
      <c r="L4" s="629"/>
      <c r="M4" s="629"/>
      <c r="N4" s="629"/>
      <c r="O4" s="629"/>
      <c r="P4" s="629"/>
      <c r="Q4" s="629"/>
      <c r="R4" s="630"/>
      <c r="S4" s="604"/>
      <c r="T4" s="605"/>
      <c r="U4" s="605"/>
      <c r="V4" s="606"/>
    </row>
    <row r="5" spans="1:22" ht="14.5" customHeight="1" x14ac:dyDescent="0.25">
      <c r="A5" s="622"/>
      <c r="B5" s="623"/>
      <c r="C5" s="623"/>
      <c r="D5" s="623"/>
      <c r="E5" s="624"/>
      <c r="F5" s="631"/>
      <c r="G5" s="632"/>
      <c r="H5" s="632"/>
      <c r="I5" s="632"/>
      <c r="J5" s="632"/>
      <c r="K5" s="632"/>
      <c r="L5" s="632"/>
      <c r="M5" s="632"/>
      <c r="N5" s="632"/>
      <c r="O5" s="632"/>
      <c r="P5" s="632"/>
      <c r="Q5" s="632"/>
      <c r="R5" s="633"/>
      <c r="S5" s="601" t="s">
        <v>305</v>
      </c>
      <c r="T5" s="602"/>
      <c r="U5" s="602"/>
      <c r="V5" s="603"/>
    </row>
    <row r="6" spans="1:22" ht="11.5" customHeight="1" x14ac:dyDescent="0.25">
      <c r="A6" s="625"/>
      <c r="B6" s="626"/>
      <c r="C6" s="626"/>
      <c r="D6" s="626"/>
      <c r="E6" s="627"/>
      <c r="F6" s="634"/>
      <c r="G6" s="635"/>
      <c r="H6" s="635"/>
      <c r="I6" s="635"/>
      <c r="J6" s="635"/>
      <c r="K6" s="635"/>
      <c r="L6" s="635"/>
      <c r="M6" s="635"/>
      <c r="N6" s="635"/>
      <c r="O6" s="635"/>
      <c r="P6" s="635"/>
      <c r="Q6" s="635"/>
      <c r="R6" s="636"/>
      <c r="S6" s="604"/>
      <c r="T6" s="605"/>
      <c r="U6" s="605"/>
      <c r="V6" s="606"/>
    </row>
    <row r="7" spans="1:22" x14ac:dyDescent="0.25">
      <c r="A7" s="645"/>
      <c r="B7" s="646"/>
      <c r="C7" s="646"/>
      <c r="D7" s="646"/>
      <c r="E7" s="646"/>
      <c r="F7" s="646"/>
      <c r="G7" s="646"/>
      <c r="H7" s="646"/>
      <c r="I7" s="646"/>
      <c r="J7" s="646"/>
      <c r="K7" s="646"/>
      <c r="L7" s="646"/>
      <c r="M7" s="646"/>
      <c r="N7" s="646"/>
      <c r="O7" s="646"/>
      <c r="P7" s="646"/>
      <c r="Q7" s="646"/>
      <c r="R7" s="646"/>
      <c r="S7" s="646"/>
      <c r="T7" s="646"/>
      <c r="U7" s="646"/>
      <c r="V7" s="647"/>
    </row>
    <row r="8" spans="1:22" ht="29.5" customHeight="1" x14ac:dyDescent="0.25">
      <c r="A8" s="607" t="s">
        <v>69</v>
      </c>
      <c r="B8" s="608"/>
      <c r="C8" s="608"/>
      <c r="D8" s="608"/>
      <c r="E8" s="608"/>
      <c r="F8" s="608"/>
      <c r="G8" s="608"/>
      <c r="H8" s="688">
        <f>+'1. INICIAL'!C7</f>
        <v>0</v>
      </c>
      <c r="I8" s="688"/>
      <c r="J8" s="688"/>
      <c r="K8" s="688"/>
      <c r="L8" s="688"/>
      <c r="M8" s="688"/>
      <c r="N8" s="688"/>
      <c r="O8" s="688"/>
      <c r="P8" s="688"/>
      <c r="Q8" s="688"/>
      <c r="R8" s="688"/>
      <c r="S8" s="688"/>
      <c r="T8" s="688"/>
      <c r="U8" s="688"/>
      <c r="V8" s="689"/>
    </row>
    <row r="9" spans="1:22" ht="29.25" customHeight="1" x14ac:dyDescent="0.25">
      <c r="A9" s="697" t="s">
        <v>168</v>
      </c>
      <c r="B9" s="698"/>
      <c r="C9" s="698"/>
      <c r="D9" s="698"/>
      <c r="E9" s="698"/>
      <c r="F9" s="698"/>
      <c r="G9" s="699"/>
      <c r="H9" s="666">
        <f>+'1. INICIAL'!C8</f>
        <v>0</v>
      </c>
      <c r="I9" s="667"/>
      <c r="J9" s="667"/>
      <c r="K9" s="667"/>
      <c r="L9" s="667"/>
      <c r="M9" s="667"/>
      <c r="N9" s="667"/>
      <c r="O9" s="667"/>
      <c r="P9" s="667"/>
      <c r="Q9" s="667"/>
      <c r="R9" s="667"/>
      <c r="S9" s="667"/>
      <c r="T9" s="667"/>
      <c r="U9" s="667"/>
      <c r="V9" s="668"/>
    </row>
    <row r="10" spans="1:22" ht="29.25" customHeight="1" x14ac:dyDescent="0.25">
      <c r="A10" s="700" t="s">
        <v>67</v>
      </c>
      <c r="B10" s="698"/>
      <c r="C10" s="698"/>
      <c r="D10" s="698"/>
      <c r="E10" s="698"/>
      <c r="F10" s="698"/>
      <c r="G10" s="699"/>
      <c r="H10" s="663">
        <f>+'1. INICIAL'!C9</f>
        <v>0</v>
      </c>
      <c r="I10" s="664"/>
      <c r="J10" s="664"/>
      <c r="K10" s="664"/>
      <c r="L10" s="664"/>
      <c r="M10" s="665"/>
      <c r="N10" s="692" t="s">
        <v>70</v>
      </c>
      <c r="O10" s="692"/>
      <c r="P10" s="589">
        <f>+'1. INICIAL'!F9</f>
        <v>0</v>
      </c>
      <c r="Q10" s="589"/>
      <c r="R10" s="589"/>
      <c r="S10" s="589"/>
      <c r="T10" s="589"/>
      <c r="U10" s="589"/>
      <c r="V10" s="589"/>
    </row>
    <row r="11" spans="1:22" s="7" customFormat="1" ht="28.75" customHeight="1" x14ac:dyDescent="0.35">
      <c r="A11" s="659" t="s">
        <v>72</v>
      </c>
      <c r="B11" s="659"/>
      <c r="C11" s="659"/>
      <c r="D11" s="659"/>
      <c r="E11" s="659"/>
      <c r="F11" s="669">
        <f>+'1. INICIAL'!B10</f>
        <v>2</v>
      </c>
      <c r="G11" s="669"/>
      <c r="H11" s="669"/>
      <c r="I11" s="691" t="s">
        <v>71</v>
      </c>
      <c r="J11" s="691"/>
      <c r="K11" s="691"/>
      <c r="L11" s="691"/>
      <c r="M11" s="691"/>
      <c r="N11" s="691"/>
      <c r="O11" s="650">
        <f>+'1. INICIAL'!E10</f>
        <v>2</v>
      </c>
      <c r="P11" s="650"/>
      <c r="Q11" s="648" t="s">
        <v>66</v>
      </c>
      <c r="R11" s="648"/>
      <c r="S11" s="648"/>
      <c r="T11" s="649">
        <f>+'1. INICIAL'!H10</f>
        <v>4</v>
      </c>
      <c r="U11" s="649"/>
      <c r="V11" s="649"/>
    </row>
    <row r="12" spans="1:22" s="7" customFormat="1" ht="28.75" customHeight="1" x14ac:dyDescent="0.35">
      <c r="A12" s="654" t="s">
        <v>55</v>
      </c>
      <c r="B12" s="655"/>
      <c r="C12" s="655"/>
      <c r="D12" s="655"/>
      <c r="E12" s="655"/>
      <c r="F12" s="600" t="str">
        <f>+'1. INICIAL'!C11</f>
        <v>Habilitable</v>
      </c>
      <c r="G12" s="600"/>
      <c r="H12" s="600"/>
      <c r="I12" s="600"/>
      <c r="J12" s="600"/>
      <c r="K12" s="600"/>
      <c r="L12" s="600"/>
      <c r="M12" s="600"/>
      <c r="N12" s="600"/>
      <c r="O12" s="600"/>
      <c r="P12" s="600"/>
      <c r="Q12" s="600"/>
      <c r="R12" s="651"/>
      <c r="S12" s="652"/>
      <c r="T12" s="652"/>
      <c r="U12" s="652"/>
      <c r="V12" s="653"/>
    </row>
    <row r="13" spans="1:22" customFormat="1" ht="9" customHeight="1" x14ac:dyDescent="0.35">
      <c r="A13" s="730"/>
      <c r="B13" s="730"/>
      <c r="C13" s="730"/>
      <c r="D13" s="730"/>
      <c r="E13" s="730"/>
      <c r="F13" s="731"/>
      <c r="G13" s="731"/>
      <c r="H13" s="731"/>
      <c r="I13" s="731"/>
      <c r="J13" s="731"/>
      <c r="K13" s="731"/>
      <c r="L13" s="731"/>
      <c r="M13" s="731"/>
      <c r="N13" s="731"/>
      <c r="O13" s="731"/>
      <c r="P13" s="731"/>
      <c r="Q13" s="731"/>
      <c r="R13" s="731"/>
      <c r="S13" s="731"/>
      <c r="T13" s="731"/>
      <c r="U13" s="731"/>
      <c r="V13" s="731"/>
    </row>
    <row r="14" spans="1:22" ht="42.65" customHeight="1" x14ac:dyDescent="0.25">
      <c r="A14" s="656" t="s">
        <v>167</v>
      </c>
      <c r="B14" s="657"/>
      <c r="C14" s="657"/>
      <c r="D14" s="657"/>
      <c r="E14" s="658"/>
      <c r="F14" s="732" t="s">
        <v>276</v>
      </c>
      <c r="G14" s="732"/>
      <c r="H14" s="732"/>
      <c r="I14" s="732"/>
      <c r="J14" s="732"/>
      <c r="K14" s="732"/>
      <c r="L14" s="732"/>
      <c r="M14" s="732"/>
      <c r="N14" s="732"/>
      <c r="O14" s="732"/>
      <c r="P14" s="732"/>
      <c r="Q14" s="732"/>
      <c r="R14" s="732"/>
      <c r="S14" s="732"/>
      <c r="T14" s="732"/>
      <c r="U14" s="732"/>
      <c r="V14" s="733"/>
    </row>
    <row r="15" spans="1:22" ht="336.5" customHeight="1" x14ac:dyDescent="0.25">
      <c r="A15" s="656" t="s">
        <v>166</v>
      </c>
      <c r="B15" s="657"/>
      <c r="C15" s="657"/>
      <c r="D15" s="657"/>
      <c r="E15" s="658"/>
      <c r="F15" s="734">
        <f>+'1. INICIAL'!A25</f>
        <v>0</v>
      </c>
      <c r="G15" s="734"/>
      <c r="H15" s="734"/>
      <c r="I15" s="734"/>
      <c r="J15" s="734"/>
      <c r="K15" s="734"/>
      <c r="L15" s="734"/>
      <c r="M15" s="734"/>
      <c r="N15" s="734"/>
      <c r="O15" s="734"/>
      <c r="P15" s="734"/>
      <c r="Q15" s="734"/>
      <c r="R15" s="734"/>
      <c r="S15" s="734"/>
      <c r="T15" s="734"/>
      <c r="U15" s="734"/>
      <c r="V15" s="735"/>
    </row>
    <row r="16" spans="1:22" ht="30.65" customHeight="1" x14ac:dyDescent="0.25">
      <c r="A16" s="693" t="s">
        <v>277</v>
      </c>
      <c r="B16" s="694"/>
      <c r="C16" s="694"/>
      <c r="D16" s="694"/>
      <c r="E16" s="694"/>
      <c r="F16" s="694"/>
      <c r="G16" s="694"/>
      <c r="H16" s="694"/>
      <c r="I16" s="694"/>
      <c r="J16" s="694"/>
      <c r="K16" s="694"/>
      <c r="L16" s="694"/>
      <c r="M16" s="694"/>
      <c r="N16" s="694"/>
      <c r="O16" s="694"/>
      <c r="P16" s="694"/>
      <c r="Q16" s="694"/>
      <c r="R16" s="694"/>
      <c r="S16" s="694"/>
      <c r="T16" s="694"/>
      <c r="U16" s="694"/>
      <c r="V16" s="694"/>
    </row>
    <row r="17" spans="1:22" s="10" customFormat="1" ht="17.149999999999999" customHeight="1" x14ac:dyDescent="0.35">
      <c r="A17" s="695" t="s">
        <v>0</v>
      </c>
      <c r="B17" s="695"/>
      <c r="C17" s="695"/>
      <c r="D17" s="695"/>
      <c r="E17" s="695"/>
      <c r="F17" s="696">
        <f>+'2. RAP-RAC'!B8</f>
        <v>0</v>
      </c>
      <c r="G17" s="696"/>
      <c r="H17" s="696"/>
      <c r="I17" s="696"/>
      <c r="J17" s="696"/>
      <c r="K17" s="696"/>
      <c r="L17" s="696"/>
      <c r="M17" s="696"/>
      <c r="N17" s="696"/>
      <c r="O17" s="696"/>
      <c r="P17" s="696"/>
      <c r="Q17" s="696"/>
      <c r="R17" s="696"/>
      <c r="S17" s="696"/>
      <c r="T17" s="696"/>
      <c r="U17" s="696"/>
      <c r="V17" s="696"/>
    </row>
    <row r="18" spans="1:22" s="10" customFormat="1" ht="17.149999999999999" customHeight="1" x14ac:dyDescent="0.35">
      <c r="A18" s="690" t="s">
        <v>1</v>
      </c>
      <c r="B18" s="690"/>
      <c r="C18" s="690"/>
      <c r="D18" s="690"/>
      <c r="E18" s="690"/>
      <c r="F18" s="618">
        <f>+'2. RAP-RAC'!B9</f>
        <v>0</v>
      </c>
      <c r="G18" s="618"/>
      <c r="H18" s="618"/>
      <c r="I18" s="618"/>
      <c r="J18" s="618"/>
      <c r="K18" s="618"/>
      <c r="L18" s="618"/>
      <c r="M18" s="618"/>
      <c r="N18" s="618"/>
      <c r="O18" s="618"/>
      <c r="P18" s="618"/>
      <c r="Q18" s="618"/>
      <c r="R18" s="618"/>
      <c r="S18" s="618"/>
      <c r="T18" s="618"/>
      <c r="U18" s="618"/>
      <c r="V18" s="618"/>
    </row>
    <row r="19" spans="1:22" s="10" customFormat="1" ht="17.149999999999999" customHeight="1" x14ac:dyDescent="0.35">
      <c r="A19" s="690" t="s">
        <v>2</v>
      </c>
      <c r="B19" s="690"/>
      <c r="C19" s="690"/>
      <c r="D19" s="690"/>
      <c r="E19" s="690"/>
      <c r="F19" s="618">
        <f>+'2. RAP-RAC'!B10</f>
        <v>0</v>
      </c>
      <c r="G19" s="618"/>
      <c r="H19" s="618"/>
      <c r="I19" s="618"/>
      <c r="J19" s="618"/>
      <c r="K19" s="618"/>
      <c r="L19" s="618"/>
      <c r="M19" s="618"/>
      <c r="N19" s="618"/>
      <c r="O19" s="618"/>
      <c r="P19" s="618"/>
      <c r="Q19" s="618"/>
      <c r="R19" s="618"/>
      <c r="S19" s="618"/>
      <c r="T19" s="618"/>
      <c r="U19" s="618"/>
      <c r="V19" s="618"/>
    </row>
    <row r="20" spans="1:22" s="10" customFormat="1" ht="17.149999999999999" customHeight="1" x14ac:dyDescent="0.35">
      <c r="A20" s="690" t="s">
        <v>7</v>
      </c>
      <c r="B20" s="690"/>
      <c r="C20" s="690"/>
      <c r="D20" s="690"/>
      <c r="E20" s="690"/>
      <c r="F20" s="618">
        <f>+'2. RAP-RAC'!B11</f>
        <v>0</v>
      </c>
      <c r="G20" s="618"/>
      <c r="H20" s="618"/>
      <c r="I20" s="618"/>
      <c r="J20" s="618"/>
      <c r="K20" s="618"/>
      <c r="L20" s="618"/>
      <c r="M20" s="618"/>
      <c r="N20" s="618"/>
      <c r="O20" s="618"/>
      <c r="P20" s="618"/>
      <c r="Q20" s="618"/>
      <c r="R20" s="618"/>
      <c r="S20" s="618"/>
      <c r="T20" s="618"/>
      <c r="U20" s="618"/>
      <c r="V20" s="618"/>
    </row>
    <row r="21" spans="1:22" s="10" customFormat="1" ht="17.149999999999999" customHeight="1" x14ac:dyDescent="0.35">
      <c r="A21" s="690" t="s">
        <v>51</v>
      </c>
      <c r="B21" s="690"/>
      <c r="C21" s="690"/>
      <c r="D21" s="690"/>
      <c r="E21" s="690"/>
      <c r="F21" s="618">
        <f>+'2. RAP-RAC'!B12</f>
        <v>0</v>
      </c>
      <c r="G21" s="618"/>
      <c r="H21" s="618"/>
      <c r="I21" s="618"/>
      <c r="J21" s="618"/>
      <c r="K21" s="618"/>
      <c r="L21" s="618"/>
      <c r="M21" s="618"/>
      <c r="N21" s="618"/>
      <c r="O21" s="618"/>
      <c r="P21" s="618"/>
      <c r="Q21" s="618"/>
      <c r="R21" s="618"/>
      <c r="S21" s="618"/>
      <c r="T21" s="618"/>
      <c r="U21" s="618"/>
      <c r="V21" s="618"/>
    </row>
    <row r="22" spans="1:22" s="10" customFormat="1" ht="17" customHeight="1" x14ac:dyDescent="0.35">
      <c r="A22" s="690" t="s">
        <v>56</v>
      </c>
      <c r="B22" s="690"/>
      <c r="C22" s="690"/>
      <c r="D22" s="690"/>
      <c r="E22" s="690"/>
      <c r="F22" s="618">
        <f>+'2. RAP-RAC'!B13</f>
        <v>0</v>
      </c>
      <c r="G22" s="618"/>
      <c r="H22" s="618"/>
      <c r="I22" s="618"/>
      <c r="J22" s="618"/>
      <c r="K22" s="618"/>
      <c r="L22" s="618"/>
      <c r="M22" s="618"/>
      <c r="N22" s="618"/>
      <c r="O22" s="618"/>
      <c r="P22" s="618"/>
      <c r="Q22" s="618"/>
      <c r="R22" s="618"/>
      <c r="S22" s="618"/>
      <c r="T22" s="618"/>
      <c r="U22" s="618"/>
      <c r="V22" s="618"/>
    </row>
    <row r="23" spans="1:22" s="10" customFormat="1" ht="17.149999999999999" customHeight="1" x14ac:dyDescent="0.35">
      <c r="A23" s="690" t="s">
        <v>57</v>
      </c>
      <c r="B23" s="690"/>
      <c r="C23" s="690"/>
      <c r="D23" s="690"/>
      <c r="E23" s="690"/>
      <c r="F23" s="618">
        <f>+'2. RAP-RAC'!B14</f>
        <v>0</v>
      </c>
      <c r="G23" s="618"/>
      <c r="H23" s="618"/>
      <c r="I23" s="618"/>
      <c r="J23" s="618"/>
      <c r="K23" s="618"/>
      <c r="L23" s="618"/>
      <c r="M23" s="618"/>
      <c r="N23" s="618"/>
      <c r="O23" s="618"/>
      <c r="P23" s="618"/>
      <c r="Q23" s="618"/>
      <c r="R23" s="618"/>
      <c r="S23" s="618"/>
      <c r="T23" s="618"/>
      <c r="U23" s="618"/>
      <c r="V23" s="618"/>
    </row>
    <row r="24" spans="1:22" s="10" customFormat="1" ht="17.149999999999999" customHeight="1" x14ac:dyDescent="0.35">
      <c r="A24" s="690" t="s">
        <v>58</v>
      </c>
      <c r="B24" s="690"/>
      <c r="C24" s="690"/>
      <c r="D24" s="690"/>
      <c r="E24" s="690"/>
      <c r="F24" s="618">
        <f>+'2. RAP-RAC'!B15</f>
        <v>0</v>
      </c>
      <c r="G24" s="618"/>
      <c r="H24" s="618"/>
      <c r="I24" s="618"/>
      <c r="J24" s="618"/>
      <c r="K24" s="618"/>
      <c r="L24" s="618"/>
      <c r="M24" s="618"/>
      <c r="N24" s="618"/>
      <c r="O24" s="618"/>
      <c r="P24" s="618"/>
      <c r="Q24" s="618"/>
      <c r="R24" s="618"/>
      <c r="S24" s="618"/>
      <c r="T24" s="618"/>
      <c r="U24" s="618"/>
      <c r="V24" s="618"/>
    </row>
    <row r="25" spans="1:22" s="10" customFormat="1" ht="17.149999999999999" customHeight="1" x14ac:dyDescent="0.35">
      <c r="A25" s="690" t="s">
        <v>268</v>
      </c>
      <c r="B25" s="690"/>
      <c r="C25" s="690"/>
      <c r="D25" s="690"/>
      <c r="E25" s="690"/>
      <c r="F25" s="618">
        <f>+'2. RAP-RAC'!B16</f>
        <v>0</v>
      </c>
      <c r="G25" s="618"/>
      <c r="H25" s="618"/>
      <c r="I25" s="618"/>
      <c r="J25" s="618"/>
      <c r="K25" s="618"/>
      <c r="L25" s="618"/>
      <c r="M25" s="618"/>
      <c r="N25" s="618"/>
      <c r="O25" s="618"/>
      <c r="P25" s="618"/>
      <c r="Q25" s="618"/>
      <c r="R25" s="618"/>
      <c r="S25" s="618"/>
      <c r="T25" s="618"/>
      <c r="U25" s="618"/>
      <c r="V25" s="618"/>
    </row>
    <row r="26" spans="1:22" s="10" customFormat="1" ht="17.149999999999999" customHeight="1" x14ac:dyDescent="0.35">
      <c r="A26" s="690" t="s">
        <v>269</v>
      </c>
      <c r="B26" s="690"/>
      <c r="C26" s="690"/>
      <c r="D26" s="690"/>
      <c r="E26" s="690"/>
      <c r="F26" s="618">
        <f>+'2. RAP-RAC'!B17</f>
        <v>0</v>
      </c>
      <c r="G26" s="618"/>
      <c r="H26" s="618"/>
      <c r="I26" s="618"/>
      <c r="J26" s="618"/>
      <c r="K26" s="618"/>
      <c r="L26" s="618"/>
      <c r="M26" s="618"/>
      <c r="N26" s="618"/>
      <c r="O26" s="618"/>
      <c r="P26" s="618"/>
      <c r="Q26" s="618"/>
      <c r="R26" s="618"/>
      <c r="S26" s="618"/>
      <c r="T26" s="618"/>
      <c r="U26" s="618"/>
      <c r="V26" s="618"/>
    </row>
    <row r="27" spans="1:22" ht="36.65" customHeight="1" x14ac:dyDescent="0.25">
      <c r="A27" s="546" t="s">
        <v>189</v>
      </c>
      <c r="B27" s="546"/>
      <c r="C27" s="546"/>
      <c r="D27" s="546"/>
      <c r="E27" s="546"/>
      <c r="F27" s="546"/>
      <c r="G27" s="546"/>
      <c r="H27" s="546"/>
      <c r="I27" s="546"/>
      <c r="J27" s="546"/>
      <c r="K27" s="546"/>
      <c r="L27" s="546"/>
      <c r="M27" s="546"/>
      <c r="N27" s="546"/>
      <c r="O27" s="546"/>
      <c r="P27" s="546"/>
      <c r="Q27" s="546"/>
      <c r="R27" s="546"/>
      <c r="S27" s="546"/>
      <c r="T27" s="546"/>
      <c r="U27" s="546"/>
      <c r="V27" s="546"/>
    </row>
    <row r="28" spans="1:22" ht="14.5" customHeight="1" x14ac:dyDescent="0.25">
      <c r="A28" s="590">
        <f>+'2. RAP-RAC'!B19</f>
        <v>0</v>
      </c>
      <c r="B28" s="591"/>
      <c r="C28" s="591"/>
      <c r="D28" s="591"/>
      <c r="E28" s="591"/>
      <c r="F28" s="591"/>
      <c r="G28" s="591"/>
      <c r="H28" s="591"/>
      <c r="I28" s="591"/>
      <c r="J28" s="591"/>
      <c r="K28" s="591"/>
      <c r="L28" s="591"/>
      <c r="M28" s="591"/>
      <c r="N28" s="591"/>
      <c r="O28" s="591"/>
      <c r="P28" s="591"/>
      <c r="Q28" s="591"/>
      <c r="R28" s="592"/>
      <c r="S28" s="127" t="s">
        <v>0</v>
      </c>
      <c r="T28" s="589">
        <f>+'2. RAP-RAC'!C20</f>
        <v>0</v>
      </c>
      <c r="U28" s="589"/>
      <c r="V28" s="589"/>
    </row>
    <row r="29" spans="1:22" ht="15.5" x14ac:dyDescent="0.25">
      <c r="A29" s="593"/>
      <c r="B29" s="594"/>
      <c r="C29" s="594"/>
      <c r="D29" s="594"/>
      <c r="E29" s="594"/>
      <c r="F29" s="594"/>
      <c r="G29" s="594"/>
      <c r="H29" s="594"/>
      <c r="I29" s="594"/>
      <c r="J29" s="594"/>
      <c r="K29" s="594"/>
      <c r="L29" s="594"/>
      <c r="M29" s="594"/>
      <c r="N29" s="594"/>
      <c r="O29" s="594"/>
      <c r="P29" s="594"/>
      <c r="Q29" s="594"/>
      <c r="R29" s="595"/>
      <c r="S29" s="127" t="s">
        <v>1</v>
      </c>
      <c r="T29" s="589">
        <f>+'2. RAP-RAC'!C21</f>
        <v>0</v>
      </c>
      <c r="U29" s="589"/>
      <c r="V29" s="589"/>
    </row>
    <row r="30" spans="1:22" ht="15.5" x14ac:dyDescent="0.25">
      <c r="A30" s="593"/>
      <c r="B30" s="594"/>
      <c r="C30" s="594"/>
      <c r="D30" s="594"/>
      <c r="E30" s="594"/>
      <c r="F30" s="594"/>
      <c r="G30" s="594"/>
      <c r="H30" s="594"/>
      <c r="I30" s="594"/>
      <c r="J30" s="594"/>
      <c r="K30" s="594"/>
      <c r="L30" s="594"/>
      <c r="M30" s="594"/>
      <c r="N30" s="594"/>
      <c r="O30" s="594"/>
      <c r="P30" s="594"/>
      <c r="Q30" s="594"/>
      <c r="R30" s="595"/>
      <c r="S30" s="127" t="s">
        <v>2</v>
      </c>
      <c r="T30" s="589">
        <f>+'2. RAP-RAC'!C22</f>
        <v>0</v>
      </c>
      <c r="U30" s="589"/>
      <c r="V30" s="589"/>
    </row>
    <row r="31" spans="1:22" ht="15.5" x14ac:dyDescent="0.25">
      <c r="A31" s="593"/>
      <c r="B31" s="594"/>
      <c r="C31" s="594"/>
      <c r="D31" s="594"/>
      <c r="E31" s="594"/>
      <c r="F31" s="594"/>
      <c r="G31" s="594"/>
      <c r="H31" s="594"/>
      <c r="I31" s="594"/>
      <c r="J31" s="594"/>
      <c r="K31" s="594"/>
      <c r="L31" s="594"/>
      <c r="M31" s="594"/>
      <c r="N31" s="594"/>
      <c r="O31" s="594"/>
      <c r="P31" s="594"/>
      <c r="Q31" s="594"/>
      <c r="R31" s="595"/>
      <c r="S31" s="127" t="s">
        <v>7</v>
      </c>
      <c r="T31" s="589">
        <f>+'2. RAP-RAC'!C23</f>
        <v>0</v>
      </c>
      <c r="U31" s="589"/>
      <c r="V31" s="589"/>
    </row>
    <row r="32" spans="1:22" ht="15.5" x14ac:dyDescent="0.25">
      <c r="A32" s="593"/>
      <c r="B32" s="594"/>
      <c r="C32" s="594"/>
      <c r="D32" s="594"/>
      <c r="E32" s="594"/>
      <c r="F32" s="594"/>
      <c r="G32" s="594"/>
      <c r="H32" s="594"/>
      <c r="I32" s="594"/>
      <c r="J32" s="594"/>
      <c r="K32" s="594"/>
      <c r="L32" s="594"/>
      <c r="M32" s="594"/>
      <c r="N32" s="594"/>
      <c r="O32" s="594"/>
      <c r="P32" s="594"/>
      <c r="Q32" s="594"/>
      <c r="R32" s="595"/>
      <c r="S32" s="127" t="s">
        <v>51</v>
      </c>
      <c r="T32" s="589">
        <f>+'2. RAP-RAC'!C24</f>
        <v>0</v>
      </c>
      <c r="U32" s="589"/>
      <c r="V32" s="589"/>
    </row>
    <row r="33" spans="1:22" ht="15.5" x14ac:dyDescent="0.25">
      <c r="A33" s="593"/>
      <c r="B33" s="594"/>
      <c r="C33" s="594"/>
      <c r="D33" s="594"/>
      <c r="E33" s="594"/>
      <c r="F33" s="594"/>
      <c r="G33" s="594"/>
      <c r="H33" s="594"/>
      <c r="I33" s="594"/>
      <c r="J33" s="594"/>
      <c r="K33" s="594"/>
      <c r="L33" s="594"/>
      <c r="M33" s="594"/>
      <c r="N33" s="594"/>
      <c r="O33" s="594"/>
      <c r="P33" s="594"/>
      <c r="Q33" s="594"/>
      <c r="R33" s="595"/>
      <c r="S33" s="127" t="s">
        <v>56</v>
      </c>
      <c r="T33" s="589">
        <f>+'2. RAP-RAC'!C25</f>
        <v>0</v>
      </c>
      <c r="U33" s="589"/>
      <c r="V33" s="589"/>
    </row>
    <row r="34" spans="1:22" ht="15.5" x14ac:dyDescent="0.25">
      <c r="A34" s="593"/>
      <c r="B34" s="594"/>
      <c r="C34" s="594"/>
      <c r="D34" s="594"/>
      <c r="E34" s="594"/>
      <c r="F34" s="594"/>
      <c r="G34" s="594"/>
      <c r="H34" s="594"/>
      <c r="I34" s="594"/>
      <c r="J34" s="594"/>
      <c r="K34" s="594"/>
      <c r="L34" s="594"/>
      <c r="M34" s="594"/>
      <c r="N34" s="594"/>
      <c r="O34" s="594"/>
      <c r="P34" s="594"/>
      <c r="Q34" s="594"/>
      <c r="R34" s="595"/>
      <c r="S34" s="127" t="s">
        <v>57</v>
      </c>
      <c r="T34" s="589">
        <f>+'2. RAP-RAC'!C26</f>
        <v>0</v>
      </c>
      <c r="U34" s="589"/>
      <c r="V34" s="589"/>
    </row>
    <row r="35" spans="1:22" ht="15.5" x14ac:dyDescent="0.25">
      <c r="A35" s="593"/>
      <c r="B35" s="594"/>
      <c r="C35" s="594"/>
      <c r="D35" s="594"/>
      <c r="E35" s="594"/>
      <c r="F35" s="594"/>
      <c r="G35" s="594"/>
      <c r="H35" s="594"/>
      <c r="I35" s="594"/>
      <c r="J35" s="594"/>
      <c r="K35" s="594"/>
      <c r="L35" s="594"/>
      <c r="M35" s="594"/>
      <c r="N35" s="594"/>
      <c r="O35" s="594"/>
      <c r="P35" s="594"/>
      <c r="Q35" s="594"/>
      <c r="R35" s="595"/>
      <c r="S35" s="127" t="s">
        <v>58</v>
      </c>
      <c r="T35" s="589">
        <f>+'2. RAP-RAC'!C27</f>
        <v>0</v>
      </c>
      <c r="U35" s="589"/>
      <c r="V35" s="589"/>
    </row>
    <row r="36" spans="1:22" ht="15.5" x14ac:dyDescent="0.25">
      <c r="A36" s="593"/>
      <c r="B36" s="594"/>
      <c r="C36" s="594"/>
      <c r="D36" s="594"/>
      <c r="E36" s="594"/>
      <c r="F36" s="594"/>
      <c r="G36" s="594"/>
      <c r="H36" s="594"/>
      <c r="I36" s="594"/>
      <c r="J36" s="594"/>
      <c r="K36" s="594"/>
      <c r="L36" s="594"/>
      <c r="M36" s="594"/>
      <c r="N36" s="594"/>
      <c r="O36" s="594"/>
      <c r="P36" s="594"/>
      <c r="Q36" s="594"/>
      <c r="R36" s="595"/>
      <c r="S36" s="127" t="s">
        <v>268</v>
      </c>
      <c r="T36" s="589">
        <f>+'2. RAP-RAC'!C28</f>
        <v>0</v>
      </c>
      <c r="U36" s="589"/>
      <c r="V36" s="589"/>
    </row>
    <row r="37" spans="1:22" ht="15.5" x14ac:dyDescent="0.25">
      <c r="A37" s="596"/>
      <c r="B37" s="597"/>
      <c r="C37" s="597"/>
      <c r="D37" s="597"/>
      <c r="E37" s="597"/>
      <c r="F37" s="597"/>
      <c r="G37" s="597"/>
      <c r="H37" s="597"/>
      <c r="I37" s="597"/>
      <c r="J37" s="597"/>
      <c r="K37" s="597"/>
      <c r="L37" s="597"/>
      <c r="M37" s="597"/>
      <c r="N37" s="597"/>
      <c r="O37" s="597"/>
      <c r="P37" s="597"/>
      <c r="Q37" s="597"/>
      <c r="R37" s="598"/>
      <c r="S37" s="127" t="s">
        <v>269</v>
      </c>
      <c r="T37" s="589">
        <f>+'2. RAP-RAC'!C29</f>
        <v>0</v>
      </c>
      <c r="U37" s="589"/>
      <c r="V37" s="589"/>
    </row>
    <row r="38" spans="1:22" ht="36.65" customHeight="1" x14ac:dyDescent="0.25">
      <c r="A38" s="546" t="s">
        <v>189</v>
      </c>
      <c r="B38" s="546"/>
      <c r="C38" s="546"/>
      <c r="D38" s="546"/>
      <c r="E38" s="546"/>
      <c r="F38" s="546"/>
      <c r="G38" s="546"/>
      <c r="H38" s="546"/>
      <c r="I38" s="546"/>
      <c r="J38" s="546"/>
      <c r="K38" s="546"/>
      <c r="L38" s="546"/>
      <c r="M38" s="546"/>
      <c r="N38" s="546"/>
      <c r="O38" s="546"/>
      <c r="P38" s="546"/>
      <c r="Q38" s="546"/>
      <c r="R38" s="546"/>
      <c r="S38" s="546"/>
      <c r="T38" s="546"/>
      <c r="U38" s="546"/>
      <c r="V38" s="546"/>
    </row>
    <row r="39" spans="1:22" ht="15.5" x14ac:dyDescent="0.25">
      <c r="A39" s="590">
        <f>+'2. RAP-RAC'!B30</f>
        <v>0</v>
      </c>
      <c r="B39" s="591"/>
      <c r="C39" s="591"/>
      <c r="D39" s="591"/>
      <c r="E39" s="591"/>
      <c r="F39" s="591"/>
      <c r="G39" s="591"/>
      <c r="H39" s="591"/>
      <c r="I39" s="591"/>
      <c r="J39" s="591"/>
      <c r="K39" s="591"/>
      <c r="L39" s="591"/>
      <c r="M39" s="591"/>
      <c r="N39" s="591"/>
      <c r="O39" s="591"/>
      <c r="P39" s="591"/>
      <c r="Q39" s="591"/>
      <c r="R39" s="592"/>
      <c r="S39" s="127" t="s">
        <v>0</v>
      </c>
      <c r="T39" s="589">
        <f>+'2. RAP-RAC'!C31</f>
        <v>0</v>
      </c>
      <c r="U39" s="589"/>
      <c r="V39" s="589"/>
    </row>
    <row r="40" spans="1:22" ht="15.5" x14ac:dyDescent="0.25">
      <c r="A40" s="593"/>
      <c r="B40" s="594"/>
      <c r="C40" s="594"/>
      <c r="D40" s="594"/>
      <c r="E40" s="594"/>
      <c r="F40" s="594"/>
      <c r="G40" s="594"/>
      <c r="H40" s="594"/>
      <c r="I40" s="594"/>
      <c r="J40" s="594"/>
      <c r="K40" s="594"/>
      <c r="L40" s="594"/>
      <c r="M40" s="594"/>
      <c r="N40" s="594"/>
      <c r="O40" s="594"/>
      <c r="P40" s="594"/>
      <c r="Q40" s="594"/>
      <c r="R40" s="595"/>
      <c r="S40" s="127" t="s">
        <v>1</v>
      </c>
      <c r="T40" s="589">
        <f>+'2. RAP-RAC'!C32</f>
        <v>0</v>
      </c>
      <c r="U40" s="589"/>
      <c r="V40" s="589"/>
    </row>
    <row r="41" spans="1:22" ht="15.5" x14ac:dyDescent="0.25">
      <c r="A41" s="593"/>
      <c r="B41" s="594"/>
      <c r="C41" s="594"/>
      <c r="D41" s="594"/>
      <c r="E41" s="594"/>
      <c r="F41" s="594"/>
      <c r="G41" s="594"/>
      <c r="H41" s="594"/>
      <c r="I41" s="594"/>
      <c r="J41" s="594"/>
      <c r="K41" s="594"/>
      <c r="L41" s="594"/>
      <c r="M41" s="594"/>
      <c r="N41" s="594"/>
      <c r="O41" s="594"/>
      <c r="P41" s="594"/>
      <c r="Q41" s="594"/>
      <c r="R41" s="595"/>
      <c r="S41" s="127" t="s">
        <v>2</v>
      </c>
      <c r="T41" s="589">
        <f>+'2. RAP-RAC'!C33</f>
        <v>0</v>
      </c>
      <c r="U41" s="589"/>
      <c r="V41" s="589"/>
    </row>
    <row r="42" spans="1:22" ht="15.5" x14ac:dyDescent="0.25">
      <c r="A42" s="593"/>
      <c r="B42" s="594"/>
      <c r="C42" s="594"/>
      <c r="D42" s="594"/>
      <c r="E42" s="594"/>
      <c r="F42" s="594"/>
      <c r="G42" s="594"/>
      <c r="H42" s="594"/>
      <c r="I42" s="594"/>
      <c r="J42" s="594"/>
      <c r="K42" s="594"/>
      <c r="L42" s="594"/>
      <c r="M42" s="594"/>
      <c r="N42" s="594"/>
      <c r="O42" s="594"/>
      <c r="P42" s="594"/>
      <c r="Q42" s="594"/>
      <c r="R42" s="595"/>
      <c r="S42" s="127" t="s">
        <v>7</v>
      </c>
      <c r="T42" s="589">
        <f>+'2. RAP-RAC'!C34</f>
        <v>0</v>
      </c>
      <c r="U42" s="589"/>
      <c r="V42" s="589"/>
    </row>
    <row r="43" spans="1:22" ht="15.5" x14ac:dyDescent="0.25">
      <c r="A43" s="593"/>
      <c r="B43" s="594"/>
      <c r="C43" s="594"/>
      <c r="D43" s="594"/>
      <c r="E43" s="594"/>
      <c r="F43" s="594"/>
      <c r="G43" s="594"/>
      <c r="H43" s="594"/>
      <c r="I43" s="594"/>
      <c r="J43" s="594"/>
      <c r="K43" s="594"/>
      <c r="L43" s="594"/>
      <c r="M43" s="594"/>
      <c r="N43" s="594"/>
      <c r="O43" s="594"/>
      <c r="P43" s="594"/>
      <c r="Q43" s="594"/>
      <c r="R43" s="595"/>
      <c r="S43" s="127" t="s">
        <v>51</v>
      </c>
      <c r="T43" s="589">
        <f>+'2. RAP-RAC'!C35</f>
        <v>0</v>
      </c>
      <c r="U43" s="589"/>
      <c r="V43" s="589"/>
    </row>
    <row r="44" spans="1:22" ht="15.5" x14ac:dyDescent="0.25">
      <c r="A44" s="593"/>
      <c r="B44" s="594"/>
      <c r="C44" s="594"/>
      <c r="D44" s="594"/>
      <c r="E44" s="594"/>
      <c r="F44" s="594"/>
      <c r="G44" s="594"/>
      <c r="H44" s="594"/>
      <c r="I44" s="594"/>
      <c r="J44" s="594"/>
      <c r="K44" s="594"/>
      <c r="L44" s="594"/>
      <c r="M44" s="594"/>
      <c r="N44" s="594"/>
      <c r="O44" s="594"/>
      <c r="P44" s="594"/>
      <c r="Q44" s="594"/>
      <c r="R44" s="595"/>
      <c r="S44" s="127" t="s">
        <v>56</v>
      </c>
      <c r="T44" s="589">
        <f>+'2. RAP-RAC'!C36</f>
        <v>0</v>
      </c>
      <c r="U44" s="589"/>
      <c r="V44" s="589"/>
    </row>
    <row r="45" spans="1:22" ht="15.5" x14ac:dyDescent="0.25">
      <c r="A45" s="593"/>
      <c r="B45" s="594"/>
      <c r="C45" s="594"/>
      <c r="D45" s="594"/>
      <c r="E45" s="594"/>
      <c r="F45" s="594"/>
      <c r="G45" s="594"/>
      <c r="H45" s="594"/>
      <c r="I45" s="594"/>
      <c r="J45" s="594"/>
      <c r="K45" s="594"/>
      <c r="L45" s="594"/>
      <c r="M45" s="594"/>
      <c r="N45" s="594"/>
      <c r="O45" s="594"/>
      <c r="P45" s="594"/>
      <c r="Q45" s="594"/>
      <c r="R45" s="595"/>
      <c r="S45" s="127" t="s">
        <v>57</v>
      </c>
      <c r="T45" s="589">
        <f>+'2. RAP-RAC'!C37</f>
        <v>0</v>
      </c>
      <c r="U45" s="589"/>
      <c r="V45" s="589"/>
    </row>
    <row r="46" spans="1:22" ht="15.5" x14ac:dyDescent="0.25">
      <c r="A46" s="593"/>
      <c r="B46" s="594"/>
      <c r="C46" s="594"/>
      <c r="D46" s="594"/>
      <c r="E46" s="594"/>
      <c r="F46" s="594"/>
      <c r="G46" s="594"/>
      <c r="H46" s="594"/>
      <c r="I46" s="594"/>
      <c r="J46" s="594"/>
      <c r="K46" s="594"/>
      <c r="L46" s="594"/>
      <c r="M46" s="594"/>
      <c r="N46" s="594"/>
      <c r="O46" s="594"/>
      <c r="P46" s="594"/>
      <c r="Q46" s="594"/>
      <c r="R46" s="595"/>
      <c r="S46" s="127" t="s">
        <v>58</v>
      </c>
      <c r="T46" s="589">
        <f>+'2. RAP-RAC'!C39</f>
        <v>0</v>
      </c>
      <c r="U46" s="589"/>
      <c r="V46" s="589"/>
    </row>
    <row r="47" spans="1:22" ht="15.5" x14ac:dyDescent="0.25">
      <c r="A47" s="593"/>
      <c r="B47" s="594"/>
      <c r="C47" s="594"/>
      <c r="D47" s="594"/>
      <c r="E47" s="594"/>
      <c r="F47" s="594"/>
      <c r="G47" s="594"/>
      <c r="H47" s="594"/>
      <c r="I47" s="594"/>
      <c r="J47" s="594"/>
      <c r="K47" s="594"/>
      <c r="L47" s="594"/>
      <c r="M47" s="594"/>
      <c r="N47" s="594"/>
      <c r="O47" s="594"/>
      <c r="P47" s="594"/>
      <c r="Q47" s="594"/>
      <c r="R47" s="595"/>
      <c r="S47" s="127" t="s">
        <v>268</v>
      </c>
      <c r="T47" s="128"/>
      <c r="U47" s="128"/>
      <c r="V47" s="129"/>
    </row>
    <row r="48" spans="1:22" ht="15.5" x14ac:dyDescent="0.25">
      <c r="A48" s="596"/>
      <c r="B48" s="597"/>
      <c r="C48" s="597"/>
      <c r="D48" s="597"/>
      <c r="E48" s="597"/>
      <c r="F48" s="597"/>
      <c r="G48" s="597"/>
      <c r="H48" s="597"/>
      <c r="I48" s="597"/>
      <c r="J48" s="597"/>
      <c r="K48" s="597"/>
      <c r="L48" s="597"/>
      <c r="M48" s="597"/>
      <c r="N48" s="597"/>
      <c r="O48" s="597"/>
      <c r="P48" s="597"/>
      <c r="Q48" s="597"/>
      <c r="R48" s="598"/>
      <c r="S48" s="127" t="s">
        <v>269</v>
      </c>
      <c r="T48" s="128"/>
      <c r="U48" s="128"/>
      <c r="V48" s="129"/>
    </row>
    <row r="49" spans="1:22" ht="46.5" customHeight="1" x14ac:dyDescent="0.25">
      <c r="A49" s="637" t="s">
        <v>90</v>
      </c>
      <c r="B49" s="639" t="s">
        <v>169</v>
      </c>
      <c r="C49" s="640"/>
      <c r="D49" s="640"/>
      <c r="E49" s="641"/>
      <c r="F49" s="639" t="s">
        <v>170</v>
      </c>
      <c r="G49" s="640"/>
      <c r="H49" s="640"/>
      <c r="I49" s="640"/>
      <c r="J49" s="640"/>
      <c r="K49" s="641"/>
      <c r="L49" s="660" t="s">
        <v>171</v>
      </c>
      <c r="M49" s="661"/>
      <c r="N49" s="662"/>
      <c r="O49" s="639" t="s">
        <v>181</v>
      </c>
      <c r="P49" s="640"/>
      <c r="Q49" s="641"/>
      <c r="R49" s="670" t="s">
        <v>180</v>
      </c>
      <c r="S49" s="662"/>
      <c r="T49" s="671" t="s">
        <v>177</v>
      </c>
      <c r="U49" s="673" t="s">
        <v>176</v>
      </c>
      <c r="V49" s="675" t="s">
        <v>175</v>
      </c>
    </row>
    <row r="50" spans="1:22" s="7" customFormat="1" ht="65.5" customHeight="1" thickBot="1" x14ac:dyDescent="0.4">
      <c r="A50" s="638"/>
      <c r="B50" s="642"/>
      <c r="C50" s="643"/>
      <c r="D50" s="643"/>
      <c r="E50" s="644"/>
      <c r="F50" s="642"/>
      <c r="G50" s="643"/>
      <c r="H50" s="643"/>
      <c r="I50" s="643"/>
      <c r="J50" s="643"/>
      <c r="K50" s="644"/>
      <c r="L50" s="44" t="s">
        <v>172</v>
      </c>
      <c r="M50" s="43" t="s">
        <v>173</v>
      </c>
      <c r="N50" s="45" t="s">
        <v>174</v>
      </c>
      <c r="O50" s="642"/>
      <c r="P50" s="643"/>
      <c r="Q50" s="644"/>
      <c r="R50" s="47" t="s">
        <v>178</v>
      </c>
      <c r="S50" s="47" t="s">
        <v>179</v>
      </c>
      <c r="T50" s="672"/>
      <c r="U50" s="674"/>
      <c r="V50" s="676"/>
    </row>
    <row r="51" spans="1:22" s="130" customFormat="1" ht="14.5" customHeight="1" x14ac:dyDescent="0.35">
      <c r="A51" s="578">
        <v>1</v>
      </c>
      <c r="B51" s="736">
        <f>+'4. Contenido'!B8</f>
        <v>0</v>
      </c>
      <c r="C51" s="737"/>
      <c r="D51" s="737"/>
      <c r="E51" s="737"/>
      <c r="F51" s="738">
        <f>+'4. Contenido'!A9</f>
        <v>0</v>
      </c>
      <c r="G51" s="738"/>
      <c r="H51" s="738"/>
      <c r="I51" s="738"/>
      <c r="J51" s="738"/>
      <c r="K51" s="738"/>
      <c r="L51" s="739">
        <f>+'4. Contenido'!D9</f>
        <v>0</v>
      </c>
      <c r="M51" s="739">
        <f>+'4. Contenido'!E9</f>
        <v>0</v>
      </c>
      <c r="N51" s="739">
        <f>+'4. Contenido'!F9</f>
        <v>0</v>
      </c>
      <c r="O51" s="740">
        <f>+'4. Contenido'!C9</f>
        <v>0</v>
      </c>
      <c r="P51" s="680"/>
      <c r="Q51" s="681"/>
      <c r="R51" s="741">
        <f>+'4. Contenido'!G9</f>
        <v>0</v>
      </c>
      <c r="S51" s="741">
        <f>+'4. Contenido'!H9</f>
        <v>0</v>
      </c>
      <c r="T51" s="741">
        <f>+'4. Contenido'!I9</f>
        <v>0</v>
      </c>
      <c r="U51" s="741">
        <f>+'4. Contenido'!J9</f>
        <v>0</v>
      </c>
      <c r="V51" s="742">
        <f>+T51+U51</f>
        <v>0</v>
      </c>
    </row>
    <row r="52" spans="1:22" ht="14.5" customHeight="1" x14ac:dyDescent="0.25">
      <c r="A52" s="579"/>
      <c r="B52" s="743"/>
      <c r="C52" s="744"/>
      <c r="D52" s="744"/>
      <c r="E52" s="744"/>
      <c r="F52" s="745">
        <f>+'4. Contenido'!A10</f>
        <v>0</v>
      </c>
      <c r="G52" s="745"/>
      <c r="H52" s="745"/>
      <c r="I52" s="745"/>
      <c r="J52" s="745"/>
      <c r="K52" s="745"/>
      <c r="L52" s="746">
        <f>+'4. Contenido'!D10</f>
        <v>0</v>
      </c>
      <c r="M52" s="746">
        <f>+'4. Contenido'!E10</f>
        <v>0</v>
      </c>
      <c r="N52" s="746">
        <f>+'4. Contenido'!F10</f>
        <v>0</v>
      </c>
      <c r="O52" s="747"/>
      <c r="P52" s="683"/>
      <c r="Q52" s="684"/>
      <c r="R52" s="181">
        <f>+'4. Contenido'!G10</f>
        <v>0</v>
      </c>
      <c r="S52" s="181">
        <f>+'4. Contenido'!H10</f>
        <v>0</v>
      </c>
      <c r="T52" s="748">
        <f>+'4. Contenido'!I10</f>
        <v>0</v>
      </c>
      <c r="U52" s="748">
        <f>+'4. Contenido'!J10</f>
        <v>0</v>
      </c>
      <c r="V52" s="749">
        <f t="shared" ref="V52:V65" si="0">+T52+U52</f>
        <v>0</v>
      </c>
    </row>
    <row r="53" spans="1:22" ht="14.5" customHeight="1" x14ac:dyDescent="0.25">
      <c r="A53" s="579"/>
      <c r="B53" s="743"/>
      <c r="C53" s="744"/>
      <c r="D53" s="744"/>
      <c r="E53" s="744"/>
      <c r="F53" s="745">
        <f>+'4. Contenido'!A11</f>
        <v>0</v>
      </c>
      <c r="G53" s="745"/>
      <c r="H53" s="745"/>
      <c r="I53" s="745"/>
      <c r="J53" s="745"/>
      <c r="K53" s="745"/>
      <c r="L53" s="746">
        <f>+'4. Contenido'!D11</f>
        <v>0</v>
      </c>
      <c r="M53" s="746">
        <f>+'4. Contenido'!E11</f>
        <v>0</v>
      </c>
      <c r="N53" s="746">
        <f>+'4. Contenido'!F11</f>
        <v>0</v>
      </c>
      <c r="O53" s="747"/>
      <c r="P53" s="683"/>
      <c r="Q53" s="684"/>
      <c r="R53" s="181">
        <f>+'4. Contenido'!G11</f>
        <v>0</v>
      </c>
      <c r="S53" s="181">
        <f>+'4. Contenido'!H11</f>
        <v>0</v>
      </c>
      <c r="T53" s="748">
        <f>+'4. Contenido'!I11</f>
        <v>0</v>
      </c>
      <c r="U53" s="748">
        <f>+'4. Contenido'!J11</f>
        <v>0</v>
      </c>
      <c r="V53" s="749">
        <f t="shared" si="0"/>
        <v>0</v>
      </c>
    </row>
    <row r="54" spans="1:22" ht="14.5" customHeight="1" x14ac:dyDescent="0.25">
      <c r="A54" s="579"/>
      <c r="B54" s="743"/>
      <c r="C54" s="744"/>
      <c r="D54" s="744"/>
      <c r="E54" s="744"/>
      <c r="F54" s="745">
        <f>+'4. Contenido'!A12</f>
        <v>0</v>
      </c>
      <c r="G54" s="745"/>
      <c r="H54" s="745"/>
      <c r="I54" s="745"/>
      <c r="J54" s="745"/>
      <c r="K54" s="745"/>
      <c r="L54" s="746">
        <f>+'4. Contenido'!D12</f>
        <v>0</v>
      </c>
      <c r="M54" s="746">
        <f>+'4. Contenido'!E12</f>
        <v>0</v>
      </c>
      <c r="N54" s="746">
        <f>+'4. Contenido'!F12</f>
        <v>0</v>
      </c>
      <c r="O54" s="747"/>
      <c r="P54" s="683"/>
      <c r="Q54" s="684"/>
      <c r="R54" s="181">
        <f>+'4. Contenido'!G12</f>
        <v>0</v>
      </c>
      <c r="S54" s="181">
        <f>+'4. Contenido'!H12</f>
        <v>0</v>
      </c>
      <c r="T54" s="748">
        <f>+'4. Contenido'!I12</f>
        <v>0</v>
      </c>
      <c r="U54" s="748">
        <f>+'4. Contenido'!J12</f>
        <v>0</v>
      </c>
      <c r="V54" s="749">
        <f t="shared" ref="V54:V59" si="1">+T54+U54</f>
        <v>0</v>
      </c>
    </row>
    <row r="55" spans="1:22" ht="14.5" customHeight="1" x14ac:dyDescent="0.25">
      <c r="A55" s="579"/>
      <c r="B55" s="743"/>
      <c r="C55" s="744"/>
      <c r="D55" s="744"/>
      <c r="E55" s="744"/>
      <c r="F55" s="745">
        <f>+'4. Contenido'!A13</f>
        <v>0</v>
      </c>
      <c r="G55" s="745"/>
      <c r="H55" s="745"/>
      <c r="I55" s="745"/>
      <c r="J55" s="745"/>
      <c r="K55" s="745"/>
      <c r="L55" s="746">
        <f>+'4. Contenido'!D13</f>
        <v>0</v>
      </c>
      <c r="M55" s="746">
        <f>+'4. Contenido'!E13</f>
        <v>0</v>
      </c>
      <c r="N55" s="746">
        <f>+'4. Contenido'!F13</f>
        <v>0</v>
      </c>
      <c r="O55" s="747"/>
      <c r="P55" s="683"/>
      <c r="Q55" s="684"/>
      <c r="R55" s="181">
        <f>+'4. Contenido'!G13</f>
        <v>0</v>
      </c>
      <c r="S55" s="181">
        <f>+'4. Contenido'!H13</f>
        <v>0</v>
      </c>
      <c r="T55" s="748">
        <f>+'4. Contenido'!I13</f>
        <v>0</v>
      </c>
      <c r="U55" s="748">
        <f>+'4. Contenido'!J13</f>
        <v>0</v>
      </c>
      <c r="V55" s="749">
        <f t="shared" si="1"/>
        <v>0</v>
      </c>
    </row>
    <row r="56" spans="1:22" ht="14.5" customHeight="1" x14ac:dyDescent="0.25">
      <c r="A56" s="579"/>
      <c r="B56" s="743"/>
      <c r="C56" s="744"/>
      <c r="D56" s="744"/>
      <c r="E56" s="744"/>
      <c r="F56" s="745">
        <f>+'4. Contenido'!A14</f>
        <v>0</v>
      </c>
      <c r="G56" s="745"/>
      <c r="H56" s="745"/>
      <c r="I56" s="745"/>
      <c r="J56" s="745"/>
      <c r="K56" s="745"/>
      <c r="L56" s="746">
        <f>+'4. Contenido'!D14</f>
        <v>0</v>
      </c>
      <c r="M56" s="746">
        <f>+'4. Contenido'!E14</f>
        <v>0</v>
      </c>
      <c r="N56" s="746">
        <f>+'4. Contenido'!F14</f>
        <v>0</v>
      </c>
      <c r="O56" s="747"/>
      <c r="P56" s="683"/>
      <c r="Q56" s="684"/>
      <c r="R56" s="181">
        <f>+'4. Contenido'!G14</f>
        <v>0</v>
      </c>
      <c r="S56" s="181">
        <f>+'4. Contenido'!H14</f>
        <v>0</v>
      </c>
      <c r="T56" s="748">
        <f>+'4. Contenido'!I14</f>
        <v>0</v>
      </c>
      <c r="U56" s="748">
        <f>+'4. Contenido'!J14</f>
        <v>0</v>
      </c>
      <c r="V56" s="749">
        <f t="shared" si="1"/>
        <v>0</v>
      </c>
    </row>
    <row r="57" spans="1:22" ht="14.5" customHeight="1" x14ac:dyDescent="0.25">
      <c r="A57" s="579"/>
      <c r="B57" s="743"/>
      <c r="C57" s="744"/>
      <c r="D57" s="744"/>
      <c r="E57" s="744"/>
      <c r="F57" s="745">
        <f>+'4. Contenido'!A15</f>
        <v>0</v>
      </c>
      <c r="G57" s="745"/>
      <c r="H57" s="745"/>
      <c r="I57" s="745"/>
      <c r="J57" s="745"/>
      <c r="K57" s="745"/>
      <c r="L57" s="746">
        <f>+'4. Contenido'!D15</f>
        <v>0</v>
      </c>
      <c r="M57" s="746">
        <f>+'4. Contenido'!E15</f>
        <v>0</v>
      </c>
      <c r="N57" s="746">
        <f>+'4. Contenido'!F15</f>
        <v>0</v>
      </c>
      <c r="O57" s="747"/>
      <c r="P57" s="683"/>
      <c r="Q57" s="684"/>
      <c r="R57" s="181">
        <f>+'4. Contenido'!G15</f>
        <v>0</v>
      </c>
      <c r="S57" s="181">
        <f>+'4. Contenido'!H15</f>
        <v>0</v>
      </c>
      <c r="T57" s="748">
        <f>+'4. Contenido'!I15</f>
        <v>0</v>
      </c>
      <c r="U57" s="748">
        <f>+'4. Contenido'!J15</f>
        <v>0</v>
      </c>
      <c r="V57" s="749">
        <f t="shared" si="1"/>
        <v>0</v>
      </c>
    </row>
    <row r="58" spans="1:22" ht="14.5" customHeight="1" x14ac:dyDescent="0.25">
      <c r="A58" s="579"/>
      <c r="B58" s="743"/>
      <c r="C58" s="744"/>
      <c r="D58" s="744"/>
      <c r="E58" s="744"/>
      <c r="F58" s="745">
        <f>+'4. Contenido'!A16</f>
        <v>0</v>
      </c>
      <c r="G58" s="745"/>
      <c r="H58" s="745"/>
      <c r="I58" s="745"/>
      <c r="J58" s="745"/>
      <c r="K58" s="745"/>
      <c r="L58" s="746">
        <f>+'4. Contenido'!D16</f>
        <v>0</v>
      </c>
      <c r="M58" s="746">
        <f>+'4. Contenido'!E16</f>
        <v>0</v>
      </c>
      <c r="N58" s="746">
        <f>+'4. Contenido'!F16</f>
        <v>0</v>
      </c>
      <c r="O58" s="747"/>
      <c r="P58" s="683"/>
      <c r="Q58" s="684"/>
      <c r="R58" s="181">
        <f>+'4. Contenido'!G16</f>
        <v>0</v>
      </c>
      <c r="S58" s="181">
        <f>+'4. Contenido'!H16</f>
        <v>0</v>
      </c>
      <c r="T58" s="748">
        <f>+'4. Contenido'!I16</f>
        <v>0</v>
      </c>
      <c r="U58" s="748">
        <f>+'4. Contenido'!J16</f>
        <v>0</v>
      </c>
      <c r="V58" s="749">
        <f t="shared" si="1"/>
        <v>0</v>
      </c>
    </row>
    <row r="59" spans="1:22" ht="14.5" customHeight="1" x14ac:dyDescent="0.25">
      <c r="A59" s="579"/>
      <c r="B59" s="743"/>
      <c r="C59" s="744"/>
      <c r="D59" s="744"/>
      <c r="E59" s="744"/>
      <c r="F59" s="745">
        <f>+'4. Contenido'!A17</f>
        <v>0</v>
      </c>
      <c r="G59" s="745"/>
      <c r="H59" s="745"/>
      <c r="I59" s="745"/>
      <c r="J59" s="745"/>
      <c r="K59" s="745"/>
      <c r="L59" s="746">
        <f>+'4. Contenido'!D17</f>
        <v>0</v>
      </c>
      <c r="M59" s="746">
        <f>+'4. Contenido'!E17</f>
        <v>0</v>
      </c>
      <c r="N59" s="746">
        <f>+'4. Contenido'!F17</f>
        <v>0</v>
      </c>
      <c r="O59" s="747"/>
      <c r="P59" s="683"/>
      <c r="Q59" s="684"/>
      <c r="R59" s="181">
        <f>+'4. Contenido'!G17</f>
        <v>0</v>
      </c>
      <c r="S59" s="181">
        <f>+'4. Contenido'!H17</f>
        <v>0</v>
      </c>
      <c r="T59" s="748">
        <f>+'4. Contenido'!I17</f>
        <v>0</v>
      </c>
      <c r="U59" s="748">
        <f>+'4. Contenido'!J17</f>
        <v>0</v>
      </c>
      <c r="V59" s="749">
        <f t="shared" si="1"/>
        <v>0</v>
      </c>
    </row>
    <row r="60" spans="1:22" ht="14.5" customHeight="1" x14ac:dyDescent="0.25">
      <c r="A60" s="579"/>
      <c r="B60" s="743"/>
      <c r="C60" s="744"/>
      <c r="D60" s="744"/>
      <c r="E60" s="744"/>
      <c r="F60" s="745">
        <f>+'4. Contenido'!A18</f>
        <v>0</v>
      </c>
      <c r="G60" s="745"/>
      <c r="H60" s="745"/>
      <c r="I60" s="745"/>
      <c r="J60" s="745"/>
      <c r="K60" s="745"/>
      <c r="L60" s="746">
        <f>+'4. Contenido'!D18</f>
        <v>0</v>
      </c>
      <c r="M60" s="746">
        <f>+'4. Contenido'!E18</f>
        <v>0</v>
      </c>
      <c r="N60" s="746">
        <f>+'4. Contenido'!F18</f>
        <v>0</v>
      </c>
      <c r="O60" s="747"/>
      <c r="P60" s="683"/>
      <c r="Q60" s="684"/>
      <c r="R60" s="181">
        <f>+'4. Contenido'!G18</f>
        <v>0</v>
      </c>
      <c r="S60" s="181">
        <f>+'4. Contenido'!H18</f>
        <v>0</v>
      </c>
      <c r="T60" s="748">
        <f>+'4. Contenido'!I18</f>
        <v>0</v>
      </c>
      <c r="U60" s="748">
        <f>+'4. Contenido'!J18</f>
        <v>0</v>
      </c>
      <c r="V60" s="749">
        <f t="shared" si="0"/>
        <v>0</v>
      </c>
    </row>
    <row r="61" spans="1:22" ht="14.5" customHeight="1" x14ac:dyDescent="0.25">
      <c r="A61" s="579"/>
      <c r="B61" s="743"/>
      <c r="C61" s="744"/>
      <c r="D61" s="744"/>
      <c r="E61" s="744"/>
      <c r="F61" s="745">
        <f>+'4. Contenido'!A19</f>
        <v>0</v>
      </c>
      <c r="G61" s="745"/>
      <c r="H61" s="745"/>
      <c r="I61" s="745"/>
      <c r="J61" s="745"/>
      <c r="K61" s="745"/>
      <c r="L61" s="746">
        <f>+'4. Contenido'!D19</f>
        <v>0</v>
      </c>
      <c r="M61" s="746">
        <f>+'4. Contenido'!E19</f>
        <v>0</v>
      </c>
      <c r="N61" s="746">
        <f>+'4. Contenido'!F19</f>
        <v>0</v>
      </c>
      <c r="O61" s="747"/>
      <c r="P61" s="683"/>
      <c r="Q61" s="684"/>
      <c r="R61" s="181">
        <f>+'4. Contenido'!G19</f>
        <v>0</v>
      </c>
      <c r="S61" s="181">
        <f>+'4. Contenido'!H19</f>
        <v>0</v>
      </c>
      <c r="T61" s="748">
        <f>+'4. Contenido'!I19</f>
        <v>0</v>
      </c>
      <c r="U61" s="748">
        <f>+'4. Contenido'!J19</f>
        <v>0</v>
      </c>
      <c r="V61" s="749">
        <f t="shared" si="0"/>
        <v>0</v>
      </c>
    </row>
    <row r="62" spans="1:22" ht="14.5" customHeight="1" x14ac:dyDescent="0.25">
      <c r="A62" s="579"/>
      <c r="B62" s="743"/>
      <c r="C62" s="744"/>
      <c r="D62" s="744"/>
      <c r="E62" s="744"/>
      <c r="F62" s="745">
        <f>+'4. Contenido'!A20</f>
        <v>0</v>
      </c>
      <c r="G62" s="745"/>
      <c r="H62" s="745"/>
      <c r="I62" s="745"/>
      <c r="J62" s="745"/>
      <c r="K62" s="745"/>
      <c r="L62" s="746">
        <f>+'4. Contenido'!D20</f>
        <v>0</v>
      </c>
      <c r="M62" s="746">
        <f>+'4. Contenido'!E20</f>
        <v>0</v>
      </c>
      <c r="N62" s="746">
        <f>+'4. Contenido'!F20</f>
        <v>0</v>
      </c>
      <c r="O62" s="747"/>
      <c r="P62" s="683"/>
      <c r="Q62" s="684"/>
      <c r="R62" s="181">
        <f>+'4. Contenido'!G20</f>
        <v>0</v>
      </c>
      <c r="S62" s="181">
        <f>+'4. Contenido'!H20</f>
        <v>0</v>
      </c>
      <c r="T62" s="748">
        <f>+'4. Contenido'!I20</f>
        <v>0</v>
      </c>
      <c r="U62" s="748">
        <f>+'4. Contenido'!J20</f>
        <v>0</v>
      </c>
      <c r="V62" s="749">
        <f t="shared" si="0"/>
        <v>0</v>
      </c>
    </row>
    <row r="63" spans="1:22" ht="14.5" customHeight="1" x14ac:dyDescent="0.25">
      <c r="A63" s="579"/>
      <c r="B63" s="743"/>
      <c r="C63" s="744"/>
      <c r="D63" s="744"/>
      <c r="E63" s="744"/>
      <c r="F63" s="745">
        <f>+'4. Contenido'!A21</f>
        <v>0</v>
      </c>
      <c r="G63" s="745"/>
      <c r="H63" s="745"/>
      <c r="I63" s="745"/>
      <c r="J63" s="745"/>
      <c r="K63" s="745"/>
      <c r="L63" s="746">
        <f>+'4. Contenido'!D21</f>
        <v>0</v>
      </c>
      <c r="M63" s="746">
        <f>+'4. Contenido'!E21</f>
        <v>0</v>
      </c>
      <c r="N63" s="746">
        <f>+'4. Contenido'!F21</f>
        <v>0</v>
      </c>
      <c r="O63" s="747"/>
      <c r="P63" s="683"/>
      <c r="Q63" s="684"/>
      <c r="R63" s="181">
        <f>+'4. Contenido'!G21</f>
        <v>0</v>
      </c>
      <c r="S63" s="181">
        <f>+'4. Contenido'!H21</f>
        <v>0</v>
      </c>
      <c r="T63" s="748">
        <f>+'4. Contenido'!I21</f>
        <v>0</v>
      </c>
      <c r="U63" s="748">
        <f>+'4. Contenido'!J21</f>
        <v>0</v>
      </c>
      <c r="V63" s="749">
        <f t="shared" si="0"/>
        <v>0</v>
      </c>
    </row>
    <row r="64" spans="1:22" ht="14.5" customHeight="1" x14ac:dyDescent="0.25">
      <c r="A64" s="579"/>
      <c r="B64" s="743"/>
      <c r="C64" s="744"/>
      <c r="D64" s="744"/>
      <c r="E64" s="744"/>
      <c r="F64" s="745">
        <f>+'4. Contenido'!A22</f>
        <v>0</v>
      </c>
      <c r="G64" s="745"/>
      <c r="H64" s="745"/>
      <c r="I64" s="745"/>
      <c r="J64" s="745"/>
      <c r="K64" s="745"/>
      <c r="L64" s="746">
        <f>+'4. Contenido'!D22</f>
        <v>0</v>
      </c>
      <c r="M64" s="746">
        <f>+'4. Contenido'!E22</f>
        <v>0</v>
      </c>
      <c r="N64" s="746">
        <f>+'4. Contenido'!F22</f>
        <v>0</v>
      </c>
      <c r="O64" s="747"/>
      <c r="P64" s="683"/>
      <c r="Q64" s="684"/>
      <c r="R64" s="181">
        <f>+'4. Contenido'!G22</f>
        <v>0</v>
      </c>
      <c r="S64" s="181">
        <f>+'4. Contenido'!H22</f>
        <v>0</v>
      </c>
      <c r="T64" s="748">
        <f>+'4. Contenido'!I22</f>
        <v>0</v>
      </c>
      <c r="U64" s="748">
        <f>+'4. Contenido'!J22</f>
        <v>0</v>
      </c>
      <c r="V64" s="749">
        <f t="shared" si="0"/>
        <v>0</v>
      </c>
    </row>
    <row r="65" spans="1:22" ht="15" customHeight="1" thickBot="1" x14ac:dyDescent="0.3">
      <c r="A65" s="580"/>
      <c r="B65" s="750"/>
      <c r="C65" s="751"/>
      <c r="D65" s="751"/>
      <c r="E65" s="751"/>
      <c r="F65" s="752">
        <f>+'4. Contenido'!A23</f>
        <v>0</v>
      </c>
      <c r="G65" s="752"/>
      <c r="H65" s="752"/>
      <c r="I65" s="752"/>
      <c r="J65" s="752"/>
      <c r="K65" s="752"/>
      <c r="L65" s="753">
        <f>+'4. Contenido'!D23</f>
        <v>0</v>
      </c>
      <c r="M65" s="753">
        <f>+'4. Contenido'!E23</f>
        <v>0</v>
      </c>
      <c r="N65" s="753">
        <f>+'4. Contenido'!F23</f>
        <v>0</v>
      </c>
      <c r="O65" s="754"/>
      <c r="P65" s="686"/>
      <c r="Q65" s="687"/>
      <c r="R65" s="183">
        <f>+'4. Contenido'!G23</f>
        <v>0</v>
      </c>
      <c r="S65" s="183">
        <f>+'4. Contenido'!H23</f>
        <v>0</v>
      </c>
      <c r="T65" s="184">
        <f>+'4. Contenido'!I23</f>
        <v>0</v>
      </c>
      <c r="U65" s="184">
        <f>+'4. Contenido'!J23</f>
        <v>0</v>
      </c>
      <c r="V65" s="755">
        <f t="shared" si="0"/>
        <v>0</v>
      </c>
    </row>
    <row r="66" spans="1:22" ht="14.5" customHeight="1" x14ac:dyDescent="0.25">
      <c r="A66" s="756">
        <v>2</v>
      </c>
      <c r="B66" s="757">
        <f>+'4. Contenido'!B24</f>
        <v>0</v>
      </c>
      <c r="C66" s="758"/>
      <c r="D66" s="758"/>
      <c r="E66" s="759"/>
      <c r="F66" s="760">
        <f>+'4. Contenido'!A25</f>
        <v>0</v>
      </c>
      <c r="G66" s="760"/>
      <c r="H66" s="760"/>
      <c r="I66" s="760"/>
      <c r="J66" s="760"/>
      <c r="K66" s="760"/>
      <c r="L66" s="761">
        <f>+'4. Contenido'!D25</f>
        <v>0</v>
      </c>
      <c r="M66" s="761">
        <f>+'4. Contenido'!E25</f>
        <v>0</v>
      </c>
      <c r="N66" s="761">
        <f>+'4. Contenido'!F25</f>
        <v>0</v>
      </c>
      <c r="O66" s="682">
        <f>+'4. Contenido'!C25</f>
        <v>0</v>
      </c>
      <c r="P66" s="683"/>
      <c r="Q66" s="684"/>
      <c r="R66" s="762">
        <f>+'4. Contenido'!G25</f>
        <v>0</v>
      </c>
      <c r="S66" s="762">
        <f>+'4. Contenido'!H25</f>
        <v>0</v>
      </c>
      <c r="T66" s="763">
        <f>+'4. Contenido'!I25</f>
        <v>0</v>
      </c>
      <c r="U66" s="763">
        <f>+'4. Contenido'!J25</f>
        <v>0</v>
      </c>
      <c r="V66" s="764">
        <f>+T66+U66</f>
        <v>0</v>
      </c>
    </row>
    <row r="67" spans="1:22" x14ac:dyDescent="0.25">
      <c r="A67" s="579"/>
      <c r="B67" s="765"/>
      <c r="C67" s="766"/>
      <c r="D67" s="766"/>
      <c r="E67" s="767"/>
      <c r="F67" s="534">
        <f>+'4. Contenido'!A26</f>
        <v>0</v>
      </c>
      <c r="G67" s="534"/>
      <c r="H67" s="534"/>
      <c r="I67" s="534"/>
      <c r="J67" s="534"/>
      <c r="K67" s="534"/>
      <c r="L67" s="180">
        <f>+'4. Contenido'!D26</f>
        <v>0</v>
      </c>
      <c r="M67" s="180">
        <f>+'4. Contenido'!E26</f>
        <v>0</v>
      </c>
      <c r="N67" s="180">
        <f>+'4. Contenido'!F26</f>
        <v>0</v>
      </c>
      <c r="O67" s="682"/>
      <c r="P67" s="683"/>
      <c r="Q67" s="684"/>
      <c r="R67" s="181">
        <f>+'4. Contenido'!G26</f>
        <v>0</v>
      </c>
      <c r="S67" s="181">
        <f>+'4. Contenido'!H26</f>
        <v>0</v>
      </c>
      <c r="T67" s="748">
        <f>+'4. Contenido'!I26</f>
        <v>0</v>
      </c>
      <c r="U67" s="748">
        <f>+'4. Contenido'!J26</f>
        <v>0</v>
      </c>
      <c r="V67" s="764">
        <f t="shared" ref="V67:V130" si="2">+T67+U67</f>
        <v>0</v>
      </c>
    </row>
    <row r="68" spans="1:22" x14ac:dyDescent="0.25">
      <c r="A68" s="579"/>
      <c r="B68" s="765"/>
      <c r="C68" s="766"/>
      <c r="D68" s="766"/>
      <c r="E68" s="767"/>
      <c r="F68" s="534">
        <f>+'4. Contenido'!A27</f>
        <v>0</v>
      </c>
      <c r="G68" s="534"/>
      <c r="H68" s="534"/>
      <c r="I68" s="534"/>
      <c r="J68" s="534"/>
      <c r="K68" s="534"/>
      <c r="L68" s="180">
        <f>+'4. Contenido'!D27</f>
        <v>0</v>
      </c>
      <c r="M68" s="180">
        <f>+'4. Contenido'!E27</f>
        <v>0</v>
      </c>
      <c r="N68" s="180">
        <f>+'4. Contenido'!F27</f>
        <v>0</v>
      </c>
      <c r="O68" s="682"/>
      <c r="P68" s="683"/>
      <c r="Q68" s="684"/>
      <c r="R68" s="181">
        <f>+'4. Contenido'!G27</f>
        <v>0</v>
      </c>
      <c r="S68" s="181">
        <f>+'4. Contenido'!H27</f>
        <v>0</v>
      </c>
      <c r="T68" s="748">
        <f>+'4. Contenido'!I27</f>
        <v>0</v>
      </c>
      <c r="U68" s="748">
        <f>+'4. Contenido'!J27</f>
        <v>0</v>
      </c>
      <c r="V68" s="764">
        <f t="shared" si="2"/>
        <v>0</v>
      </c>
    </row>
    <row r="69" spans="1:22" x14ac:dyDescent="0.25">
      <c r="A69" s="579"/>
      <c r="B69" s="765"/>
      <c r="C69" s="766"/>
      <c r="D69" s="766"/>
      <c r="E69" s="767"/>
      <c r="F69" s="534">
        <f>+'4. Contenido'!A28</f>
        <v>0</v>
      </c>
      <c r="G69" s="534"/>
      <c r="H69" s="534"/>
      <c r="I69" s="534"/>
      <c r="J69" s="534"/>
      <c r="K69" s="534"/>
      <c r="L69" s="180">
        <f>+'4. Contenido'!D28</f>
        <v>0</v>
      </c>
      <c r="M69" s="180">
        <f>+'4. Contenido'!E28</f>
        <v>0</v>
      </c>
      <c r="N69" s="180">
        <f>+'4. Contenido'!F28</f>
        <v>0</v>
      </c>
      <c r="O69" s="682"/>
      <c r="P69" s="683"/>
      <c r="Q69" s="684"/>
      <c r="R69" s="181">
        <f>+'4. Contenido'!G28</f>
        <v>0</v>
      </c>
      <c r="S69" s="181">
        <f>+'4. Contenido'!H28</f>
        <v>0</v>
      </c>
      <c r="T69" s="748">
        <f>+'4. Contenido'!I28</f>
        <v>0</v>
      </c>
      <c r="U69" s="748">
        <f>+'4. Contenido'!J28</f>
        <v>0</v>
      </c>
      <c r="V69" s="764">
        <f t="shared" si="2"/>
        <v>0</v>
      </c>
    </row>
    <row r="70" spans="1:22" x14ac:dyDescent="0.25">
      <c r="A70" s="579"/>
      <c r="B70" s="765"/>
      <c r="C70" s="766"/>
      <c r="D70" s="766"/>
      <c r="E70" s="767"/>
      <c r="F70" s="534">
        <f>+'4. Contenido'!A29</f>
        <v>0</v>
      </c>
      <c r="G70" s="534"/>
      <c r="H70" s="534"/>
      <c r="I70" s="534"/>
      <c r="J70" s="534"/>
      <c r="K70" s="534"/>
      <c r="L70" s="180">
        <f>+'4. Contenido'!D29</f>
        <v>0</v>
      </c>
      <c r="M70" s="180">
        <f>+'4. Contenido'!E29</f>
        <v>0</v>
      </c>
      <c r="N70" s="180">
        <f>+'4. Contenido'!F29</f>
        <v>0</v>
      </c>
      <c r="O70" s="682"/>
      <c r="P70" s="683"/>
      <c r="Q70" s="684"/>
      <c r="R70" s="181">
        <f>+'4. Contenido'!G29</f>
        <v>0</v>
      </c>
      <c r="S70" s="181">
        <f>+'4. Contenido'!H29</f>
        <v>0</v>
      </c>
      <c r="T70" s="748">
        <f>+'4. Contenido'!I29</f>
        <v>0</v>
      </c>
      <c r="U70" s="748">
        <f>+'4. Contenido'!J29</f>
        <v>0</v>
      </c>
      <c r="V70" s="764">
        <f t="shared" si="2"/>
        <v>0</v>
      </c>
    </row>
    <row r="71" spans="1:22" x14ac:dyDescent="0.25">
      <c r="A71" s="579"/>
      <c r="B71" s="765"/>
      <c r="C71" s="766"/>
      <c r="D71" s="766"/>
      <c r="E71" s="767"/>
      <c r="F71" s="534">
        <f>+'4. Contenido'!A30</f>
        <v>0</v>
      </c>
      <c r="G71" s="534"/>
      <c r="H71" s="534"/>
      <c r="I71" s="534"/>
      <c r="J71" s="534"/>
      <c r="K71" s="534"/>
      <c r="L71" s="180">
        <f>+'4. Contenido'!D30</f>
        <v>0</v>
      </c>
      <c r="M71" s="180">
        <f>+'4. Contenido'!E30</f>
        <v>0</v>
      </c>
      <c r="N71" s="180">
        <f>+'4. Contenido'!F30</f>
        <v>0</v>
      </c>
      <c r="O71" s="682"/>
      <c r="P71" s="683"/>
      <c r="Q71" s="684"/>
      <c r="R71" s="181">
        <f>+'4. Contenido'!G30</f>
        <v>0</v>
      </c>
      <c r="S71" s="181">
        <f>+'4. Contenido'!H30</f>
        <v>0</v>
      </c>
      <c r="T71" s="748">
        <f>+'4. Contenido'!I30</f>
        <v>0</v>
      </c>
      <c r="U71" s="748">
        <f>+'4. Contenido'!J30</f>
        <v>0</v>
      </c>
      <c r="V71" s="764">
        <f t="shared" si="2"/>
        <v>0</v>
      </c>
    </row>
    <row r="72" spans="1:22" x14ac:dyDescent="0.25">
      <c r="A72" s="579"/>
      <c r="B72" s="765"/>
      <c r="C72" s="766"/>
      <c r="D72" s="766"/>
      <c r="E72" s="767"/>
      <c r="F72" s="534">
        <f>+'4. Contenido'!A31</f>
        <v>0</v>
      </c>
      <c r="G72" s="534"/>
      <c r="H72" s="534"/>
      <c r="I72" s="534"/>
      <c r="J72" s="534"/>
      <c r="K72" s="534"/>
      <c r="L72" s="180">
        <f>+'4. Contenido'!D31</f>
        <v>0</v>
      </c>
      <c r="M72" s="180">
        <f>+'4. Contenido'!E31</f>
        <v>0</v>
      </c>
      <c r="N72" s="180">
        <f>+'4. Contenido'!F31</f>
        <v>0</v>
      </c>
      <c r="O72" s="682"/>
      <c r="P72" s="683"/>
      <c r="Q72" s="684"/>
      <c r="R72" s="181">
        <f>+'4. Contenido'!G31</f>
        <v>0</v>
      </c>
      <c r="S72" s="181">
        <f>+'4. Contenido'!H31</f>
        <v>0</v>
      </c>
      <c r="T72" s="748">
        <f>+'4. Contenido'!I31</f>
        <v>0</v>
      </c>
      <c r="U72" s="748">
        <f>+'4. Contenido'!J31</f>
        <v>0</v>
      </c>
      <c r="V72" s="764">
        <f t="shared" si="2"/>
        <v>0</v>
      </c>
    </row>
    <row r="73" spans="1:22" x14ac:dyDescent="0.25">
      <c r="A73" s="579"/>
      <c r="B73" s="765"/>
      <c r="C73" s="766"/>
      <c r="D73" s="766"/>
      <c r="E73" s="767"/>
      <c r="F73" s="534">
        <f>+'4. Contenido'!A32</f>
        <v>0</v>
      </c>
      <c r="G73" s="534"/>
      <c r="H73" s="534"/>
      <c r="I73" s="534"/>
      <c r="J73" s="534"/>
      <c r="K73" s="534"/>
      <c r="L73" s="180">
        <f>+'4. Contenido'!D32</f>
        <v>0</v>
      </c>
      <c r="M73" s="180">
        <f>+'4. Contenido'!E32</f>
        <v>0</v>
      </c>
      <c r="N73" s="180">
        <f>+'4. Contenido'!F32</f>
        <v>0</v>
      </c>
      <c r="O73" s="682"/>
      <c r="P73" s="683"/>
      <c r="Q73" s="684"/>
      <c r="R73" s="181">
        <f>+'4. Contenido'!G32</f>
        <v>0</v>
      </c>
      <c r="S73" s="181">
        <f>+'4. Contenido'!H32</f>
        <v>0</v>
      </c>
      <c r="T73" s="748">
        <f>+'4. Contenido'!I32</f>
        <v>0</v>
      </c>
      <c r="U73" s="748">
        <f>+'4. Contenido'!J32</f>
        <v>0</v>
      </c>
      <c r="V73" s="764">
        <f t="shared" si="2"/>
        <v>0</v>
      </c>
    </row>
    <row r="74" spans="1:22" x14ac:dyDescent="0.25">
      <c r="A74" s="579"/>
      <c r="B74" s="765"/>
      <c r="C74" s="766"/>
      <c r="D74" s="766"/>
      <c r="E74" s="767"/>
      <c r="F74" s="534">
        <f>+'4. Contenido'!A33</f>
        <v>0</v>
      </c>
      <c r="G74" s="534"/>
      <c r="H74" s="534"/>
      <c r="I74" s="534"/>
      <c r="J74" s="534"/>
      <c r="K74" s="534"/>
      <c r="L74" s="180">
        <f>+'4. Contenido'!D33</f>
        <v>0</v>
      </c>
      <c r="M74" s="180">
        <f>+'4. Contenido'!E33</f>
        <v>0</v>
      </c>
      <c r="N74" s="180">
        <f>+'4. Contenido'!F33</f>
        <v>0</v>
      </c>
      <c r="O74" s="682"/>
      <c r="P74" s="683"/>
      <c r="Q74" s="684"/>
      <c r="R74" s="181">
        <f>+'4. Contenido'!G33</f>
        <v>0</v>
      </c>
      <c r="S74" s="181">
        <f>+'4. Contenido'!H33</f>
        <v>0</v>
      </c>
      <c r="T74" s="748">
        <f>+'4. Contenido'!I33</f>
        <v>0</v>
      </c>
      <c r="U74" s="748">
        <f>+'4. Contenido'!J33</f>
        <v>0</v>
      </c>
      <c r="V74" s="764">
        <f t="shared" si="2"/>
        <v>0</v>
      </c>
    </row>
    <row r="75" spans="1:22" x14ac:dyDescent="0.25">
      <c r="A75" s="579"/>
      <c r="B75" s="765"/>
      <c r="C75" s="766"/>
      <c r="D75" s="766"/>
      <c r="E75" s="767"/>
      <c r="F75" s="534">
        <f>+'4. Contenido'!A34</f>
        <v>0</v>
      </c>
      <c r="G75" s="534"/>
      <c r="H75" s="534"/>
      <c r="I75" s="534"/>
      <c r="J75" s="534"/>
      <c r="K75" s="534"/>
      <c r="L75" s="180">
        <f>+'4. Contenido'!D34</f>
        <v>0</v>
      </c>
      <c r="M75" s="180">
        <f>+'4. Contenido'!E34</f>
        <v>0</v>
      </c>
      <c r="N75" s="180">
        <f>+'4. Contenido'!F34</f>
        <v>0</v>
      </c>
      <c r="O75" s="682"/>
      <c r="P75" s="683"/>
      <c r="Q75" s="684"/>
      <c r="R75" s="181">
        <f>+'4. Contenido'!G34</f>
        <v>0</v>
      </c>
      <c r="S75" s="181">
        <f>+'4. Contenido'!H34</f>
        <v>0</v>
      </c>
      <c r="T75" s="748">
        <f>+'4. Contenido'!I34</f>
        <v>0</v>
      </c>
      <c r="U75" s="748">
        <f>+'4. Contenido'!J34</f>
        <v>0</v>
      </c>
      <c r="V75" s="764">
        <f t="shared" si="2"/>
        <v>0</v>
      </c>
    </row>
    <row r="76" spans="1:22" x14ac:dyDescent="0.25">
      <c r="A76" s="579"/>
      <c r="B76" s="765"/>
      <c r="C76" s="766"/>
      <c r="D76" s="766"/>
      <c r="E76" s="767"/>
      <c r="F76" s="534">
        <f>+'4. Contenido'!A35</f>
        <v>0</v>
      </c>
      <c r="G76" s="534"/>
      <c r="H76" s="534"/>
      <c r="I76" s="534"/>
      <c r="J76" s="534"/>
      <c r="K76" s="534"/>
      <c r="L76" s="180">
        <f>+'4. Contenido'!D35</f>
        <v>0</v>
      </c>
      <c r="M76" s="180">
        <f>+'4. Contenido'!E35</f>
        <v>0</v>
      </c>
      <c r="N76" s="180">
        <f>+'4. Contenido'!F35</f>
        <v>0</v>
      </c>
      <c r="O76" s="682"/>
      <c r="P76" s="683"/>
      <c r="Q76" s="684"/>
      <c r="R76" s="181">
        <f>+'4. Contenido'!G35</f>
        <v>0</v>
      </c>
      <c r="S76" s="181">
        <f>+'4. Contenido'!H35</f>
        <v>0</v>
      </c>
      <c r="T76" s="748">
        <f>+'4. Contenido'!I35</f>
        <v>0</v>
      </c>
      <c r="U76" s="748">
        <f>+'4. Contenido'!J35</f>
        <v>0</v>
      </c>
      <c r="V76" s="764">
        <f t="shared" si="2"/>
        <v>0</v>
      </c>
    </row>
    <row r="77" spans="1:22" x14ac:dyDescent="0.25">
      <c r="A77" s="579"/>
      <c r="B77" s="765"/>
      <c r="C77" s="766"/>
      <c r="D77" s="766"/>
      <c r="E77" s="767"/>
      <c r="F77" s="534">
        <f>+'4. Contenido'!A36</f>
        <v>0</v>
      </c>
      <c r="G77" s="534"/>
      <c r="H77" s="534"/>
      <c r="I77" s="534"/>
      <c r="J77" s="534"/>
      <c r="K77" s="534"/>
      <c r="L77" s="180">
        <f>+'4. Contenido'!D36</f>
        <v>0</v>
      </c>
      <c r="M77" s="180">
        <f>+'4. Contenido'!E36</f>
        <v>0</v>
      </c>
      <c r="N77" s="180">
        <f>+'4. Contenido'!F36</f>
        <v>0</v>
      </c>
      <c r="O77" s="682"/>
      <c r="P77" s="683"/>
      <c r="Q77" s="684"/>
      <c r="R77" s="181">
        <f>+'4. Contenido'!G36</f>
        <v>0</v>
      </c>
      <c r="S77" s="181">
        <f>+'4. Contenido'!H36</f>
        <v>0</v>
      </c>
      <c r="T77" s="748">
        <f>+'4. Contenido'!I36</f>
        <v>0</v>
      </c>
      <c r="U77" s="748">
        <f>+'4. Contenido'!J36</f>
        <v>0</v>
      </c>
      <c r="V77" s="764">
        <f t="shared" si="2"/>
        <v>0</v>
      </c>
    </row>
    <row r="78" spans="1:22" x14ac:dyDescent="0.25">
      <c r="A78" s="579"/>
      <c r="B78" s="765"/>
      <c r="C78" s="766"/>
      <c r="D78" s="766"/>
      <c r="E78" s="767"/>
      <c r="F78" s="534">
        <f>+'4. Contenido'!A37</f>
        <v>0</v>
      </c>
      <c r="G78" s="534"/>
      <c r="H78" s="534"/>
      <c r="I78" s="534"/>
      <c r="J78" s="534"/>
      <c r="K78" s="534"/>
      <c r="L78" s="180">
        <f>+'4. Contenido'!D37</f>
        <v>0</v>
      </c>
      <c r="M78" s="180">
        <f>+'4. Contenido'!E37</f>
        <v>0</v>
      </c>
      <c r="N78" s="180">
        <f>+'4. Contenido'!F37</f>
        <v>0</v>
      </c>
      <c r="O78" s="682"/>
      <c r="P78" s="683"/>
      <c r="Q78" s="684"/>
      <c r="R78" s="181">
        <f>+'4. Contenido'!G37</f>
        <v>0</v>
      </c>
      <c r="S78" s="181">
        <f>+'4. Contenido'!H37</f>
        <v>0</v>
      </c>
      <c r="T78" s="748">
        <f>+'4. Contenido'!I37</f>
        <v>0</v>
      </c>
      <c r="U78" s="748">
        <f>+'4. Contenido'!J37</f>
        <v>0</v>
      </c>
      <c r="V78" s="764">
        <f t="shared" si="2"/>
        <v>0</v>
      </c>
    </row>
    <row r="79" spans="1:22" x14ac:dyDescent="0.25">
      <c r="A79" s="579"/>
      <c r="B79" s="765"/>
      <c r="C79" s="766"/>
      <c r="D79" s="766"/>
      <c r="E79" s="767"/>
      <c r="F79" s="534">
        <f>+'4. Contenido'!A38</f>
        <v>0</v>
      </c>
      <c r="G79" s="534"/>
      <c r="H79" s="534"/>
      <c r="I79" s="534"/>
      <c r="J79" s="534"/>
      <c r="K79" s="534"/>
      <c r="L79" s="180">
        <f>+'4. Contenido'!D38</f>
        <v>0</v>
      </c>
      <c r="M79" s="180">
        <f>+'4. Contenido'!E38</f>
        <v>0</v>
      </c>
      <c r="N79" s="180">
        <f>+'4. Contenido'!F38</f>
        <v>0</v>
      </c>
      <c r="O79" s="682"/>
      <c r="P79" s="683"/>
      <c r="Q79" s="684"/>
      <c r="R79" s="181">
        <f>+'4. Contenido'!G38</f>
        <v>0</v>
      </c>
      <c r="S79" s="181">
        <f>+'4. Contenido'!H38</f>
        <v>0</v>
      </c>
      <c r="T79" s="748">
        <f>+'4. Contenido'!I38</f>
        <v>0</v>
      </c>
      <c r="U79" s="748">
        <f>+'4. Contenido'!J38</f>
        <v>0</v>
      </c>
      <c r="V79" s="764">
        <f t="shared" si="2"/>
        <v>0</v>
      </c>
    </row>
    <row r="80" spans="1:22" ht="12" thickBot="1" x14ac:dyDescent="0.3">
      <c r="A80" s="580"/>
      <c r="B80" s="768"/>
      <c r="C80" s="769"/>
      <c r="D80" s="769"/>
      <c r="E80" s="770"/>
      <c r="F80" s="587">
        <f>+'4. Contenido'!A39</f>
        <v>0</v>
      </c>
      <c r="G80" s="587"/>
      <c r="H80" s="587"/>
      <c r="I80" s="587"/>
      <c r="J80" s="587"/>
      <c r="K80" s="587"/>
      <c r="L80" s="182">
        <f>+'4. Contenido'!D39</f>
        <v>0</v>
      </c>
      <c r="M80" s="182">
        <f>+'4. Contenido'!E39</f>
        <v>0</v>
      </c>
      <c r="N80" s="182">
        <f>+'4. Contenido'!F39</f>
        <v>0</v>
      </c>
      <c r="O80" s="685"/>
      <c r="P80" s="686"/>
      <c r="Q80" s="687"/>
      <c r="R80" s="183">
        <f>+'4. Contenido'!G39</f>
        <v>0</v>
      </c>
      <c r="S80" s="183">
        <f>+'4. Contenido'!H39</f>
        <v>0</v>
      </c>
      <c r="T80" s="184">
        <f>+'4. Contenido'!I39</f>
        <v>0</v>
      </c>
      <c r="U80" s="184">
        <f>+'4. Contenido'!J39</f>
        <v>0</v>
      </c>
      <c r="V80" s="764">
        <f t="shared" si="2"/>
        <v>0</v>
      </c>
    </row>
    <row r="81" spans="1:22" ht="14.5" customHeight="1" x14ac:dyDescent="0.25">
      <c r="A81" s="578">
        <v>3</v>
      </c>
      <c r="B81" s="581">
        <f>+'4. Contenido'!B40</f>
        <v>0</v>
      </c>
      <c r="C81" s="582"/>
      <c r="D81" s="582"/>
      <c r="E81" s="582"/>
      <c r="F81" s="577">
        <f>+'4. Contenido'!A41</f>
        <v>0</v>
      </c>
      <c r="G81" s="577"/>
      <c r="H81" s="577"/>
      <c r="I81" s="577"/>
      <c r="J81" s="577"/>
      <c r="K81" s="577"/>
      <c r="L81" s="178">
        <f>+'4. Contenido'!D41</f>
        <v>0</v>
      </c>
      <c r="M81" s="178">
        <f>+'4. Contenido'!E41</f>
        <v>0</v>
      </c>
      <c r="N81" s="178">
        <f>+'4. Contenido'!F41</f>
        <v>0</v>
      </c>
      <c r="O81" s="679">
        <f>+'4. Contenido'!C41</f>
        <v>0</v>
      </c>
      <c r="P81" s="680"/>
      <c r="Q81" s="681"/>
      <c r="R81" s="179">
        <f>+'4. Contenido'!G41</f>
        <v>0</v>
      </c>
      <c r="S81" s="179">
        <f>+'4. Contenido'!H41</f>
        <v>0</v>
      </c>
      <c r="T81" s="179">
        <f>+'4. Contenido'!I41</f>
        <v>0</v>
      </c>
      <c r="U81" s="179">
        <f>+'4. Contenido'!J41</f>
        <v>0</v>
      </c>
      <c r="V81" s="764">
        <f t="shared" si="2"/>
        <v>0</v>
      </c>
    </row>
    <row r="82" spans="1:22" x14ac:dyDescent="0.25">
      <c r="A82" s="579"/>
      <c r="B82" s="583"/>
      <c r="C82" s="584"/>
      <c r="D82" s="584"/>
      <c r="E82" s="584"/>
      <c r="F82" s="534">
        <f>+'4. Contenido'!A42</f>
        <v>0</v>
      </c>
      <c r="G82" s="534"/>
      <c r="H82" s="534"/>
      <c r="I82" s="534"/>
      <c r="J82" s="534"/>
      <c r="K82" s="534"/>
      <c r="L82" s="180">
        <f>+'4. Contenido'!D42</f>
        <v>0</v>
      </c>
      <c r="M82" s="180">
        <f>+'4. Contenido'!E42</f>
        <v>0</v>
      </c>
      <c r="N82" s="180">
        <f>+'4. Contenido'!F42</f>
        <v>0</v>
      </c>
      <c r="O82" s="682"/>
      <c r="P82" s="683"/>
      <c r="Q82" s="684"/>
      <c r="R82" s="181">
        <f>+'4. Contenido'!G42</f>
        <v>0</v>
      </c>
      <c r="S82" s="181">
        <f>+'4. Contenido'!H42</f>
        <v>0</v>
      </c>
      <c r="T82" s="181">
        <f>+'4. Contenido'!I42</f>
        <v>0</v>
      </c>
      <c r="U82" s="181">
        <f>+'4. Contenido'!J42</f>
        <v>0</v>
      </c>
      <c r="V82" s="764">
        <f t="shared" si="2"/>
        <v>0</v>
      </c>
    </row>
    <row r="83" spans="1:22" x14ac:dyDescent="0.25">
      <c r="A83" s="579"/>
      <c r="B83" s="583"/>
      <c r="C83" s="584"/>
      <c r="D83" s="584"/>
      <c r="E83" s="584"/>
      <c r="F83" s="534">
        <f>+'4. Contenido'!A43</f>
        <v>0</v>
      </c>
      <c r="G83" s="534"/>
      <c r="H83" s="534"/>
      <c r="I83" s="534"/>
      <c r="J83" s="534"/>
      <c r="K83" s="534"/>
      <c r="L83" s="180">
        <f>+'4. Contenido'!D43</f>
        <v>0</v>
      </c>
      <c r="M83" s="180">
        <f>+'4. Contenido'!E43</f>
        <v>0</v>
      </c>
      <c r="N83" s="180">
        <f>+'4. Contenido'!F43</f>
        <v>0</v>
      </c>
      <c r="O83" s="682"/>
      <c r="P83" s="683"/>
      <c r="Q83" s="684"/>
      <c r="R83" s="181">
        <f>+'4. Contenido'!G43</f>
        <v>0</v>
      </c>
      <c r="S83" s="181">
        <f>+'4. Contenido'!H43</f>
        <v>0</v>
      </c>
      <c r="T83" s="181">
        <f>+'4. Contenido'!I43</f>
        <v>0</v>
      </c>
      <c r="U83" s="181">
        <f>+'4. Contenido'!J43</f>
        <v>0</v>
      </c>
      <c r="V83" s="764">
        <f t="shared" si="2"/>
        <v>0</v>
      </c>
    </row>
    <row r="84" spans="1:22" x14ac:dyDescent="0.25">
      <c r="A84" s="579"/>
      <c r="B84" s="583"/>
      <c r="C84" s="584"/>
      <c r="D84" s="584"/>
      <c r="E84" s="584"/>
      <c r="F84" s="534">
        <f>+'4. Contenido'!A44</f>
        <v>0</v>
      </c>
      <c r="G84" s="534"/>
      <c r="H84" s="534"/>
      <c r="I84" s="534"/>
      <c r="J84" s="534"/>
      <c r="K84" s="534"/>
      <c r="L84" s="180">
        <f>+'4. Contenido'!D44</f>
        <v>0</v>
      </c>
      <c r="M84" s="180">
        <f>+'4. Contenido'!E44</f>
        <v>0</v>
      </c>
      <c r="N84" s="180">
        <f>+'4. Contenido'!F44</f>
        <v>0</v>
      </c>
      <c r="O84" s="682"/>
      <c r="P84" s="683"/>
      <c r="Q84" s="684"/>
      <c r="R84" s="181">
        <f>+'4. Contenido'!G44</f>
        <v>0</v>
      </c>
      <c r="S84" s="181">
        <f>+'4. Contenido'!H44</f>
        <v>0</v>
      </c>
      <c r="T84" s="181">
        <f>+'4. Contenido'!I44</f>
        <v>0</v>
      </c>
      <c r="U84" s="181">
        <f>+'4. Contenido'!J44</f>
        <v>0</v>
      </c>
      <c r="V84" s="764">
        <f t="shared" si="2"/>
        <v>0</v>
      </c>
    </row>
    <row r="85" spans="1:22" x14ac:dyDescent="0.25">
      <c r="A85" s="579"/>
      <c r="B85" s="583"/>
      <c r="C85" s="584"/>
      <c r="D85" s="584"/>
      <c r="E85" s="584"/>
      <c r="F85" s="534">
        <f>+'4. Contenido'!A45</f>
        <v>0</v>
      </c>
      <c r="G85" s="534"/>
      <c r="H85" s="534"/>
      <c r="I85" s="534"/>
      <c r="J85" s="534"/>
      <c r="K85" s="534"/>
      <c r="L85" s="180">
        <f>+'4. Contenido'!D45</f>
        <v>0</v>
      </c>
      <c r="M85" s="180">
        <f>+'4. Contenido'!E45</f>
        <v>0</v>
      </c>
      <c r="N85" s="180">
        <f>+'4. Contenido'!F45</f>
        <v>0</v>
      </c>
      <c r="O85" s="682"/>
      <c r="P85" s="683"/>
      <c r="Q85" s="684"/>
      <c r="R85" s="181">
        <f>+'4. Contenido'!G45</f>
        <v>0</v>
      </c>
      <c r="S85" s="181">
        <f>+'4. Contenido'!H45</f>
        <v>0</v>
      </c>
      <c r="T85" s="181">
        <f>+'4. Contenido'!I45</f>
        <v>0</v>
      </c>
      <c r="U85" s="181">
        <f>+'4. Contenido'!J45</f>
        <v>0</v>
      </c>
      <c r="V85" s="764">
        <f t="shared" si="2"/>
        <v>0</v>
      </c>
    </row>
    <row r="86" spans="1:22" x14ac:dyDescent="0.25">
      <c r="A86" s="579"/>
      <c r="B86" s="583"/>
      <c r="C86" s="584"/>
      <c r="D86" s="584"/>
      <c r="E86" s="584"/>
      <c r="F86" s="534">
        <f>+'4. Contenido'!A46</f>
        <v>0</v>
      </c>
      <c r="G86" s="534"/>
      <c r="H86" s="534"/>
      <c r="I86" s="534"/>
      <c r="J86" s="534"/>
      <c r="K86" s="534"/>
      <c r="L86" s="180">
        <f>+'4. Contenido'!D46</f>
        <v>0</v>
      </c>
      <c r="M86" s="180">
        <f>+'4. Contenido'!E46</f>
        <v>0</v>
      </c>
      <c r="N86" s="180">
        <f>+'4. Contenido'!F46</f>
        <v>0</v>
      </c>
      <c r="O86" s="682"/>
      <c r="P86" s="683"/>
      <c r="Q86" s="684"/>
      <c r="R86" s="181">
        <f>+'4. Contenido'!G46</f>
        <v>0</v>
      </c>
      <c r="S86" s="181">
        <f>+'4. Contenido'!H46</f>
        <v>0</v>
      </c>
      <c r="T86" s="181">
        <f>+'4. Contenido'!I46</f>
        <v>0</v>
      </c>
      <c r="U86" s="181">
        <f>+'4. Contenido'!J46</f>
        <v>0</v>
      </c>
      <c r="V86" s="764">
        <f t="shared" si="2"/>
        <v>0</v>
      </c>
    </row>
    <row r="87" spans="1:22" x14ac:dyDescent="0.25">
      <c r="A87" s="579"/>
      <c r="B87" s="583"/>
      <c r="C87" s="584"/>
      <c r="D87" s="584"/>
      <c r="E87" s="584"/>
      <c r="F87" s="534">
        <f>+'4. Contenido'!A47</f>
        <v>0</v>
      </c>
      <c r="G87" s="534"/>
      <c r="H87" s="534"/>
      <c r="I87" s="534"/>
      <c r="J87" s="534"/>
      <c r="K87" s="534"/>
      <c r="L87" s="180">
        <f>+'4. Contenido'!D47</f>
        <v>0</v>
      </c>
      <c r="M87" s="180">
        <f>+'4. Contenido'!E47</f>
        <v>0</v>
      </c>
      <c r="N87" s="180">
        <f>+'4. Contenido'!F47</f>
        <v>0</v>
      </c>
      <c r="O87" s="682"/>
      <c r="P87" s="683"/>
      <c r="Q87" s="684"/>
      <c r="R87" s="181">
        <f>+'4. Contenido'!G47</f>
        <v>0</v>
      </c>
      <c r="S87" s="181">
        <f>+'4. Contenido'!H47</f>
        <v>0</v>
      </c>
      <c r="T87" s="181">
        <f>+'4. Contenido'!I47</f>
        <v>0</v>
      </c>
      <c r="U87" s="181">
        <f>+'4. Contenido'!J47</f>
        <v>0</v>
      </c>
      <c r="V87" s="764">
        <f t="shared" si="2"/>
        <v>0</v>
      </c>
    </row>
    <row r="88" spans="1:22" x14ac:dyDescent="0.25">
      <c r="A88" s="579"/>
      <c r="B88" s="583"/>
      <c r="C88" s="584"/>
      <c r="D88" s="584"/>
      <c r="E88" s="584"/>
      <c r="F88" s="534">
        <f>+'4. Contenido'!A48</f>
        <v>0</v>
      </c>
      <c r="G88" s="534"/>
      <c r="H88" s="534"/>
      <c r="I88" s="534"/>
      <c r="J88" s="534"/>
      <c r="K88" s="534"/>
      <c r="L88" s="180">
        <f>+'4. Contenido'!D48</f>
        <v>0</v>
      </c>
      <c r="M88" s="180">
        <f>+'4. Contenido'!E48</f>
        <v>0</v>
      </c>
      <c r="N88" s="180">
        <f>+'4. Contenido'!F48</f>
        <v>0</v>
      </c>
      <c r="O88" s="682"/>
      <c r="P88" s="683"/>
      <c r="Q88" s="684"/>
      <c r="R88" s="181">
        <f>+'4. Contenido'!G48</f>
        <v>0</v>
      </c>
      <c r="S88" s="181">
        <f>+'4. Contenido'!H48</f>
        <v>0</v>
      </c>
      <c r="T88" s="181">
        <f>+'4. Contenido'!I48</f>
        <v>0</v>
      </c>
      <c r="U88" s="181">
        <f>+'4. Contenido'!J48</f>
        <v>0</v>
      </c>
      <c r="V88" s="764">
        <f t="shared" si="2"/>
        <v>0</v>
      </c>
    </row>
    <row r="89" spans="1:22" x14ac:dyDescent="0.25">
      <c r="A89" s="579"/>
      <c r="B89" s="583"/>
      <c r="C89" s="584"/>
      <c r="D89" s="584"/>
      <c r="E89" s="584"/>
      <c r="F89" s="534">
        <f>+'4. Contenido'!A49</f>
        <v>0</v>
      </c>
      <c r="G89" s="534"/>
      <c r="H89" s="534"/>
      <c r="I89" s="534"/>
      <c r="J89" s="534"/>
      <c r="K89" s="534"/>
      <c r="L89" s="180">
        <f>+'4. Contenido'!D49</f>
        <v>0</v>
      </c>
      <c r="M89" s="180">
        <f>+'4. Contenido'!E49</f>
        <v>0</v>
      </c>
      <c r="N89" s="180">
        <f>+'4. Contenido'!F49</f>
        <v>0</v>
      </c>
      <c r="O89" s="682"/>
      <c r="P89" s="683"/>
      <c r="Q89" s="684"/>
      <c r="R89" s="181">
        <f>+'4. Contenido'!G49</f>
        <v>0</v>
      </c>
      <c r="S89" s="181">
        <f>+'4. Contenido'!H49</f>
        <v>0</v>
      </c>
      <c r="T89" s="181">
        <f>+'4. Contenido'!I49</f>
        <v>0</v>
      </c>
      <c r="U89" s="181">
        <f>+'4. Contenido'!J49</f>
        <v>0</v>
      </c>
      <c r="V89" s="764">
        <f t="shared" si="2"/>
        <v>0</v>
      </c>
    </row>
    <row r="90" spans="1:22" x14ac:dyDescent="0.25">
      <c r="A90" s="579"/>
      <c r="B90" s="583"/>
      <c r="C90" s="584"/>
      <c r="D90" s="584"/>
      <c r="E90" s="584"/>
      <c r="F90" s="534">
        <f>+'4. Contenido'!A50</f>
        <v>0</v>
      </c>
      <c r="G90" s="534"/>
      <c r="H90" s="534"/>
      <c r="I90" s="534"/>
      <c r="J90" s="534"/>
      <c r="K90" s="534"/>
      <c r="L90" s="180">
        <f>+'4. Contenido'!D50</f>
        <v>0</v>
      </c>
      <c r="M90" s="180">
        <f>+'4. Contenido'!E50</f>
        <v>0</v>
      </c>
      <c r="N90" s="180">
        <f>+'4. Contenido'!F50</f>
        <v>0</v>
      </c>
      <c r="O90" s="682"/>
      <c r="P90" s="683"/>
      <c r="Q90" s="684"/>
      <c r="R90" s="181">
        <f>+'4. Contenido'!G50</f>
        <v>0</v>
      </c>
      <c r="S90" s="181">
        <f>+'4. Contenido'!H50</f>
        <v>0</v>
      </c>
      <c r="T90" s="181">
        <f>+'4. Contenido'!I50</f>
        <v>0</v>
      </c>
      <c r="U90" s="181">
        <f>+'4. Contenido'!J50</f>
        <v>0</v>
      </c>
      <c r="V90" s="764">
        <f t="shared" si="2"/>
        <v>0</v>
      </c>
    </row>
    <row r="91" spans="1:22" x14ac:dyDescent="0.25">
      <c r="A91" s="579"/>
      <c r="B91" s="583"/>
      <c r="C91" s="584"/>
      <c r="D91" s="584"/>
      <c r="E91" s="584"/>
      <c r="F91" s="534">
        <f>+'4. Contenido'!A51</f>
        <v>0</v>
      </c>
      <c r="G91" s="534"/>
      <c r="H91" s="534"/>
      <c r="I91" s="534"/>
      <c r="J91" s="534"/>
      <c r="K91" s="534"/>
      <c r="L91" s="180">
        <f>+'4. Contenido'!D51</f>
        <v>0</v>
      </c>
      <c r="M91" s="180">
        <f>+'4. Contenido'!E51</f>
        <v>0</v>
      </c>
      <c r="N91" s="180">
        <f>+'4. Contenido'!F51</f>
        <v>0</v>
      </c>
      <c r="O91" s="682"/>
      <c r="P91" s="683"/>
      <c r="Q91" s="684"/>
      <c r="R91" s="181">
        <f>+'4. Contenido'!G51</f>
        <v>0</v>
      </c>
      <c r="S91" s="181">
        <f>+'4. Contenido'!H51</f>
        <v>0</v>
      </c>
      <c r="T91" s="181">
        <f>+'4. Contenido'!I51</f>
        <v>0</v>
      </c>
      <c r="U91" s="181">
        <f>+'4. Contenido'!J51</f>
        <v>0</v>
      </c>
      <c r="V91" s="764">
        <f t="shared" si="2"/>
        <v>0</v>
      </c>
    </row>
    <row r="92" spans="1:22" x14ac:dyDescent="0.25">
      <c r="A92" s="579"/>
      <c r="B92" s="583"/>
      <c r="C92" s="584"/>
      <c r="D92" s="584"/>
      <c r="E92" s="584"/>
      <c r="F92" s="534">
        <f>+'4. Contenido'!A52</f>
        <v>0</v>
      </c>
      <c r="G92" s="534"/>
      <c r="H92" s="534"/>
      <c r="I92" s="534"/>
      <c r="J92" s="534"/>
      <c r="K92" s="534"/>
      <c r="L92" s="180">
        <f>+'4. Contenido'!D52</f>
        <v>0</v>
      </c>
      <c r="M92" s="180">
        <f>+'4. Contenido'!E52</f>
        <v>0</v>
      </c>
      <c r="N92" s="180">
        <f>+'4. Contenido'!F52</f>
        <v>0</v>
      </c>
      <c r="O92" s="682"/>
      <c r="P92" s="683"/>
      <c r="Q92" s="684"/>
      <c r="R92" s="181">
        <f>+'4. Contenido'!G52</f>
        <v>0</v>
      </c>
      <c r="S92" s="181">
        <f>+'4. Contenido'!H52</f>
        <v>0</v>
      </c>
      <c r="T92" s="181">
        <f>+'4. Contenido'!I52</f>
        <v>0</v>
      </c>
      <c r="U92" s="181">
        <f>+'4. Contenido'!J52</f>
        <v>0</v>
      </c>
      <c r="V92" s="764">
        <f t="shared" si="2"/>
        <v>0</v>
      </c>
    </row>
    <row r="93" spans="1:22" x14ac:dyDescent="0.25">
      <c r="A93" s="579"/>
      <c r="B93" s="583"/>
      <c r="C93" s="584"/>
      <c r="D93" s="584"/>
      <c r="E93" s="584"/>
      <c r="F93" s="534">
        <f>+'4. Contenido'!A53</f>
        <v>0</v>
      </c>
      <c r="G93" s="534"/>
      <c r="H93" s="534"/>
      <c r="I93" s="534"/>
      <c r="J93" s="534"/>
      <c r="K93" s="534"/>
      <c r="L93" s="180">
        <f>+'4. Contenido'!D53</f>
        <v>0</v>
      </c>
      <c r="M93" s="180">
        <f>+'4. Contenido'!E53</f>
        <v>0</v>
      </c>
      <c r="N93" s="180">
        <f>+'4. Contenido'!F53</f>
        <v>0</v>
      </c>
      <c r="O93" s="682"/>
      <c r="P93" s="683"/>
      <c r="Q93" s="684"/>
      <c r="R93" s="181">
        <f>+'4. Contenido'!G53</f>
        <v>0</v>
      </c>
      <c r="S93" s="181">
        <f>+'4. Contenido'!H53</f>
        <v>0</v>
      </c>
      <c r="T93" s="181">
        <f>+'4. Contenido'!I53</f>
        <v>0</v>
      </c>
      <c r="U93" s="181">
        <f>+'4. Contenido'!J53</f>
        <v>0</v>
      </c>
      <c r="V93" s="764">
        <f t="shared" si="2"/>
        <v>0</v>
      </c>
    </row>
    <row r="94" spans="1:22" x14ac:dyDescent="0.25">
      <c r="A94" s="579"/>
      <c r="B94" s="583"/>
      <c r="C94" s="584"/>
      <c r="D94" s="584"/>
      <c r="E94" s="584"/>
      <c r="F94" s="534">
        <f>+'4. Contenido'!A54</f>
        <v>0</v>
      </c>
      <c r="G94" s="534"/>
      <c r="H94" s="534"/>
      <c r="I94" s="534"/>
      <c r="J94" s="534"/>
      <c r="K94" s="534"/>
      <c r="L94" s="180">
        <f>+'4. Contenido'!D54</f>
        <v>0</v>
      </c>
      <c r="M94" s="180">
        <f>+'4. Contenido'!E54</f>
        <v>0</v>
      </c>
      <c r="N94" s="180">
        <f>+'4. Contenido'!F54</f>
        <v>0</v>
      </c>
      <c r="O94" s="682"/>
      <c r="P94" s="683"/>
      <c r="Q94" s="684"/>
      <c r="R94" s="181">
        <f>+'4. Contenido'!G54</f>
        <v>0</v>
      </c>
      <c r="S94" s="181">
        <f>+'4. Contenido'!H54</f>
        <v>0</v>
      </c>
      <c r="T94" s="181">
        <f>+'4. Contenido'!I54</f>
        <v>0</v>
      </c>
      <c r="U94" s="181">
        <f>+'4. Contenido'!J54</f>
        <v>0</v>
      </c>
      <c r="V94" s="764">
        <f t="shared" si="2"/>
        <v>0</v>
      </c>
    </row>
    <row r="95" spans="1:22" ht="12" thickBot="1" x14ac:dyDescent="0.3">
      <c r="A95" s="580"/>
      <c r="B95" s="585"/>
      <c r="C95" s="586"/>
      <c r="D95" s="586"/>
      <c r="E95" s="586"/>
      <c r="F95" s="587">
        <f>+'4. Contenido'!A55</f>
        <v>0</v>
      </c>
      <c r="G95" s="587"/>
      <c r="H95" s="587"/>
      <c r="I95" s="587"/>
      <c r="J95" s="587"/>
      <c r="K95" s="587"/>
      <c r="L95" s="182">
        <f>+'4. Contenido'!D55</f>
        <v>0</v>
      </c>
      <c r="M95" s="182">
        <f>+'4. Contenido'!E55</f>
        <v>0</v>
      </c>
      <c r="N95" s="182">
        <f>+'4. Contenido'!F55</f>
        <v>0</v>
      </c>
      <c r="O95" s="685"/>
      <c r="P95" s="686"/>
      <c r="Q95" s="687"/>
      <c r="R95" s="183">
        <f>+'4. Contenido'!G55</f>
        <v>0</v>
      </c>
      <c r="S95" s="183">
        <f>+'4. Contenido'!H55</f>
        <v>0</v>
      </c>
      <c r="T95" s="183">
        <f>+'4. Contenido'!I55</f>
        <v>0</v>
      </c>
      <c r="U95" s="183">
        <f>+'4. Contenido'!J55</f>
        <v>0</v>
      </c>
      <c r="V95" s="771">
        <f t="shared" si="2"/>
        <v>0</v>
      </c>
    </row>
    <row r="96" spans="1:22" ht="14.5" customHeight="1" x14ac:dyDescent="0.25">
      <c r="A96" s="578">
        <v>4</v>
      </c>
      <c r="B96" s="581">
        <f>+'4. Contenido'!B56</f>
        <v>0</v>
      </c>
      <c r="C96" s="582"/>
      <c r="D96" s="582"/>
      <c r="E96" s="582"/>
      <c r="F96" s="577">
        <f>+'4. Contenido'!A57</f>
        <v>0</v>
      </c>
      <c r="G96" s="577"/>
      <c r="H96" s="577"/>
      <c r="I96" s="577"/>
      <c r="J96" s="577"/>
      <c r="K96" s="577"/>
      <c r="L96" s="178">
        <f>+'4. Contenido'!D57</f>
        <v>0</v>
      </c>
      <c r="M96" s="178">
        <f>+'4. Contenido'!E57</f>
        <v>0</v>
      </c>
      <c r="N96" s="178">
        <f>+'4. Contenido'!F57</f>
        <v>0</v>
      </c>
      <c r="O96" s="679">
        <f>+'4. Contenido'!C57</f>
        <v>0</v>
      </c>
      <c r="P96" s="680"/>
      <c r="Q96" s="681"/>
      <c r="R96" s="179">
        <f>+'4. Contenido'!G57</f>
        <v>0</v>
      </c>
      <c r="S96" s="179">
        <f>+'4. Contenido'!H57</f>
        <v>0</v>
      </c>
      <c r="T96" s="179">
        <f>+'4. Contenido'!I57</f>
        <v>0</v>
      </c>
      <c r="U96" s="179">
        <f>+'4. Contenido'!J57</f>
        <v>0</v>
      </c>
      <c r="V96" s="764">
        <f t="shared" si="2"/>
        <v>0</v>
      </c>
    </row>
    <row r="97" spans="1:22" ht="14.5" customHeight="1" x14ac:dyDescent="0.25">
      <c r="A97" s="579"/>
      <c r="B97" s="583"/>
      <c r="C97" s="584"/>
      <c r="D97" s="584"/>
      <c r="E97" s="584"/>
      <c r="F97" s="534">
        <f>+'4. Contenido'!A58</f>
        <v>0</v>
      </c>
      <c r="G97" s="534"/>
      <c r="H97" s="534"/>
      <c r="I97" s="534"/>
      <c r="J97" s="534"/>
      <c r="K97" s="534"/>
      <c r="L97" s="180">
        <f>+'4. Contenido'!D58</f>
        <v>0</v>
      </c>
      <c r="M97" s="180">
        <f>+'4. Contenido'!E58</f>
        <v>0</v>
      </c>
      <c r="N97" s="180">
        <f>+'4. Contenido'!F58</f>
        <v>0</v>
      </c>
      <c r="O97" s="682"/>
      <c r="P97" s="683"/>
      <c r="Q97" s="684"/>
      <c r="R97" s="181">
        <f>+'4. Contenido'!G58</f>
        <v>0</v>
      </c>
      <c r="S97" s="181">
        <f>+'4. Contenido'!H58</f>
        <v>0</v>
      </c>
      <c r="T97" s="181">
        <f>+'4. Contenido'!I58</f>
        <v>0</v>
      </c>
      <c r="U97" s="181">
        <f>+'4. Contenido'!J58</f>
        <v>0</v>
      </c>
      <c r="V97" s="764">
        <f t="shared" si="2"/>
        <v>0</v>
      </c>
    </row>
    <row r="98" spans="1:22" ht="14.5" customHeight="1" x14ac:dyDescent="0.25">
      <c r="A98" s="579"/>
      <c r="B98" s="583"/>
      <c r="C98" s="584"/>
      <c r="D98" s="584"/>
      <c r="E98" s="584"/>
      <c r="F98" s="534">
        <f>+'4. Contenido'!A59</f>
        <v>0</v>
      </c>
      <c r="G98" s="534"/>
      <c r="H98" s="534"/>
      <c r="I98" s="534"/>
      <c r="J98" s="534"/>
      <c r="K98" s="534"/>
      <c r="L98" s="180">
        <f>+'4. Contenido'!D59</f>
        <v>0</v>
      </c>
      <c r="M98" s="180">
        <f>+'4. Contenido'!E59</f>
        <v>0</v>
      </c>
      <c r="N98" s="180">
        <f>+'4. Contenido'!F59</f>
        <v>0</v>
      </c>
      <c r="O98" s="682"/>
      <c r="P98" s="683"/>
      <c r="Q98" s="684"/>
      <c r="R98" s="181">
        <f>+'4. Contenido'!G59</f>
        <v>0</v>
      </c>
      <c r="S98" s="181">
        <f>+'4. Contenido'!H59</f>
        <v>0</v>
      </c>
      <c r="T98" s="181">
        <f>+'4. Contenido'!I59</f>
        <v>0</v>
      </c>
      <c r="U98" s="181">
        <f>+'4. Contenido'!J59</f>
        <v>0</v>
      </c>
      <c r="V98" s="764">
        <f t="shared" si="2"/>
        <v>0</v>
      </c>
    </row>
    <row r="99" spans="1:22" ht="14.5" customHeight="1" x14ac:dyDescent="0.25">
      <c r="A99" s="579"/>
      <c r="B99" s="583"/>
      <c r="C99" s="584"/>
      <c r="D99" s="584"/>
      <c r="E99" s="584"/>
      <c r="F99" s="534">
        <f>+'4. Contenido'!A60</f>
        <v>0</v>
      </c>
      <c r="G99" s="534"/>
      <c r="H99" s="534"/>
      <c r="I99" s="534"/>
      <c r="J99" s="534"/>
      <c r="K99" s="534"/>
      <c r="L99" s="180">
        <f>+'4. Contenido'!D60</f>
        <v>0</v>
      </c>
      <c r="M99" s="180">
        <f>+'4. Contenido'!E60</f>
        <v>0</v>
      </c>
      <c r="N99" s="180">
        <f>+'4. Contenido'!F60</f>
        <v>0</v>
      </c>
      <c r="O99" s="682"/>
      <c r="P99" s="683"/>
      <c r="Q99" s="684"/>
      <c r="R99" s="181">
        <f>+'4. Contenido'!G60</f>
        <v>0</v>
      </c>
      <c r="S99" s="181">
        <f>+'4. Contenido'!H60</f>
        <v>0</v>
      </c>
      <c r="T99" s="181">
        <f>+'4. Contenido'!I60</f>
        <v>0</v>
      </c>
      <c r="U99" s="181">
        <f>+'4. Contenido'!J60</f>
        <v>0</v>
      </c>
      <c r="V99" s="764">
        <f t="shared" si="2"/>
        <v>0</v>
      </c>
    </row>
    <row r="100" spans="1:22" ht="14.5" customHeight="1" x14ac:dyDescent="0.25">
      <c r="A100" s="579"/>
      <c r="B100" s="583"/>
      <c r="C100" s="584"/>
      <c r="D100" s="584"/>
      <c r="E100" s="584"/>
      <c r="F100" s="534">
        <f>+'4. Contenido'!A61</f>
        <v>0</v>
      </c>
      <c r="G100" s="534"/>
      <c r="H100" s="534"/>
      <c r="I100" s="534"/>
      <c r="J100" s="534"/>
      <c r="K100" s="534"/>
      <c r="L100" s="180">
        <f>+'4. Contenido'!D61</f>
        <v>0</v>
      </c>
      <c r="M100" s="180">
        <f>+'4. Contenido'!E61</f>
        <v>0</v>
      </c>
      <c r="N100" s="180">
        <f>+'4. Contenido'!F61</f>
        <v>0</v>
      </c>
      <c r="O100" s="682"/>
      <c r="P100" s="683"/>
      <c r="Q100" s="684"/>
      <c r="R100" s="181">
        <f>+'4. Contenido'!G61</f>
        <v>0</v>
      </c>
      <c r="S100" s="181">
        <f>+'4. Contenido'!H61</f>
        <v>0</v>
      </c>
      <c r="T100" s="181">
        <f>+'4. Contenido'!I61</f>
        <v>0</v>
      </c>
      <c r="U100" s="181">
        <f>+'4. Contenido'!J61</f>
        <v>0</v>
      </c>
      <c r="V100" s="764">
        <f t="shared" si="2"/>
        <v>0</v>
      </c>
    </row>
    <row r="101" spans="1:22" ht="14.5" customHeight="1" x14ac:dyDescent="0.25">
      <c r="A101" s="579"/>
      <c r="B101" s="583"/>
      <c r="C101" s="584"/>
      <c r="D101" s="584"/>
      <c r="E101" s="584"/>
      <c r="F101" s="534">
        <f>+'4. Contenido'!A62</f>
        <v>0</v>
      </c>
      <c r="G101" s="534"/>
      <c r="H101" s="534"/>
      <c r="I101" s="534"/>
      <c r="J101" s="534"/>
      <c r="K101" s="534"/>
      <c r="L101" s="180">
        <f>+'4. Contenido'!D62</f>
        <v>0</v>
      </c>
      <c r="M101" s="180">
        <f>+'4. Contenido'!E62</f>
        <v>0</v>
      </c>
      <c r="N101" s="180">
        <f>+'4. Contenido'!F62</f>
        <v>0</v>
      </c>
      <c r="O101" s="682"/>
      <c r="P101" s="683"/>
      <c r="Q101" s="684"/>
      <c r="R101" s="181">
        <f>+'4. Contenido'!G62</f>
        <v>0</v>
      </c>
      <c r="S101" s="181">
        <f>+'4. Contenido'!H62</f>
        <v>0</v>
      </c>
      <c r="T101" s="181">
        <f>+'4. Contenido'!I62</f>
        <v>0</v>
      </c>
      <c r="U101" s="181">
        <f>+'4. Contenido'!J62</f>
        <v>0</v>
      </c>
      <c r="V101" s="764">
        <f t="shared" si="2"/>
        <v>0</v>
      </c>
    </row>
    <row r="102" spans="1:22" ht="14.5" customHeight="1" x14ac:dyDescent="0.25">
      <c r="A102" s="579"/>
      <c r="B102" s="583"/>
      <c r="C102" s="584"/>
      <c r="D102" s="584"/>
      <c r="E102" s="584"/>
      <c r="F102" s="534">
        <f>+'4. Contenido'!A63</f>
        <v>0</v>
      </c>
      <c r="G102" s="534"/>
      <c r="H102" s="534"/>
      <c r="I102" s="534"/>
      <c r="J102" s="534"/>
      <c r="K102" s="534"/>
      <c r="L102" s="180">
        <f>+'4. Contenido'!D63</f>
        <v>0</v>
      </c>
      <c r="M102" s="180">
        <f>+'4. Contenido'!E63</f>
        <v>0</v>
      </c>
      <c r="N102" s="180">
        <f>+'4. Contenido'!F63</f>
        <v>0</v>
      </c>
      <c r="O102" s="682"/>
      <c r="P102" s="683"/>
      <c r="Q102" s="684"/>
      <c r="R102" s="181">
        <f>+'4. Contenido'!G63</f>
        <v>0</v>
      </c>
      <c r="S102" s="181">
        <f>+'4. Contenido'!H63</f>
        <v>0</v>
      </c>
      <c r="T102" s="181">
        <f>+'4. Contenido'!I63</f>
        <v>0</v>
      </c>
      <c r="U102" s="181">
        <f>+'4. Contenido'!J63</f>
        <v>0</v>
      </c>
      <c r="V102" s="764">
        <f t="shared" si="2"/>
        <v>0</v>
      </c>
    </row>
    <row r="103" spans="1:22" ht="14.5" customHeight="1" x14ac:dyDescent="0.25">
      <c r="A103" s="579"/>
      <c r="B103" s="583"/>
      <c r="C103" s="584"/>
      <c r="D103" s="584"/>
      <c r="E103" s="584"/>
      <c r="F103" s="534">
        <f>+'4. Contenido'!A64</f>
        <v>0</v>
      </c>
      <c r="G103" s="534"/>
      <c r="H103" s="534"/>
      <c r="I103" s="534"/>
      <c r="J103" s="534"/>
      <c r="K103" s="534"/>
      <c r="L103" s="180">
        <f>+'4. Contenido'!D64</f>
        <v>0</v>
      </c>
      <c r="M103" s="180">
        <f>+'4. Contenido'!E64</f>
        <v>0</v>
      </c>
      <c r="N103" s="180">
        <f>+'4. Contenido'!F64</f>
        <v>0</v>
      </c>
      <c r="O103" s="682"/>
      <c r="P103" s="683"/>
      <c r="Q103" s="684"/>
      <c r="R103" s="181">
        <f>+'4. Contenido'!G64</f>
        <v>0</v>
      </c>
      <c r="S103" s="181">
        <f>+'4. Contenido'!H64</f>
        <v>0</v>
      </c>
      <c r="T103" s="181">
        <f>+'4. Contenido'!I64</f>
        <v>0</v>
      </c>
      <c r="U103" s="181">
        <f>+'4. Contenido'!J64</f>
        <v>0</v>
      </c>
      <c r="V103" s="764">
        <f t="shared" si="2"/>
        <v>0</v>
      </c>
    </row>
    <row r="104" spans="1:22" ht="14.5" customHeight="1" x14ac:dyDescent="0.25">
      <c r="A104" s="579"/>
      <c r="B104" s="583"/>
      <c r="C104" s="584"/>
      <c r="D104" s="584"/>
      <c r="E104" s="584"/>
      <c r="F104" s="534">
        <f>+'4. Contenido'!A65</f>
        <v>0</v>
      </c>
      <c r="G104" s="534"/>
      <c r="H104" s="534"/>
      <c r="I104" s="534"/>
      <c r="J104" s="534"/>
      <c r="K104" s="534"/>
      <c r="L104" s="180">
        <f>+'4. Contenido'!D65</f>
        <v>0</v>
      </c>
      <c r="M104" s="180">
        <f>+'4. Contenido'!E65</f>
        <v>0</v>
      </c>
      <c r="N104" s="180">
        <f>+'4. Contenido'!F65</f>
        <v>0</v>
      </c>
      <c r="O104" s="682"/>
      <c r="P104" s="683"/>
      <c r="Q104" s="684"/>
      <c r="R104" s="181">
        <f>+'4. Contenido'!G65</f>
        <v>0</v>
      </c>
      <c r="S104" s="181">
        <f>+'4. Contenido'!H65</f>
        <v>0</v>
      </c>
      <c r="T104" s="181">
        <f>+'4. Contenido'!I65</f>
        <v>0</v>
      </c>
      <c r="U104" s="181">
        <f>+'4. Contenido'!J65</f>
        <v>0</v>
      </c>
      <c r="V104" s="764">
        <f t="shared" si="2"/>
        <v>0</v>
      </c>
    </row>
    <row r="105" spans="1:22" ht="14.5" customHeight="1" x14ac:dyDescent="0.25">
      <c r="A105" s="579"/>
      <c r="B105" s="583"/>
      <c r="C105" s="584"/>
      <c r="D105" s="584"/>
      <c r="E105" s="584"/>
      <c r="F105" s="534">
        <f>+'4. Contenido'!A66</f>
        <v>0</v>
      </c>
      <c r="G105" s="534"/>
      <c r="H105" s="534"/>
      <c r="I105" s="534"/>
      <c r="J105" s="534"/>
      <c r="K105" s="534"/>
      <c r="L105" s="180">
        <f>+'4. Contenido'!D66</f>
        <v>0</v>
      </c>
      <c r="M105" s="180">
        <f>+'4. Contenido'!E66</f>
        <v>0</v>
      </c>
      <c r="N105" s="180">
        <f>+'4. Contenido'!F66</f>
        <v>0</v>
      </c>
      <c r="O105" s="682"/>
      <c r="P105" s="683"/>
      <c r="Q105" s="684"/>
      <c r="R105" s="181">
        <f>+'4. Contenido'!G66</f>
        <v>0</v>
      </c>
      <c r="S105" s="181">
        <f>+'4. Contenido'!H66</f>
        <v>0</v>
      </c>
      <c r="T105" s="181">
        <f>+'4. Contenido'!I66</f>
        <v>0</v>
      </c>
      <c r="U105" s="181">
        <f>+'4. Contenido'!J66</f>
        <v>0</v>
      </c>
      <c r="V105" s="764">
        <f t="shared" si="2"/>
        <v>0</v>
      </c>
    </row>
    <row r="106" spans="1:22" ht="14.5" customHeight="1" x14ac:dyDescent="0.25">
      <c r="A106" s="579"/>
      <c r="B106" s="583"/>
      <c r="C106" s="584"/>
      <c r="D106" s="584"/>
      <c r="E106" s="584"/>
      <c r="F106" s="534">
        <f>+'4. Contenido'!A67</f>
        <v>0</v>
      </c>
      <c r="G106" s="534"/>
      <c r="H106" s="534"/>
      <c r="I106" s="534"/>
      <c r="J106" s="534"/>
      <c r="K106" s="534"/>
      <c r="L106" s="180">
        <f>+'4. Contenido'!D67</f>
        <v>0</v>
      </c>
      <c r="M106" s="180">
        <f>+'4. Contenido'!E67</f>
        <v>0</v>
      </c>
      <c r="N106" s="180">
        <f>+'4. Contenido'!F67</f>
        <v>0</v>
      </c>
      <c r="O106" s="682"/>
      <c r="P106" s="683"/>
      <c r="Q106" s="684"/>
      <c r="R106" s="181">
        <f>+'4. Contenido'!G67</f>
        <v>0</v>
      </c>
      <c r="S106" s="181">
        <f>+'4. Contenido'!H67</f>
        <v>0</v>
      </c>
      <c r="T106" s="181">
        <f>+'4. Contenido'!I67</f>
        <v>0</v>
      </c>
      <c r="U106" s="181">
        <f>+'4. Contenido'!J67</f>
        <v>0</v>
      </c>
      <c r="V106" s="764">
        <f t="shared" si="2"/>
        <v>0</v>
      </c>
    </row>
    <row r="107" spans="1:22" ht="14.5" customHeight="1" x14ac:dyDescent="0.25">
      <c r="A107" s="579"/>
      <c r="B107" s="583"/>
      <c r="C107" s="584"/>
      <c r="D107" s="584"/>
      <c r="E107" s="584"/>
      <c r="F107" s="534">
        <f>+'4. Contenido'!A68</f>
        <v>0</v>
      </c>
      <c r="G107" s="534"/>
      <c r="H107" s="534"/>
      <c r="I107" s="534"/>
      <c r="J107" s="534"/>
      <c r="K107" s="534"/>
      <c r="L107" s="180">
        <f>+'4. Contenido'!D68</f>
        <v>0</v>
      </c>
      <c r="M107" s="180">
        <f>+'4. Contenido'!E68</f>
        <v>0</v>
      </c>
      <c r="N107" s="180">
        <f>+'4. Contenido'!F68</f>
        <v>0</v>
      </c>
      <c r="O107" s="682"/>
      <c r="P107" s="683"/>
      <c r="Q107" s="684"/>
      <c r="R107" s="181">
        <f>+'4. Contenido'!G68</f>
        <v>0</v>
      </c>
      <c r="S107" s="181">
        <f>+'4. Contenido'!H68</f>
        <v>0</v>
      </c>
      <c r="T107" s="181">
        <f>+'4. Contenido'!I68</f>
        <v>0</v>
      </c>
      <c r="U107" s="181">
        <f>+'4. Contenido'!J68</f>
        <v>0</v>
      </c>
      <c r="V107" s="764">
        <f t="shared" si="2"/>
        <v>0</v>
      </c>
    </row>
    <row r="108" spans="1:22" ht="14.5" customHeight="1" x14ac:dyDescent="0.25">
      <c r="A108" s="579"/>
      <c r="B108" s="583"/>
      <c r="C108" s="584"/>
      <c r="D108" s="584"/>
      <c r="E108" s="584"/>
      <c r="F108" s="534">
        <f>+'4. Contenido'!A69</f>
        <v>0</v>
      </c>
      <c r="G108" s="534"/>
      <c r="H108" s="534"/>
      <c r="I108" s="534"/>
      <c r="J108" s="534"/>
      <c r="K108" s="534"/>
      <c r="L108" s="180">
        <f>+'4. Contenido'!D69</f>
        <v>0</v>
      </c>
      <c r="M108" s="180">
        <f>+'4. Contenido'!E69</f>
        <v>0</v>
      </c>
      <c r="N108" s="180">
        <f>+'4. Contenido'!F69</f>
        <v>0</v>
      </c>
      <c r="O108" s="682"/>
      <c r="P108" s="683"/>
      <c r="Q108" s="684"/>
      <c r="R108" s="181">
        <f>+'4. Contenido'!G69</f>
        <v>0</v>
      </c>
      <c r="S108" s="181">
        <f>+'4. Contenido'!H69</f>
        <v>0</v>
      </c>
      <c r="T108" s="181">
        <f>+'4. Contenido'!I69</f>
        <v>0</v>
      </c>
      <c r="U108" s="181">
        <f>+'4. Contenido'!J69</f>
        <v>0</v>
      </c>
      <c r="V108" s="764">
        <f t="shared" si="2"/>
        <v>0</v>
      </c>
    </row>
    <row r="109" spans="1:22" ht="14.5" customHeight="1" x14ac:dyDescent="0.25">
      <c r="A109" s="579"/>
      <c r="B109" s="583"/>
      <c r="C109" s="584"/>
      <c r="D109" s="584"/>
      <c r="E109" s="584"/>
      <c r="F109" s="534">
        <f>+'4. Contenido'!A70</f>
        <v>0</v>
      </c>
      <c r="G109" s="534"/>
      <c r="H109" s="534"/>
      <c r="I109" s="534"/>
      <c r="J109" s="534"/>
      <c r="K109" s="534"/>
      <c r="L109" s="180">
        <f>+'4. Contenido'!D70</f>
        <v>0</v>
      </c>
      <c r="M109" s="180">
        <f>+'4. Contenido'!E70</f>
        <v>0</v>
      </c>
      <c r="N109" s="180">
        <f>+'4. Contenido'!F70</f>
        <v>0</v>
      </c>
      <c r="O109" s="682"/>
      <c r="P109" s="683"/>
      <c r="Q109" s="684"/>
      <c r="R109" s="181">
        <f>+'4. Contenido'!G70</f>
        <v>0</v>
      </c>
      <c r="S109" s="181">
        <f>+'4. Contenido'!H70</f>
        <v>0</v>
      </c>
      <c r="T109" s="181">
        <f>+'4. Contenido'!I70</f>
        <v>0</v>
      </c>
      <c r="U109" s="181">
        <f>+'4. Contenido'!J70</f>
        <v>0</v>
      </c>
      <c r="V109" s="764">
        <f t="shared" si="2"/>
        <v>0</v>
      </c>
    </row>
    <row r="110" spans="1:22" ht="15" customHeight="1" thickBot="1" x14ac:dyDescent="0.3">
      <c r="A110" s="580"/>
      <c r="B110" s="585"/>
      <c r="C110" s="586"/>
      <c r="D110" s="586"/>
      <c r="E110" s="586"/>
      <c r="F110" s="587">
        <f>+'4. Contenido'!A71</f>
        <v>0</v>
      </c>
      <c r="G110" s="587"/>
      <c r="H110" s="587"/>
      <c r="I110" s="587"/>
      <c r="J110" s="587"/>
      <c r="K110" s="587"/>
      <c r="L110" s="182">
        <f>+'4. Contenido'!D71</f>
        <v>0</v>
      </c>
      <c r="M110" s="182">
        <f>+'4. Contenido'!E71</f>
        <v>0</v>
      </c>
      <c r="N110" s="182">
        <f>+'4. Contenido'!F71</f>
        <v>0</v>
      </c>
      <c r="O110" s="685"/>
      <c r="P110" s="686"/>
      <c r="Q110" s="687"/>
      <c r="R110" s="183">
        <f>+'4. Contenido'!G71</f>
        <v>0</v>
      </c>
      <c r="S110" s="183">
        <f>+'4. Contenido'!H71</f>
        <v>0</v>
      </c>
      <c r="T110" s="183">
        <f>+'4. Contenido'!I71</f>
        <v>0</v>
      </c>
      <c r="U110" s="183">
        <f>+'4. Contenido'!J71</f>
        <v>0</v>
      </c>
      <c r="V110" s="771">
        <f t="shared" si="2"/>
        <v>0</v>
      </c>
    </row>
    <row r="111" spans="1:22" ht="14.5" customHeight="1" x14ac:dyDescent="0.25">
      <c r="A111" s="578">
        <v>5</v>
      </c>
      <c r="B111" s="772">
        <f>+'4. Contenido'!B72</f>
        <v>0</v>
      </c>
      <c r="C111" s="773"/>
      <c r="D111" s="773"/>
      <c r="E111" s="773"/>
      <c r="F111" s="774">
        <f>+'4. Contenido'!A73</f>
        <v>0</v>
      </c>
      <c r="G111" s="775"/>
      <c r="H111" s="775"/>
      <c r="I111" s="775"/>
      <c r="J111" s="775"/>
      <c r="K111" s="776"/>
      <c r="L111" s="777">
        <f>+'4. Contenido'!D73</f>
        <v>0</v>
      </c>
      <c r="M111" s="777">
        <f>+'4. Contenido'!E73</f>
        <v>0</v>
      </c>
      <c r="N111" s="777">
        <f>+'4. Contenido'!F73</f>
        <v>0</v>
      </c>
      <c r="O111" s="740">
        <f>+'4. Contenido'!C73</f>
        <v>0</v>
      </c>
      <c r="P111" s="680"/>
      <c r="Q111" s="681"/>
      <c r="R111" s="778">
        <f>+'4. Contenido'!G73</f>
        <v>0</v>
      </c>
      <c r="S111" s="778">
        <f>+'4. Contenido'!H73</f>
        <v>0</v>
      </c>
      <c r="T111" s="778">
        <f>+'4. Contenido'!I73</f>
        <v>0</v>
      </c>
      <c r="U111" s="778">
        <f>+'4. Contenido'!J73</f>
        <v>0</v>
      </c>
      <c r="V111" s="764">
        <f t="shared" si="2"/>
        <v>0</v>
      </c>
    </row>
    <row r="112" spans="1:22" ht="14.5" customHeight="1" x14ac:dyDescent="0.25">
      <c r="A112" s="579"/>
      <c r="B112" s="779"/>
      <c r="C112" s="766"/>
      <c r="D112" s="766"/>
      <c r="E112" s="766"/>
      <c r="F112" s="780">
        <f>+'4. Contenido'!A74</f>
        <v>0</v>
      </c>
      <c r="G112" s="781"/>
      <c r="H112" s="781"/>
      <c r="I112" s="781"/>
      <c r="J112" s="781"/>
      <c r="K112" s="782"/>
      <c r="L112" s="783">
        <f>+'4. Contenido'!D74</f>
        <v>0</v>
      </c>
      <c r="M112" s="783">
        <f>+'4. Contenido'!E74</f>
        <v>0</v>
      </c>
      <c r="N112" s="783">
        <f>+'4. Contenido'!F74</f>
        <v>0</v>
      </c>
      <c r="O112" s="747"/>
      <c r="P112" s="683"/>
      <c r="Q112" s="684"/>
      <c r="R112" s="784">
        <f>+'4. Contenido'!G74</f>
        <v>0</v>
      </c>
      <c r="S112" s="784">
        <f>+'4. Contenido'!H74</f>
        <v>0</v>
      </c>
      <c r="T112" s="784">
        <f>+'4. Contenido'!I74</f>
        <v>0</v>
      </c>
      <c r="U112" s="784">
        <f>+'4. Contenido'!J74</f>
        <v>0</v>
      </c>
      <c r="V112" s="764">
        <f t="shared" si="2"/>
        <v>0</v>
      </c>
    </row>
    <row r="113" spans="1:22" ht="14.5" customHeight="1" x14ac:dyDescent="0.25">
      <c r="A113" s="579"/>
      <c r="B113" s="779"/>
      <c r="C113" s="766"/>
      <c r="D113" s="766"/>
      <c r="E113" s="766"/>
      <c r="F113" s="780">
        <f>+'4. Contenido'!A75</f>
        <v>0</v>
      </c>
      <c r="G113" s="781"/>
      <c r="H113" s="781"/>
      <c r="I113" s="781"/>
      <c r="J113" s="781"/>
      <c r="K113" s="782"/>
      <c r="L113" s="783">
        <f>+'4. Contenido'!D75</f>
        <v>0</v>
      </c>
      <c r="M113" s="783">
        <f>+'4. Contenido'!E75</f>
        <v>0</v>
      </c>
      <c r="N113" s="783">
        <f>+'4. Contenido'!F75</f>
        <v>0</v>
      </c>
      <c r="O113" s="747"/>
      <c r="P113" s="683"/>
      <c r="Q113" s="684"/>
      <c r="R113" s="784">
        <f>+'4. Contenido'!G75</f>
        <v>0</v>
      </c>
      <c r="S113" s="784">
        <f>+'4. Contenido'!H75</f>
        <v>0</v>
      </c>
      <c r="T113" s="784">
        <f>+'4. Contenido'!I75</f>
        <v>0</v>
      </c>
      <c r="U113" s="784">
        <f>+'4. Contenido'!J75</f>
        <v>0</v>
      </c>
      <c r="V113" s="764">
        <f t="shared" si="2"/>
        <v>0</v>
      </c>
    </row>
    <row r="114" spans="1:22" ht="14.5" customHeight="1" x14ac:dyDescent="0.25">
      <c r="A114" s="579"/>
      <c r="B114" s="779"/>
      <c r="C114" s="766"/>
      <c r="D114" s="766"/>
      <c r="E114" s="766"/>
      <c r="F114" s="780">
        <f>+'4. Contenido'!A76</f>
        <v>0</v>
      </c>
      <c r="G114" s="781"/>
      <c r="H114" s="781"/>
      <c r="I114" s="781"/>
      <c r="J114" s="781"/>
      <c r="K114" s="782"/>
      <c r="L114" s="783">
        <f>+'4. Contenido'!D76</f>
        <v>0</v>
      </c>
      <c r="M114" s="783">
        <f>+'4. Contenido'!E76</f>
        <v>0</v>
      </c>
      <c r="N114" s="783">
        <f>+'4. Contenido'!F76</f>
        <v>0</v>
      </c>
      <c r="O114" s="747"/>
      <c r="P114" s="683"/>
      <c r="Q114" s="684"/>
      <c r="R114" s="784">
        <f>+'4. Contenido'!G76</f>
        <v>0</v>
      </c>
      <c r="S114" s="784">
        <f>+'4. Contenido'!H76</f>
        <v>0</v>
      </c>
      <c r="T114" s="784">
        <f>+'4. Contenido'!I76</f>
        <v>0</v>
      </c>
      <c r="U114" s="784">
        <f>+'4. Contenido'!J76</f>
        <v>0</v>
      </c>
      <c r="V114" s="764">
        <f t="shared" si="2"/>
        <v>0</v>
      </c>
    </row>
    <row r="115" spans="1:22" ht="14.5" customHeight="1" x14ac:dyDescent="0.25">
      <c r="A115" s="579"/>
      <c r="B115" s="779"/>
      <c r="C115" s="766"/>
      <c r="D115" s="766"/>
      <c r="E115" s="766"/>
      <c r="F115" s="780">
        <f>+'4. Contenido'!A77</f>
        <v>0</v>
      </c>
      <c r="G115" s="781"/>
      <c r="H115" s="781"/>
      <c r="I115" s="781"/>
      <c r="J115" s="781"/>
      <c r="K115" s="782"/>
      <c r="L115" s="783">
        <f>+'4. Contenido'!D77</f>
        <v>0</v>
      </c>
      <c r="M115" s="783">
        <f>+'4. Contenido'!E77</f>
        <v>0</v>
      </c>
      <c r="N115" s="783">
        <f>+'4. Contenido'!F77</f>
        <v>0</v>
      </c>
      <c r="O115" s="747"/>
      <c r="P115" s="683"/>
      <c r="Q115" s="684"/>
      <c r="R115" s="784">
        <f>+'4. Contenido'!G77</f>
        <v>0</v>
      </c>
      <c r="S115" s="784">
        <f>+'4. Contenido'!H77</f>
        <v>0</v>
      </c>
      <c r="T115" s="784">
        <f>+'4. Contenido'!I77</f>
        <v>0</v>
      </c>
      <c r="U115" s="784">
        <f>+'4. Contenido'!J77</f>
        <v>0</v>
      </c>
      <c r="V115" s="764">
        <f t="shared" si="2"/>
        <v>0</v>
      </c>
    </row>
    <row r="116" spans="1:22" ht="14.5" customHeight="1" x14ac:dyDescent="0.25">
      <c r="A116" s="579"/>
      <c r="B116" s="779"/>
      <c r="C116" s="766"/>
      <c r="D116" s="766"/>
      <c r="E116" s="766"/>
      <c r="F116" s="780">
        <f>+'4. Contenido'!A78</f>
        <v>0</v>
      </c>
      <c r="G116" s="781"/>
      <c r="H116" s="781"/>
      <c r="I116" s="781"/>
      <c r="J116" s="781"/>
      <c r="K116" s="782"/>
      <c r="L116" s="783">
        <f>+'4. Contenido'!D78</f>
        <v>0</v>
      </c>
      <c r="M116" s="783">
        <f>+'4. Contenido'!E78</f>
        <v>0</v>
      </c>
      <c r="N116" s="783">
        <f>+'4. Contenido'!F78</f>
        <v>0</v>
      </c>
      <c r="O116" s="747"/>
      <c r="P116" s="683"/>
      <c r="Q116" s="684"/>
      <c r="R116" s="784">
        <f>+'4. Contenido'!G78</f>
        <v>0</v>
      </c>
      <c r="S116" s="784">
        <f>+'4. Contenido'!H78</f>
        <v>0</v>
      </c>
      <c r="T116" s="784">
        <f>+'4. Contenido'!I78</f>
        <v>0</v>
      </c>
      <c r="U116" s="784">
        <f>+'4. Contenido'!J78</f>
        <v>0</v>
      </c>
      <c r="V116" s="764">
        <f t="shared" si="2"/>
        <v>0</v>
      </c>
    </row>
    <row r="117" spans="1:22" ht="14.5" customHeight="1" x14ac:dyDescent="0.25">
      <c r="A117" s="579"/>
      <c r="B117" s="779"/>
      <c r="C117" s="766"/>
      <c r="D117" s="766"/>
      <c r="E117" s="766"/>
      <c r="F117" s="780">
        <f>+'4. Contenido'!A79</f>
        <v>0</v>
      </c>
      <c r="G117" s="781"/>
      <c r="H117" s="781"/>
      <c r="I117" s="781"/>
      <c r="J117" s="781"/>
      <c r="K117" s="782"/>
      <c r="L117" s="783">
        <f>+'4. Contenido'!D79</f>
        <v>0</v>
      </c>
      <c r="M117" s="783">
        <f>+'4. Contenido'!E79</f>
        <v>0</v>
      </c>
      <c r="N117" s="783">
        <f>+'4. Contenido'!F79</f>
        <v>0</v>
      </c>
      <c r="O117" s="747"/>
      <c r="P117" s="683"/>
      <c r="Q117" s="684"/>
      <c r="R117" s="784">
        <f>+'4. Contenido'!G79</f>
        <v>0</v>
      </c>
      <c r="S117" s="784">
        <f>+'4. Contenido'!H79</f>
        <v>0</v>
      </c>
      <c r="T117" s="784">
        <f>+'4. Contenido'!I79</f>
        <v>0</v>
      </c>
      <c r="U117" s="784">
        <f>+'4. Contenido'!J79</f>
        <v>0</v>
      </c>
      <c r="V117" s="764">
        <f t="shared" si="2"/>
        <v>0</v>
      </c>
    </row>
    <row r="118" spans="1:22" ht="14.5" customHeight="1" x14ac:dyDescent="0.25">
      <c r="A118" s="579"/>
      <c r="B118" s="779"/>
      <c r="C118" s="766"/>
      <c r="D118" s="766"/>
      <c r="E118" s="766"/>
      <c r="F118" s="780">
        <f>+'4. Contenido'!A80</f>
        <v>0</v>
      </c>
      <c r="G118" s="781"/>
      <c r="H118" s="781"/>
      <c r="I118" s="781"/>
      <c r="J118" s="781"/>
      <c r="K118" s="782"/>
      <c r="L118" s="783">
        <f>+'4. Contenido'!D80</f>
        <v>0</v>
      </c>
      <c r="M118" s="783">
        <f>+'4. Contenido'!E80</f>
        <v>0</v>
      </c>
      <c r="N118" s="783">
        <f>+'4. Contenido'!F80</f>
        <v>0</v>
      </c>
      <c r="O118" s="747"/>
      <c r="P118" s="683"/>
      <c r="Q118" s="684"/>
      <c r="R118" s="784">
        <f>+'4. Contenido'!G80</f>
        <v>0</v>
      </c>
      <c r="S118" s="784">
        <f>+'4. Contenido'!H80</f>
        <v>0</v>
      </c>
      <c r="T118" s="784">
        <f>+'4. Contenido'!I80</f>
        <v>0</v>
      </c>
      <c r="U118" s="784">
        <f>+'4. Contenido'!J80</f>
        <v>0</v>
      </c>
      <c r="V118" s="764">
        <f t="shared" si="2"/>
        <v>0</v>
      </c>
    </row>
    <row r="119" spans="1:22" ht="14.5" customHeight="1" x14ac:dyDescent="0.25">
      <c r="A119" s="579"/>
      <c r="B119" s="779"/>
      <c r="C119" s="766"/>
      <c r="D119" s="766"/>
      <c r="E119" s="766"/>
      <c r="F119" s="780">
        <f>+'4. Contenido'!A81</f>
        <v>0</v>
      </c>
      <c r="G119" s="781"/>
      <c r="H119" s="781"/>
      <c r="I119" s="781"/>
      <c r="J119" s="781"/>
      <c r="K119" s="782"/>
      <c r="L119" s="783">
        <f>+'4. Contenido'!D81</f>
        <v>0</v>
      </c>
      <c r="M119" s="783">
        <f>+'4. Contenido'!E81</f>
        <v>0</v>
      </c>
      <c r="N119" s="783">
        <f>+'4. Contenido'!F81</f>
        <v>0</v>
      </c>
      <c r="O119" s="747"/>
      <c r="P119" s="683"/>
      <c r="Q119" s="684"/>
      <c r="R119" s="784">
        <f>+'4. Contenido'!G81</f>
        <v>0</v>
      </c>
      <c r="S119" s="784">
        <f>+'4. Contenido'!H81</f>
        <v>0</v>
      </c>
      <c r="T119" s="784">
        <f>+'4. Contenido'!I81</f>
        <v>0</v>
      </c>
      <c r="U119" s="784">
        <f>+'4. Contenido'!J81</f>
        <v>0</v>
      </c>
      <c r="V119" s="764">
        <f t="shared" si="2"/>
        <v>0</v>
      </c>
    </row>
    <row r="120" spans="1:22" ht="14.5" customHeight="1" x14ac:dyDescent="0.25">
      <c r="A120" s="579"/>
      <c r="B120" s="779"/>
      <c r="C120" s="766"/>
      <c r="D120" s="766"/>
      <c r="E120" s="766"/>
      <c r="F120" s="780">
        <f>+'4. Contenido'!A82</f>
        <v>0</v>
      </c>
      <c r="G120" s="781"/>
      <c r="H120" s="781"/>
      <c r="I120" s="781"/>
      <c r="J120" s="781"/>
      <c r="K120" s="782"/>
      <c r="L120" s="783">
        <f>+'4. Contenido'!D82</f>
        <v>0</v>
      </c>
      <c r="M120" s="783">
        <f>+'4. Contenido'!E82</f>
        <v>0</v>
      </c>
      <c r="N120" s="783">
        <f>+'4. Contenido'!F82</f>
        <v>0</v>
      </c>
      <c r="O120" s="747"/>
      <c r="P120" s="683"/>
      <c r="Q120" s="684"/>
      <c r="R120" s="784">
        <f>+'4. Contenido'!G82</f>
        <v>0</v>
      </c>
      <c r="S120" s="784">
        <f>+'4. Contenido'!H82</f>
        <v>0</v>
      </c>
      <c r="T120" s="784">
        <f>+'4. Contenido'!I82</f>
        <v>0</v>
      </c>
      <c r="U120" s="784">
        <f>+'4. Contenido'!J82</f>
        <v>0</v>
      </c>
      <c r="V120" s="764">
        <f t="shared" si="2"/>
        <v>0</v>
      </c>
    </row>
    <row r="121" spans="1:22" ht="14.5" customHeight="1" x14ac:dyDescent="0.25">
      <c r="A121" s="579"/>
      <c r="B121" s="779"/>
      <c r="C121" s="766"/>
      <c r="D121" s="766"/>
      <c r="E121" s="766"/>
      <c r="F121" s="780">
        <f>+'4. Contenido'!A83</f>
        <v>0</v>
      </c>
      <c r="G121" s="781"/>
      <c r="H121" s="781"/>
      <c r="I121" s="781"/>
      <c r="J121" s="781"/>
      <c r="K121" s="782"/>
      <c r="L121" s="783">
        <f>+'4. Contenido'!D83</f>
        <v>0</v>
      </c>
      <c r="M121" s="783">
        <f>+'4. Contenido'!E83</f>
        <v>0</v>
      </c>
      <c r="N121" s="783">
        <f>+'4. Contenido'!F83</f>
        <v>0</v>
      </c>
      <c r="O121" s="747"/>
      <c r="P121" s="683"/>
      <c r="Q121" s="684"/>
      <c r="R121" s="784">
        <f>+'4. Contenido'!G83</f>
        <v>0</v>
      </c>
      <c r="S121" s="784">
        <f>+'4. Contenido'!H83</f>
        <v>0</v>
      </c>
      <c r="T121" s="784">
        <f>+'4. Contenido'!I83</f>
        <v>0</v>
      </c>
      <c r="U121" s="784">
        <f>+'4. Contenido'!J83</f>
        <v>0</v>
      </c>
      <c r="V121" s="764">
        <f t="shared" si="2"/>
        <v>0</v>
      </c>
    </row>
    <row r="122" spans="1:22" ht="14.5" customHeight="1" x14ac:dyDescent="0.25">
      <c r="A122" s="579"/>
      <c r="B122" s="779"/>
      <c r="C122" s="766"/>
      <c r="D122" s="766"/>
      <c r="E122" s="766"/>
      <c r="F122" s="780">
        <f>+'4. Contenido'!A84</f>
        <v>0</v>
      </c>
      <c r="G122" s="781"/>
      <c r="H122" s="781"/>
      <c r="I122" s="781"/>
      <c r="J122" s="781"/>
      <c r="K122" s="782"/>
      <c r="L122" s="783">
        <f>+'4. Contenido'!D84</f>
        <v>0</v>
      </c>
      <c r="M122" s="783">
        <f>+'4. Contenido'!E84</f>
        <v>0</v>
      </c>
      <c r="N122" s="783">
        <f>+'4. Contenido'!F84</f>
        <v>0</v>
      </c>
      <c r="O122" s="747"/>
      <c r="P122" s="683"/>
      <c r="Q122" s="684"/>
      <c r="R122" s="784">
        <f>+'4. Contenido'!G84</f>
        <v>0</v>
      </c>
      <c r="S122" s="784">
        <f>+'4. Contenido'!H84</f>
        <v>0</v>
      </c>
      <c r="T122" s="784">
        <f>+'4. Contenido'!I84</f>
        <v>0</v>
      </c>
      <c r="U122" s="784">
        <f>+'4. Contenido'!J84</f>
        <v>0</v>
      </c>
      <c r="V122" s="764">
        <f t="shared" si="2"/>
        <v>0</v>
      </c>
    </row>
    <row r="123" spans="1:22" ht="14.5" customHeight="1" x14ac:dyDescent="0.25">
      <c r="A123" s="579"/>
      <c r="B123" s="779"/>
      <c r="C123" s="766"/>
      <c r="D123" s="766"/>
      <c r="E123" s="766"/>
      <c r="F123" s="780">
        <f>+'4. Contenido'!A85</f>
        <v>0</v>
      </c>
      <c r="G123" s="781"/>
      <c r="H123" s="781"/>
      <c r="I123" s="781"/>
      <c r="J123" s="781"/>
      <c r="K123" s="782"/>
      <c r="L123" s="783">
        <f>+'4. Contenido'!D85</f>
        <v>0</v>
      </c>
      <c r="M123" s="783">
        <f>+'4. Contenido'!E85</f>
        <v>0</v>
      </c>
      <c r="N123" s="783">
        <f>+'4. Contenido'!F85</f>
        <v>0</v>
      </c>
      <c r="O123" s="747"/>
      <c r="P123" s="683"/>
      <c r="Q123" s="684"/>
      <c r="R123" s="784">
        <f>+'4. Contenido'!G85</f>
        <v>0</v>
      </c>
      <c r="S123" s="784">
        <f>+'4. Contenido'!H85</f>
        <v>0</v>
      </c>
      <c r="T123" s="784">
        <f>+'4. Contenido'!I85</f>
        <v>0</v>
      </c>
      <c r="U123" s="784">
        <f>+'4. Contenido'!J85</f>
        <v>0</v>
      </c>
      <c r="V123" s="764">
        <f t="shared" si="2"/>
        <v>0</v>
      </c>
    </row>
    <row r="124" spans="1:22" ht="14.5" customHeight="1" x14ac:dyDescent="0.25">
      <c r="A124" s="579"/>
      <c r="B124" s="779"/>
      <c r="C124" s="766"/>
      <c r="D124" s="766"/>
      <c r="E124" s="766"/>
      <c r="F124" s="780">
        <f>+'4. Contenido'!A86</f>
        <v>0</v>
      </c>
      <c r="G124" s="781"/>
      <c r="H124" s="781"/>
      <c r="I124" s="781"/>
      <c r="J124" s="781"/>
      <c r="K124" s="782"/>
      <c r="L124" s="783">
        <f>+'4. Contenido'!D86</f>
        <v>0</v>
      </c>
      <c r="M124" s="783">
        <f>+'4. Contenido'!E86</f>
        <v>0</v>
      </c>
      <c r="N124" s="783">
        <f>+'4. Contenido'!F86</f>
        <v>0</v>
      </c>
      <c r="O124" s="747"/>
      <c r="P124" s="683"/>
      <c r="Q124" s="684"/>
      <c r="R124" s="784">
        <f>+'4. Contenido'!G86</f>
        <v>0</v>
      </c>
      <c r="S124" s="784">
        <f>+'4. Contenido'!H86</f>
        <v>0</v>
      </c>
      <c r="T124" s="784">
        <f>+'4. Contenido'!I86</f>
        <v>0</v>
      </c>
      <c r="U124" s="784">
        <f>+'4. Contenido'!J86</f>
        <v>0</v>
      </c>
      <c r="V124" s="764">
        <f t="shared" si="2"/>
        <v>0</v>
      </c>
    </row>
    <row r="125" spans="1:22" ht="15" customHeight="1" thickBot="1" x14ac:dyDescent="0.3">
      <c r="A125" s="580"/>
      <c r="B125" s="785"/>
      <c r="C125" s="769"/>
      <c r="D125" s="769"/>
      <c r="E125" s="769"/>
      <c r="F125" s="786">
        <f>+'4. Contenido'!A87</f>
        <v>0</v>
      </c>
      <c r="G125" s="787"/>
      <c r="H125" s="787"/>
      <c r="I125" s="787"/>
      <c r="J125" s="787"/>
      <c r="K125" s="788"/>
      <c r="L125" s="789">
        <f>+'4. Contenido'!D87</f>
        <v>0</v>
      </c>
      <c r="M125" s="789">
        <f>+'4. Contenido'!E87</f>
        <v>0</v>
      </c>
      <c r="N125" s="789">
        <f>+'4. Contenido'!F87</f>
        <v>0</v>
      </c>
      <c r="O125" s="754"/>
      <c r="P125" s="686"/>
      <c r="Q125" s="687"/>
      <c r="R125" s="790">
        <f>+'4. Contenido'!G87</f>
        <v>0</v>
      </c>
      <c r="S125" s="790">
        <f>+'4. Contenido'!H87</f>
        <v>0</v>
      </c>
      <c r="T125" s="790">
        <f>+'4. Contenido'!I87</f>
        <v>0</v>
      </c>
      <c r="U125" s="790">
        <f>+'4. Contenido'!J87</f>
        <v>0</v>
      </c>
      <c r="V125" s="771">
        <f t="shared" si="2"/>
        <v>0</v>
      </c>
    </row>
    <row r="126" spans="1:22" ht="14.5" customHeight="1" x14ac:dyDescent="0.25">
      <c r="A126" s="578">
        <v>6</v>
      </c>
      <c r="B126" s="581">
        <f>+'4. Contenido'!B88</f>
        <v>0</v>
      </c>
      <c r="C126" s="582"/>
      <c r="D126" s="582"/>
      <c r="E126" s="582"/>
      <c r="F126" s="577">
        <f>+'4. Contenido'!A89</f>
        <v>0</v>
      </c>
      <c r="G126" s="577"/>
      <c r="H126" s="577"/>
      <c r="I126" s="577"/>
      <c r="J126" s="577"/>
      <c r="K126" s="577"/>
      <c r="L126" s="178">
        <f>+'4. Contenido'!D89</f>
        <v>0</v>
      </c>
      <c r="M126" s="178">
        <f>+'4. Contenido'!E89</f>
        <v>0</v>
      </c>
      <c r="N126" s="178">
        <f>+'4. Contenido'!F89</f>
        <v>0</v>
      </c>
      <c r="O126" s="679">
        <f>+'4. Contenido'!C89</f>
        <v>0</v>
      </c>
      <c r="P126" s="680"/>
      <c r="Q126" s="681"/>
      <c r="R126" s="179">
        <f>+'4. Contenido'!G89</f>
        <v>0</v>
      </c>
      <c r="S126" s="179">
        <f>+'4. Contenido'!H89</f>
        <v>0</v>
      </c>
      <c r="T126" s="179">
        <f>+'4. Contenido'!I89</f>
        <v>0</v>
      </c>
      <c r="U126" s="179">
        <f>+'4. Contenido'!J89</f>
        <v>0</v>
      </c>
      <c r="V126" s="764">
        <f t="shared" si="2"/>
        <v>0</v>
      </c>
    </row>
    <row r="127" spans="1:22" ht="14.5" customHeight="1" x14ac:dyDescent="0.25">
      <c r="A127" s="579"/>
      <c r="B127" s="583"/>
      <c r="C127" s="584"/>
      <c r="D127" s="584"/>
      <c r="E127" s="584"/>
      <c r="F127" s="534">
        <f>+'4. Contenido'!A90</f>
        <v>0</v>
      </c>
      <c r="G127" s="534"/>
      <c r="H127" s="534"/>
      <c r="I127" s="534"/>
      <c r="J127" s="534"/>
      <c r="K127" s="534"/>
      <c r="L127" s="180">
        <f>+'4. Contenido'!D90</f>
        <v>0</v>
      </c>
      <c r="M127" s="180">
        <f>+'4. Contenido'!E90</f>
        <v>0</v>
      </c>
      <c r="N127" s="180">
        <f>+'4. Contenido'!F90</f>
        <v>0</v>
      </c>
      <c r="O127" s="682"/>
      <c r="P127" s="683"/>
      <c r="Q127" s="684"/>
      <c r="R127" s="181">
        <f>+'4. Contenido'!G90</f>
        <v>0</v>
      </c>
      <c r="S127" s="181">
        <f>+'4. Contenido'!H90</f>
        <v>0</v>
      </c>
      <c r="T127" s="181">
        <f>+'4. Contenido'!I90</f>
        <v>0</v>
      </c>
      <c r="U127" s="181">
        <f>+'4. Contenido'!J90</f>
        <v>0</v>
      </c>
      <c r="V127" s="764">
        <f t="shared" si="2"/>
        <v>0</v>
      </c>
    </row>
    <row r="128" spans="1:22" ht="14.5" customHeight="1" x14ac:dyDescent="0.25">
      <c r="A128" s="579"/>
      <c r="B128" s="583"/>
      <c r="C128" s="584"/>
      <c r="D128" s="584"/>
      <c r="E128" s="584"/>
      <c r="F128" s="534">
        <f>+'4. Contenido'!A91</f>
        <v>0</v>
      </c>
      <c r="G128" s="534"/>
      <c r="H128" s="534"/>
      <c r="I128" s="534"/>
      <c r="J128" s="534"/>
      <c r="K128" s="534"/>
      <c r="L128" s="180">
        <f>+'4. Contenido'!D91</f>
        <v>0</v>
      </c>
      <c r="M128" s="180">
        <f>+'4. Contenido'!E91</f>
        <v>0</v>
      </c>
      <c r="N128" s="180">
        <f>+'4. Contenido'!F91</f>
        <v>0</v>
      </c>
      <c r="O128" s="682"/>
      <c r="P128" s="683"/>
      <c r="Q128" s="684"/>
      <c r="R128" s="181">
        <f>+'4. Contenido'!G91</f>
        <v>0</v>
      </c>
      <c r="S128" s="181">
        <f>+'4. Contenido'!H91</f>
        <v>0</v>
      </c>
      <c r="T128" s="181">
        <f>+'4. Contenido'!I91</f>
        <v>0</v>
      </c>
      <c r="U128" s="181">
        <f>+'4. Contenido'!J91</f>
        <v>0</v>
      </c>
      <c r="V128" s="764">
        <f t="shared" si="2"/>
        <v>0</v>
      </c>
    </row>
    <row r="129" spans="1:32" ht="14.5" customHeight="1" x14ac:dyDescent="0.25">
      <c r="A129" s="579"/>
      <c r="B129" s="583"/>
      <c r="C129" s="584"/>
      <c r="D129" s="584"/>
      <c r="E129" s="584"/>
      <c r="F129" s="534">
        <f>+'4. Contenido'!A92</f>
        <v>0</v>
      </c>
      <c r="G129" s="534"/>
      <c r="H129" s="534"/>
      <c r="I129" s="534"/>
      <c r="J129" s="534"/>
      <c r="K129" s="534"/>
      <c r="L129" s="180">
        <f>+'4. Contenido'!D92</f>
        <v>0</v>
      </c>
      <c r="M129" s="180">
        <f>+'4. Contenido'!E92</f>
        <v>0</v>
      </c>
      <c r="N129" s="180">
        <f>+'4. Contenido'!F92</f>
        <v>0</v>
      </c>
      <c r="O129" s="682"/>
      <c r="P129" s="683"/>
      <c r="Q129" s="684"/>
      <c r="R129" s="181">
        <f>+'4. Contenido'!G92</f>
        <v>0</v>
      </c>
      <c r="S129" s="181">
        <f>+'4. Contenido'!H92</f>
        <v>0</v>
      </c>
      <c r="T129" s="181">
        <f>+'4. Contenido'!I92</f>
        <v>0</v>
      </c>
      <c r="U129" s="181">
        <f>+'4. Contenido'!J92</f>
        <v>0</v>
      </c>
      <c r="V129" s="764">
        <f t="shared" si="2"/>
        <v>0</v>
      </c>
    </row>
    <row r="130" spans="1:32" ht="14.5" customHeight="1" x14ac:dyDescent="0.25">
      <c r="A130" s="579"/>
      <c r="B130" s="583"/>
      <c r="C130" s="584"/>
      <c r="D130" s="584"/>
      <c r="E130" s="584"/>
      <c r="F130" s="534">
        <f>+'4. Contenido'!A93</f>
        <v>0</v>
      </c>
      <c r="G130" s="534"/>
      <c r="H130" s="534"/>
      <c r="I130" s="534"/>
      <c r="J130" s="534"/>
      <c r="K130" s="534"/>
      <c r="L130" s="180">
        <f>+'4. Contenido'!D93</f>
        <v>0</v>
      </c>
      <c r="M130" s="180">
        <f>+'4. Contenido'!E93</f>
        <v>0</v>
      </c>
      <c r="N130" s="180">
        <f>+'4. Contenido'!F93</f>
        <v>0</v>
      </c>
      <c r="O130" s="682"/>
      <c r="P130" s="683"/>
      <c r="Q130" s="684"/>
      <c r="R130" s="181">
        <f>+'4. Contenido'!G93</f>
        <v>0</v>
      </c>
      <c r="S130" s="181">
        <f>+'4. Contenido'!H93</f>
        <v>0</v>
      </c>
      <c r="T130" s="181">
        <f>+'4. Contenido'!I93</f>
        <v>0</v>
      </c>
      <c r="U130" s="181">
        <f>+'4. Contenido'!J93</f>
        <v>0</v>
      </c>
      <c r="V130" s="764">
        <f t="shared" si="2"/>
        <v>0</v>
      </c>
    </row>
    <row r="131" spans="1:32" ht="14" customHeight="1" x14ac:dyDescent="0.25">
      <c r="A131" s="579"/>
      <c r="B131" s="583"/>
      <c r="C131" s="584"/>
      <c r="D131" s="584"/>
      <c r="E131" s="584"/>
      <c r="F131" s="534">
        <f>+'4. Contenido'!A94</f>
        <v>0</v>
      </c>
      <c r="G131" s="534"/>
      <c r="H131" s="534"/>
      <c r="I131" s="534"/>
      <c r="J131" s="534"/>
      <c r="K131" s="534"/>
      <c r="L131" s="180">
        <f>+'4. Contenido'!D94</f>
        <v>0</v>
      </c>
      <c r="M131" s="180">
        <f>+'4. Contenido'!E94</f>
        <v>0</v>
      </c>
      <c r="N131" s="180">
        <f>+'4. Contenido'!F94</f>
        <v>0</v>
      </c>
      <c r="O131" s="682"/>
      <c r="P131" s="683"/>
      <c r="Q131" s="684"/>
      <c r="R131" s="181">
        <f>+'4. Contenido'!G94</f>
        <v>0</v>
      </c>
      <c r="S131" s="181">
        <f>+'4. Contenido'!H94</f>
        <v>0</v>
      </c>
      <c r="T131" s="181">
        <f>+'4. Contenido'!I94</f>
        <v>0</v>
      </c>
      <c r="U131" s="181">
        <f>+'4. Contenido'!J94</f>
        <v>0</v>
      </c>
      <c r="V131" s="764">
        <f t="shared" ref="V131:V140" si="3">+T131+U131</f>
        <v>0</v>
      </c>
    </row>
    <row r="132" spans="1:32" ht="14.5" customHeight="1" x14ac:dyDescent="0.25">
      <c r="A132" s="579"/>
      <c r="B132" s="583"/>
      <c r="C132" s="584"/>
      <c r="D132" s="584"/>
      <c r="E132" s="584"/>
      <c r="F132" s="534">
        <f>+'4. Contenido'!A95</f>
        <v>0</v>
      </c>
      <c r="G132" s="534"/>
      <c r="H132" s="534"/>
      <c r="I132" s="534"/>
      <c r="J132" s="534"/>
      <c r="K132" s="534"/>
      <c r="L132" s="180">
        <f>+'4. Contenido'!D95</f>
        <v>0</v>
      </c>
      <c r="M132" s="180">
        <f>+'4. Contenido'!E95</f>
        <v>0</v>
      </c>
      <c r="N132" s="180">
        <f>+'4. Contenido'!F95</f>
        <v>0</v>
      </c>
      <c r="O132" s="682"/>
      <c r="P132" s="683"/>
      <c r="Q132" s="684"/>
      <c r="R132" s="181">
        <f>+'4. Contenido'!G95</f>
        <v>0</v>
      </c>
      <c r="S132" s="181">
        <f>+'4. Contenido'!H95</f>
        <v>0</v>
      </c>
      <c r="T132" s="181">
        <f>+'4. Contenido'!I95</f>
        <v>0</v>
      </c>
      <c r="U132" s="181">
        <f>+'4. Contenido'!J95</f>
        <v>0</v>
      </c>
      <c r="V132" s="764">
        <f t="shared" si="3"/>
        <v>0</v>
      </c>
    </row>
    <row r="133" spans="1:32" ht="14.5" customHeight="1" x14ac:dyDescent="0.25">
      <c r="A133" s="579"/>
      <c r="B133" s="583"/>
      <c r="C133" s="584"/>
      <c r="D133" s="584"/>
      <c r="E133" s="584"/>
      <c r="F133" s="534">
        <f>+'4. Contenido'!A96</f>
        <v>0</v>
      </c>
      <c r="G133" s="534"/>
      <c r="H133" s="534"/>
      <c r="I133" s="534"/>
      <c r="J133" s="534"/>
      <c r="K133" s="534"/>
      <c r="L133" s="180">
        <f>+'4. Contenido'!D96</f>
        <v>0</v>
      </c>
      <c r="M133" s="180">
        <f>+'4. Contenido'!E96</f>
        <v>0</v>
      </c>
      <c r="N133" s="180">
        <f>+'4. Contenido'!F96</f>
        <v>0</v>
      </c>
      <c r="O133" s="682"/>
      <c r="P133" s="683"/>
      <c r="Q133" s="684"/>
      <c r="R133" s="181">
        <f>+'4. Contenido'!G96</f>
        <v>0</v>
      </c>
      <c r="S133" s="181">
        <f>+'4. Contenido'!H96</f>
        <v>0</v>
      </c>
      <c r="T133" s="181">
        <f>+'4. Contenido'!I96</f>
        <v>0</v>
      </c>
      <c r="U133" s="181">
        <f>+'4. Contenido'!J96</f>
        <v>0</v>
      </c>
      <c r="V133" s="764">
        <f t="shared" si="3"/>
        <v>0</v>
      </c>
    </row>
    <row r="134" spans="1:32" ht="14.5" customHeight="1" x14ac:dyDescent="0.25">
      <c r="A134" s="579"/>
      <c r="B134" s="583"/>
      <c r="C134" s="584"/>
      <c r="D134" s="584"/>
      <c r="E134" s="584"/>
      <c r="F134" s="534">
        <f>+'4. Contenido'!A97</f>
        <v>0</v>
      </c>
      <c r="G134" s="534"/>
      <c r="H134" s="534"/>
      <c r="I134" s="534"/>
      <c r="J134" s="534"/>
      <c r="K134" s="534"/>
      <c r="L134" s="180">
        <f>+'4. Contenido'!D97</f>
        <v>0</v>
      </c>
      <c r="M134" s="180">
        <f>+'4. Contenido'!E97</f>
        <v>0</v>
      </c>
      <c r="N134" s="180">
        <f>+'4. Contenido'!F97</f>
        <v>0</v>
      </c>
      <c r="O134" s="682"/>
      <c r="P134" s="683"/>
      <c r="Q134" s="684"/>
      <c r="R134" s="181">
        <f>+'4. Contenido'!G97</f>
        <v>0</v>
      </c>
      <c r="S134" s="181">
        <f>+'4. Contenido'!H97</f>
        <v>0</v>
      </c>
      <c r="T134" s="181">
        <f>+'4. Contenido'!I97</f>
        <v>0</v>
      </c>
      <c r="U134" s="181">
        <f>+'4. Contenido'!J97</f>
        <v>0</v>
      </c>
      <c r="V134" s="764">
        <f t="shared" si="3"/>
        <v>0</v>
      </c>
    </row>
    <row r="135" spans="1:32" ht="14.5" customHeight="1" x14ac:dyDescent="0.25">
      <c r="A135" s="579"/>
      <c r="B135" s="583"/>
      <c r="C135" s="584"/>
      <c r="D135" s="584"/>
      <c r="E135" s="584"/>
      <c r="F135" s="534">
        <f>+'4. Contenido'!A98</f>
        <v>0</v>
      </c>
      <c r="G135" s="534"/>
      <c r="H135" s="534"/>
      <c r="I135" s="534"/>
      <c r="J135" s="534"/>
      <c r="K135" s="534"/>
      <c r="L135" s="180">
        <f>+'4. Contenido'!D98</f>
        <v>0</v>
      </c>
      <c r="M135" s="180">
        <f>+'4. Contenido'!E98</f>
        <v>0</v>
      </c>
      <c r="N135" s="180">
        <f>+'4. Contenido'!F98</f>
        <v>0</v>
      </c>
      <c r="O135" s="682"/>
      <c r="P135" s="683"/>
      <c r="Q135" s="684"/>
      <c r="R135" s="181">
        <f>+'4. Contenido'!G98</f>
        <v>0</v>
      </c>
      <c r="S135" s="181">
        <f>+'4. Contenido'!H98</f>
        <v>0</v>
      </c>
      <c r="T135" s="181">
        <f>+'4. Contenido'!I98</f>
        <v>0</v>
      </c>
      <c r="U135" s="181">
        <f>+'4. Contenido'!J98</f>
        <v>0</v>
      </c>
      <c r="V135" s="764">
        <f t="shared" si="3"/>
        <v>0</v>
      </c>
    </row>
    <row r="136" spans="1:32" ht="14.5" customHeight="1" x14ac:dyDescent="0.25">
      <c r="A136" s="579"/>
      <c r="B136" s="583"/>
      <c r="C136" s="584"/>
      <c r="D136" s="584"/>
      <c r="E136" s="584"/>
      <c r="F136" s="534">
        <f>+'4. Contenido'!A99</f>
        <v>0</v>
      </c>
      <c r="G136" s="534"/>
      <c r="H136" s="534"/>
      <c r="I136" s="534"/>
      <c r="J136" s="534"/>
      <c r="K136" s="534"/>
      <c r="L136" s="180">
        <f>+'4. Contenido'!D99</f>
        <v>0</v>
      </c>
      <c r="M136" s="180">
        <f>+'4. Contenido'!E99</f>
        <v>0</v>
      </c>
      <c r="N136" s="180">
        <f>+'4. Contenido'!F99</f>
        <v>0</v>
      </c>
      <c r="O136" s="682"/>
      <c r="P136" s="683"/>
      <c r="Q136" s="684"/>
      <c r="R136" s="181">
        <f>+'4. Contenido'!G99</f>
        <v>0</v>
      </c>
      <c r="S136" s="181">
        <f>+'4. Contenido'!H99</f>
        <v>0</v>
      </c>
      <c r="T136" s="181">
        <f>+'4. Contenido'!I99</f>
        <v>0</v>
      </c>
      <c r="U136" s="181">
        <f>+'4. Contenido'!J99</f>
        <v>0</v>
      </c>
      <c r="V136" s="764">
        <f t="shared" si="3"/>
        <v>0</v>
      </c>
    </row>
    <row r="137" spans="1:32" ht="14.5" customHeight="1" x14ac:dyDescent="0.25">
      <c r="A137" s="579"/>
      <c r="B137" s="583"/>
      <c r="C137" s="584"/>
      <c r="D137" s="584"/>
      <c r="E137" s="584"/>
      <c r="F137" s="534">
        <f>+'4. Contenido'!A100</f>
        <v>0</v>
      </c>
      <c r="G137" s="534"/>
      <c r="H137" s="534"/>
      <c r="I137" s="534"/>
      <c r="J137" s="534"/>
      <c r="K137" s="534"/>
      <c r="L137" s="180">
        <f>+'4. Contenido'!D100</f>
        <v>0</v>
      </c>
      <c r="M137" s="180">
        <f>+'4. Contenido'!E100</f>
        <v>0</v>
      </c>
      <c r="N137" s="180">
        <f>+'4. Contenido'!F100</f>
        <v>0</v>
      </c>
      <c r="O137" s="682"/>
      <c r="P137" s="683"/>
      <c r="Q137" s="684"/>
      <c r="R137" s="181">
        <f>+'4. Contenido'!G100</f>
        <v>0</v>
      </c>
      <c r="S137" s="181">
        <f>+'4. Contenido'!H100</f>
        <v>0</v>
      </c>
      <c r="T137" s="181">
        <f>+'4. Contenido'!I100</f>
        <v>0</v>
      </c>
      <c r="U137" s="181">
        <f>+'4. Contenido'!J100</f>
        <v>0</v>
      </c>
      <c r="V137" s="764">
        <f t="shared" si="3"/>
        <v>0</v>
      </c>
    </row>
    <row r="138" spans="1:32" ht="14.5" customHeight="1" x14ac:dyDescent="0.25">
      <c r="A138" s="579"/>
      <c r="B138" s="583"/>
      <c r="C138" s="584"/>
      <c r="D138" s="584"/>
      <c r="E138" s="584"/>
      <c r="F138" s="534">
        <f>+'4. Contenido'!A101</f>
        <v>0</v>
      </c>
      <c r="G138" s="534"/>
      <c r="H138" s="534"/>
      <c r="I138" s="534"/>
      <c r="J138" s="534"/>
      <c r="K138" s="534"/>
      <c r="L138" s="180">
        <f>+'4. Contenido'!D101</f>
        <v>0</v>
      </c>
      <c r="M138" s="180">
        <f>+'4. Contenido'!E101</f>
        <v>0</v>
      </c>
      <c r="N138" s="180">
        <f>+'4. Contenido'!F101</f>
        <v>0</v>
      </c>
      <c r="O138" s="682"/>
      <c r="P138" s="683"/>
      <c r="Q138" s="684"/>
      <c r="R138" s="181">
        <f>+'4. Contenido'!G101</f>
        <v>0</v>
      </c>
      <c r="S138" s="181">
        <f>+'4. Contenido'!H101</f>
        <v>0</v>
      </c>
      <c r="T138" s="181">
        <f>+'4. Contenido'!I101</f>
        <v>0</v>
      </c>
      <c r="U138" s="181">
        <f>+'4. Contenido'!J101</f>
        <v>0</v>
      </c>
      <c r="V138" s="764">
        <f t="shared" si="3"/>
        <v>0</v>
      </c>
    </row>
    <row r="139" spans="1:32" ht="14.5" customHeight="1" x14ac:dyDescent="0.25">
      <c r="A139" s="579"/>
      <c r="B139" s="583"/>
      <c r="C139" s="584"/>
      <c r="D139" s="584"/>
      <c r="E139" s="584"/>
      <c r="F139" s="534">
        <f>+'4. Contenido'!A102</f>
        <v>0</v>
      </c>
      <c r="G139" s="534"/>
      <c r="H139" s="534"/>
      <c r="I139" s="534"/>
      <c r="J139" s="534"/>
      <c r="K139" s="534"/>
      <c r="L139" s="180">
        <f>+'4. Contenido'!D102</f>
        <v>0</v>
      </c>
      <c r="M139" s="180">
        <f>+'4. Contenido'!E102</f>
        <v>0</v>
      </c>
      <c r="N139" s="180">
        <f>+'4. Contenido'!F102</f>
        <v>0</v>
      </c>
      <c r="O139" s="682"/>
      <c r="P139" s="683"/>
      <c r="Q139" s="684"/>
      <c r="R139" s="181">
        <f>+'4. Contenido'!G102</f>
        <v>0</v>
      </c>
      <c r="S139" s="181">
        <f>+'4. Contenido'!H102</f>
        <v>0</v>
      </c>
      <c r="T139" s="181">
        <f>+'4. Contenido'!I102</f>
        <v>0</v>
      </c>
      <c r="U139" s="181">
        <f>+'4. Contenido'!J102</f>
        <v>0</v>
      </c>
      <c r="V139" s="764">
        <f t="shared" si="3"/>
        <v>0</v>
      </c>
    </row>
    <row r="140" spans="1:32" ht="15" customHeight="1" thickBot="1" x14ac:dyDescent="0.3">
      <c r="A140" s="580"/>
      <c r="B140" s="585"/>
      <c r="C140" s="586"/>
      <c r="D140" s="586"/>
      <c r="E140" s="586"/>
      <c r="F140" s="587">
        <f>+'4. Contenido'!A103</f>
        <v>0</v>
      </c>
      <c r="G140" s="587"/>
      <c r="H140" s="587"/>
      <c r="I140" s="587"/>
      <c r="J140" s="587"/>
      <c r="K140" s="587"/>
      <c r="L140" s="182">
        <f>+'4. Contenido'!D103</f>
        <v>0</v>
      </c>
      <c r="M140" s="182">
        <f>+'4. Contenido'!E103</f>
        <v>0</v>
      </c>
      <c r="N140" s="182">
        <f>+'4. Contenido'!F103</f>
        <v>0</v>
      </c>
      <c r="O140" s="685"/>
      <c r="P140" s="686"/>
      <c r="Q140" s="687"/>
      <c r="R140" s="183"/>
      <c r="S140" s="183"/>
      <c r="T140" s="184"/>
      <c r="U140" s="184"/>
      <c r="V140" s="771">
        <f t="shared" si="3"/>
        <v>0</v>
      </c>
    </row>
    <row r="141" spans="1:32" s="7" customFormat="1" ht="30" customHeight="1" x14ac:dyDescent="0.35">
      <c r="A141" s="599"/>
      <c r="B141" s="599"/>
      <c r="C141" s="599"/>
      <c r="D141" s="599"/>
      <c r="E141" s="599"/>
      <c r="F141" s="599"/>
      <c r="G141" s="599"/>
      <c r="H141" s="599"/>
      <c r="I141" s="599"/>
      <c r="J141" s="599"/>
      <c r="K141" s="599"/>
      <c r="L141" s="599"/>
      <c r="M141" s="599"/>
      <c r="N141" s="599"/>
      <c r="O141" s="599"/>
      <c r="P141" s="599"/>
      <c r="Q141" s="599"/>
      <c r="R141" s="599"/>
      <c r="S141" s="599"/>
      <c r="T141" s="132" t="s">
        <v>279</v>
      </c>
      <c r="U141" s="132" t="s">
        <v>278</v>
      </c>
      <c r="V141" s="132" t="s">
        <v>280</v>
      </c>
      <c r="W141" s="131"/>
    </row>
    <row r="142" spans="1:32" s="7" customFormat="1" ht="30" customHeight="1" x14ac:dyDescent="0.35">
      <c r="A142" s="588"/>
      <c r="B142" s="588"/>
      <c r="C142" s="588"/>
      <c r="D142" s="588"/>
      <c r="E142" s="588"/>
      <c r="F142" s="588"/>
      <c r="G142" s="588"/>
      <c r="H142" s="588"/>
      <c r="I142" s="588"/>
      <c r="J142" s="588"/>
      <c r="K142" s="588"/>
      <c r="L142" s="588"/>
      <c r="M142" s="588"/>
      <c r="N142" s="588"/>
      <c r="O142" s="588"/>
      <c r="P142" s="588"/>
      <c r="Q142" s="588"/>
      <c r="R142" s="588"/>
      <c r="S142" s="588"/>
      <c r="T142" s="133">
        <f>SUM(T51:T141)</f>
        <v>0</v>
      </c>
      <c r="U142" s="133">
        <f t="shared" ref="U142:V142" si="4">SUM(U51:U141)</f>
        <v>0</v>
      </c>
      <c r="V142" s="133">
        <f t="shared" si="4"/>
        <v>0</v>
      </c>
      <c r="W142" s="131"/>
    </row>
    <row r="143" spans="1:32" ht="21.5" customHeight="1" x14ac:dyDescent="0.4">
      <c r="A143" s="677" t="s">
        <v>3</v>
      </c>
      <c r="B143" s="678"/>
      <c r="C143" s="678"/>
      <c r="D143" s="678"/>
      <c r="E143" s="678"/>
      <c r="F143" s="678"/>
      <c r="G143" s="678"/>
      <c r="H143" s="678"/>
      <c r="I143" s="678"/>
      <c r="J143" s="678"/>
      <c r="K143" s="678"/>
      <c r="L143" s="678"/>
      <c r="M143" s="678"/>
      <c r="N143" s="678"/>
      <c r="O143" s="678"/>
      <c r="P143" s="678"/>
      <c r="Q143" s="678"/>
      <c r="R143" s="678"/>
      <c r="S143" s="678"/>
      <c r="T143" s="678"/>
      <c r="U143" s="678"/>
      <c r="V143" s="678"/>
      <c r="W143" s="29"/>
    </row>
    <row r="144" spans="1:32" ht="14.5" customHeight="1" x14ac:dyDescent="0.35">
      <c r="A144" s="706" t="str">
        <f>+'3. ESTRATEG. APRENDIZAJE'!B8</f>
        <v>Lección Magistral</v>
      </c>
      <c r="B144" s="705"/>
      <c r="C144" s="705"/>
      <c r="D144" s="705"/>
      <c r="E144" s="705"/>
      <c r="F144" s="705"/>
      <c r="G144" s="705"/>
      <c r="H144" s="705"/>
      <c r="I144" s="707"/>
      <c r="J144" s="704" t="str">
        <f>+'3. ESTRATEG. APRENDIZAJE'!B20</f>
        <v>Aprendizaje Orientado a Proyecto</v>
      </c>
      <c r="K144" s="705"/>
      <c r="L144" s="705"/>
      <c r="M144" s="705"/>
      <c r="N144" s="705"/>
      <c r="O144" s="705"/>
      <c r="P144" s="708"/>
      <c r="Q144" s="704" t="str">
        <f>+'3. ESTRATEG. APRENDIZAJE'!B30</f>
        <v>Aprendizaje Basado en Problemas</v>
      </c>
      <c r="R144" s="705"/>
      <c r="S144" s="705"/>
      <c r="T144" s="705"/>
      <c r="U144" s="705"/>
      <c r="V144" s="705"/>
      <c r="W144" s="29"/>
      <c r="Y144"/>
      <c r="Z144"/>
      <c r="AA144"/>
      <c r="AB144"/>
      <c r="AC144"/>
      <c r="AD144"/>
      <c r="AE144"/>
      <c r="AF144"/>
    </row>
    <row r="145" spans="1:32" ht="14.5" customHeight="1" x14ac:dyDescent="0.35">
      <c r="A145" s="561">
        <f>+'3. ESTRATEG. APRENDIZAJE'!B9</f>
        <v>0</v>
      </c>
      <c r="B145" s="561"/>
      <c r="C145" s="709" t="str">
        <f>+'3. ESTRATEG. APRENDIZAJE'!C9</f>
        <v>Exposición del Académico</v>
      </c>
      <c r="D145" s="710"/>
      <c r="E145" s="710"/>
      <c r="F145" s="710"/>
      <c r="G145" s="710"/>
      <c r="H145" s="710"/>
      <c r="I145" s="711"/>
      <c r="J145" s="560">
        <f>+'3. ESTRATEG. APRENDIZAJE'!B21</f>
        <v>0</v>
      </c>
      <c r="K145" s="561"/>
      <c r="L145" s="712" t="str">
        <f>+'3. ESTRATEG. APRENDIZAJE'!C21</f>
        <v>Realización de un Proyecto</v>
      </c>
      <c r="M145" s="713"/>
      <c r="N145" s="713"/>
      <c r="O145" s="713"/>
      <c r="P145" s="714"/>
      <c r="Q145" s="137">
        <f>+'3. ESTRATEG. APRENDIZAJE'!B31</f>
        <v>0</v>
      </c>
      <c r="R145" s="554" t="str">
        <f>+'3. ESTRATEG. APRENDIZAJE'!C31</f>
        <v>Situaciones Problemáticas de contexto real</v>
      </c>
      <c r="S145" s="555"/>
      <c r="T145" s="555"/>
      <c r="U145" s="555"/>
      <c r="V145" s="556"/>
      <c r="W145" s="29"/>
      <c r="Y145"/>
      <c r="Z145"/>
      <c r="AA145"/>
      <c r="AB145"/>
      <c r="AC145"/>
      <c r="AD145"/>
      <c r="AE145"/>
      <c r="AF145"/>
    </row>
    <row r="146" spans="1:32" ht="14.5" customHeight="1" x14ac:dyDescent="0.35">
      <c r="A146" s="561">
        <f>+'3. ESTRATEG. APRENDIZAJE'!B10</f>
        <v>0</v>
      </c>
      <c r="B146" s="561"/>
      <c r="C146" s="709" t="str">
        <f>+'3. ESTRATEG. APRENDIZAJE'!C10</f>
        <v>Lectura dirigida</v>
      </c>
      <c r="D146" s="710"/>
      <c r="E146" s="710"/>
      <c r="F146" s="710"/>
      <c r="G146" s="710"/>
      <c r="H146" s="710"/>
      <c r="I146" s="711"/>
      <c r="J146" s="560">
        <f>+'3. ESTRATEG. APRENDIZAJE'!B22</f>
        <v>0</v>
      </c>
      <c r="K146" s="561"/>
      <c r="L146" s="712" t="str">
        <f>+'3. ESTRATEG. APRENDIZAJE'!C22</f>
        <v>Resolver problemas o Actividades.</v>
      </c>
      <c r="M146" s="713"/>
      <c r="N146" s="713"/>
      <c r="O146" s="713"/>
      <c r="P146" s="714"/>
      <c r="Q146" s="137">
        <f>+'3. ESTRATEG. APRENDIZAJE'!B32</f>
        <v>0</v>
      </c>
      <c r="R146" s="554" t="str">
        <f>+'3. ESTRATEG. APRENDIZAJE'!C32</f>
        <v>Simulaciones</v>
      </c>
      <c r="S146" s="555"/>
      <c r="T146" s="555"/>
      <c r="U146" s="555"/>
      <c r="V146" s="556"/>
      <c r="W146" s="29"/>
      <c r="Y146"/>
      <c r="Z146"/>
      <c r="AA146"/>
      <c r="AB146"/>
      <c r="AC146"/>
      <c r="AD146"/>
      <c r="AE146"/>
      <c r="AF146"/>
    </row>
    <row r="147" spans="1:32" ht="14.5" x14ac:dyDescent="0.35">
      <c r="A147" s="561">
        <f>+'3. ESTRATEG. APRENDIZAJE'!B11</f>
        <v>0</v>
      </c>
      <c r="B147" s="561"/>
      <c r="C147" s="709" t="str">
        <f>+'3. ESTRATEG. APRENDIZAJE'!C11</f>
        <v>Revisión Bibliográfica</v>
      </c>
      <c r="D147" s="710"/>
      <c r="E147" s="710"/>
      <c r="F147" s="710"/>
      <c r="G147" s="710"/>
      <c r="H147" s="710"/>
      <c r="I147" s="711"/>
      <c r="J147" s="560">
        <f>+'3. ESTRATEG. APRENDIZAJE'!B23</f>
        <v>0</v>
      </c>
      <c r="K147" s="561"/>
      <c r="L147" s="712" t="str">
        <f>+'3. ESTRATEG. APRENDIZAJE'!C23</f>
        <v>Asumir Responsabilidades</v>
      </c>
      <c r="M147" s="713"/>
      <c r="N147" s="713"/>
      <c r="O147" s="713"/>
      <c r="P147" s="714"/>
      <c r="Q147" s="137">
        <f>+'3. ESTRATEG. APRENDIZAJE'!B33</f>
        <v>0</v>
      </c>
      <c r="R147" s="554" t="str">
        <f>+'3. ESTRATEG. APRENDIZAJE'!C33</f>
        <v>El profesor como facilitador</v>
      </c>
      <c r="S147" s="555"/>
      <c r="T147" s="555"/>
      <c r="U147" s="555"/>
      <c r="V147" s="556"/>
      <c r="W147" s="29"/>
      <c r="Y147"/>
      <c r="Z147"/>
      <c r="AA147"/>
      <c r="AB147"/>
      <c r="AC147"/>
      <c r="AD147"/>
      <c r="AE147"/>
      <c r="AF147"/>
    </row>
    <row r="148" spans="1:32" ht="22.5" customHeight="1" x14ac:dyDescent="0.35">
      <c r="A148" s="561">
        <f>+'3. ESTRATEG. APRENDIZAJE'!B12</f>
        <v>0</v>
      </c>
      <c r="B148" s="561"/>
      <c r="C148" s="709" t="str">
        <f>+'3. ESTRATEG. APRENDIZAJE'!C12</f>
        <v>Seminario</v>
      </c>
      <c r="D148" s="710"/>
      <c r="E148" s="710"/>
      <c r="F148" s="710"/>
      <c r="G148" s="710"/>
      <c r="H148" s="710"/>
      <c r="I148" s="711"/>
      <c r="J148" s="560">
        <f>+'3. ESTRATEG. APRENDIZAJE'!B24</f>
        <v>0</v>
      </c>
      <c r="K148" s="561"/>
      <c r="L148" s="712" t="str">
        <f>+'3. ESTRATEG. APRENDIZAJE'!C24</f>
        <v>Guías y procedimientos</v>
      </c>
      <c r="M148" s="713"/>
      <c r="N148" s="713"/>
      <c r="O148" s="713"/>
      <c r="P148" s="714"/>
      <c r="Q148" s="137">
        <f>+'3. ESTRATEG. APRENDIZAJE'!B34</f>
        <v>0</v>
      </c>
      <c r="R148" s="557" t="str">
        <f>+'3. ESTRATEG. APRENDIZAJE'!C34</f>
        <v>Talleres teóricos - prácticos (Talleres teniendo en cuenta el ABP)</v>
      </c>
      <c r="S148" s="558"/>
      <c r="T148" s="558"/>
      <c r="U148" s="558"/>
      <c r="V148" s="559"/>
      <c r="W148" s="29"/>
      <c r="Y148"/>
      <c r="Z148"/>
      <c r="AA148"/>
      <c r="AB148"/>
      <c r="AC148"/>
      <c r="AD148"/>
      <c r="AE148"/>
      <c r="AF148"/>
    </row>
    <row r="149" spans="1:32" ht="15" customHeight="1" x14ac:dyDescent="0.35">
      <c r="A149" s="561">
        <f>+'3. ESTRATEG. APRENDIZAJE'!B13</f>
        <v>0</v>
      </c>
      <c r="B149" s="561"/>
      <c r="C149" s="709" t="str">
        <f>+'3. ESTRATEG. APRENDIZAJE'!C13</f>
        <v>Conferencia</v>
      </c>
      <c r="D149" s="710"/>
      <c r="E149" s="710"/>
      <c r="F149" s="710"/>
      <c r="G149" s="710"/>
      <c r="H149" s="710"/>
      <c r="I149" s="711"/>
      <c r="J149" s="560">
        <f>+'3. ESTRATEG. APRENDIZAJE'!B25</f>
        <v>0</v>
      </c>
      <c r="K149" s="561"/>
      <c r="L149" s="712" t="str">
        <f>+'3. ESTRATEG. APRENDIZAJE'!C25</f>
        <v>Participación en Proyectos de Investigación</v>
      </c>
      <c r="M149" s="713"/>
      <c r="N149" s="713"/>
      <c r="O149" s="713"/>
      <c r="P149" s="714"/>
      <c r="Q149" s="137"/>
      <c r="R149" s="554"/>
      <c r="S149" s="555"/>
      <c r="T149" s="555"/>
      <c r="U149" s="555"/>
      <c r="V149" s="556"/>
      <c r="W149" s="29"/>
      <c r="Y149"/>
      <c r="Z149"/>
      <c r="AA149"/>
      <c r="AB149"/>
      <c r="AC149"/>
      <c r="AD149"/>
      <c r="AE149"/>
      <c r="AF149"/>
    </row>
    <row r="150" spans="1:32" ht="15" customHeight="1" x14ac:dyDescent="0.35">
      <c r="A150" s="706" t="str">
        <f>+'3. ESTRATEG. APRENDIZAJE'!B14</f>
        <v>Estudios de Caso</v>
      </c>
      <c r="B150" s="705"/>
      <c r="C150" s="705"/>
      <c r="D150" s="705"/>
      <c r="E150" s="705"/>
      <c r="F150" s="705"/>
      <c r="G150" s="705"/>
      <c r="H150" s="705"/>
      <c r="I150" s="707"/>
      <c r="J150" s="704" t="str">
        <f>+'3. ESTRATEG. APRENDIZAJE'!B26</f>
        <v>Aprendizaje Colaborativo</v>
      </c>
      <c r="K150" s="705"/>
      <c r="L150" s="705"/>
      <c r="M150" s="705"/>
      <c r="N150" s="705"/>
      <c r="O150" s="705"/>
      <c r="P150" s="708"/>
      <c r="Q150" s="574" t="str">
        <f>+'Documento Imprimir'!E200</f>
        <v>Otros</v>
      </c>
      <c r="R150" s="575"/>
      <c r="S150" s="575"/>
      <c r="T150" s="575"/>
      <c r="U150" s="575"/>
      <c r="V150" s="576"/>
      <c r="W150" s="29"/>
      <c r="Y150"/>
      <c r="Z150"/>
      <c r="AA150"/>
      <c r="AB150"/>
      <c r="AC150"/>
      <c r="AD150"/>
      <c r="AE150"/>
      <c r="AF150"/>
    </row>
    <row r="151" spans="1:32" ht="15" customHeight="1" x14ac:dyDescent="0.35">
      <c r="A151" s="561">
        <f>+'3. ESTRATEG. APRENDIZAJE'!B15</f>
        <v>0</v>
      </c>
      <c r="B151" s="561"/>
      <c r="C151" s="709" t="str">
        <f>+'3. ESTRATEG. APRENDIZAJE'!C15</f>
        <v>Problemas Reales</v>
      </c>
      <c r="D151" s="710"/>
      <c r="E151" s="710"/>
      <c r="F151" s="710"/>
      <c r="G151" s="710"/>
      <c r="H151" s="710"/>
      <c r="I151" s="711"/>
      <c r="J151" s="560">
        <f>+'3. ESTRATEG. APRENDIZAJE'!B27</f>
        <v>0</v>
      </c>
      <c r="K151" s="561"/>
      <c r="L151" s="712" t="str">
        <f>+'3. ESTRATEG. APRENDIZAJE'!C27</f>
        <v xml:space="preserve">Integración de grupos
</v>
      </c>
      <c r="M151" s="713"/>
      <c r="N151" s="713"/>
      <c r="O151" s="713"/>
      <c r="P151" s="714"/>
      <c r="Q151" s="137">
        <f>+'3. ESTRATEG. APRENDIZAJE'!B36</f>
        <v>0</v>
      </c>
      <c r="R151" s="138" t="str">
        <f>+'3. ESTRATEG. APRENDIZAJE'!C36</f>
        <v>La clase Invertida - The Flipped Classroom.</v>
      </c>
      <c r="S151" s="138"/>
      <c r="T151" s="138"/>
      <c r="U151" s="138"/>
      <c r="V151" s="138"/>
      <c r="W151" s="29"/>
      <c r="Y151"/>
      <c r="Z151"/>
      <c r="AA151"/>
      <c r="AB151"/>
      <c r="AC151"/>
      <c r="AD151"/>
      <c r="AE151"/>
      <c r="AF151"/>
    </row>
    <row r="152" spans="1:32" ht="15" customHeight="1" x14ac:dyDescent="0.35">
      <c r="A152" s="561">
        <f>+'3. ESTRATEG. APRENDIZAJE'!B16</f>
        <v>0</v>
      </c>
      <c r="B152" s="561"/>
      <c r="C152" s="709" t="str">
        <f>+'3. ESTRATEG. APRENDIZAJE'!C16</f>
        <v>Análisis completo del Problema</v>
      </c>
      <c r="D152" s="710"/>
      <c r="E152" s="710"/>
      <c r="F152" s="710"/>
      <c r="G152" s="710"/>
      <c r="H152" s="710"/>
      <c r="I152" s="711"/>
      <c r="J152" s="560">
        <f>+'3. ESTRATEG. APRENDIZAJE'!B28</f>
        <v>0</v>
      </c>
      <c r="K152" s="561"/>
      <c r="L152" s="712" t="str">
        <f>+'3. ESTRATEG. APRENDIZAJE'!C28</f>
        <v xml:space="preserve">Panel de discusión </v>
      </c>
      <c r="M152" s="713"/>
      <c r="N152" s="713"/>
      <c r="O152" s="713"/>
      <c r="P152" s="714"/>
      <c r="Q152" s="137">
        <f>+'3. ESTRATEG. APRENDIZAJE'!B37</f>
        <v>0</v>
      </c>
      <c r="R152" s="715" t="str">
        <f>+'3. ESTRATEG. APRENDIZAJE'!C37</f>
        <v>Mediación por Tics</v>
      </c>
      <c r="S152" s="716"/>
      <c r="T152" s="716"/>
      <c r="U152" s="716"/>
      <c r="V152" s="717"/>
      <c r="W152" s="29"/>
      <c r="Y152"/>
      <c r="Z152"/>
      <c r="AA152"/>
      <c r="AB152"/>
      <c r="AC152"/>
      <c r="AD152"/>
      <c r="AE152"/>
      <c r="AF152"/>
    </row>
    <row r="153" spans="1:32" ht="15" customHeight="1" x14ac:dyDescent="0.35">
      <c r="A153" s="561">
        <f>+'3. ESTRATEG. APRENDIZAJE'!B17</f>
        <v>0</v>
      </c>
      <c r="B153" s="561"/>
      <c r="C153" s="709" t="str">
        <f>+'3. ESTRATEG. APRENDIZAJE'!C17</f>
        <v>Desarrollo de Guías</v>
      </c>
      <c r="D153" s="710"/>
      <c r="E153" s="710"/>
      <c r="F153" s="710"/>
      <c r="G153" s="710"/>
      <c r="H153" s="710"/>
      <c r="I153" s="711"/>
      <c r="J153" s="560">
        <f>+'3. ESTRATEG. APRENDIZAJE'!B29</f>
        <v>0</v>
      </c>
      <c r="K153" s="561"/>
      <c r="L153" s="712" t="str">
        <f>+'3. ESTRATEG. APRENDIZAJE'!C29</f>
        <v>Foro del Diálogo</v>
      </c>
      <c r="M153" s="713"/>
      <c r="N153" s="713"/>
      <c r="O153" s="713"/>
      <c r="P153" s="714"/>
      <c r="Q153" s="137">
        <f>+'3. ESTRATEG. APRENDIZAJE'!B38</f>
        <v>0</v>
      </c>
      <c r="R153" s="715" t="str">
        <f>+'3. ESTRATEG. APRENDIZAJE'!C38</f>
        <v>Recurso Multimedia</v>
      </c>
      <c r="S153" s="716"/>
      <c r="T153" s="716"/>
      <c r="U153" s="716"/>
      <c r="V153" s="717"/>
      <c r="W153" s="29"/>
      <c r="Y153"/>
      <c r="Z153"/>
      <c r="AA153"/>
      <c r="AB153"/>
      <c r="AC153"/>
      <c r="AD153"/>
      <c r="AE153"/>
      <c r="AF153"/>
    </row>
    <row r="154" spans="1:32" ht="15" customHeight="1" x14ac:dyDescent="0.35">
      <c r="A154" s="561">
        <f>+'3. ESTRATEG. APRENDIZAJE'!B18</f>
        <v>0</v>
      </c>
      <c r="B154" s="561"/>
      <c r="C154" s="709" t="str">
        <f>+'3. ESTRATEG. APRENDIZAJE'!C18</f>
        <v>Visitas de Campo o empresarial</v>
      </c>
      <c r="D154" s="710"/>
      <c r="E154" s="710"/>
      <c r="F154" s="710"/>
      <c r="G154" s="710"/>
      <c r="H154" s="710"/>
      <c r="I154" s="711"/>
      <c r="J154" s="560">
        <f>+'3. ESTRATEG. APRENDIZAJE'!B41</f>
        <v>0</v>
      </c>
      <c r="K154" s="561"/>
      <c r="L154" s="701">
        <f>+'3. ESTRATEG. APRENDIZAJE'!C41</f>
        <v>0</v>
      </c>
      <c r="M154" s="702"/>
      <c r="N154" s="702"/>
      <c r="O154" s="702"/>
      <c r="P154" s="703"/>
      <c r="Q154" s="137">
        <f>+'3. ESTRATEG. APRENDIZAJE'!B39</f>
        <v>0</v>
      </c>
      <c r="R154" s="715">
        <f>+'3. ESTRATEG. APRENDIZAJE'!C39</f>
        <v>0</v>
      </c>
      <c r="S154" s="716"/>
      <c r="T154" s="716"/>
      <c r="U154" s="716"/>
      <c r="V154" s="717"/>
      <c r="W154" s="29"/>
      <c r="Y154"/>
      <c r="Z154"/>
      <c r="AA154"/>
      <c r="AB154"/>
      <c r="AC154"/>
      <c r="AD154"/>
      <c r="AE154"/>
      <c r="AF154"/>
    </row>
    <row r="155" spans="1:32" ht="15" customHeight="1" x14ac:dyDescent="0.35">
      <c r="A155" s="561">
        <f>+'3. ESTRATEG. APRENDIZAJE'!B19</f>
        <v>0</v>
      </c>
      <c r="B155" s="561"/>
      <c r="C155" s="721" t="str">
        <f>+'3. ESTRATEG. APRENDIZAJE'!C19</f>
        <v>Prácticas de Laboratorio</v>
      </c>
      <c r="D155" s="722"/>
      <c r="E155" s="722"/>
      <c r="F155" s="722"/>
      <c r="G155" s="722"/>
      <c r="H155" s="722"/>
      <c r="I155" s="723"/>
      <c r="J155" s="560"/>
      <c r="K155" s="561"/>
      <c r="L155" s="701"/>
      <c r="M155" s="702"/>
      <c r="N155" s="702"/>
      <c r="O155" s="702"/>
      <c r="P155" s="703"/>
      <c r="Q155" s="137">
        <f>+'3. ESTRATEG. APRENDIZAJE'!B40</f>
        <v>0</v>
      </c>
      <c r="R155" s="718">
        <f>+'3. ESTRATEG. APRENDIZAJE'!C40</f>
        <v>0</v>
      </c>
      <c r="S155" s="719"/>
      <c r="T155" s="719"/>
      <c r="U155" s="719"/>
      <c r="V155" s="719"/>
      <c r="W155" s="29"/>
      <c r="Y155"/>
      <c r="Z155"/>
      <c r="AA155"/>
      <c r="AB155"/>
      <c r="AC155"/>
      <c r="AD155"/>
      <c r="AE155"/>
      <c r="AF155"/>
    </row>
    <row r="156" spans="1:32" ht="21.5" customHeight="1" thickBot="1" x14ac:dyDescent="0.4">
      <c r="A156" s="720" t="s">
        <v>136</v>
      </c>
      <c r="B156" s="720"/>
      <c r="C156" s="720"/>
      <c r="D156" s="720"/>
      <c r="E156" s="720"/>
      <c r="F156" s="720"/>
      <c r="G156" s="720"/>
      <c r="H156" s="720"/>
      <c r="I156" s="720"/>
      <c r="J156" s="720"/>
      <c r="K156" s="720"/>
      <c r="L156" s="720"/>
      <c r="M156" s="720"/>
      <c r="N156" s="720"/>
      <c r="O156" s="720"/>
      <c r="P156" s="720"/>
      <c r="Q156" s="720"/>
      <c r="R156" s="720"/>
      <c r="S156" s="720"/>
      <c r="T156" s="720"/>
      <c r="U156" s="720"/>
      <c r="V156" s="720"/>
      <c r="W156" s="29"/>
      <c r="Y156"/>
      <c r="Z156"/>
      <c r="AA156"/>
      <c r="AB156"/>
      <c r="AC156"/>
      <c r="AD156"/>
      <c r="AE156"/>
      <c r="AF156"/>
    </row>
    <row r="157" spans="1:32" ht="23.15" customHeight="1" thickBot="1" x14ac:dyDescent="0.4">
      <c r="A157" s="552" t="s">
        <v>182</v>
      </c>
      <c r="B157" s="552"/>
      <c r="C157" s="552"/>
      <c r="D157" s="552"/>
      <c r="E157" s="552"/>
      <c r="F157" s="552"/>
      <c r="G157" s="552"/>
      <c r="H157" s="552"/>
      <c r="I157" s="552"/>
      <c r="J157" s="552"/>
      <c r="K157" s="552" t="s">
        <v>183</v>
      </c>
      <c r="L157" s="552"/>
      <c r="M157" s="552"/>
      <c r="N157" s="552"/>
      <c r="O157" s="552"/>
      <c r="P157" s="552"/>
      <c r="Q157" s="552"/>
      <c r="R157" s="552"/>
      <c r="S157" s="552"/>
      <c r="T157" s="552"/>
      <c r="U157" s="552"/>
      <c r="V157" s="552"/>
      <c r="W157" s="29"/>
      <c r="Y157"/>
      <c r="Z157"/>
      <c r="AA157"/>
      <c r="AB157"/>
      <c r="AC157"/>
      <c r="AD157"/>
      <c r="AE157"/>
      <c r="AF157"/>
    </row>
    <row r="158" spans="1:32" ht="14.5" x14ac:dyDescent="0.35">
      <c r="A158" s="609">
        <f>+'4. Contenido'!B8</f>
        <v>0</v>
      </c>
      <c r="B158" s="610"/>
      <c r="C158" s="610"/>
      <c r="D158" s="610"/>
      <c r="E158" s="610"/>
      <c r="F158" s="610"/>
      <c r="G158" s="610"/>
      <c r="H158" s="610"/>
      <c r="I158" s="610"/>
      <c r="J158" s="611"/>
      <c r="K158" s="553"/>
      <c r="L158" s="553"/>
      <c r="M158" s="553"/>
      <c r="N158" s="553"/>
      <c r="O158" s="553"/>
      <c r="P158" s="553"/>
      <c r="Q158" s="553"/>
      <c r="R158" s="553"/>
      <c r="S158" s="553"/>
      <c r="T158" s="553"/>
      <c r="U158" s="553"/>
      <c r="V158" s="553"/>
      <c r="W158" s="29"/>
      <c r="Y158"/>
      <c r="Z158"/>
      <c r="AA158"/>
      <c r="AB158"/>
      <c r="AC158"/>
      <c r="AD158"/>
      <c r="AE158"/>
      <c r="AF158"/>
    </row>
    <row r="159" spans="1:32" ht="14" customHeight="1" x14ac:dyDescent="0.35">
      <c r="A159" s="612"/>
      <c r="B159" s="613"/>
      <c r="C159" s="613"/>
      <c r="D159" s="613"/>
      <c r="E159" s="613"/>
      <c r="F159" s="613"/>
      <c r="G159" s="613"/>
      <c r="H159" s="613"/>
      <c r="I159" s="613"/>
      <c r="J159" s="614"/>
      <c r="K159" s="553"/>
      <c r="L159" s="553"/>
      <c r="M159" s="553"/>
      <c r="N159" s="553"/>
      <c r="O159" s="553"/>
      <c r="P159" s="553"/>
      <c r="Q159" s="553"/>
      <c r="R159" s="553"/>
      <c r="S159" s="553"/>
      <c r="T159" s="553"/>
      <c r="U159" s="553"/>
      <c r="V159" s="553"/>
      <c r="W159" s="29"/>
      <c r="Y159"/>
      <c r="Z159"/>
      <c r="AA159"/>
      <c r="AB159"/>
      <c r="AC159"/>
      <c r="AD159"/>
      <c r="AE159"/>
      <c r="AF159"/>
    </row>
    <row r="160" spans="1:32" ht="15" thickBot="1" x14ac:dyDescent="0.4">
      <c r="A160" s="615"/>
      <c r="B160" s="616"/>
      <c r="C160" s="616"/>
      <c r="D160" s="616"/>
      <c r="E160" s="616"/>
      <c r="F160" s="616"/>
      <c r="G160" s="616"/>
      <c r="H160" s="616"/>
      <c r="I160" s="616"/>
      <c r="J160" s="617"/>
      <c r="K160" s="553"/>
      <c r="L160" s="553"/>
      <c r="M160" s="553"/>
      <c r="N160" s="553"/>
      <c r="O160" s="553"/>
      <c r="P160" s="553"/>
      <c r="Q160" s="553"/>
      <c r="R160" s="553"/>
      <c r="S160" s="553"/>
      <c r="T160" s="553"/>
      <c r="U160" s="553"/>
      <c r="V160" s="553"/>
      <c r="W160" s="29"/>
      <c r="Y160"/>
      <c r="Z160"/>
      <c r="AA160"/>
      <c r="AB160"/>
      <c r="AC160"/>
      <c r="AD160"/>
      <c r="AE160"/>
      <c r="AF160"/>
    </row>
    <row r="161" spans="1:32" ht="14.5" x14ac:dyDescent="0.35">
      <c r="A161" s="609">
        <f>+'4. Contenido'!B24</f>
        <v>0</v>
      </c>
      <c r="B161" s="610"/>
      <c r="C161" s="610"/>
      <c r="D161" s="610"/>
      <c r="E161" s="610"/>
      <c r="F161" s="610"/>
      <c r="G161" s="610"/>
      <c r="H161" s="610"/>
      <c r="I161" s="610"/>
      <c r="J161" s="611"/>
      <c r="K161" s="553"/>
      <c r="L161" s="553"/>
      <c r="M161" s="553"/>
      <c r="N161" s="553"/>
      <c r="O161" s="553"/>
      <c r="P161" s="553"/>
      <c r="Q161" s="553"/>
      <c r="R161" s="553"/>
      <c r="S161" s="553"/>
      <c r="T161" s="553"/>
      <c r="U161" s="553"/>
      <c r="V161" s="553"/>
      <c r="W161" s="29"/>
      <c r="Y161"/>
      <c r="Z161"/>
      <c r="AA161"/>
      <c r="AB161"/>
      <c r="AC161"/>
      <c r="AD161"/>
      <c r="AE161"/>
      <c r="AF161"/>
    </row>
    <row r="162" spans="1:32" ht="14.5" x14ac:dyDescent="0.35">
      <c r="A162" s="612"/>
      <c r="B162" s="613"/>
      <c r="C162" s="613"/>
      <c r="D162" s="613"/>
      <c r="E162" s="613"/>
      <c r="F162" s="613"/>
      <c r="G162" s="613"/>
      <c r="H162" s="613"/>
      <c r="I162" s="613"/>
      <c r="J162" s="614"/>
      <c r="K162" s="553"/>
      <c r="L162" s="553"/>
      <c r="M162" s="553"/>
      <c r="N162" s="553"/>
      <c r="O162" s="553"/>
      <c r="P162" s="553"/>
      <c r="Q162" s="553"/>
      <c r="R162" s="553"/>
      <c r="S162" s="553"/>
      <c r="T162" s="553"/>
      <c r="U162" s="553"/>
      <c r="V162" s="553"/>
      <c r="W162" s="29"/>
      <c r="Y162"/>
      <c r="Z162"/>
      <c r="AA162"/>
      <c r="AB162"/>
      <c r="AC162"/>
      <c r="AD162"/>
      <c r="AE162"/>
      <c r="AF162"/>
    </row>
    <row r="163" spans="1:32" ht="15" thickBot="1" x14ac:dyDescent="0.4">
      <c r="A163" s="615"/>
      <c r="B163" s="616"/>
      <c r="C163" s="616"/>
      <c r="D163" s="616"/>
      <c r="E163" s="616"/>
      <c r="F163" s="616"/>
      <c r="G163" s="616"/>
      <c r="H163" s="616"/>
      <c r="I163" s="616"/>
      <c r="J163" s="617"/>
      <c r="K163" s="553"/>
      <c r="L163" s="553"/>
      <c r="M163" s="553"/>
      <c r="N163" s="553"/>
      <c r="O163" s="553"/>
      <c r="P163" s="553"/>
      <c r="Q163" s="553"/>
      <c r="R163" s="553"/>
      <c r="S163" s="553"/>
      <c r="T163" s="553"/>
      <c r="U163" s="553"/>
      <c r="V163" s="553"/>
      <c r="W163" s="29"/>
      <c r="Y163"/>
      <c r="Z163"/>
      <c r="AA163"/>
      <c r="AB163"/>
      <c r="AC163"/>
      <c r="AD163"/>
      <c r="AE163"/>
      <c r="AF163"/>
    </row>
    <row r="164" spans="1:32" ht="14.5" customHeight="1" x14ac:dyDescent="0.25">
      <c r="A164" s="609">
        <f>+'4. Contenido'!B40</f>
        <v>0</v>
      </c>
      <c r="B164" s="610"/>
      <c r="C164" s="610"/>
      <c r="D164" s="610"/>
      <c r="E164" s="610"/>
      <c r="F164" s="610"/>
      <c r="G164" s="610"/>
      <c r="H164" s="610"/>
      <c r="I164" s="610"/>
      <c r="J164" s="611"/>
      <c r="K164" s="553"/>
      <c r="L164" s="553"/>
      <c r="M164" s="553"/>
      <c r="N164" s="553"/>
      <c r="O164" s="553"/>
      <c r="P164" s="553"/>
      <c r="Q164" s="553"/>
      <c r="R164" s="553"/>
      <c r="S164" s="553"/>
      <c r="T164" s="553"/>
      <c r="U164" s="553"/>
      <c r="V164" s="553"/>
    </row>
    <row r="165" spans="1:32" ht="14.5" customHeight="1" x14ac:dyDescent="0.25">
      <c r="A165" s="612"/>
      <c r="B165" s="613"/>
      <c r="C165" s="613"/>
      <c r="D165" s="613"/>
      <c r="E165" s="613"/>
      <c r="F165" s="613"/>
      <c r="G165" s="613"/>
      <c r="H165" s="613"/>
      <c r="I165" s="613"/>
      <c r="J165" s="614"/>
      <c r="K165" s="553"/>
      <c r="L165" s="553"/>
      <c r="M165" s="553"/>
      <c r="N165" s="553"/>
      <c r="O165" s="553"/>
      <c r="P165" s="553"/>
      <c r="Q165" s="553"/>
      <c r="R165" s="553"/>
      <c r="S165" s="553"/>
      <c r="T165" s="553"/>
      <c r="U165" s="553"/>
      <c r="V165" s="553"/>
    </row>
    <row r="166" spans="1:32" ht="14.5" customHeight="1" thickBot="1" x14ac:dyDescent="0.3">
      <c r="A166" s="615"/>
      <c r="B166" s="616"/>
      <c r="C166" s="616"/>
      <c r="D166" s="616"/>
      <c r="E166" s="616"/>
      <c r="F166" s="616"/>
      <c r="G166" s="616"/>
      <c r="H166" s="616"/>
      <c r="I166" s="616"/>
      <c r="J166" s="617"/>
      <c r="K166" s="553"/>
      <c r="L166" s="553"/>
      <c r="M166" s="553"/>
      <c r="N166" s="553"/>
      <c r="O166" s="553"/>
      <c r="P166" s="553"/>
      <c r="Q166" s="553"/>
      <c r="R166" s="553"/>
      <c r="S166" s="553"/>
      <c r="T166" s="553"/>
      <c r="U166" s="553"/>
      <c r="V166" s="553"/>
    </row>
    <row r="167" spans="1:32" ht="14.5" customHeight="1" x14ac:dyDescent="0.25">
      <c r="A167" s="609">
        <f>+'4. Contenido'!B56</f>
        <v>0</v>
      </c>
      <c r="B167" s="610"/>
      <c r="C167" s="610"/>
      <c r="D167" s="610"/>
      <c r="E167" s="610"/>
      <c r="F167" s="610"/>
      <c r="G167" s="610"/>
      <c r="H167" s="610"/>
      <c r="I167" s="610"/>
      <c r="J167" s="611"/>
      <c r="K167" s="553"/>
      <c r="L167" s="553"/>
      <c r="M167" s="553"/>
      <c r="N167" s="553"/>
      <c r="O167" s="553"/>
      <c r="P167" s="553"/>
      <c r="Q167" s="553"/>
      <c r="R167" s="553"/>
      <c r="S167" s="553"/>
      <c r="T167" s="553"/>
      <c r="U167" s="553"/>
      <c r="V167" s="553"/>
    </row>
    <row r="168" spans="1:32" ht="14.5" customHeight="1" x14ac:dyDescent="0.25">
      <c r="A168" s="612"/>
      <c r="B168" s="613"/>
      <c r="C168" s="613"/>
      <c r="D168" s="613"/>
      <c r="E168" s="613"/>
      <c r="F168" s="613"/>
      <c r="G168" s="613"/>
      <c r="H168" s="613"/>
      <c r="I168" s="613"/>
      <c r="J168" s="614"/>
      <c r="K168" s="553"/>
      <c r="L168" s="553"/>
      <c r="M168" s="553"/>
      <c r="N168" s="553"/>
      <c r="O168" s="553"/>
      <c r="P168" s="553"/>
      <c r="Q168" s="553"/>
      <c r="R168" s="553"/>
      <c r="S168" s="553"/>
      <c r="T168" s="553"/>
      <c r="U168" s="553"/>
      <c r="V168" s="553"/>
    </row>
    <row r="169" spans="1:32" ht="14.5" customHeight="1" thickBot="1" x14ac:dyDescent="0.3">
      <c r="A169" s="615"/>
      <c r="B169" s="616"/>
      <c r="C169" s="616"/>
      <c r="D169" s="616"/>
      <c r="E169" s="616"/>
      <c r="F169" s="616"/>
      <c r="G169" s="616"/>
      <c r="H169" s="616"/>
      <c r="I169" s="616"/>
      <c r="J169" s="617"/>
      <c r="K169" s="553"/>
      <c r="L169" s="553"/>
      <c r="M169" s="553"/>
      <c r="N169" s="553"/>
      <c r="O169" s="553"/>
      <c r="P169" s="553"/>
      <c r="Q169" s="553"/>
      <c r="R169" s="553"/>
      <c r="S169" s="553"/>
      <c r="T169" s="553"/>
      <c r="U169" s="553"/>
      <c r="V169" s="553"/>
    </row>
    <row r="170" spans="1:32" ht="14.5" customHeight="1" x14ac:dyDescent="0.25">
      <c r="A170" s="609">
        <f>+'4. Contenido'!B72</f>
        <v>0</v>
      </c>
      <c r="B170" s="610"/>
      <c r="C170" s="610"/>
      <c r="D170" s="610"/>
      <c r="E170" s="610"/>
      <c r="F170" s="610"/>
      <c r="G170" s="610"/>
      <c r="H170" s="610"/>
      <c r="I170" s="610"/>
      <c r="J170" s="611"/>
      <c r="K170" s="553"/>
      <c r="L170" s="553"/>
      <c r="M170" s="553"/>
      <c r="N170" s="553"/>
      <c r="O170" s="553"/>
      <c r="P170" s="553"/>
      <c r="Q170" s="553"/>
      <c r="R170" s="553"/>
      <c r="S170" s="553"/>
      <c r="T170" s="553"/>
      <c r="U170" s="553"/>
      <c r="V170" s="553"/>
    </row>
    <row r="171" spans="1:32" ht="14.5" customHeight="1" x14ac:dyDescent="0.25">
      <c r="A171" s="612"/>
      <c r="B171" s="613"/>
      <c r="C171" s="613"/>
      <c r="D171" s="613"/>
      <c r="E171" s="613"/>
      <c r="F171" s="613"/>
      <c r="G171" s="613"/>
      <c r="H171" s="613"/>
      <c r="I171" s="613"/>
      <c r="J171" s="614"/>
      <c r="K171" s="553"/>
      <c r="L171" s="553"/>
      <c r="M171" s="553"/>
      <c r="N171" s="553"/>
      <c r="O171" s="553"/>
      <c r="P171" s="553"/>
      <c r="Q171" s="553"/>
      <c r="R171" s="553"/>
      <c r="S171" s="553"/>
      <c r="T171" s="553"/>
      <c r="U171" s="553"/>
      <c r="V171" s="553"/>
    </row>
    <row r="172" spans="1:32" ht="14.5" customHeight="1" thickBot="1" x14ac:dyDescent="0.3">
      <c r="A172" s="615"/>
      <c r="B172" s="616"/>
      <c r="C172" s="616"/>
      <c r="D172" s="616"/>
      <c r="E172" s="616"/>
      <c r="F172" s="616"/>
      <c r="G172" s="616"/>
      <c r="H172" s="616"/>
      <c r="I172" s="616"/>
      <c r="J172" s="617"/>
      <c r="K172" s="553"/>
      <c r="L172" s="553"/>
      <c r="M172" s="553"/>
      <c r="N172" s="553"/>
      <c r="O172" s="553"/>
      <c r="P172" s="553"/>
      <c r="Q172" s="553"/>
      <c r="R172" s="553"/>
      <c r="S172" s="553"/>
      <c r="T172" s="553"/>
      <c r="U172" s="553"/>
      <c r="V172" s="553"/>
    </row>
    <row r="173" spans="1:32" ht="14.5" customHeight="1" x14ac:dyDescent="0.25">
      <c r="A173" s="609">
        <f>+'4. Contenido'!B88</f>
        <v>0</v>
      </c>
      <c r="B173" s="610"/>
      <c r="C173" s="610"/>
      <c r="D173" s="610"/>
      <c r="E173" s="610"/>
      <c r="F173" s="610"/>
      <c r="G173" s="610"/>
      <c r="H173" s="610"/>
      <c r="I173" s="610"/>
      <c r="J173" s="611"/>
      <c r="K173" s="553"/>
      <c r="L173" s="553"/>
      <c r="M173" s="553"/>
      <c r="N173" s="553"/>
      <c r="O173" s="553"/>
      <c r="P173" s="553"/>
      <c r="Q173" s="553"/>
      <c r="R173" s="553"/>
      <c r="S173" s="553"/>
      <c r="T173" s="553"/>
      <c r="U173" s="553"/>
      <c r="V173" s="553"/>
    </row>
    <row r="174" spans="1:32" ht="14.5" customHeight="1" x14ac:dyDescent="0.25">
      <c r="A174" s="612"/>
      <c r="B174" s="613"/>
      <c r="C174" s="613"/>
      <c r="D174" s="613"/>
      <c r="E174" s="613"/>
      <c r="F174" s="613"/>
      <c r="G174" s="613"/>
      <c r="H174" s="613"/>
      <c r="I174" s="613"/>
      <c r="J174" s="614"/>
      <c r="K174" s="553"/>
      <c r="L174" s="553"/>
      <c r="M174" s="553"/>
      <c r="N174" s="553"/>
      <c r="O174" s="553"/>
      <c r="P174" s="553"/>
      <c r="Q174" s="553"/>
      <c r="R174" s="553"/>
      <c r="S174" s="553"/>
      <c r="T174" s="553"/>
      <c r="U174" s="553"/>
      <c r="V174" s="553"/>
    </row>
    <row r="175" spans="1:32" ht="14.5" customHeight="1" thickBot="1" x14ac:dyDescent="0.3">
      <c r="A175" s="615"/>
      <c r="B175" s="616"/>
      <c r="C175" s="616"/>
      <c r="D175" s="616"/>
      <c r="E175" s="616"/>
      <c r="F175" s="616"/>
      <c r="G175" s="616"/>
      <c r="H175" s="616"/>
      <c r="I175" s="616"/>
      <c r="J175" s="617"/>
      <c r="K175" s="553"/>
      <c r="L175" s="553"/>
      <c r="M175" s="553"/>
      <c r="N175" s="553"/>
      <c r="O175" s="553"/>
      <c r="P175" s="553"/>
      <c r="Q175" s="553"/>
      <c r="R175" s="553"/>
      <c r="S175" s="553"/>
      <c r="T175" s="553"/>
      <c r="U175" s="553"/>
      <c r="V175" s="553"/>
    </row>
    <row r="176" spans="1:32" ht="28.5" customHeight="1" thickBot="1" x14ac:dyDescent="0.3">
      <c r="A176" s="567" t="s">
        <v>184</v>
      </c>
      <c r="B176" s="568"/>
      <c r="C176" s="568"/>
      <c r="D176" s="568"/>
      <c r="E176" s="568"/>
      <c r="F176" s="568"/>
      <c r="G176" s="568"/>
      <c r="H176" s="568"/>
      <c r="I176" s="568"/>
      <c r="J176" s="568"/>
      <c r="K176" s="568"/>
      <c r="L176" s="568"/>
      <c r="M176" s="568"/>
      <c r="N176" s="568"/>
      <c r="O176" s="568"/>
      <c r="P176" s="568"/>
      <c r="Q176" s="568"/>
      <c r="R176" s="568"/>
      <c r="S176" s="568"/>
      <c r="T176" s="568"/>
      <c r="U176" s="568"/>
      <c r="V176" s="568"/>
    </row>
    <row r="177" spans="1:22" ht="11.5" customHeight="1" thickBot="1" x14ac:dyDescent="0.3">
      <c r="A177" s="562"/>
      <c r="B177" s="562"/>
      <c r="C177" s="562"/>
      <c r="D177" s="562"/>
      <c r="E177" s="562"/>
      <c r="F177" s="562"/>
      <c r="G177" s="562"/>
      <c r="H177" s="562"/>
      <c r="I177" s="562"/>
      <c r="J177" s="562"/>
      <c r="K177" s="562"/>
      <c r="L177" s="562"/>
      <c r="M177" s="562"/>
      <c r="N177" s="562"/>
      <c r="O177" s="562"/>
      <c r="P177" s="562"/>
      <c r="Q177" s="562"/>
      <c r="R177" s="562"/>
      <c r="S177" s="562"/>
      <c r="T177" s="562"/>
      <c r="U177" s="562"/>
      <c r="V177" s="562"/>
    </row>
    <row r="178" spans="1:22" ht="12" thickBot="1" x14ac:dyDescent="0.3">
      <c r="A178" s="562"/>
      <c r="B178" s="562"/>
      <c r="C178" s="562"/>
      <c r="D178" s="562"/>
      <c r="E178" s="562"/>
      <c r="F178" s="562"/>
      <c r="G178" s="562"/>
      <c r="H178" s="562"/>
      <c r="I178" s="562"/>
      <c r="J178" s="562"/>
      <c r="K178" s="562"/>
      <c r="L178" s="562"/>
      <c r="M178" s="562"/>
      <c r="N178" s="562"/>
      <c r="O178" s="562"/>
      <c r="P178" s="562"/>
      <c r="Q178" s="562"/>
      <c r="R178" s="562"/>
      <c r="S178" s="562"/>
      <c r="T178" s="562"/>
      <c r="U178" s="562"/>
      <c r="V178" s="562"/>
    </row>
    <row r="179" spans="1:22" ht="12" thickBot="1" x14ac:dyDescent="0.3">
      <c r="A179" s="562"/>
      <c r="B179" s="562"/>
      <c r="C179" s="562"/>
      <c r="D179" s="562"/>
      <c r="E179" s="562"/>
      <c r="F179" s="562"/>
      <c r="G179" s="562"/>
      <c r="H179" s="562"/>
      <c r="I179" s="562"/>
      <c r="J179" s="562"/>
      <c r="K179" s="562"/>
      <c r="L179" s="562"/>
      <c r="M179" s="562"/>
      <c r="N179" s="562"/>
      <c r="O179" s="562"/>
      <c r="P179" s="562"/>
      <c r="Q179" s="562"/>
      <c r="R179" s="562"/>
      <c r="S179" s="562"/>
      <c r="T179" s="562"/>
      <c r="U179" s="562"/>
      <c r="V179" s="562"/>
    </row>
    <row r="180" spans="1:22" ht="12" thickBot="1" x14ac:dyDescent="0.3">
      <c r="A180" s="562"/>
      <c r="B180" s="562"/>
      <c r="C180" s="562"/>
      <c r="D180" s="562"/>
      <c r="E180" s="562"/>
      <c r="F180" s="562"/>
      <c r="G180" s="562"/>
      <c r="H180" s="562"/>
      <c r="I180" s="562"/>
      <c r="J180" s="562"/>
      <c r="K180" s="562"/>
      <c r="L180" s="562"/>
      <c r="M180" s="562"/>
      <c r="N180" s="562"/>
      <c r="O180" s="562"/>
      <c r="P180" s="562"/>
      <c r="Q180" s="562"/>
      <c r="R180" s="562"/>
      <c r="S180" s="562"/>
      <c r="T180" s="562"/>
      <c r="U180" s="562"/>
      <c r="V180" s="562"/>
    </row>
    <row r="181" spans="1:22" ht="12" thickBot="1" x14ac:dyDescent="0.3">
      <c r="A181" s="562"/>
      <c r="B181" s="562"/>
      <c r="C181" s="562"/>
      <c r="D181" s="562"/>
      <c r="E181" s="562"/>
      <c r="F181" s="562"/>
      <c r="G181" s="562"/>
      <c r="H181" s="562"/>
      <c r="I181" s="562"/>
      <c r="J181" s="562"/>
      <c r="K181" s="562"/>
      <c r="L181" s="562"/>
      <c r="M181" s="562"/>
      <c r="N181" s="562"/>
      <c r="O181" s="562"/>
      <c r="P181" s="562"/>
      <c r="Q181" s="562"/>
      <c r="R181" s="562"/>
      <c r="S181" s="562"/>
      <c r="T181" s="562"/>
      <c r="U181" s="562"/>
      <c r="V181" s="562"/>
    </row>
    <row r="182" spans="1:22" ht="12" thickBot="1" x14ac:dyDescent="0.3">
      <c r="A182" s="562"/>
      <c r="B182" s="562"/>
      <c r="C182" s="562"/>
      <c r="D182" s="562"/>
      <c r="E182" s="562"/>
      <c r="F182" s="562"/>
      <c r="G182" s="562"/>
      <c r="H182" s="562"/>
      <c r="I182" s="562"/>
      <c r="J182" s="562"/>
      <c r="K182" s="562"/>
      <c r="L182" s="562"/>
      <c r="M182" s="562"/>
      <c r="N182" s="562"/>
      <c r="O182" s="562"/>
      <c r="P182" s="562"/>
      <c r="Q182" s="562"/>
      <c r="R182" s="562"/>
      <c r="S182" s="562"/>
      <c r="T182" s="562"/>
      <c r="U182" s="562"/>
      <c r="V182" s="562"/>
    </row>
    <row r="183" spans="1:22" ht="12" thickBot="1" x14ac:dyDescent="0.3">
      <c r="A183" s="562"/>
      <c r="B183" s="562"/>
      <c r="C183" s="562"/>
      <c r="D183" s="562"/>
      <c r="E183" s="562"/>
      <c r="F183" s="562"/>
      <c r="G183" s="562"/>
      <c r="H183" s="562"/>
      <c r="I183" s="562"/>
      <c r="J183" s="562"/>
      <c r="K183" s="562"/>
      <c r="L183" s="562"/>
      <c r="M183" s="562"/>
      <c r="N183" s="562"/>
      <c r="O183" s="562"/>
      <c r="P183" s="562"/>
      <c r="Q183" s="562"/>
      <c r="R183" s="562"/>
      <c r="S183" s="562"/>
      <c r="T183" s="562"/>
      <c r="U183" s="562"/>
      <c r="V183" s="562"/>
    </row>
    <row r="184" spans="1:22" ht="12" thickBot="1" x14ac:dyDescent="0.3">
      <c r="A184" s="562"/>
      <c r="B184" s="562"/>
      <c r="C184" s="562"/>
      <c r="D184" s="562"/>
      <c r="E184" s="562"/>
      <c r="F184" s="562"/>
      <c r="G184" s="562"/>
      <c r="H184" s="562"/>
      <c r="I184" s="562"/>
      <c r="J184" s="562"/>
      <c r="K184" s="562"/>
      <c r="L184" s="562"/>
      <c r="M184" s="562"/>
      <c r="N184" s="562"/>
      <c r="O184" s="562"/>
      <c r="P184" s="562"/>
      <c r="Q184" s="562"/>
      <c r="R184" s="562"/>
      <c r="S184" s="562"/>
      <c r="T184" s="562"/>
      <c r="U184" s="562"/>
      <c r="V184" s="562"/>
    </row>
    <row r="185" spans="1:22" ht="12" thickBot="1" x14ac:dyDescent="0.3">
      <c r="A185" s="562"/>
      <c r="B185" s="562"/>
      <c r="C185" s="562"/>
      <c r="D185" s="562"/>
      <c r="E185" s="562"/>
      <c r="F185" s="562"/>
      <c r="G185" s="562"/>
      <c r="H185" s="562"/>
      <c r="I185" s="562"/>
      <c r="J185" s="562"/>
      <c r="K185" s="562"/>
      <c r="L185" s="562"/>
      <c r="M185" s="562"/>
      <c r="N185" s="562"/>
      <c r="O185" s="562"/>
      <c r="P185" s="562"/>
      <c r="Q185" s="562"/>
      <c r="R185" s="562"/>
      <c r="S185" s="562"/>
      <c r="T185" s="562"/>
      <c r="U185" s="562"/>
      <c r="V185" s="562"/>
    </row>
    <row r="186" spans="1:22" ht="12" thickBot="1" x14ac:dyDescent="0.3">
      <c r="A186" s="562"/>
      <c r="B186" s="562"/>
      <c r="C186" s="562"/>
      <c r="D186" s="562"/>
      <c r="E186" s="562"/>
      <c r="F186" s="562"/>
      <c r="G186" s="562"/>
      <c r="H186" s="562"/>
      <c r="I186" s="562"/>
      <c r="J186" s="562"/>
      <c r="K186" s="562"/>
      <c r="L186" s="562"/>
      <c r="M186" s="562"/>
      <c r="N186" s="562"/>
      <c r="O186" s="562"/>
      <c r="P186" s="562"/>
      <c r="Q186" s="562"/>
      <c r="R186" s="562"/>
      <c r="S186" s="562"/>
      <c r="T186" s="562"/>
      <c r="U186" s="562"/>
      <c r="V186" s="562"/>
    </row>
    <row r="187" spans="1:22" x14ac:dyDescent="0.25">
      <c r="A187" s="563"/>
      <c r="B187" s="563"/>
      <c r="C187" s="563"/>
      <c r="D187" s="563"/>
      <c r="E187" s="563"/>
      <c r="F187" s="563"/>
      <c r="G187" s="563"/>
      <c r="H187" s="563"/>
      <c r="I187" s="563"/>
      <c r="J187" s="563"/>
      <c r="K187" s="563"/>
      <c r="L187" s="563"/>
      <c r="M187" s="563"/>
      <c r="N187" s="563"/>
      <c r="O187" s="563"/>
      <c r="P187" s="563"/>
      <c r="Q187" s="563"/>
      <c r="R187" s="563"/>
      <c r="S187" s="563"/>
      <c r="T187" s="563"/>
      <c r="U187" s="563"/>
      <c r="V187" s="563"/>
    </row>
    <row r="188" spans="1:22" x14ac:dyDescent="0.25">
      <c r="A188" s="566"/>
      <c r="B188" s="566"/>
      <c r="C188" s="566"/>
      <c r="D188" s="566"/>
      <c r="E188" s="566"/>
      <c r="F188" s="566"/>
      <c r="G188" s="566"/>
      <c r="H188" s="566"/>
      <c r="I188" s="566"/>
      <c r="J188" s="566"/>
      <c r="K188" s="566"/>
      <c r="L188" s="566"/>
      <c r="M188" s="566"/>
      <c r="N188" s="566"/>
      <c r="O188" s="566"/>
      <c r="P188" s="566"/>
      <c r="Q188" s="566"/>
      <c r="R188" s="566"/>
      <c r="S188" s="566"/>
      <c r="T188" s="566"/>
      <c r="U188" s="566"/>
      <c r="V188" s="566"/>
    </row>
    <row r="189" spans="1:22" s="7" customFormat="1" ht="27" customHeight="1" x14ac:dyDescent="0.35">
      <c r="A189" s="564" t="s">
        <v>185</v>
      </c>
      <c r="B189" s="564"/>
      <c r="C189" s="564"/>
      <c r="D189" s="564"/>
      <c r="E189" s="565"/>
      <c r="F189" s="565"/>
      <c r="G189" s="565"/>
      <c r="H189" s="565"/>
      <c r="I189" s="565"/>
      <c r="J189" s="565"/>
      <c r="K189" s="565"/>
      <c r="L189" s="565"/>
      <c r="M189" s="565"/>
      <c r="N189" s="565"/>
      <c r="O189" s="565"/>
      <c r="P189" s="565"/>
      <c r="Q189" s="565"/>
      <c r="R189" s="565"/>
      <c r="S189" s="565"/>
      <c r="T189" s="565"/>
      <c r="U189" s="565"/>
      <c r="V189" s="565"/>
    </row>
    <row r="190" spans="1:22" ht="27.65" customHeight="1" x14ac:dyDescent="0.25">
      <c r="A190" s="564" t="s">
        <v>186</v>
      </c>
      <c r="B190" s="564"/>
      <c r="C190" s="564"/>
      <c r="D190" s="564"/>
      <c r="E190" s="569"/>
      <c r="F190" s="570"/>
      <c r="G190" s="570"/>
      <c r="H190" s="570"/>
      <c r="I190" s="570"/>
      <c r="J190" s="570"/>
      <c r="K190" s="570"/>
      <c r="L190" s="570"/>
      <c r="M190" s="571"/>
      <c r="N190" s="572" t="s">
        <v>187</v>
      </c>
      <c r="O190" s="573"/>
      <c r="P190" s="569"/>
      <c r="Q190" s="570"/>
      <c r="R190" s="570"/>
      <c r="S190" s="570"/>
      <c r="T190" s="570"/>
      <c r="U190" s="570"/>
      <c r="V190" s="571"/>
    </row>
    <row r="191" spans="1:22" x14ac:dyDescent="0.25">
      <c r="A191" s="535"/>
      <c r="B191" s="535"/>
      <c r="C191" s="535"/>
      <c r="D191" s="535"/>
      <c r="E191" s="535"/>
      <c r="F191" s="535"/>
      <c r="G191" s="535"/>
      <c r="H191" s="535"/>
      <c r="I191" s="535"/>
      <c r="J191" s="535"/>
      <c r="K191" s="535"/>
      <c r="L191" s="535"/>
      <c r="M191" s="535"/>
      <c r="N191" s="535"/>
      <c r="O191" s="535"/>
      <c r="P191" s="535"/>
      <c r="Q191" s="535"/>
      <c r="R191" s="535"/>
      <c r="S191" s="535"/>
      <c r="T191" s="535"/>
      <c r="U191" s="535"/>
      <c r="V191" s="535"/>
    </row>
    <row r="192" spans="1:22" ht="12" thickBot="1" x14ac:dyDescent="0.3">
      <c r="A192" s="536"/>
      <c r="B192" s="536"/>
      <c r="C192" s="536"/>
      <c r="D192" s="536"/>
      <c r="E192" s="536"/>
      <c r="F192" s="536"/>
      <c r="G192" s="536"/>
      <c r="H192" s="536"/>
      <c r="I192" s="536"/>
      <c r="J192" s="536"/>
      <c r="K192" s="536"/>
      <c r="L192" s="536"/>
      <c r="M192" s="536"/>
      <c r="N192" s="536"/>
      <c r="O192" s="536"/>
      <c r="P192" s="536"/>
      <c r="Q192" s="536"/>
      <c r="R192" s="536"/>
      <c r="S192" s="536"/>
      <c r="T192" s="536"/>
      <c r="U192" s="536"/>
      <c r="V192" s="536"/>
    </row>
    <row r="193" spans="1:22" ht="21" customHeight="1" thickBot="1" x14ac:dyDescent="0.3">
      <c r="A193" s="533" t="s">
        <v>306</v>
      </c>
      <c r="B193" s="533"/>
      <c r="C193" s="533"/>
      <c r="D193" s="533"/>
      <c r="E193" s="533"/>
      <c r="F193" s="533"/>
      <c r="G193" s="533"/>
      <c r="H193" s="533"/>
      <c r="I193" s="533"/>
      <c r="J193" s="533"/>
      <c r="K193" s="533"/>
      <c r="L193" s="533"/>
      <c r="M193" s="533"/>
      <c r="N193" s="533"/>
      <c r="O193" s="533"/>
      <c r="P193" s="533"/>
      <c r="Q193" s="533"/>
      <c r="R193" s="533"/>
      <c r="S193" s="533"/>
      <c r="T193" s="533"/>
      <c r="U193" s="533"/>
      <c r="V193" s="533"/>
    </row>
    <row r="194" spans="1:22" ht="14.5" customHeight="1" x14ac:dyDescent="0.35">
      <c r="A194" s="543" t="s">
        <v>190</v>
      </c>
      <c r="B194" s="544"/>
      <c r="C194" s="544"/>
      <c r="D194" s="544"/>
      <c r="E194" s="544"/>
      <c r="F194" s="544"/>
      <c r="G194" s="544"/>
      <c r="H194" s="544" t="s">
        <v>191</v>
      </c>
      <c r="I194" s="544"/>
      <c r="J194" s="544"/>
      <c r="K194" s="544"/>
      <c r="L194" s="547" t="s">
        <v>192</v>
      </c>
      <c r="M194" s="551" t="s">
        <v>197</v>
      </c>
      <c r="N194" s="551"/>
      <c r="O194" s="551"/>
      <c r="P194" s="544" t="s">
        <v>193</v>
      </c>
      <c r="Q194" s="544"/>
      <c r="R194" s="544"/>
      <c r="S194" s="547" t="s">
        <v>192</v>
      </c>
      <c r="T194" s="549" t="s">
        <v>197</v>
      </c>
      <c r="U194" s="549"/>
      <c r="V194" s="550"/>
    </row>
    <row r="195" spans="1:22" ht="105.65" customHeight="1" x14ac:dyDescent="0.25">
      <c r="A195" s="545"/>
      <c r="B195" s="546"/>
      <c r="C195" s="546"/>
      <c r="D195" s="546"/>
      <c r="E195" s="546"/>
      <c r="F195" s="546"/>
      <c r="G195" s="546"/>
      <c r="H195" s="546"/>
      <c r="I195" s="546"/>
      <c r="J195" s="546"/>
      <c r="K195" s="546"/>
      <c r="L195" s="548"/>
      <c r="M195" s="59" t="s">
        <v>196</v>
      </c>
      <c r="N195" s="59" t="s">
        <v>195</v>
      </c>
      <c r="O195" s="58" t="s">
        <v>194</v>
      </c>
      <c r="P195" s="546"/>
      <c r="Q195" s="546"/>
      <c r="R195" s="546"/>
      <c r="S195" s="548"/>
      <c r="T195" s="59" t="s">
        <v>196</v>
      </c>
      <c r="U195" s="59" t="s">
        <v>195</v>
      </c>
      <c r="V195" s="60" t="s">
        <v>194</v>
      </c>
    </row>
    <row r="196" spans="1:22" x14ac:dyDescent="0.25">
      <c r="A196" s="540"/>
      <c r="B196" s="539"/>
      <c r="C196" s="539"/>
      <c r="D196" s="539"/>
      <c r="E196" s="539"/>
      <c r="F196" s="539"/>
      <c r="G196" s="539"/>
      <c r="H196" s="539"/>
      <c r="I196" s="539"/>
      <c r="J196" s="539"/>
      <c r="K196" s="539"/>
      <c r="L196" s="91"/>
      <c r="M196" s="91"/>
      <c r="N196" s="91"/>
      <c r="O196" s="75"/>
      <c r="P196" s="539"/>
      <c r="Q196" s="539"/>
      <c r="R196" s="539"/>
      <c r="S196" s="81"/>
      <c r="T196" s="76"/>
      <c r="U196" s="76"/>
      <c r="V196" s="77"/>
    </row>
    <row r="197" spans="1:22" x14ac:dyDescent="0.25">
      <c r="A197" s="541"/>
      <c r="B197" s="537"/>
      <c r="C197" s="537"/>
      <c r="D197" s="537"/>
      <c r="E197" s="537"/>
      <c r="F197" s="537"/>
      <c r="G197" s="537"/>
      <c r="H197" s="537"/>
      <c r="I197" s="537"/>
      <c r="J197" s="537"/>
      <c r="K197" s="537"/>
      <c r="L197" s="89"/>
      <c r="M197" s="89"/>
      <c r="N197" s="89"/>
      <c r="O197" s="71"/>
      <c r="P197" s="537"/>
      <c r="Q197" s="537"/>
      <c r="R197" s="537"/>
      <c r="S197" s="82"/>
      <c r="T197" s="78"/>
      <c r="U197" s="78"/>
      <c r="V197" s="72"/>
    </row>
    <row r="198" spans="1:22" x14ac:dyDescent="0.25">
      <c r="A198" s="541"/>
      <c r="B198" s="537"/>
      <c r="C198" s="537"/>
      <c r="D198" s="537"/>
      <c r="E198" s="537"/>
      <c r="F198" s="537"/>
      <c r="G198" s="537"/>
      <c r="H198" s="537"/>
      <c r="I198" s="537"/>
      <c r="J198" s="537"/>
      <c r="K198" s="537"/>
      <c r="L198" s="89"/>
      <c r="M198" s="89"/>
      <c r="N198" s="89"/>
      <c r="O198" s="71"/>
      <c r="P198" s="537"/>
      <c r="Q198" s="537"/>
      <c r="R198" s="537"/>
      <c r="S198" s="82"/>
      <c r="T198" s="78"/>
      <c r="U198" s="78"/>
      <c r="V198" s="72"/>
    </row>
    <row r="199" spans="1:22" x14ac:dyDescent="0.25">
      <c r="A199" s="541"/>
      <c r="B199" s="537"/>
      <c r="C199" s="537"/>
      <c r="D199" s="537"/>
      <c r="E199" s="537"/>
      <c r="F199" s="537"/>
      <c r="G199" s="537"/>
      <c r="H199" s="537"/>
      <c r="I199" s="537"/>
      <c r="J199" s="537"/>
      <c r="K199" s="537"/>
      <c r="L199" s="89"/>
      <c r="M199" s="89"/>
      <c r="N199" s="89"/>
      <c r="O199" s="71"/>
      <c r="P199" s="537"/>
      <c r="Q199" s="537"/>
      <c r="R199" s="537"/>
      <c r="S199" s="82"/>
      <c r="T199" s="78"/>
      <c r="U199" s="78"/>
      <c r="V199" s="72"/>
    </row>
    <row r="200" spans="1:22" x14ac:dyDescent="0.25">
      <c r="A200" s="541"/>
      <c r="B200" s="537"/>
      <c r="C200" s="537"/>
      <c r="D200" s="537"/>
      <c r="E200" s="537"/>
      <c r="F200" s="537"/>
      <c r="G200" s="537"/>
      <c r="H200" s="537"/>
      <c r="I200" s="537"/>
      <c r="J200" s="537"/>
      <c r="K200" s="537"/>
      <c r="L200" s="89"/>
      <c r="M200" s="89"/>
      <c r="N200" s="89"/>
      <c r="O200" s="71"/>
      <c r="P200" s="537"/>
      <c r="Q200" s="537"/>
      <c r="R200" s="537"/>
      <c r="S200" s="82"/>
      <c r="T200" s="78"/>
      <c r="U200" s="78"/>
      <c r="V200" s="72"/>
    </row>
    <row r="201" spans="1:22" x14ac:dyDescent="0.25">
      <c r="A201" s="541"/>
      <c r="B201" s="537"/>
      <c r="C201" s="537"/>
      <c r="D201" s="537"/>
      <c r="E201" s="537"/>
      <c r="F201" s="537"/>
      <c r="G201" s="537"/>
      <c r="H201" s="537"/>
      <c r="I201" s="537"/>
      <c r="J201" s="537"/>
      <c r="K201" s="537"/>
      <c r="L201" s="89"/>
      <c r="M201" s="89"/>
      <c r="N201" s="89"/>
      <c r="O201" s="71"/>
      <c r="P201" s="537"/>
      <c r="Q201" s="537"/>
      <c r="R201" s="537"/>
      <c r="S201" s="82"/>
      <c r="T201" s="78"/>
      <c r="U201" s="78"/>
      <c r="V201" s="72"/>
    </row>
    <row r="202" spans="1:22" x14ac:dyDescent="0.25">
      <c r="A202" s="541"/>
      <c r="B202" s="537"/>
      <c r="C202" s="537"/>
      <c r="D202" s="537"/>
      <c r="E202" s="537"/>
      <c r="F202" s="537"/>
      <c r="G202" s="537"/>
      <c r="H202" s="537"/>
      <c r="I202" s="537"/>
      <c r="J202" s="537"/>
      <c r="K202" s="537"/>
      <c r="L202" s="89"/>
      <c r="M202" s="89"/>
      <c r="N202" s="89"/>
      <c r="O202" s="71"/>
      <c r="P202" s="537"/>
      <c r="Q202" s="537"/>
      <c r="R202" s="537"/>
      <c r="S202" s="82"/>
      <c r="T202" s="78"/>
      <c r="U202" s="78"/>
      <c r="V202" s="72"/>
    </row>
    <row r="203" spans="1:22" ht="12" thickBot="1" x14ac:dyDescent="0.3">
      <c r="A203" s="542"/>
      <c r="B203" s="538"/>
      <c r="C203" s="538"/>
      <c r="D203" s="538"/>
      <c r="E203" s="538"/>
      <c r="F203" s="538"/>
      <c r="G203" s="538"/>
      <c r="H203" s="538"/>
      <c r="I203" s="538"/>
      <c r="J203" s="538"/>
      <c r="K203" s="538"/>
      <c r="L203" s="90"/>
      <c r="M203" s="90"/>
      <c r="N203" s="90"/>
      <c r="O203" s="73"/>
      <c r="P203" s="538"/>
      <c r="Q203" s="538"/>
      <c r="R203" s="538"/>
      <c r="S203" s="94"/>
      <c r="T203" s="79"/>
      <c r="U203" s="79"/>
      <c r="V203" s="74"/>
    </row>
  </sheetData>
  <sheetProtection algorithmName="SHA-512" hashValue="djVQm2a9JaerLMlhkczWMYIRsMpYNiNCzFGxE143JH+8rNcnafVRWibnu+Cca2Te1SkNrxBQ2kJu10Ck1062qw==" saltValue="OXWrB0kQnQLlF3eMKP/z+Q==" spinCount="100000" sheet="1" objects="1" scenarios="1" formatCells="0" formatRows="0" deleteRows="0"/>
  <mergeCells count="315">
    <mergeCell ref="F55:K55"/>
    <mergeCell ref="F56:K56"/>
    <mergeCell ref="F57:K57"/>
    <mergeCell ref="F58:K58"/>
    <mergeCell ref="K174:V174"/>
    <mergeCell ref="K175:V175"/>
    <mergeCell ref="A173:J175"/>
    <mergeCell ref="R154:V154"/>
    <mergeCell ref="R155:V155"/>
    <mergeCell ref="A158:J160"/>
    <mergeCell ref="K159:V159"/>
    <mergeCell ref="K160:V160"/>
    <mergeCell ref="A161:J163"/>
    <mergeCell ref="K162:V162"/>
    <mergeCell ref="K163:V163"/>
    <mergeCell ref="K165:V165"/>
    <mergeCell ref="A164:J166"/>
    <mergeCell ref="A154:B154"/>
    <mergeCell ref="J154:K154"/>
    <mergeCell ref="A156:V156"/>
    <mergeCell ref="A157:J157"/>
    <mergeCell ref="K170:V170"/>
    <mergeCell ref="K173:V173"/>
    <mergeCell ref="K164:V164"/>
    <mergeCell ref="K167:V167"/>
    <mergeCell ref="C154:I154"/>
    <mergeCell ref="C155:I155"/>
    <mergeCell ref="A170:J172"/>
    <mergeCell ref="C148:I148"/>
    <mergeCell ref="C149:I149"/>
    <mergeCell ref="A145:B145"/>
    <mergeCell ref="A146:B146"/>
    <mergeCell ref="A147:B147"/>
    <mergeCell ref="J150:P150"/>
    <mergeCell ref="C145:I145"/>
    <mergeCell ref="C146:I146"/>
    <mergeCell ref="C147:I147"/>
    <mergeCell ref="A148:B148"/>
    <mergeCell ref="A149:B149"/>
    <mergeCell ref="J145:K145"/>
    <mergeCell ref="J146:K146"/>
    <mergeCell ref="J147:K147"/>
    <mergeCell ref="A150:I150"/>
    <mergeCell ref="L145:P145"/>
    <mergeCell ref="L146:P146"/>
    <mergeCell ref="L147:P147"/>
    <mergeCell ref="L148:P148"/>
    <mergeCell ref="L149:P149"/>
    <mergeCell ref="K169:V169"/>
    <mergeCell ref="K171:V171"/>
    <mergeCell ref="K172:V172"/>
    <mergeCell ref="J153:K153"/>
    <mergeCell ref="A151:B151"/>
    <mergeCell ref="C151:I151"/>
    <mergeCell ref="J151:K151"/>
    <mergeCell ref="L151:P151"/>
    <mergeCell ref="L152:P152"/>
    <mergeCell ref="L153:P153"/>
    <mergeCell ref="C152:I152"/>
    <mergeCell ref="C153:I153"/>
    <mergeCell ref="A152:B152"/>
    <mergeCell ref="J152:K152"/>
    <mergeCell ref="A153:B153"/>
    <mergeCell ref="R152:V152"/>
    <mergeCell ref="R153:V153"/>
    <mergeCell ref="A155:B155"/>
    <mergeCell ref="R145:V145"/>
    <mergeCell ref="R146:V146"/>
    <mergeCell ref="J155:K155"/>
    <mergeCell ref="L154:P154"/>
    <mergeCell ref="L155:P155"/>
    <mergeCell ref="Q144:V144"/>
    <mergeCell ref="B51:E65"/>
    <mergeCell ref="F61:K61"/>
    <mergeCell ref="F62:K62"/>
    <mergeCell ref="F63:K63"/>
    <mergeCell ref="F64:K64"/>
    <mergeCell ref="A144:I144"/>
    <mergeCell ref="J144:P144"/>
    <mergeCell ref="A81:A95"/>
    <mergeCell ref="B81:E95"/>
    <mergeCell ref="F81:K81"/>
    <mergeCell ref="F90:K90"/>
    <mergeCell ref="F91:K91"/>
    <mergeCell ref="F92:K92"/>
    <mergeCell ref="F93:K93"/>
    <mergeCell ref="F94:K94"/>
    <mergeCell ref="O51:Q65"/>
    <mergeCell ref="O66:Q80"/>
    <mergeCell ref="O81:Q95"/>
    <mergeCell ref="O111:Q125"/>
    <mergeCell ref="O126:Q140"/>
    <mergeCell ref="H8:V8"/>
    <mergeCell ref="A25:E25"/>
    <mergeCell ref="A26:E26"/>
    <mergeCell ref="F25:V25"/>
    <mergeCell ref="F26:V26"/>
    <mergeCell ref="F15:V15"/>
    <mergeCell ref="I11:N11"/>
    <mergeCell ref="A13:V13"/>
    <mergeCell ref="N10:O10"/>
    <mergeCell ref="A16:V16"/>
    <mergeCell ref="A17:E17"/>
    <mergeCell ref="A18:E18"/>
    <mergeCell ref="A19:E19"/>
    <mergeCell ref="A20:E20"/>
    <mergeCell ref="A21:E21"/>
    <mergeCell ref="A22:E22"/>
    <mergeCell ref="A23:E23"/>
    <mergeCell ref="A24:E24"/>
    <mergeCell ref="F17:V17"/>
    <mergeCell ref="A9:G9"/>
    <mergeCell ref="A10:G10"/>
    <mergeCell ref="F54:K54"/>
    <mergeCell ref="H9:V9"/>
    <mergeCell ref="F11:H11"/>
    <mergeCell ref="F52:K52"/>
    <mergeCell ref="F53:K53"/>
    <mergeCell ref="F75:K75"/>
    <mergeCell ref="J148:K148"/>
    <mergeCell ref="R49:S49"/>
    <mergeCell ref="T49:T50"/>
    <mergeCell ref="U49:U50"/>
    <mergeCell ref="V49:V50"/>
    <mergeCell ref="O49:Q50"/>
    <mergeCell ref="F49:K50"/>
    <mergeCell ref="F51:K51"/>
    <mergeCell ref="F59:K59"/>
    <mergeCell ref="F60:K60"/>
    <mergeCell ref="A141:S142"/>
    <mergeCell ref="A143:V143"/>
    <mergeCell ref="F95:K95"/>
    <mergeCell ref="F82:K82"/>
    <mergeCell ref="F83:K83"/>
    <mergeCell ref="F84:K84"/>
    <mergeCell ref="F85:K85"/>
    <mergeCell ref="F86:K86"/>
    <mergeCell ref="O96:Q110"/>
    <mergeCell ref="F132:K132"/>
    <mergeCell ref="F133:K133"/>
    <mergeCell ref="A1:E6"/>
    <mergeCell ref="S1:V2"/>
    <mergeCell ref="F1:R3"/>
    <mergeCell ref="F4:R6"/>
    <mergeCell ref="A49:A50"/>
    <mergeCell ref="B49:E50"/>
    <mergeCell ref="A7:V7"/>
    <mergeCell ref="Q11:S11"/>
    <mergeCell ref="T11:V11"/>
    <mergeCell ref="O11:P11"/>
    <mergeCell ref="P10:V10"/>
    <mergeCell ref="R12:V12"/>
    <mergeCell ref="A12:E12"/>
    <mergeCell ref="A14:E14"/>
    <mergeCell ref="A15:E15"/>
    <mergeCell ref="A11:E11"/>
    <mergeCell ref="T28:V28"/>
    <mergeCell ref="T29:V29"/>
    <mergeCell ref="T30:V30"/>
    <mergeCell ref="T31:V31"/>
    <mergeCell ref="L49:N49"/>
    <mergeCell ref="H10:M10"/>
    <mergeCell ref="F14:V14"/>
    <mergeCell ref="F12:Q12"/>
    <mergeCell ref="T41:V41"/>
    <mergeCell ref="S3:V4"/>
    <mergeCell ref="S5:V6"/>
    <mergeCell ref="A8:G8"/>
    <mergeCell ref="K166:V166"/>
    <mergeCell ref="A167:J169"/>
    <mergeCell ref="K168:V168"/>
    <mergeCell ref="F18:V18"/>
    <mergeCell ref="F19:V19"/>
    <mergeCell ref="F20:V20"/>
    <mergeCell ref="F21:V21"/>
    <mergeCell ref="F22:V22"/>
    <mergeCell ref="F23:V23"/>
    <mergeCell ref="F24:V24"/>
    <mergeCell ref="T39:V39"/>
    <mergeCell ref="T40:V40"/>
    <mergeCell ref="A27:V27"/>
    <mergeCell ref="T32:V32"/>
    <mergeCell ref="T33:V33"/>
    <mergeCell ref="T34:V34"/>
    <mergeCell ref="T35:V35"/>
    <mergeCell ref="A38:V38"/>
    <mergeCell ref="A28:R37"/>
    <mergeCell ref="T36:V36"/>
    <mergeCell ref="T37:V37"/>
    <mergeCell ref="A39:R48"/>
    <mergeCell ref="T46:V46"/>
    <mergeCell ref="F80:K80"/>
    <mergeCell ref="B66:E80"/>
    <mergeCell ref="A66:A80"/>
    <mergeCell ref="F67:K67"/>
    <mergeCell ref="F68:K68"/>
    <mergeCell ref="F69:K69"/>
    <mergeCell ref="F70:K70"/>
    <mergeCell ref="F71:K71"/>
    <mergeCell ref="F72:K72"/>
    <mergeCell ref="F73:K73"/>
    <mergeCell ref="F74:K74"/>
    <mergeCell ref="F77:K77"/>
    <mergeCell ref="F78:K78"/>
    <mergeCell ref="F79:K79"/>
    <mergeCell ref="F66:K66"/>
    <mergeCell ref="F76:K76"/>
    <mergeCell ref="A51:A65"/>
    <mergeCell ref="T43:V43"/>
    <mergeCell ref="T44:V44"/>
    <mergeCell ref="T45:V45"/>
    <mergeCell ref="T42:V42"/>
    <mergeCell ref="F65:K65"/>
    <mergeCell ref="F134:K134"/>
    <mergeCell ref="F87:K87"/>
    <mergeCell ref="F88:K88"/>
    <mergeCell ref="F89:K89"/>
    <mergeCell ref="A96:A110"/>
    <mergeCell ref="B96:E110"/>
    <mergeCell ref="F96:K96"/>
    <mergeCell ref="F97:K97"/>
    <mergeCell ref="F98:K98"/>
    <mergeCell ref="F99:K99"/>
    <mergeCell ref="F100:K100"/>
    <mergeCell ref="F101:K101"/>
    <mergeCell ref="F102:K102"/>
    <mergeCell ref="F103:K103"/>
    <mergeCell ref="F104:K104"/>
    <mergeCell ref="F105:K105"/>
    <mergeCell ref="F106:K106"/>
    <mergeCell ref="F107:K107"/>
    <mergeCell ref="F108:K108"/>
    <mergeCell ref="F110:K110"/>
    <mergeCell ref="F109:K109"/>
    <mergeCell ref="F127:K127"/>
    <mergeCell ref="F128:K128"/>
    <mergeCell ref="P201:R201"/>
    <mergeCell ref="P202:R202"/>
    <mergeCell ref="A126:A140"/>
    <mergeCell ref="B126:E140"/>
    <mergeCell ref="F140:K140"/>
    <mergeCell ref="A111:A125"/>
    <mergeCell ref="B111:E125"/>
    <mergeCell ref="F111:K111"/>
    <mergeCell ref="F112:K112"/>
    <mergeCell ref="F113:K113"/>
    <mergeCell ref="F114:K114"/>
    <mergeCell ref="F115:K115"/>
    <mergeCell ref="F116:K116"/>
    <mergeCell ref="F117:K117"/>
    <mergeCell ref="F118:K118"/>
    <mergeCell ref="F119:K119"/>
    <mergeCell ref="F120:K120"/>
    <mergeCell ref="F121:K121"/>
    <mergeCell ref="F122:K122"/>
    <mergeCell ref="F123:K123"/>
    <mergeCell ref="F124:K124"/>
    <mergeCell ref="F131:K131"/>
    <mergeCell ref="P198:R198"/>
    <mergeCell ref="F125:K125"/>
    <mergeCell ref="F129:K129"/>
    <mergeCell ref="F130:K130"/>
    <mergeCell ref="P199:R199"/>
    <mergeCell ref="P200:R200"/>
    <mergeCell ref="K157:V157"/>
    <mergeCell ref="K158:V158"/>
    <mergeCell ref="K161:V161"/>
    <mergeCell ref="R147:V147"/>
    <mergeCell ref="R148:V148"/>
    <mergeCell ref="R149:V149"/>
    <mergeCell ref="J149:K149"/>
    <mergeCell ref="A177:V187"/>
    <mergeCell ref="A189:D189"/>
    <mergeCell ref="E189:V189"/>
    <mergeCell ref="A190:D190"/>
    <mergeCell ref="A188:V188"/>
    <mergeCell ref="A176:V176"/>
    <mergeCell ref="E190:M190"/>
    <mergeCell ref="N190:O190"/>
    <mergeCell ref="P190:V190"/>
    <mergeCell ref="Q150:V150"/>
    <mergeCell ref="F126:K126"/>
    <mergeCell ref="A194:G195"/>
    <mergeCell ref="L194:L195"/>
    <mergeCell ref="S194:S195"/>
    <mergeCell ref="T194:V194"/>
    <mergeCell ref="P194:R195"/>
    <mergeCell ref="M194:O194"/>
    <mergeCell ref="H194:K195"/>
    <mergeCell ref="P196:R196"/>
    <mergeCell ref="P197:R197"/>
    <mergeCell ref="A193:V193"/>
    <mergeCell ref="F135:K135"/>
    <mergeCell ref="F138:K138"/>
    <mergeCell ref="F139:K139"/>
    <mergeCell ref="A191:V192"/>
    <mergeCell ref="H202:K202"/>
    <mergeCell ref="F136:K136"/>
    <mergeCell ref="P203:R203"/>
    <mergeCell ref="H196:K196"/>
    <mergeCell ref="H197:K197"/>
    <mergeCell ref="H198:K198"/>
    <mergeCell ref="H199:K199"/>
    <mergeCell ref="H201:K201"/>
    <mergeCell ref="A196:G196"/>
    <mergeCell ref="A197:G197"/>
    <mergeCell ref="A198:G198"/>
    <mergeCell ref="A203:G203"/>
    <mergeCell ref="A199:G199"/>
    <mergeCell ref="A200:G200"/>
    <mergeCell ref="A201:G201"/>
    <mergeCell ref="A202:G202"/>
    <mergeCell ref="H203:K203"/>
    <mergeCell ref="F137:K137"/>
    <mergeCell ref="H200:K200"/>
  </mergeCells>
  <printOptions horizontalCentered="1"/>
  <pageMargins left="0.19685039370078741" right="0" top="0.31496062992125984" bottom="0.6692913385826772" header="0.27559055118110237" footer="0.11811023622047245"/>
  <pageSetup scale="75" orientation="landscape" r:id="rId1"/>
  <headerFooter>
    <oddFooter>&amp;R&amp;"-,Negrita"Fecha de Realización:&amp;"-,Normal"
&amp;P de &amp;N</oddFooter>
  </headerFooter>
  <rowBreaks count="6" manualBreakCount="6">
    <brk id="15" max="21" man="1"/>
    <brk id="48" max="21" man="1"/>
    <brk id="80" max="21" man="1"/>
    <brk id="110" max="21" man="1"/>
    <brk id="142" max="21" man="1"/>
    <brk id="175" max="21" man="1"/>
  </rowBreaks>
  <ignoredErrors>
    <ignoredError sqref="L51:N53 T100:T103 R104:T110 U100:U110 A158 A173 A161 A164 A167 A170 R60:S103 L59:N125 R111:U140 L127:N140 O66 T60:U99 V60:V140 R51:V53 L54:N58 R54:V59" unlocked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3" operator="containsText" text="x" id="{AADD35DD-B576-4737-81F4-CBF0D18B75EA}">
            <xm:f>NOT(ISERROR(SEARCH("x",'Documento Imprimir'!H39)))</xm:f>
            <x14:dxf>
              <fill>
                <patternFill>
                  <fgColor theme="0"/>
                  <bgColor rgb="FF002060"/>
                </patternFill>
              </fill>
            </x14:dxf>
          </x14:cfRule>
          <xm:sqref>T39:T48</xm:sqref>
        </x14:conditionalFormatting>
        <x14:conditionalFormatting xmlns:xm="http://schemas.microsoft.com/office/excel/2006/main">
          <x14:cfRule type="containsText" priority="4" operator="containsText" text="x" id="{AADD35DD-B576-4737-81F4-CBF0D18B75EA}">
            <xm:f>NOT(ISERROR(SEARCH("x",'Documento Imprimir'!H30)))</xm:f>
            <x14:dxf>
              <fill>
                <patternFill>
                  <fgColor theme="0"/>
                  <bgColor rgb="FF002060"/>
                </patternFill>
              </fill>
            </x14:dxf>
          </x14:cfRule>
          <xm:sqref>T28:T37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'5. BIBLIOGRAFIA-CIBERGRAFIA'!$I$7:$I$105</xm:f>
          </x14:formula1>
          <xm:sqref>K158:V175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8</vt:i4>
      </vt:variant>
    </vt:vector>
  </HeadingPairs>
  <TitlesOfParts>
    <vt:vector size="19" baseType="lpstr">
      <vt:lpstr>Instrucciónes de Uso </vt:lpstr>
      <vt:lpstr>1. INICIAL</vt:lpstr>
      <vt:lpstr>2. RAP-RAC</vt:lpstr>
      <vt:lpstr>BASE</vt:lpstr>
      <vt:lpstr>3. ESTRATEG. APRENDIZAJE</vt:lpstr>
      <vt:lpstr>4. Contenido</vt:lpstr>
      <vt:lpstr>5. BIBLIOGRAFIA-CIBERGRAFIA</vt:lpstr>
      <vt:lpstr>6. Rúbricas</vt:lpstr>
      <vt:lpstr>Documento Imprimir</vt:lpstr>
      <vt:lpstr>Planeador Docente Imprimir</vt:lpstr>
      <vt:lpstr>Hoja1</vt:lpstr>
      <vt:lpstr>'2. RAP-RAC'!Área_de_impresión</vt:lpstr>
      <vt:lpstr>'3. ESTRATEG. APRENDIZAJE'!Área_de_impresión</vt:lpstr>
      <vt:lpstr>'5. BIBLIOGRAFIA-CIBERGRAFIA'!Área_de_impresión</vt:lpstr>
      <vt:lpstr>'Documento Imprimir'!Área_de_impresión</vt:lpstr>
      <vt:lpstr>'Instrucciónes de Uso '!Área_de_impresión</vt:lpstr>
      <vt:lpstr>'Planeador Docente Imprimir'!Área_de_impresión</vt:lpstr>
      <vt:lpstr>'Documento Imprimir'!Títulos_a_imprimir</vt:lpstr>
      <vt:lpstr>'Planeador Docente Imprimir'!Títulos_a_imprimir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 Academica</dc:creator>
  <cp:lastModifiedBy>Vice Academica</cp:lastModifiedBy>
  <cp:lastPrinted>2023-08-18T15:17:24Z</cp:lastPrinted>
  <dcterms:created xsi:type="dcterms:W3CDTF">2022-07-22T20:34:33Z</dcterms:created>
  <dcterms:modified xsi:type="dcterms:W3CDTF">2023-08-18T15:47:42Z</dcterms:modified>
</cp:coreProperties>
</file>