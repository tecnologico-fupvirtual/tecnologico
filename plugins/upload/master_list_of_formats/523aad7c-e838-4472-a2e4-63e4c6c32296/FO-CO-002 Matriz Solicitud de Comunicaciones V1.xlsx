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istente.calidad\Downloads\"/>
    </mc:Choice>
  </mc:AlternateContent>
  <bookViews>
    <workbookView xWindow="0" yWindow="0" windowWidth="20700" windowHeight="6660"/>
  </bookViews>
  <sheets>
    <sheet name="Monitores" sheetId="12" r:id="rId1"/>
    <sheet name="Carteleras" sheetId="9" r:id="rId2"/>
    <sheet name="Medios" sheetId="13" r:id="rId3"/>
    <sheet name="Campañas" sheetId="14" r:id="rId4"/>
    <sheet name="Mes 1" sheetId="17" r:id="rId5"/>
    <sheet name="Mes 2" sheetId="18" r:id="rId6"/>
  </sheets>
  <definedNames>
    <definedName name="_xlnm._FilterDatabase" localSheetId="4" hidden="1">'Mes 1'!$A$4:$O$5</definedName>
    <definedName name="_xlnm._FilterDatabase" localSheetId="5" hidden="1">'Mes 2'!$A$4:$O$5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18" l="1"/>
  <c r="N10" i="18"/>
  <c r="N9" i="18"/>
  <c r="N8" i="18"/>
  <c r="N7" i="18"/>
  <c r="N6" i="18"/>
  <c r="U5" i="18"/>
  <c r="T5" i="18"/>
  <c r="S5" i="18"/>
  <c r="R5" i="18"/>
  <c r="Q5" i="18"/>
  <c r="R5" i="17"/>
  <c r="S5" i="17"/>
  <c r="T5" i="17"/>
  <c r="U5" i="17"/>
  <c r="Q5" i="17"/>
  <c r="N6" i="17"/>
  <c r="N7" i="17"/>
  <c r="N8" i="17"/>
  <c r="N9" i="17"/>
  <c r="N10" i="17"/>
  <c r="N11" i="17"/>
  <c r="V12" i="12"/>
  <c r="U12" i="12"/>
  <c r="R12" i="12"/>
  <c r="Q12" i="12"/>
  <c r="N12" i="12"/>
  <c r="M12" i="12"/>
  <c r="J12" i="12"/>
  <c r="I12" i="12"/>
  <c r="F12" i="12"/>
  <c r="B14" i="12" s="1"/>
  <c r="E12" i="12"/>
  <c r="B13" i="12" s="1"/>
</calcChain>
</file>

<file path=xl/sharedStrings.xml><?xml version="1.0" encoding="utf-8"?>
<sst xmlns="http://schemas.openxmlformats.org/spreadsheetml/2006/main" count="159" uniqueCount="89">
  <si>
    <t>CONTROL DE MONITORES</t>
  </si>
  <si>
    <t>Semana 4</t>
  </si>
  <si>
    <t>Semana 5</t>
  </si>
  <si>
    <t>Semana 1</t>
  </si>
  <si>
    <t>Semana 2</t>
  </si>
  <si>
    <t>Semana 3</t>
  </si>
  <si>
    <t>Día</t>
  </si>
  <si>
    <t>Evidencias</t>
  </si>
  <si>
    <t>Lunes</t>
  </si>
  <si>
    <t>Martes</t>
  </si>
  <si>
    <t>Miércoles</t>
  </si>
  <si>
    <t>Jueves</t>
  </si>
  <si>
    <t>Viernes</t>
  </si>
  <si>
    <t>Sábado</t>
  </si>
  <si>
    <t>Horas trabajadas</t>
  </si>
  <si>
    <r>
      <rPr>
        <b/>
        <sz val="14"/>
        <color rgb="FF000000"/>
        <rFont val="Calibri"/>
        <scheme val="minor"/>
      </rPr>
      <t xml:space="preserve">Observaciones:
</t>
    </r>
    <r>
      <rPr>
        <sz val="11"/>
        <color rgb="FF000000"/>
        <rFont val="Calibri"/>
        <scheme val="minor"/>
      </rPr>
      <t xml:space="preserve">- </t>
    </r>
  </si>
  <si>
    <t>Horas por recuperar</t>
  </si>
  <si>
    <t>Cartelera</t>
  </si>
  <si>
    <t>Nombre</t>
  </si>
  <si>
    <t>Encargado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</si>
  <si>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</si>
  <si>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</si>
  <si>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</si>
  <si>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</si>
  <si>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</si>
  <si>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</si>
  <si>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</si>
  <si>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</si>
  <si>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</si>
  <si>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</si>
  <si>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</si>
  <si>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</si>
  <si>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Medio</t>
  </si>
  <si>
    <t>Cubrimientos</t>
  </si>
  <si>
    <t>Fecha</t>
  </si>
  <si>
    <t>Cubrimiento</t>
  </si>
  <si>
    <t>Evidencia</t>
  </si>
  <si>
    <t>Observaciones</t>
  </si>
  <si>
    <t>Consecutivo</t>
  </si>
  <si>
    <t>Dependencia</t>
  </si>
  <si>
    <t>Contenido</t>
  </si>
  <si>
    <t>Responsable</t>
  </si>
  <si>
    <t>Diseño</t>
  </si>
  <si>
    <t>Prensa</t>
  </si>
  <si>
    <t>Video</t>
  </si>
  <si>
    <t>Página web</t>
  </si>
  <si>
    <t>Sede</t>
  </si>
  <si>
    <t>Envío masivo</t>
  </si>
  <si>
    <t>Popayán</t>
  </si>
  <si>
    <t>Norte</t>
  </si>
  <si>
    <t>Redes sociales</t>
  </si>
  <si>
    <t>Indicadores de Gestión</t>
  </si>
  <si>
    <t>Fotografía</t>
  </si>
  <si>
    <t>Solicitudes Comunicaciones</t>
  </si>
  <si>
    <t>Fecha de recepción</t>
  </si>
  <si>
    <t>Fecha de entrega</t>
  </si>
  <si>
    <t>Ruta</t>
  </si>
  <si>
    <t>Masivo</t>
  </si>
  <si>
    <t>Nombre del Monitor</t>
  </si>
  <si>
    <t>Horario 1</t>
  </si>
  <si>
    <t>Horario 2</t>
  </si>
  <si>
    <t>Horario 3</t>
  </si>
  <si>
    <t>Horario 4</t>
  </si>
  <si>
    <t>Horario 5</t>
  </si>
  <si>
    <t>Horario 6</t>
  </si>
  <si>
    <t>MES</t>
  </si>
  <si>
    <t>Medio 1</t>
  </si>
  <si>
    <t>Medio 2</t>
  </si>
  <si>
    <t>Medio 3</t>
  </si>
  <si>
    <t>Campaña 1</t>
  </si>
  <si>
    <t>Campaña 2</t>
  </si>
  <si>
    <t>Campaña 3</t>
  </si>
  <si>
    <t>MES 1</t>
  </si>
  <si>
    <t>OCI#-#</t>
  </si>
  <si>
    <t>Claustro 1</t>
  </si>
  <si>
    <t>Claustro 2</t>
  </si>
  <si>
    <t>Campus 1</t>
  </si>
  <si>
    <t>Campus 2</t>
  </si>
  <si>
    <t>Sede 1</t>
  </si>
  <si>
    <t>Sede 2</t>
  </si>
  <si>
    <t>Facultad 1</t>
  </si>
  <si>
    <t>Pregrado 1</t>
  </si>
  <si>
    <t>Pregrado 2</t>
  </si>
  <si>
    <t>Pregrado 3</t>
  </si>
  <si>
    <t>Posgrado 1</t>
  </si>
  <si>
    <t>Facultad 2</t>
  </si>
  <si>
    <t>Facultad 3</t>
  </si>
  <si>
    <t>Facultad 4</t>
  </si>
  <si>
    <t>MES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</si>
</sst>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24"/>
      <color rgb="FFFFFFFF"/>
      <name val="Calibri"/>
      <family val="2"/>
    </font>
    <font>
      <sz val="11"/>
      <color theme="9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96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24"/>
      <color rgb="FF000000"/>
      <name val="Calibri"/>
      <family val="2"/>
      <scheme val="minor"/>
    </font>
    <font>
      <sz val="11"/>
      <color rgb="FFFF0000"/>
      <name val="Calibri"/>
    </font>
    <font>
      <b/>
      <sz val="14"/>
      <color rgb="FF00B0F0"/>
      <name val="Calibri"/>
      <family val="2"/>
      <scheme val="minor"/>
    </font>
    <font>
      <b/>
      <sz val="14"/>
      <color rgb="FF960000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scheme val="minor"/>
    </font>
    <font>
      <b/>
      <sz val="14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charset val="1"/>
    </font>
    <font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0"/>
      <name val="Calibri"/>
      <family val="2"/>
    </font>
    <font>
      <b/>
      <sz val="16"/>
      <color rgb="FF4F3334"/>
      <name val="Calibri"/>
      <family val="2"/>
    </font>
    <font>
      <sz val="16"/>
      <color theme="1"/>
      <name val="Calibri"/>
      <family val="2"/>
    </font>
    <font>
      <b/>
      <sz val="16"/>
      <color theme="0"/>
      <name val="Calibri"/>
      <family val="2"/>
    </font>
    <font>
      <b/>
      <sz val="24"/>
      <color rgb="FFFFFFFF"/>
      <name val="Calibri"/>
    </font>
    <font>
      <sz val="8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2"/>
      <color theme="1"/>
      <name val="Cambria"/>
      <family val="1"/>
    </font>
  </fonts>
  <fills count="17">
    <fill>
      <patternFill patternType="none"/>
    </fill>
    <fill>
      <patternFill patternType="gray125"/>
    </fill>
    <fill>
      <patternFill patternType="solid">
        <fgColor rgb="FF96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334F4D"/>
        <bgColor indexed="64"/>
      </patternFill>
    </fill>
    <fill>
      <patternFill patternType="solid">
        <fgColor rgb="FF84B0A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3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2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2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9" fillId="0" borderId="11" xfId="1" applyBorder="1" applyAlignment="1">
      <alignment vertical="center" wrapText="1"/>
    </xf>
    <xf numFmtId="0" fontId="9" fillId="0" borderId="1" xfId="1" applyBorder="1" applyAlignment="1">
      <alignment vertical="center" wrapText="1"/>
    </xf>
    <xf numFmtId="0" fontId="34" fillId="0" borderId="0" xfId="0" applyFont="1" applyAlignment="1">
      <alignment vertical="center" wrapText="1"/>
    </xf>
    <xf numFmtId="0" fontId="34" fillId="14" borderId="1" xfId="0" applyFont="1" applyFill="1" applyBorder="1" applyAlignment="1">
      <alignment vertical="center" wrapText="1"/>
    </xf>
    <xf numFmtId="0" fontId="34" fillId="14" borderId="1" xfId="0" applyFont="1" applyFill="1" applyBorder="1" applyAlignment="1">
      <alignment horizontal="center" vertical="center" wrapText="1"/>
    </xf>
    <xf numFmtId="0" fontId="15" fillId="14" borderId="0" xfId="0" applyFont="1" applyFill="1" applyAlignment="1">
      <alignment vertical="center" wrapText="1"/>
    </xf>
    <xf numFmtId="0" fontId="0" fillId="14" borderId="0" xfId="0" applyFill="1" applyAlignment="1">
      <alignment vertical="center" wrapText="1"/>
    </xf>
    <xf numFmtId="0" fontId="0" fillId="14" borderId="0" xfId="0" applyFill="1" applyAlignment="1">
      <alignment horizontal="center" vertical="center" wrapText="1"/>
    </xf>
    <xf numFmtId="0" fontId="35" fillId="0" borderId="1" xfId="0" applyFont="1" applyBorder="1" applyAlignment="1">
      <alignment vertical="center" wrapText="1"/>
    </xf>
    <xf numFmtId="0" fontId="20" fillId="0" borderId="1" xfId="0" applyFon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9" fillId="0" borderId="1" xfId="1" applyBorder="1" applyAlignment="1">
      <alignment vertical="center"/>
    </xf>
    <xf numFmtId="0" fontId="39" fillId="0" borderId="1" xfId="0" applyFont="1" applyBorder="1" applyAlignment="1">
      <alignment horizontal="left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" fontId="8" fillId="0" borderId="1" xfId="2" applyNumberFormat="1" applyFont="1" applyBorder="1" applyAlignment="1">
      <alignment horizontal="center" vertical="center" wrapText="1"/>
    </xf>
    <xf numFmtId="1" fontId="18" fillId="0" borderId="1" xfId="2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8" fillId="0" borderId="0" xfId="0" applyNumberFormat="1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 wrapText="1"/>
    </xf>
    <xf numFmtId="0" fontId="5" fillId="16" borderId="6" xfId="0" applyFont="1" applyFill="1" applyBorder="1" applyAlignment="1">
      <alignment horizontal="center" vertical="center" wrapText="1"/>
    </xf>
    <xf numFmtId="0" fontId="12" fillId="16" borderId="5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 wrapText="1"/>
    </xf>
    <xf numFmtId="0" fontId="8" fillId="0" borderId="1" xfId="2" applyFont="1" applyBorder="1" applyAlignment="1">
      <alignment horizontal="left" vertical="center" wrapText="1"/>
    </xf>
    <xf numFmtId="0" fontId="38" fillId="0" borderId="14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6" fillId="0" borderId="8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/>
    </xf>
    <xf numFmtId="0" fontId="20" fillId="0" borderId="8" xfId="0" applyFont="1" applyBorder="1" applyAlignment="1">
      <alignment horizontal="left" vertical="top"/>
    </xf>
    <xf numFmtId="0" fontId="15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29" fillId="11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41" fillId="16" borderId="5" xfId="0" applyFont="1" applyFill="1" applyBorder="1" applyAlignment="1">
      <alignment horizontal="center" vertical="center" wrapText="1"/>
    </xf>
    <xf numFmtId="0" fontId="41" fillId="16" borderId="1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12" fillId="16" borderId="5" xfId="0" applyFont="1" applyFill="1" applyBorder="1" applyAlignment="1">
      <alignment horizontal="center" vertical="center" wrapText="1"/>
    </xf>
    <xf numFmtId="0" fontId="4" fillId="16" borderId="7" xfId="0" applyFont="1" applyFill="1" applyBorder="1" applyAlignment="1">
      <alignment horizontal="center" vertical="center" wrapText="1"/>
    </xf>
    <xf numFmtId="0" fontId="4" fillId="16" borderId="8" xfId="0" applyFont="1" applyFill="1" applyBorder="1" applyAlignment="1">
      <alignment horizontal="center" vertical="center" wrapText="1"/>
    </xf>
    <xf numFmtId="49" fontId="4" fillId="16" borderId="1" xfId="0" applyNumberFormat="1" applyFont="1" applyFill="1" applyBorder="1" applyAlignment="1">
      <alignment horizontal="center" vertical="center" wrapText="1"/>
    </xf>
    <xf numFmtId="49" fontId="4" fillId="16" borderId="5" xfId="0" applyNumberFormat="1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center" vertical="center" wrapText="1"/>
    </xf>
    <xf numFmtId="0" fontId="4" fillId="16" borderId="6" xfId="0" applyFont="1" applyFill="1" applyBorder="1" applyAlignment="1">
      <alignment horizontal="center" vertical="center" wrapText="1"/>
    </xf>
    <xf numFmtId="0" fontId="4" fillId="16" borderId="9" xfId="0" applyFont="1" applyFill="1" applyBorder="1" applyAlignment="1">
      <alignment horizontal="center" vertical="center" wrapText="1"/>
    </xf>
    <xf numFmtId="0" fontId="4" fillId="16" borderId="10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4" fillId="16" borderId="3" xfId="0" applyFont="1" applyFill="1" applyBorder="1" applyAlignment="1">
      <alignment horizontal="center" vertical="center" wrapText="1"/>
    </xf>
    <xf numFmtId="0" fontId="4" fillId="16" borderId="4" xfId="0" applyFont="1" applyFill="1" applyBorder="1" applyAlignment="1">
      <alignment horizontal="center" vertical="center" wrapText="1"/>
    </xf>
    <xf numFmtId="0" fontId="45" fillId="15" borderId="0" xfId="0" applyFont="1" applyFill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17" fontId="13" fillId="15" borderId="2" xfId="0" applyNumberFormat="1" applyFont="1" applyFill="1" applyBorder="1" applyAlignment="1">
      <alignment horizontal="center" vertical="center" wrapText="1"/>
    </xf>
    <xf numFmtId="0" fontId="46" fillId="15" borderId="3" xfId="0" applyFont="1" applyFill="1" applyBorder="1" applyAlignment="1">
      <alignment horizontal="center" vertical="center" wrapText="1"/>
    </xf>
    <xf numFmtId="0" fontId="46" fillId="15" borderId="4" xfId="0" applyFont="1" applyFill="1" applyBorder="1" applyAlignment="1">
      <alignment horizontal="center" vertical="center" wrapText="1"/>
    </xf>
    <xf numFmtId="0" fontId="49" fillId="0" borderId="0" xfId="0" applyFont="1" applyAlignment="1">
      <alignment horizontal="center" vertical="center"/>
    </xf>
  </cellXfs>
  <cellStyles count="3">
    <cellStyle name="Hipervínculo" xfId="2" builtinId="8"/>
    <cellStyle name="Hyperlink" xfId="1"/>
    <cellStyle name="Normal" xfId="0" builtinId="0"/>
  </cellStyles>
  <dxfs count="204">
    <dxf>
      <font>
        <color theme="0"/>
      </font>
      <fill>
        <patternFill patternType="solid">
          <bgColor theme="4" tint="-0.249977111117893"/>
        </patternFill>
      </fill>
    </dxf>
    <dxf>
      <font>
        <b/>
        <i val="0"/>
        <color rgb="FF9C0006"/>
      </font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0006"/>
      </font>
    </dxf>
    <dxf>
      <font>
        <color theme="9"/>
      </font>
      <fill>
        <patternFill patternType="solid">
          <bgColor theme="9"/>
        </patternFill>
      </fill>
    </dxf>
    <dxf>
      <font>
        <color theme="9"/>
      </font>
      <fill>
        <patternFill patternType="solid">
          <bgColor theme="9"/>
        </patternFill>
      </fill>
    </dxf>
    <dxf>
      <font>
        <color theme="9"/>
      </font>
      <fill>
        <patternFill patternType="solid">
          <bgColor theme="9"/>
        </patternFill>
      </fill>
    </dxf>
    <dxf>
      <font>
        <color theme="9"/>
      </font>
      <fill>
        <patternFill patternType="solid">
          <bgColor theme="9"/>
        </patternFill>
      </fill>
    </dxf>
    <dxf>
      <font>
        <color theme="9"/>
      </font>
      <fill>
        <patternFill patternType="solid">
          <bgColor theme="9"/>
        </patternFill>
      </fill>
    </dxf>
    <dxf>
      <font>
        <color theme="9"/>
      </font>
      <fill>
        <patternFill patternType="solid">
          <bgColor theme="9"/>
        </patternFill>
      </fill>
    </dxf>
    <dxf>
      <font>
        <color theme="9"/>
      </font>
      <fill>
        <patternFill patternType="solid">
          <bgColor theme="9"/>
        </patternFill>
      </fill>
    </dxf>
    <dxf>
      <font>
        <color theme="9"/>
      </font>
      <fill>
        <patternFill patternType="solid">
          <bgColor theme="9"/>
        </patternFill>
      </fill>
    </dxf>
    <dxf>
      <font>
        <color rgb="FFC00000"/>
      </font>
      <fill>
        <patternFill patternType="solid">
          <bgColor rgb="FFC00000"/>
        </patternFill>
      </fill>
    </dxf>
    <dxf>
      <font>
        <b/>
        <i val="0"/>
        <color rgb="FFC000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764"/>
      </font>
      <fill>
        <patternFill patternType="solid">
          <bgColor rgb="FFB4C6E7"/>
        </patternFill>
      </fill>
    </dxf>
    <dxf>
      <font>
        <color rgb="FFC65911"/>
      </font>
      <fill>
        <patternFill patternType="solid">
          <bgColor rgb="FFF8CBAD"/>
        </patternFill>
      </fill>
    </dxf>
    <dxf>
      <font>
        <b/>
        <i val="0"/>
        <color rgb="FFC0000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color rgb="FFC0000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color rgb="FFC0000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color rgb="FFC0000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color rgb="FFC00000"/>
      </font>
    </dxf>
    <dxf>
      <font>
        <color theme="0"/>
      </font>
      <fill>
        <patternFill patternType="solid">
          <bgColor theme="4" tint="-0.249977111117893"/>
        </patternFill>
      </fill>
    </dxf>
    <dxf>
      <font>
        <b/>
        <i val="0"/>
        <color rgb="FF9C0006"/>
      </font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0006"/>
      </font>
    </dxf>
    <dxf>
      <font>
        <color theme="9"/>
      </font>
      <fill>
        <patternFill patternType="solid">
          <bgColor theme="9"/>
        </patternFill>
      </fill>
    </dxf>
    <dxf>
      <font>
        <color theme="9"/>
      </font>
      <fill>
        <patternFill patternType="solid">
          <bgColor theme="9"/>
        </patternFill>
      </fill>
    </dxf>
    <dxf>
      <font>
        <color theme="9"/>
      </font>
      <fill>
        <patternFill patternType="solid">
          <bgColor theme="9"/>
        </patternFill>
      </fill>
    </dxf>
    <dxf>
      <font>
        <color theme="9"/>
      </font>
      <fill>
        <patternFill patternType="solid">
          <bgColor theme="9"/>
        </patternFill>
      </fill>
    </dxf>
    <dxf>
      <font>
        <color theme="9"/>
      </font>
      <fill>
        <patternFill patternType="solid">
          <bgColor theme="9"/>
        </patternFill>
      </fill>
    </dxf>
    <dxf>
      <font>
        <color theme="9"/>
      </font>
      <fill>
        <patternFill patternType="solid">
          <bgColor theme="9"/>
        </patternFill>
      </fill>
    </dxf>
    <dxf>
      <font>
        <color theme="9"/>
      </font>
      <fill>
        <patternFill patternType="solid">
          <bgColor theme="9"/>
        </patternFill>
      </fill>
    </dxf>
    <dxf>
      <font>
        <color theme="9"/>
      </font>
      <fill>
        <patternFill patternType="solid">
          <bgColor theme="9"/>
        </patternFill>
      </fill>
    </dxf>
    <dxf>
      <font>
        <color rgb="FFC00000"/>
      </font>
      <fill>
        <patternFill patternType="solid">
          <bgColor rgb="FFC00000"/>
        </patternFill>
      </fill>
    </dxf>
    <dxf>
      <font>
        <b/>
        <i val="0"/>
        <color rgb="FFC000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764"/>
      </font>
      <fill>
        <patternFill patternType="solid">
          <bgColor rgb="FFB4C6E7"/>
        </patternFill>
      </fill>
    </dxf>
    <dxf>
      <font>
        <color rgb="FFC65911"/>
      </font>
      <fill>
        <patternFill patternType="solid">
          <bgColor rgb="FFF8CBAD"/>
        </patternFill>
      </fill>
    </dxf>
    <dxf>
      <font>
        <b/>
        <i val="0"/>
        <color rgb="FFC0000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color rgb="FFC0000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color rgb="FFC0000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color rgb="FFC0000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960000"/>
      <color rgb="FF84B0A9"/>
      <color rgb="FF334F4D"/>
      <color rgb="FF4F3334"/>
      <color rgb="FFB08485"/>
      <color rgb="FFFFA8A8"/>
      <color rgb="FFFFC7CE"/>
      <color rgb="FFC6EFCE"/>
      <color rgb="FFC6E0B4"/>
      <color rgb="FFFFBA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0</xdr:row>
      <xdr:rowOff>114300</xdr:rowOff>
    </xdr:from>
    <xdr:to>
      <xdr:col>16</xdr:col>
      <xdr:colOff>180975</xdr:colOff>
      <xdr:row>0</xdr:row>
      <xdr:rowOff>1114425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7648575" y="114300"/>
          <a:ext cx="6410325" cy="1000125"/>
          <a:chOff x="0" y="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0" y="36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endParaRPr lang="es-CO"/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181099" y="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COMUNICACIONES INSTITUCIONAL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181101" y="50518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MATRIZ DE SOLICITUD</a:t>
            </a:r>
            <a:r>
              <a:rPr lang="es-ES" sz="1100" b="1" baseline="0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 COMUNICACIONES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152400" y="2893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876800" y="35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_tradnl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Código: FO-CO-002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876800" y="33373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_tradnl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Versión: 01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876800" y="66710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_tradnl" sz="10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Fecha: noviembre 2023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W14"/>
  <sheetViews>
    <sheetView tabSelected="1" zoomScaleNormal="100" workbookViewId="0">
      <pane xSplit="2" topLeftCell="H1" activePane="topRight" state="frozen"/>
      <selection pane="topRight" activeCell="Y8" sqref="Y8"/>
    </sheetView>
  </sheetViews>
  <sheetFormatPr baseColWidth="10" defaultColWidth="9.140625" defaultRowHeight="15" x14ac:dyDescent="0.25"/>
  <cols>
    <col min="1" max="1" width="11.140625" style="12" customWidth="1"/>
    <col min="2" max="2" width="20.42578125" style="13" customWidth="1"/>
    <col min="3" max="3" width="3.28515625" style="13" customWidth="1"/>
    <col min="4" max="4" width="7.42578125" style="13" customWidth="1"/>
    <col min="5" max="6" width="7.42578125" style="12" customWidth="1"/>
    <col min="7" max="7" width="36.42578125" style="13" customWidth="1"/>
    <col min="8" max="8" width="7.42578125" style="13" customWidth="1"/>
    <col min="9" max="10" width="7.42578125" style="12" customWidth="1"/>
    <col min="11" max="11" width="31.28515625" style="13" customWidth="1"/>
    <col min="12" max="12" width="7.42578125" style="13" customWidth="1"/>
    <col min="13" max="14" width="7.42578125" style="12" customWidth="1"/>
    <col min="15" max="15" width="31.28515625" style="13" customWidth="1"/>
    <col min="16" max="16" width="7.42578125" style="13" customWidth="1"/>
    <col min="17" max="18" width="7.42578125" style="12" customWidth="1"/>
    <col min="19" max="19" width="31.28515625" style="13" customWidth="1"/>
    <col min="20" max="20" width="7.42578125" style="13" customWidth="1"/>
    <col min="21" max="22" width="7.42578125" style="12" customWidth="1"/>
    <col min="23" max="23" width="31.28515625" style="13" customWidth="1"/>
    <col min="24" max="16384" width="9.140625" style="13"/>
  </cols>
  <sheetData>
    <row r="1" spans="1:23" ht="96.75" customHeight="1" x14ac:dyDescent="0.25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</row>
    <row r="2" spans="1:23" ht="44.25" customHeight="1" x14ac:dyDescent="0.25">
      <c r="A2" s="91" t="s">
        <v>0</v>
      </c>
      <c r="B2" s="91"/>
      <c r="D2" s="93" t="s">
        <v>65</v>
      </c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</row>
    <row r="3" spans="1:23" ht="12" customHeight="1" x14ac:dyDescent="0.25">
      <c r="A3" s="92"/>
      <c r="B3" s="92"/>
    </row>
    <row r="4" spans="1:23" ht="31.5" customHeight="1" x14ac:dyDescent="0.25">
      <c r="A4" s="92" t="s">
        <v>58</v>
      </c>
      <c r="B4" s="92"/>
      <c r="D4" s="97" t="s">
        <v>3</v>
      </c>
      <c r="E4" s="97"/>
      <c r="F4" s="97"/>
      <c r="G4" s="97"/>
      <c r="H4" s="97" t="s">
        <v>4</v>
      </c>
      <c r="I4" s="97"/>
      <c r="J4" s="97"/>
      <c r="K4" s="97"/>
      <c r="L4" s="97" t="s">
        <v>5</v>
      </c>
      <c r="M4" s="97"/>
      <c r="N4" s="97"/>
      <c r="O4" s="97"/>
      <c r="P4" s="97" t="s">
        <v>1</v>
      </c>
      <c r="Q4" s="97"/>
      <c r="R4" s="97"/>
      <c r="S4" s="97"/>
      <c r="T4" s="97" t="s">
        <v>2</v>
      </c>
      <c r="U4" s="97"/>
      <c r="V4" s="97"/>
      <c r="W4" s="97"/>
    </row>
    <row r="5" spans="1:23" s="12" customFormat="1" ht="24" customHeight="1" x14ac:dyDescent="0.25">
      <c r="D5" s="98" t="s">
        <v>6</v>
      </c>
      <c r="E5" s="98"/>
      <c r="F5" s="98"/>
      <c r="G5" s="14" t="s">
        <v>7</v>
      </c>
      <c r="H5" s="98" t="s">
        <v>6</v>
      </c>
      <c r="I5" s="98"/>
      <c r="J5" s="98"/>
      <c r="K5" s="14" t="s">
        <v>7</v>
      </c>
      <c r="L5" s="98" t="s">
        <v>6</v>
      </c>
      <c r="M5" s="98"/>
      <c r="N5" s="98"/>
      <c r="O5" s="14" t="s">
        <v>7</v>
      </c>
      <c r="P5" s="98" t="s">
        <v>6</v>
      </c>
      <c r="Q5" s="98"/>
      <c r="R5" s="98"/>
      <c r="S5" s="14" t="s">
        <v>7</v>
      </c>
      <c r="T5" s="98" t="s">
        <v>6</v>
      </c>
      <c r="U5" s="98"/>
      <c r="V5" s="98"/>
      <c r="W5" s="14" t="s">
        <v>7</v>
      </c>
    </row>
    <row r="6" spans="1:23" ht="66.95" customHeight="1" x14ac:dyDescent="0.25">
      <c r="A6" s="12" t="s">
        <v>8</v>
      </c>
      <c r="B6" s="14" t="s">
        <v>59</v>
      </c>
      <c r="D6" s="66">
        <v>1</v>
      </c>
      <c r="E6" s="26">
        <v>0</v>
      </c>
      <c r="F6" s="27">
        <v>0</v>
      </c>
      <c r="G6" s="28"/>
      <c r="H6" s="66">
        <v>8</v>
      </c>
      <c r="I6" s="26">
        <v>0</v>
      </c>
      <c r="J6" s="27">
        <v>0</v>
      </c>
      <c r="K6" s="72"/>
      <c r="L6" s="66">
        <v>14</v>
      </c>
      <c r="M6" s="26">
        <v>0</v>
      </c>
      <c r="N6" s="27">
        <v>0</v>
      </c>
      <c r="O6" s="73"/>
      <c r="P6" s="66">
        <v>18</v>
      </c>
      <c r="Q6" s="26">
        <v>0</v>
      </c>
      <c r="R6" s="27">
        <v>0</v>
      </c>
      <c r="S6" s="73"/>
      <c r="T6" s="66">
        <v>25</v>
      </c>
      <c r="U6" s="26">
        <v>0</v>
      </c>
      <c r="V6" s="68">
        <v>0</v>
      </c>
      <c r="W6" s="86"/>
    </row>
    <row r="7" spans="1:23" ht="66.95" customHeight="1" x14ac:dyDescent="0.25">
      <c r="A7" s="12" t="s">
        <v>9</v>
      </c>
      <c r="B7" s="14" t="s">
        <v>60</v>
      </c>
      <c r="D7" s="25">
        <v>2</v>
      </c>
      <c r="E7" s="26">
        <v>0</v>
      </c>
      <c r="F7" s="27">
        <v>0</v>
      </c>
      <c r="G7" s="15"/>
      <c r="H7" s="25">
        <v>9</v>
      </c>
      <c r="I7" s="26">
        <v>0</v>
      </c>
      <c r="J7" s="27">
        <v>0</v>
      </c>
      <c r="K7" s="72"/>
      <c r="L7" s="25">
        <v>15</v>
      </c>
      <c r="M7" s="26">
        <v>0</v>
      </c>
      <c r="N7" s="27">
        <v>0</v>
      </c>
      <c r="O7" s="44"/>
      <c r="P7" s="25">
        <v>19</v>
      </c>
      <c r="Q7" s="26">
        <v>0</v>
      </c>
      <c r="R7" s="27">
        <v>0</v>
      </c>
      <c r="S7" s="1"/>
      <c r="T7" s="25">
        <v>26</v>
      </c>
      <c r="U7" s="26">
        <v>0</v>
      </c>
      <c r="V7" s="68">
        <v>0</v>
      </c>
      <c r="W7" s="86"/>
    </row>
    <row r="8" spans="1:23" ht="66.95" customHeight="1" x14ac:dyDescent="0.25">
      <c r="A8" s="12" t="s">
        <v>10</v>
      </c>
      <c r="B8" s="14" t="s">
        <v>61</v>
      </c>
      <c r="D8" s="25">
        <v>3</v>
      </c>
      <c r="E8" s="26">
        <v>0</v>
      </c>
      <c r="F8" s="27">
        <v>0</v>
      </c>
      <c r="G8" s="15"/>
      <c r="H8" s="25">
        <v>10</v>
      </c>
      <c r="I8" s="26">
        <v>0</v>
      </c>
      <c r="J8" s="27">
        <v>0</v>
      </c>
      <c r="K8" s="72"/>
      <c r="L8" s="25">
        <v>16</v>
      </c>
      <c r="M8" s="26">
        <v>0</v>
      </c>
      <c r="N8" s="27">
        <v>0</v>
      </c>
      <c r="O8" s="1"/>
      <c r="P8" s="25">
        <v>20</v>
      </c>
      <c r="Q8" s="26">
        <v>0</v>
      </c>
      <c r="R8" s="27">
        <v>0</v>
      </c>
      <c r="S8" s="1"/>
      <c r="T8" s="25">
        <v>27</v>
      </c>
      <c r="U8" s="26">
        <v>0</v>
      </c>
      <c r="V8" s="68">
        <v>0</v>
      </c>
      <c r="W8" s="86"/>
    </row>
    <row r="9" spans="1:23" ht="66.95" customHeight="1" x14ac:dyDescent="0.25">
      <c r="A9" s="12" t="s">
        <v>11</v>
      </c>
      <c r="B9" s="14" t="s">
        <v>62</v>
      </c>
      <c r="D9" s="25">
        <v>4</v>
      </c>
      <c r="E9" s="26">
        <v>0</v>
      </c>
      <c r="F9" s="27">
        <v>0</v>
      </c>
      <c r="G9" s="15"/>
      <c r="H9" s="25">
        <v>11</v>
      </c>
      <c r="I9" s="26">
        <v>0</v>
      </c>
      <c r="J9" s="27">
        <v>0</v>
      </c>
      <c r="K9" s="71"/>
      <c r="L9" s="25">
        <v>17</v>
      </c>
      <c r="M9" s="26">
        <v>0</v>
      </c>
      <c r="N9" s="27">
        <v>0</v>
      </c>
      <c r="O9" s="1"/>
      <c r="P9" s="25">
        <v>21</v>
      </c>
      <c r="Q9" s="26">
        <v>0</v>
      </c>
      <c r="R9" s="27">
        <v>0</v>
      </c>
      <c r="S9" s="1"/>
      <c r="T9" s="25">
        <v>28</v>
      </c>
      <c r="U9" s="26">
        <v>0</v>
      </c>
      <c r="V9" s="68">
        <v>0</v>
      </c>
      <c r="W9" s="86"/>
    </row>
    <row r="10" spans="1:23" ht="66.95" customHeight="1" x14ac:dyDescent="0.25">
      <c r="A10" s="12" t="s">
        <v>12</v>
      </c>
      <c r="B10" s="14" t="s">
        <v>63</v>
      </c>
      <c r="D10" s="25">
        <v>5</v>
      </c>
      <c r="E10" s="26">
        <v>0</v>
      </c>
      <c r="F10" s="27">
        <v>0</v>
      </c>
      <c r="G10" s="1"/>
      <c r="H10" s="25">
        <v>12</v>
      </c>
      <c r="I10" s="26">
        <v>0</v>
      </c>
      <c r="J10" s="27">
        <v>0</v>
      </c>
      <c r="K10" s="1"/>
      <c r="L10" s="25">
        <v>18</v>
      </c>
      <c r="M10" s="26">
        <v>0</v>
      </c>
      <c r="N10" s="27">
        <v>0</v>
      </c>
      <c r="O10" s="1"/>
      <c r="P10" s="25">
        <v>22</v>
      </c>
      <c r="Q10" s="26">
        <v>0</v>
      </c>
      <c r="R10" s="27">
        <v>0</v>
      </c>
      <c r="S10" s="44"/>
      <c r="T10" s="25">
        <v>29</v>
      </c>
      <c r="U10" s="26">
        <v>0</v>
      </c>
      <c r="V10" s="68">
        <v>0</v>
      </c>
      <c r="W10" s="86"/>
    </row>
    <row r="11" spans="1:23" ht="66.95" customHeight="1" x14ac:dyDescent="0.25">
      <c r="A11" s="12" t="s">
        <v>13</v>
      </c>
      <c r="B11" s="14" t="s">
        <v>64</v>
      </c>
      <c r="D11" s="25">
        <v>6</v>
      </c>
      <c r="E11" s="26">
        <v>0</v>
      </c>
      <c r="F11" s="27">
        <v>0</v>
      </c>
      <c r="G11" s="15"/>
      <c r="H11" s="25">
        <v>13</v>
      </c>
      <c r="I11" s="26">
        <v>0</v>
      </c>
      <c r="J11" s="27">
        <v>0</v>
      </c>
      <c r="K11" s="15"/>
      <c r="L11" s="25">
        <v>19</v>
      </c>
      <c r="M11" s="26">
        <v>0</v>
      </c>
      <c r="N11" s="27">
        <v>0</v>
      </c>
      <c r="O11" s="15"/>
      <c r="P11" s="25">
        <v>23</v>
      </c>
      <c r="Q11" s="26">
        <v>0</v>
      </c>
      <c r="R11" s="27">
        <v>0</v>
      </c>
      <c r="S11" s="15"/>
      <c r="T11" s="25">
        <v>30</v>
      </c>
      <c r="U11" s="26">
        <v>0</v>
      </c>
      <c r="V11" s="27">
        <v>0</v>
      </c>
      <c r="W11" s="69"/>
    </row>
    <row r="12" spans="1:23" s="30" customFormat="1" ht="12" customHeight="1" x14ac:dyDescent="0.25">
      <c r="A12" s="29"/>
      <c r="E12" s="29">
        <f>SUM(E6:E11)</f>
        <v>0</v>
      </c>
      <c r="F12" s="29">
        <f>SUM(F6:F11)</f>
        <v>0</v>
      </c>
      <c r="I12" s="29">
        <f>SUM(I6:I11)</f>
        <v>0</v>
      </c>
      <c r="J12" s="29">
        <f>SUM(J6:J11)</f>
        <v>0</v>
      </c>
      <c r="M12" s="29">
        <f>SUM(M6:M11)</f>
        <v>0</v>
      </c>
      <c r="N12" s="29">
        <f>SUM(N6:N11)</f>
        <v>0</v>
      </c>
      <c r="Q12" s="29">
        <f>SUM(Q6:Q11)</f>
        <v>0</v>
      </c>
      <c r="R12" s="29">
        <f>SUM(R6:R11)</f>
        <v>0</v>
      </c>
      <c r="U12" s="29">
        <f>SUM(U6:U11)</f>
        <v>0</v>
      </c>
      <c r="V12" s="29">
        <f>SUM(V6:V11)</f>
        <v>0</v>
      </c>
    </row>
    <row r="13" spans="1:23" ht="40.5" customHeight="1" x14ac:dyDescent="0.25">
      <c r="A13" s="48" t="s">
        <v>14</v>
      </c>
      <c r="B13" s="49">
        <f>SUM(E12,I12,M12,Q12,U12)</f>
        <v>0</v>
      </c>
      <c r="D13" s="94" t="s">
        <v>15</v>
      </c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</row>
    <row r="14" spans="1:23" ht="40.5" customHeight="1" x14ac:dyDescent="0.25">
      <c r="A14" s="50" t="s">
        <v>16</v>
      </c>
      <c r="B14" s="51">
        <f>SUM(F12,J12,N12,R12,V12)</f>
        <v>0</v>
      </c>
      <c r="D14" s="96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</row>
  </sheetData>
  <mergeCells count="16">
    <mergeCell ref="A1:W1"/>
    <mergeCell ref="A2:B2"/>
    <mergeCell ref="A3:B3"/>
    <mergeCell ref="A4:B4"/>
    <mergeCell ref="D2:W2"/>
    <mergeCell ref="D13:W14"/>
    <mergeCell ref="L4:O4"/>
    <mergeCell ref="L5:N5"/>
    <mergeCell ref="P4:S4"/>
    <mergeCell ref="P5:R5"/>
    <mergeCell ref="D4:G4"/>
    <mergeCell ref="D5:F5"/>
    <mergeCell ref="H4:K4"/>
    <mergeCell ref="H5:J5"/>
    <mergeCell ref="T4:W4"/>
    <mergeCell ref="T5:V5"/>
  </mergeCells>
  <phoneticPr fontId="47" type="noConversion"/>
  <conditionalFormatting sqref="E16:E1048576 I16:I1048576 M16:M1048576 Q16:Q1048576 U16:U1048576">
    <cfRule type="containsText" dxfId="203" priority="292" operator="containsText" text="8">
      <formula>NOT(ISERROR(SEARCH("8",E16)))</formula>
    </cfRule>
    <cfRule type="containsText" dxfId="202" priority="293" operator="containsText" text="7">
      <formula>NOT(ISERROR(SEARCH("7",E16)))</formula>
    </cfRule>
    <cfRule type="containsText" dxfId="201" priority="294" operator="containsText" text="6">
      <formula>NOT(ISERROR(SEARCH("6",E16)))</formula>
    </cfRule>
    <cfRule type="containsText" dxfId="200" priority="313" operator="containsText" text="0">
      <formula>NOT(ISERROR(SEARCH("0",E16)))</formula>
    </cfRule>
    <cfRule type="containsText" dxfId="199" priority="314" operator="containsText" text="5">
      <formula>NOT(ISERROR(SEARCH("5",E16)))</formula>
    </cfRule>
    <cfRule type="containsText" dxfId="198" priority="315" operator="containsText" text="4">
      <formula>NOT(ISERROR(SEARCH("4",E16)))</formula>
    </cfRule>
    <cfRule type="containsText" dxfId="197" priority="316" operator="containsText" text="3">
      <formula>NOT(ISERROR(SEARCH("3",E16)))</formula>
    </cfRule>
    <cfRule type="containsText" dxfId="196" priority="317" operator="containsText" text="2">
      <formula>NOT(ISERROR(SEARCH("2",E16)))</formula>
    </cfRule>
    <cfRule type="containsText" dxfId="195" priority="318" operator="containsText" text="1">
      <formula>NOT(ISERROR(SEARCH("1",E16)))</formula>
    </cfRule>
  </conditionalFormatting>
  <conditionalFormatting sqref="F16:F1048576 J16:J1048576 N16:N1048576 R16:R1048576 V16:V1048576">
    <cfRule type="containsText" dxfId="194" priority="289" operator="containsText" text="8">
      <formula>NOT(ISERROR(SEARCH("8",F16)))</formula>
    </cfRule>
    <cfRule type="containsText" dxfId="193" priority="290" operator="containsText" text="7">
      <formula>NOT(ISERROR(SEARCH("7",F16)))</formula>
    </cfRule>
    <cfRule type="containsText" dxfId="192" priority="291" operator="containsText" text="6">
      <formula>NOT(ISERROR(SEARCH("6",F16)))</formula>
    </cfRule>
    <cfRule type="containsText" dxfId="191" priority="307" operator="containsText" text="0">
      <formula>NOT(ISERROR(SEARCH("0",F16)))</formula>
    </cfRule>
    <cfRule type="containsText" dxfId="190" priority="308" operator="containsText" text="5">
      <formula>NOT(ISERROR(SEARCH("5",F16)))</formula>
    </cfRule>
    <cfRule type="containsText" dxfId="189" priority="309" operator="containsText" text="4">
      <formula>NOT(ISERROR(SEARCH("4",F16)))</formula>
    </cfRule>
    <cfRule type="containsText" dxfId="188" priority="310" operator="containsText" text="3">
      <formula>NOT(ISERROR(SEARCH("3",F16)))</formula>
    </cfRule>
    <cfRule type="containsText" dxfId="187" priority="311" operator="containsText" text="2">
      <formula>NOT(ISERROR(SEARCH("2",F16)))</formula>
    </cfRule>
    <cfRule type="containsText" dxfId="186" priority="312" operator="containsText" text="1">
      <formula>NOT(ISERROR(SEARCH("1",F16)))</formula>
    </cfRule>
  </conditionalFormatting>
  <conditionalFormatting sqref="E3 E15 E6:E11">
    <cfRule type="containsText" dxfId="185" priority="256" operator="containsText" text="8">
      <formula>NOT(ISERROR(SEARCH("8",E3)))</formula>
    </cfRule>
    <cfRule type="containsText" dxfId="184" priority="257" operator="containsText" text="7">
      <formula>NOT(ISERROR(SEARCH("7",E3)))</formula>
    </cfRule>
    <cfRule type="containsText" dxfId="183" priority="258" operator="containsText" text="6">
      <formula>NOT(ISERROR(SEARCH("6",E3)))</formula>
    </cfRule>
    <cfRule type="containsText" dxfId="182" priority="265" operator="containsText" text="0">
      <formula>NOT(ISERROR(SEARCH("0",E3)))</formula>
    </cfRule>
    <cfRule type="containsText" dxfId="181" priority="266" operator="containsText" text="5">
      <formula>NOT(ISERROR(SEARCH("5",E3)))</formula>
    </cfRule>
    <cfRule type="containsText" dxfId="180" priority="267" operator="containsText" text="4">
      <formula>NOT(ISERROR(SEARCH("4",E3)))</formula>
    </cfRule>
    <cfRule type="containsText" dxfId="179" priority="268" operator="containsText" text="3">
      <formula>NOT(ISERROR(SEARCH("3",E3)))</formula>
    </cfRule>
    <cfRule type="containsText" dxfId="178" priority="269" operator="containsText" text="2">
      <formula>NOT(ISERROR(SEARCH("2",E3)))</formula>
    </cfRule>
    <cfRule type="containsText" dxfId="177" priority="270" operator="containsText" text="1">
      <formula>NOT(ISERROR(SEARCH("1",E3)))</formula>
    </cfRule>
  </conditionalFormatting>
  <conditionalFormatting sqref="F3 F15 F6:F11">
    <cfRule type="containsText" dxfId="176" priority="253" operator="containsText" text="8">
      <formula>NOT(ISERROR(SEARCH("8",F3)))</formula>
    </cfRule>
    <cfRule type="containsText" dxfId="175" priority="254" operator="containsText" text="7">
      <formula>NOT(ISERROR(SEARCH("7",F3)))</formula>
    </cfRule>
    <cfRule type="containsText" dxfId="174" priority="255" operator="containsText" text="6">
      <formula>NOT(ISERROR(SEARCH("6",F3)))</formula>
    </cfRule>
    <cfRule type="containsText" dxfId="173" priority="259" operator="containsText" text="0">
      <formula>NOT(ISERROR(SEARCH("0",F3)))</formula>
    </cfRule>
    <cfRule type="containsText" dxfId="172" priority="260" operator="containsText" text="5">
      <formula>NOT(ISERROR(SEARCH("5",F3)))</formula>
    </cfRule>
    <cfRule type="containsText" dxfId="171" priority="261" operator="containsText" text="4">
      <formula>NOT(ISERROR(SEARCH("4",F3)))</formula>
    </cfRule>
    <cfRule type="containsText" dxfId="170" priority="262" operator="containsText" text="3">
      <formula>NOT(ISERROR(SEARCH("3",F3)))</formula>
    </cfRule>
    <cfRule type="containsText" dxfId="169" priority="263" operator="containsText" text="2">
      <formula>NOT(ISERROR(SEARCH("2",F3)))</formula>
    </cfRule>
    <cfRule type="containsText" dxfId="168" priority="264" operator="containsText" text="1">
      <formula>NOT(ISERROR(SEARCH("1",F3)))</formula>
    </cfRule>
  </conditionalFormatting>
  <conditionalFormatting sqref="I3 I6:I11 I15">
    <cfRule type="containsText" dxfId="167" priority="238" operator="containsText" text="8">
      <formula>NOT(ISERROR(SEARCH("8",I3)))</formula>
    </cfRule>
    <cfRule type="containsText" dxfId="166" priority="239" operator="containsText" text="7">
      <formula>NOT(ISERROR(SEARCH("7",I3)))</formula>
    </cfRule>
    <cfRule type="containsText" dxfId="165" priority="240" operator="containsText" text="6">
      <formula>NOT(ISERROR(SEARCH("6",I3)))</formula>
    </cfRule>
    <cfRule type="containsText" dxfId="164" priority="247" operator="containsText" text="0">
      <formula>NOT(ISERROR(SEARCH("0",I3)))</formula>
    </cfRule>
    <cfRule type="containsText" dxfId="163" priority="248" operator="containsText" text="5">
      <formula>NOT(ISERROR(SEARCH("5",I3)))</formula>
    </cfRule>
    <cfRule type="containsText" dxfId="162" priority="249" operator="containsText" text="4">
      <formula>NOT(ISERROR(SEARCH("4",I3)))</formula>
    </cfRule>
    <cfRule type="containsText" dxfId="161" priority="250" operator="containsText" text="3">
      <formula>NOT(ISERROR(SEARCH("3",I3)))</formula>
    </cfRule>
    <cfRule type="containsText" dxfId="160" priority="251" operator="containsText" text="2">
      <formula>NOT(ISERROR(SEARCH("2",I3)))</formula>
    </cfRule>
    <cfRule type="containsText" dxfId="159" priority="252" operator="containsText" text="1">
      <formula>NOT(ISERROR(SEARCH("1",I3)))</formula>
    </cfRule>
  </conditionalFormatting>
  <conditionalFormatting sqref="J3 J6:J11 J15">
    <cfRule type="containsText" dxfId="158" priority="235" operator="containsText" text="8">
      <formula>NOT(ISERROR(SEARCH("8",J3)))</formula>
    </cfRule>
    <cfRule type="containsText" dxfId="157" priority="236" operator="containsText" text="7">
      <formula>NOT(ISERROR(SEARCH("7",J3)))</formula>
    </cfRule>
    <cfRule type="containsText" dxfId="156" priority="237" operator="containsText" text="6">
      <formula>NOT(ISERROR(SEARCH("6",J3)))</formula>
    </cfRule>
    <cfRule type="containsText" dxfId="155" priority="241" operator="containsText" text="0">
      <formula>NOT(ISERROR(SEARCH("0",J3)))</formula>
    </cfRule>
    <cfRule type="containsText" dxfId="154" priority="242" operator="containsText" text="5">
      <formula>NOT(ISERROR(SEARCH("5",J3)))</formula>
    </cfRule>
    <cfRule type="containsText" dxfId="153" priority="243" operator="containsText" text="4">
      <formula>NOT(ISERROR(SEARCH("4",J3)))</formula>
    </cfRule>
    <cfRule type="containsText" dxfId="152" priority="244" operator="containsText" text="3">
      <formula>NOT(ISERROR(SEARCH("3",J3)))</formula>
    </cfRule>
    <cfRule type="containsText" dxfId="151" priority="245" operator="containsText" text="2">
      <formula>NOT(ISERROR(SEARCH("2",J3)))</formula>
    </cfRule>
    <cfRule type="containsText" dxfId="150" priority="246" operator="containsText" text="1">
      <formula>NOT(ISERROR(SEARCH("1",J3)))</formula>
    </cfRule>
  </conditionalFormatting>
  <conditionalFormatting sqref="M3 M6:M11 M15">
    <cfRule type="containsText" dxfId="149" priority="220" operator="containsText" text="8">
      <formula>NOT(ISERROR(SEARCH("8",M3)))</formula>
    </cfRule>
    <cfRule type="containsText" dxfId="148" priority="221" operator="containsText" text="7">
      <formula>NOT(ISERROR(SEARCH("7",M3)))</formula>
    </cfRule>
    <cfRule type="containsText" dxfId="147" priority="222" operator="containsText" text="6">
      <formula>NOT(ISERROR(SEARCH("6",M3)))</formula>
    </cfRule>
    <cfRule type="containsText" dxfId="146" priority="229" operator="containsText" text="0">
      <formula>NOT(ISERROR(SEARCH("0",M3)))</formula>
    </cfRule>
    <cfRule type="containsText" dxfId="145" priority="230" operator="containsText" text="5">
      <formula>NOT(ISERROR(SEARCH("5",M3)))</formula>
    </cfRule>
    <cfRule type="containsText" dxfId="144" priority="231" operator="containsText" text="4">
      <formula>NOT(ISERROR(SEARCH("4",M3)))</formula>
    </cfRule>
    <cfRule type="containsText" dxfId="143" priority="232" operator="containsText" text="3">
      <formula>NOT(ISERROR(SEARCH("3",M3)))</formula>
    </cfRule>
    <cfRule type="containsText" dxfId="142" priority="233" operator="containsText" text="2">
      <formula>NOT(ISERROR(SEARCH("2",M3)))</formula>
    </cfRule>
    <cfRule type="containsText" dxfId="141" priority="234" operator="containsText" text="1">
      <formula>NOT(ISERROR(SEARCH("1",M3)))</formula>
    </cfRule>
  </conditionalFormatting>
  <conditionalFormatting sqref="N3 N6:N11 N15">
    <cfRule type="containsText" dxfId="140" priority="217" operator="containsText" text="8">
      <formula>NOT(ISERROR(SEARCH("8",N3)))</formula>
    </cfRule>
    <cfRule type="containsText" dxfId="139" priority="218" operator="containsText" text="7">
      <formula>NOT(ISERROR(SEARCH("7",N3)))</formula>
    </cfRule>
    <cfRule type="containsText" dxfId="138" priority="219" operator="containsText" text="6">
      <formula>NOT(ISERROR(SEARCH("6",N3)))</formula>
    </cfRule>
    <cfRule type="containsText" dxfId="137" priority="223" operator="containsText" text="0">
      <formula>NOT(ISERROR(SEARCH("0",N3)))</formula>
    </cfRule>
    <cfRule type="containsText" dxfId="136" priority="224" operator="containsText" text="5">
      <formula>NOT(ISERROR(SEARCH("5",N3)))</formula>
    </cfRule>
    <cfRule type="containsText" dxfId="135" priority="225" operator="containsText" text="4">
      <formula>NOT(ISERROR(SEARCH("4",N3)))</formula>
    </cfRule>
    <cfRule type="containsText" dxfId="134" priority="226" operator="containsText" text="3">
      <formula>NOT(ISERROR(SEARCH("3",N3)))</formula>
    </cfRule>
    <cfRule type="containsText" dxfId="133" priority="227" operator="containsText" text="2">
      <formula>NOT(ISERROR(SEARCH("2",N3)))</formula>
    </cfRule>
    <cfRule type="containsText" dxfId="132" priority="228" operator="containsText" text="1">
      <formula>NOT(ISERROR(SEARCH("1",N3)))</formula>
    </cfRule>
  </conditionalFormatting>
  <conditionalFormatting sqref="Q3 Q6:Q11 Q15">
    <cfRule type="containsText" dxfId="131" priority="202" operator="containsText" text="8">
      <formula>NOT(ISERROR(SEARCH("8",Q3)))</formula>
    </cfRule>
    <cfRule type="containsText" dxfId="130" priority="203" operator="containsText" text="7">
      <formula>NOT(ISERROR(SEARCH("7",Q3)))</formula>
    </cfRule>
    <cfRule type="containsText" dxfId="129" priority="204" operator="containsText" text="6">
      <formula>NOT(ISERROR(SEARCH("6",Q3)))</formula>
    </cfRule>
    <cfRule type="containsText" dxfId="128" priority="211" operator="containsText" text="0">
      <formula>NOT(ISERROR(SEARCH("0",Q3)))</formula>
    </cfRule>
    <cfRule type="containsText" dxfId="127" priority="212" operator="containsText" text="5">
      <formula>NOT(ISERROR(SEARCH("5",Q3)))</formula>
    </cfRule>
    <cfRule type="containsText" dxfId="126" priority="213" operator="containsText" text="4">
      <formula>NOT(ISERROR(SEARCH("4",Q3)))</formula>
    </cfRule>
    <cfRule type="containsText" dxfId="125" priority="214" operator="containsText" text="3">
      <formula>NOT(ISERROR(SEARCH("3",Q3)))</formula>
    </cfRule>
    <cfRule type="containsText" dxfId="124" priority="215" operator="containsText" text="2">
      <formula>NOT(ISERROR(SEARCH("2",Q3)))</formula>
    </cfRule>
    <cfRule type="containsText" dxfId="123" priority="216" operator="containsText" text="1">
      <formula>NOT(ISERROR(SEARCH("1",Q3)))</formula>
    </cfRule>
  </conditionalFormatting>
  <conditionalFormatting sqref="R3 R6:R11 R15">
    <cfRule type="containsText" dxfId="122" priority="199" operator="containsText" text="8">
      <formula>NOT(ISERROR(SEARCH("8",R3)))</formula>
    </cfRule>
    <cfRule type="containsText" dxfId="121" priority="200" operator="containsText" text="7">
      <formula>NOT(ISERROR(SEARCH("7",R3)))</formula>
    </cfRule>
    <cfRule type="containsText" dxfId="120" priority="201" operator="containsText" text="6">
      <formula>NOT(ISERROR(SEARCH("6",R3)))</formula>
    </cfRule>
    <cfRule type="containsText" dxfId="119" priority="205" operator="containsText" text="0">
      <formula>NOT(ISERROR(SEARCH("0",R3)))</formula>
    </cfRule>
    <cfRule type="containsText" dxfId="118" priority="206" operator="containsText" text="5">
      <formula>NOT(ISERROR(SEARCH("5",R3)))</formula>
    </cfRule>
    <cfRule type="containsText" dxfId="117" priority="207" operator="containsText" text="4">
      <formula>NOT(ISERROR(SEARCH("4",R3)))</formula>
    </cfRule>
    <cfRule type="containsText" dxfId="116" priority="208" operator="containsText" text="3">
      <formula>NOT(ISERROR(SEARCH("3",R3)))</formula>
    </cfRule>
    <cfRule type="containsText" dxfId="115" priority="209" operator="containsText" text="2">
      <formula>NOT(ISERROR(SEARCH("2",R3)))</formula>
    </cfRule>
    <cfRule type="containsText" dxfId="114" priority="210" operator="containsText" text="1">
      <formula>NOT(ISERROR(SEARCH("1",R3)))</formula>
    </cfRule>
  </conditionalFormatting>
  <conditionalFormatting sqref="U3 U6:U11 U15">
    <cfRule type="containsText" dxfId="113" priority="184" operator="containsText" text="8">
      <formula>NOT(ISERROR(SEARCH("8",U3)))</formula>
    </cfRule>
    <cfRule type="containsText" dxfId="112" priority="185" operator="containsText" text="7">
      <formula>NOT(ISERROR(SEARCH("7",U3)))</formula>
    </cfRule>
    <cfRule type="containsText" dxfId="111" priority="186" operator="containsText" text="6">
      <formula>NOT(ISERROR(SEARCH("6",U3)))</formula>
    </cfRule>
    <cfRule type="containsText" dxfId="110" priority="193" operator="containsText" text="0">
      <formula>NOT(ISERROR(SEARCH("0",U3)))</formula>
    </cfRule>
    <cfRule type="containsText" dxfId="109" priority="194" operator="containsText" text="5">
      <formula>NOT(ISERROR(SEARCH("5",U3)))</formula>
    </cfRule>
    <cfRule type="containsText" dxfId="108" priority="195" operator="containsText" text="4">
      <formula>NOT(ISERROR(SEARCH("4",U3)))</formula>
    </cfRule>
    <cfRule type="containsText" dxfId="107" priority="196" operator="containsText" text="3">
      <formula>NOT(ISERROR(SEARCH("3",U3)))</formula>
    </cfRule>
    <cfRule type="containsText" dxfId="106" priority="197" operator="containsText" text="2">
      <formula>NOT(ISERROR(SEARCH("2",U3)))</formula>
    </cfRule>
    <cfRule type="containsText" dxfId="105" priority="198" operator="containsText" text="1">
      <formula>NOT(ISERROR(SEARCH("1",U3)))</formula>
    </cfRule>
  </conditionalFormatting>
  <conditionalFormatting sqref="V3 V6:V11 V15">
    <cfRule type="containsText" dxfId="104" priority="181" operator="containsText" text="8">
      <formula>NOT(ISERROR(SEARCH("8",V3)))</formula>
    </cfRule>
    <cfRule type="containsText" dxfId="103" priority="182" operator="containsText" text="7">
      <formula>NOT(ISERROR(SEARCH("7",V3)))</formula>
    </cfRule>
    <cfRule type="containsText" dxfId="102" priority="183" operator="containsText" text="6">
      <formula>NOT(ISERROR(SEARCH("6",V3)))</formula>
    </cfRule>
    <cfRule type="containsText" dxfId="101" priority="187" operator="containsText" text="0">
      <formula>NOT(ISERROR(SEARCH("0",V3)))</formula>
    </cfRule>
    <cfRule type="containsText" dxfId="100" priority="188" operator="containsText" text="5">
      <formula>NOT(ISERROR(SEARCH("5",V3)))</formula>
    </cfRule>
    <cfRule type="containsText" dxfId="99" priority="189" operator="containsText" text="4">
      <formula>NOT(ISERROR(SEARCH("4",V3)))</formula>
    </cfRule>
    <cfRule type="containsText" dxfId="98" priority="190" operator="containsText" text="3">
      <formula>NOT(ISERROR(SEARCH("3",V3)))</formula>
    </cfRule>
    <cfRule type="containsText" dxfId="97" priority="191" operator="containsText" text="2">
      <formula>NOT(ISERROR(SEARCH("2",V3)))</formula>
    </cfRule>
    <cfRule type="containsText" dxfId="96" priority="192" operator="containsText" text="1">
      <formula>NOT(ISERROR(SEARCH("1",V3)))</formula>
    </cfRule>
  </conditionalFormatting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2:P25"/>
  <sheetViews>
    <sheetView workbookViewId="0">
      <pane xSplit="4" ySplit="2" topLeftCell="E3" activePane="bottomRight" state="frozen"/>
      <selection pane="topRight" activeCell="B1" sqref="B1"/>
      <selection pane="bottomLeft" activeCell="A3" sqref="A3"/>
      <selection pane="bottomRight" activeCell="A26" sqref="A26"/>
    </sheetView>
  </sheetViews>
  <sheetFormatPr baseColWidth="10" defaultColWidth="9.140625" defaultRowHeight="15" x14ac:dyDescent="0.25"/>
  <cols>
    <col min="1" max="1" width="20.42578125" style="4" customWidth="1"/>
    <col min="2" max="2" width="10.42578125" style="4" customWidth="1"/>
    <col min="3" max="3" width="29" style="9" customWidth="1"/>
    <col min="4" max="4" width="36.140625" style="9" customWidth="1"/>
    <col min="5" max="16" width="52.140625" style="9" customWidth="1"/>
    <col min="17" max="16384" width="9.140625" style="9"/>
  </cols>
  <sheetData>
    <row r="2" spans="1:16" s="4" customFormat="1" ht="36" customHeight="1" x14ac:dyDescent="0.25">
      <c r="B2" s="31" t="s">
        <v>17</v>
      </c>
      <c r="C2" s="31" t="s">
        <v>18</v>
      </c>
      <c r="D2" s="31" t="s">
        <v>19</v>
      </c>
      <c r="E2" s="32" t="s">
        <v>20</v>
      </c>
      <c r="F2" s="33" t="s">
        <v>21</v>
      </c>
      <c r="G2" s="33" t="s">
        <v>22</v>
      </c>
      <c r="H2" s="33" t="s">
        <v>23</v>
      </c>
      <c r="I2" s="33" t="s">
        <v>24</v>
      </c>
      <c r="J2" s="33" t="s">
        <v>25</v>
      </c>
      <c r="K2" s="33" t="s">
        <v>26</v>
      </c>
      <c r="L2" s="33" t="s">
        <v>27</v>
      </c>
      <c r="M2" s="33" t="s">
        <v>28</v>
      </c>
      <c r="N2" s="33" t="s">
        <v>29</v>
      </c>
      <c r="O2" s="33" t="s">
        <v>30</v>
      </c>
      <c r="P2" s="33" t="s">
        <v>31</v>
      </c>
    </row>
    <row r="3" spans="1:16" ht="33.950000000000003" customHeight="1" x14ac:dyDescent="0.25">
      <c r="A3" s="99" t="s">
        <v>74</v>
      </c>
      <c r="B3" s="24"/>
      <c r="C3" s="34"/>
      <c r="D3" s="8"/>
      <c r="E3" s="16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33.950000000000003" customHeight="1" x14ac:dyDescent="0.25">
      <c r="A4" s="99"/>
      <c r="B4" s="24"/>
      <c r="C4" s="34"/>
      <c r="D4" s="8"/>
      <c r="E4" s="16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33.950000000000003" customHeight="1" x14ac:dyDescent="0.25">
      <c r="A5" s="99"/>
      <c r="B5" s="24"/>
      <c r="C5" s="34"/>
      <c r="D5" s="8"/>
      <c r="E5" s="16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1.1" customHeight="1" x14ac:dyDescent="0.25">
      <c r="N6" s="8"/>
    </row>
    <row r="7" spans="1:16" ht="33.950000000000003" customHeight="1" x14ac:dyDescent="0.25">
      <c r="A7" s="101" t="s">
        <v>75</v>
      </c>
      <c r="B7" s="24"/>
      <c r="C7" s="35"/>
      <c r="D7" s="11"/>
      <c r="E7" s="88"/>
      <c r="F7" s="10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ht="33.950000000000003" customHeight="1" x14ac:dyDescent="0.25">
      <c r="A8" s="101"/>
      <c r="B8" s="24"/>
      <c r="C8" s="35"/>
      <c r="D8" s="8"/>
      <c r="E8" s="16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 ht="33.950000000000003" customHeight="1" x14ac:dyDescent="0.25">
      <c r="A9" s="101"/>
      <c r="B9" s="24"/>
      <c r="C9" s="35"/>
      <c r="D9" s="8"/>
      <c r="E9" s="16"/>
      <c r="F9" s="8"/>
      <c r="H9" s="8"/>
      <c r="I9" s="8"/>
      <c r="J9" s="8"/>
      <c r="K9" s="8"/>
      <c r="L9" s="8"/>
      <c r="M9" s="8"/>
      <c r="N9" s="8"/>
      <c r="O9" s="8"/>
      <c r="P9" s="8"/>
    </row>
    <row r="10" spans="1:16" ht="11.1" customHeight="1" x14ac:dyDescent="0.25">
      <c r="N10" s="8"/>
    </row>
    <row r="11" spans="1:16" ht="33.950000000000003" customHeight="1" x14ac:dyDescent="0.25">
      <c r="A11" s="102" t="s">
        <v>76</v>
      </c>
      <c r="B11" s="24"/>
      <c r="C11" s="36"/>
      <c r="D11" s="11"/>
      <c r="E11" s="88"/>
      <c r="F11" s="10"/>
      <c r="G11" s="8"/>
      <c r="H11" s="8"/>
      <c r="I11" s="8"/>
      <c r="J11" s="8"/>
      <c r="K11" s="8"/>
      <c r="L11" s="52"/>
      <c r="M11" s="8"/>
      <c r="N11" s="8"/>
      <c r="O11" s="8"/>
      <c r="P11" s="8"/>
    </row>
    <row r="12" spans="1:16" ht="33.950000000000003" customHeight="1" x14ac:dyDescent="0.25">
      <c r="A12" s="102"/>
      <c r="B12" s="24"/>
      <c r="C12" s="36"/>
      <c r="D12" s="11"/>
      <c r="E12" s="90"/>
      <c r="F12" s="10"/>
      <c r="G12" s="8"/>
      <c r="H12" s="8"/>
      <c r="I12" s="8"/>
      <c r="J12" s="8"/>
      <c r="K12" s="8"/>
      <c r="L12" s="52"/>
      <c r="M12" s="8"/>
      <c r="N12" s="8"/>
      <c r="O12" s="8"/>
      <c r="P12" s="8"/>
    </row>
    <row r="13" spans="1:16" ht="33.950000000000003" customHeight="1" x14ac:dyDescent="0.25">
      <c r="A13" s="102"/>
      <c r="B13" s="24"/>
      <c r="C13" s="36"/>
      <c r="D13" s="8"/>
      <c r="E13" s="87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 ht="11.1" customHeight="1" x14ac:dyDescent="0.25">
      <c r="N14" s="8"/>
    </row>
    <row r="15" spans="1:16" ht="33.950000000000003" customHeight="1" x14ac:dyDescent="0.25">
      <c r="A15" s="104" t="s">
        <v>77</v>
      </c>
      <c r="B15" s="24"/>
      <c r="C15" s="37"/>
      <c r="D15" s="11"/>
      <c r="E15" s="88"/>
      <c r="F15" s="89"/>
      <c r="G15" s="8"/>
      <c r="H15" s="8"/>
      <c r="I15" s="8"/>
      <c r="J15" s="8"/>
      <c r="K15" s="8"/>
      <c r="L15" s="52"/>
      <c r="M15" s="8"/>
      <c r="N15" s="8"/>
      <c r="O15" s="8"/>
      <c r="P15" s="8"/>
    </row>
    <row r="16" spans="1:16" ht="33.950000000000003" customHeight="1" x14ac:dyDescent="0.25">
      <c r="A16" s="104"/>
      <c r="B16" s="24"/>
      <c r="C16" s="37"/>
      <c r="D16" s="8"/>
      <c r="E16" s="16"/>
      <c r="F16" s="11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 ht="33.950000000000003" customHeight="1" x14ac:dyDescent="0.25">
      <c r="A17" s="104"/>
      <c r="B17" s="24"/>
      <c r="C17" s="37"/>
      <c r="D17" s="8"/>
      <c r="E17" s="10"/>
      <c r="F17" s="8"/>
      <c r="G17" s="8"/>
      <c r="H17" s="8"/>
      <c r="I17" s="8"/>
      <c r="J17" s="8"/>
      <c r="K17" s="8"/>
      <c r="L17" s="52"/>
      <c r="M17" s="8"/>
      <c r="N17" s="8"/>
      <c r="O17" s="8"/>
      <c r="P17" s="8"/>
    </row>
    <row r="18" spans="1:16" ht="11.1" customHeight="1" x14ac:dyDescent="0.25">
      <c r="N18" s="8"/>
    </row>
    <row r="19" spans="1:16" ht="33.950000000000003" customHeight="1" x14ac:dyDescent="0.25">
      <c r="A19" s="103" t="s">
        <v>78</v>
      </c>
      <c r="B19" s="24"/>
      <c r="C19" s="38"/>
      <c r="D19" s="11"/>
      <c r="E19" s="88"/>
      <c r="F19" s="10"/>
      <c r="G19" s="8"/>
      <c r="H19" s="8"/>
      <c r="I19" s="8"/>
      <c r="J19" s="8"/>
      <c r="K19" s="8"/>
      <c r="L19" s="52"/>
      <c r="M19" s="8"/>
      <c r="N19" s="8"/>
      <c r="O19" s="8"/>
      <c r="P19" s="8"/>
    </row>
    <row r="20" spans="1:16" ht="33.950000000000003" customHeight="1" x14ac:dyDescent="0.25">
      <c r="A20" s="103"/>
      <c r="B20" s="24"/>
      <c r="C20" s="38"/>
      <c r="D20" s="8"/>
      <c r="E20" s="16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ht="33.950000000000003" customHeight="1" x14ac:dyDescent="0.25">
      <c r="A21" s="103"/>
      <c r="B21" s="24"/>
      <c r="C21" s="38"/>
      <c r="D21" s="8"/>
      <c r="E21" s="10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 ht="11.1" customHeight="1" x14ac:dyDescent="0.25">
      <c r="N22" s="8"/>
    </row>
    <row r="23" spans="1:16" ht="33.950000000000003" customHeight="1" x14ac:dyDescent="0.25">
      <c r="A23" s="100" t="s">
        <v>79</v>
      </c>
      <c r="B23" s="24"/>
      <c r="C23" s="39"/>
      <c r="D23" s="11"/>
      <c r="E23" s="8"/>
      <c r="F23" s="10"/>
      <c r="G23" s="8"/>
      <c r="H23" s="8"/>
      <c r="I23" s="8"/>
      <c r="J23" s="8"/>
      <c r="K23" s="8"/>
      <c r="L23" s="52"/>
      <c r="M23" s="8"/>
      <c r="N23" s="8"/>
      <c r="O23" s="8"/>
      <c r="P23" s="8"/>
    </row>
    <row r="24" spans="1:16" ht="33.950000000000003" customHeight="1" x14ac:dyDescent="0.25">
      <c r="A24" s="100"/>
      <c r="B24" s="24"/>
      <c r="C24" s="39"/>
      <c r="D24" s="11"/>
      <c r="E24" s="16"/>
      <c r="F24" s="10"/>
      <c r="G24" s="8"/>
      <c r="H24" s="8"/>
      <c r="I24" s="8"/>
      <c r="J24" s="8"/>
      <c r="K24" s="8"/>
      <c r="L24" s="52"/>
      <c r="M24" s="8"/>
      <c r="N24" s="8"/>
      <c r="O24" s="8"/>
      <c r="P24" s="8"/>
    </row>
    <row r="25" spans="1:16" ht="33.950000000000003" customHeight="1" x14ac:dyDescent="0.25">
      <c r="A25" s="100"/>
      <c r="B25" s="24"/>
      <c r="C25" s="39"/>
      <c r="D25" s="8"/>
      <c r="E25" s="16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</sheetData>
  <mergeCells count="6">
    <mergeCell ref="A3:A5"/>
    <mergeCell ref="A23:A25"/>
    <mergeCell ref="A7:A9"/>
    <mergeCell ref="A11:A13"/>
    <mergeCell ref="A19:A21"/>
    <mergeCell ref="A15:A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D21"/>
  <sheetViews>
    <sheetView zoomScaleNormal="100"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D14" sqref="D14"/>
    </sheetView>
  </sheetViews>
  <sheetFormatPr baseColWidth="10" defaultColWidth="9.140625" defaultRowHeight="15" x14ac:dyDescent="0.25"/>
  <cols>
    <col min="1" max="1" width="29" style="41" customWidth="1"/>
    <col min="2" max="2" width="11" style="79" customWidth="1"/>
    <col min="3" max="3" width="36.42578125" style="47" customWidth="1"/>
    <col min="4" max="4" width="160.140625" style="41" customWidth="1"/>
    <col min="5" max="16384" width="9.140625" style="41"/>
  </cols>
  <sheetData>
    <row r="2" spans="1:4" s="40" customFormat="1" ht="36" customHeight="1" x14ac:dyDescent="0.25">
      <c r="A2" s="42" t="s">
        <v>32</v>
      </c>
      <c r="B2" s="105" t="s">
        <v>33</v>
      </c>
      <c r="C2" s="106"/>
      <c r="D2" s="107"/>
    </row>
    <row r="3" spans="1:4" ht="19.5" customHeight="1" x14ac:dyDescent="0.25">
      <c r="B3" s="77" t="s">
        <v>34</v>
      </c>
      <c r="C3" s="46" t="s">
        <v>35</v>
      </c>
      <c r="D3" s="46" t="s">
        <v>36</v>
      </c>
    </row>
    <row r="4" spans="1:4" ht="8.25" customHeight="1" x14ac:dyDescent="0.25">
      <c r="B4" s="78"/>
      <c r="C4" s="12"/>
      <c r="D4" s="43"/>
    </row>
    <row r="5" spans="1:4" ht="27.95" customHeight="1" x14ac:dyDescent="0.25">
      <c r="A5" s="108" t="s">
        <v>66</v>
      </c>
      <c r="B5" s="67"/>
      <c r="C5" s="44"/>
      <c r="D5" s="70"/>
    </row>
    <row r="6" spans="1:4" ht="27.95" customHeight="1" x14ac:dyDescent="0.25">
      <c r="A6" s="108"/>
      <c r="B6" s="67"/>
      <c r="C6" s="44"/>
      <c r="D6" s="70"/>
    </row>
    <row r="7" spans="1:4" ht="27.95" customHeight="1" x14ac:dyDescent="0.25">
      <c r="A7" s="108"/>
      <c r="B7" s="67"/>
      <c r="C7" s="44"/>
      <c r="D7" s="70"/>
    </row>
    <row r="8" spans="1:4" ht="27.95" customHeight="1" x14ac:dyDescent="0.25">
      <c r="A8" s="108"/>
      <c r="B8" s="67"/>
      <c r="C8" s="44"/>
      <c r="D8" s="45"/>
    </row>
    <row r="9" spans="1:4" ht="27.95" customHeight="1" x14ac:dyDescent="0.25">
      <c r="A9" s="108"/>
      <c r="B9" s="67"/>
      <c r="C9" s="44"/>
      <c r="D9" s="45"/>
    </row>
    <row r="11" spans="1:4" ht="27.95" customHeight="1" x14ac:dyDescent="0.25">
      <c r="A11" s="109" t="s">
        <v>67</v>
      </c>
      <c r="B11" s="67"/>
      <c r="C11" s="44"/>
      <c r="D11" s="45"/>
    </row>
    <row r="12" spans="1:4" ht="27.95" customHeight="1" x14ac:dyDescent="0.25">
      <c r="A12" s="109"/>
      <c r="B12" s="67"/>
      <c r="C12" s="44"/>
      <c r="D12" s="45"/>
    </row>
    <row r="13" spans="1:4" ht="27.95" customHeight="1" x14ac:dyDescent="0.25">
      <c r="A13" s="109"/>
      <c r="B13" s="67"/>
      <c r="C13" s="44"/>
      <c r="D13" s="45"/>
    </row>
    <row r="14" spans="1:4" ht="27.95" customHeight="1" x14ac:dyDescent="0.25">
      <c r="A14" s="109"/>
      <c r="B14" s="67"/>
      <c r="C14" s="44"/>
      <c r="D14" s="45"/>
    </row>
    <row r="15" spans="1:4" ht="27.95" customHeight="1" x14ac:dyDescent="0.25">
      <c r="A15" s="109"/>
      <c r="B15" s="67"/>
      <c r="C15" s="44"/>
      <c r="D15" s="45"/>
    </row>
    <row r="17" spans="1:4" ht="27.95" customHeight="1" x14ac:dyDescent="0.25">
      <c r="A17" s="110" t="s">
        <v>68</v>
      </c>
      <c r="B17" s="67"/>
      <c r="C17" s="44"/>
      <c r="D17" s="45"/>
    </row>
    <row r="18" spans="1:4" ht="27.95" customHeight="1" x14ac:dyDescent="0.25">
      <c r="A18" s="110"/>
      <c r="B18" s="67"/>
      <c r="C18" s="44"/>
      <c r="D18" s="45"/>
    </row>
    <row r="19" spans="1:4" ht="27.95" customHeight="1" x14ac:dyDescent="0.25">
      <c r="A19" s="110"/>
      <c r="B19" s="67"/>
      <c r="C19" s="44"/>
      <c r="D19" s="45"/>
    </row>
    <row r="20" spans="1:4" ht="27.95" customHeight="1" x14ac:dyDescent="0.25">
      <c r="A20" s="110"/>
      <c r="B20" s="67"/>
      <c r="C20" s="44"/>
      <c r="D20" s="45"/>
    </row>
    <row r="21" spans="1:4" ht="27.95" customHeight="1" x14ac:dyDescent="0.25">
      <c r="A21" s="110"/>
      <c r="B21" s="67"/>
      <c r="C21" s="44"/>
      <c r="D21" s="45"/>
    </row>
  </sheetData>
  <mergeCells count="4">
    <mergeCell ref="B2:D2"/>
    <mergeCell ref="A5:A9"/>
    <mergeCell ref="A11:A15"/>
    <mergeCell ref="A17:A21"/>
  </mergeCells>
  <conditionalFormatting sqref="C3:C22">
    <cfRule type="containsText" dxfId="95" priority="49" operator="containsText" text="Sí">
      <formula>NOT(ISERROR(SEARCH("Sí",C3)))</formula>
    </cfRule>
    <cfRule type="containsText" dxfId="94" priority="50" operator="containsText" text="No">
      <formula>NOT(ISERROR(SEARCH("No",C3)))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2:E25"/>
  <sheetViews>
    <sheetView workbookViewId="0">
      <pane xSplit="2" topLeftCell="C1" activePane="topRight" state="frozen"/>
      <selection pane="topRight" activeCell="E35" sqref="E35"/>
    </sheetView>
  </sheetViews>
  <sheetFormatPr baseColWidth="10" defaultColWidth="9.140625" defaultRowHeight="18.75" x14ac:dyDescent="0.25"/>
  <cols>
    <col min="1" max="1" width="24.85546875" style="55" customWidth="1"/>
    <col min="2" max="2" width="42.140625" style="2" customWidth="1"/>
    <col min="3" max="5" width="51.42578125" style="53" customWidth="1"/>
    <col min="6" max="16384" width="9.140625" style="53"/>
  </cols>
  <sheetData>
    <row r="2" spans="1:5" s="3" customFormat="1" ht="30.75" customHeight="1" x14ac:dyDescent="0.25">
      <c r="A2" s="54"/>
      <c r="C2" s="56" t="s">
        <v>69</v>
      </c>
      <c r="D2" s="56" t="s">
        <v>70</v>
      </c>
      <c r="E2" s="56" t="s">
        <v>71</v>
      </c>
    </row>
    <row r="3" spans="1:5" ht="30" customHeight="1" x14ac:dyDescent="0.25">
      <c r="A3" s="111" t="s">
        <v>80</v>
      </c>
      <c r="B3" s="1" t="s">
        <v>81</v>
      </c>
      <c r="C3" s="57"/>
      <c r="D3" s="57"/>
      <c r="E3" s="57"/>
    </row>
    <row r="4" spans="1:5" ht="30" customHeight="1" x14ac:dyDescent="0.25">
      <c r="A4" s="111"/>
      <c r="B4" s="1" t="s">
        <v>82</v>
      </c>
      <c r="C4" s="58"/>
      <c r="D4" s="58"/>
      <c r="E4" s="58"/>
    </row>
    <row r="5" spans="1:5" ht="30" customHeight="1" x14ac:dyDescent="0.25">
      <c r="A5" s="111"/>
      <c r="B5" s="1" t="s">
        <v>83</v>
      </c>
      <c r="C5" s="58"/>
      <c r="D5" s="58"/>
      <c r="E5" s="58"/>
    </row>
    <row r="6" spans="1:5" s="59" customFormat="1" ht="11.25" customHeight="1" x14ac:dyDescent="0.25">
      <c r="A6" s="111"/>
      <c r="B6" s="61"/>
      <c r="C6" s="60"/>
      <c r="D6" s="60"/>
      <c r="E6" s="60"/>
    </row>
    <row r="7" spans="1:5" ht="30" customHeight="1" x14ac:dyDescent="0.25">
      <c r="A7" s="111"/>
      <c r="B7" s="1" t="s">
        <v>84</v>
      </c>
      <c r="C7" s="65"/>
      <c r="D7" s="65"/>
      <c r="E7" s="65"/>
    </row>
    <row r="8" spans="1:5" x14ac:dyDescent="0.25">
      <c r="A8" s="62"/>
      <c r="B8" s="64"/>
      <c r="C8" s="63"/>
      <c r="D8" s="63"/>
      <c r="E8" s="63"/>
    </row>
    <row r="9" spans="1:5" ht="30" customHeight="1" x14ac:dyDescent="0.25">
      <c r="A9" s="113" t="s">
        <v>85</v>
      </c>
      <c r="B9" s="1" t="s">
        <v>81</v>
      </c>
      <c r="C9" s="57"/>
      <c r="D9" s="57"/>
      <c r="E9" s="57"/>
    </row>
    <row r="10" spans="1:5" ht="30" customHeight="1" x14ac:dyDescent="0.25">
      <c r="A10" s="113"/>
      <c r="B10" s="1" t="s">
        <v>82</v>
      </c>
      <c r="C10" s="58"/>
      <c r="D10" s="58"/>
      <c r="E10" s="58"/>
    </row>
    <row r="11" spans="1:5" ht="30" customHeight="1" x14ac:dyDescent="0.25">
      <c r="A11" s="113"/>
      <c r="B11" s="1" t="s">
        <v>83</v>
      </c>
      <c r="C11" s="58"/>
      <c r="D11" s="58"/>
      <c r="E11" s="58"/>
    </row>
    <row r="12" spans="1:5" s="59" customFormat="1" ht="11.25" customHeight="1" x14ac:dyDescent="0.25">
      <c r="A12" s="113"/>
      <c r="B12" s="61"/>
      <c r="C12" s="60"/>
      <c r="D12" s="60"/>
      <c r="E12" s="60"/>
    </row>
    <row r="13" spans="1:5" ht="30" customHeight="1" x14ac:dyDescent="0.25">
      <c r="A13" s="113"/>
      <c r="B13" s="1" t="s">
        <v>84</v>
      </c>
      <c r="C13" s="65"/>
      <c r="D13" s="65"/>
      <c r="E13" s="65"/>
    </row>
    <row r="14" spans="1:5" x14ac:dyDescent="0.25">
      <c r="A14" s="62"/>
      <c r="B14" s="64"/>
      <c r="C14" s="63"/>
      <c r="D14" s="63"/>
      <c r="E14" s="63"/>
    </row>
    <row r="15" spans="1:5" ht="30" customHeight="1" x14ac:dyDescent="0.25">
      <c r="A15" s="114" t="s">
        <v>86</v>
      </c>
      <c r="B15" s="1" t="s">
        <v>81</v>
      </c>
      <c r="C15" s="57"/>
      <c r="D15" s="57"/>
      <c r="E15" s="57"/>
    </row>
    <row r="16" spans="1:5" ht="30" customHeight="1" x14ac:dyDescent="0.25">
      <c r="A16" s="114"/>
      <c r="B16" s="1" t="s">
        <v>82</v>
      </c>
      <c r="C16" s="58"/>
      <c r="D16" s="58"/>
      <c r="E16" s="58"/>
    </row>
    <row r="17" spans="1:5" ht="30" customHeight="1" x14ac:dyDescent="0.25">
      <c r="A17" s="114"/>
      <c r="B17" s="1" t="s">
        <v>83</v>
      </c>
      <c r="C17" s="58"/>
      <c r="D17" s="58"/>
      <c r="E17" s="58"/>
    </row>
    <row r="18" spans="1:5" s="59" customFormat="1" ht="11.25" customHeight="1" x14ac:dyDescent="0.25">
      <c r="A18" s="114"/>
      <c r="B18" s="61"/>
      <c r="C18" s="60"/>
      <c r="D18" s="60"/>
      <c r="E18" s="60"/>
    </row>
    <row r="19" spans="1:5" ht="30" customHeight="1" x14ac:dyDescent="0.25">
      <c r="A19" s="114"/>
      <c r="B19" s="1" t="s">
        <v>84</v>
      </c>
      <c r="C19" s="65"/>
      <c r="D19" s="65"/>
      <c r="E19" s="65"/>
    </row>
    <row r="20" spans="1:5" x14ac:dyDescent="0.25">
      <c r="A20" s="62"/>
      <c r="B20" s="64"/>
      <c r="C20" s="63"/>
      <c r="D20" s="63"/>
      <c r="E20" s="63"/>
    </row>
    <row r="21" spans="1:5" ht="30" customHeight="1" x14ac:dyDescent="0.25">
      <c r="A21" s="112" t="s">
        <v>87</v>
      </c>
      <c r="B21" s="1" t="s">
        <v>81</v>
      </c>
      <c r="C21" s="57"/>
      <c r="D21" s="57"/>
      <c r="E21" s="57"/>
    </row>
    <row r="22" spans="1:5" ht="30" customHeight="1" x14ac:dyDescent="0.25">
      <c r="A22" s="112"/>
      <c r="B22" s="1" t="s">
        <v>82</v>
      </c>
      <c r="C22" s="58"/>
      <c r="D22" s="58"/>
      <c r="E22" s="58"/>
    </row>
    <row r="23" spans="1:5" ht="30" customHeight="1" x14ac:dyDescent="0.25">
      <c r="A23" s="112"/>
      <c r="B23" s="1" t="s">
        <v>83</v>
      </c>
      <c r="C23" s="58"/>
      <c r="D23" s="58"/>
      <c r="E23" s="58"/>
    </row>
    <row r="24" spans="1:5" s="59" customFormat="1" ht="11.25" customHeight="1" x14ac:dyDescent="0.25">
      <c r="A24" s="112"/>
      <c r="B24" s="61"/>
      <c r="C24" s="60"/>
      <c r="D24" s="60"/>
      <c r="E24" s="60"/>
    </row>
    <row r="25" spans="1:5" ht="30" customHeight="1" x14ac:dyDescent="0.25">
      <c r="A25" s="112"/>
      <c r="B25" s="1" t="s">
        <v>84</v>
      </c>
      <c r="C25" s="65"/>
      <c r="D25" s="65"/>
      <c r="E25" s="65"/>
    </row>
  </sheetData>
  <mergeCells count="4">
    <mergeCell ref="A3:A7"/>
    <mergeCell ref="A21:A25"/>
    <mergeCell ref="A9:A13"/>
    <mergeCell ref="A15:A19"/>
  </mergeCells>
  <phoneticPr fontId="47" type="noConversion"/>
  <conditionalFormatting sqref="C1:E1048576">
    <cfRule type="containsText" dxfId="93" priority="5" operator="containsText" text="Sí">
      <formula>NOT(ISERROR(SEARCH("Sí",C1)))</formula>
    </cfRule>
    <cfRule type="containsText" dxfId="92" priority="6" operator="containsText" text="No">
      <formula>NOT(ISERROR(SEARCH("No",C1)))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pane ySplit="5" topLeftCell="A6" activePane="bottomLeft" state="frozen"/>
      <selection pane="bottomLeft" activeCell="C12" sqref="C12"/>
    </sheetView>
  </sheetViews>
  <sheetFormatPr baseColWidth="10" defaultColWidth="9.140625" defaultRowHeight="15" x14ac:dyDescent="0.25"/>
  <cols>
    <col min="1" max="1" width="17.28515625" style="17" customWidth="1"/>
    <col min="2" max="2" width="14.28515625" style="18" customWidth="1"/>
    <col min="3" max="3" width="20.7109375" style="6" customWidth="1"/>
    <col min="4" max="4" width="14.140625" style="6" customWidth="1"/>
    <col min="5" max="5" width="72.42578125" style="19" customWidth="1"/>
    <col min="6" max="10" width="11.85546875" style="6" customWidth="1"/>
    <col min="11" max="12" width="26.7109375" style="22" customWidth="1"/>
    <col min="13" max="13" width="14.28515625" style="74" customWidth="1"/>
    <col min="14" max="14" width="9.42578125" style="80" customWidth="1"/>
    <col min="15" max="15" width="56.42578125" style="19" customWidth="1"/>
    <col min="16" max="16" width="9.140625" style="6"/>
    <col min="17" max="21" width="17.85546875" style="6" customWidth="1"/>
    <col min="22" max="16384" width="9.140625" style="6"/>
  </cols>
  <sheetData>
    <row r="1" spans="1:21" s="81" customFormat="1" ht="19.5" customHeight="1" x14ac:dyDescent="0.25">
      <c r="A1" s="131" t="s">
        <v>53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Q1" s="130" t="s">
        <v>51</v>
      </c>
      <c r="R1" s="130"/>
      <c r="S1" s="130"/>
      <c r="T1" s="130"/>
      <c r="U1" s="130"/>
    </row>
    <row r="2" spans="1:21" ht="38.25" customHeight="1" x14ac:dyDescent="0.25">
      <c r="A2" s="132" t="s">
        <v>72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4"/>
      <c r="Q2" s="130"/>
      <c r="R2" s="130"/>
      <c r="S2" s="130"/>
      <c r="T2" s="130"/>
      <c r="U2" s="130"/>
    </row>
    <row r="3" spans="1:21" ht="9" customHeight="1" x14ac:dyDescent="0.25">
      <c r="K3" s="19"/>
      <c r="N3" s="74"/>
    </row>
    <row r="4" spans="1:21" s="7" customFormat="1" ht="24" customHeight="1" x14ac:dyDescent="0.25">
      <c r="A4" s="119" t="s">
        <v>38</v>
      </c>
      <c r="B4" s="121" t="s">
        <v>54</v>
      </c>
      <c r="C4" s="123" t="s">
        <v>39</v>
      </c>
      <c r="D4" s="125" t="s">
        <v>46</v>
      </c>
      <c r="E4" s="119" t="s">
        <v>40</v>
      </c>
      <c r="F4" s="127" t="s">
        <v>41</v>
      </c>
      <c r="G4" s="128"/>
      <c r="H4" s="128"/>
      <c r="I4" s="128"/>
      <c r="J4" s="129"/>
      <c r="K4" s="127" t="s">
        <v>36</v>
      </c>
      <c r="L4" s="129"/>
      <c r="M4" s="115" t="s">
        <v>55</v>
      </c>
      <c r="N4" s="115" t="s">
        <v>56</v>
      </c>
      <c r="O4" s="117" t="s">
        <v>37</v>
      </c>
      <c r="Q4" s="84" t="s">
        <v>42</v>
      </c>
      <c r="R4" s="84" t="s">
        <v>43</v>
      </c>
      <c r="S4" s="84" t="s">
        <v>44</v>
      </c>
      <c r="T4" s="84" t="s">
        <v>52</v>
      </c>
      <c r="U4" s="84" t="s">
        <v>47</v>
      </c>
    </row>
    <row r="5" spans="1:21" ht="15" customHeight="1" x14ac:dyDescent="0.25">
      <c r="A5" s="120"/>
      <c r="B5" s="122"/>
      <c r="C5" s="124"/>
      <c r="D5" s="126"/>
      <c r="E5" s="124"/>
      <c r="F5" s="82" t="s">
        <v>42</v>
      </c>
      <c r="G5" s="82" t="s">
        <v>43</v>
      </c>
      <c r="H5" s="82" t="s">
        <v>44</v>
      </c>
      <c r="I5" s="82" t="s">
        <v>52</v>
      </c>
      <c r="J5" s="82" t="s">
        <v>57</v>
      </c>
      <c r="K5" s="83" t="s">
        <v>45</v>
      </c>
      <c r="L5" s="83" t="s">
        <v>50</v>
      </c>
      <c r="M5" s="116"/>
      <c r="N5" s="116"/>
      <c r="O5" s="118"/>
      <c r="Q5" s="5">
        <f>SUM(F6:F15)</f>
        <v>0</v>
      </c>
      <c r="R5" s="5">
        <f t="shared" ref="R5:U5" si="0">SUM(G6:G15)</f>
        <v>0</v>
      </c>
      <c r="S5" s="5">
        <f t="shared" si="0"/>
        <v>0</v>
      </c>
      <c r="T5" s="5">
        <f t="shared" si="0"/>
        <v>0</v>
      </c>
      <c r="U5" s="5">
        <f t="shared" si="0"/>
        <v>0</v>
      </c>
    </row>
    <row r="6" spans="1:21" x14ac:dyDescent="0.25">
      <c r="A6" s="21" t="s">
        <v>73</v>
      </c>
      <c r="B6" s="75">
        <v>45292</v>
      </c>
      <c r="C6" s="5"/>
      <c r="D6" s="5" t="s">
        <v>48</v>
      </c>
      <c r="E6" s="20"/>
      <c r="F6" s="5"/>
      <c r="G6" s="5"/>
      <c r="H6" s="5"/>
      <c r="I6" s="5"/>
      <c r="J6" s="5"/>
      <c r="K6" s="23"/>
      <c r="L6" s="85"/>
      <c r="M6" s="75"/>
      <c r="N6" s="76">
        <f t="shared" ref="N6:N11" si="1">M6-B6</f>
        <v>-45292</v>
      </c>
      <c r="O6" s="20"/>
    </row>
    <row r="7" spans="1:21" x14ac:dyDescent="0.25">
      <c r="A7" s="21" t="s">
        <v>73</v>
      </c>
      <c r="B7" s="75">
        <v>45293</v>
      </c>
      <c r="C7" s="5"/>
      <c r="D7" s="5" t="s">
        <v>48</v>
      </c>
      <c r="E7" s="20"/>
      <c r="F7" s="5"/>
      <c r="G7" s="5"/>
      <c r="H7" s="5"/>
      <c r="I7" s="5"/>
      <c r="J7" s="5"/>
      <c r="K7" s="23"/>
      <c r="L7" s="85"/>
      <c r="M7" s="75"/>
      <c r="N7" s="76">
        <f t="shared" si="1"/>
        <v>-45293</v>
      </c>
      <c r="O7" s="20"/>
    </row>
    <row r="8" spans="1:21" x14ac:dyDescent="0.25">
      <c r="A8" s="21" t="s">
        <v>73</v>
      </c>
      <c r="B8" s="75">
        <v>45294</v>
      </c>
      <c r="C8" s="5"/>
      <c r="D8" s="5" t="s">
        <v>48</v>
      </c>
      <c r="E8" s="20"/>
      <c r="F8" s="5"/>
      <c r="G8" s="5"/>
      <c r="H8" s="5"/>
      <c r="I8" s="5"/>
      <c r="J8" s="5"/>
      <c r="K8" s="23"/>
      <c r="L8" s="85"/>
      <c r="M8" s="75"/>
      <c r="N8" s="76">
        <f t="shared" si="1"/>
        <v>-45294</v>
      </c>
      <c r="O8" s="20"/>
    </row>
    <row r="9" spans="1:21" x14ac:dyDescent="0.25">
      <c r="A9" s="21" t="s">
        <v>73</v>
      </c>
      <c r="B9" s="75">
        <v>45295</v>
      </c>
      <c r="C9" s="5"/>
      <c r="D9" s="5" t="s">
        <v>49</v>
      </c>
      <c r="E9" s="20"/>
      <c r="F9" s="5"/>
      <c r="G9" s="5"/>
      <c r="H9" s="5"/>
      <c r="I9" s="5"/>
      <c r="J9" s="5"/>
      <c r="K9" s="23"/>
      <c r="L9" s="85"/>
      <c r="M9" s="75"/>
      <c r="N9" s="76">
        <f t="shared" si="1"/>
        <v>-45295</v>
      </c>
      <c r="O9" s="20"/>
    </row>
    <row r="10" spans="1:21" x14ac:dyDescent="0.25">
      <c r="A10" s="21" t="s">
        <v>73</v>
      </c>
      <c r="B10" s="75">
        <v>45296</v>
      </c>
      <c r="C10" s="5"/>
      <c r="D10" s="5" t="s">
        <v>49</v>
      </c>
      <c r="E10" s="20"/>
      <c r="F10" s="5"/>
      <c r="G10" s="5"/>
      <c r="H10" s="5"/>
      <c r="I10" s="5"/>
      <c r="J10" s="5"/>
      <c r="K10" s="23"/>
      <c r="L10" s="85"/>
      <c r="M10" s="75"/>
      <c r="N10" s="76">
        <f t="shared" si="1"/>
        <v>-45296</v>
      </c>
      <c r="O10" s="20"/>
    </row>
    <row r="11" spans="1:21" x14ac:dyDescent="0.25">
      <c r="A11" s="21" t="s">
        <v>73</v>
      </c>
      <c r="B11" s="75">
        <v>45297</v>
      </c>
      <c r="C11" s="5"/>
      <c r="D11" s="5" t="s">
        <v>49</v>
      </c>
      <c r="E11" s="20"/>
      <c r="F11" s="5"/>
      <c r="G11" s="5"/>
      <c r="H11" s="5"/>
      <c r="I11" s="5"/>
      <c r="J11" s="5"/>
      <c r="K11" s="23"/>
      <c r="L11" s="85"/>
      <c r="M11" s="75"/>
      <c r="N11" s="76">
        <f t="shared" si="1"/>
        <v>-45297</v>
      </c>
      <c r="O11" s="20"/>
    </row>
  </sheetData>
  <mergeCells count="13">
    <mergeCell ref="Q1:U2"/>
    <mergeCell ref="A1:O1"/>
    <mergeCell ref="A2:O2"/>
    <mergeCell ref="M4:M5"/>
    <mergeCell ref="N4:N5"/>
    <mergeCell ref="O4:O5"/>
    <mergeCell ref="A4:A5"/>
    <mergeCell ref="B4:B5"/>
    <mergeCell ref="C4:C5"/>
    <mergeCell ref="D4:D5"/>
    <mergeCell ref="E4:E5"/>
    <mergeCell ref="F4:J4"/>
    <mergeCell ref="K4:L4"/>
  </mergeCells>
  <conditionalFormatting sqref="A3:A1048576">
    <cfRule type="containsText" dxfId="91" priority="39" operator="containsText" text="_">
      <formula>NOT(ISERROR(SEARCH("_",A3)))</formula>
    </cfRule>
  </conditionalFormatting>
  <conditionalFormatting sqref="C3:C4 C6:C1048576">
    <cfRule type="containsText" dxfId="90" priority="40" operator="containsText" text="Rectoría">
      <formula>NOT(ISERROR(SEARCH("Rectoría",C3)))</formula>
    </cfRule>
    <cfRule type="containsText" dxfId="89" priority="41" operator="containsText" text="Vicerrectoría Académica">
      <formula>NOT(ISERROR(SEARCH("Vicerrectoría Académica",C3)))</formula>
    </cfRule>
    <cfRule type="containsText" dxfId="88" priority="42" operator="containsText" text="Vicerrectoría Administrativa y Financiera">
      <formula>NOT(ISERROR(SEARCH("Vicerrectoría Administrativa y Financiera",C3)))</formula>
    </cfRule>
    <cfRule type="containsText" dxfId="87" priority="46" operator="containsText" text="Comunicaciones">
      <formula>NOT(ISERROR(SEARCH("Comunicaciones",C3)))</formula>
    </cfRule>
  </conditionalFormatting>
  <conditionalFormatting sqref="D3:D1048576">
    <cfRule type="containsText" dxfId="86" priority="47" operator="containsText" text="Norte">
      <formula>NOT(ISERROR(SEARCH("Norte",D3)))</formula>
    </cfRule>
    <cfRule type="containsText" dxfId="85" priority="48" operator="containsText" text="Popayán">
      <formula>NOT(ISERROR(SEARCH("Popayán",D3)))</formula>
    </cfRule>
  </conditionalFormatting>
  <conditionalFormatting sqref="F3:J3 F4 F5:J1048576">
    <cfRule type="containsText" dxfId="84" priority="30" operator="containsText" text="10">
      <formula>NOT(ISERROR(SEARCH("10",F3)))</formula>
    </cfRule>
    <cfRule type="containsText" dxfId="83" priority="31" operator="containsText" text="9">
      <formula>NOT(ISERROR(SEARCH("9",F3)))</formula>
    </cfRule>
    <cfRule type="containsText" dxfId="82" priority="32" operator="containsText" text="8">
      <formula>NOT(ISERROR(SEARCH("8",F3)))</formula>
    </cfRule>
    <cfRule type="containsText" dxfId="81" priority="33" operator="containsText" text="7">
      <formula>NOT(ISERROR(SEARCH("7",F3)))</formula>
    </cfRule>
    <cfRule type="containsText" dxfId="80" priority="34" operator="containsText" text="6">
      <formula>NOT(ISERROR(SEARCH("6",F3)))</formula>
    </cfRule>
    <cfRule type="containsText" dxfId="79" priority="35" operator="containsText" text="5">
      <formula>NOT(ISERROR(SEARCH("5",F3)))</formula>
    </cfRule>
    <cfRule type="containsText" dxfId="78" priority="36" operator="containsText" text="4">
      <formula>NOT(ISERROR(SEARCH("4",F3)))</formula>
    </cfRule>
    <cfRule type="containsText" dxfId="77" priority="37" operator="containsText" text="3">
      <formula>NOT(ISERROR(SEARCH("3",F3)))</formula>
    </cfRule>
    <cfRule type="containsText" dxfId="76" priority="38" operator="containsText" text="2">
      <formula>NOT(ISERROR(SEARCH("2",F3)))</formula>
    </cfRule>
    <cfRule type="containsText" dxfId="75" priority="43" operator="containsText" text=".">
      <formula>NOT(ISERROR(SEARCH(".",F3)))</formula>
    </cfRule>
    <cfRule type="containsText" dxfId="74" priority="44" operator="containsText" text="1">
      <formula>NOT(ISERROR(SEARCH("1",F3)))</formula>
    </cfRule>
    <cfRule type="containsText" dxfId="73" priority="45" operator="containsText" text="x">
      <formula>NOT(ISERROR(SEARCH("x",F3)))</formula>
    </cfRule>
  </conditionalFormatting>
  <conditionalFormatting sqref="Q4:U4">
    <cfRule type="containsText" dxfId="72" priority="18" operator="containsText" text="10">
      <formula>NOT(ISERROR(SEARCH("10",Q4)))</formula>
    </cfRule>
    <cfRule type="containsText" dxfId="71" priority="19" operator="containsText" text="9">
      <formula>NOT(ISERROR(SEARCH("9",Q4)))</formula>
    </cfRule>
    <cfRule type="containsText" dxfId="70" priority="20" operator="containsText" text="8">
      <formula>NOT(ISERROR(SEARCH("8",Q4)))</formula>
    </cfRule>
    <cfRule type="containsText" dxfId="69" priority="21" operator="containsText" text="7">
      <formula>NOT(ISERROR(SEARCH("7",Q4)))</formula>
    </cfRule>
    <cfRule type="containsText" dxfId="68" priority="22" operator="containsText" text="6">
      <formula>NOT(ISERROR(SEARCH("6",Q4)))</formula>
    </cfRule>
    <cfRule type="containsText" dxfId="67" priority="23" operator="containsText" text="5">
      <formula>NOT(ISERROR(SEARCH("5",Q4)))</formula>
    </cfRule>
    <cfRule type="containsText" dxfId="66" priority="24" operator="containsText" text="4">
      <formula>NOT(ISERROR(SEARCH("4",Q4)))</formula>
    </cfRule>
    <cfRule type="containsText" dxfId="65" priority="25" operator="containsText" text="3">
      <formula>NOT(ISERROR(SEARCH("3",Q4)))</formula>
    </cfRule>
    <cfRule type="containsText" dxfId="64" priority="26" operator="containsText" text="2">
      <formula>NOT(ISERROR(SEARCH("2",Q4)))</formula>
    </cfRule>
    <cfRule type="containsText" dxfId="63" priority="27" operator="containsText" text=".">
      <formula>NOT(ISERROR(SEARCH(".",Q4)))</formula>
    </cfRule>
    <cfRule type="containsText" dxfId="62" priority="28" operator="containsText" text="1">
      <formula>NOT(ISERROR(SEARCH("1",Q4)))</formula>
    </cfRule>
    <cfRule type="containsText" dxfId="61" priority="29" operator="containsText" text="x">
      <formula>NOT(ISERROR(SEARCH("x",Q4)))</formula>
    </cfRule>
  </conditionalFormatting>
  <conditionalFormatting sqref="B6:B11">
    <cfRule type="containsText" dxfId="60" priority="16" operator="containsText" text="Pendiente">
      <formula>NOT(ISERROR(SEARCH("Pendiente",B6)))</formula>
    </cfRule>
    <cfRule type="containsText" dxfId="59" priority="17" operator="containsText" text="N/A">
      <formula>NOT(ISERROR(SEARCH("N/A",B6)))</formula>
    </cfRule>
  </conditionalFormatting>
  <conditionalFormatting sqref="N6:N11">
    <cfRule type="cellIs" dxfId="58" priority="15" operator="greaterThan">
      <formula>7</formula>
    </cfRule>
  </conditionalFormatting>
  <conditionalFormatting sqref="N6:N11">
    <cfRule type="cellIs" dxfId="57" priority="4" operator="equal">
      <formula>0</formula>
    </cfRule>
    <cfRule type="cellIs" dxfId="56" priority="5" operator="equal">
      <formula>1</formula>
    </cfRule>
    <cfRule type="cellIs" dxfId="55" priority="6" operator="equal">
      <formula>2</formula>
    </cfRule>
    <cfRule type="cellIs" dxfId="54" priority="7" operator="equal">
      <formula>3</formula>
    </cfRule>
    <cfRule type="cellIs" dxfId="53" priority="8" operator="equal">
      <formula>4</formula>
    </cfRule>
    <cfRule type="cellIs" dxfId="52" priority="12" operator="equal">
      <formula>5</formula>
    </cfRule>
    <cfRule type="cellIs" dxfId="51" priority="13" operator="equal">
      <formula>6</formula>
    </cfRule>
    <cfRule type="cellIs" dxfId="50" priority="14" operator="equal">
      <formula>7</formula>
    </cfRule>
  </conditionalFormatting>
  <conditionalFormatting sqref="K3:L3 K4 K5:L1048576">
    <cfRule type="containsText" dxfId="49" priority="11" operator="containsText" text="No aplica">
      <formula>NOT(ISERROR(SEARCH("No aplica",K3)))</formula>
    </cfRule>
  </conditionalFormatting>
  <conditionalFormatting sqref="K3:L3 K4 K5:L1048576">
    <cfRule type="containsText" dxfId="48" priority="10" operator="containsText" text="Pendiente">
      <formula>NOT(ISERROR(SEARCH("Pendiente",K3)))</formula>
    </cfRule>
  </conditionalFormatting>
  <conditionalFormatting sqref="O3:O1048576">
    <cfRule type="containsText" dxfId="47" priority="9" operator="containsText" text="Solicitud cancelada">
      <formula>NOT(ISERROR(SEARCH("Solicitud cancelada",O3)))</formula>
    </cfRule>
  </conditionalFormatting>
  <conditionalFormatting sqref="O3:O1048576">
    <cfRule type="containsText" dxfId="46" priority="3" operator="containsText" text="Requiere cubrimiento de MEDIOS">
      <formula>NOT(ISERROR(SEARCH("Requiere cubrimiento de MEDIOS",O3)))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pane ySplit="5" topLeftCell="A6" activePane="bottomLeft" state="frozen"/>
      <selection pane="bottomLeft" activeCell="E25" sqref="E25"/>
    </sheetView>
  </sheetViews>
  <sheetFormatPr baseColWidth="10" defaultColWidth="9.140625" defaultRowHeight="15" x14ac:dyDescent="0.25"/>
  <cols>
    <col min="1" max="1" width="17.28515625" style="17" customWidth="1"/>
    <col min="2" max="2" width="14.28515625" style="18" customWidth="1"/>
    <col min="3" max="3" width="20.7109375" style="6" customWidth="1"/>
    <col min="4" max="4" width="14.140625" style="6" customWidth="1"/>
    <col min="5" max="5" width="72.42578125" style="19" customWidth="1"/>
    <col min="6" max="10" width="11.85546875" style="6" customWidth="1"/>
    <col min="11" max="12" width="26.7109375" style="22" customWidth="1"/>
    <col min="13" max="13" width="14.28515625" style="74" customWidth="1"/>
    <col min="14" max="14" width="9.42578125" style="80" customWidth="1"/>
    <col min="15" max="15" width="56.42578125" style="19" customWidth="1"/>
    <col min="16" max="16" width="9.140625" style="6"/>
    <col min="17" max="21" width="17.85546875" style="6" customWidth="1"/>
    <col min="22" max="16384" width="9.140625" style="6"/>
  </cols>
  <sheetData>
    <row r="1" spans="1:21" s="81" customFormat="1" ht="19.5" customHeight="1" x14ac:dyDescent="0.25">
      <c r="A1" s="131" t="s">
        <v>53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Q1" s="130" t="s">
        <v>51</v>
      </c>
      <c r="R1" s="130"/>
      <c r="S1" s="130"/>
      <c r="T1" s="130"/>
      <c r="U1" s="130"/>
    </row>
    <row r="2" spans="1:21" ht="38.25" customHeight="1" x14ac:dyDescent="0.25">
      <c r="A2" s="132" t="s">
        <v>88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4"/>
      <c r="Q2" s="130"/>
      <c r="R2" s="130"/>
      <c r="S2" s="130"/>
      <c r="T2" s="130"/>
      <c r="U2" s="130"/>
    </row>
    <row r="3" spans="1:21" ht="9" customHeight="1" x14ac:dyDescent="0.25">
      <c r="K3" s="19"/>
      <c r="N3" s="74"/>
    </row>
    <row r="4" spans="1:21" s="7" customFormat="1" ht="24" customHeight="1" x14ac:dyDescent="0.25">
      <c r="A4" s="119" t="s">
        <v>38</v>
      </c>
      <c r="B4" s="121" t="s">
        <v>54</v>
      </c>
      <c r="C4" s="123" t="s">
        <v>39</v>
      </c>
      <c r="D4" s="125" t="s">
        <v>46</v>
      </c>
      <c r="E4" s="119" t="s">
        <v>40</v>
      </c>
      <c r="F4" s="127" t="s">
        <v>41</v>
      </c>
      <c r="G4" s="128"/>
      <c r="H4" s="128"/>
      <c r="I4" s="128"/>
      <c r="J4" s="129"/>
      <c r="K4" s="127" t="s">
        <v>36</v>
      </c>
      <c r="L4" s="129"/>
      <c r="M4" s="115" t="s">
        <v>55</v>
      </c>
      <c r="N4" s="115" t="s">
        <v>56</v>
      </c>
      <c r="O4" s="117" t="s">
        <v>37</v>
      </c>
      <c r="Q4" s="84" t="s">
        <v>42</v>
      </c>
      <c r="R4" s="84" t="s">
        <v>43</v>
      </c>
      <c r="S4" s="84" t="s">
        <v>44</v>
      </c>
      <c r="T4" s="84" t="s">
        <v>52</v>
      </c>
      <c r="U4" s="84" t="s">
        <v>47</v>
      </c>
    </row>
    <row r="5" spans="1:21" ht="15" customHeight="1" x14ac:dyDescent="0.25">
      <c r="A5" s="120"/>
      <c r="B5" s="122"/>
      <c r="C5" s="124"/>
      <c r="D5" s="126"/>
      <c r="E5" s="124"/>
      <c r="F5" s="82" t="s">
        <v>42</v>
      </c>
      <c r="G5" s="82" t="s">
        <v>43</v>
      </c>
      <c r="H5" s="82" t="s">
        <v>44</v>
      </c>
      <c r="I5" s="82" t="s">
        <v>52</v>
      </c>
      <c r="J5" s="82" t="s">
        <v>57</v>
      </c>
      <c r="K5" s="83" t="s">
        <v>45</v>
      </c>
      <c r="L5" s="83" t="s">
        <v>50</v>
      </c>
      <c r="M5" s="116"/>
      <c r="N5" s="116"/>
      <c r="O5" s="118"/>
      <c r="Q5" s="5">
        <f>SUM(F6:F15)</f>
        <v>0</v>
      </c>
      <c r="R5" s="5">
        <f t="shared" ref="R5:U5" si="0">SUM(G6:G15)</f>
        <v>0</v>
      </c>
      <c r="S5" s="5">
        <f t="shared" si="0"/>
        <v>0</v>
      </c>
      <c r="T5" s="5">
        <f t="shared" si="0"/>
        <v>0</v>
      </c>
      <c r="U5" s="5">
        <f t="shared" si="0"/>
        <v>0</v>
      </c>
    </row>
    <row r="6" spans="1:21" x14ac:dyDescent="0.25">
      <c r="A6" s="21" t="s">
        <v>73</v>
      </c>
      <c r="B6" s="75">
        <v>45323</v>
      </c>
      <c r="C6" s="5"/>
      <c r="D6" s="5" t="s">
        <v>48</v>
      </c>
      <c r="E6" s="20"/>
      <c r="F6" s="5"/>
      <c r="G6" s="5"/>
      <c r="H6" s="5"/>
      <c r="I6" s="5"/>
      <c r="J6" s="5"/>
      <c r="K6" s="23"/>
      <c r="L6" s="85"/>
      <c r="M6" s="75"/>
      <c r="N6" s="76">
        <f t="shared" ref="N6:N11" si="1">M6-B6</f>
        <v>-45323</v>
      </c>
      <c r="O6" s="20"/>
    </row>
    <row r="7" spans="1:21" x14ac:dyDescent="0.25">
      <c r="A7" s="21" t="s">
        <v>73</v>
      </c>
      <c r="B7" s="75">
        <v>45324</v>
      </c>
      <c r="C7" s="5"/>
      <c r="D7" s="5" t="s">
        <v>48</v>
      </c>
      <c r="E7" s="20"/>
      <c r="F7" s="5"/>
      <c r="G7" s="5"/>
      <c r="H7" s="5"/>
      <c r="I7" s="5"/>
      <c r="J7" s="5"/>
      <c r="K7" s="23"/>
      <c r="L7" s="85"/>
      <c r="M7" s="75"/>
      <c r="N7" s="76">
        <f t="shared" si="1"/>
        <v>-45324</v>
      </c>
      <c r="O7" s="20"/>
    </row>
    <row r="8" spans="1:21" x14ac:dyDescent="0.25">
      <c r="A8" s="21" t="s">
        <v>73</v>
      </c>
      <c r="B8" s="75">
        <v>45325</v>
      </c>
      <c r="C8" s="5"/>
      <c r="D8" s="5" t="s">
        <v>48</v>
      </c>
      <c r="E8" s="20"/>
      <c r="F8" s="5"/>
      <c r="G8" s="5"/>
      <c r="H8" s="5"/>
      <c r="I8" s="5"/>
      <c r="J8" s="5"/>
      <c r="K8" s="23"/>
      <c r="L8" s="85"/>
      <c r="M8" s="75"/>
      <c r="N8" s="76">
        <f t="shared" si="1"/>
        <v>-45325</v>
      </c>
      <c r="O8" s="20"/>
    </row>
    <row r="9" spans="1:21" x14ac:dyDescent="0.25">
      <c r="A9" s="21" t="s">
        <v>73</v>
      </c>
      <c r="B9" s="75">
        <v>45326</v>
      </c>
      <c r="C9" s="5"/>
      <c r="D9" s="5" t="s">
        <v>49</v>
      </c>
      <c r="E9" s="20"/>
      <c r="F9" s="5"/>
      <c r="G9" s="5"/>
      <c r="H9" s="5"/>
      <c r="I9" s="5"/>
      <c r="J9" s="5"/>
      <c r="K9" s="23"/>
      <c r="L9" s="85"/>
      <c r="M9" s="75"/>
      <c r="N9" s="76">
        <f t="shared" si="1"/>
        <v>-45326</v>
      </c>
      <c r="O9" s="20"/>
    </row>
    <row r="10" spans="1:21" x14ac:dyDescent="0.25">
      <c r="A10" s="21" t="s">
        <v>73</v>
      </c>
      <c r="B10" s="75">
        <v>45327</v>
      </c>
      <c r="C10" s="5"/>
      <c r="D10" s="5" t="s">
        <v>49</v>
      </c>
      <c r="E10" s="20"/>
      <c r="F10" s="5"/>
      <c r="G10" s="5"/>
      <c r="H10" s="5"/>
      <c r="I10" s="5"/>
      <c r="J10" s="5"/>
      <c r="K10" s="23"/>
      <c r="L10" s="85"/>
      <c r="M10" s="75"/>
      <c r="N10" s="76">
        <f t="shared" si="1"/>
        <v>-45327</v>
      </c>
      <c r="O10" s="20"/>
    </row>
    <row r="11" spans="1:21" x14ac:dyDescent="0.25">
      <c r="A11" s="21" t="s">
        <v>73</v>
      </c>
      <c r="B11" s="75">
        <v>45328</v>
      </c>
      <c r="C11" s="5"/>
      <c r="D11" s="5" t="s">
        <v>49</v>
      </c>
      <c r="E11" s="20"/>
      <c r="F11" s="5"/>
      <c r="G11" s="5"/>
      <c r="H11" s="5"/>
      <c r="I11" s="5"/>
      <c r="J11" s="5"/>
      <c r="K11" s="23"/>
      <c r="L11" s="85"/>
      <c r="M11" s="75"/>
      <c r="N11" s="76">
        <f t="shared" si="1"/>
        <v>-45328</v>
      </c>
      <c r="O11" s="20"/>
    </row>
  </sheetData>
  <mergeCells count="13">
    <mergeCell ref="M4:M5"/>
    <mergeCell ref="N4:N5"/>
    <mergeCell ref="O4:O5"/>
    <mergeCell ref="A1:O1"/>
    <mergeCell ref="Q1:U2"/>
    <mergeCell ref="A2:O2"/>
    <mergeCell ref="A4:A5"/>
    <mergeCell ref="B4:B5"/>
    <mergeCell ref="C4:C5"/>
    <mergeCell ref="D4:D5"/>
    <mergeCell ref="E4:E5"/>
    <mergeCell ref="F4:J4"/>
    <mergeCell ref="K4:L4"/>
  </mergeCells>
  <conditionalFormatting sqref="A3:A1048576">
    <cfRule type="containsText" dxfId="45" priority="37" operator="containsText" text="_">
      <formula>NOT(ISERROR(SEARCH("_",A3)))</formula>
    </cfRule>
  </conditionalFormatting>
  <conditionalFormatting sqref="C3:C4 C6:C1048576">
    <cfRule type="containsText" dxfId="44" priority="38" operator="containsText" text="Rectoría">
      <formula>NOT(ISERROR(SEARCH("Rectoría",C3)))</formula>
    </cfRule>
    <cfRule type="containsText" dxfId="43" priority="39" operator="containsText" text="Vicerrectoría Académica">
      <formula>NOT(ISERROR(SEARCH("Vicerrectoría Académica",C3)))</formula>
    </cfRule>
    <cfRule type="containsText" dxfId="42" priority="40" operator="containsText" text="Vicerrectoría Administrativa y Financiera">
      <formula>NOT(ISERROR(SEARCH("Vicerrectoría Administrativa y Financiera",C3)))</formula>
    </cfRule>
    <cfRule type="containsText" dxfId="41" priority="44" operator="containsText" text="Comunicaciones">
      <formula>NOT(ISERROR(SEARCH("Comunicaciones",C3)))</formula>
    </cfRule>
  </conditionalFormatting>
  <conditionalFormatting sqref="D3:D1048576">
    <cfRule type="containsText" dxfId="40" priority="45" operator="containsText" text="Norte">
      <formula>NOT(ISERROR(SEARCH("Norte",D3)))</formula>
    </cfRule>
    <cfRule type="containsText" dxfId="39" priority="46" operator="containsText" text="Popayán">
      <formula>NOT(ISERROR(SEARCH("Popayán",D3)))</formula>
    </cfRule>
  </conditionalFormatting>
  <conditionalFormatting sqref="F3:J3 F4 F5:J1048576">
    <cfRule type="containsText" dxfId="38" priority="28" operator="containsText" text="10">
      <formula>NOT(ISERROR(SEARCH("10",F3)))</formula>
    </cfRule>
    <cfRule type="containsText" dxfId="37" priority="29" operator="containsText" text="9">
      <formula>NOT(ISERROR(SEARCH("9",F3)))</formula>
    </cfRule>
    <cfRule type="containsText" dxfId="36" priority="30" operator="containsText" text="8">
      <formula>NOT(ISERROR(SEARCH("8",F3)))</formula>
    </cfRule>
    <cfRule type="containsText" dxfId="35" priority="31" operator="containsText" text="7">
      <formula>NOT(ISERROR(SEARCH("7",F3)))</formula>
    </cfRule>
    <cfRule type="containsText" dxfId="34" priority="32" operator="containsText" text="6">
      <formula>NOT(ISERROR(SEARCH("6",F3)))</formula>
    </cfRule>
    <cfRule type="containsText" dxfId="33" priority="33" operator="containsText" text="5">
      <formula>NOT(ISERROR(SEARCH("5",F3)))</formula>
    </cfRule>
    <cfRule type="containsText" dxfId="32" priority="34" operator="containsText" text="4">
      <formula>NOT(ISERROR(SEARCH("4",F3)))</formula>
    </cfRule>
    <cfRule type="containsText" dxfId="31" priority="35" operator="containsText" text="3">
      <formula>NOT(ISERROR(SEARCH("3",F3)))</formula>
    </cfRule>
    <cfRule type="containsText" dxfId="30" priority="36" operator="containsText" text="2">
      <formula>NOT(ISERROR(SEARCH("2",F3)))</formula>
    </cfRule>
    <cfRule type="containsText" dxfId="29" priority="41" operator="containsText" text=".">
      <formula>NOT(ISERROR(SEARCH(".",F3)))</formula>
    </cfRule>
    <cfRule type="containsText" dxfId="28" priority="42" operator="containsText" text="1">
      <formula>NOT(ISERROR(SEARCH("1",F3)))</formula>
    </cfRule>
    <cfRule type="containsText" dxfId="27" priority="43" operator="containsText" text="x">
      <formula>NOT(ISERROR(SEARCH("x",F3)))</formula>
    </cfRule>
  </conditionalFormatting>
  <conditionalFormatting sqref="Q4:U4">
    <cfRule type="containsText" dxfId="26" priority="16" operator="containsText" text="10">
      <formula>NOT(ISERROR(SEARCH("10",Q4)))</formula>
    </cfRule>
    <cfRule type="containsText" dxfId="25" priority="17" operator="containsText" text="9">
      <formula>NOT(ISERROR(SEARCH("9",Q4)))</formula>
    </cfRule>
    <cfRule type="containsText" dxfId="24" priority="18" operator="containsText" text="8">
      <formula>NOT(ISERROR(SEARCH("8",Q4)))</formula>
    </cfRule>
    <cfRule type="containsText" dxfId="23" priority="19" operator="containsText" text="7">
      <formula>NOT(ISERROR(SEARCH("7",Q4)))</formula>
    </cfRule>
    <cfRule type="containsText" dxfId="22" priority="20" operator="containsText" text="6">
      <formula>NOT(ISERROR(SEARCH("6",Q4)))</formula>
    </cfRule>
    <cfRule type="containsText" dxfId="21" priority="21" operator="containsText" text="5">
      <formula>NOT(ISERROR(SEARCH("5",Q4)))</formula>
    </cfRule>
    <cfRule type="containsText" dxfId="20" priority="22" operator="containsText" text="4">
      <formula>NOT(ISERROR(SEARCH("4",Q4)))</formula>
    </cfRule>
    <cfRule type="containsText" dxfId="19" priority="23" operator="containsText" text="3">
      <formula>NOT(ISERROR(SEARCH("3",Q4)))</formula>
    </cfRule>
    <cfRule type="containsText" dxfId="18" priority="24" operator="containsText" text="2">
      <formula>NOT(ISERROR(SEARCH("2",Q4)))</formula>
    </cfRule>
    <cfRule type="containsText" dxfId="17" priority="25" operator="containsText" text=".">
      <formula>NOT(ISERROR(SEARCH(".",Q4)))</formula>
    </cfRule>
    <cfRule type="containsText" dxfId="16" priority="26" operator="containsText" text="1">
      <formula>NOT(ISERROR(SEARCH("1",Q4)))</formula>
    </cfRule>
    <cfRule type="containsText" dxfId="15" priority="27" operator="containsText" text="x">
      <formula>NOT(ISERROR(SEARCH("x",Q4)))</formula>
    </cfRule>
  </conditionalFormatting>
  <conditionalFormatting sqref="B6:B11">
    <cfRule type="containsText" dxfId="14" priority="14" operator="containsText" text="Pendiente">
      <formula>NOT(ISERROR(SEARCH("Pendiente",B6)))</formula>
    </cfRule>
    <cfRule type="containsText" dxfId="13" priority="15" operator="containsText" text="N/A">
      <formula>NOT(ISERROR(SEARCH("N/A",B6)))</formula>
    </cfRule>
  </conditionalFormatting>
  <conditionalFormatting sqref="N6:N11">
    <cfRule type="cellIs" dxfId="12" priority="13" operator="greaterThan">
      <formula>7</formula>
    </cfRule>
  </conditionalFormatting>
  <conditionalFormatting sqref="N6:N11">
    <cfRule type="cellIs" dxfId="11" priority="2" operator="equal">
      <formula>0</formula>
    </cfRule>
    <cfRule type="cellIs" dxfId="10" priority="3" operator="equal">
      <formula>1</formula>
    </cfRule>
    <cfRule type="cellIs" dxfId="9" priority="4" operator="equal">
      <formula>2</formula>
    </cfRule>
    <cfRule type="cellIs" dxfId="8" priority="5" operator="equal">
      <formula>3</formula>
    </cfRule>
    <cfRule type="cellIs" dxfId="7" priority="6" operator="equal">
      <formula>4</formula>
    </cfRule>
    <cfRule type="cellIs" dxfId="6" priority="10" operator="equal">
      <formula>5</formula>
    </cfRule>
    <cfRule type="cellIs" dxfId="5" priority="11" operator="equal">
      <formula>6</formula>
    </cfRule>
    <cfRule type="cellIs" dxfId="4" priority="12" operator="equal">
      <formula>7</formula>
    </cfRule>
  </conditionalFormatting>
  <conditionalFormatting sqref="K3:L3 K4 K5:L1048576">
    <cfRule type="containsText" dxfId="3" priority="9" operator="containsText" text="No aplica">
      <formula>NOT(ISERROR(SEARCH("No aplica",K3)))</formula>
    </cfRule>
  </conditionalFormatting>
  <conditionalFormatting sqref="K3:L3 K4 K5:L1048576">
    <cfRule type="containsText" dxfId="2" priority="8" operator="containsText" text="Pendiente">
      <formula>NOT(ISERROR(SEARCH("Pendiente",K3)))</formula>
    </cfRule>
  </conditionalFormatting>
  <conditionalFormatting sqref="O3:O1048576">
    <cfRule type="containsText" dxfId="1" priority="7" operator="containsText" text="Solicitud cancelada">
      <formula>NOT(ISERROR(SEARCH("Solicitud cancelada",O3)))</formula>
    </cfRule>
  </conditionalFormatting>
  <conditionalFormatting sqref="O3:O1048576">
    <cfRule type="containsText" dxfId="0" priority="1" operator="containsText" text="Requiere cubrimiento de MEDIOS">
      <formula>NOT(ISERROR(SEARCH("Requiere cubrimiento de MEDIOS",O3)))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Monitores</vt:lpstr>
      <vt:lpstr>Carteleras</vt:lpstr>
      <vt:lpstr>Medios</vt:lpstr>
      <vt:lpstr>Campañas</vt:lpstr>
      <vt:lpstr>Mes 1</vt:lpstr>
      <vt:lpstr>Mes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ASISTENTE CALIDAD</cp:lastModifiedBy>
  <cp:revision/>
  <dcterms:created xsi:type="dcterms:W3CDTF">2023-02-06T22:51:07Z</dcterms:created>
  <dcterms:modified xsi:type="dcterms:W3CDTF">2023-11-02T13:31:06Z</dcterms:modified>
  <cp:category/>
  <cp:contentStatus/>
</cp:coreProperties>
</file>