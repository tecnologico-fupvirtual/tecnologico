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4\10.1 Gestión Legal\"/>
    </mc:Choice>
  </mc:AlternateContent>
  <bookViews>
    <workbookView xWindow="0" yWindow="0" windowWidth="28800" windowHeight="12450" firstSheet="1" activeTab="1"/>
  </bookViews>
  <sheets>
    <sheet name="Hoja1" sheetId="2" state="hidden" r:id="rId1"/>
    <sheet name="BECAS TRABAJADORES" sheetId="8" r:id="rId2"/>
    <sheet name="BECAS PARA HIJOS DE TRABAJADOR" sheetId="26" r:id="rId3"/>
    <sheet name="SOLICITUDES EXTERNAS" sheetId="27" r:id="rId4"/>
    <sheet name="ESTÍMULOS" sheetId="28" r:id="rId5"/>
    <sheet name="CANJES" sheetId="32" r:id="rId6"/>
  </sheets>
  <definedNames>
    <definedName name="_xlnm._FilterDatabase" localSheetId="1" hidden="1">'BECAS TRABAJADORES'!$A$8:$AA$70</definedName>
    <definedName name="_xlnm._FilterDatabase" localSheetId="3" hidden="1">'SOLICITUDES EXTERNAS'!$A$8:$V$126</definedName>
    <definedName name="Especialización">Hoja1!$B$2:$B$11</definedName>
    <definedName name="Pregrado_Presencial">Hoja1!$C$2:$C$15</definedName>
    <definedName name="Pregrado_Virtual">Hoja1!$D$2:$D$4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28" l="1"/>
  <c r="L65" i="28"/>
  <c r="L64" i="28"/>
  <c r="L63" i="28"/>
  <c r="L62" i="28"/>
  <c r="L61" i="28"/>
  <c r="L60" i="28"/>
  <c r="L59" i="28"/>
  <c r="L58" i="28"/>
  <c r="L57" i="28"/>
  <c r="L56" i="28"/>
  <c r="L55" i="28"/>
  <c r="L54" i="28"/>
  <c r="L53" i="28"/>
  <c r="L52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K9" i="32"/>
  <c r="Q64" i="26"/>
  <c r="Q63" i="26"/>
  <c r="Q62" i="26"/>
  <c r="Q61" i="26"/>
  <c r="Q60" i="26"/>
  <c r="Q59" i="26"/>
  <c r="Q58" i="26"/>
  <c r="Q57" i="26"/>
  <c r="Q56" i="26"/>
  <c r="Q55" i="26"/>
  <c r="Q54" i="26"/>
  <c r="Q53" i="26"/>
  <c r="Q52" i="26"/>
  <c r="Q51" i="26"/>
  <c r="Q50" i="26"/>
  <c r="Q49" i="26"/>
  <c r="Q48" i="26"/>
  <c r="Q47" i="26"/>
  <c r="Q46" i="26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K126" i="27"/>
  <c r="K125" i="27"/>
  <c r="K124" i="27"/>
  <c r="K123" i="27"/>
  <c r="K122" i="27"/>
  <c r="K121" i="27"/>
  <c r="K120" i="27"/>
  <c r="K119" i="27"/>
  <c r="K118" i="27"/>
  <c r="K117" i="27"/>
  <c r="K116" i="27"/>
  <c r="K115" i="27"/>
  <c r="K114" i="27"/>
  <c r="K113" i="27"/>
  <c r="K112" i="27"/>
  <c r="K111" i="27"/>
  <c r="K110" i="27"/>
  <c r="K109" i="27"/>
  <c r="K108" i="27"/>
  <c r="K107" i="27"/>
  <c r="K106" i="27"/>
  <c r="K105" i="27"/>
  <c r="K104" i="27"/>
  <c r="K103" i="27"/>
  <c r="K102" i="27"/>
  <c r="K101" i="27"/>
  <c r="K100" i="27"/>
  <c r="K99" i="27"/>
  <c r="K98" i="27"/>
  <c r="K97" i="27"/>
  <c r="K96" i="27"/>
  <c r="K95" i="27"/>
  <c r="K94" i="27"/>
  <c r="K93" i="27"/>
  <c r="K92" i="27"/>
  <c r="K91" i="27"/>
  <c r="K90" i="27"/>
  <c r="K89" i="27"/>
  <c r="K88" i="27"/>
  <c r="K87" i="27"/>
  <c r="K86" i="27"/>
  <c r="K85" i="27"/>
  <c r="K84" i="27"/>
  <c r="K83" i="27"/>
  <c r="K82" i="27"/>
  <c r="K81" i="27"/>
  <c r="K80" i="27"/>
  <c r="K79" i="27"/>
  <c r="K78" i="27"/>
  <c r="K77" i="27"/>
  <c r="K76" i="27"/>
  <c r="K75" i="27"/>
  <c r="K74" i="27"/>
  <c r="K73" i="27"/>
  <c r="K72" i="27"/>
  <c r="K71" i="27"/>
  <c r="K70" i="27"/>
  <c r="K69" i="27"/>
  <c r="K68" i="27"/>
  <c r="K67" i="27"/>
  <c r="K66" i="27"/>
  <c r="K65" i="27"/>
  <c r="K64" i="27"/>
  <c r="K63" i="27"/>
  <c r="K62" i="27"/>
  <c r="K61" i="27"/>
  <c r="K60" i="27"/>
  <c r="K59" i="27"/>
  <c r="K58" i="27"/>
  <c r="K57" i="27"/>
  <c r="K56" i="27"/>
  <c r="K55" i="27"/>
  <c r="K54" i="27"/>
  <c r="K53" i="27"/>
  <c r="K52" i="27"/>
  <c r="K51" i="27"/>
  <c r="K50" i="27"/>
  <c r="K49" i="27"/>
  <c r="K48" i="27"/>
  <c r="K47" i="27"/>
  <c r="K46" i="27"/>
  <c r="K45" i="27"/>
  <c r="K44" i="27"/>
  <c r="K43" i="27"/>
  <c r="K42" i="27"/>
  <c r="K41" i="27"/>
  <c r="K40" i="27"/>
  <c r="K39" i="27"/>
  <c r="K38" i="27"/>
  <c r="K37" i="27"/>
  <c r="K36" i="27"/>
  <c r="K35" i="27"/>
  <c r="K34" i="27"/>
  <c r="K33" i="27"/>
  <c r="K32" i="27"/>
  <c r="K31" i="27"/>
  <c r="K30" i="27"/>
  <c r="K29" i="27"/>
  <c r="K28" i="27"/>
  <c r="K27" i="27"/>
  <c r="K26" i="27"/>
  <c r="K25" i="27"/>
  <c r="K24" i="27"/>
  <c r="K23" i="27"/>
  <c r="K22" i="27"/>
  <c r="K21" i="27"/>
  <c r="K20" i="27"/>
  <c r="K19" i="27"/>
  <c r="K18" i="27"/>
  <c r="K17" i="27"/>
  <c r="K16" i="27"/>
  <c r="K15" i="27"/>
  <c r="K14" i="27"/>
  <c r="K13" i="27"/>
  <c r="K12" i="27"/>
  <c r="K11" i="27"/>
  <c r="K10" i="27"/>
  <c r="K9" i="27"/>
  <c r="J9" i="27"/>
  <c r="J126" i="27"/>
  <c r="J125" i="27"/>
  <c r="J124" i="27"/>
  <c r="J123" i="27"/>
  <c r="J122" i="27"/>
  <c r="J121" i="27"/>
  <c r="J120" i="27"/>
  <c r="J119" i="27"/>
  <c r="J118" i="27"/>
  <c r="J117" i="27"/>
  <c r="J116" i="27"/>
  <c r="J115" i="27"/>
  <c r="J114" i="27"/>
  <c r="J113" i="27"/>
  <c r="J112" i="27"/>
  <c r="J111" i="27"/>
  <c r="J110" i="27"/>
  <c r="J109" i="27"/>
  <c r="J108" i="27"/>
  <c r="J107" i="27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T65" i="28" l="1"/>
  <c r="U65" i="28" s="1"/>
  <c r="K65" i="28"/>
  <c r="K64" i="28"/>
  <c r="T63" i="28"/>
  <c r="U63" i="28" s="1"/>
  <c r="K63" i="28"/>
  <c r="K62" i="28"/>
  <c r="T61" i="28"/>
  <c r="U61" i="28" s="1"/>
  <c r="K61" i="28"/>
  <c r="K60" i="28"/>
  <c r="T59" i="28"/>
  <c r="U59" i="28" s="1"/>
  <c r="K59" i="28"/>
  <c r="K58" i="28"/>
  <c r="T57" i="28"/>
  <c r="U57" i="28" s="1"/>
  <c r="K57" i="28"/>
  <c r="K56" i="28"/>
  <c r="T55" i="28"/>
  <c r="U55" i="28" s="1"/>
  <c r="K55" i="28"/>
  <c r="K54" i="28"/>
  <c r="T53" i="28"/>
  <c r="U53" i="28" s="1"/>
  <c r="K53" i="28"/>
  <c r="K52" i="28"/>
  <c r="T51" i="28"/>
  <c r="U51" i="28" s="1"/>
  <c r="K51" i="28"/>
  <c r="K50" i="28"/>
  <c r="T49" i="28"/>
  <c r="U49" i="28" s="1"/>
  <c r="K49" i="28"/>
  <c r="K48" i="28"/>
  <c r="T47" i="28"/>
  <c r="U47" i="28" s="1"/>
  <c r="K47" i="28"/>
  <c r="K46" i="28"/>
  <c r="T45" i="28"/>
  <c r="U45" i="28" s="1"/>
  <c r="K45" i="28"/>
  <c r="K44" i="28"/>
  <c r="T43" i="28"/>
  <c r="U43" i="28" s="1"/>
  <c r="K43" i="28"/>
  <c r="K42" i="28"/>
  <c r="T41" i="28"/>
  <c r="U41" i="28" s="1"/>
  <c r="K41" i="28"/>
  <c r="K40" i="28"/>
  <c r="T39" i="28"/>
  <c r="U39" i="28" s="1"/>
  <c r="K39" i="28"/>
  <c r="K38" i="28"/>
  <c r="T37" i="28"/>
  <c r="U37" i="28" s="1"/>
  <c r="K37" i="28"/>
  <c r="K36" i="28"/>
  <c r="T35" i="28"/>
  <c r="U35" i="28" s="1"/>
  <c r="K35" i="28"/>
  <c r="K34" i="28"/>
  <c r="T33" i="28"/>
  <c r="U33" i="28" s="1"/>
  <c r="K33" i="28"/>
  <c r="K32" i="28"/>
  <c r="T31" i="28"/>
  <c r="U31" i="28" s="1"/>
  <c r="K31" i="28"/>
  <c r="K30" i="28"/>
  <c r="T29" i="28"/>
  <c r="U29" i="28" s="1"/>
  <c r="K29" i="28"/>
  <c r="K28" i="28"/>
  <c r="T27" i="28"/>
  <c r="U27" i="28" s="1"/>
  <c r="K27" i="28"/>
  <c r="K26" i="28"/>
  <c r="T25" i="28"/>
  <c r="U25" i="28" s="1"/>
  <c r="K25" i="28"/>
  <c r="K24" i="28"/>
  <c r="T23" i="28"/>
  <c r="U23" i="28" s="1"/>
  <c r="K23" i="28"/>
  <c r="K22" i="28"/>
  <c r="K21" i="28"/>
  <c r="K20" i="28"/>
  <c r="K19" i="28"/>
  <c r="K18" i="28"/>
  <c r="K17" i="28"/>
  <c r="K16" i="28"/>
  <c r="K15" i="28"/>
  <c r="K14" i="28"/>
  <c r="K13" i="28"/>
  <c r="K12" i="28"/>
  <c r="K11" i="28"/>
  <c r="K10" i="28"/>
  <c r="K9" i="28"/>
  <c r="K148" i="32"/>
  <c r="S148" i="32" s="1"/>
  <c r="T148" i="32" s="1"/>
  <c r="J148" i="32"/>
  <c r="K147" i="32"/>
  <c r="J147" i="32"/>
  <c r="K146" i="32"/>
  <c r="S146" i="32" s="1"/>
  <c r="T146" i="32" s="1"/>
  <c r="J146" i="32"/>
  <c r="K145" i="32"/>
  <c r="J145" i="32"/>
  <c r="K144" i="32"/>
  <c r="S144" i="32" s="1"/>
  <c r="J144" i="32"/>
  <c r="K143" i="32"/>
  <c r="J143" i="32"/>
  <c r="K142" i="32"/>
  <c r="J142" i="32"/>
  <c r="K141" i="32"/>
  <c r="J141" i="32"/>
  <c r="K140" i="32"/>
  <c r="J140" i="32"/>
  <c r="K139" i="32"/>
  <c r="J139" i="32"/>
  <c r="K138" i="32"/>
  <c r="J138" i="32"/>
  <c r="K137" i="32"/>
  <c r="J137" i="32"/>
  <c r="K136" i="32"/>
  <c r="S136" i="32" s="1"/>
  <c r="J136" i="32"/>
  <c r="K135" i="32"/>
  <c r="J135" i="32"/>
  <c r="K134" i="32"/>
  <c r="S134" i="32" s="1"/>
  <c r="J134" i="32"/>
  <c r="K133" i="32"/>
  <c r="J133" i="32"/>
  <c r="K132" i="32"/>
  <c r="S132" i="32" s="1"/>
  <c r="J132" i="32"/>
  <c r="K131" i="32"/>
  <c r="J131" i="32"/>
  <c r="K130" i="32"/>
  <c r="J130" i="32"/>
  <c r="K129" i="32"/>
  <c r="J129" i="32"/>
  <c r="K128" i="32"/>
  <c r="S128" i="32" s="1"/>
  <c r="J128" i="32"/>
  <c r="K127" i="32"/>
  <c r="J127" i="32"/>
  <c r="K126" i="32"/>
  <c r="J126" i="32"/>
  <c r="K125" i="32"/>
  <c r="J125" i="32"/>
  <c r="K124" i="32"/>
  <c r="J124" i="32"/>
  <c r="K123" i="32"/>
  <c r="J123" i="32"/>
  <c r="K122" i="32"/>
  <c r="S122" i="32" s="1"/>
  <c r="J122" i="32"/>
  <c r="K121" i="32"/>
  <c r="J121" i="32"/>
  <c r="K120" i="32"/>
  <c r="S120" i="32" s="1"/>
  <c r="J120" i="32"/>
  <c r="K119" i="32"/>
  <c r="J119" i="32"/>
  <c r="K118" i="32"/>
  <c r="S118" i="32" s="1"/>
  <c r="J118" i="32"/>
  <c r="K117" i="32"/>
  <c r="J117" i="32"/>
  <c r="K116" i="32"/>
  <c r="S116" i="32" s="1"/>
  <c r="J116" i="32"/>
  <c r="K115" i="32"/>
  <c r="J115" i="32"/>
  <c r="K114" i="32"/>
  <c r="S114" i="32" s="1"/>
  <c r="J114" i="32"/>
  <c r="K113" i="32"/>
  <c r="J113" i="32"/>
  <c r="K112" i="32"/>
  <c r="J112" i="32"/>
  <c r="K111" i="32"/>
  <c r="J111" i="32"/>
  <c r="K110" i="32"/>
  <c r="S110" i="32" s="1"/>
  <c r="J110" i="32"/>
  <c r="K109" i="32"/>
  <c r="S109" i="32" s="1"/>
  <c r="J109" i="32"/>
  <c r="K108" i="32"/>
  <c r="S108" i="32" s="1"/>
  <c r="J108" i="32"/>
  <c r="K107" i="32"/>
  <c r="S107" i="32" s="1"/>
  <c r="J107" i="32"/>
  <c r="K106" i="32"/>
  <c r="S106" i="32" s="1"/>
  <c r="J106" i="32"/>
  <c r="K105" i="32"/>
  <c r="S105" i="32" s="1"/>
  <c r="J105" i="32"/>
  <c r="K104" i="32"/>
  <c r="J104" i="32"/>
  <c r="K103" i="32"/>
  <c r="S103" i="32" s="1"/>
  <c r="J103" i="32"/>
  <c r="K102" i="32"/>
  <c r="S102" i="32" s="1"/>
  <c r="J102" i="32"/>
  <c r="K101" i="32"/>
  <c r="S101" i="32" s="1"/>
  <c r="J101" i="32"/>
  <c r="K100" i="32"/>
  <c r="S100" i="32" s="1"/>
  <c r="J100" i="32"/>
  <c r="K99" i="32"/>
  <c r="S99" i="32" s="1"/>
  <c r="J99" i="32"/>
  <c r="K98" i="32"/>
  <c r="S98" i="32" s="1"/>
  <c r="J98" i="32"/>
  <c r="K97" i="32"/>
  <c r="S97" i="32" s="1"/>
  <c r="J97" i="32"/>
  <c r="K96" i="32"/>
  <c r="J96" i="32"/>
  <c r="K95" i="32"/>
  <c r="J95" i="32"/>
  <c r="K94" i="32"/>
  <c r="S94" i="32" s="1"/>
  <c r="J94" i="32"/>
  <c r="K93" i="32"/>
  <c r="S93" i="32" s="1"/>
  <c r="J93" i="32"/>
  <c r="K92" i="32"/>
  <c r="S92" i="32" s="1"/>
  <c r="J92" i="32"/>
  <c r="K91" i="32"/>
  <c r="S91" i="32" s="1"/>
  <c r="J91" i="32"/>
  <c r="K90" i="32"/>
  <c r="S90" i="32" s="1"/>
  <c r="J90" i="32"/>
  <c r="K89" i="32"/>
  <c r="S89" i="32" s="1"/>
  <c r="J89" i="32"/>
  <c r="K88" i="32"/>
  <c r="J88" i="32"/>
  <c r="K87" i="32"/>
  <c r="J87" i="32"/>
  <c r="K86" i="32"/>
  <c r="S86" i="32" s="1"/>
  <c r="J86" i="32"/>
  <c r="K85" i="32"/>
  <c r="S85" i="32" s="1"/>
  <c r="J85" i="32"/>
  <c r="K84" i="32"/>
  <c r="S84" i="32" s="1"/>
  <c r="J84" i="32"/>
  <c r="K83" i="32"/>
  <c r="S83" i="32" s="1"/>
  <c r="J83" i="32"/>
  <c r="K82" i="32"/>
  <c r="S82" i="32" s="1"/>
  <c r="J82" i="32"/>
  <c r="K81" i="32"/>
  <c r="S81" i="32" s="1"/>
  <c r="J81" i="32"/>
  <c r="K80" i="32"/>
  <c r="J80" i="32"/>
  <c r="K79" i="32"/>
  <c r="S79" i="32" s="1"/>
  <c r="J79" i="32"/>
  <c r="K78" i="32"/>
  <c r="S78" i="32" s="1"/>
  <c r="J78" i="32"/>
  <c r="K77" i="32"/>
  <c r="S77" i="32" s="1"/>
  <c r="J77" i="32"/>
  <c r="K76" i="32"/>
  <c r="S76" i="32" s="1"/>
  <c r="J76" i="32"/>
  <c r="K75" i="32"/>
  <c r="S75" i="32" s="1"/>
  <c r="J75" i="32"/>
  <c r="K74" i="32"/>
  <c r="S74" i="32" s="1"/>
  <c r="J74" i="32"/>
  <c r="K73" i="32"/>
  <c r="S73" i="32" s="1"/>
  <c r="J73" i="32"/>
  <c r="K72" i="32"/>
  <c r="J72" i="32"/>
  <c r="K71" i="32"/>
  <c r="S71" i="32" s="1"/>
  <c r="J71" i="32"/>
  <c r="K70" i="32"/>
  <c r="S70" i="32" s="1"/>
  <c r="J70" i="32"/>
  <c r="K69" i="32"/>
  <c r="S69" i="32" s="1"/>
  <c r="J69" i="32"/>
  <c r="K68" i="32"/>
  <c r="S68" i="32" s="1"/>
  <c r="J68" i="32"/>
  <c r="K67" i="32"/>
  <c r="S67" i="32" s="1"/>
  <c r="J67" i="32"/>
  <c r="K66" i="32"/>
  <c r="S66" i="32" s="1"/>
  <c r="J66" i="32"/>
  <c r="K65" i="32"/>
  <c r="S65" i="32" s="1"/>
  <c r="J65" i="32"/>
  <c r="K64" i="32"/>
  <c r="J64" i="32"/>
  <c r="K63" i="32"/>
  <c r="J63" i="32"/>
  <c r="K62" i="32"/>
  <c r="S62" i="32" s="1"/>
  <c r="J62" i="32"/>
  <c r="K61" i="32"/>
  <c r="S61" i="32" s="1"/>
  <c r="J61" i="32"/>
  <c r="K60" i="32"/>
  <c r="S60" i="32" s="1"/>
  <c r="J60" i="32"/>
  <c r="K59" i="32"/>
  <c r="S59" i="32" s="1"/>
  <c r="J59" i="32"/>
  <c r="K58" i="32"/>
  <c r="S58" i="32" s="1"/>
  <c r="J58" i="32"/>
  <c r="K57" i="32"/>
  <c r="S57" i="32" s="1"/>
  <c r="J57" i="32"/>
  <c r="K56" i="32"/>
  <c r="J56" i="32"/>
  <c r="K55" i="32"/>
  <c r="S55" i="32" s="1"/>
  <c r="J55" i="32"/>
  <c r="K54" i="32"/>
  <c r="S54" i="32" s="1"/>
  <c r="J54" i="32"/>
  <c r="K53" i="32"/>
  <c r="S53" i="32" s="1"/>
  <c r="J53" i="32"/>
  <c r="K52" i="32"/>
  <c r="S52" i="32" s="1"/>
  <c r="J52" i="32"/>
  <c r="K51" i="32"/>
  <c r="S51" i="32" s="1"/>
  <c r="J51" i="32"/>
  <c r="K50" i="32"/>
  <c r="S50" i="32" s="1"/>
  <c r="J50" i="32"/>
  <c r="K49" i="32"/>
  <c r="S49" i="32" s="1"/>
  <c r="J49" i="32"/>
  <c r="K48" i="32"/>
  <c r="J48" i="32"/>
  <c r="K47" i="32"/>
  <c r="S47" i="32" s="1"/>
  <c r="J47" i="32"/>
  <c r="K46" i="32"/>
  <c r="S46" i="32" s="1"/>
  <c r="J46" i="32"/>
  <c r="K45" i="32"/>
  <c r="S45" i="32" s="1"/>
  <c r="J45" i="32"/>
  <c r="K44" i="32"/>
  <c r="S44" i="32" s="1"/>
  <c r="J44" i="32"/>
  <c r="K43" i="32"/>
  <c r="S43" i="32" s="1"/>
  <c r="J43" i="32"/>
  <c r="K42" i="32"/>
  <c r="S42" i="32" s="1"/>
  <c r="J42" i="32"/>
  <c r="K41" i="32"/>
  <c r="J41" i="32"/>
  <c r="K40" i="32"/>
  <c r="J40" i="32"/>
  <c r="K39" i="32"/>
  <c r="S39" i="32" s="1"/>
  <c r="J39" i="32"/>
  <c r="K38" i="32"/>
  <c r="S38" i="32" s="1"/>
  <c r="J38" i="32"/>
  <c r="K37" i="32"/>
  <c r="S37" i="32" s="1"/>
  <c r="J37" i="32"/>
  <c r="K36" i="32"/>
  <c r="S36" i="32" s="1"/>
  <c r="J36" i="32"/>
  <c r="K35" i="32"/>
  <c r="S35" i="32" s="1"/>
  <c r="J35" i="32"/>
  <c r="K34" i="32"/>
  <c r="S34" i="32" s="1"/>
  <c r="J34" i="32"/>
  <c r="K33" i="32"/>
  <c r="S33" i="32" s="1"/>
  <c r="J33" i="32"/>
  <c r="K32" i="32"/>
  <c r="J32" i="32"/>
  <c r="K31" i="32"/>
  <c r="S31" i="32" s="1"/>
  <c r="J31" i="32"/>
  <c r="K30" i="32"/>
  <c r="S30" i="32" s="1"/>
  <c r="J30" i="32"/>
  <c r="K29" i="32"/>
  <c r="S29" i="32" s="1"/>
  <c r="J29" i="32"/>
  <c r="K28" i="32"/>
  <c r="S28" i="32" s="1"/>
  <c r="J28" i="32"/>
  <c r="K27" i="32"/>
  <c r="S27" i="32" s="1"/>
  <c r="J27" i="32"/>
  <c r="K26" i="32"/>
  <c r="S26" i="32" s="1"/>
  <c r="J26" i="32"/>
  <c r="K25" i="32"/>
  <c r="J25" i="32"/>
  <c r="K24" i="32"/>
  <c r="J24" i="32"/>
  <c r="K23" i="32"/>
  <c r="S23" i="32" s="1"/>
  <c r="J23" i="32"/>
  <c r="K22" i="32"/>
  <c r="J22" i="32"/>
  <c r="K21" i="32"/>
  <c r="S21" i="32" s="1"/>
  <c r="J21" i="32"/>
  <c r="K20" i="32"/>
  <c r="S20" i="32" s="1"/>
  <c r="J20" i="32"/>
  <c r="K19" i="32"/>
  <c r="S19" i="32" s="1"/>
  <c r="J19" i="32"/>
  <c r="K18" i="32"/>
  <c r="S18" i="32" s="1"/>
  <c r="T18" i="32" s="1"/>
  <c r="J18" i="32"/>
  <c r="K17" i="32"/>
  <c r="J17" i="32"/>
  <c r="K16" i="32"/>
  <c r="S16" i="32" s="1"/>
  <c r="J16" i="32"/>
  <c r="K15" i="32"/>
  <c r="S15" i="32" s="1"/>
  <c r="J15" i="32"/>
  <c r="K14" i="32"/>
  <c r="J14" i="32"/>
  <c r="K12" i="32"/>
  <c r="S12" i="32" s="1"/>
  <c r="T12" i="32" s="1"/>
  <c r="J12" i="32"/>
  <c r="K11" i="32"/>
  <c r="S11" i="32" s="1"/>
  <c r="T11" i="32" s="1"/>
  <c r="J11" i="32"/>
  <c r="K10" i="32"/>
  <c r="S10" i="32" s="1"/>
  <c r="T10" i="32" s="1"/>
  <c r="J10" i="32"/>
  <c r="S9" i="32"/>
  <c r="T9" i="32" s="1"/>
  <c r="J9" i="32"/>
  <c r="V53" i="26"/>
  <c r="W53" i="26" s="1"/>
  <c r="P53" i="26"/>
  <c r="P52" i="26"/>
  <c r="V51" i="26"/>
  <c r="W51" i="26" s="1"/>
  <c r="P51" i="26"/>
  <c r="P50" i="26"/>
  <c r="V49" i="26"/>
  <c r="W49" i="26" s="1"/>
  <c r="P49" i="26"/>
  <c r="P48" i="26"/>
  <c r="V47" i="26"/>
  <c r="W47" i="26" s="1"/>
  <c r="P47" i="26"/>
  <c r="P46" i="26"/>
  <c r="V45" i="26"/>
  <c r="W45" i="26" s="1"/>
  <c r="P45" i="26"/>
  <c r="P44" i="26"/>
  <c r="V43" i="26"/>
  <c r="W43" i="26" s="1"/>
  <c r="P43" i="26"/>
  <c r="P42" i="26"/>
  <c r="V41" i="26"/>
  <c r="W41" i="26" s="1"/>
  <c r="P41" i="26"/>
  <c r="P40" i="26"/>
  <c r="V39" i="26"/>
  <c r="W39" i="26" s="1"/>
  <c r="P39" i="26"/>
  <c r="P38" i="26"/>
  <c r="V37" i="26"/>
  <c r="W37" i="26" s="1"/>
  <c r="P37" i="26"/>
  <c r="P36" i="26"/>
  <c r="V35" i="26"/>
  <c r="W35" i="26" s="1"/>
  <c r="P35" i="26"/>
  <c r="P34" i="26"/>
  <c r="V33" i="26"/>
  <c r="W33" i="26" s="1"/>
  <c r="P33" i="26"/>
  <c r="P32" i="26"/>
  <c r="V31" i="26"/>
  <c r="W31" i="26" s="1"/>
  <c r="P31" i="26"/>
  <c r="P30" i="26"/>
  <c r="V29" i="26"/>
  <c r="W29" i="26" s="1"/>
  <c r="P29" i="26"/>
  <c r="P28" i="26"/>
  <c r="V27" i="26"/>
  <c r="W27" i="26" s="1"/>
  <c r="P27" i="26"/>
  <c r="P26" i="26"/>
  <c r="V25" i="26"/>
  <c r="W25" i="26" s="1"/>
  <c r="P25" i="26"/>
  <c r="P24" i="26"/>
  <c r="V23" i="26"/>
  <c r="W23" i="26" s="1"/>
  <c r="P23" i="26"/>
  <c r="P22" i="26"/>
  <c r="V21" i="26"/>
  <c r="W21" i="26" s="1"/>
  <c r="P21" i="26"/>
  <c r="P20" i="26"/>
  <c r="V19" i="26"/>
  <c r="W19" i="26" s="1"/>
  <c r="P19" i="26"/>
  <c r="P18" i="26"/>
  <c r="V17" i="26"/>
  <c r="W17" i="26" s="1"/>
  <c r="P17" i="26"/>
  <c r="P16" i="26"/>
  <c r="V15" i="26"/>
  <c r="W15" i="26" s="1"/>
  <c r="P15" i="26"/>
  <c r="P14" i="26"/>
  <c r="V13" i="26"/>
  <c r="W13" i="26" s="1"/>
  <c r="P13" i="26"/>
  <c r="P12" i="26"/>
  <c r="V11" i="26"/>
  <c r="W11" i="26" s="1"/>
  <c r="P11" i="26"/>
  <c r="P10" i="26"/>
  <c r="V9" i="26"/>
  <c r="W9" i="26" s="1"/>
  <c r="P9" i="26"/>
  <c r="W64" i="8"/>
  <c r="X64" i="8" s="1"/>
  <c r="N64" i="8"/>
  <c r="N63" i="8"/>
  <c r="W62" i="8"/>
  <c r="X62" i="8" s="1"/>
  <c r="N62" i="8"/>
  <c r="N61" i="8"/>
  <c r="W60" i="8"/>
  <c r="X60" i="8" s="1"/>
  <c r="N60" i="8"/>
  <c r="N59" i="8"/>
  <c r="W58" i="8"/>
  <c r="X58" i="8" s="1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S22" i="32" l="1"/>
  <c r="T22" i="32" s="1"/>
  <c r="S130" i="32"/>
  <c r="T130" i="32" s="1"/>
  <c r="T20" i="32"/>
  <c r="S124" i="32"/>
  <c r="T124" i="32" s="1"/>
  <c r="T134" i="32"/>
  <c r="S140" i="32"/>
  <c r="T140" i="32" s="1"/>
  <c r="T16" i="32"/>
  <c r="T132" i="32"/>
  <c r="S138" i="32"/>
  <c r="T138" i="32" s="1"/>
  <c r="T128" i="32"/>
  <c r="T144" i="32"/>
  <c r="S126" i="32"/>
  <c r="T126" i="32" s="1"/>
  <c r="T136" i="32"/>
  <c r="S142" i="32"/>
  <c r="T142" i="32" s="1"/>
  <c r="T10" i="28"/>
  <c r="U10" i="28" s="1"/>
  <c r="T12" i="28"/>
  <c r="U12" i="28" s="1"/>
  <c r="T14" i="28"/>
  <c r="U14" i="28" s="1"/>
  <c r="T16" i="28"/>
  <c r="U16" i="28" s="1"/>
  <c r="T18" i="28"/>
  <c r="U18" i="28" s="1"/>
  <c r="T20" i="28"/>
  <c r="U20" i="28" s="1"/>
  <c r="T22" i="28"/>
  <c r="U22" i="28" s="1"/>
  <c r="T24" i="28"/>
  <c r="U24" i="28" s="1"/>
  <c r="T26" i="28"/>
  <c r="U26" i="28" s="1"/>
  <c r="T28" i="28"/>
  <c r="U28" i="28" s="1"/>
  <c r="T30" i="28"/>
  <c r="U30" i="28" s="1"/>
  <c r="T32" i="28"/>
  <c r="U32" i="28" s="1"/>
  <c r="T34" i="28"/>
  <c r="U34" i="28" s="1"/>
  <c r="T36" i="28"/>
  <c r="U36" i="28" s="1"/>
  <c r="T40" i="28"/>
  <c r="U40" i="28" s="1"/>
  <c r="T42" i="28"/>
  <c r="U42" i="28" s="1"/>
  <c r="T44" i="28"/>
  <c r="U44" i="28" s="1"/>
  <c r="T46" i="28"/>
  <c r="U46" i="28" s="1"/>
  <c r="T48" i="28"/>
  <c r="U48" i="28" s="1"/>
  <c r="T50" i="28"/>
  <c r="U50" i="28" s="1"/>
  <c r="T52" i="28"/>
  <c r="U52" i="28" s="1"/>
  <c r="T54" i="28"/>
  <c r="U54" i="28" s="1"/>
  <c r="T56" i="28"/>
  <c r="U56" i="28" s="1"/>
  <c r="T58" i="28"/>
  <c r="U58" i="28" s="1"/>
  <c r="T60" i="28"/>
  <c r="U60" i="28" s="1"/>
  <c r="T62" i="28"/>
  <c r="U62" i="28" s="1"/>
  <c r="T64" i="28"/>
  <c r="U64" i="28" s="1"/>
  <c r="T38" i="28"/>
  <c r="U38" i="28" s="1"/>
  <c r="T9" i="28"/>
  <c r="U9" i="28" s="1"/>
  <c r="T11" i="28"/>
  <c r="U11" i="28" s="1"/>
  <c r="T13" i="28"/>
  <c r="U13" i="28" s="1"/>
  <c r="T15" i="28"/>
  <c r="U15" i="28" s="1"/>
  <c r="T17" i="28"/>
  <c r="U17" i="28" s="1"/>
  <c r="T19" i="28"/>
  <c r="U19" i="28" s="1"/>
  <c r="T21" i="28"/>
  <c r="U21" i="28" s="1"/>
  <c r="S25" i="32"/>
  <c r="T25" i="32" s="1"/>
  <c r="T28" i="32"/>
  <c r="T36" i="32"/>
  <c r="S41" i="32"/>
  <c r="T41" i="32" s="1"/>
  <c r="T44" i="32"/>
  <c r="T52" i="32"/>
  <c r="T60" i="32"/>
  <c r="T68" i="32"/>
  <c r="T76" i="32"/>
  <c r="T84" i="32"/>
  <c r="T92" i="32"/>
  <c r="T100" i="32"/>
  <c r="T108" i="32"/>
  <c r="T120" i="32"/>
  <c r="S123" i="32"/>
  <c r="T123" i="32" s="1"/>
  <c r="S139" i="32"/>
  <c r="T139" i="32" s="1"/>
  <c r="S117" i="32"/>
  <c r="T117" i="32" s="1"/>
  <c r="S133" i="32"/>
  <c r="T133" i="32" s="1"/>
  <c r="S14" i="32"/>
  <c r="T14" i="32" s="1"/>
  <c r="T21" i="32"/>
  <c r="T26" i="32"/>
  <c r="T34" i="32"/>
  <c r="T42" i="32"/>
  <c r="T50" i="32"/>
  <c r="T58" i="32"/>
  <c r="S63" i="32"/>
  <c r="T63" i="32" s="1"/>
  <c r="T66" i="32"/>
  <c r="T74" i="32"/>
  <c r="T82" i="32"/>
  <c r="S87" i="32"/>
  <c r="T87" i="32" s="1"/>
  <c r="T90" i="32"/>
  <c r="S95" i="32"/>
  <c r="T95" i="32" s="1"/>
  <c r="T98" i="32"/>
  <c r="T106" i="32"/>
  <c r="S111" i="32"/>
  <c r="T111" i="32" s="1"/>
  <c r="S127" i="32"/>
  <c r="T127" i="32" s="1"/>
  <c r="S143" i="32"/>
  <c r="T143" i="32" s="1"/>
  <c r="T55" i="32"/>
  <c r="T71" i="32"/>
  <c r="T79" i="32"/>
  <c r="T103" i="32"/>
  <c r="T114" i="32"/>
  <c r="T19" i="32"/>
  <c r="T29" i="32"/>
  <c r="T37" i="32"/>
  <c r="T45" i="32"/>
  <c r="T53" i="32"/>
  <c r="T61" i="32"/>
  <c r="T69" i="32"/>
  <c r="T77" i="32"/>
  <c r="T85" i="32"/>
  <c r="T93" i="32"/>
  <c r="T101" i="32"/>
  <c r="T109" i="32"/>
  <c r="T118" i="32"/>
  <c r="S121" i="32"/>
  <c r="T121" i="32" s="1"/>
  <c r="S137" i="32"/>
  <c r="T137" i="32" s="1"/>
  <c r="T39" i="32"/>
  <c r="S115" i="32"/>
  <c r="T115" i="32" s="1"/>
  <c r="S131" i="32"/>
  <c r="T131" i="32" s="1"/>
  <c r="S147" i="32"/>
  <c r="T147" i="32" s="1"/>
  <c r="T15" i="32"/>
  <c r="S17" i="32"/>
  <c r="T17" i="32" s="1"/>
  <c r="S24" i="32"/>
  <c r="T24" i="32" s="1"/>
  <c r="T27" i="32"/>
  <c r="S32" i="32"/>
  <c r="T32" i="32" s="1"/>
  <c r="T35" i="32"/>
  <c r="S40" i="32"/>
  <c r="T40" i="32" s="1"/>
  <c r="T43" i="32"/>
  <c r="S48" i="32"/>
  <c r="T48" i="32" s="1"/>
  <c r="T51" i="32"/>
  <c r="S56" i="32"/>
  <c r="T56" i="32" s="1"/>
  <c r="T59" i="32"/>
  <c r="S64" i="32"/>
  <c r="T64" i="32" s="1"/>
  <c r="T67" i="32"/>
  <c r="S72" i="32"/>
  <c r="T72" i="32" s="1"/>
  <c r="T75" i="32"/>
  <c r="S80" i="32"/>
  <c r="T80" i="32" s="1"/>
  <c r="T83" i="32"/>
  <c r="S88" i="32"/>
  <c r="T88" i="32" s="1"/>
  <c r="T91" i="32"/>
  <c r="S96" i="32"/>
  <c r="T96" i="32" s="1"/>
  <c r="T99" i="32"/>
  <c r="S104" i="32"/>
  <c r="T104" i="32" s="1"/>
  <c r="T107" i="32"/>
  <c r="S112" i="32"/>
  <c r="T112" i="32" s="1"/>
  <c r="T122" i="32"/>
  <c r="S125" i="32"/>
  <c r="T125" i="32" s="1"/>
  <c r="S141" i="32"/>
  <c r="T141" i="32" s="1"/>
  <c r="T23" i="32"/>
  <c r="T47" i="32"/>
  <c r="T30" i="32"/>
  <c r="T38" i="32"/>
  <c r="T46" i="32"/>
  <c r="T54" i="32"/>
  <c r="T62" i="32"/>
  <c r="T70" i="32"/>
  <c r="T78" i="32"/>
  <c r="T86" i="32"/>
  <c r="T94" i="32"/>
  <c r="T102" i="32"/>
  <c r="T110" i="32"/>
  <c r="T116" i="32"/>
  <c r="S119" i="32"/>
  <c r="T119" i="32" s="1"/>
  <c r="S135" i="32"/>
  <c r="T135" i="32" s="1"/>
  <c r="T31" i="32"/>
  <c r="T33" i="32"/>
  <c r="T49" i="32"/>
  <c r="T57" i="32"/>
  <c r="T65" i="32"/>
  <c r="T73" i="32"/>
  <c r="T81" i="32"/>
  <c r="T89" i="32"/>
  <c r="T97" i="32"/>
  <c r="T105" i="32"/>
  <c r="S113" i="32"/>
  <c r="T113" i="32" s="1"/>
  <c r="S129" i="32"/>
  <c r="T129" i="32" s="1"/>
  <c r="S145" i="32"/>
  <c r="T145" i="32" s="1"/>
  <c r="V10" i="26"/>
  <c r="W10" i="26" s="1"/>
  <c r="V12" i="26"/>
  <c r="W12" i="26" s="1"/>
  <c r="V14" i="26"/>
  <c r="W14" i="26" s="1"/>
  <c r="V16" i="26"/>
  <c r="W16" i="26" s="1"/>
  <c r="V18" i="26"/>
  <c r="W18" i="26" s="1"/>
  <c r="V22" i="26"/>
  <c r="W22" i="26" s="1"/>
  <c r="V24" i="26"/>
  <c r="W24" i="26" s="1"/>
  <c r="V26" i="26"/>
  <c r="W26" i="26" s="1"/>
  <c r="V28" i="26"/>
  <c r="W28" i="26" s="1"/>
  <c r="V30" i="26"/>
  <c r="W30" i="26" s="1"/>
  <c r="V32" i="26"/>
  <c r="W32" i="26" s="1"/>
  <c r="V34" i="26"/>
  <c r="W34" i="26" s="1"/>
  <c r="V36" i="26"/>
  <c r="W36" i="26" s="1"/>
  <c r="V38" i="26"/>
  <c r="W38" i="26" s="1"/>
  <c r="V40" i="26"/>
  <c r="W40" i="26" s="1"/>
  <c r="V42" i="26"/>
  <c r="W42" i="26" s="1"/>
  <c r="V44" i="26"/>
  <c r="W44" i="26" s="1"/>
  <c r="V46" i="26"/>
  <c r="W46" i="26" s="1"/>
  <c r="V48" i="26"/>
  <c r="W48" i="26" s="1"/>
  <c r="V50" i="26"/>
  <c r="W50" i="26" s="1"/>
  <c r="V52" i="26"/>
  <c r="W52" i="26" s="1"/>
  <c r="V20" i="26"/>
  <c r="W20" i="26" s="1"/>
  <c r="W9" i="8"/>
  <c r="X9" i="8" s="1"/>
  <c r="W11" i="8"/>
  <c r="X11" i="8" s="1"/>
  <c r="W15" i="8"/>
  <c r="X15" i="8" s="1"/>
  <c r="W17" i="8"/>
  <c r="X17" i="8" s="1"/>
  <c r="W19" i="8"/>
  <c r="X19" i="8" s="1"/>
  <c r="W21" i="8"/>
  <c r="X21" i="8" s="1"/>
  <c r="W23" i="8"/>
  <c r="X23" i="8" s="1"/>
  <c r="W25" i="8"/>
  <c r="X25" i="8" s="1"/>
  <c r="W27" i="8"/>
  <c r="X27" i="8" s="1"/>
  <c r="W29" i="8"/>
  <c r="X29" i="8" s="1"/>
  <c r="W31" i="8"/>
  <c r="X31" i="8" s="1"/>
  <c r="W33" i="8"/>
  <c r="X33" i="8" s="1"/>
  <c r="W35" i="8"/>
  <c r="X35" i="8" s="1"/>
  <c r="W37" i="8"/>
  <c r="X37" i="8" s="1"/>
  <c r="W39" i="8"/>
  <c r="X39" i="8" s="1"/>
  <c r="W41" i="8"/>
  <c r="X41" i="8" s="1"/>
  <c r="W43" i="8"/>
  <c r="X43" i="8" s="1"/>
  <c r="W45" i="8"/>
  <c r="X45" i="8" s="1"/>
  <c r="W47" i="8"/>
  <c r="X47" i="8" s="1"/>
  <c r="W49" i="8"/>
  <c r="X49" i="8" s="1"/>
  <c r="W51" i="8"/>
  <c r="X51" i="8" s="1"/>
  <c r="W53" i="8"/>
  <c r="X53" i="8" s="1"/>
  <c r="W55" i="8"/>
  <c r="X55" i="8" s="1"/>
  <c r="W57" i="8"/>
  <c r="X57" i="8" s="1"/>
  <c r="W59" i="8"/>
  <c r="X59" i="8" s="1"/>
  <c r="W61" i="8"/>
  <c r="X61" i="8" s="1"/>
  <c r="W63" i="8"/>
  <c r="X63" i="8" s="1"/>
  <c r="W13" i="8"/>
  <c r="X13" i="8" s="1"/>
  <c r="W10" i="8"/>
  <c r="X10" i="8" s="1"/>
  <c r="W12" i="8"/>
  <c r="X12" i="8" s="1"/>
  <c r="W14" i="8"/>
  <c r="X14" i="8" s="1"/>
  <c r="W16" i="8"/>
  <c r="X16" i="8" s="1"/>
  <c r="W18" i="8"/>
  <c r="X18" i="8" s="1"/>
  <c r="W20" i="8"/>
  <c r="X20" i="8" s="1"/>
  <c r="W22" i="8"/>
  <c r="X22" i="8" s="1"/>
  <c r="W24" i="8"/>
  <c r="X24" i="8" s="1"/>
  <c r="W26" i="8"/>
  <c r="X26" i="8" s="1"/>
  <c r="W28" i="8"/>
  <c r="X28" i="8" s="1"/>
  <c r="W30" i="8"/>
  <c r="X30" i="8" s="1"/>
  <c r="W32" i="8"/>
  <c r="X32" i="8" s="1"/>
  <c r="W34" i="8"/>
  <c r="X34" i="8" s="1"/>
  <c r="W36" i="8"/>
  <c r="X36" i="8" s="1"/>
  <c r="W38" i="8"/>
  <c r="X38" i="8" s="1"/>
  <c r="W40" i="8"/>
  <c r="X40" i="8" s="1"/>
  <c r="W42" i="8"/>
  <c r="X42" i="8" s="1"/>
  <c r="W44" i="8"/>
  <c r="X44" i="8" s="1"/>
  <c r="W46" i="8"/>
  <c r="X46" i="8" s="1"/>
  <c r="W48" i="8"/>
  <c r="X48" i="8" s="1"/>
  <c r="W50" i="8"/>
  <c r="X50" i="8" s="1"/>
  <c r="W52" i="8"/>
  <c r="X52" i="8" s="1"/>
  <c r="W54" i="8"/>
  <c r="X54" i="8" s="1"/>
  <c r="W56" i="8"/>
  <c r="X56" i="8" s="1"/>
  <c r="S11" i="27"/>
  <c r="T11" i="27" s="1"/>
  <c r="S15" i="27"/>
  <c r="T15" i="27" s="1"/>
  <c r="S21" i="27"/>
  <c r="T21" i="27" s="1"/>
  <c r="S27" i="27"/>
  <c r="T27" i="27" s="1"/>
  <c r="S31" i="27"/>
  <c r="T31" i="27" s="1"/>
  <c r="S37" i="27"/>
  <c r="T37" i="27" s="1"/>
  <c r="S41" i="27"/>
  <c r="T41" i="27" s="1"/>
  <c r="S43" i="27"/>
  <c r="T43" i="27" s="1"/>
  <c r="S45" i="27"/>
  <c r="T45" i="27" s="1"/>
  <c r="S51" i="27"/>
  <c r="T51" i="27" s="1"/>
  <c r="S57" i="27"/>
  <c r="T57" i="27" s="1"/>
  <c r="S63" i="27"/>
  <c r="T63" i="27" s="1"/>
  <c r="S69" i="27"/>
  <c r="T69" i="27" s="1"/>
  <c r="S75" i="27"/>
  <c r="T75" i="27" s="1"/>
  <c r="S81" i="27"/>
  <c r="T81" i="27" s="1"/>
  <c r="S87" i="27"/>
  <c r="T87" i="27" s="1"/>
  <c r="S95" i="27"/>
  <c r="T95" i="27" s="1"/>
  <c r="S107" i="27"/>
  <c r="T107" i="27" s="1"/>
  <c r="S9" i="27"/>
  <c r="T9" i="27" s="1"/>
  <c r="S13" i="27"/>
  <c r="T13" i="27" s="1"/>
  <c r="S17" i="27"/>
  <c r="T17" i="27" s="1"/>
  <c r="S19" i="27"/>
  <c r="T19" i="27" s="1"/>
  <c r="S23" i="27"/>
  <c r="T23" i="27" s="1"/>
  <c r="S25" i="27"/>
  <c r="T25" i="27" s="1"/>
  <c r="S29" i="27"/>
  <c r="T29" i="27" s="1"/>
  <c r="S33" i="27"/>
  <c r="T33" i="27" s="1"/>
  <c r="S35" i="27"/>
  <c r="T35" i="27" s="1"/>
  <c r="S39" i="27"/>
  <c r="T39" i="27" s="1"/>
  <c r="S47" i="27"/>
  <c r="T47" i="27" s="1"/>
  <c r="S49" i="27"/>
  <c r="T49" i="27" s="1"/>
  <c r="S53" i="27"/>
  <c r="T53" i="27" s="1"/>
  <c r="S55" i="27"/>
  <c r="T55" i="27" s="1"/>
  <c r="S59" i="27"/>
  <c r="T59" i="27" s="1"/>
  <c r="S61" i="27"/>
  <c r="T61" i="27" s="1"/>
  <c r="S65" i="27"/>
  <c r="T65" i="27" s="1"/>
  <c r="S67" i="27"/>
  <c r="T67" i="27" s="1"/>
  <c r="S71" i="27"/>
  <c r="T71" i="27" s="1"/>
  <c r="S73" i="27"/>
  <c r="T73" i="27" s="1"/>
  <c r="S77" i="27"/>
  <c r="T77" i="27" s="1"/>
  <c r="S79" i="27"/>
  <c r="T79" i="27" s="1"/>
  <c r="S83" i="27"/>
  <c r="T83" i="27" s="1"/>
  <c r="S85" i="27"/>
  <c r="T85" i="27" s="1"/>
  <c r="S89" i="27"/>
  <c r="T89" i="27" s="1"/>
  <c r="S91" i="27"/>
  <c r="T91" i="27" s="1"/>
  <c r="S93" i="27"/>
  <c r="T93" i="27" s="1"/>
  <c r="S97" i="27"/>
  <c r="T97" i="27" s="1"/>
  <c r="S99" i="27"/>
  <c r="T99" i="27" s="1"/>
  <c r="S101" i="27"/>
  <c r="T101" i="27" s="1"/>
  <c r="S103" i="27"/>
  <c r="T103" i="27" s="1"/>
  <c r="S105" i="27"/>
  <c r="T105" i="27" s="1"/>
  <c r="S10" i="27"/>
  <c r="T10" i="27" s="1"/>
  <c r="S12" i="27"/>
  <c r="T12" i="27" s="1"/>
  <c r="S14" i="27"/>
  <c r="T14" i="27" s="1"/>
  <c r="S16" i="27"/>
  <c r="T16" i="27" s="1"/>
  <c r="S18" i="27"/>
  <c r="T18" i="27" s="1"/>
  <c r="S20" i="27"/>
  <c r="T20" i="27" s="1"/>
  <c r="S22" i="27"/>
  <c r="T22" i="27" s="1"/>
  <c r="S24" i="27"/>
  <c r="T24" i="27" s="1"/>
  <c r="S26" i="27"/>
  <c r="T26" i="27" s="1"/>
  <c r="S28" i="27"/>
  <c r="T28" i="27" s="1"/>
  <c r="S30" i="27"/>
  <c r="T30" i="27" s="1"/>
  <c r="S32" i="27"/>
  <c r="T32" i="27" s="1"/>
  <c r="S34" i="27"/>
  <c r="T34" i="27" s="1"/>
  <c r="S36" i="27"/>
  <c r="T36" i="27" s="1"/>
  <c r="S38" i="27"/>
  <c r="T38" i="27" s="1"/>
  <c r="S40" i="27"/>
  <c r="T40" i="27" s="1"/>
  <c r="S42" i="27"/>
  <c r="T42" i="27" s="1"/>
  <c r="S44" i="27"/>
  <c r="T44" i="27" s="1"/>
  <c r="S46" i="27"/>
  <c r="T46" i="27" s="1"/>
  <c r="S48" i="27"/>
  <c r="T48" i="27" s="1"/>
  <c r="S50" i="27"/>
  <c r="T50" i="27" s="1"/>
  <c r="S52" i="27"/>
  <c r="T52" i="27" s="1"/>
  <c r="S54" i="27"/>
  <c r="T54" i="27" s="1"/>
  <c r="S56" i="27"/>
  <c r="T56" i="27" s="1"/>
  <c r="S58" i="27"/>
  <c r="T58" i="27" s="1"/>
  <c r="S60" i="27"/>
  <c r="T60" i="27" s="1"/>
  <c r="S62" i="27"/>
  <c r="T62" i="27" s="1"/>
  <c r="S64" i="27"/>
  <c r="T64" i="27" s="1"/>
  <c r="S66" i="27"/>
  <c r="T66" i="27" s="1"/>
  <c r="S68" i="27"/>
  <c r="T68" i="27" s="1"/>
  <c r="S70" i="27"/>
  <c r="T70" i="27" s="1"/>
  <c r="S72" i="27"/>
  <c r="T72" i="27" s="1"/>
  <c r="S74" i="27"/>
  <c r="T74" i="27" s="1"/>
  <c r="S76" i="27"/>
  <c r="T76" i="27" s="1"/>
  <c r="S78" i="27"/>
  <c r="T78" i="27" s="1"/>
  <c r="S80" i="27"/>
  <c r="T80" i="27" s="1"/>
  <c r="S82" i="27"/>
  <c r="T82" i="27" s="1"/>
  <c r="S84" i="27"/>
  <c r="T84" i="27" s="1"/>
  <c r="S86" i="27"/>
  <c r="T86" i="27" s="1"/>
  <c r="S88" i="27"/>
  <c r="T88" i="27" s="1"/>
  <c r="S90" i="27"/>
  <c r="T90" i="27" s="1"/>
  <c r="S92" i="27"/>
  <c r="T92" i="27" s="1"/>
  <c r="S94" i="27"/>
  <c r="T94" i="27" s="1"/>
  <c r="S96" i="27"/>
  <c r="T96" i="27" s="1"/>
  <c r="S98" i="27"/>
  <c r="T98" i="27" s="1"/>
  <c r="S100" i="27"/>
  <c r="T100" i="27" s="1"/>
  <c r="S102" i="27"/>
  <c r="T102" i="27" s="1"/>
  <c r="S104" i="27"/>
  <c r="T104" i="27" s="1"/>
  <c r="S106" i="27"/>
  <c r="T106" i="27" s="1"/>
  <c r="S108" i="27"/>
  <c r="T108" i="27" s="1"/>
  <c r="K66" i="28"/>
  <c r="T66" i="28"/>
  <c r="K13" i="32"/>
  <c r="S13" i="32" s="1"/>
  <c r="T13" i="32" s="1"/>
  <c r="J13" i="32"/>
  <c r="U66" i="28" l="1"/>
  <c r="S109" i="27"/>
  <c r="T109" i="27" s="1"/>
  <c r="S110" i="27"/>
  <c r="T110" i="27" s="1"/>
  <c r="S112" i="27"/>
  <c r="T112" i="27" s="1"/>
  <c r="S114" i="27"/>
  <c r="T114" i="27" s="1"/>
  <c r="S111" i="27"/>
  <c r="T111" i="27" s="1"/>
  <c r="S113" i="27"/>
  <c r="T113" i="27" s="1"/>
  <c r="S115" i="27"/>
  <c r="T115" i="27" s="1"/>
  <c r="S123" i="27" l="1"/>
  <c r="S121" i="27"/>
  <c r="S119" i="27"/>
  <c r="T123" i="27" l="1"/>
  <c r="S117" i="27"/>
  <c r="T117" i="27" s="1"/>
  <c r="T119" i="27"/>
  <c r="S125" i="27"/>
  <c r="T125" i="27" s="1"/>
  <c r="T121" i="27"/>
  <c r="S116" i="27"/>
  <c r="T116" i="27" s="1"/>
  <c r="S118" i="27"/>
  <c r="T118" i="27" s="1"/>
  <c r="S120" i="27"/>
  <c r="T120" i="27" s="1"/>
  <c r="S122" i="27"/>
  <c r="T122" i="27" s="1"/>
  <c r="S124" i="27"/>
  <c r="T124" i="27" s="1"/>
  <c r="S126" i="27"/>
  <c r="T126" i="27" s="1"/>
  <c r="V64" i="26"/>
  <c r="W64" i="26" s="1"/>
  <c r="P64" i="26"/>
  <c r="P63" i="26"/>
  <c r="V62" i="26"/>
  <c r="W62" i="26" s="1"/>
  <c r="P62" i="26"/>
  <c r="P61" i="26"/>
  <c r="V60" i="26"/>
  <c r="W60" i="26" s="1"/>
  <c r="P60" i="26"/>
  <c r="P59" i="26"/>
  <c r="V58" i="26"/>
  <c r="W58" i="26" s="1"/>
  <c r="P58" i="26"/>
  <c r="P57" i="26"/>
  <c r="V56" i="26"/>
  <c r="W56" i="26" s="1"/>
  <c r="P56" i="26"/>
  <c r="P55" i="26"/>
  <c r="V54" i="26"/>
  <c r="W54" i="26" s="1"/>
  <c r="P54" i="26"/>
  <c r="V55" i="26" l="1"/>
  <c r="W55" i="26" s="1"/>
  <c r="V57" i="26"/>
  <c r="W57" i="26" s="1"/>
  <c r="V59" i="26"/>
  <c r="W59" i="26" s="1"/>
  <c r="V61" i="26"/>
  <c r="W61" i="26" s="1"/>
  <c r="V63" i="26"/>
  <c r="W63" i="26" s="1"/>
  <c r="W70" i="8" l="1"/>
  <c r="N70" i="8"/>
  <c r="W69" i="8"/>
  <c r="N69" i="8"/>
  <c r="W68" i="8"/>
  <c r="N68" i="8"/>
  <c r="W67" i="8"/>
  <c r="N67" i="8"/>
  <c r="W66" i="8"/>
  <c r="N66" i="8"/>
  <c r="W65" i="8"/>
  <c r="N65" i="8"/>
  <c r="X70" i="8" l="1"/>
  <c r="X66" i="8"/>
  <c r="X65" i="8"/>
  <c r="X69" i="8"/>
  <c r="X67" i="8"/>
  <c r="X68" i="8"/>
</calcChain>
</file>

<file path=xl/comments1.xml><?xml version="1.0" encoding="utf-8"?>
<comments xmlns="http://schemas.openxmlformats.org/spreadsheetml/2006/main">
  <authors>
    <author>LUZ ANGELA ORDOÑEZ RUIZ</author>
  </authors>
  <commentList>
    <comment ref="E8" authorId="0" shapeId="0">
      <text>
        <r>
          <rPr>
            <b/>
            <sz val="9"/>
            <color indexed="81"/>
            <rFont val="Tahoma"/>
            <family val="2"/>
          </rPr>
          <t>LUZ ANGELA ORDOÑEZ RUIZ
El requerimiento de la vinculación debe cumplirse un semestre antes al que se postula.</t>
        </r>
      </text>
    </comment>
  </commentList>
</comments>
</file>

<file path=xl/comments2.xml><?xml version="1.0" encoding="utf-8"?>
<comments xmlns="http://schemas.openxmlformats.org/spreadsheetml/2006/main">
  <authors>
    <author>LUZ ANGELA ORDOÑEZ RUIZ</author>
  </authors>
  <commentList>
    <comment ref="E8" authorId="0" shapeId="0">
      <text>
        <r>
          <rPr>
            <b/>
            <sz val="9"/>
            <color indexed="81"/>
            <rFont val="Tahoma"/>
            <family val="2"/>
          </rPr>
          <t>LUZ ANGELA ORDOÑEZ RUIZ
El requerimiento de la vinculación debe cumplirse un semestre antes al que se postula.</t>
        </r>
      </text>
    </comment>
  </commentList>
</comments>
</file>

<file path=xl/sharedStrings.xml><?xml version="1.0" encoding="utf-8"?>
<sst xmlns="http://schemas.openxmlformats.org/spreadsheetml/2006/main" count="3255" uniqueCount="98">
  <si>
    <t>Elija</t>
  </si>
  <si>
    <t>Especialización</t>
  </si>
  <si>
    <t>Comunicación para el Desarrollo Territorial</t>
  </si>
  <si>
    <t>Administración de Empresas</t>
  </si>
  <si>
    <t>Administración de Empresas - Virtual</t>
  </si>
  <si>
    <t>Aprobado</t>
  </si>
  <si>
    <t>Pregrado_Presencial</t>
  </si>
  <si>
    <t>Data Analytics para Marketing Digital</t>
  </si>
  <si>
    <t>Administración de Empresas Agropecuarias</t>
  </si>
  <si>
    <t>Administración de Empresas Agropecuarias - Virtual</t>
  </si>
  <si>
    <t>No aprobado</t>
  </si>
  <si>
    <t>POPAYAN</t>
  </si>
  <si>
    <t>Nueva Beca</t>
  </si>
  <si>
    <t>Vinculado</t>
  </si>
  <si>
    <t>2023 - II</t>
  </si>
  <si>
    <t>SI</t>
  </si>
  <si>
    <t>Pregrado_Virtual</t>
  </si>
  <si>
    <t>Derecho Constitucional</t>
  </si>
  <si>
    <t>Arquitectura</t>
  </si>
  <si>
    <t>Comunicación Social - Virtual</t>
  </si>
  <si>
    <t>En estudio</t>
  </si>
  <si>
    <t>SANTANDER DE QUILICHAO</t>
  </si>
  <si>
    <t>Renovación de Beca</t>
  </si>
  <si>
    <t>No Vinculado</t>
  </si>
  <si>
    <t>2024-I</t>
  </si>
  <si>
    <t>NO</t>
  </si>
  <si>
    <t>Derecho Procesal</t>
  </si>
  <si>
    <t>Comunicación Social</t>
  </si>
  <si>
    <t>Pendiente</t>
  </si>
  <si>
    <t>2024-II</t>
  </si>
  <si>
    <t>Gerencia de Agronegocios Sostenibles</t>
  </si>
  <si>
    <t>Contaduría Pública</t>
  </si>
  <si>
    <t>2025-I</t>
  </si>
  <si>
    <t>Gerencia del Talento Humano</t>
  </si>
  <si>
    <t>Derecho</t>
  </si>
  <si>
    <t>2025-II</t>
  </si>
  <si>
    <t>Gestión del Riesgo de Desastres Integrada a la Planificación Territorial</t>
  </si>
  <si>
    <t>Ecología</t>
  </si>
  <si>
    <t>No aplica</t>
  </si>
  <si>
    <t>2026-I</t>
  </si>
  <si>
    <t>Gerencia Social</t>
  </si>
  <si>
    <t>Economía</t>
  </si>
  <si>
    <t>2026-II</t>
  </si>
  <si>
    <t>Psicología Educativa</t>
  </si>
  <si>
    <t>Ingeniería de Sistemas</t>
  </si>
  <si>
    <t>2027-I</t>
  </si>
  <si>
    <t>Psicología Social Comunitaria</t>
  </si>
  <si>
    <t>Ingeniería Industrial</t>
  </si>
  <si>
    <t>2028-II</t>
  </si>
  <si>
    <t>Ingeniería Agroecológica</t>
  </si>
  <si>
    <t>Terminó asignaturas</t>
  </si>
  <si>
    <t>2028-I</t>
  </si>
  <si>
    <t>LEAC</t>
  </si>
  <si>
    <t>ninguno</t>
  </si>
  <si>
    <t>Psicología</t>
  </si>
  <si>
    <t>Trabajo Social</t>
  </si>
  <si>
    <t>INFORMACIÓN SOBRE EL TRABAJADOR</t>
  </si>
  <si>
    <t>INFORMACIÓN SOBRE EL PROGRAMA ACADÉMICO</t>
  </si>
  <si>
    <t>INFORMACIÓN SOBRE APOYOS ANTERIORES</t>
  </si>
  <si>
    <t>SITUACIÓN RELEVANTE</t>
  </si>
  <si>
    <t>% ASIGNADO POR COMITÉ DE BECAS</t>
  </si>
  <si>
    <t>VALOR DEL DESCUENTO</t>
  </si>
  <si>
    <t>VALOR ASUMIDO POR ESTUDIANTE</t>
  </si>
  <si>
    <t>OBSERVACIONES</t>
  </si>
  <si>
    <t>ESTADO</t>
  </si>
  <si>
    <t>NOMBRE DEL TRABAJADOR</t>
  </si>
  <si>
    <t>IDENTIFICACIÓN</t>
  </si>
  <si>
    <t>CARGO</t>
  </si>
  <si>
    <t xml:space="preserve">VINCULACIÓN </t>
  </si>
  <si>
    <t xml:space="preserve">CUENTA CON VINCULACIÓN REQUERIDA? </t>
  </si>
  <si>
    <t xml:space="preserve">SEDE DE LABORES </t>
  </si>
  <si>
    <t>CORREO</t>
  </si>
  <si>
    <t xml:space="preserve">CONTACTO TELEFÓNICO </t>
  </si>
  <si>
    <t>ESTADO DE LA BECA</t>
  </si>
  <si>
    <t>SEDE DE ESTUDIOS</t>
  </si>
  <si>
    <t>¿Matrícula extraordinaria?</t>
  </si>
  <si>
    <t>NIVEL DE FORMACIÓN</t>
  </si>
  <si>
    <t>PROGRAMA ACADÉMICO</t>
  </si>
  <si>
    <t>SNIES</t>
  </si>
  <si>
    <t>VALOR DE LA MATRÍCUAL</t>
  </si>
  <si>
    <t>PROMEDIO DE SEMESTRE ANTERIOR</t>
  </si>
  <si>
    <t>SEMESTRE DESDE EL CUAL SE LE BENEFICIA</t>
  </si>
  <si>
    <t>SEMESTRE A CURSAR</t>
  </si>
  <si>
    <t>NO. APOYOS ANTERIORES</t>
  </si>
  <si>
    <t>% ÚLTIMO APOYO GENERADO</t>
  </si>
  <si>
    <t xml:space="preserve">CUENTA CON VINCULACIÓN SUCESIVA MAYOR A 2 SEMESTRES </t>
  </si>
  <si>
    <t xml:space="preserve">NOMBRE DEL HIJO </t>
  </si>
  <si>
    <t>IDENTIFICACIÓN DEL HIJO</t>
  </si>
  <si>
    <t>INFORMACIÓN SOBRE EL SOLICITANTE</t>
  </si>
  <si>
    <t>VALOR CON QUE CUENTA ESTUDIANTE</t>
  </si>
  <si>
    <t>NOMBRE DEL SOLICITANTE</t>
  </si>
  <si>
    <t>NOMBRE DEL ESTUDIANTE O ASPIRANTE</t>
  </si>
  <si>
    <t># APOYOS ANTERIORES</t>
  </si>
  <si>
    <t>SOLICITANTE</t>
  </si>
  <si>
    <t>ESTÍMULO</t>
  </si>
  <si>
    <t>NOMBRE DEL ESTUDIANTE</t>
  </si>
  <si>
    <t>¿MATRÍCULA EXTRAORDINARIA?</t>
  </si>
  <si>
    <t>¿MATRÍCULA EXTRAORDINADIA?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</si>
</sst>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* #,##0_-;\-&quot;$&quot;* #,##0_-;_-&quot;$&quot;* &quot;-&quot;_-;_-@_-"/>
  </numFmts>
  <fonts count="20" x14ac:knownFonts="1">
    <font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color rgb="FF7030A0"/>
      <name val="Arial"/>
      <family val="2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rgb="FFFF0000"/>
      <name val="Cambria"/>
      <family val="1"/>
    </font>
    <font>
      <b/>
      <sz val="10"/>
      <color theme="0"/>
      <name val="Cambria"/>
      <family val="1"/>
    </font>
    <font>
      <sz val="10"/>
      <color rgb="FF002060"/>
      <name val="Cambria"/>
      <family val="1"/>
    </font>
    <font>
      <sz val="10"/>
      <color rgb="FF3F3F76"/>
      <name val="Cambria"/>
      <family val="1"/>
    </font>
    <font>
      <b/>
      <sz val="10"/>
      <color theme="5" tint="-0.499984740745262"/>
      <name val="Cambria"/>
      <family val="1"/>
    </font>
    <font>
      <b/>
      <sz val="10"/>
      <name val="Cambria"/>
      <family val="1"/>
    </font>
    <font>
      <b/>
      <sz val="10"/>
      <color rgb="FFFFFFFF"/>
      <name val="Cambria"/>
      <family val="1"/>
    </font>
    <font>
      <b/>
      <sz val="10"/>
      <color rgb="FFC00000"/>
      <name val="Cambria"/>
      <family val="1"/>
    </font>
    <font>
      <b/>
      <sz val="9"/>
      <color indexed="81"/>
      <name val="Tahoma"/>
      <family val="2"/>
    </font>
    <font>
      <sz val="10"/>
      <name val="Cambria"/>
      <family val="1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FFFF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FFFFFF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7F7F7F"/>
      </bottom>
      <diagonal/>
    </border>
  </borders>
  <cellStyleXfs count="8">
    <xf numFmtId="0" fontId="0" fillId="0" borderId="0"/>
    <xf numFmtId="0" fontId="1" fillId="2" borderId="2" applyNumberFormat="0" applyAlignment="0" applyProtection="0"/>
    <xf numFmtId="0" fontId="2" fillId="3" borderId="2" applyNumberFormat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3" borderId="3" applyNumberFormat="0" applyAlignment="0" applyProtection="0"/>
    <xf numFmtId="44" fontId="3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78">
    <xf numFmtId="0" fontId="0" fillId="0" borderId="0" xfId="0"/>
    <xf numFmtId="0" fontId="5" fillId="0" borderId="0" xfId="0" applyFont="1"/>
    <xf numFmtId="42" fontId="5" fillId="0" borderId="0" xfId="3" applyFont="1"/>
    <xf numFmtId="9" fontId="5" fillId="0" borderId="0" xfId="4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4" borderId="2" xfId="1" applyFont="1" applyFill="1" applyAlignment="1" applyProtection="1">
      <alignment horizontal="center" vertical="center"/>
      <protection hidden="1"/>
    </xf>
    <xf numFmtId="42" fontId="10" fillId="4" borderId="2" xfId="3" applyFont="1" applyFill="1" applyBorder="1" applyAlignment="1" applyProtection="1">
      <alignment horizontal="center" vertical="center"/>
      <protection hidden="1"/>
    </xf>
    <xf numFmtId="0" fontId="10" fillId="4" borderId="2" xfId="1" applyFont="1" applyFill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10" fillId="4" borderId="2" xfId="1" applyFont="1" applyFill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4" xfId="1" applyFont="1" applyFill="1" applyBorder="1" applyAlignment="1" applyProtection="1">
      <alignment horizontal="center" vertical="center" wrapText="1"/>
      <protection locked="0"/>
    </xf>
    <xf numFmtId="164" fontId="10" fillId="4" borderId="2" xfId="1" applyNumberFormat="1" applyFont="1" applyFill="1" applyAlignment="1" applyProtection="1">
      <alignment horizontal="center" vertical="center"/>
      <protection locked="0"/>
    </xf>
    <xf numFmtId="164" fontId="11" fillId="4" borderId="2" xfId="1" applyNumberFormat="1" applyFont="1" applyFill="1" applyAlignment="1" applyProtection="1">
      <alignment horizontal="center" vertical="center"/>
      <protection hidden="1"/>
    </xf>
    <xf numFmtId="164" fontId="12" fillId="4" borderId="2" xfId="2" applyNumberFormat="1" applyFont="1" applyFill="1" applyAlignment="1" applyProtection="1">
      <alignment horizontal="center" vertical="center"/>
      <protection hidden="1"/>
    </xf>
    <xf numFmtId="0" fontId="10" fillId="4" borderId="4" xfId="1" applyFont="1" applyFill="1" applyBorder="1" applyAlignment="1" applyProtection="1">
      <alignment horizontal="center" vertical="center"/>
      <protection locked="0"/>
    </xf>
    <xf numFmtId="9" fontId="10" fillId="4" borderId="2" xfId="1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4" fillId="7" borderId="7" xfId="0" applyFont="1" applyFill="1" applyBorder="1" applyAlignment="1">
      <alignment horizontal="center" vertical="center" wrapText="1"/>
    </xf>
    <xf numFmtId="0" fontId="6" fillId="0" borderId="0" xfId="6" applyNumberFormat="1" applyFont="1" applyAlignment="1">
      <alignment horizontal="center" vertical="center"/>
    </xf>
    <xf numFmtId="0" fontId="10" fillId="4" borderId="4" xfId="6" applyNumberFormat="1" applyFont="1" applyFill="1" applyBorder="1" applyAlignment="1" applyProtection="1">
      <alignment horizontal="center" vertical="center"/>
      <protection hidden="1"/>
    </xf>
    <xf numFmtId="0" fontId="10" fillId="4" borderId="4" xfId="3" applyNumberFormat="1" applyFont="1" applyFill="1" applyBorder="1" applyAlignment="1" applyProtection="1">
      <alignment horizontal="center" vertical="center"/>
      <protection hidden="1"/>
    </xf>
    <xf numFmtId="0" fontId="10" fillId="4" borderId="2" xfId="1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9" fontId="6" fillId="0" borderId="0" xfId="0" applyNumberFormat="1" applyFont="1" applyAlignment="1">
      <alignment horizontal="center" vertical="center"/>
    </xf>
    <xf numFmtId="9" fontId="10" fillId="8" borderId="1" xfId="1" applyNumberFormat="1" applyFont="1" applyFill="1" applyBorder="1" applyAlignment="1" applyProtection="1">
      <alignment horizontal="center" vertical="center"/>
      <protection locked="0"/>
    </xf>
    <xf numFmtId="9" fontId="10" fillId="0" borderId="2" xfId="1" applyNumberFormat="1" applyFont="1" applyFill="1" applyAlignment="1" applyProtection="1">
      <alignment horizontal="center" vertical="center"/>
      <protection locked="0"/>
    </xf>
    <xf numFmtId="9" fontId="10" fillId="4" borderId="2" xfId="4" applyFont="1" applyFill="1" applyBorder="1" applyAlignment="1" applyProtection="1">
      <alignment horizontal="center" vertical="center"/>
      <protection locked="0"/>
    </xf>
    <xf numFmtId="9" fontId="6" fillId="0" borderId="0" xfId="4" applyFont="1" applyAlignment="1">
      <alignment horizontal="center" vertical="center"/>
    </xf>
    <xf numFmtId="0" fontId="10" fillId="4" borderId="8" xfId="1" applyFont="1" applyFill="1" applyBorder="1" applyAlignment="1" applyProtection="1">
      <alignment horizontal="center" vertical="center"/>
      <protection locked="0"/>
    </xf>
    <xf numFmtId="164" fontId="17" fillId="4" borderId="2" xfId="1" applyNumberFormat="1" applyFont="1" applyFill="1" applyAlignment="1" applyProtection="1">
      <alignment horizontal="center" vertical="center"/>
      <protection locked="0"/>
    </xf>
    <xf numFmtId="0" fontId="19" fillId="4" borderId="2" xfId="7" applyFill="1" applyBorder="1" applyAlignment="1" applyProtection="1">
      <alignment horizontal="center" vertical="center"/>
      <protection locked="0"/>
    </xf>
    <xf numFmtId="0" fontId="5" fillId="10" borderId="0" xfId="0" applyFont="1" applyFill="1"/>
    <xf numFmtId="42" fontId="5" fillId="10" borderId="0" xfId="3" applyFont="1" applyFill="1"/>
    <xf numFmtId="0" fontId="14" fillId="7" borderId="7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/>
    </xf>
    <xf numFmtId="9" fontId="9" fillId="5" borderId="16" xfId="0" applyNumberFormat="1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0" fillId="4" borderId="4" xfId="1" applyFont="1" applyFill="1" applyBorder="1" applyAlignment="1" applyProtection="1">
      <alignment horizontal="center" vertical="center"/>
      <protection hidden="1"/>
    </xf>
    <xf numFmtId="42" fontId="10" fillId="4" borderId="4" xfId="3" applyFont="1" applyFill="1" applyBorder="1" applyAlignment="1" applyProtection="1">
      <alignment horizontal="center" vertical="center"/>
      <protection hidden="1"/>
    </xf>
    <xf numFmtId="0" fontId="14" fillId="11" borderId="24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5" borderId="26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 wrapText="1"/>
    </xf>
    <xf numFmtId="0" fontId="9" fillId="5" borderId="26" xfId="6" applyNumberFormat="1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14" fillId="7" borderId="28" xfId="0" applyFont="1" applyFill="1" applyBorder="1" applyAlignment="1">
      <alignment horizontal="center" vertical="center"/>
    </xf>
    <xf numFmtId="9" fontId="9" fillId="5" borderId="21" xfId="4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5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/>
    </xf>
    <xf numFmtId="0" fontId="7" fillId="6" borderId="9" xfId="5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</cellXfs>
  <cellStyles count="8">
    <cellStyle name="Cálculo" xfId="2" builtinId="22"/>
    <cellStyle name="Entrada" xfId="1" builtinId="20"/>
    <cellStyle name="Hipervínculo" xfId="7" builtinId="8"/>
    <cellStyle name="Moneda" xfId="6" builtinId="4"/>
    <cellStyle name="Moneda [0]" xfId="3" builtinId="7"/>
    <cellStyle name="Normal" xfId="0" builtinId="0"/>
    <cellStyle name="Porcentaje" xfId="4" builtinId="5"/>
    <cellStyle name="Salida" xfId="5" builtinId="21"/>
  </cellStyles>
  <dxfs count="48"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u val="none"/>
        <color theme="9" tint="-0.499984740745262"/>
      </font>
      <fill>
        <patternFill>
          <bgColor theme="9" tint="0.39994506668294322"/>
        </patternFill>
      </fill>
    </dxf>
    <dxf>
      <font>
        <b/>
        <i val="0"/>
        <u val="none"/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CC"/>
      <color rgb="FF0057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1744738</xdr:colOff>
      <xdr:row>1</xdr:row>
      <xdr:rowOff>9071</xdr:rowOff>
    </xdr:from>
    <xdr:to>
      <xdr:col>17</xdr:col>
      <xdr:colOff>361723</xdr:colOff>
      <xdr:row>4</xdr:row>
      <xdr:rowOff>237696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3904988" y="183696"/>
          <a:ext cx="13571235" cy="895375"/>
          <a:chOff x="104775" y="75840"/>
          <a:chExt cx="6410325" cy="1020298"/>
        </a:xfrm>
      </xdr:grpSpPr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GESTIÓN LEGAL</a:t>
            </a:r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FORMATO MATRIZ CONTROL DE APOYOS FINANCIEROS</a:t>
            </a:r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75734" y="96455"/>
            <a:ext cx="497355" cy="999683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 FO-GL-016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Julio 2024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2518833</xdr:colOff>
      <xdr:row>1</xdr:row>
      <xdr:rowOff>31750</xdr:rowOff>
    </xdr:from>
    <xdr:to>
      <xdr:col>15</xdr:col>
      <xdr:colOff>394984</xdr:colOff>
      <xdr:row>5</xdr:row>
      <xdr:rowOff>27541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3409083" y="206375"/>
          <a:ext cx="13576526" cy="908604"/>
          <a:chOff x="104775" y="75840"/>
          <a:chExt cx="6410325" cy="1020298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GESTIÓN LEGAL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FORMATO MATRIZ CONTROL DE APOYOS FINANCIEROS</a:t>
            </a: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75734" y="96455"/>
            <a:ext cx="497355" cy="999683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 FO-GL-016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Julio 2024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846666</xdr:colOff>
      <xdr:row>1</xdr:row>
      <xdr:rowOff>31750</xdr:rowOff>
    </xdr:from>
    <xdr:to>
      <xdr:col>16</xdr:col>
      <xdr:colOff>35151</xdr:colOff>
      <xdr:row>5</xdr:row>
      <xdr:rowOff>27541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1681354" y="206375"/>
          <a:ext cx="13571235" cy="908604"/>
          <a:chOff x="104775" y="75840"/>
          <a:chExt cx="6410325" cy="1020298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GESTIÓN LEGAL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FORMATO MATRIZ CONTROL DE APOYOS FINANCIEROS</a:t>
            </a: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75734" y="96455"/>
            <a:ext cx="497355" cy="999683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 FO-GL-016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Julio 2024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1047750</xdr:colOff>
      <xdr:row>1</xdr:row>
      <xdr:rowOff>42333</xdr:rowOff>
    </xdr:from>
    <xdr:to>
      <xdr:col>17</xdr:col>
      <xdr:colOff>521985</xdr:colOff>
      <xdr:row>5</xdr:row>
      <xdr:rowOff>38124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1771313" y="216958"/>
          <a:ext cx="13555360" cy="908604"/>
          <a:chOff x="104775" y="75840"/>
          <a:chExt cx="6410325" cy="1020298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GESTIÓN LEGAL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FORMATO MATRIZ CONTROL DE APOYOS FINANCIEROS</a:t>
            </a: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75734" y="96455"/>
            <a:ext cx="497355" cy="999683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 FO-GL-016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Julio 2024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648985</xdr:colOff>
      <xdr:row>4</xdr:row>
      <xdr:rowOff>239208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1763375" y="174625"/>
          <a:ext cx="13571235" cy="905958"/>
          <a:chOff x="104775" y="75840"/>
          <a:chExt cx="6410325" cy="1020298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GESTIÓN LEGAL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FORMATO MATRIZ CONTROL DE APOYOS FINANCIEROS</a:t>
            </a: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75734" y="96455"/>
            <a:ext cx="497355" cy="999683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 FO-GL-016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Julio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showGridLines="0" topLeftCell="C1" workbookViewId="0">
      <selection activeCell="F8" sqref="F8"/>
    </sheetView>
  </sheetViews>
  <sheetFormatPr baseColWidth="10" defaultColWidth="10.75" defaultRowHeight="10" x14ac:dyDescent="0.2"/>
  <cols>
    <col min="1" max="5" width="10.75" style="1"/>
    <col min="6" max="6" width="43.75" style="1" bestFit="1" customWidth="1"/>
    <col min="7" max="15" width="10.75" style="1"/>
    <col min="16" max="16" width="10.75" style="19"/>
    <col min="17" max="16384" width="10.75" style="1"/>
  </cols>
  <sheetData>
    <row r="1" spans="1:17" x14ac:dyDescent="0.2">
      <c r="A1" s="1" t="s">
        <v>0</v>
      </c>
      <c r="B1" s="1" t="s">
        <v>0</v>
      </c>
      <c r="C1" s="1" t="s">
        <v>0</v>
      </c>
      <c r="E1" s="19" t="s">
        <v>0</v>
      </c>
      <c r="J1" s="1" t="s">
        <v>0</v>
      </c>
      <c r="K1" s="1" t="s">
        <v>0</v>
      </c>
    </row>
    <row r="2" spans="1:17" x14ac:dyDescent="0.2">
      <c r="A2" s="1" t="s">
        <v>1</v>
      </c>
      <c r="B2" s="1" t="s">
        <v>2</v>
      </c>
      <c r="C2" s="1" t="s">
        <v>3</v>
      </c>
      <c r="D2" s="1" t="s">
        <v>4</v>
      </c>
      <c r="E2" s="19">
        <v>1</v>
      </c>
      <c r="F2" s="37" t="s">
        <v>2</v>
      </c>
      <c r="G2" s="37">
        <v>109540</v>
      </c>
      <c r="H2" s="38">
        <v>8450000</v>
      </c>
      <c r="I2" s="38">
        <v>8450000</v>
      </c>
      <c r="J2" s="3">
        <v>0</v>
      </c>
      <c r="K2" s="1" t="s">
        <v>5</v>
      </c>
      <c r="L2" s="1" t="s">
        <v>0</v>
      </c>
      <c r="M2" s="1" t="s">
        <v>0</v>
      </c>
      <c r="N2" s="1" t="s">
        <v>0</v>
      </c>
      <c r="O2" s="1" t="s">
        <v>0</v>
      </c>
      <c r="P2" s="19" t="s">
        <v>0</v>
      </c>
      <c r="Q2" s="1" t="s">
        <v>0</v>
      </c>
    </row>
    <row r="3" spans="1:17" x14ac:dyDescent="0.2">
      <c r="A3" s="1" t="s">
        <v>6</v>
      </c>
      <c r="B3" s="1" t="s">
        <v>7</v>
      </c>
      <c r="C3" s="1" t="s">
        <v>8</v>
      </c>
      <c r="D3" s="1" t="s">
        <v>9</v>
      </c>
      <c r="E3" s="19">
        <v>2</v>
      </c>
      <c r="F3" s="37" t="s">
        <v>7</v>
      </c>
      <c r="G3" s="37">
        <v>109301</v>
      </c>
      <c r="H3" s="38">
        <v>8450000</v>
      </c>
      <c r="I3" s="38">
        <v>8450000</v>
      </c>
      <c r="J3" s="3">
        <v>0.01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9">
        <v>1</v>
      </c>
      <c r="Q3" s="1" t="s">
        <v>15</v>
      </c>
    </row>
    <row r="4" spans="1:17" x14ac:dyDescent="0.2">
      <c r="A4" s="1" t="s">
        <v>16</v>
      </c>
      <c r="B4" s="1" t="s">
        <v>17</v>
      </c>
      <c r="C4" s="1" t="s">
        <v>18</v>
      </c>
      <c r="D4" s="1" t="s">
        <v>19</v>
      </c>
      <c r="E4" s="19">
        <v>3</v>
      </c>
      <c r="F4" s="37" t="s">
        <v>17</v>
      </c>
      <c r="G4" s="37">
        <v>109778</v>
      </c>
      <c r="H4" s="38">
        <v>8450000</v>
      </c>
      <c r="I4" s="38">
        <v>8450000</v>
      </c>
      <c r="J4" s="3">
        <v>0.02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9">
        <v>2</v>
      </c>
      <c r="Q4" s="1" t="s">
        <v>25</v>
      </c>
    </row>
    <row r="5" spans="1:17" x14ac:dyDescent="0.2">
      <c r="B5" s="1" t="s">
        <v>26</v>
      </c>
      <c r="C5" s="1" t="s">
        <v>27</v>
      </c>
      <c r="E5" s="19">
        <v>4</v>
      </c>
      <c r="F5" s="37" t="s">
        <v>26</v>
      </c>
      <c r="G5" s="37">
        <v>109255</v>
      </c>
      <c r="H5" s="38">
        <v>8450000</v>
      </c>
      <c r="I5" s="38">
        <v>8450000</v>
      </c>
      <c r="J5" s="3">
        <v>0.03</v>
      </c>
      <c r="N5" s="1" t="s">
        <v>28</v>
      </c>
      <c r="O5" s="1" t="s">
        <v>29</v>
      </c>
      <c r="P5" s="19">
        <v>3</v>
      </c>
    </row>
    <row r="6" spans="1:17" x14ac:dyDescent="0.2">
      <c r="B6" s="1" t="s">
        <v>30</v>
      </c>
      <c r="C6" s="1" t="s">
        <v>31</v>
      </c>
      <c r="E6" s="19">
        <v>5</v>
      </c>
      <c r="F6" s="37" t="s">
        <v>30</v>
      </c>
      <c r="G6" s="37">
        <v>109452</v>
      </c>
      <c r="H6" s="38">
        <v>8450000</v>
      </c>
      <c r="I6" s="38">
        <v>8450000</v>
      </c>
      <c r="J6" s="3">
        <v>0.04</v>
      </c>
      <c r="O6" s="1" t="s">
        <v>32</v>
      </c>
      <c r="P6" s="19">
        <v>4</v>
      </c>
    </row>
    <row r="7" spans="1:17" x14ac:dyDescent="0.2">
      <c r="B7" s="1" t="s">
        <v>33</v>
      </c>
      <c r="C7" s="1" t="s">
        <v>34</v>
      </c>
      <c r="E7" s="19">
        <v>6</v>
      </c>
      <c r="F7" s="37" t="s">
        <v>33</v>
      </c>
      <c r="G7" s="37">
        <v>107237</v>
      </c>
      <c r="H7" s="38">
        <v>7800000</v>
      </c>
      <c r="I7" s="38">
        <v>7800000</v>
      </c>
      <c r="J7" s="3">
        <v>0.05</v>
      </c>
      <c r="O7" s="1" t="s">
        <v>35</v>
      </c>
      <c r="P7" s="19">
        <v>5</v>
      </c>
    </row>
    <row r="8" spans="1:17" x14ac:dyDescent="0.2">
      <c r="B8" s="1" t="s">
        <v>36</v>
      </c>
      <c r="C8" s="1" t="s">
        <v>37</v>
      </c>
      <c r="E8" s="19">
        <v>7</v>
      </c>
      <c r="F8" s="37" t="s">
        <v>36</v>
      </c>
      <c r="G8" s="37">
        <v>104916</v>
      </c>
      <c r="H8" s="38" t="s">
        <v>38</v>
      </c>
      <c r="I8" s="38" t="s">
        <v>38</v>
      </c>
      <c r="J8" s="3">
        <v>0.06</v>
      </c>
      <c r="O8" s="1" t="s">
        <v>39</v>
      </c>
      <c r="P8" s="19">
        <v>6</v>
      </c>
    </row>
    <row r="9" spans="1:17" x14ac:dyDescent="0.2">
      <c r="B9" s="1" t="s">
        <v>40</v>
      </c>
      <c r="C9" s="1" t="s">
        <v>41</v>
      </c>
      <c r="E9" s="19">
        <v>8</v>
      </c>
      <c r="F9" s="37" t="s">
        <v>40</v>
      </c>
      <c r="G9" s="37">
        <v>110409</v>
      </c>
      <c r="H9" s="38">
        <v>8450000</v>
      </c>
      <c r="I9" s="38">
        <v>8450000</v>
      </c>
      <c r="J9" s="3">
        <v>7.0000000000000007E-2</v>
      </c>
      <c r="O9" s="1" t="s">
        <v>42</v>
      </c>
      <c r="P9" s="19">
        <v>7</v>
      </c>
    </row>
    <row r="10" spans="1:17" x14ac:dyDescent="0.2">
      <c r="B10" s="1" t="s">
        <v>43</v>
      </c>
      <c r="C10" s="1" t="s">
        <v>44</v>
      </c>
      <c r="E10" s="19">
        <v>9</v>
      </c>
      <c r="F10" s="37" t="s">
        <v>43</v>
      </c>
      <c r="G10" s="37">
        <v>106237</v>
      </c>
      <c r="H10" s="38">
        <v>8450000</v>
      </c>
      <c r="I10" s="38">
        <v>8450000</v>
      </c>
      <c r="J10" s="3">
        <v>0.08</v>
      </c>
      <c r="O10" s="1" t="s">
        <v>45</v>
      </c>
      <c r="P10" s="19">
        <v>8</v>
      </c>
    </row>
    <row r="11" spans="1:17" x14ac:dyDescent="0.2">
      <c r="B11" s="1" t="s">
        <v>46</v>
      </c>
      <c r="C11" s="1" t="s">
        <v>47</v>
      </c>
      <c r="E11" s="19">
        <v>10</v>
      </c>
      <c r="F11" s="37" t="s">
        <v>46</v>
      </c>
      <c r="G11" s="37">
        <v>106238</v>
      </c>
      <c r="H11" s="38">
        <v>8450000</v>
      </c>
      <c r="I11" s="38">
        <v>8450000</v>
      </c>
      <c r="J11" s="3">
        <v>0.09</v>
      </c>
      <c r="O11" s="1" t="s">
        <v>48</v>
      </c>
      <c r="P11" s="19">
        <v>9</v>
      </c>
    </row>
    <row r="12" spans="1:17" x14ac:dyDescent="0.2">
      <c r="C12" s="1" t="s">
        <v>49</v>
      </c>
      <c r="E12" s="19" t="s">
        <v>50</v>
      </c>
      <c r="F12" s="1" t="s">
        <v>3</v>
      </c>
      <c r="G12" s="1">
        <v>105530</v>
      </c>
      <c r="H12" s="2">
        <v>2609594</v>
      </c>
      <c r="I12" s="2">
        <v>3232624</v>
      </c>
      <c r="J12" s="3">
        <v>0.1</v>
      </c>
      <c r="O12" s="1" t="s">
        <v>51</v>
      </c>
      <c r="P12" s="19">
        <v>10</v>
      </c>
    </row>
    <row r="13" spans="1:17" x14ac:dyDescent="0.2">
      <c r="C13" s="1" t="s">
        <v>52</v>
      </c>
      <c r="F13" s="1" t="s">
        <v>8</v>
      </c>
      <c r="G13" s="1">
        <v>4245</v>
      </c>
      <c r="H13" s="2">
        <v>2609594</v>
      </c>
      <c r="I13" s="2">
        <v>3232624</v>
      </c>
      <c r="J13" s="3">
        <v>0.11</v>
      </c>
      <c r="P13" s="19" t="s">
        <v>53</v>
      </c>
    </row>
    <row r="14" spans="1:17" x14ac:dyDescent="0.2">
      <c r="C14" s="1" t="s">
        <v>54</v>
      </c>
      <c r="F14" s="1" t="s">
        <v>18</v>
      </c>
      <c r="G14" s="1">
        <v>3615</v>
      </c>
      <c r="H14" s="2">
        <v>3014923</v>
      </c>
      <c r="I14" s="2">
        <v>3637953</v>
      </c>
      <c r="J14" s="3">
        <v>0.12</v>
      </c>
    </row>
    <row r="15" spans="1:17" x14ac:dyDescent="0.2">
      <c r="C15" s="1" t="s">
        <v>55</v>
      </c>
      <c r="F15" s="1" t="s">
        <v>27</v>
      </c>
      <c r="G15" s="1">
        <v>106807</v>
      </c>
      <c r="H15" s="2">
        <v>2609594</v>
      </c>
      <c r="I15" s="2">
        <v>3232624</v>
      </c>
      <c r="J15" s="3">
        <v>0.13</v>
      </c>
    </row>
    <row r="16" spans="1:17" x14ac:dyDescent="0.2">
      <c r="F16" s="1" t="s">
        <v>31</v>
      </c>
      <c r="G16" s="1">
        <v>54462</v>
      </c>
      <c r="H16" s="2">
        <v>2609594</v>
      </c>
      <c r="I16" s="2">
        <v>3232624</v>
      </c>
      <c r="J16" s="3">
        <v>0.14000000000000001</v>
      </c>
    </row>
    <row r="17" spans="6:10" x14ac:dyDescent="0.2">
      <c r="F17" s="1" t="s">
        <v>34</v>
      </c>
      <c r="G17" s="1">
        <v>90886</v>
      </c>
      <c r="H17" s="2">
        <v>3482822</v>
      </c>
      <c r="I17" s="2">
        <v>4105852</v>
      </c>
      <c r="J17" s="3">
        <v>0.15</v>
      </c>
    </row>
    <row r="18" spans="6:10" x14ac:dyDescent="0.2">
      <c r="F18" s="1" t="s">
        <v>37</v>
      </c>
      <c r="G18" s="1">
        <v>105030</v>
      </c>
      <c r="H18" s="2">
        <v>2609594</v>
      </c>
      <c r="I18" s="2">
        <v>3232624</v>
      </c>
      <c r="J18" s="3">
        <v>0.16</v>
      </c>
    </row>
    <row r="19" spans="6:10" x14ac:dyDescent="0.2">
      <c r="F19" s="1" t="s">
        <v>41</v>
      </c>
      <c r="G19" s="1">
        <v>105308</v>
      </c>
      <c r="H19" s="2" t="s">
        <v>38</v>
      </c>
      <c r="I19" s="2" t="s">
        <v>38</v>
      </c>
      <c r="J19" s="3">
        <v>0.17</v>
      </c>
    </row>
    <row r="20" spans="6:10" x14ac:dyDescent="0.2">
      <c r="F20" s="1" t="s">
        <v>44</v>
      </c>
      <c r="G20" s="1">
        <v>2612</v>
      </c>
      <c r="H20" s="2">
        <v>2609594</v>
      </c>
      <c r="I20" s="2">
        <v>3232624</v>
      </c>
      <c r="J20" s="3">
        <v>0.18</v>
      </c>
    </row>
    <row r="21" spans="6:10" x14ac:dyDescent="0.2">
      <c r="F21" s="1" t="s">
        <v>47</v>
      </c>
      <c r="G21" s="1">
        <v>2555</v>
      </c>
      <c r="H21" s="2">
        <v>2882995</v>
      </c>
      <c r="I21" s="2">
        <v>3506025</v>
      </c>
      <c r="J21" s="3">
        <v>0.19</v>
      </c>
    </row>
    <row r="22" spans="6:10" x14ac:dyDescent="0.2">
      <c r="F22" s="1" t="s">
        <v>49</v>
      </c>
      <c r="G22" s="1">
        <v>111046</v>
      </c>
      <c r="H22" s="2">
        <v>2609594</v>
      </c>
      <c r="I22" s="2">
        <v>3232624</v>
      </c>
      <c r="J22" s="3">
        <v>0.2</v>
      </c>
    </row>
    <row r="23" spans="6:10" x14ac:dyDescent="0.2">
      <c r="F23" s="1" t="s">
        <v>52</v>
      </c>
      <c r="G23" s="1">
        <v>105817</v>
      </c>
      <c r="H23" s="2">
        <v>2110400</v>
      </c>
      <c r="I23" s="2">
        <v>2733430</v>
      </c>
      <c r="J23" s="3">
        <v>0.21</v>
      </c>
    </row>
    <row r="24" spans="6:10" x14ac:dyDescent="0.2">
      <c r="F24" s="1" t="s">
        <v>54</v>
      </c>
      <c r="G24" s="1">
        <v>3087</v>
      </c>
      <c r="H24" s="2">
        <v>2882995</v>
      </c>
      <c r="I24" s="2">
        <v>3506025</v>
      </c>
      <c r="J24" s="3">
        <v>0.22</v>
      </c>
    </row>
    <row r="25" spans="6:10" x14ac:dyDescent="0.2">
      <c r="F25" s="1" t="s">
        <v>55</v>
      </c>
      <c r="G25" s="1">
        <v>54694</v>
      </c>
      <c r="H25" s="2">
        <v>2882995</v>
      </c>
      <c r="I25" s="2">
        <v>3506025</v>
      </c>
      <c r="J25" s="3">
        <v>0.23</v>
      </c>
    </row>
    <row r="26" spans="6:10" x14ac:dyDescent="0.2">
      <c r="F26" s="1" t="s">
        <v>4</v>
      </c>
      <c r="G26" s="1">
        <v>105448</v>
      </c>
      <c r="H26" s="2">
        <v>1676920</v>
      </c>
      <c r="I26" s="2">
        <v>2299950</v>
      </c>
      <c r="J26" s="3">
        <v>0.24</v>
      </c>
    </row>
    <row r="27" spans="6:10" x14ac:dyDescent="0.2">
      <c r="F27" s="1" t="s">
        <v>9</v>
      </c>
      <c r="G27" s="1">
        <v>103089</v>
      </c>
      <c r="H27" s="2">
        <v>1676920</v>
      </c>
      <c r="I27" s="2">
        <v>2299950</v>
      </c>
      <c r="J27" s="3">
        <v>0.25</v>
      </c>
    </row>
    <row r="28" spans="6:10" x14ac:dyDescent="0.2">
      <c r="F28" s="1" t="s">
        <v>19</v>
      </c>
      <c r="G28" s="1">
        <v>106233</v>
      </c>
      <c r="H28" s="2">
        <v>1676920</v>
      </c>
      <c r="I28" s="2">
        <v>2299950</v>
      </c>
      <c r="J28" s="3">
        <v>0.26</v>
      </c>
    </row>
    <row r="29" spans="6:10" x14ac:dyDescent="0.2">
      <c r="J29" s="3">
        <v>0.27</v>
      </c>
    </row>
    <row r="30" spans="6:10" x14ac:dyDescent="0.2">
      <c r="J30" s="3">
        <v>0.28000000000000003</v>
      </c>
    </row>
    <row r="31" spans="6:10" x14ac:dyDescent="0.2">
      <c r="J31" s="3">
        <v>0.28999999999999998</v>
      </c>
    </row>
    <row r="32" spans="6:10" x14ac:dyDescent="0.2">
      <c r="J32" s="3">
        <v>0.3</v>
      </c>
    </row>
    <row r="33" spans="10:10" x14ac:dyDescent="0.2">
      <c r="J33" s="3">
        <v>0.31</v>
      </c>
    </row>
    <row r="34" spans="10:10" x14ac:dyDescent="0.2">
      <c r="J34" s="3">
        <v>0.32</v>
      </c>
    </row>
    <row r="35" spans="10:10" x14ac:dyDescent="0.2">
      <c r="J35" s="3">
        <v>0.33</v>
      </c>
    </row>
    <row r="36" spans="10:10" x14ac:dyDescent="0.2">
      <c r="J36" s="3">
        <v>0.34</v>
      </c>
    </row>
    <row r="37" spans="10:10" x14ac:dyDescent="0.2">
      <c r="J37" s="3">
        <v>0.35</v>
      </c>
    </row>
    <row r="38" spans="10:10" x14ac:dyDescent="0.2">
      <c r="J38" s="3">
        <v>0.36</v>
      </c>
    </row>
    <row r="39" spans="10:10" x14ac:dyDescent="0.2">
      <c r="J39" s="3">
        <v>0.37</v>
      </c>
    </row>
    <row r="40" spans="10:10" x14ac:dyDescent="0.2">
      <c r="J40" s="3">
        <v>0.38</v>
      </c>
    </row>
    <row r="41" spans="10:10" x14ac:dyDescent="0.2">
      <c r="J41" s="3">
        <v>0.39</v>
      </c>
    </row>
    <row r="42" spans="10:10" x14ac:dyDescent="0.2">
      <c r="J42" s="3">
        <v>0.4</v>
      </c>
    </row>
    <row r="43" spans="10:10" x14ac:dyDescent="0.2">
      <c r="J43" s="3">
        <v>0.41</v>
      </c>
    </row>
    <row r="44" spans="10:10" x14ac:dyDescent="0.2">
      <c r="J44" s="3">
        <v>0.42</v>
      </c>
    </row>
    <row r="45" spans="10:10" x14ac:dyDescent="0.2">
      <c r="J45" s="3">
        <v>0.43</v>
      </c>
    </row>
    <row r="46" spans="10:10" x14ac:dyDescent="0.2">
      <c r="J46" s="3">
        <v>0.44</v>
      </c>
    </row>
    <row r="47" spans="10:10" x14ac:dyDescent="0.2">
      <c r="J47" s="3">
        <v>0.45</v>
      </c>
    </row>
    <row r="48" spans="10:10" x14ac:dyDescent="0.2">
      <c r="J48" s="3">
        <v>0.46</v>
      </c>
    </row>
    <row r="49" spans="10:10" x14ac:dyDescent="0.2">
      <c r="J49" s="3">
        <v>0.47</v>
      </c>
    </row>
    <row r="50" spans="10:10" x14ac:dyDescent="0.2">
      <c r="J50" s="3">
        <v>0.48</v>
      </c>
    </row>
    <row r="51" spans="10:10" x14ac:dyDescent="0.2">
      <c r="J51" s="3">
        <v>0.49</v>
      </c>
    </row>
    <row r="52" spans="10:10" x14ac:dyDescent="0.2">
      <c r="J52" s="3">
        <v>0.5</v>
      </c>
    </row>
    <row r="53" spans="10:10" x14ac:dyDescent="0.2">
      <c r="J53" s="3">
        <v>0.51</v>
      </c>
    </row>
    <row r="54" spans="10:10" x14ac:dyDescent="0.2">
      <c r="J54" s="3">
        <v>0.52</v>
      </c>
    </row>
    <row r="55" spans="10:10" x14ac:dyDescent="0.2">
      <c r="J55" s="3">
        <v>0.53</v>
      </c>
    </row>
    <row r="56" spans="10:10" x14ac:dyDescent="0.2">
      <c r="J56" s="3">
        <v>0.54</v>
      </c>
    </row>
    <row r="57" spans="10:10" x14ac:dyDescent="0.2">
      <c r="J57" s="3">
        <v>0.55000000000000004</v>
      </c>
    </row>
    <row r="58" spans="10:10" x14ac:dyDescent="0.2">
      <c r="J58" s="3">
        <v>0.56000000000000005</v>
      </c>
    </row>
    <row r="59" spans="10:10" x14ac:dyDescent="0.2">
      <c r="J59" s="3">
        <v>0.56999999999999995</v>
      </c>
    </row>
    <row r="60" spans="10:10" x14ac:dyDescent="0.2">
      <c r="J60" s="3">
        <v>0.57999999999999996</v>
      </c>
    </row>
    <row r="61" spans="10:10" x14ac:dyDescent="0.2">
      <c r="J61" s="3">
        <v>0.59</v>
      </c>
    </row>
    <row r="62" spans="10:10" x14ac:dyDescent="0.2">
      <c r="J62" s="3">
        <v>0.6</v>
      </c>
    </row>
    <row r="63" spans="10:10" x14ac:dyDescent="0.2">
      <c r="J63" s="3">
        <v>0.61</v>
      </c>
    </row>
    <row r="64" spans="10:10" x14ac:dyDescent="0.2">
      <c r="J64" s="3">
        <v>0.62</v>
      </c>
    </row>
    <row r="65" spans="10:10" x14ac:dyDescent="0.2">
      <c r="J65" s="3">
        <v>0.63</v>
      </c>
    </row>
    <row r="66" spans="10:10" x14ac:dyDescent="0.2">
      <c r="J66" s="3">
        <v>0.64</v>
      </c>
    </row>
    <row r="67" spans="10:10" x14ac:dyDescent="0.2">
      <c r="J67" s="3">
        <v>0.65</v>
      </c>
    </row>
    <row r="68" spans="10:10" x14ac:dyDescent="0.2">
      <c r="J68" s="3">
        <v>0.66</v>
      </c>
    </row>
    <row r="69" spans="10:10" x14ac:dyDescent="0.2">
      <c r="J69" s="3">
        <v>0.67</v>
      </c>
    </row>
    <row r="70" spans="10:10" x14ac:dyDescent="0.2">
      <c r="J70" s="3">
        <v>0.68</v>
      </c>
    </row>
    <row r="71" spans="10:10" x14ac:dyDescent="0.2">
      <c r="J71" s="3">
        <v>0.69</v>
      </c>
    </row>
    <row r="72" spans="10:10" x14ac:dyDescent="0.2">
      <c r="J72" s="3">
        <v>0.7</v>
      </c>
    </row>
    <row r="73" spans="10:10" x14ac:dyDescent="0.2">
      <c r="J73" s="3">
        <v>0.71</v>
      </c>
    </row>
    <row r="74" spans="10:10" x14ac:dyDescent="0.2">
      <c r="J74" s="3">
        <v>0.72</v>
      </c>
    </row>
    <row r="75" spans="10:10" x14ac:dyDescent="0.2">
      <c r="J75" s="3">
        <v>0.73</v>
      </c>
    </row>
    <row r="76" spans="10:10" x14ac:dyDescent="0.2">
      <c r="J76" s="3">
        <v>0.74</v>
      </c>
    </row>
    <row r="77" spans="10:10" x14ac:dyDescent="0.2">
      <c r="J77" s="3">
        <v>0.75</v>
      </c>
    </row>
    <row r="78" spans="10:10" x14ac:dyDescent="0.2">
      <c r="J78" s="3">
        <v>0.76</v>
      </c>
    </row>
    <row r="79" spans="10:10" x14ac:dyDescent="0.2">
      <c r="J79" s="3">
        <v>0.77</v>
      </c>
    </row>
    <row r="80" spans="10:10" x14ac:dyDescent="0.2">
      <c r="J80" s="3">
        <v>0.78</v>
      </c>
    </row>
    <row r="81" spans="10:10" x14ac:dyDescent="0.2">
      <c r="J81" s="3">
        <v>0.79</v>
      </c>
    </row>
    <row r="82" spans="10:10" x14ac:dyDescent="0.2">
      <c r="J82" s="3">
        <v>0.8</v>
      </c>
    </row>
    <row r="83" spans="10:10" x14ac:dyDescent="0.2">
      <c r="J83" s="3">
        <v>0.81</v>
      </c>
    </row>
    <row r="84" spans="10:10" x14ac:dyDescent="0.2">
      <c r="J84" s="3">
        <v>0.82</v>
      </c>
    </row>
    <row r="85" spans="10:10" x14ac:dyDescent="0.2">
      <c r="J85" s="3">
        <v>0.83</v>
      </c>
    </row>
    <row r="86" spans="10:10" x14ac:dyDescent="0.2">
      <c r="J86" s="3">
        <v>0.84</v>
      </c>
    </row>
    <row r="87" spans="10:10" x14ac:dyDescent="0.2">
      <c r="J87" s="3">
        <v>0.85</v>
      </c>
    </row>
    <row r="88" spans="10:10" x14ac:dyDescent="0.2">
      <c r="J88" s="3">
        <v>0.86</v>
      </c>
    </row>
    <row r="89" spans="10:10" x14ac:dyDescent="0.2">
      <c r="J89" s="3">
        <v>0.87</v>
      </c>
    </row>
    <row r="90" spans="10:10" x14ac:dyDescent="0.2">
      <c r="J90" s="3">
        <v>0.88</v>
      </c>
    </row>
    <row r="91" spans="10:10" x14ac:dyDescent="0.2">
      <c r="J91" s="3">
        <v>0.89</v>
      </c>
    </row>
    <row r="92" spans="10:10" x14ac:dyDescent="0.2">
      <c r="J92" s="3">
        <v>0.9</v>
      </c>
    </row>
    <row r="93" spans="10:10" x14ac:dyDescent="0.2">
      <c r="J93" s="3">
        <v>0.91</v>
      </c>
    </row>
    <row r="94" spans="10:10" x14ac:dyDescent="0.2">
      <c r="J94" s="3">
        <v>0.92</v>
      </c>
    </row>
    <row r="95" spans="10:10" x14ac:dyDescent="0.2">
      <c r="J95" s="3">
        <v>0.93</v>
      </c>
    </row>
    <row r="96" spans="10:10" x14ac:dyDescent="0.2">
      <c r="J96" s="3">
        <v>0.94</v>
      </c>
    </row>
    <row r="97" spans="10:10" x14ac:dyDescent="0.2">
      <c r="J97" s="3">
        <v>0.95</v>
      </c>
    </row>
    <row r="98" spans="10:10" x14ac:dyDescent="0.2">
      <c r="J98" s="3">
        <v>0.96</v>
      </c>
    </row>
    <row r="99" spans="10:10" x14ac:dyDescent="0.2">
      <c r="J99" s="3">
        <v>0.97</v>
      </c>
    </row>
    <row r="100" spans="10:10" x14ac:dyDescent="0.2">
      <c r="J100" s="3">
        <v>0.98</v>
      </c>
    </row>
    <row r="101" spans="10:10" x14ac:dyDescent="0.2">
      <c r="J101" s="3">
        <v>0.99</v>
      </c>
    </row>
    <row r="102" spans="10:10" x14ac:dyDescent="0.2">
      <c r="J102" s="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70"/>
  <sheetViews>
    <sheetView showGridLines="0" tabSelected="1" zoomScale="80" zoomScaleNormal="80" workbookViewId="0">
      <pane ySplit="8" topLeftCell="A9" activePane="bottomLeft" state="frozen"/>
      <selection activeCell="B1" activeCellId="1" sqref="B1:B1048576 B1:B1048576"/>
      <selection pane="bottomLeft" activeCell="A9" sqref="A9"/>
    </sheetView>
  </sheetViews>
  <sheetFormatPr baseColWidth="10" defaultColWidth="11" defaultRowHeight="12.5" x14ac:dyDescent="0.35"/>
  <cols>
    <col min="1" max="1" width="30.5" style="9" customWidth="1"/>
    <col min="2" max="2" width="18.5" style="9" customWidth="1"/>
    <col min="3" max="3" width="35.83203125" style="9" customWidth="1"/>
    <col min="4" max="4" width="14.83203125" style="9" customWidth="1"/>
    <col min="5" max="5" width="12.83203125" style="9" customWidth="1"/>
    <col min="6" max="6" width="23.58203125" style="26" customWidth="1"/>
    <col min="7" max="9" width="23.58203125" style="9" customWidth="1"/>
    <col min="10" max="11" width="14.08203125" style="9" customWidth="1"/>
    <col min="12" max="12" width="19.58203125" style="9" customWidth="1"/>
    <col min="13" max="13" width="26.58203125" style="9" customWidth="1"/>
    <col min="14" max="14" width="14.75" style="9" customWidth="1"/>
    <col min="15" max="15" width="15.5" style="9" customWidth="1"/>
    <col min="16" max="16" width="22.33203125" style="9" customWidth="1"/>
    <col min="17" max="17" width="22.33203125" style="22" customWidth="1"/>
    <col min="18" max="21" width="22.33203125" style="9" customWidth="1"/>
    <col min="22" max="22" width="14.58203125" style="9" customWidth="1"/>
    <col min="23" max="23" width="15.25" style="9" customWidth="1"/>
    <col min="24" max="24" width="16.58203125" style="9" customWidth="1"/>
    <col min="25" max="25" width="20" style="9" customWidth="1"/>
    <col min="26" max="26" width="14.25" style="9" customWidth="1"/>
    <col min="27" max="27" width="14.08203125" style="4" customWidth="1"/>
    <col min="28" max="28" width="32" style="4" customWidth="1"/>
    <col min="29" max="16384" width="11" style="4"/>
  </cols>
  <sheetData>
    <row r="1" spans="1:26" ht="13.5" customHeight="1" x14ac:dyDescent="0.35"/>
    <row r="2" spans="1:26" ht="19.5" customHeight="1" x14ac:dyDescent="0.35">
      <c r="C2" s="5"/>
      <c r="D2" s="5"/>
      <c r="E2" s="5"/>
      <c r="F2" s="27"/>
      <c r="G2" s="5"/>
      <c r="H2" s="5"/>
      <c r="I2" s="5"/>
      <c r="M2" s="11"/>
      <c r="N2" s="11"/>
    </row>
    <row r="3" spans="1:26" ht="19.5" customHeight="1" x14ac:dyDescent="0.35">
      <c r="B3" s="5"/>
      <c r="C3" s="5"/>
      <c r="D3" s="5"/>
      <c r="E3" s="5"/>
      <c r="F3" s="27"/>
      <c r="G3" s="5"/>
      <c r="H3" s="5"/>
      <c r="I3" s="5"/>
      <c r="M3" s="11"/>
      <c r="N3" s="11"/>
    </row>
    <row r="4" spans="1:26" ht="13.5" customHeight="1" x14ac:dyDescent="0.35">
      <c r="B4" s="5"/>
      <c r="C4" s="20"/>
      <c r="D4" s="20"/>
      <c r="E4" s="20"/>
      <c r="F4" s="28"/>
      <c r="G4" s="20"/>
      <c r="H4" s="20"/>
      <c r="I4" s="4"/>
    </row>
    <row r="5" spans="1:26" ht="19.5" customHeight="1" x14ac:dyDescent="0.35">
      <c r="B5" s="20"/>
    </row>
    <row r="6" spans="1:26" ht="13.5" customHeight="1" thickBot="1" x14ac:dyDescent="0.4">
      <c r="L6" s="12"/>
    </row>
    <row r="7" spans="1:26" ht="29.5" customHeight="1" thickBot="1" x14ac:dyDescent="0.4">
      <c r="A7" s="66" t="s">
        <v>56</v>
      </c>
      <c r="B7" s="67"/>
      <c r="C7" s="67"/>
      <c r="D7" s="67"/>
      <c r="E7" s="67"/>
      <c r="F7" s="67"/>
      <c r="G7" s="67"/>
      <c r="H7" s="67"/>
      <c r="I7" s="67"/>
      <c r="J7" s="63" t="s">
        <v>57</v>
      </c>
      <c r="K7" s="64"/>
      <c r="L7" s="64"/>
      <c r="M7" s="64"/>
      <c r="N7" s="64"/>
      <c r="O7" s="64"/>
      <c r="P7" s="64"/>
      <c r="Q7" s="64"/>
      <c r="R7" s="65"/>
      <c r="S7" s="59" t="s">
        <v>58</v>
      </c>
      <c r="T7" s="60"/>
      <c r="U7" s="61" t="s">
        <v>59</v>
      </c>
      <c r="V7" s="62" t="s">
        <v>60</v>
      </c>
      <c r="W7" s="62" t="s">
        <v>61</v>
      </c>
      <c r="X7" s="62" t="s">
        <v>62</v>
      </c>
      <c r="Y7" s="69" t="s">
        <v>63</v>
      </c>
      <c r="Z7" s="68" t="s">
        <v>64</v>
      </c>
    </row>
    <row r="8" spans="1:26" ht="46" customHeight="1" thickBot="1" x14ac:dyDescent="0.4">
      <c r="A8" s="39" t="s">
        <v>65</v>
      </c>
      <c r="B8" s="39" t="s">
        <v>66</v>
      </c>
      <c r="C8" s="39" t="s">
        <v>67</v>
      </c>
      <c r="D8" s="39" t="s">
        <v>68</v>
      </c>
      <c r="E8" s="21" t="s">
        <v>69</v>
      </c>
      <c r="F8" s="21" t="s">
        <v>70</v>
      </c>
      <c r="G8" s="21" t="s">
        <v>71</v>
      </c>
      <c r="H8" s="21" t="s">
        <v>72</v>
      </c>
      <c r="I8" s="44" t="s">
        <v>73</v>
      </c>
      <c r="J8" s="47" t="s">
        <v>74</v>
      </c>
      <c r="K8" s="51" t="s">
        <v>75</v>
      </c>
      <c r="L8" s="52" t="s">
        <v>76</v>
      </c>
      <c r="M8" s="53" t="s">
        <v>77</v>
      </c>
      <c r="N8" s="53" t="s">
        <v>78</v>
      </c>
      <c r="O8" s="54" t="s">
        <v>79</v>
      </c>
      <c r="P8" s="54" t="s">
        <v>80</v>
      </c>
      <c r="Q8" s="55" t="s">
        <v>81</v>
      </c>
      <c r="R8" s="56" t="s">
        <v>82</v>
      </c>
      <c r="S8" s="48" t="s">
        <v>83</v>
      </c>
      <c r="T8" s="46" t="s">
        <v>84</v>
      </c>
      <c r="U8" s="62"/>
      <c r="V8" s="62"/>
      <c r="W8" s="62"/>
      <c r="X8" s="62"/>
      <c r="Y8" s="69"/>
      <c r="Z8" s="68"/>
    </row>
    <row r="9" spans="1:26" ht="27" customHeight="1" x14ac:dyDescent="0.35">
      <c r="A9" s="8"/>
      <c r="B9" s="8"/>
      <c r="C9" s="8"/>
      <c r="D9" s="8" t="s">
        <v>0</v>
      </c>
      <c r="E9" s="8" t="s">
        <v>0</v>
      </c>
      <c r="F9" s="10" t="s">
        <v>0</v>
      </c>
      <c r="G9" s="8"/>
      <c r="H9" s="8"/>
      <c r="I9" s="17" t="s">
        <v>0</v>
      </c>
      <c r="J9" s="8" t="s">
        <v>0</v>
      </c>
      <c r="K9" s="8" t="s">
        <v>0</v>
      </c>
      <c r="L9" s="17" t="s">
        <v>0</v>
      </c>
      <c r="M9" s="17"/>
      <c r="N9" s="49" t="str">
        <f>IFERROR(VLOOKUP(M9,Hoja1!$F$2:$H$28,2,0)," ")</f>
        <v xml:space="preserve"> </v>
      </c>
      <c r="O9" s="50" t="str">
        <f>IFERROR(IF(K9="NO",VLOOKUP(M9,Hoja1!$F$2:$I$28,3,0),VLOOKUP(M9,Hoja1!$F$2:$I$28,4,0))," ")</f>
        <v xml:space="preserve"> </v>
      </c>
      <c r="P9" s="24"/>
      <c r="Q9" s="23" t="s">
        <v>0</v>
      </c>
      <c r="R9" s="24" t="s">
        <v>0</v>
      </c>
      <c r="S9" s="25"/>
      <c r="T9" s="25"/>
      <c r="U9" s="14"/>
      <c r="V9" s="18">
        <v>0.1</v>
      </c>
      <c r="W9" s="15" t="e">
        <f t="shared" ref="W9:W64" si="0">V9*O9</f>
        <v>#VALUE!</v>
      </c>
      <c r="X9" s="16" t="e">
        <f t="shared" ref="X9:X64" si="1">O9-W9</f>
        <v>#VALUE!</v>
      </c>
      <c r="Y9" s="10"/>
      <c r="Z9" s="13" t="s">
        <v>20</v>
      </c>
    </row>
    <row r="10" spans="1:26" ht="27" customHeight="1" x14ac:dyDescent="0.35">
      <c r="A10" s="8"/>
      <c r="B10" s="8"/>
      <c r="C10" s="8"/>
      <c r="D10" s="8" t="s">
        <v>0</v>
      </c>
      <c r="E10" s="8" t="s">
        <v>0</v>
      </c>
      <c r="F10" s="10" t="s">
        <v>0</v>
      </c>
      <c r="G10" s="8"/>
      <c r="H10" s="8"/>
      <c r="I10" s="17" t="s">
        <v>0</v>
      </c>
      <c r="J10" s="8" t="s">
        <v>0</v>
      </c>
      <c r="K10" s="8" t="s">
        <v>0</v>
      </c>
      <c r="L10" s="17" t="s">
        <v>0</v>
      </c>
      <c r="M10" s="8"/>
      <c r="N10" s="6" t="str">
        <f>IFERROR(VLOOKUP(M10,Hoja1!$F$2:$H$28,2,0)," ")</f>
        <v xml:space="preserve"> </v>
      </c>
      <c r="O10" s="7" t="str">
        <f>IFERROR(IF(K10="NO",VLOOKUP(M10,Hoja1!$F$2:$I$28,3,0),VLOOKUP(M10,Hoja1!$F$2:$I$28,4,0))," ")</f>
        <v xml:space="preserve"> </v>
      </c>
      <c r="P10" s="24"/>
      <c r="Q10" s="23" t="s">
        <v>0</v>
      </c>
      <c r="R10" s="24" t="s">
        <v>0</v>
      </c>
      <c r="S10" s="25"/>
      <c r="T10" s="25"/>
      <c r="U10" s="14"/>
      <c r="V10" s="18" t="s">
        <v>0</v>
      </c>
      <c r="W10" s="15" t="e">
        <f t="shared" si="0"/>
        <v>#VALUE!</v>
      </c>
      <c r="X10" s="16" t="e">
        <f t="shared" si="1"/>
        <v>#VALUE!</v>
      </c>
      <c r="Y10" s="10"/>
      <c r="Z10" s="13" t="s">
        <v>20</v>
      </c>
    </row>
    <row r="11" spans="1:26" ht="27" customHeight="1" x14ac:dyDescent="0.35">
      <c r="A11" s="8"/>
      <c r="B11" s="8"/>
      <c r="C11" s="8"/>
      <c r="D11" s="8" t="s">
        <v>0</v>
      </c>
      <c r="E11" s="8" t="s">
        <v>0</v>
      </c>
      <c r="F11" s="10" t="s">
        <v>0</v>
      </c>
      <c r="G11" s="8"/>
      <c r="H11" s="8"/>
      <c r="I11" s="17" t="s">
        <v>0</v>
      </c>
      <c r="J11" s="8" t="s">
        <v>0</v>
      </c>
      <c r="K11" s="8" t="s">
        <v>0</v>
      </c>
      <c r="L11" s="17" t="s">
        <v>0</v>
      </c>
      <c r="M11" s="8"/>
      <c r="N11" s="6" t="str">
        <f>IFERROR(VLOOKUP(M11,Hoja1!$F$2:$H$28,2,0)," ")</f>
        <v xml:space="preserve"> </v>
      </c>
      <c r="O11" s="7" t="str">
        <f>IFERROR(IF(K11="NO",VLOOKUP(M11,Hoja1!$F$2:$I$28,3,0),VLOOKUP(M11,Hoja1!$F$2:$I$28,4,0))," ")</f>
        <v xml:space="preserve"> </v>
      </c>
      <c r="P11" s="24"/>
      <c r="Q11" s="23" t="s">
        <v>0</v>
      </c>
      <c r="R11" s="24" t="s">
        <v>0</v>
      </c>
      <c r="S11" s="25"/>
      <c r="T11" s="25"/>
      <c r="U11" s="14"/>
      <c r="V11" s="18" t="s">
        <v>0</v>
      </c>
      <c r="W11" s="15" t="e">
        <f t="shared" si="0"/>
        <v>#VALUE!</v>
      </c>
      <c r="X11" s="16" t="e">
        <f t="shared" si="1"/>
        <v>#VALUE!</v>
      </c>
      <c r="Y11" s="10"/>
      <c r="Z11" s="13" t="s">
        <v>20</v>
      </c>
    </row>
    <row r="12" spans="1:26" ht="27" customHeight="1" x14ac:dyDescent="0.35">
      <c r="A12" s="8"/>
      <c r="B12" s="8"/>
      <c r="C12" s="8"/>
      <c r="D12" s="8" t="s">
        <v>0</v>
      </c>
      <c r="E12" s="8" t="s">
        <v>0</v>
      </c>
      <c r="F12" s="10" t="s">
        <v>0</v>
      </c>
      <c r="G12" s="8"/>
      <c r="H12" s="8"/>
      <c r="I12" s="17" t="s">
        <v>0</v>
      </c>
      <c r="J12" s="8" t="s">
        <v>0</v>
      </c>
      <c r="K12" s="8" t="s">
        <v>0</v>
      </c>
      <c r="L12" s="17" t="s">
        <v>0</v>
      </c>
      <c r="M12" s="8"/>
      <c r="N12" s="6" t="str">
        <f>IFERROR(VLOOKUP(M12,Hoja1!$F$2:$H$28,2,0)," ")</f>
        <v xml:space="preserve"> </v>
      </c>
      <c r="O12" s="7" t="str">
        <f>IFERROR(IF(K12="NO",VLOOKUP(M12,Hoja1!$F$2:$I$28,3,0),VLOOKUP(M12,Hoja1!$F$2:$I$28,4,0))," ")</f>
        <v xml:space="preserve"> </v>
      </c>
      <c r="P12" s="24"/>
      <c r="Q12" s="23" t="s">
        <v>0</v>
      </c>
      <c r="R12" s="24" t="s">
        <v>0</v>
      </c>
      <c r="S12" s="25"/>
      <c r="T12" s="25"/>
      <c r="U12" s="14"/>
      <c r="V12" s="18" t="s">
        <v>0</v>
      </c>
      <c r="W12" s="15" t="e">
        <f t="shared" si="0"/>
        <v>#VALUE!</v>
      </c>
      <c r="X12" s="16" t="e">
        <f t="shared" si="1"/>
        <v>#VALUE!</v>
      </c>
      <c r="Y12" s="10"/>
      <c r="Z12" s="13" t="s">
        <v>20</v>
      </c>
    </row>
    <row r="13" spans="1:26" ht="27" customHeight="1" x14ac:dyDescent="0.35">
      <c r="A13" s="8"/>
      <c r="B13" s="8"/>
      <c r="C13" s="8"/>
      <c r="D13" s="8" t="s">
        <v>0</v>
      </c>
      <c r="E13" s="8" t="s">
        <v>0</v>
      </c>
      <c r="F13" s="10" t="s">
        <v>0</v>
      </c>
      <c r="G13" s="8"/>
      <c r="H13" s="8"/>
      <c r="I13" s="17" t="s">
        <v>0</v>
      </c>
      <c r="J13" s="8" t="s">
        <v>0</v>
      </c>
      <c r="K13" s="8" t="s">
        <v>0</v>
      </c>
      <c r="L13" s="17" t="s">
        <v>0</v>
      </c>
      <c r="M13" s="8"/>
      <c r="N13" s="6" t="str">
        <f>IFERROR(VLOOKUP(M13,Hoja1!$F$2:$H$28,2,0)," ")</f>
        <v xml:space="preserve"> </v>
      </c>
      <c r="O13" s="7" t="str">
        <f>IFERROR(IF(K13="NO",VLOOKUP(M13,Hoja1!$F$2:$I$28,3,0),VLOOKUP(M13,Hoja1!$F$2:$I$28,4,0))," ")</f>
        <v xml:space="preserve"> </v>
      </c>
      <c r="P13" s="24"/>
      <c r="Q13" s="23" t="s">
        <v>0</v>
      </c>
      <c r="R13" s="24" t="s">
        <v>0</v>
      </c>
      <c r="S13" s="25"/>
      <c r="T13" s="25"/>
      <c r="U13" s="14"/>
      <c r="V13" s="18" t="s">
        <v>0</v>
      </c>
      <c r="W13" s="15" t="e">
        <f t="shared" si="0"/>
        <v>#VALUE!</v>
      </c>
      <c r="X13" s="16" t="e">
        <f t="shared" si="1"/>
        <v>#VALUE!</v>
      </c>
      <c r="Y13" s="10"/>
      <c r="Z13" s="13" t="s">
        <v>20</v>
      </c>
    </row>
    <row r="14" spans="1:26" ht="27" customHeight="1" x14ac:dyDescent="0.35">
      <c r="A14" s="8"/>
      <c r="B14" s="8"/>
      <c r="C14" s="8"/>
      <c r="D14" s="8" t="s">
        <v>0</v>
      </c>
      <c r="E14" s="8" t="s">
        <v>0</v>
      </c>
      <c r="F14" s="10" t="s">
        <v>0</v>
      </c>
      <c r="G14" s="8"/>
      <c r="H14" s="8"/>
      <c r="I14" s="17" t="s">
        <v>0</v>
      </c>
      <c r="J14" s="8" t="s">
        <v>0</v>
      </c>
      <c r="K14" s="8" t="s">
        <v>0</v>
      </c>
      <c r="L14" s="17" t="s">
        <v>0</v>
      </c>
      <c r="M14" s="8"/>
      <c r="N14" s="6" t="str">
        <f>IFERROR(VLOOKUP(M14,Hoja1!$F$2:$H$28,2,0)," ")</f>
        <v xml:space="preserve"> </v>
      </c>
      <c r="O14" s="7" t="str">
        <f>IFERROR(IF(K14="NO",VLOOKUP(M14,Hoja1!$F$2:$I$28,3,0),VLOOKUP(M14,Hoja1!$F$2:$I$28,4,0))," ")</f>
        <v xml:space="preserve"> </v>
      </c>
      <c r="P14" s="24"/>
      <c r="Q14" s="23" t="s">
        <v>0</v>
      </c>
      <c r="R14" s="24" t="s">
        <v>0</v>
      </c>
      <c r="S14" s="25"/>
      <c r="T14" s="25"/>
      <c r="U14" s="14"/>
      <c r="V14" s="18" t="s">
        <v>0</v>
      </c>
      <c r="W14" s="15" t="e">
        <f t="shared" si="0"/>
        <v>#VALUE!</v>
      </c>
      <c r="X14" s="16" t="e">
        <f t="shared" si="1"/>
        <v>#VALUE!</v>
      </c>
      <c r="Y14" s="10"/>
      <c r="Z14" s="13" t="s">
        <v>20</v>
      </c>
    </row>
    <row r="15" spans="1:26" ht="27" customHeight="1" x14ac:dyDescent="0.35">
      <c r="A15" s="8"/>
      <c r="B15" s="8"/>
      <c r="C15" s="8"/>
      <c r="D15" s="8" t="s">
        <v>0</v>
      </c>
      <c r="E15" s="8" t="s">
        <v>0</v>
      </c>
      <c r="F15" s="10" t="s">
        <v>0</v>
      </c>
      <c r="G15" s="8"/>
      <c r="H15" s="8"/>
      <c r="I15" s="17" t="s">
        <v>0</v>
      </c>
      <c r="J15" s="8" t="s">
        <v>0</v>
      </c>
      <c r="K15" s="8" t="s">
        <v>0</v>
      </c>
      <c r="L15" s="17" t="s">
        <v>0</v>
      </c>
      <c r="M15" s="8"/>
      <c r="N15" s="6" t="str">
        <f>IFERROR(VLOOKUP(M15,Hoja1!$F$2:$H$28,2,0)," ")</f>
        <v xml:space="preserve"> </v>
      </c>
      <c r="O15" s="7" t="str">
        <f>IFERROR(IF(K15="NO",VLOOKUP(M15,Hoja1!$F$2:$I$28,3,0),VLOOKUP(M15,Hoja1!$F$2:$I$28,4,0))," ")</f>
        <v xml:space="preserve"> </v>
      </c>
      <c r="P15" s="24"/>
      <c r="Q15" s="23" t="s">
        <v>0</v>
      </c>
      <c r="R15" s="24" t="s">
        <v>0</v>
      </c>
      <c r="S15" s="25"/>
      <c r="T15" s="25"/>
      <c r="U15" s="14"/>
      <c r="V15" s="18" t="s">
        <v>0</v>
      </c>
      <c r="W15" s="15" t="e">
        <f t="shared" si="0"/>
        <v>#VALUE!</v>
      </c>
      <c r="X15" s="16" t="e">
        <f t="shared" si="1"/>
        <v>#VALUE!</v>
      </c>
      <c r="Y15" s="10"/>
      <c r="Z15" s="13" t="s">
        <v>20</v>
      </c>
    </row>
    <row r="16" spans="1:26" ht="27" customHeight="1" x14ac:dyDescent="0.35">
      <c r="A16" s="8"/>
      <c r="B16" s="8"/>
      <c r="C16" s="8"/>
      <c r="D16" s="8" t="s">
        <v>0</v>
      </c>
      <c r="E16" s="8" t="s">
        <v>0</v>
      </c>
      <c r="F16" s="10" t="s">
        <v>0</v>
      </c>
      <c r="G16" s="8"/>
      <c r="H16" s="8"/>
      <c r="I16" s="17" t="s">
        <v>0</v>
      </c>
      <c r="J16" s="8" t="s">
        <v>0</v>
      </c>
      <c r="K16" s="8" t="s">
        <v>0</v>
      </c>
      <c r="L16" s="17" t="s">
        <v>0</v>
      </c>
      <c r="M16" s="8"/>
      <c r="N16" s="6" t="str">
        <f>IFERROR(VLOOKUP(M16,Hoja1!$F$2:$H$28,2,0)," ")</f>
        <v xml:space="preserve"> </v>
      </c>
      <c r="O16" s="7" t="str">
        <f>IFERROR(IF(K16="NO",VLOOKUP(M16,Hoja1!$F$2:$I$28,3,0),VLOOKUP(M16,Hoja1!$F$2:$I$28,4,0))," ")</f>
        <v xml:space="preserve"> </v>
      </c>
      <c r="P16" s="24"/>
      <c r="Q16" s="23" t="s">
        <v>0</v>
      </c>
      <c r="R16" s="24" t="s">
        <v>0</v>
      </c>
      <c r="S16" s="25"/>
      <c r="T16" s="25"/>
      <c r="U16" s="14"/>
      <c r="V16" s="18" t="s">
        <v>0</v>
      </c>
      <c r="W16" s="15" t="e">
        <f t="shared" si="0"/>
        <v>#VALUE!</v>
      </c>
      <c r="X16" s="16" t="e">
        <f t="shared" si="1"/>
        <v>#VALUE!</v>
      </c>
      <c r="Y16" s="10"/>
      <c r="Z16" s="13" t="s">
        <v>20</v>
      </c>
    </row>
    <row r="17" spans="1:26" ht="27" customHeight="1" x14ac:dyDescent="0.35">
      <c r="A17" s="8"/>
      <c r="B17" s="8"/>
      <c r="C17" s="8"/>
      <c r="D17" s="8" t="s">
        <v>0</v>
      </c>
      <c r="E17" s="8" t="s">
        <v>0</v>
      </c>
      <c r="F17" s="10" t="s">
        <v>0</v>
      </c>
      <c r="G17" s="8"/>
      <c r="H17" s="8"/>
      <c r="I17" s="17" t="s">
        <v>0</v>
      </c>
      <c r="J17" s="8" t="s">
        <v>0</v>
      </c>
      <c r="K17" s="8" t="s">
        <v>0</v>
      </c>
      <c r="L17" s="17" t="s">
        <v>0</v>
      </c>
      <c r="M17" s="8"/>
      <c r="N17" s="6" t="str">
        <f>IFERROR(VLOOKUP(M17,Hoja1!$F$2:$H$28,2,0)," ")</f>
        <v xml:space="preserve"> </v>
      </c>
      <c r="O17" s="7" t="str">
        <f>IFERROR(IF(K17="NO",VLOOKUP(M17,Hoja1!$F$2:$I$28,3,0),VLOOKUP(M17,Hoja1!$F$2:$I$28,4,0))," ")</f>
        <v xml:space="preserve"> </v>
      </c>
      <c r="P17" s="24"/>
      <c r="Q17" s="23" t="s">
        <v>0</v>
      </c>
      <c r="R17" s="24" t="s">
        <v>0</v>
      </c>
      <c r="S17" s="25"/>
      <c r="T17" s="25"/>
      <c r="U17" s="14"/>
      <c r="V17" s="18" t="s">
        <v>0</v>
      </c>
      <c r="W17" s="15" t="e">
        <f t="shared" si="0"/>
        <v>#VALUE!</v>
      </c>
      <c r="X17" s="16" t="e">
        <f t="shared" si="1"/>
        <v>#VALUE!</v>
      </c>
      <c r="Y17" s="10"/>
      <c r="Z17" s="13" t="s">
        <v>20</v>
      </c>
    </row>
    <row r="18" spans="1:26" ht="27" customHeight="1" x14ac:dyDescent="0.35">
      <c r="A18" s="8"/>
      <c r="B18" s="8"/>
      <c r="C18" s="8"/>
      <c r="D18" s="8" t="s">
        <v>0</v>
      </c>
      <c r="E18" s="8" t="s">
        <v>0</v>
      </c>
      <c r="F18" s="10" t="s">
        <v>0</v>
      </c>
      <c r="G18" s="8"/>
      <c r="H18" s="8"/>
      <c r="I18" s="17" t="s">
        <v>0</v>
      </c>
      <c r="J18" s="8" t="s">
        <v>0</v>
      </c>
      <c r="K18" s="8" t="s">
        <v>0</v>
      </c>
      <c r="L18" s="17" t="s">
        <v>0</v>
      </c>
      <c r="M18" s="8"/>
      <c r="N18" s="6" t="str">
        <f>IFERROR(VLOOKUP(M18,Hoja1!$F$2:$H$28,2,0)," ")</f>
        <v xml:space="preserve"> </v>
      </c>
      <c r="O18" s="7" t="str">
        <f>IFERROR(IF(K18="NO",VLOOKUP(M18,Hoja1!$F$2:$I$28,3,0),VLOOKUP(M18,Hoja1!$F$2:$I$28,4,0))," ")</f>
        <v xml:space="preserve"> </v>
      </c>
      <c r="P18" s="24"/>
      <c r="Q18" s="23" t="s">
        <v>0</v>
      </c>
      <c r="R18" s="24" t="s">
        <v>0</v>
      </c>
      <c r="S18" s="25"/>
      <c r="T18" s="25"/>
      <c r="U18" s="14"/>
      <c r="V18" s="18" t="s">
        <v>0</v>
      </c>
      <c r="W18" s="15" t="e">
        <f t="shared" si="0"/>
        <v>#VALUE!</v>
      </c>
      <c r="X18" s="16" t="e">
        <f t="shared" si="1"/>
        <v>#VALUE!</v>
      </c>
      <c r="Y18" s="10"/>
      <c r="Z18" s="13" t="s">
        <v>20</v>
      </c>
    </row>
    <row r="19" spans="1:26" ht="27" customHeight="1" x14ac:dyDescent="0.35">
      <c r="A19" s="8"/>
      <c r="B19" s="8"/>
      <c r="C19" s="8"/>
      <c r="D19" s="8" t="s">
        <v>0</v>
      </c>
      <c r="E19" s="8" t="s">
        <v>0</v>
      </c>
      <c r="F19" s="10" t="s">
        <v>0</v>
      </c>
      <c r="G19" s="8"/>
      <c r="H19" s="8"/>
      <c r="I19" s="17" t="s">
        <v>0</v>
      </c>
      <c r="J19" s="8" t="s">
        <v>0</v>
      </c>
      <c r="K19" s="8" t="s">
        <v>0</v>
      </c>
      <c r="L19" s="17" t="s">
        <v>0</v>
      </c>
      <c r="M19" s="8"/>
      <c r="N19" s="6" t="str">
        <f>IFERROR(VLOOKUP(M19,Hoja1!$F$2:$H$28,2,0)," ")</f>
        <v xml:space="preserve"> </v>
      </c>
      <c r="O19" s="7" t="str">
        <f>IFERROR(IF(K19="NO",VLOOKUP(M19,Hoja1!$F$2:$I$28,3,0),VLOOKUP(M19,Hoja1!$F$2:$I$28,4,0))," ")</f>
        <v xml:space="preserve"> </v>
      </c>
      <c r="P19" s="24"/>
      <c r="Q19" s="23" t="s">
        <v>0</v>
      </c>
      <c r="R19" s="24" t="s">
        <v>0</v>
      </c>
      <c r="S19" s="25"/>
      <c r="T19" s="25"/>
      <c r="U19" s="14"/>
      <c r="V19" s="18" t="s">
        <v>0</v>
      </c>
      <c r="W19" s="15" t="e">
        <f t="shared" si="0"/>
        <v>#VALUE!</v>
      </c>
      <c r="X19" s="16" t="e">
        <f t="shared" si="1"/>
        <v>#VALUE!</v>
      </c>
      <c r="Y19" s="10"/>
      <c r="Z19" s="13" t="s">
        <v>20</v>
      </c>
    </row>
    <row r="20" spans="1:26" ht="27" customHeight="1" x14ac:dyDescent="0.35">
      <c r="A20" s="8"/>
      <c r="B20" s="8"/>
      <c r="C20" s="8"/>
      <c r="D20" s="8" t="s">
        <v>0</v>
      </c>
      <c r="E20" s="8" t="s">
        <v>0</v>
      </c>
      <c r="F20" s="10" t="s">
        <v>0</v>
      </c>
      <c r="G20" s="8"/>
      <c r="H20" s="8"/>
      <c r="I20" s="17" t="s">
        <v>0</v>
      </c>
      <c r="J20" s="8" t="s">
        <v>0</v>
      </c>
      <c r="K20" s="8" t="s">
        <v>0</v>
      </c>
      <c r="L20" s="17" t="s">
        <v>0</v>
      </c>
      <c r="M20" s="8"/>
      <c r="N20" s="6" t="str">
        <f>IFERROR(VLOOKUP(M20,Hoja1!$F$2:$H$28,2,0)," ")</f>
        <v xml:space="preserve"> </v>
      </c>
      <c r="O20" s="7" t="str">
        <f>IFERROR(IF(K20="NO",VLOOKUP(M20,Hoja1!$F$2:$I$28,3,0),VLOOKUP(M20,Hoja1!$F$2:$I$28,4,0))," ")</f>
        <v xml:space="preserve"> </v>
      </c>
      <c r="P20" s="24"/>
      <c r="Q20" s="23" t="s">
        <v>0</v>
      </c>
      <c r="R20" s="24" t="s">
        <v>0</v>
      </c>
      <c r="S20" s="25"/>
      <c r="T20" s="25"/>
      <c r="U20" s="14"/>
      <c r="V20" s="18" t="s">
        <v>0</v>
      </c>
      <c r="W20" s="15" t="e">
        <f t="shared" si="0"/>
        <v>#VALUE!</v>
      </c>
      <c r="X20" s="16" t="e">
        <f t="shared" si="1"/>
        <v>#VALUE!</v>
      </c>
      <c r="Y20" s="10"/>
      <c r="Z20" s="13" t="s">
        <v>20</v>
      </c>
    </row>
    <row r="21" spans="1:26" ht="27" customHeight="1" x14ac:dyDescent="0.35">
      <c r="A21" s="8"/>
      <c r="B21" s="8"/>
      <c r="C21" s="8"/>
      <c r="D21" s="8" t="s">
        <v>0</v>
      </c>
      <c r="E21" s="8" t="s">
        <v>0</v>
      </c>
      <c r="F21" s="10" t="s">
        <v>0</v>
      </c>
      <c r="G21" s="8"/>
      <c r="H21" s="8"/>
      <c r="I21" s="17" t="s">
        <v>0</v>
      </c>
      <c r="J21" s="8" t="s">
        <v>0</v>
      </c>
      <c r="K21" s="8" t="s">
        <v>0</v>
      </c>
      <c r="L21" s="17" t="s">
        <v>0</v>
      </c>
      <c r="M21" s="8"/>
      <c r="N21" s="6" t="str">
        <f>IFERROR(VLOOKUP(M21,Hoja1!$F$2:$H$28,2,0)," ")</f>
        <v xml:space="preserve"> </v>
      </c>
      <c r="O21" s="7" t="str">
        <f>IFERROR(IF(K21="NO",VLOOKUP(M21,Hoja1!$F$2:$I$28,3,0),VLOOKUP(M21,Hoja1!$F$2:$I$28,4,0))," ")</f>
        <v xml:space="preserve"> </v>
      </c>
      <c r="P21" s="24"/>
      <c r="Q21" s="23" t="s">
        <v>0</v>
      </c>
      <c r="R21" s="24" t="s">
        <v>0</v>
      </c>
      <c r="S21" s="25"/>
      <c r="T21" s="25"/>
      <c r="U21" s="14"/>
      <c r="V21" s="18" t="s">
        <v>0</v>
      </c>
      <c r="W21" s="15" t="e">
        <f t="shared" si="0"/>
        <v>#VALUE!</v>
      </c>
      <c r="X21" s="16" t="e">
        <f t="shared" si="1"/>
        <v>#VALUE!</v>
      </c>
      <c r="Y21" s="10"/>
      <c r="Z21" s="13" t="s">
        <v>20</v>
      </c>
    </row>
    <row r="22" spans="1:26" ht="27" customHeight="1" x14ac:dyDescent="0.35">
      <c r="A22" s="8"/>
      <c r="B22" s="8"/>
      <c r="C22" s="8"/>
      <c r="D22" s="8" t="s">
        <v>0</v>
      </c>
      <c r="E22" s="8" t="s">
        <v>0</v>
      </c>
      <c r="F22" s="10" t="s">
        <v>0</v>
      </c>
      <c r="G22" s="8"/>
      <c r="H22" s="8"/>
      <c r="I22" s="17" t="s">
        <v>0</v>
      </c>
      <c r="J22" s="8" t="s">
        <v>0</v>
      </c>
      <c r="K22" s="8" t="s">
        <v>0</v>
      </c>
      <c r="L22" s="17" t="s">
        <v>0</v>
      </c>
      <c r="M22" s="8"/>
      <c r="N22" s="6" t="str">
        <f>IFERROR(VLOOKUP(M22,Hoja1!$F$2:$H$28,2,0)," ")</f>
        <v xml:space="preserve"> </v>
      </c>
      <c r="O22" s="7" t="str">
        <f>IFERROR(IF(K22="NO",VLOOKUP(M22,Hoja1!$F$2:$I$28,3,0),VLOOKUP(M22,Hoja1!$F$2:$I$28,4,0))," ")</f>
        <v xml:space="preserve"> </v>
      </c>
      <c r="P22" s="24"/>
      <c r="Q22" s="23" t="s">
        <v>0</v>
      </c>
      <c r="R22" s="24" t="s">
        <v>0</v>
      </c>
      <c r="S22" s="25"/>
      <c r="T22" s="25"/>
      <c r="U22" s="14"/>
      <c r="V22" s="18" t="s">
        <v>0</v>
      </c>
      <c r="W22" s="15" t="e">
        <f t="shared" si="0"/>
        <v>#VALUE!</v>
      </c>
      <c r="X22" s="16" t="e">
        <f t="shared" si="1"/>
        <v>#VALUE!</v>
      </c>
      <c r="Y22" s="10"/>
      <c r="Z22" s="13" t="s">
        <v>20</v>
      </c>
    </row>
    <row r="23" spans="1:26" ht="27" customHeight="1" x14ac:dyDescent="0.35">
      <c r="A23" s="8"/>
      <c r="B23" s="8"/>
      <c r="C23" s="8"/>
      <c r="D23" s="8" t="s">
        <v>0</v>
      </c>
      <c r="E23" s="8" t="s">
        <v>0</v>
      </c>
      <c r="F23" s="10" t="s">
        <v>0</v>
      </c>
      <c r="G23" s="8"/>
      <c r="H23" s="8"/>
      <c r="I23" s="17" t="s">
        <v>0</v>
      </c>
      <c r="J23" s="8" t="s">
        <v>0</v>
      </c>
      <c r="K23" s="8" t="s">
        <v>0</v>
      </c>
      <c r="L23" s="17" t="s">
        <v>0</v>
      </c>
      <c r="M23" s="8"/>
      <c r="N23" s="6" t="str">
        <f>IFERROR(VLOOKUP(M23,Hoja1!$F$2:$H$28,2,0)," ")</f>
        <v xml:space="preserve"> </v>
      </c>
      <c r="O23" s="7" t="str">
        <f>IFERROR(IF(K23="NO",VLOOKUP(M23,Hoja1!$F$2:$I$28,3,0),VLOOKUP(M23,Hoja1!$F$2:$I$28,4,0))," ")</f>
        <v xml:space="preserve"> </v>
      </c>
      <c r="P23" s="24"/>
      <c r="Q23" s="23" t="s">
        <v>0</v>
      </c>
      <c r="R23" s="24" t="s">
        <v>0</v>
      </c>
      <c r="S23" s="25"/>
      <c r="T23" s="25"/>
      <c r="U23" s="14"/>
      <c r="V23" s="18" t="s">
        <v>0</v>
      </c>
      <c r="W23" s="15" t="e">
        <f t="shared" si="0"/>
        <v>#VALUE!</v>
      </c>
      <c r="X23" s="16" t="e">
        <f t="shared" si="1"/>
        <v>#VALUE!</v>
      </c>
      <c r="Y23" s="10"/>
      <c r="Z23" s="13" t="s">
        <v>20</v>
      </c>
    </row>
    <row r="24" spans="1:26" ht="27" customHeight="1" x14ac:dyDescent="0.35">
      <c r="A24" s="8"/>
      <c r="B24" s="8"/>
      <c r="C24" s="8"/>
      <c r="D24" s="8" t="s">
        <v>0</v>
      </c>
      <c r="E24" s="8" t="s">
        <v>0</v>
      </c>
      <c r="F24" s="10" t="s">
        <v>0</v>
      </c>
      <c r="G24" s="8"/>
      <c r="H24" s="8"/>
      <c r="I24" s="17" t="s">
        <v>0</v>
      </c>
      <c r="J24" s="8" t="s">
        <v>0</v>
      </c>
      <c r="K24" s="8" t="s">
        <v>0</v>
      </c>
      <c r="L24" s="17" t="s">
        <v>0</v>
      </c>
      <c r="M24" s="8"/>
      <c r="N24" s="6" t="str">
        <f>IFERROR(VLOOKUP(M24,Hoja1!$F$2:$H$28,2,0)," ")</f>
        <v xml:space="preserve"> </v>
      </c>
      <c r="O24" s="7" t="str">
        <f>IFERROR(IF(K24="NO",VLOOKUP(M24,Hoja1!$F$2:$I$28,3,0),VLOOKUP(M24,Hoja1!$F$2:$I$28,4,0))," ")</f>
        <v xml:space="preserve"> </v>
      </c>
      <c r="P24" s="24"/>
      <c r="Q24" s="23" t="s">
        <v>0</v>
      </c>
      <c r="R24" s="24" t="s">
        <v>0</v>
      </c>
      <c r="S24" s="25"/>
      <c r="T24" s="25"/>
      <c r="U24" s="14"/>
      <c r="V24" s="18" t="s">
        <v>0</v>
      </c>
      <c r="W24" s="15" t="e">
        <f t="shared" si="0"/>
        <v>#VALUE!</v>
      </c>
      <c r="X24" s="16" t="e">
        <f t="shared" si="1"/>
        <v>#VALUE!</v>
      </c>
      <c r="Y24" s="10"/>
      <c r="Z24" s="13" t="s">
        <v>20</v>
      </c>
    </row>
    <row r="25" spans="1:26" ht="27" customHeight="1" x14ac:dyDescent="0.35">
      <c r="A25" s="8"/>
      <c r="B25" s="8"/>
      <c r="C25" s="8"/>
      <c r="D25" s="8" t="s">
        <v>0</v>
      </c>
      <c r="E25" s="8" t="s">
        <v>0</v>
      </c>
      <c r="F25" s="10" t="s">
        <v>0</v>
      </c>
      <c r="G25" s="8"/>
      <c r="H25" s="8"/>
      <c r="I25" s="17" t="s">
        <v>0</v>
      </c>
      <c r="J25" s="8" t="s">
        <v>0</v>
      </c>
      <c r="K25" s="8" t="s">
        <v>0</v>
      </c>
      <c r="L25" s="17" t="s">
        <v>0</v>
      </c>
      <c r="M25" s="8"/>
      <c r="N25" s="6" t="str">
        <f>IFERROR(VLOOKUP(M25,Hoja1!$F$2:$H$28,2,0)," ")</f>
        <v xml:space="preserve"> </v>
      </c>
      <c r="O25" s="7" t="str">
        <f>IFERROR(IF(K25="NO",VLOOKUP(M25,Hoja1!$F$2:$I$28,3,0),VLOOKUP(M25,Hoja1!$F$2:$I$28,4,0))," ")</f>
        <v xml:space="preserve"> </v>
      </c>
      <c r="P25" s="24"/>
      <c r="Q25" s="23" t="s">
        <v>0</v>
      </c>
      <c r="R25" s="24" t="s">
        <v>0</v>
      </c>
      <c r="S25" s="25"/>
      <c r="T25" s="25"/>
      <c r="U25" s="14"/>
      <c r="V25" s="18" t="s">
        <v>0</v>
      </c>
      <c r="W25" s="15" t="e">
        <f t="shared" si="0"/>
        <v>#VALUE!</v>
      </c>
      <c r="X25" s="16" t="e">
        <f t="shared" si="1"/>
        <v>#VALUE!</v>
      </c>
      <c r="Y25" s="10"/>
      <c r="Z25" s="13" t="s">
        <v>20</v>
      </c>
    </row>
    <row r="26" spans="1:26" ht="27" customHeight="1" x14ac:dyDescent="0.35">
      <c r="A26" s="8"/>
      <c r="B26" s="8"/>
      <c r="C26" s="8"/>
      <c r="D26" s="8" t="s">
        <v>0</v>
      </c>
      <c r="E26" s="8" t="s">
        <v>0</v>
      </c>
      <c r="F26" s="10" t="s">
        <v>0</v>
      </c>
      <c r="G26" s="8"/>
      <c r="H26" s="8"/>
      <c r="I26" s="17" t="s">
        <v>0</v>
      </c>
      <c r="J26" s="8" t="s">
        <v>0</v>
      </c>
      <c r="K26" s="8" t="s">
        <v>0</v>
      </c>
      <c r="L26" s="17" t="s">
        <v>0</v>
      </c>
      <c r="M26" s="8"/>
      <c r="N26" s="6" t="str">
        <f>IFERROR(VLOOKUP(M26,Hoja1!$F$2:$H$28,2,0)," ")</f>
        <v xml:space="preserve"> </v>
      </c>
      <c r="O26" s="7" t="str">
        <f>IFERROR(IF(K26="NO",VLOOKUP(M26,Hoja1!$F$2:$I$28,3,0),VLOOKUP(M26,Hoja1!$F$2:$I$28,4,0))," ")</f>
        <v xml:space="preserve"> </v>
      </c>
      <c r="P26" s="24"/>
      <c r="Q26" s="23" t="s">
        <v>0</v>
      </c>
      <c r="R26" s="24" t="s">
        <v>0</v>
      </c>
      <c r="S26" s="25"/>
      <c r="T26" s="25"/>
      <c r="U26" s="14"/>
      <c r="V26" s="18" t="s">
        <v>0</v>
      </c>
      <c r="W26" s="15" t="e">
        <f t="shared" si="0"/>
        <v>#VALUE!</v>
      </c>
      <c r="X26" s="16" t="e">
        <f t="shared" si="1"/>
        <v>#VALUE!</v>
      </c>
      <c r="Y26" s="10"/>
      <c r="Z26" s="13" t="s">
        <v>20</v>
      </c>
    </row>
    <row r="27" spans="1:26" ht="27" customHeight="1" x14ac:dyDescent="0.35">
      <c r="A27" s="8"/>
      <c r="B27" s="8"/>
      <c r="C27" s="8"/>
      <c r="D27" s="8" t="s">
        <v>0</v>
      </c>
      <c r="E27" s="8" t="s">
        <v>0</v>
      </c>
      <c r="F27" s="10" t="s">
        <v>0</v>
      </c>
      <c r="G27" s="8"/>
      <c r="H27" s="8"/>
      <c r="I27" s="17" t="s">
        <v>0</v>
      </c>
      <c r="J27" s="8" t="s">
        <v>0</v>
      </c>
      <c r="K27" s="8" t="s">
        <v>0</v>
      </c>
      <c r="L27" s="17" t="s">
        <v>0</v>
      </c>
      <c r="M27" s="8"/>
      <c r="N27" s="6" t="str">
        <f>IFERROR(VLOOKUP(M27,Hoja1!$F$2:$H$28,2,0)," ")</f>
        <v xml:space="preserve"> </v>
      </c>
      <c r="O27" s="7" t="str">
        <f>IFERROR(IF(K27="NO",VLOOKUP(M27,Hoja1!$F$2:$I$28,3,0),VLOOKUP(M27,Hoja1!$F$2:$I$28,4,0))," ")</f>
        <v xml:space="preserve"> </v>
      </c>
      <c r="P27" s="24"/>
      <c r="Q27" s="23" t="s">
        <v>0</v>
      </c>
      <c r="R27" s="24" t="s">
        <v>0</v>
      </c>
      <c r="S27" s="25"/>
      <c r="T27" s="25"/>
      <c r="U27" s="14"/>
      <c r="V27" s="18" t="s">
        <v>0</v>
      </c>
      <c r="W27" s="15" t="e">
        <f t="shared" si="0"/>
        <v>#VALUE!</v>
      </c>
      <c r="X27" s="16" t="e">
        <f t="shared" si="1"/>
        <v>#VALUE!</v>
      </c>
      <c r="Y27" s="10"/>
      <c r="Z27" s="13" t="s">
        <v>20</v>
      </c>
    </row>
    <row r="28" spans="1:26" ht="27" customHeight="1" x14ac:dyDescent="0.35">
      <c r="A28" s="8"/>
      <c r="B28" s="8"/>
      <c r="C28" s="8"/>
      <c r="D28" s="8" t="s">
        <v>0</v>
      </c>
      <c r="E28" s="8" t="s">
        <v>0</v>
      </c>
      <c r="F28" s="10" t="s">
        <v>0</v>
      </c>
      <c r="G28" s="8"/>
      <c r="H28" s="8"/>
      <c r="I28" s="17" t="s">
        <v>0</v>
      </c>
      <c r="J28" s="8" t="s">
        <v>0</v>
      </c>
      <c r="K28" s="8" t="s">
        <v>0</v>
      </c>
      <c r="L28" s="17" t="s">
        <v>0</v>
      </c>
      <c r="M28" s="8"/>
      <c r="N28" s="6" t="str">
        <f>IFERROR(VLOOKUP(M28,Hoja1!$F$2:$H$28,2,0)," ")</f>
        <v xml:space="preserve"> </v>
      </c>
      <c r="O28" s="7" t="str">
        <f>IFERROR(IF(K28="NO",VLOOKUP(M28,Hoja1!$F$2:$I$28,3,0),VLOOKUP(M28,Hoja1!$F$2:$I$28,4,0))," ")</f>
        <v xml:space="preserve"> </v>
      </c>
      <c r="P28" s="24"/>
      <c r="Q28" s="23" t="s">
        <v>0</v>
      </c>
      <c r="R28" s="24" t="s">
        <v>0</v>
      </c>
      <c r="S28" s="25"/>
      <c r="T28" s="25"/>
      <c r="U28" s="14"/>
      <c r="V28" s="18" t="s">
        <v>0</v>
      </c>
      <c r="W28" s="15" t="e">
        <f t="shared" si="0"/>
        <v>#VALUE!</v>
      </c>
      <c r="X28" s="16" t="e">
        <f t="shared" si="1"/>
        <v>#VALUE!</v>
      </c>
      <c r="Y28" s="10"/>
      <c r="Z28" s="13" t="s">
        <v>20</v>
      </c>
    </row>
    <row r="29" spans="1:26" ht="27" customHeight="1" x14ac:dyDescent="0.35">
      <c r="A29" s="8"/>
      <c r="B29" s="8"/>
      <c r="C29" s="8"/>
      <c r="D29" s="8" t="s">
        <v>0</v>
      </c>
      <c r="E29" s="8" t="s">
        <v>0</v>
      </c>
      <c r="F29" s="10" t="s">
        <v>0</v>
      </c>
      <c r="G29" s="8"/>
      <c r="H29" s="8"/>
      <c r="I29" s="17" t="s">
        <v>0</v>
      </c>
      <c r="J29" s="8" t="s">
        <v>0</v>
      </c>
      <c r="K29" s="8" t="s">
        <v>0</v>
      </c>
      <c r="L29" s="17" t="s">
        <v>0</v>
      </c>
      <c r="M29" s="8"/>
      <c r="N29" s="6" t="str">
        <f>IFERROR(VLOOKUP(M29,Hoja1!$F$2:$H$28,2,0)," ")</f>
        <v xml:space="preserve"> </v>
      </c>
      <c r="O29" s="7" t="str">
        <f>IFERROR(IF(K29="NO",VLOOKUP(M29,Hoja1!$F$2:$I$28,3,0),VLOOKUP(M29,Hoja1!$F$2:$I$28,4,0))," ")</f>
        <v xml:space="preserve"> </v>
      </c>
      <c r="P29" s="24"/>
      <c r="Q29" s="23" t="s">
        <v>0</v>
      </c>
      <c r="R29" s="24" t="s">
        <v>0</v>
      </c>
      <c r="S29" s="25"/>
      <c r="T29" s="25"/>
      <c r="U29" s="14"/>
      <c r="V29" s="18" t="s">
        <v>0</v>
      </c>
      <c r="W29" s="15" t="e">
        <f t="shared" si="0"/>
        <v>#VALUE!</v>
      </c>
      <c r="X29" s="16" t="e">
        <f t="shared" si="1"/>
        <v>#VALUE!</v>
      </c>
      <c r="Y29" s="10"/>
      <c r="Z29" s="13" t="s">
        <v>20</v>
      </c>
    </row>
    <row r="30" spans="1:26" ht="27" customHeight="1" x14ac:dyDescent="0.35">
      <c r="A30" s="8"/>
      <c r="B30" s="8"/>
      <c r="C30" s="8"/>
      <c r="D30" s="8" t="s">
        <v>0</v>
      </c>
      <c r="E30" s="8" t="s">
        <v>0</v>
      </c>
      <c r="F30" s="10" t="s">
        <v>0</v>
      </c>
      <c r="G30" s="8"/>
      <c r="H30" s="8"/>
      <c r="I30" s="17" t="s">
        <v>0</v>
      </c>
      <c r="J30" s="8" t="s">
        <v>0</v>
      </c>
      <c r="K30" s="8" t="s">
        <v>0</v>
      </c>
      <c r="L30" s="17" t="s">
        <v>0</v>
      </c>
      <c r="M30" s="8"/>
      <c r="N30" s="6" t="str">
        <f>IFERROR(VLOOKUP(M30,Hoja1!$F$2:$H$28,2,0)," ")</f>
        <v xml:space="preserve"> </v>
      </c>
      <c r="O30" s="7" t="str">
        <f>IFERROR(IF(K30="NO",VLOOKUP(M30,Hoja1!$F$2:$I$28,3,0),VLOOKUP(M30,Hoja1!$F$2:$I$28,4,0))," ")</f>
        <v xml:space="preserve"> </v>
      </c>
      <c r="P30" s="24"/>
      <c r="Q30" s="23" t="s">
        <v>0</v>
      </c>
      <c r="R30" s="24" t="s">
        <v>0</v>
      </c>
      <c r="S30" s="25"/>
      <c r="T30" s="25"/>
      <c r="U30" s="14"/>
      <c r="V30" s="18" t="s">
        <v>0</v>
      </c>
      <c r="W30" s="15" t="e">
        <f t="shared" si="0"/>
        <v>#VALUE!</v>
      </c>
      <c r="X30" s="16" t="e">
        <f t="shared" si="1"/>
        <v>#VALUE!</v>
      </c>
      <c r="Y30" s="10"/>
      <c r="Z30" s="13" t="s">
        <v>20</v>
      </c>
    </row>
    <row r="31" spans="1:26" ht="27" customHeight="1" x14ac:dyDescent="0.35">
      <c r="A31" s="8"/>
      <c r="B31" s="8"/>
      <c r="C31" s="8"/>
      <c r="D31" s="8" t="s">
        <v>0</v>
      </c>
      <c r="E31" s="8" t="s">
        <v>0</v>
      </c>
      <c r="F31" s="10" t="s">
        <v>0</v>
      </c>
      <c r="G31" s="8"/>
      <c r="H31" s="8"/>
      <c r="I31" s="17" t="s">
        <v>0</v>
      </c>
      <c r="J31" s="8" t="s">
        <v>0</v>
      </c>
      <c r="K31" s="8" t="s">
        <v>0</v>
      </c>
      <c r="L31" s="17" t="s">
        <v>0</v>
      </c>
      <c r="M31" s="8"/>
      <c r="N31" s="6" t="str">
        <f>IFERROR(VLOOKUP(M31,Hoja1!$F$2:$H$28,2,0)," ")</f>
        <v xml:space="preserve"> </v>
      </c>
      <c r="O31" s="7" t="str">
        <f>IFERROR(IF(K31="NO",VLOOKUP(M31,Hoja1!$F$2:$I$28,3,0),VLOOKUP(M31,Hoja1!$F$2:$I$28,4,0))," ")</f>
        <v xml:space="preserve"> </v>
      </c>
      <c r="P31" s="24"/>
      <c r="Q31" s="23" t="s">
        <v>0</v>
      </c>
      <c r="R31" s="24" t="s">
        <v>0</v>
      </c>
      <c r="S31" s="25"/>
      <c r="T31" s="25"/>
      <c r="U31" s="14"/>
      <c r="V31" s="18" t="s">
        <v>0</v>
      </c>
      <c r="W31" s="15" t="e">
        <f t="shared" si="0"/>
        <v>#VALUE!</v>
      </c>
      <c r="X31" s="16" t="e">
        <f t="shared" si="1"/>
        <v>#VALUE!</v>
      </c>
      <c r="Y31" s="10"/>
      <c r="Z31" s="13" t="s">
        <v>20</v>
      </c>
    </row>
    <row r="32" spans="1:26" ht="27" customHeight="1" x14ac:dyDescent="0.35">
      <c r="A32" s="8"/>
      <c r="B32" s="8"/>
      <c r="C32" s="8"/>
      <c r="D32" s="8" t="s">
        <v>0</v>
      </c>
      <c r="E32" s="8" t="s">
        <v>0</v>
      </c>
      <c r="F32" s="10" t="s">
        <v>0</v>
      </c>
      <c r="G32" s="8"/>
      <c r="H32" s="8"/>
      <c r="I32" s="17" t="s">
        <v>0</v>
      </c>
      <c r="J32" s="8" t="s">
        <v>0</v>
      </c>
      <c r="K32" s="8" t="s">
        <v>0</v>
      </c>
      <c r="L32" s="17" t="s">
        <v>0</v>
      </c>
      <c r="M32" s="8"/>
      <c r="N32" s="6" t="str">
        <f>IFERROR(VLOOKUP(M32,Hoja1!$F$2:$H$28,2,0)," ")</f>
        <v xml:space="preserve"> </v>
      </c>
      <c r="O32" s="7" t="str">
        <f>IFERROR(IF(K32="NO",VLOOKUP(M32,Hoja1!$F$2:$I$28,3,0),VLOOKUP(M32,Hoja1!$F$2:$I$28,4,0))," ")</f>
        <v xml:space="preserve"> </v>
      </c>
      <c r="P32" s="24"/>
      <c r="Q32" s="23" t="s">
        <v>0</v>
      </c>
      <c r="R32" s="24" t="s">
        <v>0</v>
      </c>
      <c r="S32" s="25"/>
      <c r="T32" s="25"/>
      <c r="U32" s="14"/>
      <c r="V32" s="18" t="s">
        <v>0</v>
      </c>
      <c r="W32" s="15" t="e">
        <f t="shared" si="0"/>
        <v>#VALUE!</v>
      </c>
      <c r="X32" s="16" t="e">
        <f t="shared" si="1"/>
        <v>#VALUE!</v>
      </c>
      <c r="Y32" s="10"/>
      <c r="Z32" s="13" t="s">
        <v>20</v>
      </c>
    </row>
    <row r="33" spans="1:26" ht="27" customHeight="1" x14ac:dyDescent="0.35">
      <c r="A33" s="8"/>
      <c r="B33" s="8"/>
      <c r="C33" s="8"/>
      <c r="D33" s="8" t="s">
        <v>0</v>
      </c>
      <c r="E33" s="8" t="s">
        <v>0</v>
      </c>
      <c r="F33" s="10" t="s">
        <v>0</v>
      </c>
      <c r="G33" s="8"/>
      <c r="H33" s="8"/>
      <c r="I33" s="17" t="s">
        <v>0</v>
      </c>
      <c r="J33" s="8" t="s">
        <v>0</v>
      </c>
      <c r="K33" s="8" t="s">
        <v>0</v>
      </c>
      <c r="L33" s="17" t="s">
        <v>0</v>
      </c>
      <c r="M33" s="8"/>
      <c r="N33" s="6" t="str">
        <f>IFERROR(VLOOKUP(M33,Hoja1!$F$2:$H$28,2,0)," ")</f>
        <v xml:space="preserve"> </v>
      </c>
      <c r="O33" s="7" t="str">
        <f>IFERROR(IF(K33="NO",VLOOKUP(M33,Hoja1!$F$2:$I$28,3,0),VLOOKUP(M33,Hoja1!$F$2:$I$28,4,0))," ")</f>
        <v xml:space="preserve"> </v>
      </c>
      <c r="P33" s="24"/>
      <c r="Q33" s="23" t="s">
        <v>0</v>
      </c>
      <c r="R33" s="24" t="s">
        <v>0</v>
      </c>
      <c r="S33" s="25"/>
      <c r="T33" s="25"/>
      <c r="U33" s="14"/>
      <c r="V33" s="18" t="s">
        <v>0</v>
      </c>
      <c r="W33" s="15" t="e">
        <f t="shared" si="0"/>
        <v>#VALUE!</v>
      </c>
      <c r="X33" s="16" t="e">
        <f t="shared" si="1"/>
        <v>#VALUE!</v>
      </c>
      <c r="Y33" s="10"/>
      <c r="Z33" s="13" t="s">
        <v>20</v>
      </c>
    </row>
    <row r="34" spans="1:26" ht="27" customHeight="1" x14ac:dyDescent="0.35">
      <c r="A34" s="8"/>
      <c r="B34" s="8"/>
      <c r="C34" s="8"/>
      <c r="D34" s="8" t="s">
        <v>0</v>
      </c>
      <c r="E34" s="8" t="s">
        <v>0</v>
      </c>
      <c r="F34" s="10" t="s">
        <v>0</v>
      </c>
      <c r="G34" s="8"/>
      <c r="H34" s="8"/>
      <c r="I34" s="17" t="s">
        <v>0</v>
      </c>
      <c r="J34" s="8" t="s">
        <v>0</v>
      </c>
      <c r="K34" s="8" t="s">
        <v>0</v>
      </c>
      <c r="L34" s="17" t="s">
        <v>0</v>
      </c>
      <c r="M34" s="8"/>
      <c r="N34" s="6" t="str">
        <f>IFERROR(VLOOKUP(M34,Hoja1!$F$2:$H$28,2,0)," ")</f>
        <v xml:space="preserve"> </v>
      </c>
      <c r="O34" s="7" t="str">
        <f>IFERROR(IF(K34="NO",VLOOKUP(M34,Hoja1!$F$2:$I$28,3,0),VLOOKUP(M34,Hoja1!$F$2:$I$28,4,0))," ")</f>
        <v xml:space="preserve"> </v>
      </c>
      <c r="P34" s="24"/>
      <c r="Q34" s="23" t="s">
        <v>0</v>
      </c>
      <c r="R34" s="24" t="s">
        <v>0</v>
      </c>
      <c r="S34" s="25"/>
      <c r="T34" s="25"/>
      <c r="U34" s="14"/>
      <c r="V34" s="18" t="s">
        <v>0</v>
      </c>
      <c r="W34" s="15" t="e">
        <f t="shared" si="0"/>
        <v>#VALUE!</v>
      </c>
      <c r="X34" s="16" t="e">
        <f t="shared" si="1"/>
        <v>#VALUE!</v>
      </c>
      <c r="Y34" s="10"/>
      <c r="Z34" s="13" t="s">
        <v>20</v>
      </c>
    </row>
    <row r="35" spans="1:26" ht="27" customHeight="1" x14ac:dyDescent="0.35">
      <c r="A35" s="8"/>
      <c r="B35" s="8"/>
      <c r="C35" s="8"/>
      <c r="D35" s="8" t="s">
        <v>0</v>
      </c>
      <c r="E35" s="8" t="s">
        <v>0</v>
      </c>
      <c r="F35" s="10" t="s">
        <v>0</v>
      </c>
      <c r="G35" s="8"/>
      <c r="H35" s="8"/>
      <c r="I35" s="17" t="s">
        <v>0</v>
      </c>
      <c r="J35" s="8" t="s">
        <v>0</v>
      </c>
      <c r="K35" s="8" t="s">
        <v>0</v>
      </c>
      <c r="L35" s="17" t="s">
        <v>0</v>
      </c>
      <c r="M35" s="8"/>
      <c r="N35" s="6" t="str">
        <f>IFERROR(VLOOKUP(M35,Hoja1!$F$2:$H$28,2,0)," ")</f>
        <v xml:space="preserve"> </v>
      </c>
      <c r="O35" s="7" t="str">
        <f>IFERROR(IF(K35="NO",VLOOKUP(M35,Hoja1!$F$2:$I$28,3,0),VLOOKUP(M35,Hoja1!$F$2:$I$28,4,0))," ")</f>
        <v xml:space="preserve"> </v>
      </c>
      <c r="P35" s="24"/>
      <c r="Q35" s="23" t="s">
        <v>0</v>
      </c>
      <c r="R35" s="24" t="s">
        <v>0</v>
      </c>
      <c r="S35" s="25"/>
      <c r="T35" s="25"/>
      <c r="U35" s="14"/>
      <c r="V35" s="18" t="s">
        <v>0</v>
      </c>
      <c r="W35" s="15" t="e">
        <f t="shared" si="0"/>
        <v>#VALUE!</v>
      </c>
      <c r="X35" s="16" t="e">
        <f t="shared" si="1"/>
        <v>#VALUE!</v>
      </c>
      <c r="Y35" s="10"/>
      <c r="Z35" s="13" t="s">
        <v>20</v>
      </c>
    </row>
    <row r="36" spans="1:26" ht="27" customHeight="1" x14ac:dyDescent="0.35">
      <c r="A36" s="8"/>
      <c r="B36" s="8"/>
      <c r="C36" s="8"/>
      <c r="D36" s="8" t="s">
        <v>0</v>
      </c>
      <c r="E36" s="8" t="s">
        <v>0</v>
      </c>
      <c r="F36" s="10" t="s">
        <v>0</v>
      </c>
      <c r="G36" s="8"/>
      <c r="H36" s="8"/>
      <c r="I36" s="17" t="s">
        <v>0</v>
      </c>
      <c r="J36" s="8" t="s">
        <v>0</v>
      </c>
      <c r="K36" s="8" t="s">
        <v>0</v>
      </c>
      <c r="L36" s="17" t="s">
        <v>0</v>
      </c>
      <c r="M36" s="8"/>
      <c r="N36" s="6" t="str">
        <f>IFERROR(VLOOKUP(M36,Hoja1!$F$2:$H$28,2,0)," ")</f>
        <v xml:space="preserve"> </v>
      </c>
      <c r="O36" s="7" t="str">
        <f>IFERROR(IF(K36="NO",VLOOKUP(M36,Hoja1!$F$2:$I$28,3,0),VLOOKUP(M36,Hoja1!$F$2:$I$28,4,0))," ")</f>
        <v xml:space="preserve"> </v>
      </c>
      <c r="P36" s="24"/>
      <c r="Q36" s="23" t="s">
        <v>0</v>
      </c>
      <c r="R36" s="24" t="s">
        <v>0</v>
      </c>
      <c r="S36" s="25"/>
      <c r="T36" s="25"/>
      <c r="U36" s="14"/>
      <c r="V36" s="18" t="s">
        <v>0</v>
      </c>
      <c r="W36" s="15" t="e">
        <f t="shared" si="0"/>
        <v>#VALUE!</v>
      </c>
      <c r="X36" s="16" t="e">
        <f t="shared" si="1"/>
        <v>#VALUE!</v>
      </c>
      <c r="Y36" s="10"/>
      <c r="Z36" s="13" t="s">
        <v>20</v>
      </c>
    </row>
    <row r="37" spans="1:26" ht="27" customHeight="1" x14ac:dyDescent="0.35">
      <c r="A37" s="8"/>
      <c r="B37" s="8"/>
      <c r="C37" s="8"/>
      <c r="D37" s="8" t="s">
        <v>0</v>
      </c>
      <c r="E37" s="8" t="s">
        <v>0</v>
      </c>
      <c r="F37" s="10" t="s">
        <v>0</v>
      </c>
      <c r="G37" s="8"/>
      <c r="H37" s="8"/>
      <c r="I37" s="17" t="s">
        <v>0</v>
      </c>
      <c r="J37" s="8" t="s">
        <v>0</v>
      </c>
      <c r="K37" s="8" t="s">
        <v>0</v>
      </c>
      <c r="L37" s="17" t="s">
        <v>0</v>
      </c>
      <c r="M37" s="8"/>
      <c r="N37" s="6" t="str">
        <f>IFERROR(VLOOKUP(M37,Hoja1!$F$2:$H$28,2,0)," ")</f>
        <v xml:space="preserve"> </v>
      </c>
      <c r="O37" s="7" t="str">
        <f>IFERROR(IF(K37="NO",VLOOKUP(M37,Hoja1!$F$2:$I$28,3,0),VLOOKUP(M37,Hoja1!$F$2:$I$28,4,0))," ")</f>
        <v xml:space="preserve"> </v>
      </c>
      <c r="P37" s="24"/>
      <c r="Q37" s="23" t="s">
        <v>0</v>
      </c>
      <c r="R37" s="24" t="s">
        <v>0</v>
      </c>
      <c r="S37" s="25"/>
      <c r="T37" s="25"/>
      <c r="U37" s="14"/>
      <c r="V37" s="18" t="s">
        <v>0</v>
      </c>
      <c r="W37" s="15" t="e">
        <f t="shared" si="0"/>
        <v>#VALUE!</v>
      </c>
      <c r="X37" s="16" t="e">
        <f t="shared" si="1"/>
        <v>#VALUE!</v>
      </c>
      <c r="Y37" s="10"/>
      <c r="Z37" s="13" t="s">
        <v>20</v>
      </c>
    </row>
    <row r="38" spans="1:26" ht="27" customHeight="1" x14ac:dyDescent="0.35">
      <c r="A38" s="8"/>
      <c r="B38" s="8"/>
      <c r="C38" s="8"/>
      <c r="D38" s="8" t="s">
        <v>0</v>
      </c>
      <c r="E38" s="8" t="s">
        <v>0</v>
      </c>
      <c r="F38" s="10" t="s">
        <v>0</v>
      </c>
      <c r="G38" s="8"/>
      <c r="H38" s="8"/>
      <c r="I38" s="17" t="s">
        <v>0</v>
      </c>
      <c r="J38" s="8" t="s">
        <v>0</v>
      </c>
      <c r="K38" s="8" t="s">
        <v>0</v>
      </c>
      <c r="L38" s="17" t="s">
        <v>0</v>
      </c>
      <c r="M38" s="8"/>
      <c r="N38" s="6" t="str">
        <f>IFERROR(VLOOKUP(M38,Hoja1!$F$2:$H$28,2,0)," ")</f>
        <v xml:space="preserve"> </v>
      </c>
      <c r="O38" s="7" t="str">
        <f>IFERROR(IF(K38="NO",VLOOKUP(M38,Hoja1!$F$2:$I$28,3,0),VLOOKUP(M38,Hoja1!$F$2:$I$28,4,0))," ")</f>
        <v xml:space="preserve"> </v>
      </c>
      <c r="P38" s="24"/>
      <c r="Q38" s="23" t="s">
        <v>0</v>
      </c>
      <c r="R38" s="24" t="s">
        <v>0</v>
      </c>
      <c r="S38" s="25"/>
      <c r="T38" s="25"/>
      <c r="U38" s="14"/>
      <c r="V38" s="18" t="s">
        <v>0</v>
      </c>
      <c r="W38" s="15" t="e">
        <f t="shared" si="0"/>
        <v>#VALUE!</v>
      </c>
      <c r="X38" s="16" t="e">
        <f t="shared" si="1"/>
        <v>#VALUE!</v>
      </c>
      <c r="Y38" s="10"/>
      <c r="Z38" s="13" t="s">
        <v>20</v>
      </c>
    </row>
    <row r="39" spans="1:26" ht="27" customHeight="1" x14ac:dyDescent="0.35">
      <c r="A39" s="8"/>
      <c r="B39" s="8"/>
      <c r="C39" s="8"/>
      <c r="D39" s="8" t="s">
        <v>0</v>
      </c>
      <c r="E39" s="8" t="s">
        <v>0</v>
      </c>
      <c r="F39" s="10" t="s">
        <v>0</v>
      </c>
      <c r="G39" s="8"/>
      <c r="H39" s="8"/>
      <c r="I39" s="17" t="s">
        <v>0</v>
      </c>
      <c r="J39" s="8" t="s">
        <v>0</v>
      </c>
      <c r="K39" s="8" t="s">
        <v>0</v>
      </c>
      <c r="L39" s="17" t="s">
        <v>0</v>
      </c>
      <c r="M39" s="8"/>
      <c r="N39" s="6" t="str">
        <f>IFERROR(VLOOKUP(M39,Hoja1!$F$2:$H$28,2,0)," ")</f>
        <v xml:space="preserve"> </v>
      </c>
      <c r="O39" s="7" t="str">
        <f>IFERROR(IF(K39="NO",VLOOKUP(M39,Hoja1!$F$2:$I$28,3,0),VLOOKUP(M39,Hoja1!$F$2:$I$28,4,0))," ")</f>
        <v xml:space="preserve"> </v>
      </c>
      <c r="P39" s="24"/>
      <c r="Q39" s="23" t="s">
        <v>0</v>
      </c>
      <c r="R39" s="24" t="s">
        <v>0</v>
      </c>
      <c r="S39" s="25"/>
      <c r="T39" s="25"/>
      <c r="U39" s="14"/>
      <c r="V39" s="18" t="s">
        <v>0</v>
      </c>
      <c r="W39" s="15" t="e">
        <f t="shared" si="0"/>
        <v>#VALUE!</v>
      </c>
      <c r="X39" s="16" t="e">
        <f t="shared" si="1"/>
        <v>#VALUE!</v>
      </c>
      <c r="Y39" s="10"/>
      <c r="Z39" s="13" t="s">
        <v>20</v>
      </c>
    </row>
    <row r="40" spans="1:26" ht="27" customHeight="1" x14ac:dyDescent="0.35">
      <c r="A40" s="8"/>
      <c r="B40" s="8"/>
      <c r="C40" s="8"/>
      <c r="D40" s="8" t="s">
        <v>0</v>
      </c>
      <c r="E40" s="8" t="s">
        <v>0</v>
      </c>
      <c r="F40" s="10" t="s">
        <v>0</v>
      </c>
      <c r="G40" s="8"/>
      <c r="H40" s="8"/>
      <c r="I40" s="17" t="s">
        <v>0</v>
      </c>
      <c r="J40" s="8" t="s">
        <v>0</v>
      </c>
      <c r="K40" s="8" t="s">
        <v>0</v>
      </c>
      <c r="L40" s="17" t="s">
        <v>0</v>
      </c>
      <c r="M40" s="8"/>
      <c r="N40" s="6" t="str">
        <f>IFERROR(VLOOKUP(M40,Hoja1!$F$2:$H$28,2,0)," ")</f>
        <v xml:space="preserve"> </v>
      </c>
      <c r="O40" s="7" t="str">
        <f>IFERROR(IF(K40="NO",VLOOKUP(M40,Hoja1!$F$2:$I$28,3,0),VLOOKUP(M40,Hoja1!$F$2:$I$28,4,0))," ")</f>
        <v xml:space="preserve"> </v>
      </c>
      <c r="P40" s="24"/>
      <c r="Q40" s="23" t="s">
        <v>0</v>
      </c>
      <c r="R40" s="24" t="s">
        <v>0</v>
      </c>
      <c r="S40" s="25"/>
      <c r="T40" s="25"/>
      <c r="U40" s="14"/>
      <c r="V40" s="18" t="s">
        <v>0</v>
      </c>
      <c r="W40" s="15" t="e">
        <f t="shared" si="0"/>
        <v>#VALUE!</v>
      </c>
      <c r="X40" s="16" t="e">
        <f t="shared" si="1"/>
        <v>#VALUE!</v>
      </c>
      <c r="Y40" s="10"/>
      <c r="Z40" s="13" t="s">
        <v>20</v>
      </c>
    </row>
    <row r="41" spans="1:26" ht="27" customHeight="1" x14ac:dyDescent="0.35">
      <c r="A41" s="8"/>
      <c r="B41" s="8"/>
      <c r="C41" s="8"/>
      <c r="D41" s="8" t="s">
        <v>0</v>
      </c>
      <c r="E41" s="8" t="s">
        <v>0</v>
      </c>
      <c r="F41" s="10" t="s">
        <v>0</v>
      </c>
      <c r="G41" s="8"/>
      <c r="H41" s="8"/>
      <c r="I41" s="17" t="s">
        <v>0</v>
      </c>
      <c r="J41" s="8" t="s">
        <v>0</v>
      </c>
      <c r="K41" s="8" t="s">
        <v>0</v>
      </c>
      <c r="L41" s="17" t="s">
        <v>0</v>
      </c>
      <c r="M41" s="8"/>
      <c r="N41" s="6" t="str">
        <f>IFERROR(VLOOKUP(M41,Hoja1!$F$2:$H$28,2,0)," ")</f>
        <v xml:space="preserve"> </v>
      </c>
      <c r="O41" s="7" t="str">
        <f>IFERROR(IF(K41="NO",VLOOKUP(M41,Hoja1!$F$2:$I$28,3,0),VLOOKUP(M41,Hoja1!$F$2:$I$28,4,0))," ")</f>
        <v xml:space="preserve"> </v>
      </c>
      <c r="P41" s="24"/>
      <c r="Q41" s="23" t="s">
        <v>0</v>
      </c>
      <c r="R41" s="24" t="s">
        <v>0</v>
      </c>
      <c r="S41" s="25"/>
      <c r="T41" s="25"/>
      <c r="U41" s="14"/>
      <c r="V41" s="18" t="s">
        <v>0</v>
      </c>
      <c r="W41" s="15" t="e">
        <f t="shared" si="0"/>
        <v>#VALUE!</v>
      </c>
      <c r="X41" s="16" t="e">
        <f t="shared" si="1"/>
        <v>#VALUE!</v>
      </c>
      <c r="Y41" s="10"/>
      <c r="Z41" s="13" t="s">
        <v>20</v>
      </c>
    </row>
    <row r="42" spans="1:26" ht="27" customHeight="1" x14ac:dyDescent="0.35">
      <c r="A42" s="8"/>
      <c r="B42" s="8"/>
      <c r="C42" s="8"/>
      <c r="D42" s="8" t="s">
        <v>0</v>
      </c>
      <c r="E42" s="8" t="s">
        <v>0</v>
      </c>
      <c r="F42" s="10" t="s">
        <v>0</v>
      </c>
      <c r="G42" s="8"/>
      <c r="H42" s="8"/>
      <c r="I42" s="17" t="s">
        <v>0</v>
      </c>
      <c r="J42" s="8" t="s">
        <v>0</v>
      </c>
      <c r="K42" s="8" t="s">
        <v>0</v>
      </c>
      <c r="L42" s="17" t="s">
        <v>0</v>
      </c>
      <c r="M42" s="8"/>
      <c r="N42" s="6" t="str">
        <f>IFERROR(VLOOKUP(M42,Hoja1!$F$2:$H$28,2,0)," ")</f>
        <v xml:space="preserve"> </v>
      </c>
      <c r="O42" s="7" t="str">
        <f>IFERROR(IF(K42="NO",VLOOKUP(M42,Hoja1!$F$2:$I$28,3,0),VLOOKUP(M42,Hoja1!$F$2:$I$28,4,0))," ")</f>
        <v xml:space="preserve"> </v>
      </c>
      <c r="P42" s="24"/>
      <c r="Q42" s="23" t="s">
        <v>0</v>
      </c>
      <c r="R42" s="24" t="s">
        <v>0</v>
      </c>
      <c r="S42" s="25"/>
      <c r="T42" s="25"/>
      <c r="U42" s="14"/>
      <c r="V42" s="18" t="s">
        <v>0</v>
      </c>
      <c r="W42" s="15" t="e">
        <f t="shared" si="0"/>
        <v>#VALUE!</v>
      </c>
      <c r="X42" s="16" t="e">
        <f t="shared" si="1"/>
        <v>#VALUE!</v>
      </c>
      <c r="Y42" s="10"/>
      <c r="Z42" s="13" t="s">
        <v>20</v>
      </c>
    </row>
    <row r="43" spans="1:26" ht="27" customHeight="1" x14ac:dyDescent="0.35">
      <c r="A43" s="8"/>
      <c r="B43" s="8"/>
      <c r="C43" s="8"/>
      <c r="D43" s="8" t="s">
        <v>0</v>
      </c>
      <c r="E43" s="8" t="s">
        <v>0</v>
      </c>
      <c r="F43" s="10" t="s">
        <v>0</v>
      </c>
      <c r="G43" s="8"/>
      <c r="H43" s="8"/>
      <c r="I43" s="17" t="s">
        <v>0</v>
      </c>
      <c r="J43" s="8" t="s">
        <v>0</v>
      </c>
      <c r="K43" s="8" t="s">
        <v>0</v>
      </c>
      <c r="L43" s="17" t="s">
        <v>0</v>
      </c>
      <c r="M43" s="8"/>
      <c r="N43" s="6" t="str">
        <f>IFERROR(VLOOKUP(M43,Hoja1!$F$2:$H$28,2,0)," ")</f>
        <v xml:space="preserve"> </v>
      </c>
      <c r="O43" s="7" t="str">
        <f>IFERROR(IF(K43="NO",VLOOKUP(M43,Hoja1!$F$2:$I$28,3,0),VLOOKUP(M43,Hoja1!$F$2:$I$28,4,0))," ")</f>
        <v xml:space="preserve"> </v>
      </c>
      <c r="P43" s="24"/>
      <c r="Q43" s="23" t="s">
        <v>0</v>
      </c>
      <c r="R43" s="24" t="s">
        <v>0</v>
      </c>
      <c r="S43" s="25"/>
      <c r="T43" s="25"/>
      <c r="U43" s="14"/>
      <c r="V43" s="18" t="s">
        <v>0</v>
      </c>
      <c r="W43" s="15" t="e">
        <f t="shared" si="0"/>
        <v>#VALUE!</v>
      </c>
      <c r="X43" s="16" t="e">
        <f t="shared" si="1"/>
        <v>#VALUE!</v>
      </c>
      <c r="Y43" s="10"/>
      <c r="Z43" s="13" t="s">
        <v>20</v>
      </c>
    </row>
    <row r="44" spans="1:26" ht="27" customHeight="1" x14ac:dyDescent="0.35">
      <c r="A44" s="8"/>
      <c r="B44" s="8"/>
      <c r="C44" s="8"/>
      <c r="D44" s="8" t="s">
        <v>0</v>
      </c>
      <c r="E44" s="8" t="s">
        <v>0</v>
      </c>
      <c r="F44" s="10" t="s">
        <v>0</v>
      </c>
      <c r="G44" s="8"/>
      <c r="H44" s="8"/>
      <c r="I44" s="17" t="s">
        <v>0</v>
      </c>
      <c r="J44" s="8" t="s">
        <v>0</v>
      </c>
      <c r="K44" s="8" t="s">
        <v>0</v>
      </c>
      <c r="L44" s="17" t="s">
        <v>0</v>
      </c>
      <c r="M44" s="8"/>
      <c r="N44" s="6" t="str">
        <f>IFERROR(VLOOKUP(M44,Hoja1!$F$2:$H$28,2,0)," ")</f>
        <v xml:space="preserve"> </v>
      </c>
      <c r="O44" s="7" t="str">
        <f>IFERROR(IF(K44="NO",VLOOKUP(M44,Hoja1!$F$2:$I$28,3,0),VLOOKUP(M44,Hoja1!$F$2:$I$28,4,0))," ")</f>
        <v xml:space="preserve"> </v>
      </c>
      <c r="P44" s="24"/>
      <c r="Q44" s="23" t="s">
        <v>0</v>
      </c>
      <c r="R44" s="24" t="s">
        <v>0</v>
      </c>
      <c r="S44" s="25"/>
      <c r="T44" s="25"/>
      <c r="U44" s="14"/>
      <c r="V44" s="18" t="s">
        <v>0</v>
      </c>
      <c r="W44" s="15" t="e">
        <f t="shared" si="0"/>
        <v>#VALUE!</v>
      </c>
      <c r="X44" s="16" t="e">
        <f t="shared" si="1"/>
        <v>#VALUE!</v>
      </c>
      <c r="Y44" s="10"/>
      <c r="Z44" s="13" t="s">
        <v>20</v>
      </c>
    </row>
    <row r="45" spans="1:26" ht="27" customHeight="1" x14ac:dyDescent="0.35">
      <c r="A45" s="8"/>
      <c r="B45" s="8"/>
      <c r="C45" s="8"/>
      <c r="D45" s="8" t="s">
        <v>0</v>
      </c>
      <c r="E45" s="8" t="s">
        <v>0</v>
      </c>
      <c r="F45" s="10" t="s">
        <v>0</v>
      </c>
      <c r="G45" s="8"/>
      <c r="H45" s="8"/>
      <c r="I45" s="17" t="s">
        <v>0</v>
      </c>
      <c r="J45" s="8" t="s">
        <v>0</v>
      </c>
      <c r="K45" s="8" t="s">
        <v>0</v>
      </c>
      <c r="L45" s="17" t="s">
        <v>0</v>
      </c>
      <c r="M45" s="8"/>
      <c r="N45" s="6" t="str">
        <f>IFERROR(VLOOKUP(M45,Hoja1!$F$2:$H$28,2,0)," ")</f>
        <v xml:space="preserve"> </v>
      </c>
      <c r="O45" s="7" t="str">
        <f>IFERROR(IF(K45="NO",VLOOKUP(M45,Hoja1!$F$2:$I$28,3,0),VLOOKUP(M45,Hoja1!$F$2:$I$28,4,0))," ")</f>
        <v xml:space="preserve"> </v>
      </c>
      <c r="P45" s="24"/>
      <c r="Q45" s="23" t="s">
        <v>0</v>
      </c>
      <c r="R45" s="24" t="s">
        <v>0</v>
      </c>
      <c r="S45" s="25"/>
      <c r="T45" s="25"/>
      <c r="U45" s="14"/>
      <c r="V45" s="18" t="s">
        <v>0</v>
      </c>
      <c r="W45" s="15" t="e">
        <f t="shared" si="0"/>
        <v>#VALUE!</v>
      </c>
      <c r="X45" s="16" t="e">
        <f t="shared" si="1"/>
        <v>#VALUE!</v>
      </c>
      <c r="Y45" s="10"/>
      <c r="Z45" s="13" t="s">
        <v>20</v>
      </c>
    </row>
    <row r="46" spans="1:26" ht="27" customHeight="1" x14ac:dyDescent="0.35">
      <c r="A46" s="8"/>
      <c r="B46" s="8"/>
      <c r="C46" s="8"/>
      <c r="D46" s="8" t="s">
        <v>0</v>
      </c>
      <c r="E46" s="8" t="s">
        <v>0</v>
      </c>
      <c r="F46" s="10" t="s">
        <v>0</v>
      </c>
      <c r="G46" s="8"/>
      <c r="H46" s="8"/>
      <c r="I46" s="17" t="s">
        <v>0</v>
      </c>
      <c r="J46" s="8" t="s">
        <v>0</v>
      </c>
      <c r="K46" s="8" t="s">
        <v>0</v>
      </c>
      <c r="L46" s="17" t="s">
        <v>0</v>
      </c>
      <c r="M46" s="8"/>
      <c r="N46" s="6" t="str">
        <f>IFERROR(VLOOKUP(M46,Hoja1!$F$2:$H$28,2,0)," ")</f>
        <v xml:space="preserve"> </v>
      </c>
      <c r="O46" s="7" t="str">
        <f>IFERROR(IF(K46="NO",VLOOKUP(M46,Hoja1!$F$2:$I$28,3,0),VLOOKUP(M46,Hoja1!$F$2:$I$28,4,0))," ")</f>
        <v xml:space="preserve"> </v>
      </c>
      <c r="P46" s="24"/>
      <c r="Q46" s="23" t="s">
        <v>0</v>
      </c>
      <c r="R46" s="24" t="s">
        <v>0</v>
      </c>
      <c r="S46" s="25"/>
      <c r="T46" s="25"/>
      <c r="U46" s="14"/>
      <c r="V46" s="18" t="s">
        <v>0</v>
      </c>
      <c r="W46" s="15" t="e">
        <f t="shared" si="0"/>
        <v>#VALUE!</v>
      </c>
      <c r="X46" s="16" t="e">
        <f t="shared" si="1"/>
        <v>#VALUE!</v>
      </c>
      <c r="Y46" s="10"/>
      <c r="Z46" s="13" t="s">
        <v>20</v>
      </c>
    </row>
    <row r="47" spans="1:26" ht="27" customHeight="1" x14ac:dyDescent="0.35">
      <c r="A47" s="8"/>
      <c r="B47" s="8"/>
      <c r="C47" s="8"/>
      <c r="D47" s="8" t="s">
        <v>0</v>
      </c>
      <c r="E47" s="8" t="s">
        <v>0</v>
      </c>
      <c r="F47" s="10" t="s">
        <v>0</v>
      </c>
      <c r="G47" s="8"/>
      <c r="H47" s="8"/>
      <c r="I47" s="17" t="s">
        <v>0</v>
      </c>
      <c r="J47" s="8" t="s">
        <v>0</v>
      </c>
      <c r="K47" s="8" t="s">
        <v>0</v>
      </c>
      <c r="L47" s="17" t="s">
        <v>0</v>
      </c>
      <c r="M47" s="8"/>
      <c r="N47" s="6" t="str">
        <f>IFERROR(VLOOKUP(M47,Hoja1!$F$2:$H$28,2,0)," ")</f>
        <v xml:space="preserve"> </v>
      </c>
      <c r="O47" s="7" t="str">
        <f>IFERROR(IF(K47="NO",VLOOKUP(M47,Hoja1!$F$2:$I$28,3,0),VLOOKUP(M47,Hoja1!$F$2:$I$28,4,0))," ")</f>
        <v xml:space="preserve"> </v>
      </c>
      <c r="P47" s="24"/>
      <c r="Q47" s="23" t="s">
        <v>0</v>
      </c>
      <c r="R47" s="24" t="s">
        <v>0</v>
      </c>
      <c r="S47" s="25"/>
      <c r="T47" s="25"/>
      <c r="U47" s="14"/>
      <c r="V47" s="18" t="s">
        <v>0</v>
      </c>
      <c r="W47" s="15" t="e">
        <f t="shared" si="0"/>
        <v>#VALUE!</v>
      </c>
      <c r="X47" s="16" t="e">
        <f t="shared" si="1"/>
        <v>#VALUE!</v>
      </c>
      <c r="Y47" s="10"/>
      <c r="Z47" s="13" t="s">
        <v>20</v>
      </c>
    </row>
    <row r="48" spans="1:26" ht="27" customHeight="1" x14ac:dyDescent="0.35">
      <c r="A48" s="8"/>
      <c r="B48" s="8"/>
      <c r="C48" s="8"/>
      <c r="D48" s="8" t="s">
        <v>0</v>
      </c>
      <c r="E48" s="8" t="s">
        <v>0</v>
      </c>
      <c r="F48" s="10" t="s">
        <v>0</v>
      </c>
      <c r="G48" s="8"/>
      <c r="H48" s="8"/>
      <c r="I48" s="17" t="s">
        <v>0</v>
      </c>
      <c r="J48" s="8" t="s">
        <v>0</v>
      </c>
      <c r="K48" s="8" t="s">
        <v>0</v>
      </c>
      <c r="L48" s="17" t="s">
        <v>0</v>
      </c>
      <c r="M48" s="8"/>
      <c r="N48" s="6" t="str">
        <f>IFERROR(VLOOKUP(M48,Hoja1!$F$2:$H$28,2,0)," ")</f>
        <v xml:space="preserve"> </v>
      </c>
      <c r="O48" s="7" t="str">
        <f>IFERROR(IF(K48="NO",VLOOKUP(M48,Hoja1!$F$2:$I$28,3,0),VLOOKUP(M48,Hoja1!$F$2:$I$28,4,0))," ")</f>
        <v xml:space="preserve"> </v>
      </c>
      <c r="P48" s="24"/>
      <c r="Q48" s="23" t="s">
        <v>0</v>
      </c>
      <c r="R48" s="24" t="s">
        <v>0</v>
      </c>
      <c r="S48" s="25"/>
      <c r="T48" s="25"/>
      <c r="U48" s="14"/>
      <c r="V48" s="18" t="s">
        <v>0</v>
      </c>
      <c r="W48" s="15" t="e">
        <f t="shared" si="0"/>
        <v>#VALUE!</v>
      </c>
      <c r="X48" s="16" t="e">
        <f t="shared" si="1"/>
        <v>#VALUE!</v>
      </c>
      <c r="Y48" s="10"/>
      <c r="Z48" s="13" t="s">
        <v>20</v>
      </c>
    </row>
    <row r="49" spans="1:26" ht="27" customHeight="1" x14ac:dyDescent="0.35">
      <c r="A49" s="8"/>
      <c r="B49" s="8"/>
      <c r="C49" s="8"/>
      <c r="D49" s="8" t="s">
        <v>0</v>
      </c>
      <c r="E49" s="8" t="s">
        <v>0</v>
      </c>
      <c r="F49" s="10" t="s">
        <v>0</v>
      </c>
      <c r="G49" s="8"/>
      <c r="H49" s="8"/>
      <c r="I49" s="17" t="s">
        <v>0</v>
      </c>
      <c r="J49" s="8" t="s">
        <v>0</v>
      </c>
      <c r="K49" s="8" t="s">
        <v>0</v>
      </c>
      <c r="L49" s="17" t="s">
        <v>0</v>
      </c>
      <c r="M49" s="8"/>
      <c r="N49" s="6" t="str">
        <f>IFERROR(VLOOKUP(M49,Hoja1!$F$2:$H$28,2,0)," ")</f>
        <v xml:space="preserve"> </v>
      </c>
      <c r="O49" s="7" t="str">
        <f>IFERROR(IF(K49="NO",VLOOKUP(M49,Hoja1!$F$2:$I$28,3,0),VLOOKUP(M49,Hoja1!$F$2:$I$28,4,0))," ")</f>
        <v xml:space="preserve"> </v>
      </c>
      <c r="P49" s="24"/>
      <c r="Q49" s="23" t="s">
        <v>0</v>
      </c>
      <c r="R49" s="24" t="s">
        <v>0</v>
      </c>
      <c r="S49" s="25"/>
      <c r="T49" s="25"/>
      <c r="U49" s="14"/>
      <c r="V49" s="18" t="s">
        <v>0</v>
      </c>
      <c r="W49" s="15" t="e">
        <f t="shared" si="0"/>
        <v>#VALUE!</v>
      </c>
      <c r="X49" s="16" t="e">
        <f t="shared" si="1"/>
        <v>#VALUE!</v>
      </c>
      <c r="Y49" s="10"/>
      <c r="Z49" s="13" t="s">
        <v>20</v>
      </c>
    </row>
    <row r="50" spans="1:26" ht="27" customHeight="1" x14ac:dyDescent="0.35">
      <c r="A50" s="8"/>
      <c r="B50" s="8"/>
      <c r="C50" s="8"/>
      <c r="D50" s="8" t="s">
        <v>0</v>
      </c>
      <c r="E50" s="8" t="s">
        <v>0</v>
      </c>
      <c r="F50" s="10" t="s">
        <v>0</v>
      </c>
      <c r="G50" s="8"/>
      <c r="H50" s="8"/>
      <c r="I50" s="17" t="s">
        <v>0</v>
      </c>
      <c r="J50" s="8" t="s">
        <v>0</v>
      </c>
      <c r="K50" s="8" t="s">
        <v>0</v>
      </c>
      <c r="L50" s="17" t="s">
        <v>0</v>
      </c>
      <c r="M50" s="8"/>
      <c r="N50" s="6" t="str">
        <f>IFERROR(VLOOKUP(M50,Hoja1!$F$2:$H$28,2,0)," ")</f>
        <v xml:space="preserve"> </v>
      </c>
      <c r="O50" s="7" t="str">
        <f>IFERROR(IF(K50="NO",VLOOKUP(M50,Hoja1!$F$2:$I$28,3,0),VLOOKUP(M50,Hoja1!$F$2:$I$28,4,0))," ")</f>
        <v xml:space="preserve"> </v>
      </c>
      <c r="P50" s="24"/>
      <c r="Q50" s="23" t="s">
        <v>0</v>
      </c>
      <c r="R50" s="24" t="s">
        <v>0</v>
      </c>
      <c r="S50" s="25"/>
      <c r="T50" s="25"/>
      <c r="U50" s="14"/>
      <c r="V50" s="18" t="s">
        <v>0</v>
      </c>
      <c r="W50" s="15" t="e">
        <f t="shared" si="0"/>
        <v>#VALUE!</v>
      </c>
      <c r="X50" s="16" t="e">
        <f t="shared" si="1"/>
        <v>#VALUE!</v>
      </c>
      <c r="Y50" s="10"/>
      <c r="Z50" s="13" t="s">
        <v>20</v>
      </c>
    </row>
    <row r="51" spans="1:26" ht="27" customHeight="1" x14ac:dyDescent="0.35">
      <c r="A51" s="8"/>
      <c r="B51" s="8"/>
      <c r="C51" s="8"/>
      <c r="D51" s="8" t="s">
        <v>0</v>
      </c>
      <c r="E51" s="8" t="s">
        <v>0</v>
      </c>
      <c r="F51" s="10" t="s">
        <v>0</v>
      </c>
      <c r="G51" s="8"/>
      <c r="H51" s="8"/>
      <c r="I51" s="17" t="s">
        <v>0</v>
      </c>
      <c r="J51" s="8" t="s">
        <v>0</v>
      </c>
      <c r="K51" s="8" t="s">
        <v>0</v>
      </c>
      <c r="L51" s="17" t="s">
        <v>0</v>
      </c>
      <c r="M51" s="8"/>
      <c r="N51" s="6" t="str">
        <f>IFERROR(VLOOKUP(M51,Hoja1!$F$2:$H$28,2,0)," ")</f>
        <v xml:space="preserve"> </v>
      </c>
      <c r="O51" s="7" t="str">
        <f>IFERROR(IF(K51="NO",VLOOKUP(M51,Hoja1!$F$2:$I$28,3,0),VLOOKUP(M51,Hoja1!$F$2:$I$28,4,0))," ")</f>
        <v xml:space="preserve"> </v>
      </c>
      <c r="P51" s="24"/>
      <c r="Q51" s="23" t="s">
        <v>0</v>
      </c>
      <c r="R51" s="24" t="s">
        <v>0</v>
      </c>
      <c r="S51" s="25"/>
      <c r="T51" s="25"/>
      <c r="U51" s="14"/>
      <c r="V51" s="18" t="s">
        <v>0</v>
      </c>
      <c r="W51" s="15" t="e">
        <f t="shared" si="0"/>
        <v>#VALUE!</v>
      </c>
      <c r="X51" s="16" t="e">
        <f t="shared" si="1"/>
        <v>#VALUE!</v>
      </c>
      <c r="Y51" s="10"/>
      <c r="Z51" s="13" t="s">
        <v>20</v>
      </c>
    </row>
    <row r="52" spans="1:26" ht="27" customHeight="1" x14ac:dyDescent="0.35">
      <c r="A52" s="8"/>
      <c r="B52" s="8"/>
      <c r="C52" s="8"/>
      <c r="D52" s="8" t="s">
        <v>0</v>
      </c>
      <c r="E52" s="8" t="s">
        <v>0</v>
      </c>
      <c r="F52" s="10" t="s">
        <v>0</v>
      </c>
      <c r="G52" s="8"/>
      <c r="H52" s="8"/>
      <c r="I52" s="17" t="s">
        <v>0</v>
      </c>
      <c r="J52" s="8" t="s">
        <v>0</v>
      </c>
      <c r="K52" s="8" t="s">
        <v>0</v>
      </c>
      <c r="L52" s="17" t="s">
        <v>0</v>
      </c>
      <c r="M52" s="8"/>
      <c r="N52" s="6" t="str">
        <f>IFERROR(VLOOKUP(M52,Hoja1!$F$2:$H$28,2,0)," ")</f>
        <v xml:space="preserve"> </v>
      </c>
      <c r="O52" s="7" t="str">
        <f>IFERROR(IF(K52="NO",VLOOKUP(M52,Hoja1!$F$2:$I$28,3,0),VLOOKUP(M52,Hoja1!$F$2:$I$28,4,0))," ")</f>
        <v xml:space="preserve"> </v>
      </c>
      <c r="P52" s="24"/>
      <c r="Q52" s="23" t="s">
        <v>0</v>
      </c>
      <c r="R52" s="24" t="s">
        <v>0</v>
      </c>
      <c r="S52" s="25"/>
      <c r="T52" s="25"/>
      <c r="U52" s="14"/>
      <c r="V52" s="18" t="s">
        <v>0</v>
      </c>
      <c r="W52" s="15" t="e">
        <f t="shared" si="0"/>
        <v>#VALUE!</v>
      </c>
      <c r="X52" s="16" t="e">
        <f t="shared" si="1"/>
        <v>#VALUE!</v>
      </c>
      <c r="Y52" s="10"/>
      <c r="Z52" s="13" t="s">
        <v>20</v>
      </c>
    </row>
    <row r="53" spans="1:26" ht="27" customHeight="1" x14ac:dyDescent="0.35">
      <c r="A53" s="8"/>
      <c r="B53" s="8"/>
      <c r="C53" s="8"/>
      <c r="D53" s="8" t="s">
        <v>0</v>
      </c>
      <c r="E53" s="8" t="s">
        <v>0</v>
      </c>
      <c r="F53" s="10" t="s">
        <v>0</v>
      </c>
      <c r="G53" s="8"/>
      <c r="H53" s="8"/>
      <c r="I53" s="17" t="s">
        <v>0</v>
      </c>
      <c r="J53" s="8" t="s">
        <v>0</v>
      </c>
      <c r="K53" s="8" t="s">
        <v>0</v>
      </c>
      <c r="L53" s="17" t="s">
        <v>0</v>
      </c>
      <c r="M53" s="8"/>
      <c r="N53" s="6" t="str">
        <f>IFERROR(VLOOKUP(M53,Hoja1!$F$2:$H$28,2,0)," ")</f>
        <v xml:space="preserve"> </v>
      </c>
      <c r="O53" s="7" t="str">
        <f>IFERROR(IF(K53="NO",VLOOKUP(M53,Hoja1!$F$2:$I$28,3,0),VLOOKUP(M53,Hoja1!$F$2:$I$28,4,0))," ")</f>
        <v xml:space="preserve"> </v>
      </c>
      <c r="P53" s="24"/>
      <c r="Q53" s="23" t="s">
        <v>0</v>
      </c>
      <c r="R53" s="24" t="s">
        <v>0</v>
      </c>
      <c r="S53" s="25"/>
      <c r="T53" s="25"/>
      <c r="U53" s="14"/>
      <c r="V53" s="18" t="s">
        <v>0</v>
      </c>
      <c r="W53" s="15" t="e">
        <f t="shared" si="0"/>
        <v>#VALUE!</v>
      </c>
      <c r="X53" s="16" t="e">
        <f t="shared" si="1"/>
        <v>#VALUE!</v>
      </c>
      <c r="Y53" s="10"/>
      <c r="Z53" s="13" t="s">
        <v>20</v>
      </c>
    </row>
    <row r="54" spans="1:26" ht="27" customHeight="1" x14ac:dyDescent="0.35">
      <c r="A54" s="8"/>
      <c r="B54" s="8"/>
      <c r="C54" s="8"/>
      <c r="D54" s="8" t="s">
        <v>0</v>
      </c>
      <c r="E54" s="8" t="s">
        <v>0</v>
      </c>
      <c r="F54" s="10" t="s">
        <v>0</v>
      </c>
      <c r="G54" s="8"/>
      <c r="H54" s="8"/>
      <c r="I54" s="17" t="s">
        <v>0</v>
      </c>
      <c r="J54" s="8" t="s">
        <v>0</v>
      </c>
      <c r="K54" s="8" t="s">
        <v>0</v>
      </c>
      <c r="L54" s="17" t="s">
        <v>0</v>
      </c>
      <c r="M54" s="8"/>
      <c r="N54" s="6" t="str">
        <f>IFERROR(VLOOKUP(M54,Hoja1!$F$2:$H$28,2,0)," ")</f>
        <v xml:space="preserve"> </v>
      </c>
      <c r="O54" s="7" t="str">
        <f>IFERROR(IF(K54="NO",VLOOKUP(M54,Hoja1!$F$2:$I$28,3,0),VLOOKUP(M54,Hoja1!$F$2:$I$28,4,0))," ")</f>
        <v xml:space="preserve"> </v>
      </c>
      <c r="P54" s="24"/>
      <c r="Q54" s="23" t="s">
        <v>0</v>
      </c>
      <c r="R54" s="24" t="s">
        <v>0</v>
      </c>
      <c r="S54" s="25"/>
      <c r="T54" s="25"/>
      <c r="U54" s="14"/>
      <c r="V54" s="18" t="s">
        <v>0</v>
      </c>
      <c r="W54" s="15" t="e">
        <f t="shared" si="0"/>
        <v>#VALUE!</v>
      </c>
      <c r="X54" s="16" t="e">
        <f t="shared" si="1"/>
        <v>#VALUE!</v>
      </c>
      <c r="Y54" s="10"/>
      <c r="Z54" s="13" t="s">
        <v>20</v>
      </c>
    </row>
    <row r="55" spans="1:26" ht="27" customHeight="1" x14ac:dyDescent="0.35">
      <c r="A55" s="8"/>
      <c r="B55" s="8"/>
      <c r="C55" s="8"/>
      <c r="D55" s="8" t="s">
        <v>0</v>
      </c>
      <c r="E55" s="8" t="s">
        <v>0</v>
      </c>
      <c r="F55" s="10" t="s">
        <v>0</v>
      </c>
      <c r="G55" s="8"/>
      <c r="H55" s="8"/>
      <c r="I55" s="17" t="s">
        <v>0</v>
      </c>
      <c r="J55" s="8" t="s">
        <v>0</v>
      </c>
      <c r="K55" s="8" t="s">
        <v>0</v>
      </c>
      <c r="L55" s="17" t="s">
        <v>0</v>
      </c>
      <c r="M55" s="8"/>
      <c r="N55" s="6" t="str">
        <f>IFERROR(VLOOKUP(M55,Hoja1!$F$2:$H$28,2,0)," ")</f>
        <v xml:space="preserve"> </v>
      </c>
      <c r="O55" s="7" t="str">
        <f>IFERROR(IF(K55="NO",VLOOKUP(M55,Hoja1!$F$2:$I$28,3,0),VLOOKUP(M55,Hoja1!$F$2:$I$28,4,0))," ")</f>
        <v xml:space="preserve"> </v>
      </c>
      <c r="P55" s="24"/>
      <c r="Q55" s="23" t="s">
        <v>0</v>
      </c>
      <c r="R55" s="24" t="s">
        <v>0</v>
      </c>
      <c r="S55" s="25"/>
      <c r="T55" s="25"/>
      <c r="U55" s="14"/>
      <c r="V55" s="18" t="s">
        <v>0</v>
      </c>
      <c r="W55" s="15" t="e">
        <f t="shared" si="0"/>
        <v>#VALUE!</v>
      </c>
      <c r="X55" s="16" t="e">
        <f t="shared" si="1"/>
        <v>#VALUE!</v>
      </c>
      <c r="Y55" s="10"/>
      <c r="Z55" s="13" t="s">
        <v>20</v>
      </c>
    </row>
    <row r="56" spans="1:26" ht="27" customHeight="1" x14ac:dyDescent="0.35">
      <c r="A56" s="8"/>
      <c r="B56" s="8"/>
      <c r="C56" s="8"/>
      <c r="D56" s="8" t="s">
        <v>0</v>
      </c>
      <c r="E56" s="8" t="s">
        <v>0</v>
      </c>
      <c r="F56" s="10" t="s">
        <v>0</v>
      </c>
      <c r="G56" s="8"/>
      <c r="H56" s="8"/>
      <c r="I56" s="17" t="s">
        <v>0</v>
      </c>
      <c r="J56" s="8" t="s">
        <v>0</v>
      </c>
      <c r="K56" s="8" t="s">
        <v>0</v>
      </c>
      <c r="L56" s="17" t="s">
        <v>0</v>
      </c>
      <c r="M56" s="8"/>
      <c r="N56" s="6" t="str">
        <f>IFERROR(VLOOKUP(M56,Hoja1!$F$2:$H$28,2,0)," ")</f>
        <v xml:space="preserve"> </v>
      </c>
      <c r="O56" s="7" t="str">
        <f>IFERROR(IF(K56="NO",VLOOKUP(M56,Hoja1!$F$2:$I$28,3,0),VLOOKUP(M56,Hoja1!$F$2:$I$28,4,0))," ")</f>
        <v xml:space="preserve"> </v>
      </c>
      <c r="P56" s="24"/>
      <c r="Q56" s="23" t="s">
        <v>0</v>
      </c>
      <c r="R56" s="24" t="s">
        <v>0</v>
      </c>
      <c r="S56" s="25"/>
      <c r="T56" s="25"/>
      <c r="U56" s="14"/>
      <c r="V56" s="18" t="s">
        <v>0</v>
      </c>
      <c r="W56" s="15" t="e">
        <f t="shared" si="0"/>
        <v>#VALUE!</v>
      </c>
      <c r="X56" s="16" t="e">
        <f t="shared" si="1"/>
        <v>#VALUE!</v>
      </c>
      <c r="Y56" s="10"/>
      <c r="Z56" s="13" t="s">
        <v>20</v>
      </c>
    </row>
    <row r="57" spans="1:26" ht="27" customHeight="1" x14ac:dyDescent="0.35">
      <c r="A57" s="8"/>
      <c r="B57" s="8"/>
      <c r="C57" s="8"/>
      <c r="D57" s="8" t="s">
        <v>0</v>
      </c>
      <c r="E57" s="8" t="s">
        <v>0</v>
      </c>
      <c r="F57" s="10" t="s">
        <v>0</v>
      </c>
      <c r="G57" s="8"/>
      <c r="H57" s="8"/>
      <c r="I57" s="17" t="s">
        <v>0</v>
      </c>
      <c r="J57" s="8" t="s">
        <v>0</v>
      </c>
      <c r="K57" s="8" t="s">
        <v>0</v>
      </c>
      <c r="L57" s="17" t="s">
        <v>0</v>
      </c>
      <c r="M57" s="8"/>
      <c r="N57" s="6" t="str">
        <f>IFERROR(VLOOKUP(M57,Hoja1!$F$2:$H$28,2,0)," ")</f>
        <v xml:space="preserve"> </v>
      </c>
      <c r="O57" s="7" t="str">
        <f>IFERROR(IF(K57="NO",VLOOKUP(M57,Hoja1!$F$2:$I$28,3,0),VLOOKUP(M57,Hoja1!$F$2:$I$28,4,0))," ")</f>
        <v xml:space="preserve"> </v>
      </c>
      <c r="P57" s="24"/>
      <c r="Q57" s="23" t="s">
        <v>0</v>
      </c>
      <c r="R57" s="24" t="s">
        <v>0</v>
      </c>
      <c r="S57" s="25"/>
      <c r="T57" s="25"/>
      <c r="U57" s="14"/>
      <c r="V57" s="18" t="s">
        <v>0</v>
      </c>
      <c r="W57" s="15" t="e">
        <f t="shared" si="0"/>
        <v>#VALUE!</v>
      </c>
      <c r="X57" s="16" t="e">
        <f t="shared" si="1"/>
        <v>#VALUE!</v>
      </c>
      <c r="Y57" s="10"/>
      <c r="Z57" s="13" t="s">
        <v>20</v>
      </c>
    </row>
    <row r="58" spans="1:26" ht="27" customHeight="1" x14ac:dyDescent="0.35">
      <c r="A58" s="8"/>
      <c r="B58" s="8"/>
      <c r="C58" s="8"/>
      <c r="D58" s="8" t="s">
        <v>0</v>
      </c>
      <c r="E58" s="8" t="s">
        <v>0</v>
      </c>
      <c r="F58" s="10" t="s">
        <v>0</v>
      </c>
      <c r="G58" s="8"/>
      <c r="H58" s="8"/>
      <c r="I58" s="17" t="s">
        <v>0</v>
      </c>
      <c r="J58" s="8" t="s">
        <v>0</v>
      </c>
      <c r="K58" s="8" t="s">
        <v>0</v>
      </c>
      <c r="L58" s="17" t="s">
        <v>0</v>
      </c>
      <c r="M58" s="8"/>
      <c r="N58" s="6" t="str">
        <f>IFERROR(VLOOKUP(M58,Hoja1!$F$2:$H$28,2,0)," ")</f>
        <v xml:space="preserve"> </v>
      </c>
      <c r="O58" s="7" t="str">
        <f>IFERROR(IF(K58="NO",VLOOKUP(M58,Hoja1!$F$2:$I$28,3,0),VLOOKUP(M58,Hoja1!$F$2:$I$28,4,0))," ")</f>
        <v xml:space="preserve"> </v>
      </c>
      <c r="P58" s="24"/>
      <c r="Q58" s="23" t="s">
        <v>0</v>
      </c>
      <c r="R58" s="24" t="s">
        <v>0</v>
      </c>
      <c r="S58" s="25"/>
      <c r="T58" s="25"/>
      <c r="U58" s="14"/>
      <c r="V58" s="18" t="s">
        <v>0</v>
      </c>
      <c r="W58" s="15" t="e">
        <f t="shared" si="0"/>
        <v>#VALUE!</v>
      </c>
      <c r="X58" s="16" t="e">
        <f t="shared" si="1"/>
        <v>#VALUE!</v>
      </c>
      <c r="Y58" s="10"/>
      <c r="Z58" s="13" t="s">
        <v>20</v>
      </c>
    </row>
    <row r="59" spans="1:26" ht="27" customHeight="1" x14ac:dyDescent="0.35">
      <c r="A59" s="8"/>
      <c r="B59" s="8"/>
      <c r="C59" s="8"/>
      <c r="D59" s="8" t="s">
        <v>0</v>
      </c>
      <c r="E59" s="8" t="s">
        <v>0</v>
      </c>
      <c r="F59" s="10" t="s">
        <v>0</v>
      </c>
      <c r="G59" s="8"/>
      <c r="H59" s="8"/>
      <c r="I59" s="17" t="s">
        <v>0</v>
      </c>
      <c r="J59" s="8" t="s">
        <v>0</v>
      </c>
      <c r="K59" s="8" t="s">
        <v>0</v>
      </c>
      <c r="L59" s="17" t="s">
        <v>0</v>
      </c>
      <c r="M59" s="8"/>
      <c r="N59" s="6" t="str">
        <f>IFERROR(VLOOKUP(M59,Hoja1!$F$2:$H$28,2,0)," ")</f>
        <v xml:space="preserve"> </v>
      </c>
      <c r="O59" s="7" t="str">
        <f>IFERROR(IF(K59="NO",VLOOKUP(M59,Hoja1!$F$2:$I$28,3,0),VLOOKUP(M59,Hoja1!$F$2:$I$28,4,0))," ")</f>
        <v xml:space="preserve"> </v>
      </c>
      <c r="P59" s="24"/>
      <c r="Q59" s="23" t="s">
        <v>0</v>
      </c>
      <c r="R59" s="24" t="s">
        <v>0</v>
      </c>
      <c r="S59" s="25"/>
      <c r="T59" s="25"/>
      <c r="U59" s="14"/>
      <c r="V59" s="18" t="s">
        <v>0</v>
      </c>
      <c r="W59" s="15" t="e">
        <f t="shared" si="0"/>
        <v>#VALUE!</v>
      </c>
      <c r="X59" s="16" t="e">
        <f t="shared" si="1"/>
        <v>#VALUE!</v>
      </c>
      <c r="Y59" s="10"/>
      <c r="Z59" s="13" t="s">
        <v>20</v>
      </c>
    </row>
    <row r="60" spans="1:26" ht="27" customHeight="1" x14ac:dyDescent="0.35">
      <c r="A60" s="8"/>
      <c r="B60" s="8"/>
      <c r="C60" s="8"/>
      <c r="D60" s="8" t="s">
        <v>0</v>
      </c>
      <c r="E60" s="8" t="s">
        <v>0</v>
      </c>
      <c r="F60" s="10" t="s">
        <v>0</v>
      </c>
      <c r="G60" s="8"/>
      <c r="H60" s="8"/>
      <c r="I60" s="17" t="s">
        <v>0</v>
      </c>
      <c r="J60" s="8" t="s">
        <v>0</v>
      </c>
      <c r="K60" s="8" t="s">
        <v>0</v>
      </c>
      <c r="L60" s="17" t="s">
        <v>0</v>
      </c>
      <c r="M60" s="8"/>
      <c r="N60" s="6" t="str">
        <f>IFERROR(VLOOKUP(M60,Hoja1!$F$2:$H$28,2,0)," ")</f>
        <v xml:space="preserve"> </v>
      </c>
      <c r="O60" s="7" t="str">
        <f>IFERROR(IF(K60="NO",VLOOKUP(M60,Hoja1!$F$2:$I$28,3,0),VLOOKUP(M60,Hoja1!$F$2:$I$28,4,0))," ")</f>
        <v xml:space="preserve"> </v>
      </c>
      <c r="P60" s="24"/>
      <c r="Q60" s="23" t="s">
        <v>0</v>
      </c>
      <c r="R60" s="24" t="s">
        <v>0</v>
      </c>
      <c r="S60" s="25"/>
      <c r="T60" s="25"/>
      <c r="U60" s="14"/>
      <c r="V60" s="18" t="s">
        <v>0</v>
      </c>
      <c r="W60" s="15" t="e">
        <f t="shared" si="0"/>
        <v>#VALUE!</v>
      </c>
      <c r="X60" s="16" t="e">
        <f t="shared" si="1"/>
        <v>#VALUE!</v>
      </c>
      <c r="Y60" s="10"/>
      <c r="Z60" s="13" t="s">
        <v>20</v>
      </c>
    </row>
    <row r="61" spans="1:26" ht="27" customHeight="1" x14ac:dyDescent="0.35">
      <c r="A61" s="8"/>
      <c r="B61" s="8"/>
      <c r="C61" s="8"/>
      <c r="D61" s="8" t="s">
        <v>0</v>
      </c>
      <c r="E61" s="8" t="s">
        <v>0</v>
      </c>
      <c r="F61" s="10" t="s">
        <v>0</v>
      </c>
      <c r="G61" s="8"/>
      <c r="H61" s="8"/>
      <c r="I61" s="17" t="s">
        <v>0</v>
      </c>
      <c r="J61" s="8" t="s">
        <v>0</v>
      </c>
      <c r="K61" s="8" t="s">
        <v>0</v>
      </c>
      <c r="L61" s="17" t="s">
        <v>0</v>
      </c>
      <c r="M61" s="8"/>
      <c r="N61" s="6" t="str">
        <f>IFERROR(VLOOKUP(M61,Hoja1!$F$2:$H$28,2,0)," ")</f>
        <v xml:space="preserve"> </v>
      </c>
      <c r="O61" s="7" t="str">
        <f>IFERROR(IF(K61="NO",VLOOKUP(M61,Hoja1!$F$2:$I$28,3,0),VLOOKUP(M61,Hoja1!$F$2:$I$28,4,0))," ")</f>
        <v xml:space="preserve"> </v>
      </c>
      <c r="P61" s="24"/>
      <c r="Q61" s="23" t="s">
        <v>0</v>
      </c>
      <c r="R61" s="24" t="s">
        <v>0</v>
      </c>
      <c r="S61" s="25"/>
      <c r="T61" s="25"/>
      <c r="U61" s="14"/>
      <c r="V61" s="18" t="s">
        <v>0</v>
      </c>
      <c r="W61" s="15" t="e">
        <f t="shared" si="0"/>
        <v>#VALUE!</v>
      </c>
      <c r="X61" s="16" t="e">
        <f t="shared" si="1"/>
        <v>#VALUE!</v>
      </c>
      <c r="Y61" s="10"/>
      <c r="Z61" s="13" t="s">
        <v>20</v>
      </c>
    </row>
    <row r="62" spans="1:26" ht="27" customHeight="1" x14ac:dyDescent="0.35">
      <c r="A62" s="8"/>
      <c r="B62" s="8"/>
      <c r="C62" s="8"/>
      <c r="D62" s="8" t="s">
        <v>0</v>
      </c>
      <c r="E62" s="8" t="s">
        <v>0</v>
      </c>
      <c r="F62" s="10" t="s">
        <v>0</v>
      </c>
      <c r="G62" s="8"/>
      <c r="H62" s="8"/>
      <c r="I62" s="17" t="s">
        <v>0</v>
      </c>
      <c r="J62" s="8" t="s">
        <v>0</v>
      </c>
      <c r="K62" s="8" t="s">
        <v>0</v>
      </c>
      <c r="L62" s="17" t="s">
        <v>0</v>
      </c>
      <c r="M62" s="8"/>
      <c r="N62" s="6" t="str">
        <f>IFERROR(VLOOKUP(M62,Hoja1!$F$2:$H$28,2,0)," ")</f>
        <v xml:space="preserve"> </v>
      </c>
      <c r="O62" s="7" t="str">
        <f>IFERROR(IF(K62="NO",VLOOKUP(M62,Hoja1!$F$2:$I$28,3,0),VLOOKUP(M62,Hoja1!$F$2:$I$28,4,0))," ")</f>
        <v xml:space="preserve"> </v>
      </c>
      <c r="P62" s="24"/>
      <c r="Q62" s="23" t="s">
        <v>0</v>
      </c>
      <c r="R62" s="24" t="s">
        <v>0</v>
      </c>
      <c r="S62" s="25"/>
      <c r="T62" s="25"/>
      <c r="U62" s="14"/>
      <c r="V62" s="18" t="s">
        <v>0</v>
      </c>
      <c r="W62" s="15" t="e">
        <f t="shared" si="0"/>
        <v>#VALUE!</v>
      </c>
      <c r="X62" s="16" t="e">
        <f t="shared" si="1"/>
        <v>#VALUE!</v>
      </c>
      <c r="Y62" s="10"/>
      <c r="Z62" s="13" t="s">
        <v>20</v>
      </c>
    </row>
    <row r="63" spans="1:26" ht="27" customHeight="1" x14ac:dyDescent="0.35">
      <c r="A63" s="8"/>
      <c r="B63" s="8"/>
      <c r="C63" s="8"/>
      <c r="D63" s="8" t="s">
        <v>0</v>
      </c>
      <c r="E63" s="8" t="s">
        <v>0</v>
      </c>
      <c r="F63" s="10" t="s">
        <v>0</v>
      </c>
      <c r="G63" s="8"/>
      <c r="H63" s="8"/>
      <c r="I63" s="17" t="s">
        <v>0</v>
      </c>
      <c r="J63" s="8" t="s">
        <v>0</v>
      </c>
      <c r="K63" s="8" t="s">
        <v>0</v>
      </c>
      <c r="L63" s="17" t="s">
        <v>0</v>
      </c>
      <c r="M63" s="8"/>
      <c r="N63" s="6" t="str">
        <f>IFERROR(VLOOKUP(M63,Hoja1!$F$2:$H$28,2,0)," ")</f>
        <v xml:space="preserve"> </v>
      </c>
      <c r="O63" s="7" t="str">
        <f>IFERROR(IF(K63="NO",VLOOKUP(M63,Hoja1!$F$2:$I$28,3,0),VLOOKUP(M63,Hoja1!$F$2:$I$28,4,0))," ")</f>
        <v xml:space="preserve"> </v>
      </c>
      <c r="P63" s="24"/>
      <c r="Q63" s="23" t="s">
        <v>0</v>
      </c>
      <c r="R63" s="24" t="s">
        <v>0</v>
      </c>
      <c r="S63" s="25"/>
      <c r="T63" s="25"/>
      <c r="U63" s="14"/>
      <c r="V63" s="18" t="s">
        <v>0</v>
      </c>
      <c r="W63" s="15" t="e">
        <f t="shared" si="0"/>
        <v>#VALUE!</v>
      </c>
      <c r="X63" s="16" t="e">
        <f t="shared" si="1"/>
        <v>#VALUE!</v>
      </c>
      <c r="Y63" s="10"/>
      <c r="Z63" s="13" t="s">
        <v>20</v>
      </c>
    </row>
    <row r="64" spans="1:26" ht="27" customHeight="1" x14ac:dyDescent="0.35">
      <c r="A64" s="8"/>
      <c r="B64" s="8"/>
      <c r="C64" s="8"/>
      <c r="D64" s="8" t="s">
        <v>0</v>
      </c>
      <c r="E64" s="8" t="s">
        <v>0</v>
      </c>
      <c r="F64" s="10" t="s">
        <v>0</v>
      </c>
      <c r="G64" s="8"/>
      <c r="H64" s="8"/>
      <c r="I64" s="17" t="s">
        <v>0</v>
      </c>
      <c r="J64" s="8" t="s">
        <v>0</v>
      </c>
      <c r="K64" s="8" t="s">
        <v>0</v>
      </c>
      <c r="L64" s="17" t="s">
        <v>0</v>
      </c>
      <c r="M64" s="8"/>
      <c r="N64" s="6" t="str">
        <f>IFERROR(VLOOKUP(M64,Hoja1!$F$2:$H$28,2,0)," ")</f>
        <v xml:space="preserve"> </v>
      </c>
      <c r="O64" s="7" t="str">
        <f>IFERROR(IF(K64="NO",VLOOKUP(M64,Hoja1!$F$2:$I$28,3,0),VLOOKUP(M64,Hoja1!$F$2:$I$28,4,0))," ")</f>
        <v xml:space="preserve"> </v>
      </c>
      <c r="P64" s="24"/>
      <c r="Q64" s="23" t="s">
        <v>0</v>
      </c>
      <c r="R64" s="24" t="s">
        <v>0</v>
      </c>
      <c r="S64" s="25"/>
      <c r="T64" s="25"/>
      <c r="U64" s="14"/>
      <c r="V64" s="18" t="s">
        <v>0</v>
      </c>
      <c r="W64" s="15" t="e">
        <f t="shared" si="0"/>
        <v>#VALUE!</v>
      </c>
      <c r="X64" s="16" t="e">
        <f t="shared" si="1"/>
        <v>#VALUE!</v>
      </c>
      <c r="Y64" s="10"/>
      <c r="Z64" s="13" t="s">
        <v>20</v>
      </c>
    </row>
    <row r="65" spans="1:26" ht="27" customHeight="1" x14ac:dyDescent="0.35">
      <c r="A65" s="8"/>
      <c r="B65" s="8"/>
      <c r="C65" s="8"/>
      <c r="D65" s="8" t="s">
        <v>0</v>
      </c>
      <c r="E65" s="8" t="s">
        <v>0</v>
      </c>
      <c r="F65" s="10" t="s">
        <v>0</v>
      </c>
      <c r="G65" s="8"/>
      <c r="H65" s="8"/>
      <c r="I65" s="17" t="s">
        <v>0</v>
      </c>
      <c r="J65" s="8" t="s">
        <v>0</v>
      </c>
      <c r="K65" s="8" t="s">
        <v>0</v>
      </c>
      <c r="L65" s="17" t="s">
        <v>0</v>
      </c>
      <c r="M65" s="8"/>
      <c r="N65" s="6" t="str">
        <f>IFERROR(VLOOKUP(M65,Hoja1!$F$2:$H$28,2,0)," ")</f>
        <v xml:space="preserve"> </v>
      </c>
      <c r="O65" s="7" t="str">
        <f>IFERROR(IF(K65="NO",VLOOKUP(M65,Hoja1!$F$2:$I$28,3,0),VLOOKUP(M65,Hoja1!$F$2:$I$28,4,0))," ")</f>
        <v xml:space="preserve"> </v>
      </c>
      <c r="P65" s="24"/>
      <c r="Q65" s="23" t="s">
        <v>0</v>
      </c>
      <c r="R65" s="24" t="s">
        <v>0</v>
      </c>
      <c r="S65" s="25"/>
      <c r="T65" s="25"/>
      <c r="U65" s="14"/>
      <c r="V65" s="18" t="s">
        <v>0</v>
      </c>
      <c r="W65" s="15" t="e">
        <f t="shared" ref="W65:W70" si="2">V65*O65</f>
        <v>#VALUE!</v>
      </c>
      <c r="X65" s="16" t="e">
        <f t="shared" ref="X65:X70" si="3">O65-W65</f>
        <v>#VALUE!</v>
      </c>
      <c r="Y65" s="10"/>
      <c r="Z65" s="13" t="s">
        <v>20</v>
      </c>
    </row>
    <row r="66" spans="1:26" ht="27" customHeight="1" x14ac:dyDescent="0.35">
      <c r="A66" s="8"/>
      <c r="B66" s="8"/>
      <c r="C66" s="8"/>
      <c r="D66" s="8" t="s">
        <v>0</v>
      </c>
      <c r="E66" s="8" t="s">
        <v>0</v>
      </c>
      <c r="F66" s="10" t="s">
        <v>0</v>
      </c>
      <c r="G66" s="8"/>
      <c r="H66" s="8"/>
      <c r="I66" s="17" t="s">
        <v>0</v>
      </c>
      <c r="J66" s="8" t="s">
        <v>0</v>
      </c>
      <c r="K66" s="8" t="s">
        <v>0</v>
      </c>
      <c r="L66" s="17" t="s">
        <v>0</v>
      </c>
      <c r="M66" s="8"/>
      <c r="N66" s="6" t="str">
        <f>IFERROR(VLOOKUP(M66,Hoja1!$F$2:$H$28,2,0)," ")</f>
        <v xml:space="preserve"> </v>
      </c>
      <c r="O66" s="7" t="str">
        <f>IFERROR(IF(K66="NO",VLOOKUP(M66,Hoja1!$F$2:$I$28,3,0),VLOOKUP(M66,Hoja1!$F$2:$I$28,4,0))," ")</f>
        <v xml:space="preserve"> </v>
      </c>
      <c r="P66" s="24"/>
      <c r="Q66" s="23" t="s">
        <v>0</v>
      </c>
      <c r="R66" s="24" t="s">
        <v>0</v>
      </c>
      <c r="S66" s="25"/>
      <c r="T66" s="25"/>
      <c r="U66" s="14"/>
      <c r="V66" s="18" t="s">
        <v>0</v>
      </c>
      <c r="W66" s="15" t="e">
        <f t="shared" si="2"/>
        <v>#VALUE!</v>
      </c>
      <c r="X66" s="16" t="e">
        <f t="shared" si="3"/>
        <v>#VALUE!</v>
      </c>
      <c r="Y66" s="10"/>
      <c r="Z66" s="13" t="s">
        <v>20</v>
      </c>
    </row>
    <row r="67" spans="1:26" ht="27" customHeight="1" x14ac:dyDescent="0.35">
      <c r="A67" s="8"/>
      <c r="B67" s="8"/>
      <c r="C67" s="8"/>
      <c r="D67" s="8" t="s">
        <v>0</v>
      </c>
      <c r="E67" s="8" t="s">
        <v>0</v>
      </c>
      <c r="F67" s="10" t="s">
        <v>0</v>
      </c>
      <c r="G67" s="8"/>
      <c r="H67" s="8"/>
      <c r="I67" s="17" t="s">
        <v>0</v>
      </c>
      <c r="J67" s="8" t="s">
        <v>0</v>
      </c>
      <c r="K67" s="8" t="s">
        <v>0</v>
      </c>
      <c r="L67" s="17" t="s">
        <v>0</v>
      </c>
      <c r="M67" s="8"/>
      <c r="N67" s="6" t="str">
        <f>IFERROR(VLOOKUP(M67,Hoja1!$F$2:$H$28,2,0)," ")</f>
        <v xml:space="preserve"> </v>
      </c>
      <c r="O67" s="7" t="str">
        <f>IFERROR(IF(K67="NO",VLOOKUP(M67,Hoja1!$F$2:$I$28,3,0),VLOOKUP(M67,Hoja1!$F$2:$I$28,4,0))," ")</f>
        <v xml:space="preserve"> </v>
      </c>
      <c r="P67" s="24"/>
      <c r="Q67" s="23" t="s">
        <v>0</v>
      </c>
      <c r="R67" s="24" t="s">
        <v>0</v>
      </c>
      <c r="S67" s="25"/>
      <c r="T67" s="25"/>
      <c r="U67" s="14"/>
      <c r="V67" s="18" t="s">
        <v>0</v>
      </c>
      <c r="W67" s="15" t="e">
        <f t="shared" si="2"/>
        <v>#VALUE!</v>
      </c>
      <c r="X67" s="16" t="e">
        <f t="shared" si="3"/>
        <v>#VALUE!</v>
      </c>
      <c r="Y67" s="10"/>
      <c r="Z67" s="13" t="s">
        <v>20</v>
      </c>
    </row>
    <row r="68" spans="1:26" ht="27" customHeight="1" x14ac:dyDescent="0.35">
      <c r="A68" s="8"/>
      <c r="B68" s="8"/>
      <c r="C68" s="8"/>
      <c r="D68" s="8" t="s">
        <v>0</v>
      </c>
      <c r="E68" s="8" t="s">
        <v>0</v>
      </c>
      <c r="F68" s="10" t="s">
        <v>0</v>
      </c>
      <c r="G68" s="8"/>
      <c r="H68" s="8"/>
      <c r="I68" s="17" t="s">
        <v>0</v>
      </c>
      <c r="J68" s="8" t="s">
        <v>0</v>
      </c>
      <c r="K68" s="8" t="s">
        <v>0</v>
      </c>
      <c r="L68" s="17" t="s">
        <v>0</v>
      </c>
      <c r="M68" s="8"/>
      <c r="N68" s="6" t="str">
        <f>IFERROR(VLOOKUP(M68,Hoja1!$F$2:$H$28,2,0)," ")</f>
        <v xml:space="preserve"> </v>
      </c>
      <c r="O68" s="7" t="str">
        <f>IFERROR(IF(K68="NO",VLOOKUP(M68,Hoja1!$F$2:$I$28,3,0),VLOOKUP(M68,Hoja1!$F$2:$I$28,4,0))," ")</f>
        <v xml:space="preserve"> </v>
      </c>
      <c r="P68" s="24"/>
      <c r="Q68" s="23" t="s">
        <v>0</v>
      </c>
      <c r="R68" s="24" t="s">
        <v>0</v>
      </c>
      <c r="S68" s="25"/>
      <c r="T68" s="25"/>
      <c r="U68" s="14"/>
      <c r="V68" s="18" t="s">
        <v>0</v>
      </c>
      <c r="W68" s="15" t="e">
        <f t="shared" si="2"/>
        <v>#VALUE!</v>
      </c>
      <c r="X68" s="16" t="e">
        <f t="shared" si="3"/>
        <v>#VALUE!</v>
      </c>
      <c r="Y68" s="10"/>
      <c r="Z68" s="13" t="s">
        <v>20</v>
      </c>
    </row>
    <row r="69" spans="1:26" ht="27" customHeight="1" x14ac:dyDescent="0.35">
      <c r="A69" s="8"/>
      <c r="B69" s="8"/>
      <c r="C69" s="8"/>
      <c r="D69" s="8" t="s">
        <v>0</v>
      </c>
      <c r="E69" s="8" t="s">
        <v>0</v>
      </c>
      <c r="F69" s="10" t="s">
        <v>0</v>
      </c>
      <c r="G69" s="8"/>
      <c r="H69" s="8"/>
      <c r="I69" s="17" t="s">
        <v>0</v>
      </c>
      <c r="J69" s="8" t="s">
        <v>0</v>
      </c>
      <c r="K69" s="8" t="s">
        <v>0</v>
      </c>
      <c r="L69" s="17" t="s">
        <v>0</v>
      </c>
      <c r="M69" s="8"/>
      <c r="N69" s="6" t="str">
        <f>IFERROR(VLOOKUP(M69,Hoja1!$F$2:$H$28,2,0)," ")</f>
        <v xml:space="preserve"> </v>
      </c>
      <c r="O69" s="7" t="str">
        <f>IFERROR(IF(K69="NO",VLOOKUP(M69,Hoja1!$F$2:$I$28,3,0),VLOOKUP(M69,Hoja1!$F$2:$I$28,4,0))," ")</f>
        <v xml:space="preserve"> </v>
      </c>
      <c r="P69" s="24"/>
      <c r="Q69" s="23" t="s">
        <v>0</v>
      </c>
      <c r="R69" s="24" t="s">
        <v>0</v>
      </c>
      <c r="S69" s="25"/>
      <c r="T69" s="25"/>
      <c r="U69" s="14"/>
      <c r="V69" s="18" t="s">
        <v>0</v>
      </c>
      <c r="W69" s="15" t="e">
        <f t="shared" si="2"/>
        <v>#VALUE!</v>
      </c>
      <c r="X69" s="16" t="e">
        <f t="shared" si="3"/>
        <v>#VALUE!</v>
      </c>
      <c r="Y69" s="10"/>
      <c r="Z69" s="13" t="s">
        <v>20</v>
      </c>
    </row>
    <row r="70" spans="1:26" ht="27" customHeight="1" x14ac:dyDescent="0.35">
      <c r="A70" s="8"/>
      <c r="B70" s="8"/>
      <c r="C70" s="8"/>
      <c r="D70" s="8" t="s">
        <v>0</v>
      </c>
      <c r="E70" s="8" t="s">
        <v>0</v>
      </c>
      <c r="F70" s="10" t="s">
        <v>0</v>
      </c>
      <c r="G70" s="8"/>
      <c r="H70" s="8"/>
      <c r="I70" s="17" t="s">
        <v>0</v>
      </c>
      <c r="J70" s="8" t="s">
        <v>0</v>
      </c>
      <c r="K70" s="8" t="s">
        <v>0</v>
      </c>
      <c r="L70" s="17" t="s">
        <v>0</v>
      </c>
      <c r="M70" s="8"/>
      <c r="N70" s="6" t="str">
        <f>IFERROR(VLOOKUP(M70,Hoja1!$F$2:$H$28,2,0)," ")</f>
        <v xml:space="preserve"> </v>
      </c>
      <c r="O70" s="7" t="str">
        <f>IFERROR(IF(K70="NO",VLOOKUP(M70,Hoja1!$F$2:$I$28,3,0),VLOOKUP(M70,Hoja1!$F$2:$I$28,4,0))," ")</f>
        <v xml:space="preserve"> </v>
      </c>
      <c r="P70" s="24"/>
      <c r="Q70" s="23" t="s">
        <v>0</v>
      </c>
      <c r="R70" s="24" t="s">
        <v>0</v>
      </c>
      <c r="S70" s="25"/>
      <c r="T70" s="25"/>
      <c r="U70" s="14"/>
      <c r="V70" s="18" t="s">
        <v>0</v>
      </c>
      <c r="W70" s="15" t="e">
        <f t="shared" si="2"/>
        <v>#VALUE!</v>
      </c>
      <c r="X70" s="16" t="e">
        <f t="shared" si="3"/>
        <v>#VALUE!</v>
      </c>
      <c r="Y70" s="10"/>
      <c r="Z70" s="13" t="s">
        <v>20</v>
      </c>
    </row>
  </sheetData>
  <mergeCells count="9">
    <mergeCell ref="S7:T7"/>
    <mergeCell ref="U7:U8"/>
    <mergeCell ref="J7:R7"/>
    <mergeCell ref="A7:I7"/>
    <mergeCell ref="Z7:Z8"/>
    <mergeCell ref="V7:V8"/>
    <mergeCell ref="W7:W8"/>
    <mergeCell ref="X7:X8"/>
    <mergeCell ref="Y7:Y8"/>
  </mergeCells>
  <conditionalFormatting sqref="W9:X70">
    <cfRule type="containsErrors" dxfId="47" priority="13">
      <formula>ISERROR(W9)</formula>
    </cfRule>
  </conditionalFormatting>
  <conditionalFormatting sqref="Z9:Z70">
    <cfRule type="containsText" dxfId="46" priority="11" operator="containsText" text="No aprobado">
      <formula>NOT(ISERROR(SEARCH("No aprobado",Z9)))</formula>
    </cfRule>
    <cfRule type="containsText" dxfId="45" priority="12" operator="containsText" text="Aprobado">
      <formula>NOT(ISERROR(SEARCH("Aprobado",Z9)))</formula>
    </cfRule>
  </conditionalFormatting>
  <conditionalFormatting sqref="W13:X13">
    <cfRule type="containsErrors" dxfId="44" priority="9">
      <formula>ISERROR(W13)</formula>
    </cfRule>
  </conditionalFormatting>
  <conditionalFormatting sqref="W14:X14">
    <cfRule type="containsErrors" dxfId="43" priority="6">
      <formula>ISERROR(W14)</formula>
    </cfRule>
  </conditionalFormatting>
  <dataValidations count="1">
    <dataValidation type="list" allowBlank="1" showInputMessage="1" showErrorMessage="1" sqref="M9:M70">
      <formula1>INDIRECT(L9)</formula1>
    </dataValidation>
  </dataValidations>
  <pageMargins left="0.7" right="0.7" top="0.75" bottom="0.75" header="0.3" footer="0.3"/>
  <pageSetup orientation="portrait" horizontalDpi="0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Hoja1!$K$2:$K$4</xm:f>
          </x14:formula1>
          <xm:sqref>Z9:Z70</xm:sqref>
        </x14:dataValidation>
        <x14:dataValidation type="list" allowBlank="1" showInputMessage="1" showErrorMessage="1">
          <x14:formula1>
            <xm:f>Hoja1!$L$2:$L$4</xm:f>
          </x14:formula1>
          <xm:sqref>F9:F70 J9:J70</xm:sqref>
        </x14:dataValidation>
        <x14:dataValidation type="list" allowBlank="1" showInputMessage="1" showErrorMessage="1">
          <x14:formula1>
            <xm:f>Hoja1!$M$2:$M$4</xm:f>
          </x14:formula1>
          <xm:sqref>I9:I70</xm:sqref>
        </x14:dataValidation>
        <x14:dataValidation type="list" allowBlank="1" showInputMessage="1" showErrorMessage="1">
          <x14:formula1>
            <xm:f>Hoja1!$N$2:$N$5</xm:f>
          </x14:formula1>
          <xm:sqref>D9:D70</xm:sqref>
        </x14:dataValidation>
        <x14:dataValidation type="list" allowBlank="1" showInputMessage="1" showErrorMessage="1">
          <x14:formula1>
            <xm:f>Hoja1!$A$1:$A$4</xm:f>
          </x14:formula1>
          <xm:sqref>L9:L70</xm:sqref>
        </x14:dataValidation>
        <x14:dataValidation type="list" allowBlank="1" showInputMessage="1" showErrorMessage="1">
          <x14:formula1>
            <xm:f>Hoja1!$J$1:$J$102</xm:f>
          </x14:formula1>
          <xm:sqref>V9:V70</xm:sqref>
        </x14:dataValidation>
        <x14:dataValidation type="list" allowBlank="1" showInputMessage="1" showErrorMessage="1">
          <x14:formula1>
            <xm:f>Hoja1!$E$1:$E$12</xm:f>
          </x14:formula1>
          <xm:sqref>R9:R70</xm:sqref>
        </x14:dataValidation>
        <x14:dataValidation type="list" allowBlank="1" showInputMessage="1" showErrorMessage="1">
          <x14:formula1>
            <xm:f>Hoja1!$E$1:$E$11</xm:f>
          </x14:formula1>
          <xm:sqref>Q9:Q70</xm:sqref>
        </x14:dataValidation>
        <x14:dataValidation type="list" allowBlank="1" showInputMessage="1" showErrorMessage="1">
          <x14:formula1>
            <xm:f>Hoja1!$Q$2:$Q$4</xm:f>
          </x14:formula1>
          <xm:sqref>E9:E70 K9:K70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70"/>
  <sheetViews>
    <sheetView showGridLines="0" zoomScale="80" zoomScaleNormal="80" workbookViewId="0">
      <selection activeCell="K29" sqref="K29"/>
    </sheetView>
  </sheetViews>
  <sheetFormatPr baseColWidth="10" defaultColWidth="11" defaultRowHeight="12.5" x14ac:dyDescent="0.35"/>
  <cols>
    <col min="1" max="1" width="33.58203125" style="9" customWidth="1"/>
    <col min="2" max="2" width="18.83203125" style="9" customWidth="1"/>
    <col min="3" max="3" width="30.58203125" style="9" customWidth="1"/>
    <col min="4" max="4" width="18.58203125" style="9" customWidth="1"/>
    <col min="5" max="5" width="15.33203125" style="9" customWidth="1"/>
    <col min="6" max="6" width="26.08203125" style="9" customWidth="1"/>
    <col min="7" max="9" width="33.33203125" style="9" customWidth="1"/>
    <col min="10" max="10" width="19.58203125" style="9" customWidth="1"/>
    <col min="11" max="11" width="22.83203125" style="9" customWidth="1"/>
    <col min="12" max="12" width="14.08203125" style="9" customWidth="1"/>
    <col min="13" max="13" width="15.9140625" style="9" customWidth="1"/>
    <col min="14" max="14" width="16.83203125" style="9" customWidth="1"/>
    <col min="15" max="17" width="16.75" style="9" customWidth="1"/>
    <col min="18" max="18" width="18.83203125" style="9" customWidth="1"/>
    <col min="19" max="19" width="17.33203125" style="9" customWidth="1"/>
    <col min="20" max="20" width="21.08203125" style="9" customWidth="1"/>
    <col min="21" max="21" width="14.58203125" style="9" customWidth="1"/>
    <col min="22" max="22" width="15.25" style="9" customWidth="1"/>
    <col min="23" max="23" width="16.58203125" style="9" customWidth="1"/>
    <col min="24" max="24" width="20" style="9" customWidth="1"/>
    <col min="25" max="25" width="14.25" style="9" customWidth="1"/>
    <col min="26" max="26" width="14.08203125" style="4" customWidth="1"/>
    <col min="27" max="27" width="32" style="4" customWidth="1"/>
    <col min="28" max="16384" width="11" style="4"/>
  </cols>
  <sheetData>
    <row r="1" spans="1:25" ht="13.5" customHeight="1" x14ac:dyDescent="0.35"/>
    <row r="2" spans="1:25" ht="19.5" customHeight="1" x14ac:dyDescent="0.35">
      <c r="C2" s="5"/>
      <c r="D2" s="5"/>
      <c r="E2" s="5"/>
      <c r="F2" s="5"/>
      <c r="G2" s="5"/>
      <c r="H2" s="5"/>
      <c r="I2" s="5"/>
      <c r="J2" s="5"/>
      <c r="K2" s="5"/>
      <c r="O2" s="11"/>
      <c r="P2" s="11"/>
    </row>
    <row r="3" spans="1:25" ht="19.5" customHeight="1" x14ac:dyDescent="0.35">
      <c r="B3" s="5"/>
      <c r="C3" s="5"/>
      <c r="D3" s="5"/>
      <c r="E3" s="5"/>
      <c r="F3" s="5"/>
      <c r="G3" s="5"/>
      <c r="H3" s="5"/>
      <c r="I3" s="5"/>
      <c r="J3" s="5"/>
      <c r="K3" s="5"/>
      <c r="O3" s="11"/>
      <c r="P3" s="11"/>
    </row>
    <row r="4" spans="1:25" ht="13.5" customHeight="1" x14ac:dyDescent="0.35">
      <c r="B4" s="5"/>
      <c r="C4" s="20"/>
      <c r="D4" s="20"/>
      <c r="E4" s="20"/>
      <c r="F4" s="20"/>
      <c r="G4" s="20"/>
      <c r="H4" s="20"/>
      <c r="I4" s="20"/>
      <c r="J4" s="20"/>
      <c r="K4" s="4"/>
    </row>
    <row r="5" spans="1:25" ht="19.5" customHeight="1" x14ac:dyDescent="0.35">
      <c r="B5" s="20"/>
    </row>
    <row r="6" spans="1:25" ht="13.5" customHeight="1" thickBot="1" x14ac:dyDescent="0.4">
      <c r="N6" s="12"/>
    </row>
    <row r="7" spans="1:25" ht="29.5" customHeight="1" thickBot="1" x14ac:dyDescent="0.4">
      <c r="A7" s="66" t="s">
        <v>56</v>
      </c>
      <c r="B7" s="67"/>
      <c r="C7" s="67"/>
      <c r="D7" s="67"/>
      <c r="E7" s="67"/>
      <c r="F7" s="67"/>
      <c r="G7" s="67"/>
      <c r="H7" s="67"/>
      <c r="I7" s="67"/>
      <c r="J7" s="67"/>
      <c r="K7" s="70"/>
      <c r="L7" s="63" t="s">
        <v>57</v>
      </c>
      <c r="M7" s="64"/>
      <c r="N7" s="64"/>
      <c r="O7" s="64"/>
      <c r="P7" s="64"/>
      <c r="Q7" s="64"/>
      <c r="R7" s="64"/>
      <c r="S7" s="65"/>
      <c r="T7" s="61" t="s">
        <v>59</v>
      </c>
      <c r="U7" s="74" t="s">
        <v>60</v>
      </c>
      <c r="V7" s="62" t="s">
        <v>61</v>
      </c>
      <c r="W7" s="62" t="s">
        <v>62</v>
      </c>
      <c r="X7" s="69" t="s">
        <v>63</v>
      </c>
      <c r="Y7" s="68" t="s">
        <v>64</v>
      </c>
    </row>
    <row r="8" spans="1:25" ht="59.5" customHeight="1" thickBot="1" x14ac:dyDescent="0.4">
      <c r="A8" s="39" t="s">
        <v>65</v>
      </c>
      <c r="B8" s="39" t="s">
        <v>66</v>
      </c>
      <c r="C8" s="39" t="s">
        <v>67</v>
      </c>
      <c r="D8" s="39" t="s">
        <v>68</v>
      </c>
      <c r="E8" s="21" t="s">
        <v>85</v>
      </c>
      <c r="F8" s="21" t="s">
        <v>70</v>
      </c>
      <c r="G8" s="21" t="s">
        <v>71</v>
      </c>
      <c r="H8" s="21" t="s">
        <v>72</v>
      </c>
      <c r="I8" s="21" t="s">
        <v>86</v>
      </c>
      <c r="J8" s="21" t="s">
        <v>87</v>
      </c>
      <c r="K8" s="57" t="s">
        <v>73</v>
      </c>
      <c r="L8" s="44" t="s">
        <v>74</v>
      </c>
      <c r="M8" s="51" t="s">
        <v>96</v>
      </c>
      <c r="N8" s="46" t="s">
        <v>76</v>
      </c>
      <c r="O8" s="45" t="s">
        <v>77</v>
      </c>
      <c r="P8" s="45" t="s">
        <v>78</v>
      </c>
      <c r="Q8" s="46" t="s">
        <v>79</v>
      </c>
      <c r="R8" s="46" t="s">
        <v>80</v>
      </c>
      <c r="S8" s="46" t="s">
        <v>82</v>
      </c>
      <c r="T8" s="62"/>
      <c r="U8" s="75"/>
      <c r="V8" s="62"/>
      <c r="W8" s="62"/>
      <c r="X8" s="69"/>
      <c r="Y8" s="68"/>
    </row>
    <row r="9" spans="1:25" ht="27" customHeight="1" x14ac:dyDescent="0.35">
      <c r="A9" s="8"/>
      <c r="B9" s="8"/>
      <c r="C9" s="8"/>
      <c r="D9" s="8" t="s">
        <v>0</v>
      </c>
      <c r="E9" s="8"/>
      <c r="F9" s="8" t="s">
        <v>0</v>
      </c>
      <c r="G9" s="8"/>
      <c r="H9" s="8"/>
      <c r="I9" s="8"/>
      <c r="J9" s="8"/>
      <c r="K9" s="17" t="s">
        <v>0</v>
      </c>
      <c r="L9" s="8" t="s">
        <v>0</v>
      </c>
      <c r="M9" s="8" t="s">
        <v>0</v>
      </c>
      <c r="N9" s="17" t="s">
        <v>0</v>
      </c>
      <c r="O9" s="8"/>
      <c r="P9" s="6" t="str">
        <f>IFERROR(VLOOKUP(O9,Hoja1!$F$2:$H$28,2,0)," ")</f>
        <v xml:space="preserve"> </v>
      </c>
      <c r="Q9" s="7" t="str">
        <f>IFERROR(IF(M9="NO",VLOOKUP(O9,Hoja1!$F$2:$I$28,3,0),VLOOKUP(O9,Hoja1!$F$2:$I$28,4,0))," ")</f>
        <v xml:space="preserve"> </v>
      </c>
      <c r="R9" s="24"/>
      <c r="S9" s="24" t="s">
        <v>0</v>
      </c>
      <c r="T9" s="14"/>
      <c r="U9" s="18" t="s">
        <v>0</v>
      </c>
      <c r="V9" s="15" t="e">
        <f t="shared" ref="V9:V53" si="0">U9*Q9</f>
        <v>#VALUE!</v>
      </c>
      <c r="W9" s="16" t="e">
        <f t="shared" ref="W9:W53" si="1">Q9-V9</f>
        <v>#VALUE!</v>
      </c>
      <c r="X9" s="10"/>
      <c r="Y9" s="13" t="s">
        <v>20</v>
      </c>
    </row>
    <row r="10" spans="1:25" ht="27" customHeight="1" x14ac:dyDescent="0.35">
      <c r="A10" s="8"/>
      <c r="B10" s="8"/>
      <c r="C10" s="8"/>
      <c r="D10" s="8" t="s">
        <v>0</v>
      </c>
      <c r="E10" s="8"/>
      <c r="F10" s="8" t="s">
        <v>0</v>
      </c>
      <c r="G10" s="8"/>
      <c r="H10" s="8"/>
      <c r="I10" s="8"/>
      <c r="J10" s="8"/>
      <c r="K10" s="17" t="s">
        <v>0</v>
      </c>
      <c r="L10" s="8" t="s">
        <v>0</v>
      </c>
      <c r="M10" s="8" t="s">
        <v>0</v>
      </c>
      <c r="N10" s="17" t="s">
        <v>0</v>
      </c>
      <c r="O10" s="8"/>
      <c r="P10" s="6" t="str">
        <f>IFERROR(VLOOKUP(O10,Hoja1!$F$2:$H$28,2,0)," ")</f>
        <v xml:space="preserve"> </v>
      </c>
      <c r="Q10" s="7" t="str">
        <f>IFERROR(IF(M10="NO",VLOOKUP(O10,Hoja1!$F$2:$I$28,3,0),VLOOKUP(O10,Hoja1!$F$2:$I$28,4,0))," ")</f>
        <v xml:space="preserve"> </v>
      </c>
      <c r="R10" s="24"/>
      <c r="S10" s="24" t="s">
        <v>0</v>
      </c>
      <c r="T10" s="14"/>
      <c r="U10" s="18" t="s">
        <v>0</v>
      </c>
      <c r="V10" s="15" t="e">
        <f t="shared" si="0"/>
        <v>#VALUE!</v>
      </c>
      <c r="W10" s="16" t="e">
        <f t="shared" si="1"/>
        <v>#VALUE!</v>
      </c>
      <c r="X10" s="10"/>
      <c r="Y10" s="13" t="s">
        <v>20</v>
      </c>
    </row>
    <row r="11" spans="1:25" ht="27" customHeight="1" x14ac:dyDescent="0.35">
      <c r="A11" s="8"/>
      <c r="B11" s="8"/>
      <c r="C11" s="8"/>
      <c r="D11" s="8" t="s">
        <v>0</v>
      </c>
      <c r="E11" s="8"/>
      <c r="F11" s="8" t="s">
        <v>0</v>
      </c>
      <c r="G11" s="8"/>
      <c r="H11" s="8"/>
      <c r="I11" s="8"/>
      <c r="J11" s="8"/>
      <c r="K11" s="17" t="s">
        <v>0</v>
      </c>
      <c r="L11" s="8" t="s">
        <v>0</v>
      </c>
      <c r="M11" s="8" t="s">
        <v>0</v>
      </c>
      <c r="N11" s="17" t="s">
        <v>0</v>
      </c>
      <c r="O11" s="8"/>
      <c r="P11" s="6" t="str">
        <f>IFERROR(VLOOKUP(O11,Hoja1!$F$2:$H$28,2,0)," ")</f>
        <v xml:space="preserve"> </v>
      </c>
      <c r="Q11" s="7" t="str">
        <f>IFERROR(IF(M11="NO",VLOOKUP(O11,Hoja1!$F$2:$I$28,3,0),VLOOKUP(O11,Hoja1!$F$2:$I$28,4,0))," ")</f>
        <v xml:space="preserve"> </v>
      </c>
      <c r="R11" s="24"/>
      <c r="S11" s="24" t="s">
        <v>0</v>
      </c>
      <c r="T11" s="14"/>
      <c r="U11" s="18" t="s">
        <v>0</v>
      </c>
      <c r="V11" s="15" t="e">
        <f t="shared" si="0"/>
        <v>#VALUE!</v>
      </c>
      <c r="W11" s="16" t="e">
        <f t="shared" si="1"/>
        <v>#VALUE!</v>
      </c>
      <c r="X11" s="10"/>
      <c r="Y11" s="13" t="s">
        <v>20</v>
      </c>
    </row>
    <row r="12" spans="1:25" ht="27" customHeight="1" x14ac:dyDescent="0.35">
      <c r="A12" s="8"/>
      <c r="B12" s="8"/>
      <c r="C12" s="8"/>
      <c r="D12" s="8" t="s">
        <v>0</v>
      </c>
      <c r="E12" s="8"/>
      <c r="F12" s="8" t="s">
        <v>0</v>
      </c>
      <c r="G12" s="8"/>
      <c r="H12" s="8"/>
      <c r="I12" s="8"/>
      <c r="J12" s="8"/>
      <c r="K12" s="17" t="s">
        <v>0</v>
      </c>
      <c r="L12" s="8" t="s">
        <v>0</v>
      </c>
      <c r="M12" s="8" t="s">
        <v>0</v>
      </c>
      <c r="N12" s="17" t="s">
        <v>0</v>
      </c>
      <c r="O12" s="8"/>
      <c r="P12" s="6" t="str">
        <f>IFERROR(VLOOKUP(O12,Hoja1!$F$2:$H$28,2,0)," ")</f>
        <v xml:space="preserve"> </v>
      </c>
      <c r="Q12" s="7" t="str">
        <f>IFERROR(IF(M12="NO",VLOOKUP(O12,Hoja1!$F$2:$I$28,3,0),VLOOKUP(O12,Hoja1!$F$2:$I$28,4,0))," ")</f>
        <v xml:space="preserve"> </v>
      </c>
      <c r="R12" s="24"/>
      <c r="S12" s="24" t="s">
        <v>0</v>
      </c>
      <c r="T12" s="14"/>
      <c r="U12" s="18" t="s">
        <v>0</v>
      </c>
      <c r="V12" s="15" t="e">
        <f t="shared" si="0"/>
        <v>#VALUE!</v>
      </c>
      <c r="W12" s="16" t="e">
        <f t="shared" si="1"/>
        <v>#VALUE!</v>
      </c>
      <c r="X12" s="10"/>
      <c r="Y12" s="13" t="s">
        <v>20</v>
      </c>
    </row>
    <row r="13" spans="1:25" ht="27" customHeight="1" x14ac:dyDescent="0.35">
      <c r="A13" s="8"/>
      <c r="B13" s="8"/>
      <c r="C13" s="8"/>
      <c r="D13" s="8" t="s">
        <v>0</v>
      </c>
      <c r="E13" s="8"/>
      <c r="F13" s="8" t="s">
        <v>0</v>
      </c>
      <c r="G13" s="8"/>
      <c r="H13" s="8"/>
      <c r="I13" s="8"/>
      <c r="J13" s="8"/>
      <c r="K13" s="17" t="s">
        <v>0</v>
      </c>
      <c r="L13" s="8" t="s">
        <v>0</v>
      </c>
      <c r="M13" s="8" t="s">
        <v>0</v>
      </c>
      <c r="N13" s="17" t="s">
        <v>0</v>
      </c>
      <c r="O13" s="8"/>
      <c r="P13" s="6" t="str">
        <f>IFERROR(VLOOKUP(O13,Hoja1!$F$2:$H$28,2,0)," ")</f>
        <v xml:space="preserve"> </v>
      </c>
      <c r="Q13" s="7" t="str">
        <f>IFERROR(IF(M13="NO",VLOOKUP(O13,Hoja1!$F$2:$I$28,3,0),VLOOKUP(O13,Hoja1!$F$2:$I$28,4,0))," ")</f>
        <v xml:space="preserve"> </v>
      </c>
      <c r="R13" s="24"/>
      <c r="S13" s="24" t="s">
        <v>0</v>
      </c>
      <c r="T13" s="14"/>
      <c r="U13" s="18" t="s">
        <v>0</v>
      </c>
      <c r="V13" s="15" t="e">
        <f t="shared" si="0"/>
        <v>#VALUE!</v>
      </c>
      <c r="W13" s="16" t="e">
        <f t="shared" si="1"/>
        <v>#VALUE!</v>
      </c>
      <c r="X13" s="10"/>
      <c r="Y13" s="13" t="s">
        <v>20</v>
      </c>
    </row>
    <row r="14" spans="1:25" ht="27" customHeight="1" x14ac:dyDescent="0.35">
      <c r="A14" s="8"/>
      <c r="B14" s="8"/>
      <c r="C14" s="8"/>
      <c r="D14" s="8" t="s">
        <v>0</v>
      </c>
      <c r="E14" s="8"/>
      <c r="F14" s="8" t="s">
        <v>0</v>
      </c>
      <c r="G14" s="8"/>
      <c r="H14" s="8"/>
      <c r="I14" s="8"/>
      <c r="J14" s="8"/>
      <c r="K14" s="17" t="s">
        <v>0</v>
      </c>
      <c r="L14" s="8" t="s">
        <v>0</v>
      </c>
      <c r="M14" s="8" t="s">
        <v>0</v>
      </c>
      <c r="N14" s="17" t="s">
        <v>0</v>
      </c>
      <c r="O14" s="8"/>
      <c r="P14" s="6" t="str">
        <f>IFERROR(VLOOKUP(O14,Hoja1!$F$2:$H$28,2,0)," ")</f>
        <v xml:space="preserve"> </v>
      </c>
      <c r="Q14" s="7" t="str">
        <f>IFERROR(IF(M14="NO",VLOOKUP(O14,Hoja1!$F$2:$I$28,3,0),VLOOKUP(O14,Hoja1!$F$2:$I$28,4,0))," ")</f>
        <v xml:space="preserve"> </v>
      </c>
      <c r="R14" s="24"/>
      <c r="S14" s="24" t="s">
        <v>0</v>
      </c>
      <c r="T14" s="14"/>
      <c r="U14" s="18" t="s">
        <v>0</v>
      </c>
      <c r="V14" s="15" t="e">
        <f t="shared" si="0"/>
        <v>#VALUE!</v>
      </c>
      <c r="W14" s="16" t="e">
        <f t="shared" si="1"/>
        <v>#VALUE!</v>
      </c>
      <c r="X14" s="10"/>
      <c r="Y14" s="13" t="s">
        <v>20</v>
      </c>
    </row>
    <row r="15" spans="1:25" ht="27" customHeight="1" x14ac:dyDescent="0.35">
      <c r="A15" s="8"/>
      <c r="B15" s="8"/>
      <c r="C15" s="8"/>
      <c r="D15" s="8" t="s">
        <v>0</v>
      </c>
      <c r="E15" s="8"/>
      <c r="F15" s="8" t="s">
        <v>0</v>
      </c>
      <c r="G15" s="8"/>
      <c r="H15" s="8"/>
      <c r="I15" s="8"/>
      <c r="J15" s="8"/>
      <c r="K15" s="17" t="s">
        <v>0</v>
      </c>
      <c r="L15" s="8" t="s">
        <v>0</v>
      </c>
      <c r="M15" s="8" t="s">
        <v>0</v>
      </c>
      <c r="N15" s="17" t="s">
        <v>0</v>
      </c>
      <c r="O15" s="8"/>
      <c r="P15" s="6" t="str">
        <f>IFERROR(VLOOKUP(O15,Hoja1!$F$2:$H$28,2,0)," ")</f>
        <v xml:space="preserve"> </v>
      </c>
      <c r="Q15" s="7" t="str">
        <f>IFERROR(IF(M15="NO",VLOOKUP(O15,Hoja1!$F$2:$I$28,3,0),VLOOKUP(O15,Hoja1!$F$2:$I$28,4,0))," ")</f>
        <v xml:space="preserve"> </v>
      </c>
      <c r="R15" s="24"/>
      <c r="S15" s="24" t="s">
        <v>0</v>
      </c>
      <c r="T15" s="14"/>
      <c r="U15" s="18" t="s">
        <v>0</v>
      </c>
      <c r="V15" s="15" t="e">
        <f t="shared" si="0"/>
        <v>#VALUE!</v>
      </c>
      <c r="W15" s="16" t="e">
        <f t="shared" si="1"/>
        <v>#VALUE!</v>
      </c>
      <c r="X15" s="10"/>
      <c r="Y15" s="13" t="s">
        <v>20</v>
      </c>
    </row>
    <row r="16" spans="1:25" ht="27" customHeight="1" x14ac:dyDescent="0.35">
      <c r="A16" s="8"/>
      <c r="B16" s="8"/>
      <c r="C16" s="8"/>
      <c r="D16" s="8" t="s">
        <v>0</v>
      </c>
      <c r="E16" s="8"/>
      <c r="F16" s="8" t="s">
        <v>0</v>
      </c>
      <c r="G16" s="8"/>
      <c r="H16" s="8"/>
      <c r="I16" s="8"/>
      <c r="J16" s="8"/>
      <c r="K16" s="17" t="s">
        <v>0</v>
      </c>
      <c r="L16" s="8" t="s">
        <v>0</v>
      </c>
      <c r="M16" s="8" t="s">
        <v>0</v>
      </c>
      <c r="N16" s="17" t="s">
        <v>0</v>
      </c>
      <c r="O16" s="8"/>
      <c r="P16" s="6" t="str">
        <f>IFERROR(VLOOKUP(O16,Hoja1!$F$2:$H$28,2,0)," ")</f>
        <v xml:space="preserve"> </v>
      </c>
      <c r="Q16" s="7" t="str">
        <f>IFERROR(IF(M16="NO",VLOOKUP(O16,Hoja1!$F$2:$I$28,3,0),VLOOKUP(O16,Hoja1!$F$2:$I$28,4,0))," ")</f>
        <v xml:space="preserve"> </v>
      </c>
      <c r="R16" s="24"/>
      <c r="S16" s="24" t="s">
        <v>0</v>
      </c>
      <c r="T16" s="14"/>
      <c r="U16" s="18" t="s">
        <v>0</v>
      </c>
      <c r="V16" s="15" t="e">
        <f t="shared" si="0"/>
        <v>#VALUE!</v>
      </c>
      <c r="W16" s="16" t="e">
        <f t="shared" si="1"/>
        <v>#VALUE!</v>
      </c>
      <c r="X16" s="10"/>
      <c r="Y16" s="13" t="s">
        <v>20</v>
      </c>
    </row>
    <row r="17" spans="1:25" ht="27" customHeight="1" x14ac:dyDescent="0.35">
      <c r="A17" s="8"/>
      <c r="B17" s="8"/>
      <c r="C17" s="8"/>
      <c r="D17" s="8" t="s">
        <v>0</v>
      </c>
      <c r="E17" s="8"/>
      <c r="F17" s="8" t="s">
        <v>0</v>
      </c>
      <c r="G17" s="8"/>
      <c r="H17" s="8"/>
      <c r="I17" s="8"/>
      <c r="J17" s="8"/>
      <c r="K17" s="17" t="s">
        <v>0</v>
      </c>
      <c r="L17" s="8" t="s">
        <v>0</v>
      </c>
      <c r="M17" s="8" t="s">
        <v>0</v>
      </c>
      <c r="N17" s="17" t="s">
        <v>0</v>
      </c>
      <c r="O17" s="8"/>
      <c r="P17" s="6" t="str">
        <f>IFERROR(VLOOKUP(O17,Hoja1!$F$2:$H$28,2,0)," ")</f>
        <v xml:space="preserve"> </v>
      </c>
      <c r="Q17" s="7" t="str">
        <f>IFERROR(IF(M17="NO",VLOOKUP(O17,Hoja1!$F$2:$I$28,3,0),VLOOKUP(O17,Hoja1!$F$2:$I$28,4,0))," ")</f>
        <v xml:space="preserve"> </v>
      </c>
      <c r="R17" s="24"/>
      <c r="S17" s="24" t="s">
        <v>0</v>
      </c>
      <c r="T17" s="14"/>
      <c r="U17" s="18" t="s">
        <v>0</v>
      </c>
      <c r="V17" s="15" t="e">
        <f t="shared" si="0"/>
        <v>#VALUE!</v>
      </c>
      <c r="W17" s="16" t="e">
        <f t="shared" si="1"/>
        <v>#VALUE!</v>
      </c>
      <c r="X17" s="10"/>
      <c r="Y17" s="13" t="s">
        <v>20</v>
      </c>
    </row>
    <row r="18" spans="1:25" ht="27" customHeight="1" x14ac:dyDescent="0.35">
      <c r="A18" s="8"/>
      <c r="B18" s="8"/>
      <c r="C18" s="8"/>
      <c r="D18" s="8" t="s">
        <v>0</v>
      </c>
      <c r="E18" s="8"/>
      <c r="F18" s="8" t="s">
        <v>0</v>
      </c>
      <c r="G18" s="8"/>
      <c r="H18" s="8"/>
      <c r="I18" s="8"/>
      <c r="J18" s="8"/>
      <c r="K18" s="17" t="s">
        <v>0</v>
      </c>
      <c r="L18" s="8" t="s">
        <v>0</v>
      </c>
      <c r="M18" s="8" t="s">
        <v>0</v>
      </c>
      <c r="N18" s="17" t="s">
        <v>0</v>
      </c>
      <c r="O18" s="8"/>
      <c r="P18" s="6" t="str">
        <f>IFERROR(VLOOKUP(O18,Hoja1!$F$2:$H$28,2,0)," ")</f>
        <v xml:space="preserve"> </v>
      </c>
      <c r="Q18" s="7" t="str">
        <f>IFERROR(IF(M18="NO",VLOOKUP(O18,Hoja1!$F$2:$I$28,3,0),VLOOKUP(O18,Hoja1!$F$2:$I$28,4,0))," ")</f>
        <v xml:space="preserve"> </v>
      </c>
      <c r="R18" s="24"/>
      <c r="S18" s="24" t="s">
        <v>0</v>
      </c>
      <c r="T18" s="14"/>
      <c r="U18" s="18" t="s">
        <v>0</v>
      </c>
      <c r="V18" s="15" t="e">
        <f t="shared" si="0"/>
        <v>#VALUE!</v>
      </c>
      <c r="W18" s="16" t="e">
        <f t="shared" si="1"/>
        <v>#VALUE!</v>
      </c>
      <c r="X18" s="10"/>
      <c r="Y18" s="13" t="s">
        <v>20</v>
      </c>
    </row>
    <row r="19" spans="1:25" ht="27" customHeight="1" x14ac:dyDescent="0.35">
      <c r="A19" s="8"/>
      <c r="B19" s="8"/>
      <c r="C19" s="8"/>
      <c r="D19" s="8" t="s">
        <v>0</v>
      </c>
      <c r="E19" s="8"/>
      <c r="F19" s="8" t="s">
        <v>0</v>
      </c>
      <c r="G19" s="8"/>
      <c r="H19" s="8"/>
      <c r="I19" s="8"/>
      <c r="J19" s="8"/>
      <c r="K19" s="17" t="s">
        <v>0</v>
      </c>
      <c r="L19" s="8" t="s">
        <v>0</v>
      </c>
      <c r="M19" s="8" t="s">
        <v>0</v>
      </c>
      <c r="N19" s="17" t="s">
        <v>0</v>
      </c>
      <c r="O19" s="8"/>
      <c r="P19" s="6" t="str">
        <f>IFERROR(VLOOKUP(O19,Hoja1!$F$2:$H$28,2,0)," ")</f>
        <v xml:space="preserve"> </v>
      </c>
      <c r="Q19" s="7" t="str">
        <f>IFERROR(IF(M19="NO",VLOOKUP(O19,Hoja1!$F$2:$I$28,3,0),VLOOKUP(O19,Hoja1!$F$2:$I$28,4,0))," ")</f>
        <v xml:space="preserve"> </v>
      </c>
      <c r="R19" s="24"/>
      <c r="S19" s="24" t="s">
        <v>0</v>
      </c>
      <c r="T19" s="14"/>
      <c r="U19" s="18" t="s">
        <v>0</v>
      </c>
      <c r="V19" s="15" t="e">
        <f t="shared" si="0"/>
        <v>#VALUE!</v>
      </c>
      <c r="W19" s="16" t="e">
        <f t="shared" si="1"/>
        <v>#VALUE!</v>
      </c>
      <c r="X19" s="10"/>
      <c r="Y19" s="13" t="s">
        <v>20</v>
      </c>
    </row>
    <row r="20" spans="1:25" ht="27" customHeight="1" x14ac:dyDescent="0.35">
      <c r="A20" s="8"/>
      <c r="B20" s="8"/>
      <c r="C20" s="8"/>
      <c r="D20" s="8" t="s">
        <v>0</v>
      </c>
      <c r="E20" s="8"/>
      <c r="F20" s="8" t="s">
        <v>0</v>
      </c>
      <c r="G20" s="8"/>
      <c r="H20" s="8"/>
      <c r="I20" s="8"/>
      <c r="J20" s="8"/>
      <c r="K20" s="17" t="s">
        <v>0</v>
      </c>
      <c r="L20" s="8" t="s">
        <v>0</v>
      </c>
      <c r="M20" s="8" t="s">
        <v>0</v>
      </c>
      <c r="N20" s="17" t="s">
        <v>0</v>
      </c>
      <c r="O20" s="8"/>
      <c r="P20" s="6" t="str">
        <f>IFERROR(VLOOKUP(O20,Hoja1!$F$2:$H$28,2,0)," ")</f>
        <v xml:space="preserve"> </v>
      </c>
      <c r="Q20" s="7" t="str">
        <f>IFERROR(IF(M20="NO",VLOOKUP(O20,Hoja1!$F$2:$I$28,3,0),VLOOKUP(O20,Hoja1!$F$2:$I$28,4,0))," ")</f>
        <v xml:space="preserve"> </v>
      </c>
      <c r="R20" s="24"/>
      <c r="S20" s="24" t="s">
        <v>0</v>
      </c>
      <c r="T20" s="14"/>
      <c r="U20" s="18" t="s">
        <v>0</v>
      </c>
      <c r="V20" s="15" t="e">
        <f t="shared" si="0"/>
        <v>#VALUE!</v>
      </c>
      <c r="W20" s="16" t="e">
        <f t="shared" si="1"/>
        <v>#VALUE!</v>
      </c>
      <c r="X20" s="10"/>
      <c r="Y20" s="13" t="s">
        <v>20</v>
      </c>
    </row>
    <row r="21" spans="1:25" ht="27" customHeight="1" x14ac:dyDescent="0.35">
      <c r="A21" s="8"/>
      <c r="B21" s="8"/>
      <c r="C21" s="8"/>
      <c r="D21" s="8" t="s">
        <v>0</v>
      </c>
      <c r="E21" s="8"/>
      <c r="F21" s="8" t="s">
        <v>0</v>
      </c>
      <c r="G21" s="8"/>
      <c r="H21" s="8"/>
      <c r="I21" s="8"/>
      <c r="J21" s="8"/>
      <c r="K21" s="17" t="s">
        <v>0</v>
      </c>
      <c r="L21" s="8" t="s">
        <v>0</v>
      </c>
      <c r="M21" s="8" t="s">
        <v>0</v>
      </c>
      <c r="N21" s="17" t="s">
        <v>0</v>
      </c>
      <c r="O21" s="8"/>
      <c r="P21" s="6" t="str">
        <f>IFERROR(VLOOKUP(O21,Hoja1!$F$2:$H$28,2,0)," ")</f>
        <v xml:space="preserve"> </v>
      </c>
      <c r="Q21" s="7" t="str">
        <f>IFERROR(IF(M21="NO",VLOOKUP(O21,Hoja1!$F$2:$I$28,3,0),VLOOKUP(O21,Hoja1!$F$2:$I$28,4,0))," ")</f>
        <v xml:space="preserve"> </v>
      </c>
      <c r="R21" s="24"/>
      <c r="S21" s="24" t="s">
        <v>0</v>
      </c>
      <c r="T21" s="14"/>
      <c r="U21" s="18" t="s">
        <v>0</v>
      </c>
      <c r="V21" s="15" t="e">
        <f t="shared" si="0"/>
        <v>#VALUE!</v>
      </c>
      <c r="W21" s="16" t="e">
        <f t="shared" si="1"/>
        <v>#VALUE!</v>
      </c>
      <c r="X21" s="10"/>
      <c r="Y21" s="13" t="s">
        <v>20</v>
      </c>
    </row>
    <row r="22" spans="1:25" ht="27" customHeight="1" x14ac:dyDescent="0.35">
      <c r="A22" s="8"/>
      <c r="B22" s="8"/>
      <c r="C22" s="8"/>
      <c r="D22" s="8" t="s">
        <v>0</v>
      </c>
      <c r="E22" s="8"/>
      <c r="F22" s="8" t="s">
        <v>0</v>
      </c>
      <c r="G22" s="8"/>
      <c r="H22" s="8"/>
      <c r="I22" s="8"/>
      <c r="J22" s="8"/>
      <c r="K22" s="17" t="s">
        <v>0</v>
      </c>
      <c r="L22" s="8" t="s">
        <v>0</v>
      </c>
      <c r="M22" s="8" t="s">
        <v>0</v>
      </c>
      <c r="N22" s="17" t="s">
        <v>0</v>
      </c>
      <c r="O22" s="8"/>
      <c r="P22" s="6" t="str">
        <f>IFERROR(VLOOKUP(O22,Hoja1!$F$2:$H$28,2,0)," ")</f>
        <v xml:space="preserve"> </v>
      </c>
      <c r="Q22" s="7" t="str">
        <f>IFERROR(IF(M22="NO",VLOOKUP(O22,Hoja1!$F$2:$I$28,3,0),VLOOKUP(O22,Hoja1!$F$2:$I$28,4,0))," ")</f>
        <v xml:space="preserve"> </v>
      </c>
      <c r="R22" s="24"/>
      <c r="S22" s="24" t="s">
        <v>0</v>
      </c>
      <c r="T22" s="14"/>
      <c r="U22" s="18" t="s">
        <v>0</v>
      </c>
      <c r="V22" s="15" t="e">
        <f t="shared" si="0"/>
        <v>#VALUE!</v>
      </c>
      <c r="W22" s="16" t="e">
        <f t="shared" si="1"/>
        <v>#VALUE!</v>
      </c>
      <c r="X22" s="10"/>
      <c r="Y22" s="13" t="s">
        <v>20</v>
      </c>
    </row>
    <row r="23" spans="1:25" ht="27" customHeight="1" x14ac:dyDescent="0.35">
      <c r="A23" s="8"/>
      <c r="B23" s="8"/>
      <c r="C23" s="8"/>
      <c r="D23" s="8" t="s">
        <v>0</v>
      </c>
      <c r="E23" s="8"/>
      <c r="F23" s="8" t="s">
        <v>0</v>
      </c>
      <c r="G23" s="8"/>
      <c r="H23" s="8"/>
      <c r="I23" s="8"/>
      <c r="J23" s="8"/>
      <c r="K23" s="17" t="s">
        <v>0</v>
      </c>
      <c r="L23" s="8" t="s">
        <v>0</v>
      </c>
      <c r="M23" s="8" t="s">
        <v>0</v>
      </c>
      <c r="N23" s="17" t="s">
        <v>0</v>
      </c>
      <c r="O23" s="8"/>
      <c r="P23" s="6" t="str">
        <f>IFERROR(VLOOKUP(O23,Hoja1!$F$2:$H$28,2,0)," ")</f>
        <v xml:space="preserve"> </v>
      </c>
      <c r="Q23" s="7" t="str">
        <f>IFERROR(IF(M23="NO",VLOOKUP(O23,Hoja1!$F$2:$I$28,3,0),VLOOKUP(O23,Hoja1!$F$2:$I$28,4,0))," ")</f>
        <v xml:space="preserve"> </v>
      </c>
      <c r="R23" s="24"/>
      <c r="S23" s="24" t="s">
        <v>0</v>
      </c>
      <c r="T23" s="14"/>
      <c r="U23" s="18" t="s">
        <v>0</v>
      </c>
      <c r="V23" s="15" t="e">
        <f t="shared" si="0"/>
        <v>#VALUE!</v>
      </c>
      <c r="W23" s="16" t="e">
        <f t="shared" si="1"/>
        <v>#VALUE!</v>
      </c>
      <c r="X23" s="10"/>
      <c r="Y23" s="13" t="s">
        <v>20</v>
      </c>
    </row>
    <row r="24" spans="1:25" ht="27" customHeight="1" x14ac:dyDescent="0.35">
      <c r="A24" s="8"/>
      <c r="B24" s="8"/>
      <c r="C24" s="8"/>
      <c r="D24" s="8" t="s">
        <v>0</v>
      </c>
      <c r="E24" s="8"/>
      <c r="F24" s="8" t="s">
        <v>0</v>
      </c>
      <c r="G24" s="8"/>
      <c r="H24" s="8"/>
      <c r="I24" s="8"/>
      <c r="J24" s="8"/>
      <c r="K24" s="17" t="s">
        <v>0</v>
      </c>
      <c r="L24" s="8" t="s">
        <v>0</v>
      </c>
      <c r="M24" s="8" t="s">
        <v>0</v>
      </c>
      <c r="N24" s="17" t="s">
        <v>0</v>
      </c>
      <c r="O24" s="8"/>
      <c r="P24" s="6" t="str">
        <f>IFERROR(VLOOKUP(O24,Hoja1!$F$2:$H$28,2,0)," ")</f>
        <v xml:space="preserve"> </v>
      </c>
      <c r="Q24" s="7" t="str">
        <f>IFERROR(IF(M24="NO",VLOOKUP(O24,Hoja1!$F$2:$I$28,3,0),VLOOKUP(O24,Hoja1!$F$2:$I$28,4,0))," ")</f>
        <v xml:space="preserve"> </v>
      </c>
      <c r="R24" s="24"/>
      <c r="S24" s="24" t="s">
        <v>0</v>
      </c>
      <c r="T24" s="14"/>
      <c r="U24" s="18" t="s">
        <v>0</v>
      </c>
      <c r="V24" s="15" t="e">
        <f t="shared" si="0"/>
        <v>#VALUE!</v>
      </c>
      <c r="W24" s="16" t="e">
        <f t="shared" si="1"/>
        <v>#VALUE!</v>
      </c>
      <c r="X24" s="10"/>
      <c r="Y24" s="13" t="s">
        <v>20</v>
      </c>
    </row>
    <row r="25" spans="1:25" ht="27" customHeight="1" x14ac:dyDescent="0.35">
      <c r="A25" s="8"/>
      <c r="B25" s="8"/>
      <c r="C25" s="8"/>
      <c r="D25" s="8" t="s">
        <v>0</v>
      </c>
      <c r="E25" s="8"/>
      <c r="F25" s="8" t="s">
        <v>0</v>
      </c>
      <c r="G25" s="8"/>
      <c r="H25" s="8"/>
      <c r="I25" s="8"/>
      <c r="J25" s="8"/>
      <c r="K25" s="17" t="s">
        <v>0</v>
      </c>
      <c r="L25" s="8" t="s">
        <v>0</v>
      </c>
      <c r="M25" s="8" t="s">
        <v>0</v>
      </c>
      <c r="N25" s="17" t="s">
        <v>0</v>
      </c>
      <c r="O25" s="8"/>
      <c r="P25" s="6" t="str">
        <f>IFERROR(VLOOKUP(O25,Hoja1!$F$2:$H$28,2,0)," ")</f>
        <v xml:space="preserve"> </v>
      </c>
      <c r="Q25" s="7" t="str">
        <f>IFERROR(IF(M25="NO",VLOOKUP(O25,Hoja1!$F$2:$I$28,3,0),VLOOKUP(O25,Hoja1!$F$2:$I$28,4,0))," ")</f>
        <v xml:space="preserve"> </v>
      </c>
      <c r="R25" s="24"/>
      <c r="S25" s="24" t="s">
        <v>0</v>
      </c>
      <c r="T25" s="14"/>
      <c r="U25" s="18" t="s">
        <v>0</v>
      </c>
      <c r="V25" s="15" t="e">
        <f t="shared" si="0"/>
        <v>#VALUE!</v>
      </c>
      <c r="W25" s="16" t="e">
        <f t="shared" si="1"/>
        <v>#VALUE!</v>
      </c>
      <c r="X25" s="10"/>
      <c r="Y25" s="13" t="s">
        <v>20</v>
      </c>
    </row>
    <row r="26" spans="1:25" ht="27" customHeight="1" x14ac:dyDescent="0.35">
      <c r="A26" s="8"/>
      <c r="B26" s="8"/>
      <c r="C26" s="8"/>
      <c r="D26" s="8" t="s">
        <v>0</v>
      </c>
      <c r="E26" s="8"/>
      <c r="F26" s="8" t="s">
        <v>0</v>
      </c>
      <c r="G26" s="8"/>
      <c r="H26" s="8"/>
      <c r="I26" s="8"/>
      <c r="J26" s="8"/>
      <c r="K26" s="17" t="s">
        <v>0</v>
      </c>
      <c r="L26" s="8" t="s">
        <v>0</v>
      </c>
      <c r="M26" s="8" t="s">
        <v>0</v>
      </c>
      <c r="N26" s="17" t="s">
        <v>0</v>
      </c>
      <c r="O26" s="8"/>
      <c r="P26" s="6" t="str">
        <f>IFERROR(VLOOKUP(O26,Hoja1!$F$2:$H$28,2,0)," ")</f>
        <v xml:space="preserve"> </v>
      </c>
      <c r="Q26" s="7" t="str">
        <f>IFERROR(IF(M26="NO",VLOOKUP(O26,Hoja1!$F$2:$I$28,3,0),VLOOKUP(O26,Hoja1!$F$2:$I$28,4,0))," ")</f>
        <v xml:space="preserve"> </v>
      </c>
      <c r="R26" s="24"/>
      <c r="S26" s="24" t="s">
        <v>0</v>
      </c>
      <c r="T26" s="14"/>
      <c r="U26" s="18" t="s">
        <v>0</v>
      </c>
      <c r="V26" s="15" t="e">
        <f t="shared" si="0"/>
        <v>#VALUE!</v>
      </c>
      <c r="W26" s="16" t="e">
        <f t="shared" si="1"/>
        <v>#VALUE!</v>
      </c>
      <c r="X26" s="10"/>
      <c r="Y26" s="13" t="s">
        <v>20</v>
      </c>
    </row>
    <row r="27" spans="1:25" ht="27" customHeight="1" x14ac:dyDescent="0.35">
      <c r="A27" s="8"/>
      <c r="B27" s="8"/>
      <c r="C27" s="8"/>
      <c r="D27" s="8" t="s">
        <v>0</v>
      </c>
      <c r="E27" s="8"/>
      <c r="F27" s="8" t="s">
        <v>0</v>
      </c>
      <c r="G27" s="8"/>
      <c r="H27" s="8"/>
      <c r="I27" s="8"/>
      <c r="J27" s="8"/>
      <c r="K27" s="17" t="s">
        <v>0</v>
      </c>
      <c r="L27" s="8" t="s">
        <v>0</v>
      </c>
      <c r="M27" s="8" t="s">
        <v>0</v>
      </c>
      <c r="N27" s="17" t="s">
        <v>0</v>
      </c>
      <c r="O27" s="8"/>
      <c r="P27" s="6" t="str">
        <f>IFERROR(VLOOKUP(O27,Hoja1!$F$2:$H$28,2,0)," ")</f>
        <v xml:space="preserve"> </v>
      </c>
      <c r="Q27" s="7" t="str">
        <f>IFERROR(IF(M27="NO",VLOOKUP(O27,Hoja1!$F$2:$I$28,3,0),VLOOKUP(O27,Hoja1!$F$2:$I$28,4,0))," ")</f>
        <v xml:space="preserve"> </v>
      </c>
      <c r="R27" s="24"/>
      <c r="S27" s="24" t="s">
        <v>0</v>
      </c>
      <c r="T27" s="14"/>
      <c r="U27" s="18" t="s">
        <v>0</v>
      </c>
      <c r="V27" s="15" t="e">
        <f t="shared" si="0"/>
        <v>#VALUE!</v>
      </c>
      <c r="W27" s="16" t="e">
        <f t="shared" si="1"/>
        <v>#VALUE!</v>
      </c>
      <c r="X27" s="10"/>
      <c r="Y27" s="13" t="s">
        <v>20</v>
      </c>
    </row>
    <row r="28" spans="1:25" ht="27" customHeight="1" x14ac:dyDescent="0.35">
      <c r="A28" s="8"/>
      <c r="B28" s="8"/>
      <c r="C28" s="8"/>
      <c r="D28" s="8" t="s">
        <v>0</v>
      </c>
      <c r="E28" s="8"/>
      <c r="F28" s="8" t="s">
        <v>0</v>
      </c>
      <c r="G28" s="8"/>
      <c r="H28" s="8"/>
      <c r="I28" s="8"/>
      <c r="J28" s="8"/>
      <c r="K28" s="17" t="s">
        <v>0</v>
      </c>
      <c r="L28" s="8" t="s">
        <v>0</v>
      </c>
      <c r="M28" s="8" t="s">
        <v>0</v>
      </c>
      <c r="N28" s="17" t="s">
        <v>0</v>
      </c>
      <c r="O28" s="8"/>
      <c r="P28" s="6" t="str">
        <f>IFERROR(VLOOKUP(O28,Hoja1!$F$2:$H$28,2,0)," ")</f>
        <v xml:space="preserve"> </v>
      </c>
      <c r="Q28" s="7" t="str">
        <f>IFERROR(IF(M28="NO",VLOOKUP(O28,Hoja1!$F$2:$I$28,3,0),VLOOKUP(O28,Hoja1!$F$2:$I$28,4,0))," ")</f>
        <v xml:space="preserve"> </v>
      </c>
      <c r="R28" s="24"/>
      <c r="S28" s="24" t="s">
        <v>0</v>
      </c>
      <c r="T28" s="14"/>
      <c r="U28" s="18" t="s">
        <v>0</v>
      </c>
      <c r="V28" s="15" t="e">
        <f t="shared" si="0"/>
        <v>#VALUE!</v>
      </c>
      <c r="W28" s="16" t="e">
        <f t="shared" si="1"/>
        <v>#VALUE!</v>
      </c>
      <c r="X28" s="10"/>
      <c r="Y28" s="13" t="s">
        <v>20</v>
      </c>
    </row>
    <row r="29" spans="1:25" ht="27" customHeight="1" x14ac:dyDescent="0.35">
      <c r="A29" s="8"/>
      <c r="B29" s="8"/>
      <c r="C29" s="8"/>
      <c r="D29" s="8" t="s">
        <v>0</v>
      </c>
      <c r="E29" s="8"/>
      <c r="F29" s="8" t="s">
        <v>0</v>
      </c>
      <c r="G29" s="8"/>
      <c r="H29" s="8"/>
      <c r="I29" s="8"/>
      <c r="J29" s="8"/>
      <c r="K29" s="17" t="s">
        <v>0</v>
      </c>
      <c r="L29" s="8" t="s">
        <v>0</v>
      </c>
      <c r="M29" s="8" t="s">
        <v>0</v>
      </c>
      <c r="N29" s="17" t="s">
        <v>0</v>
      </c>
      <c r="O29" s="8"/>
      <c r="P29" s="6" t="str">
        <f>IFERROR(VLOOKUP(O29,Hoja1!$F$2:$H$28,2,0)," ")</f>
        <v xml:space="preserve"> </v>
      </c>
      <c r="Q29" s="7" t="str">
        <f>IFERROR(IF(M29="NO",VLOOKUP(O29,Hoja1!$F$2:$I$28,3,0),VLOOKUP(O29,Hoja1!$F$2:$I$28,4,0))," ")</f>
        <v xml:space="preserve"> </v>
      </c>
      <c r="R29" s="24"/>
      <c r="S29" s="24" t="s">
        <v>0</v>
      </c>
      <c r="T29" s="14"/>
      <c r="U29" s="18" t="s">
        <v>0</v>
      </c>
      <c r="V29" s="15" t="e">
        <f t="shared" si="0"/>
        <v>#VALUE!</v>
      </c>
      <c r="W29" s="16" t="e">
        <f t="shared" si="1"/>
        <v>#VALUE!</v>
      </c>
      <c r="X29" s="10"/>
      <c r="Y29" s="13" t="s">
        <v>20</v>
      </c>
    </row>
    <row r="30" spans="1:25" ht="27" customHeight="1" x14ac:dyDescent="0.35">
      <c r="A30" s="8"/>
      <c r="B30" s="8"/>
      <c r="C30" s="8"/>
      <c r="D30" s="8" t="s">
        <v>0</v>
      </c>
      <c r="E30" s="8"/>
      <c r="F30" s="8" t="s">
        <v>0</v>
      </c>
      <c r="G30" s="8"/>
      <c r="H30" s="8"/>
      <c r="I30" s="8"/>
      <c r="J30" s="8"/>
      <c r="K30" s="17" t="s">
        <v>0</v>
      </c>
      <c r="L30" s="8" t="s">
        <v>0</v>
      </c>
      <c r="M30" s="8" t="s">
        <v>0</v>
      </c>
      <c r="N30" s="17" t="s">
        <v>0</v>
      </c>
      <c r="O30" s="8"/>
      <c r="P30" s="6" t="str">
        <f>IFERROR(VLOOKUP(O30,Hoja1!$F$2:$H$28,2,0)," ")</f>
        <v xml:space="preserve"> </v>
      </c>
      <c r="Q30" s="7" t="str">
        <f>IFERROR(IF(M30="NO",VLOOKUP(O30,Hoja1!$F$2:$I$28,3,0),VLOOKUP(O30,Hoja1!$F$2:$I$28,4,0))," ")</f>
        <v xml:space="preserve"> </v>
      </c>
      <c r="R30" s="24"/>
      <c r="S30" s="24" t="s">
        <v>0</v>
      </c>
      <c r="T30" s="14"/>
      <c r="U30" s="18" t="s">
        <v>0</v>
      </c>
      <c r="V30" s="15" t="e">
        <f t="shared" si="0"/>
        <v>#VALUE!</v>
      </c>
      <c r="W30" s="16" t="e">
        <f t="shared" si="1"/>
        <v>#VALUE!</v>
      </c>
      <c r="X30" s="10"/>
      <c r="Y30" s="13" t="s">
        <v>20</v>
      </c>
    </row>
    <row r="31" spans="1:25" ht="27" customHeight="1" x14ac:dyDescent="0.35">
      <c r="A31" s="8"/>
      <c r="B31" s="8"/>
      <c r="C31" s="8"/>
      <c r="D31" s="8" t="s">
        <v>0</v>
      </c>
      <c r="E31" s="8"/>
      <c r="F31" s="8" t="s">
        <v>0</v>
      </c>
      <c r="G31" s="8"/>
      <c r="H31" s="8"/>
      <c r="I31" s="8"/>
      <c r="J31" s="8"/>
      <c r="K31" s="17" t="s">
        <v>0</v>
      </c>
      <c r="L31" s="8" t="s">
        <v>0</v>
      </c>
      <c r="M31" s="8" t="s">
        <v>0</v>
      </c>
      <c r="N31" s="17" t="s">
        <v>0</v>
      </c>
      <c r="O31" s="8"/>
      <c r="P31" s="6" t="str">
        <f>IFERROR(VLOOKUP(O31,Hoja1!$F$2:$H$28,2,0)," ")</f>
        <v xml:space="preserve"> </v>
      </c>
      <c r="Q31" s="7" t="str">
        <f>IFERROR(IF(M31="NO",VLOOKUP(O31,Hoja1!$F$2:$I$28,3,0),VLOOKUP(O31,Hoja1!$F$2:$I$28,4,0))," ")</f>
        <v xml:space="preserve"> </v>
      </c>
      <c r="R31" s="24"/>
      <c r="S31" s="24" t="s">
        <v>0</v>
      </c>
      <c r="T31" s="14"/>
      <c r="U31" s="18" t="s">
        <v>0</v>
      </c>
      <c r="V31" s="15" t="e">
        <f t="shared" si="0"/>
        <v>#VALUE!</v>
      </c>
      <c r="W31" s="16" t="e">
        <f t="shared" si="1"/>
        <v>#VALUE!</v>
      </c>
      <c r="X31" s="10"/>
      <c r="Y31" s="13" t="s">
        <v>20</v>
      </c>
    </row>
    <row r="32" spans="1:25" ht="27" customHeight="1" x14ac:dyDescent="0.35">
      <c r="A32" s="8"/>
      <c r="B32" s="8"/>
      <c r="C32" s="8"/>
      <c r="D32" s="8" t="s">
        <v>0</v>
      </c>
      <c r="E32" s="8"/>
      <c r="F32" s="8" t="s">
        <v>0</v>
      </c>
      <c r="G32" s="8"/>
      <c r="H32" s="8"/>
      <c r="I32" s="8"/>
      <c r="J32" s="8"/>
      <c r="K32" s="17" t="s">
        <v>0</v>
      </c>
      <c r="L32" s="8" t="s">
        <v>0</v>
      </c>
      <c r="M32" s="8" t="s">
        <v>0</v>
      </c>
      <c r="N32" s="17" t="s">
        <v>0</v>
      </c>
      <c r="O32" s="8"/>
      <c r="P32" s="6" t="str">
        <f>IFERROR(VLOOKUP(O32,Hoja1!$F$2:$H$28,2,0)," ")</f>
        <v xml:space="preserve"> </v>
      </c>
      <c r="Q32" s="7" t="str">
        <f>IFERROR(IF(M32="NO",VLOOKUP(O32,Hoja1!$F$2:$I$28,3,0),VLOOKUP(O32,Hoja1!$F$2:$I$28,4,0))," ")</f>
        <v xml:space="preserve"> </v>
      </c>
      <c r="R32" s="24"/>
      <c r="S32" s="24" t="s">
        <v>0</v>
      </c>
      <c r="T32" s="14"/>
      <c r="U32" s="18" t="s">
        <v>0</v>
      </c>
      <c r="V32" s="15" t="e">
        <f t="shared" si="0"/>
        <v>#VALUE!</v>
      </c>
      <c r="W32" s="16" t="e">
        <f t="shared" si="1"/>
        <v>#VALUE!</v>
      </c>
      <c r="X32" s="10"/>
      <c r="Y32" s="13" t="s">
        <v>20</v>
      </c>
    </row>
    <row r="33" spans="1:25" ht="27" customHeight="1" x14ac:dyDescent="0.35">
      <c r="A33" s="8"/>
      <c r="B33" s="8"/>
      <c r="C33" s="8"/>
      <c r="D33" s="8" t="s">
        <v>0</v>
      </c>
      <c r="E33" s="8"/>
      <c r="F33" s="8" t="s">
        <v>0</v>
      </c>
      <c r="G33" s="8"/>
      <c r="H33" s="8"/>
      <c r="I33" s="8"/>
      <c r="J33" s="8"/>
      <c r="K33" s="17" t="s">
        <v>0</v>
      </c>
      <c r="L33" s="8" t="s">
        <v>0</v>
      </c>
      <c r="M33" s="8" t="s">
        <v>0</v>
      </c>
      <c r="N33" s="17" t="s">
        <v>0</v>
      </c>
      <c r="O33" s="8"/>
      <c r="P33" s="6" t="str">
        <f>IFERROR(VLOOKUP(O33,Hoja1!$F$2:$H$28,2,0)," ")</f>
        <v xml:space="preserve"> </v>
      </c>
      <c r="Q33" s="7" t="str">
        <f>IFERROR(IF(M33="NO",VLOOKUP(O33,Hoja1!$F$2:$I$28,3,0),VLOOKUP(O33,Hoja1!$F$2:$I$28,4,0))," ")</f>
        <v xml:space="preserve"> </v>
      </c>
      <c r="R33" s="24"/>
      <c r="S33" s="24" t="s">
        <v>0</v>
      </c>
      <c r="T33" s="14"/>
      <c r="U33" s="18" t="s">
        <v>0</v>
      </c>
      <c r="V33" s="15" t="e">
        <f t="shared" si="0"/>
        <v>#VALUE!</v>
      </c>
      <c r="W33" s="16" t="e">
        <f t="shared" si="1"/>
        <v>#VALUE!</v>
      </c>
      <c r="X33" s="10"/>
      <c r="Y33" s="13" t="s">
        <v>20</v>
      </c>
    </row>
    <row r="34" spans="1:25" ht="27" customHeight="1" x14ac:dyDescent="0.35">
      <c r="A34" s="8"/>
      <c r="B34" s="8"/>
      <c r="C34" s="8"/>
      <c r="D34" s="8" t="s">
        <v>0</v>
      </c>
      <c r="E34" s="8"/>
      <c r="F34" s="8" t="s">
        <v>0</v>
      </c>
      <c r="G34" s="8"/>
      <c r="H34" s="8"/>
      <c r="I34" s="8"/>
      <c r="J34" s="8"/>
      <c r="K34" s="17" t="s">
        <v>0</v>
      </c>
      <c r="L34" s="8" t="s">
        <v>0</v>
      </c>
      <c r="M34" s="8" t="s">
        <v>0</v>
      </c>
      <c r="N34" s="17" t="s">
        <v>0</v>
      </c>
      <c r="O34" s="8"/>
      <c r="P34" s="6" t="str">
        <f>IFERROR(VLOOKUP(O34,Hoja1!$F$2:$H$28,2,0)," ")</f>
        <v xml:space="preserve"> </v>
      </c>
      <c r="Q34" s="7" t="str">
        <f>IFERROR(IF(M34="NO",VLOOKUP(O34,Hoja1!$F$2:$I$28,3,0),VLOOKUP(O34,Hoja1!$F$2:$I$28,4,0))," ")</f>
        <v xml:space="preserve"> </v>
      </c>
      <c r="R34" s="24"/>
      <c r="S34" s="24" t="s">
        <v>0</v>
      </c>
      <c r="T34" s="14"/>
      <c r="U34" s="18" t="s">
        <v>0</v>
      </c>
      <c r="V34" s="15" t="e">
        <f t="shared" si="0"/>
        <v>#VALUE!</v>
      </c>
      <c r="W34" s="16" t="e">
        <f t="shared" si="1"/>
        <v>#VALUE!</v>
      </c>
      <c r="X34" s="10"/>
      <c r="Y34" s="13" t="s">
        <v>20</v>
      </c>
    </row>
    <row r="35" spans="1:25" ht="27" customHeight="1" x14ac:dyDescent="0.35">
      <c r="A35" s="8"/>
      <c r="B35" s="8"/>
      <c r="C35" s="8"/>
      <c r="D35" s="8" t="s">
        <v>0</v>
      </c>
      <c r="E35" s="8"/>
      <c r="F35" s="8" t="s">
        <v>0</v>
      </c>
      <c r="G35" s="8"/>
      <c r="H35" s="8"/>
      <c r="I35" s="8"/>
      <c r="J35" s="8"/>
      <c r="K35" s="17" t="s">
        <v>0</v>
      </c>
      <c r="L35" s="8" t="s">
        <v>0</v>
      </c>
      <c r="M35" s="8" t="s">
        <v>0</v>
      </c>
      <c r="N35" s="17" t="s">
        <v>0</v>
      </c>
      <c r="O35" s="8"/>
      <c r="P35" s="6" t="str">
        <f>IFERROR(VLOOKUP(O35,Hoja1!$F$2:$H$28,2,0)," ")</f>
        <v xml:space="preserve"> </v>
      </c>
      <c r="Q35" s="7" t="str">
        <f>IFERROR(IF(M35="NO",VLOOKUP(O35,Hoja1!$F$2:$I$28,3,0),VLOOKUP(O35,Hoja1!$F$2:$I$28,4,0))," ")</f>
        <v xml:space="preserve"> </v>
      </c>
      <c r="R35" s="24"/>
      <c r="S35" s="24" t="s">
        <v>0</v>
      </c>
      <c r="T35" s="14"/>
      <c r="U35" s="18" t="s">
        <v>0</v>
      </c>
      <c r="V35" s="15" t="e">
        <f t="shared" si="0"/>
        <v>#VALUE!</v>
      </c>
      <c r="W35" s="16" t="e">
        <f t="shared" si="1"/>
        <v>#VALUE!</v>
      </c>
      <c r="X35" s="10"/>
      <c r="Y35" s="13" t="s">
        <v>20</v>
      </c>
    </row>
    <row r="36" spans="1:25" ht="27" customHeight="1" x14ac:dyDescent="0.35">
      <c r="A36" s="8"/>
      <c r="B36" s="8"/>
      <c r="C36" s="8"/>
      <c r="D36" s="8" t="s">
        <v>0</v>
      </c>
      <c r="E36" s="8"/>
      <c r="F36" s="8" t="s">
        <v>0</v>
      </c>
      <c r="G36" s="8"/>
      <c r="H36" s="8"/>
      <c r="I36" s="8"/>
      <c r="J36" s="8"/>
      <c r="K36" s="17" t="s">
        <v>0</v>
      </c>
      <c r="L36" s="8" t="s">
        <v>0</v>
      </c>
      <c r="M36" s="8" t="s">
        <v>0</v>
      </c>
      <c r="N36" s="17" t="s">
        <v>0</v>
      </c>
      <c r="O36" s="8"/>
      <c r="P36" s="6" t="str">
        <f>IFERROR(VLOOKUP(O36,Hoja1!$F$2:$H$28,2,0)," ")</f>
        <v xml:space="preserve"> </v>
      </c>
      <c r="Q36" s="7" t="str">
        <f>IFERROR(IF(M36="NO",VLOOKUP(O36,Hoja1!$F$2:$I$28,3,0),VLOOKUP(O36,Hoja1!$F$2:$I$28,4,0))," ")</f>
        <v xml:space="preserve"> </v>
      </c>
      <c r="R36" s="24"/>
      <c r="S36" s="24" t="s">
        <v>0</v>
      </c>
      <c r="T36" s="14"/>
      <c r="U36" s="18" t="s">
        <v>0</v>
      </c>
      <c r="V36" s="15" t="e">
        <f t="shared" si="0"/>
        <v>#VALUE!</v>
      </c>
      <c r="W36" s="16" t="e">
        <f t="shared" si="1"/>
        <v>#VALUE!</v>
      </c>
      <c r="X36" s="10"/>
      <c r="Y36" s="13" t="s">
        <v>20</v>
      </c>
    </row>
    <row r="37" spans="1:25" ht="27" customHeight="1" x14ac:dyDescent="0.35">
      <c r="A37" s="8"/>
      <c r="B37" s="8"/>
      <c r="C37" s="8"/>
      <c r="D37" s="8" t="s">
        <v>0</v>
      </c>
      <c r="E37" s="8"/>
      <c r="F37" s="8" t="s">
        <v>0</v>
      </c>
      <c r="G37" s="8"/>
      <c r="H37" s="8"/>
      <c r="I37" s="8"/>
      <c r="J37" s="8"/>
      <c r="K37" s="17" t="s">
        <v>0</v>
      </c>
      <c r="L37" s="8" t="s">
        <v>0</v>
      </c>
      <c r="M37" s="8" t="s">
        <v>0</v>
      </c>
      <c r="N37" s="17" t="s">
        <v>0</v>
      </c>
      <c r="O37" s="8"/>
      <c r="P37" s="6" t="str">
        <f>IFERROR(VLOOKUP(O37,Hoja1!$F$2:$H$28,2,0)," ")</f>
        <v xml:space="preserve"> </v>
      </c>
      <c r="Q37" s="7" t="str">
        <f>IFERROR(IF(M37="NO",VLOOKUP(O37,Hoja1!$F$2:$I$28,3,0),VLOOKUP(O37,Hoja1!$F$2:$I$28,4,0))," ")</f>
        <v xml:space="preserve"> </v>
      </c>
      <c r="R37" s="24"/>
      <c r="S37" s="24" t="s">
        <v>0</v>
      </c>
      <c r="T37" s="14"/>
      <c r="U37" s="18" t="s">
        <v>0</v>
      </c>
      <c r="V37" s="15" t="e">
        <f t="shared" si="0"/>
        <v>#VALUE!</v>
      </c>
      <c r="W37" s="16" t="e">
        <f t="shared" si="1"/>
        <v>#VALUE!</v>
      </c>
      <c r="X37" s="10"/>
      <c r="Y37" s="13" t="s">
        <v>20</v>
      </c>
    </row>
    <row r="38" spans="1:25" ht="27" customHeight="1" x14ac:dyDescent="0.35">
      <c r="A38" s="8"/>
      <c r="B38" s="8"/>
      <c r="C38" s="8"/>
      <c r="D38" s="8" t="s">
        <v>0</v>
      </c>
      <c r="E38" s="8"/>
      <c r="F38" s="8" t="s">
        <v>0</v>
      </c>
      <c r="G38" s="8"/>
      <c r="H38" s="8"/>
      <c r="I38" s="8"/>
      <c r="J38" s="8"/>
      <c r="K38" s="17" t="s">
        <v>0</v>
      </c>
      <c r="L38" s="8" t="s">
        <v>0</v>
      </c>
      <c r="M38" s="8" t="s">
        <v>0</v>
      </c>
      <c r="N38" s="17" t="s">
        <v>0</v>
      </c>
      <c r="O38" s="8"/>
      <c r="P38" s="6" t="str">
        <f>IFERROR(VLOOKUP(O38,Hoja1!$F$2:$H$28,2,0)," ")</f>
        <v xml:space="preserve"> </v>
      </c>
      <c r="Q38" s="7" t="str">
        <f>IFERROR(IF(M38="NO",VLOOKUP(O38,Hoja1!$F$2:$I$28,3,0),VLOOKUP(O38,Hoja1!$F$2:$I$28,4,0))," ")</f>
        <v xml:space="preserve"> </v>
      </c>
      <c r="R38" s="24"/>
      <c r="S38" s="24" t="s">
        <v>0</v>
      </c>
      <c r="T38" s="14"/>
      <c r="U38" s="18" t="s">
        <v>0</v>
      </c>
      <c r="V38" s="15" t="e">
        <f t="shared" si="0"/>
        <v>#VALUE!</v>
      </c>
      <c r="W38" s="16" t="e">
        <f t="shared" si="1"/>
        <v>#VALUE!</v>
      </c>
      <c r="X38" s="10"/>
      <c r="Y38" s="13" t="s">
        <v>20</v>
      </c>
    </row>
    <row r="39" spans="1:25" ht="27" customHeight="1" x14ac:dyDescent="0.35">
      <c r="A39" s="8"/>
      <c r="B39" s="8"/>
      <c r="C39" s="8"/>
      <c r="D39" s="8" t="s">
        <v>0</v>
      </c>
      <c r="E39" s="8"/>
      <c r="F39" s="8" t="s">
        <v>0</v>
      </c>
      <c r="G39" s="8"/>
      <c r="H39" s="8"/>
      <c r="I39" s="8"/>
      <c r="J39" s="8"/>
      <c r="K39" s="17" t="s">
        <v>0</v>
      </c>
      <c r="L39" s="8" t="s">
        <v>0</v>
      </c>
      <c r="M39" s="8" t="s">
        <v>0</v>
      </c>
      <c r="N39" s="17" t="s">
        <v>0</v>
      </c>
      <c r="O39" s="8"/>
      <c r="P39" s="6" t="str">
        <f>IFERROR(VLOOKUP(O39,Hoja1!$F$2:$H$28,2,0)," ")</f>
        <v xml:space="preserve"> </v>
      </c>
      <c r="Q39" s="7" t="str">
        <f>IFERROR(IF(M39="NO",VLOOKUP(O39,Hoja1!$F$2:$I$28,3,0),VLOOKUP(O39,Hoja1!$F$2:$I$28,4,0))," ")</f>
        <v xml:space="preserve"> </v>
      </c>
      <c r="R39" s="24"/>
      <c r="S39" s="24" t="s">
        <v>0</v>
      </c>
      <c r="T39" s="14"/>
      <c r="U39" s="18" t="s">
        <v>0</v>
      </c>
      <c r="V39" s="15" t="e">
        <f t="shared" si="0"/>
        <v>#VALUE!</v>
      </c>
      <c r="W39" s="16" t="e">
        <f t="shared" si="1"/>
        <v>#VALUE!</v>
      </c>
      <c r="X39" s="10"/>
      <c r="Y39" s="13" t="s">
        <v>20</v>
      </c>
    </row>
    <row r="40" spans="1:25" ht="27" customHeight="1" x14ac:dyDescent="0.35">
      <c r="A40" s="8"/>
      <c r="B40" s="8"/>
      <c r="C40" s="8"/>
      <c r="D40" s="8" t="s">
        <v>0</v>
      </c>
      <c r="E40" s="8"/>
      <c r="F40" s="8" t="s">
        <v>0</v>
      </c>
      <c r="G40" s="8"/>
      <c r="H40" s="8"/>
      <c r="I40" s="8"/>
      <c r="J40" s="8"/>
      <c r="K40" s="17" t="s">
        <v>0</v>
      </c>
      <c r="L40" s="8" t="s">
        <v>0</v>
      </c>
      <c r="M40" s="8" t="s">
        <v>0</v>
      </c>
      <c r="N40" s="17" t="s">
        <v>0</v>
      </c>
      <c r="O40" s="8"/>
      <c r="P40" s="6" t="str">
        <f>IFERROR(VLOOKUP(O40,Hoja1!$F$2:$H$28,2,0)," ")</f>
        <v xml:space="preserve"> </v>
      </c>
      <c r="Q40" s="7" t="str">
        <f>IFERROR(IF(M40="NO",VLOOKUP(O40,Hoja1!$F$2:$I$28,3,0),VLOOKUP(O40,Hoja1!$F$2:$I$28,4,0))," ")</f>
        <v xml:space="preserve"> </v>
      </c>
      <c r="R40" s="24"/>
      <c r="S40" s="24" t="s">
        <v>0</v>
      </c>
      <c r="T40" s="14"/>
      <c r="U40" s="18" t="s">
        <v>0</v>
      </c>
      <c r="V40" s="15" t="e">
        <f t="shared" si="0"/>
        <v>#VALUE!</v>
      </c>
      <c r="W40" s="16" t="e">
        <f t="shared" si="1"/>
        <v>#VALUE!</v>
      </c>
      <c r="X40" s="10"/>
      <c r="Y40" s="13" t="s">
        <v>20</v>
      </c>
    </row>
    <row r="41" spans="1:25" ht="27" customHeight="1" x14ac:dyDescent="0.35">
      <c r="A41" s="8"/>
      <c r="B41" s="8"/>
      <c r="C41" s="8"/>
      <c r="D41" s="8" t="s">
        <v>0</v>
      </c>
      <c r="E41" s="8"/>
      <c r="F41" s="8" t="s">
        <v>0</v>
      </c>
      <c r="G41" s="8"/>
      <c r="H41" s="8"/>
      <c r="I41" s="8"/>
      <c r="J41" s="8"/>
      <c r="K41" s="17" t="s">
        <v>0</v>
      </c>
      <c r="L41" s="8" t="s">
        <v>0</v>
      </c>
      <c r="M41" s="8" t="s">
        <v>0</v>
      </c>
      <c r="N41" s="17" t="s">
        <v>0</v>
      </c>
      <c r="O41" s="8"/>
      <c r="P41" s="6" t="str">
        <f>IFERROR(VLOOKUP(O41,Hoja1!$F$2:$H$28,2,0)," ")</f>
        <v xml:space="preserve"> </v>
      </c>
      <c r="Q41" s="7" t="str">
        <f>IFERROR(IF(M41="NO",VLOOKUP(O41,Hoja1!$F$2:$I$28,3,0),VLOOKUP(O41,Hoja1!$F$2:$I$28,4,0))," ")</f>
        <v xml:space="preserve"> </v>
      </c>
      <c r="R41" s="24"/>
      <c r="S41" s="24" t="s">
        <v>0</v>
      </c>
      <c r="T41" s="14"/>
      <c r="U41" s="18" t="s">
        <v>0</v>
      </c>
      <c r="V41" s="15" t="e">
        <f t="shared" si="0"/>
        <v>#VALUE!</v>
      </c>
      <c r="W41" s="16" t="e">
        <f t="shared" si="1"/>
        <v>#VALUE!</v>
      </c>
      <c r="X41" s="10"/>
      <c r="Y41" s="13" t="s">
        <v>20</v>
      </c>
    </row>
    <row r="42" spans="1:25" ht="27" customHeight="1" x14ac:dyDescent="0.35">
      <c r="A42" s="8"/>
      <c r="B42" s="8"/>
      <c r="C42" s="8"/>
      <c r="D42" s="8" t="s">
        <v>0</v>
      </c>
      <c r="E42" s="8"/>
      <c r="F42" s="8" t="s">
        <v>0</v>
      </c>
      <c r="G42" s="8"/>
      <c r="H42" s="8"/>
      <c r="I42" s="8"/>
      <c r="J42" s="8"/>
      <c r="K42" s="17" t="s">
        <v>0</v>
      </c>
      <c r="L42" s="8" t="s">
        <v>0</v>
      </c>
      <c r="M42" s="8" t="s">
        <v>0</v>
      </c>
      <c r="N42" s="17" t="s">
        <v>0</v>
      </c>
      <c r="O42" s="8"/>
      <c r="P42" s="6" t="str">
        <f>IFERROR(VLOOKUP(O42,Hoja1!$F$2:$H$28,2,0)," ")</f>
        <v xml:space="preserve"> </v>
      </c>
      <c r="Q42" s="7" t="str">
        <f>IFERROR(IF(M42="NO",VLOOKUP(O42,Hoja1!$F$2:$I$28,3,0),VLOOKUP(O42,Hoja1!$F$2:$I$28,4,0))," ")</f>
        <v xml:space="preserve"> </v>
      </c>
      <c r="R42" s="24"/>
      <c r="S42" s="24" t="s">
        <v>0</v>
      </c>
      <c r="T42" s="14"/>
      <c r="U42" s="18" t="s">
        <v>0</v>
      </c>
      <c r="V42" s="15" t="e">
        <f t="shared" si="0"/>
        <v>#VALUE!</v>
      </c>
      <c r="W42" s="16" t="e">
        <f t="shared" si="1"/>
        <v>#VALUE!</v>
      </c>
      <c r="X42" s="10"/>
      <c r="Y42" s="13" t="s">
        <v>20</v>
      </c>
    </row>
    <row r="43" spans="1:25" ht="27" customHeight="1" x14ac:dyDescent="0.35">
      <c r="A43" s="8"/>
      <c r="B43" s="8"/>
      <c r="C43" s="8"/>
      <c r="D43" s="8" t="s">
        <v>0</v>
      </c>
      <c r="E43" s="8"/>
      <c r="F43" s="8" t="s">
        <v>0</v>
      </c>
      <c r="G43" s="8"/>
      <c r="H43" s="8"/>
      <c r="I43" s="8"/>
      <c r="J43" s="8"/>
      <c r="K43" s="17" t="s">
        <v>0</v>
      </c>
      <c r="L43" s="8" t="s">
        <v>0</v>
      </c>
      <c r="M43" s="8" t="s">
        <v>0</v>
      </c>
      <c r="N43" s="17" t="s">
        <v>0</v>
      </c>
      <c r="O43" s="8"/>
      <c r="P43" s="6" t="str">
        <f>IFERROR(VLOOKUP(O43,Hoja1!$F$2:$H$28,2,0)," ")</f>
        <v xml:space="preserve"> </v>
      </c>
      <c r="Q43" s="7" t="str">
        <f>IFERROR(IF(M43="NO",VLOOKUP(O43,Hoja1!$F$2:$I$28,3,0),VLOOKUP(O43,Hoja1!$F$2:$I$28,4,0))," ")</f>
        <v xml:space="preserve"> </v>
      </c>
      <c r="R43" s="24"/>
      <c r="S43" s="24" t="s">
        <v>0</v>
      </c>
      <c r="T43" s="14"/>
      <c r="U43" s="18" t="s">
        <v>0</v>
      </c>
      <c r="V43" s="15" t="e">
        <f t="shared" si="0"/>
        <v>#VALUE!</v>
      </c>
      <c r="W43" s="16" t="e">
        <f t="shared" si="1"/>
        <v>#VALUE!</v>
      </c>
      <c r="X43" s="10"/>
      <c r="Y43" s="13" t="s">
        <v>20</v>
      </c>
    </row>
    <row r="44" spans="1:25" ht="27" customHeight="1" x14ac:dyDescent="0.35">
      <c r="A44" s="8"/>
      <c r="B44" s="8"/>
      <c r="C44" s="8"/>
      <c r="D44" s="8" t="s">
        <v>0</v>
      </c>
      <c r="E44" s="8"/>
      <c r="F44" s="8" t="s">
        <v>0</v>
      </c>
      <c r="G44" s="8"/>
      <c r="H44" s="8"/>
      <c r="I44" s="8"/>
      <c r="J44" s="8"/>
      <c r="K44" s="17" t="s">
        <v>0</v>
      </c>
      <c r="L44" s="8" t="s">
        <v>0</v>
      </c>
      <c r="M44" s="8" t="s">
        <v>0</v>
      </c>
      <c r="N44" s="17" t="s">
        <v>0</v>
      </c>
      <c r="O44" s="8"/>
      <c r="P44" s="6" t="str">
        <f>IFERROR(VLOOKUP(O44,Hoja1!$F$2:$H$28,2,0)," ")</f>
        <v xml:space="preserve"> </v>
      </c>
      <c r="Q44" s="7" t="str">
        <f>IFERROR(IF(M44="NO",VLOOKUP(O44,Hoja1!$F$2:$I$28,3,0),VLOOKUP(O44,Hoja1!$F$2:$I$28,4,0))," ")</f>
        <v xml:space="preserve"> </v>
      </c>
      <c r="R44" s="24"/>
      <c r="S44" s="24" t="s">
        <v>0</v>
      </c>
      <c r="T44" s="14"/>
      <c r="U44" s="18" t="s">
        <v>0</v>
      </c>
      <c r="V44" s="15" t="e">
        <f t="shared" si="0"/>
        <v>#VALUE!</v>
      </c>
      <c r="W44" s="16" t="e">
        <f t="shared" si="1"/>
        <v>#VALUE!</v>
      </c>
      <c r="X44" s="10"/>
      <c r="Y44" s="13" t="s">
        <v>20</v>
      </c>
    </row>
    <row r="45" spans="1:25" ht="27" customHeight="1" x14ac:dyDescent="0.35">
      <c r="A45" s="8"/>
      <c r="B45" s="8"/>
      <c r="C45" s="8"/>
      <c r="D45" s="8" t="s">
        <v>0</v>
      </c>
      <c r="E45" s="8"/>
      <c r="F45" s="8" t="s">
        <v>0</v>
      </c>
      <c r="G45" s="8"/>
      <c r="H45" s="8"/>
      <c r="I45" s="8"/>
      <c r="J45" s="8"/>
      <c r="K45" s="17" t="s">
        <v>0</v>
      </c>
      <c r="L45" s="8" t="s">
        <v>0</v>
      </c>
      <c r="M45" s="8" t="s">
        <v>0</v>
      </c>
      <c r="N45" s="17" t="s">
        <v>0</v>
      </c>
      <c r="O45" s="8"/>
      <c r="P45" s="6" t="str">
        <f>IFERROR(VLOOKUP(O45,Hoja1!$F$2:$H$28,2,0)," ")</f>
        <v xml:space="preserve"> </v>
      </c>
      <c r="Q45" s="7" t="str">
        <f>IFERROR(IF(M45="NO",VLOOKUP(O45,Hoja1!$F$2:$I$28,3,0),VLOOKUP(O45,Hoja1!$F$2:$I$28,4,0))," ")</f>
        <v xml:space="preserve"> </v>
      </c>
      <c r="R45" s="24"/>
      <c r="S45" s="24" t="s">
        <v>0</v>
      </c>
      <c r="T45" s="14"/>
      <c r="U45" s="18" t="s">
        <v>0</v>
      </c>
      <c r="V45" s="15" t="e">
        <f t="shared" si="0"/>
        <v>#VALUE!</v>
      </c>
      <c r="W45" s="16" t="e">
        <f t="shared" si="1"/>
        <v>#VALUE!</v>
      </c>
      <c r="X45" s="10"/>
      <c r="Y45" s="13" t="s">
        <v>20</v>
      </c>
    </row>
    <row r="46" spans="1:25" ht="27" customHeight="1" x14ac:dyDescent="0.35">
      <c r="A46" s="8"/>
      <c r="B46" s="8"/>
      <c r="C46" s="8"/>
      <c r="D46" s="8" t="s">
        <v>0</v>
      </c>
      <c r="E46" s="8"/>
      <c r="F46" s="8" t="s">
        <v>0</v>
      </c>
      <c r="G46" s="8"/>
      <c r="H46" s="8"/>
      <c r="I46" s="8"/>
      <c r="J46" s="8"/>
      <c r="K46" s="17" t="s">
        <v>0</v>
      </c>
      <c r="L46" s="8" t="s">
        <v>0</v>
      </c>
      <c r="M46" s="8" t="s">
        <v>0</v>
      </c>
      <c r="N46" s="17" t="s">
        <v>0</v>
      </c>
      <c r="O46" s="8"/>
      <c r="P46" s="6" t="str">
        <f>IFERROR(VLOOKUP(O46,Hoja1!$F$2:$H$28,2,0)," ")</f>
        <v xml:space="preserve"> </v>
      </c>
      <c r="Q46" s="7" t="str">
        <f>IFERROR(IF(M46="NO",VLOOKUP(O46,Hoja1!$F$2:$I$28,3,0),VLOOKUP(O46,Hoja1!$F$2:$I$28,4,0))," ")</f>
        <v xml:space="preserve"> </v>
      </c>
      <c r="R46" s="24"/>
      <c r="S46" s="24" t="s">
        <v>0</v>
      </c>
      <c r="T46" s="14"/>
      <c r="U46" s="18" t="s">
        <v>0</v>
      </c>
      <c r="V46" s="15" t="e">
        <f t="shared" si="0"/>
        <v>#VALUE!</v>
      </c>
      <c r="W46" s="16" t="e">
        <f t="shared" si="1"/>
        <v>#VALUE!</v>
      </c>
      <c r="X46" s="10"/>
      <c r="Y46" s="13" t="s">
        <v>20</v>
      </c>
    </row>
    <row r="47" spans="1:25" ht="27" customHeight="1" x14ac:dyDescent="0.35">
      <c r="A47" s="8"/>
      <c r="B47" s="8"/>
      <c r="C47" s="8"/>
      <c r="D47" s="8" t="s">
        <v>0</v>
      </c>
      <c r="E47" s="8"/>
      <c r="F47" s="8" t="s">
        <v>0</v>
      </c>
      <c r="G47" s="8"/>
      <c r="H47" s="8"/>
      <c r="I47" s="8"/>
      <c r="J47" s="8"/>
      <c r="K47" s="17" t="s">
        <v>0</v>
      </c>
      <c r="L47" s="8" t="s">
        <v>0</v>
      </c>
      <c r="M47" s="8" t="s">
        <v>0</v>
      </c>
      <c r="N47" s="17" t="s">
        <v>0</v>
      </c>
      <c r="O47" s="8"/>
      <c r="P47" s="6" t="str">
        <f>IFERROR(VLOOKUP(O47,Hoja1!$F$2:$H$28,2,0)," ")</f>
        <v xml:space="preserve"> </v>
      </c>
      <c r="Q47" s="7" t="str">
        <f>IFERROR(IF(M47="NO",VLOOKUP(O47,Hoja1!$F$2:$I$28,3,0),VLOOKUP(O47,Hoja1!$F$2:$I$28,4,0))," ")</f>
        <v xml:space="preserve"> </v>
      </c>
      <c r="R47" s="24"/>
      <c r="S47" s="24" t="s">
        <v>0</v>
      </c>
      <c r="T47" s="14"/>
      <c r="U47" s="18" t="s">
        <v>0</v>
      </c>
      <c r="V47" s="15" t="e">
        <f t="shared" si="0"/>
        <v>#VALUE!</v>
      </c>
      <c r="W47" s="16" t="e">
        <f t="shared" si="1"/>
        <v>#VALUE!</v>
      </c>
      <c r="X47" s="10"/>
      <c r="Y47" s="13" t="s">
        <v>20</v>
      </c>
    </row>
    <row r="48" spans="1:25" ht="27" customHeight="1" x14ac:dyDescent="0.35">
      <c r="A48" s="8"/>
      <c r="B48" s="8"/>
      <c r="C48" s="8"/>
      <c r="D48" s="8" t="s">
        <v>0</v>
      </c>
      <c r="E48" s="8"/>
      <c r="F48" s="8" t="s">
        <v>0</v>
      </c>
      <c r="G48" s="8"/>
      <c r="H48" s="8"/>
      <c r="I48" s="8"/>
      <c r="J48" s="8"/>
      <c r="K48" s="17" t="s">
        <v>0</v>
      </c>
      <c r="L48" s="8" t="s">
        <v>0</v>
      </c>
      <c r="M48" s="8" t="s">
        <v>0</v>
      </c>
      <c r="N48" s="17" t="s">
        <v>0</v>
      </c>
      <c r="O48" s="8"/>
      <c r="P48" s="6" t="str">
        <f>IFERROR(VLOOKUP(O48,Hoja1!$F$2:$H$28,2,0)," ")</f>
        <v xml:space="preserve"> </v>
      </c>
      <c r="Q48" s="7" t="str">
        <f>IFERROR(IF(M48="NO",VLOOKUP(O48,Hoja1!$F$2:$I$28,3,0),VLOOKUP(O48,Hoja1!$F$2:$I$28,4,0))," ")</f>
        <v xml:space="preserve"> </v>
      </c>
      <c r="R48" s="24"/>
      <c r="S48" s="24" t="s">
        <v>0</v>
      </c>
      <c r="T48" s="14"/>
      <c r="U48" s="18" t="s">
        <v>0</v>
      </c>
      <c r="V48" s="15" t="e">
        <f t="shared" si="0"/>
        <v>#VALUE!</v>
      </c>
      <c r="W48" s="16" t="e">
        <f t="shared" si="1"/>
        <v>#VALUE!</v>
      </c>
      <c r="X48" s="10"/>
      <c r="Y48" s="13" t="s">
        <v>20</v>
      </c>
    </row>
    <row r="49" spans="1:25" ht="27" customHeight="1" x14ac:dyDescent="0.35">
      <c r="A49" s="8"/>
      <c r="B49" s="8"/>
      <c r="C49" s="8"/>
      <c r="D49" s="8" t="s">
        <v>0</v>
      </c>
      <c r="E49" s="8"/>
      <c r="F49" s="8" t="s">
        <v>0</v>
      </c>
      <c r="G49" s="8"/>
      <c r="H49" s="8"/>
      <c r="I49" s="8"/>
      <c r="J49" s="8"/>
      <c r="K49" s="17" t="s">
        <v>0</v>
      </c>
      <c r="L49" s="8" t="s">
        <v>0</v>
      </c>
      <c r="M49" s="8" t="s">
        <v>0</v>
      </c>
      <c r="N49" s="17" t="s">
        <v>0</v>
      </c>
      <c r="O49" s="8"/>
      <c r="P49" s="6" t="str">
        <f>IFERROR(VLOOKUP(O49,Hoja1!$F$2:$H$28,2,0)," ")</f>
        <v xml:space="preserve"> </v>
      </c>
      <c r="Q49" s="7" t="str">
        <f>IFERROR(IF(M49="NO",VLOOKUP(O49,Hoja1!$F$2:$I$28,3,0),VLOOKUP(O49,Hoja1!$F$2:$I$28,4,0))," ")</f>
        <v xml:space="preserve"> </v>
      </c>
      <c r="R49" s="24"/>
      <c r="S49" s="24" t="s">
        <v>0</v>
      </c>
      <c r="T49" s="14"/>
      <c r="U49" s="18" t="s">
        <v>0</v>
      </c>
      <c r="V49" s="15" t="e">
        <f t="shared" si="0"/>
        <v>#VALUE!</v>
      </c>
      <c r="W49" s="16" t="e">
        <f t="shared" si="1"/>
        <v>#VALUE!</v>
      </c>
      <c r="X49" s="10"/>
      <c r="Y49" s="13" t="s">
        <v>20</v>
      </c>
    </row>
    <row r="50" spans="1:25" ht="27" customHeight="1" x14ac:dyDescent="0.35">
      <c r="A50" s="8"/>
      <c r="B50" s="8"/>
      <c r="C50" s="8"/>
      <c r="D50" s="8" t="s">
        <v>0</v>
      </c>
      <c r="E50" s="8"/>
      <c r="F50" s="8" t="s">
        <v>0</v>
      </c>
      <c r="G50" s="8"/>
      <c r="H50" s="8"/>
      <c r="I50" s="8"/>
      <c r="J50" s="8"/>
      <c r="K50" s="17" t="s">
        <v>0</v>
      </c>
      <c r="L50" s="8" t="s">
        <v>0</v>
      </c>
      <c r="M50" s="8" t="s">
        <v>0</v>
      </c>
      <c r="N50" s="17" t="s">
        <v>0</v>
      </c>
      <c r="O50" s="8"/>
      <c r="P50" s="6" t="str">
        <f>IFERROR(VLOOKUP(O50,Hoja1!$F$2:$H$28,2,0)," ")</f>
        <v xml:space="preserve"> </v>
      </c>
      <c r="Q50" s="7" t="str">
        <f>IFERROR(IF(M50="NO",VLOOKUP(O50,Hoja1!$F$2:$I$28,3,0),VLOOKUP(O50,Hoja1!$F$2:$I$28,4,0))," ")</f>
        <v xml:space="preserve"> </v>
      </c>
      <c r="R50" s="24"/>
      <c r="S50" s="24" t="s">
        <v>0</v>
      </c>
      <c r="T50" s="14"/>
      <c r="U50" s="18" t="s">
        <v>0</v>
      </c>
      <c r="V50" s="15" t="e">
        <f t="shared" si="0"/>
        <v>#VALUE!</v>
      </c>
      <c r="W50" s="16" t="e">
        <f t="shared" si="1"/>
        <v>#VALUE!</v>
      </c>
      <c r="X50" s="10"/>
      <c r="Y50" s="13" t="s">
        <v>20</v>
      </c>
    </row>
    <row r="51" spans="1:25" ht="27" customHeight="1" x14ac:dyDescent="0.35">
      <c r="A51" s="8"/>
      <c r="B51" s="8"/>
      <c r="C51" s="8"/>
      <c r="D51" s="8" t="s">
        <v>0</v>
      </c>
      <c r="E51" s="8"/>
      <c r="F51" s="8" t="s">
        <v>0</v>
      </c>
      <c r="G51" s="8"/>
      <c r="H51" s="8"/>
      <c r="I51" s="8"/>
      <c r="J51" s="8"/>
      <c r="K51" s="17" t="s">
        <v>0</v>
      </c>
      <c r="L51" s="8" t="s">
        <v>0</v>
      </c>
      <c r="M51" s="8" t="s">
        <v>0</v>
      </c>
      <c r="N51" s="17" t="s">
        <v>0</v>
      </c>
      <c r="O51" s="8"/>
      <c r="P51" s="6" t="str">
        <f>IFERROR(VLOOKUP(O51,Hoja1!$F$2:$H$28,2,0)," ")</f>
        <v xml:space="preserve"> </v>
      </c>
      <c r="Q51" s="7" t="str">
        <f>IFERROR(IF(M51="NO",VLOOKUP(O51,Hoja1!$F$2:$I$28,3,0),VLOOKUP(O51,Hoja1!$F$2:$I$28,4,0))," ")</f>
        <v xml:space="preserve"> </v>
      </c>
      <c r="R51" s="24"/>
      <c r="S51" s="24" t="s">
        <v>0</v>
      </c>
      <c r="T51" s="14"/>
      <c r="U51" s="18" t="s">
        <v>0</v>
      </c>
      <c r="V51" s="15" t="e">
        <f t="shared" si="0"/>
        <v>#VALUE!</v>
      </c>
      <c r="W51" s="16" t="e">
        <f t="shared" si="1"/>
        <v>#VALUE!</v>
      </c>
      <c r="X51" s="10"/>
      <c r="Y51" s="13" t="s">
        <v>20</v>
      </c>
    </row>
    <row r="52" spans="1:25" ht="27" customHeight="1" x14ac:dyDescent="0.35">
      <c r="A52" s="8"/>
      <c r="B52" s="8"/>
      <c r="C52" s="8"/>
      <c r="D52" s="8" t="s">
        <v>0</v>
      </c>
      <c r="E52" s="8"/>
      <c r="F52" s="8" t="s">
        <v>0</v>
      </c>
      <c r="G52" s="8"/>
      <c r="H52" s="8"/>
      <c r="I52" s="8"/>
      <c r="J52" s="8"/>
      <c r="K52" s="17" t="s">
        <v>0</v>
      </c>
      <c r="L52" s="8" t="s">
        <v>0</v>
      </c>
      <c r="M52" s="8" t="s">
        <v>0</v>
      </c>
      <c r="N52" s="17" t="s">
        <v>0</v>
      </c>
      <c r="O52" s="8"/>
      <c r="P52" s="6" t="str">
        <f>IFERROR(VLOOKUP(O52,Hoja1!$F$2:$H$28,2,0)," ")</f>
        <v xml:space="preserve"> </v>
      </c>
      <c r="Q52" s="7" t="str">
        <f>IFERROR(IF(M52="NO",VLOOKUP(O52,Hoja1!$F$2:$I$28,3,0),VLOOKUP(O52,Hoja1!$F$2:$I$28,4,0))," ")</f>
        <v xml:space="preserve"> </v>
      </c>
      <c r="R52" s="24"/>
      <c r="S52" s="24" t="s">
        <v>0</v>
      </c>
      <c r="T52" s="14"/>
      <c r="U52" s="18" t="s">
        <v>0</v>
      </c>
      <c r="V52" s="15" t="e">
        <f t="shared" si="0"/>
        <v>#VALUE!</v>
      </c>
      <c r="W52" s="16" t="e">
        <f t="shared" si="1"/>
        <v>#VALUE!</v>
      </c>
      <c r="X52" s="10"/>
      <c r="Y52" s="13" t="s">
        <v>20</v>
      </c>
    </row>
    <row r="53" spans="1:25" ht="27" customHeight="1" x14ac:dyDescent="0.35">
      <c r="A53" s="8"/>
      <c r="B53" s="8"/>
      <c r="C53" s="8"/>
      <c r="D53" s="8" t="s">
        <v>0</v>
      </c>
      <c r="E53" s="8"/>
      <c r="F53" s="8" t="s">
        <v>0</v>
      </c>
      <c r="G53" s="8"/>
      <c r="H53" s="8"/>
      <c r="I53" s="8"/>
      <c r="J53" s="8"/>
      <c r="K53" s="17" t="s">
        <v>0</v>
      </c>
      <c r="L53" s="8" t="s">
        <v>0</v>
      </c>
      <c r="M53" s="8" t="s">
        <v>0</v>
      </c>
      <c r="N53" s="17" t="s">
        <v>0</v>
      </c>
      <c r="O53" s="8"/>
      <c r="P53" s="6" t="str">
        <f>IFERROR(VLOOKUP(O53,Hoja1!$F$2:$H$28,2,0)," ")</f>
        <v xml:space="preserve"> </v>
      </c>
      <c r="Q53" s="7" t="str">
        <f>IFERROR(IF(M53="NO",VLOOKUP(O53,Hoja1!$F$2:$I$28,3,0),VLOOKUP(O53,Hoja1!$F$2:$I$28,4,0))," ")</f>
        <v xml:space="preserve"> </v>
      </c>
      <c r="R53" s="24"/>
      <c r="S53" s="24" t="s">
        <v>0</v>
      </c>
      <c r="T53" s="14"/>
      <c r="U53" s="18" t="s">
        <v>0</v>
      </c>
      <c r="V53" s="15" t="e">
        <f t="shared" si="0"/>
        <v>#VALUE!</v>
      </c>
      <c r="W53" s="16" t="e">
        <f t="shared" si="1"/>
        <v>#VALUE!</v>
      </c>
      <c r="X53" s="10"/>
      <c r="Y53" s="13" t="s">
        <v>20</v>
      </c>
    </row>
    <row r="54" spans="1:25" ht="27" customHeight="1" x14ac:dyDescent="0.35">
      <c r="A54" s="8"/>
      <c r="B54" s="8"/>
      <c r="C54" s="8"/>
      <c r="D54" s="8" t="s">
        <v>0</v>
      </c>
      <c r="E54" s="8"/>
      <c r="F54" s="8" t="s">
        <v>0</v>
      </c>
      <c r="G54" s="8"/>
      <c r="H54" s="8"/>
      <c r="I54" s="8"/>
      <c r="J54" s="8"/>
      <c r="K54" s="17" t="s">
        <v>0</v>
      </c>
      <c r="L54" s="8" t="s">
        <v>0</v>
      </c>
      <c r="M54" s="8" t="s">
        <v>0</v>
      </c>
      <c r="N54" s="17" t="s">
        <v>0</v>
      </c>
      <c r="O54" s="8"/>
      <c r="P54" s="6" t="str">
        <f>IFERROR(VLOOKUP(O54,Hoja1!$F$2:$H$28,2,0)," ")</f>
        <v xml:space="preserve"> </v>
      </c>
      <c r="Q54" s="7" t="str">
        <f>IFERROR(IF(M54="NO",VLOOKUP(O54,Hoja1!$F$2:$I$28,3,0),VLOOKUP(O54,Hoja1!$F$2:$I$28,4,0))," ")</f>
        <v xml:space="preserve"> </v>
      </c>
      <c r="R54" s="24"/>
      <c r="S54" s="24" t="s">
        <v>0</v>
      </c>
      <c r="T54" s="14"/>
      <c r="U54" s="18" t="s">
        <v>0</v>
      </c>
      <c r="V54" s="15" t="e">
        <f t="shared" ref="V54:V64" si="2">U54*Q54</f>
        <v>#VALUE!</v>
      </c>
      <c r="W54" s="16" t="e">
        <f t="shared" ref="W54:W64" si="3">Q54-V54</f>
        <v>#VALUE!</v>
      </c>
      <c r="X54" s="10"/>
      <c r="Y54" s="13" t="s">
        <v>20</v>
      </c>
    </row>
    <row r="55" spans="1:25" ht="27" customHeight="1" x14ac:dyDescent="0.35">
      <c r="A55" s="8"/>
      <c r="B55" s="8"/>
      <c r="C55" s="8"/>
      <c r="D55" s="8" t="s">
        <v>0</v>
      </c>
      <c r="E55" s="8"/>
      <c r="F55" s="8" t="s">
        <v>0</v>
      </c>
      <c r="G55" s="8"/>
      <c r="H55" s="8"/>
      <c r="I55" s="8"/>
      <c r="J55" s="8"/>
      <c r="K55" s="17" t="s">
        <v>0</v>
      </c>
      <c r="L55" s="8" t="s">
        <v>0</v>
      </c>
      <c r="M55" s="8" t="s">
        <v>0</v>
      </c>
      <c r="N55" s="17" t="s">
        <v>0</v>
      </c>
      <c r="O55" s="8"/>
      <c r="P55" s="6" t="str">
        <f>IFERROR(VLOOKUP(O55,Hoja1!$F$2:$H$28,2,0)," ")</f>
        <v xml:space="preserve"> </v>
      </c>
      <c r="Q55" s="7" t="str">
        <f>IFERROR(IF(M55="NO",VLOOKUP(O55,Hoja1!$F$2:$I$28,3,0),VLOOKUP(O55,Hoja1!$F$2:$I$28,4,0))," ")</f>
        <v xml:space="preserve"> </v>
      </c>
      <c r="R55" s="24"/>
      <c r="S55" s="24" t="s">
        <v>0</v>
      </c>
      <c r="T55" s="14"/>
      <c r="U55" s="18" t="s">
        <v>0</v>
      </c>
      <c r="V55" s="15" t="e">
        <f t="shared" si="2"/>
        <v>#VALUE!</v>
      </c>
      <c r="W55" s="16" t="e">
        <f t="shared" si="3"/>
        <v>#VALUE!</v>
      </c>
      <c r="X55" s="10"/>
      <c r="Y55" s="13" t="s">
        <v>20</v>
      </c>
    </row>
    <row r="56" spans="1:25" ht="27" customHeight="1" x14ac:dyDescent="0.35">
      <c r="A56" s="8"/>
      <c r="B56" s="8"/>
      <c r="C56" s="8"/>
      <c r="D56" s="8" t="s">
        <v>0</v>
      </c>
      <c r="E56" s="8"/>
      <c r="F56" s="8" t="s">
        <v>0</v>
      </c>
      <c r="G56" s="8"/>
      <c r="H56" s="8"/>
      <c r="I56" s="8"/>
      <c r="J56" s="8"/>
      <c r="K56" s="17" t="s">
        <v>0</v>
      </c>
      <c r="L56" s="8" t="s">
        <v>0</v>
      </c>
      <c r="M56" s="8" t="s">
        <v>0</v>
      </c>
      <c r="N56" s="17" t="s">
        <v>0</v>
      </c>
      <c r="O56" s="8"/>
      <c r="P56" s="6" t="str">
        <f>IFERROR(VLOOKUP(O56,Hoja1!$F$2:$H$28,2,0)," ")</f>
        <v xml:space="preserve"> </v>
      </c>
      <c r="Q56" s="7" t="str">
        <f>IFERROR(IF(M56="NO",VLOOKUP(O56,Hoja1!$F$2:$I$28,3,0),VLOOKUP(O56,Hoja1!$F$2:$I$28,4,0))," ")</f>
        <v xml:space="preserve"> </v>
      </c>
      <c r="R56" s="24"/>
      <c r="S56" s="24" t="s">
        <v>0</v>
      </c>
      <c r="T56" s="14"/>
      <c r="U56" s="18" t="s">
        <v>0</v>
      </c>
      <c r="V56" s="15" t="e">
        <f t="shared" si="2"/>
        <v>#VALUE!</v>
      </c>
      <c r="W56" s="16" t="e">
        <f t="shared" si="3"/>
        <v>#VALUE!</v>
      </c>
      <c r="X56" s="10"/>
      <c r="Y56" s="13" t="s">
        <v>20</v>
      </c>
    </row>
    <row r="57" spans="1:25" ht="27" customHeight="1" x14ac:dyDescent="0.35">
      <c r="A57" s="8"/>
      <c r="B57" s="8"/>
      <c r="C57" s="8"/>
      <c r="D57" s="8" t="s">
        <v>0</v>
      </c>
      <c r="E57" s="8"/>
      <c r="F57" s="8" t="s">
        <v>0</v>
      </c>
      <c r="G57" s="8"/>
      <c r="H57" s="8"/>
      <c r="I57" s="8"/>
      <c r="J57" s="8"/>
      <c r="K57" s="17" t="s">
        <v>0</v>
      </c>
      <c r="L57" s="8" t="s">
        <v>0</v>
      </c>
      <c r="M57" s="8" t="s">
        <v>0</v>
      </c>
      <c r="N57" s="17" t="s">
        <v>0</v>
      </c>
      <c r="O57" s="8"/>
      <c r="P57" s="6" t="str">
        <f>IFERROR(VLOOKUP(O57,Hoja1!$F$2:$H$28,2,0)," ")</f>
        <v xml:space="preserve"> </v>
      </c>
      <c r="Q57" s="7" t="str">
        <f>IFERROR(IF(M57="NO",VLOOKUP(O57,Hoja1!$F$2:$I$28,3,0),VLOOKUP(O57,Hoja1!$F$2:$I$28,4,0))," ")</f>
        <v xml:space="preserve"> </v>
      </c>
      <c r="R57" s="24"/>
      <c r="S57" s="24" t="s">
        <v>0</v>
      </c>
      <c r="T57" s="14"/>
      <c r="U57" s="18" t="s">
        <v>0</v>
      </c>
      <c r="V57" s="15" t="e">
        <f t="shared" si="2"/>
        <v>#VALUE!</v>
      </c>
      <c r="W57" s="16" t="e">
        <f t="shared" si="3"/>
        <v>#VALUE!</v>
      </c>
      <c r="X57" s="10"/>
      <c r="Y57" s="13" t="s">
        <v>20</v>
      </c>
    </row>
    <row r="58" spans="1:25" ht="27" customHeight="1" x14ac:dyDescent="0.35">
      <c r="A58" s="8"/>
      <c r="B58" s="8"/>
      <c r="C58" s="8"/>
      <c r="D58" s="8" t="s">
        <v>0</v>
      </c>
      <c r="E58" s="8"/>
      <c r="F58" s="8" t="s">
        <v>0</v>
      </c>
      <c r="G58" s="8"/>
      <c r="H58" s="8"/>
      <c r="I58" s="8"/>
      <c r="J58" s="8"/>
      <c r="K58" s="17" t="s">
        <v>0</v>
      </c>
      <c r="L58" s="8" t="s">
        <v>0</v>
      </c>
      <c r="M58" s="8" t="s">
        <v>0</v>
      </c>
      <c r="N58" s="17" t="s">
        <v>0</v>
      </c>
      <c r="O58" s="8"/>
      <c r="P58" s="6" t="str">
        <f>IFERROR(VLOOKUP(O58,Hoja1!$F$2:$H$28,2,0)," ")</f>
        <v xml:space="preserve"> </v>
      </c>
      <c r="Q58" s="7" t="str">
        <f>IFERROR(IF(M58="NO",VLOOKUP(O58,Hoja1!$F$2:$I$28,3,0),VLOOKUP(O58,Hoja1!$F$2:$I$28,4,0))," ")</f>
        <v xml:space="preserve"> </v>
      </c>
      <c r="R58" s="24"/>
      <c r="S58" s="24" t="s">
        <v>0</v>
      </c>
      <c r="T58" s="14"/>
      <c r="U58" s="18" t="s">
        <v>0</v>
      </c>
      <c r="V58" s="15" t="e">
        <f t="shared" si="2"/>
        <v>#VALUE!</v>
      </c>
      <c r="W58" s="16" t="e">
        <f t="shared" si="3"/>
        <v>#VALUE!</v>
      </c>
      <c r="X58" s="10"/>
      <c r="Y58" s="13" t="s">
        <v>20</v>
      </c>
    </row>
    <row r="59" spans="1:25" ht="27" customHeight="1" x14ac:dyDescent="0.35">
      <c r="A59" s="8"/>
      <c r="B59" s="8"/>
      <c r="C59" s="8"/>
      <c r="D59" s="8" t="s">
        <v>0</v>
      </c>
      <c r="E59" s="8"/>
      <c r="F59" s="8" t="s">
        <v>0</v>
      </c>
      <c r="G59" s="8"/>
      <c r="H59" s="8"/>
      <c r="I59" s="8"/>
      <c r="J59" s="8"/>
      <c r="K59" s="17" t="s">
        <v>0</v>
      </c>
      <c r="L59" s="8" t="s">
        <v>0</v>
      </c>
      <c r="M59" s="8" t="s">
        <v>0</v>
      </c>
      <c r="N59" s="17" t="s">
        <v>0</v>
      </c>
      <c r="O59" s="8"/>
      <c r="P59" s="6" t="str">
        <f>IFERROR(VLOOKUP(O59,Hoja1!$F$2:$H$28,2,0)," ")</f>
        <v xml:space="preserve"> </v>
      </c>
      <c r="Q59" s="7" t="str">
        <f>IFERROR(IF(M59="NO",VLOOKUP(O59,Hoja1!$F$2:$I$28,3,0),VLOOKUP(O59,Hoja1!$F$2:$I$28,4,0))," ")</f>
        <v xml:space="preserve"> </v>
      </c>
      <c r="R59" s="24"/>
      <c r="S59" s="24" t="s">
        <v>0</v>
      </c>
      <c r="T59" s="14"/>
      <c r="U59" s="18" t="s">
        <v>0</v>
      </c>
      <c r="V59" s="15" t="e">
        <f t="shared" si="2"/>
        <v>#VALUE!</v>
      </c>
      <c r="W59" s="16" t="e">
        <f t="shared" si="3"/>
        <v>#VALUE!</v>
      </c>
      <c r="X59" s="10"/>
      <c r="Y59" s="13" t="s">
        <v>20</v>
      </c>
    </row>
    <row r="60" spans="1:25" ht="27" customHeight="1" x14ac:dyDescent="0.35">
      <c r="A60" s="8"/>
      <c r="B60" s="8"/>
      <c r="C60" s="8"/>
      <c r="D60" s="8" t="s">
        <v>0</v>
      </c>
      <c r="E60" s="8"/>
      <c r="F60" s="8" t="s">
        <v>0</v>
      </c>
      <c r="G60" s="8"/>
      <c r="H60" s="8"/>
      <c r="I60" s="8"/>
      <c r="J60" s="8"/>
      <c r="K60" s="17" t="s">
        <v>0</v>
      </c>
      <c r="L60" s="8" t="s">
        <v>0</v>
      </c>
      <c r="M60" s="8" t="s">
        <v>0</v>
      </c>
      <c r="N60" s="17" t="s">
        <v>0</v>
      </c>
      <c r="O60" s="8"/>
      <c r="P60" s="6" t="str">
        <f>IFERROR(VLOOKUP(O60,Hoja1!$F$2:$H$28,2,0)," ")</f>
        <v xml:space="preserve"> </v>
      </c>
      <c r="Q60" s="7" t="str">
        <f>IFERROR(IF(M60="NO",VLOOKUP(O60,Hoja1!$F$2:$I$28,3,0),VLOOKUP(O60,Hoja1!$F$2:$I$28,4,0))," ")</f>
        <v xml:space="preserve"> </v>
      </c>
      <c r="R60" s="24"/>
      <c r="S60" s="24" t="s">
        <v>0</v>
      </c>
      <c r="T60" s="14"/>
      <c r="U60" s="18" t="s">
        <v>0</v>
      </c>
      <c r="V60" s="15" t="e">
        <f t="shared" si="2"/>
        <v>#VALUE!</v>
      </c>
      <c r="W60" s="16" t="e">
        <f t="shared" si="3"/>
        <v>#VALUE!</v>
      </c>
      <c r="X60" s="10"/>
      <c r="Y60" s="13" t="s">
        <v>20</v>
      </c>
    </row>
    <row r="61" spans="1:25" ht="27" customHeight="1" x14ac:dyDescent="0.35">
      <c r="A61" s="8"/>
      <c r="B61" s="8"/>
      <c r="C61" s="8"/>
      <c r="D61" s="8" t="s">
        <v>0</v>
      </c>
      <c r="E61" s="8"/>
      <c r="F61" s="8" t="s">
        <v>0</v>
      </c>
      <c r="G61" s="8"/>
      <c r="H61" s="8"/>
      <c r="I61" s="8"/>
      <c r="J61" s="8"/>
      <c r="K61" s="17" t="s">
        <v>0</v>
      </c>
      <c r="L61" s="8" t="s">
        <v>0</v>
      </c>
      <c r="M61" s="8" t="s">
        <v>0</v>
      </c>
      <c r="N61" s="17" t="s">
        <v>0</v>
      </c>
      <c r="O61" s="8"/>
      <c r="P61" s="6" t="str">
        <f>IFERROR(VLOOKUP(O61,Hoja1!$F$2:$H$28,2,0)," ")</f>
        <v xml:space="preserve"> </v>
      </c>
      <c r="Q61" s="7" t="str">
        <f>IFERROR(IF(M61="NO",VLOOKUP(O61,Hoja1!$F$2:$I$28,3,0),VLOOKUP(O61,Hoja1!$F$2:$I$28,4,0))," ")</f>
        <v xml:space="preserve"> </v>
      </c>
      <c r="R61" s="24"/>
      <c r="S61" s="24" t="s">
        <v>0</v>
      </c>
      <c r="T61" s="14"/>
      <c r="U61" s="18" t="s">
        <v>0</v>
      </c>
      <c r="V61" s="15" t="e">
        <f t="shared" si="2"/>
        <v>#VALUE!</v>
      </c>
      <c r="W61" s="16" t="e">
        <f t="shared" si="3"/>
        <v>#VALUE!</v>
      </c>
      <c r="X61" s="10"/>
      <c r="Y61" s="13" t="s">
        <v>20</v>
      </c>
    </row>
    <row r="62" spans="1:25" ht="27" customHeight="1" x14ac:dyDescent="0.35">
      <c r="A62" s="8"/>
      <c r="B62" s="8"/>
      <c r="C62" s="8"/>
      <c r="D62" s="8" t="s">
        <v>0</v>
      </c>
      <c r="E62" s="8"/>
      <c r="F62" s="8" t="s">
        <v>0</v>
      </c>
      <c r="G62" s="8"/>
      <c r="H62" s="8"/>
      <c r="I62" s="8"/>
      <c r="J62" s="8"/>
      <c r="K62" s="17" t="s">
        <v>0</v>
      </c>
      <c r="L62" s="8" t="s">
        <v>0</v>
      </c>
      <c r="M62" s="8" t="s">
        <v>0</v>
      </c>
      <c r="N62" s="17" t="s">
        <v>0</v>
      </c>
      <c r="O62" s="8"/>
      <c r="P62" s="6" t="str">
        <f>IFERROR(VLOOKUP(O62,Hoja1!$F$2:$H$28,2,0)," ")</f>
        <v xml:space="preserve"> </v>
      </c>
      <c r="Q62" s="7" t="str">
        <f>IFERROR(IF(M62="NO",VLOOKUP(O62,Hoja1!$F$2:$I$28,3,0),VLOOKUP(O62,Hoja1!$F$2:$I$28,4,0))," ")</f>
        <v xml:space="preserve"> </v>
      </c>
      <c r="R62" s="24"/>
      <c r="S62" s="24" t="s">
        <v>0</v>
      </c>
      <c r="T62" s="14"/>
      <c r="U62" s="18" t="s">
        <v>0</v>
      </c>
      <c r="V62" s="15" t="e">
        <f t="shared" si="2"/>
        <v>#VALUE!</v>
      </c>
      <c r="W62" s="16" t="e">
        <f t="shared" si="3"/>
        <v>#VALUE!</v>
      </c>
      <c r="X62" s="10"/>
      <c r="Y62" s="13" t="s">
        <v>20</v>
      </c>
    </row>
    <row r="63" spans="1:25" ht="27" customHeight="1" x14ac:dyDescent="0.35">
      <c r="A63" s="8"/>
      <c r="B63" s="8"/>
      <c r="C63" s="8"/>
      <c r="D63" s="8" t="s">
        <v>0</v>
      </c>
      <c r="E63" s="8"/>
      <c r="F63" s="8" t="s">
        <v>0</v>
      </c>
      <c r="G63" s="8"/>
      <c r="H63" s="8"/>
      <c r="I63" s="8"/>
      <c r="J63" s="8"/>
      <c r="K63" s="17" t="s">
        <v>0</v>
      </c>
      <c r="L63" s="8" t="s">
        <v>0</v>
      </c>
      <c r="M63" s="8" t="s">
        <v>0</v>
      </c>
      <c r="N63" s="17" t="s">
        <v>0</v>
      </c>
      <c r="O63" s="8"/>
      <c r="P63" s="6" t="str">
        <f>IFERROR(VLOOKUP(O63,Hoja1!$F$2:$H$28,2,0)," ")</f>
        <v xml:space="preserve"> </v>
      </c>
      <c r="Q63" s="7" t="str">
        <f>IFERROR(IF(M63="NO",VLOOKUP(O63,Hoja1!$F$2:$I$28,3,0),VLOOKUP(O63,Hoja1!$F$2:$I$28,4,0))," ")</f>
        <v xml:space="preserve"> </v>
      </c>
      <c r="R63" s="24"/>
      <c r="S63" s="24" t="s">
        <v>0</v>
      </c>
      <c r="T63" s="14"/>
      <c r="U63" s="18" t="s">
        <v>0</v>
      </c>
      <c r="V63" s="15" t="e">
        <f t="shared" si="2"/>
        <v>#VALUE!</v>
      </c>
      <c r="W63" s="16" t="e">
        <f t="shared" si="3"/>
        <v>#VALUE!</v>
      </c>
      <c r="X63" s="10"/>
      <c r="Y63" s="13" t="s">
        <v>20</v>
      </c>
    </row>
    <row r="64" spans="1:25" ht="27" customHeight="1" x14ac:dyDescent="0.35">
      <c r="A64" s="8"/>
      <c r="B64" s="8"/>
      <c r="C64" s="8"/>
      <c r="D64" s="8" t="s">
        <v>0</v>
      </c>
      <c r="E64" s="8"/>
      <c r="F64" s="8" t="s">
        <v>0</v>
      </c>
      <c r="G64" s="8"/>
      <c r="H64" s="8"/>
      <c r="I64" s="8"/>
      <c r="J64" s="8"/>
      <c r="K64" s="17" t="s">
        <v>0</v>
      </c>
      <c r="L64" s="8" t="s">
        <v>0</v>
      </c>
      <c r="M64" s="8" t="s">
        <v>0</v>
      </c>
      <c r="N64" s="17" t="s">
        <v>0</v>
      </c>
      <c r="O64" s="8"/>
      <c r="P64" s="6" t="str">
        <f>IFERROR(VLOOKUP(O64,Hoja1!$F$2:$H$28,2,0)," ")</f>
        <v xml:space="preserve"> </v>
      </c>
      <c r="Q64" s="7" t="str">
        <f>IFERROR(IF(M64="NO",VLOOKUP(O64,Hoja1!$F$2:$I$28,3,0),VLOOKUP(O64,Hoja1!$F$2:$I$28,4,0))," ")</f>
        <v xml:space="preserve"> </v>
      </c>
      <c r="R64" s="24"/>
      <c r="S64" s="24" t="s">
        <v>0</v>
      </c>
      <c r="T64" s="14"/>
      <c r="U64" s="18" t="s">
        <v>0</v>
      </c>
      <c r="V64" s="15" t="e">
        <f t="shared" si="2"/>
        <v>#VALUE!</v>
      </c>
      <c r="W64" s="16" t="e">
        <f t="shared" si="3"/>
        <v>#VALUE!</v>
      </c>
      <c r="X64" s="10"/>
      <c r="Y64" s="13" t="s">
        <v>20</v>
      </c>
    </row>
    <row r="65" spans="13:13" x14ac:dyDescent="0.35">
      <c r="M65" s="8" t="s">
        <v>0</v>
      </c>
    </row>
    <row r="66" spans="13:13" x14ac:dyDescent="0.35">
      <c r="M66" s="8" t="s">
        <v>0</v>
      </c>
    </row>
    <row r="67" spans="13:13" x14ac:dyDescent="0.35">
      <c r="M67" s="8" t="s">
        <v>0</v>
      </c>
    </row>
    <row r="68" spans="13:13" x14ac:dyDescent="0.35">
      <c r="M68" s="8" t="s">
        <v>0</v>
      </c>
    </row>
    <row r="69" spans="13:13" x14ac:dyDescent="0.35">
      <c r="M69" s="8" t="s">
        <v>0</v>
      </c>
    </row>
    <row r="70" spans="13:13" x14ac:dyDescent="0.35">
      <c r="M70" s="8" t="s">
        <v>0</v>
      </c>
    </row>
  </sheetData>
  <mergeCells count="8">
    <mergeCell ref="A7:K7"/>
    <mergeCell ref="L7:S7"/>
    <mergeCell ref="Y7:Y8"/>
    <mergeCell ref="T7:T8"/>
    <mergeCell ref="U7:U8"/>
    <mergeCell ref="V7:V8"/>
    <mergeCell ref="W7:W8"/>
    <mergeCell ref="X7:X8"/>
  </mergeCells>
  <conditionalFormatting sqref="V9:W64">
    <cfRule type="containsErrors" dxfId="42" priority="6">
      <formula>ISERROR(V9)</formula>
    </cfRule>
  </conditionalFormatting>
  <conditionalFormatting sqref="Y9:Y64">
    <cfRule type="containsText" dxfId="41" priority="4" operator="containsText" text="No aprobado">
      <formula>NOT(ISERROR(SEARCH("No aprobado",Y9)))</formula>
    </cfRule>
    <cfRule type="containsText" dxfId="40" priority="5" operator="containsText" text="Aprobado">
      <formula>NOT(ISERROR(SEARCH("Aprobado",Y9)))</formula>
    </cfRule>
  </conditionalFormatting>
  <conditionalFormatting sqref="V10:W10">
    <cfRule type="containsErrors" dxfId="39" priority="3">
      <formula>ISERROR(V10)</formula>
    </cfRule>
  </conditionalFormatting>
  <dataValidations count="1">
    <dataValidation type="list" allowBlank="1" showInputMessage="1" showErrorMessage="1" sqref="O9:O64">
      <formula1>INDIRECT(N9)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Hoja1!$E$1:$E$12</xm:f>
          </x14:formula1>
          <xm:sqref>S9:S64</xm:sqref>
        </x14:dataValidation>
        <x14:dataValidation type="list" allowBlank="1" showInputMessage="1" showErrorMessage="1">
          <x14:formula1>
            <xm:f>Hoja1!$J$1:$J$102</xm:f>
          </x14:formula1>
          <xm:sqref>U9:U64</xm:sqref>
        </x14:dataValidation>
        <x14:dataValidation type="list" allowBlank="1" showInputMessage="1" showErrorMessage="1">
          <x14:formula1>
            <xm:f>Hoja1!$A$1:$A$4</xm:f>
          </x14:formula1>
          <xm:sqref>N9:N64</xm:sqref>
        </x14:dataValidation>
        <x14:dataValidation type="list" allowBlank="1" showInputMessage="1" showErrorMessage="1">
          <x14:formula1>
            <xm:f>Hoja1!$N$2:$N$5</xm:f>
          </x14:formula1>
          <xm:sqref>D9:D64</xm:sqref>
        </x14:dataValidation>
        <x14:dataValidation type="list" allowBlank="1" showInputMessage="1" showErrorMessage="1">
          <x14:formula1>
            <xm:f>Hoja1!$M$2:$M$4</xm:f>
          </x14:formula1>
          <xm:sqref>K9:K64</xm:sqref>
        </x14:dataValidation>
        <x14:dataValidation type="list" allowBlank="1" showInputMessage="1" showErrorMessage="1">
          <x14:formula1>
            <xm:f>Hoja1!$L$2:$L$4</xm:f>
          </x14:formula1>
          <xm:sqref>F9:F64 L9:L64</xm:sqref>
        </x14:dataValidation>
        <x14:dataValidation type="list" allowBlank="1" showInputMessage="1" showErrorMessage="1">
          <x14:formula1>
            <xm:f>Hoja1!$K$2:$K$4</xm:f>
          </x14:formula1>
          <xm:sqref>Y9:Y64</xm:sqref>
        </x14:dataValidation>
        <x14:dataValidation type="list" allowBlank="1" showInputMessage="1" showErrorMessage="1">
          <x14:formula1>
            <xm:f>Hoja1!$Q$2:$Q$4</xm:f>
          </x14:formula1>
          <xm:sqref>E9:E64 M9:M70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6"/>
  <sheetViews>
    <sheetView showGridLines="0" zoomScale="80" zoomScaleNormal="80" workbookViewId="0">
      <pane ySplit="8" topLeftCell="A9" activePane="bottomLeft" state="frozen"/>
      <selection pane="bottomLeft" activeCell="Q3" sqref="Q3"/>
    </sheetView>
  </sheetViews>
  <sheetFormatPr baseColWidth="10" defaultColWidth="11" defaultRowHeight="12.5" x14ac:dyDescent="0.35"/>
  <cols>
    <col min="1" max="1" width="28.5" style="9" customWidth="1"/>
    <col min="2" max="2" width="37.33203125" style="9" customWidth="1"/>
    <col min="3" max="3" width="20.58203125" style="9" customWidth="1"/>
    <col min="4" max="4" width="21.08203125" style="9" customWidth="1"/>
    <col min="5" max="5" width="16.58203125" style="9" customWidth="1"/>
    <col min="6" max="7" width="18.08203125" style="9" customWidth="1"/>
    <col min="8" max="8" width="19.08203125" style="9" customWidth="1"/>
    <col min="9" max="9" width="32.33203125" style="9" bestFit="1" customWidth="1"/>
    <col min="10" max="10" width="11.83203125" style="9" customWidth="1"/>
    <col min="11" max="11" width="14.83203125" style="9" customWidth="1"/>
    <col min="12" max="12" width="18.33203125" style="9" customWidth="1"/>
    <col min="13" max="13" width="17.33203125" style="9" customWidth="1"/>
    <col min="14" max="14" width="23.58203125" style="9" customWidth="1"/>
    <col min="15" max="15" width="15.33203125" style="29" customWidth="1"/>
    <col min="16" max="16" width="18.08203125" style="9" customWidth="1"/>
    <col min="17" max="17" width="28.58203125" style="9" customWidth="1"/>
    <col min="18" max="18" width="25.08203125" style="9" customWidth="1"/>
    <col min="19" max="19" width="15.25" style="9" customWidth="1"/>
    <col min="20" max="20" width="16.58203125" style="9" customWidth="1"/>
    <col min="21" max="21" width="20" style="9" customWidth="1"/>
    <col min="22" max="22" width="19.83203125" style="9" customWidth="1"/>
    <col min="23" max="23" width="14.08203125" style="4" customWidth="1"/>
    <col min="24" max="24" width="32" style="4" customWidth="1"/>
    <col min="25" max="16384" width="11" style="4"/>
  </cols>
  <sheetData>
    <row r="1" spans="1:22" ht="13.5" customHeight="1" x14ac:dyDescent="0.35"/>
    <row r="2" spans="1:22" ht="19.5" customHeight="1" x14ac:dyDescent="0.35">
      <c r="D2" s="5"/>
      <c r="E2" s="5"/>
      <c r="I2" s="11"/>
      <c r="J2" s="11"/>
    </row>
    <row r="3" spans="1:22" ht="19.5" customHeight="1" x14ac:dyDescent="0.35">
      <c r="B3" s="5"/>
      <c r="D3" s="5"/>
      <c r="E3" s="5"/>
      <c r="I3" s="11"/>
      <c r="J3" s="11"/>
    </row>
    <row r="4" spans="1:22" ht="13.5" customHeight="1" x14ac:dyDescent="0.35">
      <c r="B4" s="5"/>
      <c r="D4" s="20"/>
      <c r="E4" s="20"/>
    </row>
    <row r="5" spans="1:22" ht="19.5" customHeight="1" x14ac:dyDescent="0.35">
      <c r="B5" s="20"/>
    </row>
    <row r="6" spans="1:22" ht="13.5" customHeight="1" thickBot="1" x14ac:dyDescent="0.4">
      <c r="H6" s="12"/>
    </row>
    <row r="7" spans="1:22" ht="29.5" customHeight="1" thickBot="1" x14ac:dyDescent="0.4">
      <c r="A7" s="66" t="s">
        <v>88</v>
      </c>
      <c r="B7" s="67"/>
      <c r="C7" s="67"/>
      <c r="D7" s="67"/>
      <c r="E7" s="70"/>
      <c r="F7" s="63" t="s">
        <v>57</v>
      </c>
      <c r="G7" s="64"/>
      <c r="H7" s="64"/>
      <c r="I7" s="64"/>
      <c r="J7" s="64"/>
      <c r="K7" s="64"/>
      <c r="L7" s="64"/>
      <c r="M7" s="65"/>
      <c r="N7" s="72" t="s">
        <v>58</v>
      </c>
      <c r="O7" s="60"/>
      <c r="P7" s="61" t="s">
        <v>89</v>
      </c>
      <c r="Q7" s="62" t="s">
        <v>59</v>
      </c>
      <c r="R7" s="74" t="s">
        <v>60</v>
      </c>
      <c r="S7" s="62" t="s">
        <v>61</v>
      </c>
      <c r="T7" s="62" t="s">
        <v>62</v>
      </c>
      <c r="U7" s="69" t="s">
        <v>63</v>
      </c>
      <c r="V7" s="68" t="s">
        <v>64</v>
      </c>
    </row>
    <row r="8" spans="1:22" ht="46" customHeight="1" thickBot="1" x14ac:dyDescent="0.4">
      <c r="A8" s="39" t="s">
        <v>90</v>
      </c>
      <c r="B8" s="21" t="s">
        <v>91</v>
      </c>
      <c r="C8" s="39" t="s">
        <v>66</v>
      </c>
      <c r="D8" s="21" t="s">
        <v>71</v>
      </c>
      <c r="E8" s="21" t="s">
        <v>72</v>
      </c>
      <c r="F8" s="21" t="s">
        <v>74</v>
      </c>
      <c r="G8" s="21" t="s">
        <v>75</v>
      </c>
      <c r="H8" s="51" t="s">
        <v>97</v>
      </c>
      <c r="I8" s="42" t="s">
        <v>77</v>
      </c>
      <c r="J8" s="42" t="s">
        <v>78</v>
      </c>
      <c r="K8" s="41" t="s">
        <v>79</v>
      </c>
      <c r="L8" s="41" t="s">
        <v>80</v>
      </c>
      <c r="M8" s="41" t="s">
        <v>82</v>
      </c>
      <c r="N8" s="41" t="s">
        <v>92</v>
      </c>
      <c r="O8" s="43" t="s">
        <v>84</v>
      </c>
      <c r="P8" s="73"/>
      <c r="Q8" s="73"/>
      <c r="R8" s="75"/>
      <c r="S8" s="73"/>
      <c r="T8" s="73"/>
      <c r="U8" s="76"/>
      <c r="V8" s="71"/>
    </row>
    <row r="9" spans="1:22" ht="27" customHeight="1" x14ac:dyDescent="0.35">
      <c r="A9" s="8"/>
      <c r="B9" s="8"/>
      <c r="C9" s="8"/>
      <c r="D9" s="36"/>
      <c r="E9" s="8"/>
      <c r="F9" s="8" t="s">
        <v>11</v>
      </c>
      <c r="G9" s="8" t="s">
        <v>0</v>
      </c>
      <c r="H9" s="17" t="s">
        <v>0</v>
      </c>
      <c r="I9" s="8"/>
      <c r="J9" s="6" t="str">
        <f>IFERROR(VLOOKUP(I9,Hoja1!$F$2:$I$28,2,0)," ")</f>
        <v xml:space="preserve"> </v>
      </c>
      <c r="K9" s="7" t="str">
        <f>IFERROR(IF(G9="NO",VLOOKUP(I9,Hoja1!$F$2:$I$28,3,0),VLOOKUP(I9,Hoja1!$F$2:$I$28,4,0))," ")</f>
        <v xml:space="preserve"> </v>
      </c>
      <c r="L9" s="24"/>
      <c r="M9" s="24" t="s">
        <v>0</v>
      </c>
      <c r="N9" s="25"/>
      <c r="O9" s="18"/>
      <c r="P9" s="14"/>
      <c r="Q9" s="14"/>
      <c r="R9" s="31" t="s">
        <v>0</v>
      </c>
      <c r="S9" s="15" t="e">
        <f t="shared" ref="S9:S72" si="0">R9*K9</f>
        <v>#VALUE!</v>
      </c>
      <c r="T9" s="16" t="e">
        <f t="shared" ref="T9:T72" si="1">K9-S9</f>
        <v>#VALUE!</v>
      </c>
      <c r="U9" s="10"/>
      <c r="V9" s="13" t="s">
        <v>20</v>
      </c>
    </row>
    <row r="10" spans="1:22" ht="27" customHeight="1" x14ac:dyDescent="0.35">
      <c r="A10" s="8"/>
      <c r="B10" s="8"/>
      <c r="C10" s="8"/>
      <c r="D10" s="8"/>
      <c r="E10" s="8"/>
      <c r="F10" s="8" t="s">
        <v>0</v>
      </c>
      <c r="G10" s="8" t="s">
        <v>0</v>
      </c>
      <c r="H10" s="17" t="s">
        <v>0</v>
      </c>
      <c r="I10" s="8"/>
      <c r="J10" s="6" t="str">
        <f>IFERROR(VLOOKUP(I10,Hoja1!$F$2:$I$28,2,0)," ")</f>
        <v xml:space="preserve"> </v>
      </c>
      <c r="K10" s="7" t="str">
        <f>IFERROR(IF(G10="NO",VLOOKUP(I10,Hoja1!$F$2:$I$28,3,0),VLOOKUP(I10,Hoja1!$F$2:$I$28,4,0))," ")</f>
        <v xml:space="preserve"> </v>
      </c>
      <c r="L10" s="24"/>
      <c r="M10" s="24" t="s">
        <v>0</v>
      </c>
      <c r="N10" s="25"/>
      <c r="O10" s="18"/>
      <c r="P10" s="14"/>
      <c r="Q10" s="14"/>
      <c r="R10" s="31" t="s">
        <v>0</v>
      </c>
      <c r="S10" s="15" t="e">
        <f t="shared" si="0"/>
        <v>#VALUE!</v>
      </c>
      <c r="T10" s="16" t="e">
        <f t="shared" si="1"/>
        <v>#VALUE!</v>
      </c>
      <c r="U10" s="10"/>
      <c r="V10" s="13" t="s">
        <v>20</v>
      </c>
    </row>
    <row r="11" spans="1:22" ht="27" customHeight="1" x14ac:dyDescent="0.35">
      <c r="A11" s="8"/>
      <c r="B11" s="8"/>
      <c r="C11" s="8"/>
      <c r="D11" s="8"/>
      <c r="E11" s="8"/>
      <c r="F11" s="8" t="s">
        <v>0</v>
      </c>
      <c r="G11" s="8" t="s">
        <v>0</v>
      </c>
      <c r="H11" s="17" t="s">
        <v>0</v>
      </c>
      <c r="I11" s="8"/>
      <c r="J11" s="6" t="str">
        <f>IFERROR(VLOOKUP(I11,Hoja1!$F$2:$I$28,2,0)," ")</f>
        <v xml:space="preserve"> </v>
      </c>
      <c r="K11" s="7" t="str">
        <f>IFERROR(IF(G11="NO",VLOOKUP(I11,Hoja1!$F$2:$I$28,3,0),VLOOKUP(I11,Hoja1!$F$2:$I$28,4,0))," ")</f>
        <v xml:space="preserve"> </v>
      </c>
      <c r="L11" s="24"/>
      <c r="M11" s="24" t="s">
        <v>0</v>
      </c>
      <c r="N11" s="25"/>
      <c r="O11" s="18"/>
      <c r="P11" s="14"/>
      <c r="Q11" s="14"/>
      <c r="R11" s="31" t="s">
        <v>0</v>
      </c>
      <c r="S11" s="15" t="e">
        <f t="shared" si="0"/>
        <v>#VALUE!</v>
      </c>
      <c r="T11" s="16" t="e">
        <f t="shared" si="1"/>
        <v>#VALUE!</v>
      </c>
      <c r="U11" s="10"/>
      <c r="V11" s="13" t="s">
        <v>20</v>
      </c>
    </row>
    <row r="12" spans="1:22" ht="27" customHeight="1" x14ac:dyDescent="0.35">
      <c r="A12" s="8"/>
      <c r="B12" s="8"/>
      <c r="C12" s="8"/>
      <c r="D12" s="8"/>
      <c r="E12" s="8"/>
      <c r="F12" s="8" t="s">
        <v>0</v>
      </c>
      <c r="G12" s="8" t="s">
        <v>0</v>
      </c>
      <c r="H12" s="17" t="s">
        <v>0</v>
      </c>
      <c r="I12" s="8"/>
      <c r="J12" s="6" t="str">
        <f>IFERROR(VLOOKUP(I12,Hoja1!$F$2:$I$28,2,0)," ")</f>
        <v xml:space="preserve"> </v>
      </c>
      <c r="K12" s="7" t="str">
        <f>IFERROR(IF(G12="NO",VLOOKUP(I12,Hoja1!$F$2:$I$28,3,0),VLOOKUP(I12,Hoja1!$F$2:$I$28,4,0))," ")</f>
        <v xml:space="preserve"> </v>
      </c>
      <c r="L12" s="24"/>
      <c r="M12" s="24" t="s">
        <v>0</v>
      </c>
      <c r="N12" s="25"/>
      <c r="O12" s="18"/>
      <c r="P12" s="14"/>
      <c r="Q12" s="14"/>
      <c r="R12" s="31" t="s">
        <v>0</v>
      </c>
      <c r="S12" s="15" t="e">
        <f t="shared" si="0"/>
        <v>#VALUE!</v>
      </c>
      <c r="T12" s="16" t="e">
        <f t="shared" si="1"/>
        <v>#VALUE!</v>
      </c>
      <c r="U12" s="10"/>
      <c r="V12" s="13" t="s">
        <v>20</v>
      </c>
    </row>
    <row r="13" spans="1:22" ht="27" customHeight="1" x14ac:dyDescent="0.35">
      <c r="A13" s="8"/>
      <c r="B13" s="8"/>
      <c r="C13" s="8"/>
      <c r="D13" s="8"/>
      <c r="E13" s="8"/>
      <c r="F13" s="8" t="s">
        <v>0</v>
      </c>
      <c r="G13" s="8" t="s">
        <v>0</v>
      </c>
      <c r="H13" s="17" t="s">
        <v>0</v>
      </c>
      <c r="I13" s="8"/>
      <c r="J13" s="6" t="str">
        <f>IFERROR(VLOOKUP(I13,Hoja1!$F$2:$I$28,2,0)," ")</f>
        <v xml:space="preserve"> </v>
      </c>
      <c r="K13" s="7" t="str">
        <f>IFERROR(IF(G13="NO",VLOOKUP(I13,Hoja1!$F$2:$I$28,3,0),VLOOKUP(I13,Hoja1!$F$2:$I$28,4,0))," ")</f>
        <v xml:space="preserve"> </v>
      </c>
      <c r="L13" s="24"/>
      <c r="M13" s="24" t="s">
        <v>0</v>
      </c>
      <c r="N13" s="25"/>
      <c r="O13" s="18"/>
      <c r="P13" s="14"/>
      <c r="Q13" s="14"/>
      <c r="R13" s="31" t="s">
        <v>0</v>
      </c>
      <c r="S13" s="15" t="e">
        <f t="shared" si="0"/>
        <v>#VALUE!</v>
      </c>
      <c r="T13" s="16" t="e">
        <f t="shared" si="1"/>
        <v>#VALUE!</v>
      </c>
      <c r="U13" s="10"/>
      <c r="V13" s="13" t="s">
        <v>20</v>
      </c>
    </row>
    <row r="14" spans="1:22" ht="27" customHeight="1" x14ac:dyDescent="0.35">
      <c r="A14" s="8"/>
      <c r="B14" s="8"/>
      <c r="C14" s="8"/>
      <c r="D14" s="8"/>
      <c r="E14" s="8"/>
      <c r="F14" s="8" t="s">
        <v>0</v>
      </c>
      <c r="G14" s="8" t="s">
        <v>0</v>
      </c>
      <c r="H14" s="17" t="s">
        <v>0</v>
      </c>
      <c r="I14" s="8"/>
      <c r="J14" s="6" t="str">
        <f>IFERROR(VLOOKUP(I14,Hoja1!$F$2:$I$28,2,0)," ")</f>
        <v xml:space="preserve"> </v>
      </c>
      <c r="K14" s="7" t="str">
        <f>IFERROR(IF(G14="NO",VLOOKUP(I14,Hoja1!$F$2:$I$28,3,0),VLOOKUP(I14,Hoja1!$F$2:$I$28,4,0))," ")</f>
        <v xml:space="preserve"> </v>
      </c>
      <c r="L14" s="24"/>
      <c r="M14" s="24" t="s">
        <v>0</v>
      </c>
      <c r="N14" s="25"/>
      <c r="O14" s="18"/>
      <c r="P14" s="14"/>
      <c r="Q14" s="14"/>
      <c r="R14" s="31" t="s">
        <v>0</v>
      </c>
      <c r="S14" s="15" t="e">
        <f t="shared" si="0"/>
        <v>#VALUE!</v>
      </c>
      <c r="T14" s="16" t="e">
        <f t="shared" si="1"/>
        <v>#VALUE!</v>
      </c>
      <c r="U14" s="10"/>
      <c r="V14" s="13" t="s">
        <v>20</v>
      </c>
    </row>
    <row r="15" spans="1:22" ht="27" customHeight="1" x14ac:dyDescent="0.35">
      <c r="A15" s="8"/>
      <c r="B15" s="8"/>
      <c r="C15" s="8"/>
      <c r="D15" s="8"/>
      <c r="E15" s="8"/>
      <c r="F15" s="8" t="s">
        <v>0</v>
      </c>
      <c r="G15" s="8" t="s">
        <v>0</v>
      </c>
      <c r="H15" s="17" t="s">
        <v>0</v>
      </c>
      <c r="I15" s="8"/>
      <c r="J15" s="6" t="str">
        <f>IFERROR(VLOOKUP(I15,Hoja1!$F$2:$I$28,2,0)," ")</f>
        <v xml:space="preserve"> </v>
      </c>
      <c r="K15" s="7" t="str">
        <f>IFERROR(IF(G15="NO",VLOOKUP(I15,Hoja1!$F$2:$I$28,3,0),VLOOKUP(I15,Hoja1!$F$2:$I$28,4,0))," ")</f>
        <v xml:space="preserve"> </v>
      </c>
      <c r="L15" s="24"/>
      <c r="M15" s="24" t="s">
        <v>0</v>
      </c>
      <c r="N15" s="25"/>
      <c r="O15" s="18"/>
      <c r="P15" s="14"/>
      <c r="Q15" s="14"/>
      <c r="R15" s="31" t="s">
        <v>0</v>
      </c>
      <c r="S15" s="15" t="e">
        <f t="shared" si="0"/>
        <v>#VALUE!</v>
      </c>
      <c r="T15" s="16" t="e">
        <f t="shared" si="1"/>
        <v>#VALUE!</v>
      </c>
      <c r="U15" s="10"/>
      <c r="V15" s="13" t="s">
        <v>20</v>
      </c>
    </row>
    <row r="16" spans="1:22" ht="27" customHeight="1" x14ac:dyDescent="0.35">
      <c r="A16" s="8"/>
      <c r="B16" s="8"/>
      <c r="C16" s="8"/>
      <c r="D16" s="8"/>
      <c r="E16" s="8"/>
      <c r="F16" s="8" t="s">
        <v>0</v>
      </c>
      <c r="G16" s="8" t="s">
        <v>0</v>
      </c>
      <c r="H16" s="17" t="s">
        <v>0</v>
      </c>
      <c r="I16" s="8"/>
      <c r="J16" s="6" t="str">
        <f>IFERROR(VLOOKUP(I16,Hoja1!$F$2:$I$28,2,0)," ")</f>
        <v xml:space="preserve"> </v>
      </c>
      <c r="K16" s="7" t="str">
        <f>IFERROR(IF(G16="NO",VLOOKUP(I16,Hoja1!$F$2:$I$28,3,0),VLOOKUP(I16,Hoja1!$F$2:$I$28,4,0))," ")</f>
        <v xml:space="preserve"> </v>
      </c>
      <c r="L16" s="24"/>
      <c r="M16" s="24" t="s">
        <v>0</v>
      </c>
      <c r="N16" s="25"/>
      <c r="O16" s="18"/>
      <c r="P16" s="14"/>
      <c r="Q16" s="14"/>
      <c r="R16" s="31" t="s">
        <v>0</v>
      </c>
      <c r="S16" s="15" t="e">
        <f t="shared" si="0"/>
        <v>#VALUE!</v>
      </c>
      <c r="T16" s="16" t="e">
        <f t="shared" si="1"/>
        <v>#VALUE!</v>
      </c>
      <c r="U16" s="10"/>
      <c r="V16" s="13" t="s">
        <v>20</v>
      </c>
    </row>
    <row r="17" spans="1:22" ht="27" customHeight="1" x14ac:dyDescent="0.35">
      <c r="A17" s="8"/>
      <c r="B17" s="8"/>
      <c r="C17" s="8"/>
      <c r="D17" s="8"/>
      <c r="E17" s="8"/>
      <c r="F17" s="8" t="s">
        <v>0</v>
      </c>
      <c r="G17" s="8" t="s">
        <v>0</v>
      </c>
      <c r="H17" s="17" t="s">
        <v>0</v>
      </c>
      <c r="I17" s="8"/>
      <c r="J17" s="6" t="str">
        <f>IFERROR(VLOOKUP(I17,Hoja1!$F$2:$I$28,2,0)," ")</f>
        <v xml:space="preserve"> </v>
      </c>
      <c r="K17" s="7" t="str">
        <f>IFERROR(IF(G17="NO",VLOOKUP(I17,Hoja1!$F$2:$I$28,3,0),VLOOKUP(I17,Hoja1!$F$2:$I$28,4,0))," ")</f>
        <v xml:space="preserve"> </v>
      </c>
      <c r="L17" s="24"/>
      <c r="M17" s="24" t="s">
        <v>0</v>
      </c>
      <c r="N17" s="25"/>
      <c r="O17" s="18"/>
      <c r="P17" s="14"/>
      <c r="Q17" s="14"/>
      <c r="R17" s="31" t="s">
        <v>0</v>
      </c>
      <c r="S17" s="15" t="e">
        <f t="shared" si="0"/>
        <v>#VALUE!</v>
      </c>
      <c r="T17" s="16" t="e">
        <f t="shared" si="1"/>
        <v>#VALUE!</v>
      </c>
      <c r="U17" s="10"/>
      <c r="V17" s="13" t="s">
        <v>20</v>
      </c>
    </row>
    <row r="18" spans="1:22" ht="27" customHeight="1" x14ac:dyDescent="0.35">
      <c r="A18" s="8"/>
      <c r="B18" s="8"/>
      <c r="C18" s="8"/>
      <c r="D18" s="8"/>
      <c r="E18" s="8"/>
      <c r="F18" s="8" t="s">
        <v>0</v>
      </c>
      <c r="G18" s="8" t="s">
        <v>0</v>
      </c>
      <c r="H18" s="17" t="s">
        <v>0</v>
      </c>
      <c r="I18" s="8"/>
      <c r="J18" s="6" t="str">
        <f>IFERROR(VLOOKUP(I18,Hoja1!$F$2:$I$28,2,0)," ")</f>
        <v xml:space="preserve"> </v>
      </c>
      <c r="K18" s="7" t="str">
        <f>IFERROR(IF(G18="NO",VLOOKUP(I18,Hoja1!$F$2:$I$28,3,0),VLOOKUP(I18,Hoja1!$F$2:$I$28,4,0))," ")</f>
        <v xml:space="preserve"> </v>
      </c>
      <c r="L18" s="24"/>
      <c r="M18" s="24" t="s">
        <v>0</v>
      </c>
      <c r="N18" s="25"/>
      <c r="O18" s="18"/>
      <c r="P18" s="14"/>
      <c r="Q18" s="14"/>
      <c r="R18" s="31" t="s">
        <v>0</v>
      </c>
      <c r="S18" s="15" t="e">
        <f t="shared" si="0"/>
        <v>#VALUE!</v>
      </c>
      <c r="T18" s="16" t="e">
        <f t="shared" si="1"/>
        <v>#VALUE!</v>
      </c>
      <c r="U18" s="10"/>
      <c r="V18" s="13" t="s">
        <v>20</v>
      </c>
    </row>
    <row r="19" spans="1:22" ht="27" customHeight="1" x14ac:dyDescent="0.35">
      <c r="A19" s="8"/>
      <c r="B19" s="8"/>
      <c r="C19" s="8"/>
      <c r="D19" s="8"/>
      <c r="E19" s="8"/>
      <c r="F19" s="8" t="s">
        <v>0</v>
      </c>
      <c r="G19" s="8" t="s">
        <v>0</v>
      </c>
      <c r="H19" s="17" t="s">
        <v>0</v>
      </c>
      <c r="I19" s="8"/>
      <c r="J19" s="6" t="str">
        <f>IFERROR(VLOOKUP(I19,Hoja1!$F$2:$I$28,2,0)," ")</f>
        <v xml:space="preserve"> </v>
      </c>
      <c r="K19" s="7" t="str">
        <f>IFERROR(IF(G19="NO",VLOOKUP(I19,Hoja1!$F$2:$I$28,3,0),VLOOKUP(I19,Hoja1!$F$2:$I$28,4,0))," ")</f>
        <v xml:space="preserve"> </v>
      </c>
      <c r="L19" s="24"/>
      <c r="M19" s="24" t="s">
        <v>0</v>
      </c>
      <c r="N19" s="25"/>
      <c r="O19" s="18"/>
      <c r="P19" s="14"/>
      <c r="Q19" s="14"/>
      <c r="R19" s="31" t="s">
        <v>0</v>
      </c>
      <c r="S19" s="15" t="e">
        <f t="shared" si="0"/>
        <v>#VALUE!</v>
      </c>
      <c r="T19" s="16" t="e">
        <f t="shared" si="1"/>
        <v>#VALUE!</v>
      </c>
      <c r="U19" s="10"/>
      <c r="V19" s="13" t="s">
        <v>20</v>
      </c>
    </row>
    <row r="20" spans="1:22" ht="27" customHeight="1" x14ac:dyDescent="0.35">
      <c r="A20" s="8"/>
      <c r="B20" s="8"/>
      <c r="C20" s="8"/>
      <c r="D20" s="8"/>
      <c r="E20" s="8"/>
      <c r="F20" s="8" t="s">
        <v>0</v>
      </c>
      <c r="G20" s="8" t="s">
        <v>0</v>
      </c>
      <c r="H20" s="17" t="s">
        <v>0</v>
      </c>
      <c r="I20" s="8"/>
      <c r="J20" s="6" t="str">
        <f>IFERROR(VLOOKUP(I20,Hoja1!$F$2:$I$28,2,0)," ")</f>
        <v xml:space="preserve"> </v>
      </c>
      <c r="K20" s="7" t="str">
        <f>IFERROR(IF(G20="NO",VLOOKUP(I20,Hoja1!$F$2:$I$28,3,0),VLOOKUP(I20,Hoja1!$F$2:$I$28,4,0))," ")</f>
        <v xml:space="preserve"> </v>
      </c>
      <c r="L20" s="24"/>
      <c r="M20" s="24" t="s">
        <v>0</v>
      </c>
      <c r="N20" s="25"/>
      <c r="O20" s="18"/>
      <c r="P20" s="14"/>
      <c r="Q20" s="14"/>
      <c r="R20" s="31" t="s">
        <v>0</v>
      </c>
      <c r="S20" s="15" t="e">
        <f t="shared" si="0"/>
        <v>#VALUE!</v>
      </c>
      <c r="T20" s="16" t="e">
        <f t="shared" si="1"/>
        <v>#VALUE!</v>
      </c>
      <c r="U20" s="10"/>
      <c r="V20" s="13" t="s">
        <v>20</v>
      </c>
    </row>
    <row r="21" spans="1:22" ht="27" customHeight="1" x14ac:dyDescent="0.35">
      <c r="A21" s="8"/>
      <c r="B21" s="8"/>
      <c r="C21" s="8"/>
      <c r="D21" s="8"/>
      <c r="E21" s="8"/>
      <c r="F21" s="8" t="s">
        <v>0</v>
      </c>
      <c r="G21" s="8" t="s">
        <v>0</v>
      </c>
      <c r="H21" s="17" t="s">
        <v>0</v>
      </c>
      <c r="I21" s="8"/>
      <c r="J21" s="6" t="str">
        <f>IFERROR(VLOOKUP(I21,Hoja1!$F$2:$I$28,2,0)," ")</f>
        <v xml:space="preserve"> </v>
      </c>
      <c r="K21" s="7" t="str">
        <f>IFERROR(IF(G21="NO",VLOOKUP(I21,Hoja1!$F$2:$I$28,3,0),VLOOKUP(I21,Hoja1!$F$2:$I$28,4,0))," ")</f>
        <v xml:space="preserve"> </v>
      </c>
      <c r="L21" s="24"/>
      <c r="M21" s="24" t="s">
        <v>0</v>
      </c>
      <c r="N21" s="25"/>
      <c r="O21" s="18"/>
      <c r="P21" s="14"/>
      <c r="Q21" s="14"/>
      <c r="R21" s="31" t="s">
        <v>0</v>
      </c>
      <c r="S21" s="15" t="e">
        <f t="shared" si="0"/>
        <v>#VALUE!</v>
      </c>
      <c r="T21" s="16" t="e">
        <f t="shared" si="1"/>
        <v>#VALUE!</v>
      </c>
      <c r="U21" s="10"/>
      <c r="V21" s="13" t="s">
        <v>20</v>
      </c>
    </row>
    <row r="22" spans="1:22" ht="27" customHeight="1" x14ac:dyDescent="0.35">
      <c r="A22" s="8"/>
      <c r="B22" s="8"/>
      <c r="C22" s="8"/>
      <c r="D22" s="8"/>
      <c r="E22" s="8"/>
      <c r="F22" s="8" t="s">
        <v>0</v>
      </c>
      <c r="G22" s="8" t="s">
        <v>0</v>
      </c>
      <c r="H22" s="17" t="s">
        <v>0</v>
      </c>
      <c r="I22" s="8"/>
      <c r="J22" s="6" t="str">
        <f>IFERROR(VLOOKUP(I22,Hoja1!$F$2:$I$28,2,0)," ")</f>
        <v xml:space="preserve"> </v>
      </c>
      <c r="K22" s="7" t="str">
        <f>IFERROR(IF(G22="NO",VLOOKUP(I22,Hoja1!$F$2:$I$28,3,0),VLOOKUP(I22,Hoja1!$F$2:$I$28,4,0))," ")</f>
        <v xml:space="preserve"> </v>
      </c>
      <c r="L22" s="24"/>
      <c r="M22" s="24" t="s">
        <v>0</v>
      </c>
      <c r="N22" s="25"/>
      <c r="O22" s="18"/>
      <c r="P22" s="14"/>
      <c r="Q22" s="14"/>
      <c r="R22" s="31" t="s">
        <v>0</v>
      </c>
      <c r="S22" s="15" t="e">
        <f t="shared" si="0"/>
        <v>#VALUE!</v>
      </c>
      <c r="T22" s="16" t="e">
        <f t="shared" si="1"/>
        <v>#VALUE!</v>
      </c>
      <c r="U22" s="10"/>
      <c r="V22" s="13" t="s">
        <v>20</v>
      </c>
    </row>
    <row r="23" spans="1:22" ht="27" customHeight="1" x14ac:dyDescent="0.35">
      <c r="A23" s="8"/>
      <c r="B23" s="8"/>
      <c r="C23" s="8"/>
      <c r="D23" s="8"/>
      <c r="E23" s="8"/>
      <c r="F23" s="8" t="s">
        <v>0</v>
      </c>
      <c r="G23" s="8" t="s">
        <v>0</v>
      </c>
      <c r="H23" s="17" t="s">
        <v>0</v>
      </c>
      <c r="I23" s="8"/>
      <c r="J23" s="6" t="str">
        <f>IFERROR(VLOOKUP(I23,Hoja1!$F$2:$I$28,2,0)," ")</f>
        <v xml:space="preserve"> </v>
      </c>
      <c r="K23" s="7" t="str">
        <f>IFERROR(IF(G23="NO",VLOOKUP(I23,Hoja1!$F$2:$I$28,3,0),VLOOKUP(I23,Hoja1!$F$2:$I$28,4,0))," ")</f>
        <v xml:space="preserve"> </v>
      </c>
      <c r="L23" s="24"/>
      <c r="M23" s="24" t="s">
        <v>0</v>
      </c>
      <c r="N23" s="25"/>
      <c r="O23" s="18"/>
      <c r="P23" s="14"/>
      <c r="Q23" s="14"/>
      <c r="R23" s="31" t="s">
        <v>0</v>
      </c>
      <c r="S23" s="15" t="e">
        <f t="shared" si="0"/>
        <v>#VALUE!</v>
      </c>
      <c r="T23" s="16" t="e">
        <f t="shared" si="1"/>
        <v>#VALUE!</v>
      </c>
      <c r="U23" s="10"/>
      <c r="V23" s="13" t="s">
        <v>20</v>
      </c>
    </row>
    <row r="24" spans="1:22" ht="27" customHeight="1" x14ac:dyDescent="0.35">
      <c r="A24" s="8"/>
      <c r="B24" s="8"/>
      <c r="C24" s="8"/>
      <c r="D24" s="8"/>
      <c r="E24" s="8"/>
      <c r="F24" s="8" t="s">
        <v>0</v>
      </c>
      <c r="G24" s="8" t="s">
        <v>0</v>
      </c>
      <c r="H24" s="17" t="s">
        <v>0</v>
      </c>
      <c r="I24" s="8"/>
      <c r="J24" s="6" t="str">
        <f>IFERROR(VLOOKUP(I24,Hoja1!$F$2:$I$28,2,0)," ")</f>
        <v xml:space="preserve"> </v>
      </c>
      <c r="K24" s="7" t="str">
        <f>IFERROR(IF(G24="NO",VLOOKUP(I24,Hoja1!$F$2:$I$28,3,0),VLOOKUP(I24,Hoja1!$F$2:$I$28,4,0))," ")</f>
        <v xml:space="preserve"> </v>
      </c>
      <c r="L24" s="24"/>
      <c r="M24" s="24" t="s">
        <v>0</v>
      </c>
      <c r="N24" s="25"/>
      <c r="O24" s="18"/>
      <c r="P24" s="14"/>
      <c r="Q24" s="14"/>
      <c r="R24" s="31" t="s">
        <v>0</v>
      </c>
      <c r="S24" s="15" t="e">
        <f t="shared" si="0"/>
        <v>#VALUE!</v>
      </c>
      <c r="T24" s="16" t="e">
        <f t="shared" si="1"/>
        <v>#VALUE!</v>
      </c>
      <c r="U24" s="10"/>
      <c r="V24" s="13" t="s">
        <v>20</v>
      </c>
    </row>
    <row r="25" spans="1:22" ht="27" customHeight="1" x14ac:dyDescent="0.35">
      <c r="A25" s="8"/>
      <c r="B25" s="8"/>
      <c r="C25" s="8"/>
      <c r="D25" s="8"/>
      <c r="E25" s="8"/>
      <c r="F25" s="8" t="s">
        <v>0</v>
      </c>
      <c r="G25" s="8" t="s">
        <v>0</v>
      </c>
      <c r="H25" s="17" t="s">
        <v>0</v>
      </c>
      <c r="I25" s="8"/>
      <c r="J25" s="6" t="str">
        <f>IFERROR(VLOOKUP(I25,Hoja1!$F$2:$I$28,2,0)," ")</f>
        <v xml:space="preserve"> </v>
      </c>
      <c r="K25" s="7" t="str">
        <f>IFERROR(IF(G25="NO",VLOOKUP(I25,Hoja1!$F$2:$I$28,3,0),VLOOKUP(I25,Hoja1!$F$2:$I$28,4,0))," ")</f>
        <v xml:space="preserve"> </v>
      </c>
      <c r="L25" s="24"/>
      <c r="M25" s="24" t="s">
        <v>0</v>
      </c>
      <c r="N25" s="25"/>
      <c r="O25" s="18"/>
      <c r="P25" s="14"/>
      <c r="Q25" s="14"/>
      <c r="R25" s="31" t="s">
        <v>0</v>
      </c>
      <c r="S25" s="15" t="e">
        <f t="shared" si="0"/>
        <v>#VALUE!</v>
      </c>
      <c r="T25" s="16" t="e">
        <f t="shared" si="1"/>
        <v>#VALUE!</v>
      </c>
      <c r="U25" s="10"/>
      <c r="V25" s="13" t="s">
        <v>20</v>
      </c>
    </row>
    <row r="26" spans="1:22" ht="27" customHeight="1" x14ac:dyDescent="0.35">
      <c r="A26" s="8"/>
      <c r="B26" s="8"/>
      <c r="C26" s="8"/>
      <c r="D26" s="8"/>
      <c r="E26" s="8"/>
      <c r="F26" s="8" t="s">
        <v>0</v>
      </c>
      <c r="G26" s="8" t="s">
        <v>0</v>
      </c>
      <c r="H26" s="17" t="s">
        <v>0</v>
      </c>
      <c r="I26" s="8"/>
      <c r="J26" s="6" t="str">
        <f>IFERROR(VLOOKUP(I26,Hoja1!$F$2:$I$28,2,0)," ")</f>
        <v xml:space="preserve"> </v>
      </c>
      <c r="K26" s="7" t="str">
        <f>IFERROR(IF(G26="NO",VLOOKUP(I26,Hoja1!$F$2:$I$28,3,0),VLOOKUP(I26,Hoja1!$F$2:$I$28,4,0))," ")</f>
        <v xml:space="preserve"> </v>
      </c>
      <c r="L26" s="24"/>
      <c r="M26" s="24" t="s">
        <v>0</v>
      </c>
      <c r="N26" s="25"/>
      <c r="O26" s="18"/>
      <c r="P26" s="14"/>
      <c r="Q26" s="14"/>
      <c r="R26" s="31" t="s">
        <v>0</v>
      </c>
      <c r="S26" s="15" t="e">
        <f t="shared" si="0"/>
        <v>#VALUE!</v>
      </c>
      <c r="T26" s="16" t="e">
        <f t="shared" si="1"/>
        <v>#VALUE!</v>
      </c>
      <c r="U26" s="10"/>
      <c r="V26" s="13" t="s">
        <v>20</v>
      </c>
    </row>
    <row r="27" spans="1:22" ht="27" customHeight="1" x14ac:dyDescent="0.35">
      <c r="A27" s="8"/>
      <c r="B27" s="8"/>
      <c r="C27" s="8"/>
      <c r="D27" s="8"/>
      <c r="E27" s="8"/>
      <c r="F27" s="8" t="s">
        <v>0</v>
      </c>
      <c r="G27" s="8" t="s">
        <v>0</v>
      </c>
      <c r="H27" s="17" t="s">
        <v>0</v>
      </c>
      <c r="I27" s="8"/>
      <c r="J27" s="6" t="str">
        <f>IFERROR(VLOOKUP(I27,Hoja1!$F$2:$I$28,2,0)," ")</f>
        <v xml:space="preserve"> </v>
      </c>
      <c r="K27" s="7" t="str">
        <f>IFERROR(IF(G27="NO",VLOOKUP(I27,Hoja1!$F$2:$I$28,3,0),VLOOKUP(I27,Hoja1!$F$2:$I$28,4,0))," ")</f>
        <v xml:space="preserve"> </v>
      </c>
      <c r="L27" s="24"/>
      <c r="M27" s="24" t="s">
        <v>0</v>
      </c>
      <c r="N27" s="25"/>
      <c r="O27" s="18"/>
      <c r="P27" s="14"/>
      <c r="Q27" s="14"/>
      <c r="R27" s="31" t="s">
        <v>0</v>
      </c>
      <c r="S27" s="15" t="e">
        <f t="shared" si="0"/>
        <v>#VALUE!</v>
      </c>
      <c r="T27" s="16" t="e">
        <f t="shared" si="1"/>
        <v>#VALUE!</v>
      </c>
      <c r="U27" s="10"/>
      <c r="V27" s="13" t="s">
        <v>20</v>
      </c>
    </row>
    <row r="28" spans="1:22" ht="27" customHeight="1" x14ac:dyDescent="0.35">
      <c r="A28" s="8"/>
      <c r="B28" s="8"/>
      <c r="C28" s="8"/>
      <c r="D28" s="8"/>
      <c r="E28" s="8"/>
      <c r="F28" s="8" t="s">
        <v>0</v>
      </c>
      <c r="G28" s="8" t="s">
        <v>0</v>
      </c>
      <c r="H28" s="17" t="s">
        <v>0</v>
      </c>
      <c r="I28" s="8"/>
      <c r="J28" s="6" t="str">
        <f>IFERROR(VLOOKUP(I28,Hoja1!$F$2:$I$28,2,0)," ")</f>
        <v xml:space="preserve"> </v>
      </c>
      <c r="K28" s="7" t="str">
        <f>IFERROR(IF(G28="NO",VLOOKUP(I28,Hoja1!$F$2:$I$28,3,0),VLOOKUP(I28,Hoja1!$F$2:$I$28,4,0))," ")</f>
        <v xml:space="preserve"> </v>
      </c>
      <c r="L28" s="24"/>
      <c r="M28" s="24" t="s">
        <v>0</v>
      </c>
      <c r="N28" s="25"/>
      <c r="O28" s="18"/>
      <c r="P28" s="14"/>
      <c r="Q28" s="14"/>
      <c r="R28" s="31" t="s">
        <v>0</v>
      </c>
      <c r="S28" s="15" t="e">
        <f t="shared" si="0"/>
        <v>#VALUE!</v>
      </c>
      <c r="T28" s="16" t="e">
        <f t="shared" si="1"/>
        <v>#VALUE!</v>
      </c>
      <c r="U28" s="10"/>
      <c r="V28" s="13" t="s">
        <v>20</v>
      </c>
    </row>
    <row r="29" spans="1:22" ht="27" customHeight="1" x14ac:dyDescent="0.35">
      <c r="A29" s="8"/>
      <c r="B29" s="8"/>
      <c r="C29" s="8"/>
      <c r="D29" s="8"/>
      <c r="E29" s="8"/>
      <c r="F29" s="8" t="s">
        <v>0</v>
      </c>
      <c r="G29" s="8" t="s">
        <v>0</v>
      </c>
      <c r="H29" s="17" t="s">
        <v>0</v>
      </c>
      <c r="I29" s="8"/>
      <c r="J29" s="6" t="str">
        <f>IFERROR(VLOOKUP(I29,Hoja1!$F$2:$I$28,2,0)," ")</f>
        <v xml:space="preserve"> </v>
      </c>
      <c r="K29" s="7" t="str">
        <f>IFERROR(IF(G29="NO",VLOOKUP(I29,Hoja1!$F$2:$I$28,3,0),VLOOKUP(I29,Hoja1!$F$2:$I$28,4,0))," ")</f>
        <v xml:space="preserve"> </v>
      </c>
      <c r="L29" s="24"/>
      <c r="M29" s="24" t="s">
        <v>0</v>
      </c>
      <c r="N29" s="25"/>
      <c r="O29" s="18"/>
      <c r="P29" s="14"/>
      <c r="Q29" s="14"/>
      <c r="R29" s="31" t="s">
        <v>0</v>
      </c>
      <c r="S29" s="15" t="e">
        <f t="shared" si="0"/>
        <v>#VALUE!</v>
      </c>
      <c r="T29" s="16" t="e">
        <f t="shared" si="1"/>
        <v>#VALUE!</v>
      </c>
      <c r="U29" s="10"/>
      <c r="V29" s="13" t="s">
        <v>20</v>
      </c>
    </row>
    <row r="30" spans="1:22" ht="27" customHeight="1" x14ac:dyDescent="0.35">
      <c r="A30" s="8"/>
      <c r="B30" s="8"/>
      <c r="C30" s="8"/>
      <c r="D30" s="8"/>
      <c r="E30" s="8"/>
      <c r="F30" s="8" t="s">
        <v>0</v>
      </c>
      <c r="G30" s="8" t="s">
        <v>0</v>
      </c>
      <c r="H30" s="17" t="s">
        <v>0</v>
      </c>
      <c r="I30" s="8"/>
      <c r="J30" s="6" t="str">
        <f>IFERROR(VLOOKUP(I30,Hoja1!$F$2:$I$28,2,0)," ")</f>
        <v xml:space="preserve"> </v>
      </c>
      <c r="K30" s="7" t="str">
        <f>IFERROR(IF(G30="NO",VLOOKUP(I30,Hoja1!$F$2:$I$28,3,0),VLOOKUP(I30,Hoja1!$F$2:$I$28,4,0))," ")</f>
        <v xml:space="preserve"> </v>
      </c>
      <c r="L30" s="24"/>
      <c r="M30" s="24" t="s">
        <v>0</v>
      </c>
      <c r="N30" s="25"/>
      <c r="O30" s="18"/>
      <c r="P30" s="14"/>
      <c r="Q30" s="14"/>
      <c r="R30" s="31" t="s">
        <v>0</v>
      </c>
      <c r="S30" s="15" t="e">
        <f t="shared" si="0"/>
        <v>#VALUE!</v>
      </c>
      <c r="T30" s="16" t="e">
        <f t="shared" si="1"/>
        <v>#VALUE!</v>
      </c>
      <c r="U30" s="10"/>
      <c r="V30" s="13" t="s">
        <v>20</v>
      </c>
    </row>
    <row r="31" spans="1:22" ht="27" customHeight="1" x14ac:dyDescent="0.35">
      <c r="A31" s="8"/>
      <c r="B31" s="8"/>
      <c r="C31" s="8"/>
      <c r="D31" s="8"/>
      <c r="E31" s="8"/>
      <c r="F31" s="8" t="s">
        <v>0</v>
      </c>
      <c r="G31" s="8" t="s">
        <v>0</v>
      </c>
      <c r="H31" s="17" t="s">
        <v>0</v>
      </c>
      <c r="I31" s="8"/>
      <c r="J31" s="6" t="str">
        <f>IFERROR(VLOOKUP(I31,Hoja1!$F$2:$I$28,2,0)," ")</f>
        <v xml:space="preserve"> </v>
      </c>
      <c r="K31" s="7" t="str">
        <f>IFERROR(IF(G31="NO",VLOOKUP(I31,Hoja1!$F$2:$I$28,3,0),VLOOKUP(I31,Hoja1!$F$2:$I$28,4,0))," ")</f>
        <v xml:space="preserve"> </v>
      </c>
      <c r="L31" s="24"/>
      <c r="M31" s="24" t="s">
        <v>0</v>
      </c>
      <c r="N31" s="25"/>
      <c r="O31" s="18"/>
      <c r="P31" s="14"/>
      <c r="Q31" s="14"/>
      <c r="R31" s="31" t="s">
        <v>0</v>
      </c>
      <c r="S31" s="15" t="e">
        <f t="shared" si="0"/>
        <v>#VALUE!</v>
      </c>
      <c r="T31" s="16" t="e">
        <f t="shared" si="1"/>
        <v>#VALUE!</v>
      </c>
      <c r="U31" s="10"/>
      <c r="V31" s="13" t="s">
        <v>20</v>
      </c>
    </row>
    <row r="32" spans="1:22" ht="27" customHeight="1" x14ac:dyDescent="0.35">
      <c r="A32" s="8"/>
      <c r="B32" s="8"/>
      <c r="C32" s="8"/>
      <c r="D32" s="8"/>
      <c r="E32" s="8"/>
      <c r="F32" s="8" t="s">
        <v>0</v>
      </c>
      <c r="G32" s="8" t="s">
        <v>0</v>
      </c>
      <c r="H32" s="17" t="s">
        <v>0</v>
      </c>
      <c r="I32" s="8"/>
      <c r="J32" s="6" t="str">
        <f>IFERROR(VLOOKUP(I32,Hoja1!$F$2:$I$28,2,0)," ")</f>
        <v xml:space="preserve"> </v>
      </c>
      <c r="K32" s="7" t="str">
        <f>IFERROR(IF(G32="NO",VLOOKUP(I32,Hoja1!$F$2:$I$28,3,0),VLOOKUP(I32,Hoja1!$F$2:$I$28,4,0))," ")</f>
        <v xml:space="preserve"> </v>
      </c>
      <c r="L32" s="24"/>
      <c r="M32" s="24" t="s">
        <v>0</v>
      </c>
      <c r="N32" s="25"/>
      <c r="O32" s="18"/>
      <c r="P32" s="14"/>
      <c r="Q32" s="14"/>
      <c r="R32" s="31" t="s">
        <v>0</v>
      </c>
      <c r="S32" s="15" t="e">
        <f t="shared" si="0"/>
        <v>#VALUE!</v>
      </c>
      <c r="T32" s="16" t="e">
        <f t="shared" si="1"/>
        <v>#VALUE!</v>
      </c>
      <c r="U32" s="10"/>
      <c r="V32" s="13" t="s">
        <v>20</v>
      </c>
    </row>
    <row r="33" spans="1:22" ht="27" customHeight="1" x14ac:dyDescent="0.35">
      <c r="A33" s="8"/>
      <c r="B33" s="8"/>
      <c r="C33" s="8"/>
      <c r="D33" s="8"/>
      <c r="E33" s="8"/>
      <c r="F33" s="8" t="s">
        <v>0</v>
      </c>
      <c r="G33" s="8" t="s">
        <v>0</v>
      </c>
      <c r="H33" s="17" t="s">
        <v>0</v>
      </c>
      <c r="I33" s="8"/>
      <c r="J33" s="6" t="str">
        <f>IFERROR(VLOOKUP(I33,Hoja1!$F$2:$I$28,2,0)," ")</f>
        <v xml:space="preserve"> </v>
      </c>
      <c r="K33" s="7" t="str">
        <f>IFERROR(IF(G33="NO",VLOOKUP(I33,Hoja1!$F$2:$I$28,3,0),VLOOKUP(I33,Hoja1!$F$2:$I$28,4,0))," ")</f>
        <v xml:space="preserve"> </v>
      </c>
      <c r="L33" s="24"/>
      <c r="M33" s="24" t="s">
        <v>0</v>
      </c>
      <c r="N33" s="25"/>
      <c r="O33" s="18"/>
      <c r="P33" s="14"/>
      <c r="Q33" s="14"/>
      <c r="R33" s="31" t="s">
        <v>0</v>
      </c>
      <c r="S33" s="15" t="e">
        <f t="shared" si="0"/>
        <v>#VALUE!</v>
      </c>
      <c r="T33" s="16" t="e">
        <f t="shared" si="1"/>
        <v>#VALUE!</v>
      </c>
      <c r="U33" s="10"/>
      <c r="V33" s="13" t="s">
        <v>20</v>
      </c>
    </row>
    <row r="34" spans="1:22" ht="27" customHeight="1" x14ac:dyDescent="0.35">
      <c r="A34" s="8"/>
      <c r="B34" s="8"/>
      <c r="C34" s="8"/>
      <c r="D34" s="8"/>
      <c r="E34" s="8"/>
      <c r="F34" s="8" t="s">
        <v>0</v>
      </c>
      <c r="G34" s="8" t="s">
        <v>0</v>
      </c>
      <c r="H34" s="17" t="s">
        <v>0</v>
      </c>
      <c r="I34" s="8"/>
      <c r="J34" s="6" t="str">
        <f>IFERROR(VLOOKUP(I34,Hoja1!$F$2:$I$28,2,0)," ")</f>
        <v xml:space="preserve"> </v>
      </c>
      <c r="K34" s="7" t="str">
        <f>IFERROR(IF(G34="NO",VLOOKUP(I34,Hoja1!$F$2:$I$28,3,0),VLOOKUP(I34,Hoja1!$F$2:$I$28,4,0))," ")</f>
        <v xml:space="preserve"> </v>
      </c>
      <c r="L34" s="24"/>
      <c r="M34" s="24" t="s">
        <v>0</v>
      </c>
      <c r="N34" s="25"/>
      <c r="O34" s="18"/>
      <c r="P34" s="14"/>
      <c r="Q34" s="14"/>
      <c r="R34" s="31" t="s">
        <v>0</v>
      </c>
      <c r="S34" s="15" t="e">
        <f t="shared" si="0"/>
        <v>#VALUE!</v>
      </c>
      <c r="T34" s="16" t="e">
        <f t="shared" si="1"/>
        <v>#VALUE!</v>
      </c>
      <c r="U34" s="10"/>
      <c r="V34" s="13" t="s">
        <v>20</v>
      </c>
    </row>
    <row r="35" spans="1:22" ht="27" customHeight="1" x14ac:dyDescent="0.35">
      <c r="A35" s="8"/>
      <c r="B35" s="8"/>
      <c r="C35" s="8"/>
      <c r="D35" s="8"/>
      <c r="E35" s="8"/>
      <c r="F35" s="8" t="s">
        <v>0</v>
      </c>
      <c r="G35" s="8" t="s">
        <v>0</v>
      </c>
      <c r="H35" s="17" t="s">
        <v>0</v>
      </c>
      <c r="I35" s="8"/>
      <c r="J35" s="6" t="str">
        <f>IFERROR(VLOOKUP(I35,Hoja1!$F$2:$I$28,2,0)," ")</f>
        <v xml:space="preserve"> </v>
      </c>
      <c r="K35" s="7" t="str">
        <f>IFERROR(IF(G35="NO",VLOOKUP(I35,Hoja1!$F$2:$I$28,3,0),VLOOKUP(I35,Hoja1!$F$2:$I$28,4,0))," ")</f>
        <v xml:space="preserve"> </v>
      </c>
      <c r="L35" s="24"/>
      <c r="M35" s="24" t="s">
        <v>0</v>
      </c>
      <c r="N35" s="25"/>
      <c r="O35" s="18"/>
      <c r="P35" s="14"/>
      <c r="Q35" s="14"/>
      <c r="R35" s="31" t="s">
        <v>0</v>
      </c>
      <c r="S35" s="15" t="e">
        <f t="shared" si="0"/>
        <v>#VALUE!</v>
      </c>
      <c r="T35" s="16" t="e">
        <f t="shared" si="1"/>
        <v>#VALUE!</v>
      </c>
      <c r="U35" s="10"/>
      <c r="V35" s="13" t="s">
        <v>20</v>
      </c>
    </row>
    <row r="36" spans="1:22" ht="27" customHeight="1" x14ac:dyDescent="0.35">
      <c r="A36" s="8"/>
      <c r="B36" s="8"/>
      <c r="C36" s="8"/>
      <c r="D36" s="8"/>
      <c r="E36" s="8"/>
      <c r="F36" s="8" t="s">
        <v>0</v>
      </c>
      <c r="G36" s="8" t="s">
        <v>0</v>
      </c>
      <c r="H36" s="17" t="s">
        <v>0</v>
      </c>
      <c r="I36" s="8"/>
      <c r="J36" s="6" t="str">
        <f>IFERROR(VLOOKUP(I36,Hoja1!$F$2:$I$28,2,0)," ")</f>
        <v xml:space="preserve"> </v>
      </c>
      <c r="K36" s="7" t="str">
        <f>IFERROR(IF(G36="NO",VLOOKUP(I36,Hoja1!$F$2:$I$28,3,0),VLOOKUP(I36,Hoja1!$F$2:$I$28,4,0))," ")</f>
        <v xml:space="preserve"> </v>
      </c>
      <c r="L36" s="24"/>
      <c r="M36" s="24" t="s">
        <v>0</v>
      </c>
      <c r="N36" s="25"/>
      <c r="O36" s="18"/>
      <c r="P36" s="14"/>
      <c r="Q36" s="14"/>
      <c r="R36" s="31" t="s">
        <v>0</v>
      </c>
      <c r="S36" s="15" t="e">
        <f t="shared" si="0"/>
        <v>#VALUE!</v>
      </c>
      <c r="T36" s="16" t="e">
        <f t="shared" si="1"/>
        <v>#VALUE!</v>
      </c>
      <c r="U36" s="10"/>
      <c r="V36" s="13" t="s">
        <v>20</v>
      </c>
    </row>
    <row r="37" spans="1:22" ht="27" customHeight="1" x14ac:dyDescent="0.35">
      <c r="A37" s="8"/>
      <c r="B37" s="8"/>
      <c r="C37" s="8"/>
      <c r="D37" s="8"/>
      <c r="E37" s="8"/>
      <c r="F37" s="8" t="s">
        <v>0</v>
      </c>
      <c r="G37" s="8" t="s">
        <v>0</v>
      </c>
      <c r="H37" s="17" t="s">
        <v>0</v>
      </c>
      <c r="I37" s="8"/>
      <c r="J37" s="6" t="str">
        <f>IFERROR(VLOOKUP(I37,Hoja1!$F$2:$I$28,2,0)," ")</f>
        <v xml:space="preserve"> </v>
      </c>
      <c r="K37" s="7" t="str">
        <f>IFERROR(IF(G37="NO",VLOOKUP(I37,Hoja1!$F$2:$I$28,3,0),VLOOKUP(I37,Hoja1!$F$2:$I$28,4,0))," ")</f>
        <v xml:space="preserve"> </v>
      </c>
      <c r="L37" s="24"/>
      <c r="M37" s="24" t="s">
        <v>0</v>
      </c>
      <c r="N37" s="25"/>
      <c r="O37" s="18"/>
      <c r="P37" s="14"/>
      <c r="Q37" s="14"/>
      <c r="R37" s="31" t="s">
        <v>0</v>
      </c>
      <c r="S37" s="15" t="e">
        <f t="shared" si="0"/>
        <v>#VALUE!</v>
      </c>
      <c r="T37" s="16" t="e">
        <f t="shared" si="1"/>
        <v>#VALUE!</v>
      </c>
      <c r="U37" s="10"/>
      <c r="V37" s="13" t="s">
        <v>20</v>
      </c>
    </row>
    <row r="38" spans="1:22" ht="27" customHeight="1" x14ac:dyDescent="0.35">
      <c r="A38" s="8"/>
      <c r="B38" s="8"/>
      <c r="C38" s="8"/>
      <c r="D38" s="8"/>
      <c r="E38" s="8"/>
      <c r="F38" s="8" t="s">
        <v>0</v>
      </c>
      <c r="G38" s="8" t="s">
        <v>0</v>
      </c>
      <c r="H38" s="17" t="s">
        <v>0</v>
      </c>
      <c r="I38" s="8"/>
      <c r="J38" s="6" t="str">
        <f>IFERROR(VLOOKUP(I38,Hoja1!$F$2:$I$28,2,0)," ")</f>
        <v xml:space="preserve"> </v>
      </c>
      <c r="K38" s="7" t="str">
        <f>IFERROR(IF(G38="NO",VLOOKUP(I38,Hoja1!$F$2:$I$28,3,0),VLOOKUP(I38,Hoja1!$F$2:$I$28,4,0))," ")</f>
        <v xml:space="preserve"> </v>
      </c>
      <c r="L38" s="24"/>
      <c r="M38" s="24" t="s">
        <v>0</v>
      </c>
      <c r="N38" s="25"/>
      <c r="O38" s="18"/>
      <c r="P38" s="14"/>
      <c r="Q38" s="14"/>
      <c r="R38" s="31" t="s">
        <v>0</v>
      </c>
      <c r="S38" s="15" t="e">
        <f t="shared" si="0"/>
        <v>#VALUE!</v>
      </c>
      <c r="T38" s="16" t="e">
        <f t="shared" si="1"/>
        <v>#VALUE!</v>
      </c>
      <c r="U38" s="10"/>
      <c r="V38" s="13" t="s">
        <v>20</v>
      </c>
    </row>
    <row r="39" spans="1:22" ht="27" customHeight="1" x14ac:dyDescent="0.35">
      <c r="A39" s="8"/>
      <c r="B39" s="8"/>
      <c r="C39" s="8"/>
      <c r="D39" s="8"/>
      <c r="E39" s="8"/>
      <c r="F39" s="8" t="s">
        <v>0</v>
      </c>
      <c r="G39" s="8" t="s">
        <v>0</v>
      </c>
      <c r="H39" s="17" t="s">
        <v>0</v>
      </c>
      <c r="I39" s="8"/>
      <c r="J39" s="6" t="str">
        <f>IFERROR(VLOOKUP(I39,Hoja1!$F$2:$I$28,2,0)," ")</f>
        <v xml:space="preserve"> </v>
      </c>
      <c r="K39" s="7" t="str">
        <f>IFERROR(IF(G39="NO",VLOOKUP(I39,Hoja1!$F$2:$I$28,3,0),VLOOKUP(I39,Hoja1!$F$2:$I$28,4,0))," ")</f>
        <v xml:space="preserve"> </v>
      </c>
      <c r="L39" s="24"/>
      <c r="M39" s="24" t="s">
        <v>0</v>
      </c>
      <c r="N39" s="25"/>
      <c r="O39" s="18"/>
      <c r="P39" s="14"/>
      <c r="Q39" s="14"/>
      <c r="R39" s="31" t="s">
        <v>0</v>
      </c>
      <c r="S39" s="15" t="e">
        <f t="shared" si="0"/>
        <v>#VALUE!</v>
      </c>
      <c r="T39" s="16" t="e">
        <f t="shared" si="1"/>
        <v>#VALUE!</v>
      </c>
      <c r="U39" s="10"/>
      <c r="V39" s="13" t="s">
        <v>20</v>
      </c>
    </row>
    <row r="40" spans="1:22" ht="27" customHeight="1" x14ac:dyDescent="0.35">
      <c r="A40" s="8"/>
      <c r="B40" s="8"/>
      <c r="C40" s="8"/>
      <c r="D40" s="8"/>
      <c r="E40" s="8"/>
      <c r="F40" s="8" t="s">
        <v>0</v>
      </c>
      <c r="G40" s="8" t="s">
        <v>0</v>
      </c>
      <c r="H40" s="17" t="s">
        <v>0</v>
      </c>
      <c r="I40" s="8"/>
      <c r="J40" s="6" t="str">
        <f>IFERROR(VLOOKUP(I40,Hoja1!$F$2:$I$28,2,0)," ")</f>
        <v xml:space="preserve"> </v>
      </c>
      <c r="K40" s="7" t="str">
        <f>IFERROR(IF(G40="NO",VLOOKUP(I40,Hoja1!$F$2:$I$28,3,0),VLOOKUP(I40,Hoja1!$F$2:$I$28,4,0))," ")</f>
        <v xml:space="preserve"> </v>
      </c>
      <c r="L40" s="24"/>
      <c r="M40" s="24" t="s">
        <v>0</v>
      </c>
      <c r="N40" s="25"/>
      <c r="O40" s="18"/>
      <c r="P40" s="14"/>
      <c r="Q40" s="14"/>
      <c r="R40" s="31" t="s">
        <v>0</v>
      </c>
      <c r="S40" s="15" t="e">
        <f t="shared" si="0"/>
        <v>#VALUE!</v>
      </c>
      <c r="T40" s="16" t="e">
        <f t="shared" si="1"/>
        <v>#VALUE!</v>
      </c>
      <c r="U40" s="10"/>
      <c r="V40" s="13" t="s">
        <v>20</v>
      </c>
    </row>
    <row r="41" spans="1:22" ht="27" customHeight="1" x14ac:dyDescent="0.35">
      <c r="A41" s="8"/>
      <c r="B41" s="8"/>
      <c r="C41" s="8"/>
      <c r="D41" s="8"/>
      <c r="E41" s="8"/>
      <c r="F41" s="8" t="s">
        <v>0</v>
      </c>
      <c r="G41" s="8" t="s">
        <v>0</v>
      </c>
      <c r="H41" s="17" t="s">
        <v>0</v>
      </c>
      <c r="I41" s="8"/>
      <c r="J41" s="6" t="str">
        <f>IFERROR(VLOOKUP(I41,Hoja1!$F$2:$I$28,2,0)," ")</f>
        <v xml:space="preserve"> </v>
      </c>
      <c r="K41" s="7" t="str">
        <f>IFERROR(IF(G41="NO",VLOOKUP(I41,Hoja1!$F$2:$I$28,3,0),VLOOKUP(I41,Hoja1!$F$2:$I$28,4,0))," ")</f>
        <v xml:space="preserve"> </v>
      </c>
      <c r="L41" s="24"/>
      <c r="M41" s="24" t="s">
        <v>0</v>
      </c>
      <c r="N41" s="25"/>
      <c r="O41" s="18"/>
      <c r="P41" s="14"/>
      <c r="Q41" s="14"/>
      <c r="R41" s="31" t="s">
        <v>0</v>
      </c>
      <c r="S41" s="15" t="e">
        <f t="shared" si="0"/>
        <v>#VALUE!</v>
      </c>
      <c r="T41" s="16" t="e">
        <f t="shared" si="1"/>
        <v>#VALUE!</v>
      </c>
      <c r="U41" s="10"/>
      <c r="V41" s="13" t="s">
        <v>20</v>
      </c>
    </row>
    <row r="42" spans="1:22" ht="27" customHeight="1" x14ac:dyDescent="0.35">
      <c r="A42" s="8"/>
      <c r="B42" s="8"/>
      <c r="C42" s="8"/>
      <c r="D42" s="8"/>
      <c r="E42" s="8"/>
      <c r="F42" s="8" t="s">
        <v>0</v>
      </c>
      <c r="G42" s="8" t="s">
        <v>0</v>
      </c>
      <c r="H42" s="17" t="s">
        <v>0</v>
      </c>
      <c r="I42" s="8"/>
      <c r="J42" s="6" t="str">
        <f>IFERROR(VLOOKUP(I42,Hoja1!$F$2:$I$28,2,0)," ")</f>
        <v xml:space="preserve"> </v>
      </c>
      <c r="K42" s="7" t="str">
        <f>IFERROR(IF(G42="NO",VLOOKUP(I42,Hoja1!$F$2:$I$28,3,0),VLOOKUP(I42,Hoja1!$F$2:$I$28,4,0))," ")</f>
        <v xml:space="preserve"> </v>
      </c>
      <c r="L42" s="24"/>
      <c r="M42" s="24" t="s">
        <v>0</v>
      </c>
      <c r="N42" s="25"/>
      <c r="O42" s="18"/>
      <c r="P42" s="14"/>
      <c r="Q42" s="14"/>
      <c r="R42" s="31" t="s">
        <v>0</v>
      </c>
      <c r="S42" s="15" t="e">
        <f t="shared" si="0"/>
        <v>#VALUE!</v>
      </c>
      <c r="T42" s="16" t="e">
        <f t="shared" si="1"/>
        <v>#VALUE!</v>
      </c>
      <c r="U42" s="10"/>
      <c r="V42" s="13" t="s">
        <v>20</v>
      </c>
    </row>
    <row r="43" spans="1:22" ht="27" customHeight="1" x14ac:dyDescent="0.35">
      <c r="A43" s="8"/>
      <c r="B43" s="8"/>
      <c r="C43" s="8"/>
      <c r="D43" s="8"/>
      <c r="E43" s="8"/>
      <c r="F43" s="8" t="s">
        <v>0</v>
      </c>
      <c r="G43" s="8" t="s">
        <v>0</v>
      </c>
      <c r="H43" s="17" t="s">
        <v>0</v>
      </c>
      <c r="I43" s="8"/>
      <c r="J43" s="6" t="str">
        <f>IFERROR(VLOOKUP(I43,Hoja1!$F$2:$I$28,2,0)," ")</f>
        <v xml:space="preserve"> </v>
      </c>
      <c r="K43" s="7" t="str">
        <f>IFERROR(IF(G43="NO",VLOOKUP(I43,Hoja1!$F$2:$I$28,3,0),VLOOKUP(I43,Hoja1!$F$2:$I$28,4,0))," ")</f>
        <v xml:space="preserve"> </v>
      </c>
      <c r="L43" s="24"/>
      <c r="M43" s="24" t="s">
        <v>0</v>
      </c>
      <c r="N43" s="25"/>
      <c r="O43" s="18"/>
      <c r="P43" s="14"/>
      <c r="Q43" s="14"/>
      <c r="R43" s="31" t="s">
        <v>0</v>
      </c>
      <c r="S43" s="15" t="e">
        <f t="shared" si="0"/>
        <v>#VALUE!</v>
      </c>
      <c r="T43" s="16" t="e">
        <f t="shared" si="1"/>
        <v>#VALUE!</v>
      </c>
      <c r="U43" s="10"/>
      <c r="V43" s="13" t="s">
        <v>20</v>
      </c>
    </row>
    <row r="44" spans="1:22" ht="27" customHeight="1" x14ac:dyDescent="0.35">
      <c r="A44" s="8"/>
      <c r="B44" s="8"/>
      <c r="C44" s="8"/>
      <c r="D44" s="8"/>
      <c r="E44" s="8"/>
      <c r="F44" s="8" t="s">
        <v>0</v>
      </c>
      <c r="G44" s="8" t="s">
        <v>0</v>
      </c>
      <c r="H44" s="17" t="s">
        <v>0</v>
      </c>
      <c r="I44" s="8"/>
      <c r="J44" s="6" t="str">
        <f>IFERROR(VLOOKUP(I44,Hoja1!$F$2:$I$28,2,0)," ")</f>
        <v xml:space="preserve"> </v>
      </c>
      <c r="K44" s="7" t="str">
        <f>IFERROR(IF(G44="NO",VLOOKUP(I44,Hoja1!$F$2:$I$28,3,0),VLOOKUP(I44,Hoja1!$F$2:$I$28,4,0))," ")</f>
        <v xml:space="preserve"> </v>
      </c>
      <c r="L44" s="24"/>
      <c r="M44" s="24" t="s">
        <v>0</v>
      </c>
      <c r="N44" s="25"/>
      <c r="O44" s="18"/>
      <c r="P44" s="14"/>
      <c r="Q44" s="14"/>
      <c r="R44" s="31" t="s">
        <v>0</v>
      </c>
      <c r="S44" s="15" t="e">
        <f t="shared" si="0"/>
        <v>#VALUE!</v>
      </c>
      <c r="T44" s="16" t="e">
        <f t="shared" si="1"/>
        <v>#VALUE!</v>
      </c>
      <c r="U44" s="10"/>
      <c r="V44" s="13" t="s">
        <v>20</v>
      </c>
    </row>
    <row r="45" spans="1:22" ht="27" customHeight="1" x14ac:dyDescent="0.35">
      <c r="A45" s="8"/>
      <c r="B45" s="8"/>
      <c r="C45" s="8"/>
      <c r="D45" s="8"/>
      <c r="E45" s="8"/>
      <c r="F45" s="8" t="s">
        <v>0</v>
      </c>
      <c r="G45" s="8" t="s">
        <v>0</v>
      </c>
      <c r="H45" s="17" t="s">
        <v>0</v>
      </c>
      <c r="I45" s="8"/>
      <c r="J45" s="6" t="str">
        <f>IFERROR(VLOOKUP(I45,Hoja1!$F$2:$I$28,2,0)," ")</f>
        <v xml:space="preserve"> </v>
      </c>
      <c r="K45" s="7" t="str">
        <f>IFERROR(IF(G45="NO",VLOOKUP(I45,Hoja1!$F$2:$I$28,3,0),VLOOKUP(I45,Hoja1!$F$2:$I$28,4,0))," ")</f>
        <v xml:space="preserve"> </v>
      </c>
      <c r="L45" s="24"/>
      <c r="M45" s="24" t="s">
        <v>0</v>
      </c>
      <c r="N45" s="25"/>
      <c r="O45" s="18"/>
      <c r="P45" s="14"/>
      <c r="Q45" s="14"/>
      <c r="R45" s="31" t="s">
        <v>0</v>
      </c>
      <c r="S45" s="15" t="e">
        <f t="shared" si="0"/>
        <v>#VALUE!</v>
      </c>
      <c r="T45" s="16" t="e">
        <f t="shared" si="1"/>
        <v>#VALUE!</v>
      </c>
      <c r="U45" s="10"/>
      <c r="V45" s="13" t="s">
        <v>20</v>
      </c>
    </row>
    <row r="46" spans="1:22" ht="27" customHeight="1" x14ac:dyDescent="0.35">
      <c r="A46" s="8"/>
      <c r="B46" s="8"/>
      <c r="C46" s="8"/>
      <c r="D46" s="8"/>
      <c r="E46" s="8"/>
      <c r="F46" s="8" t="s">
        <v>0</v>
      </c>
      <c r="G46" s="8" t="s">
        <v>0</v>
      </c>
      <c r="H46" s="17" t="s">
        <v>0</v>
      </c>
      <c r="I46" s="8"/>
      <c r="J46" s="6" t="str">
        <f>IFERROR(VLOOKUP(I46,Hoja1!$F$2:$I$28,2,0)," ")</f>
        <v xml:space="preserve"> </v>
      </c>
      <c r="K46" s="7" t="str">
        <f>IFERROR(IF(G46="NO",VLOOKUP(I46,Hoja1!$F$2:$I$28,3,0),VLOOKUP(I46,Hoja1!$F$2:$I$28,4,0))," ")</f>
        <v xml:space="preserve"> </v>
      </c>
      <c r="L46" s="24"/>
      <c r="M46" s="24" t="s">
        <v>0</v>
      </c>
      <c r="N46" s="25"/>
      <c r="O46" s="18"/>
      <c r="P46" s="14"/>
      <c r="Q46" s="14"/>
      <c r="R46" s="31" t="s">
        <v>0</v>
      </c>
      <c r="S46" s="15" t="e">
        <f t="shared" si="0"/>
        <v>#VALUE!</v>
      </c>
      <c r="T46" s="16" t="e">
        <f t="shared" si="1"/>
        <v>#VALUE!</v>
      </c>
      <c r="U46" s="10"/>
      <c r="V46" s="13" t="s">
        <v>20</v>
      </c>
    </row>
    <row r="47" spans="1:22" ht="27" customHeight="1" x14ac:dyDescent="0.35">
      <c r="A47" s="8"/>
      <c r="B47" s="8"/>
      <c r="C47" s="8"/>
      <c r="D47" s="8"/>
      <c r="E47" s="8"/>
      <c r="F47" s="8" t="s">
        <v>0</v>
      </c>
      <c r="G47" s="8" t="s">
        <v>0</v>
      </c>
      <c r="H47" s="17" t="s">
        <v>0</v>
      </c>
      <c r="I47" s="8"/>
      <c r="J47" s="6" t="str">
        <f>IFERROR(VLOOKUP(I47,Hoja1!$F$2:$I$28,2,0)," ")</f>
        <v xml:space="preserve"> </v>
      </c>
      <c r="K47" s="7" t="str">
        <f>IFERROR(IF(G47="NO",VLOOKUP(I47,Hoja1!$F$2:$I$28,3,0),VLOOKUP(I47,Hoja1!$F$2:$I$28,4,0))," ")</f>
        <v xml:space="preserve"> </v>
      </c>
      <c r="L47" s="24"/>
      <c r="M47" s="24" t="s">
        <v>0</v>
      </c>
      <c r="N47" s="25"/>
      <c r="O47" s="18"/>
      <c r="P47" s="14"/>
      <c r="Q47" s="14"/>
      <c r="R47" s="31" t="s">
        <v>0</v>
      </c>
      <c r="S47" s="15" t="e">
        <f t="shared" si="0"/>
        <v>#VALUE!</v>
      </c>
      <c r="T47" s="16" t="e">
        <f t="shared" si="1"/>
        <v>#VALUE!</v>
      </c>
      <c r="U47" s="10"/>
      <c r="V47" s="13" t="s">
        <v>20</v>
      </c>
    </row>
    <row r="48" spans="1:22" ht="27" customHeight="1" x14ac:dyDescent="0.35">
      <c r="A48" s="8"/>
      <c r="B48" s="8"/>
      <c r="C48" s="8"/>
      <c r="D48" s="8"/>
      <c r="E48" s="8"/>
      <c r="F48" s="8" t="s">
        <v>0</v>
      </c>
      <c r="G48" s="8" t="s">
        <v>0</v>
      </c>
      <c r="H48" s="17" t="s">
        <v>0</v>
      </c>
      <c r="I48" s="8"/>
      <c r="J48" s="6" t="str">
        <f>IFERROR(VLOOKUP(I48,Hoja1!$F$2:$I$28,2,0)," ")</f>
        <v xml:space="preserve"> </v>
      </c>
      <c r="K48" s="7" t="str">
        <f>IFERROR(IF(G48="NO",VLOOKUP(I48,Hoja1!$F$2:$I$28,3,0),VLOOKUP(I48,Hoja1!$F$2:$I$28,4,0))," ")</f>
        <v xml:space="preserve"> </v>
      </c>
      <c r="L48" s="24"/>
      <c r="M48" s="24" t="s">
        <v>0</v>
      </c>
      <c r="N48" s="25"/>
      <c r="O48" s="18"/>
      <c r="P48" s="14"/>
      <c r="Q48" s="14"/>
      <c r="R48" s="31" t="s">
        <v>0</v>
      </c>
      <c r="S48" s="15" t="e">
        <f t="shared" si="0"/>
        <v>#VALUE!</v>
      </c>
      <c r="T48" s="16" t="e">
        <f t="shared" si="1"/>
        <v>#VALUE!</v>
      </c>
      <c r="U48" s="10"/>
      <c r="V48" s="13" t="s">
        <v>20</v>
      </c>
    </row>
    <row r="49" spans="1:22" ht="27" customHeight="1" x14ac:dyDescent="0.35">
      <c r="A49" s="8"/>
      <c r="B49" s="8"/>
      <c r="C49" s="8"/>
      <c r="D49" s="8"/>
      <c r="E49" s="8"/>
      <c r="F49" s="8" t="s">
        <v>0</v>
      </c>
      <c r="G49" s="8" t="s">
        <v>0</v>
      </c>
      <c r="H49" s="17" t="s">
        <v>0</v>
      </c>
      <c r="I49" s="8"/>
      <c r="J49" s="6" t="str">
        <f>IFERROR(VLOOKUP(I49,Hoja1!$F$2:$I$28,2,0)," ")</f>
        <v xml:space="preserve"> </v>
      </c>
      <c r="K49" s="7" t="str">
        <f>IFERROR(IF(G49="NO",VLOOKUP(I49,Hoja1!$F$2:$I$28,3,0),VLOOKUP(I49,Hoja1!$F$2:$I$28,4,0))," ")</f>
        <v xml:space="preserve"> </v>
      </c>
      <c r="L49" s="24"/>
      <c r="M49" s="24" t="s">
        <v>0</v>
      </c>
      <c r="N49" s="25"/>
      <c r="O49" s="18"/>
      <c r="P49" s="14"/>
      <c r="Q49" s="14"/>
      <c r="R49" s="31" t="s">
        <v>0</v>
      </c>
      <c r="S49" s="15" t="e">
        <f t="shared" si="0"/>
        <v>#VALUE!</v>
      </c>
      <c r="T49" s="16" t="e">
        <f t="shared" si="1"/>
        <v>#VALUE!</v>
      </c>
      <c r="U49" s="10"/>
      <c r="V49" s="13" t="s">
        <v>20</v>
      </c>
    </row>
    <row r="50" spans="1:22" ht="27" customHeight="1" x14ac:dyDescent="0.35">
      <c r="A50" s="8"/>
      <c r="B50" s="8"/>
      <c r="C50" s="8"/>
      <c r="D50" s="8"/>
      <c r="E50" s="8"/>
      <c r="F50" s="8" t="s">
        <v>0</v>
      </c>
      <c r="G50" s="8" t="s">
        <v>0</v>
      </c>
      <c r="H50" s="17" t="s">
        <v>0</v>
      </c>
      <c r="I50" s="8"/>
      <c r="J50" s="6" t="str">
        <f>IFERROR(VLOOKUP(I50,Hoja1!$F$2:$I$28,2,0)," ")</f>
        <v xml:space="preserve"> </v>
      </c>
      <c r="K50" s="7" t="str">
        <f>IFERROR(IF(G50="NO",VLOOKUP(I50,Hoja1!$F$2:$I$28,3,0),VLOOKUP(I50,Hoja1!$F$2:$I$28,4,0))," ")</f>
        <v xml:space="preserve"> </v>
      </c>
      <c r="L50" s="24"/>
      <c r="M50" s="24" t="s">
        <v>0</v>
      </c>
      <c r="N50" s="25"/>
      <c r="O50" s="18"/>
      <c r="P50" s="14"/>
      <c r="Q50" s="14"/>
      <c r="R50" s="31" t="s">
        <v>0</v>
      </c>
      <c r="S50" s="15" t="e">
        <f t="shared" si="0"/>
        <v>#VALUE!</v>
      </c>
      <c r="T50" s="16" t="e">
        <f t="shared" si="1"/>
        <v>#VALUE!</v>
      </c>
      <c r="U50" s="10"/>
      <c r="V50" s="13" t="s">
        <v>20</v>
      </c>
    </row>
    <row r="51" spans="1:22" ht="27" customHeight="1" x14ac:dyDescent="0.35">
      <c r="A51" s="8"/>
      <c r="B51" s="8"/>
      <c r="C51" s="8"/>
      <c r="D51" s="8"/>
      <c r="E51" s="8"/>
      <c r="F51" s="8" t="s">
        <v>0</v>
      </c>
      <c r="G51" s="8" t="s">
        <v>0</v>
      </c>
      <c r="H51" s="17" t="s">
        <v>0</v>
      </c>
      <c r="I51" s="8"/>
      <c r="J51" s="6" t="str">
        <f>IFERROR(VLOOKUP(I51,Hoja1!$F$2:$I$28,2,0)," ")</f>
        <v xml:space="preserve"> </v>
      </c>
      <c r="K51" s="7" t="str">
        <f>IFERROR(IF(G51="NO",VLOOKUP(I51,Hoja1!$F$2:$I$28,3,0),VLOOKUP(I51,Hoja1!$F$2:$I$28,4,0))," ")</f>
        <v xml:space="preserve"> </v>
      </c>
      <c r="L51" s="24"/>
      <c r="M51" s="24" t="s">
        <v>0</v>
      </c>
      <c r="N51" s="25"/>
      <c r="O51" s="18"/>
      <c r="P51" s="14"/>
      <c r="Q51" s="14"/>
      <c r="R51" s="31" t="s">
        <v>0</v>
      </c>
      <c r="S51" s="15" t="e">
        <f t="shared" si="0"/>
        <v>#VALUE!</v>
      </c>
      <c r="T51" s="16" t="e">
        <f t="shared" si="1"/>
        <v>#VALUE!</v>
      </c>
      <c r="U51" s="10"/>
      <c r="V51" s="13" t="s">
        <v>20</v>
      </c>
    </row>
    <row r="52" spans="1:22" ht="27" customHeight="1" x14ac:dyDescent="0.35">
      <c r="A52" s="8"/>
      <c r="B52" s="8"/>
      <c r="C52" s="8"/>
      <c r="D52" s="8"/>
      <c r="E52" s="8"/>
      <c r="F52" s="8" t="s">
        <v>0</v>
      </c>
      <c r="G52" s="8" t="s">
        <v>0</v>
      </c>
      <c r="H52" s="17" t="s">
        <v>0</v>
      </c>
      <c r="I52" s="8"/>
      <c r="J52" s="6" t="str">
        <f>IFERROR(VLOOKUP(I52,Hoja1!$F$2:$I$28,2,0)," ")</f>
        <v xml:space="preserve"> </v>
      </c>
      <c r="K52" s="7" t="str">
        <f>IFERROR(IF(G52="NO",VLOOKUP(I52,Hoja1!$F$2:$I$28,3,0),VLOOKUP(I52,Hoja1!$F$2:$I$28,4,0))," ")</f>
        <v xml:space="preserve"> </v>
      </c>
      <c r="L52" s="24"/>
      <c r="M52" s="24" t="s">
        <v>0</v>
      </c>
      <c r="N52" s="25"/>
      <c r="O52" s="18"/>
      <c r="P52" s="14"/>
      <c r="Q52" s="14"/>
      <c r="R52" s="31" t="s">
        <v>0</v>
      </c>
      <c r="S52" s="15" t="e">
        <f t="shared" si="0"/>
        <v>#VALUE!</v>
      </c>
      <c r="T52" s="16" t="e">
        <f t="shared" si="1"/>
        <v>#VALUE!</v>
      </c>
      <c r="U52" s="10"/>
      <c r="V52" s="13" t="s">
        <v>20</v>
      </c>
    </row>
    <row r="53" spans="1:22" ht="27" customHeight="1" x14ac:dyDescent="0.35">
      <c r="A53" s="8"/>
      <c r="B53" s="8"/>
      <c r="C53" s="8"/>
      <c r="D53" s="8"/>
      <c r="E53" s="8"/>
      <c r="F53" s="8" t="s">
        <v>0</v>
      </c>
      <c r="G53" s="8" t="s">
        <v>0</v>
      </c>
      <c r="H53" s="17" t="s">
        <v>0</v>
      </c>
      <c r="I53" s="8"/>
      <c r="J53" s="6" t="str">
        <f>IFERROR(VLOOKUP(I53,Hoja1!$F$2:$I$28,2,0)," ")</f>
        <v xml:space="preserve"> </v>
      </c>
      <c r="K53" s="7" t="str">
        <f>IFERROR(IF(G53="NO",VLOOKUP(I53,Hoja1!$F$2:$I$28,3,0),VLOOKUP(I53,Hoja1!$F$2:$I$28,4,0))," ")</f>
        <v xml:space="preserve"> </v>
      </c>
      <c r="L53" s="24"/>
      <c r="M53" s="24" t="s">
        <v>0</v>
      </c>
      <c r="N53" s="25"/>
      <c r="O53" s="18"/>
      <c r="P53" s="14"/>
      <c r="Q53" s="14"/>
      <c r="R53" s="31" t="s">
        <v>0</v>
      </c>
      <c r="S53" s="15" t="e">
        <f t="shared" si="0"/>
        <v>#VALUE!</v>
      </c>
      <c r="T53" s="16" t="e">
        <f t="shared" si="1"/>
        <v>#VALUE!</v>
      </c>
      <c r="U53" s="10"/>
      <c r="V53" s="13" t="s">
        <v>20</v>
      </c>
    </row>
    <row r="54" spans="1:22" ht="27" customHeight="1" x14ac:dyDescent="0.35">
      <c r="A54" s="8"/>
      <c r="B54" s="8"/>
      <c r="C54" s="8"/>
      <c r="D54" s="8"/>
      <c r="E54" s="8"/>
      <c r="F54" s="8" t="s">
        <v>0</v>
      </c>
      <c r="G54" s="8" t="s">
        <v>0</v>
      </c>
      <c r="H54" s="17" t="s">
        <v>0</v>
      </c>
      <c r="I54" s="8"/>
      <c r="J54" s="6" t="str">
        <f>IFERROR(VLOOKUP(I54,Hoja1!$F$2:$I$28,2,0)," ")</f>
        <v xml:space="preserve"> </v>
      </c>
      <c r="K54" s="7" t="str">
        <f>IFERROR(IF(G54="NO",VLOOKUP(I54,Hoja1!$F$2:$I$28,3,0),VLOOKUP(I54,Hoja1!$F$2:$I$28,4,0))," ")</f>
        <v xml:space="preserve"> </v>
      </c>
      <c r="L54" s="24"/>
      <c r="M54" s="24" t="s">
        <v>0</v>
      </c>
      <c r="N54" s="25"/>
      <c r="O54" s="18"/>
      <c r="P54" s="14"/>
      <c r="Q54" s="14"/>
      <c r="R54" s="31" t="s">
        <v>0</v>
      </c>
      <c r="S54" s="15" t="e">
        <f t="shared" si="0"/>
        <v>#VALUE!</v>
      </c>
      <c r="T54" s="16" t="e">
        <f t="shared" si="1"/>
        <v>#VALUE!</v>
      </c>
      <c r="U54" s="10"/>
      <c r="V54" s="13" t="s">
        <v>20</v>
      </c>
    </row>
    <row r="55" spans="1:22" ht="27" customHeight="1" x14ac:dyDescent="0.35">
      <c r="A55" s="8"/>
      <c r="B55" s="8"/>
      <c r="C55" s="8"/>
      <c r="D55" s="8"/>
      <c r="E55" s="8"/>
      <c r="F55" s="8" t="s">
        <v>0</v>
      </c>
      <c r="G55" s="8" t="s">
        <v>0</v>
      </c>
      <c r="H55" s="17" t="s">
        <v>0</v>
      </c>
      <c r="I55" s="8"/>
      <c r="J55" s="6" t="str">
        <f>IFERROR(VLOOKUP(I55,Hoja1!$F$2:$I$28,2,0)," ")</f>
        <v xml:space="preserve"> </v>
      </c>
      <c r="K55" s="7" t="str">
        <f>IFERROR(IF(G55="NO",VLOOKUP(I55,Hoja1!$F$2:$I$28,3,0),VLOOKUP(I55,Hoja1!$F$2:$I$28,4,0))," ")</f>
        <v xml:space="preserve"> </v>
      </c>
      <c r="L55" s="24"/>
      <c r="M55" s="24" t="s">
        <v>0</v>
      </c>
      <c r="N55" s="25"/>
      <c r="O55" s="18"/>
      <c r="P55" s="14"/>
      <c r="Q55" s="14"/>
      <c r="R55" s="31" t="s">
        <v>0</v>
      </c>
      <c r="S55" s="15" t="e">
        <f t="shared" si="0"/>
        <v>#VALUE!</v>
      </c>
      <c r="T55" s="16" t="e">
        <f t="shared" si="1"/>
        <v>#VALUE!</v>
      </c>
      <c r="U55" s="10"/>
      <c r="V55" s="13" t="s">
        <v>20</v>
      </c>
    </row>
    <row r="56" spans="1:22" ht="27" customHeight="1" x14ac:dyDescent="0.35">
      <c r="A56" s="8"/>
      <c r="B56" s="8"/>
      <c r="C56" s="8"/>
      <c r="D56" s="8"/>
      <c r="E56" s="8"/>
      <c r="F56" s="8" t="s">
        <v>0</v>
      </c>
      <c r="G56" s="8" t="s">
        <v>0</v>
      </c>
      <c r="H56" s="17" t="s">
        <v>0</v>
      </c>
      <c r="I56" s="8"/>
      <c r="J56" s="6" t="str">
        <f>IFERROR(VLOOKUP(I56,Hoja1!$F$2:$I$28,2,0)," ")</f>
        <v xml:space="preserve"> </v>
      </c>
      <c r="K56" s="7" t="str">
        <f>IFERROR(IF(G56="NO",VLOOKUP(I56,Hoja1!$F$2:$I$28,3,0),VLOOKUP(I56,Hoja1!$F$2:$I$28,4,0))," ")</f>
        <v xml:space="preserve"> </v>
      </c>
      <c r="L56" s="24"/>
      <c r="M56" s="24" t="s">
        <v>0</v>
      </c>
      <c r="N56" s="25"/>
      <c r="O56" s="18"/>
      <c r="P56" s="14"/>
      <c r="Q56" s="14"/>
      <c r="R56" s="31" t="s">
        <v>0</v>
      </c>
      <c r="S56" s="15" t="e">
        <f t="shared" si="0"/>
        <v>#VALUE!</v>
      </c>
      <c r="T56" s="16" t="e">
        <f t="shared" si="1"/>
        <v>#VALUE!</v>
      </c>
      <c r="U56" s="10"/>
      <c r="V56" s="13" t="s">
        <v>20</v>
      </c>
    </row>
    <row r="57" spans="1:22" ht="27" customHeight="1" x14ac:dyDescent="0.35">
      <c r="A57" s="8"/>
      <c r="B57" s="8"/>
      <c r="C57" s="8"/>
      <c r="D57" s="8"/>
      <c r="E57" s="8"/>
      <c r="F57" s="8" t="s">
        <v>0</v>
      </c>
      <c r="G57" s="8" t="s">
        <v>0</v>
      </c>
      <c r="H57" s="17" t="s">
        <v>0</v>
      </c>
      <c r="I57" s="8"/>
      <c r="J57" s="6" t="str">
        <f>IFERROR(VLOOKUP(I57,Hoja1!$F$2:$I$28,2,0)," ")</f>
        <v xml:space="preserve"> </v>
      </c>
      <c r="K57" s="7" t="str">
        <f>IFERROR(IF(G57="NO",VLOOKUP(I57,Hoja1!$F$2:$I$28,3,0),VLOOKUP(I57,Hoja1!$F$2:$I$28,4,0))," ")</f>
        <v xml:space="preserve"> </v>
      </c>
      <c r="L57" s="24"/>
      <c r="M57" s="24" t="s">
        <v>0</v>
      </c>
      <c r="N57" s="25"/>
      <c r="O57" s="18"/>
      <c r="P57" s="14"/>
      <c r="Q57" s="14"/>
      <c r="R57" s="31" t="s">
        <v>0</v>
      </c>
      <c r="S57" s="15" t="e">
        <f t="shared" si="0"/>
        <v>#VALUE!</v>
      </c>
      <c r="T57" s="16" t="e">
        <f t="shared" si="1"/>
        <v>#VALUE!</v>
      </c>
      <c r="U57" s="10"/>
      <c r="V57" s="13" t="s">
        <v>20</v>
      </c>
    </row>
    <row r="58" spans="1:22" ht="27" customHeight="1" x14ac:dyDescent="0.35">
      <c r="A58" s="8"/>
      <c r="B58" s="8"/>
      <c r="C58" s="8"/>
      <c r="D58" s="8"/>
      <c r="E58" s="8"/>
      <c r="F58" s="8" t="s">
        <v>0</v>
      </c>
      <c r="G58" s="8" t="s">
        <v>0</v>
      </c>
      <c r="H58" s="17" t="s">
        <v>0</v>
      </c>
      <c r="I58" s="8"/>
      <c r="J58" s="6" t="str">
        <f>IFERROR(VLOOKUP(I58,Hoja1!$F$2:$I$28,2,0)," ")</f>
        <v xml:space="preserve"> </v>
      </c>
      <c r="K58" s="7" t="str">
        <f>IFERROR(IF(G58="NO",VLOOKUP(I58,Hoja1!$F$2:$I$28,3,0),VLOOKUP(I58,Hoja1!$F$2:$I$28,4,0))," ")</f>
        <v xml:space="preserve"> </v>
      </c>
      <c r="L58" s="24"/>
      <c r="M58" s="24" t="s">
        <v>0</v>
      </c>
      <c r="N58" s="25"/>
      <c r="O58" s="18"/>
      <c r="P58" s="14"/>
      <c r="Q58" s="14"/>
      <c r="R58" s="31" t="s">
        <v>0</v>
      </c>
      <c r="S58" s="15" t="e">
        <f t="shared" si="0"/>
        <v>#VALUE!</v>
      </c>
      <c r="T58" s="16" t="e">
        <f t="shared" si="1"/>
        <v>#VALUE!</v>
      </c>
      <c r="U58" s="10"/>
      <c r="V58" s="13" t="s">
        <v>20</v>
      </c>
    </row>
    <row r="59" spans="1:22" ht="27" customHeight="1" x14ac:dyDescent="0.35">
      <c r="A59" s="8"/>
      <c r="B59" s="8"/>
      <c r="C59" s="8"/>
      <c r="D59" s="8"/>
      <c r="E59" s="8"/>
      <c r="F59" s="8" t="s">
        <v>0</v>
      </c>
      <c r="G59" s="8" t="s">
        <v>0</v>
      </c>
      <c r="H59" s="17" t="s">
        <v>0</v>
      </c>
      <c r="I59" s="8"/>
      <c r="J59" s="6" t="str">
        <f>IFERROR(VLOOKUP(I59,Hoja1!$F$2:$I$28,2,0)," ")</f>
        <v xml:space="preserve"> </v>
      </c>
      <c r="K59" s="7" t="str">
        <f>IFERROR(IF(G59="NO",VLOOKUP(I59,Hoja1!$F$2:$I$28,3,0),VLOOKUP(I59,Hoja1!$F$2:$I$28,4,0))," ")</f>
        <v xml:space="preserve"> </v>
      </c>
      <c r="L59" s="24"/>
      <c r="M59" s="24" t="s">
        <v>0</v>
      </c>
      <c r="N59" s="25"/>
      <c r="O59" s="18"/>
      <c r="P59" s="14"/>
      <c r="Q59" s="14"/>
      <c r="R59" s="31" t="s">
        <v>0</v>
      </c>
      <c r="S59" s="15" t="e">
        <f t="shared" si="0"/>
        <v>#VALUE!</v>
      </c>
      <c r="T59" s="16" t="e">
        <f t="shared" si="1"/>
        <v>#VALUE!</v>
      </c>
      <c r="U59" s="10"/>
      <c r="V59" s="13" t="s">
        <v>20</v>
      </c>
    </row>
    <row r="60" spans="1:22" ht="27" customHeight="1" x14ac:dyDescent="0.35">
      <c r="A60" s="8"/>
      <c r="B60" s="8"/>
      <c r="C60" s="8"/>
      <c r="D60" s="8"/>
      <c r="E60" s="8"/>
      <c r="F60" s="8" t="s">
        <v>0</v>
      </c>
      <c r="G60" s="8" t="s">
        <v>0</v>
      </c>
      <c r="H60" s="17" t="s">
        <v>0</v>
      </c>
      <c r="I60" s="8"/>
      <c r="J60" s="6" t="str">
        <f>IFERROR(VLOOKUP(I60,Hoja1!$F$2:$I$28,2,0)," ")</f>
        <v xml:space="preserve"> </v>
      </c>
      <c r="K60" s="7" t="str">
        <f>IFERROR(IF(G60="NO",VLOOKUP(I60,Hoja1!$F$2:$I$28,3,0),VLOOKUP(I60,Hoja1!$F$2:$I$28,4,0))," ")</f>
        <v xml:space="preserve"> </v>
      </c>
      <c r="L60" s="24"/>
      <c r="M60" s="24" t="s">
        <v>0</v>
      </c>
      <c r="N60" s="25"/>
      <c r="O60" s="18"/>
      <c r="P60" s="14"/>
      <c r="Q60" s="14"/>
      <c r="R60" s="31" t="s">
        <v>0</v>
      </c>
      <c r="S60" s="15" t="e">
        <f t="shared" si="0"/>
        <v>#VALUE!</v>
      </c>
      <c r="T60" s="16" t="e">
        <f t="shared" si="1"/>
        <v>#VALUE!</v>
      </c>
      <c r="U60" s="10"/>
      <c r="V60" s="13" t="s">
        <v>20</v>
      </c>
    </row>
    <row r="61" spans="1:22" ht="27" customHeight="1" x14ac:dyDescent="0.35">
      <c r="A61" s="8"/>
      <c r="B61" s="8"/>
      <c r="C61" s="8"/>
      <c r="D61" s="8"/>
      <c r="E61" s="8"/>
      <c r="F61" s="8" t="s">
        <v>0</v>
      </c>
      <c r="G61" s="8" t="s">
        <v>0</v>
      </c>
      <c r="H61" s="17" t="s">
        <v>0</v>
      </c>
      <c r="I61" s="8"/>
      <c r="J61" s="6" t="str">
        <f>IFERROR(VLOOKUP(I61,Hoja1!$F$2:$I$28,2,0)," ")</f>
        <v xml:space="preserve"> </v>
      </c>
      <c r="K61" s="7" t="str">
        <f>IFERROR(IF(G61="NO",VLOOKUP(I61,Hoja1!$F$2:$I$28,3,0),VLOOKUP(I61,Hoja1!$F$2:$I$28,4,0))," ")</f>
        <v xml:space="preserve"> </v>
      </c>
      <c r="L61" s="24"/>
      <c r="M61" s="24" t="s">
        <v>0</v>
      </c>
      <c r="N61" s="25"/>
      <c r="O61" s="18"/>
      <c r="P61" s="14"/>
      <c r="Q61" s="14"/>
      <c r="R61" s="31" t="s">
        <v>0</v>
      </c>
      <c r="S61" s="15" t="e">
        <f t="shared" si="0"/>
        <v>#VALUE!</v>
      </c>
      <c r="T61" s="16" t="e">
        <f t="shared" si="1"/>
        <v>#VALUE!</v>
      </c>
      <c r="U61" s="10"/>
      <c r="V61" s="13" t="s">
        <v>20</v>
      </c>
    </row>
    <row r="62" spans="1:22" ht="27" customHeight="1" x14ac:dyDescent="0.35">
      <c r="A62" s="8"/>
      <c r="B62" s="8"/>
      <c r="C62" s="8"/>
      <c r="D62" s="8"/>
      <c r="E62" s="8"/>
      <c r="F62" s="8" t="s">
        <v>0</v>
      </c>
      <c r="G62" s="8" t="s">
        <v>0</v>
      </c>
      <c r="H62" s="17" t="s">
        <v>0</v>
      </c>
      <c r="I62" s="8"/>
      <c r="J62" s="6" t="str">
        <f>IFERROR(VLOOKUP(I62,Hoja1!$F$2:$I$28,2,0)," ")</f>
        <v xml:space="preserve"> </v>
      </c>
      <c r="K62" s="7" t="str">
        <f>IFERROR(IF(G62="NO",VLOOKUP(I62,Hoja1!$F$2:$I$28,3,0),VLOOKUP(I62,Hoja1!$F$2:$I$28,4,0))," ")</f>
        <v xml:space="preserve"> </v>
      </c>
      <c r="L62" s="24"/>
      <c r="M62" s="24" t="s">
        <v>0</v>
      </c>
      <c r="N62" s="25"/>
      <c r="O62" s="18"/>
      <c r="P62" s="14"/>
      <c r="Q62" s="14"/>
      <c r="R62" s="31" t="s">
        <v>0</v>
      </c>
      <c r="S62" s="15" t="e">
        <f t="shared" si="0"/>
        <v>#VALUE!</v>
      </c>
      <c r="T62" s="16" t="e">
        <f t="shared" si="1"/>
        <v>#VALUE!</v>
      </c>
      <c r="U62" s="10"/>
      <c r="V62" s="13" t="s">
        <v>20</v>
      </c>
    </row>
    <row r="63" spans="1:22" ht="27" customHeight="1" x14ac:dyDescent="0.35">
      <c r="A63" s="8"/>
      <c r="B63" s="8"/>
      <c r="C63" s="8"/>
      <c r="D63" s="8"/>
      <c r="E63" s="8"/>
      <c r="F63" s="8" t="s">
        <v>0</v>
      </c>
      <c r="G63" s="8" t="s">
        <v>0</v>
      </c>
      <c r="H63" s="17" t="s">
        <v>0</v>
      </c>
      <c r="I63" s="8"/>
      <c r="J63" s="6" t="str">
        <f>IFERROR(VLOOKUP(I63,Hoja1!$F$2:$I$28,2,0)," ")</f>
        <v xml:space="preserve"> </v>
      </c>
      <c r="K63" s="7" t="str">
        <f>IFERROR(IF(G63="NO",VLOOKUP(I63,Hoja1!$F$2:$I$28,3,0),VLOOKUP(I63,Hoja1!$F$2:$I$28,4,0))," ")</f>
        <v xml:space="preserve"> </v>
      </c>
      <c r="L63" s="24"/>
      <c r="M63" s="24" t="s">
        <v>0</v>
      </c>
      <c r="N63" s="25"/>
      <c r="O63" s="18"/>
      <c r="P63" s="14"/>
      <c r="Q63" s="14"/>
      <c r="R63" s="31" t="s">
        <v>0</v>
      </c>
      <c r="S63" s="15" t="e">
        <f t="shared" si="0"/>
        <v>#VALUE!</v>
      </c>
      <c r="T63" s="16" t="e">
        <f t="shared" si="1"/>
        <v>#VALUE!</v>
      </c>
      <c r="U63" s="10"/>
      <c r="V63" s="13" t="s">
        <v>20</v>
      </c>
    </row>
    <row r="64" spans="1:22" ht="27" customHeight="1" x14ac:dyDescent="0.35">
      <c r="A64" s="8"/>
      <c r="B64" s="8"/>
      <c r="C64" s="8"/>
      <c r="D64" s="8"/>
      <c r="E64" s="8"/>
      <c r="F64" s="8" t="s">
        <v>0</v>
      </c>
      <c r="G64" s="8" t="s">
        <v>0</v>
      </c>
      <c r="H64" s="17" t="s">
        <v>0</v>
      </c>
      <c r="I64" s="8"/>
      <c r="J64" s="6" t="str">
        <f>IFERROR(VLOOKUP(I64,Hoja1!$F$2:$I$28,2,0)," ")</f>
        <v xml:space="preserve"> </v>
      </c>
      <c r="K64" s="7" t="str">
        <f>IFERROR(IF(G64="NO",VLOOKUP(I64,Hoja1!$F$2:$I$28,3,0),VLOOKUP(I64,Hoja1!$F$2:$I$28,4,0))," ")</f>
        <v xml:space="preserve"> </v>
      </c>
      <c r="L64" s="24"/>
      <c r="M64" s="24" t="s">
        <v>0</v>
      </c>
      <c r="N64" s="25"/>
      <c r="O64" s="18"/>
      <c r="P64" s="14"/>
      <c r="Q64" s="14"/>
      <c r="R64" s="31" t="s">
        <v>0</v>
      </c>
      <c r="S64" s="15" t="e">
        <f t="shared" si="0"/>
        <v>#VALUE!</v>
      </c>
      <c r="T64" s="16" t="e">
        <f t="shared" si="1"/>
        <v>#VALUE!</v>
      </c>
      <c r="U64" s="10"/>
      <c r="V64" s="13" t="s">
        <v>20</v>
      </c>
    </row>
    <row r="65" spans="1:22" ht="27" customHeight="1" x14ac:dyDescent="0.35">
      <c r="A65" s="8"/>
      <c r="B65" s="8"/>
      <c r="C65" s="8"/>
      <c r="D65" s="8"/>
      <c r="E65" s="8"/>
      <c r="F65" s="8" t="s">
        <v>0</v>
      </c>
      <c r="G65" s="8" t="s">
        <v>0</v>
      </c>
      <c r="H65" s="17" t="s">
        <v>0</v>
      </c>
      <c r="I65" s="8"/>
      <c r="J65" s="6" t="str">
        <f>IFERROR(VLOOKUP(I65,Hoja1!$F$2:$I$28,2,0)," ")</f>
        <v xml:space="preserve"> </v>
      </c>
      <c r="K65" s="7" t="str">
        <f>IFERROR(IF(G65="NO",VLOOKUP(I65,Hoja1!$F$2:$I$28,3,0),VLOOKUP(I65,Hoja1!$F$2:$I$28,4,0))," ")</f>
        <v xml:space="preserve"> </v>
      </c>
      <c r="L65" s="24"/>
      <c r="M65" s="24" t="s">
        <v>0</v>
      </c>
      <c r="N65" s="25"/>
      <c r="O65" s="18"/>
      <c r="P65" s="14"/>
      <c r="Q65" s="14"/>
      <c r="R65" s="31" t="s">
        <v>0</v>
      </c>
      <c r="S65" s="15" t="e">
        <f t="shared" si="0"/>
        <v>#VALUE!</v>
      </c>
      <c r="T65" s="16" t="e">
        <f t="shared" si="1"/>
        <v>#VALUE!</v>
      </c>
      <c r="U65" s="10"/>
      <c r="V65" s="13" t="s">
        <v>20</v>
      </c>
    </row>
    <row r="66" spans="1:22" ht="27" customHeight="1" x14ac:dyDescent="0.35">
      <c r="A66" s="8"/>
      <c r="B66" s="8"/>
      <c r="C66" s="8"/>
      <c r="D66" s="8"/>
      <c r="E66" s="8"/>
      <c r="F66" s="8" t="s">
        <v>0</v>
      </c>
      <c r="G66" s="8" t="s">
        <v>0</v>
      </c>
      <c r="H66" s="17" t="s">
        <v>0</v>
      </c>
      <c r="I66" s="8"/>
      <c r="J66" s="6" t="str">
        <f>IFERROR(VLOOKUP(I66,Hoja1!$F$2:$I$28,2,0)," ")</f>
        <v xml:space="preserve"> </v>
      </c>
      <c r="K66" s="7" t="str">
        <f>IFERROR(IF(G66="NO",VLOOKUP(I66,Hoja1!$F$2:$I$28,3,0),VLOOKUP(I66,Hoja1!$F$2:$I$28,4,0))," ")</f>
        <v xml:space="preserve"> </v>
      </c>
      <c r="L66" s="24"/>
      <c r="M66" s="24" t="s">
        <v>0</v>
      </c>
      <c r="N66" s="25"/>
      <c r="O66" s="18"/>
      <c r="P66" s="14"/>
      <c r="Q66" s="14"/>
      <c r="R66" s="31" t="s">
        <v>0</v>
      </c>
      <c r="S66" s="15" t="e">
        <f t="shared" si="0"/>
        <v>#VALUE!</v>
      </c>
      <c r="T66" s="16" t="e">
        <f t="shared" si="1"/>
        <v>#VALUE!</v>
      </c>
      <c r="U66" s="10"/>
      <c r="V66" s="13" t="s">
        <v>20</v>
      </c>
    </row>
    <row r="67" spans="1:22" ht="27" customHeight="1" x14ac:dyDescent="0.35">
      <c r="A67" s="8"/>
      <c r="B67" s="8"/>
      <c r="C67" s="8"/>
      <c r="D67" s="8"/>
      <c r="E67" s="8"/>
      <c r="F67" s="8" t="s">
        <v>0</v>
      </c>
      <c r="G67" s="8" t="s">
        <v>0</v>
      </c>
      <c r="H67" s="17" t="s">
        <v>0</v>
      </c>
      <c r="I67" s="8"/>
      <c r="J67" s="6" t="str">
        <f>IFERROR(VLOOKUP(I67,Hoja1!$F$2:$I$28,2,0)," ")</f>
        <v xml:space="preserve"> </v>
      </c>
      <c r="K67" s="7" t="str">
        <f>IFERROR(IF(G67="NO",VLOOKUP(I67,Hoja1!$F$2:$I$28,3,0),VLOOKUP(I67,Hoja1!$F$2:$I$28,4,0))," ")</f>
        <v xml:space="preserve"> </v>
      </c>
      <c r="L67" s="24"/>
      <c r="M67" s="24" t="s">
        <v>0</v>
      </c>
      <c r="N67" s="25"/>
      <c r="O67" s="18"/>
      <c r="P67" s="14"/>
      <c r="Q67" s="14"/>
      <c r="R67" s="31" t="s">
        <v>0</v>
      </c>
      <c r="S67" s="15" t="e">
        <f t="shared" si="0"/>
        <v>#VALUE!</v>
      </c>
      <c r="T67" s="16" t="e">
        <f t="shared" si="1"/>
        <v>#VALUE!</v>
      </c>
      <c r="U67" s="10"/>
      <c r="V67" s="13" t="s">
        <v>20</v>
      </c>
    </row>
    <row r="68" spans="1:22" ht="27" customHeight="1" x14ac:dyDescent="0.35">
      <c r="A68" s="8"/>
      <c r="B68" s="8"/>
      <c r="C68" s="8"/>
      <c r="D68" s="8"/>
      <c r="E68" s="8"/>
      <c r="F68" s="8" t="s">
        <v>0</v>
      </c>
      <c r="G68" s="8" t="s">
        <v>0</v>
      </c>
      <c r="H68" s="17" t="s">
        <v>0</v>
      </c>
      <c r="I68" s="8"/>
      <c r="J68" s="6" t="str">
        <f>IFERROR(VLOOKUP(I68,Hoja1!$F$2:$I$28,2,0)," ")</f>
        <v xml:space="preserve"> </v>
      </c>
      <c r="K68" s="7" t="str">
        <f>IFERROR(IF(G68="NO",VLOOKUP(I68,Hoja1!$F$2:$I$28,3,0),VLOOKUP(I68,Hoja1!$F$2:$I$28,4,0))," ")</f>
        <v xml:space="preserve"> </v>
      </c>
      <c r="L68" s="24"/>
      <c r="M68" s="24" t="s">
        <v>0</v>
      </c>
      <c r="N68" s="25"/>
      <c r="O68" s="18"/>
      <c r="P68" s="14"/>
      <c r="Q68" s="14"/>
      <c r="R68" s="31" t="s">
        <v>0</v>
      </c>
      <c r="S68" s="15" t="e">
        <f t="shared" si="0"/>
        <v>#VALUE!</v>
      </c>
      <c r="T68" s="16" t="e">
        <f t="shared" si="1"/>
        <v>#VALUE!</v>
      </c>
      <c r="U68" s="10"/>
      <c r="V68" s="13" t="s">
        <v>20</v>
      </c>
    </row>
    <row r="69" spans="1:22" ht="27" customHeight="1" x14ac:dyDescent="0.35">
      <c r="A69" s="8"/>
      <c r="B69" s="8"/>
      <c r="C69" s="8"/>
      <c r="D69" s="8"/>
      <c r="E69" s="8"/>
      <c r="F69" s="8" t="s">
        <v>0</v>
      </c>
      <c r="G69" s="8" t="s">
        <v>0</v>
      </c>
      <c r="H69" s="17" t="s">
        <v>0</v>
      </c>
      <c r="I69" s="8"/>
      <c r="J69" s="6" t="str">
        <f>IFERROR(VLOOKUP(I69,Hoja1!$F$2:$I$28,2,0)," ")</f>
        <v xml:space="preserve"> </v>
      </c>
      <c r="K69" s="7" t="str">
        <f>IFERROR(IF(G69="NO",VLOOKUP(I69,Hoja1!$F$2:$I$28,3,0),VLOOKUP(I69,Hoja1!$F$2:$I$28,4,0))," ")</f>
        <v xml:space="preserve"> </v>
      </c>
      <c r="L69" s="24"/>
      <c r="M69" s="24" t="s">
        <v>0</v>
      </c>
      <c r="N69" s="25"/>
      <c r="O69" s="18"/>
      <c r="P69" s="14"/>
      <c r="Q69" s="14"/>
      <c r="R69" s="31" t="s">
        <v>0</v>
      </c>
      <c r="S69" s="15" t="e">
        <f t="shared" si="0"/>
        <v>#VALUE!</v>
      </c>
      <c r="T69" s="16" t="e">
        <f t="shared" si="1"/>
        <v>#VALUE!</v>
      </c>
      <c r="U69" s="10"/>
      <c r="V69" s="13" t="s">
        <v>20</v>
      </c>
    </row>
    <row r="70" spans="1:22" ht="27" customHeight="1" x14ac:dyDescent="0.35">
      <c r="A70" s="8"/>
      <c r="B70" s="8"/>
      <c r="C70" s="8"/>
      <c r="D70" s="8"/>
      <c r="E70" s="8"/>
      <c r="F70" s="8" t="s">
        <v>0</v>
      </c>
      <c r="G70" s="8" t="s">
        <v>0</v>
      </c>
      <c r="H70" s="17" t="s">
        <v>0</v>
      </c>
      <c r="I70" s="8"/>
      <c r="J70" s="6" t="str">
        <f>IFERROR(VLOOKUP(I70,Hoja1!$F$2:$I$28,2,0)," ")</f>
        <v xml:space="preserve"> </v>
      </c>
      <c r="K70" s="7" t="str">
        <f>IFERROR(IF(G70="NO",VLOOKUP(I70,Hoja1!$F$2:$I$28,3,0),VLOOKUP(I70,Hoja1!$F$2:$I$28,4,0))," ")</f>
        <v xml:space="preserve"> </v>
      </c>
      <c r="L70" s="24"/>
      <c r="M70" s="24" t="s">
        <v>0</v>
      </c>
      <c r="N70" s="25"/>
      <c r="O70" s="18"/>
      <c r="P70" s="14"/>
      <c r="Q70" s="14"/>
      <c r="R70" s="31" t="s">
        <v>0</v>
      </c>
      <c r="S70" s="15" t="e">
        <f t="shared" si="0"/>
        <v>#VALUE!</v>
      </c>
      <c r="T70" s="16" t="e">
        <f t="shared" si="1"/>
        <v>#VALUE!</v>
      </c>
      <c r="U70" s="10"/>
      <c r="V70" s="13" t="s">
        <v>20</v>
      </c>
    </row>
    <row r="71" spans="1:22" ht="27" customHeight="1" x14ac:dyDescent="0.35">
      <c r="A71" s="8"/>
      <c r="B71" s="8"/>
      <c r="C71" s="8"/>
      <c r="D71" s="8"/>
      <c r="E71" s="8"/>
      <c r="F71" s="8" t="s">
        <v>0</v>
      </c>
      <c r="G71" s="8" t="s">
        <v>0</v>
      </c>
      <c r="H71" s="17" t="s">
        <v>0</v>
      </c>
      <c r="I71" s="8"/>
      <c r="J71" s="6" t="str">
        <f>IFERROR(VLOOKUP(I71,Hoja1!$F$2:$I$28,2,0)," ")</f>
        <v xml:space="preserve"> </v>
      </c>
      <c r="K71" s="7" t="str">
        <f>IFERROR(IF(G71="NO",VLOOKUP(I71,Hoja1!$F$2:$I$28,3,0),VLOOKUP(I71,Hoja1!$F$2:$I$28,4,0))," ")</f>
        <v xml:space="preserve"> </v>
      </c>
      <c r="L71" s="24"/>
      <c r="M71" s="24" t="s">
        <v>0</v>
      </c>
      <c r="N71" s="25"/>
      <c r="O71" s="18"/>
      <c r="P71" s="14"/>
      <c r="Q71" s="14"/>
      <c r="R71" s="31" t="s">
        <v>0</v>
      </c>
      <c r="S71" s="15" t="e">
        <f t="shared" si="0"/>
        <v>#VALUE!</v>
      </c>
      <c r="T71" s="16" t="e">
        <f t="shared" si="1"/>
        <v>#VALUE!</v>
      </c>
      <c r="U71" s="10"/>
      <c r="V71" s="13" t="s">
        <v>20</v>
      </c>
    </row>
    <row r="72" spans="1:22" ht="27" customHeight="1" x14ac:dyDescent="0.35">
      <c r="A72" s="8"/>
      <c r="B72" s="8"/>
      <c r="C72" s="8"/>
      <c r="D72" s="8"/>
      <c r="E72" s="8"/>
      <c r="F72" s="8" t="s">
        <v>0</v>
      </c>
      <c r="G72" s="8" t="s">
        <v>0</v>
      </c>
      <c r="H72" s="17" t="s">
        <v>0</v>
      </c>
      <c r="I72" s="8"/>
      <c r="J72" s="6" t="str">
        <f>IFERROR(VLOOKUP(I72,Hoja1!$F$2:$I$28,2,0)," ")</f>
        <v xml:space="preserve"> </v>
      </c>
      <c r="K72" s="7" t="str">
        <f>IFERROR(IF(G72="NO",VLOOKUP(I72,Hoja1!$F$2:$I$28,3,0),VLOOKUP(I72,Hoja1!$F$2:$I$28,4,0))," ")</f>
        <v xml:space="preserve"> </v>
      </c>
      <c r="L72" s="24"/>
      <c r="M72" s="24" t="s">
        <v>0</v>
      </c>
      <c r="N72" s="25"/>
      <c r="O72" s="18"/>
      <c r="P72" s="14"/>
      <c r="Q72" s="14"/>
      <c r="R72" s="31" t="s">
        <v>0</v>
      </c>
      <c r="S72" s="15" t="e">
        <f t="shared" si="0"/>
        <v>#VALUE!</v>
      </c>
      <c r="T72" s="16" t="e">
        <f t="shared" si="1"/>
        <v>#VALUE!</v>
      </c>
      <c r="U72" s="10"/>
      <c r="V72" s="13" t="s">
        <v>20</v>
      </c>
    </row>
    <row r="73" spans="1:22" ht="27" customHeight="1" x14ac:dyDescent="0.35">
      <c r="A73" s="8"/>
      <c r="B73" s="8"/>
      <c r="C73" s="8"/>
      <c r="D73" s="8"/>
      <c r="E73" s="8"/>
      <c r="F73" s="8" t="s">
        <v>0</v>
      </c>
      <c r="G73" s="8" t="s">
        <v>0</v>
      </c>
      <c r="H73" s="17" t="s">
        <v>0</v>
      </c>
      <c r="I73" s="8"/>
      <c r="J73" s="6" t="str">
        <f>IFERROR(VLOOKUP(I73,Hoja1!$F$2:$I$28,2,0)," ")</f>
        <v xml:space="preserve"> </v>
      </c>
      <c r="K73" s="7" t="str">
        <f>IFERROR(IF(G73="NO",VLOOKUP(I73,Hoja1!$F$2:$I$28,3,0),VLOOKUP(I73,Hoja1!$F$2:$I$28,4,0))," ")</f>
        <v xml:space="preserve"> </v>
      </c>
      <c r="L73" s="24"/>
      <c r="M73" s="24" t="s">
        <v>0</v>
      </c>
      <c r="N73" s="25"/>
      <c r="O73" s="18"/>
      <c r="P73" s="14"/>
      <c r="Q73" s="14"/>
      <c r="R73" s="31" t="s">
        <v>0</v>
      </c>
      <c r="S73" s="15" t="e">
        <f t="shared" ref="S73:S108" si="2">R73*K73</f>
        <v>#VALUE!</v>
      </c>
      <c r="T73" s="16" t="e">
        <f t="shared" ref="T73:T108" si="3">K73-S73</f>
        <v>#VALUE!</v>
      </c>
      <c r="U73" s="10"/>
      <c r="V73" s="13" t="s">
        <v>20</v>
      </c>
    </row>
    <row r="74" spans="1:22" ht="27" customHeight="1" x14ac:dyDescent="0.35">
      <c r="A74" s="8"/>
      <c r="B74" s="8"/>
      <c r="C74" s="8"/>
      <c r="D74" s="8"/>
      <c r="E74" s="8"/>
      <c r="F74" s="8" t="s">
        <v>0</v>
      </c>
      <c r="G74" s="8" t="s">
        <v>0</v>
      </c>
      <c r="H74" s="17" t="s">
        <v>0</v>
      </c>
      <c r="I74" s="8"/>
      <c r="J74" s="6" t="str">
        <f>IFERROR(VLOOKUP(I74,Hoja1!$F$2:$I$28,2,0)," ")</f>
        <v xml:space="preserve"> </v>
      </c>
      <c r="K74" s="7" t="str">
        <f>IFERROR(IF(G74="NO",VLOOKUP(I74,Hoja1!$F$2:$I$28,3,0),VLOOKUP(I74,Hoja1!$F$2:$I$28,4,0))," ")</f>
        <v xml:space="preserve"> </v>
      </c>
      <c r="L74" s="24"/>
      <c r="M74" s="24" t="s">
        <v>0</v>
      </c>
      <c r="N74" s="25"/>
      <c r="O74" s="18"/>
      <c r="P74" s="14"/>
      <c r="Q74" s="14"/>
      <c r="R74" s="31" t="s">
        <v>0</v>
      </c>
      <c r="S74" s="15" t="e">
        <f t="shared" si="2"/>
        <v>#VALUE!</v>
      </c>
      <c r="T74" s="16" t="e">
        <f t="shared" si="3"/>
        <v>#VALUE!</v>
      </c>
      <c r="U74" s="10"/>
      <c r="V74" s="13" t="s">
        <v>20</v>
      </c>
    </row>
    <row r="75" spans="1:22" ht="27" customHeight="1" x14ac:dyDescent="0.35">
      <c r="A75" s="8"/>
      <c r="B75" s="8"/>
      <c r="C75" s="8"/>
      <c r="D75" s="8"/>
      <c r="E75" s="8"/>
      <c r="F75" s="8" t="s">
        <v>0</v>
      </c>
      <c r="G75" s="8" t="s">
        <v>0</v>
      </c>
      <c r="H75" s="17" t="s">
        <v>0</v>
      </c>
      <c r="I75" s="8"/>
      <c r="J75" s="6" t="str">
        <f>IFERROR(VLOOKUP(I75,Hoja1!$F$2:$I$28,2,0)," ")</f>
        <v xml:space="preserve"> </v>
      </c>
      <c r="K75" s="7" t="str">
        <f>IFERROR(IF(G75="NO",VLOOKUP(I75,Hoja1!$F$2:$I$28,3,0),VLOOKUP(I75,Hoja1!$F$2:$I$28,4,0))," ")</f>
        <v xml:space="preserve"> </v>
      </c>
      <c r="L75" s="24"/>
      <c r="M75" s="24" t="s">
        <v>0</v>
      </c>
      <c r="N75" s="25"/>
      <c r="O75" s="18"/>
      <c r="P75" s="14"/>
      <c r="Q75" s="14"/>
      <c r="R75" s="31" t="s">
        <v>0</v>
      </c>
      <c r="S75" s="15" t="e">
        <f t="shared" si="2"/>
        <v>#VALUE!</v>
      </c>
      <c r="T75" s="16" t="e">
        <f t="shared" si="3"/>
        <v>#VALUE!</v>
      </c>
      <c r="U75" s="10"/>
      <c r="V75" s="13" t="s">
        <v>20</v>
      </c>
    </row>
    <row r="76" spans="1:22" ht="27" customHeight="1" x14ac:dyDescent="0.35">
      <c r="A76" s="8"/>
      <c r="B76" s="8"/>
      <c r="C76" s="8"/>
      <c r="D76" s="8"/>
      <c r="E76" s="8"/>
      <c r="F76" s="8" t="s">
        <v>0</v>
      </c>
      <c r="G76" s="8" t="s">
        <v>0</v>
      </c>
      <c r="H76" s="17" t="s">
        <v>0</v>
      </c>
      <c r="I76" s="8"/>
      <c r="J76" s="6" t="str">
        <f>IFERROR(VLOOKUP(I76,Hoja1!$F$2:$I$28,2,0)," ")</f>
        <v xml:space="preserve"> </v>
      </c>
      <c r="K76" s="7" t="str">
        <f>IFERROR(IF(G76="NO",VLOOKUP(I76,Hoja1!$F$2:$I$28,3,0),VLOOKUP(I76,Hoja1!$F$2:$I$28,4,0))," ")</f>
        <v xml:space="preserve"> </v>
      </c>
      <c r="L76" s="24"/>
      <c r="M76" s="24" t="s">
        <v>0</v>
      </c>
      <c r="N76" s="25"/>
      <c r="O76" s="18"/>
      <c r="P76" s="14"/>
      <c r="Q76" s="14"/>
      <c r="R76" s="31" t="s">
        <v>0</v>
      </c>
      <c r="S76" s="15" t="e">
        <f t="shared" si="2"/>
        <v>#VALUE!</v>
      </c>
      <c r="T76" s="16" t="e">
        <f t="shared" si="3"/>
        <v>#VALUE!</v>
      </c>
      <c r="U76" s="10"/>
      <c r="V76" s="13" t="s">
        <v>20</v>
      </c>
    </row>
    <row r="77" spans="1:22" ht="27" customHeight="1" x14ac:dyDescent="0.35">
      <c r="A77" s="8"/>
      <c r="B77" s="8"/>
      <c r="C77" s="8"/>
      <c r="D77" s="8"/>
      <c r="E77" s="8"/>
      <c r="F77" s="8" t="s">
        <v>0</v>
      </c>
      <c r="G77" s="8" t="s">
        <v>0</v>
      </c>
      <c r="H77" s="17" t="s">
        <v>0</v>
      </c>
      <c r="I77" s="8"/>
      <c r="J77" s="6" t="str">
        <f>IFERROR(VLOOKUP(I77,Hoja1!$F$2:$I$28,2,0)," ")</f>
        <v xml:space="preserve"> </v>
      </c>
      <c r="K77" s="7" t="str">
        <f>IFERROR(IF(G77="NO",VLOOKUP(I77,Hoja1!$F$2:$I$28,3,0),VLOOKUP(I77,Hoja1!$F$2:$I$28,4,0))," ")</f>
        <v xml:space="preserve"> </v>
      </c>
      <c r="L77" s="24"/>
      <c r="M77" s="24" t="s">
        <v>0</v>
      </c>
      <c r="N77" s="25"/>
      <c r="O77" s="18"/>
      <c r="P77" s="14"/>
      <c r="Q77" s="14"/>
      <c r="R77" s="31" t="s">
        <v>0</v>
      </c>
      <c r="S77" s="15" t="e">
        <f t="shared" si="2"/>
        <v>#VALUE!</v>
      </c>
      <c r="T77" s="16" t="e">
        <f t="shared" si="3"/>
        <v>#VALUE!</v>
      </c>
      <c r="U77" s="10"/>
      <c r="V77" s="13" t="s">
        <v>20</v>
      </c>
    </row>
    <row r="78" spans="1:22" ht="27" customHeight="1" x14ac:dyDescent="0.35">
      <c r="A78" s="8"/>
      <c r="B78" s="8"/>
      <c r="C78" s="8"/>
      <c r="D78" s="8"/>
      <c r="E78" s="8"/>
      <c r="F78" s="8" t="s">
        <v>0</v>
      </c>
      <c r="G78" s="8" t="s">
        <v>0</v>
      </c>
      <c r="H78" s="17" t="s">
        <v>0</v>
      </c>
      <c r="I78" s="8"/>
      <c r="J78" s="6" t="str">
        <f>IFERROR(VLOOKUP(I78,Hoja1!$F$2:$I$28,2,0)," ")</f>
        <v xml:space="preserve"> </v>
      </c>
      <c r="K78" s="7" t="str">
        <f>IFERROR(IF(G78="NO",VLOOKUP(I78,Hoja1!$F$2:$I$28,3,0),VLOOKUP(I78,Hoja1!$F$2:$I$28,4,0))," ")</f>
        <v xml:space="preserve"> </v>
      </c>
      <c r="L78" s="24"/>
      <c r="M78" s="24" t="s">
        <v>0</v>
      </c>
      <c r="N78" s="25"/>
      <c r="O78" s="18"/>
      <c r="P78" s="14"/>
      <c r="Q78" s="14"/>
      <c r="R78" s="31" t="s">
        <v>0</v>
      </c>
      <c r="S78" s="15" t="e">
        <f t="shared" si="2"/>
        <v>#VALUE!</v>
      </c>
      <c r="T78" s="16" t="e">
        <f t="shared" si="3"/>
        <v>#VALUE!</v>
      </c>
      <c r="U78" s="10"/>
      <c r="V78" s="13" t="s">
        <v>20</v>
      </c>
    </row>
    <row r="79" spans="1:22" ht="27" customHeight="1" x14ac:dyDescent="0.35">
      <c r="A79" s="8"/>
      <c r="B79" s="8"/>
      <c r="C79" s="8"/>
      <c r="D79" s="8"/>
      <c r="E79" s="8"/>
      <c r="F79" s="8" t="s">
        <v>0</v>
      </c>
      <c r="G79" s="8" t="s">
        <v>0</v>
      </c>
      <c r="H79" s="17" t="s">
        <v>0</v>
      </c>
      <c r="I79" s="8"/>
      <c r="J79" s="6" t="str">
        <f>IFERROR(VLOOKUP(I79,Hoja1!$F$2:$I$28,2,0)," ")</f>
        <v xml:space="preserve"> </v>
      </c>
      <c r="K79" s="7" t="str">
        <f>IFERROR(IF(G79="NO",VLOOKUP(I79,Hoja1!$F$2:$I$28,3,0),VLOOKUP(I79,Hoja1!$F$2:$I$28,4,0))," ")</f>
        <v xml:space="preserve"> </v>
      </c>
      <c r="L79" s="24"/>
      <c r="M79" s="24" t="s">
        <v>0</v>
      </c>
      <c r="N79" s="25"/>
      <c r="O79" s="18"/>
      <c r="P79" s="14"/>
      <c r="Q79" s="14"/>
      <c r="R79" s="31" t="s">
        <v>0</v>
      </c>
      <c r="S79" s="15" t="e">
        <f t="shared" si="2"/>
        <v>#VALUE!</v>
      </c>
      <c r="T79" s="16" t="e">
        <f t="shared" si="3"/>
        <v>#VALUE!</v>
      </c>
      <c r="U79" s="10"/>
      <c r="V79" s="13" t="s">
        <v>20</v>
      </c>
    </row>
    <row r="80" spans="1:22" ht="27" customHeight="1" x14ac:dyDescent="0.35">
      <c r="A80" s="8"/>
      <c r="B80" s="8"/>
      <c r="C80" s="8"/>
      <c r="D80" s="8"/>
      <c r="E80" s="8"/>
      <c r="F80" s="8" t="s">
        <v>0</v>
      </c>
      <c r="G80" s="8" t="s">
        <v>0</v>
      </c>
      <c r="H80" s="17" t="s">
        <v>0</v>
      </c>
      <c r="I80" s="8"/>
      <c r="J80" s="6" t="str">
        <f>IFERROR(VLOOKUP(I80,Hoja1!$F$2:$I$28,2,0)," ")</f>
        <v xml:space="preserve"> </v>
      </c>
      <c r="K80" s="7" t="str">
        <f>IFERROR(IF(G80="NO",VLOOKUP(I80,Hoja1!$F$2:$I$28,3,0),VLOOKUP(I80,Hoja1!$F$2:$I$28,4,0))," ")</f>
        <v xml:space="preserve"> </v>
      </c>
      <c r="L80" s="24"/>
      <c r="M80" s="24" t="s">
        <v>0</v>
      </c>
      <c r="N80" s="25"/>
      <c r="O80" s="18"/>
      <c r="P80" s="14"/>
      <c r="Q80" s="14"/>
      <c r="R80" s="31" t="s">
        <v>0</v>
      </c>
      <c r="S80" s="15" t="e">
        <f t="shared" si="2"/>
        <v>#VALUE!</v>
      </c>
      <c r="T80" s="16" t="e">
        <f t="shared" si="3"/>
        <v>#VALUE!</v>
      </c>
      <c r="U80" s="10"/>
      <c r="V80" s="13" t="s">
        <v>20</v>
      </c>
    </row>
    <row r="81" spans="1:22" ht="27" customHeight="1" x14ac:dyDescent="0.35">
      <c r="A81" s="8"/>
      <c r="B81" s="8"/>
      <c r="C81" s="8"/>
      <c r="D81" s="8"/>
      <c r="E81" s="8"/>
      <c r="F81" s="8" t="s">
        <v>0</v>
      </c>
      <c r="G81" s="8" t="s">
        <v>0</v>
      </c>
      <c r="H81" s="17" t="s">
        <v>0</v>
      </c>
      <c r="I81" s="8"/>
      <c r="J81" s="6" t="str">
        <f>IFERROR(VLOOKUP(I81,Hoja1!$F$2:$I$28,2,0)," ")</f>
        <v xml:space="preserve"> </v>
      </c>
      <c r="K81" s="7" t="str">
        <f>IFERROR(IF(G81="NO",VLOOKUP(I81,Hoja1!$F$2:$I$28,3,0),VLOOKUP(I81,Hoja1!$F$2:$I$28,4,0))," ")</f>
        <v xml:space="preserve"> </v>
      </c>
      <c r="L81" s="24"/>
      <c r="M81" s="24" t="s">
        <v>0</v>
      </c>
      <c r="N81" s="25"/>
      <c r="O81" s="18"/>
      <c r="P81" s="14"/>
      <c r="Q81" s="14"/>
      <c r="R81" s="31" t="s">
        <v>0</v>
      </c>
      <c r="S81" s="15" t="e">
        <f t="shared" si="2"/>
        <v>#VALUE!</v>
      </c>
      <c r="T81" s="16" t="e">
        <f t="shared" si="3"/>
        <v>#VALUE!</v>
      </c>
      <c r="U81" s="10"/>
      <c r="V81" s="13" t="s">
        <v>20</v>
      </c>
    </row>
    <row r="82" spans="1:22" ht="27" customHeight="1" x14ac:dyDescent="0.35">
      <c r="A82" s="8"/>
      <c r="B82" s="8"/>
      <c r="C82" s="8"/>
      <c r="D82" s="8"/>
      <c r="E82" s="8"/>
      <c r="F82" s="8" t="s">
        <v>0</v>
      </c>
      <c r="G82" s="8" t="s">
        <v>0</v>
      </c>
      <c r="H82" s="17" t="s">
        <v>0</v>
      </c>
      <c r="I82" s="8"/>
      <c r="J82" s="6" t="str">
        <f>IFERROR(VLOOKUP(I82,Hoja1!$F$2:$I$28,2,0)," ")</f>
        <v xml:space="preserve"> </v>
      </c>
      <c r="K82" s="7" t="str">
        <f>IFERROR(IF(G82="NO",VLOOKUP(I82,Hoja1!$F$2:$I$28,3,0),VLOOKUP(I82,Hoja1!$F$2:$I$28,4,0))," ")</f>
        <v xml:space="preserve"> </v>
      </c>
      <c r="L82" s="24"/>
      <c r="M82" s="24" t="s">
        <v>0</v>
      </c>
      <c r="N82" s="25"/>
      <c r="O82" s="18"/>
      <c r="P82" s="14"/>
      <c r="Q82" s="14"/>
      <c r="R82" s="31" t="s">
        <v>0</v>
      </c>
      <c r="S82" s="15" t="e">
        <f t="shared" si="2"/>
        <v>#VALUE!</v>
      </c>
      <c r="T82" s="16" t="e">
        <f t="shared" si="3"/>
        <v>#VALUE!</v>
      </c>
      <c r="U82" s="10"/>
      <c r="V82" s="13" t="s">
        <v>20</v>
      </c>
    </row>
    <row r="83" spans="1:22" ht="27" customHeight="1" x14ac:dyDescent="0.35">
      <c r="A83" s="8"/>
      <c r="B83" s="8"/>
      <c r="C83" s="8"/>
      <c r="D83" s="8"/>
      <c r="E83" s="8"/>
      <c r="F83" s="8" t="s">
        <v>0</v>
      </c>
      <c r="G83" s="8" t="s">
        <v>0</v>
      </c>
      <c r="H83" s="17" t="s">
        <v>0</v>
      </c>
      <c r="I83" s="8"/>
      <c r="J83" s="6" t="str">
        <f>IFERROR(VLOOKUP(I83,Hoja1!$F$2:$I$28,2,0)," ")</f>
        <v xml:space="preserve"> </v>
      </c>
      <c r="K83" s="7" t="str">
        <f>IFERROR(IF(G83="NO",VLOOKUP(I83,Hoja1!$F$2:$I$28,3,0),VLOOKUP(I83,Hoja1!$F$2:$I$28,4,0))," ")</f>
        <v xml:space="preserve"> </v>
      </c>
      <c r="L83" s="24"/>
      <c r="M83" s="24" t="s">
        <v>0</v>
      </c>
      <c r="N83" s="25"/>
      <c r="O83" s="18"/>
      <c r="P83" s="14"/>
      <c r="Q83" s="14"/>
      <c r="R83" s="31" t="s">
        <v>0</v>
      </c>
      <c r="S83" s="15" t="e">
        <f t="shared" si="2"/>
        <v>#VALUE!</v>
      </c>
      <c r="T83" s="16" t="e">
        <f t="shared" si="3"/>
        <v>#VALUE!</v>
      </c>
      <c r="U83" s="10"/>
      <c r="V83" s="13" t="s">
        <v>20</v>
      </c>
    </row>
    <row r="84" spans="1:22" ht="27" customHeight="1" x14ac:dyDescent="0.35">
      <c r="A84" s="8"/>
      <c r="B84" s="8"/>
      <c r="C84" s="8"/>
      <c r="D84" s="8"/>
      <c r="E84" s="8"/>
      <c r="F84" s="8" t="s">
        <v>0</v>
      </c>
      <c r="G84" s="8" t="s">
        <v>0</v>
      </c>
      <c r="H84" s="17" t="s">
        <v>0</v>
      </c>
      <c r="I84" s="8"/>
      <c r="J84" s="6" t="str">
        <f>IFERROR(VLOOKUP(I84,Hoja1!$F$2:$I$28,2,0)," ")</f>
        <v xml:space="preserve"> </v>
      </c>
      <c r="K84" s="7" t="str">
        <f>IFERROR(IF(G84="NO",VLOOKUP(I84,Hoja1!$F$2:$I$28,3,0),VLOOKUP(I84,Hoja1!$F$2:$I$28,4,0))," ")</f>
        <v xml:space="preserve"> </v>
      </c>
      <c r="L84" s="24"/>
      <c r="M84" s="24" t="s">
        <v>0</v>
      </c>
      <c r="N84" s="25"/>
      <c r="O84" s="18"/>
      <c r="P84" s="14"/>
      <c r="Q84" s="14"/>
      <c r="R84" s="31" t="s">
        <v>0</v>
      </c>
      <c r="S84" s="15" t="e">
        <f t="shared" si="2"/>
        <v>#VALUE!</v>
      </c>
      <c r="T84" s="16" t="e">
        <f t="shared" si="3"/>
        <v>#VALUE!</v>
      </c>
      <c r="U84" s="10"/>
      <c r="V84" s="13" t="s">
        <v>20</v>
      </c>
    </row>
    <row r="85" spans="1:22" ht="27" customHeight="1" x14ac:dyDescent="0.35">
      <c r="A85" s="8"/>
      <c r="B85" s="8"/>
      <c r="C85" s="8"/>
      <c r="D85" s="8"/>
      <c r="E85" s="8"/>
      <c r="F85" s="8" t="s">
        <v>0</v>
      </c>
      <c r="G85" s="8" t="s">
        <v>0</v>
      </c>
      <c r="H85" s="17" t="s">
        <v>0</v>
      </c>
      <c r="I85" s="8"/>
      <c r="J85" s="6" t="str">
        <f>IFERROR(VLOOKUP(I85,Hoja1!$F$2:$I$28,2,0)," ")</f>
        <v xml:space="preserve"> </v>
      </c>
      <c r="K85" s="7" t="str">
        <f>IFERROR(IF(G85="NO",VLOOKUP(I85,Hoja1!$F$2:$I$28,3,0),VLOOKUP(I85,Hoja1!$F$2:$I$28,4,0))," ")</f>
        <v xml:space="preserve"> </v>
      </c>
      <c r="L85" s="24"/>
      <c r="M85" s="24" t="s">
        <v>0</v>
      </c>
      <c r="N85" s="25"/>
      <c r="O85" s="18"/>
      <c r="P85" s="14"/>
      <c r="Q85" s="14"/>
      <c r="R85" s="31" t="s">
        <v>0</v>
      </c>
      <c r="S85" s="15" t="e">
        <f t="shared" si="2"/>
        <v>#VALUE!</v>
      </c>
      <c r="T85" s="16" t="e">
        <f t="shared" si="3"/>
        <v>#VALUE!</v>
      </c>
      <c r="U85" s="10"/>
      <c r="V85" s="13" t="s">
        <v>20</v>
      </c>
    </row>
    <row r="86" spans="1:22" ht="27" customHeight="1" x14ac:dyDescent="0.35">
      <c r="A86" s="8"/>
      <c r="B86" s="8"/>
      <c r="C86" s="8"/>
      <c r="D86" s="8"/>
      <c r="E86" s="8"/>
      <c r="F86" s="8" t="s">
        <v>0</v>
      </c>
      <c r="G86" s="8" t="s">
        <v>0</v>
      </c>
      <c r="H86" s="17" t="s">
        <v>0</v>
      </c>
      <c r="I86" s="8"/>
      <c r="J86" s="6" t="str">
        <f>IFERROR(VLOOKUP(I86,Hoja1!$F$2:$I$28,2,0)," ")</f>
        <v xml:space="preserve"> </v>
      </c>
      <c r="K86" s="7" t="str">
        <f>IFERROR(IF(G86="NO",VLOOKUP(I86,Hoja1!$F$2:$I$28,3,0),VLOOKUP(I86,Hoja1!$F$2:$I$28,4,0))," ")</f>
        <v xml:space="preserve"> </v>
      </c>
      <c r="L86" s="24"/>
      <c r="M86" s="24" t="s">
        <v>0</v>
      </c>
      <c r="N86" s="25"/>
      <c r="O86" s="18"/>
      <c r="P86" s="14"/>
      <c r="Q86" s="14"/>
      <c r="R86" s="31" t="s">
        <v>0</v>
      </c>
      <c r="S86" s="15" t="e">
        <f t="shared" si="2"/>
        <v>#VALUE!</v>
      </c>
      <c r="T86" s="16" t="e">
        <f t="shared" si="3"/>
        <v>#VALUE!</v>
      </c>
      <c r="U86" s="10"/>
      <c r="V86" s="13" t="s">
        <v>20</v>
      </c>
    </row>
    <row r="87" spans="1:22" ht="27" customHeight="1" x14ac:dyDescent="0.35">
      <c r="A87" s="8"/>
      <c r="B87" s="8"/>
      <c r="C87" s="8"/>
      <c r="D87" s="8"/>
      <c r="E87" s="8"/>
      <c r="F87" s="8" t="s">
        <v>0</v>
      </c>
      <c r="G87" s="8" t="s">
        <v>0</v>
      </c>
      <c r="H87" s="17" t="s">
        <v>0</v>
      </c>
      <c r="I87" s="8"/>
      <c r="J87" s="6" t="str">
        <f>IFERROR(VLOOKUP(I87,Hoja1!$F$2:$I$28,2,0)," ")</f>
        <v xml:space="preserve"> </v>
      </c>
      <c r="K87" s="7" t="str">
        <f>IFERROR(IF(G87="NO",VLOOKUP(I87,Hoja1!$F$2:$I$28,3,0),VLOOKUP(I87,Hoja1!$F$2:$I$28,4,0))," ")</f>
        <v xml:space="preserve"> </v>
      </c>
      <c r="L87" s="24"/>
      <c r="M87" s="24" t="s">
        <v>0</v>
      </c>
      <c r="N87" s="25"/>
      <c r="O87" s="18"/>
      <c r="P87" s="14"/>
      <c r="Q87" s="14"/>
      <c r="R87" s="31" t="s">
        <v>0</v>
      </c>
      <c r="S87" s="15" t="e">
        <f t="shared" si="2"/>
        <v>#VALUE!</v>
      </c>
      <c r="T87" s="16" t="e">
        <f t="shared" si="3"/>
        <v>#VALUE!</v>
      </c>
      <c r="U87" s="10"/>
      <c r="V87" s="13" t="s">
        <v>20</v>
      </c>
    </row>
    <row r="88" spans="1:22" ht="27" customHeight="1" x14ac:dyDescent="0.35">
      <c r="A88" s="8"/>
      <c r="B88" s="8"/>
      <c r="C88" s="8"/>
      <c r="D88" s="8"/>
      <c r="E88" s="8"/>
      <c r="F88" s="8" t="s">
        <v>0</v>
      </c>
      <c r="G88" s="8" t="s">
        <v>0</v>
      </c>
      <c r="H88" s="17" t="s">
        <v>0</v>
      </c>
      <c r="I88" s="8"/>
      <c r="J88" s="6" t="str">
        <f>IFERROR(VLOOKUP(I88,Hoja1!$F$2:$I$28,2,0)," ")</f>
        <v xml:space="preserve"> </v>
      </c>
      <c r="K88" s="7" t="str">
        <f>IFERROR(IF(G88="NO",VLOOKUP(I88,Hoja1!$F$2:$I$28,3,0),VLOOKUP(I88,Hoja1!$F$2:$I$28,4,0))," ")</f>
        <v xml:space="preserve"> </v>
      </c>
      <c r="L88" s="24"/>
      <c r="M88" s="24" t="s">
        <v>0</v>
      </c>
      <c r="N88" s="25"/>
      <c r="O88" s="18"/>
      <c r="P88" s="14"/>
      <c r="Q88" s="14"/>
      <c r="R88" s="31" t="s">
        <v>0</v>
      </c>
      <c r="S88" s="15" t="e">
        <f t="shared" si="2"/>
        <v>#VALUE!</v>
      </c>
      <c r="T88" s="16" t="e">
        <f t="shared" si="3"/>
        <v>#VALUE!</v>
      </c>
      <c r="U88" s="10"/>
      <c r="V88" s="13" t="s">
        <v>20</v>
      </c>
    </row>
    <row r="89" spans="1:22" ht="27" customHeight="1" x14ac:dyDescent="0.35">
      <c r="A89" s="8"/>
      <c r="B89" s="8"/>
      <c r="C89" s="8"/>
      <c r="D89" s="8"/>
      <c r="E89" s="8"/>
      <c r="F89" s="8" t="s">
        <v>0</v>
      </c>
      <c r="G89" s="8" t="s">
        <v>0</v>
      </c>
      <c r="H89" s="17" t="s">
        <v>0</v>
      </c>
      <c r="I89" s="8"/>
      <c r="J89" s="6" t="str">
        <f>IFERROR(VLOOKUP(I89,Hoja1!$F$2:$I$28,2,0)," ")</f>
        <v xml:space="preserve"> </v>
      </c>
      <c r="K89" s="7" t="str">
        <f>IFERROR(IF(G89="NO",VLOOKUP(I89,Hoja1!$F$2:$I$28,3,0),VLOOKUP(I89,Hoja1!$F$2:$I$28,4,0))," ")</f>
        <v xml:space="preserve"> </v>
      </c>
      <c r="L89" s="24"/>
      <c r="M89" s="24" t="s">
        <v>0</v>
      </c>
      <c r="N89" s="25"/>
      <c r="O89" s="18"/>
      <c r="P89" s="14"/>
      <c r="Q89" s="14"/>
      <c r="R89" s="31" t="s">
        <v>0</v>
      </c>
      <c r="S89" s="15" t="e">
        <f t="shared" si="2"/>
        <v>#VALUE!</v>
      </c>
      <c r="T89" s="16" t="e">
        <f t="shared" si="3"/>
        <v>#VALUE!</v>
      </c>
      <c r="U89" s="10"/>
      <c r="V89" s="13" t="s">
        <v>20</v>
      </c>
    </row>
    <row r="90" spans="1:22" ht="27" customHeight="1" x14ac:dyDescent="0.35">
      <c r="A90" s="8"/>
      <c r="B90" s="8"/>
      <c r="C90" s="8"/>
      <c r="D90" s="8"/>
      <c r="E90" s="8"/>
      <c r="F90" s="8" t="s">
        <v>0</v>
      </c>
      <c r="G90" s="8" t="s">
        <v>0</v>
      </c>
      <c r="H90" s="17" t="s">
        <v>0</v>
      </c>
      <c r="I90" s="8"/>
      <c r="J90" s="6" t="str">
        <f>IFERROR(VLOOKUP(I90,Hoja1!$F$2:$I$28,2,0)," ")</f>
        <v xml:space="preserve"> </v>
      </c>
      <c r="K90" s="7" t="str">
        <f>IFERROR(IF(G90="NO",VLOOKUP(I90,Hoja1!$F$2:$I$28,3,0),VLOOKUP(I90,Hoja1!$F$2:$I$28,4,0))," ")</f>
        <v xml:space="preserve"> </v>
      </c>
      <c r="L90" s="24"/>
      <c r="M90" s="24" t="s">
        <v>0</v>
      </c>
      <c r="N90" s="25"/>
      <c r="O90" s="18"/>
      <c r="P90" s="14"/>
      <c r="Q90" s="14"/>
      <c r="R90" s="31" t="s">
        <v>0</v>
      </c>
      <c r="S90" s="15" t="e">
        <f t="shared" si="2"/>
        <v>#VALUE!</v>
      </c>
      <c r="T90" s="16" t="e">
        <f t="shared" si="3"/>
        <v>#VALUE!</v>
      </c>
      <c r="U90" s="10"/>
      <c r="V90" s="13" t="s">
        <v>20</v>
      </c>
    </row>
    <row r="91" spans="1:22" ht="27" customHeight="1" x14ac:dyDescent="0.35">
      <c r="A91" s="8"/>
      <c r="B91" s="8"/>
      <c r="C91" s="8"/>
      <c r="D91" s="8"/>
      <c r="E91" s="8"/>
      <c r="F91" s="8" t="s">
        <v>0</v>
      </c>
      <c r="G91" s="8" t="s">
        <v>0</v>
      </c>
      <c r="H91" s="17" t="s">
        <v>0</v>
      </c>
      <c r="I91" s="8"/>
      <c r="J91" s="6" t="str">
        <f>IFERROR(VLOOKUP(I91,Hoja1!$F$2:$I$28,2,0)," ")</f>
        <v xml:space="preserve"> </v>
      </c>
      <c r="K91" s="7" t="str">
        <f>IFERROR(IF(G91="NO",VLOOKUP(I91,Hoja1!$F$2:$I$28,3,0),VLOOKUP(I91,Hoja1!$F$2:$I$28,4,0))," ")</f>
        <v xml:space="preserve"> </v>
      </c>
      <c r="L91" s="24"/>
      <c r="M91" s="24" t="s">
        <v>0</v>
      </c>
      <c r="N91" s="25"/>
      <c r="O91" s="18"/>
      <c r="P91" s="14"/>
      <c r="Q91" s="14"/>
      <c r="R91" s="31" t="s">
        <v>0</v>
      </c>
      <c r="S91" s="15" t="e">
        <f t="shared" si="2"/>
        <v>#VALUE!</v>
      </c>
      <c r="T91" s="16" t="e">
        <f t="shared" si="3"/>
        <v>#VALUE!</v>
      </c>
      <c r="U91" s="10"/>
      <c r="V91" s="13" t="s">
        <v>20</v>
      </c>
    </row>
    <row r="92" spans="1:22" ht="27" customHeight="1" x14ac:dyDescent="0.35">
      <c r="A92" s="8"/>
      <c r="B92" s="8"/>
      <c r="C92" s="8"/>
      <c r="D92" s="8"/>
      <c r="E92" s="8"/>
      <c r="F92" s="8" t="s">
        <v>0</v>
      </c>
      <c r="G92" s="8" t="s">
        <v>0</v>
      </c>
      <c r="H92" s="17" t="s">
        <v>0</v>
      </c>
      <c r="I92" s="8"/>
      <c r="J92" s="6" t="str">
        <f>IFERROR(VLOOKUP(I92,Hoja1!$F$2:$I$28,2,0)," ")</f>
        <v xml:space="preserve"> </v>
      </c>
      <c r="K92" s="7" t="str">
        <f>IFERROR(IF(G92="NO",VLOOKUP(I92,Hoja1!$F$2:$I$28,3,0),VLOOKUP(I92,Hoja1!$F$2:$I$28,4,0))," ")</f>
        <v xml:space="preserve"> </v>
      </c>
      <c r="L92" s="24"/>
      <c r="M92" s="24" t="s">
        <v>0</v>
      </c>
      <c r="N92" s="25"/>
      <c r="O92" s="18"/>
      <c r="P92" s="14"/>
      <c r="Q92" s="14"/>
      <c r="R92" s="31" t="s">
        <v>0</v>
      </c>
      <c r="S92" s="15" t="e">
        <f t="shared" si="2"/>
        <v>#VALUE!</v>
      </c>
      <c r="T92" s="16" t="e">
        <f t="shared" si="3"/>
        <v>#VALUE!</v>
      </c>
      <c r="U92" s="10"/>
      <c r="V92" s="13" t="s">
        <v>20</v>
      </c>
    </row>
    <row r="93" spans="1:22" ht="27" customHeight="1" x14ac:dyDescent="0.35">
      <c r="A93" s="8"/>
      <c r="B93" s="8"/>
      <c r="C93" s="8"/>
      <c r="D93" s="8"/>
      <c r="E93" s="8"/>
      <c r="F93" s="8" t="s">
        <v>0</v>
      </c>
      <c r="G93" s="8" t="s">
        <v>0</v>
      </c>
      <c r="H93" s="17" t="s">
        <v>0</v>
      </c>
      <c r="I93" s="8"/>
      <c r="J93" s="6" t="str">
        <f>IFERROR(VLOOKUP(I93,Hoja1!$F$2:$I$28,2,0)," ")</f>
        <v xml:space="preserve"> </v>
      </c>
      <c r="K93" s="7" t="str">
        <f>IFERROR(IF(G93="NO",VLOOKUP(I93,Hoja1!$F$2:$I$28,3,0),VLOOKUP(I93,Hoja1!$F$2:$I$28,4,0))," ")</f>
        <v xml:space="preserve"> </v>
      </c>
      <c r="L93" s="24"/>
      <c r="M93" s="24" t="s">
        <v>0</v>
      </c>
      <c r="N93" s="25"/>
      <c r="O93" s="18"/>
      <c r="P93" s="14"/>
      <c r="Q93" s="14"/>
      <c r="R93" s="31" t="s">
        <v>0</v>
      </c>
      <c r="S93" s="15" t="e">
        <f t="shared" si="2"/>
        <v>#VALUE!</v>
      </c>
      <c r="T93" s="16" t="e">
        <f t="shared" si="3"/>
        <v>#VALUE!</v>
      </c>
      <c r="U93" s="10"/>
      <c r="V93" s="13" t="s">
        <v>20</v>
      </c>
    </row>
    <row r="94" spans="1:22" ht="27" customHeight="1" x14ac:dyDescent="0.35">
      <c r="A94" s="8"/>
      <c r="B94" s="8"/>
      <c r="C94" s="8"/>
      <c r="D94" s="8"/>
      <c r="E94" s="8"/>
      <c r="F94" s="8" t="s">
        <v>0</v>
      </c>
      <c r="G94" s="8" t="s">
        <v>0</v>
      </c>
      <c r="H94" s="17" t="s">
        <v>0</v>
      </c>
      <c r="I94" s="8"/>
      <c r="J94" s="6" t="str">
        <f>IFERROR(VLOOKUP(I94,Hoja1!$F$2:$I$28,2,0)," ")</f>
        <v xml:space="preserve"> </v>
      </c>
      <c r="K94" s="7" t="str">
        <f>IFERROR(IF(G94="NO",VLOOKUP(I94,Hoja1!$F$2:$I$28,3,0),VLOOKUP(I94,Hoja1!$F$2:$I$28,4,0))," ")</f>
        <v xml:space="preserve"> </v>
      </c>
      <c r="L94" s="24"/>
      <c r="M94" s="24" t="s">
        <v>0</v>
      </c>
      <c r="N94" s="25"/>
      <c r="O94" s="18"/>
      <c r="P94" s="14"/>
      <c r="Q94" s="14"/>
      <c r="R94" s="31" t="s">
        <v>0</v>
      </c>
      <c r="S94" s="15" t="e">
        <f t="shared" si="2"/>
        <v>#VALUE!</v>
      </c>
      <c r="T94" s="16" t="e">
        <f t="shared" si="3"/>
        <v>#VALUE!</v>
      </c>
      <c r="U94" s="10"/>
      <c r="V94" s="13" t="s">
        <v>20</v>
      </c>
    </row>
    <row r="95" spans="1:22" ht="27" customHeight="1" x14ac:dyDescent="0.35">
      <c r="A95" s="8"/>
      <c r="B95" s="8"/>
      <c r="C95" s="8"/>
      <c r="D95" s="8"/>
      <c r="E95" s="8"/>
      <c r="F95" s="8" t="s">
        <v>0</v>
      </c>
      <c r="G95" s="8" t="s">
        <v>0</v>
      </c>
      <c r="H95" s="17" t="s">
        <v>0</v>
      </c>
      <c r="I95" s="8"/>
      <c r="J95" s="6" t="str">
        <f>IFERROR(VLOOKUP(I95,Hoja1!$F$2:$I$28,2,0)," ")</f>
        <v xml:space="preserve"> </v>
      </c>
      <c r="K95" s="7" t="str">
        <f>IFERROR(IF(G95="NO",VLOOKUP(I95,Hoja1!$F$2:$I$28,3,0),VLOOKUP(I95,Hoja1!$F$2:$I$28,4,0))," ")</f>
        <v xml:space="preserve"> </v>
      </c>
      <c r="L95" s="24"/>
      <c r="M95" s="24" t="s">
        <v>0</v>
      </c>
      <c r="N95" s="25"/>
      <c r="O95" s="18"/>
      <c r="P95" s="14"/>
      <c r="Q95" s="14"/>
      <c r="R95" s="31" t="s">
        <v>0</v>
      </c>
      <c r="S95" s="15" t="e">
        <f t="shared" si="2"/>
        <v>#VALUE!</v>
      </c>
      <c r="T95" s="16" t="e">
        <f t="shared" si="3"/>
        <v>#VALUE!</v>
      </c>
      <c r="U95" s="10"/>
      <c r="V95" s="13" t="s">
        <v>20</v>
      </c>
    </row>
    <row r="96" spans="1:22" ht="27" customHeight="1" x14ac:dyDescent="0.35">
      <c r="A96" s="8"/>
      <c r="B96" s="8"/>
      <c r="C96" s="8"/>
      <c r="D96" s="8"/>
      <c r="E96" s="8"/>
      <c r="F96" s="8" t="s">
        <v>0</v>
      </c>
      <c r="G96" s="8" t="s">
        <v>0</v>
      </c>
      <c r="H96" s="17" t="s">
        <v>0</v>
      </c>
      <c r="I96" s="8"/>
      <c r="J96" s="6" t="str">
        <f>IFERROR(VLOOKUP(I96,Hoja1!$F$2:$I$28,2,0)," ")</f>
        <v xml:space="preserve"> </v>
      </c>
      <c r="K96" s="7" t="str">
        <f>IFERROR(IF(G96="NO",VLOOKUP(I96,Hoja1!$F$2:$I$28,3,0),VLOOKUP(I96,Hoja1!$F$2:$I$28,4,0))," ")</f>
        <v xml:space="preserve"> </v>
      </c>
      <c r="L96" s="24"/>
      <c r="M96" s="24" t="s">
        <v>0</v>
      </c>
      <c r="N96" s="25"/>
      <c r="O96" s="18"/>
      <c r="P96" s="14"/>
      <c r="Q96" s="14"/>
      <c r="R96" s="31" t="s">
        <v>0</v>
      </c>
      <c r="S96" s="15" t="e">
        <f t="shared" si="2"/>
        <v>#VALUE!</v>
      </c>
      <c r="T96" s="16" t="e">
        <f t="shared" si="3"/>
        <v>#VALUE!</v>
      </c>
      <c r="U96" s="10"/>
      <c r="V96" s="13" t="s">
        <v>20</v>
      </c>
    </row>
    <row r="97" spans="1:22" ht="27" customHeight="1" x14ac:dyDescent="0.35">
      <c r="A97" s="8"/>
      <c r="B97" s="8"/>
      <c r="C97" s="8"/>
      <c r="D97" s="8"/>
      <c r="E97" s="8"/>
      <c r="F97" s="8" t="s">
        <v>0</v>
      </c>
      <c r="G97" s="8" t="s">
        <v>0</v>
      </c>
      <c r="H97" s="17" t="s">
        <v>0</v>
      </c>
      <c r="I97" s="8"/>
      <c r="J97" s="6" t="str">
        <f>IFERROR(VLOOKUP(I97,Hoja1!$F$2:$I$28,2,0)," ")</f>
        <v xml:space="preserve"> </v>
      </c>
      <c r="K97" s="7" t="str">
        <f>IFERROR(IF(G97="NO",VLOOKUP(I97,Hoja1!$F$2:$I$28,3,0),VLOOKUP(I97,Hoja1!$F$2:$I$28,4,0))," ")</f>
        <v xml:space="preserve"> </v>
      </c>
      <c r="L97" s="24"/>
      <c r="M97" s="24" t="s">
        <v>0</v>
      </c>
      <c r="N97" s="25"/>
      <c r="O97" s="18"/>
      <c r="P97" s="14"/>
      <c r="Q97" s="14"/>
      <c r="R97" s="31" t="s">
        <v>0</v>
      </c>
      <c r="S97" s="15" t="e">
        <f t="shared" si="2"/>
        <v>#VALUE!</v>
      </c>
      <c r="T97" s="16" t="e">
        <f t="shared" si="3"/>
        <v>#VALUE!</v>
      </c>
      <c r="U97" s="10"/>
      <c r="V97" s="13" t="s">
        <v>20</v>
      </c>
    </row>
    <row r="98" spans="1:22" ht="27" customHeight="1" x14ac:dyDescent="0.35">
      <c r="A98" s="8"/>
      <c r="B98" s="8"/>
      <c r="C98" s="8"/>
      <c r="D98" s="8"/>
      <c r="E98" s="8"/>
      <c r="F98" s="8" t="s">
        <v>0</v>
      </c>
      <c r="G98" s="8" t="s">
        <v>0</v>
      </c>
      <c r="H98" s="17" t="s">
        <v>0</v>
      </c>
      <c r="I98" s="8"/>
      <c r="J98" s="6" t="str">
        <f>IFERROR(VLOOKUP(I98,Hoja1!$F$2:$I$28,2,0)," ")</f>
        <v xml:space="preserve"> </v>
      </c>
      <c r="K98" s="7" t="str">
        <f>IFERROR(IF(G98="NO",VLOOKUP(I98,Hoja1!$F$2:$I$28,3,0),VLOOKUP(I98,Hoja1!$F$2:$I$28,4,0))," ")</f>
        <v xml:space="preserve"> </v>
      </c>
      <c r="L98" s="24"/>
      <c r="M98" s="24" t="s">
        <v>0</v>
      </c>
      <c r="N98" s="25"/>
      <c r="O98" s="18"/>
      <c r="P98" s="14"/>
      <c r="Q98" s="14"/>
      <c r="R98" s="31" t="s">
        <v>0</v>
      </c>
      <c r="S98" s="15" t="e">
        <f t="shared" si="2"/>
        <v>#VALUE!</v>
      </c>
      <c r="T98" s="16" t="e">
        <f t="shared" si="3"/>
        <v>#VALUE!</v>
      </c>
      <c r="U98" s="10"/>
      <c r="V98" s="13" t="s">
        <v>20</v>
      </c>
    </row>
    <row r="99" spans="1:22" ht="27" customHeight="1" x14ac:dyDescent="0.35">
      <c r="A99" s="8"/>
      <c r="B99" s="8"/>
      <c r="C99" s="8"/>
      <c r="D99" s="8"/>
      <c r="E99" s="8"/>
      <c r="F99" s="8" t="s">
        <v>0</v>
      </c>
      <c r="G99" s="8" t="s">
        <v>0</v>
      </c>
      <c r="H99" s="17" t="s">
        <v>0</v>
      </c>
      <c r="I99" s="8"/>
      <c r="J99" s="6" t="str">
        <f>IFERROR(VLOOKUP(I99,Hoja1!$F$2:$I$28,2,0)," ")</f>
        <v xml:space="preserve"> </v>
      </c>
      <c r="K99" s="7" t="str">
        <f>IFERROR(IF(G99="NO",VLOOKUP(I99,Hoja1!$F$2:$I$28,3,0),VLOOKUP(I99,Hoja1!$F$2:$I$28,4,0))," ")</f>
        <v xml:space="preserve"> </v>
      </c>
      <c r="L99" s="24"/>
      <c r="M99" s="24" t="s">
        <v>0</v>
      </c>
      <c r="N99" s="25"/>
      <c r="O99" s="18"/>
      <c r="P99" s="14"/>
      <c r="Q99" s="14"/>
      <c r="R99" s="31" t="s">
        <v>0</v>
      </c>
      <c r="S99" s="15" t="e">
        <f t="shared" si="2"/>
        <v>#VALUE!</v>
      </c>
      <c r="T99" s="16" t="e">
        <f t="shared" si="3"/>
        <v>#VALUE!</v>
      </c>
      <c r="U99" s="10"/>
      <c r="V99" s="13" t="s">
        <v>20</v>
      </c>
    </row>
    <row r="100" spans="1:22" ht="27" customHeight="1" x14ac:dyDescent="0.35">
      <c r="A100" s="8"/>
      <c r="B100" s="8"/>
      <c r="C100" s="8"/>
      <c r="D100" s="8"/>
      <c r="E100" s="8"/>
      <c r="F100" s="8" t="s">
        <v>0</v>
      </c>
      <c r="G100" s="8" t="s">
        <v>0</v>
      </c>
      <c r="H100" s="17" t="s">
        <v>0</v>
      </c>
      <c r="I100" s="8"/>
      <c r="J100" s="6" t="str">
        <f>IFERROR(VLOOKUP(I100,Hoja1!$F$2:$I$28,2,0)," ")</f>
        <v xml:space="preserve"> </v>
      </c>
      <c r="K100" s="7" t="str">
        <f>IFERROR(IF(G100="NO",VLOOKUP(I100,Hoja1!$F$2:$I$28,3,0),VLOOKUP(I100,Hoja1!$F$2:$I$28,4,0))," ")</f>
        <v xml:space="preserve"> </v>
      </c>
      <c r="L100" s="24"/>
      <c r="M100" s="24" t="s">
        <v>0</v>
      </c>
      <c r="N100" s="25"/>
      <c r="O100" s="18"/>
      <c r="P100" s="14"/>
      <c r="Q100" s="14"/>
      <c r="R100" s="31" t="s">
        <v>0</v>
      </c>
      <c r="S100" s="15" t="e">
        <f t="shared" si="2"/>
        <v>#VALUE!</v>
      </c>
      <c r="T100" s="16" t="e">
        <f t="shared" si="3"/>
        <v>#VALUE!</v>
      </c>
      <c r="U100" s="10"/>
      <c r="V100" s="13" t="s">
        <v>20</v>
      </c>
    </row>
    <row r="101" spans="1:22" ht="27" customHeight="1" x14ac:dyDescent="0.35">
      <c r="A101" s="8"/>
      <c r="B101" s="8"/>
      <c r="C101" s="8"/>
      <c r="D101" s="8"/>
      <c r="E101" s="8"/>
      <c r="F101" s="8" t="s">
        <v>0</v>
      </c>
      <c r="G101" s="8" t="s">
        <v>0</v>
      </c>
      <c r="H101" s="17" t="s">
        <v>0</v>
      </c>
      <c r="I101" s="8"/>
      <c r="J101" s="6" t="str">
        <f>IFERROR(VLOOKUP(I101,Hoja1!$F$2:$I$28,2,0)," ")</f>
        <v xml:space="preserve"> </v>
      </c>
      <c r="K101" s="7" t="str">
        <f>IFERROR(IF(G101="NO",VLOOKUP(I101,Hoja1!$F$2:$I$28,3,0),VLOOKUP(I101,Hoja1!$F$2:$I$28,4,0))," ")</f>
        <v xml:space="preserve"> </v>
      </c>
      <c r="L101" s="24"/>
      <c r="M101" s="24" t="s">
        <v>0</v>
      </c>
      <c r="N101" s="25"/>
      <c r="O101" s="18"/>
      <c r="P101" s="14"/>
      <c r="Q101" s="14"/>
      <c r="R101" s="31" t="s">
        <v>0</v>
      </c>
      <c r="S101" s="15" t="e">
        <f t="shared" si="2"/>
        <v>#VALUE!</v>
      </c>
      <c r="T101" s="16" t="e">
        <f t="shared" si="3"/>
        <v>#VALUE!</v>
      </c>
      <c r="U101" s="10"/>
      <c r="V101" s="13" t="s">
        <v>20</v>
      </c>
    </row>
    <row r="102" spans="1:22" ht="27" customHeight="1" x14ac:dyDescent="0.35">
      <c r="A102" s="8"/>
      <c r="B102" s="8"/>
      <c r="C102" s="8"/>
      <c r="D102" s="8"/>
      <c r="E102" s="8"/>
      <c r="F102" s="8" t="s">
        <v>0</v>
      </c>
      <c r="G102" s="8" t="s">
        <v>0</v>
      </c>
      <c r="H102" s="17" t="s">
        <v>0</v>
      </c>
      <c r="I102" s="8"/>
      <c r="J102" s="6" t="str">
        <f>IFERROR(VLOOKUP(I102,Hoja1!$F$2:$I$28,2,0)," ")</f>
        <v xml:space="preserve"> </v>
      </c>
      <c r="K102" s="7" t="str">
        <f>IFERROR(IF(G102="NO",VLOOKUP(I102,Hoja1!$F$2:$I$28,3,0),VLOOKUP(I102,Hoja1!$F$2:$I$28,4,0))," ")</f>
        <v xml:space="preserve"> </v>
      </c>
      <c r="L102" s="24"/>
      <c r="M102" s="24" t="s">
        <v>0</v>
      </c>
      <c r="N102" s="25"/>
      <c r="O102" s="18"/>
      <c r="P102" s="14"/>
      <c r="Q102" s="14"/>
      <c r="R102" s="31" t="s">
        <v>0</v>
      </c>
      <c r="S102" s="15" t="e">
        <f t="shared" si="2"/>
        <v>#VALUE!</v>
      </c>
      <c r="T102" s="16" t="e">
        <f t="shared" si="3"/>
        <v>#VALUE!</v>
      </c>
      <c r="U102" s="10"/>
      <c r="V102" s="13" t="s">
        <v>20</v>
      </c>
    </row>
    <row r="103" spans="1:22" ht="27" customHeight="1" x14ac:dyDescent="0.35">
      <c r="A103" s="8"/>
      <c r="B103" s="8"/>
      <c r="C103" s="8"/>
      <c r="D103" s="8"/>
      <c r="E103" s="8"/>
      <c r="F103" s="8" t="s">
        <v>0</v>
      </c>
      <c r="G103" s="8" t="s">
        <v>0</v>
      </c>
      <c r="H103" s="17" t="s">
        <v>0</v>
      </c>
      <c r="I103" s="8"/>
      <c r="J103" s="6" t="str">
        <f>IFERROR(VLOOKUP(I103,Hoja1!$F$2:$I$28,2,0)," ")</f>
        <v xml:space="preserve"> </v>
      </c>
      <c r="K103" s="7" t="str">
        <f>IFERROR(IF(G103="NO",VLOOKUP(I103,Hoja1!$F$2:$I$28,3,0),VLOOKUP(I103,Hoja1!$F$2:$I$28,4,0))," ")</f>
        <v xml:space="preserve"> </v>
      </c>
      <c r="L103" s="24"/>
      <c r="M103" s="24" t="s">
        <v>0</v>
      </c>
      <c r="N103" s="25"/>
      <c r="O103" s="18"/>
      <c r="P103" s="14"/>
      <c r="Q103" s="14"/>
      <c r="R103" s="31" t="s">
        <v>0</v>
      </c>
      <c r="S103" s="15" t="e">
        <f t="shared" si="2"/>
        <v>#VALUE!</v>
      </c>
      <c r="T103" s="16" t="e">
        <f t="shared" si="3"/>
        <v>#VALUE!</v>
      </c>
      <c r="U103" s="10"/>
      <c r="V103" s="13" t="s">
        <v>20</v>
      </c>
    </row>
    <row r="104" spans="1:22" ht="27" customHeight="1" x14ac:dyDescent="0.35">
      <c r="A104" s="8"/>
      <c r="B104" s="8"/>
      <c r="C104" s="8"/>
      <c r="D104" s="8"/>
      <c r="E104" s="8"/>
      <c r="F104" s="8" t="s">
        <v>0</v>
      </c>
      <c r="G104" s="8" t="s">
        <v>0</v>
      </c>
      <c r="H104" s="17" t="s">
        <v>0</v>
      </c>
      <c r="I104" s="8"/>
      <c r="J104" s="6" t="str">
        <f>IFERROR(VLOOKUP(I104,Hoja1!$F$2:$I$28,2,0)," ")</f>
        <v xml:space="preserve"> </v>
      </c>
      <c r="K104" s="7" t="str">
        <f>IFERROR(IF(G104="NO",VLOOKUP(I104,Hoja1!$F$2:$I$28,3,0),VLOOKUP(I104,Hoja1!$F$2:$I$28,4,0))," ")</f>
        <v xml:space="preserve"> </v>
      </c>
      <c r="L104" s="24"/>
      <c r="M104" s="24" t="s">
        <v>0</v>
      </c>
      <c r="N104" s="25"/>
      <c r="O104" s="18"/>
      <c r="P104" s="14"/>
      <c r="Q104" s="14"/>
      <c r="R104" s="31" t="s">
        <v>0</v>
      </c>
      <c r="S104" s="15" t="e">
        <f t="shared" si="2"/>
        <v>#VALUE!</v>
      </c>
      <c r="T104" s="16" t="e">
        <f t="shared" si="3"/>
        <v>#VALUE!</v>
      </c>
      <c r="U104" s="10"/>
      <c r="V104" s="13" t="s">
        <v>20</v>
      </c>
    </row>
    <row r="105" spans="1:22" ht="27" customHeight="1" x14ac:dyDescent="0.35">
      <c r="A105" s="8"/>
      <c r="B105" s="8"/>
      <c r="C105" s="8"/>
      <c r="D105" s="8"/>
      <c r="E105" s="8"/>
      <c r="F105" s="8" t="s">
        <v>0</v>
      </c>
      <c r="G105" s="8" t="s">
        <v>0</v>
      </c>
      <c r="H105" s="17" t="s">
        <v>0</v>
      </c>
      <c r="I105" s="8"/>
      <c r="J105" s="6" t="str">
        <f>IFERROR(VLOOKUP(I105,Hoja1!$F$2:$I$28,2,0)," ")</f>
        <v xml:space="preserve"> </v>
      </c>
      <c r="K105" s="7" t="str">
        <f>IFERROR(IF(G105="NO",VLOOKUP(I105,Hoja1!$F$2:$I$28,3,0),VLOOKUP(I105,Hoja1!$F$2:$I$28,4,0))," ")</f>
        <v xml:space="preserve"> </v>
      </c>
      <c r="L105" s="24"/>
      <c r="M105" s="24" t="s">
        <v>0</v>
      </c>
      <c r="N105" s="25"/>
      <c r="O105" s="18"/>
      <c r="P105" s="14"/>
      <c r="Q105" s="14"/>
      <c r="R105" s="31" t="s">
        <v>0</v>
      </c>
      <c r="S105" s="15" t="e">
        <f t="shared" si="2"/>
        <v>#VALUE!</v>
      </c>
      <c r="T105" s="16" t="e">
        <f t="shared" si="3"/>
        <v>#VALUE!</v>
      </c>
      <c r="U105" s="10"/>
      <c r="V105" s="13" t="s">
        <v>20</v>
      </c>
    </row>
    <row r="106" spans="1:22" ht="27" customHeight="1" x14ac:dyDescent="0.35">
      <c r="A106" s="8"/>
      <c r="B106" s="8"/>
      <c r="C106" s="8"/>
      <c r="D106" s="8"/>
      <c r="E106" s="8"/>
      <c r="F106" s="8" t="s">
        <v>0</v>
      </c>
      <c r="G106" s="8" t="s">
        <v>0</v>
      </c>
      <c r="H106" s="17" t="s">
        <v>0</v>
      </c>
      <c r="I106" s="8"/>
      <c r="J106" s="6" t="str">
        <f>IFERROR(VLOOKUP(I106,Hoja1!$F$2:$I$28,2,0)," ")</f>
        <v xml:space="preserve"> </v>
      </c>
      <c r="K106" s="7" t="str">
        <f>IFERROR(IF(G106="NO",VLOOKUP(I106,Hoja1!$F$2:$I$28,3,0),VLOOKUP(I106,Hoja1!$F$2:$I$28,4,0))," ")</f>
        <v xml:space="preserve"> </v>
      </c>
      <c r="L106" s="24"/>
      <c r="M106" s="24" t="s">
        <v>0</v>
      </c>
      <c r="N106" s="25"/>
      <c r="O106" s="18"/>
      <c r="P106" s="14"/>
      <c r="Q106" s="14"/>
      <c r="R106" s="31" t="s">
        <v>0</v>
      </c>
      <c r="S106" s="15" t="e">
        <f t="shared" si="2"/>
        <v>#VALUE!</v>
      </c>
      <c r="T106" s="16" t="e">
        <f t="shared" si="3"/>
        <v>#VALUE!</v>
      </c>
      <c r="U106" s="10"/>
      <c r="V106" s="13" t="s">
        <v>20</v>
      </c>
    </row>
    <row r="107" spans="1:22" ht="27" customHeight="1" x14ac:dyDescent="0.35">
      <c r="A107" s="8"/>
      <c r="B107" s="8"/>
      <c r="C107" s="8"/>
      <c r="D107" s="8"/>
      <c r="E107" s="8"/>
      <c r="F107" s="8" t="s">
        <v>0</v>
      </c>
      <c r="G107" s="8" t="s">
        <v>0</v>
      </c>
      <c r="H107" s="17" t="s">
        <v>0</v>
      </c>
      <c r="I107" s="8"/>
      <c r="J107" s="6" t="str">
        <f>IFERROR(VLOOKUP(I107,Hoja1!$F$2:$I$28,2,0)," ")</f>
        <v xml:space="preserve"> </v>
      </c>
      <c r="K107" s="7" t="str">
        <f>IFERROR(IF(G107="NO",VLOOKUP(I107,Hoja1!$F$2:$I$28,3,0),VLOOKUP(I107,Hoja1!$F$2:$I$28,4,0))," ")</f>
        <v xml:space="preserve"> </v>
      </c>
      <c r="L107" s="24"/>
      <c r="M107" s="24" t="s">
        <v>0</v>
      </c>
      <c r="N107" s="25"/>
      <c r="O107" s="18"/>
      <c r="P107" s="14"/>
      <c r="Q107" s="14"/>
      <c r="R107" s="31" t="s">
        <v>0</v>
      </c>
      <c r="S107" s="15" t="e">
        <f t="shared" si="2"/>
        <v>#VALUE!</v>
      </c>
      <c r="T107" s="16" t="e">
        <f t="shared" si="3"/>
        <v>#VALUE!</v>
      </c>
      <c r="U107" s="10"/>
      <c r="V107" s="13" t="s">
        <v>20</v>
      </c>
    </row>
    <row r="108" spans="1:22" ht="27" customHeight="1" x14ac:dyDescent="0.35">
      <c r="A108" s="8"/>
      <c r="B108" s="8"/>
      <c r="C108" s="8"/>
      <c r="D108" s="8"/>
      <c r="E108" s="8"/>
      <c r="F108" s="8" t="s">
        <v>0</v>
      </c>
      <c r="G108" s="8" t="s">
        <v>0</v>
      </c>
      <c r="H108" s="17" t="s">
        <v>0</v>
      </c>
      <c r="I108" s="8"/>
      <c r="J108" s="6" t="str">
        <f>IFERROR(VLOOKUP(I108,Hoja1!$F$2:$I$28,2,0)," ")</f>
        <v xml:space="preserve"> </v>
      </c>
      <c r="K108" s="7" t="str">
        <f>IFERROR(IF(G108="NO",VLOOKUP(I108,Hoja1!$F$2:$I$28,3,0),VLOOKUP(I108,Hoja1!$F$2:$I$28,4,0))," ")</f>
        <v xml:space="preserve"> </v>
      </c>
      <c r="L108" s="24"/>
      <c r="M108" s="24" t="s">
        <v>0</v>
      </c>
      <c r="N108" s="25"/>
      <c r="O108" s="18"/>
      <c r="P108" s="14"/>
      <c r="Q108" s="14"/>
      <c r="R108" s="31" t="s">
        <v>0</v>
      </c>
      <c r="S108" s="15" t="e">
        <f t="shared" si="2"/>
        <v>#VALUE!</v>
      </c>
      <c r="T108" s="16" t="e">
        <f t="shared" si="3"/>
        <v>#VALUE!</v>
      </c>
      <c r="U108" s="10"/>
      <c r="V108" s="13" t="s">
        <v>20</v>
      </c>
    </row>
    <row r="109" spans="1:22" ht="27" customHeight="1" x14ac:dyDescent="0.35">
      <c r="A109" s="8"/>
      <c r="B109" s="8"/>
      <c r="C109" s="8"/>
      <c r="D109" s="8"/>
      <c r="E109" s="8"/>
      <c r="F109" s="8" t="s">
        <v>0</v>
      </c>
      <c r="G109" s="8" t="s">
        <v>0</v>
      </c>
      <c r="H109" s="17" t="s">
        <v>0</v>
      </c>
      <c r="I109" s="8"/>
      <c r="J109" s="6" t="str">
        <f>IFERROR(VLOOKUP(I109,Hoja1!$F$2:$I$28,2,0)," ")</f>
        <v xml:space="preserve"> </v>
      </c>
      <c r="K109" s="7" t="str">
        <f>IFERROR(IF(G109="NO",VLOOKUP(I109,Hoja1!$F$2:$I$28,3,0),VLOOKUP(I109,Hoja1!$F$2:$I$28,4,0))," ")</f>
        <v xml:space="preserve"> </v>
      </c>
      <c r="L109" s="24"/>
      <c r="M109" s="24" t="s">
        <v>0</v>
      </c>
      <c r="N109" s="25"/>
      <c r="O109" s="18"/>
      <c r="P109" s="14"/>
      <c r="Q109" s="14"/>
      <c r="R109" s="31" t="s">
        <v>0</v>
      </c>
      <c r="S109" s="15" t="e">
        <f t="shared" ref="S109" si="4">R109*K109</f>
        <v>#VALUE!</v>
      </c>
      <c r="T109" s="16" t="e">
        <f t="shared" ref="T109" si="5">K109-S109</f>
        <v>#VALUE!</v>
      </c>
      <c r="U109" s="10"/>
      <c r="V109" s="13" t="s">
        <v>20</v>
      </c>
    </row>
    <row r="110" spans="1:22" ht="27" customHeight="1" x14ac:dyDescent="0.35">
      <c r="A110" s="8"/>
      <c r="B110" s="8"/>
      <c r="C110" s="8"/>
      <c r="D110" s="8"/>
      <c r="E110" s="8"/>
      <c r="F110" s="8" t="s">
        <v>0</v>
      </c>
      <c r="G110" s="8" t="s">
        <v>0</v>
      </c>
      <c r="H110" s="17" t="s">
        <v>0</v>
      </c>
      <c r="I110" s="8"/>
      <c r="J110" s="6" t="str">
        <f>IFERROR(VLOOKUP(I110,Hoja1!$F$2:$I$28,2,0)," ")</f>
        <v xml:space="preserve"> </v>
      </c>
      <c r="K110" s="7" t="str">
        <f>IFERROR(IF(G110="NO",VLOOKUP(I110,Hoja1!$F$2:$I$28,3,0),VLOOKUP(I110,Hoja1!$F$2:$I$28,4,0))," ")</f>
        <v xml:space="preserve"> </v>
      </c>
      <c r="L110" s="24"/>
      <c r="M110" s="24">
        <v>1</v>
      </c>
      <c r="N110" s="25"/>
      <c r="O110" s="18"/>
      <c r="P110" s="14"/>
      <c r="Q110" s="14"/>
      <c r="R110" s="31">
        <v>1</v>
      </c>
      <c r="S110" s="15" t="e">
        <f t="shared" ref="S110:S115" si="6">R110*K110</f>
        <v>#VALUE!</v>
      </c>
      <c r="T110" s="16" t="e">
        <f t="shared" ref="T110:T115" si="7">K110-S110</f>
        <v>#VALUE!</v>
      </c>
      <c r="U110" s="10"/>
      <c r="V110" s="13" t="s">
        <v>20</v>
      </c>
    </row>
    <row r="111" spans="1:22" ht="27" customHeight="1" x14ac:dyDescent="0.35">
      <c r="A111" s="8"/>
      <c r="B111" s="8"/>
      <c r="C111" s="8"/>
      <c r="D111" s="8"/>
      <c r="E111" s="8"/>
      <c r="F111" s="8" t="s">
        <v>0</v>
      </c>
      <c r="G111" s="8" t="s">
        <v>0</v>
      </c>
      <c r="H111" s="17" t="s">
        <v>0</v>
      </c>
      <c r="I111" s="8"/>
      <c r="J111" s="6" t="str">
        <f>IFERROR(VLOOKUP(I111,Hoja1!$F$2:$I$28,2,0)," ")</f>
        <v xml:space="preserve"> </v>
      </c>
      <c r="K111" s="7" t="str">
        <f>IFERROR(IF(G111="NO",VLOOKUP(I111,Hoja1!$F$2:$I$28,3,0),VLOOKUP(I111,Hoja1!$F$2:$I$28,4,0))," ")</f>
        <v xml:space="preserve"> </v>
      </c>
      <c r="L111" s="24"/>
      <c r="M111" s="24" t="s">
        <v>0</v>
      </c>
      <c r="N111" s="25"/>
      <c r="O111" s="18"/>
      <c r="P111" s="14"/>
      <c r="Q111" s="14"/>
      <c r="R111" s="31" t="s">
        <v>0</v>
      </c>
      <c r="S111" s="15" t="e">
        <f t="shared" si="6"/>
        <v>#VALUE!</v>
      </c>
      <c r="T111" s="16" t="e">
        <f t="shared" si="7"/>
        <v>#VALUE!</v>
      </c>
      <c r="U111" s="10"/>
      <c r="V111" s="13" t="s">
        <v>20</v>
      </c>
    </row>
    <row r="112" spans="1:22" ht="27" customHeight="1" x14ac:dyDescent="0.35">
      <c r="A112" s="8"/>
      <c r="B112" s="8"/>
      <c r="C112" s="8"/>
      <c r="D112" s="8"/>
      <c r="E112" s="8"/>
      <c r="F112" s="8" t="s">
        <v>0</v>
      </c>
      <c r="G112" s="8" t="s">
        <v>0</v>
      </c>
      <c r="H112" s="17" t="s">
        <v>0</v>
      </c>
      <c r="I112" s="8"/>
      <c r="J112" s="6" t="str">
        <f>IFERROR(VLOOKUP(I112,Hoja1!$F$2:$I$28,2,0)," ")</f>
        <v xml:space="preserve"> </v>
      </c>
      <c r="K112" s="7" t="str">
        <f>IFERROR(IF(G112="NO",VLOOKUP(I112,Hoja1!$F$2:$I$28,3,0),VLOOKUP(I112,Hoja1!$F$2:$I$28,4,0))," ")</f>
        <v xml:space="preserve"> </v>
      </c>
      <c r="L112" s="24"/>
      <c r="M112" s="24" t="s">
        <v>0</v>
      </c>
      <c r="N112" s="25"/>
      <c r="O112" s="18"/>
      <c r="P112" s="14"/>
      <c r="Q112" s="14"/>
      <c r="R112" s="31" t="s">
        <v>0</v>
      </c>
      <c r="S112" s="15" t="e">
        <f t="shared" si="6"/>
        <v>#VALUE!</v>
      </c>
      <c r="T112" s="16" t="e">
        <f t="shared" si="7"/>
        <v>#VALUE!</v>
      </c>
      <c r="U112" s="10"/>
      <c r="V112" s="13" t="s">
        <v>20</v>
      </c>
    </row>
    <row r="113" spans="1:22" ht="27" customHeight="1" x14ac:dyDescent="0.35">
      <c r="A113" s="8"/>
      <c r="B113" s="8"/>
      <c r="C113" s="8"/>
      <c r="D113" s="8"/>
      <c r="E113" s="8"/>
      <c r="F113" s="8" t="s">
        <v>0</v>
      </c>
      <c r="G113" s="8" t="s">
        <v>0</v>
      </c>
      <c r="H113" s="17" t="s">
        <v>0</v>
      </c>
      <c r="I113" s="8"/>
      <c r="J113" s="6" t="str">
        <f>IFERROR(VLOOKUP(I113,Hoja1!$F$2:$I$28,2,0)," ")</f>
        <v xml:space="preserve"> </v>
      </c>
      <c r="K113" s="7" t="str">
        <f>IFERROR(IF(G113="NO",VLOOKUP(I113,Hoja1!$F$2:$I$28,3,0),VLOOKUP(I113,Hoja1!$F$2:$I$28,4,0))," ")</f>
        <v xml:space="preserve"> </v>
      </c>
      <c r="L113" s="24"/>
      <c r="M113" s="24" t="s">
        <v>0</v>
      </c>
      <c r="N113" s="25"/>
      <c r="O113" s="18"/>
      <c r="P113" s="14"/>
      <c r="Q113" s="14"/>
      <c r="R113" s="31" t="s">
        <v>0</v>
      </c>
      <c r="S113" s="15" t="e">
        <f t="shared" si="6"/>
        <v>#VALUE!</v>
      </c>
      <c r="T113" s="16" t="e">
        <f t="shared" si="7"/>
        <v>#VALUE!</v>
      </c>
      <c r="U113" s="10"/>
      <c r="V113" s="13" t="s">
        <v>20</v>
      </c>
    </row>
    <row r="114" spans="1:22" ht="27" customHeight="1" x14ac:dyDescent="0.35">
      <c r="A114" s="8"/>
      <c r="B114" s="8"/>
      <c r="C114" s="8"/>
      <c r="D114" s="8"/>
      <c r="E114" s="8"/>
      <c r="F114" s="8" t="s">
        <v>0</v>
      </c>
      <c r="G114" s="8" t="s">
        <v>0</v>
      </c>
      <c r="H114" s="17" t="s">
        <v>0</v>
      </c>
      <c r="I114" s="8"/>
      <c r="J114" s="6" t="str">
        <f>IFERROR(VLOOKUP(I114,Hoja1!$F$2:$I$28,2,0)," ")</f>
        <v xml:space="preserve"> </v>
      </c>
      <c r="K114" s="7" t="str">
        <f>IFERROR(IF(G114="NO",VLOOKUP(I114,Hoja1!$F$2:$I$28,3,0),VLOOKUP(I114,Hoja1!$F$2:$I$28,4,0))," ")</f>
        <v xml:space="preserve"> </v>
      </c>
      <c r="L114" s="24"/>
      <c r="M114" s="24" t="s">
        <v>0</v>
      </c>
      <c r="N114" s="25"/>
      <c r="O114" s="18"/>
      <c r="P114" s="14"/>
      <c r="Q114" s="14"/>
      <c r="R114" s="31" t="s">
        <v>0</v>
      </c>
      <c r="S114" s="15" t="e">
        <f t="shared" si="6"/>
        <v>#VALUE!</v>
      </c>
      <c r="T114" s="16" t="e">
        <f t="shared" si="7"/>
        <v>#VALUE!</v>
      </c>
      <c r="U114" s="10"/>
      <c r="V114" s="13" t="s">
        <v>20</v>
      </c>
    </row>
    <row r="115" spans="1:22" ht="27" customHeight="1" x14ac:dyDescent="0.35">
      <c r="A115" s="8"/>
      <c r="B115" s="8"/>
      <c r="C115" s="8"/>
      <c r="D115" s="8"/>
      <c r="E115" s="8"/>
      <c r="F115" s="8" t="s">
        <v>0</v>
      </c>
      <c r="G115" s="8" t="s">
        <v>0</v>
      </c>
      <c r="H115" s="17" t="s">
        <v>0</v>
      </c>
      <c r="I115" s="8"/>
      <c r="J115" s="6" t="str">
        <f>IFERROR(VLOOKUP(I115,Hoja1!$F$2:$I$28,2,0)," ")</f>
        <v xml:space="preserve"> </v>
      </c>
      <c r="K115" s="7" t="str">
        <f>IFERROR(IF(G115="NO",VLOOKUP(I115,Hoja1!$F$2:$I$28,3,0),VLOOKUP(I115,Hoja1!$F$2:$I$28,4,0))," ")</f>
        <v xml:space="preserve"> </v>
      </c>
      <c r="L115" s="24"/>
      <c r="M115" s="24" t="s">
        <v>0</v>
      </c>
      <c r="N115" s="25"/>
      <c r="O115" s="18"/>
      <c r="P115" s="14"/>
      <c r="Q115" s="14"/>
      <c r="R115" s="31" t="s">
        <v>0</v>
      </c>
      <c r="S115" s="15" t="e">
        <f t="shared" si="6"/>
        <v>#VALUE!</v>
      </c>
      <c r="T115" s="16" t="e">
        <f t="shared" si="7"/>
        <v>#VALUE!</v>
      </c>
      <c r="U115" s="10"/>
      <c r="V115" s="13" t="s">
        <v>20</v>
      </c>
    </row>
    <row r="116" spans="1:22" ht="27" customHeight="1" x14ac:dyDescent="0.35">
      <c r="A116" s="8"/>
      <c r="B116" s="8"/>
      <c r="C116" s="8"/>
      <c r="D116" s="8"/>
      <c r="E116" s="8"/>
      <c r="F116" s="8" t="s">
        <v>0</v>
      </c>
      <c r="G116" s="8" t="s">
        <v>0</v>
      </c>
      <c r="H116" s="17" t="s">
        <v>0</v>
      </c>
      <c r="I116" s="8"/>
      <c r="J116" s="6" t="str">
        <f>IFERROR(VLOOKUP(I116,Hoja1!$F$2:$I$28,2,0)," ")</f>
        <v xml:space="preserve"> </v>
      </c>
      <c r="K116" s="7" t="str">
        <f>IFERROR(IF(G116="NO",VLOOKUP(I116,Hoja1!$F$2:$I$28,3,0),VLOOKUP(I116,Hoja1!$F$2:$I$28,4,0))," ")</f>
        <v xml:space="preserve"> </v>
      </c>
      <c r="L116" s="24"/>
      <c r="M116" s="24" t="s">
        <v>0</v>
      </c>
      <c r="N116" s="25"/>
      <c r="O116" s="18"/>
      <c r="P116" s="14"/>
      <c r="Q116" s="14"/>
      <c r="R116" s="31" t="s">
        <v>0</v>
      </c>
      <c r="S116" s="15" t="e">
        <f t="shared" ref="S116:S123" si="8">R116*K116</f>
        <v>#VALUE!</v>
      </c>
      <c r="T116" s="16" t="e">
        <f t="shared" ref="T116:T123" si="9">K116-S116</f>
        <v>#VALUE!</v>
      </c>
      <c r="U116" s="10"/>
      <c r="V116" s="13" t="s">
        <v>20</v>
      </c>
    </row>
    <row r="117" spans="1:22" ht="27" customHeight="1" x14ac:dyDescent="0.35">
      <c r="A117" s="8"/>
      <c r="B117" s="8"/>
      <c r="C117" s="8"/>
      <c r="D117" s="8"/>
      <c r="E117" s="8"/>
      <c r="F117" s="8" t="s">
        <v>0</v>
      </c>
      <c r="G117" s="8" t="s">
        <v>0</v>
      </c>
      <c r="H117" s="17" t="s">
        <v>0</v>
      </c>
      <c r="I117" s="8"/>
      <c r="J117" s="6" t="str">
        <f>IFERROR(VLOOKUP(I117,Hoja1!$F$2:$I$28,2,0)," ")</f>
        <v xml:space="preserve"> </v>
      </c>
      <c r="K117" s="7" t="str">
        <f>IFERROR(IF(G117="NO",VLOOKUP(I117,Hoja1!$F$2:$I$28,3,0),VLOOKUP(I117,Hoja1!$F$2:$I$28,4,0))," ")</f>
        <v xml:space="preserve"> </v>
      </c>
      <c r="L117" s="24"/>
      <c r="M117" s="24" t="s">
        <v>0</v>
      </c>
      <c r="N117" s="25"/>
      <c r="O117" s="18"/>
      <c r="P117" s="14"/>
      <c r="Q117" s="14"/>
      <c r="R117" s="31" t="s">
        <v>0</v>
      </c>
      <c r="S117" s="15" t="e">
        <f t="shared" si="8"/>
        <v>#VALUE!</v>
      </c>
      <c r="T117" s="16" t="e">
        <f t="shared" si="9"/>
        <v>#VALUE!</v>
      </c>
      <c r="U117" s="10"/>
      <c r="V117" s="13" t="s">
        <v>20</v>
      </c>
    </row>
    <row r="118" spans="1:22" ht="27" customHeight="1" x14ac:dyDescent="0.35">
      <c r="A118" s="8"/>
      <c r="B118" s="8"/>
      <c r="C118" s="8"/>
      <c r="D118" s="8"/>
      <c r="E118" s="8"/>
      <c r="F118" s="8" t="s">
        <v>0</v>
      </c>
      <c r="G118" s="8" t="s">
        <v>0</v>
      </c>
      <c r="H118" s="17" t="s">
        <v>0</v>
      </c>
      <c r="I118" s="8"/>
      <c r="J118" s="6" t="str">
        <f>IFERROR(VLOOKUP(I118,Hoja1!$F$2:$I$28,2,0)," ")</f>
        <v xml:space="preserve"> </v>
      </c>
      <c r="K118" s="7" t="str">
        <f>IFERROR(IF(G118="NO",VLOOKUP(I118,Hoja1!$F$2:$I$28,3,0),VLOOKUP(I118,Hoja1!$F$2:$I$28,4,0))," ")</f>
        <v xml:space="preserve"> </v>
      </c>
      <c r="L118" s="24"/>
      <c r="M118" s="24" t="s">
        <v>0</v>
      </c>
      <c r="N118" s="25"/>
      <c r="O118" s="18"/>
      <c r="P118" s="14"/>
      <c r="Q118" s="14"/>
      <c r="R118" s="31" t="s">
        <v>0</v>
      </c>
      <c r="S118" s="15" t="e">
        <f t="shared" si="8"/>
        <v>#VALUE!</v>
      </c>
      <c r="T118" s="16" t="e">
        <f t="shared" si="9"/>
        <v>#VALUE!</v>
      </c>
      <c r="U118" s="10"/>
      <c r="V118" s="13" t="s">
        <v>20</v>
      </c>
    </row>
    <row r="119" spans="1:22" ht="27" customHeight="1" x14ac:dyDescent="0.35">
      <c r="A119" s="8"/>
      <c r="B119" s="8"/>
      <c r="C119" s="8"/>
      <c r="D119" s="8"/>
      <c r="E119" s="8"/>
      <c r="F119" s="8" t="s">
        <v>0</v>
      </c>
      <c r="G119" s="8" t="s">
        <v>0</v>
      </c>
      <c r="H119" s="17" t="s">
        <v>0</v>
      </c>
      <c r="I119" s="8"/>
      <c r="J119" s="6" t="str">
        <f>IFERROR(VLOOKUP(I119,Hoja1!$F$2:$I$28,2,0)," ")</f>
        <v xml:space="preserve"> </v>
      </c>
      <c r="K119" s="7" t="str">
        <f>IFERROR(IF(G119="NO",VLOOKUP(I119,Hoja1!$F$2:$I$28,3,0),VLOOKUP(I119,Hoja1!$F$2:$I$28,4,0))," ")</f>
        <v xml:space="preserve"> </v>
      </c>
      <c r="L119" s="24"/>
      <c r="M119" s="24" t="s">
        <v>0</v>
      </c>
      <c r="N119" s="25"/>
      <c r="O119" s="18"/>
      <c r="P119" s="14"/>
      <c r="Q119" s="14"/>
      <c r="R119" s="31" t="s">
        <v>0</v>
      </c>
      <c r="S119" s="15" t="e">
        <f t="shared" si="8"/>
        <v>#VALUE!</v>
      </c>
      <c r="T119" s="16" t="e">
        <f t="shared" si="9"/>
        <v>#VALUE!</v>
      </c>
      <c r="U119" s="10"/>
      <c r="V119" s="13" t="s">
        <v>20</v>
      </c>
    </row>
    <row r="120" spans="1:22" ht="27" customHeight="1" x14ac:dyDescent="0.35">
      <c r="A120" s="8"/>
      <c r="B120" s="8"/>
      <c r="C120" s="8"/>
      <c r="D120" s="8"/>
      <c r="E120" s="8"/>
      <c r="F120" s="8" t="s">
        <v>0</v>
      </c>
      <c r="G120" s="8" t="s">
        <v>0</v>
      </c>
      <c r="H120" s="17" t="s">
        <v>0</v>
      </c>
      <c r="I120" s="8"/>
      <c r="J120" s="6" t="str">
        <f>IFERROR(VLOOKUP(I120,Hoja1!$F$2:$I$28,2,0)," ")</f>
        <v xml:space="preserve"> </v>
      </c>
      <c r="K120" s="7" t="str">
        <f>IFERROR(IF(G120="NO",VLOOKUP(I120,Hoja1!$F$2:$I$28,3,0),VLOOKUP(I120,Hoja1!$F$2:$I$28,4,0))," ")</f>
        <v xml:space="preserve"> </v>
      </c>
      <c r="L120" s="24"/>
      <c r="M120" s="24" t="s">
        <v>0</v>
      </c>
      <c r="N120" s="25"/>
      <c r="O120" s="18"/>
      <c r="P120" s="14"/>
      <c r="Q120" s="14"/>
      <c r="R120" s="31" t="s">
        <v>0</v>
      </c>
      <c r="S120" s="15" t="e">
        <f t="shared" si="8"/>
        <v>#VALUE!</v>
      </c>
      <c r="T120" s="16" t="e">
        <f t="shared" si="9"/>
        <v>#VALUE!</v>
      </c>
      <c r="U120" s="10"/>
      <c r="V120" s="13" t="s">
        <v>20</v>
      </c>
    </row>
    <row r="121" spans="1:22" ht="27" customHeight="1" x14ac:dyDescent="0.35">
      <c r="A121" s="8"/>
      <c r="B121" s="8"/>
      <c r="C121" s="8"/>
      <c r="D121" s="8"/>
      <c r="E121" s="8"/>
      <c r="F121" s="8" t="s">
        <v>0</v>
      </c>
      <c r="G121" s="8" t="s">
        <v>0</v>
      </c>
      <c r="H121" s="17" t="s">
        <v>0</v>
      </c>
      <c r="I121" s="8"/>
      <c r="J121" s="6" t="str">
        <f>IFERROR(VLOOKUP(I121,Hoja1!$F$2:$I$28,2,0)," ")</f>
        <v xml:space="preserve"> </v>
      </c>
      <c r="K121" s="7" t="str">
        <f>IFERROR(IF(G121="NO",VLOOKUP(I121,Hoja1!$F$2:$I$28,3,0),VLOOKUP(I121,Hoja1!$F$2:$I$28,4,0))," ")</f>
        <v xml:space="preserve"> </v>
      </c>
      <c r="L121" s="24"/>
      <c r="M121" s="24" t="s">
        <v>0</v>
      </c>
      <c r="N121" s="25"/>
      <c r="O121" s="18"/>
      <c r="P121" s="14"/>
      <c r="Q121" s="14"/>
      <c r="R121" s="31" t="s">
        <v>0</v>
      </c>
      <c r="S121" s="15" t="e">
        <f t="shared" si="8"/>
        <v>#VALUE!</v>
      </c>
      <c r="T121" s="16" t="e">
        <f t="shared" si="9"/>
        <v>#VALUE!</v>
      </c>
      <c r="U121" s="10"/>
      <c r="V121" s="13" t="s">
        <v>20</v>
      </c>
    </row>
    <row r="122" spans="1:22" ht="27" customHeight="1" x14ac:dyDescent="0.35">
      <c r="A122" s="8"/>
      <c r="B122" s="8"/>
      <c r="C122" s="8"/>
      <c r="D122" s="8"/>
      <c r="E122" s="8"/>
      <c r="F122" s="8" t="s">
        <v>0</v>
      </c>
      <c r="G122" s="8" t="s">
        <v>0</v>
      </c>
      <c r="H122" s="17" t="s">
        <v>0</v>
      </c>
      <c r="I122" s="8"/>
      <c r="J122" s="6" t="str">
        <f>IFERROR(VLOOKUP(I122,Hoja1!$F$2:$I$28,2,0)," ")</f>
        <v xml:space="preserve"> </v>
      </c>
      <c r="K122" s="7" t="str">
        <f>IFERROR(IF(G122="NO",VLOOKUP(I122,Hoja1!$F$2:$I$28,3,0),VLOOKUP(I122,Hoja1!$F$2:$I$28,4,0))," ")</f>
        <v xml:space="preserve"> </v>
      </c>
      <c r="L122" s="24"/>
      <c r="M122" s="24" t="s">
        <v>0</v>
      </c>
      <c r="N122" s="25"/>
      <c r="O122" s="18"/>
      <c r="P122" s="14"/>
      <c r="Q122" s="14"/>
      <c r="R122" s="31" t="s">
        <v>0</v>
      </c>
      <c r="S122" s="15" t="e">
        <f t="shared" si="8"/>
        <v>#VALUE!</v>
      </c>
      <c r="T122" s="16" t="e">
        <f t="shared" si="9"/>
        <v>#VALUE!</v>
      </c>
      <c r="U122" s="10"/>
      <c r="V122" s="13" t="s">
        <v>20</v>
      </c>
    </row>
    <row r="123" spans="1:22" ht="27" customHeight="1" x14ac:dyDescent="0.35">
      <c r="A123" s="8"/>
      <c r="B123" s="8"/>
      <c r="C123" s="8"/>
      <c r="D123" s="8"/>
      <c r="E123" s="8"/>
      <c r="F123" s="8" t="s">
        <v>0</v>
      </c>
      <c r="G123" s="8" t="s">
        <v>0</v>
      </c>
      <c r="H123" s="17" t="s">
        <v>0</v>
      </c>
      <c r="I123" s="8"/>
      <c r="J123" s="6" t="str">
        <f>IFERROR(VLOOKUP(I123,Hoja1!$F$2:$I$28,2,0)," ")</f>
        <v xml:space="preserve"> </v>
      </c>
      <c r="K123" s="7" t="str">
        <f>IFERROR(IF(G123="NO",VLOOKUP(I123,Hoja1!$F$2:$I$28,3,0),VLOOKUP(I123,Hoja1!$F$2:$I$28,4,0))," ")</f>
        <v xml:space="preserve"> </v>
      </c>
      <c r="L123" s="24"/>
      <c r="M123" s="24" t="s">
        <v>0</v>
      </c>
      <c r="N123" s="25"/>
      <c r="O123" s="18"/>
      <c r="P123" s="14"/>
      <c r="Q123" s="14"/>
      <c r="R123" s="31" t="s">
        <v>0</v>
      </c>
      <c r="S123" s="15" t="e">
        <f t="shared" si="8"/>
        <v>#VALUE!</v>
      </c>
      <c r="T123" s="16" t="e">
        <f t="shared" si="9"/>
        <v>#VALUE!</v>
      </c>
      <c r="U123" s="10"/>
      <c r="V123" s="13" t="s">
        <v>20</v>
      </c>
    </row>
    <row r="124" spans="1:22" ht="27" customHeight="1" x14ac:dyDescent="0.35">
      <c r="A124" s="8"/>
      <c r="B124" s="8"/>
      <c r="C124" s="8"/>
      <c r="D124" s="8"/>
      <c r="E124" s="8"/>
      <c r="F124" s="8" t="s">
        <v>0</v>
      </c>
      <c r="G124" s="8" t="s">
        <v>0</v>
      </c>
      <c r="H124" s="17" t="s">
        <v>0</v>
      </c>
      <c r="I124" s="8"/>
      <c r="J124" s="6" t="str">
        <f>IFERROR(VLOOKUP(I124,Hoja1!$F$2:$I$28,2,0)," ")</f>
        <v xml:space="preserve"> </v>
      </c>
      <c r="K124" s="7" t="str">
        <f>IFERROR(IF(G124="NO",VLOOKUP(I124,Hoja1!$F$2:$I$28,3,0),VLOOKUP(I124,Hoja1!$F$2:$I$28,4,0))," ")</f>
        <v xml:space="preserve"> </v>
      </c>
      <c r="L124" s="24"/>
      <c r="M124" s="24" t="s">
        <v>0</v>
      </c>
      <c r="N124" s="25"/>
      <c r="O124" s="18"/>
      <c r="P124" s="14"/>
      <c r="Q124" s="14"/>
      <c r="R124" s="31" t="s">
        <v>0</v>
      </c>
      <c r="S124" s="15" t="e">
        <f t="shared" ref="S124:S126" si="10">R124*K124</f>
        <v>#VALUE!</v>
      </c>
      <c r="T124" s="16" t="e">
        <f t="shared" ref="T124:T126" si="11">K124-S124</f>
        <v>#VALUE!</v>
      </c>
      <c r="U124" s="10"/>
      <c r="V124" s="13" t="s">
        <v>20</v>
      </c>
    </row>
    <row r="125" spans="1:22" ht="27" customHeight="1" x14ac:dyDescent="0.35">
      <c r="A125" s="8"/>
      <c r="B125" s="8"/>
      <c r="C125" s="8"/>
      <c r="D125" s="8"/>
      <c r="E125" s="8"/>
      <c r="F125" s="8" t="s">
        <v>0</v>
      </c>
      <c r="G125" s="8" t="s">
        <v>0</v>
      </c>
      <c r="H125" s="17" t="s">
        <v>0</v>
      </c>
      <c r="I125" s="8"/>
      <c r="J125" s="6" t="str">
        <f>IFERROR(VLOOKUP(I125,Hoja1!$F$2:$I$28,2,0)," ")</f>
        <v xml:space="preserve"> </v>
      </c>
      <c r="K125" s="7" t="str">
        <f>IFERROR(IF(G125="NO",VLOOKUP(I125,Hoja1!$F$2:$I$28,3,0),VLOOKUP(I125,Hoja1!$F$2:$I$28,4,0))," ")</f>
        <v xml:space="preserve"> </v>
      </c>
      <c r="L125" s="24"/>
      <c r="M125" s="24" t="s">
        <v>0</v>
      </c>
      <c r="N125" s="25"/>
      <c r="O125" s="18"/>
      <c r="P125" s="14"/>
      <c r="Q125" s="14"/>
      <c r="R125" s="31" t="s">
        <v>0</v>
      </c>
      <c r="S125" s="15" t="e">
        <f t="shared" si="10"/>
        <v>#VALUE!</v>
      </c>
      <c r="T125" s="16" t="e">
        <f t="shared" si="11"/>
        <v>#VALUE!</v>
      </c>
      <c r="U125" s="10"/>
      <c r="V125" s="13" t="s">
        <v>20</v>
      </c>
    </row>
    <row r="126" spans="1:22" ht="27" customHeight="1" x14ac:dyDescent="0.35">
      <c r="A126" s="8"/>
      <c r="B126" s="8"/>
      <c r="C126" s="8"/>
      <c r="D126" s="8"/>
      <c r="E126" s="8"/>
      <c r="F126" s="8" t="s">
        <v>0</v>
      </c>
      <c r="G126" s="8" t="s">
        <v>0</v>
      </c>
      <c r="H126" s="17" t="s">
        <v>0</v>
      </c>
      <c r="I126" s="8"/>
      <c r="J126" s="6" t="str">
        <f>IFERROR(VLOOKUP(I126,Hoja1!$F$2:$I$28,2,0)," ")</f>
        <v xml:space="preserve"> </v>
      </c>
      <c r="K126" s="7" t="str">
        <f>IFERROR(IF(G126="NO",VLOOKUP(I126,Hoja1!$F$2:$I$28,3,0),VLOOKUP(I126,Hoja1!$F$2:$I$28,4,0))," ")</f>
        <v xml:space="preserve"> </v>
      </c>
      <c r="L126" s="24"/>
      <c r="M126" s="24" t="s">
        <v>0</v>
      </c>
      <c r="N126" s="25"/>
      <c r="O126" s="18"/>
      <c r="P126" s="14"/>
      <c r="Q126" s="14"/>
      <c r="R126" s="30">
        <v>0</v>
      </c>
      <c r="S126" s="15" t="e">
        <f t="shared" si="10"/>
        <v>#VALUE!</v>
      </c>
      <c r="T126" s="16" t="e">
        <f t="shared" si="11"/>
        <v>#VALUE!</v>
      </c>
      <c r="U126" s="10"/>
      <c r="V126" s="13" t="s">
        <v>20</v>
      </c>
    </row>
  </sheetData>
  <mergeCells count="10">
    <mergeCell ref="V7:V8"/>
    <mergeCell ref="A7:E7"/>
    <mergeCell ref="N7:O7"/>
    <mergeCell ref="P7:P8"/>
    <mergeCell ref="F7:M7"/>
    <mergeCell ref="Q7:Q8"/>
    <mergeCell ref="R7:R8"/>
    <mergeCell ref="S7:S8"/>
    <mergeCell ref="T7:T8"/>
    <mergeCell ref="U7:U8"/>
  </mergeCells>
  <conditionalFormatting sqref="S116:T117">
    <cfRule type="containsErrors" dxfId="38" priority="87">
      <formula>ISERROR(S116)</formula>
    </cfRule>
  </conditionalFormatting>
  <conditionalFormatting sqref="V116:V117">
    <cfRule type="containsText" dxfId="37" priority="85" operator="containsText" text="No aprobado">
      <formula>NOT(ISERROR(SEARCH("No aprobado",V116)))</formula>
    </cfRule>
    <cfRule type="containsText" dxfId="36" priority="86" operator="containsText" text="Aprobado">
      <formula>NOT(ISERROR(SEARCH("Aprobado",V116)))</formula>
    </cfRule>
  </conditionalFormatting>
  <conditionalFormatting sqref="S118:T120">
    <cfRule type="containsErrors" dxfId="35" priority="84">
      <formula>ISERROR(S118)</formula>
    </cfRule>
  </conditionalFormatting>
  <conditionalFormatting sqref="V118:V120">
    <cfRule type="containsText" dxfId="34" priority="82" operator="containsText" text="No aprobado">
      <formula>NOT(ISERROR(SEARCH("No aprobado",V118)))</formula>
    </cfRule>
    <cfRule type="containsText" dxfId="33" priority="83" operator="containsText" text="Aprobado">
      <formula>NOT(ISERROR(SEARCH("Aprobado",V118)))</formula>
    </cfRule>
  </conditionalFormatting>
  <conditionalFormatting sqref="S121:T123">
    <cfRule type="containsErrors" dxfId="32" priority="81">
      <formula>ISERROR(S121)</formula>
    </cfRule>
  </conditionalFormatting>
  <conditionalFormatting sqref="V121:V123">
    <cfRule type="containsText" dxfId="31" priority="79" operator="containsText" text="No aprobado">
      <formula>NOT(ISERROR(SEARCH("No aprobado",V121)))</formula>
    </cfRule>
    <cfRule type="containsText" dxfId="30" priority="80" operator="containsText" text="Aprobado">
      <formula>NOT(ISERROR(SEARCH("Aprobado",V121)))</formula>
    </cfRule>
  </conditionalFormatting>
  <conditionalFormatting sqref="S124:T126">
    <cfRule type="containsErrors" dxfId="29" priority="78">
      <formula>ISERROR(S124)</formula>
    </cfRule>
  </conditionalFormatting>
  <conditionalFormatting sqref="V124:V126">
    <cfRule type="containsText" dxfId="28" priority="76" operator="containsText" text="No aprobado">
      <formula>NOT(ISERROR(SEARCH("No aprobado",V124)))</formula>
    </cfRule>
    <cfRule type="containsText" dxfId="27" priority="77" operator="containsText" text="Aprobado">
      <formula>NOT(ISERROR(SEARCH("Aprobado",V124)))</formula>
    </cfRule>
  </conditionalFormatting>
  <conditionalFormatting sqref="S110:T112">
    <cfRule type="containsErrors" dxfId="26" priority="30">
      <formula>ISERROR(S110)</formula>
    </cfRule>
  </conditionalFormatting>
  <conditionalFormatting sqref="V110:V112">
    <cfRule type="containsText" dxfId="25" priority="28" operator="containsText" text="No aprobado">
      <formula>NOT(ISERROR(SEARCH("No aprobado",V110)))</formula>
    </cfRule>
    <cfRule type="containsText" dxfId="24" priority="29" operator="containsText" text="Aprobado">
      <formula>NOT(ISERROR(SEARCH("Aprobado",V110)))</formula>
    </cfRule>
  </conditionalFormatting>
  <conditionalFormatting sqref="S113:T115">
    <cfRule type="containsErrors" dxfId="23" priority="27">
      <formula>ISERROR(S113)</formula>
    </cfRule>
  </conditionalFormatting>
  <conditionalFormatting sqref="V113:V115">
    <cfRule type="containsText" dxfId="22" priority="25" operator="containsText" text="No aprobado">
      <formula>NOT(ISERROR(SEARCH("No aprobado",V113)))</formula>
    </cfRule>
    <cfRule type="containsText" dxfId="21" priority="26" operator="containsText" text="Aprobado">
      <formula>NOT(ISERROR(SEARCH("Aprobado",V113)))</formula>
    </cfRule>
  </conditionalFormatting>
  <conditionalFormatting sqref="S109:T109">
    <cfRule type="containsErrors" dxfId="20" priority="15">
      <formula>ISERROR(S109)</formula>
    </cfRule>
  </conditionalFormatting>
  <conditionalFormatting sqref="V109">
    <cfRule type="containsText" dxfId="19" priority="13" operator="containsText" text="No aprobado">
      <formula>NOT(ISERROR(SEARCH("No aprobado",V109)))</formula>
    </cfRule>
    <cfRule type="containsText" dxfId="18" priority="14" operator="containsText" text="Aprobado">
      <formula>NOT(ISERROR(SEARCH("Aprobado",V109)))</formula>
    </cfRule>
  </conditionalFormatting>
  <conditionalFormatting sqref="S9:T108">
    <cfRule type="containsErrors" dxfId="17" priority="3">
      <formula>ISERROR(S9)</formula>
    </cfRule>
  </conditionalFormatting>
  <conditionalFormatting sqref="V9:V108">
    <cfRule type="containsText" dxfId="16" priority="1" operator="containsText" text="No aprobado">
      <formula>NOT(ISERROR(SEARCH("No aprobado",V9)))</formula>
    </cfRule>
    <cfRule type="containsText" dxfId="15" priority="2" operator="containsText" text="Aprobado">
      <formula>NOT(ISERROR(SEARCH("Aprobado",V9)))</formula>
    </cfRule>
  </conditionalFormatting>
  <dataValidations count="1">
    <dataValidation type="list" allowBlank="1" showInputMessage="1" showErrorMessage="1" sqref="I9:I126">
      <formula1>INDIRECT(H9)</formula1>
    </dataValidation>
  </dataValidations>
  <pageMargins left="0.7" right="0.7" top="0.75" bottom="0.75" header="0.3" footer="0.3"/>
  <pageSetup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Hoja1!$E$1:$E$12</xm:f>
          </x14:formula1>
          <xm:sqref>M9:M126</xm:sqref>
        </x14:dataValidation>
        <x14:dataValidation type="list" allowBlank="1" showInputMessage="1" showErrorMessage="1">
          <x14:formula1>
            <xm:f>Hoja1!$J$1:$J$102</xm:f>
          </x14:formula1>
          <xm:sqref>R9:R126</xm:sqref>
        </x14:dataValidation>
        <x14:dataValidation type="list" allowBlank="1" showInputMessage="1" showErrorMessage="1">
          <x14:formula1>
            <xm:f>Hoja1!$A$1:$A$4</xm:f>
          </x14:formula1>
          <xm:sqref>H9:H126</xm:sqref>
        </x14:dataValidation>
        <x14:dataValidation type="list" allowBlank="1" showInputMessage="1" showErrorMessage="1">
          <x14:formula1>
            <xm:f>Hoja1!$L$2:$L$4</xm:f>
          </x14:formula1>
          <xm:sqref>F9:F126</xm:sqref>
        </x14:dataValidation>
        <x14:dataValidation type="list" allowBlank="1" showInputMessage="1" showErrorMessage="1">
          <x14:formula1>
            <xm:f>Hoja1!$K$2:$K$4</xm:f>
          </x14:formula1>
          <xm:sqref>V9:V126</xm:sqref>
        </x14:dataValidation>
        <x14:dataValidation type="list" allowBlank="1" showInputMessage="1" showErrorMessage="1">
          <x14:formula1>
            <xm:f>Hoja1!$Q$2:$Q$4</xm:f>
          </x14:formula1>
          <xm:sqref>G9:G126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showGridLines="0" zoomScale="80" zoomScaleNormal="80" workbookViewId="0">
      <selection activeCell="A3" sqref="A3"/>
    </sheetView>
  </sheetViews>
  <sheetFormatPr baseColWidth="10" defaultColWidth="11" defaultRowHeight="12.5" x14ac:dyDescent="0.35"/>
  <cols>
    <col min="1" max="1" width="27.83203125" style="9" customWidth="1"/>
    <col min="2" max="2" width="21.25" style="9" customWidth="1"/>
    <col min="3" max="3" width="33.33203125" style="9" customWidth="1"/>
    <col min="4" max="8" width="14.58203125" style="9" customWidth="1"/>
    <col min="9" max="9" width="28.58203125" style="9" customWidth="1"/>
    <col min="10" max="10" width="26.58203125" style="9" customWidth="1"/>
    <col min="11" max="11" width="14.75" style="9" customWidth="1"/>
    <col min="12" max="12" width="15.25" style="9" customWidth="1"/>
    <col min="13" max="13" width="16.08203125" style="9" customWidth="1"/>
    <col min="14" max="14" width="17.33203125" style="9" customWidth="1"/>
    <col min="15" max="15" width="23.58203125" style="9" customWidth="1"/>
    <col min="16" max="16" width="16.83203125" style="33" customWidth="1"/>
    <col min="17" max="17" width="11.33203125" style="9" customWidth="1"/>
    <col min="18" max="18" width="49.33203125" style="9" customWidth="1"/>
    <col min="19" max="19" width="14.58203125" style="9" customWidth="1"/>
    <col min="20" max="20" width="15.25" style="9" customWidth="1"/>
    <col min="21" max="21" width="16.58203125" style="9" customWidth="1"/>
    <col min="22" max="22" width="20" style="9" customWidth="1"/>
    <col min="23" max="23" width="14.25" style="9" customWidth="1"/>
    <col min="24" max="24" width="14.08203125" style="4" customWidth="1"/>
    <col min="25" max="25" width="32" style="4" customWidth="1"/>
    <col min="26" max="16384" width="11" style="4"/>
  </cols>
  <sheetData>
    <row r="1" spans="1:23" ht="13.5" customHeight="1" x14ac:dyDescent="0.35"/>
    <row r="2" spans="1:23" ht="19.5" customHeight="1" x14ac:dyDescent="0.35">
      <c r="B2" s="5"/>
      <c r="E2" s="5"/>
      <c r="F2" s="5"/>
      <c r="J2" s="11"/>
      <c r="K2" s="11"/>
    </row>
    <row r="3" spans="1:23" ht="19.5" customHeight="1" x14ac:dyDescent="0.35">
      <c r="B3" s="5"/>
      <c r="D3" s="4"/>
      <c r="E3" s="5"/>
      <c r="F3" s="5"/>
      <c r="J3" s="11"/>
      <c r="K3" s="11"/>
    </row>
    <row r="4" spans="1:23" ht="13.5" customHeight="1" x14ac:dyDescent="0.35">
      <c r="B4" s="20"/>
      <c r="D4" s="4"/>
      <c r="E4" s="20"/>
      <c r="F4" s="20"/>
    </row>
    <row r="5" spans="1:23" ht="19.5" customHeight="1" x14ac:dyDescent="0.35">
      <c r="D5" s="4"/>
    </row>
    <row r="6" spans="1:23" ht="13.5" customHeight="1" thickBot="1" x14ac:dyDescent="0.4">
      <c r="I6" s="12"/>
    </row>
    <row r="7" spans="1:23" ht="29.5" customHeight="1" thickBot="1" x14ac:dyDescent="0.4">
      <c r="A7" s="66" t="s">
        <v>88</v>
      </c>
      <c r="B7" s="67"/>
      <c r="C7" s="67"/>
      <c r="D7" s="67"/>
      <c r="E7" s="67"/>
      <c r="F7" s="70"/>
      <c r="G7" s="63" t="s">
        <v>57</v>
      </c>
      <c r="H7" s="64"/>
      <c r="I7" s="64"/>
      <c r="J7" s="64"/>
      <c r="K7" s="64"/>
      <c r="L7" s="64"/>
      <c r="M7" s="64"/>
      <c r="N7" s="65"/>
      <c r="O7" s="72" t="s">
        <v>58</v>
      </c>
      <c r="P7" s="60"/>
      <c r="Q7" s="61" t="s">
        <v>89</v>
      </c>
      <c r="R7" s="62" t="s">
        <v>59</v>
      </c>
      <c r="S7" s="77" t="s">
        <v>60</v>
      </c>
      <c r="T7" s="62" t="s">
        <v>61</v>
      </c>
      <c r="U7" s="62" t="s">
        <v>62</v>
      </c>
      <c r="V7" s="69" t="s">
        <v>63</v>
      </c>
      <c r="W7" s="68" t="s">
        <v>64</v>
      </c>
    </row>
    <row r="8" spans="1:23" ht="46" customHeight="1" x14ac:dyDescent="0.35">
      <c r="A8" s="39" t="s">
        <v>93</v>
      </c>
      <c r="B8" s="39" t="s">
        <v>94</v>
      </c>
      <c r="C8" s="21" t="s">
        <v>95</v>
      </c>
      <c r="D8" s="39" t="s">
        <v>66</v>
      </c>
      <c r="E8" s="21" t="s">
        <v>71</v>
      </c>
      <c r="F8" s="21" t="s">
        <v>72</v>
      </c>
      <c r="G8" s="21" t="s">
        <v>74</v>
      </c>
      <c r="H8" s="40" t="s">
        <v>75</v>
      </c>
      <c r="I8" s="46" t="s">
        <v>76</v>
      </c>
      <c r="J8" s="45" t="s">
        <v>77</v>
      </c>
      <c r="K8" s="45" t="s">
        <v>78</v>
      </c>
      <c r="L8" s="46" t="s">
        <v>79</v>
      </c>
      <c r="M8" s="46" t="s">
        <v>80</v>
      </c>
      <c r="N8" s="46" t="s">
        <v>82</v>
      </c>
      <c r="O8" s="46" t="s">
        <v>83</v>
      </c>
      <c r="P8" s="58" t="s">
        <v>84</v>
      </c>
      <c r="Q8" s="62"/>
      <c r="R8" s="62"/>
      <c r="S8" s="77"/>
      <c r="T8" s="62"/>
      <c r="U8" s="62"/>
      <c r="V8" s="69"/>
      <c r="W8" s="68"/>
    </row>
    <row r="9" spans="1:23" ht="22" customHeight="1" x14ac:dyDescent="0.35">
      <c r="A9" s="8"/>
      <c r="B9" s="8"/>
      <c r="C9" s="8"/>
      <c r="D9" s="8"/>
      <c r="E9" s="34"/>
      <c r="F9" s="8"/>
      <c r="G9" s="8" t="s">
        <v>0</v>
      </c>
      <c r="H9" s="8" t="s">
        <v>0</v>
      </c>
      <c r="I9" s="17" t="s">
        <v>0</v>
      </c>
      <c r="J9" s="8"/>
      <c r="K9" s="6" t="str">
        <f>IFERROR(VLOOKUP(J9,Hoja1!$F$2:$H$28,2,0)," ")</f>
        <v xml:space="preserve"> </v>
      </c>
      <c r="L9" s="7" t="str">
        <f>IFERROR(IF(H9="NO",VLOOKUP(J9,Hoja1!$F$2:$I$28,3,0),VLOOKUP(J9,Hoja1!$F$2:$I$28,4,0))," ")</f>
        <v xml:space="preserve"> </v>
      </c>
      <c r="M9" s="24"/>
      <c r="N9" s="24"/>
      <c r="O9" s="25"/>
      <c r="P9" s="32"/>
      <c r="Q9" s="14"/>
      <c r="R9" s="35"/>
      <c r="S9" s="18" t="s">
        <v>0</v>
      </c>
      <c r="T9" s="15" t="e">
        <f t="shared" ref="T9:T65" si="0">S9*L9</f>
        <v>#VALUE!</v>
      </c>
      <c r="U9" s="16" t="e">
        <f t="shared" ref="U9:U65" si="1">L9-T9</f>
        <v>#VALUE!</v>
      </c>
      <c r="V9" s="10"/>
      <c r="W9" s="13" t="s">
        <v>20</v>
      </c>
    </row>
    <row r="10" spans="1:23" ht="22" customHeight="1" x14ac:dyDescent="0.35">
      <c r="A10" s="8"/>
      <c r="B10" s="8"/>
      <c r="C10" s="8"/>
      <c r="D10" s="8"/>
      <c r="E10" s="34"/>
      <c r="F10" s="8"/>
      <c r="G10" s="8" t="s">
        <v>0</v>
      </c>
      <c r="H10" s="8" t="s">
        <v>0</v>
      </c>
      <c r="I10" s="17" t="s">
        <v>0</v>
      </c>
      <c r="J10" s="8"/>
      <c r="K10" s="6" t="str">
        <f>IFERROR(VLOOKUP(J10,Hoja1!$F$2:$H$28,2,0)," ")</f>
        <v xml:space="preserve"> </v>
      </c>
      <c r="L10" s="7" t="str">
        <f>IFERROR(IF(H10="NO",VLOOKUP(J10,Hoja1!$F$2:$I$28,3,0),VLOOKUP(J10,Hoja1!$F$2:$I$28,4,0))," ")</f>
        <v xml:space="preserve"> </v>
      </c>
      <c r="M10" s="24"/>
      <c r="N10" s="24"/>
      <c r="O10" s="25"/>
      <c r="P10" s="32"/>
      <c r="Q10" s="14"/>
      <c r="R10" s="35"/>
      <c r="S10" s="18" t="s">
        <v>0</v>
      </c>
      <c r="T10" s="15" t="e">
        <f t="shared" si="0"/>
        <v>#VALUE!</v>
      </c>
      <c r="U10" s="16" t="e">
        <f t="shared" si="1"/>
        <v>#VALUE!</v>
      </c>
      <c r="V10" s="10"/>
      <c r="W10" s="13" t="s">
        <v>20</v>
      </c>
    </row>
    <row r="11" spans="1:23" ht="22" customHeight="1" x14ac:dyDescent="0.35">
      <c r="A11" s="8"/>
      <c r="B11" s="8"/>
      <c r="C11" s="8"/>
      <c r="D11" s="8"/>
      <c r="E11" s="34"/>
      <c r="F11" s="8"/>
      <c r="G11" s="8" t="s">
        <v>0</v>
      </c>
      <c r="H11" s="8" t="s">
        <v>0</v>
      </c>
      <c r="I11" s="17" t="s">
        <v>0</v>
      </c>
      <c r="J11" s="8"/>
      <c r="K11" s="6" t="str">
        <f>IFERROR(VLOOKUP(J11,Hoja1!$F$2:$H$28,2,0)," ")</f>
        <v xml:space="preserve"> </v>
      </c>
      <c r="L11" s="7" t="str">
        <f>IFERROR(IF(H11="NO",VLOOKUP(J11,Hoja1!$F$2:$I$28,3,0),VLOOKUP(J11,Hoja1!$F$2:$I$28,4,0))," ")</f>
        <v xml:space="preserve"> </v>
      </c>
      <c r="M11" s="24"/>
      <c r="N11" s="24"/>
      <c r="O11" s="25"/>
      <c r="P11" s="32"/>
      <c r="Q11" s="14"/>
      <c r="R11" s="35"/>
      <c r="S11" s="18" t="s">
        <v>0</v>
      </c>
      <c r="T11" s="15" t="e">
        <f t="shared" si="0"/>
        <v>#VALUE!</v>
      </c>
      <c r="U11" s="16" t="e">
        <f t="shared" si="1"/>
        <v>#VALUE!</v>
      </c>
      <c r="V11" s="10"/>
      <c r="W11" s="13" t="s">
        <v>20</v>
      </c>
    </row>
    <row r="12" spans="1:23" ht="22" customHeight="1" x14ac:dyDescent="0.35">
      <c r="A12" s="8"/>
      <c r="B12" s="8"/>
      <c r="C12" s="8"/>
      <c r="D12" s="8"/>
      <c r="E12" s="34"/>
      <c r="F12" s="8"/>
      <c r="G12" s="8" t="s">
        <v>0</v>
      </c>
      <c r="H12" s="8" t="s">
        <v>0</v>
      </c>
      <c r="I12" s="17" t="s">
        <v>0</v>
      </c>
      <c r="J12" s="8"/>
      <c r="K12" s="6" t="str">
        <f>IFERROR(VLOOKUP(J12,Hoja1!$F$2:$H$28,2,0)," ")</f>
        <v xml:space="preserve"> </v>
      </c>
      <c r="L12" s="7" t="str">
        <f>IFERROR(IF(H12="NO",VLOOKUP(J12,Hoja1!$F$2:$I$28,3,0),VLOOKUP(J12,Hoja1!$F$2:$I$28,4,0))," ")</f>
        <v xml:space="preserve"> </v>
      </c>
      <c r="M12" s="24"/>
      <c r="N12" s="24"/>
      <c r="O12" s="25"/>
      <c r="P12" s="32"/>
      <c r="Q12" s="14"/>
      <c r="R12" s="35"/>
      <c r="S12" s="18" t="s">
        <v>0</v>
      </c>
      <c r="T12" s="15" t="e">
        <f t="shared" si="0"/>
        <v>#VALUE!</v>
      </c>
      <c r="U12" s="16" t="e">
        <f t="shared" si="1"/>
        <v>#VALUE!</v>
      </c>
      <c r="V12" s="10"/>
      <c r="W12" s="13" t="s">
        <v>20</v>
      </c>
    </row>
    <row r="13" spans="1:23" ht="22" customHeight="1" x14ac:dyDescent="0.35">
      <c r="A13" s="8"/>
      <c r="B13" s="8"/>
      <c r="C13" s="8"/>
      <c r="D13" s="8"/>
      <c r="E13" s="34"/>
      <c r="F13" s="8"/>
      <c r="G13" s="8" t="s">
        <v>0</v>
      </c>
      <c r="H13" s="8" t="s">
        <v>0</v>
      </c>
      <c r="I13" s="17" t="s">
        <v>0</v>
      </c>
      <c r="J13" s="8"/>
      <c r="K13" s="6" t="str">
        <f>IFERROR(VLOOKUP(J13,Hoja1!$F$2:$H$28,2,0)," ")</f>
        <v xml:space="preserve"> </v>
      </c>
      <c r="L13" s="7" t="str">
        <f>IFERROR(IF(H13="NO",VLOOKUP(J13,Hoja1!$F$2:$I$28,3,0),VLOOKUP(J13,Hoja1!$F$2:$I$28,4,0))," ")</f>
        <v xml:space="preserve"> </v>
      </c>
      <c r="M13" s="24"/>
      <c r="N13" s="24"/>
      <c r="O13" s="25"/>
      <c r="P13" s="32"/>
      <c r="Q13" s="14"/>
      <c r="R13" s="35"/>
      <c r="S13" s="18" t="s">
        <v>0</v>
      </c>
      <c r="T13" s="15" t="e">
        <f t="shared" si="0"/>
        <v>#VALUE!</v>
      </c>
      <c r="U13" s="16" t="e">
        <f t="shared" si="1"/>
        <v>#VALUE!</v>
      </c>
      <c r="V13" s="10"/>
      <c r="W13" s="13" t="s">
        <v>20</v>
      </c>
    </row>
    <row r="14" spans="1:23" ht="22" customHeight="1" x14ac:dyDescent="0.35">
      <c r="A14" s="8"/>
      <c r="B14" s="8"/>
      <c r="C14" s="8"/>
      <c r="D14" s="8"/>
      <c r="E14" s="34"/>
      <c r="F14" s="8"/>
      <c r="G14" s="8" t="s">
        <v>0</v>
      </c>
      <c r="H14" s="8" t="s">
        <v>0</v>
      </c>
      <c r="I14" s="17" t="s">
        <v>0</v>
      </c>
      <c r="J14" s="8"/>
      <c r="K14" s="6" t="str">
        <f>IFERROR(VLOOKUP(J14,Hoja1!$F$2:$H$28,2,0)," ")</f>
        <v xml:space="preserve"> </v>
      </c>
      <c r="L14" s="7" t="str">
        <f>IFERROR(IF(H14="NO",VLOOKUP(J14,Hoja1!$F$2:$I$28,3,0),VLOOKUP(J14,Hoja1!$F$2:$I$28,4,0))," ")</f>
        <v xml:space="preserve"> </v>
      </c>
      <c r="M14" s="24"/>
      <c r="N14" s="24"/>
      <c r="O14" s="25"/>
      <c r="P14" s="32"/>
      <c r="Q14" s="14"/>
      <c r="R14" s="35"/>
      <c r="S14" s="18" t="s">
        <v>0</v>
      </c>
      <c r="T14" s="15" t="e">
        <f t="shared" si="0"/>
        <v>#VALUE!</v>
      </c>
      <c r="U14" s="16" t="e">
        <f t="shared" si="1"/>
        <v>#VALUE!</v>
      </c>
      <c r="V14" s="10"/>
      <c r="W14" s="13" t="s">
        <v>20</v>
      </c>
    </row>
    <row r="15" spans="1:23" ht="22" customHeight="1" x14ac:dyDescent="0.35">
      <c r="A15" s="8"/>
      <c r="B15" s="8"/>
      <c r="C15" s="8"/>
      <c r="D15" s="8"/>
      <c r="E15" s="34"/>
      <c r="F15" s="8"/>
      <c r="G15" s="8" t="s">
        <v>0</v>
      </c>
      <c r="H15" s="8" t="s">
        <v>0</v>
      </c>
      <c r="I15" s="17" t="s">
        <v>0</v>
      </c>
      <c r="J15" s="8"/>
      <c r="K15" s="6" t="str">
        <f>IFERROR(VLOOKUP(J15,Hoja1!$F$2:$H$28,2,0)," ")</f>
        <v xml:space="preserve"> </v>
      </c>
      <c r="L15" s="7" t="str">
        <f>IFERROR(IF(H15="NO",VLOOKUP(J15,Hoja1!$F$2:$I$28,3,0),VLOOKUP(J15,Hoja1!$F$2:$I$28,4,0))," ")</f>
        <v xml:space="preserve"> </v>
      </c>
      <c r="M15" s="24"/>
      <c r="N15" s="24"/>
      <c r="O15" s="25"/>
      <c r="P15" s="32"/>
      <c r="Q15" s="14"/>
      <c r="R15" s="35"/>
      <c r="S15" s="18" t="s">
        <v>0</v>
      </c>
      <c r="T15" s="15" t="e">
        <f t="shared" si="0"/>
        <v>#VALUE!</v>
      </c>
      <c r="U15" s="16" t="e">
        <f t="shared" si="1"/>
        <v>#VALUE!</v>
      </c>
      <c r="V15" s="10"/>
      <c r="W15" s="13" t="s">
        <v>20</v>
      </c>
    </row>
    <row r="16" spans="1:23" ht="22" customHeight="1" x14ac:dyDescent="0.35">
      <c r="A16" s="8"/>
      <c r="B16" s="8"/>
      <c r="C16" s="8"/>
      <c r="D16" s="8"/>
      <c r="E16" s="34"/>
      <c r="F16" s="8"/>
      <c r="G16" s="8" t="s">
        <v>0</v>
      </c>
      <c r="H16" s="8" t="s">
        <v>0</v>
      </c>
      <c r="I16" s="17" t="s">
        <v>0</v>
      </c>
      <c r="J16" s="8"/>
      <c r="K16" s="6" t="str">
        <f>IFERROR(VLOOKUP(J16,Hoja1!$F$2:$H$28,2,0)," ")</f>
        <v xml:space="preserve"> </v>
      </c>
      <c r="L16" s="7" t="str">
        <f>IFERROR(IF(H16="NO",VLOOKUP(J16,Hoja1!$F$2:$I$28,3,0),VLOOKUP(J16,Hoja1!$F$2:$I$28,4,0))," ")</f>
        <v xml:space="preserve"> </v>
      </c>
      <c r="M16" s="24"/>
      <c r="N16" s="24"/>
      <c r="O16" s="25"/>
      <c r="P16" s="32"/>
      <c r="Q16" s="14"/>
      <c r="R16" s="35"/>
      <c r="S16" s="18" t="s">
        <v>0</v>
      </c>
      <c r="T16" s="15" t="e">
        <f t="shared" si="0"/>
        <v>#VALUE!</v>
      </c>
      <c r="U16" s="16" t="e">
        <f t="shared" si="1"/>
        <v>#VALUE!</v>
      </c>
      <c r="V16" s="10"/>
      <c r="W16" s="13" t="s">
        <v>20</v>
      </c>
    </row>
    <row r="17" spans="1:23" ht="22" customHeight="1" x14ac:dyDescent="0.35">
      <c r="A17" s="8"/>
      <c r="B17" s="8"/>
      <c r="C17" s="8"/>
      <c r="D17" s="8"/>
      <c r="E17" s="34"/>
      <c r="F17" s="8"/>
      <c r="G17" s="8" t="s">
        <v>0</v>
      </c>
      <c r="H17" s="8" t="s">
        <v>0</v>
      </c>
      <c r="I17" s="17" t="s">
        <v>0</v>
      </c>
      <c r="J17" s="8"/>
      <c r="K17" s="6" t="str">
        <f>IFERROR(VLOOKUP(J17,Hoja1!$F$2:$H$28,2,0)," ")</f>
        <v xml:space="preserve"> </v>
      </c>
      <c r="L17" s="7" t="str">
        <f>IFERROR(IF(H17="NO",VLOOKUP(J17,Hoja1!$F$2:$I$28,3,0),VLOOKUP(J17,Hoja1!$F$2:$I$28,4,0))," ")</f>
        <v xml:space="preserve"> </v>
      </c>
      <c r="M17" s="24"/>
      <c r="N17" s="24"/>
      <c r="O17" s="25"/>
      <c r="P17" s="32"/>
      <c r="Q17" s="14"/>
      <c r="R17" s="35"/>
      <c r="S17" s="18" t="s">
        <v>0</v>
      </c>
      <c r="T17" s="15" t="e">
        <f t="shared" si="0"/>
        <v>#VALUE!</v>
      </c>
      <c r="U17" s="16" t="e">
        <f t="shared" si="1"/>
        <v>#VALUE!</v>
      </c>
      <c r="V17" s="10"/>
      <c r="W17" s="13" t="s">
        <v>20</v>
      </c>
    </row>
    <row r="18" spans="1:23" ht="22" customHeight="1" x14ac:dyDescent="0.35">
      <c r="A18" s="8"/>
      <c r="B18" s="8"/>
      <c r="C18" s="8"/>
      <c r="D18" s="8"/>
      <c r="E18" s="34"/>
      <c r="F18" s="8"/>
      <c r="G18" s="8" t="s">
        <v>0</v>
      </c>
      <c r="H18" s="8" t="s">
        <v>0</v>
      </c>
      <c r="I18" s="17" t="s">
        <v>0</v>
      </c>
      <c r="J18" s="8"/>
      <c r="K18" s="6" t="str">
        <f>IFERROR(VLOOKUP(J18,Hoja1!$F$2:$H$28,2,0)," ")</f>
        <v xml:space="preserve"> </v>
      </c>
      <c r="L18" s="7" t="str">
        <f>IFERROR(IF(H18="NO",VLOOKUP(J18,Hoja1!$F$2:$I$28,3,0),VLOOKUP(J18,Hoja1!$F$2:$I$28,4,0))," ")</f>
        <v xml:space="preserve"> </v>
      </c>
      <c r="M18" s="24"/>
      <c r="N18" s="24"/>
      <c r="O18" s="25"/>
      <c r="P18" s="32"/>
      <c r="Q18" s="14"/>
      <c r="R18" s="35"/>
      <c r="S18" s="18" t="s">
        <v>0</v>
      </c>
      <c r="T18" s="15" t="e">
        <f t="shared" si="0"/>
        <v>#VALUE!</v>
      </c>
      <c r="U18" s="16" t="e">
        <f t="shared" si="1"/>
        <v>#VALUE!</v>
      </c>
      <c r="V18" s="10"/>
      <c r="W18" s="13" t="s">
        <v>20</v>
      </c>
    </row>
    <row r="19" spans="1:23" ht="22" customHeight="1" x14ac:dyDescent="0.35">
      <c r="A19" s="8"/>
      <c r="B19" s="8"/>
      <c r="C19" s="8"/>
      <c r="D19" s="8"/>
      <c r="E19" s="34"/>
      <c r="F19" s="8"/>
      <c r="G19" s="8" t="s">
        <v>0</v>
      </c>
      <c r="H19" s="8" t="s">
        <v>0</v>
      </c>
      <c r="I19" s="17" t="s">
        <v>0</v>
      </c>
      <c r="J19" s="8"/>
      <c r="K19" s="6" t="str">
        <f>IFERROR(VLOOKUP(J19,Hoja1!$F$2:$H$28,2,0)," ")</f>
        <v xml:space="preserve"> </v>
      </c>
      <c r="L19" s="7" t="str">
        <f>IFERROR(IF(H19="NO",VLOOKUP(J19,Hoja1!$F$2:$I$28,3,0),VLOOKUP(J19,Hoja1!$F$2:$I$28,4,0))," ")</f>
        <v xml:space="preserve"> </v>
      </c>
      <c r="M19" s="24"/>
      <c r="N19" s="24"/>
      <c r="O19" s="25"/>
      <c r="P19" s="32"/>
      <c r="Q19" s="14"/>
      <c r="R19" s="35"/>
      <c r="S19" s="18" t="s">
        <v>0</v>
      </c>
      <c r="T19" s="15" t="e">
        <f t="shared" si="0"/>
        <v>#VALUE!</v>
      </c>
      <c r="U19" s="16" t="e">
        <f t="shared" si="1"/>
        <v>#VALUE!</v>
      </c>
      <c r="V19" s="10"/>
      <c r="W19" s="13" t="s">
        <v>20</v>
      </c>
    </row>
    <row r="20" spans="1:23" ht="22" customHeight="1" x14ac:dyDescent="0.35">
      <c r="A20" s="8"/>
      <c r="B20" s="8"/>
      <c r="C20" s="8"/>
      <c r="D20" s="8"/>
      <c r="E20" s="34"/>
      <c r="F20" s="8"/>
      <c r="G20" s="8" t="s">
        <v>0</v>
      </c>
      <c r="H20" s="8" t="s">
        <v>0</v>
      </c>
      <c r="I20" s="17" t="s">
        <v>0</v>
      </c>
      <c r="J20" s="8"/>
      <c r="K20" s="6" t="str">
        <f>IFERROR(VLOOKUP(J20,Hoja1!$F$2:$H$28,2,0)," ")</f>
        <v xml:space="preserve"> </v>
      </c>
      <c r="L20" s="7" t="str">
        <f>IFERROR(IF(H20="NO",VLOOKUP(J20,Hoja1!$F$2:$I$28,3,0),VLOOKUP(J20,Hoja1!$F$2:$I$28,4,0))," ")</f>
        <v xml:space="preserve"> </v>
      </c>
      <c r="M20" s="24"/>
      <c r="N20" s="24"/>
      <c r="O20" s="25"/>
      <c r="P20" s="32"/>
      <c r="Q20" s="14"/>
      <c r="R20" s="35"/>
      <c r="S20" s="18" t="s">
        <v>0</v>
      </c>
      <c r="T20" s="15" t="e">
        <f t="shared" si="0"/>
        <v>#VALUE!</v>
      </c>
      <c r="U20" s="16" t="e">
        <f t="shared" si="1"/>
        <v>#VALUE!</v>
      </c>
      <c r="V20" s="10"/>
      <c r="W20" s="13" t="s">
        <v>20</v>
      </c>
    </row>
    <row r="21" spans="1:23" ht="22" customHeight="1" x14ac:dyDescent="0.35">
      <c r="A21" s="8"/>
      <c r="B21" s="8"/>
      <c r="C21" s="8"/>
      <c r="D21" s="8"/>
      <c r="E21" s="34"/>
      <c r="F21" s="8"/>
      <c r="G21" s="8" t="s">
        <v>0</v>
      </c>
      <c r="H21" s="8" t="s">
        <v>0</v>
      </c>
      <c r="I21" s="17" t="s">
        <v>0</v>
      </c>
      <c r="J21" s="8"/>
      <c r="K21" s="6" t="str">
        <f>IFERROR(VLOOKUP(J21,Hoja1!$F$2:$H$28,2,0)," ")</f>
        <v xml:space="preserve"> </v>
      </c>
      <c r="L21" s="7" t="str">
        <f>IFERROR(IF(H21="NO",VLOOKUP(J21,Hoja1!$F$2:$I$28,3,0),VLOOKUP(J21,Hoja1!$F$2:$I$28,4,0))," ")</f>
        <v xml:space="preserve"> </v>
      </c>
      <c r="M21" s="24"/>
      <c r="N21" s="24"/>
      <c r="O21" s="25"/>
      <c r="P21" s="32"/>
      <c r="Q21" s="14"/>
      <c r="R21" s="35"/>
      <c r="S21" s="18" t="s">
        <v>0</v>
      </c>
      <c r="T21" s="15" t="e">
        <f t="shared" si="0"/>
        <v>#VALUE!</v>
      </c>
      <c r="U21" s="16" t="e">
        <f t="shared" si="1"/>
        <v>#VALUE!</v>
      </c>
      <c r="V21" s="10"/>
      <c r="W21" s="13" t="s">
        <v>20</v>
      </c>
    </row>
    <row r="22" spans="1:23" ht="22" customHeight="1" x14ac:dyDescent="0.35">
      <c r="A22" s="8"/>
      <c r="B22" s="8"/>
      <c r="C22" s="8"/>
      <c r="D22" s="8"/>
      <c r="E22" s="34"/>
      <c r="F22" s="8"/>
      <c r="G22" s="8" t="s">
        <v>0</v>
      </c>
      <c r="H22" s="8" t="s">
        <v>0</v>
      </c>
      <c r="I22" s="17" t="s">
        <v>0</v>
      </c>
      <c r="J22" s="8"/>
      <c r="K22" s="6" t="str">
        <f>IFERROR(VLOOKUP(J22,Hoja1!$F$2:$H$28,2,0)," ")</f>
        <v xml:space="preserve"> </v>
      </c>
      <c r="L22" s="7" t="str">
        <f>IFERROR(IF(H22="NO",VLOOKUP(J22,Hoja1!$F$2:$I$28,3,0),VLOOKUP(J22,Hoja1!$F$2:$I$28,4,0))," ")</f>
        <v xml:space="preserve"> </v>
      </c>
      <c r="M22" s="24"/>
      <c r="N22" s="24"/>
      <c r="O22" s="25"/>
      <c r="P22" s="32"/>
      <c r="Q22" s="14"/>
      <c r="R22" s="35"/>
      <c r="S22" s="18" t="s">
        <v>0</v>
      </c>
      <c r="T22" s="15" t="e">
        <f t="shared" si="0"/>
        <v>#VALUE!</v>
      </c>
      <c r="U22" s="16" t="e">
        <f t="shared" si="1"/>
        <v>#VALUE!</v>
      </c>
      <c r="V22" s="10"/>
      <c r="W22" s="13" t="s">
        <v>20</v>
      </c>
    </row>
    <row r="23" spans="1:23" ht="22" customHeight="1" x14ac:dyDescent="0.35">
      <c r="A23" s="8"/>
      <c r="B23" s="8"/>
      <c r="C23" s="8"/>
      <c r="D23" s="8"/>
      <c r="E23" s="34"/>
      <c r="F23" s="8"/>
      <c r="G23" s="8" t="s">
        <v>0</v>
      </c>
      <c r="H23" s="8" t="s">
        <v>0</v>
      </c>
      <c r="I23" s="17" t="s">
        <v>0</v>
      </c>
      <c r="J23" s="8"/>
      <c r="K23" s="6" t="str">
        <f>IFERROR(VLOOKUP(J23,Hoja1!$F$2:$H$28,2,0)," ")</f>
        <v xml:space="preserve"> </v>
      </c>
      <c r="L23" s="7" t="str">
        <f>IFERROR(IF(H23="NO",VLOOKUP(J23,Hoja1!$F$2:$I$28,3,0),VLOOKUP(J23,Hoja1!$F$2:$I$28,4,0))," ")</f>
        <v xml:space="preserve"> </v>
      </c>
      <c r="M23" s="24"/>
      <c r="N23" s="24"/>
      <c r="O23" s="25"/>
      <c r="P23" s="32"/>
      <c r="Q23" s="14"/>
      <c r="R23" s="35"/>
      <c r="S23" s="18" t="s">
        <v>0</v>
      </c>
      <c r="T23" s="15" t="e">
        <f t="shared" si="0"/>
        <v>#VALUE!</v>
      </c>
      <c r="U23" s="16" t="e">
        <f t="shared" si="1"/>
        <v>#VALUE!</v>
      </c>
      <c r="V23" s="10"/>
      <c r="W23" s="13" t="s">
        <v>20</v>
      </c>
    </row>
    <row r="24" spans="1:23" ht="22" customHeight="1" x14ac:dyDescent="0.35">
      <c r="A24" s="8"/>
      <c r="B24" s="8"/>
      <c r="C24" s="8"/>
      <c r="D24" s="8"/>
      <c r="E24" s="34"/>
      <c r="F24" s="8"/>
      <c r="G24" s="8" t="s">
        <v>0</v>
      </c>
      <c r="H24" s="8" t="s">
        <v>0</v>
      </c>
      <c r="I24" s="17" t="s">
        <v>0</v>
      </c>
      <c r="J24" s="8"/>
      <c r="K24" s="6" t="str">
        <f>IFERROR(VLOOKUP(J24,Hoja1!$F$2:$H$28,2,0)," ")</f>
        <v xml:space="preserve"> </v>
      </c>
      <c r="L24" s="7" t="str">
        <f>IFERROR(IF(H24="NO",VLOOKUP(J24,Hoja1!$F$2:$I$28,3,0),VLOOKUP(J24,Hoja1!$F$2:$I$28,4,0))," ")</f>
        <v xml:space="preserve"> </v>
      </c>
      <c r="M24" s="24"/>
      <c r="N24" s="24"/>
      <c r="O24" s="25"/>
      <c r="P24" s="32"/>
      <c r="Q24" s="14"/>
      <c r="R24" s="35"/>
      <c r="S24" s="18" t="s">
        <v>0</v>
      </c>
      <c r="T24" s="15" t="e">
        <f t="shared" si="0"/>
        <v>#VALUE!</v>
      </c>
      <c r="U24" s="16" t="e">
        <f t="shared" si="1"/>
        <v>#VALUE!</v>
      </c>
      <c r="V24" s="10"/>
      <c r="W24" s="13" t="s">
        <v>20</v>
      </c>
    </row>
    <row r="25" spans="1:23" ht="22" customHeight="1" x14ac:dyDescent="0.35">
      <c r="A25" s="8"/>
      <c r="B25" s="8"/>
      <c r="C25" s="8"/>
      <c r="D25" s="8"/>
      <c r="E25" s="34"/>
      <c r="F25" s="8"/>
      <c r="G25" s="8" t="s">
        <v>0</v>
      </c>
      <c r="H25" s="8" t="s">
        <v>0</v>
      </c>
      <c r="I25" s="17" t="s">
        <v>0</v>
      </c>
      <c r="J25" s="8"/>
      <c r="K25" s="6" t="str">
        <f>IFERROR(VLOOKUP(J25,Hoja1!$F$2:$H$28,2,0)," ")</f>
        <v xml:space="preserve"> </v>
      </c>
      <c r="L25" s="7" t="str">
        <f>IFERROR(IF(H25="NO",VLOOKUP(J25,Hoja1!$F$2:$I$28,3,0),VLOOKUP(J25,Hoja1!$F$2:$I$28,4,0))," ")</f>
        <v xml:space="preserve"> </v>
      </c>
      <c r="M25" s="24"/>
      <c r="N25" s="24"/>
      <c r="O25" s="25"/>
      <c r="P25" s="32"/>
      <c r="Q25" s="14"/>
      <c r="R25" s="35"/>
      <c r="S25" s="18" t="s">
        <v>0</v>
      </c>
      <c r="T25" s="15" t="e">
        <f t="shared" si="0"/>
        <v>#VALUE!</v>
      </c>
      <c r="U25" s="16" t="e">
        <f t="shared" si="1"/>
        <v>#VALUE!</v>
      </c>
      <c r="V25" s="10"/>
      <c r="W25" s="13" t="s">
        <v>20</v>
      </c>
    </row>
    <row r="26" spans="1:23" ht="22" customHeight="1" x14ac:dyDescent="0.35">
      <c r="A26" s="8"/>
      <c r="B26" s="8"/>
      <c r="C26" s="8"/>
      <c r="D26" s="8"/>
      <c r="E26" s="34"/>
      <c r="F26" s="8"/>
      <c r="G26" s="8" t="s">
        <v>0</v>
      </c>
      <c r="H26" s="8" t="s">
        <v>0</v>
      </c>
      <c r="I26" s="17" t="s">
        <v>0</v>
      </c>
      <c r="J26" s="8"/>
      <c r="K26" s="6" t="str">
        <f>IFERROR(VLOOKUP(J26,Hoja1!$F$2:$H$28,2,0)," ")</f>
        <v xml:space="preserve"> </v>
      </c>
      <c r="L26" s="7" t="str">
        <f>IFERROR(IF(H26="NO",VLOOKUP(J26,Hoja1!$F$2:$I$28,3,0),VLOOKUP(J26,Hoja1!$F$2:$I$28,4,0))," ")</f>
        <v xml:space="preserve"> </v>
      </c>
      <c r="M26" s="24"/>
      <c r="N26" s="24"/>
      <c r="O26" s="25"/>
      <c r="P26" s="32"/>
      <c r="Q26" s="14"/>
      <c r="R26" s="35"/>
      <c r="S26" s="18" t="s">
        <v>0</v>
      </c>
      <c r="T26" s="15" t="e">
        <f t="shared" si="0"/>
        <v>#VALUE!</v>
      </c>
      <c r="U26" s="16" t="e">
        <f t="shared" si="1"/>
        <v>#VALUE!</v>
      </c>
      <c r="V26" s="10"/>
      <c r="W26" s="13" t="s">
        <v>20</v>
      </c>
    </row>
    <row r="27" spans="1:23" ht="22" customHeight="1" x14ac:dyDescent="0.35">
      <c r="A27" s="8"/>
      <c r="B27" s="8"/>
      <c r="C27" s="8"/>
      <c r="D27" s="8"/>
      <c r="E27" s="34"/>
      <c r="F27" s="8"/>
      <c r="G27" s="8" t="s">
        <v>0</v>
      </c>
      <c r="H27" s="8" t="s">
        <v>0</v>
      </c>
      <c r="I27" s="17" t="s">
        <v>0</v>
      </c>
      <c r="J27" s="8"/>
      <c r="K27" s="6" t="str">
        <f>IFERROR(VLOOKUP(J27,Hoja1!$F$2:$H$28,2,0)," ")</f>
        <v xml:space="preserve"> </v>
      </c>
      <c r="L27" s="7" t="str">
        <f>IFERROR(IF(H27="NO",VLOOKUP(J27,Hoja1!$F$2:$I$28,3,0),VLOOKUP(J27,Hoja1!$F$2:$I$28,4,0))," ")</f>
        <v xml:space="preserve"> </v>
      </c>
      <c r="M27" s="24"/>
      <c r="N27" s="24"/>
      <c r="O27" s="25"/>
      <c r="P27" s="32"/>
      <c r="Q27" s="14"/>
      <c r="R27" s="35"/>
      <c r="S27" s="18" t="s">
        <v>0</v>
      </c>
      <c r="T27" s="15" t="e">
        <f t="shared" si="0"/>
        <v>#VALUE!</v>
      </c>
      <c r="U27" s="16" t="e">
        <f t="shared" si="1"/>
        <v>#VALUE!</v>
      </c>
      <c r="V27" s="10"/>
      <c r="W27" s="13" t="s">
        <v>20</v>
      </c>
    </row>
    <row r="28" spans="1:23" ht="22" customHeight="1" x14ac:dyDescent="0.35">
      <c r="A28" s="8"/>
      <c r="B28" s="8"/>
      <c r="C28" s="8"/>
      <c r="D28" s="8"/>
      <c r="E28" s="34"/>
      <c r="F28" s="8"/>
      <c r="G28" s="8" t="s">
        <v>0</v>
      </c>
      <c r="H28" s="8" t="s">
        <v>0</v>
      </c>
      <c r="I28" s="17" t="s">
        <v>0</v>
      </c>
      <c r="J28" s="8"/>
      <c r="K28" s="6" t="str">
        <f>IFERROR(VLOOKUP(J28,Hoja1!$F$2:$H$28,2,0)," ")</f>
        <v xml:space="preserve"> </v>
      </c>
      <c r="L28" s="7" t="str">
        <f>IFERROR(IF(H28="NO",VLOOKUP(J28,Hoja1!$F$2:$I$28,3,0),VLOOKUP(J28,Hoja1!$F$2:$I$28,4,0))," ")</f>
        <v xml:space="preserve"> </v>
      </c>
      <c r="M28" s="24"/>
      <c r="N28" s="24"/>
      <c r="O28" s="25"/>
      <c r="P28" s="32"/>
      <c r="Q28" s="14"/>
      <c r="R28" s="35"/>
      <c r="S28" s="18" t="s">
        <v>0</v>
      </c>
      <c r="T28" s="15" t="e">
        <f t="shared" si="0"/>
        <v>#VALUE!</v>
      </c>
      <c r="U28" s="16" t="e">
        <f t="shared" si="1"/>
        <v>#VALUE!</v>
      </c>
      <c r="V28" s="10"/>
      <c r="W28" s="13" t="s">
        <v>20</v>
      </c>
    </row>
    <row r="29" spans="1:23" ht="22" customHeight="1" x14ac:dyDescent="0.35">
      <c r="A29" s="8"/>
      <c r="B29" s="8"/>
      <c r="C29" s="8"/>
      <c r="D29" s="8"/>
      <c r="E29" s="34"/>
      <c r="F29" s="8"/>
      <c r="G29" s="8" t="s">
        <v>0</v>
      </c>
      <c r="H29" s="8" t="s">
        <v>0</v>
      </c>
      <c r="I29" s="17" t="s">
        <v>0</v>
      </c>
      <c r="J29" s="8"/>
      <c r="K29" s="6" t="str">
        <f>IFERROR(VLOOKUP(J29,Hoja1!$F$2:$H$28,2,0)," ")</f>
        <v xml:space="preserve"> </v>
      </c>
      <c r="L29" s="7" t="str">
        <f>IFERROR(IF(H29="NO",VLOOKUP(J29,Hoja1!$F$2:$I$28,3,0),VLOOKUP(J29,Hoja1!$F$2:$I$28,4,0))," ")</f>
        <v xml:space="preserve"> </v>
      </c>
      <c r="M29" s="24"/>
      <c r="N29" s="24"/>
      <c r="O29" s="25"/>
      <c r="P29" s="32"/>
      <c r="Q29" s="14"/>
      <c r="R29" s="35"/>
      <c r="S29" s="18" t="s">
        <v>0</v>
      </c>
      <c r="T29" s="15" t="e">
        <f t="shared" si="0"/>
        <v>#VALUE!</v>
      </c>
      <c r="U29" s="16" t="e">
        <f t="shared" si="1"/>
        <v>#VALUE!</v>
      </c>
      <c r="V29" s="10"/>
      <c r="W29" s="13" t="s">
        <v>20</v>
      </c>
    </row>
    <row r="30" spans="1:23" ht="22" customHeight="1" x14ac:dyDescent="0.35">
      <c r="A30" s="8"/>
      <c r="B30" s="8"/>
      <c r="C30" s="8"/>
      <c r="D30" s="8"/>
      <c r="E30" s="34"/>
      <c r="F30" s="8"/>
      <c r="G30" s="8" t="s">
        <v>0</v>
      </c>
      <c r="H30" s="8" t="s">
        <v>0</v>
      </c>
      <c r="I30" s="17" t="s">
        <v>0</v>
      </c>
      <c r="J30" s="8"/>
      <c r="K30" s="6" t="str">
        <f>IFERROR(VLOOKUP(J30,Hoja1!$F$2:$H$28,2,0)," ")</f>
        <v xml:space="preserve"> </v>
      </c>
      <c r="L30" s="7" t="str">
        <f>IFERROR(IF(H30="NO",VLOOKUP(J30,Hoja1!$F$2:$I$28,3,0),VLOOKUP(J30,Hoja1!$F$2:$I$28,4,0))," ")</f>
        <v xml:space="preserve"> </v>
      </c>
      <c r="M30" s="24"/>
      <c r="N30" s="24"/>
      <c r="O30" s="25"/>
      <c r="P30" s="32"/>
      <c r="Q30" s="14"/>
      <c r="R30" s="35"/>
      <c r="S30" s="18" t="s">
        <v>0</v>
      </c>
      <c r="T30" s="15" t="e">
        <f t="shared" si="0"/>
        <v>#VALUE!</v>
      </c>
      <c r="U30" s="16" t="e">
        <f t="shared" si="1"/>
        <v>#VALUE!</v>
      </c>
      <c r="V30" s="10"/>
      <c r="W30" s="13" t="s">
        <v>20</v>
      </c>
    </row>
    <row r="31" spans="1:23" ht="22" customHeight="1" x14ac:dyDescent="0.35">
      <c r="A31" s="8"/>
      <c r="B31" s="8"/>
      <c r="C31" s="8"/>
      <c r="D31" s="8"/>
      <c r="E31" s="34"/>
      <c r="F31" s="8"/>
      <c r="G31" s="8" t="s">
        <v>0</v>
      </c>
      <c r="H31" s="8" t="s">
        <v>0</v>
      </c>
      <c r="I31" s="17" t="s">
        <v>0</v>
      </c>
      <c r="J31" s="8"/>
      <c r="K31" s="6" t="str">
        <f>IFERROR(VLOOKUP(J31,Hoja1!$F$2:$H$28,2,0)," ")</f>
        <v xml:space="preserve"> </v>
      </c>
      <c r="L31" s="7" t="str">
        <f>IFERROR(IF(H31="NO",VLOOKUP(J31,Hoja1!$F$2:$I$28,3,0),VLOOKUP(J31,Hoja1!$F$2:$I$28,4,0))," ")</f>
        <v xml:space="preserve"> </v>
      </c>
      <c r="M31" s="24"/>
      <c r="N31" s="24"/>
      <c r="O31" s="25"/>
      <c r="P31" s="32"/>
      <c r="Q31" s="14"/>
      <c r="R31" s="35"/>
      <c r="S31" s="18" t="s">
        <v>0</v>
      </c>
      <c r="T31" s="15" t="e">
        <f t="shared" si="0"/>
        <v>#VALUE!</v>
      </c>
      <c r="U31" s="16" t="e">
        <f t="shared" si="1"/>
        <v>#VALUE!</v>
      </c>
      <c r="V31" s="10"/>
      <c r="W31" s="13" t="s">
        <v>20</v>
      </c>
    </row>
    <row r="32" spans="1:23" ht="22" customHeight="1" x14ac:dyDescent="0.35">
      <c r="A32" s="8"/>
      <c r="B32" s="8"/>
      <c r="C32" s="8"/>
      <c r="D32" s="8"/>
      <c r="E32" s="34"/>
      <c r="F32" s="8"/>
      <c r="G32" s="8" t="s">
        <v>0</v>
      </c>
      <c r="H32" s="8" t="s">
        <v>0</v>
      </c>
      <c r="I32" s="17" t="s">
        <v>0</v>
      </c>
      <c r="J32" s="8"/>
      <c r="K32" s="6" t="str">
        <f>IFERROR(VLOOKUP(J32,Hoja1!$F$2:$H$28,2,0)," ")</f>
        <v xml:space="preserve"> </v>
      </c>
      <c r="L32" s="7" t="str">
        <f>IFERROR(IF(H32="NO",VLOOKUP(J32,Hoja1!$F$2:$I$28,3,0),VLOOKUP(J32,Hoja1!$F$2:$I$28,4,0))," ")</f>
        <v xml:space="preserve"> </v>
      </c>
      <c r="M32" s="24"/>
      <c r="N32" s="24"/>
      <c r="O32" s="25"/>
      <c r="P32" s="32"/>
      <c r="Q32" s="14"/>
      <c r="R32" s="35"/>
      <c r="S32" s="18" t="s">
        <v>0</v>
      </c>
      <c r="T32" s="15" t="e">
        <f t="shared" si="0"/>
        <v>#VALUE!</v>
      </c>
      <c r="U32" s="16" t="e">
        <f t="shared" si="1"/>
        <v>#VALUE!</v>
      </c>
      <c r="V32" s="10"/>
      <c r="W32" s="13" t="s">
        <v>20</v>
      </c>
    </row>
    <row r="33" spans="1:23" ht="22" customHeight="1" x14ac:dyDescent="0.35">
      <c r="A33" s="8"/>
      <c r="B33" s="8"/>
      <c r="C33" s="8"/>
      <c r="D33" s="8"/>
      <c r="E33" s="34"/>
      <c r="F33" s="8"/>
      <c r="G33" s="8" t="s">
        <v>0</v>
      </c>
      <c r="H33" s="8" t="s">
        <v>0</v>
      </c>
      <c r="I33" s="17" t="s">
        <v>0</v>
      </c>
      <c r="J33" s="8"/>
      <c r="K33" s="6" t="str">
        <f>IFERROR(VLOOKUP(J33,Hoja1!$F$2:$H$28,2,0)," ")</f>
        <v xml:space="preserve"> </v>
      </c>
      <c r="L33" s="7" t="str">
        <f>IFERROR(IF(H33="NO",VLOOKUP(J33,Hoja1!$F$2:$I$28,3,0),VLOOKUP(J33,Hoja1!$F$2:$I$28,4,0))," ")</f>
        <v xml:space="preserve"> </v>
      </c>
      <c r="M33" s="24"/>
      <c r="N33" s="24"/>
      <c r="O33" s="25"/>
      <c r="P33" s="32"/>
      <c r="Q33" s="14"/>
      <c r="R33" s="35"/>
      <c r="S33" s="18" t="s">
        <v>0</v>
      </c>
      <c r="T33" s="15" t="e">
        <f t="shared" si="0"/>
        <v>#VALUE!</v>
      </c>
      <c r="U33" s="16" t="e">
        <f t="shared" si="1"/>
        <v>#VALUE!</v>
      </c>
      <c r="V33" s="10"/>
      <c r="W33" s="13" t="s">
        <v>20</v>
      </c>
    </row>
    <row r="34" spans="1:23" ht="22" customHeight="1" x14ac:dyDescent="0.35">
      <c r="A34" s="8"/>
      <c r="B34" s="8"/>
      <c r="C34" s="8"/>
      <c r="D34" s="8"/>
      <c r="E34" s="34"/>
      <c r="F34" s="8"/>
      <c r="G34" s="8" t="s">
        <v>0</v>
      </c>
      <c r="H34" s="8" t="s">
        <v>0</v>
      </c>
      <c r="I34" s="17" t="s">
        <v>0</v>
      </c>
      <c r="J34" s="8"/>
      <c r="K34" s="6" t="str">
        <f>IFERROR(VLOOKUP(J34,Hoja1!$F$2:$H$28,2,0)," ")</f>
        <v xml:space="preserve"> </v>
      </c>
      <c r="L34" s="7" t="str">
        <f>IFERROR(IF(H34="NO",VLOOKUP(J34,Hoja1!$F$2:$I$28,3,0),VLOOKUP(J34,Hoja1!$F$2:$I$28,4,0))," ")</f>
        <v xml:space="preserve"> </v>
      </c>
      <c r="M34" s="24"/>
      <c r="N34" s="24"/>
      <c r="O34" s="25"/>
      <c r="P34" s="32"/>
      <c r="Q34" s="14"/>
      <c r="R34" s="35"/>
      <c r="S34" s="18" t="s">
        <v>0</v>
      </c>
      <c r="T34" s="15" t="e">
        <f t="shared" si="0"/>
        <v>#VALUE!</v>
      </c>
      <c r="U34" s="16" t="e">
        <f t="shared" si="1"/>
        <v>#VALUE!</v>
      </c>
      <c r="V34" s="10"/>
      <c r="W34" s="13" t="s">
        <v>20</v>
      </c>
    </row>
    <row r="35" spans="1:23" ht="22" customHeight="1" x14ac:dyDescent="0.35">
      <c r="A35" s="8"/>
      <c r="B35" s="8"/>
      <c r="C35" s="8"/>
      <c r="D35" s="8"/>
      <c r="E35" s="34"/>
      <c r="F35" s="8"/>
      <c r="G35" s="8" t="s">
        <v>0</v>
      </c>
      <c r="H35" s="8" t="s">
        <v>0</v>
      </c>
      <c r="I35" s="17" t="s">
        <v>0</v>
      </c>
      <c r="J35" s="8"/>
      <c r="K35" s="6" t="str">
        <f>IFERROR(VLOOKUP(J35,Hoja1!$F$2:$H$28,2,0)," ")</f>
        <v xml:space="preserve"> </v>
      </c>
      <c r="L35" s="7" t="str">
        <f>IFERROR(IF(H35="NO",VLOOKUP(J35,Hoja1!$F$2:$I$28,3,0),VLOOKUP(J35,Hoja1!$F$2:$I$28,4,0))," ")</f>
        <v xml:space="preserve"> </v>
      </c>
      <c r="M35" s="24"/>
      <c r="N35" s="24"/>
      <c r="O35" s="25"/>
      <c r="P35" s="32"/>
      <c r="Q35" s="14"/>
      <c r="R35" s="35"/>
      <c r="S35" s="18" t="s">
        <v>0</v>
      </c>
      <c r="T35" s="15" t="e">
        <f t="shared" si="0"/>
        <v>#VALUE!</v>
      </c>
      <c r="U35" s="16" t="e">
        <f t="shared" si="1"/>
        <v>#VALUE!</v>
      </c>
      <c r="V35" s="10"/>
      <c r="W35" s="13" t="s">
        <v>20</v>
      </c>
    </row>
    <row r="36" spans="1:23" ht="22" customHeight="1" x14ac:dyDescent="0.35">
      <c r="A36" s="8"/>
      <c r="B36" s="8"/>
      <c r="C36" s="8"/>
      <c r="D36" s="8"/>
      <c r="E36" s="34"/>
      <c r="F36" s="8"/>
      <c r="G36" s="8" t="s">
        <v>0</v>
      </c>
      <c r="H36" s="8" t="s">
        <v>0</v>
      </c>
      <c r="I36" s="17" t="s">
        <v>0</v>
      </c>
      <c r="J36" s="8"/>
      <c r="K36" s="6" t="str">
        <f>IFERROR(VLOOKUP(J36,Hoja1!$F$2:$H$28,2,0)," ")</f>
        <v xml:space="preserve"> </v>
      </c>
      <c r="L36" s="7" t="str">
        <f>IFERROR(IF(H36="NO",VLOOKUP(J36,Hoja1!$F$2:$I$28,3,0),VLOOKUP(J36,Hoja1!$F$2:$I$28,4,0))," ")</f>
        <v xml:space="preserve"> </v>
      </c>
      <c r="M36" s="24"/>
      <c r="N36" s="24"/>
      <c r="O36" s="25"/>
      <c r="P36" s="32"/>
      <c r="Q36" s="14"/>
      <c r="R36" s="35"/>
      <c r="S36" s="18" t="s">
        <v>0</v>
      </c>
      <c r="T36" s="15" t="e">
        <f t="shared" si="0"/>
        <v>#VALUE!</v>
      </c>
      <c r="U36" s="16" t="e">
        <f t="shared" si="1"/>
        <v>#VALUE!</v>
      </c>
      <c r="V36" s="10"/>
      <c r="W36" s="13" t="s">
        <v>20</v>
      </c>
    </row>
    <row r="37" spans="1:23" ht="22" customHeight="1" x14ac:dyDescent="0.35">
      <c r="A37" s="8"/>
      <c r="B37" s="8"/>
      <c r="C37" s="8"/>
      <c r="D37" s="8"/>
      <c r="E37" s="34"/>
      <c r="F37" s="8"/>
      <c r="G37" s="8" t="s">
        <v>0</v>
      </c>
      <c r="H37" s="8" t="s">
        <v>0</v>
      </c>
      <c r="I37" s="17" t="s">
        <v>0</v>
      </c>
      <c r="J37" s="8"/>
      <c r="K37" s="6" t="str">
        <f>IFERROR(VLOOKUP(J37,Hoja1!$F$2:$H$28,2,0)," ")</f>
        <v xml:space="preserve"> </v>
      </c>
      <c r="L37" s="7" t="str">
        <f>IFERROR(IF(H37="NO",VLOOKUP(J37,Hoja1!$F$2:$I$28,3,0),VLOOKUP(J37,Hoja1!$F$2:$I$28,4,0))," ")</f>
        <v xml:space="preserve"> </v>
      </c>
      <c r="M37" s="24"/>
      <c r="N37" s="24"/>
      <c r="O37" s="25"/>
      <c r="P37" s="32"/>
      <c r="Q37" s="14"/>
      <c r="R37" s="35"/>
      <c r="S37" s="18" t="s">
        <v>0</v>
      </c>
      <c r="T37" s="15" t="e">
        <f t="shared" si="0"/>
        <v>#VALUE!</v>
      </c>
      <c r="U37" s="16" t="e">
        <f t="shared" si="1"/>
        <v>#VALUE!</v>
      </c>
      <c r="V37" s="10"/>
      <c r="W37" s="13" t="s">
        <v>20</v>
      </c>
    </row>
    <row r="38" spans="1:23" ht="22" customHeight="1" x14ac:dyDescent="0.35">
      <c r="A38" s="8"/>
      <c r="B38" s="8"/>
      <c r="C38" s="8"/>
      <c r="D38" s="8"/>
      <c r="E38" s="34"/>
      <c r="F38" s="8"/>
      <c r="G38" s="8" t="s">
        <v>0</v>
      </c>
      <c r="H38" s="8" t="s">
        <v>0</v>
      </c>
      <c r="I38" s="17" t="s">
        <v>0</v>
      </c>
      <c r="J38" s="8"/>
      <c r="K38" s="6" t="str">
        <f>IFERROR(VLOOKUP(J38,Hoja1!$F$2:$H$28,2,0)," ")</f>
        <v xml:space="preserve"> </v>
      </c>
      <c r="L38" s="7" t="str">
        <f>IFERROR(IF(H38="NO",VLOOKUP(J38,Hoja1!$F$2:$I$28,3,0),VLOOKUP(J38,Hoja1!$F$2:$I$28,4,0))," ")</f>
        <v xml:space="preserve"> </v>
      </c>
      <c r="M38" s="24"/>
      <c r="N38" s="24"/>
      <c r="O38" s="25"/>
      <c r="P38" s="32"/>
      <c r="Q38" s="14"/>
      <c r="R38" s="35"/>
      <c r="S38" s="18" t="s">
        <v>0</v>
      </c>
      <c r="T38" s="15" t="e">
        <f t="shared" si="0"/>
        <v>#VALUE!</v>
      </c>
      <c r="U38" s="16" t="e">
        <f t="shared" si="1"/>
        <v>#VALUE!</v>
      </c>
      <c r="V38" s="10"/>
      <c r="W38" s="13" t="s">
        <v>20</v>
      </c>
    </row>
    <row r="39" spans="1:23" ht="22" customHeight="1" x14ac:dyDescent="0.35">
      <c r="A39" s="8"/>
      <c r="B39" s="8"/>
      <c r="C39" s="8"/>
      <c r="D39" s="8"/>
      <c r="E39" s="34"/>
      <c r="F39" s="8"/>
      <c r="G39" s="8" t="s">
        <v>0</v>
      </c>
      <c r="H39" s="8" t="s">
        <v>0</v>
      </c>
      <c r="I39" s="17" t="s">
        <v>0</v>
      </c>
      <c r="J39" s="8"/>
      <c r="K39" s="6" t="str">
        <f>IFERROR(VLOOKUP(J39,Hoja1!$F$2:$H$28,2,0)," ")</f>
        <v xml:space="preserve"> </v>
      </c>
      <c r="L39" s="7" t="str">
        <f>IFERROR(IF(H39="NO",VLOOKUP(J39,Hoja1!$F$2:$I$28,3,0),VLOOKUP(J39,Hoja1!$F$2:$I$28,4,0))," ")</f>
        <v xml:space="preserve"> </v>
      </c>
      <c r="M39" s="24"/>
      <c r="N39" s="24"/>
      <c r="O39" s="25"/>
      <c r="P39" s="32"/>
      <c r="Q39" s="14"/>
      <c r="R39" s="35"/>
      <c r="S39" s="18" t="s">
        <v>0</v>
      </c>
      <c r="T39" s="15" t="e">
        <f t="shared" si="0"/>
        <v>#VALUE!</v>
      </c>
      <c r="U39" s="16" t="e">
        <f t="shared" si="1"/>
        <v>#VALUE!</v>
      </c>
      <c r="V39" s="10"/>
      <c r="W39" s="13" t="s">
        <v>20</v>
      </c>
    </row>
    <row r="40" spans="1:23" ht="22" customHeight="1" x14ac:dyDescent="0.35">
      <c r="A40" s="8"/>
      <c r="B40" s="8"/>
      <c r="C40" s="8"/>
      <c r="D40" s="8"/>
      <c r="E40" s="34"/>
      <c r="F40" s="8"/>
      <c r="G40" s="8" t="s">
        <v>0</v>
      </c>
      <c r="H40" s="8" t="s">
        <v>0</v>
      </c>
      <c r="I40" s="17" t="s">
        <v>0</v>
      </c>
      <c r="J40" s="8"/>
      <c r="K40" s="6" t="str">
        <f>IFERROR(VLOOKUP(J40,Hoja1!$F$2:$H$28,2,0)," ")</f>
        <v xml:space="preserve"> </v>
      </c>
      <c r="L40" s="7" t="str">
        <f>IFERROR(IF(H40="NO",VLOOKUP(J40,Hoja1!$F$2:$I$28,3,0),VLOOKUP(J40,Hoja1!$F$2:$I$28,4,0))," ")</f>
        <v xml:space="preserve"> </v>
      </c>
      <c r="M40" s="24"/>
      <c r="N40" s="24"/>
      <c r="O40" s="25"/>
      <c r="P40" s="32"/>
      <c r="Q40" s="14"/>
      <c r="R40" s="35"/>
      <c r="S40" s="18" t="s">
        <v>0</v>
      </c>
      <c r="T40" s="15" t="e">
        <f t="shared" si="0"/>
        <v>#VALUE!</v>
      </c>
      <c r="U40" s="16" t="e">
        <f t="shared" si="1"/>
        <v>#VALUE!</v>
      </c>
      <c r="V40" s="10"/>
      <c r="W40" s="13" t="s">
        <v>20</v>
      </c>
    </row>
    <row r="41" spans="1:23" ht="22" customHeight="1" x14ac:dyDescent="0.35">
      <c r="A41" s="8"/>
      <c r="B41" s="8"/>
      <c r="C41" s="8"/>
      <c r="D41" s="8"/>
      <c r="E41" s="34"/>
      <c r="F41" s="8"/>
      <c r="G41" s="8" t="s">
        <v>0</v>
      </c>
      <c r="H41" s="8" t="s">
        <v>0</v>
      </c>
      <c r="I41" s="17" t="s">
        <v>0</v>
      </c>
      <c r="J41" s="8"/>
      <c r="K41" s="6" t="str">
        <f>IFERROR(VLOOKUP(J41,Hoja1!$F$2:$H$28,2,0)," ")</f>
        <v xml:space="preserve"> </v>
      </c>
      <c r="L41" s="7" t="str">
        <f>IFERROR(IF(H41="NO",VLOOKUP(J41,Hoja1!$F$2:$I$28,3,0),VLOOKUP(J41,Hoja1!$F$2:$I$28,4,0))," ")</f>
        <v xml:space="preserve"> </v>
      </c>
      <c r="M41" s="24"/>
      <c r="N41" s="24"/>
      <c r="O41" s="25"/>
      <c r="P41" s="32"/>
      <c r="Q41" s="14"/>
      <c r="R41" s="35"/>
      <c r="S41" s="18" t="s">
        <v>0</v>
      </c>
      <c r="T41" s="15" t="e">
        <f t="shared" si="0"/>
        <v>#VALUE!</v>
      </c>
      <c r="U41" s="16" t="e">
        <f t="shared" si="1"/>
        <v>#VALUE!</v>
      </c>
      <c r="V41" s="10"/>
      <c r="W41" s="13" t="s">
        <v>20</v>
      </c>
    </row>
    <row r="42" spans="1:23" ht="22" customHeight="1" x14ac:dyDescent="0.35">
      <c r="A42" s="8"/>
      <c r="B42" s="8"/>
      <c r="C42" s="8"/>
      <c r="D42" s="8"/>
      <c r="E42" s="34"/>
      <c r="F42" s="8"/>
      <c r="G42" s="8" t="s">
        <v>0</v>
      </c>
      <c r="H42" s="8" t="s">
        <v>0</v>
      </c>
      <c r="I42" s="17" t="s">
        <v>0</v>
      </c>
      <c r="J42" s="8"/>
      <c r="K42" s="6" t="str">
        <f>IFERROR(VLOOKUP(J42,Hoja1!$F$2:$H$28,2,0)," ")</f>
        <v xml:space="preserve"> </v>
      </c>
      <c r="L42" s="7" t="str">
        <f>IFERROR(IF(H42="NO",VLOOKUP(J42,Hoja1!$F$2:$I$28,3,0),VLOOKUP(J42,Hoja1!$F$2:$I$28,4,0))," ")</f>
        <v xml:space="preserve"> </v>
      </c>
      <c r="M42" s="24"/>
      <c r="N42" s="24"/>
      <c r="O42" s="25"/>
      <c r="P42" s="32"/>
      <c r="Q42" s="14"/>
      <c r="R42" s="35"/>
      <c r="S42" s="18" t="s">
        <v>0</v>
      </c>
      <c r="T42" s="15" t="e">
        <f t="shared" si="0"/>
        <v>#VALUE!</v>
      </c>
      <c r="U42" s="16" t="e">
        <f t="shared" si="1"/>
        <v>#VALUE!</v>
      </c>
      <c r="V42" s="10"/>
      <c r="W42" s="13" t="s">
        <v>20</v>
      </c>
    </row>
    <row r="43" spans="1:23" ht="22" customHeight="1" x14ac:dyDescent="0.35">
      <c r="A43" s="8"/>
      <c r="B43" s="8"/>
      <c r="C43" s="8"/>
      <c r="D43" s="8"/>
      <c r="E43" s="34"/>
      <c r="F43" s="8"/>
      <c r="G43" s="8" t="s">
        <v>0</v>
      </c>
      <c r="H43" s="8" t="s">
        <v>0</v>
      </c>
      <c r="I43" s="17" t="s">
        <v>0</v>
      </c>
      <c r="J43" s="8"/>
      <c r="K43" s="6" t="str">
        <f>IFERROR(VLOOKUP(J43,Hoja1!$F$2:$H$28,2,0)," ")</f>
        <v xml:space="preserve"> </v>
      </c>
      <c r="L43" s="7" t="str">
        <f>IFERROR(IF(H43="NO",VLOOKUP(J43,Hoja1!$F$2:$I$28,3,0),VLOOKUP(J43,Hoja1!$F$2:$I$28,4,0))," ")</f>
        <v xml:space="preserve"> </v>
      </c>
      <c r="M43" s="24"/>
      <c r="N43" s="24"/>
      <c r="O43" s="25"/>
      <c r="P43" s="32"/>
      <c r="Q43" s="14"/>
      <c r="R43" s="35"/>
      <c r="S43" s="18" t="s">
        <v>0</v>
      </c>
      <c r="T43" s="15" t="e">
        <f t="shared" si="0"/>
        <v>#VALUE!</v>
      </c>
      <c r="U43" s="16" t="e">
        <f t="shared" si="1"/>
        <v>#VALUE!</v>
      </c>
      <c r="V43" s="10"/>
      <c r="W43" s="13" t="s">
        <v>20</v>
      </c>
    </row>
    <row r="44" spans="1:23" ht="22" customHeight="1" x14ac:dyDescent="0.35">
      <c r="A44" s="8"/>
      <c r="B44" s="8"/>
      <c r="C44" s="8"/>
      <c r="D44" s="8"/>
      <c r="E44" s="34"/>
      <c r="F44" s="8"/>
      <c r="G44" s="8" t="s">
        <v>0</v>
      </c>
      <c r="H44" s="8" t="s">
        <v>0</v>
      </c>
      <c r="I44" s="17" t="s">
        <v>0</v>
      </c>
      <c r="J44" s="8"/>
      <c r="K44" s="6" t="str">
        <f>IFERROR(VLOOKUP(J44,Hoja1!$F$2:$H$28,2,0)," ")</f>
        <v xml:space="preserve"> </v>
      </c>
      <c r="L44" s="7" t="str">
        <f>IFERROR(IF(H44="NO",VLOOKUP(J44,Hoja1!$F$2:$I$28,3,0),VLOOKUP(J44,Hoja1!$F$2:$I$28,4,0))," ")</f>
        <v xml:space="preserve"> </v>
      </c>
      <c r="M44" s="24"/>
      <c r="N44" s="24"/>
      <c r="O44" s="25"/>
      <c r="P44" s="32"/>
      <c r="Q44" s="14"/>
      <c r="R44" s="35"/>
      <c r="S44" s="18" t="s">
        <v>0</v>
      </c>
      <c r="T44" s="15" t="e">
        <f t="shared" si="0"/>
        <v>#VALUE!</v>
      </c>
      <c r="U44" s="16" t="e">
        <f t="shared" si="1"/>
        <v>#VALUE!</v>
      </c>
      <c r="V44" s="10"/>
      <c r="W44" s="13" t="s">
        <v>20</v>
      </c>
    </row>
    <row r="45" spans="1:23" ht="22" customHeight="1" x14ac:dyDescent="0.35">
      <c r="A45" s="8"/>
      <c r="B45" s="8"/>
      <c r="C45" s="8"/>
      <c r="D45" s="8"/>
      <c r="E45" s="34"/>
      <c r="F45" s="8"/>
      <c r="G45" s="8" t="s">
        <v>0</v>
      </c>
      <c r="H45" s="8" t="s">
        <v>0</v>
      </c>
      <c r="I45" s="17" t="s">
        <v>0</v>
      </c>
      <c r="J45" s="8"/>
      <c r="K45" s="6" t="str">
        <f>IFERROR(VLOOKUP(J45,Hoja1!$F$2:$H$28,2,0)," ")</f>
        <v xml:space="preserve"> </v>
      </c>
      <c r="L45" s="7" t="str">
        <f>IFERROR(IF(H45="NO",VLOOKUP(J45,Hoja1!$F$2:$I$28,3,0),VLOOKUP(J45,Hoja1!$F$2:$I$28,4,0))," ")</f>
        <v xml:space="preserve"> </v>
      </c>
      <c r="M45" s="24"/>
      <c r="N45" s="24"/>
      <c r="O45" s="25"/>
      <c r="P45" s="32"/>
      <c r="Q45" s="14"/>
      <c r="R45" s="35"/>
      <c r="S45" s="18" t="s">
        <v>0</v>
      </c>
      <c r="T45" s="15" t="e">
        <f t="shared" si="0"/>
        <v>#VALUE!</v>
      </c>
      <c r="U45" s="16" t="e">
        <f t="shared" si="1"/>
        <v>#VALUE!</v>
      </c>
      <c r="V45" s="10"/>
      <c r="W45" s="13" t="s">
        <v>20</v>
      </c>
    </row>
    <row r="46" spans="1:23" ht="22" customHeight="1" x14ac:dyDescent="0.35">
      <c r="A46" s="8"/>
      <c r="B46" s="8"/>
      <c r="C46" s="8"/>
      <c r="D46" s="8"/>
      <c r="E46" s="34"/>
      <c r="F46" s="8"/>
      <c r="G46" s="8" t="s">
        <v>0</v>
      </c>
      <c r="H46" s="8" t="s">
        <v>0</v>
      </c>
      <c r="I46" s="17" t="s">
        <v>0</v>
      </c>
      <c r="J46" s="8"/>
      <c r="K46" s="6" t="str">
        <f>IFERROR(VLOOKUP(J46,Hoja1!$F$2:$H$28,2,0)," ")</f>
        <v xml:space="preserve"> </v>
      </c>
      <c r="L46" s="7" t="str">
        <f>IFERROR(IF(H46="NO",VLOOKUP(J46,Hoja1!$F$2:$I$28,3,0),VLOOKUP(J46,Hoja1!$F$2:$I$28,4,0))," ")</f>
        <v xml:space="preserve"> </v>
      </c>
      <c r="M46" s="24"/>
      <c r="N46" s="24"/>
      <c r="O46" s="25"/>
      <c r="P46" s="32"/>
      <c r="Q46" s="14"/>
      <c r="R46" s="35"/>
      <c r="S46" s="18" t="s">
        <v>0</v>
      </c>
      <c r="T46" s="15" t="e">
        <f t="shared" si="0"/>
        <v>#VALUE!</v>
      </c>
      <c r="U46" s="16" t="e">
        <f t="shared" si="1"/>
        <v>#VALUE!</v>
      </c>
      <c r="V46" s="10"/>
      <c r="W46" s="13" t="s">
        <v>20</v>
      </c>
    </row>
    <row r="47" spans="1:23" ht="22" customHeight="1" x14ac:dyDescent="0.35">
      <c r="A47" s="8"/>
      <c r="B47" s="8"/>
      <c r="C47" s="8"/>
      <c r="D47" s="8"/>
      <c r="E47" s="34"/>
      <c r="F47" s="8"/>
      <c r="G47" s="8" t="s">
        <v>0</v>
      </c>
      <c r="H47" s="8" t="s">
        <v>0</v>
      </c>
      <c r="I47" s="17" t="s">
        <v>0</v>
      </c>
      <c r="J47" s="8"/>
      <c r="K47" s="6" t="str">
        <f>IFERROR(VLOOKUP(J47,Hoja1!$F$2:$H$28,2,0)," ")</f>
        <v xml:space="preserve"> </v>
      </c>
      <c r="L47" s="7" t="str">
        <f>IFERROR(IF(H47="NO",VLOOKUP(J47,Hoja1!$F$2:$I$28,3,0),VLOOKUP(J47,Hoja1!$F$2:$I$28,4,0))," ")</f>
        <v xml:space="preserve"> </v>
      </c>
      <c r="M47" s="24"/>
      <c r="N47" s="24"/>
      <c r="O47" s="25"/>
      <c r="P47" s="32"/>
      <c r="Q47" s="14"/>
      <c r="R47" s="35"/>
      <c r="S47" s="18" t="s">
        <v>0</v>
      </c>
      <c r="T47" s="15" t="e">
        <f t="shared" si="0"/>
        <v>#VALUE!</v>
      </c>
      <c r="U47" s="16" t="e">
        <f t="shared" si="1"/>
        <v>#VALUE!</v>
      </c>
      <c r="V47" s="10"/>
      <c r="W47" s="13" t="s">
        <v>20</v>
      </c>
    </row>
    <row r="48" spans="1:23" ht="22" customHeight="1" x14ac:dyDescent="0.35">
      <c r="A48" s="8"/>
      <c r="B48" s="8"/>
      <c r="C48" s="8"/>
      <c r="D48" s="8"/>
      <c r="E48" s="34"/>
      <c r="F48" s="8"/>
      <c r="G48" s="8" t="s">
        <v>0</v>
      </c>
      <c r="H48" s="8" t="s">
        <v>0</v>
      </c>
      <c r="I48" s="17" t="s">
        <v>0</v>
      </c>
      <c r="J48" s="8"/>
      <c r="K48" s="6" t="str">
        <f>IFERROR(VLOOKUP(J48,Hoja1!$F$2:$H$28,2,0)," ")</f>
        <v xml:space="preserve"> </v>
      </c>
      <c r="L48" s="7" t="str">
        <f>IFERROR(IF(H48="NO",VLOOKUP(J48,Hoja1!$F$2:$I$28,3,0),VLOOKUP(J48,Hoja1!$F$2:$I$28,4,0))," ")</f>
        <v xml:space="preserve"> </v>
      </c>
      <c r="M48" s="24"/>
      <c r="N48" s="24"/>
      <c r="O48" s="25"/>
      <c r="P48" s="32"/>
      <c r="Q48" s="14"/>
      <c r="R48" s="35"/>
      <c r="S48" s="18" t="s">
        <v>0</v>
      </c>
      <c r="T48" s="15" t="e">
        <f t="shared" si="0"/>
        <v>#VALUE!</v>
      </c>
      <c r="U48" s="16" t="e">
        <f t="shared" si="1"/>
        <v>#VALUE!</v>
      </c>
      <c r="V48" s="10"/>
      <c r="W48" s="13" t="s">
        <v>20</v>
      </c>
    </row>
    <row r="49" spans="1:23" ht="22" customHeight="1" x14ac:dyDescent="0.35">
      <c r="A49" s="8"/>
      <c r="B49" s="8"/>
      <c r="C49" s="8"/>
      <c r="D49" s="8"/>
      <c r="E49" s="34"/>
      <c r="F49" s="8"/>
      <c r="G49" s="8" t="s">
        <v>0</v>
      </c>
      <c r="H49" s="8" t="s">
        <v>0</v>
      </c>
      <c r="I49" s="17" t="s">
        <v>0</v>
      </c>
      <c r="J49" s="8"/>
      <c r="K49" s="6" t="str">
        <f>IFERROR(VLOOKUP(J49,Hoja1!$F$2:$H$28,2,0)," ")</f>
        <v xml:space="preserve"> </v>
      </c>
      <c r="L49" s="7" t="str">
        <f>IFERROR(IF(H49="NO",VLOOKUP(J49,Hoja1!$F$2:$I$28,3,0),VLOOKUP(J49,Hoja1!$F$2:$I$28,4,0))," ")</f>
        <v xml:space="preserve"> </v>
      </c>
      <c r="M49" s="24"/>
      <c r="N49" s="24"/>
      <c r="O49" s="25"/>
      <c r="P49" s="32"/>
      <c r="Q49" s="14"/>
      <c r="R49" s="35"/>
      <c r="S49" s="18" t="s">
        <v>0</v>
      </c>
      <c r="T49" s="15" t="e">
        <f t="shared" si="0"/>
        <v>#VALUE!</v>
      </c>
      <c r="U49" s="16" t="e">
        <f t="shared" si="1"/>
        <v>#VALUE!</v>
      </c>
      <c r="V49" s="10"/>
      <c r="W49" s="13" t="s">
        <v>20</v>
      </c>
    </row>
    <row r="50" spans="1:23" ht="22" customHeight="1" x14ac:dyDescent="0.35">
      <c r="A50" s="8"/>
      <c r="B50" s="8"/>
      <c r="C50" s="8"/>
      <c r="D50" s="8"/>
      <c r="E50" s="34"/>
      <c r="F50" s="8"/>
      <c r="G50" s="8" t="s">
        <v>0</v>
      </c>
      <c r="H50" s="8" t="s">
        <v>0</v>
      </c>
      <c r="I50" s="17" t="s">
        <v>0</v>
      </c>
      <c r="J50" s="8"/>
      <c r="K50" s="6" t="str">
        <f>IFERROR(VLOOKUP(J50,Hoja1!$F$2:$H$28,2,0)," ")</f>
        <v xml:space="preserve"> </v>
      </c>
      <c r="L50" s="7" t="str">
        <f>IFERROR(IF(H50="NO",VLOOKUP(J50,Hoja1!$F$2:$I$28,3,0),VLOOKUP(J50,Hoja1!$F$2:$I$28,4,0))," ")</f>
        <v xml:space="preserve"> </v>
      </c>
      <c r="M50" s="24"/>
      <c r="N50" s="24"/>
      <c r="O50" s="25"/>
      <c r="P50" s="32"/>
      <c r="Q50" s="14"/>
      <c r="R50" s="35"/>
      <c r="S50" s="18" t="s">
        <v>0</v>
      </c>
      <c r="T50" s="15" t="e">
        <f t="shared" si="0"/>
        <v>#VALUE!</v>
      </c>
      <c r="U50" s="16" t="e">
        <f t="shared" si="1"/>
        <v>#VALUE!</v>
      </c>
      <c r="V50" s="10"/>
      <c r="W50" s="13" t="s">
        <v>20</v>
      </c>
    </row>
    <row r="51" spans="1:23" ht="22" customHeight="1" x14ac:dyDescent="0.35">
      <c r="A51" s="8"/>
      <c r="B51" s="8"/>
      <c r="C51" s="8"/>
      <c r="D51" s="8"/>
      <c r="E51" s="34"/>
      <c r="F51" s="8"/>
      <c r="G51" s="8" t="s">
        <v>0</v>
      </c>
      <c r="H51" s="8" t="s">
        <v>0</v>
      </c>
      <c r="I51" s="17" t="s">
        <v>0</v>
      </c>
      <c r="J51" s="8"/>
      <c r="K51" s="6" t="str">
        <f>IFERROR(VLOOKUP(J51,Hoja1!$F$2:$H$28,2,0)," ")</f>
        <v xml:space="preserve"> </v>
      </c>
      <c r="L51" s="7" t="str">
        <f>IFERROR(IF(H51="NO",VLOOKUP(J51,Hoja1!$F$2:$I$28,3,0),VLOOKUP(J51,Hoja1!$F$2:$I$28,4,0))," ")</f>
        <v xml:space="preserve"> </v>
      </c>
      <c r="M51" s="24"/>
      <c r="N51" s="24"/>
      <c r="O51" s="25"/>
      <c r="P51" s="32"/>
      <c r="Q51" s="14"/>
      <c r="R51" s="35"/>
      <c r="S51" s="18" t="s">
        <v>0</v>
      </c>
      <c r="T51" s="15" t="e">
        <f t="shared" si="0"/>
        <v>#VALUE!</v>
      </c>
      <c r="U51" s="16" t="e">
        <f t="shared" si="1"/>
        <v>#VALUE!</v>
      </c>
      <c r="V51" s="10"/>
      <c r="W51" s="13" t="s">
        <v>20</v>
      </c>
    </row>
    <row r="52" spans="1:23" ht="22" customHeight="1" x14ac:dyDescent="0.35">
      <c r="A52" s="8"/>
      <c r="B52" s="8"/>
      <c r="C52" s="8"/>
      <c r="D52" s="8"/>
      <c r="E52" s="34"/>
      <c r="F52" s="8"/>
      <c r="G52" s="8" t="s">
        <v>0</v>
      </c>
      <c r="H52" s="8" t="s">
        <v>0</v>
      </c>
      <c r="I52" s="17" t="s">
        <v>0</v>
      </c>
      <c r="J52" s="8"/>
      <c r="K52" s="6" t="str">
        <f>IFERROR(VLOOKUP(J52,Hoja1!$F$2:$H$28,2,0)," ")</f>
        <v xml:space="preserve"> </v>
      </c>
      <c r="L52" s="7" t="str">
        <f>IFERROR(IF(H52="NO",VLOOKUP(J52,Hoja1!$F$2:$I$28,3,0),VLOOKUP(J52,Hoja1!$F$2:$I$28,4,0))," ")</f>
        <v xml:space="preserve"> </v>
      </c>
      <c r="M52" s="24"/>
      <c r="N52" s="24"/>
      <c r="O52" s="25"/>
      <c r="P52" s="32"/>
      <c r="Q52" s="14"/>
      <c r="R52" s="35"/>
      <c r="S52" s="18" t="s">
        <v>0</v>
      </c>
      <c r="T52" s="15" t="e">
        <f t="shared" si="0"/>
        <v>#VALUE!</v>
      </c>
      <c r="U52" s="16" t="e">
        <f t="shared" si="1"/>
        <v>#VALUE!</v>
      </c>
      <c r="V52" s="10"/>
      <c r="W52" s="13" t="s">
        <v>20</v>
      </c>
    </row>
    <row r="53" spans="1:23" ht="22" customHeight="1" x14ac:dyDescent="0.35">
      <c r="A53" s="8"/>
      <c r="B53" s="8"/>
      <c r="C53" s="8"/>
      <c r="D53" s="8"/>
      <c r="E53" s="34"/>
      <c r="F53" s="8"/>
      <c r="G53" s="8" t="s">
        <v>0</v>
      </c>
      <c r="H53" s="8" t="s">
        <v>0</v>
      </c>
      <c r="I53" s="17" t="s">
        <v>0</v>
      </c>
      <c r="J53" s="8"/>
      <c r="K53" s="6" t="str">
        <f>IFERROR(VLOOKUP(J53,Hoja1!$F$2:$H$28,2,0)," ")</f>
        <v xml:space="preserve"> </v>
      </c>
      <c r="L53" s="7" t="str">
        <f>IFERROR(IF(H53="NO",VLOOKUP(J53,Hoja1!$F$2:$I$28,3,0),VLOOKUP(J53,Hoja1!$F$2:$I$28,4,0))," ")</f>
        <v xml:space="preserve"> </v>
      </c>
      <c r="M53" s="24"/>
      <c r="N53" s="24"/>
      <c r="O53" s="25"/>
      <c r="P53" s="32"/>
      <c r="Q53" s="14"/>
      <c r="R53" s="35"/>
      <c r="S53" s="18" t="s">
        <v>0</v>
      </c>
      <c r="T53" s="15" t="e">
        <f t="shared" si="0"/>
        <v>#VALUE!</v>
      </c>
      <c r="U53" s="16" t="e">
        <f t="shared" si="1"/>
        <v>#VALUE!</v>
      </c>
      <c r="V53" s="10"/>
      <c r="W53" s="13" t="s">
        <v>20</v>
      </c>
    </row>
    <row r="54" spans="1:23" ht="22" customHeight="1" x14ac:dyDescent="0.35">
      <c r="A54" s="8"/>
      <c r="B54" s="8"/>
      <c r="C54" s="8"/>
      <c r="D54" s="8"/>
      <c r="E54" s="34"/>
      <c r="F54" s="8"/>
      <c r="G54" s="8" t="s">
        <v>0</v>
      </c>
      <c r="H54" s="8" t="s">
        <v>0</v>
      </c>
      <c r="I54" s="17" t="s">
        <v>0</v>
      </c>
      <c r="J54" s="8"/>
      <c r="K54" s="6" t="str">
        <f>IFERROR(VLOOKUP(J54,Hoja1!$F$2:$H$28,2,0)," ")</f>
        <v xml:space="preserve"> </v>
      </c>
      <c r="L54" s="7" t="str">
        <f>IFERROR(IF(H54="NO",VLOOKUP(J54,Hoja1!$F$2:$I$28,3,0),VLOOKUP(J54,Hoja1!$F$2:$I$28,4,0))," ")</f>
        <v xml:space="preserve"> </v>
      </c>
      <c r="M54" s="24"/>
      <c r="N54" s="24"/>
      <c r="O54" s="25"/>
      <c r="P54" s="32"/>
      <c r="Q54" s="14"/>
      <c r="R54" s="35"/>
      <c r="S54" s="18" t="s">
        <v>0</v>
      </c>
      <c r="T54" s="15" t="e">
        <f t="shared" si="0"/>
        <v>#VALUE!</v>
      </c>
      <c r="U54" s="16" t="e">
        <f t="shared" si="1"/>
        <v>#VALUE!</v>
      </c>
      <c r="V54" s="10"/>
      <c r="W54" s="13" t="s">
        <v>20</v>
      </c>
    </row>
    <row r="55" spans="1:23" ht="22" customHeight="1" x14ac:dyDescent="0.35">
      <c r="A55" s="8"/>
      <c r="B55" s="8"/>
      <c r="C55" s="8"/>
      <c r="D55" s="8"/>
      <c r="E55" s="34"/>
      <c r="F55" s="8"/>
      <c r="G55" s="8" t="s">
        <v>0</v>
      </c>
      <c r="H55" s="8" t="s">
        <v>0</v>
      </c>
      <c r="I55" s="17" t="s">
        <v>0</v>
      </c>
      <c r="J55" s="8"/>
      <c r="K55" s="6" t="str">
        <f>IFERROR(VLOOKUP(J55,Hoja1!$F$2:$H$28,2,0)," ")</f>
        <v xml:space="preserve"> </v>
      </c>
      <c r="L55" s="7" t="str">
        <f>IFERROR(IF(H55="NO",VLOOKUP(J55,Hoja1!$F$2:$I$28,3,0),VLOOKUP(J55,Hoja1!$F$2:$I$28,4,0))," ")</f>
        <v xml:space="preserve"> </v>
      </c>
      <c r="M55" s="24"/>
      <c r="N55" s="24"/>
      <c r="O55" s="25"/>
      <c r="P55" s="32"/>
      <c r="Q55" s="14"/>
      <c r="R55" s="35"/>
      <c r="S55" s="18" t="s">
        <v>0</v>
      </c>
      <c r="T55" s="15" t="e">
        <f t="shared" si="0"/>
        <v>#VALUE!</v>
      </c>
      <c r="U55" s="16" t="e">
        <f t="shared" si="1"/>
        <v>#VALUE!</v>
      </c>
      <c r="V55" s="10"/>
      <c r="W55" s="13" t="s">
        <v>20</v>
      </c>
    </row>
    <row r="56" spans="1:23" ht="22" customHeight="1" x14ac:dyDescent="0.35">
      <c r="A56" s="8"/>
      <c r="B56" s="8"/>
      <c r="C56" s="8"/>
      <c r="D56" s="8"/>
      <c r="E56" s="34"/>
      <c r="F56" s="8"/>
      <c r="G56" s="8" t="s">
        <v>0</v>
      </c>
      <c r="H56" s="8" t="s">
        <v>0</v>
      </c>
      <c r="I56" s="17" t="s">
        <v>0</v>
      </c>
      <c r="J56" s="8"/>
      <c r="K56" s="6" t="str">
        <f>IFERROR(VLOOKUP(J56,Hoja1!$F$2:$H$28,2,0)," ")</f>
        <v xml:space="preserve"> </v>
      </c>
      <c r="L56" s="7" t="str">
        <f>IFERROR(IF(H56="NO",VLOOKUP(J56,Hoja1!$F$2:$I$28,3,0),VLOOKUP(J56,Hoja1!$F$2:$I$28,4,0))," ")</f>
        <v xml:space="preserve"> </v>
      </c>
      <c r="M56" s="24"/>
      <c r="N56" s="24"/>
      <c r="O56" s="25"/>
      <c r="P56" s="32"/>
      <c r="Q56" s="14"/>
      <c r="R56" s="35"/>
      <c r="S56" s="18" t="s">
        <v>0</v>
      </c>
      <c r="T56" s="15" t="e">
        <f t="shared" si="0"/>
        <v>#VALUE!</v>
      </c>
      <c r="U56" s="16" t="e">
        <f t="shared" si="1"/>
        <v>#VALUE!</v>
      </c>
      <c r="V56" s="10"/>
      <c r="W56" s="13" t="s">
        <v>20</v>
      </c>
    </row>
    <row r="57" spans="1:23" ht="22" customHeight="1" x14ac:dyDescent="0.35">
      <c r="A57" s="8"/>
      <c r="B57" s="8"/>
      <c r="C57" s="8"/>
      <c r="D57" s="8"/>
      <c r="E57" s="34"/>
      <c r="F57" s="8"/>
      <c r="G57" s="8" t="s">
        <v>0</v>
      </c>
      <c r="H57" s="8" t="s">
        <v>0</v>
      </c>
      <c r="I57" s="17" t="s">
        <v>0</v>
      </c>
      <c r="J57" s="8"/>
      <c r="K57" s="6" t="str">
        <f>IFERROR(VLOOKUP(J57,Hoja1!$F$2:$H$28,2,0)," ")</f>
        <v xml:space="preserve"> </v>
      </c>
      <c r="L57" s="7" t="str">
        <f>IFERROR(IF(H57="NO",VLOOKUP(J57,Hoja1!$F$2:$I$28,3,0),VLOOKUP(J57,Hoja1!$F$2:$I$28,4,0))," ")</f>
        <v xml:space="preserve"> </v>
      </c>
      <c r="M57" s="24"/>
      <c r="N57" s="24"/>
      <c r="O57" s="25"/>
      <c r="P57" s="32"/>
      <c r="Q57" s="14"/>
      <c r="R57" s="35"/>
      <c r="S57" s="18" t="s">
        <v>0</v>
      </c>
      <c r="T57" s="15" t="e">
        <f t="shared" si="0"/>
        <v>#VALUE!</v>
      </c>
      <c r="U57" s="16" t="e">
        <f t="shared" si="1"/>
        <v>#VALUE!</v>
      </c>
      <c r="V57" s="10"/>
      <c r="W57" s="13" t="s">
        <v>20</v>
      </c>
    </row>
    <row r="58" spans="1:23" ht="22" customHeight="1" x14ac:dyDescent="0.35">
      <c r="A58" s="8"/>
      <c r="B58" s="8"/>
      <c r="C58" s="8"/>
      <c r="D58" s="8"/>
      <c r="E58" s="34"/>
      <c r="F58" s="8"/>
      <c r="G58" s="8" t="s">
        <v>0</v>
      </c>
      <c r="H58" s="8" t="s">
        <v>0</v>
      </c>
      <c r="I58" s="17" t="s">
        <v>0</v>
      </c>
      <c r="J58" s="8"/>
      <c r="K58" s="6" t="str">
        <f>IFERROR(VLOOKUP(J58,Hoja1!$F$2:$H$28,2,0)," ")</f>
        <v xml:space="preserve"> </v>
      </c>
      <c r="L58" s="7" t="str">
        <f>IFERROR(IF(H58="NO",VLOOKUP(J58,Hoja1!$F$2:$I$28,3,0),VLOOKUP(J58,Hoja1!$F$2:$I$28,4,0))," ")</f>
        <v xml:space="preserve"> </v>
      </c>
      <c r="M58" s="24"/>
      <c r="N58" s="24"/>
      <c r="O58" s="25"/>
      <c r="P58" s="32"/>
      <c r="Q58" s="14"/>
      <c r="R58" s="35"/>
      <c r="S58" s="18" t="s">
        <v>0</v>
      </c>
      <c r="T58" s="15" t="e">
        <f t="shared" si="0"/>
        <v>#VALUE!</v>
      </c>
      <c r="U58" s="16" t="e">
        <f t="shared" si="1"/>
        <v>#VALUE!</v>
      </c>
      <c r="V58" s="10"/>
      <c r="W58" s="13" t="s">
        <v>20</v>
      </c>
    </row>
    <row r="59" spans="1:23" ht="22" customHeight="1" x14ac:dyDescent="0.35">
      <c r="A59" s="8"/>
      <c r="B59" s="8"/>
      <c r="C59" s="8"/>
      <c r="D59" s="8"/>
      <c r="E59" s="34"/>
      <c r="F59" s="8"/>
      <c r="G59" s="8" t="s">
        <v>0</v>
      </c>
      <c r="H59" s="8" t="s">
        <v>0</v>
      </c>
      <c r="I59" s="17" t="s">
        <v>0</v>
      </c>
      <c r="J59" s="8"/>
      <c r="K59" s="6" t="str">
        <f>IFERROR(VLOOKUP(J59,Hoja1!$F$2:$H$28,2,0)," ")</f>
        <v xml:space="preserve"> </v>
      </c>
      <c r="L59" s="7" t="str">
        <f>IFERROR(IF(H59="NO",VLOOKUP(J59,Hoja1!$F$2:$I$28,3,0),VLOOKUP(J59,Hoja1!$F$2:$I$28,4,0))," ")</f>
        <v xml:space="preserve"> </v>
      </c>
      <c r="M59" s="24"/>
      <c r="N59" s="24"/>
      <c r="O59" s="25"/>
      <c r="P59" s="32"/>
      <c r="Q59" s="14"/>
      <c r="R59" s="35"/>
      <c r="S59" s="18" t="s">
        <v>0</v>
      </c>
      <c r="T59" s="15" t="e">
        <f t="shared" si="0"/>
        <v>#VALUE!</v>
      </c>
      <c r="U59" s="16" t="e">
        <f t="shared" si="1"/>
        <v>#VALUE!</v>
      </c>
      <c r="V59" s="10"/>
      <c r="W59" s="13" t="s">
        <v>20</v>
      </c>
    </row>
    <row r="60" spans="1:23" ht="22" customHeight="1" x14ac:dyDescent="0.35">
      <c r="A60" s="8"/>
      <c r="B60" s="8"/>
      <c r="C60" s="8"/>
      <c r="D60" s="8"/>
      <c r="E60" s="34"/>
      <c r="F60" s="8"/>
      <c r="G60" s="8" t="s">
        <v>0</v>
      </c>
      <c r="H60" s="8" t="s">
        <v>0</v>
      </c>
      <c r="I60" s="17" t="s">
        <v>0</v>
      </c>
      <c r="J60" s="8"/>
      <c r="K60" s="6" t="str">
        <f>IFERROR(VLOOKUP(J60,Hoja1!$F$2:$H$28,2,0)," ")</f>
        <v xml:space="preserve"> </v>
      </c>
      <c r="L60" s="7" t="str">
        <f>IFERROR(IF(H60="NO",VLOOKUP(J60,Hoja1!$F$2:$I$28,3,0),VLOOKUP(J60,Hoja1!$F$2:$I$28,4,0))," ")</f>
        <v xml:space="preserve"> </v>
      </c>
      <c r="M60" s="24"/>
      <c r="N60" s="24"/>
      <c r="O60" s="25"/>
      <c r="P60" s="32"/>
      <c r="Q60" s="14"/>
      <c r="R60" s="35"/>
      <c r="S60" s="18" t="s">
        <v>0</v>
      </c>
      <c r="T60" s="15" t="e">
        <f t="shared" si="0"/>
        <v>#VALUE!</v>
      </c>
      <c r="U60" s="16" t="e">
        <f t="shared" si="1"/>
        <v>#VALUE!</v>
      </c>
      <c r="V60" s="10"/>
      <c r="W60" s="13" t="s">
        <v>20</v>
      </c>
    </row>
    <row r="61" spans="1:23" ht="22" customHeight="1" x14ac:dyDescent="0.35">
      <c r="A61" s="8"/>
      <c r="B61" s="8"/>
      <c r="C61" s="8"/>
      <c r="D61" s="8"/>
      <c r="E61" s="34"/>
      <c r="F61" s="8"/>
      <c r="G61" s="8" t="s">
        <v>0</v>
      </c>
      <c r="H61" s="8" t="s">
        <v>0</v>
      </c>
      <c r="I61" s="17" t="s">
        <v>0</v>
      </c>
      <c r="J61" s="8"/>
      <c r="K61" s="6" t="str">
        <f>IFERROR(VLOOKUP(J61,Hoja1!$F$2:$H$28,2,0)," ")</f>
        <v xml:space="preserve"> </v>
      </c>
      <c r="L61" s="7" t="str">
        <f>IFERROR(IF(H61="NO",VLOOKUP(J61,Hoja1!$F$2:$I$28,3,0),VLOOKUP(J61,Hoja1!$F$2:$I$28,4,0))," ")</f>
        <v xml:space="preserve"> </v>
      </c>
      <c r="M61" s="24"/>
      <c r="N61" s="24"/>
      <c r="O61" s="25"/>
      <c r="P61" s="32"/>
      <c r="Q61" s="14"/>
      <c r="R61" s="35"/>
      <c r="S61" s="18" t="s">
        <v>0</v>
      </c>
      <c r="T61" s="15" t="e">
        <f t="shared" si="0"/>
        <v>#VALUE!</v>
      </c>
      <c r="U61" s="16" t="e">
        <f t="shared" si="1"/>
        <v>#VALUE!</v>
      </c>
      <c r="V61" s="10"/>
      <c r="W61" s="13" t="s">
        <v>20</v>
      </c>
    </row>
    <row r="62" spans="1:23" ht="22" customHeight="1" x14ac:dyDescent="0.35">
      <c r="A62" s="8"/>
      <c r="B62" s="8"/>
      <c r="C62" s="8"/>
      <c r="D62" s="8"/>
      <c r="E62" s="34"/>
      <c r="F62" s="8"/>
      <c r="G62" s="8" t="s">
        <v>0</v>
      </c>
      <c r="H62" s="8" t="s">
        <v>0</v>
      </c>
      <c r="I62" s="17" t="s">
        <v>0</v>
      </c>
      <c r="J62" s="8"/>
      <c r="K62" s="6" t="str">
        <f>IFERROR(VLOOKUP(J62,Hoja1!$F$2:$H$28,2,0)," ")</f>
        <v xml:space="preserve"> </v>
      </c>
      <c r="L62" s="7" t="str">
        <f>IFERROR(IF(H62="NO",VLOOKUP(J62,Hoja1!$F$2:$I$28,3,0),VLOOKUP(J62,Hoja1!$F$2:$I$28,4,0))," ")</f>
        <v xml:space="preserve"> </v>
      </c>
      <c r="M62" s="24"/>
      <c r="N62" s="24"/>
      <c r="O62" s="25"/>
      <c r="P62" s="32"/>
      <c r="Q62" s="14"/>
      <c r="R62" s="35"/>
      <c r="S62" s="18" t="s">
        <v>0</v>
      </c>
      <c r="T62" s="15" t="e">
        <f t="shared" si="0"/>
        <v>#VALUE!</v>
      </c>
      <c r="U62" s="16" t="e">
        <f t="shared" si="1"/>
        <v>#VALUE!</v>
      </c>
      <c r="V62" s="10"/>
      <c r="W62" s="13" t="s">
        <v>20</v>
      </c>
    </row>
    <row r="63" spans="1:23" ht="22" customHeight="1" x14ac:dyDescent="0.35">
      <c r="A63" s="8"/>
      <c r="B63" s="8"/>
      <c r="C63" s="8"/>
      <c r="D63" s="8"/>
      <c r="E63" s="34"/>
      <c r="F63" s="8"/>
      <c r="G63" s="8" t="s">
        <v>0</v>
      </c>
      <c r="H63" s="8" t="s">
        <v>0</v>
      </c>
      <c r="I63" s="17" t="s">
        <v>0</v>
      </c>
      <c r="J63" s="8"/>
      <c r="K63" s="6" t="str">
        <f>IFERROR(VLOOKUP(J63,Hoja1!$F$2:$H$28,2,0)," ")</f>
        <v xml:space="preserve"> </v>
      </c>
      <c r="L63" s="7" t="str">
        <f>IFERROR(IF(H63="NO",VLOOKUP(J63,Hoja1!$F$2:$I$28,3,0),VLOOKUP(J63,Hoja1!$F$2:$I$28,4,0))," ")</f>
        <v xml:space="preserve"> </v>
      </c>
      <c r="M63" s="24"/>
      <c r="N63" s="24"/>
      <c r="O63" s="25"/>
      <c r="P63" s="32"/>
      <c r="Q63" s="14"/>
      <c r="R63" s="35"/>
      <c r="S63" s="18" t="s">
        <v>0</v>
      </c>
      <c r="T63" s="15" t="e">
        <f t="shared" si="0"/>
        <v>#VALUE!</v>
      </c>
      <c r="U63" s="16" t="e">
        <f t="shared" si="1"/>
        <v>#VALUE!</v>
      </c>
      <c r="V63" s="10"/>
      <c r="W63" s="13" t="s">
        <v>20</v>
      </c>
    </row>
    <row r="64" spans="1:23" ht="22" customHeight="1" x14ac:dyDescent="0.35">
      <c r="A64" s="8"/>
      <c r="B64" s="8"/>
      <c r="C64" s="8"/>
      <c r="D64" s="8"/>
      <c r="E64" s="34"/>
      <c r="F64" s="8"/>
      <c r="G64" s="8" t="s">
        <v>0</v>
      </c>
      <c r="H64" s="8" t="s">
        <v>0</v>
      </c>
      <c r="I64" s="17" t="s">
        <v>0</v>
      </c>
      <c r="J64" s="8"/>
      <c r="K64" s="6" t="str">
        <f>IFERROR(VLOOKUP(J64,Hoja1!$F$2:$H$28,2,0)," ")</f>
        <v xml:space="preserve"> </v>
      </c>
      <c r="L64" s="7" t="str">
        <f>IFERROR(IF(H64="NO",VLOOKUP(J64,Hoja1!$F$2:$I$28,3,0),VLOOKUP(J64,Hoja1!$F$2:$I$28,4,0))," ")</f>
        <v xml:space="preserve"> </v>
      </c>
      <c r="M64" s="24"/>
      <c r="N64" s="24"/>
      <c r="O64" s="25"/>
      <c r="P64" s="32"/>
      <c r="Q64" s="14"/>
      <c r="R64" s="35"/>
      <c r="S64" s="18" t="s">
        <v>0</v>
      </c>
      <c r="T64" s="15" t="e">
        <f t="shared" si="0"/>
        <v>#VALUE!</v>
      </c>
      <c r="U64" s="16" t="e">
        <f t="shared" si="1"/>
        <v>#VALUE!</v>
      </c>
      <c r="V64" s="10"/>
      <c r="W64" s="13" t="s">
        <v>20</v>
      </c>
    </row>
    <row r="65" spans="1:23" ht="22" customHeight="1" x14ac:dyDescent="0.35">
      <c r="A65" s="8"/>
      <c r="B65" s="8"/>
      <c r="C65" s="8"/>
      <c r="D65" s="8"/>
      <c r="E65" s="34"/>
      <c r="F65" s="8"/>
      <c r="G65" s="8" t="s">
        <v>0</v>
      </c>
      <c r="H65" s="8" t="s">
        <v>0</v>
      </c>
      <c r="I65" s="17" t="s">
        <v>0</v>
      </c>
      <c r="J65" s="8"/>
      <c r="K65" s="6" t="str">
        <f>IFERROR(VLOOKUP(J65,Hoja1!$F$2:$H$28,2,0)," ")</f>
        <v xml:space="preserve"> </v>
      </c>
      <c r="L65" s="7" t="str">
        <f>IFERROR(IF(H65="NO",VLOOKUP(J65,Hoja1!$F$2:$I$28,3,0),VLOOKUP(J65,Hoja1!$F$2:$I$28,4,0))," ")</f>
        <v xml:space="preserve"> </v>
      </c>
      <c r="M65" s="24"/>
      <c r="N65" s="24"/>
      <c r="O65" s="25"/>
      <c r="P65" s="32"/>
      <c r="Q65" s="14"/>
      <c r="R65" s="35"/>
      <c r="S65" s="18" t="s">
        <v>0</v>
      </c>
      <c r="T65" s="15" t="e">
        <f t="shared" si="0"/>
        <v>#VALUE!</v>
      </c>
      <c r="U65" s="16" t="e">
        <f t="shared" si="1"/>
        <v>#VALUE!</v>
      </c>
      <c r="V65" s="10"/>
      <c r="W65" s="13" t="s">
        <v>20</v>
      </c>
    </row>
    <row r="66" spans="1:23" ht="22" customHeight="1" x14ac:dyDescent="0.35">
      <c r="A66" s="8"/>
      <c r="B66" s="8"/>
      <c r="C66" s="8"/>
      <c r="D66" s="8"/>
      <c r="E66" s="34"/>
      <c r="F66" s="8"/>
      <c r="G66" s="8" t="s">
        <v>0</v>
      </c>
      <c r="H66" s="8" t="s">
        <v>0</v>
      </c>
      <c r="I66" s="17" t="s">
        <v>0</v>
      </c>
      <c r="J66" s="8"/>
      <c r="K66" s="6" t="str">
        <f>IFERROR(VLOOKUP(J66,Hoja1!$F$2:$H$28,2,0)," ")</f>
        <v xml:space="preserve"> </v>
      </c>
      <c r="L66" s="7" t="str">
        <f>IFERROR(IF(H66="NO",VLOOKUP(J66,Hoja1!$F$2:$I$28,3,0),VLOOKUP(J66,Hoja1!$F$2:$I$28,4,0))," ")</f>
        <v xml:space="preserve"> </v>
      </c>
      <c r="M66" s="24"/>
      <c r="N66" s="24"/>
      <c r="O66" s="25"/>
      <c r="P66" s="32"/>
      <c r="Q66" s="14"/>
      <c r="R66" s="35"/>
      <c r="S66" s="18" t="s">
        <v>0</v>
      </c>
      <c r="T66" s="15" t="e">
        <f t="shared" ref="T66" si="2">S66*L66</f>
        <v>#VALUE!</v>
      </c>
      <c r="U66" s="16" t="e">
        <f t="shared" ref="U66" si="3">L66-T66</f>
        <v>#VALUE!</v>
      </c>
      <c r="V66" s="10"/>
      <c r="W66" s="13" t="s">
        <v>20</v>
      </c>
    </row>
  </sheetData>
  <mergeCells count="10">
    <mergeCell ref="U7:U8"/>
    <mergeCell ref="V7:V8"/>
    <mergeCell ref="W7:W8"/>
    <mergeCell ref="A7:F7"/>
    <mergeCell ref="G7:N7"/>
    <mergeCell ref="O7:P7"/>
    <mergeCell ref="Q7:Q8"/>
    <mergeCell ref="R7:R8"/>
    <mergeCell ref="S7:S8"/>
    <mergeCell ref="T7:T8"/>
  </mergeCells>
  <phoneticPr fontId="18" type="noConversion"/>
  <conditionalFormatting sqref="T66:U66">
    <cfRule type="containsErrors" dxfId="14" priority="18">
      <formula>ISERROR(T66)</formula>
    </cfRule>
  </conditionalFormatting>
  <conditionalFormatting sqref="W66">
    <cfRule type="containsText" dxfId="13" priority="16" operator="containsText" text="No aprobado">
      <formula>NOT(ISERROR(SEARCH("No aprobado",W66)))</formula>
    </cfRule>
    <cfRule type="containsText" dxfId="12" priority="17" operator="containsText" text="Aprobado">
      <formula>NOT(ISERROR(SEARCH("Aprobado",W66)))</formula>
    </cfRule>
  </conditionalFormatting>
  <conditionalFormatting sqref="T9:U65">
    <cfRule type="containsErrors" dxfId="11" priority="3">
      <formula>ISERROR(T9)</formula>
    </cfRule>
  </conditionalFormatting>
  <conditionalFormatting sqref="W9:W65">
    <cfRule type="containsText" dxfId="10" priority="1" operator="containsText" text="No aprobado">
      <formula>NOT(ISERROR(SEARCH("No aprobado",W9)))</formula>
    </cfRule>
    <cfRule type="containsText" dxfId="9" priority="2" operator="containsText" text="Aprobado">
      <formula>NOT(ISERROR(SEARCH("Aprobado",W9)))</formula>
    </cfRule>
  </conditionalFormatting>
  <dataValidations count="1">
    <dataValidation type="list" allowBlank="1" showInputMessage="1" showErrorMessage="1" sqref="J9:J66">
      <formula1>INDIRECT(I9)</formula1>
    </dataValidation>
  </dataValidations>
  <pageMargins left="0.7" right="0.7" top="0.75" bottom="0.75" header="0.3" footer="0.3"/>
  <pageSetup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Hoja1!$K$2:$K$4</xm:f>
          </x14:formula1>
          <xm:sqref>W9:W66</xm:sqref>
        </x14:dataValidation>
        <x14:dataValidation type="list" allowBlank="1" showInputMessage="1" showErrorMessage="1">
          <x14:formula1>
            <xm:f>Hoja1!$L$2:$L$4</xm:f>
          </x14:formula1>
          <xm:sqref>G9:G66</xm:sqref>
        </x14:dataValidation>
        <x14:dataValidation type="list" allowBlank="1" showInputMessage="1" showErrorMessage="1">
          <x14:formula1>
            <xm:f>Hoja1!$A$1:$A$4</xm:f>
          </x14:formula1>
          <xm:sqref>I9:I66</xm:sqref>
        </x14:dataValidation>
        <x14:dataValidation type="list" allowBlank="1" showInputMessage="1" showErrorMessage="1">
          <x14:formula1>
            <xm:f>Hoja1!$J$1:$J$102</xm:f>
          </x14:formula1>
          <xm:sqref>S9:S66</xm:sqref>
        </x14:dataValidation>
        <x14:dataValidation type="list" allowBlank="1" showInputMessage="1" showErrorMessage="1">
          <x14:formula1>
            <xm:f>Hoja1!$E$1:$E$12</xm:f>
          </x14:formula1>
          <xm:sqref>N9:N66</xm:sqref>
        </x14:dataValidation>
        <x14:dataValidation type="list" allowBlank="1" showInputMessage="1" showErrorMessage="1">
          <x14:formula1>
            <xm:f>Hoja1!$Q$2:$Q$4</xm:f>
          </x14:formula1>
          <xm:sqref>H9:H66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8"/>
  <sheetViews>
    <sheetView showGridLines="0" zoomScale="80" zoomScaleNormal="80" workbookViewId="0">
      <selection activeCell="B5" sqref="B5"/>
    </sheetView>
  </sheetViews>
  <sheetFormatPr baseColWidth="10" defaultColWidth="11" defaultRowHeight="12.5" x14ac:dyDescent="0.35"/>
  <cols>
    <col min="1" max="1" width="33.75" style="9" customWidth="1"/>
    <col min="2" max="2" width="37.33203125" style="9" customWidth="1"/>
    <col min="3" max="3" width="27.58203125" style="9" customWidth="1"/>
    <col min="4" max="4" width="21.08203125" style="9" customWidth="1"/>
    <col min="5" max="5" width="16.58203125" style="9" customWidth="1"/>
    <col min="6" max="7" width="18.08203125" style="9" customWidth="1"/>
    <col min="8" max="8" width="19.08203125" style="9" customWidth="1"/>
    <col min="9" max="9" width="31.25" style="9" customWidth="1"/>
    <col min="10" max="10" width="11.83203125" style="9" customWidth="1"/>
    <col min="11" max="11" width="14.83203125" style="9" customWidth="1"/>
    <col min="12" max="12" width="18.33203125" style="9" customWidth="1"/>
    <col min="13" max="13" width="17.33203125" style="9" customWidth="1"/>
    <col min="14" max="14" width="23.58203125" style="9" customWidth="1"/>
    <col min="15" max="15" width="15.33203125" style="29" customWidth="1"/>
    <col min="16" max="16" width="18.08203125" style="9" customWidth="1"/>
    <col min="17" max="17" width="56.25" style="9" customWidth="1"/>
    <col min="18" max="18" width="25.08203125" style="9" customWidth="1"/>
    <col min="19" max="19" width="15.25" style="9" customWidth="1"/>
    <col min="20" max="20" width="16.58203125" style="9" customWidth="1"/>
    <col min="21" max="21" width="25.83203125" style="9" customWidth="1"/>
    <col min="22" max="22" width="14.25" style="9" customWidth="1"/>
    <col min="23" max="23" width="14.08203125" style="4" customWidth="1"/>
    <col min="24" max="24" width="32" style="4" customWidth="1"/>
    <col min="25" max="16384" width="11" style="4"/>
  </cols>
  <sheetData>
    <row r="1" spans="1:22" ht="13.5" customHeight="1" x14ac:dyDescent="0.35"/>
    <row r="2" spans="1:22" ht="19.5" customHeight="1" x14ac:dyDescent="0.35">
      <c r="D2" s="5"/>
      <c r="E2" s="5"/>
      <c r="I2" s="11"/>
      <c r="J2" s="11"/>
    </row>
    <row r="3" spans="1:22" ht="19.5" customHeight="1" x14ac:dyDescent="0.35">
      <c r="B3" s="5"/>
      <c r="D3" s="5"/>
      <c r="E3" s="5"/>
      <c r="I3" s="11"/>
      <c r="J3" s="11"/>
    </row>
    <row r="4" spans="1:22" ht="13.5" customHeight="1" x14ac:dyDescent="0.35">
      <c r="B4" s="5"/>
      <c r="D4" s="20"/>
      <c r="E4" s="20"/>
    </row>
    <row r="5" spans="1:22" ht="19.5" customHeight="1" x14ac:dyDescent="0.35">
      <c r="B5" s="20"/>
    </row>
    <row r="6" spans="1:22" ht="13.5" customHeight="1" thickBot="1" x14ac:dyDescent="0.4">
      <c r="H6" s="12"/>
    </row>
    <row r="7" spans="1:22" ht="29.5" customHeight="1" thickBot="1" x14ac:dyDescent="0.4">
      <c r="A7" s="66" t="s">
        <v>88</v>
      </c>
      <c r="B7" s="67"/>
      <c r="C7" s="67"/>
      <c r="D7" s="67"/>
      <c r="E7" s="70"/>
      <c r="F7" s="63" t="s">
        <v>57</v>
      </c>
      <c r="G7" s="64"/>
      <c r="H7" s="64"/>
      <c r="I7" s="64"/>
      <c r="J7" s="64"/>
      <c r="K7" s="64"/>
      <c r="L7" s="64"/>
      <c r="M7" s="65"/>
      <c r="N7" s="72" t="s">
        <v>58</v>
      </c>
      <c r="O7" s="60"/>
      <c r="P7" s="61" t="s">
        <v>89</v>
      </c>
      <c r="Q7" s="62" t="s">
        <v>59</v>
      </c>
      <c r="R7" s="77" t="s">
        <v>60</v>
      </c>
      <c r="S7" s="62" t="s">
        <v>61</v>
      </c>
      <c r="T7" s="62" t="s">
        <v>62</v>
      </c>
      <c r="U7" s="69" t="s">
        <v>63</v>
      </c>
      <c r="V7" s="68" t="s">
        <v>64</v>
      </c>
    </row>
    <row r="8" spans="1:22" ht="46" customHeight="1" x14ac:dyDescent="0.35">
      <c r="A8" s="39" t="s">
        <v>90</v>
      </c>
      <c r="B8" s="21" t="s">
        <v>91</v>
      </c>
      <c r="C8" s="39" t="s">
        <v>66</v>
      </c>
      <c r="D8" s="21" t="s">
        <v>71</v>
      </c>
      <c r="E8" s="21" t="s">
        <v>72</v>
      </c>
      <c r="F8" s="21" t="s">
        <v>74</v>
      </c>
      <c r="G8" s="40" t="s">
        <v>75</v>
      </c>
      <c r="H8" s="41" t="s">
        <v>76</v>
      </c>
      <c r="I8" s="42" t="s">
        <v>77</v>
      </c>
      <c r="J8" s="42" t="s">
        <v>78</v>
      </c>
      <c r="K8" s="41" t="s">
        <v>79</v>
      </c>
      <c r="L8" s="41" t="s">
        <v>80</v>
      </c>
      <c r="M8" s="41" t="s">
        <v>82</v>
      </c>
      <c r="N8" s="41" t="s">
        <v>83</v>
      </c>
      <c r="O8" s="43" t="s">
        <v>84</v>
      </c>
      <c r="P8" s="73"/>
      <c r="Q8" s="73"/>
      <c r="R8" s="74"/>
      <c r="S8" s="73"/>
      <c r="T8" s="73"/>
      <c r="U8" s="76"/>
      <c r="V8" s="71"/>
    </row>
    <row r="9" spans="1:22" ht="27" customHeight="1" x14ac:dyDescent="0.35">
      <c r="A9" s="8"/>
      <c r="B9" s="8"/>
      <c r="C9" s="8"/>
      <c r="D9" s="8"/>
      <c r="E9" s="8"/>
      <c r="F9" s="8" t="s">
        <v>0</v>
      </c>
      <c r="G9" s="8" t="s">
        <v>0</v>
      </c>
      <c r="H9" s="17" t="s">
        <v>0</v>
      </c>
      <c r="I9" s="8"/>
      <c r="J9" s="6" t="str">
        <f>IFERROR(VLOOKUP(I9,Hoja1!$F$2:$H$28,2,0)," ")</f>
        <v xml:space="preserve"> </v>
      </c>
      <c r="K9" s="7" t="str">
        <f>IFERROR(IF(G9="NO",VLOOKUP(I9,Hoja1!$F$2:$I$28,3,0),VLOOKUP(I9,Hoja1!$F$2:$I$28,4,0))," ")</f>
        <v xml:space="preserve"> </v>
      </c>
      <c r="L9" s="24"/>
      <c r="M9" s="24" t="s">
        <v>0</v>
      </c>
      <c r="N9" s="25"/>
      <c r="O9" s="18"/>
      <c r="P9" s="14"/>
      <c r="Q9" s="14"/>
      <c r="R9" s="31" t="s">
        <v>0</v>
      </c>
      <c r="S9" s="15" t="e">
        <f t="shared" ref="S9:S12" si="0">R9*K9</f>
        <v>#VALUE!</v>
      </c>
      <c r="T9" s="16" t="e">
        <f t="shared" ref="T9:T12" si="1">K9-S9</f>
        <v>#VALUE!</v>
      </c>
      <c r="U9" s="10"/>
      <c r="V9" s="13" t="s">
        <v>20</v>
      </c>
    </row>
    <row r="10" spans="1:22" ht="27" customHeight="1" x14ac:dyDescent="0.35">
      <c r="A10" s="8"/>
      <c r="B10" s="8"/>
      <c r="C10" s="8"/>
      <c r="D10" s="8"/>
      <c r="E10" s="8"/>
      <c r="F10" s="8" t="s">
        <v>0</v>
      </c>
      <c r="G10" s="8" t="s">
        <v>0</v>
      </c>
      <c r="H10" s="17" t="s">
        <v>0</v>
      </c>
      <c r="I10" s="8"/>
      <c r="J10" s="6" t="str">
        <f>IFERROR(VLOOKUP(I10,Hoja1!$F$2:$H$28,2,0)," ")</f>
        <v xml:space="preserve"> </v>
      </c>
      <c r="K10" s="7" t="str">
        <f>IFERROR(VLOOKUP(I10,Hoja1!$F$2:$H$28,3,0)," ")</f>
        <v xml:space="preserve"> </v>
      </c>
      <c r="L10" s="24"/>
      <c r="M10" s="24" t="s">
        <v>0</v>
      </c>
      <c r="N10" s="25"/>
      <c r="O10" s="18"/>
      <c r="P10" s="14"/>
      <c r="Q10" s="14"/>
      <c r="R10" s="31" t="s">
        <v>0</v>
      </c>
      <c r="S10" s="15" t="e">
        <f t="shared" si="0"/>
        <v>#VALUE!</v>
      </c>
      <c r="T10" s="16" t="e">
        <f t="shared" si="1"/>
        <v>#VALUE!</v>
      </c>
      <c r="U10" s="10"/>
      <c r="V10" s="13" t="s">
        <v>20</v>
      </c>
    </row>
    <row r="11" spans="1:22" ht="27" customHeight="1" x14ac:dyDescent="0.35">
      <c r="A11" s="8"/>
      <c r="B11" s="8"/>
      <c r="C11" s="8"/>
      <c r="D11" s="8"/>
      <c r="E11" s="8"/>
      <c r="F11" s="8" t="s">
        <v>0</v>
      </c>
      <c r="G11" s="8" t="s">
        <v>0</v>
      </c>
      <c r="H11" s="17" t="s">
        <v>0</v>
      </c>
      <c r="I11" s="8"/>
      <c r="J11" s="6" t="str">
        <f>IFERROR(VLOOKUP(I11,Hoja1!$F$2:$H$28,2,0)," ")</f>
        <v xml:space="preserve"> </v>
      </c>
      <c r="K11" s="7" t="str">
        <f>IFERROR(VLOOKUP(I11,Hoja1!$F$2:$H$28,3,0)," ")</f>
        <v xml:space="preserve"> </v>
      </c>
      <c r="L11" s="24"/>
      <c r="M11" s="24" t="s">
        <v>0</v>
      </c>
      <c r="N11" s="25"/>
      <c r="O11" s="18"/>
      <c r="P11" s="14"/>
      <c r="Q11" s="14"/>
      <c r="R11" s="31" t="s">
        <v>0</v>
      </c>
      <c r="S11" s="15" t="e">
        <f t="shared" si="0"/>
        <v>#VALUE!</v>
      </c>
      <c r="T11" s="16" t="e">
        <f t="shared" si="1"/>
        <v>#VALUE!</v>
      </c>
      <c r="U11" s="10"/>
      <c r="V11" s="13" t="s">
        <v>20</v>
      </c>
    </row>
    <row r="12" spans="1:22" ht="27" customHeight="1" x14ac:dyDescent="0.35">
      <c r="A12" s="8"/>
      <c r="B12" s="8"/>
      <c r="C12" s="8"/>
      <c r="D12" s="8"/>
      <c r="E12" s="8"/>
      <c r="F12" s="8" t="s">
        <v>0</v>
      </c>
      <c r="G12" s="8" t="s">
        <v>0</v>
      </c>
      <c r="H12" s="17" t="s">
        <v>0</v>
      </c>
      <c r="I12" s="8"/>
      <c r="J12" s="6" t="str">
        <f>IFERROR(VLOOKUP(I12,Hoja1!$F$2:$H$28,2,0)," ")</f>
        <v xml:space="preserve"> </v>
      </c>
      <c r="K12" s="7" t="str">
        <f>IFERROR(VLOOKUP(I12,Hoja1!$F$2:$H$28,3,0)," ")</f>
        <v xml:space="preserve"> </v>
      </c>
      <c r="L12" s="24"/>
      <c r="M12" s="24" t="s">
        <v>0</v>
      </c>
      <c r="N12" s="25"/>
      <c r="O12" s="18"/>
      <c r="P12" s="14"/>
      <c r="Q12" s="14"/>
      <c r="R12" s="31" t="s">
        <v>0</v>
      </c>
      <c r="S12" s="15" t="e">
        <f t="shared" si="0"/>
        <v>#VALUE!</v>
      </c>
      <c r="T12" s="16" t="e">
        <f t="shared" si="1"/>
        <v>#VALUE!</v>
      </c>
      <c r="U12" s="10"/>
      <c r="V12" s="13" t="s">
        <v>20</v>
      </c>
    </row>
    <row r="13" spans="1:22" ht="27" customHeight="1" x14ac:dyDescent="0.35">
      <c r="A13" s="8"/>
      <c r="B13" s="8"/>
      <c r="C13" s="8"/>
      <c r="D13" s="8"/>
      <c r="E13" s="8"/>
      <c r="F13" s="8" t="s">
        <v>0</v>
      </c>
      <c r="G13" s="8" t="s">
        <v>0</v>
      </c>
      <c r="H13" s="17" t="s">
        <v>0</v>
      </c>
      <c r="I13" s="8"/>
      <c r="J13" s="6" t="str">
        <f>IFERROR(VLOOKUP(I13,Hoja1!$F$2:$H$28,2,0)," ")</f>
        <v xml:space="preserve"> </v>
      </c>
      <c r="K13" s="7" t="str">
        <f>IFERROR(VLOOKUP(I13,Hoja1!$F$2:$H$28,3,0)," ")</f>
        <v xml:space="preserve"> </v>
      </c>
      <c r="L13" s="24"/>
      <c r="M13" s="24" t="s">
        <v>0</v>
      </c>
      <c r="N13" s="25"/>
      <c r="O13" s="18"/>
      <c r="P13" s="14"/>
      <c r="Q13" s="14"/>
      <c r="R13" s="31" t="s">
        <v>0</v>
      </c>
      <c r="S13" s="15" t="e">
        <f t="shared" ref="S13" si="2">R13*K13</f>
        <v>#VALUE!</v>
      </c>
      <c r="T13" s="16" t="e">
        <f t="shared" ref="T13" si="3">K13-S13</f>
        <v>#VALUE!</v>
      </c>
      <c r="U13" s="10"/>
      <c r="V13" s="13" t="s">
        <v>20</v>
      </c>
    </row>
    <row r="14" spans="1:22" ht="27" customHeight="1" x14ac:dyDescent="0.35">
      <c r="A14" s="8"/>
      <c r="B14" s="8"/>
      <c r="C14" s="8"/>
      <c r="D14" s="8"/>
      <c r="E14" s="8"/>
      <c r="F14" s="8" t="s">
        <v>0</v>
      </c>
      <c r="G14" s="8" t="s">
        <v>0</v>
      </c>
      <c r="H14" s="17" t="s">
        <v>0</v>
      </c>
      <c r="I14" s="8"/>
      <c r="J14" s="6" t="str">
        <f>IFERROR(VLOOKUP(I14,Hoja1!$F$2:$H$28,2,0)," ")</f>
        <v xml:space="preserve"> </v>
      </c>
      <c r="K14" s="7" t="str">
        <f>IFERROR(VLOOKUP(I14,Hoja1!$F$2:$H$28,3,0)," ")</f>
        <v xml:space="preserve"> </v>
      </c>
      <c r="L14" s="24"/>
      <c r="M14" s="24" t="s">
        <v>0</v>
      </c>
      <c r="N14" s="25"/>
      <c r="O14" s="18"/>
      <c r="P14" s="14"/>
      <c r="Q14" s="14"/>
      <c r="R14" s="31" t="s">
        <v>0</v>
      </c>
      <c r="S14" s="15" t="e">
        <f t="shared" ref="S14:S77" si="4">R14*K14</f>
        <v>#VALUE!</v>
      </c>
      <c r="T14" s="16" t="e">
        <f t="shared" ref="T14:T77" si="5">K14-S14</f>
        <v>#VALUE!</v>
      </c>
      <c r="U14" s="10"/>
      <c r="V14" s="13" t="s">
        <v>20</v>
      </c>
    </row>
    <row r="15" spans="1:22" ht="27" customHeight="1" x14ac:dyDescent="0.35">
      <c r="A15" s="8"/>
      <c r="B15" s="8"/>
      <c r="C15" s="8"/>
      <c r="D15" s="8"/>
      <c r="E15" s="8"/>
      <c r="F15" s="8" t="s">
        <v>0</v>
      </c>
      <c r="G15" s="8" t="s">
        <v>0</v>
      </c>
      <c r="H15" s="17" t="s">
        <v>0</v>
      </c>
      <c r="I15" s="8"/>
      <c r="J15" s="6" t="str">
        <f>IFERROR(VLOOKUP(I15,Hoja1!$F$2:$H$28,2,0)," ")</f>
        <v xml:space="preserve"> </v>
      </c>
      <c r="K15" s="7" t="str">
        <f>IFERROR(VLOOKUP(I15,Hoja1!$F$2:$H$28,3,0)," ")</f>
        <v xml:space="preserve"> </v>
      </c>
      <c r="L15" s="24"/>
      <c r="M15" s="24" t="s">
        <v>0</v>
      </c>
      <c r="N15" s="25"/>
      <c r="O15" s="18"/>
      <c r="P15" s="14"/>
      <c r="Q15" s="14"/>
      <c r="R15" s="31" t="s">
        <v>0</v>
      </c>
      <c r="S15" s="15" t="e">
        <f t="shared" si="4"/>
        <v>#VALUE!</v>
      </c>
      <c r="T15" s="16" t="e">
        <f t="shared" si="5"/>
        <v>#VALUE!</v>
      </c>
      <c r="U15" s="10"/>
      <c r="V15" s="13" t="s">
        <v>20</v>
      </c>
    </row>
    <row r="16" spans="1:22" ht="27" customHeight="1" x14ac:dyDescent="0.35">
      <c r="A16" s="8"/>
      <c r="B16" s="8"/>
      <c r="C16" s="8"/>
      <c r="D16" s="8"/>
      <c r="E16" s="8"/>
      <c r="F16" s="8" t="s">
        <v>0</v>
      </c>
      <c r="G16" s="8" t="s">
        <v>0</v>
      </c>
      <c r="H16" s="17" t="s">
        <v>0</v>
      </c>
      <c r="I16" s="8"/>
      <c r="J16" s="6" t="str">
        <f>IFERROR(VLOOKUP(I16,Hoja1!$F$2:$H$28,2,0)," ")</f>
        <v xml:space="preserve"> </v>
      </c>
      <c r="K16" s="7" t="str">
        <f>IFERROR(VLOOKUP(I16,Hoja1!$F$2:$H$28,3,0)," ")</f>
        <v xml:space="preserve"> </v>
      </c>
      <c r="L16" s="24"/>
      <c r="M16" s="24" t="s">
        <v>0</v>
      </c>
      <c r="N16" s="25"/>
      <c r="O16" s="18"/>
      <c r="P16" s="14"/>
      <c r="Q16" s="14"/>
      <c r="R16" s="31" t="s">
        <v>0</v>
      </c>
      <c r="S16" s="15" t="e">
        <f t="shared" si="4"/>
        <v>#VALUE!</v>
      </c>
      <c r="T16" s="16" t="e">
        <f t="shared" si="5"/>
        <v>#VALUE!</v>
      </c>
      <c r="U16" s="10"/>
      <c r="V16" s="13" t="s">
        <v>20</v>
      </c>
    </row>
    <row r="17" spans="1:22" ht="27" customHeight="1" x14ac:dyDescent="0.35">
      <c r="A17" s="8"/>
      <c r="B17" s="8"/>
      <c r="C17" s="8"/>
      <c r="D17" s="8"/>
      <c r="E17" s="8"/>
      <c r="F17" s="8" t="s">
        <v>0</v>
      </c>
      <c r="G17" s="8" t="s">
        <v>0</v>
      </c>
      <c r="H17" s="17" t="s">
        <v>0</v>
      </c>
      <c r="I17" s="8"/>
      <c r="J17" s="6" t="str">
        <f>IFERROR(VLOOKUP(I17,Hoja1!$F$2:$H$28,2,0)," ")</f>
        <v xml:space="preserve"> </v>
      </c>
      <c r="K17" s="7" t="str">
        <f>IFERROR(VLOOKUP(I17,Hoja1!$F$2:$H$28,3,0)," ")</f>
        <v xml:space="preserve"> </v>
      </c>
      <c r="L17" s="24"/>
      <c r="M17" s="24" t="s">
        <v>0</v>
      </c>
      <c r="N17" s="25"/>
      <c r="O17" s="18"/>
      <c r="P17" s="14"/>
      <c r="Q17" s="14"/>
      <c r="R17" s="31" t="s">
        <v>0</v>
      </c>
      <c r="S17" s="15" t="e">
        <f t="shared" si="4"/>
        <v>#VALUE!</v>
      </c>
      <c r="T17" s="16" t="e">
        <f t="shared" si="5"/>
        <v>#VALUE!</v>
      </c>
      <c r="U17" s="10"/>
      <c r="V17" s="13" t="s">
        <v>20</v>
      </c>
    </row>
    <row r="18" spans="1:22" ht="27" customHeight="1" x14ac:dyDescent="0.35">
      <c r="A18" s="8"/>
      <c r="B18" s="8"/>
      <c r="C18" s="8"/>
      <c r="D18" s="8"/>
      <c r="E18" s="8"/>
      <c r="F18" s="8" t="s">
        <v>0</v>
      </c>
      <c r="G18" s="8" t="s">
        <v>0</v>
      </c>
      <c r="H18" s="17" t="s">
        <v>0</v>
      </c>
      <c r="I18" s="8"/>
      <c r="J18" s="6" t="str">
        <f>IFERROR(VLOOKUP(I18,Hoja1!$F$2:$H$28,2,0)," ")</f>
        <v xml:space="preserve"> </v>
      </c>
      <c r="K18" s="7" t="str">
        <f>IFERROR(VLOOKUP(I18,Hoja1!$F$2:$H$28,3,0)," ")</f>
        <v xml:space="preserve"> </v>
      </c>
      <c r="L18" s="24"/>
      <c r="M18" s="24" t="s">
        <v>0</v>
      </c>
      <c r="N18" s="25"/>
      <c r="O18" s="18"/>
      <c r="P18" s="14"/>
      <c r="Q18" s="14"/>
      <c r="R18" s="31" t="s">
        <v>0</v>
      </c>
      <c r="S18" s="15" t="e">
        <f t="shared" si="4"/>
        <v>#VALUE!</v>
      </c>
      <c r="T18" s="16" t="e">
        <f t="shared" si="5"/>
        <v>#VALUE!</v>
      </c>
      <c r="U18" s="10"/>
      <c r="V18" s="13" t="s">
        <v>20</v>
      </c>
    </row>
    <row r="19" spans="1:22" ht="27" customHeight="1" x14ac:dyDescent="0.35">
      <c r="A19" s="8"/>
      <c r="B19" s="8"/>
      <c r="C19" s="8"/>
      <c r="D19" s="8"/>
      <c r="E19" s="8"/>
      <c r="F19" s="8" t="s">
        <v>0</v>
      </c>
      <c r="G19" s="8" t="s">
        <v>0</v>
      </c>
      <c r="H19" s="17" t="s">
        <v>0</v>
      </c>
      <c r="I19" s="8"/>
      <c r="J19" s="6" t="str">
        <f>IFERROR(VLOOKUP(I19,Hoja1!$F$2:$H$28,2,0)," ")</f>
        <v xml:space="preserve"> </v>
      </c>
      <c r="K19" s="7" t="str">
        <f>IFERROR(VLOOKUP(I19,Hoja1!$F$2:$H$28,3,0)," ")</f>
        <v xml:space="preserve"> </v>
      </c>
      <c r="L19" s="24"/>
      <c r="M19" s="24" t="s">
        <v>0</v>
      </c>
      <c r="N19" s="25"/>
      <c r="O19" s="18"/>
      <c r="P19" s="14"/>
      <c r="Q19" s="14"/>
      <c r="R19" s="31" t="s">
        <v>0</v>
      </c>
      <c r="S19" s="15" t="e">
        <f t="shared" si="4"/>
        <v>#VALUE!</v>
      </c>
      <c r="T19" s="16" t="e">
        <f t="shared" si="5"/>
        <v>#VALUE!</v>
      </c>
      <c r="U19" s="10"/>
      <c r="V19" s="13" t="s">
        <v>20</v>
      </c>
    </row>
    <row r="20" spans="1:22" ht="27" customHeight="1" x14ac:dyDescent="0.35">
      <c r="A20" s="8"/>
      <c r="B20" s="8"/>
      <c r="C20" s="8"/>
      <c r="D20" s="8"/>
      <c r="E20" s="8"/>
      <c r="F20" s="8" t="s">
        <v>0</v>
      </c>
      <c r="G20" s="8" t="s">
        <v>0</v>
      </c>
      <c r="H20" s="17" t="s">
        <v>0</v>
      </c>
      <c r="I20" s="8"/>
      <c r="J20" s="6" t="str">
        <f>IFERROR(VLOOKUP(I20,Hoja1!$F$2:$H$28,2,0)," ")</f>
        <v xml:space="preserve"> </v>
      </c>
      <c r="K20" s="7" t="str">
        <f>IFERROR(VLOOKUP(I20,Hoja1!$F$2:$H$28,3,0)," ")</f>
        <v xml:space="preserve"> </v>
      </c>
      <c r="L20" s="24"/>
      <c r="M20" s="24" t="s">
        <v>0</v>
      </c>
      <c r="N20" s="25"/>
      <c r="O20" s="18"/>
      <c r="P20" s="14"/>
      <c r="Q20" s="14"/>
      <c r="R20" s="31" t="s">
        <v>0</v>
      </c>
      <c r="S20" s="15" t="e">
        <f t="shared" si="4"/>
        <v>#VALUE!</v>
      </c>
      <c r="T20" s="16" t="e">
        <f t="shared" si="5"/>
        <v>#VALUE!</v>
      </c>
      <c r="U20" s="10"/>
      <c r="V20" s="13" t="s">
        <v>20</v>
      </c>
    </row>
    <row r="21" spans="1:22" ht="27" customHeight="1" x14ac:dyDescent="0.35">
      <c r="A21" s="8"/>
      <c r="B21" s="8"/>
      <c r="C21" s="8"/>
      <c r="D21" s="8"/>
      <c r="E21" s="8"/>
      <c r="F21" s="8" t="s">
        <v>0</v>
      </c>
      <c r="G21" s="8" t="s">
        <v>0</v>
      </c>
      <c r="H21" s="17" t="s">
        <v>0</v>
      </c>
      <c r="I21" s="8"/>
      <c r="J21" s="6" t="str">
        <f>IFERROR(VLOOKUP(I21,Hoja1!$F$2:$H$28,2,0)," ")</f>
        <v xml:space="preserve"> </v>
      </c>
      <c r="K21" s="7" t="str">
        <f>IFERROR(VLOOKUP(I21,Hoja1!$F$2:$H$28,3,0)," ")</f>
        <v xml:space="preserve"> </v>
      </c>
      <c r="L21" s="24"/>
      <c r="M21" s="24" t="s">
        <v>0</v>
      </c>
      <c r="N21" s="25"/>
      <c r="O21" s="18"/>
      <c r="P21" s="14"/>
      <c r="Q21" s="14"/>
      <c r="R21" s="31" t="s">
        <v>0</v>
      </c>
      <c r="S21" s="15" t="e">
        <f t="shared" si="4"/>
        <v>#VALUE!</v>
      </c>
      <c r="T21" s="16" t="e">
        <f t="shared" si="5"/>
        <v>#VALUE!</v>
      </c>
      <c r="U21" s="10"/>
      <c r="V21" s="13" t="s">
        <v>20</v>
      </c>
    </row>
    <row r="22" spans="1:22" ht="27" customHeight="1" x14ac:dyDescent="0.35">
      <c r="A22" s="8"/>
      <c r="B22" s="8"/>
      <c r="C22" s="8"/>
      <c r="D22" s="8"/>
      <c r="E22" s="8"/>
      <c r="F22" s="8" t="s">
        <v>0</v>
      </c>
      <c r="G22" s="8" t="s">
        <v>0</v>
      </c>
      <c r="H22" s="17" t="s">
        <v>0</v>
      </c>
      <c r="I22" s="8"/>
      <c r="J22" s="6" t="str">
        <f>IFERROR(VLOOKUP(I22,Hoja1!$F$2:$H$28,2,0)," ")</f>
        <v xml:space="preserve"> </v>
      </c>
      <c r="K22" s="7" t="str">
        <f>IFERROR(VLOOKUP(I22,Hoja1!$F$2:$H$28,3,0)," ")</f>
        <v xml:space="preserve"> </v>
      </c>
      <c r="L22" s="24"/>
      <c r="M22" s="24" t="s">
        <v>0</v>
      </c>
      <c r="N22" s="25"/>
      <c r="O22" s="18"/>
      <c r="P22" s="14"/>
      <c r="Q22" s="14"/>
      <c r="R22" s="31" t="s">
        <v>0</v>
      </c>
      <c r="S22" s="15" t="e">
        <f t="shared" si="4"/>
        <v>#VALUE!</v>
      </c>
      <c r="T22" s="16" t="e">
        <f t="shared" si="5"/>
        <v>#VALUE!</v>
      </c>
      <c r="U22" s="10"/>
      <c r="V22" s="13" t="s">
        <v>20</v>
      </c>
    </row>
    <row r="23" spans="1:22" ht="27" customHeight="1" x14ac:dyDescent="0.35">
      <c r="A23" s="8"/>
      <c r="B23" s="8"/>
      <c r="C23" s="8"/>
      <c r="D23" s="8"/>
      <c r="E23" s="8"/>
      <c r="F23" s="8" t="s">
        <v>0</v>
      </c>
      <c r="G23" s="8" t="s">
        <v>0</v>
      </c>
      <c r="H23" s="17" t="s">
        <v>0</v>
      </c>
      <c r="I23" s="8"/>
      <c r="J23" s="6" t="str">
        <f>IFERROR(VLOOKUP(I23,Hoja1!$F$2:$H$28,2,0)," ")</f>
        <v xml:space="preserve"> </v>
      </c>
      <c r="K23" s="7" t="str">
        <f>IFERROR(VLOOKUP(I23,Hoja1!$F$2:$H$28,3,0)," ")</f>
        <v xml:space="preserve"> </v>
      </c>
      <c r="L23" s="24"/>
      <c r="M23" s="24" t="s">
        <v>0</v>
      </c>
      <c r="N23" s="25"/>
      <c r="O23" s="18"/>
      <c r="P23" s="14"/>
      <c r="Q23" s="14"/>
      <c r="R23" s="31" t="s">
        <v>0</v>
      </c>
      <c r="S23" s="15" t="e">
        <f t="shared" si="4"/>
        <v>#VALUE!</v>
      </c>
      <c r="T23" s="16" t="e">
        <f t="shared" si="5"/>
        <v>#VALUE!</v>
      </c>
      <c r="U23" s="10"/>
      <c r="V23" s="13" t="s">
        <v>20</v>
      </c>
    </row>
    <row r="24" spans="1:22" ht="27" customHeight="1" x14ac:dyDescent="0.35">
      <c r="A24" s="8"/>
      <c r="B24" s="8"/>
      <c r="C24" s="8"/>
      <c r="D24" s="8"/>
      <c r="E24" s="8"/>
      <c r="F24" s="8" t="s">
        <v>0</v>
      </c>
      <c r="G24" s="8" t="s">
        <v>0</v>
      </c>
      <c r="H24" s="17" t="s">
        <v>0</v>
      </c>
      <c r="I24" s="8"/>
      <c r="J24" s="6" t="str">
        <f>IFERROR(VLOOKUP(I24,Hoja1!$F$2:$H$28,2,0)," ")</f>
        <v xml:space="preserve"> </v>
      </c>
      <c r="K24" s="7" t="str">
        <f>IFERROR(VLOOKUP(I24,Hoja1!$F$2:$H$28,3,0)," ")</f>
        <v xml:space="preserve"> </v>
      </c>
      <c r="L24" s="24"/>
      <c r="M24" s="24" t="s">
        <v>0</v>
      </c>
      <c r="N24" s="25"/>
      <c r="O24" s="18"/>
      <c r="P24" s="14"/>
      <c r="Q24" s="14"/>
      <c r="R24" s="31" t="s">
        <v>0</v>
      </c>
      <c r="S24" s="15" t="e">
        <f t="shared" si="4"/>
        <v>#VALUE!</v>
      </c>
      <c r="T24" s="16" t="e">
        <f t="shared" si="5"/>
        <v>#VALUE!</v>
      </c>
      <c r="U24" s="10"/>
      <c r="V24" s="13" t="s">
        <v>20</v>
      </c>
    </row>
    <row r="25" spans="1:22" ht="27" customHeight="1" x14ac:dyDescent="0.35">
      <c r="A25" s="8"/>
      <c r="B25" s="8"/>
      <c r="C25" s="8"/>
      <c r="D25" s="8"/>
      <c r="E25" s="8"/>
      <c r="F25" s="8" t="s">
        <v>0</v>
      </c>
      <c r="G25" s="8" t="s">
        <v>0</v>
      </c>
      <c r="H25" s="17" t="s">
        <v>0</v>
      </c>
      <c r="I25" s="8"/>
      <c r="J25" s="6" t="str">
        <f>IFERROR(VLOOKUP(I25,Hoja1!$F$2:$H$28,2,0)," ")</f>
        <v xml:space="preserve"> </v>
      </c>
      <c r="K25" s="7" t="str">
        <f>IFERROR(VLOOKUP(I25,Hoja1!$F$2:$H$28,3,0)," ")</f>
        <v xml:space="preserve"> </v>
      </c>
      <c r="L25" s="24"/>
      <c r="M25" s="24" t="s">
        <v>0</v>
      </c>
      <c r="N25" s="25"/>
      <c r="O25" s="18"/>
      <c r="P25" s="14"/>
      <c r="Q25" s="14"/>
      <c r="R25" s="31" t="s">
        <v>0</v>
      </c>
      <c r="S25" s="15" t="e">
        <f t="shared" si="4"/>
        <v>#VALUE!</v>
      </c>
      <c r="T25" s="16" t="e">
        <f t="shared" si="5"/>
        <v>#VALUE!</v>
      </c>
      <c r="U25" s="10"/>
      <c r="V25" s="13" t="s">
        <v>20</v>
      </c>
    </row>
    <row r="26" spans="1:22" ht="27" customHeight="1" x14ac:dyDescent="0.35">
      <c r="A26" s="8"/>
      <c r="B26" s="8"/>
      <c r="C26" s="8"/>
      <c r="D26" s="8"/>
      <c r="E26" s="8"/>
      <c r="F26" s="8" t="s">
        <v>0</v>
      </c>
      <c r="G26" s="8" t="s">
        <v>0</v>
      </c>
      <c r="H26" s="17" t="s">
        <v>0</v>
      </c>
      <c r="I26" s="8"/>
      <c r="J26" s="6" t="str">
        <f>IFERROR(VLOOKUP(I26,Hoja1!$F$2:$H$28,2,0)," ")</f>
        <v xml:space="preserve"> </v>
      </c>
      <c r="K26" s="7" t="str">
        <f>IFERROR(VLOOKUP(I26,Hoja1!$F$2:$H$28,3,0)," ")</f>
        <v xml:space="preserve"> </v>
      </c>
      <c r="L26" s="24"/>
      <c r="M26" s="24" t="s">
        <v>0</v>
      </c>
      <c r="N26" s="25"/>
      <c r="O26" s="18"/>
      <c r="P26" s="14"/>
      <c r="Q26" s="14"/>
      <c r="R26" s="31" t="s">
        <v>0</v>
      </c>
      <c r="S26" s="15" t="e">
        <f t="shared" si="4"/>
        <v>#VALUE!</v>
      </c>
      <c r="T26" s="16" t="e">
        <f t="shared" si="5"/>
        <v>#VALUE!</v>
      </c>
      <c r="U26" s="10"/>
      <c r="V26" s="13" t="s">
        <v>20</v>
      </c>
    </row>
    <row r="27" spans="1:22" ht="27" customHeight="1" x14ac:dyDescent="0.35">
      <c r="A27" s="8"/>
      <c r="B27" s="8"/>
      <c r="C27" s="8"/>
      <c r="D27" s="8"/>
      <c r="E27" s="8"/>
      <c r="F27" s="8" t="s">
        <v>0</v>
      </c>
      <c r="G27" s="8" t="s">
        <v>0</v>
      </c>
      <c r="H27" s="17" t="s">
        <v>0</v>
      </c>
      <c r="I27" s="8"/>
      <c r="J27" s="6" t="str">
        <f>IFERROR(VLOOKUP(I27,Hoja1!$F$2:$H$28,2,0)," ")</f>
        <v xml:space="preserve"> </v>
      </c>
      <c r="K27" s="7" t="str">
        <f>IFERROR(VLOOKUP(I27,Hoja1!$F$2:$H$28,3,0)," ")</f>
        <v xml:space="preserve"> </v>
      </c>
      <c r="L27" s="24"/>
      <c r="M27" s="24" t="s">
        <v>0</v>
      </c>
      <c r="N27" s="25"/>
      <c r="O27" s="18"/>
      <c r="P27" s="14"/>
      <c r="Q27" s="14"/>
      <c r="R27" s="31" t="s">
        <v>0</v>
      </c>
      <c r="S27" s="15" t="e">
        <f t="shared" si="4"/>
        <v>#VALUE!</v>
      </c>
      <c r="T27" s="16" t="e">
        <f t="shared" si="5"/>
        <v>#VALUE!</v>
      </c>
      <c r="U27" s="10"/>
      <c r="V27" s="13" t="s">
        <v>20</v>
      </c>
    </row>
    <row r="28" spans="1:22" ht="27" customHeight="1" x14ac:dyDescent="0.35">
      <c r="A28" s="8"/>
      <c r="B28" s="8"/>
      <c r="C28" s="8"/>
      <c r="D28" s="8"/>
      <c r="E28" s="8"/>
      <c r="F28" s="8" t="s">
        <v>0</v>
      </c>
      <c r="G28" s="8" t="s">
        <v>0</v>
      </c>
      <c r="H28" s="17" t="s">
        <v>0</v>
      </c>
      <c r="I28" s="8"/>
      <c r="J28" s="6" t="str">
        <f>IFERROR(VLOOKUP(I28,Hoja1!$F$2:$H$28,2,0)," ")</f>
        <v xml:space="preserve"> </v>
      </c>
      <c r="K28" s="7" t="str">
        <f>IFERROR(VLOOKUP(I28,Hoja1!$F$2:$H$28,3,0)," ")</f>
        <v xml:space="preserve"> </v>
      </c>
      <c r="L28" s="24"/>
      <c r="M28" s="24" t="s">
        <v>0</v>
      </c>
      <c r="N28" s="25"/>
      <c r="O28" s="18"/>
      <c r="P28" s="14"/>
      <c r="Q28" s="14"/>
      <c r="R28" s="31" t="s">
        <v>0</v>
      </c>
      <c r="S28" s="15" t="e">
        <f t="shared" si="4"/>
        <v>#VALUE!</v>
      </c>
      <c r="T28" s="16" t="e">
        <f t="shared" si="5"/>
        <v>#VALUE!</v>
      </c>
      <c r="U28" s="10"/>
      <c r="V28" s="13" t="s">
        <v>20</v>
      </c>
    </row>
    <row r="29" spans="1:22" ht="27" customHeight="1" x14ac:dyDescent="0.35">
      <c r="A29" s="8"/>
      <c r="B29" s="8"/>
      <c r="C29" s="8"/>
      <c r="D29" s="8"/>
      <c r="E29" s="8"/>
      <c r="F29" s="8" t="s">
        <v>0</v>
      </c>
      <c r="G29" s="8" t="s">
        <v>0</v>
      </c>
      <c r="H29" s="17" t="s">
        <v>0</v>
      </c>
      <c r="I29" s="8"/>
      <c r="J29" s="6" t="str">
        <f>IFERROR(VLOOKUP(I29,Hoja1!$F$2:$H$28,2,0)," ")</f>
        <v xml:space="preserve"> </v>
      </c>
      <c r="K29" s="7" t="str">
        <f>IFERROR(VLOOKUP(I29,Hoja1!$F$2:$H$28,3,0)," ")</f>
        <v xml:space="preserve"> </v>
      </c>
      <c r="L29" s="24"/>
      <c r="M29" s="24" t="s">
        <v>0</v>
      </c>
      <c r="N29" s="25"/>
      <c r="O29" s="18"/>
      <c r="P29" s="14"/>
      <c r="Q29" s="14"/>
      <c r="R29" s="31" t="s">
        <v>0</v>
      </c>
      <c r="S29" s="15" t="e">
        <f t="shared" si="4"/>
        <v>#VALUE!</v>
      </c>
      <c r="T29" s="16" t="e">
        <f t="shared" si="5"/>
        <v>#VALUE!</v>
      </c>
      <c r="U29" s="10"/>
      <c r="V29" s="13" t="s">
        <v>20</v>
      </c>
    </row>
    <row r="30" spans="1:22" ht="27" customHeight="1" x14ac:dyDescent="0.35">
      <c r="A30" s="8"/>
      <c r="B30" s="8"/>
      <c r="C30" s="8"/>
      <c r="D30" s="8"/>
      <c r="E30" s="8"/>
      <c r="F30" s="8" t="s">
        <v>0</v>
      </c>
      <c r="G30" s="8" t="s">
        <v>0</v>
      </c>
      <c r="H30" s="17" t="s">
        <v>0</v>
      </c>
      <c r="I30" s="8"/>
      <c r="J30" s="6" t="str">
        <f>IFERROR(VLOOKUP(I30,Hoja1!$F$2:$H$28,2,0)," ")</f>
        <v xml:space="preserve"> </v>
      </c>
      <c r="K30" s="7" t="str">
        <f>IFERROR(VLOOKUP(I30,Hoja1!$F$2:$H$28,3,0)," ")</f>
        <v xml:space="preserve"> </v>
      </c>
      <c r="L30" s="24"/>
      <c r="M30" s="24" t="s">
        <v>0</v>
      </c>
      <c r="N30" s="25"/>
      <c r="O30" s="18"/>
      <c r="P30" s="14"/>
      <c r="Q30" s="14"/>
      <c r="R30" s="31" t="s">
        <v>0</v>
      </c>
      <c r="S30" s="15" t="e">
        <f t="shared" si="4"/>
        <v>#VALUE!</v>
      </c>
      <c r="T30" s="16" t="e">
        <f t="shared" si="5"/>
        <v>#VALUE!</v>
      </c>
      <c r="U30" s="10"/>
      <c r="V30" s="13" t="s">
        <v>20</v>
      </c>
    </row>
    <row r="31" spans="1:22" ht="27" customHeight="1" x14ac:dyDescent="0.35">
      <c r="A31" s="8"/>
      <c r="B31" s="8"/>
      <c r="C31" s="8"/>
      <c r="D31" s="8"/>
      <c r="E31" s="8"/>
      <c r="F31" s="8" t="s">
        <v>0</v>
      </c>
      <c r="G31" s="8" t="s">
        <v>0</v>
      </c>
      <c r="H31" s="17" t="s">
        <v>0</v>
      </c>
      <c r="I31" s="8"/>
      <c r="J31" s="6" t="str">
        <f>IFERROR(VLOOKUP(I31,Hoja1!$F$2:$H$28,2,0)," ")</f>
        <v xml:space="preserve"> </v>
      </c>
      <c r="K31" s="7" t="str">
        <f>IFERROR(VLOOKUP(I31,Hoja1!$F$2:$H$28,3,0)," ")</f>
        <v xml:space="preserve"> </v>
      </c>
      <c r="L31" s="24"/>
      <c r="M31" s="24" t="s">
        <v>0</v>
      </c>
      <c r="N31" s="25"/>
      <c r="O31" s="18"/>
      <c r="P31" s="14"/>
      <c r="Q31" s="14"/>
      <c r="R31" s="31" t="s">
        <v>0</v>
      </c>
      <c r="S31" s="15" t="e">
        <f t="shared" si="4"/>
        <v>#VALUE!</v>
      </c>
      <c r="T31" s="16" t="e">
        <f t="shared" si="5"/>
        <v>#VALUE!</v>
      </c>
      <c r="U31" s="10"/>
      <c r="V31" s="13" t="s">
        <v>20</v>
      </c>
    </row>
    <row r="32" spans="1:22" ht="27" customHeight="1" x14ac:dyDescent="0.35">
      <c r="A32" s="8"/>
      <c r="B32" s="8"/>
      <c r="C32" s="8"/>
      <c r="D32" s="8"/>
      <c r="E32" s="8"/>
      <c r="F32" s="8" t="s">
        <v>0</v>
      </c>
      <c r="G32" s="8" t="s">
        <v>0</v>
      </c>
      <c r="H32" s="17" t="s">
        <v>0</v>
      </c>
      <c r="I32" s="8"/>
      <c r="J32" s="6" t="str">
        <f>IFERROR(VLOOKUP(I32,Hoja1!$F$2:$H$28,2,0)," ")</f>
        <v xml:space="preserve"> </v>
      </c>
      <c r="K32" s="7" t="str">
        <f>IFERROR(VLOOKUP(I32,Hoja1!$F$2:$H$28,3,0)," ")</f>
        <v xml:space="preserve"> </v>
      </c>
      <c r="L32" s="24"/>
      <c r="M32" s="24" t="s">
        <v>0</v>
      </c>
      <c r="N32" s="25"/>
      <c r="O32" s="18"/>
      <c r="P32" s="14"/>
      <c r="Q32" s="14"/>
      <c r="R32" s="31" t="s">
        <v>0</v>
      </c>
      <c r="S32" s="15" t="e">
        <f t="shared" si="4"/>
        <v>#VALUE!</v>
      </c>
      <c r="T32" s="16" t="e">
        <f t="shared" si="5"/>
        <v>#VALUE!</v>
      </c>
      <c r="U32" s="10"/>
      <c r="V32" s="13" t="s">
        <v>20</v>
      </c>
    </row>
    <row r="33" spans="1:22" ht="27" customHeight="1" x14ac:dyDescent="0.35">
      <c r="A33" s="8"/>
      <c r="B33" s="8"/>
      <c r="C33" s="8"/>
      <c r="D33" s="8"/>
      <c r="E33" s="8"/>
      <c r="F33" s="8" t="s">
        <v>0</v>
      </c>
      <c r="G33" s="8" t="s">
        <v>0</v>
      </c>
      <c r="H33" s="17" t="s">
        <v>0</v>
      </c>
      <c r="I33" s="8"/>
      <c r="J33" s="6" t="str">
        <f>IFERROR(VLOOKUP(I33,Hoja1!$F$2:$H$28,2,0)," ")</f>
        <v xml:space="preserve"> </v>
      </c>
      <c r="K33" s="7" t="str">
        <f>IFERROR(VLOOKUP(I33,Hoja1!$F$2:$H$28,3,0)," ")</f>
        <v xml:space="preserve"> </v>
      </c>
      <c r="L33" s="24"/>
      <c r="M33" s="24" t="s">
        <v>0</v>
      </c>
      <c r="N33" s="25"/>
      <c r="O33" s="18"/>
      <c r="P33" s="14"/>
      <c r="Q33" s="14"/>
      <c r="R33" s="31" t="s">
        <v>0</v>
      </c>
      <c r="S33" s="15" t="e">
        <f t="shared" si="4"/>
        <v>#VALUE!</v>
      </c>
      <c r="T33" s="16" t="e">
        <f t="shared" si="5"/>
        <v>#VALUE!</v>
      </c>
      <c r="U33" s="10"/>
      <c r="V33" s="13" t="s">
        <v>20</v>
      </c>
    </row>
    <row r="34" spans="1:22" ht="27" customHeight="1" x14ac:dyDescent="0.35">
      <c r="A34" s="8"/>
      <c r="B34" s="8"/>
      <c r="C34" s="8"/>
      <c r="D34" s="8"/>
      <c r="E34" s="8"/>
      <c r="F34" s="8" t="s">
        <v>0</v>
      </c>
      <c r="G34" s="8" t="s">
        <v>0</v>
      </c>
      <c r="H34" s="17" t="s">
        <v>0</v>
      </c>
      <c r="I34" s="8"/>
      <c r="J34" s="6" t="str">
        <f>IFERROR(VLOOKUP(I34,Hoja1!$F$2:$H$28,2,0)," ")</f>
        <v xml:space="preserve"> </v>
      </c>
      <c r="K34" s="7" t="str">
        <f>IFERROR(VLOOKUP(I34,Hoja1!$F$2:$H$28,3,0)," ")</f>
        <v xml:space="preserve"> </v>
      </c>
      <c r="L34" s="24"/>
      <c r="M34" s="24" t="s">
        <v>0</v>
      </c>
      <c r="N34" s="25"/>
      <c r="O34" s="18"/>
      <c r="P34" s="14"/>
      <c r="Q34" s="14"/>
      <c r="R34" s="31" t="s">
        <v>0</v>
      </c>
      <c r="S34" s="15" t="e">
        <f t="shared" si="4"/>
        <v>#VALUE!</v>
      </c>
      <c r="T34" s="16" t="e">
        <f t="shared" si="5"/>
        <v>#VALUE!</v>
      </c>
      <c r="U34" s="10"/>
      <c r="V34" s="13" t="s">
        <v>20</v>
      </c>
    </row>
    <row r="35" spans="1:22" ht="27" customHeight="1" x14ac:dyDescent="0.35">
      <c r="A35" s="8"/>
      <c r="B35" s="8"/>
      <c r="C35" s="8"/>
      <c r="D35" s="8"/>
      <c r="E35" s="8"/>
      <c r="F35" s="8" t="s">
        <v>0</v>
      </c>
      <c r="G35" s="8" t="s">
        <v>0</v>
      </c>
      <c r="H35" s="17" t="s">
        <v>0</v>
      </c>
      <c r="I35" s="8"/>
      <c r="J35" s="6" t="str">
        <f>IFERROR(VLOOKUP(I35,Hoja1!$F$2:$H$28,2,0)," ")</f>
        <v xml:space="preserve"> </v>
      </c>
      <c r="K35" s="7" t="str">
        <f>IFERROR(VLOOKUP(I35,Hoja1!$F$2:$H$28,3,0)," ")</f>
        <v xml:space="preserve"> </v>
      </c>
      <c r="L35" s="24"/>
      <c r="M35" s="24" t="s">
        <v>0</v>
      </c>
      <c r="N35" s="25"/>
      <c r="O35" s="18"/>
      <c r="P35" s="14"/>
      <c r="Q35" s="14"/>
      <c r="R35" s="31" t="s">
        <v>0</v>
      </c>
      <c r="S35" s="15" t="e">
        <f t="shared" si="4"/>
        <v>#VALUE!</v>
      </c>
      <c r="T35" s="16" t="e">
        <f t="shared" si="5"/>
        <v>#VALUE!</v>
      </c>
      <c r="U35" s="10"/>
      <c r="V35" s="13" t="s">
        <v>20</v>
      </c>
    </row>
    <row r="36" spans="1:22" ht="27" customHeight="1" x14ac:dyDescent="0.35">
      <c r="A36" s="8"/>
      <c r="B36" s="8"/>
      <c r="C36" s="8"/>
      <c r="D36" s="8"/>
      <c r="E36" s="8"/>
      <c r="F36" s="8" t="s">
        <v>0</v>
      </c>
      <c r="G36" s="8" t="s">
        <v>0</v>
      </c>
      <c r="H36" s="17" t="s">
        <v>0</v>
      </c>
      <c r="I36" s="8"/>
      <c r="J36" s="6" t="str">
        <f>IFERROR(VLOOKUP(I36,Hoja1!$F$2:$H$28,2,0)," ")</f>
        <v xml:space="preserve"> </v>
      </c>
      <c r="K36" s="7" t="str">
        <f>IFERROR(VLOOKUP(I36,Hoja1!$F$2:$H$28,3,0)," ")</f>
        <v xml:space="preserve"> </v>
      </c>
      <c r="L36" s="24"/>
      <c r="M36" s="24" t="s">
        <v>0</v>
      </c>
      <c r="N36" s="25"/>
      <c r="O36" s="18"/>
      <c r="P36" s="14"/>
      <c r="Q36" s="14"/>
      <c r="R36" s="31" t="s">
        <v>0</v>
      </c>
      <c r="S36" s="15" t="e">
        <f t="shared" si="4"/>
        <v>#VALUE!</v>
      </c>
      <c r="T36" s="16" t="e">
        <f t="shared" si="5"/>
        <v>#VALUE!</v>
      </c>
      <c r="U36" s="10"/>
      <c r="V36" s="13" t="s">
        <v>20</v>
      </c>
    </row>
    <row r="37" spans="1:22" ht="27" customHeight="1" x14ac:dyDescent="0.35">
      <c r="A37" s="8"/>
      <c r="B37" s="8"/>
      <c r="C37" s="8"/>
      <c r="D37" s="8"/>
      <c r="E37" s="8"/>
      <c r="F37" s="8" t="s">
        <v>0</v>
      </c>
      <c r="G37" s="8" t="s">
        <v>0</v>
      </c>
      <c r="H37" s="17" t="s">
        <v>0</v>
      </c>
      <c r="I37" s="8"/>
      <c r="J37" s="6" t="str">
        <f>IFERROR(VLOOKUP(I37,Hoja1!$F$2:$H$28,2,0)," ")</f>
        <v xml:space="preserve"> </v>
      </c>
      <c r="K37" s="7" t="str">
        <f>IFERROR(VLOOKUP(I37,Hoja1!$F$2:$H$28,3,0)," ")</f>
        <v xml:space="preserve"> </v>
      </c>
      <c r="L37" s="24"/>
      <c r="M37" s="24" t="s">
        <v>0</v>
      </c>
      <c r="N37" s="25"/>
      <c r="O37" s="18"/>
      <c r="P37" s="14"/>
      <c r="Q37" s="14"/>
      <c r="R37" s="31" t="s">
        <v>0</v>
      </c>
      <c r="S37" s="15" t="e">
        <f t="shared" si="4"/>
        <v>#VALUE!</v>
      </c>
      <c r="T37" s="16" t="e">
        <f t="shared" si="5"/>
        <v>#VALUE!</v>
      </c>
      <c r="U37" s="10"/>
      <c r="V37" s="13" t="s">
        <v>20</v>
      </c>
    </row>
    <row r="38" spans="1:22" ht="27" customHeight="1" x14ac:dyDescent="0.35">
      <c r="A38" s="8"/>
      <c r="B38" s="8"/>
      <c r="C38" s="8"/>
      <c r="D38" s="8"/>
      <c r="E38" s="8"/>
      <c r="F38" s="8" t="s">
        <v>0</v>
      </c>
      <c r="G38" s="8" t="s">
        <v>0</v>
      </c>
      <c r="H38" s="17" t="s">
        <v>0</v>
      </c>
      <c r="I38" s="8"/>
      <c r="J38" s="6" t="str">
        <f>IFERROR(VLOOKUP(I38,Hoja1!$F$2:$H$28,2,0)," ")</f>
        <v xml:space="preserve"> </v>
      </c>
      <c r="K38" s="7" t="str">
        <f>IFERROR(VLOOKUP(I38,Hoja1!$F$2:$H$28,3,0)," ")</f>
        <v xml:space="preserve"> </v>
      </c>
      <c r="L38" s="24"/>
      <c r="M38" s="24" t="s">
        <v>0</v>
      </c>
      <c r="N38" s="25"/>
      <c r="O38" s="18"/>
      <c r="P38" s="14"/>
      <c r="Q38" s="14"/>
      <c r="R38" s="31" t="s">
        <v>0</v>
      </c>
      <c r="S38" s="15" t="e">
        <f t="shared" si="4"/>
        <v>#VALUE!</v>
      </c>
      <c r="T38" s="16" t="e">
        <f t="shared" si="5"/>
        <v>#VALUE!</v>
      </c>
      <c r="U38" s="10"/>
      <c r="V38" s="13" t="s">
        <v>20</v>
      </c>
    </row>
    <row r="39" spans="1:22" ht="27" customHeight="1" x14ac:dyDescent="0.35">
      <c r="A39" s="8"/>
      <c r="B39" s="8"/>
      <c r="C39" s="8"/>
      <c r="D39" s="8"/>
      <c r="E39" s="8"/>
      <c r="F39" s="8" t="s">
        <v>0</v>
      </c>
      <c r="G39" s="8" t="s">
        <v>0</v>
      </c>
      <c r="H39" s="17" t="s">
        <v>0</v>
      </c>
      <c r="I39" s="8"/>
      <c r="J39" s="6" t="str">
        <f>IFERROR(VLOOKUP(I39,Hoja1!$F$2:$H$28,2,0)," ")</f>
        <v xml:space="preserve"> </v>
      </c>
      <c r="K39" s="7" t="str">
        <f>IFERROR(VLOOKUP(I39,Hoja1!$F$2:$H$28,3,0)," ")</f>
        <v xml:space="preserve"> </v>
      </c>
      <c r="L39" s="24"/>
      <c r="M39" s="24" t="s">
        <v>0</v>
      </c>
      <c r="N39" s="25"/>
      <c r="O39" s="18"/>
      <c r="P39" s="14"/>
      <c r="Q39" s="14"/>
      <c r="R39" s="31" t="s">
        <v>0</v>
      </c>
      <c r="S39" s="15" t="e">
        <f t="shared" si="4"/>
        <v>#VALUE!</v>
      </c>
      <c r="T39" s="16" t="e">
        <f t="shared" si="5"/>
        <v>#VALUE!</v>
      </c>
      <c r="U39" s="10"/>
      <c r="V39" s="13" t="s">
        <v>20</v>
      </c>
    </row>
    <row r="40" spans="1:22" ht="27" customHeight="1" x14ac:dyDescent="0.35">
      <c r="A40" s="8"/>
      <c r="B40" s="8"/>
      <c r="C40" s="8"/>
      <c r="D40" s="8"/>
      <c r="E40" s="8"/>
      <c r="F40" s="8" t="s">
        <v>0</v>
      </c>
      <c r="G40" s="8" t="s">
        <v>0</v>
      </c>
      <c r="H40" s="17" t="s">
        <v>0</v>
      </c>
      <c r="I40" s="8"/>
      <c r="J40" s="6" t="str">
        <f>IFERROR(VLOOKUP(I40,Hoja1!$F$2:$H$28,2,0)," ")</f>
        <v xml:space="preserve"> </v>
      </c>
      <c r="K40" s="7" t="str">
        <f>IFERROR(VLOOKUP(I40,Hoja1!$F$2:$H$28,3,0)," ")</f>
        <v xml:space="preserve"> </v>
      </c>
      <c r="L40" s="24"/>
      <c r="M40" s="24" t="s">
        <v>0</v>
      </c>
      <c r="N40" s="25"/>
      <c r="O40" s="18"/>
      <c r="P40" s="14"/>
      <c r="Q40" s="14"/>
      <c r="R40" s="31" t="s">
        <v>0</v>
      </c>
      <c r="S40" s="15" t="e">
        <f t="shared" si="4"/>
        <v>#VALUE!</v>
      </c>
      <c r="T40" s="16" t="e">
        <f t="shared" si="5"/>
        <v>#VALUE!</v>
      </c>
      <c r="U40" s="10"/>
      <c r="V40" s="13" t="s">
        <v>20</v>
      </c>
    </row>
    <row r="41" spans="1:22" ht="27" customHeight="1" x14ac:dyDescent="0.35">
      <c r="A41" s="8"/>
      <c r="B41" s="8"/>
      <c r="C41" s="8"/>
      <c r="D41" s="8"/>
      <c r="E41" s="8"/>
      <c r="F41" s="8" t="s">
        <v>0</v>
      </c>
      <c r="G41" s="8" t="s">
        <v>0</v>
      </c>
      <c r="H41" s="17" t="s">
        <v>0</v>
      </c>
      <c r="I41" s="8"/>
      <c r="J41" s="6" t="str">
        <f>IFERROR(VLOOKUP(I41,Hoja1!$F$2:$H$28,2,0)," ")</f>
        <v xml:space="preserve"> </v>
      </c>
      <c r="K41" s="7" t="str">
        <f>IFERROR(VLOOKUP(I41,Hoja1!$F$2:$H$28,3,0)," ")</f>
        <v xml:space="preserve"> </v>
      </c>
      <c r="L41" s="24"/>
      <c r="M41" s="24" t="s">
        <v>0</v>
      </c>
      <c r="N41" s="25"/>
      <c r="O41" s="18"/>
      <c r="P41" s="14"/>
      <c r="Q41" s="14"/>
      <c r="R41" s="31" t="s">
        <v>0</v>
      </c>
      <c r="S41" s="15" t="e">
        <f t="shared" si="4"/>
        <v>#VALUE!</v>
      </c>
      <c r="T41" s="16" t="e">
        <f t="shared" si="5"/>
        <v>#VALUE!</v>
      </c>
      <c r="U41" s="10"/>
      <c r="V41" s="13" t="s">
        <v>20</v>
      </c>
    </row>
    <row r="42" spans="1:22" ht="27" customHeight="1" x14ac:dyDescent="0.35">
      <c r="A42" s="8"/>
      <c r="B42" s="8"/>
      <c r="C42" s="8"/>
      <c r="D42" s="8"/>
      <c r="E42" s="8"/>
      <c r="F42" s="8" t="s">
        <v>0</v>
      </c>
      <c r="G42" s="8" t="s">
        <v>0</v>
      </c>
      <c r="H42" s="17" t="s">
        <v>0</v>
      </c>
      <c r="I42" s="8"/>
      <c r="J42" s="6" t="str">
        <f>IFERROR(VLOOKUP(I42,Hoja1!$F$2:$H$28,2,0)," ")</f>
        <v xml:space="preserve"> </v>
      </c>
      <c r="K42" s="7" t="str">
        <f>IFERROR(VLOOKUP(I42,Hoja1!$F$2:$H$28,3,0)," ")</f>
        <v xml:space="preserve"> </v>
      </c>
      <c r="L42" s="24"/>
      <c r="M42" s="24" t="s">
        <v>0</v>
      </c>
      <c r="N42" s="25"/>
      <c r="O42" s="18"/>
      <c r="P42" s="14"/>
      <c r="Q42" s="14"/>
      <c r="R42" s="31" t="s">
        <v>0</v>
      </c>
      <c r="S42" s="15" t="e">
        <f t="shared" si="4"/>
        <v>#VALUE!</v>
      </c>
      <c r="T42" s="16" t="e">
        <f t="shared" si="5"/>
        <v>#VALUE!</v>
      </c>
      <c r="U42" s="10"/>
      <c r="V42" s="13" t="s">
        <v>20</v>
      </c>
    </row>
    <row r="43" spans="1:22" ht="27" customHeight="1" x14ac:dyDescent="0.35">
      <c r="A43" s="8"/>
      <c r="B43" s="8"/>
      <c r="C43" s="8"/>
      <c r="D43" s="8"/>
      <c r="E43" s="8"/>
      <c r="F43" s="8" t="s">
        <v>0</v>
      </c>
      <c r="G43" s="8" t="s">
        <v>0</v>
      </c>
      <c r="H43" s="17" t="s">
        <v>0</v>
      </c>
      <c r="I43" s="8"/>
      <c r="J43" s="6" t="str">
        <f>IFERROR(VLOOKUP(I43,Hoja1!$F$2:$H$28,2,0)," ")</f>
        <v xml:space="preserve"> </v>
      </c>
      <c r="K43" s="7" t="str">
        <f>IFERROR(VLOOKUP(I43,Hoja1!$F$2:$H$28,3,0)," ")</f>
        <v xml:space="preserve"> </v>
      </c>
      <c r="L43" s="24"/>
      <c r="M43" s="24" t="s">
        <v>0</v>
      </c>
      <c r="N43" s="25"/>
      <c r="O43" s="18"/>
      <c r="P43" s="14"/>
      <c r="Q43" s="14"/>
      <c r="R43" s="31" t="s">
        <v>0</v>
      </c>
      <c r="S43" s="15" t="e">
        <f t="shared" si="4"/>
        <v>#VALUE!</v>
      </c>
      <c r="T43" s="16" t="e">
        <f t="shared" si="5"/>
        <v>#VALUE!</v>
      </c>
      <c r="U43" s="10"/>
      <c r="V43" s="13" t="s">
        <v>20</v>
      </c>
    </row>
    <row r="44" spans="1:22" ht="27" customHeight="1" x14ac:dyDescent="0.35">
      <c r="A44" s="8"/>
      <c r="B44" s="8"/>
      <c r="C44" s="8"/>
      <c r="D44" s="8"/>
      <c r="E44" s="8"/>
      <c r="F44" s="8" t="s">
        <v>0</v>
      </c>
      <c r="G44" s="8" t="s">
        <v>0</v>
      </c>
      <c r="H44" s="17" t="s">
        <v>0</v>
      </c>
      <c r="I44" s="8"/>
      <c r="J44" s="6" t="str">
        <f>IFERROR(VLOOKUP(I44,Hoja1!$F$2:$H$28,2,0)," ")</f>
        <v xml:space="preserve"> </v>
      </c>
      <c r="K44" s="7" t="str">
        <f>IFERROR(VLOOKUP(I44,Hoja1!$F$2:$H$28,3,0)," ")</f>
        <v xml:space="preserve"> </v>
      </c>
      <c r="L44" s="24"/>
      <c r="M44" s="24" t="s">
        <v>0</v>
      </c>
      <c r="N44" s="25"/>
      <c r="O44" s="18"/>
      <c r="P44" s="14"/>
      <c r="Q44" s="14"/>
      <c r="R44" s="31" t="s">
        <v>0</v>
      </c>
      <c r="S44" s="15" t="e">
        <f t="shared" si="4"/>
        <v>#VALUE!</v>
      </c>
      <c r="T44" s="16" t="e">
        <f t="shared" si="5"/>
        <v>#VALUE!</v>
      </c>
      <c r="U44" s="10"/>
      <c r="V44" s="13" t="s">
        <v>20</v>
      </c>
    </row>
    <row r="45" spans="1:22" ht="27" customHeight="1" x14ac:dyDescent="0.35">
      <c r="A45" s="8"/>
      <c r="B45" s="8"/>
      <c r="C45" s="8"/>
      <c r="D45" s="8"/>
      <c r="E45" s="8"/>
      <c r="F45" s="8" t="s">
        <v>0</v>
      </c>
      <c r="G45" s="8" t="s">
        <v>0</v>
      </c>
      <c r="H45" s="17" t="s">
        <v>0</v>
      </c>
      <c r="I45" s="8"/>
      <c r="J45" s="6" t="str">
        <f>IFERROR(VLOOKUP(I45,Hoja1!$F$2:$H$28,2,0)," ")</f>
        <v xml:space="preserve"> </v>
      </c>
      <c r="K45" s="7" t="str">
        <f>IFERROR(VLOOKUP(I45,Hoja1!$F$2:$H$28,3,0)," ")</f>
        <v xml:space="preserve"> </v>
      </c>
      <c r="L45" s="24"/>
      <c r="M45" s="24" t="s">
        <v>0</v>
      </c>
      <c r="N45" s="25"/>
      <c r="O45" s="18"/>
      <c r="P45" s="14"/>
      <c r="Q45" s="14"/>
      <c r="R45" s="31" t="s">
        <v>0</v>
      </c>
      <c r="S45" s="15" t="e">
        <f t="shared" si="4"/>
        <v>#VALUE!</v>
      </c>
      <c r="T45" s="16" t="e">
        <f t="shared" si="5"/>
        <v>#VALUE!</v>
      </c>
      <c r="U45" s="10"/>
      <c r="V45" s="13" t="s">
        <v>20</v>
      </c>
    </row>
    <row r="46" spans="1:22" ht="27" customHeight="1" x14ac:dyDescent="0.35">
      <c r="A46" s="8"/>
      <c r="B46" s="8"/>
      <c r="C46" s="8"/>
      <c r="D46" s="8"/>
      <c r="E46" s="8"/>
      <c r="F46" s="8" t="s">
        <v>0</v>
      </c>
      <c r="G46" s="8" t="s">
        <v>0</v>
      </c>
      <c r="H46" s="17" t="s">
        <v>0</v>
      </c>
      <c r="I46" s="8"/>
      <c r="J46" s="6" t="str">
        <f>IFERROR(VLOOKUP(I46,Hoja1!$F$2:$H$28,2,0)," ")</f>
        <v xml:space="preserve"> </v>
      </c>
      <c r="K46" s="7" t="str">
        <f>IFERROR(VLOOKUP(I46,Hoja1!$F$2:$H$28,3,0)," ")</f>
        <v xml:space="preserve"> </v>
      </c>
      <c r="L46" s="24"/>
      <c r="M46" s="24" t="s">
        <v>0</v>
      </c>
      <c r="N46" s="25"/>
      <c r="O46" s="18"/>
      <c r="P46" s="14"/>
      <c r="Q46" s="14"/>
      <c r="R46" s="31" t="s">
        <v>0</v>
      </c>
      <c r="S46" s="15" t="e">
        <f t="shared" si="4"/>
        <v>#VALUE!</v>
      </c>
      <c r="T46" s="16" t="e">
        <f t="shared" si="5"/>
        <v>#VALUE!</v>
      </c>
      <c r="U46" s="10"/>
      <c r="V46" s="13" t="s">
        <v>20</v>
      </c>
    </row>
    <row r="47" spans="1:22" ht="27" customHeight="1" x14ac:dyDescent="0.35">
      <c r="A47" s="8"/>
      <c r="B47" s="8"/>
      <c r="C47" s="8"/>
      <c r="D47" s="8"/>
      <c r="E47" s="8"/>
      <c r="F47" s="8" t="s">
        <v>0</v>
      </c>
      <c r="G47" s="8" t="s">
        <v>0</v>
      </c>
      <c r="H47" s="17" t="s">
        <v>0</v>
      </c>
      <c r="I47" s="8"/>
      <c r="J47" s="6" t="str">
        <f>IFERROR(VLOOKUP(I47,Hoja1!$F$2:$H$28,2,0)," ")</f>
        <v xml:space="preserve"> </v>
      </c>
      <c r="K47" s="7" t="str">
        <f>IFERROR(VLOOKUP(I47,Hoja1!$F$2:$H$28,3,0)," ")</f>
        <v xml:space="preserve"> </v>
      </c>
      <c r="L47" s="24"/>
      <c r="M47" s="24" t="s">
        <v>0</v>
      </c>
      <c r="N47" s="25"/>
      <c r="O47" s="18"/>
      <c r="P47" s="14"/>
      <c r="Q47" s="14"/>
      <c r="R47" s="31" t="s">
        <v>0</v>
      </c>
      <c r="S47" s="15" t="e">
        <f t="shared" si="4"/>
        <v>#VALUE!</v>
      </c>
      <c r="T47" s="16" t="e">
        <f t="shared" si="5"/>
        <v>#VALUE!</v>
      </c>
      <c r="U47" s="10"/>
      <c r="V47" s="13" t="s">
        <v>20</v>
      </c>
    </row>
    <row r="48" spans="1:22" ht="27" customHeight="1" x14ac:dyDescent="0.35">
      <c r="A48" s="8"/>
      <c r="B48" s="8"/>
      <c r="C48" s="8"/>
      <c r="D48" s="8"/>
      <c r="E48" s="8"/>
      <c r="F48" s="8" t="s">
        <v>0</v>
      </c>
      <c r="G48" s="8" t="s">
        <v>0</v>
      </c>
      <c r="H48" s="17" t="s">
        <v>0</v>
      </c>
      <c r="I48" s="8"/>
      <c r="J48" s="6" t="str">
        <f>IFERROR(VLOOKUP(I48,Hoja1!$F$2:$H$28,2,0)," ")</f>
        <v xml:space="preserve"> </v>
      </c>
      <c r="K48" s="7" t="str">
        <f>IFERROR(VLOOKUP(I48,Hoja1!$F$2:$H$28,3,0)," ")</f>
        <v xml:space="preserve"> </v>
      </c>
      <c r="L48" s="24"/>
      <c r="M48" s="24" t="s">
        <v>0</v>
      </c>
      <c r="N48" s="25"/>
      <c r="O48" s="18"/>
      <c r="P48" s="14"/>
      <c r="Q48" s="14"/>
      <c r="R48" s="31" t="s">
        <v>0</v>
      </c>
      <c r="S48" s="15" t="e">
        <f t="shared" si="4"/>
        <v>#VALUE!</v>
      </c>
      <c r="T48" s="16" t="e">
        <f t="shared" si="5"/>
        <v>#VALUE!</v>
      </c>
      <c r="U48" s="10"/>
      <c r="V48" s="13" t="s">
        <v>20</v>
      </c>
    </row>
    <row r="49" spans="1:22" ht="27" customHeight="1" x14ac:dyDescent="0.35">
      <c r="A49" s="8"/>
      <c r="B49" s="8"/>
      <c r="C49" s="8"/>
      <c r="D49" s="8"/>
      <c r="E49" s="8"/>
      <c r="F49" s="8" t="s">
        <v>0</v>
      </c>
      <c r="G49" s="8" t="s">
        <v>0</v>
      </c>
      <c r="H49" s="17" t="s">
        <v>0</v>
      </c>
      <c r="I49" s="8"/>
      <c r="J49" s="6" t="str">
        <f>IFERROR(VLOOKUP(I49,Hoja1!$F$2:$H$28,2,0)," ")</f>
        <v xml:space="preserve"> </v>
      </c>
      <c r="K49" s="7" t="str">
        <f>IFERROR(VLOOKUP(I49,Hoja1!$F$2:$H$28,3,0)," ")</f>
        <v xml:space="preserve"> </v>
      </c>
      <c r="L49" s="24"/>
      <c r="M49" s="24" t="s">
        <v>0</v>
      </c>
      <c r="N49" s="25"/>
      <c r="O49" s="18"/>
      <c r="P49" s="14"/>
      <c r="Q49" s="14"/>
      <c r="R49" s="31" t="s">
        <v>0</v>
      </c>
      <c r="S49" s="15" t="e">
        <f t="shared" si="4"/>
        <v>#VALUE!</v>
      </c>
      <c r="T49" s="16" t="e">
        <f t="shared" si="5"/>
        <v>#VALUE!</v>
      </c>
      <c r="U49" s="10"/>
      <c r="V49" s="13" t="s">
        <v>20</v>
      </c>
    </row>
    <row r="50" spans="1:22" ht="27" customHeight="1" x14ac:dyDescent="0.35">
      <c r="A50" s="8"/>
      <c r="B50" s="8"/>
      <c r="C50" s="8"/>
      <c r="D50" s="8"/>
      <c r="E50" s="8"/>
      <c r="F50" s="8" t="s">
        <v>0</v>
      </c>
      <c r="G50" s="8" t="s">
        <v>0</v>
      </c>
      <c r="H50" s="17" t="s">
        <v>0</v>
      </c>
      <c r="I50" s="8"/>
      <c r="J50" s="6" t="str">
        <f>IFERROR(VLOOKUP(I50,Hoja1!$F$2:$H$28,2,0)," ")</f>
        <v xml:space="preserve"> </v>
      </c>
      <c r="K50" s="7" t="str">
        <f>IFERROR(VLOOKUP(I50,Hoja1!$F$2:$H$28,3,0)," ")</f>
        <v xml:space="preserve"> </v>
      </c>
      <c r="L50" s="24"/>
      <c r="M50" s="24" t="s">
        <v>0</v>
      </c>
      <c r="N50" s="25"/>
      <c r="O50" s="18"/>
      <c r="P50" s="14"/>
      <c r="Q50" s="14"/>
      <c r="R50" s="31" t="s">
        <v>0</v>
      </c>
      <c r="S50" s="15" t="e">
        <f t="shared" si="4"/>
        <v>#VALUE!</v>
      </c>
      <c r="T50" s="16" t="e">
        <f t="shared" si="5"/>
        <v>#VALUE!</v>
      </c>
      <c r="U50" s="10"/>
      <c r="V50" s="13" t="s">
        <v>20</v>
      </c>
    </row>
    <row r="51" spans="1:22" ht="27" customHeight="1" x14ac:dyDescent="0.35">
      <c r="A51" s="8"/>
      <c r="B51" s="8"/>
      <c r="C51" s="8"/>
      <c r="D51" s="8"/>
      <c r="E51" s="8"/>
      <c r="F51" s="8" t="s">
        <v>0</v>
      </c>
      <c r="G51" s="8" t="s">
        <v>0</v>
      </c>
      <c r="H51" s="17" t="s">
        <v>0</v>
      </c>
      <c r="I51" s="8"/>
      <c r="J51" s="6" t="str">
        <f>IFERROR(VLOOKUP(I51,Hoja1!$F$2:$H$28,2,0)," ")</f>
        <v xml:space="preserve"> </v>
      </c>
      <c r="K51" s="7" t="str">
        <f>IFERROR(VLOOKUP(I51,Hoja1!$F$2:$H$28,3,0)," ")</f>
        <v xml:space="preserve"> </v>
      </c>
      <c r="L51" s="24"/>
      <c r="M51" s="24" t="s">
        <v>0</v>
      </c>
      <c r="N51" s="25"/>
      <c r="O51" s="18"/>
      <c r="P51" s="14"/>
      <c r="Q51" s="14"/>
      <c r="R51" s="31" t="s">
        <v>0</v>
      </c>
      <c r="S51" s="15" t="e">
        <f t="shared" si="4"/>
        <v>#VALUE!</v>
      </c>
      <c r="T51" s="16" t="e">
        <f t="shared" si="5"/>
        <v>#VALUE!</v>
      </c>
      <c r="U51" s="10"/>
      <c r="V51" s="13" t="s">
        <v>20</v>
      </c>
    </row>
    <row r="52" spans="1:22" ht="27" customHeight="1" x14ac:dyDescent="0.35">
      <c r="A52" s="8"/>
      <c r="B52" s="8"/>
      <c r="C52" s="8"/>
      <c r="D52" s="8"/>
      <c r="E52" s="8"/>
      <c r="F52" s="8" t="s">
        <v>0</v>
      </c>
      <c r="G52" s="8" t="s">
        <v>0</v>
      </c>
      <c r="H52" s="17" t="s">
        <v>0</v>
      </c>
      <c r="I52" s="8"/>
      <c r="J52" s="6" t="str">
        <f>IFERROR(VLOOKUP(I52,Hoja1!$F$2:$H$28,2,0)," ")</f>
        <v xml:space="preserve"> </v>
      </c>
      <c r="K52" s="7" t="str">
        <f>IFERROR(VLOOKUP(I52,Hoja1!$F$2:$H$28,3,0)," ")</f>
        <v xml:space="preserve"> </v>
      </c>
      <c r="L52" s="24"/>
      <c r="M52" s="24" t="s">
        <v>0</v>
      </c>
      <c r="N52" s="25"/>
      <c r="O52" s="18"/>
      <c r="P52" s="14"/>
      <c r="Q52" s="14"/>
      <c r="R52" s="31" t="s">
        <v>0</v>
      </c>
      <c r="S52" s="15" t="e">
        <f t="shared" si="4"/>
        <v>#VALUE!</v>
      </c>
      <c r="T52" s="16" t="e">
        <f t="shared" si="5"/>
        <v>#VALUE!</v>
      </c>
      <c r="U52" s="10"/>
      <c r="V52" s="13" t="s">
        <v>20</v>
      </c>
    </row>
    <row r="53" spans="1:22" ht="27" customHeight="1" x14ac:dyDescent="0.35">
      <c r="A53" s="8"/>
      <c r="B53" s="8"/>
      <c r="C53" s="8"/>
      <c r="D53" s="8"/>
      <c r="E53" s="8"/>
      <c r="F53" s="8" t="s">
        <v>0</v>
      </c>
      <c r="G53" s="8" t="s">
        <v>0</v>
      </c>
      <c r="H53" s="17" t="s">
        <v>0</v>
      </c>
      <c r="I53" s="8"/>
      <c r="J53" s="6" t="str">
        <f>IFERROR(VLOOKUP(I53,Hoja1!$F$2:$H$28,2,0)," ")</f>
        <v xml:space="preserve"> </v>
      </c>
      <c r="K53" s="7" t="str">
        <f>IFERROR(VLOOKUP(I53,Hoja1!$F$2:$H$28,3,0)," ")</f>
        <v xml:space="preserve"> </v>
      </c>
      <c r="L53" s="24"/>
      <c r="M53" s="24" t="s">
        <v>0</v>
      </c>
      <c r="N53" s="25"/>
      <c r="O53" s="18"/>
      <c r="P53" s="14"/>
      <c r="Q53" s="14"/>
      <c r="R53" s="31" t="s">
        <v>0</v>
      </c>
      <c r="S53" s="15" t="e">
        <f t="shared" si="4"/>
        <v>#VALUE!</v>
      </c>
      <c r="T53" s="16" t="e">
        <f t="shared" si="5"/>
        <v>#VALUE!</v>
      </c>
      <c r="U53" s="10"/>
      <c r="V53" s="13" t="s">
        <v>20</v>
      </c>
    </row>
    <row r="54" spans="1:22" ht="27" customHeight="1" x14ac:dyDescent="0.35">
      <c r="A54" s="8"/>
      <c r="B54" s="8"/>
      <c r="C54" s="8"/>
      <c r="D54" s="8"/>
      <c r="E54" s="8"/>
      <c r="F54" s="8" t="s">
        <v>0</v>
      </c>
      <c r="G54" s="8" t="s">
        <v>0</v>
      </c>
      <c r="H54" s="17" t="s">
        <v>0</v>
      </c>
      <c r="I54" s="8"/>
      <c r="J54" s="6" t="str">
        <f>IFERROR(VLOOKUP(I54,Hoja1!$F$2:$H$28,2,0)," ")</f>
        <v xml:space="preserve"> </v>
      </c>
      <c r="K54" s="7" t="str">
        <f>IFERROR(VLOOKUP(I54,Hoja1!$F$2:$H$28,3,0)," ")</f>
        <v xml:space="preserve"> </v>
      </c>
      <c r="L54" s="24"/>
      <c r="M54" s="24" t="s">
        <v>0</v>
      </c>
      <c r="N54" s="25"/>
      <c r="O54" s="18"/>
      <c r="P54" s="14"/>
      <c r="Q54" s="14"/>
      <c r="R54" s="31" t="s">
        <v>0</v>
      </c>
      <c r="S54" s="15" t="e">
        <f t="shared" si="4"/>
        <v>#VALUE!</v>
      </c>
      <c r="T54" s="16" t="e">
        <f t="shared" si="5"/>
        <v>#VALUE!</v>
      </c>
      <c r="U54" s="10"/>
      <c r="V54" s="13" t="s">
        <v>20</v>
      </c>
    </row>
    <row r="55" spans="1:22" ht="27" customHeight="1" x14ac:dyDescent="0.35">
      <c r="A55" s="8"/>
      <c r="B55" s="8"/>
      <c r="C55" s="8"/>
      <c r="D55" s="8"/>
      <c r="E55" s="8"/>
      <c r="F55" s="8" t="s">
        <v>0</v>
      </c>
      <c r="G55" s="8" t="s">
        <v>0</v>
      </c>
      <c r="H55" s="17" t="s">
        <v>0</v>
      </c>
      <c r="I55" s="8"/>
      <c r="J55" s="6" t="str">
        <f>IFERROR(VLOOKUP(I55,Hoja1!$F$2:$H$28,2,0)," ")</f>
        <v xml:space="preserve"> </v>
      </c>
      <c r="K55" s="7" t="str">
        <f>IFERROR(VLOOKUP(I55,Hoja1!$F$2:$H$28,3,0)," ")</f>
        <v xml:space="preserve"> </v>
      </c>
      <c r="L55" s="24"/>
      <c r="M55" s="24" t="s">
        <v>0</v>
      </c>
      <c r="N55" s="25"/>
      <c r="O55" s="18"/>
      <c r="P55" s="14"/>
      <c r="Q55" s="14"/>
      <c r="R55" s="31" t="s">
        <v>0</v>
      </c>
      <c r="S55" s="15" t="e">
        <f t="shared" si="4"/>
        <v>#VALUE!</v>
      </c>
      <c r="T55" s="16" t="e">
        <f t="shared" si="5"/>
        <v>#VALUE!</v>
      </c>
      <c r="U55" s="10"/>
      <c r="V55" s="13" t="s">
        <v>20</v>
      </c>
    </row>
    <row r="56" spans="1:22" ht="27" customHeight="1" x14ac:dyDescent="0.35">
      <c r="A56" s="8"/>
      <c r="B56" s="8"/>
      <c r="C56" s="8"/>
      <c r="D56" s="8"/>
      <c r="E56" s="8"/>
      <c r="F56" s="8" t="s">
        <v>0</v>
      </c>
      <c r="G56" s="8" t="s">
        <v>0</v>
      </c>
      <c r="H56" s="17" t="s">
        <v>0</v>
      </c>
      <c r="I56" s="8"/>
      <c r="J56" s="6" t="str">
        <f>IFERROR(VLOOKUP(I56,Hoja1!$F$2:$H$28,2,0)," ")</f>
        <v xml:space="preserve"> </v>
      </c>
      <c r="K56" s="7" t="str">
        <f>IFERROR(VLOOKUP(I56,Hoja1!$F$2:$H$28,3,0)," ")</f>
        <v xml:space="preserve"> </v>
      </c>
      <c r="L56" s="24"/>
      <c r="M56" s="24" t="s">
        <v>0</v>
      </c>
      <c r="N56" s="25"/>
      <c r="O56" s="18"/>
      <c r="P56" s="14"/>
      <c r="Q56" s="14"/>
      <c r="R56" s="31" t="s">
        <v>0</v>
      </c>
      <c r="S56" s="15" t="e">
        <f t="shared" si="4"/>
        <v>#VALUE!</v>
      </c>
      <c r="T56" s="16" t="e">
        <f t="shared" si="5"/>
        <v>#VALUE!</v>
      </c>
      <c r="U56" s="10"/>
      <c r="V56" s="13" t="s">
        <v>20</v>
      </c>
    </row>
    <row r="57" spans="1:22" ht="27" customHeight="1" x14ac:dyDescent="0.35">
      <c r="A57" s="8"/>
      <c r="B57" s="8"/>
      <c r="C57" s="8"/>
      <c r="D57" s="8"/>
      <c r="E57" s="8"/>
      <c r="F57" s="8" t="s">
        <v>0</v>
      </c>
      <c r="G57" s="8" t="s">
        <v>0</v>
      </c>
      <c r="H57" s="17" t="s">
        <v>0</v>
      </c>
      <c r="I57" s="8"/>
      <c r="J57" s="6" t="str">
        <f>IFERROR(VLOOKUP(I57,Hoja1!$F$2:$H$28,2,0)," ")</f>
        <v xml:space="preserve"> </v>
      </c>
      <c r="K57" s="7" t="str">
        <f>IFERROR(VLOOKUP(I57,Hoja1!$F$2:$H$28,3,0)," ")</f>
        <v xml:space="preserve"> </v>
      </c>
      <c r="L57" s="24"/>
      <c r="M57" s="24" t="s">
        <v>0</v>
      </c>
      <c r="N57" s="25"/>
      <c r="O57" s="18"/>
      <c r="P57" s="14"/>
      <c r="Q57" s="14"/>
      <c r="R57" s="31" t="s">
        <v>0</v>
      </c>
      <c r="S57" s="15" t="e">
        <f t="shared" si="4"/>
        <v>#VALUE!</v>
      </c>
      <c r="T57" s="16" t="e">
        <f t="shared" si="5"/>
        <v>#VALUE!</v>
      </c>
      <c r="U57" s="10"/>
      <c r="V57" s="13" t="s">
        <v>20</v>
      </c>
    </row>
    <row r="58" spans="1:22" ht="27" customHeight="1" x14ac:dyDescent="0.35">
      <c r="A58" s="8"/>
      <c r="B58" s="8"/>
      <c r="C58" s="8"/>
      <c r="D58" s="8"/>
      <c r="E58" s="8"/>
      <c r="F58" s="8" t="s">
        <v>0</v>
      </c>
      <c r="G58" s="8" t="s">
        <v>0</v>
      </c>
      <c r="H58" s="17" t="s">
        <v>0</v>
      </c>
      <c r="I58" s="8"/>
      <c r="J58" s="6" t="str">
        <f>IFERROR(VLOOKUP(I58,Hoja1!$F$2:$H$28,2,0)," ")</f>
        <v xml:space="preserve"> </v>
      </c>
      <c r="K58" s="7" t="str">
        <f>IFERROR(VLOOKUP(I58,Hoja1!$F$2:$H$28,3,0)," ")</f>
        <v xml:space="preserve"> </v>
      </c>
      <c r="L58" s="24"/>
      <c r="M58" s="24" t="s">
        <v>0</v>
      </c>
      <c r="N58" s="25"/>
      <c r="O58" s="18"/>
      <c r="P58" s="14"/>
      <c r="Q58" s="14"/>
      <c r="R58" s="31" t="s">
        <v>0</v>
      </c>
      <c r="S58" s="15" t="e">
        <f t="shared" si="4"/>
        <v>#VALUE!</v>
      </c>
      <c r="T58" s="16" t="e">
        <f t="shared" si="5"/>
        <v>#VALUE!</v>
      </c>
      <c r="U58" s="10"/>
      <c r="V58" s="13" t="s">
        <v>20</v>
      </c>
    </row>
    <row r="59" spans="1:22" ht="27" customHeight="1" x14ac:dyDescent="0.35">
      <c r="A59" s="8"/>
      <c r="B59" s="8"/>
      <c r="C59" s="8"/>
      <c r="D59" s="8"/>
      <c r="E59" s="8"/>
      <c r="F59" s="8" t="s">
        <v>0</v>
      </c>
      <c r="G59" s="8" t="s">
        <v>0</v>
      </c>
      <c r="H59" s="17" t="s">
        <v>0</v>
      </c>
      <c r="I59" s="8"/>
      <c r="J59" s="6" t="str">
        <f>IFERROR(VLOOKUP(I59,Hoja1!$F$2:$H$28,2,0)," ")</f>
        <v xml:space="preserve"> </v>
      </c>
      <c r="K59" s="7" t="str">
        <f>IFERROR(VLOOKUP(I59,Hoja1!$F$2:$H$28,3,0)," ")</f>
        <v xml:space="preserve"> </v>
      </c>
      <c r="L59" s="24"/>
      <c r="M59" s="24" t="s">
        <v>0</v>
      </c>
      <c r="N59" s="25"/>
      <c r="O59" s="18"/>
      <c r="P59" s="14"/>
      <c r="Q59" s="14"/>
      <c r="R59" s="31" t="s">
        <v>0</v>
      </c>
      <c r="S59" s="15" t="e">
        <f t="shared" si="4"/>
        <v>#VALUE!</v>
      </c>
      <c r="T59" s="16" t="e">
        <f t="shared" si="5"/>
        <v>#VALUE!</v>
      </c>
      <c r="U59" s="10"/>
      <c r="V59" s="13" t="s">
        <v>20</v>
      </c>
    </row>
    <row r="60" spans="1:22" ht="27" customHeight="1" x14ac:dyDescent="0.35">
      <c r="A60" s="8"/>
      <c r="B60" s="8"/>
      <c r="C60" s="8"/>
      <c r="D60" s="8"/>
      <c r="E60" s="8"/>
      <c r="F60" s="8" t="s">
        <v>0</v>
      </c>
      <c r="G60" s="8" t="s">
        <v>0</v>
      </c>
      <c r="H60" s="17" t="s">
        <v>0</v>
      </c>
      <c r="I60" s="8"/>
      <c r="J60" s="6" t="str">
        <f>IFERROR(VLOOKUP(I60,Hoja1!$F$2:$H$28,2,0)," ")</f>
        <v xml:space="preserve"> </v>
      </c>
      <c r="K60" s="7" t="str">
        <f>IFERROR(VLOOKUP(I60,Hoja1!$F$2:$H$28,3,0)," ")</f>
        <v xml:space="preserve"> </v>
      </c>
      <c r="L60" s="24"/>
      <c r="M60" s="24" t="s">
        <v>0</v>
      </c>
      <c r="N60" s="25"/>
      <c r="O60" s="18"/>
      <c r="P60" s="14"/>
      <c r="Q60" s="14"/>
      <c r="R60" s="31" t="s">
        <v>0</v>
      </c>
      <c r="S60" s="15" t="e">
        <f t="shared" si="4"/>
        <v>#VALUE!</v>
      </c>
      <c r="T60" s="16" t="e">
        <f t="shared" si="5"/>
        <v>#VALUE!</v>
      </c>
      <c r="U60" s="10"/>
      <c r="V60" s="13" t="s">
        <v>20</v>
      </c>
    </row>
    <row r="61" spans="1:22" ht="27" customHeight="1" x14ac:dyDescent="0.35">
      <c r="A61" s="8"/>
      <c r="B61" s="8"/>
      <c r="C61" s="8"/>
      <c r="D61" s="8"/>
      <c r="E61" s="8"/>
      <c r="F61" s="8" t="s">
        <v>0</v>
      </c>
      <c r="G61" s="8" t="s">
        <v>0</v>
      </c>
      <c r="H61" s="17" t="s">
        <v>0</v>
      </c>
      <c r="I61" s="8"/>
      <c r="J61" s="6" t="str">
        <f>IFERROR(VLOOKUP(I61,Hoja1!$F$2:$H$28,2,0)," ")</f>
        <v xml:space="preserve"> </v>
      </c>
      <c r="K61" s="7" t="str">
        <f>IFERROR(VLOOKUP(I61,Hoja1!$F$2:$H$28,3,0)," ")</f>
        <v xml:space="preserve"> </v>
      </c>
      <c r="L61" s="24"/>
      <c r="M61" s="24" t="s">
        <v>0</v>
      </c>
      <c r="N61" s="25"/>
      <c r="O61" s="18"/>
      <c r="P61" s="14"/>
      <c r="Q61" s="14"/>
      <c r="R61" s="31" t="s">
        <v>0</v>
      </c>
      <c r="S61" s="15" t="e">
        <f t="shared" si="4"/>
        <v>#VALUE!</v>
      </c>
      <c r="T61" s="16" t="e">
        <f t="shared" si="5"/>
        <v>#VALUE!</v>
      </c>
      <c r="U61" s="10"/>
      <c r="V61" s="13" t="s">
        <v>20</v>
      </c>
    </row>
    <row r="62" spans="1:22" ht="27" customHeight="1" x14ac:dyDescent="0.35">
      <c r="A62" s="8"/>
      <c r="B62" s="8"/>
      <c r="C62" s="8"/>
      <c r="D62" s="8"/>
      <c r="E62" s="8"/>
      <c r="F62" s="8" t="s">
        <v>0</v>
      </c>
      <c r="G62" s="8" t="s">
        <v>0</v>
      </c>
      <c r="H62" s="17" t="s">
        <v>0</v>
      </c>
      <c r="I62" s="8"/>
      <c r="J62" s="6" t="str">
        <f>IFERROR(VLOOKUP(I62,Hoja1!$F$2:$H$28,2,0)," ")</f>
        <v xml:space="preserve"> </v>
      </c>
      <c r="K62" s="7" t="str">
        <f>IFERROR(VLOOKUP(I62,Hoja1!$F$2:$H$28,3,0)," ")</f>
        <v xml:space="preserve"> </v>
      </c>
      <c r="L62" s="24"/>
      <c r="M62" s="24" t="s">
        <v>0</v>
      </c>
      <c r="N62" s="25"/>
      <c r="O62" s="18"/>
      <c r="P62" s="14"/>
      <c r="Q62" s="14"/>
      <c r="R62" s="31" t="s">
        <v>0</v>
      </c>
      <c r="S62" s="15" t="e">
        <f t="shared" si="4"/>
        <v>#VALUE!</v>
      </c>
      <c r="T62" s="16" t="e">
        <f t="shared" si="5"/>
        <v>#VALUE!</v>
      </c>
      <c r="U62" s="10"/>
      <c r="V62" s="13" t="s">
        <v>20</v>
      </c>
    </row>
    <row r="63" spans="1:22" ht="27" customHeight="1" x14ac:dyDescent="0.35">
      <c r="A63" s="8"/>
      <c r="B63" s="8"/>
      <c r="C63" s="8"/>
      <c r="D63" s="8"/>
      <c r="E63" s="8"/>
      <c r="F63" s="8" t="s">
        <v>0</v>
      </c>
      <c r="G63" s="8" t="s">
        <v>0</v>
      </c>
      <c r="H63" s="17" t="s">
        <v>0</v>
      </c>
      <c r="I63" s="8"/>
      <c r="J63" s="6" t="str">
        <f>IFERROR(VLOOKUP(I63,Hoja1!$F$2:$H$28,2,0)," ")</f>
        <v xml:space="preserve"> </v>
      </c>
      <c r="K63" s="7" t="str">
        <f>IFERROR(VLOOKUP(I63,Hoja1!$F$2:$H$28,3,0)," ")</f>
        <v xml:space="preserve"> </v>
      </c>
      <c r="L63" s="24"/>
      <c r="M63" s="24" t="s">
        <v>0</v>
      </c>
      <c r="N63" s="25"/>
      <c r="O63" s="18"/>
      <c r="P63" s="14"/>
      <c r="Q63" s="14"/>
      <c r="R63" s="31" t="s">
        <v>0</v>
      </c>
      <c r="S63" s="15" t="e">
        <f t="shared" si="4"/>
        <v>#VALUE!</v>
      </c>
      <c r="T63" s="16" t="e">
        <f t="shared" si="5"/>
        <v>#VALUE!</v>
      </c>
      <c r="U63" s="10"/>
      <c r="V63" s="13" t="s">
        <v>20</v>
      </c>
    </row>
    <row r="64" spans="1:22" ht="27" customHeight="1" x14ac:dyDescent="0.35">
      <c r="A64" s="8"/>
      <c r="B64" s="8"/>
      <c r="C64" s="8"/>
      <c r="D64" s="8"/>
      <c r="E64" s="8"/>
      <c r="F64" s="8" t="s">
        <v>0</v>
      </c>
      <c r="G64" s="8" t="s">
        <v>0</v>
      </c>
      <c r="H64" s="17" t="s">
        <v>0</v>
      </c>
      <c r="I64" s="8"/>
      <c r="J64" s="6" t="str">
        <f>IFERROR(VLOOKUP(I64,Hoja1!$F$2:$H$28,2,0)," ")</f>
        <v xml:space="preserve"> </v>
      </c>
      <c r="K64" s="7" t="str">
        <f>IFERROR(VLOOKUP(I64,Hoja1!$F$2:$H$28,3,0)," ")</f>
        <v xml:space="preserve"> </v>
      </c>
      <c r="L64" s="24"/>
      <c r="M64" s="24" t="s">
        <v>0</v>
      </c>
      <c r="N64" s="25"/>
      <c r="O64" s="18"/>
      <c r="P64" s="14"/>
      <c r="Q64" s="14"/>
      <c r="R64" s="31" t="s">
        <v>0</v>
      </c>
      <c r="S64" s="15" t="e">
        <f t="shared" si="4"/>
        <v>#VALUE!</v>
      </c>
      <c r="T64" s="16" t="e">
        <f t="shared" si="5"/>
        <v>#VALUE!</v>
      </c>
      <c r="U64" s="10"/>
      <c r="V64" s="13" t="s">
        <v>20</v>
      </c>
    </row>
    <row r="65" spans="1:22" ht="27" customHeight="1" x14ac:dyDescent="0.35">
      <c r="A65" s="8"/>
      <c r="B65" s="8"/>
      <c r="C65" s="8"/>
      <c r="D65" s="8"/>
      <c r="E65" s="8"/>
      <c r="F65" s="8" t="s">
        <v>0</v>
      </c>
      <c r="G65" s="8" t="s">
        <v>0</v>
      </c>
      <c r="H65" s="17" t="s">
        <v>0</v>
      </c>
      <c r="I65" s="8"/>
      <c r="J65" s="6" t="str">
        <f>IFERROR(VLOOKUP(I65,Hoja1!$F$2:$H$28,2,0)," ")</f>
        <v xml:space="preserve"> </v>
      </c>
      <c r="K65" s="7" t="str">
        <f>IFERROR(VLOOKUP(I65,Hoja1!$F$2:$H$28,3,0)," ")</f>
        <v xml:space="preserve"> </v>
      </c>
      <c r="L65" s="24"/>
      <c r="M65" s="24" t="s">
        <v>0</v>
      </c>
      <c r="N65" s="25"/>
      <c r="O65" s="18"/>
      <c r="P65" s="14"/>
      <c r="Q65" s="14"/>
      <c r="R65" s="31" t="s">
        <v>0</v>
      </c>
      <c r="S65" s="15" t="e">
        <f t="shared" si="4"/>
        <v>#VALUE!</v>
      </c>
      <c r="T65" s="16" t="e">
        <f t="shared" si="5"/>
        <v>#VALUE!</v>
      </c>
      <c r="U65" s="10"/>
      <c r="V65" s="13" t="s">
        <v>20</v>
      </c>
    </row>
    <row r="66" spans="1:22" ht="27" customHeight="1" x14ac:dyDescent="0.35">
      <c r="A66" s="8"/>
      <c r="B66" s="8"/>
      <c r="C66" s="8"/>
      <c r="D66" s="8"/>
      <c r="E66" s="8"/>
      <c r="F66" s="8" t="s">
        <v>0</v>
      </c>
      <c r="G66" s="8" t="s">
        <v>0</v>
      </c>
      <c r="H66" s="17" t="s">
        <v>0</v>
      </c>
      <c r="I66" s="8"/>
      <c r="J66" s="6" t="str">
        <f>IFERROR(VLOOKUP(I66,Hoja1!$F$2:$H$28,2,0)," ")</f>
        <v xml:space="preserve"> </v>
      </c>
      <c r="K66" s="7" t="str">
        <f>IFERROR(VLOOKUP(I66,Hoja1!$F$2:$H$28,3,0)," ")</f>
        <v xml:space="preserve"> </v>
      </c>
      <c r="L66" s="24"/>
      <c r="M66" s="24" t="s">
        <v>0</v>
      </c>
      <c r="N66" s="25"/>
      <c r="O66" s="18"/>
      <c r="P66" s="14"/>
      <c r="Q66" s="14"/>
      <c r="R66" s="31" t="s">
        <v>0</v>
      </c>
      <c r="S66" s="15" t="e">
        <f t="shared" si="4"/>
        <v>#VALUE!</v>
      </c>
      <c r="T66" s="16" t="e">
        <f t="shared" si="5"/>
        <v>#VALUE!</v>
      </c>
      <c r="U66" s="10"/>
      <c r="V66" s="13" t="s">
        <v>20</v>
      </c>
    </row>
    <row r="67" spans="1:22" ht="27" customHeight="1" x14ac:dyDescent="0.35">
      <c r="A67" s="8"/>
      <c r="B67" s="8"/>
      <c r="C67" s="8"/>
      <c r="D67" s="8"/>
      <c r="E67" s="8"/>
      <c r="F67" s="8" t="s">
        <v>0</v>
      </c>
      <c r="G67" s="8" t="s">
        <v>0</v>
      </c>
      <c r="H67" s="17" t="s">
        <v>0</v>
      </c>
      <c r="I67" s="8"/>
      <c r="J67" s="6" t="str">
        <f>IFERROR(VLOOKUP(I67,Hoja1!$F$2:$H$28,2,0)," ")</f>
        <v xml:space="preserve"> </v>
      </c>
      <c r="K67" s="7" t="str">
        <f>IFERROR(VLOOKUP(I67,Hoja1!$F$2:$H$28,3,0)," ")</f>
        <v xml:space="preserve"> </v>
      </c>
      <c r="L67" s="24"/>
      <c r="M67" s="24" t="s">
        <v>0</v>
      </c>
      <c r="N67" s="25"/>
      <c r="O67" s="18"/>
      <c r="P67" s="14"/>
      <c r="Q67" s="14"/>
      <c r="R67" s="31" t="s">
        <v>0</v>
      </c>
      <c r="S67" s="15" t="e">
        <f t="shared" si="4"/>
        <v>#VALUE!</v>
      </c>
      <c r="T67" s="16" t="e">
        <f t="shared" si="5"/>
        <v>#VALUE!</v>
      </c>
      <c r="U67" s="10"/>
      <c r="V67" s="13" t="s">
        <v>20</v>
      </c>
    </row>
    <row r="68" spans="1:22" ht="27" customHeight="1" x14ac:dyDescent="0.35">
      <c r="A68" s="8"/>
      <c r="B68" s="8"/>
      <c r="C68" s="8"/>
      <c r="D68" s="8"/>
      <c r="E68" s="8"/>
      <c r="F68" s="8" t="s">
        <v>0</v>
      </c>
      <c r="G68" s="8" t="s">
        <v>0</v>
      </c>
      <c r="H68" s="17" t="s">
        <v>0</v>
      </c>
      <c r="I68" s="8"/>
      <c r="J68" s="6" t="str">
        <f>IFERROR(VLOOKUP(I68,Hoja1!$F$2:$H$28,2,0)," ")</f>
        <v xml:space="preserve"> </v>
      </c>
      <c r="K68" s="7" t="str">
        <f>IFERROR(VLOOKUP(I68,Hoja1!$F$2:$H$28,3,0)," ")</f>
        <v xml:space="preserve"> </v>
      </c>
      <c r="L68" s="24"/>
      <c r="M68" s="24" t="s">
        <v>0</v>
      </c>
      <c r="N68" s="25"/>
      <c r="O68" s="18"/>
      <c r="P68" s="14"/>
      <c r="Q68" s="14"/>
      <c r="R68" s="31" t="s">
        <v>0</v>
      </c>
      <c r="S68" s="15" t="e">
        <f t="shared" si="4"/>
        <v>#VALUE!</v>
      </c>
      <c r="T68" s="16" t="e">
        <f t="shared" si="5"/>
        <v>#VALUE!</v>
      </c>
      <c r="U68" s="10"/>
      <c r="V68" s="13" t="s">
        <v>20</v>
      </c>
    </row>
    <row r="69" spans="1:22" ht="27" customHeight="1" x14ac:dyDescent="0.35">
      <c r="A69" s="8"/>
      <c r="B69" s="8"/>
      <c r="C69" s="8"/>
      <c r="D69" s="8"/>
      <c r="E69" s="8"/>
      <c r="F69" s="8" t="s">
        <v>0</v>
      </c>
      <c r="G69" s="8" t="s">
        <v>0</v>
      </c>
      <c r="H69" s="17" t="s">
        <v>0</v>
      </c>
      <c r="I69" s="8"/>
      <c r="J69" s="6" t="str">
        <f>IFERROR(VLOOKUP(I69,Hoja1!$F$2:$H$28,2,0)," ")</f>
        <v xml:space="preserve"> </v>
      </c>
      <c r="K69" s="7" t="str">
        <f>IFERROR(VLOOKUP(I69,Hoja1!$F$2:$H$28,3,0)," ")</f>
        <v xml:space="preserve"> </v>
      </c>
      <c r="L69" s="24"/>
      <c r="M69" s="24" t="s">
        <v>0</v>
      </c>
      <c r="N69" s="25"/>
      <c r="O69" s="18"/>
      <c r="P69" s="14"/>
      <c r="Q69" s="14"/>
      <c r="R69" s="31" t="s">
        <v>0</v>
      </c>
      <c r="S69" s="15" t="e">
        <f t="shared" si="4"/>
        <v>#VALUE!</v>
      </c>
      <c r="T69" s="16" t="e">
        <f t="shared" si="5"/>
        <v>#VALUE!</v>
      </c>
      <c r="U69" s="10"/>
      <c r="V69" s="13" t="s">
        <v>20</v>
      </c>
    </row>
    <row r="70" spans="1:22" ht="27" customHeight="1" x14ac:dyDescent="0.35">
      <c r="A70" s="8"/>
      <c r="B70" s="8"/>
      <c r="C70" s="8"/>
      <c r="D70" s="8"/>
      <c r="E70" s="8"/>
      <c r="F70" s="8" t="s">
        <v>0</v>
      </c>
      <c r="G70" s="8" t="s">
        <v>0</v>
      </c>
      <c r="H70" s="17" t="s">
        <v>0</v>
      </c>
      <c r="I70" s="8"/>
      <c r="J70" s="6" t="str">
        <f>IFERROR(VLOOKUP(I70,Hoja1!$F$2:$H$28,2,0)," ")</f>
        <v xml:space="preserve"> </v>
      </c>
      <c r="K70" s="7" t="str">
        <f>IFERROR(VLOOKUP(I70,Hoja1!$F$2:$H$28,3,0)," ")</f>
        <v xml:space="preserve"> </v>
      </c>
      <c r="L70" s="24"/>
      <c r="M70" s="24" t="s">
        <v>0</v>
      </c>
      <c r="N70" s="25"/>
      <c r="O70" s="18"/>
      <c r="P70" s="14"/>
      <c r="Q70" s="14"/>
      <c r="R70" s="31" t="s">
        <v>0</v>
      </c>
      <c r="S70" s="15" t="e">
        <f t="shared" si="4"/>
        <v>#VALUE!</v>
      </c>
      <c r="T70" s="16" t="e">
        <f t="shared" si="5"/>
        <v>#VALUE!</v>
      </c>
      <c r="U70" s="10"/>
      <c r="V70" s="13" t="s">
        <v>20</v>
      </c>
    </row>
    <row r="71" spans="1:22" ht="27" customHeight="1" x14ac:dyDescent="0.35">
      <c r="A71" s="8"/>
      <c r="B71" s="8"/>
      <c r="C71" s="8"/>
      <c r="D71" s="8"/>
      <c r="E71" s="8"/>
      <c r="F71" s="8" t="s">
        <v>0</v>
      </c>
      <c r="G71" s="8" t="s">
        <v>0</v>
      </c>
      <c r="H71" s="17" t="s">
        <v>0</v>
      </c>
      <c r="I71" s="8"/>
      <c r="J71" s="6" t="str">
        <f>IFERROR(VLOOKUP(I71,Hoja1!$F$2:$H$28,2,0)," ")</f>
        <v xml:space="preserve"> </v>
      </c>
      <c r="K71" s="7" t="str">
        <f>IFERROR(VLOOKUP(I71,Hoja1!$F$2:$H$28,3,0)," ")</f>
        <v xml:space="preserve"> </v>
      </c>
      <c r="L71" s="24"/>
      <c r="M71" s="24" t="s">
        <v>0</v>
      </c>
      <c r="N71" s="25"/>
      <c r="O71" s="18"/>
      <c r="P71" s="14"/>
      <c r="Q71" s="14"/>
      <c r="R71" s="31" t="s">
        <v>0</v>
      </c>
      <c r="S71" s="15" t="e">
        <f t="shared" si="4"/>
        <v>#VALUE!</v>
      </c>
      <c r="T71" s="16" t="e">
        <f t="shared" si="5"/>
        <v>#VALUE!</v>
      </c>
      <c r="U71" s="10"/>
      <c r="V71" s="13" t="s">
        <v>20</v>
      </c>
    </row>
    <row r="72" spans="1:22" ht="27" customHeight="1" x14ac:dyDescent="0.35">
      <c r="A72" s="8"/>
      <c r="B72" s="8"/>
      <c r="C72" s="8"/>
      <c r="D72" s="8"/>
      <c r="E72" s="8"/>
      <c r="F72" s="8" t="s">
        <v>0</v>
      </c>
      <c r="G72" s="8" t="s">
        <v>0</v>
      </c>
      <c r="H72" s="17" t="s">
        <v>0</v>
      </c>
      <c r="I72" s="8"/>
      <c r="J72" s="6" t="str">
        <f>IFERROR(VLOOKUP(I72,Hoja1!$F$2:$H$28,2,0)," ")</f>
        <v xml:space="preserve"> </v>
      </c>
      <c r="K72" s="7" t="str">
        <f>IFERROR(VLOOKUP(I72,Hoja1!$F$2:$H$28,3,0)," ")</f>
        <v xml:space="preserve"> </v>
      </c>
      <c r="L72" s="24"/>
      <c r="M72" s="24" t="s">
        <v>0</v>
      </c>
      <c r="N72" s="25"/>
      <c r="O72" s="18"/>
      <c r="P72" s="14"/>
      <c r="Q72" s="14"/>
      <c r="R72" s="31" t="s">
        <v>0</v>
      </c>
      <c r="S72" s="15" t="e">
        <f t="shared" si="4"/>
        <v>#VALUE!</v>
      </c>
      <c r="T72" s="16" t="e">
        <f t="shared" si="5"/>
        <v>#VALUE!</v>
      </c>
      <c r="U72" s="10"/>
      <c r="V72" s="13" t="s">
        <v>20</v>
      </c>
    </row>
    <row r="73" spans="1:22" ht="27" customHeight="1" x14ac:dyDescent="0.35">
      <c r="A73" s="8"/>
      <c r="B73" s="8"/>
      <c r="C73" s="8"/>
      <c r="D73" s="8"/>
      <c r="E73" s="8"/>
      <c r="F73" s="8" t="s">
        <v>0</v>
      </c>
      <c r="G73" s="8" t="s">
        <v>0</v>
      </c>
      <c r="H73" s="17" t="s">
        <v>0</v>
      </c>
      <c r="I73" s="8"/>
      <c r="J73" s="6" t="str">
        <f>IFERROR(VLOOKUP(I73,Hoja1!$F$2:$H$28,2,0)," ")</f>
        <v xml:space="preserve"> </v>
      </c>
      <c r="K73" s="7" t="str">
        <f>IFERROR(VLOOKUP(I73,Hoja1!$F$2:$H$28,3,0)," ")</f>
        <v xml:space="preserve"> </v>
      </c>
      <c r="L73" s="24"/>
      <c r="M73" s="24" t="s">
        <v>0</v>
      </c>
      <c r="N73" s="25"/>
      <c r="O73" s="18"/>
      <c r="P73" s="14"/>
      <c r="Q73" s="14"/>
      <c r="R73" s="31" t="s">
        <v>0</v>
      </c>
      <c r="S73" s="15" t="e">
        <f t="shared" si="4"/>
        <v>#VALUE!</v>
      </c>
      <c r="T73" s="16" t="e">
        <f t="shared" si="5"/>
        <v>#VALUE!</v>
      </c>
      <c r="U73" s="10"/>
      <c r="V73" s="13" t="s">
        <v>20</v>
      </c>
    </row>
    <row r="74" spans="1:22" ht="27" customHeight="1" x14ac:dyDescent="0.35">
      <c r="A74" s="8"/>
      <c r="B74" s="8"/>
      <c r="C74" s="8"/>
      <c r="D74" s="8"/>
      <c r="E74" s="8"/>
      <c r="F74" s="8" t="s">
        <v>0</v>
      </c>
      <c r="G74" s="8" t="s">
        <v>0</v>
      </c>
      <c r="H74" s="17" t="s">
        <v>0</v>
      </c>
      <c r="I74" s="8"/>
      <c r="J74" s="6" t="str">
        <f>IFERROR(VLOOKUP(I74,Hoja1!$F$2:$H$28,2,0)," ")</f>
        <v xml:space="preserve"> </v>
      </c>
      <c r="K74" s="7" t="str">
        <f>IFERROR(VLOOKUP(I74,Hoja1!$F$2:$H$28,3,0)," ")</f>
        <v xml:space="preserve"> </v>
      </c>
      <c r="L74" s="24"/>
      <c r="M74" s="24" t="s">
        <v>0</v>
      </c>
      <c r="N74" s="25"/>
      <c r="O74" s="18"/>
      <c r="P74" s="14"/>
      <c r="Q74" s="14"/>
      <c r="R74" s="31" t="s">
        <v>0</v>
      </c>
      <c r="S74" s="15" t="e">
        <f t="shared" si="4"/>
        <v>#VALUE!</v>
      </c>
      <c r="T74" s="16" t="e">
        <f t="shared" si="5"/>
        <v>#VALUE!</v>
      </c>
      <c r="U74" s="10"/>
      <c r="V74" s="13" t="s">
        <v>20</v>
      </c>
    </row>
    <row r="75" spans="1:22" ht="27" customHeight="1" x14ac:dyDescent="0.35">
      <c r="A75" s="8"/>
      <c r="B75" s="8"/>
      <c r="C75" s="8"/>
      <c r="D75" s="8"/>
      <c r="E75" s="8"/>
      <c r="F75" s="8" t="s">
        <v>0</v>
      </c>
      <c r="G75" s="8" t="s">
        <v>0</v>
      </c>
      <c r="H75" s="17" t="s">
        <v>0</v>
      </c>
      <c r="I75" s="8"/>
      <c r="J75" s="6" t="str">
        <f>IFERROR(VLOOKUP(I75,Hoja1!$F$2:$H$28,2,0)," ")</f>
        <v xml:space="preserve"> </v>
      </c>
      <c r="K75" s="7" t="str">
        <f>IFERROR(VLOOKUP(I75,Hoja1!$F$2:$H$28,3,0)," ")</f>
        <v xml:space="preserve"> </v>
      </c>
      <c r="L75" s="24"/>
      <c r="M75" s="24" t="s">
        <v>0</v>
      </c>
      <c r="N75" s="25"/>
      <c r="O75" s="18"/>
      <c r="P75" s="14"/>
      <c r="Q75" s="14"/>
      <c r="R75" s="31" t="s">
        <v>0</v>
      </c>
      <c r="S75" s="15" t="e">
        <f t="shared" si="4"/>
        <v>#VALUE!</v>
      </c>
      <c r="T75" s="16" t="e">
        <f t="shared" si="5"/>
        <v>#VALUE!</v>
      </c>
      <c r="U75" s="10"/>
      <c r="V75" s="13" t="s">
        <v>20</v>
      </c>
    </row>
    <row r="76" spans="1:22" ht="27" customHeight="1" x14ac:dyDescent="0.35">
      <c r="A76" s="8"/>
      <c r="B76" s="8"/>
      <c r="C76" s="8"/>
      <c r="D76" s="8"/>
      <c r="E76" s="8"/>
      <c r="F76" s="8" t="s">
        <v>0</v>
      </c>
      <c r="G76" s="8" t="s">
        <v>0</v>
      </c>
      <c r="H76" s="17" t="s">
        <v>0</v>
      </c>
      <c r="I76" s="8"/>
      <c r="J76" s="6" t="str">
        <f>IFERROR(VLOOKUP(I76,Hoja1!$F$2:$H$28,2,0)," ")</f>
        <v xml:space="preserve"> </v>
      </c>
      <c r="K76" s="7" t="str">
        <f>IFERROR(VLOOKUP(I76,Hoja1!$F$2:$H$28,3,0)," ")</f>
        <v xml:space="preserve"> </v>
      </c>
      <c r="L76" s="24"/>
      <c r="M76" s="24" t="s">
        <v>0</v>
      </c>
      <c r="N76" s="25"/>
      <c r="O76" s="18"/>
      <c r="P76" s="14"/>
      <c r="Q76" s="14"/>
      <c r="R76" s="31" t="s">
        <v>0</v>
      </c>
      <c r="S76" s="15" t="e">
        <f t="shared" si="4"/>
        <v>#VALUE!</v>
      </c>
      <c r="T76" s="16" t="e">
        <f t="shared" si="5"/>
        <v>#VALUE!</v>
      </c>
      <c r="U76" s="10"/>
      <c r="V76" s="13" t="s">
        <v>20</v>
      </c>
    </row>
    <row r="77" spans="1:22" ht="27" customHeight="1" x14ac:dyDescent="0.35">
      <c r="A77" s="8"/>
      <c r="B77" s="8"/>
      <c r="C77" s="8"/>
      <c r="D77" s="8"/>
      <c r="E77" s="8"/>
      <c r="F77" s="8" t="s">
        <v>0</v>
      </c>
      <c r="G77" s="8" t="s">
        <v>0</v>
      </c>
      <c r="H77" s="17" t="s">
        <v>0</v>
      </c>
      <c r="I77" s="8"/>
      <c r="J77" s="6" t="str">
        <f>IFERROR(VLOOKUP(I77,Hoja1!$F$2:$H$28,2,0)," ")</f>
        <v xml:space="preserve"> </v>
      </c>
      <c r="K77" s="7" t="str">
        <f>IFERROR(VLOOKUP(I77,Hoja1!$F$2:$H$28,3,0)," ")</f>
        <v xml:space="preserve"> </v>
      </c>
      <c r="L77" s="24"/>
      <c r="M77" s="24" t="s">
        <v>0</v>
      </c>
      <c r="N77" s="25"/>
      <c r="O77" s="18"/>
      <c r="P77" s="14"/>
      <c r="Q77" s="14"/>
      <c r="R77" s="31" t="s">
        <v>0</v>
      </c>
      <c r="S77" s="15" t="e">
        <f t="shared" si="4"/>
        <v>#VALUE!</v>
      </c>
      <c r="T77" s="16" t="e">
        <f t="shared" si="5"/>
        <v>#VALUE!</v>
      </c>
      <c r="U77" s="10"/>
      <c r="V77" s="13" t="s">
        <v>20</v>
      </c>
    </row>
    <row r="78" spans="1:22" ht="27" customHeight="1" x14ac:dyDescent="0.35">
      <c r="A78" s="8"/>
      <c r="B78" s="8"/>
      <c r="C78" s="8"/>
      <c r="D78" s="8"/>
      <c r="E78" s="8"/>
      <c r="F78" s="8" t="s">
        <v>0</v>
      </c>
      <c r="G78" s="8" t="s">
        <v>0</v>
      </c>
      <c r="H78" s="17" t="s">
        <v>0</v>
      </c>
      <c r="I78" s="8"/>
      <c r="J78" s="6" t="str">
        <f>IFERROR(VLOOKUP(I78,Hoja1!$F$2:$H$28,2,0)," ")</f>
        <v xml:space="preserve"> </v>
      </c>
      <c r="K78" s="7" t="str">
        <f>IFERROR(VLOOKUP(I78,Hoja1!$F$2:$H$28,3,0)," ")</f>
        <v xml:space="preserve"> </v>
      </c>
      <c r="L78" s="24"/>
      <c r="M78" s="24" t="s">
        <v>0</v>
      </c>
      <c r="N78" s="25"/>
      <c r="O78" s="18"/>
      <c r="P78" s="14"/>
      <c r="Q78" s="14"/>
      <c r="R78" s="31" t="s">
        <v>0</v>
      </c>
      <c r="S78" s="15" t="e">
        <f t="shared" ref="S78:S141" si="6">R78*K78</f>
        <v>#VALUE!</v>
      </c>
      <c r="T78" s="16" t="e">
        <f t="shared" ref="T78:T141" si="7">K78-S78</f>
        <v>#VALUE!</v>
      </c>
      <c r="U78" s="10"/>
      <c r="V78" s="13" t="s">
        <v>20</v>
      </c>
    </row>
    <row r="79" spans="1:22" ht="27" customHeight="1" x14ac:dyDescent="0.35">
      <c r="A79" s="8"/>
      <c r="B79" s="8"/>
      <c r="C79" s="8"/>
      <c r="D79" s="8"/>
      <c r="E79" s="8"/>
      <c r="F79" s="8" t="s">
        <v>0</v>
      </c>
      <c r="G79" s="8" t="s">
        <v>0</v>
      </c>
      <c r="H79" s="17" t="s">
        <v>0</v>
      </c>
      <c r="I79" s="8"/>
      <c r="J79" s="6" t="str">
        <f>IFERROR(VLOOKUP(I79,Hoja1!$F$2:$H$28,2,0)," ")</f>
        <v xml:space="preserve"> </v>
      </c>
      <c r="K79" s="7" t="str">
        <f>IFERROR(VLOOKUP(I79,Hoja1!$F$2:$H$28,3,0)," ")</f>
        <v xml:space="preserve"> </v>
      </c>
      <c r="L79" s="24"/>
      <c r="M79" s="24" t="s">
        <v>0</v>
      </c>
      <c r="N79" s="25"/>
      <c r="O79" s="18"/>
      <c r="P79" s="14"/>
      <c r="Q79" s="14"/>
      <c r="R79" s="31" t="s">
        <v>0</v>
      </c>
      <c r="S79" s="15" t="e">
        <f t="shared" si="6"/>
        <v>#VALUE!</v>
      </c>
      <c r="T79" s="16" t="e">
        <f t="shared" si="7"/>
        <v>#VALUE!</v>
      </c>
      <c r="U79" s="10"/>
      <c r="V79" s="13" t="s">
        <v>20</v>
      </c>
    </row>
    <row r="80" spans="1:22" ht="27" customHeight="1" x14ac:dyDescent="0.35">
      <c r="A80" s="8"/>
      <c r="B80" s="8"/>
      <c r="C80" s="8"/>
      <c r="D80" s="8"/>
      <c r="E80" s="8"/>
      <c r="F80" s="8" t="s">
        <v>0</v>
      </c>
      <c r="G80" s="8" t="s">
        <v>0</v>
      </c>
      <c r="H80" s="17" t="s">
        <v>0</v>
      </c>
      <c r="I80" s="8"/>
      <c r="J80" s="6" t="str">
        <f>IFERROR(VLOOKUP(I80,Hoja1!$F$2:$H$28,2,0)," ")</f>
        <v xml:space="preserve"> </v>
      </c>
      <c r="K80" s="7" t="str">
        <f>IFERROR(VLOOKUP(I80,Hoja1!$F$2:$H$28,3,0)," ")</f>
        <v xml:space="preserve"> </v>
      </c>
      <c r="L80" s="24"/>
      <c r="M80" s="24" t="s">
        <v>0</v>
      </c>
      <c r="N80" s="25"/>
      <c r="O80" s="18"/>
      <c r="P80" s="14"/>
      <c r="Q80" s="14"/>
      <c r="R80" s="31" t="s">
        <v>0</v>
      </c>
      <c r="S80" s="15" t="e">
        <f t="shared" si="6"/>
        <v>#VALUE!</v>
      </c>
      <c r="T80" s="16" t="e">
        <f t="shared" si="7"/>
        <v>#VALUE!</v>
      </c>
      <c r="U80" s="10"/>
      <c r="V80" s="13" t="s">
        <v>20</v>
      </c>
    </row>
    <row r="81" spans="1:22" ht="27" customHeight="1" x14ac:dyDescent="0.35">
      <c r="A81" s="8"/>
      <c r="B81" s="8"/>
      <c r="C81" s="8"/>
      <c r="D81" s="8"/>
      <c r="E81" s="8"/>
      <c r="F81" s="8" t="s">
        <v>0</v>
      </c>
      <c r="G81" s="8" t="s">
        <v>0</v>
      </c>
      <c r="H81" s="17" t="s">
        <v>0</v>
      </c>
      <c r="I81" s="8"/>
      <c r="J81" s="6" t="str">
        <f>IFERROR(VLOOKUP(I81,Hoja1!$F$2:$H$28,2,0)," ")</f>
        <v xml:space="preserve"> </v>
      </c>
      <c r="K81" s="7" t="str">
        <f>IFERROR(VLOOKUP(I81,Hoja1!$F$2:$H$28,3,0)," ")</f>
        <v xml:space="preserve"> </v>
      </c>
      <c r="L81" s="24"/>
      <c r="M81" s="24" t="s">
        <v>0</v>
      </c>
      <c r="N81" s="25"/>
      <c r="O81" s="18"/>
      <c r="P81" s="14"/>
      <c r="Q81" s="14"/>
      <c r="R81" s="31" t="s">
        <v>0</v>
      </c>
      <c r="S81" s="15" t="e">
        <f t="shared" si="6"/>
        <v>#VALUE!</v>
      </c>
      <c r="T81" s="16" t="e">
        <f t="shared" si="7"/>
        <v>#VALUE!</v>
      </c>
      <c r="U81" s="10"/>
      <c r="V81" s="13" t="s">
        <v>20</v>
      </c>
    </row>
    <row r="82" spans="1:22" ht="27" customHeight="1" x14ac:dyDescent="0.35">
      <c r="A82" s="8"/>
      <c r="B82" s="8"/>
      <c r="C82" s="8"/>
      <c r="D82" s="8"/>
      <c r="E82" s="8"/>
      <c r="F82" s="8" t="s">
        <v>0</v>
      </c>
      <c r="G82" s="8" t="s">
        <v>0</v>
      </c>
      <c r="H82" s="17" t="s">
        <v>0</v>
      </c>
      <c r="I82" s="8"/>
      <c r="J82" s="6" t="str">
        <f>IFERROR(VLOOKUP(I82,Hoja1!$F$2:$H$28,2,0)," ")</f>
        <v xml:space="preserve"> </v>
      </c>
      <c r="K82" s="7" t="str">
        <f>IFERROR(VLOOKUP(I82,Hoja1!$F$2:$H$28,3,0)," ")</f>
        <v xml:space="preserve"> </v>
      </c>
      <c r="L82" s="24"/>
      <c r="M82" s="24" t="s">
        <v>0</v>
      </c>
      <c r="N82" s="25"/>
      <c r="O82" s="18"/>
      <c r="P82" s="14"/>
      <c r="Q82" s="14"/>
      <c r="R82" s="31" t="s">
        <v>0</v>
      </c>
      <c r="S82" s="15" t="e">
        <f t="shared" si="6"/>
        <v>#VALUE!</v>
      </c>
      <c r="T82" s="16" t="e">
        <f t="shared" si="7"/>
        <v>#VALUE!</v>
      </c>
      <c r="U82" s="10"/>
      <c r="V82" s="13" t="s">
        <v>20</v>
      </c>
    </row>
    <row r="83" spans="1:22" ht="27" customHeight="1" x14ac:dyDescent="0.35">
      <c r="A83" s="8"/>
      <c r="B83" s="8"/>
      <c r="C83" s="8"/>
      <c r="D83" s="8"/>
      <c r="E83" s="8"/>
      <c r="F83" s="8" t="s">
        <v>0</v>
      </c>
      <c r="G83" s="8" t="s">
        <v>0</v>
      </c>
      <c r="H83" s="17" t="s">
        <v>0</v>
      </c>
      <c r="I83" s="8"/>
      <c r="J83" s="6" t="str">
        <f>IFERROR(VLOOKUP(I83,Hoja1!$F$2:$H$28,2,0)," ")</f>
        <v xml:space="preserve"> </v>
      </c>
      <c r="K83" s="7" t="str">
        <f>IFERROR(VLOOKUP(I83,Hoja1!$F$2:$H$28,3,0)," ")</f>
        <v xml:space="preserve"> </v>
      </c>
      <c r="L83" s="24"/>
      <c r="M83" s="24" t="s">
        <v>0</v>
      </c>
      <c r="N83" s="25"/>
      <c r="O83" s="18"/>
      <c r="P83" s="14"/>
      <c r="Q83" s="14"/>
      <c r="R83" s="31" t="s">
        <v>0</v>
      </c>
      <c r="S83" s="15" t="e">
        <f t="shared" si="6"/>
        <v>#VALUE!</v>
      </c>
      <c r="T83" s="16" t="e">
        <f t="shared" si="7"/>
        <v>#VALUE!</v>
      </c>
      <c r="U83" s="10"/>
      <c r="V83" s="13" t="s">
        <v>20</v>
      </c>
    </row>
    <row r="84" spans="1:22" ht="27" customHeight="1" x14ac:dyDescent="0.35">
      <c r="A84" s="8"/>
      <c r="B84" s="8"/>
      <c r="C84" s="8"/>
      <c r="D84" s="8"/>
      <c r="E84" s="8"/>
      <c r="F84" s="8" t="s">
        <v>0</v>
      </c>
      <c r="G84" s="8" t="s">
        <v>0</v>
      </c>
      <c r="H84" s="17" t="s">
        <v>0</v>
      </c>
      <c r="I84" s="8"/>
      <c r="J84" s="6" t="str">
        <f>IFERROR(VLOOKUP(I84,Hoja1!$F$2:$H$28,2,0)," ")</f>
        <v xml:space="preserve"> </v>
      </c>
      <c r="K84" s="7" t="str">
        <f>IFERROR(VLOOKUP(I84,Hoja1!$F$2:$H$28,3,0)," ")</f>
        <v xml:space="preserve"> </v>
      </c>
      <c r="L84" s="24"/>
      <c r="M84" s="24" t="s">
        <v>0</v>
      </c>
      <c r="N84" s="25"/>
      <c r="O84" s="18"/>
      <c r="P84" s="14"/>
      <c r="Q84" s="14"/>
      <c r="R84" s="31" t="s">
        <v>0</v>
      </c>
      <c r="S84" s="15" t="e">
        <f t="shared" si="6"/>
        <v>#VALUE!</v>
      </c>
      <c r="T84" s="16" t="e">
        <f t="shared" si="7"/>
        <v>#VALUE!</v>
      </c>
      <c r="U84" s="10"/>
      <c r="V84" s="13" t="s">
        <v>20</v>
      </c>
    </row>
    <row r="85" spans="1:22" ht="27" customHeight="1" x14ac:dyDescent="0.35">
      <c r="A85" s="8"/>
      <c r="B85" s="8"/>
      <c r="C85" s="8"/>
      <c r="D85" s="8"/>
      <c r="E85" s="8"/>
      <c r="F85" s="8" t="s">
        <v>0</v>
      </c>
      <c r="G85" s="8" t="s">
        <v>0</v>
      </c>
      <c r="H85" s="17" t="s">
        <v>0</v>
      </c>
      <c r="I85" s="8"/>
      <c r="J85" s="6" t="str">
        <f>IFERROR(VLOOKUP(I85,Hoja1!$F$2:$H$28,2,0)," ")</f>
        <v xml:space="preserve"> </v>
      </c>
      <c r="K85" s="7" t="str">
        <f>IFERROR(VLOOKUP(I85,Hoja1!$F$2:$H$28,3,0)," ")</f>
        <v xml:space="preserve"> </v>
      </c>
      <c r="L85" s="24"/>
      <c r="M85" s="24" t="s">
        <v>0</v>
      </c>
      <c r="N85" s="25"/>
      <c r="O85" s="18"/>
      <c r="P85" s="14"/>
      <c r="Q85" s="14"/>
      <c r="R85" s="31" t="s">
        <v>0</v>
      </c>
      <c r="S85" s="15" t="e">
        <f t="shared" si="6"/>
        <v>#VALUE!</v>
      </c>
      <c r="T85" s="16" t="e">
        <f t="shared" si="7"/>
        <v>#VALUE!</v>
      </c>
      <c r="U85" s="10"/>
      <c r="V85" s="13" t="s">
        <v>20</v>
      </c>
    </row>
    <row r="86" spans="1:22" ht="27" customHeight="1" x14ac:dyDescent="0.35">
      <c r="A86" s="8"/>
      <c r="B86" s="8"/>
      <c r="C86" s="8"/>
      <c r="D86" s="8"/>
      <c r="E86" s="8"/>
      <c r="F86" s="8" t="s">
        <v>0</v>
      </c>
      <c r="G86" s="8" t="s">
        <v>0</v>
      </c>
      <c r="H86" s="17" t="s">
        <v>0</v>
      </c>
      <c r="I86" s="8"/>
      <c r="J86" s="6" t="str">
        <f>IFERROR(VLOOKUP(I86,Hoja1!$F$2:$H$28,2,0)," ")</f>
        <v xml:space="preserve"> </v>
      </c>
      <c r="K86" s="7" t="str">
        <f>IFERROR(VLOOKUP(I86,Hoja1!$F$2:$H$28,3,0)," ")</f>
        <v xml:space="preserve"> </v>
      </c>
      <c r="L86" s="24"/>
      <c r="M86" s="24" t="s">
        <v>0</v>
      </c>
      <c r="N86" s="25"/>
      <c r="O86" s="18"/>
      <c r="P86" s="14"/>
      <c r="Q86" s="14"/>
      <c r="R86" s="31" t="s">
        <v>0</v>
      </c>
      <c r="S86" s="15" t="e">
        <f t="shared" si="6"/>
        <v>#VALUE!</v>
      </c>
      <c r="T86" s="16" t="e">
        <f t="shared" si="7"/>
        <v>#VALUE!</v>
      </c>
      <c r="U86" s="10"/>
      <c r="V86" s="13" t="s">
        <v>20</v>
      </c>
    </row>
    <row r="87" spans="1:22" ht="27" customHeight="1" x14ac:dyDescent="0.35">
      <c r="A87" s="8"/>
      <c r="B87" s="8"/>
      <c r="C87" s="8"/>
      <c r="D87" s="8"/>
      <c r="E87" s="8"/>
      <c r="F87" s="8" t="s">
        <v>0</v>
      </c>
      <c r="G87" s="8" t="s">
        <v>0</v>
      </c>
      <c r="H87" s="17" t="s">
        <v>0</v>
      </c>
      <c r="I87" s="8"/>
      <c r="J87" s="6" t="str">
        <f>IFERROR(VLOOKUP(I87,Hoja1!$F$2:$H$28,2,0)," ")</f>
        <v xml:space="preserve"> </v>
      </c>
      <c r="K87" s="7" t="str">
        <f>IFERROR(VLOOKUP(I87,Hoja1!$F$2:$H$28,3,0)," ")</f>
        <v xml:space="preserve"> </v>
      </c>
      <c r="L87" s="24"/>
      <c r="M87" s="24" t="s">
        <v>0</v>
      </c>
      <c r="N87" s="25"/>
      <c r="O87" s="18"/>
      <c r="P87" s="14"/>
      <c r="Q87" s="14"/>
      <c r="R87" s="31" t="s">
        <v>0</v>
      </c>
      <c r="S87" s="15" t="e">
        <f t="shared" si="6"/>
        <v>#VALUE!</v>
      </c>
      <c r="T87" s="16" t="e">
        <f t="shared" si="7"/>
        <v>#VALUE!</v>
      </c>
      <c r="U87" s="10"/>
      <c r="V87" s="13" t="s">
        <v>20</v>
      </c>
    </row>
    <row r="88" spans="1:22" ht="27" customHeight="1" x14ac:dyDescent="0.35">
      <c r="A88" s="8"/>
      <c r="B88" s="8"/>
      <c r="C88" s="8"/>
      <c r="D88" s="8"/>
      <c r="E88" s="8"/>
      <c r="F88" s="8" t="s">
        <v>0</v>
      </c>
      <c r="G88" s="8" t="s">
        <v>0</v>
      </c>
      <c r="H88" s="17" t="s">
        <v>0</v>
      </c>
      <c r="I88" s="8"/>
      <c r="J88" s="6" t="str">
        <f>IFERROR(VLOOKUP(I88,Hoja1!$F$2:$H$28,2,0)," ")</f>
        <v xml:space="preserve"> </v>
      </c>
      <c r="K88" s="7" t="str">
        <f>IFERROR(VLOOKUP(I88,Hoja1!$F$2:$H$28,3,0)," ")</f>
        <v xml:space="preserve"> </v>
      </c>
      <c r="L88" s="24"/>
      <c r="M88" s="24" t="s">
        <v>0</v>
      </c>
      <c r="N88" s="25"/>
      <c r="O88" s="18"/>
      <c r="P88" s="14"/>
      <c r="Q88" s="14"/>
      <c r="R88" s="31" t="s">
        <v>0</v>
      </c>
      <c r="S88" s="15" t="e">
        <f t="shared" si="6"/>
        <v>#VALUE!</v>
      </c>
      <c r="T88" s="16" t="e">
        <f t="shared" si="7"/>
        <v>#VALUE!</v>
      </c>
      <c r="U88" s="10"/>
      <c r="V88" s="13" t="s">
        <v>20</v>
      </c>
    </row>
    <row r="89" spans="1:22" ht="27" customHeight="1" x14ac:dyDescent="0.35">
      <c r="A89" s="8"/>
      <c r="B89" s="8"/>
      <c r="C89" s="8"/>
      <c r="D89" s="8"/>
      <c r="E89" s="8"/>
      <c r="F89" s="8" t="s">
        <v>0</v>
      </c>
      <c r="G89" s="8" t="s">
        <v>0</v>
      </c>
      <c r="H89" s="17" t="s">
        <v>0</v>
      </c>
      <c r="I89" s="8"/>
      <c r="J89" s="6" t="str">
        <f>IFERROR(VLOOKUP(I89,Hoja1!$F$2:$H$28,2,0)," ")</f>
        <v xml:space="preserve"> </v>
      </c>
      <c r="K89" s="7" t="str">
        <f>IFERROR(VLOOKUP(I89,Hoja1!$F$2:$H$28,3,0)," ")</f>
        <v xml:space="preserve"> </v>
      </c>
      <c r="L89" s="24"/>
      <c r="M89" s="24" t="s">
        <v>0</v>
      </c>
      <c r="N89" s="25"/>
      <c r="O89" s="18"/>
      <c r="P89" s="14"/>
      <c r="Q89" s="14"/>
      <c r="R89" s="31" t="s">
        <v>0</v>
      </c>
      <c r="S89" s="15" t="e">
        <f t="shared" si="6"/>
        <v>#VALUE!</v>
      </c>
      <c r="T89" s="16" t="e">
        <f t="shared" si="7"/>
        <v>#VALUE!</v>
      </c>
      <c r="U89" s="10"/>
      <c r="V89" s="13" t="s">
        <v>20</v>
      </c>
    </row>
    <row r="90" spans="1:22" ht="27" customHeight="1" x14ac:dyDescent="0.35">
      <c r="A90" s="8"/>
      <c r="B90" s="8"/>
      <c r="C90" s="8"/>
      <c r="D90" s="8"/>
      <c r="E90" s="8"/>
      <c r="F90" s="8" t="s">
        <v>0</v>
      </c>
      <c r="G90" s="8" t="s">
        <v>0</v>
      </c>
      <c r="H90" s="17" t="s">
        <v>0</v>
      </c>
      <c r="I90" s="8"/>
      <c r="J90" s="6" t="str">
        <f>IFERROR(VLOOKUP(I90,Hoja1!$F$2:$H$28,2,0)," ")</f>
        <v xml:space="preserve"> </v>
      </c>
      <c r="K90" s="7" t="str">
        <f>IFERROR(VLOOKUP(I90,Hoja1!$F$2:$H$28,3,0)," ")</f>
        <v xml:space="preserve"> </v>
      </c>
      <c r="L90" s="24"/>
      <c r="M90" s="24" t="s">
        <v>0</v>
      </c>
      <c r="N90" s="25"/>
      <c r="O90" s="18"/>
      <c r="P90" s="14"/>
      <c r="Q90" s="14"/>
      <c r="R90" s="31" t="s">
        <v>0</v>
      </c>
      <c r="S90" s="15" t="e">
        <f t="shared" si="6"/>
        <v>#VALUE!</v>
      </c>
      <c r="T90" s="16" t="e">
        <f t="shared" si="7"/>
        <v>#VALUE!</v>
      </c>
      <c r="U90" s="10"/>
      <c r="V90" s="13" t="s">
        <v>20</v>
      </c>
    </row>
    <row r="91" spans="1:22" ht="27" customHeight="1" x14ac:dyDescent="0.35">
      <c r="A91" s="8"/>
      <c r="B91" s="8"/>
      <c r="C91" s="8"/>
      <c r="D91" s="8"/>
      <c r="E91" s="8"/>
      <c r="F91" s="8" t="s">
        <v>0</v>
      </c>
      <c r="G91" s="8" t="s">
        <v>0</v>
      </c>
      <c r="H91" s="17" t="s">
        <v>0</v>
      </c>
      <c r="I91" s="8"/>
      <c r="J91" s="6" t="str">
        <f>IFERROR(VLOOKUP(I91,Hoja1!$F$2:$H$28,2,0)," ")</f>
        <v xml:space="preserve"> </v>
      </c>
      <c r="K91" s="7" t="str">
        <f>IFERROR(VLOOKUP(I91,Hoja1!$F$2:$H$28,3,0)," ")</f>
        <v xml:space="preserve"> </v>
      </c>
      <c r="L91" s="24"/>
      <c r="M91" s="24" t="s">
        <v>0</v>
      </c>
      <c r="N91" s="25"/>
      <c r="O91" s="18"/>
      <c r="P91" s="14"/>
      <c r="Q91" s="14"/>
      <c r="R91" s="31" t="s">
        <v>0</v>
      </c>
      <c r="S91" s="15" t="e">
        <f t="shared" si="6"/>
        <v>#VALUE!</v>
      </c>
      <c r="T91" s="16" t="e">
        <f t="shared" si="7"/>
        <v>#VALUE!</v>
      </c>
      <c r="U91" s="10"/>
      <c r="V91" s="13" t="s">
        <v>20</v>
      </c>
    </row>
    <row r="92" spans="1:22" ht="27" customHeight="1" x14ac:dyDescent="0.35">
      <c r="A92" s="8"/>
      <c r="B92" s="8"/>
      <c r="C92" s="8"/>
      <c r="D92" s="8"/>
      <c r="E92" s="8"/>
      <c r="F92" s="8" t="s">
        <v>0</v>
      </c>
      <c r="G92" s="8" t="s">
        <v>0</v>
      </c>
      <c r="H92" s="17" t="s">
        <v>0</v>
      </c>
      <c r="I92" s="8"/>
      <c r="J92" s="6" t="str">
        <f>IFERROR(VLOOKUP(I92,Hoja1!$F$2:$H$28,2,0)," ")</f>
        <v xml:space="preserve"> </v>
      </c>
      <c r="K92" s="7" t="str">
        <f>IFERROR(VLOOKUP(I92,Hoja1!$F$2:$H$28,3,0)," ")</f>
        <v xml:space="preserve"> </v>
      </c>
      <c r="L92" s="24"/>
      <c r="M92" s="24" t="s">
        <v>0</v>
      </c>
      <c r="N92" s="25"/>
      <c r="O92" s="18"/>
      <c r="P92" s="14"/>
      <c r="Q92" s="14"/>
      <c r="R92" s="31" t="s">
        <v>0</v>
      </c>
      <c r="S92" s="15" t="e">
        <f t="shared" si="6"/>
        <v>#VALUE!</v>
      </c>
      <c r="T92" s="16" t="e">
        <f t="shared" si="7"/>
        <v>#VALUE!</v>
      </c>
      <c r="U92" s="10"/>
      <c r="V92" s="13" t="s">
        <v>20</v>
      </c>
    </row>
    <row r="93" spans="1:22" ht="27" customHeight="1" x14ac:dyDescent="0.35">
      <c r="A93" s="8"/>
      <c r="B93" s="8"/>
      <c r="C93" s="8"/>
      <c r="D93" s="8"/>
      <c r="E93" s="8"/>
      <c r="F93" s="8" t="s">
        <v>0</v>
      </c>
      <c r="G93" s="8" t="s">
        <v>0</v>
      </c>
      <c r="H93" s="17" t="s">
        <v>0</v>
      </c>
      <c r="I93" s="8"/>
      <c r="J93" s="6" t="str">
        <f>IFERROR(VLOOKUP(I93,Hoja1!$F$2:$H$28,2,0)," ")</f>
        <v xml:space="preserve"> </v>
      </c>
      <c r="K93" s="7" t="str">
        <f>IFERROR(VLOOKUP(I93,Hoja1!$F$2:$H$28,3,0)," ")</f>
        <v xml:space="preserve"> </v>
      </c>
      <c r="L93" s="24"/>
      <c r="M93" s="24" t="s">
        <v>0</v>
      </c>
      <c r="N93" s="25"/>
      <c r="O93" s="18"/>
      <c r="P93" s="14"/>
      <c r="Q93" s="14"/>
      <c r="R93" s="31" t="s">
        <v>0</v>
      </c>
      <c r="S93" s="15" t="e">
        <f t="shared" si="6"/>
        <v>#VALUE!</v>
      </c>
      <c r="T93" s="16" t="e">
        <f t="shared" si="7"/>
        <v>#VALUE!</v>
      </c>
      <c r="U93" s="10"/>
      <c r="V93" s="13" t="s">
        <v>20</v>
      </c>
    </row>
    <row r="94" spans="1:22" ht="27" customHeight="1" x14ac:dyDescent="0.35">
      <c r="A94" s="8"/>
      <c r="B94" s="8"/>
      <c r="C94" s="8"/>
      <c r="D94" s="8"/>
      <c r="E94" s="8"/>
      <c r="F94" s="8" t="s">
        <v>0</v>
      </c>
      <c r="G94" s="8" t="s">
        <v>0</v>
      </c>
      <c r="H94" s="17" t="s">
        <v>0</v>
      </c>
      <c r="I94" s="8"/>
      <c r="J94" s="6" t="str">
        <f>IFERROR(VLOOKUP(I94,Hoja1!$F$2:$H$28,2,0)," ")</f>
        <v xml:space="preserve"> </v>
      </c>
      <c r="K94" s="7" t="str">
        <f>IFERROR(VLOOKUP(I94,Hoja1!$F$2:$H$28,3,0)," ")</f>
        <v xml:space="preserve"> </v>
      </c>
      <c r="L94" s="24"/>
      <c r="M94" s="24" t="s">
        <v>0</v>
      </c>
      <c r="N94" s="25"/>
      <c r="O94" s="18"/>
      <c r="P94" s="14"/>
      <c r="Q94" s="14"/>
      <c r="R94" s="31" t="s">
        <v>0</v>
      </c>
      <c r="S94" s="15" t="e">
        <f t="shared" si="6"/>
        <v>#VALUE!</v>
      </c>
      <c r="T94" s="16" t="e">
        <f t="shared" si="7"/>
        <v>#VALUE!</v>
      </c>
      <c r="U94" s="10"/>
      <c r="V94" s="13" t="s">
        <v>20</v>
      </c>
    </row>
    <row r="95" spans="1:22" ht="27" customHeight="1" x14ac:dyDescent="0.35">
      <c r="A95" s="8"/>
      <c r="B95" s="8"/>
      <c r="C95" s="8"/>
      <c r="D95" s="8"/>
      <c r="E95" s="8"/>
      <c r="F95" s="8" t="s">
        <v>0</v>
      </c>
      <c r="G95" s="8" t="s">
        <v>0</v>
      </c>
      <c r="H95" s="17" t="s">
        <v>0</v>
      </c>
      <c r="I95" s="8"/>
      <c r="J95" s="6" t="str">
        <f>IFERROR(VLOOKUP(I95,Hoja1!$F$2:$H$28,2,0)," ")</f>
        <v xml:space="preserve"> </v>
      </c>
      <c r="K95" s="7" t="str">
        <f>IFERROR(VLOOKUP(I95,Hoja1!$F$2:$H$28,3,0)," ")</f>
        <v xml:space="preserve"> </v>
      </c>
      <c r="L95" s="24"/>
      <c r="M95" s="24" t="s">
        <v>0</v>
      </c>
      <c r="N95" s="25"/>
      <c r="O95" s="18"/>
      <c r="P95" s="14"/>
      <c r="Q95" s="14"/>
      <c r="R95" s="31" t="s">
        <v>0</v>
      </c>
      <c r="S95" s="15" t="e">
        <f t="shared" si="6"/>
        <v>#VALUE!</v>
      </c>
      <c r="T95" s="16" t="e">
        <f t="shared" si="7"/>
        <v>#VALUE!</v>
      </c>
      <c r="U95" s="10"/>
      <c r="V95" s="13" t="s">
        <v>20</v>
      </c>
    </row>
    <row r="96" spans="1:22" ht="27" customHeight="1" x14ac:dyDescent="0.35">
      <c r="A96" s="8"/>
      <c r="B96" s="8"/>
      <c r="C96" s="8"/>
      <c r="D96" s="8"/>
      <c r="E96" s="8"/>
      <c r="F96" s="8" t="s">
        <v>0</v>
      </c>
      <c r="G96" s="8" t="s">
        <v>0</v>
      </c>
      <c r="H96" s="17" t="s">
        <v>0</v>
      </c>
      <c r="I96" s="8"/>
      <c r="J96" s="6" t="str">
        <f>IFERROR(VLOOKUP(I96,Hoja1!$F$2:$H$28,2,0)," ")</f>
        <v xml:space="preserve"> </v>
      </c>
      <c r="K96" s="7" t="str">
        <f>IFERROR(VLOOKUP(I96,Hoja1!$F$2:$H$28,3,0)," ")</f>
        <v xml:space="preserve"> </v>
      </c>
      <c r="L96" s="24"/>
      <c r="M96" s="24" t="s">
        <v>0</v>
      </c>
      <c r="N96" s="25"/>
      <c r="O96" s="18"/>
      <c r="P96" s="14"/>
      <c r="Q96" s="14"/>
      <c r="R96" s="31" t="s">
        <v>0</v>
      </c>
      <c r="S96" s="15" t="e">
        <f t="shared" si="6"/>
        <v>#VALUE!</v>
      </c>
      <c r="T96" s="16" t="e">
        <f t="shared" si="7"/>
        <v>#VALUE!</v>
      </c>
      <c r="U96" s="10"/>
      <c r="V96" s="13" t="s">
        <v>20</v>
      </c>
    </row>
    <row r="97" spans="1:22" ht="27" customHeight="1" x14ac:dyDescent="0.35">
      <c r="A97" s="8"/>
      <c r="B97" s="8"/>
      <c r="C97" s="8"/>
      <c r="D97" s="8"/>
      <c r="E97" s="8"/>
      <c r="F97" s="8" t="s">
        <v>0</v>
      </c>
      <c r="G97" s="8" t="s">
        <v>0</v>
      </c>
      <c r="H97" s="17" t="s">
        <v>0</v>
      </c>
      <c r="I97" s="8"/>
      <c r="J97" s="6" t="str">
        <f>IFERROR(VLOOKUP(I97,Hoja1!$F$2:$H$28,2,0)," ")</f>
        <v xml:space="preserve"> </v>
      </c>
      <c r="K97" s="7" t="str">
        <f>IFERROR(VLOOKUP(I97,Hoja1!$F$2:$H$28,3,0)," ")</f>
        <v xml:space="preserve"> </v>
      </c>
      <c r="L97" s="24"/>
      <c r="M97" s="24" t="s">
        <v>0</v>
      </c>
      <c r="N97" s="25"/>
      <c r="O97" s="18"/>
      <c r="P97" s="14"/>
      <c r="Q97" s="14"/>
      <c r="R97" s="31" t="s">
        <v>0</v>
      </c>
      <c r="S97" s="15" t="e">
        <f t="shared" si="6"/>
        <v>#VALUE!</v>
      </c>
      <c r="T97" s="16" t="e">
        <f t="shared" si="7"/>
        <v>#VALUE!</v>
      </c>
      <c r="U97" s="10"/>
      <c r="V97" s="13" t="s">
        <v>20</v>
      </c>
    </row>
    <row r="98" spans="1:22" ht="27" customHeight="1" x14ac:dyDescent="0.35">
      <c r="A98" s="8"/>
      <c r="B98" s="8"/>
      <c r="C98" s="8"/>
      <c r="D98" s="8"/>
      <c r="E98" s="8"/>
      <c r="F98" s="8" t="s">
        <v>0</v>
      </c>
      <c r="G98" s="8" t="s">
        <v>0</v>
      </c>
      <c r="H98" s="17" t="s">
        <v>0</v>
      </c>
      <c r="I98" s="8"/>
      <c r="J98" s="6" t="str">
        <f>IFERROR(VLOOKUP(I98,Hoja1!$F$2:$H$28,2,0)," ")</f>
        <v xml:space="preserve"> </v>
      </c>
      <c r="K98" s="7" t="str">
        <f>IFERROR(VLOOKUP(I98,Hoja1!$F$2:$H$28,3,0)," ")</f>
        <v xml:space="preserve"> </v>
      </c>
      <c r="L98" s="24"/>
      <c r="M98" s="24" t="s">
        <v>0</v>
      </c>
      <c r="N98" s="25"/>
      <c r="O98" s="18"/>
      <c r="P98" s="14"/>
      <c r="Q98" s="14"/>
      <c r="R98" s="31" t="s">
        <v>0</v>
      </c>
      <c r="S98" s="15" t="e">
        <f t="shared" si="6"/>
        <v>#VALUE!</v>
      </c>
      <c r="T98" s="16" t="e">
        <f t="shared" si="7"/>
        <v>#VALUE!</v>
      </c>
      <c r="U98" s="10"/>
      <c r="V98" s="13" t="s">
        <v>20</v>
      </c>
    </row>
    <row r="99" spans="1:22" ht="27" customHeight="1" x14ac:dyDescent="0.35">
      <c r="A99" s="8"/>
      <c r="B99" s="8"/>
      <c r="C99" s="8"/>
      <c r="D99" s="8"/>
      <c r="E99" s="8"/>
      <c r="F99" s="8" t="s">
        <v>0</v>
      </c>
      <c r="G99" s="8" t="s">
        <v>0</v>
      </c>
      <c r="H99" s="17" t="s">
        <v>0</v>
      </c>
      <c r="I99" s="8"/>
      <c r="J99" s="6" t="str">
        <f>IFERROR(VLOOKUP(I99,Hoja1!$F$2:$H$28,2,0)," ")</f>
        <v xml:space="preserve"> </v>
      </c>
      <c r="K99" s="7" t="str">
        <f>IFERROR(VLOOKUP(I99,Hoja1!$F$2:$H$28,3,0)," ")</f>
        <v xml:space="preserve"> </v>
      </c>
      <c r="L99" s="24"/>
      <c r="M99" s="24" t="s">
        <v>0</v>
      </c>
      <c r="N99" s="25"/>
      <c r="O99" s="18"/>
      <c r="P99" s="14"/>
      <c r="Q99" s="14"/>
      <c r="R99" s="31" t="s">
        <v>0</v>
      </c>
      <c r="S99" s="15" t="e">
        <f t="shared" si="6"/>
        <v>#VALUE!</v>
      </c>
      <c r="T99" s="16" t="e">
        <f t="shared" si="7"/>
        <v>#VALUE!</v>
      </c>
      <c r="U99" s="10"/>
      <c r="V99" s="13" t="s">
        <v>20</v>
      </c>
    </row>
    <row r="100" spans="1:22" ht="27" customHeight="1" x14ac:dyDescent="0.35">
      <c r="A100" s="8"/>
      <c r="B100" s="8"/>
      <c r="C100" s="8"/>
      <c r="D100" s="8"/>
      <c r="E100" s="8"/>
      <c r="F100" s="8" t="s">
        <v>0</v>
      </c>
      <c r="G100" s="8" t="s">
        <v>0</v>
      </c>
      <c r="H100" s="17" t="s">
        <v>0</v>
      </c>
      <c r="I100" s="8"/>
      <c r="J100" s="6" t="str">
        <f>IFERROR(VLOOKUP(I100,Hoja1!$F$2:$H$28,2,0)," ")</f>
        <v xml:space="preserve"> </v>
      </c>
      <c r="K100" s="7" t="str">
        <f>IFERROR(VLOOKUP(I100,Hoja1!$F$2:$H$28,3,0)," ")</f>
        <v xml:space="preserve"> </v>
      </c>
      <c r="L100" s="24"/>
      <c r="M100" s="24" t="s">
        <v>0</v>
      </c>
      <c r="N100" s="25"/>
      <c r="O100" s="18"/>
      <c r="P100" s="14"/>
      <c r="Q100" s="14"/>
      <c r="R100" s="31" t="s">
        <v>0</v>
      </c>
      <c r="S100" s="15" t="e">
        <f t="shared" si="6"/>
        <v>#VALUE!</v>
      </c>
      <c r="T100" s="16" t="e">
        <f t="shared" si="7"/>
        <v>#VALUE!</v>
      </c>
      <c r="U100" s="10"/>
      <c r="V100" s="13" t="s">
        <v>20</v>
      </c>
    </row>
    <row r="101" spans="1:22" ht="27" customHeight="1" x14ac:dyDescent="0.35">
      <c r="A101" s="8"/>
      <c r="B101" s="8"/>
      <c r="C101" s="8"/>
      <c r="D101" s="8"/>
      <c r="E101" s="8"/>
      <c r="F101" s="8" t="s">
        <v>0</v>
      </c>
      <c r="G101" s="8" t="s">
        <v>0</v>
      </c>
      <c r="H101" s="17" t="s">
        <v>0</v>
      </c>
      <c r="I101" s="8"/>
      <c r="J101" s="6" t="str">
        <f>IFERROR(VLOOKUP(I101,Hoja1!$F$2:$H$28,2,0)," ")</f>
        <v xml:space="preserve"> </v>
      </c>
      <c r="K101" s="7" t="str">
        <f>IFERROR(VLOOKUP(I101,Hoja1!$F$2:$H$28,3,0)," ")</f>
        <v xml:space="preserve"> </v>
      </c>
      <c r="L101" s="24"/>
      <c r="M101" s="24" t="s">
        <v>0</v>
      </c>
      <c r="N101" s="25"/>
      <c r="O101" s="18"/>
      <c r="P101" s="14"/>
      <c r="Q101" s="14"/>
      <c r="R101" s="31" t="s">
        <v>0</v>
      </c>
      <c r="S101" s="15" t="e">
        <f t="shared" si="6"/>
        <v>#VALUE!</v>
      </c>
      <c r="T101" s="16" t="e">
        <f t="shared" si="7"/>
        <v>#VALUE!</v>
      </c>
      <c r="U101" s="10"/>
      <c r="V101" s="13" t="s">
        <v>20</v>
      </c>
    </row>
    <row r="102" spans="1:22" ht="27" customHeight="1" x14ac:dyDescent="0.35">
      <c r="A102" s="8"/>
      <c r="B102" s="8"/>
      <c r="C102" s="8"/>
      <c r="D102" s="8"/>
      <c r="E102" s="8"/>
      <c r="F102" s="8" t="s">
        <v>0</v>
      </c>
      <c r="G102" s="8" t="s">
        <v>0</v>
      </c>
      <c r="H102" s="17" t="s">
        <v>0</v>
      </c>
      <c r="I102" s="8"/>
      <c r="J102" s="6" t="str">
        <f>IFERROR(VLOOKUP(I102,Hoja1!$F$2:$H$28,2,0)," ")</f>
        <v xml:space="preserve"> </v>
      </c>
      <c r="K102" s="7" t="str">
        <f>IFERROR(VLOOKUP(I102,Hoja1!$F$2:$H$28,3,0)," ")</f>
        <v xml:space="preserve"> </v>
      </c>
      <c r="L102" s="24"/>
      <c r="M102" s="24" t="s">
        <v>0</v>
      </c>
      <c r="N102" s="25"/>
      <c r="O102" s="18"/>
      <c r="P102" s="14"/>
      <c r="Q102" s="14"/>
      <c r="R102" s="31" t="s">
        <v>0</v>
      </c>
      <c r="S102" s="15" t="e">
        <f t="shared" si="6"/>
        <v>#VALUE!</v>
      </c>
      <c r="T102" s="16" t="e">
        <f t="shared" si="7"/>
        <v>#VALUE!</v>
      </c>
      <c r="U102" s="10"/>
      <c r="V102" s="13" t="s">
        <v>20</v>
      </c>
    </row>
    <row r="103" spans="1:22" ht="27" customHeight="1" x14ac:dyDescent="0.35">
      <c r="A103" s="8"/>
      <c r="B103" s="8"/>
      <c r="C103" s="8"/>
      <c r="D103" s="8"/>
      <c r="E103" s="8"/>
      <c r="F103" s="8" t="s">
        <v>0</v>
      </c>
      <c r="G103" s="8" t="s">
        <v>0</v>
      </c>
      <c r="H103" s="17" t="s">
        <v>0</v>
      </c>
      <c r="I103" s="8"/>
      <c r="J103" s="6" t="str">
        <f>IFERROR(VLOOKUP(I103,Hoja1!$F$2:$H$28,2,0)," ")</f>
        <v xml:space="preserve"> </v>
      </c>
      <c r="K103" s="7" t="str">
        <f>IFERROR(VLOOKUP(I103,Hoja1!$F$2:$H$28,3,0)," ")</f>
        <v xml:space="preserve"> </v>
      </c>
      <c r="L103" s="24"/>
      <c r="M103" s="24" t="s">
        <v>0</v>
      </c>
      <c r="N103" s="25"/>
      <c r="O103" s="18"/>
      <c r="P103" s="14"/>
      <c r="Q103" s="14"/>
      <c r="R103" s="31" t="s">
        <v>0</v>
      </c>
      <c r="S103" s="15" t="e">
        <f t="shared" si="6"/>
        <v>#VALUE!</v>
      </c>
      <c r="T103" s="16" t="e">
        <f t="shared" si="7"/>
        <v>#VALUE!</v>
      </c>
      <c r="U103" s="10"/>
      <c r="V103" s="13" t="s">
        <v>20</v>
      </c>
    </row>
    <row r="104" spans="1:22" ht="27" customHeight="1" x14ac:dyDescent="0.35">
      <c r="A104" s="8"/>
      <c r="B104" s="8"/>
      <c r="C104" s="8"/>
      <c r="D104" s="8"/>
      <c r="E104" s="8"/>
      <c r="F104" s="8" t="s">
        <v>0</v>
      </c>
      <c r="G104" s="8" t="s">
        <v>0</v>
      </c>
      <c r="H104" s="17" t="s">
        <v>0</v>
      </c>
      <c r="I104" s="8"/>
      <c r="J104" s="6" t="str">
        <f>IFERROR(VLOOKUP(I104,Hoja1!$F$2:$H$28,2,0)," ")</f>
        <v xml:space="preserve"> </v>
      </c>
      <c r="K104" s="7" t="str">
        <f>IFERROR(VLOOKUP(I104,Hoja1!$F$2:$H$28,3,0)," ")</f>
        <v xml:space="preserve"> </v>
      </c>
      <c r="L104" s="24"/>
      <c r="M104" s="24" t="s">
        <v>0</v>
      </c>
      <c r="N104" s="25"/>
      <c r="O104" s="18"/>
      <c r="P104" s="14"/>
      <c r="Q104" s="14"/>
      <c r="R104" s="31" t="s">
        <v>0</v>
      </c>
      <c r="S104" s="15" t="e">
        <f t="shared" si="6"/>
        <v>#VALUE!</v>
      </c>
      <c r="T104" s="16" t="e">
        <f t="shared" si="7"/>
        <v>#VALUE!</v>
      </c>
      <c r="U104" s="10"/>
      <c r="V104" s="13" t="s">
        <v>20</v>
      </c>
    </row>
    <row r="105" spans="1:22" ht="27" customHeight="1" x14ac:dyDescent="0.35">
      <c r="A105" s="8"/>
      <c r="B105" s="8"/>
      <c r="C105" s="8"/>
      <c r="D105" s="8"/>
      <c r="E105" s="8"/>
      <c r="F105" s="8" t="s">
        <v>0</v>
      </c>
      <c r="G105" s="8" t="s">
        <v>0</v>
      </c>
      <c r="H105" s="17" t="s">
        <v>0</v>
      </c>
      <c r="I105" s="8"/>
      <c r="J105" s="6" t="str">
        <f>IFERROR(VLOOKUP(I105,Hoja1!$F$2:$H$28,2,0)," ")</f>
        <v xml:space="preserve"> </v>
      </c>
      <c r="K105" s="7" t="str">
        <f>IFERROR(VLOOKUP(I105,Hoja1!$F$2:$H$28,3,0)," ")</f>
        <v xml:space="preserve"> </v>
      </c>
      <c r="L105" s="24"/>
      <c r="M105" s="24" t="s">
        <v>0</v>
      </c>
      <c r="N105" s="25"/>
      <c r="O105" s="18"/>
      <c r="P105" s="14"/>
      <c r="Q105" s="14"/>
      <c r="R105" s="31" t="s">
        <v>0</v>
      </c>
      <c r="S105" s="15" t="e">
        <f t="shared" si="6"/>
        <v>#VALUE!</v>
      </c>
      <c r="T105" s="16" t="e">
        <f t="shared" si="7"/>
        <v>#VALUE!</v>
      </c>
      <c r="U105" s="10"/>
      <c r="V105" s="13" t="s">
        <v>20</v>
      </c>
    </row>
    <row r="106" spans="1:22" ht="27" customHeight="1" x14ac:dyDescent="0.35">
      <c r="A106" s="8"/>
      <c r="B106" s="8"/>
      <c r="C106" s="8"/>
      <c r="D106" s="8"/>
      <c r="E106" s="8"/>
      <c r="F106" s="8" t="s">
        <v>0</v>
      </c>
      <c r="G106" s="8" t="s">
        <v>0</v>
      </c>
      <c r="H106" s="17" t="s">
        <v>0</v>
      </c>
      <c r="I106" s="8"/>
      <c r="J106" s="6" t="str">
        <f>IFERROR(VLOOKUP(I106,Hoja1!$F$2:$H$28,2,0)," ")</f>
        <v xml:space="preserve"> </v>
      </c>
      <c r="K106" s="7" t="str">
        <f>IFERROR(VLOOKUP(I106,Hoja1!$F$2:$H$28,3,0)," ")</f>
        <v xml:space="preserve"> </v>
      </c>
      <c r="L106" s="24"/>
      <c r="M106" s="24" t="s">
        <v>0</v>
      </c>
      <c r="N106" s="25"/>
      <c r="O106" s="18"/>
      <c r="P106" s="14"/>
      <c r="Q106" s="14"/>
      <c r="R106" s="31" t="s">
        <v>0</v>
      </c>
      <c r="S106" s="15" t="e">
        <f t="shared" si="6"/>
        <v>#VALUE!</v>
      </c>
      <c r="T106" s="16" t="e">
        <f t="shared" si="7"/>
        <v>#VALUE!</v>
      </c>
      <c r="U106" s="10"/>
      <c r="V106" s="13" t="s">
        <v>20</v>
      </c>
    </row>
    <row r="107" spans="1:22" ht="27" customHeight="1" x14ac:dyDescent="0.35">
      <c r="A107" s="8"/>
      <c r="B107" s="8"/>
      <c r="C107" s="8"/>
      <c r="D107" s="8"/>
      <c r="E107" s="8"/>
      <c r="F107" s="8" t="s">
        <v>0</v>
      </c>
      <c r="G107" s="8" t="s">
        <v>0</v>
      </c>
      <c r="H107" s="17" t="s">
        <v>0</v>
      </c>
      <c r="I107" s="8"/>
      <c r="J107" s="6" t="str">
        <f>IFERROR(VLOOKUP(I107,Hoja1!$F$2:$H$28,2,0)," ")</f>
        <v xml:space="preserve"> </v>
      </c>
      <c r="K107" s="7" t="str">
        <f>IFERROR(VLOOKUP(I107,Hoja1!$F$2:$H$28,3,0)," ")</f>
        <v xml:space="preserve"> </v>
      </c>
      <c r="L107" s="24"/>
      <c r="M107" s="24" t="s">
        <v>0</v>
      </c>
      <c r="N107" s="25"/>
      <c r="O107" s="18"/>
      <c r="P107" s="14"/>
      <c r="Q107" s="14"/>
      <c r="R107" s="31" t="s">
        <v>0</v>
      </c>
      <c r="S107" s="15" t="e">
        <f t="shared" si="6"/>
        <v>#VALUE!</v>
      </c>
      <c r="T107" s="16" t="e">
        <f t="shared" si="7"/>
        <v>#VALUE!</v>
      </c>
      <c r="U107" s="10"/>
      <c r="V107" s="13" t="s">
        <v>20</v>
      </c>
    </row>
    <row r="108" spans="1:22" ht="27" customHeight="1" x14ac:dyDescent="0.35">
      <c r="A108" s="8"/>
      <c r="B108" s="8"/>
      <c r="C108" s="8"/>
      <c r="D108" s="8"/>
      <c r="E108" s="8"/>
      <c r="F108" s="8" t="s">
        <v>0</v>
      </c>
      <c r="G108" s="8" t="s">
        <v>0</v>
      </c>
      <c r="H108" s="17" t="s">
        <v>0</v>
      </c>
      <c r="I108" s="8"/>
      <c r="J108" s="6" t="str">
        <f>IFERROR(VLOOKUP(I108,Hoja1!$F$2:$H$28,2,0)," ")</f>
        <v xml:space="preserve"> </v>
      </c>
      <c r="K108" s="7" t="str">
        <f>IFERROR(VLOOKUP(I108,Hoja1!$F$2:$H$28,3,0)," ")</f>
        <v xml:space="preserve"> </v>
      </c>
      <c r="L108" s="24"/>
      <c r="M108" s="24" t="s">
        <v>0</v>
      </c>
      <c r="N108" s="25"/>
      <c r="O108" s="18"/>
      <c r="P108" s="14"/>
      <c r="Q108" s="14"/>
      <c r="R108" s="31" t="s">
        <v>0</v>
      </c>
      <c r="S108" s="15" t="e">
        <f t="shared" si="6"/>
        <v>#VALUE!</v>
      </c>
      <c r="T108" s="16" t="e">
        <f t="shared" si="7"/>
        <v>#VALUE!</v>
      </c>
      <c r="U108" s="10"/>
      <c r="V108" s="13" t="s">
        <v>20</v>
      </c>
    </row>
    <row r="109" spans="1:22" ht="27" customHeight="1" x14ac:dyDescent="0.35">
      <c r="A109" s="8"/>
      <c r="B109" s="8"/>
      <c r="C109" s="8"/>
      <c r="D109" s="8"/>
      <c r="E109" s="8"/>
      <c r="F109" s="8" t="s">
        <v>0</v>
      </c>
      <c r="G109" s="8" t="s">
        <v>0</v>
      </c>
      <c r="H109" s="17" t="s">
        <v>0</v>
      </c>
      <c r="I109" s="8"/>
      <c r="J109" s="6" t="str">
        <f>IFERROR(VLOOKUP(I109,Hoja1!$F$2:$H$28,2,0)," ")</f>
        <v xml:space="preserve"> </v>
      </c>
      <c r="K109" s="7" t="str">
        <f>IFERROR(VLOOKUP(I109,Hoja1!$F$2:$H$28,3,0)," ")</f>
        <v xml:space="preserve"> </v>
      </c>
      <c r="L109" s="24"/>
      <c r="M109" s="24" t="s">
        <v>0</v>
      </c>
      <c r="N109" s="25"/>
      <c r="O109" s="18"/>
      <c r="P109" s="14"/>
      <c r="Q109" s="14"/>
      <c r="R109" s="31" t="s">
        <v>0</v>
      </c>
      <c r="S109" s="15" t="e">
        <f t="shared" si="6"/>
        <v>#VALUE!</v>
      </c>
      <c r="T109" s="16" t="e">
        <f t="shared" si="7"/>
        <v>#VALUE!</v>
      </c>
      <c r="U109" s="10"/>
      <c r="V109" s="13" t="s">
        <v>20</v>
      </c>
    </row>
    <row r="110" spans="1:22" ht="27" customHeight="1" x14ac:dyDescent="0.35">
      <c r="A110" s="8"/>
      <c r="B110" s="8"/>
      <c r="C110" s="8"/>
      <c r="D110" s="8"/>
      <c r="E110" s="8"/>
      <c r="F110" s="8" t="s">
        <v>0</v>
      </c>
      <c r="G110" s="8" t="s">
        <v>0</v>
      </c>
      <c r="H110" s="17" t="s">
        <v>0</v>
      </c>
      <c r="I110" s="8"/>
      <c r="J110" s="6" t="str">
        <f>IFERROR(VLOOKUP(I110,Hoja1!$F$2:$H$28,2,0)," ")</f>
        <v xml:space="preserve"> </v>
      </c>
      <c r="K110" s="7" t="str">
        <f>IFERROR(VLOOKUP(I110,Hoja1!$F$2:$H$28,3,0)," ")</f>
        <v xml:space="preserve"> </v>
      </c>
      <c r="L110" s="24"/>
      <c r="M110" s="24" t="s">
        <v>0</v>
      </c>
      <c r="N110" s="25"/>
      <c r="O110" s="18"/>
      <c r="P110" s="14"/>
      <c r="Q110" s="14"/>
      <c r="R110" s="31" t="s">
        <v>0</v>
      </c>
      <c r="S110" s="15" t="e">
        <f t="shared" si="6"/>
        <v>#VALUE!</v>
      </c>
      <c r="T110" s="16" t="e">
        <f t="shared" si="7"/>
        <v>#VALUE!</v>
      </c>
      <c r="U110" s="10"/>
      <c r="V110" s="13" t="s">
        <v>20</v>
      </c>
    </row>
    <row r="111" spans="1:22" ht="27" customHeight="1" x14ac:dyDescent="0.35">
      <c r="A111" s="8"/>
      <c r="B111" s="8"/>
      <c r="C111" s="8"/>
      <c r="D111" s="8"/>
      <c r="E111" s="8"/>
      <c r="F111" s="8" t="s">
        <v>0</v>
      </c>
      <c r="G111" s="8" t="s">
        <v>0</v>
      </c>
      <c r="H111" s="17" t="s">
        <v>0</v>
      </c>
      <c r="I111" s="8"/>
      <c r="J111" s="6" t="str">
        <f>IFERROR(VLOOKUP(I111,Hoja1!$F$2:$H$28,2,0)," ")</f>
        <v xml:space="preserve"> </v>
      </c>
      <c r="K111" s="7" t="str">
        <f>IFERROR(VLOOKUP(I111,Hoja1!$F$2:$H$28,3,0)," ")</f>
        <v xml:space="preserve"> </v>
      </c>
      <c r="L111" s="24"/>
      <c r="M111" s="24" t="s">
        <v>0</v>
      </c>
      <c r="N111" s="25"/>
      <c r="O111" s="18"/>
      <c r="P111" s="14"/>
      <c r="Q111" s="14"/>
      <c r="R111" s="31" t="s">
        <v>0</v>
      </c>
      <c r="S111" s="15" t="e">
        <f t="shared" si="6"/>
        <v>#VALUE!</v>
      </c>
      <c r="T111" s="16" t="e">
        <f t="shared" si="7"/>
        <v>#VALUE!</v>
      </c>
      <c r="U111" s="10"/>
      <c r="V111" s="13" t="s">
        <v>20</v>
      </c>
    </row>
    <row r="112" spans="1:22" ht="27" customHeight="1" x14ac:dyDescent="0.35">
      <c r="A112" s="8"/>
      <c r="B112" s="8"/>
      <c r="C112" s="8"/>
      <c r="D112" s="8"/>
      <c r="E112" s="8"/>
      <c r="F112" s="8" t="s">
        <v>0</v>
      </c>
      <c r="G112" s="8" t="s">
        <v>0</v>
      </c>
      <c r="H112" s="17" t="s">
        <v>0</v>
      </c>
      <c r="I112" s="8"/>
      <c r="J112" s="6" t="str">
        <f>IFERROR(VLOOKUP(I112,Hoja1!$F$2:$H$28,2,0)," ")</f>
        <v xml:space="preserve"> </v>
      </c>
      <c r="K112" s="7" t="str">
        <f>IFERROR(VLOOKUP(I112,Hoja1!$F$2:$H$28,3,0)," ")</f>
        <v xml:space="preserve"> </v>
      </c>
      <c r="L112" s="24"/>
      <c r="M112" s="24" t="s">
        <v>0</v>
      </c>
      <c r="N112" s="25"/>
      <c r="O112" s="18"/>
      <c r="P112" s="14"/>
      <c r="Q112" s="14"/>
      <c r="R112" s="31" t="s">
        <v>0</v>
      </c>
      <c r="S112" s="15" t="e">
        <f t="shared" si="6"/>
        <v>#VALUE!</v>
      </c>
      <c r="T112" s="16" t="e">
        <f t="shared" si="7"/>
        <v>#VALUE!</v>
      </c>
      <c r="U112" s="10"/>
      <c r="V112" s="13" t="s">
        <v>20</v>
      </c>
    </row>
    <row r="113" spans="1:22" ht="27" customHeight="1" x14ac:dyDescent="0.35">
      <c r="A113" s="8"/>
      <c r="B113" s="8"/>
      <c r="C113" s="8"/>
      <c r="D113" s="8"/>
      <c r="E113" s="8"/>
      <c r="F113" s="8" t="s">
        <v>0</v>
      </c>
      <c r="G113" s="8" t="s">
        <v>0</v>
      </c>
      <c r="H113" s="17" t="s">
        <v>0</v>
      </c>
      <c r="I113" s="8"/>
      <c r="J113" s="6" t="str">
        <f>IFERROR(VLOOKUP(I113,Hoja1!$F$2:$H$28,2,0)," ")</f>
        <v xml:space="preserve"> </v>
      </c>
      <c r="K113" s="7" t="str">
        <f>IFERROR(VLOOKUP(I113,Hoja1!$F$2:$H$28,3,0)," ")</f>
        <v xml:space="preserve"> </v>
      </c>
      <c r="L113" s="24"/>
      <c r="M113" s="24" t="s">
        <v>0</v>
      </c>
      <c r="N113" s="25"/>
      <c r="O113" s="18"/>
      <c r="P113" s="14"/>
      <c r="Q113" s="14"/>
      <c r="R113" s="31" t="s">
        <v>0</v>
      </c>
      <c r="S113" s="15" t="e">
        <f t="shared" si="6"/>
        <v>#VALUE!</v>
      </c>
      <c r="T113" s="16" t="e">
        <f t="shared" si="7"/>
        <v>#VALUE!</v>
      </c>
      <c r="U113" s="10"/>
      <c r="V113" s="13" t="s">
        <v>20</v>
      </c>
    </row>
    <row r="114" spans="1:22" ht="27" customHeight="1" x14ac:dyDescent="0.35">
      <c r="A114" s="8"/>
      <c r="B114" s="8"/>
      <c r="C114" s="8"/>
      <c r="D114" s="8"/>
      <c r="E114" s="8"/>
      <c r="F114" s="8" t="s">
        <v>0</v>
      </c>
      <c r="G114" s="8" t="s">
        <v>0</v>
      </c>
      <c r="H114" s="17" t="s">
        <v>0</v>
      </c>
      <c r="I114" s="8"/>
      <c r="J114" s="6" t="str">
        <f>IFERROR(VLOOKUP(I114,Hoja1!$F$2:$H$28,2,0)," ")</f>
        <v xml:space="preserve"> </v>
      </c>
      <c r="K114" s="7" t="str">
        <f>IFERROR(VLOOKUP(I114,Hoja1!$F$2:$H$28,3,0)," ")</f>
        <v xml:space="preserve"> </v>
      </c>
      <c r="L114" s="24"/>
      <c r="M114" s="24" t="s">
        <v>0</v>
      </c>
      <c r="N114" s="25"/>
      <c r="O114" s="18"/>
      <c r="P114" s="14"/>
      <c r="Q114" s="14"/>
      <c r="R114" s="31" t="s">
        <v>0</v>
      </c>
      <c r="S114" s="15" t="e">
        <f t="shared" si="6"/>
        <v>#VALUE!</v>
      </c>
      <c r="T114" s="16" t="e">
        <f t="shared" si="7"/>
        <v>#VALUE!</v>
      </c>
      <c r="U114" s="10"/>
      <c r="V114" s="13" t="s">
        <v>20</v>
      </c>
    </row>
    <row r="115" spans="1:22" ht="27" customHeight="1" x14ac:dyDescent="0.35">
      <c r="A115" s="8"/>
      <c r="B115" s="8"/>
      <c r="C115" s="8"/>
      <c r="D115" s="8"/>
      <c r="E115" s="8"/>
      <c r="F115" s="8" t="s">
        <v>0</v>
      </c>
      <c r="G115" s="8" t="s">
        <v>0</v>
      </c>
      <c r="H115" s="17" t="s">
        <v>0</v>
      </c>
      <c r="I115" s="8"/>
      <c r="J115" s="6" t="str">
        <f>IFERROR(VLOOKUP(I115,Hoja1!$F$2:$H$28,2,0)," ")</f>
        <v xml:space="preserve"> </v>
      </c>
      <c r="K115" s="7" t="str">
        <f>IFERROR(VLOOKUP(I115,Hoja1!$F$2:$H$28,3,0)," ")</f>
        <v xml:space="preserve"> </v>
      </c>
      <c r="L115" s="24"/>
      <c r="M115" s="24" t="s">
        <v>0</v>
      </c>
      <c r="N115" s="25"/>
      <c r="O115" s="18"/>
      <c r="P115" s="14"/>
      <c r="Q115" s="14"/>
      <c r="R115" s="31" t="s">
        <v>0</v>
      </c>
      <c r="S115" s="15" t="e">
        <f t="shared" si="6"/>
        <v>#VALUE!</v>
      </c>
      <c r="T115" s="16" t="e">
        <f t="shared" si="7"/>
        <v>#VALUE!</v>
      </c>
      <c r="U115" s="10"/>
      <c r="V115" s="13" t="s">
        <v>20</v>
      </c>
    </row>
    <row r="116" spans="1:22" ht="27" customHeight="1" x14ac:dyDescent="0.35">
      <c r="A116" s="8"/>
      <c r="B116" s="8"/>
      <c r="C116" s="8"/>
      <c r="D116" s="8"/>
      <c r="E116" s="8"/>
      <c r="F116" s="8" t="s">
        <v>0</v>
      </c>
      <c r="G116" s="8" t="s">
        <v>0</v>
      </c>
      <c r="H116" s="17" t="s">
        <v>0</v>
      </c>
      <c r="I116" s="8"/>
      <c r="J116" s="6" t="str">
        <f>IFERROR(VLOOKUP(I116,Hoja1!$F$2:$H$28,2,0)," ")</f>
        <v xml:space="preserve"> </v>
      </c>
      <c r="K116" s="7" t="str">
        <f>IFERROR(VLOOKUP(I116,Hoja1!$F$2:$H$28,3,0)," ")</f>
        <v xml:space="preserve"> </v>
      </c>
      <c r="L116" s="24"/>
      <c r="M116" s="24" t="s">
        <v>0</v>
      </c>
      <c r="N116" s="25"/>
      <c r="O116" s="18"/>
      <c r="P116" s="14"/>
      <c r="Q116" s="14"/>
      <c r="R116" s="31" t="s">
        <v>0</v>
      </c>
      <c r="S116" s="15" t="e">
        <f t="shared" si="6"/>
        <v>#VALUE!</v>
      </c>
      <c r="T116" s="16" t="e">
        <f t="shared" si="7"/>
        <v>#VALUE!</v>
      </c>
      <c r="U116" s="10"/>
      <c r="V116" s="13" t="s">
        <v>20</v>
      </c>
    </row>
    <row r="117" spans="1:22" ht="27" customHeight="1" x14ac:dyDescent="0.35">
      <c r="A117" s="8"/>
      <c r="B117" s="8"/>
      <c r="C117" s="8"/>
      <c r="D117" s="8"/>
      <c r="E117" s="8"/>
      <c r="F117" s="8" t="s">
        <v>0</v>
      </c>
      <c r="G117" s="8" t="s">
        <v>0</v>
      </c>
      <c r="H117" s="17" t="s">
        <v>0</v>
      </c>
      <c r="I117" s="8"/>
      <c r="J117" s="6" t="str">
        <f>IFERROR(VLOOKUP(I117,Hoja1!$F$2:$H$28,2,0)," ")</f>
        <v xml:space="preserve"> </v>
      </c>
      <c r="K117" s="7" t="str">
        <f>IFERROR(VLOOKUP(I117,Hoja1!$F$2:$H$28,3,0)," ")</f>
        <v xml:space="preserve"> </v>
      </c>
      <c r="L117" s="24"/>
      <c r="M117" s="24" t="s">
        <v>0</v>
      </c>
      <c r="N117" s="25"/>
      <c r="O117" s="18"/>
      <c r="P117" s="14"/>
      <c r="Q117" s="14"/>
      <c r="R117" s="31" t="s">
        <v>0</v>
      </c>
      <c r="S117" s="15" t="e">
        <f t="shared" si="6"/>
        <v>#VALUE!</v>
      </c>
      <c r="T117" s="16" t="e">
        <f t="shared" si="7"/>
        <v>#VALUE!</v>
      </c>
      <c r="U117" s="10"/>
      <c r="V117" s="13" t="s">
        <v>20</v>
      </c>
    </row>
    <row r="118" spans="1:22" ht="27" customHeight="1" x14ac:dyDescent="0.35">
      <c r="A118" s="8"/>
      <c r="B118" s="8"/>
      <c r="C118" s="8"/>
      <c r="D118" s="8"/>
      <c r="E118" s="8"/>
      <c r="F118" s="8" t="s">
        <v>0</v>
      </c>
      <c r="G118" s="8" t="s">
        <v>0</v>
      </c>
      <c r="H118" s="17" t="s">
        <v>0</v>
      </c>
      <c r="I118" s="8"/>
      <c r="J118" s="6" t="str">
        <f>IFERROR(VLOOKUP(I118,Hoja1!$F$2:$H$28,2,0)," ")</f>
        <v xml:space="preserve"> </v>
      </c>
      <c r="K118" s="7" t="str">
        <f>IFERROR(VLOOKUP(I118,Hoja1!$F$2:$H$28,3,0)," ")</f>
        <v xml:space="preserve"> </v>
      </c>
      <c r="L118" s="24"/>
      <c r="M118" s="24" t="s">
        <v>0</v>
      </c>
      <c r="N118" s="25"/>
      <c r="O118" s="18"/>
      <c r="P118" s="14"/>
      <c r="Q118" s="14"/>
      <c r="R118" s="31" t="s">
        <v>0</v>
      </c>
      <c r="S118" s="15" t="e">
        <f t="shared" si="6"/>
        <v>#VALUE!</v>
      </c>
      <c r="T118" s="16" t="e">
        <f t="shared" si="7"/>
        <v>#VALUE!</v>
      </c>
      <c r="U118" s="10"/>
      <c r="V118" s="13" t="s">
        <v>20</v>
      </c>
    </row>
    <row r="119" spans="1:22" ht="27" customHeight="1" x14ac:dyDescent="0.35">
      <c r="A119" s="8"/>
      <c r="B119" s="8"/>
      <c r="C119" s="8"/>
      <c r="D119" s="8"/>
      <c r="E119" s="8"/>
      <c r="F119" s="8" t="s">
        <v>0</v>
      </c>
      <c r="G119" s="8" t="s">
        <v>0</v>
      </c>
      <c r="H119" s="17" t="s">
        <v>0</v>
      </c>
      <c r="I119" s="8"/>
      <c r="J119" s="6" t="str">
        <f>IFERROR(VLOOKUP(I119,Hoja1!$F$2:$H$28,2,0)," ")</f>
        <v xml:space="preserve"> </v>
      </c>
      <c r="K119" s="7" t="str">
        <f>IFERROR(VLOOKUP(I119,Hoja1!$F$2:$H$28,3,0)," ")</f>
        <v xml:space="preserve"> </v>
      </c>
      <c r="L119" s="24"/>
      <c r="M119" s="24" t="s">
        <v>0</v>
      </c>
      <c r="N119" s="25"/>
      <c r="O119" s="18"/>
      <c r="P119" s="14"/>
      <c r="Q119" s="14"/>
      <c r="R119" s="31" t="s">
        <v>0</v>
      </c>
      <c r="S119" s="15" t="e">
        <f t="shared" si="6"/>
        <v>#VALUE!</v>
      </c>
      <c r="T119" s="16" t="e">
        <f t="shared" si="7"/>
        <v>#VALUE!</v>
      </c>
      <c r="U119" s="10"/>
      <c r="V119" s="13" t="s">
        <v>20</v>
      </c>
    </row>
    <row r="120" spans="1:22" ht="27" customHeight="1" x14ac:dyDescent="0.35">
      <c r="A120" s="8"/>
      <c r="B120" s="8"/>
      <c r="C120" s="8"/>
      <c r="D120" s="8"/>
      <c r="E120" s="8"/>
      <c r="F120" s="8" t="s">
        <v>0</v>
      </c>
      <c r="G120" s="8" t="s">
        <v>0</v>
      </c>
      <c r="H120" s="17" t="s">
        <v>0</v>
      </c>
      <c r="I120" s="8"/>
      <c r="J120" s="6" t="str">
        <f>IFERROR(VLOOKUP(I120,Hoja1!$F$2:$H$28,2,0)," ")</f>
        <v xml:space="preserve"> </v>
      </c>
      <c r="K120" s="7" t="str">
        <f>IFERROR(VLOOKUP(I120,Hoja1!$F$2:$H$28,3,0)," ")</f>
        <v xml:space="preserve"> </v>
      </c>
      <c r="L120" s="24"/>
      <c r="M120" s="24" t="s">
        <v>0</v>
      </c>
      <c r="N120" s="25"/>
      <c r="O120" s="18"/>
      <c r="P120" s="14"/>
      <c r="Q120" s="14"/>
      <c r="R120" s="31" t="s">
        <v>0</v>
      </c>
      <c r="S120" s="15" t="e">
        <f t="shared" si="6"/>
        <v>#VALUE!</v>
      </c>
      <c r="T120" s="16" t="e">
        <f t="shared" si="7"/>
        <v>#VALUE!</v>
      </c>
      <c r="U120" s="10"/>
      <c r="V120" s="13" t="s">
        <v>20</v>
      </c>
    </row>
    <row r="121" spans="1:22" ht="27" customHeight="1" x14ac:dyDescent="0.35">
      <c r="A121" s="8"/>
      <c r="B121" s="8"/>
      <c r="C121" s="8"/>
      <c r="D121" s="8"/>
      <c r="E121" s="8"/>
      <c r="F121" s="8" t="s">
        <v>0</v>
      </c>
      <c r="G121" s="8" t="s">
        <v>0</v>
      </c>
      <c r="H121" s="17" t="s">
        <v>0</v>
      </c>
      <c r="I121" s="8"/>
      <c r="J121" s="6" t="str">
        <f>IFERROR(VLOOKUP(I121,Hoja1!$F$2:$H$28,2,0)," ")</f>
        <v xml:space="preserve"> </v>
      </c>
      <c r="K121" s="7" t="str">
        <f>IFERROR(VLOOKUP(I121,Hoja1!$F$2:$H$28,3,0)," ")</f>
        <v xml:space="preserve"> </v>
      </c>
      <c r="L121" s="24"/>
      <c r="M121" s="24" t="s">
        <v>0</v>
      </c>
      <c r="N121" s="25"/>
      <c r="O121" s="18"/>
      <c r="P121" s="14"/>
      <c r="Q121" s="14"/>
      <c r="R121" s="31" t="s">
        <v>0</v>
      </c>
      <c r="S121" s="15" t="e">
        <f t="shared" si="6"/>
        <v>#VALUE!</v>
      </c>
      <c r="T121" s="16" t="e">
        <f t="shared" si="7"/>
        <v>#VALUE!</v>
      </c>
      <c r="U121" s="10"/>
      <c r="V121" s="13" t="s">
        <v>20</v>
      </c>
    </row>
    <row r="122" spans="1:22" ht="27" customHeight="1" x14ac:dyDescent="0.35">
      <c r="A122" s="8"/>
      <c r="B122" s="8"/>
      <c r="C122" s="8"/>
      <c r="D122" s="8"/>
      <c r="E122" s="8"/>
      <c r="F122" s="8" t="s">
        <v>0</v>
      </c>
      <c r="G122" s="8" t="s">
        <v>0</v>
      </c>
      <c r="H122" s="17" t="s">
        <v>0</v>
      </c>
      <c r="I122" s="8"/>
      <c r="J122" s="6" t="str">
        <f>IFERROR(VLOOKUP(I122,Hoja1!$F$2:$H$28,2,0)," ")</f>
        <v xml:space="preserve"> </v>
      </c>
      <c r="K122" s="7" t="str">
        <f>IFERROR(VLOOKUP(I122,Hoja1!$F$2:$H$28,3,0)," ")</f>
        <v xml:space="preserve"> </v>
      </c>
      <c r="L122" s="24"/>
      <c r="M122" s="24" t="s">
        <v>0</v>
      </c>
      <c r="N122" s="25"/>
      <c r="O122" s="18"/>
      <c r="P122" s="14"/>
      <c r="Q122" s="14"/>
      <c r="R122" s="31" t="s">
        <v>0</v>
      </c>
      <c r="S122" s="15" t="e">
        <f t="shared" si="6"/>
        <v>#VALUE!</v>
      </c>
      <c r="T122" s="16" t="e">
        <f t="shared" si="7"/>
        <v>#VALUE!</v>
      </c>
      <c r="U122" s="10"/>
      <c r="V122" s="13" t="s">
        <v>20</v>
      </c>
    </row>
    <row r="123" spans="1:22" ht="27" customHeight="1" x14ac:dyDescent="0.35">
      <c r="A123" s="8"/>
      <c r="B123" s="8"/>
      <c r="C123" s="8"/>
      <c r="D123" s="8"/>
      <c r="E123" s="8"/>
      <c r="F123" s="8" t="s">
        <v>0</v>
      </c>
      <c r="G123" s="8" t="s">
        <v>0</v>
      </c>
      <c r="H123" s="17" t="s">
        <v>0</v>
      </c>
      <c r="I123" s="8"/>
      <c r="J123" s="6" t="str">
        <f>IFERROR(VLOOKUP(I123,Hoja1!$F$2:$H$28,2,0)," ")</f>
        <v xml:space="preserve"> </v>
      </c>
      <c r="K123" s="7" t="str">
        <f>IFERROR(VLOOKUP(I123,Hoja1!$F$2:$H$28,3,0)," ")</f>
        <v xml:space="preserve"> </v>
      </c>
      <c r="L123" s="24"/>
      <c r="M123" s="24" t="s">
        <v>0</v>
      </c>
      <c r="N123" s="25"/>
      <c r="O123" s="18"/>
      <c r="P123" s="14"/>
      <c r="Q123" s="14"/>
      <c r="R123" s="31" t="s">
        <v>0</v>
      </c>
      <c r="S123" s="15" t="e">
        <f t="shared" si="6"/>
        <v>#VALUE!</v>
      </c>
      <c r="T123" s="16" t="e">
        <f t="shared" si="7"/>
        <v>#VALUE!</v>
      </c>
      <c r="U123" s="10"/>
      <c r="V123" s="13" t="s">
        <v>20</v>
      </c>
    </row>
    <row r="124" spans="1:22" ht="27" customHeight="1" x14ac:dyDescent="0.35">
      <c r="A124" s="8"/>
      <c r="B124" s="8"/>
      <c r="C124" s="8"/>
      <c r="D124" s="8"/>
      <c r="E124" s="8"/>
      <c r="F124" s="8" t="s">
        <v>0</v>
      </c>
      <c r="G124" s="8" t="s">
        <v>0</v>
      </c>
      <c r="H124" s="17" t="s">
        <v>0</v>
      </c>
      <c r="I124" s="8"/>
      <c r="J124" s="6" t="str">
        <f>IFERROR(VLOOKUP(I124,Hoja1!$F$2:$H$28,2,0)," ")</f>
        <v xml:space="preserve"> </v>
      </c>
      <c r="K124" s="7" t="str">
        <f>IFERROR(VLOOKUP(I124,Hoja1!$F$2:$H$28,3,0)," ")</f>
        <v xml:space="preserve"> </v>
      </c>
      <c r="L124" s="24"/>
      <c r="M124" s="24" t="s">
        <v>0</v>
      </c>
      <c r="N124" s="25"/>
      <c r="O124" s="18"/>
      <c r="P124" s="14"/>
      <c r="Q124" s="14"/>
      <c r="R124" s="31" t="s">
        <v>0</v>
      </c>
      <c r="S124" s="15" t="e">
        <f t="shared" si="6"/>
        <v>#VALUE!</v>
      </c>
      <c r="T124" s="16" t="e">
        <f t="shared" si="7"/>
        <v>#VALUE!</v>
      </c>
      <c r="U124" s="10"/>
      <c r="V124" s="13" t="s">
        <v>20</v>
      </c>
    </row>
    <row r="125" spans="1:22" ht="27" customHeight="1" x14ac:dyDescent="0.35">
      <c r="A125" s="8"/>
      <c r="B125" s="8"/>
      <c r="C125" s="8"/>
      <c r="D125" s="8"/>
      <c r="E125" s="8"/>
      <c r="F125" s="8" t="s">
        <v>0</v>
      </c>
      <c r="G125" s="8" t="s">
        <v>0</v>
      </c>
      <c r="H125" s="17" t="s">
        <v>0</v>
      </c>
      <c r="I125" s="8"/>
      <c r="J125" s="6" t="str">
        <f>IFERROR(VLOOKUP(I125,Hoja1!$F$2:$H$28,2,0)," ")</f>
        <v xml:space="preserve"> </v>
      </c>
      <c r="K125" s="7" t="str">
        <f>IFERROR(VLOOKUP(I125,Hoja1!$F$2:$H$28,3,0)," ")</f>
        <v xml:space="preserve"> </v>
      </c>
      <c r="L125" s="24"/>
      <c r="M125" s="24" t="s">
        <v>0</v>
      </c>
      <c r="N125" s="25"/>
      <c r="O125" s="18"/>
      <c r="P125" s="14"/>
      <c r="Q125" s="14"/>
      <c r="R125" s="31" t="s">
        <v>0</v>
      </c>
      <c r="S125" s="15" t="e">
        <f t="shared" si="6"/>
        <v>#VALUE!</v>
      </c>
      <c r="T125" s="16" t="e">
        <f t="shared" si="7"/>
        <v>#VALUE!</v>
      </c>
      <c r="U125" s="10"/>
      <c r="V125" s="13" t="s">
        <v>20</v>
      </c>
    </row>
    <row r="126" spans="1:22" ht="27" customHeight="1" x14ac:dyDescent="0.35">
      <c r="A126" s="8"/>
      <c r="B126" s="8"/>
      <c r="C126" s="8"/>
      <c r="D126" s="8"/>
      <c r="E126" s="8"/>
      <c r="F126" s="8" t="s">
        <v>0</v>
      </c>
      <c r="G126" s="8" t="s">
        <v>0</v>
      </c>
      <c r="H126" s="17" t="s">
        <v>0</v>
      </c>
      <c r="I126" s="8"/>
      <c r="J126" s="6" t="str">
        <f>IFERROR(VLOOKUP(I126,Hoja1!$F$2:$H$28,2,0)," ")</f>
        <v xml:space="preserve"> </v>
      </c>
      <c r="K126" s="7" t="str">
        <f>IFERROR(VLOOKUP(I126,Hoja1!$F$2:$H$28,3,0)," ")</f>
        <v xml:space="preserve"> </v>
      </c>
      <c r="L126" s="24"/>
      <c r="M126" s="24" t="s">
        <v>0</v>
      </c>
      <c r="N126" s="25"/>
      <c r="O126" s="18"/>
      <c r="P126" s="14"/>
      <c r="Q126" s="14"/>
      <c r="R126" s="31" t="s">
        <v>0</v>
      </c>
      <c r="S126" s="15" t="e">
        <f t="shared" si="6"/>
        <v>#VALUE!</v>
      </c>
      <c r="T126" s="16" t="e">
        <f t="shared" si="7"/>
        <v>#VALUE!</v>
      </c>
      <c r="U126" s="10"/>
      <c r="V126" s="13" t="s">
        <v>20</v>
      </c>
    </row>
    <row r="127" spans="1:22" ht="27" customHeight="1" x14ac:dyDescent="0.35">
      <c r="A127" s="8"/>
      <c r="B127" s="8"/>
      <c r="C127" s="8"/>
      <c r="D127" s="8"/>
      <c r="E127" s="8"/>
      <c r="F127" s="8" t="s">
        <v>0</v>
      </c>
      <c r="G127" s="8" t="s">
        <v>0</v>
      </c>
      <c r="H127" s="17" t="s">
        <v>0</v>
      </c>
      <c r="I127" s="8"/>
      <c r="J127" s="6" t="str">
        <f>IFERROR(VLOOKUP(I127,Hoja1!$F$2:$H$28,2,0)," ")</f>
        <v xml:space="preserve"> </v>
      </c>
      <c r="K127" s="7" t="str">
        <f>IFERROR(VLOOKUP(I127,Hoja1!$F$2:$H$28,3,0)," ")</f>
        <v xml:space="preserve"> </v>
      </c>
      <c r="L127" s="24"/>
      <c r="M127" s="24" t="s">
        <v>0</v>
      </c>
      <c r="N127" s="25"/>
      <c r="O127" s="18"/>
      <c r="P127" s="14"/>
      <c r="Q127" s="14"/>
      <c r="R127" s="31" t="s">
        <v>0</v>
      </c>
      <c r="S127" s="15" t="e">
        <f t="shared" si="6"/>
        <v>#VALUE!</v>
      </c>
      <c r="T127" s="16" t="e">
        <f t="shared" si="7"/>
        <v>#VALUE!</v>
      </c>
      <c r="U127" s="10"/>
      <c r="V127" s="13" t="s">
        <v>20</v>
      </c>
    </row>
    <row r="128" spans="1:22" ht="27" customHeight="1" x14ac:dyDescent="0.35">
      <c r="A128" s="8"/>
      <c r="B128" s="8"/>
      <c r="C128" s="8"/>
      <c r="D128" s="8"/>
      <c r="E128" s="8"/>
      <c r="F128" s="8" t="s">
        <v>0</v>
      </c>
      <c r="G128" s="8" t="s">
        <v>0</v>
      </c>
      <c r="H128" s="17" t="s">
        <v>0</v>
      </c>
      <c r="I128" s="8"/>
      <c r="J128" s="6" t="str">
        <f>IFERROR(VLOOKUP(I128,Hoja1!$F$2:$H$28,2,0)," ")</f>
        <v xml:space="preserve"> </v>
      </c>
      <c r="K128" s="7" t="str">
        <f>IFERROR(VLOOKUP(I128,Hoja1!$F$2:$H$28,3,0)," ")</f>
        <v xml:space="preserve"> </v>
      </c>
      <c r="L128" s="24"/>
      <c r="M128" s="24" t="s">
        <v>0</v>
      </c>
      <c r="N128" s="25"/>
      <c r="O128" s="18"/>
      <c r="P128" s="14"/>
      <c r="Q128" s="14"/>
      <c r="R128" s="31" t="s">
        <v>0</v>
      </c>
      <c r="S128" s="15" t="e">
        <f t="shared" si="6"/>
        <v>#VALUE!</v>
      </c>
      <c r="T128" s="16" t="e">
        <f t="shared" si="7"/>
        <v>#VALUE!</v>
      </c>
      <c r="U128" s="10"/>
      <c r="V128" s="13" t="s">
        <v>20</v>
      </c>
    </row>
    <row r="129" spans="1:22" ht="27" customHeight="1" x14ac:dyDescent="0.35">
      <c r="A129" s="8"/>
      <c r="B129" s="8"/>
      <c r="C129" s="8"/>
      <c r="D129" s="8"/>
      <c r="E129" s="8"/>
      <c r="F129" s="8" t="s">
        <v>0</v>
      </c>
      <c r="G129" s="8" t="s">
        <v>0</v>
      </c>
      <c r="H129" s="17" t="s">
        <v>0</v>
      </c>
      <c r="I129" s="8"/>
      <c r="J129" s="6" t="str">
        <f>IFERROR(VLOOKUP(I129,Hoja1!$F$2:$H$28,2,0)," ")</f>
        <v xml:space="preserve"> </v>
      </c>
      <c r="K129" s="7" t="str">
        <f>IFERROR(VLOOKUP(I129,Hoja1!$F$2:$H$28,3,0)," ")</f>
        <v xml:space="preserve"> </v>
      </c>
      <c r="L129" s="24"/>
      <c r="M129" s="24" t="s">
        <v>0</v>
      </c>
      <c r="N129" s="25"/>
      <c r="O129" s="18"/>
      <c r="P129" s="14"/>
      <c r="Q129" s="14"/>
      <c r="R129" s="31" t="s">
        <v>0</v>
      </c>
      <c r="S129" s="15" t="e">
        <f t="shared" si="6"/>
        <v>#VALUE!</v>
      </c>
      <c r="T129" s="16" t="e">
        <f t="shared" si="7"/>
        <v>#VALUE!</v>
      </c>
      <c r="U129" s="10"/>
      <c r="V129" s="13" t="s">
        <v>20</v>
      </c>
    </row>
    <row r="130" spans="1:22" ht="27" customHeight="1" x14ac:dyDescent="0.35">
      <c r="A130" s="8"/>
      <c r="B130" s="8"/>
      <c r="C130" s="8"/>
      <c r="D130" s="8"/>
      <c r="E130" s="8"/>
      <c r="F130" s="8" t="s">
        <v>0</v>
      </c>
      <c r="G130" s="8" t="s">
        <v>0</v>
      </c>
      <c r="H130" s="17" t="s">
        <v>0</v>
      </c>
      <c r="I130" s="8"/>
      <c r="J130" s="6" t="str">
        <f>IFERROR(VLOOKUP(I130,Hoja1!$F$2:$H$28,2,0)," ")</f>
        <v xml:space="preserve"> </v>
      </c>
      <c r="K130" s="7" t="str">
        <f>IFERROR(VLOOKUP(I130,Hoja1!$F$2:$H$28,3,0)," ")</f>
        <v xml:space="preserve"> </v>
      </c>
      <c r="L130" s="24"/>
      <c r="M130" s="24" t="s">
        <v>0</v>
      </c>
      <c r="N130" s="25"/>
      <c r="O130" s="18"/>
      <c r="P130" s="14"/>
      <c r="Q130" s="14"/>
      <c r="R130" s="31" t="s">
        <v>0</v>
      </c>
      <c r="S130" s="15" t="e">
        <f t="shared" si="6"/>
        <v>#VALUE!</v>
      </c>
      <c r="T130" s="16" t="e">
        <f t="shared" si="7"/>
        <v>#VALUE!</v>
      </c>
      <c r="U130" s="10"/>
      <c r="V130" s="13" t="s">
        <v>20</v>
      </c>
    </row>
    <row r="131" spans="1:22" ht="27" customHeight="1" x14ac:dyDescent="0.35">
      <c r="A131" s="8"/>
      <c r="B131" s="8"/>
      <c r="C131" s="8"/>
      <c r="D131" s="8"/>
      <c r="E131" s="8"/>
      <c r="F131" s="8" t="s">
        <v>0</v>
      </c>
      <c r="G131" s="8" t="s">
        <v>0</v>
      </c>
      <c r="H131" s="17" t="s">
        <v>0</v>
      </c>
      <c r="I131" s="8"/>
      <c r="J131" s="6" t="str">
        <f>IFERROR(VLOOKUP(I131,Hoja1!$F$2:$H$28,2,0)," ")</f>
        <v xml:space="preserve"> </v>
      </c>
      <c r="K131" s="7" t="str">
        <f>IFERROR(VLOOKUP(I131,Hoja1!$F$2:$H$28,3,0)," ")</f>
        <v xml:space="preserve"> </v>
      </c>
      <c r="L131" s="24"/>
      <c r="M131" s="24" t="s">
        <v>0</v>
      </c>
      <c r="N131" s="25"/>
      <c r="O131" s="18"/>
      <c r="P131" s="14"/>
      <c r="Q131" s="14"/>
      <c r="R131" s="31" t="s">
        <v>0</v>
      </c>
      <c r="S131" s="15" t="e">
        <f t="shared" si="6"/>
        <v>#VALUE!</v>
      </c>
      <c r="T131" s="16" t="e">
        <f t="shared" si="7"/>
        <v>#VALUE!</v>
      </c>
      <c r="U131" s="10"/>
      <c r="V131" s="13" t="s">
        <v>20</v>
      </c>
    </row>
    <row r="132" spans="1:22" ht="27" customHeight="1" x14ac:dyDescent="0.35">
      <c r="A132" s="8"/>
      <c r="B132" s="8"/>
      <c r="C132" s="8"/>
      <c r="D132" s="8"/>
      <c r="E132" s="8"/>
      <c r="F132" s="8" t="s">
        <v>0</v>
      </c>
      <c r="G132" s="8" t="s">
        <v>0</v>
      </c>
      <c r="H132" s="17" t="s">
        <v>0</v>
      </c>
      <c r="I132" s="8"/>
      <c r="J132" s="6" t="str">
        <f>IFERROR(VLOOKUP(I132,Hoja1!$F$2:$H$28,2,0)," ")</f>
        <v xml:space="preserve"> </v>
      </c>
      <c r="K132" s="7" t="str">
        <f>IFERROR(VLOOKUP(I132,Hoja1!$F$2:$H$28,3,0)," ")</f>
        <v xml:space="preserve"> </v>
      </c>
      <c r="L132" s="24"/>
      <c r="M132" s="24" t="s">
        <v>0</v>
      </c>
      <c r="N132" s="25"/>
      <c r="O132" s="18"/>
      <c r="P132" s="14"/>
      <c r="Q132" s="14"/>
      <c r="R132" s="31" t="s">
        <v>0</v>
      </c>
      <c r="S132" s="15" t="e">
        <f t="shared" si="6"/>
        <v>#VALUE!</v>
      </c>
      <c r="T132" s="16" t="e">
        <f t="shared" si="7"/>
        <v>#VALUE!</v>
      </c>
      <c r="U132" s="10"/>
      <c r="V132" s="13" t="s">
        <v>20</v>
      </c>
    </row>
    <row r="133" spans="1:22" ht="27" customHeight="1" x14ac:dyDescent="0.35">
      <c r="A133" s="8"/>
      <c r="B133" s="8"/>
      <c r="C133" s="8"/>
      <c r="D133" s="8"/>
      <c r="E133" s="8"/>
      <c r="F133" s="8" t="s">
        <v>0</v>
      </c>
      <c r="G133" s="8" t="s">
        <v>0</v>
      </c>
      <c r="H133" s="17" t="s">
        <v>0</v>
      </c>
      <c r="I133" s="8"/>
      <c r="J133" s="6" t="str">
        <f>IFERROR(VLOOKUP(I133,Hoja1!$F$2:$H$28,2,0)," ")</f>
        <v xml:space="preserve"> </v>
      </c>
      <c r="K133" s="7" t="str">
        <f>IFERROR(VLOOKUP(I133,Hoja1!$F$2:$H$28,3,0)," ")</f>
        <v xml:space="preserve"> </v>
      </c>
      <c r="L133" s="24"/>
      <c r="M133" s="24" t="s">
        <v>0</v>
      </c>
      <c r="N133" s="25"/>
      <c r="O133" s="18"/>
      <c r="P133" s="14"/>
      <c r="Q133" s="14"/>
      <c r="R133" s="31" t="s">
        <v>0</v>
      </c>
      <c r="S133" s="15" t="e">
        <f t="shared" si="6"/>
        <v>#VALUE!</v>
      </c>
      <c r="T133" s="16" t="e">
        <f t="shared" si="7"/>
        <v>#VALUE!</v>
      </c>
      <c r="U133" s="10"/>
      <c r="V133" s="13" t="s">
        <v>20</v>
      </c>
    </row>
    <row r="134" spans="1:22" ht="27" customHeight="1" x14ac:dyDescent="0.35">
      <c r="A134" s="8"/>
      <c r="B134" s="8"/>
      <c r="C134" s="8"/>
      <c r="D134" s="8"/>
      <c r="E134" s="8"/>
      <c r="F134" s="8" t="s">
        <v>0</v>
      </c>
      <c r="G134" s="8" t="s">
        <v>0</v>
      </c>
      <c r="H134" s="17" t="s">
        <v>0</v>
      </c>
      <c r="I134" s="8"/>
      <c r="J134" s="6" t="str">
        <f>IFERROR(VLOOKUP(I134,Hoja1!$F$2:$H$28,2,0)," ")</f>
        <v xml:space="preserve"> </v>
      </c>
      <c r="K134" s="7" t="str">
        <f>IFERROR(VLOOKUP(I134,Hoja1!$F$2:$H$28,3,0)," ")</f>
        <v xml:space="preserve"> </v>
      </c>
      <c r="L134" s="24"/>
      <c r="M134" s="24" t="s">
        <v>0</v>
      </c>
      <c r="N134" s="25"/>
      <c r="O134" s="18"/>
      <c r="P134" s="14"/>
      <c r="Q134" s="14"/>
      <c r="R134" s="31" t="s">
        <v>0</v>
      </c>
      <c r="S134" s="15" t="e">
        <f t="shared" si="6"/>
        <v>#VALUE!</v>
      </c>
      <c r="T134" s="16" t="e">
        <f t="shared" si="7"/>
        <v>#VALUE!</v>
      </c>
      <c r="U134" s="10"/>
      <c r="V134" s="13" t="s">
        <v>20</v>
      </c>
    </row>
    <row r="135" spans="1:22" ht="27" customHeight="1" x14ac:dyDescent="0.35">
      <c r="A135" s="8"/>
      <c r="B135" s="8"/>
      <c r="C135" s="8"/>
      <c r="D135" s="8"/>
      <c r="E135" s="8"/>
      <c r="F135" s="8" t="s">
        <v>0</v>
      </c>
      <c r="G135" s="8" t="s">
        <v>0</v>
      </c>
      <c r="H135" s="17" t="s">
        <v>0</v>
      </c>
      <c r="I135" s="8"/>
      <c r="J135" s="6" t="str">
        <f>IFERROR(VLOOKUP(I135,Hoja1!$F$2:$H$28,2,0)," ")</f>
        <v xml:space="preserve"> </v>
      </c>
      <c r="K135" s="7" t="str">
        <f>IFERROR(VLOOKUP(I135,Hoja1!$F$2:$H$28,3,0)," ")</f>
        <v xml:space="preserve"> </v>
      </c>
      <c r="L135" s="24"/>
      <c r="M135" s="24" t="s">
        <v>0</v>
      </c>
      <c r="N135" s="25"/>
      <c r="O135" s="18"/>
      <c r="P135" s="14"/>
      <c r="Q135" s="14"/>
      <c r="R135" s="31" t="s">
        <v>0</v>
      </c>
      <c r="S135" s="15" t="e">
        <f t="shared" si="6"/>
        <v>#VALUE!</v>
      </c>
      <c r="T135" s="16" t="e">
        <f t="shared" si="7"/>
        <v>#VALUE!</v>
      </c>
      <c r="U135" s="10"/>
      <c r="V135" s="13" t="s">
        <v>20</v>
      </c>
    </row>
    <row r="136" spans="1:22" ht="27" customHeight="1" x14ac:dyDescent="0.35">
      <c r="A136" s="8"/>
      <c r="B136" s="8"/>
      <c r="C136" s="8"/>
      <c r="D136" s="8"/>
      <c r="E136" s="8"/>
      <c r="F136" s="8" t="s">
        <v>0</v>
      </c>
      <c r="G136" s="8" t="s">
        <v>0</v>
      </c>
      <c r="H136" s="17" t="s">
        <v>0</v>
      </c>
      <c r="I136" s="8"/>
      <c r="J136" s="6" t="str">
        <f>IFERROR(VLOOKUP(I136,Hoja1!$F$2:$H$28,2,0)," ")</f>
        <v xml:space="preserve"> </v>
      </c>
      <c r="K136" s="7" t="str">
        <f>IFERROR(VLOOKUP(I136,Hoja1!$F$2:$H$28,3,0)," ")</f>
        <v xml:space="preserve"> </v>
      </c>
      <c r="L136" s="24"/>
      <c r="M136" s="24" t="s">
        <v>0</v>
      </c>
      <c r="N136" s="25"/>
      <c r="O136" s="18"/>
      <c r="P136" s="14"/>
      <c r="Q136" s="14"/>
      <c r="R136" s="31" t="s">
        <v>0</v>
      </c>
      <c r="S136" s="15" t="e">
        <f t="shared" si="6"/>
        <v>#VALUE!</v>
      </c>
      <c r="T136" s="16" t="e">
        <f t="shared" si="7"/>
        <v>#VALUE!</v>
      </c>
      <c r="U136" s="10"/>
      <c r="V136" s="13" t="s">
        <v>20</v>
      </c>
    </row>
    <row r="137" spans="1:22" ht="27" customHeight="1" x14ac:dyDescent="0.35">
      <c r="A137" s="8"/>
      <c r="B137" s="8"/>
      <c r="C137" s="8"/>
      <c r="D137" s="8"/>
      <c r="E137" s="8"/>
      <c r="F137" s="8" t="s">
        <v>0</v>
      </c>
      <c r="G137" s="8" t="s">
        <v>0</v>
      </c>
      <c r="H137" s="17" t="s">
        <v>0</v>
      </c>
      <c r="I137" s="8"/>
      <c r="J137" s="6" t="str">
        <f>IFERROR(VLOOKUP(I137,Hoja1!$F$2:$H$28,2,0)," ")</f>
        <v xml:space="preserve"> </v>
      </c>
      <c r="K137" s="7" t="str">
        <f>IFERROR(VLOOKUP(I137,Hoja1!$F$2:$H$28,3,0)," ")</f>
        <v xml:space="preserve"> </v>
      </c>
      <c r="L137" s="24"/>
      <c r="M137" s="24" t="s">
        <v>0</v>
      </c>
      <c r="N137" s="25"/>
      <c r="O137" s="18"/>
      <c r="P137" s="14"/>
      <c r="Q137" s="14"/>
      <c r="R137" s="31" t="s">
        <v>0</v>
      </c>
      <c r="S137" s="15" t="e">
        <f t="shared" si="6"/>
        <v>#VALUE!</v>
      </c>
      <c r="T137" s="16" t="e">
        <f t="shared" si="7"/>
        <v>#VALUE!</v>
      </c>
      <c r="U137" s="10"/>
      <c r="V137" s="13" t="s">
        <v>20</v>
      </c>
    </row>
    <row r="138" spans="1:22" ht="27" customHeight="1" x14ac:dyDescent="0.35">
      <c r="A138" s="8"/>
      <c r="B138" s="8"/>
      <c r="C138" s="8"/>
      <c r="D138" s="8"/>
      <c r="E138" s="8"/>
      <c r="F138" s="8" t="s">
        <v>0</v>
      </c>
      <c r="G138" s="8" t="s">
        <v>0</v>
      </c>
      <c r="H138" s="17" t="s">
        <v>0</v>
      </c>
      <c r="I138" s="8"/>
      <c r="J138" s="6" t="str">
        <f>IFERROR(VLOOKUP(I138,Hoja1!$F$2:$H$28,2,0)," ")</f>
        <v xml:space="preserve"> </v>
      </c>
      <c r="K138" s="7" t="str">
        <f>IFERROR(VLOOKUP(I138,Hoja1!$F$2:$H$28,3,0)," ")</f>
        <v xml:space="preserve"> </v>
      </c>
      <c r="L138" s="24"/>
      <c r="M138" s="24" t="s">
        <v>0</v>
      </c>
      <c r="N138" s="25"/>
      <c r="O138" s="18"/>
      <c r="P138" s="14"/>
      <c r="Q138" s="14"/>
      <c r="R138" s="31" t="s">
        <v>0</v>
      </c>
      <c r="S138" s="15" t="e">
        <f t="shared" si="6"/>
        <v>#VALUE!</v>
      </c>
      <c r="T138" s="16" t="e">
        <f t="shared" si="7"/>
        <v>#VALUE!</v>
      </c>
      <c r="U138" s="10"/>
      <c r="V138" s="13" t="s">
        <v>20</v>
      </c>
    </row>
    <row r="139" spans="1:22" ht="27" customHeight="1" x14ac:dyDescent="0.35">
      <c r="A139" s="8"/>
      <c r="B139" s="8"/>
      <c r="C139" s="8"/>
      <c r="D139" s="8"/>
      <c r="E139" s="8"/>
      <c r="F139" s="8" t="s">
        <v>0</v>
      </c>
      <c r="G139" s="8" t="s">
        <v>0</v>
      </c>
      <c r="H139" s="17" t="s">
        <v>0</v>
      </c>
      <c r="I139" s="8"/>
      <c r="J139" s="6" t="str">
        <f>IFERROR(VLOOKUP(I139,Hoja1!$F$2:$H$28,2,0)," ")</f>
        <v xml:space="preserve"> </v>
      </c>
      <c r="K139" s="7" t="str">
        <f>IFERROR(VLOOKUP(I139,Hoja1!$F$2:$H$28,3,0)," ")</f>
        <v xml:space="preserve"> </v>
      </c>
      <c r="L139" s="24"/>
      <c r="M139" s="24" t="s">
        <v>0</v>
      </c>
      <c r="N139" s="25"/>
      <c r="O139" s="18"/>
      <c r="P139" s="14"/>
      <c r="Q139" s="14"/>
      <c r="R139" s="31" t="s">
        <v>0</v>
      </c>
      <c r="S139" s="15" t="e">
        <f t="shared" si="6"/>
        <v>#VALUE!</v>
      </c>
      <c r="T139" s="16" t="e">
        <f t="shared" si="7"/>
        <v>#VALUE!</v>
      </c>
      <c r="U139" s="10"/>
      <c r="V139" s="13" t="s">
        <v>20</v>
      </c>
    </row>
    <row r="140" spans="1:22" ht="27" customHeight="1" x14ac:dyDescent="0.35">
      <c r="A140" s="8"/>
      <c r="B140" s="8"/>
      <c r="C140" s="8"/>
      <c r="D140" s="8"/>
      <c r="E140" s="8"/>
      <c r="F140" s="8" t="s">
        <v>0</v>
      </c>
      <c r="G140" s="8" t="s">
        <v>0</v>
      </c>
      <c r="H140" s="17" t="s">
        <v>0</v>
      </c>
      <c r="I140" s="8"/>
      <c r="J140" s="6" t="str">
        <f>IFERROR(VLOOKUP(I140,Hoja1!$F$2:$H$28,2,0)," ")</f>
        <v xml:space="preserve"> </v>
      </c>
      <c r="K140" s="7" t="str">
        <f>IFERROR(VLOOKUP(I140,Hoja1!$F$2:$H$28,3,0)," ")</f>
        <v xml:space="preserve"> </v>
      </c>
      <c r="L140" s="24"/>
      <c r="M140" s="24" t="s">
        <v>0</v>
      </c>
      <c r="N140" s="25"/>
      <c r="O140" s="18"/>
      <c r="P140" s="14"/>
      <c r="Q140" s="14"/>
      <c r="R140" s="31" t="s">
        <v>0</v>
      </c>
      <c r="S140" s="15" t="e">
        <f t="shared" si="6"/>
        <v>#VALUE!</v>
      </c>
      <c r="T140" s="16" t="e">
        <f t="shared" si="7"/>
        <v>#VALUE!</v>
      </c>
      <c r="U140" s="10"/>
      <c r="V140" s="13" t="s">
        <v>20</v>
      </c>
    </row>
    <row r="141" spans="1:22" ht="27" customHeight="1" x14ac:dyDescent="0.35">
      <c r="A141" s="8"/>
      <c r="B141" s="8"/>
      <c r="C141" s="8"/>
      <c r="D141" s="8"/>
      <c r="E141" s="8"/>
      <c r="F141" s="8" t="s">
        <v>0</v>
      </c>
      <c r="G141" s="8" t="s">
        <v>0</v>
      </c>
      <c r="H141" s="17" t="s">
        <v>0</v>
      </c>
      <c r="I141" s="8"/>
      <c r="J141" s="6" t="str">
        <f>IFERROR(VLOOKUP(I141,Hoja1!$F$2:$H$28,2,0)," ")</f>
        <v xml:space="preserve"> </v>
      </c>
      <c r="K141" s="7" t="str">
        <f>IFERROR(VLOOKUP(I141,Hoja1!$F$2:$H$28,3,0)," ")</f>
        <v xml:space="preserve"> </v>
      </c>
      <c r="L141" s="24"/>
      <c r="M141" s="24" t="s">
        <v>0</v>
      </c>
      <c r="N141" s="25"/>
      <c r="O141" s="18"/>
      <c r="P141" s="14"/>
      <c r="Q141" s="14"/>
      <c r="R141" s="31" t="s">
        <v>0</v>
      </c>
      <c r="S141" s="15" t="e">
        <f t="shared" si="6"/>
        <v>#VALUE!</v>
      </c>
      <c r="T141" s="16" t="e">
        <f t="shared" si="7"/>
        <v>#VALUE!</v>
      </c>
      <c r="U141" s="10"/>
      <c r="V141" s="13" t="s">
        <v>20</v>
      </c>
    </row>
    <row r="142" spans="1:22" ht="27" customHeight="1" x14ac:dyDescent="0.35">
      <c r="A142" s="8"/>
      <c r="B142" s="8"/>
      <c r="C142" s="8"/>
      <c r="D142" s="8"/>
      <c r="E142" s="8"/>
      <c r="F142" s="8" t="s">
        <v>0</v>
      </c>
      <c r="G142" s="8" t="s">
        <v>0</v>
      </c>
      <c r="H142" s="17" t="s">
        <v>0</v>
      </c>
      <c r="I142" s="8"/>
      <c r="J142" s="6" t="str">
        <f>IFERROR(VLOOKUP(I142,Hoja1!$F$2:$H$28,2,0)," ")</f>
        <v xml:space="preserve"> </v>
      </c>
      <c r="K142" s="7" t="str">
        <f>IFERROR(VLOOKUP(I142,Hoja1!$F$2:$H$28,3,0)," ")</f>
        <v xml:space="preserve"> </v>
      </c>
      <c r="L142" s="24"/>
      <c r="M142" s="24" t="s">
        <v>0</v>
      </c>
      <c r="N142" s="25"/>
      <c r="O142" s="18"/>
      <c r="P142" s="14"/>
      <c r="Q142" s="14"/>
      <c r="R142" s="31" t="s">
        <v>0</v>
      </c>
      <c r="S142" s="15" t="e">
        <f t="shared" ref="S142:S148" si="8">R142*K142</f>
        <v>#VALUE!</v>
      </c>
      <c r="T142" s="16" t="e">
        <f t="shared" ref="T142:T148" si="9">K142-S142</f>
        <v>#VALUE!</v>
      </c>
      <c r="U142" s="10"/>
      <c r="V142" s="13" t="s">
        <v>20</v>
      </c>
    </row>
    <row r="143" spans="1:22" ht="27" customHeight="1" x14ac:dyDescent="0.35">
      <c r="A143" s="8"/>
      <c r="B143" s="8"/>
      <c r="C143" s="8"/>
      <c r="D143" s="8"/>
      <c r="E143" s="8"/>
      <c r="F143" s="8" t="s">
        <v>0</v>
      </c>
      <c r="G143" s="8" t="s">
        <v>0</v>
      </c>
      <c r="H143" s="17" t="s">
        <v>0</v>
      </c>
      <c r="I143" s="8"/>
      <c r="J143" s="6" t="str">
        <f>IFERROR(VLOOKUP(I143,Hoja1!$F$2:$H$28,2,0)," ")</f>
        <v xml:space="preserve"> </v>
      </c>
      <c r="K143" s="7" t="str">
        <f>IFERROR(VLOOKUP(I143,Hoja1!$F$2:$H$28,3,0)," ")</f>
        <v xml:space="preserve"> </v>
      </c>
      <c r="L143" s="24"/>
      <c r="M143" s="24" t="s">
        <v>0</v>
      </c>
      <c r="N143" s="25"/>
      <c r="O143" s="18"/>
      <c r="P143" s="14"/>
      <c r="Q143" s="14"/>
      <c r="R143" s="31" t="s">
        <v>0</v>
      </c>
      <c r="S143" s="15" t="e">
        <f t="shared" si="8"/>
        <v>#VALUE!</v>
      </c>
      <c r="T143" s="16" t="e">
        <f t="shared" si="9"/>
        <v>#VALUE!</v>
      </c>
      <c r="U143" s="10"/>
      <c r="V143" s="13" t="s">
        <v>20</v>
      </c>
    </row>
    <row r="144" spans="1:22" ht="27" customHeight="1" x14ac:dyDescent="0.35">
      <c r="A144" s="8"/>
      <c r="B144" s="8"/>
      <c r="C144" s="8"/>
      <c r="D144" s="8"/>
      <c r="E144" s="8"/>
      <c r="F144" s="8" t="s">
        <v>0</v>
      </c>
      <c r="G144" s="8" t="s">
        <v>0</v>
      </c>
      <c r="H144" s="17" t="s">
        <v>0</v>
      </c>
      <c r="I144" s="8"/>
      <c r="J144" s="6" t="str">
        <f>IFERROR(VLOOKUP(I144,Hoja1!$F$2:$H$28,2,0)," ")</f>
        <v xml:space="preserve"> </v>
      </c>
      <c r="K144" s="7" t="str">
        <f>IFERROR(VLOOKUP(I144,Hoja1!$F$2:$H$28,3,0)," ")</f>
        <v xml:space="preserve"> </v>
      </c>
      <c r="L144" s="24"/>
      <c r="M144" s="24" t="s">
        <v>0</v>
      </c>
      <c r="N144" s="25"/>
      <c r="O144" s="18"/>
      <c r="P144" s="14"/>
      <c r="Q144" s="14"/>
      <c r="R144" s="31" t="s">
        <v>0</v>
      </c>
      <c r="S144" s="15" t="e">
        <f t="shared" si="8"/>
        <v>#VALUE!</v>
      </c>
      <c r="T144" s="16" t="e">
        <f t="shared" si="9"/>
        <v>#VALUE!</v>
      </c>
      <c r="U144" s="10"/>
      <c r="V144" s="13" t="s">
        <v>20</v>
      </c>
    </row>
    <row r="145" spans="1:22" ht="27" customHeight="1" x14ac:dyDescent="0.35">
      <c r="A145" s="8"/>
      <c r="B145" s="8"/>
      <c r="C145" s="8"/>
      <c r="D145" s="8"/>
      <c r="E145" s="8"/>
      <c r="F145" s="8" t="s">
        <v>0</v>
      </c>
      <c r="G145" s="8" t="s">
        <v>0</v>
      </c>
      <c r="H145" s="17" t="s">
        <v>0</v>
      </c>
      <c r="I145" s="8"/>
      <c r="J145" s="6" t="str">
        <f>IFERROR(VLOOKUP(I145,Hoja1!$F$2:$H$28,2,0)," ")</f>
        <v xml:space="preserve"> </v>
      </c>
      <c r="K145" s="7" t="str">
        <f>IFERROR(VLOOKUP(I145,Hoja1!$F$2:$H$28,3,0)," ")</f>
        <v xml:space="preserve"> </v>
      </c>
      <c r="L145" s="24"/>
      <c r="M145" s="24" t="s">
        <v>0</v>
      </c>
      <c r="N145" s="25"/>
      <c r="O145" s="18"/>
      <c r="P145" s="14"/>
      <c r="Q145" s="14"/>
      <c r="R145" s="31" t="s">
        <v>0</v>
      </c>
      <c r="S145" s="15" t="e">
        <f t="shared" si="8"/>
        <v>#VALUE!</v>
      </c>
      <c r="T145" s="16" t="e">
        <f t="shared" si="9"/>
        <v>#VALUE!</v>
      </c>
      <c r="U145" s="10"/>
      <c r="V145" s="13" t="s">
        <v>20</v>
      </c>
    </row>
    <row r="146" spans="1:22" ht="27" customHeight="1" x14ac:dyDescent="0.35">
      <c r="A146" s="8"/>
      <c r="B146" s="8"/>
      <c r="C146" s="8"/>
      <c r="D146" s="8"/>
      <c r="E146" s="8"/>
      <c r="F146" s="8" t="s">
        <v>0</v>
      </c>
      <c r="G146" s="8" t="s">
        <v>0</v>
      </c>
      <c r="H146" s="17" t="s">
        <v>0</v>
      </c>
      <c r="I146" s="8"/>
      <c r="J146" s="6" t="str">
        <f>IFERROR(VLOOKUP(I146,Hoja1!$F$2:$H$28,2,0)," ")</f>
        <v xml:space="preserve"> </v>
      </c>
      <c r="K146" s="7" t="str">
        <f>IFERROR(VLOOKUP(I146,Hoja1!$F$2:$H$28,3,0)," ")</f>
        <v xml:space="preserve"> </v>
      </c>
      <c r="L146" s="24"/>
      <c r="M146" s="24" t="s">
        <v>0</v>
      </c>
      <c r="N146" s="25"/>
      <c r="O146" s="18"/>
      <c r="P146" s="14"/>
      <c r="Q146" s="14"/>
      <c r="R146" s="31" t="s">
        <v>0</v>
      </c>
      <c r="S146" s="15" t="e">
        <f t="shared" si="8"/>
        <v>#VALUE!</v>
      </c>
      <c r="T146" s="16" t="e">
        <f t="shared" si="9"/>
        <v>#VALUE!</v>
      </c>
      <c r="U146" s="10"/>
      <c r="V146" s="13" t="s">
        <v>20</v>
      </c>
    </row>
    <row r="147" spans="1:22" ht="27" customHeight="1" x14ac:dyDescent="0.35">
      <c r="A147" s="8"/>
      <c r="B147" s="8"/>
      <c r="C147" s="8"/>
      <c r="D147" s="8"/>
      <c r="E147" s="8"/>
      <c r="F147" s="8" t="s">
        <v>0</v>
      </c>
      <c r="G147" s="8" t="s">
        <v>0</v>
      </c>
      <c r="H147" s="17" t="s">
        <v>0</v>
      </c>
      <c r="I147" s="8"/>
      <c r="J147" s="6" t="str">
        <f>IFERROR(VLOOKUP(I147,Hoja1!$F$2:$H$28,2,0)," ")</f>
        <v xml:space="preserve"> </v>
      </c>
      <c r="K147" s="7" t="str">
        <f>IFERROR(VLOOKUP(I147,Hoja1!$F$2:$H$28,3,0)," ")</f>
        <v xml:space="preserve"> </v>
      </c>
      <c r="L147" s="24"/>
      <c r="M147" s="24" t="s">
        <v>0</v>
      </c>
      <c r="N147" s="25"/>
      <c r="O147" s="18"/>
      <c r="P147" s="14"/>
      <c r="Q147" s="14"/>
      <c r="R147" s="31" t="s">
        <v>0</v>
      </c>
      <c r="S147" s="15" t="e">
        <f t="shared" si="8"/>
        <v>#VALUE!</v>
      </c>
      <c r="T147" s="16" t="e">
        <f t="shared" si="9"/>
        <v>#VALUE!</v>
      </c>
      <c r="U147" s="10"/>
      <c r="V147" s="13" t="s">
        <v>20</v>
      </c>
    </row>
    <row r="148" spans="1:22" ht="27" customHeight="1" x14ac:dyDescent="0.35">
      <c r="A148" s="8"/>
      <c r="B148" s="8"/>
      <c r="C148" s="8"/>
      <c r="D148" s="8"/>
      <c r="E148" s="8"/>
      <c r="F148" s="8" t="s">
        <v>0</v>
      </c>
      <c r="G148" s="8" t="s">
        <v>0</v>
      </c>
      <c r="H148" s="17" t="s">
        <v>0</v>
      </c>
      <c r="I148" s="8"/>
      <c r="J148" s="6" t="str">
        <f>IFERROR(VLOOKUP(I148,Hoja1!$F$2:$H$28,2,0)," ")</f>
        <v xml:space="preserve"> </v>
      </c>
      <c r="K148" s="7" t="str">
        <f>IFERROR(VLOOKUP(I148,Hoja1!$F$2:$H$28,3,0)," ")</f>
        <v xml:space="preserve"> </v>
      </c>
      <c r="L148" s="24"/>
      <c r="M148" s="24" t="s">
        <v>0</v>
      </c>
      <c r="N148" s="25"/>
      <c r="O148" s="18"/>
      <c r="P148" s="14"/>
      <c r="Q148" s="14"/>
      <c r="R148" s="31" t="s">
        <v>0</v>
      </c>
      <c r="S148" s="15" t="e">
        <f t="shared" si="8"/>
        <v>#VALUE!</v>
      </c>
      <c r="T148" s="16" t="e">
        <f t="shared" si="9"/>
        <v>#VALUE!</v>
      </c>
      <c r="U148" s="10"/>
      <c r="V148" s="13" t="s">
        <v>20</v>
      </c>
    </row>
  </sheetData>
  <mergeCells count="10">
    <mergeCell ref="S7:S8"/>
    <mergeCell ref="T7:T8"/>
    <mergeCell ref="U7:U8"/>
    <mergeCell ref="V7:V8"/>
    <mergeCell ref="A7:E7"/>
    <mergeCell ref="F7:M7"/>
    <mergeCell ref="N7:O7"/>
    <mergeCell ref="P7:P8"/>
    <mergeCell ref="Q7:Q8"/>
    <mergeCell ref="R7:R8"/>
  </mergeCells>
  <phoneticPr fontId="18" type="noConversion"/>
  <conditionalFormatting sqref="S13:T13">
    <cfRule type="containsErrors" dxfId="8" priority="52">
      <formula>ISERROR(S13)</formula>
    </cfRule>
  </conditionalFormatting>
  <conditionalFormatting sqref="V13">
    <cfRule type="containsText" dxfId="7" priority="50" operator="containsText" text="No aprobado">
      <formula>NOT(ISERROR(SEARCH("No aprobado",V13)))</formula>
    </cfRule>
    <cfRule type="containsText" dxfId="6" priority="51" operator="containsText" text="Aprobado">
      <formula>NOT(ISERROR(SEARCH("Aprobado",V13)))</formula>
    </cfRule>
  </conditionalFormatting>
  <conditionalFormatting sqref="S9:T12">
    <cfRule type="containsErrors" dxfId="5" priority="6">
      <formula>ISERROR(S9)</formula>
    </cfRule>
  </conditionalFormatting>
  <conditionalFormatting sqref="V9:V12">
    <cfRule type="containsText" dxfId="4" priority="4" operator="containsText" text="No aprobado">
      <formula>NOT(ISERROR(SEARCH("No aprobado",V9)))</formula>
    </cfRule>
    <cfRule type="containsText" dxfId="3" priority="5" operator="containsText" text="Aprobado">
      <formula>NOT(ISERROR(SEARCH("Aprobado",V9)))</formula>
    </cfRule>
  </conditionalFormatting>
  <conditionalFormatting sqref="S14:T148">
    <cfRule type="containsErrors" dxfId="2" priority="3">
      <formula>ISERROR(S14)</formula>
    </cfRule>
  </conditionalFormatting>
  <conditionalFormatting sqref="V14:V148">
    <cfRule type="containsText" dxfId="1" priority="1" operator="containsText" text="No aprobado">
      <formula>NOT(ISERROR(SEARCH("No aprobado",V14)))</formula>
    </cfRule>
    <cfRule type="containsText" dxfId="0" priority="2" operator="containsText" text="Aprobado">
      <formula>NOT(ISERROR(SEARCH("Aprobado",V14)))</formula>
    </cfRule>
  </conditionalFormatting>
  <dataValidations count="1">
    <dataValidation type="list" allowBlank="1" showInputMessage="1" showErrorMessage="1" sqref="I9:I148">
      <formula1>INDIRECT(H9)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Hoja1!$K$2:$K$4</xm:f>
          </x14:formula1>
          <xm:sqref>V9:V148</xm:sqref>
        </x14:dataValidation>
        <x14:dataValidation type="list" allowBlank="1" showInputMessage="1" showErrorMessage="1">
          <x14:formula1>
            <xm:f>Hoja1!$L$2:$L$4</xm:f>
          </x14:formula1>
          <xm:sqref>F9:F148</xm:sqref>
        </x14:dataValidation>
        <x14:dataValidation type="list" allowBlank="1" showInputMessage="1" showErrorMessage="1">
          <x14:formula1>
            <xm:f>Hoja1!$A$1:$A$4</xm:f>
          </x14:formula1>
          <xm:sqref>H9:H148</xm:sqref>
        </x14:dataValidation>
        <x14:dataValidation type="list" allowBlank="1" showInputMessage="1" showErrorMessage="1">
          <x14:formula1>
            <xm:f>Hoja1!$J$1:$J$102</xm:f>
          </x14:formula1>
          <xm:sqref>R9:R148</xm:sqref>
        </x14:dataValidation>
        <x14:dataValidation type="list" allowBlank="1" showInputMessage="1" showErrorMessage="1">
          <x14:formula1>
            <xm:f>Hoja1!$E$1:$E$12</xm:f>
          </x14:formula1>
          <xm:sqref>M9:M148</xm:sqref>
        </x14:dataValidation>
        <x14:dataValidation type="list" allowBlank="1" showInputMessage="1" showErrorMessage="1">
          <x14:formula1>
            <xm:f>Hoja1!$Q$2:$Q$4</xm:f>
          </x14:formula1>
          <xm:sqref>G9:G148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Hoja1</vt:lpstr>
      <vt:lpstr>BECAS TRABAJADORES</vt:lpstr>
      <vt:lpstr>BECAS PARA HIJOS DE TRABAJADOR</vt:lpstr>
      <vt:lpstr>SOLICITUDES EXTERNAS</vt:lpstr>
      <vt:lpstr>ESTÍMULOS</vt:lpstr>
      <vt:lpstr>CANJES</vt:lpstr>
      <vt:lpstr>Especialización</vt:lpstr>
      <vt:lpstr>Pregrado_Presencial</vt:lpstr>
      <vt:lpstr>Pregrado_Virtual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COORDINACION CALIDAD</cp:lastModifiedBy>
  <cp:revision/>
  <dcterms:created xsi:type="dcterms:W3CDTF">2021-01-26T22:23:55Z</dcterms:created>
  <dcterms:modified xsi:type="dcterms:W3CDTF">2024-07-17T19:22:53Z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f8945e4d-0d5e-400f-b768-7c2ab8055c9b</vt:lpwstr>
  </property>
</Properties>
</file>