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sistente.calidad\OneDrive - Fundación Universitaria de Popayán\DOC-SGC-FUP\HERRAMIENTA  ISO CALIDAD 3\6.2 Mercadeo - Admisiones\FO\"/>
    </mc:Choice>
  </mc:AlternateContent>
  <bookViews>
    <workbookView xWindow="0" yWindow="0" windowWidth="20490" windowHeight="8940"/>
  </bookViews>
  <sheets>
    <sheet name="FO-MA-007" sheetId="1" r:id="rId1"/>
    <sheet name="Listas" sheetId="2" r:id="rId2"/>
  </sheets>
  <definedNames>
    <definedName name="_xlnm._FilterDatabase" localSheetId="1" hidden="1">Listas!$F$3:$H$46</definedName>
    <definedName name="_xlnm.Print_Area" localSheetId="0">'FO-MA-007'!$B$2:$M$71</definedName>
    <definedName name="_xlnm.Print_Titles" localSheetId="0">'FO-MA-007'!$1:$8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3" i="1" l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J63" i="1"/>
  <c r="I63" i="1"/>
  <c r="J62" i="1"/>
  <c r="I62" i="1"/>
  <c r="J61" i="1"/>
  <c r="I61" i="1"/>
  <c r="J60" i="1"/>
  <c r="I60" i="1"/>
  <c r="J59" i="1"/>
  <c r="I59" i="1"/>
  <c r="J58" i="1"/>
  <c r="I58" i="1"/>
  <c r="J57" i="1"/>
  <c r="I57" i="1"/>
  <c r="J56" i="1"/>
  <c r="I56" i="1"/>
  <c r="J55" i="1"/>
  <c r="I55" i="1"/>
  <c r="J54" i="1"/>
  <c r="I54" i="1"/>
  <c r="J53" i="1"/>
  <c r="I53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K14" i="1" s="1"/>
  <c r="I14" i="1"/>
  <c r="K15" i="1" l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</calcChain>
</file>

<file path=xl/sharedStrings.xml><?xml version="1.0" encoding="utf-8"?>
<sst xmlns="http://schemas.openxmlformats.org/spreadsheetml/2006/main" count="115" uniqueCount="58">
  <si>
    <t xml:space="preserve">No. </t>
  </si>
  <si>
    <t>Código</t>
  </si>
  <si>
    <t xml:space="preserve">Nombres y Apellidos </t>
  </si>
  <si>
    <t>No. Documento</t>
  </si>
  <si>
    <t>Programa</t>
  </si>
  <si>
    <t>Valor Matrícula</t>
  </si>
  <si>
    <t>Código DSCTO</t>
  </si>
  <si>
    <t>Concepto</t>
  </si>
  <si>
    <t>%</t>
  </si>
  <si>
    <t>Valor</t>
  </si>
  <si>
    <t>Observación</t>
  </si>
  <si>
    <t>Generado Por</t>
  </si>
  <si>
    <t>DESCUENTO</t>
  </si>
  <si>
    <t>Periodo Académico</t>
  </si>
  <si>
    <t>CODIGO</t>
  </si>
  <si>
    <t>TIPO DESCUENTO</t>
  </si>
  <si>
    <t>DSCTO POR HERMANOS</t>
  </si>
  <si>
    <t>DSCTO ESPOSOS</t>
  </si>
  <si>
    <t>DSCTO AUTORIZACION RECTORIA</t>
  </si>
  <si>
    <t>BECA HIJO FUNCIONARIO</t>
  </si>
  <si>
    <t>BECA FUNCIONARIO</t>
  </si>
  <si>
    <t>BECA MONITORIA INFORMATICA</t>
  </si>
  <si>
    <t>BECA MONITOR INDUSTRIAL</t>
  </si>
  <si>
    <t>BECA MONITOR ARQUITECTURA</t>
  </si>
  <si>
    <t>CONVENIO SENA</t>
  </si>
  <si>
    <t>CONVENIO CODELCAUCA</t>
  </si>
  <si>
    <t>DESCUENTO HERMANO FUNCIONARIO</t>
  </si>
  <si>
    <t>CONVENIO CLINICA LA ESTANCIA</t>
  </si>
  <si>
    <t>CONVENIO ASOPOMI</t>
  </si>
  <si>
    <t>CONVENIO COCACOLA</t>
  </si>
  <si>
    <t>CONVENIO TIMBIO</t>
  </si>
  <si>
    <t>BECA DE ESTUDIO</t>
  </si>
  <si>
    <t>CONVENIO COOMEVA</t>
  </si>
  <si>
    <t>CONVENIO CARTA PARROQUIAL</t>
  </si>
  <si>
    <t>CONVENIO ITC - COMFACAUCA</t>
  </si>
  <si>
    <t>DSCTO HIJO</t>
  </si>
  <si>
    <t>BECA MONITOR</t>
  </si>
  <si>
    <t>DSCTO FOEMPO - ALCALDIA POPAYAN</t>
  </si>
  <si>
    <t>BECA MONITOR ECOLOGIA</t>
  </si>
  <si>
    <t>DSCTO MERITO DEPORTIVO</t>
  </si>
  <si>
    <t>CONVENIO ASONAL JUDICIAL</t>
  </si>
  <si>
    <t>DSCTO AUTORIZACION VICEADMIN</t>
  </si>
  <si>
    <t>INPEC</t>
  </si>
  <si>
    <t>CORPOCAUCA RED UNIDOS</t>
  </si>
  <si>
    <t>RENAULT</t>
  </si>
  <si>
    <t>FISCALIA</t>
  </si>
  <si>
    <t>SALUDCOOP</t>
  </si>
  <si>
    <t>MOVILIDAD ESTUDIANTIL</t>
  </si>
  <si>
    <t>JUGUEMOS</t>
  </si>
  <si>
    <t>COLOMBIACOOP</t>
  </si>
  <si>
    <t>Por órden Alfabético</t>
  </si>
  <si>
    <t>Ordenado por Código</t>
  </si>
  <si>
    <t>Nuevos</t>
  </si>
  <si>
    <t>Colaborador 1</t>
  </si>
  <si>
    <t>Colaborador 2</t>
  </si>
  <si>
    <t>Colaborador 3</t>
  </si>
  <si>
    <t>Colaborador 4</t>
  </si>
  <si>
    <t>Colaborador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</si>
</sst>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b/>
      <sz val="8"/>
      <color theme="0" tint="-4.9989318521683403E-2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8"/>
      <color theme="0"/>
      <name val="Arial"/>
      <family val="2"/>
    </font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theme="0"/>
      <name val="Calibri"/>
      <family val="2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579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0070C0"/>
        <bgColor rgb="FF6FA8DC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53">
    <xf numFmtId="0" fontId="0" fillId="0" borderId="0" xfId="0"/>
    <xf numFmtId="0" fontId="2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0" fontId="1" fillId="2" borderId="2" xfId="0" applyFont="1" applyFill="1" applyBorder="1" applyAlignment="1" applyProtection="1">
      <alignment horizontal="left" vertical="center"/>
      <protection locked="0"/>
    </xf>
    <xf numFmtId="0" fontId="1" fillId="2" borderId="3" xfId="0" applyFont="1" applyFill="1" applyBorder="1" applyAlignment="1" applyProtection="1">
      <alignment horizontal="left" vertical="center"/>
      <protection locked="0"/>
    </xf>
    <xf numFmtId="0" fontId="6" fillId="5" borderId="1" xfId="0" applyFont="1" applyFill="1" applyBorder="1" applyAlignment="1" applyProtection="1">
      <alignment horizontal="center" vertical="center" wrapText="1"/>
    </xf>
    <xf numFmtId="0" fontId="1" fillId="4" borderId="2" xfId="0" applyFont="1" applyFill="1" applyBorder="1" applyAlignment="1" applyProtection="1">
      <alignment horizontal="center" vertical="center"/>
      <protection locked="0"/>
    </xf>
    <xf numFmtId="0" fontId="1" fillId="4" borderId="3" xfId="0" applyFont="1" applyFill="1" applyBorder="1" applyAlignment="1" applyProtection="1">
      <alignment horizontal="center" vertical="center"/>
      <protection locked="0"/>
    </xf>
    <xf numFmtId="0" fontId="5" fillId="5" borderId="1" xfId="0" applyFont="1" applyFill="1" applyBorder="1" applyAlignment="1" applyProtection="1">
      <alignment horizontal="center" vertical="center"/>
    </xf>
    <xf numFmtId="0" fontId="9" fillId="7" borderId="4" xfId="0" applyFont="1" applyFill="1" applyBorder="1" applyAlignment="1">
      <alignment horizontal="center"/>
    </xf>
    <xf numFmtId="0" fontId="9" fillId="7" borderId="4" xfId="0" applyFont="1" applyFill="1" applyBorder="1" applyAlignment="1">
      <alignment horizontal="left"/>
    </xf>
    <xf numFmtId="0" fontId="8" fillId="6" borderId="4" xfId="0" applyFont="1" applyFill="1" applyBorder="1" applyAlignment="1" applyProtection="1">
      <alignment horizontal="center"/>
      <protection locked="0"/>
    </xf>
    <xf numFmtId="0" fontId="8" fillId="6" borderId="4" xfId="0" applyFont="1" applyFill="1" applyBorder="1" applyAlignment="1" applyProtection="1">
      <alignment horizontal="left"/>
      <protection locked="0"/>
    </xf>
    <xf numFmtId="9" fontId="8" fillId="6" borderId="4" xfId="0" applyNumberFormat="1" applyFont="1" applyFill="1" applyBorder="1" applyAlignment="1" applyProtection="1">
      <alignment horizontal="center"/>
      <protection locked="0"/>
    </xf>
    <xf numFmtId="0" fontId="8" fillId="2" borderId="4" xfId="0" applyFont="1" applyFill="1" applyBorder="1" applyAlignment="1" applyProtection="1">
      <alignment horizontal="center"/>
      <protection locked="0"/>
    </xf>
    <xf numFmtId="0" fontId="8" fillId="2" borderId="4" xfId="0" applyFont="1" applyFill="1" applyBorder="1" applyAlignment="1" applyProtection="1">
      <alignment horizontal="left"/>
      <protection locked="0"/>
    </xf>
    <xf numFmtId="9" fontId="8" fillId="2" borderId="4" xfId="0" applyNumberFormat="1" applyFont="1" applyFill="1" applyBorder="1" applyAlignment="1" applyProtection="1">
      <alignment horizontal="center"/>
      <protection locked="0"/>
    </xf>
    <xf numFmtId="0" fontId="8" fillId="9" borderId="7" xfId="0" applyFont="1" applyFill="1" applyBorder="1" applyAlignment="1" applyProtection="1">
      <alignment horizontal="center"/>
      <protection locked="0"/>
    </xf>
    <xf numFmtId="0" fontId="0" fillId="9" borderId="7" xfId="0" applyFill="1" applyBorder="1" applyAlignment="1" applyProtection="1">
      <alignment horizontal="left"/>
      <protection locked="0"/>
    </xf>
    <xf numFmtId="0" fontId="0" fillId="9" borderId="7" xfId="0" applyFill="1" applyBorder="1" applyProtection="1">
      <protection locked="0"/>
    </xf>
    <xf numFmtId="0" fontId="0" fillId="9" borderId="8" xfId="0" applyFill="1" applyBorder="1" applyProtection="1">
      <protection locked="0"/>
    </xf>
    <xf numFmtId="0" fontId="0" fillId="9" borderId="8" xfId="0" applyFill="1" applyBorder="1" applyAlignment="1" applyProtection="1">
      <alignment horizontal="left"/>
      <protection locked="0"/>
    </xf>
    <xf numFmtId="42" fontId="1" fillId="2" borderId="2" xfId="1" applyNumberFormat="1" applyFont="1" applyFill="1" applyBorder="1" applyAlignment="1" applyProtection="1">
      <alignment horizontal="right" vertical="center"/>
      <protection locked="0"/>
    </xf>
    <xf numFmtId="42" fontId="1" fillId="2" borderId="3" xfId="1" applyNumberFormat="1" applyFont="1" applyFill="1" applyBorder="1" applyAlignment="1" applyProtection="1">
      <alignment horizontal="right" vertical="center"/>
      <protection locked="0"/>
    </xf>
    <xf numFmtId="49" fontId="1" fillId="2" borderId="2" xfId="0" applyNumberFormat="1" applyFont="1" applyFill="1" applyBorder="1" applyAlignment="1" applyProtection="1">
      <alignment horizontal="left" vertical="center"/>
      <protection locked="0"/>
    </xf>
    <xf numFmtId="49" fontId="1" fillId="2" borderId="3" xfId="0" applyNumberFormat="1" applyFont="1" applyFill="1" applyBorder="1" applyAlignment="1" applyProtection="1">
      <alignment horizontal="left"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" fillId="2" borderId="3" xfId="0" applyFont="1" applyFill="1" applyBorder="1" applyAlignment="1" applyProtection="1">
      <alignment horizontal="center" vertical="center"/>
      <protection locked="0"/>
    </xf>
    <xf numFmtId="0" fontId="0" fillId="8" borderId="0" xfId="0" applyFill="1"/>
    <xf numFmtId="0" fontId="10" fillId="8" borderId="0" xfId="0" applyFont="1" applyFill="1"/>
    <xf numFmtId="0" fontId="0" fillId="8" borderId="0" xfId="0" applyFill="1" applyAlignment="1">
      <alignment horizontal="left"/>
    </xf>
    <xf numFmtId="0" fontId="10" fillId="8" borderId="0" xfId="0" applyFont="1" applyFill="1" applyAlignment="1">
      <alignment horizontal="left"/>
    </xf>
    <xf numFmtId="0" fontId="0" fillId="8" borderId="0" xfId="0" applyFill="1" applyAlignment="1" applyProtection="1">
      <alignment horizontal="left"/>
      <protection locked="0"/>
    </xf>
    <xf numFmtId="0" fontId="0" fillId="8" borderId="0" xfId="0" applyFill="1" applyProtection="1">
      <protection locked="0"/>
    </xf>
    <xf numFmtId="0" fontId="9" fillId="7" borderId="10" xfId="0" applyFont="1" applyFill="1" applyBorder="1" applyAlignment="1">
      <alignment horizontal="center"/>
    </xf>
    <xf numFmtId="0" fontId="0" fillId="2" borderId="8" xfId="0" applyFill="1" applyBorder="1" applyProtection="1">
      <protection locked="0"/>
    </xf>
    <xf numFmtId="0" fontId="1" fillId="4" borderId="2" xfId="0" applyFont="1" applyFill="1" applyBorder="1" applyAlignment="1" applyProtection="1">
      <alignment horizontal="left" vertical="center"/>
    </xf>
    <xf numFmtId="9" fontId="1" fillId="4" borderId="2" xfId="2" applyFont="1" applyFill="1" applyBorder="1" applyAlignment="1" applyProtection="1">
      <alignment horizontal="center" vertical="center"/>
    </xf>
    <xf numFmtId="42" fontId="1" fillId="4" borderId="2" xfId="1" applyNumberFormat="1" applyFont="1" applyFill="1" applyBorder="1" applyAlignment="1" applyProtection="1">
      <alignment horizontal="right" vertical="center"/>
    </xf>
    <xf numFmtId="0" fontId="1" fillId="4" borderId="3" xfId="0" applyFont="1" applyFill="1" applyBorder="1" applyAlignment="1" applyProtection="1">
      <alignment horizontal="left" vertical="center"/>
    </xf>
    <xf numFmtId="9" fontId="1" fillId="4" borderId="3" xfId="2" applyFont="1" applyFill="1" applyBorder="1" applyAlignment="1" applyProtection="1">
      <alignment horizontal="center" vertical="center"/>
    </xf>
    <xf numFmtId="42" fontId="1" fillId="4" borderId="3" xfId="1" applyNumberFormat="1" applyFont="1" applyFill="1" applyBorder="1" applyAlignment="1" applyProtection="1">
      <alignment horizontal="right" vertical="center"/>
    </xf>
    <xf numFmtId="0" fontId="1" fillId="2" borderId="1" xfId="0" applyFont="1" applyFill="1" applyBorder="1" applyAlignment="1" applyProtection="1">
      <alignment vertical="center"/>
      <protection locked="0"/>
    </xf>
    <xf numFmtId="0" fontId="4" fillId="4" borderId="2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center" vertical="center"/>
    </xf>
    <xf numFmtId="0" fontId="5" fillId="3" borderId="6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vertical="center"/>
    </xf>
    <xf numFmtId="0" fontId="5" fillId="3" borderId="1" xfId="0" applyFont="1" applyFill="1" applyBorder="1" applyAlignment="1" applyProtection="1">
      <alignment horizontal="center" vertical="center"/>
    </xf>
    <xf numFmtId="0" fontId="5" fillId="5" borderId="1" xfId="0" applyFont="1" applyFill="1" applyBorder="1" applyAlignment="1" applyProtection="1">
      <alignment horizontal="center" vertical="center"/>
    </xf>
    <xf numFmtId="0" fontId="10" fillId="8" borderId="9" xfId="0" applyFont="1" applyFill="1" applyBorder="1" applyAlignment="1">
      <alignment horizontal="center" vertical="top" textRotation="90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441565</xdr:colOff>
      <xdr:row>1</xdr:row>
      <xdr:rowOff>113940</xdr:rowOff>
    </xdr:from>
    <xdr:to>
      <xdr:col>10</xdr:col>
      <xdr:colOff>305528</xdr:colOff>
      <xdr:row>8</xdr:row>
      <xdr:rowOff>12701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4984990" y="161565"/>
          <a:ext cx="6398113" cy="1003661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MERCADEO - ADMISIONES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FORMATO RELACIÓN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DE DESCUENTOS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FO-MA-007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02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Noviembre 2022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63"/>
  <sheetViews>
    <sheetView tabSelected="1" zoomScaleNormal="100" zoomScaleSheetLayoutView="64" workbookViewId="0"/>
  </sheetViews>
  <sheetFormatPr baseColWidth="10" defaultColWidth="0" defaultRowHeight="12.75" zeroHeight="1" x14ac:dyDescent="0.25"/>
  <cols>
    <col min="1" max="1" width="1.42578125" style="1" customWidth="1"/>
    <col min="2" max="2" width="4" style="2" customWidth="1"/>
    <col min="3" max="3" width="11.42578125" style="2" customWidth="1"/>
    <col min="4" max="4" width="28.85546875" style="2" customWidth="1"/>
    <col min="5" max="5" width="22.42578125" style="3" customWidth="1"/>
    <col min="6" max="6" width="26.42578125" style="2" customWidth="1"/>
    <col min="7" max="7" width="18.28515625" style="2" customWidth="1"/>
    <col min="8" max="8" width="9.28515625" style="2" customWidth="1"/>
    <col min="9" max="9" width="34.140625" style="2" customWidth="1"/>
    <col min="10" max="10" width="9.85546875" style="2" customWidth="1"/>
    <col min="11" max="11" width="14.140625" style="2" customWidth="1"/>
    <col min="12" max="12" width="37.5703125" style="2" customWidth="1"/>
    <col min="13" max="13" width="26.28515625" style="2" customWidth="1"/>
    <col min="14" max="14" width="4" style="2" customWidth="1"/>
    <col min="15" max="15" width="1.140625" style="2" customWidth="1"/>
    <col min="16" max="29" width="0" style="3" hidden="1" customWidth="1"/>
    <col min="30" max="16384" width="8.85546875" style="3" hidden="1"/>
  </cols>
  <sheetData>
    <row r="1" spans="1:13" ht="3.75" customHeight="1" x14ac:dyDescent="0.25"/>
    <row r="2" spans="1:13" x14ac:dyDescent="0.25"/>
    <row r="3" spans="1:13" ht="12.75" customHeight="1" x14ac:dyDescent="0.25"/>
    <row r="4" spans="1:13" x14ac:dyDescent="0.25"/>
    <row r="5" spans="1:13" x14ac:dyDescent="0.25"/>
    <row r="6" spans="1:13" x14ac:dyDescent="0.25"/>
    <row r="7" spans="1:13" x14ac:dyDescent="0.25"/>
    <row r="8" spans="1:13" ht="10.5" customHeight="1" x14ac:dyDescent="0.25"/>
    <row r="9" spans="1:13" ht="15" customHeight="1" x14ac:dyDescent="0.25"/>
    <row r="10" spans="1:13" ht="24.95" customHeight="1" x14ac:dyDescent="0.25">
      <c r="G10" s="47" t="s">
        <v>13</v>
      </c>
      <c r="H10" s="48"/>
      <c r="I10" s="44"/>
    </row>
    <row r="11" spans="1:13" x14ac:dyDescent="0.25"/>
    <row r="12" spans="1:13" ht="15" customHeight="1" x14ac:dyDescent="0.25">
      <c r="B12" s="49" t="s">
        <v>0</v>
      </c>
      <c r="C12" s="50" t="s">
        <v>1</v>
      </c>
      <c r="D12" s="50" t="s">
        <v>2</v>
      </c>
      <c r="E12" s="50" t="s">
        <v>3</v>
      </c>
      <c r="F12" s="50" t="s">
        <v>4</v>
      </c>
      <c r="G12" s="50" t="s">
        <v>5</v>
      </c>
      <c r="H12" s="51" t="s">
        <v>12</v>
      </c>
      <c r="I12" s="51"/>
      <c r="J12" s="51"/>
      <c r="K12" s="51"/>
      <c r="L12" s="50" t="s">
        <v>10</v>
      </c>
      <c r="M12" s="50" t="s">
        <v>11</v>
      </c>
    </row>
    <row r="13" spans="1:13" ht="24" customHeight="1" x14ac:dyDescent="0.25">
      <c r="A13" s="4"/>
      <c r="B13" s="49"/>
      <c r="C13" s="50"/>
      <c r="D13" s="50"/>
      <c r="E13" s="50"/>
      <c r="F13" s="50"/>
      <c r="G13" s="50"/>
      <c r="H13" s="7" t="s">
        <v>6</v>
      </c>
      <c r="I13" s="10" t="s">
        <v>7</v>
      </c>
      <c r="J13" s="10" t="s">
        <v>8</v>
      </c>
      <c r="K13" s="10" t="s">
        <v>9</v>
      </c>
      <c r="L13" s="50"/>
      <c r="M13" s="50"/>
    </row>
    <row r="14" spans="1:13" ht="24.95" customHeight="1" x14ac:dyDescent="0.25">
      <c r="B14" s="45" t="str">
        <f>IF(D14="","",COUNTA(D$14:D14))</f>
        <v/>
      </c>
      <c r="C14" s="26"/>
      <c r="D14" s="5"/>
      <c r="E14" s="28"/>
      <c r="F14" s="5"/>
      <c r="G14" s="24"/>
      <c r="H14" s="8"/>
      <c r="I14" s="38" t="str">
        <f>IFERROR(VLOOKUP(H14,Listas!B:D,2,0),"")</f>
        <v/>
      </c>
      <c r="J14" s="39" t="str">
        <f>IFERROR(VLOOKUP(H14,Listas!B:D,3,0),"")</f>
        <v/>
      </c>
      <c r="K14" s="40" t="str">
        <f>IFERROR(G14*J14,"")</f>
        <v/>
      </c>
      <c r="L14" s="5"/>
      <c r="M14" s="5"/>
    </row>
    <row r="15" spans="1:13" ht="24.95" customHeight="1" x14ac:dyDescent="0.25">
      <c r="B15" s="46" t="str">
        <f>IF(D15="","",COUNTA(D$14:D15))</f>
        <v/>
      </c>
      <c r="C15" s="27"/>
      <c r="D15" s="6"/>
      <c r="E15" s="29"/>
      <c r="F15" s="6"/>
      <c r="G15" s="25"/>
      <c r="H15" s="9"/>
      <c r="I15" s="41" t="str">
        <f>IFERROR(VLOOKUP(H15,Listas!B:D,2,0),"")</f>
        <v/>
      </c>
      <c r="J15" s="42" t="str">
        <f>IFERROR(VLOOKUP(H15,Listas!B:D,3,0),"")</f>
        <v/>
      </c>
      <c r="K15" s="43" t="str">
        <f t="shared" ref="K15:K63" si="0">IFERROR(G15*J15,"")</f>
        <v/>
      </c>
      <c r="L15" s="6"/>
      <c r="M15" s="6"/>
    </row>
    <row r="16" spans="1:13" ht="24.95" customHeight="1" x14ac:dyDescent="0.25">
      <c r="B16" s="46" t="str">
        <f>IF(D16="","",COUNTA(D$14:D16))</f>
        <v/>
      </c>
      <c r="C16" s="27"/>
      <c r="D16" s="6"/>
      <c r="E16" s="29"/>
      <c r="F16" s="6"/>
      <c r="G16" s="25"/>
      <c r="H16" s="9"/>
      <c r="I16" s="41" t="str">
        <f>IFERROR(VLOOKUP(H16,Listas!B:D,2,0),"")</f>
        <v/>
      </c>
      <c r="J16" s="42" t="str">
        <f>IFERROR(VLOOKUP(H16,Listas!B:D,3,0),"")</f>
        <v/>
      </c>
      <c r="K16" s="43" t="str">
        <f t="shared" si="0"/>
        <v/>
      </c>
      <c r="L16" s="6"/>
      <c r="M16" s="6"/>
    </row>
    <row r="17" spans="2:13" ht="24.95" customHeight="1" x14ac:dyDescent="0.25">
      <c r="B17" s="46" t="str">
        <f>IF(D17="","",COUNTA(D$14:D17))</f>
        <v/>
      </c>
      <c r="C17" s="27"/>
      <c r="D17" s="6"/>
      <c r="E17" s="29"/>
      <c r="F17" s="6"/>
      <c r="G17" s="25"/>
      <c r="H17" s="9"/>
      <c r="I17" s="41" t="str">
        <f>IFERROR(VLOOKUP(H17,Listas!B:D,2,0),"")</f>
        <v/>
      </c>
      <c r="J17" s="42" t="str">
        <f>IFERROR(VLOOKUP(H17,Listas!B:D,3,0),"")</f>
        <v/>
      </c>
      <c r="K17" s="43" t="str">
        <f t="shared" si="0"/>
        <v/>
      </c>
      <c r="L17" s="6"/>
      <c r="M17" s="6"/>
    </row>
    <row r="18" spans="2:13" ht="24.95" customHeight="1" x14ac:dyDescent="0.25">
      <c r="B18" s="46" t="str">
        <f>IF(D18="","",COUNTA(D$14:D18))</f>
        <v/>
      </c>
      <c r="C18" s="27"/>
      <c r="D18" s="6"/>
      <c r="E18" s="29"/>
      <c r="F18" s="6"/>
      <c r="G18" s="25"/>
      <c r="H18" s="9"/>
      <c r="I18" s="41" t="str">
        <f>IFERROR(VLOOKUP(H18,Listas!B:D,2,0),"")</f>
        <v/>
      </c>
      <c r="J18" s="42" t="str">
        <f>IFERROR(VLOOKUP(H18,Listas!B:D,3,0),"")</f>
        <v/>
      </c>
      <c r="K18" s="43" t="str">
        <f t="shared" si="0"/>
        <v/>
      </c>
      <c r="L18" s="6"/>
      <c r="M18" s="6"/>
    </row>
    <row r="19" spans="2:13" ht="24.95" customHeight="1" x14ac:dyDescent="0.25">
      <c r="B19" s="46" t="str">
        <f>IF(D19="","",COUNTA(D$14:D19))</f>
        <v/>
      </c>
      <c r="C19" s="27"/>
      <c r="D19" s="6"/>
      <c r="E19" s="29"/>
      <c r="F19" s="6"/>
      <c r="G19" s="25"/>
      <c r="H19" s="9"/>
      <c r="I19" s="41" t="str">
        <f>IFERROR(VLOOKUP(H19,Listas!B:D,2,0),"")</f>
        <v/>
      </c>
      <c r="J19" s="42" t="str">
        <f>IFERROR(VLOOKUP(H19,Listas!B:D,3,0),"")</f>
        <v/>
      </c>
      <c r="K19" s="43" t="str">
        <f t="shared" si="0"/>
        <v/>
      </c>
      <c r="L19" s="6"/>
      <c r="M19" s="6"/>
    </row>
    <row r="20" spans="2:13" ht="24.95" customHeight="1" x14ac:dyDescent="0.25">
      <c r="B20" s="46" t="str">
        <f>IF(D20="","",COUNTA(D$14:D20))</f>
        <v/>
      </c>
      <c r="C20" s="27"/>
      <c r="D20" s="6"/>
      <c r="E20" s="29"/>
      <c r="F20" s="6"/>
      <c r="G20" s="25"/>
      <c r="H20" s="9"/>
      <c r="I20" s="41" t="str">
        <f>IFERROR(VLOOKUP(H20,Listas!B:D,2,0),"")</f>
        <v/>
      </c>
      <c r="J20" s="42" t="str">
        <f>IFERROR(VLOOKUP(H20,Listas!B:D,3,0),"")</f>
        <v/>
      </c>
      <c r="K20" s="43" t="str">
        <f t="shared" si="0"/>
        <v/>
      </c>
      <c r="L20" s="6"/>
      <c r="M20" s="6"/>
    </row>
    <row r="21" spans="2:13" ht="24.95" customHeight="1" x14ac:dyDescent="0.25">
      <c r="B21" s="46" t="str">
        <f>IF(D21="","",COUNTA(D$14:D21))</f>
        <v/>
      </c>
      <c r="C21" s="27"/>
      <c r="D21" s="6"/>
      <c r="E21" s="29"/>
      <c r="F21" s="6"/>
      <c r="G21" s="25"/>
      <c r="H21" s="9"/>
      <c r="I21" s="41" t="str">
        <f>IFERROR(VLOOKUP(H21,Listas!B:D,2,0),"")</f>
        <v/>
      </c>
      <c r="J21" s="42" t="str">
        <f>IFERROR(VLOOKUP(H21,Listas!B:D,3,0),"")</f>
        <v/>
      </c>
      <c r="K21" s="43" t="str">
        <f t="shared" si="0"/>
        <v/>
      </c>
      <c r="L21" s="6"/>
      <c r="M21" s="6"/>
    </row>
    <row r="22" spans="2:13" ht="24.95" customHeight="1" x14ac:dyDescent="0.25">
      <c r="B22" s="46" t="str">
        <f>IF(D22="","",COUNTA(D$14:D22))</f>
        <v/>
      </c>
      <c r="C22" s="27"/>
      <c r="D22" s="6"/>
      <c r="E22" s="29"/>
      <c r="F22" s="6"/>
      <c r="G22" s="25"/>
      <c r="H22" s="9"/>
      <c r="I22" s="41" t="str">
        <f>IFERROR(VLOOKUP(H22,Listas!B:D,2,0),"")</f>
        <v/>
      </c>
      <c r="J22" s="42" t="str">
        <f>IFERROR(VLOOKUP(H22,Listas!B:D,3,0),"")</f>
        <v/>
      </c>
      <c r="K22" s="43" t="str">
        <f t="shared" si="0"/>
        <v/>
      </c>
      <c r="L22" s="6"/>
      <c r="M22" s="6"/>
    </row>
    <row r="23" spans="2:13" ht="24.95" customHeight="1" x14ac:dyDescent="0.25">
      <c r="B23" s="46" t="str">
        <f>IF(D23="","",COUNTA(D$14:D23))</f>
        <v/>
      </c>
      <c r="C23" s="27"/>
      <c r="D23" s="6"/>
      <c r="E23" s="29"/>
      <c r="F23" s="6"/>
      <c r="G23" s="25"/>
      <c r="H23" s="9"/>
      <c r="I23" s="41" t="str">
        <f>IFERROR(VLOOKUP(H23,Listas!B:D,2,0),"")</f>
        <v/>
      </c>
      <c r="J23" s="42" t="str">
        <f>IFERROR(VLOOKUP(H23,Listas!B:D,3,0),"")</f>
        <v/>
      </c>
      <c r="K23" s="43" t="str">
        <f t="shared" si="0"/>
        <v/>
      </c>
      <c r="L23" s="6"/>
      <c r="M23" s="6"/>
    </row>
    <row r="24" spans="2:13" ht="24.95" customHeight="1" x14ac:dyDescent="0.25">
      <c r="B24" s="46" t="str">
        <f>IF(D24="","",COUNTA(D$14:D24))</f>
        <v/>
      </c>
      <c r="C24" s="27"/>
      <c r="D24" s="6"/>
      <c r="E24" s="29"/>
      <c r="F24" s="6"/>
      <c r="G24" s="25"/>
      <c r="H24" s="9"/>
      <c r="I24" s="41" t="str">
        <f>IFERROR(VLOOKUP(H24,Listas!B:D,2,0),"")</f>
        <v/>
      </c>
      <c r="J24" s="42" t="str">
        <f>IFERROR(VLOOKUP(H24,Listas!B:D,3,0),"")</f>
        <v/>
      </c>
      <c r="K24" s="43" t="str">
        <f t="shared" si="0"/>
        <v/>
      </c>
      <c r="L24" s="6"/>
      <c r="M24" s="6"/>
    </row>
    <row r="25" spans="2:13" ht="24.95" customHeight="1" x14ac:dyDescent="0.25">
      <c r="B25" s="46" t="str">
        <f>IF(D25="","",COUNTA(D$14:D25))</f>
        <v/>
      </c>
      <c r="C25" s="27"/>
      <c r="D25" s="6"/>
      <c r="E25" s="29"/>
      <c r="F25" s="6"/>
      <c r="G25" s="25"/>
      <c r="H25" s="9"/>
      <c r="I25" s="41" t="str">
        <f>IFERROR(VLOOKUP(H25,Listas!B:D,2,0),"")</f>
        <v/>
      </c>
      <c r="J25" s="42" t="str">
        <f>IFERROR(VLOOKUP(H25,Listas!B:D,3,0),"")</f>
        <v/>
      </c>
      <c r="K25" s="43" t="str">
        <f t="shared" si="0"/>
        <v/>
      </c>
      <c r="L25" s="6"/>
      <c r="M25" s="6"/>
    </row>
    <row r="26" spans="2:13" ht="24.95" customHeight="1" x14ac:dyDescent="0.25">
      <c r="B26" s="46" t="str">
        <f>IF(D26="","",COUNTA(D$14:D26))</f>
        <v/>
      </c>
      <c r="C26" s="27"/>
      <c r="D26" s="6"/>
      <c r="E26" s="29"/>
      <c r="F26" s="6"/>
      <c r="G26" s="25"/>
      <c r="H26" s="9"/>
      <c r="I26" s="41" t="str">
        <f>IFERROR(VLOOKUP(H26,Listas!B:D,2,0),"")</f>
        <v/>
      </c>
      <c r="J26" s="42" t="str">
        <f>IFERROR(VLOOKUP(H26,Listas!B:D,3,0),"")</f>
        <v/>
      </c>
      <c r="K26" s="43" t="str">
        <f t="shared" si="0"/>
        <v/>
      </c>
      <c r="L26" s="6"/>
      <c r="M26" s="6"/>
    </row>
    <row r="27" spans="2:13" ht="24.95" customHeight="1" x14ac:dyDescent="0.25">
      <c r="B27" s="46" t="str">
        <f>IF(D27="","",COUNTA(D$14:D27))</f>
        <v/>
      </c>
      <c r="C27" s="27"/>
      <c r="D27" s="6"/>
      <c r="E27" s="29"/>
      <c r="F27" s="6"/>
      <c r="G27" s="25"/>
      <c r="H27" s="9"/>
      <c r="I27" s="41" t="str">
        <f>IFERROR(VLOOKUP(H27,Listas!B:D,2,0),"")</f>
        <v/>
      </c>
      <c r="J27" s="42" t="str">
        <f>IFERROR(VLOOKUP(H27,Listas!B:D,3,0),"")</f>
        <v/>
      </c>
      <c r="K27" s="43" t="str">
        <f t="shared" si="0"/>
        <v/>
      </c>
      <c r="L27" s="6"/>
      <c r="M27" s="6"/>
    </row>
    <row r="28" spans="2:13" ht="24.95" customHeight="1" x14ac:dyDescent="0.25">
      <c r="B28" s="46" t="str">
        <f>IF(D28="","",COUNTA(D$14:D28))</f>
        <v/>
      </c>
      <c r="C28" s="27"/>
      <c r="D28" s="6"/>
      <c r="E28" s="29"/>
      <c r="F28" s="6"/>
      <c r="G28" s="25"/>
      <c r="H28" s="9"/>
      <c r="I28" s="41" t="str">
        <f>IFERROR(VLOOKUP(H28,Listas!B:D,2,0),"")</f>
        <v/>
      </c>
      <c r="J28" s="42" t="str">
        <f>IFERROR(VLOOKUP(H28,Listas!B:D,3,0),"")</f>
        <v/>
      </c>
      <c r="K28" s="43" t="str">
        <f t="shared" si="0"/>
        <v/>
      </c>
      <c r="L28" s="6"/>
      <c r="M28" s="6"/>
    </row>
    <row r="29" spans="2:13" ht="24.95" customHeight="1" x14ac:dyDescent="0.25">
      <c r="B29" s="46" t="str">
        <f>IF(D29="","",COUNTA(D$14:D29))</f>
        <v/>
      </c>
      <c r="C29" s="27"/>
      <c r="D29" s="6"/>
      <c r="E29" s="29"/>
      <c r="F29" s="6"/>
      <c r="G29" s="25"/>
      <c r="H29" s="9"/>
      <c r="I29" s="41" t="str">
        <f>IFERROR(VLOOKUP(H29,Listas!B:D,2,0),"")</f>
        <v/>
      </c>
      <c r="J29" s="42" t="str">
        <f>IFERROR(VLOOKUP(H29,Listas!B:D,3,0),"")</f>
        <v/>
      </c>
      <c r="K29" s="43" t="str">
        <f t="shared" si="0"/>
        <v/>
      </c>
      <c r="L29" s="6"/>
      <c r="M29" s="6"/>
    </row>
    <row r="30" spans="2:13" ht="24.95" customHeight="1" x14ac:dyDescent="0.25">
      <c r="B30" s="46" t="str">
        <f>IF(D30="","",COUNTA(D$14:D30))</f>
        <v/>
      </c>
      <c r="C30" s="27"/>
      <c r="D30" s="6"/>
      <c r="E30" s="29"/>
      <c r="F30" s="6"/>
      <c r="G30" s="25"/>
      <c r="H30" s="9"/>
      <c r="I30" s="41" t="str">
        <f>IFERROR(VLOOKUP(H30,Listas!B:D,2,0),"")</f>
        <v/>
      </c>
      <c r="J30" s="42" t="str">
        <f>IFERROR(VLOOKUP(H30,Listas!B:D,3,0),"")</f>
        <v/>
      </c>
      <c r="K30" s="43" t="str">
        <f t="shared" si="0"/>
        <v/>
      </c>
      <c r="L30" s="6"/>
      <c r="M30" s="6"/>
    </row>
    <row r="31" spans="2:13" ht="24.95" customHeight="1" x14ac:dyDescent="0.25">
      <c r="B31" s="46" t="str">
        <f>IF(D31="","",COUNTA(D$14:D31))</f>
        <v/>
      </c>
      <c r="C31" s="27"/>
      <c r="D31" s="6"/>
      <c r="E31" s="29"/>
      <c r="F31" s="6"/>
      <c r="G31" s="25"/>
      <c r="H31" s="9"/>
      <c r="I31" s="41" t="str">
        <f>IFERROR(VLOOKUP(H31,Listas!B:D,2,0),"")</f>
        <v/>
      </c>
      <c r="J31" s="42" t="str">
        <f>IFERROR(VLOOKUP(H31,Listas!B:D,3,0),"")</f>
        <v/>
      </c>
      <c r="K31" s="43" t="str">
        <f t="shared" si="0"/>
        <v/>
      </c>
      <c r="L31" s="6"/>
      <c r="M31" s="6"/>
    </row>
    <row r="32" spans="2:13" ht="24.95" customHeight="1" x14ac:dyDescent="0.25">
      <c r="B32" s="46" t="str">
        <f>IF(D32="","",COUNTA(D$14:D32))</f>
        <v/>
      </c>
      <c r="C32" s="27"/>
      <c r="D32" s="6"/>
      <c r="E32" s="29"/>
      <c r="F32" s="6"/>
      <c r="G32" s="25"/>
      <c r="H32" s="9"/>
      <c r="I32" s="41" t="str">
        <f>IFERROR(VLOOKUP(H32,Listas!B:D,2,0),"")</f>
        <v/>
      </c>
      <c r="J32" s="42" t="str">
        <f>IFERROR(VLOOKUP(H32,Listas!B:D,3,0),"")</f>
        <v/>
      </c>
      <c r="K32" s="43" t="str">
        <f t="shared" si="0"/>
        <v/>
      </c>
      <c r="L32" s="6"/>
      <c r="M32" s="6"/>
    </row>
    <row r="33" spans="2:13" ht="24.95" customHeight="1" x14ac:dyDescent="0.25">
      <c r="B33" s="46" t="str">
        <f>IF(D33="","",COUNTA(D$14:D33))</f>
        <v/>
      </c>
      <c r="C33" s="27"/>
      <c r="D33" s="6"/>
      <c r="E33" s="29"/>
      <c r="F33" s="6"/>
      <c r="G33" s="25"/>
      <c r="H33" s="9"/>
      <c r="I33" s="41" t="str">
        <f>IFERROR(VLOOKUP(H33,Listas!B:D,2,0),"")</f>
        <v/>
      </c>
      <c r="J33" s="42" t="str">
        <f>IFERROR(VLOOKUP(H33,Listas!B:D,3,0),"")</f>
        <v/>
      </c>
      <c r="K33" s="43" t="str">
        <f t="shared" si="0"/>
        <v/>
      </c>
      <c r="L33" s="6"/>
      <c r="M33" s="6"/>
    </row>
    <row r="34" spans="2:13" ht="24.95" customHeight="1" x14ac:dyDescent="0.25">
      <c r="B34" s="46" t="str">
        <f>IF(D34="","",COUNTA(D$14:D34))</f>
        <v/>
      </c>
      <c r="C34" s="27"/>
      <c r="D34" s="6"/>
      <c r="E34" s="29"/>
      <c r="F34" s="6"/>
      <c r="G34" s="25"/>
      <c r="H34" s="9"/>
      <c r="I34" s="41" t="str">
        <f>IFERROR(VLOOKUP(H34,Listas!B:D,2,0),"")</f>
        <v/>
      </c>
      <c r="J34" s="42" t="str">
        <f>IFERROR(VLOOKUP(H34,Listas!B:D,3,0),"")</f>
        <v/>
      </c>
      <c r="K34" s="43" t="str">
        <f t="shared" si="0"/>
        <v/>
      </c>
      <c r="L34" s="6"/>
      <c r="M34" s="6"/>
    </row>
    <row r="35" spans="2:13" ht="24.95" customHeight="1" x14ac:dyDescent="0.25">
      <c r="B35" s="46" t="str">
        <f>IF(D35="","",COUNTA(D$14:D35))</f>
        <v/>
      </c>
      <c r="C35" s="27"/>
      <c r="D35" s="6"/>
      <c r="E35" s="29"/>
      <c r="F35" s="6"/>
      <c r="G35" s="25"/>
      <c r="H35" s="9"/>
      <c r="I35" s="41" t="str">
        <f>IFERROR(VLOOKUP(H35,Listas!B:D,2,0),"")</f>
        <v/>
      </c>
      <c r="J35" s="42" t="str">
        <f>IFERROR(VLOOKUP(H35,Listas!B:D,3,0),"")</f>
        <v/>
      </c>
      <c r="K35" s="43" t="str">
        <f t="shared" si="0"/>
        <v/>
      </c>
      <c r="L35" s="6"/>
      <c r="M35" s="6"/>
    </row>
    <row r="36" spans="2:13" ht="24.95" customHeight="1" x14ac:dyDescent="0.25">
      <c r="B36" s="46" t="str">
        <f>IF(D36="","",COUNTA(D$14:D36))</f>
        <v/>
      </c>
      <c r="C36" s="27"/>
      <c r="D36" s="6"/>
      <c r="E36" s="29"/>
      <c r="F36" s="6"/>
      <c r="G36" s="25"/>
      <c r="H36" s="9"/>
      <c r="I36" s="41" t="str">
        <f>IFERROR(VLOOKUP(H36,Listas!B:D,2,0),"")</f>
        <v/>
      </c>
      <c r="J36" s="42" t="str">
        <f>IFERROR(VLOOKUP(H36,Listas!B:D,3,0),"")</f>
        <v/>
      </c>
      <c r="K36" s="43" t="str">
        <f t="shared" si="0"/>
        <v/>
      </c>
      <c r="L36" s="6"/>
      <c r="M36" s="6"/>
    </row>
    <row r="37" spans="2:13" ht="24.95" customHeight="1" x14ac:dyDescent="0.25">
      <c r="B37" s="46" t="str">
        <f>IF(D37="","",COUNTA(D$14:D37))</f>
        <v/>
      </c>
      <c r="C37" s="27"/>
      <c r="D37" s="6"/>
      <c r="E37" s="29"/>
      <c r="F37" s="6"/>
      <c r="G37" s="25"/>
      <c r="H37" s="9"/>
      <c r="I37" s="41" t="str">
        <f>IFERROR(VLOOKUP(H37,Listas!B:D,2,0),"")</f>
        <v/>
      </c>
      <c r="J37" s="42" t="str">
        <f>IFERROR(VLOOKUP(H37,Listas!B:D,3,0),"")</f>
        <v/>
      </c>
      <c r="K37" s="43" t="str">
        <f t="shared" si="0"/>
        <v/>
      </c>
      <c r="L37" s="6"/>
      <c r="M37" s="6"/>
    </row>
    <row r="38" spans="2:13" ht="24.95" customHeight="1" x14ac:dyDescent="0.25">
      <c r="B38" s="46" t="str">
        <f>IF(D38="","",COUNTA(D$14:D38))</f>
        <v/>
      </c>
      <c r="C38" s="27"/>
      <c r="D38" s="6"/>
      <c r="E38" s="29"/>
      <c r="F38" s="6"/>
      <c r="G38" s="25"/>
      <c r="H38" s="9"/>
      <c r="I38" s="41" t="str">
        <f>IFERROR(VLOOKUP(H38,Listas!B:D,2,0),"")</f>
        <v/>
      </c>
      <c r="J38" s="42" t="str">
        <f>IFERROR(VLOOKUP(H38,Listas!B:D,3,0),"")</f>
        <v/>
      </c>
      <c r="K38" s="43" t="str">
        <f t="shared" si="0"/>
        <v/>
      </c>
      <c r="L38" s="6"/>
      <c r="M38" s="6"/>
    </row>
    <row r="39" spans="2:13" ht="24.95" customHeight="1" x14ac:dyDescent="0.25">
      <c r="B39" s="46" t="str">
        <f>IF(D39="","",COUNTA(D$14:D39))</f>
        <v/>
      </c>
      <c r="C39" s="27"/>
      <c r="D39" s="6"/>
      <c r="E39" s="29"/>
      <c r="F39" s="6"/>
      <c r="G39" s="25"/>
      <c r="H39" s="9"/>
      <c r="I39" s="41" t="str">
        <f>IFERROR(VLOOKUP(H39,Listas!B:D,2,0),"")</f>
        <v/>
      </c>
      <c r="J39" s="42" t="str">
        <f>IFERROR(VLOOKUP(H39,Listas!B:D,3,0),"")</f>
        <v/>
      </c>
      <c r="K39" s="43" t="str">
        <f t="shared" si="0"/>
        <v/>
      </c>
      <c r="L39" s="6"/>
      <c r="M39" s="6"/>
    </row>
    <row r="40" spans="2:13" ht="24.95" customHeight="1" x14ac:dyDescent="0.25">
      <c r="B40" s="46" t="str">
        <f>IF(D40="","",COUNTA(D$14:D40))</f>
        <v/>
      </c>
      <c r="C40" s="27"/>
      <c r="D40" s="6"/>
      <c r="E40" s="29"/>
      <c r="F40" s="6"/>
      <c r="G40" s="25"/>
      <c r="H40" s="9"/>
      <c r="I40" s="41" t="str">
        <f>IFERROR(VLOOKUP(H40,Listas!B:D,2,0),"")</f>
        <v/>
      </c>
      <c r="J40" s="42" t="str">
        <f>IFERROR(VLOOKUP(H40,Listas!B:D,3,0),"")</f>
        <v/>
      </c>
      <c r="K40" s="43" t="str">
        <f t="shared" si="0"/>
        <v/>
      </c>
      <c r="L40" s="6"/>
      <c r="M40" s="6"/>
    </row>
    <row r="41" spans="2:13" ht="24.95" customHeight="1" x14ac:dyDescent="0.25">
      <c r="B41" s="46" t="str">
        <f>IF(D41="","",COUNTA(D$14:D41))</f>
        <v/>
      </c>
      <c r="C41" s="27"/>
      <c r="D41" s="6"/>
      <c r="E41" s="29"/>
      <c r="F41" s="6"/>
      <c r="G41" s="25"/>
      <c r="H41" s="9"/>
      <c r="I41" s="41" t="str">
        <f>IFERROR(VLOOKUP(H41,Listas!B:D,2,0),"")</f>
        <v/>
      </c>
      <c r="J41" s="42" t="str">
        <f>IFERROR(VLOOKUP(H41,Listas!B:D,3,0),"")</f>
        <v/>
      </c>
      <c r="K41" s="43" t="str">
        <f t="shared" si="0"/>
        <v/>
      </c>
      <c r="L41" s="6"/>
      <c r="M41" s="6"/>
    </row>
    <row r="42" spans="2:13" ht="24.95" customHeight="1" x14ac:dyDescent="0.25">
      <c r="B42" s="46" t="str">
        <f>IF(D42="","",COUNTA(D$14:D42))</f>
        <v/>
      </c>
      <c r="C42" s="27"/>
      <c r="D42" s="6"/>
      <c r="E42" s="29"/>
      <c r="F42" s="6"/>
      <c r="G42" s="25"/>
      <c r="H42" s="9"/>
      <c r="I42" s="41" t="str">
        <f>IFERROR(VLOOKUP(H42,Listas!B:D,2,0),"")</f>
        <v/>
      </c>
      <c r="J42" s="42" t="str">
        <f>IFERROR(VLOOKUP(H42,Listas!B:D,3,0),"")</f>
        <v/>
      </c>
      <c r="K42" s="43" t="str">
        <f t="shared" si="0"/>
        <v/>
      </c>
      <c r="L42" s="6"/>
      <c r="M42" s="6"/>
    </row>
    <row r="43" spans="2:13" ht="24.95" customHeight="1" x14ac:dyDescent="0.25">
      <c r="B43" s="46" t="str">
        <f>IF(D43="","",COUNTA(D$14:D43))</f>
        <v/>
      </c>
      <c r="C43" s="27"/>
      <c r="D43" s="6"/>
      <c r="E43" s="29"/>
      <c r="F43" s="6"/>
      <c r="G43" s="25"/>
      <c r="H43" s="9"/>
      <c r="I43" s="41" t="str">
        <f>IFERROR(VLOOKUP(H43,Listas!B:D,2,0),"")</f>
        <v/>
      </c>
      <c r="J43" s="42" t="str">
        <f>IFERROR(VLOOKUP(H43,Listas!B:D,3,0),"")</f>
        <v/>
      </c>
      <c r="K43" s="43" t="str">
        <f t="shared" si="0"/>
        <v/>
      </c>
      <c r="L43" s="6"/>
      <c r="M43" s="6"/>
    </row>
    <row r="44" spans="2:13" ht="24.95" customHeight="1" x14ac:dyDescent="0.25">
      <c r="B44" s="46" t="str">
        <f>IF(D44="","",COUNTA(D$14:D44))</f>
        <v/>
      </c>
      <c r="C44" s="27"/>
      <c r="D44" s="6"/>
      <c r="E44" s="29"/>
      <c r="F44" s="6"/>
      <c r="G44" s="25"/>
      <c r="H44" s="9"/>
      <c r="I44" s="41" t="str">
        <f>IFERROR(VLOOKUP(H44,Listas!B:D,2,0),"")</f>
        <v/>
      </c>
      <c r="J44" s="42" t="str">
        <f>IFERROR(VLOOKUP(H44,Listas!B:D,3,0),"")</f>
        <v/>
      </c>
      <c r="K44" s="43" t="str">
        <f t="shared" si="0"/>
        <v/>
      </c>
      <c r="L44" s="6"/>
      <c r="M44" s="6"/>
    </row>
    <row r="45" spans="2:13" ht="24.95" customHeight="1" x14ac:dyDescent="0.25">
      <c r="B45" s="46" t="str">
        <f>IF(D45="","",COUNTA(D$14:D45))</f>
        <v/>
      </c>
      <c r="C45" s="27"/>
      <c r="D45" s="6"/>
      <c r="E45" s="29"/>
      <c r="F45" s="6"/>
      <c r="G45" s="25"/>
      <c r="H45" s="9"/>
      <c r="I45" s="41" t="str">
        <f>IFERROR(VLOOKUP(H45,Listas!B:D,2,0),"")</f>
        <v/>
      </c>
      <c r="J45" s="42" t="str">
        <f>IFERROR(VLOOKUP(H45,Listas!B:D,3,0),"")</f>
        <v/>
      </c>
      <c r="K45" s="43" t="str">
        <f t="shared" si="0"/>
        <v/>
      </c>
      <c r="L45" s="6"/>
      <c r="M45" s="6"/>
    </row>
    <row r="46" spans="2:13" ht="24.95" customHeight="1" x14ac:dyDescent="0.25">
      <c r="B46" s="46" t="str">
        <f>IF(D46="","",COUNTA(D$14:D46))</f>
        <v/>
      </c>
      <c r="C46" s="27"/>
      <c r="D46" s="6"/>
      <c r="E46" s="29"/>
      <c r="F46" s="6"/>
      <c r="G46" s="25"/>
      <c r="H46" s="9"/>
      <c r="I46" s="41" t="str">
        <f>IFERROR(VLOOKUP(H46,Listas!B:D,2,0),"")</f>
        <v/>
      </c>
      <c r="J46" s="42" t="str">
        <f>IFERROR(VLOOKUP(H46,Listas!B:D,3,0),"")</f>
        <v/>
      </c>
      <c r="K46" s="43" t="str">
        <f t="shared" si="0"/>
        <v/>
      </c>
      <c r="L46" s="6"/>
      <c r="M46" s="6"/>
    </row>
    <row r="47" spans="2:13" ht="24.95" customHeight="1" x14ac:dyDescent="0.25">
      <c r="B47" s="46" t="str">
        <f>IF(D47="","",COUNTA(D$14:D47))</f>
        <v/>
      </c>
      <c r="C47" s="27"/>
      <c r="D47" s="6"/>
      <c r="E47" s="29"/>
      <c r="F47" s="6"/>
      <c r="G47" s="25"/>
      <c r="H47" s="9"/>
      <c r="I47" s="41" t="str">
        <f>IFERROR(VLOOKUP(H47,Listas!B:D,2,0),"")</f>
        <v/>
      </c>
      <c r="J47" s="42" t="str">
        <f>IFERROR(VLOOKUP(H47,Listas!B:D,3,0),"")</f>
        <v/>
      </c>
      <c r="K47" s="43" t="str">
        <f t="shared" si="0"/>
        <v/>
      </c>
      <c r="L47" s="6"/>
      <c r="M47" s="6"/>
    </row>
    <row r="48" spans="2:13" ht="24.95" customHeight="1" x14ac:dyDescent="0.25">
      <c r="B48" s="46" t="str">
        <f>IF(D48="","",COUNTA(D$14:D48))</f>
        <v/>
      </c>
      <c r="C48" s="27"/>
      <c r="D48" s="6"/>
      <c r="E48" s="29"/>
      <c r="F48" s="6"/>
      <c r="G48" s="25"/>
      <c r="H48" s="9"/>
      <c r="I48" s="41" t="str">
        <f>IFERROR(VLOOKUP(H48,Listas!B:D,2,0),"")</f>
        <v/>
      </c>
      <c r="J48" s="42" t="str">
        <f>IFERROR(VLOOKUP(H48,Listas!B:D,3,0),"")</f>
        <v/>
      </c>
      <c r="K48" s="43" t="str">
        <f t="shared" si="0"/>
        <v/>
      </c>
      <c r="L48" s="6"/>
      <c r="M48" s="6"/>
    </row>
    <row r="49" spans="2:13" ht="24.95" customHeight="1" x14ac:dyDescent="0.25">
      <c r="B49" s="46" t="str">
        <f>IF(D49="","",COUNTA(D$14:D49))</f>
        <v/>
      </c>
      <c r="C49" s="27"/>
      <c r="D49" s="6"/>
      <c r="E49" s="29"/>
      <c r="F49" s="6"/>
      <c r="G49" s="25"/>
      <c r="H49" s="9"/>
      <c r="I49" s="41" t="str">
        <f>IFERROR(VLOOKUP(H49,Listas!B:D,2,0),"")</f>
        <v/>
      </c>
      <c r="J49" s="42" t="str">
        <f>IFERROR(VLOOKUP(H49,Listas!B:D,3,0),"")</f>
        <v/>
      </c>
      <c r="K49" s="43" t="str">
        <f t="shared" si="0"/>
        <v/>
      </c>
      <c r="L49" s="6"/>
      <c r="M49" s="6"/>
    </row>
    <row r="50" spans="2:13" ht="24.95" customHeight="1" x14ac:dyDescent="0.25">
      <c r="B50" s="46" t="str">
        <f>IF(D50="","",COUNTA(D$14:D50))</f>
        <v/>
      </c>
      <c r="C50" s="27"/>
      <c r="D50" s="6"/>
      <c r="E50" s="29"/>
      <c r="F50" s="6"/>
      <c r="G50" s="25"/>
      <c r="H50" s="9"/>
      <c r="I50" s="41" t="str">
        <f>IFERROR(VLOOKUP(H50,Listas!B:D,2,0),"")</f>
        <v/>
      </c>
      <c r="J50" s="42" t="str">
        <f>IFERROR(VLOOKUP(H50,Listas!B:D,3,0),"")</f>
        <v/>
      </c>
      <c r="K50" s="43" t="str">
        <f t="shared" si="0"/>
        <v/>
      </c>
      <c r="L50" s="6"/>
      <c r="M50" s="6"/>
    </row>
    <row r="51" spans="2:13" ht="24.95" customHeight="1" x14ac:dyDescent="0.25">
      <c r="B51" s="46" t="str">
        <f>IF(D51="","",COUNTA(D$14:D51))</f>
        <v/>
      </c>
      <c r="C51" s="27"/>
      <c r="D51" s="6"/>
      <c r="E51" s="29"/>
      <c r="F51" s="6"/>
      <c r="G51" s="25"/>
      <c r="H51" s="9"/>
      <c r="I51" s="41" t="str">
        <f>IFERROR(VLOOKUP(H51,Listas!B:D,2,0),"")</f>
        <v/>
      </c>
      <c r="J51" s="42" t="str">
        <f>IFERROR(VLOOKUP(H51,Listas!B:D,3,0),"")</f>
        <v/>
      </c>
      <c r="K51" s="43" t="str">
        <f t="shared" si="0"/>
        <v/>
      </c>
      <c r="L51" s="6"/>
      <c r="M51" s="6"/>
    </row>
    <row r="52" spans="2:13" ht="24.95" customHeight="1" x14ac:dyDescent="0.25">
      <c r="B52" s="46" t="str">
        <f>IF(D52="","",COUNTA(D$14:D52))</f>
        <v/>
      </c>
      <c r="C52" s="27"/>
      <c r="D52" s="6"/>
      <c r="E52" s="29"/>
      <c r="F52" s="6"/>
      <c r="G52" s="25"/>
      <c r="H52" s="9"/>
      <c r="I52" s="41" t="str">
        <f>IFERROR(VLOOKUP(H52,Listas!B:D,2,0),"")</f>
        <v/>
      </c>
      <c r="J52" s="42" t="str">
        <f>IFERROR(VLOOKUP(H52,Listas!B:D,3,0),"")</f>
        <v/>
      </c>
      <c r="K52" s="43" t="str">
        <f t="shared" si="0"/>
        <v/>
      </c>
      <c r="L52" s="6"/>
      <c r="M52" s="6"/>
    </row>
    <row r="53" spans="2:13" ht="24.95" customHeight="1" x14ac:dyDescent="0.25">
      <c r="B53" s="46" t="str">
        <f>IF(D53="","",COUNTA(D$14:D53))</f>
        <v/>
      </c>
      <c r="C53" s="27"/>
      <c r="D53" s="6"/>
      <c r="E53" s="29"/>
      <c r="F53" s="6"/>
      <c r="G53" s="25"/>
      <c r="H53" s="9"/>
      <c r="I53" s="41" t="str">
        <f>IFERROR(VLOOKUP(H53,Listas!B:D,2,0),"")</f>
        <v/>
      </c>
      <c r="J53" s="42" t="str">
        <f>IFERROR(VLOOKUP(H53,Listas!B:D,3,0),"")</f>
        <v/>
      </c>
      <c r="K53" s="43" t="str">
        <f t="shared" si="0"/>
        <v/>
      </c>
      <c r="L53" s="6"/>
      <c r="M53" s="6"/>
    </row>
    <row r="54" spans="2:13" ht="24.95" customHeight="1" x14ac:dyDescent="0.25">
      <c r="B54" s="46" t="str">
        <f>IF(D54="","",COUNTA(D$14:D54))</f>
        <v/>
      </c>
      <c r="C54" s="27"/>
      <c r="D54" s="6"/>
      <c r="E54" s="29"/>
      <c r="F54" s="6"/>
      <c r="G54" s="25"/>
      <c r="H54" s="9"/>
      <c r="I54" s="41" t="str">
        <f>IFERROR(VLOOKUP(H54,Listas!B:D,2,0),"")</f>
        <v/>
      </c>
      <c r="J54" s="42" t="str">
        <f>IFERROR(VLOOKUP(H54,Listas!B:D,3,0),"")</f>
        <v/>
      </c>
      <c r="K54" s="43" t="str">
        <f t="shared" si="0"/>
        <v/>
      </c>
      <c r="L54" s="6"/>
      <c r="M54" s="6"/>
    </row>
    <row r="55" spans="2:13" ht="24.95" customHeight="1" x14ac:dyDescent="0.25">
      <c r="B55" s="46" t="str">
        <f>IF(D55="","",COUNTA(D$14:D55))</f>
        <v/>
      </c>
      <c r="C55" s="27"/>
      <c r="D55" s="6"/>
      <c r="E55" s="29"/>
      <c r="F55" s="6"/>
      <c r="G55" s="25"/>
      <c r="H55" s="9"/>
      <c r="I55" s="41" t="str">
        <f>IFERROR(VLOOKUP(H55,Listas!B:D,2,0),"")</f>
        <v/>
      </c>
      <c r="J55" s="42" t="str">
        <f>IFERROR(VLOOKUP(H55,Listas!B:D,3,0),"")</f>
        <v/>
      </c>
      <c r="K55" s="43" t="str">
        <f t="shared" si="0"/>
        <v/>
      </c>
      <c r="L55" s="6"/>
      <c r="M55" s="6"/>
    </row>
    <row r="56" spans="2:13" ht="24.95" customHeight="1" x14ac:dyDescent="0.25">
      <c r="B56" s="46" t="str">
        <f>IF(D56="","",COUNTA(D$14:D56))</f>
        <v/>
      </c>
      <c r="C56" s="27"/>
      <c r="D56" s="6"/>
      <c r="E56" s="29"/>
      <c r="F56" s="6"/>
      <c r="G56" s="25"/>
      <c r="H56" s="9"/>
      <c r="I56" s="41" t="str">
        <f>IFERROR(VLOOKUP(H56,Listas!B:D,2,0),"")</f>
        <v/>
      </c>
      <c r="J56" s="42" t="str">
        <f>IFERROR(VLOOKUP(H56,Listas!B:D,3,0),"")</f>
        <v/>
      </c>
      <c r="K56" s="43" t="str">
        <f t="shared" si="0"/>
        <v/>
      </c>
      <c r="L56" s="6"/>
      <c r="M56" s="6"/>
    </row>
    <row r="57" spans="2:13" ht="24.95" customHeight="1" x14ac:dyDescent="0.25">
      <c r="B57" s="46" t="str">
        <f>IF(D57="","",COUNTA(D$14:D57))</f>
        <v/>
      </c>
      <c r="C57" s="27"/>
      <c r="D57" s="6"/>
      <c r="E57" s="29"/>
      <c r="F57" s="6"/>
      <c r="G57" s="25"/>
      <c r="H57" s="9"/>
      <c r="I57" s="41" t="str">
        <f>IFERROR(VLOOKUP(H57,Listas!B:D,2,0),"")</f>
        <v/>
      </c>
      <c r="J57" s="42" t="str">
        <f>IFERROR(VLOOKUP(H57,Listas!B:D,3,0),"")</f>
        <v/>
      </c>
      <c r="K57" s="43" t="str">
        <f t="shared" si="0"/>
        <v/>
      </c>
      <c r="L57" s="6"/>
      <c r="M57" s="6"/>
    </row>
    <row r="58" spans="2:13" ht="24.95" customHeight="1" x14ac:dyDescent="0.25">
      <c r="B58" s="46" t="str">
        <f>IF(D58="","",COUNTA(D$14:D58))</f>
        <v/>
      </c>
      <c r="C58" s="27"/>
      <c r="D58" s="6"/>
      <c r="E58" s="29"/>
      <c r="F58" s="6"/>
      <c r="G58" s="25"/>
      <c r="H58" s="9"/>
      <c r="I58" s="41" t="str">
        <f>IFERROR(VLOOKUP(H58,Listas!B:D,2,0),"")</f>
        <v/>
      </c>
      <c r="J58" s="42" t="str">
        <f>IFERROR(VLOOKUP(H58,Listas!B:D,3,0),"")</f>
        <v/>
      </c>
      <c r="K58" s="43" t="str">
        <f t="shared" si="0"/>
        <v/>
      </c>
      <c r="L58" s="6"/>
      <c r="M58" s="6"/>
    </row>
    <row r="59" spans="2:13" ht="24.95" customHeight="1" x14ac:dyDescent="0.25">
      <c r="B59" s="46" t="str">
        <f>IF(D59="","",COUNTA(D$14:D59))</f>
        <v/>
      </c>
      <c r="C59" s="27"/>
      <c r="D59" s="6"/>
      <c r="E59" s="29"/>
      <c r="F59" s="6"/>
      <c r="G59" s="25"/>
      <c r="H59" s="9"/>
      <c r="I59" s="41" t="str">
        <f>IFERROR(VLOOKUP(H59,Listas!B:D,2,0),"")</f>
        <v/>
      </c>
      <c r="J59" s="42" t="str">
        <f>IFERROR(VLOOKUP(H59,Listas!B:D,3,0),"")</f>
        <v/>
      </c>
      <c r="K59" s="43" t="str">
        <f t="shared" si="0"/>
        <v/>
      </c>
      <c r="L59" s="6"/>
      <c r="M59" s="6"/>
    </row>
    <row r="60" spans="2:13" ht="24.95" customHeight="1" x14ac:dyDescent="0.25">
      <c r="B60" s="46" t="str">
        <f>IF(D60="","",COUNTA(D$14:D60))</f>
        <v/>
      </c>
      <c r="C60" s="27"/>
      <c r="D60" s="6"/>
      <c r="E60" s="29"/>
      <c r="F60" s="6"/>
      <c r="G60" s="25"/>
      <c r="H60" s="9"/>
      <c r="I60" s="41" t="str">
        <f>IFERROR(VLOOKUP(H60,Listas!B:D,2,0),"")</f>
        <v/>
      </c>
      <c r="J60" s="42" t="str">
        <f>IFERROR(VLOOKUP(H60,Listas!B:D,3,0),"")</f>
        <v/>
      </c>
      <c r="K60" s="43" t="str">
        <f t="shared" si="0"/>
        <v/>
      </c>
      <c r="L60" s="6"/>
      <c r="M60" s="6"/>
    </row>
    <row r="61" spans="2:13" ht="24.95" customHeight="1" x14ac:dyDescent="0.25">
      <c r="B61" s="46" t="str">
        <f>IF(D61="","",COUNTA(D$14:D61))</f>
        <v/>
      </c>
      <c r="C61" s="27"/>
      <c r="D61" s="6"/>
      <c r="E61" s="29"/>
      <c r="F61" s="6"/>
      <c r="G61" s="25"/>
      <c r="H61" s="9"/>
      <c r="I61" s="41" t="str">
        <f>IFERROR(VLOOKUP(H61,Listas!B:D,2,0),"")</f>
        <v/>
      </c>
      <c r="J61" s="42" t="str">
        <f>IFERROR(VLOOKUP(H61,Listas!B:D,3,0),"")</f>
        <v/>
      </c>
      <c r="K61" s="43" t="str">
        <f t="shared" si="0"/>
        <v/>
      </c>
      <c r="L61" s="6"/>
      <c r="M61" s="6"/>
    </row>
    <row r="62" spans="2:13" ht="24.95" customHeight="1" x14ac:dyDescent="0.25">
      <c r="B62" s="46" t="str">
        <f>IF(D62="","",COUNTA(D$14:D62))</f>
        <v/>
      </c>
      <c r="C62" s="27"/>
      <c r="D62" s="6"/>
      <c r="E62" s="29"/>
      <c r="F62" s="6"/>
      <c r="G62" s="25"/>
      <c r="H62" s="9"/>
      <c r="I62" s="41" t="str">
        <f>IFERROR(VLOOKUP(H62,Listas!B:D,2,0),"")</f>
        <v/>
      </c>
      <c r="J62" s="42" t="str">
        <f>IFERROR(VLOOKUP(H62,Listas!B:D,3,0),"")</f>
        <v/>
      </c>
      <c r="K62" s="43" t="str">
        <f t="shared" si="0"/>
        <v/>
      </c>
      <c r="L62" s="6"/>
      <c r="M62" s="6"/>
    </row>
    <row r="63" spans="2:13" ht="24.75" customHeight="1" x14ac:dyDescent="0.25">
      <c r="B63" s="46" t="str">
        <f>IF(D63="","",COUNTA(D$14:D63))</f>
        <v/>
      </c>
      <c r="C63" s="27"/>
      <c r="D63" s="6"/>
      <c r="E63" s="29"/>
      <c r="F63" s="6"/>
      <c r="G63" s="25"/>
      <c r="H63" s="9"/>
      <c r="I63" s="41" t="str">
        <f>IFERROR(VLOOKUP(H63,Listas!B:D,2,0),"")</f>
        <v/>
      </c>
      <c r="J63" s="42" t="str">
        <f>IFERROR(VLOOKUP(H63,Listas!B:D,3,0),"")</f>
        <v/>
      </c>
      <c r="K63" s="43" t="str">
        <f t="shared" si="0"/>
        <v/>
      </c>
      <c r="L63" s="6"/>
      <c r="M63" s="6"/>
    </row>
    <row r="64" spans="2:13" ht="24.95" customHeight="1" x14ac:dyDescent="0.25"/>
    <row r="65" ht="24.95" customHeight="1" x14ac:dyDescent="0.25"/>
    <row r="66" ht="24.95" customHeight="1" x14ac:dyDescent="0.25"/>
    <row r="67" ht="24.95" customHeight="1" x14ac:dyDescent="0.25"/>
    <row r="68" ht="24.95" customHeight="1" x14ac:dyDescent="0.25"/>
    <row r="69" ht="24.95" customHeight="1" x14ac:dyDescent="0.25"/>
    <row r="70" ht="24.95" customHeight="1" x14ac:dyDescent="0.25"/>
    <row r="71" ht="24.95" customHeight="1" x14ac:dyDescent="0.25"/>
    <row r="72" ht="24.95" customHeight="1" x14ac:dyDescent="0.25"/>
    <row r="73" ht="24.95" customHeight="1" x14ac:dyDescent="0.25"/>
    <row r="74" ht="24.95" customHeight="1" x14ac:dyDescent="0.25"/>
    <row r="75" ht="24.95" customHeight="1" x14ac:dyDescent="0.25"/>
    <row r="76" ht="24.95" customHeight="1" x14ac:dyDescent="0.25"/>
    <row r="77" ht="24.95" customHeight="1" x14ac:dyDescent="0.25"/>
    <row r="78" ht="24.95" customHeight="1" x14ac:dyDescent="0.25"/>
    <row r="79" ht="24.95" customHeight="1" x14ac:dyDescent="0.25"/>
    <row r="80" ht="24.95" customHeight="1" x14ac:dyDescent="0.25"/>
    <row r="81" ht="24.95" customHeight="1" x14ac:dyDescent="0.25"/>
    <row r="82" ht="24.95" customHeight="1" x14ac:dyDescent="0.25"/>
    <row r="83" ht="24.95" customHeight="1" x14ac:dyDescent="0.25"/>
    <row r="84" ht="24.95" customHeight="1" x14ac:dyDescent="0.25"/>
    <row r="85" ht="24.95" customHeight="1" x14ac:dyDescent="0.25"/>
    <row r="86" ht="24.95" customHeight="1" x14ac:dyDescent="0.25"/>
    <row r="87" ht="24.95" customHeight="1" x14ac:dyDescent="0.25"/>
    <row r="88" ht="24.95" customHeight="1" x14ac:dyDescent="0.25"/>
    <row r="89" ht="24.95" customHeight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hidden="1" x14ac:dyDescent="0.25"/>
    <row r="162" x14ac:dyDescent="0.25"/>
    <row r="163" x14ac:dyDescent="0.25"/>
  </sheetData>
  <sheetProtection sheet="1" insertRows="0" deleteRows="0"/>
  <mergeCells count="10">
    <mergeCell ref="G10:H10"/>
    <mergeCell ref="B12:B13"/>
    <mergeCell ref="L12:L13"/>
    <mergeCell ref="M12:M13"/>
    <mergeCell ref="H12:K12"/>
    <mergeCell ref="G12:G13"/>
    <mergeCell ref="F12:F13"/>
    <mergeCell ref="E12:E13"/>
    <mergeCell ref="D12:D13"/>
    <mergeCell ref="C12:C13"/>
  </mergeCells>
  <printOptions horizontalCentered="1"/>
  <pageMargins left="0.39370078740157483" right="0.19685039370078741" top="0.39370078740157483" bottom="0.39370078740157483" header="0.31496062992125984" footer="0.11811023622047245"/>
  <pageSetup scale="65" orientation="landscape" horizontalDpi="300" verticalDpi="300" r:id="rId1"/>
  <headerFooter>
    <oddFooter>&amp;R&amp;P / &amp;N</oddFooter>
  </headerFooter>
  <rowBreaks count="1" manualBreakCount="1">
    <brk id="38" min="1" max="12" man="1"/>
  </rowBreaks>
  <colBreaks count="1" manualBreakCount="1">
    <brk id="13" min="1" max="70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Listas!$J$4:$J$13</xm:f>
          </x14:formula1>
          <xm:sqref>M14:M63</xm:sqref>
        </x14:dataValidation>
        <x14:dataValidation type="list" allowBlank="1" showInputMessage="1" showErrorMessage="1">
          <x14:formula1>
            <xm:f>Listas!$B$4:$B$53</xm:f>
          </x14:formula1>
          <xm:sqref>H14:H63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workbookViewId="0">
      <pane ySplit="3" topLeftCell="A4" activePane="bottomLeft" state="frozen"/>
      <selection pane="bottomLeft"/>
    </sheetView>
  </sheetViews>
  <sheetFormatPr baseColWidth="10" defaultColWidth="11.42578125" defaultRowHeight="15" x14ac:dyDescent="0.25"/>
  <cols>
    <col min="1" max="1" width="1.85546875" style="30" customWidth="1"/>
    <col min="2" max="2" width="7.28515625" style="30" bestFit="1" customWidth="1"/>
    <col min="3" max="3" width="31.28515625" style="32" bestFit="1" customWidth="1"/>
    <col min="4" max="4" width="7.140625" style="30" customWidth="1"/>
    <col min="5" max="5" width="4.7109375" style="30" customWidth="1"/>
    <col min="6" max="6" width="33.140625" style="32" customWidth="1"/>
    <col min="7" max="7" width="7.28515625" style="30" customWidth="1"/>
    <col min="8" max="8" width="14.42578125" style="30" customWidth="1"/>
    <col min="9" max="9" width="3" style="30" customWidth="1"/>
    <col min="10" max="10" width="27.85546875" style="30" customWidth="1"/>
    <col min="11" max="16384" width="11.42578125" style="30"/>
  </cols>
  <sheetData>
    <row r="1" spans="2:10" ht="7.5" customHeight="1" x14ac:dyDescent="0.25"/>
    <row r="2" spans="2:10" s="31" customFormat="1" x14ac:dyDescent="0.25">
      <c r="B2" s="31" t="s">
        <v>51</v>
      </c>
      <c r="C2" s="33"/>
      <c r="F2" s="33" t="s">
        <v>50</v>
      </c>
    </row>
    <row r="3" spans="2:10" x14ac:dyDescent="0.25">
      <c r="B3" s="11" t="s">
        <v>14</v>
      </c>
      <c r="C3" s="12" t="s">
        <v>15</v>
      </c>
      <c r="D3" s="11" t="s">
        <v>8</v>
      </c>
      <c r="F3" s="12" t="s">
        <v>15</v>
      </c>
      <c r="G3" s="11" t="s">
        <v>14</v>
      </c>
      <c r="H3" s="11" t="s">
        <v>8</v>
      </c>
      <c r="J3" s="36" t="s">
        <v>11</v>
      </c>
    </row>
    <row r="4" spans="2:10" x14ac:dyDescent="0.25">
      <c r="B4" s="13">
        <v>1</v>
      </c>
      <c r="C4" s="14" t="s">
        <v>16</v>
      </c>
      <c r="D4" s="15">
        <v>0.1</v>
      </c>
      <c r="F4" s="17" t="s">
        <v>31</v>
      </c>
      <c r="G4" s="16">
        <v>16</v>
      </c>
      <c r="H4" s="18">
        <v>0.5</v>
      </c>
      <c r="J4" s="37" t="s">
        <v>53</v>
      </c>
    </row>
    <row r="5" spans="2:10" x14ac:dyDescent="0.25">
      <c r="B5" s="16">
        <v>2</v>
      </c>
      <c r="C5" s="17" t="s">
        <v>17</v>
      </c>
      <c r="D5" s="18">
        <v>0.1</v>
      </c>
      <c r="F5" s="17" t="s">
        <v>31</v>
      </c>
      <c r="G5" s="16">
        <v>17</v>
      </c>
      <c r="H5" s="18">
        <v>1</v>
      </c>
      <c r="J5" s="37" t="s">
        <v>54</v>
      </c>
    </row>
    <row r="6" spans="2:10" x14ac:dyDescent="0.25">
      <c r="B6" s="16">
        <v>3</v>
      </c>
      <c r="C6" s="17" t="s">
        <v>18</v>
      </c>
      <c r="D6" s="18">
        <v>0.1</v>
      </c>
      <c r="F6" s="17" t="s">
        <v>20</v>
      </c>
      <c r="G6" s="16">
        <v>5</v>
      </c>
      <c r="H6" s="18">
        <v>1</v>
      </c>
      <c r="J6" s="37" t="s">
        <v>55</v>
      </c>
    </row>
    <row r="7" spans="2:10" x14ac:dyDescent="0.25">
      <c r="B7" s="16">
        <v>4</v>
      </c>
      <c r="C7" s="17" t="s">
        <v>19</v>
      </c>
      <c r="D7" s="18">
        <v>0.5</v>
      </c>
      <c r="F7" s="17" t="s">
        <v>19</v>
      </c>
      <c r="G7" s="16">
        <v>4</v>
      </c>
      <c r="H7" s="18">
        <v>0.5</v>
      </c>
      <c r="J7" s="37" t="s">
        <v>56</v>
      </c>
    </row>
    <row r="8" spans="2:10" x14ac:dyDescent="0.25">
      <c r="B8" s="16">
        <v>5</v>
      </c>
      <c r="C8" s="17" t="s">
        <v>20</v>
      </c>
      <c r="D8" s="18">
        <v>1</v>
      </c>
      <c r="F8" s="17" t="s">
        <v>36</v>
      </c>
      <c r="G8" s="16">
        <v>22</v>
      </c>
      <c r="H8" s="18">
        <v>0.5</v>
      </c>
      <c r="J8" s="37" t="s">
        <v>57</v>
      </c>
    </row>
    <row r="9" spans="2:10" x14ac:dyDescent="0.25">
      <c r="B9" s="16">
        <v>6</v>
      </c>
      <c r="C9" s="17" t="s">
        <v>21</v>
      </c>
      <c r="D9" s="18">
        <v>0.5</v>
      </c>
      <c r="F9" s="17" t="s">
        <v>23</v>
      </c>
      <c r="G9" s="16">
        <v>8</v>
      </c>
      <c r="H9" s="18">
        <v>0.5</v>
      </c>
      <c r="J9" s="37"/>
    </row>
    <row r="10" spans="2:10" x14ac:dyDescent="0.25">
      <c r="B10" s="16">
        <v>7</v>
      </c>
      <c r="C10" s="17" t="s">
        <v>22</v>
      </c>
      <c r="D10" s="18">
        <v>0.5</v>
      </c>
      <c r="F10" s="17" t="s">
        <v>38</v>
      </c>
      <c r="G10" s="16">
        <v>24</v>
      </c>
      <c r="H10" s="18">
        <v>0.5</v>
      </c>
      <c r="J10" s="37"/>
    </row>
    <row r="11" spans="2:10" x14ac:dyDescent="0.25">
      <c r="B11" s="16">
        <v>8</v>
      </c>
      <c r="C11" s="17" t="s">
        <v>23</v>
      </c>
      <c r="D11" s="18">
        <v>0.5</v>
      </c>
      <c r="F11" s="17" t="s">
        <v>22</v>
      </c>
      <c r="G11" s="16">
        <v>7</v>
      </c>
      <c r="H11" s="18">
        <v>0.5</v>
      </c>
      <c r="J11" s="37"/>
    </row>
    <row r="12" spans="2:10" x14ac:dyDescent="0.25">
      <c r="B12" s="16">
        <v>9</v>
      </c>
      <c r="C12" s="17" t="s">
        <v>24</v>
      </c>
      <c r="D12" s="18">
        <v>0.1</v>
      </c>
      <c r="F12" s="17" t="s">
        <v>21</v>
      </c>
      <c r="G12" s="16">
        <v>6</v>
      </c>
      <c r="H12" s="18">
        <v>0.5</v>
      </c>
      <c r="J12" s="37"/>
    </row>
    <row r="13" spans="2:10" x14ac:dyDescent="0.25">
      <c r="B13" s="16">
        <v>10</v>
      </c>
      <c r="C13" s="17" t="s">
        <v>25</v>
      </c>
      <c r="D13" s="18">
        <v>0.05</v>
      </c>
      <c r="F13" s="17" t="s">
        <v>49</v>
      </c>
      <c r="G13" s="16">
        <v>44</v>
      </c>
      <c r="H13" s="18">
        <v>0.1</v>
      </c>
      <c r="J13" s="37"/>
    </row>
    <row r="14" spans="2:10" x14ac:dyDescent="0.25">
      <c r="B14" s="16">
        <v>11</v>
      </c>
      <c r="C14" s="17" t="s">
        <v>26</v>
      </c>
      <c r="D14" s="18">
        <v>0.1</v>
      </c>
      <c r="F14" s="17" t="s">
        <v>40</v>
      </c>
      <c r="G14" s="16">
        <v>26</v>
      </c>
      <c r="H14" s="18">
        <v>0.05</v>
      </c>
    </row>
    <row r="15" spans="2:10" x14ac:dyDescent="0.25">
      <c r="B15" s="16">
        <v>12</v>
      </c>
      <c r="C15" s="17" t="s">
        <v>27</v>
      </c>
      <c r="D15" s="18">
        <v>0.15</v>
      </c>
      <c r="F15" s="17" t="s">
        <v>28</v>
      </c>
      <c r="G15" s="16">
        <v>13</v>
      </c>
      <c r="H15" s="18">
        <v>0.25</v>
      </c>
    </row>
    <row r="16" spans="2:10" x14ac:dyDescent="0.25">
      <c r="B16" s="16">
        <v>13</v>
      </c>
      <c r="C16" s="17" t="s">
        <v>28</v>
      </c>
      <c r="D16" s="18">
        <v>0.25</v>
      </c>
      <c r="F16" s="17" t="s">
        <v>33</v>
      </c>
      <c r="G16" s="16">
        <v>19</v>
      </c>
      <c r="H16" s="18">
        <v>0.05</v>
      </c>
    </row>
    <row r="17" spans="2:8" x14ac:dyDescent="0.25">
      <c r="B17" s="16">
        <v>14</v>
      </c>
      <c r="C17" s="17" t="s">
        <v>29</v>
      </c>
      <c r="D17" s="18">
        <v>0.05</v>
      </c>
      <c r="F17" s="17" t="s">
        <v>27</v>
      </c>
      <c r="G17" s="16">
        <v>12</v>
      </c>
      <c r="H17" s="18">
        <v>0.15</v>
      </c>
    </row>
    <row r="18" spans="2:8" x14ac:dyDescent="0.25">
      <c r="B18" s="16">
        <v>15</v>
      </c>
      <c r="C18" s="17" t="s">
        <v>30</v>
      </c>
      <c r="D18" s="18">
        <v>0.25</v>
      </c>
      <c r="F18" s="17" t="s">
        <v>29</v>
      </c>
      <c r="G18" s="16">
        <v>14</v>
      </c>
      <c r="H18" s="18">
        <v>0.05</v>
      </c>
    </row>
    <row r="19" spans="2:8" x14ac:dyDescent="0.25">
      <c r="B19" s="16">
        <v>16</v>
      </c>
      <c r="C19" s="17" t="s">
        <v>31</v>
      </c>
      <c r="D19" s="18">
        <v>0.5</v>
      </c>
      <c r="F19" s="17" t="s">
        <v>25</v>
      </c>
      <c r="G19" s="16">
        <v>10</v>
      </c>
      <c r="H19" s="18">
        <v>0.05</v>
      </c>
    </row>
    <row r="20" spans="2:8" x14ac:dyDescent="0.25">
      <c r="B20" s="16">
        <v>17</v>
      </c>
      <c r="C20" s="17" t="s">
        <v>31</v>
      </c>
      <c r="D20" s="18">
        <v>1</v>
      </c>
      <c r="F20" s="17" t="s">
        <v>32</v>
      </c>
      <c r="G20" s="16">
        <v>18</v>
      </c>
      <c r="H20" s="18">
        <v>0.1</v>
      </c>
    </row>
    <row r="21" spans="2:8" x14ac:dyDescent="0.25">
      <c r="B21" s="16">
        <v>18</v>
      </c>
      <c r="C21" s="17" t="s">
        <v>32</v>
      </c>
      <c r="D21" s="18">
        <v>0.1</v>
      </c>
      <c r="F21" s="17" t="s">
        <v>34</v>
      </c>
      <c r="G21" s="16">
        <v>20</v>
      </c>
      <c r="H21" s="18">
        <v>0.1</v>
      </c>
    </row>
    <row r="22" spans="2:8" x14ac:dyDescent="0.25">
      <c r="B22" s="16">
        <v>19</v>
      </c>
      <c r="C22" s="17" t="s">
        <v>33</v>
      </c>
      <c r="D22" s="18">
        <v>0.05</v>
      </c>
      <c r="F22" s="17" t="s">
        <v>24</v>
      </c>
      <c r="G22" s="16">
        <v>9</v>
      </c>
      <c r="H22" s="18">
        <v>0.1</v>
      </c>
    </row>
    <row r="23" spans="2:8" x14ac:dyDescent="0.25">
      <c r="B23" s="16">
        <v>20</v>
      </c>
      <c r="C23" s="17" t="s">
        <v>34</v>
      </c>
      <c r="D23" s="18">
        <v>0.1</v>
      </c>
      <c r="F23" s="17" t="s">
        <v>30</v>
      </c>
      <c r="G23" s="16">
        <v>15</v>
      </c>
      <c r="H23" s="18">
        <v>0.25</v>
      </c>
    </row>
    <row r="24" spans="2:8" x14ac:dyDescent="0.25">
      <c r="B24" s="16">
        <v>21</v>
      </c>
      <c r="C24" s="17" t="s">
        <v>35</v>
      </c>
      <c r="D24" s="18">
        <v>0.1</v>
      </c>
      <c r="F24" s="17" t="s">
        <v>43</v>
      </c>
      <c r="G24" s="16">
        <v>37</v>
      </c>
      <c r="H24" s="18">
        <v>0.1</v>
      </c>
    </row>
    <row r="25" spans="2:8" x14ac:dyDescent="0.25">
      <c r="B25" s="16">
        <v>22</v>
      </c>
      <c r="C25" s="17" t="s">
        <v>36</v>
      </c>
      <c r="D25" s="18">
        <v>0.5</v>
      </c>
      <c r="F25" s="17" t="s">
        <v>26</v>
      </c>
      <c r="G25" s="16">
        <v>11</v>
      </c>
      <c r="H25" s="18">
        <v>0.1</v>
      </c>
    </row>
    <row r="26" spans="2:8" x14ac:dyDescent="0.25">
      <c r="B26" s="16">
        <v>23</v>
      </c>
      <c r="C26" s="17" t="s">
        <v>37</v>
      </c>
      <c r="D26" s="18">
        <v>0.05</v>
      </c>
      <c r="F26" s="17" t="s">
        <v>18</v>
      </c>
      <c r="G26" s="16">
        <v>3</v>
      </c>
      <c r="H26" s="18">
        <v>0.1</v>
      </c>
    </row>
    <row r="27" spans="2:8" x14ac:dyDescent="0.25">
      <c r="B27" s="16">
        <v>24</v>
      </c>
      <c r="C27" s="17" t="s">
        <v>38</v>
      </c>
      <c r="D27" s="18">
        <v>0.5</v>
      </c>
      <c r="F27" s="17" t="s">
        <v>18</v>
      </c>
      <c r="G27" s="16">
        <v>27</v>
      </c>
      <c r="H27" s="18">
        <v>0.2</v>
      </c>
    </row>
    <row r="28" spans="2:8" x14ac:dyDescent="0.25">
      <c r="B28" s="16">
        <v>25</v>
      </c>
      <c r="C28" s="17" t="s">
        <v>39</v>
      </c>
      <c r="D28" s="18">
        <v>0.2</v>
      </c>
      <c r="F28" s="17" t="s">
        <v>18</v>
      </c>
      <c r="G28" s="16">
        <v>31</v>
      </c>
      <c r="H28" s="18">
        <v>0.1</v>
      </c>
    </row>
    <row r="29" spans="2:8" x14ac:dyDescent="0.25">
      <c r="B29" s="16">
        <v>26</v>
      </c>
      <c r="C29" s="17" t="s">
        <v>40</v>
      </c>
      <c r="D29" s="18">
        <v>0.05</v>
      </c>
      <c r="F29" s="17" t="s">
        <v>18</v>
      </c>
      <c r="G29" s="16">
        <v>32</v>
      </c>
      <c r="H29" s="18">
        <v>0.15</v>
      </c>
    </row>
    <row r="30" spans="2:8" x14ac:dyDescent="0.25">
      <c r="B30" s="16">
        <v>27</v>
      </c>
      <c r="C30" s="17" t="s">
        <v>18</v>
      </c>
      <c r="D30" s="18">
        <v>0.2</v>
      </c>
      <c r="F30" s="17" t="s">
        <v>41</v>
      </c>
      <c r="G30" s="16">
        <v>28</v>
      </c>
      <c r="H30" s="18">
        <v>0.05</v>
      </c>
    </row>
    <row r="31" spans="2:8" x14ac:dyDescent="0.25">
      <c r="B31" s="16">
        <v>28</v>
      </c>
      <c r="C31" s="17" t="s">
        <v>41</v>
      </c>
      <c r="D31" s="18">
        <v>0.05</v>
      </c>
      <c r="F31" s="17" t="s">
        <v>41</v>
      </c>
      <c r="G31" s="16">
        <v>29</v>
      </c>
      <c r="H31" s="18">
        <v>0.1</v>
      </c>
    </row>
    <row r="32" spans="2:8" x14ac:dyDescent="0.25">
      <c r="B32" s="16">
        <v>29</v>
      </c>
      <c r="C32" s="17" t="s">
        <v>41</v>
      </c>
      <c r="D32" s="18">
        <v>0.1</v>
      </c>
      <c r="F32" s="17" t="s">
        <v>41</v>
      </c>
      <c r="G32" s="16">
        <v>30</v>
      </c>
      <c r="H32" s="18">
        <v>0.2</v>
      </c>
    </row>
    <row r="33" spans="1:8" x14ac:dyDescent="0.25">
      <c r="B33" s="16">
        <v>30</v>
      </c>
      <c r="C33" s="17" t="s">
        <v>41</v>
      </c>
      <c r="D33" s="18">
        <v>0.2</v>
      </c>
      <c r="F33" s="17" t="s">
        <v>41</v>
      </c>
      <c r="G33" s="16">
        <v>33</v>
      </c>
      <c r="H33" s="18">
        <v>0.3</v>
      </c>
    </row>
    <row r="34" spans="1:8" x14ac:dyDescent="0.25">
      <c r="B34" s="16">
        <v>31</v>
      </c>
      <c r="C34" s="17" t="s">
        <v>18</v>
      </c>
      <c r="D34" s="18">
        <v>0.1</v>
      </c>
      <c r="F34" s="17" t="s">
        <v>41</v>
      </c>
      <c r="G34" s="16">
        <v>34</v>
      </c>
      <c r="H34" s="18">
        <v>0.15</v>
      </c>
    </row>
    <row r="35" spans="1:8" x14ac:dyDescent="0.25">
      <c r="B35" s="16">
        <v>32</v>
      </c>
      <c r="C35" s="17" t="s">
        <v>18</v>
      </c>
      <c r="D35" s="18">
        <v>0.15</v>
      </c>
      <c r="F35" s="17" t="s">
        <v>41</v>
      </c>
      <c r="G35" s="16">
        <v>35</v>
      </c>
      <c r="H35" s="18">
        <v>0.25</v>
      </c>
    </row>
    <row r="36" spans="1:8" x14ac:dyDescent="0.25">
      <c r="B36" s="16">
        <v>33</v>
      </c>
      <c r="C36" s="17" t="s">
        <v>41</v>
      </c>
      <c r="D36" s="18">
        <v>0.3</v>
      </c>
      <c r="F36" s="17" t="s">
        <v>17</v>
      </c>
      <c r="G36" s="16">
        <v>2</v>
      </c>
      <c r="H36" s="18">
        <v>0.1</v>
      </c>
    </row>
    <row r="37" spans="1:8" x14ac:dyDescent="0.25">
      <c r="B37" s="16">
        <v>34</v>
      </c>
      <c r="C37" s="17" t="s">
        <v>41</v>
      </c>
      <c r="D37" s="18">
        <v>0.15</v>
      </c>
      <c r="F37" s="17" t="s">
        <v>37</v>
      </c>
      <c r="G37" s="16">
        <v>23</v>
      </c>
      <c r="H37" s="18">
        <v>0.05</v>
      </c>
    </row>
    <row r="38" spans="1:8" x14ac:dyDescent="0.25">
      <c r="B38" s="16">
        <v>35</v>
      </c>
      <c r="C38" s="17" t="s">
        <v>41</v>
      </c>
      <c r="D38" s="18">
        <v>0.25</v>
      </c>
      <c r="F38" s="17" t="s">
        <v>35</v>
      </c>
      <c r="G38" s="16">
        <v>21</v>
      </c>
      <c r="H38" s="18">
        <v>0.1</v>
      </c>
    </row>
    <row r="39" spans="1:8" x14ac:dyDescent="0.25">
      <c r="B39" s="16">
        <v>36</v>
      </c>
      <c r="C39" s="17" t="s">
        <v>42</v>
      </c>
      <c r="D39" s="18">
        <v>0.1</v>
      </c>
      <c r="F39" s="17" t="s">
        <v>39</v>
      </c>
      <c r="G39" s="16">
        <v>25</v>
      </c>
      <c r="H39" s="18">
        <v>0.2</v>
      </c>
    </row>
    <row r="40" spans="1:8" x14ac:dyDescent="0.25">
      <c r="B40" s="16">
        <v>37</v>
      </c>
      <c r="C40" s="17" t="s">
        <v>43</v>
      </c>
      <c r="D40" s="18">
        <v>0.1</v>
      </c>
      <c r="F40" s="14" t="s">
        <v>16</v>
      </c>
      <c r="G40" s="13">
        <v>1</v>
      </c>
      <c r="H40" s="15">
        <v>0.1</v>
      </c>
    </row>
    <row r="41" spans="1:8" x14ac:dyDescent="0.25">
      <c r="B41" s="16">
        <v>38</v>
      </c>
      <c r="C41" s="17" t="s">
        <v>44</v>
      </c>
      <c r="D41" s="16"/>
      <c r="F41" s="17" t="s">
        <v>45</v>
      </c>
      <c r="G41" s="16">
        <v>39</v>
      </c>
      <c r="H41" s="18">
        <v>0.1</v>
      </c>
    </row>
    <row r="42" spans="1:8" x14ac:dyDescent="0.25">
      <c r="B42" s="16">
        <v>39</v>
      </c>
      <c r="C42" s="17" t="s">
        <v>45</v>
      </c>
      <c r="D42" s="18">
        <v>0.1</v>
      </c>
      <c r="F42" s="17" t="s">
        <v>42</v>
      </c>
      <c r="G42" s="16">
        <v>36</v>
      </c>
      <c r="H42" s="18">
        <v>0.1</v>
      </c>
    </row>
    <row r="43" spans="1:8" x14ac:dyDescent="0.25">
      <c r="B43" s="16">
        <v>40</v>
      </c>
      <c r="C43" s="17" t="s">
        <v>46</v>
      </c>
      <c r="D43" s="16"/>
      <c r="F43" s="17" t="s">
        <v>48</v>
      </c>
      <c r="G43" s="16">
        <v>42</v>
      </c>
      <c r="H43" s="16"/>
    </row>
    <row r="44" spans="1:8" x14ac:dyDescent="0.25">
      <c r="B44" s="16">
        <v>41</v>
      </c>
      <c r="C44" s="17" t="s">
        <v>47</v>
      </c>
      <c r="D44" s="16"/>
      <c r="F44" s="17" t="s">
        <v>47</v>
      </c>
      <c r="G44" s="16">
        <v>41</v>
      </c>
      <c r="H44" s="16"/>
    </row>
    <row r="45" spans="1:8" x14ac:dyDescent="0.25">
      <c r="B45" s="16">
        <v>42</v>
      </c>
      <c r="C45" s="17" t="s">
        <v>48</v>
      </c>
      <c r="D45" s="16"/>
      <c r="F45" s="17" t="s">
        <v>44</v>
      </c>
      <c r="G45" s="16">
        <v>38</v>
      </c>
      <c r="H45" s="16"/>
    </row>
    <row r="46" spans="1:8" x14ac:dyDescent="0.25">
      <c r="B46" s="16">
        <v>44</v>
      </c>
      <c r="C46" s="17" t="s">
        <v>49</v>
      </c>
      <c r="D46" s="18">
        <v>0.1</v>
      </c>
      <c r="F46" s="17" t="s">
        <v>46</v>
      </c>
      <c r="G46" s="16">
        <v>40</v>
      </c>
      <c r="H46" s="16"/>
    </row>
    <row r="47" spans="1:8" x14ac:dyDescent="0.25">
      <c r="A47" s="52" t="s">
        <v>52</v>
      </c>
      <c r="B47" s="19"/>
      <c r="C47" s="20"/>
      <c r="D47" s="21"/>
      <c r="F47" s="34"/>
      <c r="G47" s="35"/>
      <c r="H47" s="35"/>
    </row>
    <row r="48" spans="1:8" x14ac:dyDescent="0.25">
      <c r="A48" s="52"/>
      <c r="B48" s="22"/>
      <c r="C48" s="23"/>
      <c r="D48" s="22"/>
      <c r="F48" s="34"/>
      <c r="G48" s="35"/>
      <c r="H48" s="35"/>
    </row>
    <row r="49" spans="1:8" x14ac:dyDescent="0.25">
      <c r="A49" s="52"/>
      <c r="B49" s="22"/>
      <c r="C49" s="23"/>
      <c r="D49" s="22"/>
      <c r="F49" s="34"/>
      <c r="G49" s="35"/>
      <c r="H49" s="35"/>
    </row>
    <row r="50" spans="1:8" x14ac:dyDescent="0.25">
      <c r="A50" s="52"/>
      <c r="B50" s="22"/>
      <c r="C50" s="23"/>
      <c r="D50" s="22"/>
      <c r="F50" s="34"/>
      <c r="G50" s="35"/>
      <c r="H50" s="35"/>
    </row>
    <row r="51" spans="1:8" x14ac:dyDescent="0.25">
      <c r="A51" s="52"/>
      <c r="B51" s="22"/>
      <c r="C51" s="23"/>
      <c r="D51" s="22"/>
      <c r="F51" s="34"/>
      <c r="G51" s="35"/>
      <c r="H51" s="35"/>
    </row>
    <row r="52" spans="1:8" x14ac:dyDescent="0.25">
      <c r="A52" s="52"/>
      <c r="B52" s="22"/>
      <c r="C52" s="23"/>
      <c r="D52" s="22"/>
      <c r="F52" s="34"/>
      <c r="G52" s="35"/>
      <c r="H52" s="35"/>
    </row>
    <row r="53" spans="1:8" x14ac:dyDescent="0.25">
      <c r="A53" s="52"/>
      <c r="B53" s="22"/>
      <c r="C53" s="23"/>
      <c r="D53" s="22"/>
      <c r="F53" s="34"/>
      <c r="G53" s="35"/>
      <c r="H53" s="35"/>
    </row>
  </sheetData>
  <sheetProtection sheet="1" objects="1" scenarios="1"/>
  <autoFilter ref="F3:H46">
    <sortState ref="F4:H46">
      <sortCondition ref="F3:F46"/>
    </sortState>
  </autoFilter>
  <mergeCells count="1">
    <mergeCell ref="A47:A53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FO-MA-007</vt:lpstr>
      <vt:lpstr>Listas</vt:lpstr>
      <vt:lpstr>'FO-MA-007'!Área_de_impresión</vt:lpstr>
      <vt:lpstr>'FO-MA-007'!Títulos_a_imprimir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ASISTENTE CALIDAD</cp:lastModifiedBy>
  <cp:revision/>
  <cp:lastPrinted>2023-03-10T19:26:06Z</cp:lastPrinted>
  <dcterms:created xsi:type="dcterms:W3CDTF">2021-04-09T22:02:03Z</dcterms:created>
  <dcterms:modified xsi:type="dcterms:W3CDTF">2023-03-10T19:26:10Z</dcterms:modified>
  <cp:category/>
  <cp:contentStatus/>
</cp:coreProperties>
</file>