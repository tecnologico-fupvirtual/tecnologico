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reccion.planeacion\Desktop\1. Planeación\1. Plan de acción 2023\"/>
    </mc:Choice>
  </mc:AlternateContent>
  <workbookProtection workbookAlgorithmName="SHA-512" workbookHashValue="g27ijC6CgmceQ3zzWG6hzNu01f8ZGmsvR0OV4okfOLgo0woZaVP+VUaaCYy5aPJ4RMjFdZuN8mOh4wocE3uoTA==" workbookSaltValue="mhFOL4NLOTnmonoB442vIQ==" workbookSpinCount="100000" lockStructure="1"/>
  <bookViews>
    <workbookView xWindow="0" yWindow="0" windowWidth="19200" windowHeight="6760" tabRatio="758" activeTab="2"/>
  </bookViews>
  <sheets>
    <sheet name="Convencionales" sheetId="11" r:id="rId1"/>
    <sheet name="BaseSalarial" sheetId="15" r:id="rId2"/>
    <sheet name="INI" sheetId="16" r:id="rId3"/>
    <sheet name="ADM" sheetId="17" r:id="rId4"/>
    <sheet name="PRE" sheetId="13" r:id="rId5"/>
    <sheet name="POS" sheetId="24" r:id="rId6"/>
    <sheet name="DOC" sheetId="1" r:id="rId7"/>
    <sheet name="INV" sheetId="29" r:id="rId8"/>
    <sheet name="EXT" sheetId="32" r:id="rId9"/>
    <sheet name="COM" sheetId="33" r:id="rId10"/>
    <sheet name="M&amp;E" sheetId="23" r:id="rId11"/>
    <sheet name="RES" sheetId="18" r:id="rId12"/>
    <sheet name="velGrap" sheetId="34" r:id="rId13"/>
  </sheets>
  <definedNames>
    <definedName name="_1_Misión_y_Proyecto_Educativo_Institucional">Convencionales!$K$4:$K$12</definedName>
    <definedName name="_10_Bienestar_Institucional">Convencionales!$K$79:$K$83</definedName>
    <definedName name="_11_Organización_Gestión_y_Administración">Convencionales!$K$84:$K$90</definedName>
    <definedName name="_12_Recursos_de_apoyo_académico_e_infraestructura_física">Convencionales!$K$91:$K$92</definedName>
    <definedName name="_13_Recursos_financieros">Convencionales!$K$93:$K$95</definedName>
    <definedName name="_14_Aseguramiento_de_la_Calidad">Convencionales!$K$96:$K$100</definedName>
    <definedName name="_2_Estudiantes">Convencionales!$K$13:$K$19</definedName>
    <definedName name="_3_Talento_Humano">Convencionales!$K$20:$K$38</definedName>
    <definedName name="_4_Profesores">Convencionales!$K$39:$K$44</definedName>
    <definedName name="_5_Procesos_Académicos">Convencionales!$K$45:$K$49</definedName>
    <definedName name="_6_Visibilidad_Nacional_e_Internacional">Convencionales!$K$50:$K$52</definedName>
    <definedName name="_7_Investigación_y_Creación_Artística">Convencionales!$K$53:$K$60</definedName>
    <definedName name="_8_Impacto_social">Convencionales!$K$61:$K$72</definedName>
    <definedName name="_9_Autoevaluación_y_Autorregulación">Convencionales!$K$73:$K$78</definedName>
    <definedName name="_xlnm._FilterDatabase" localSheetId="0" hidden="1">Convencionales!$A$2:$G$78</definedName>
    <definedName name="_xlnm._FilterDatabase" localSheetId="6" hidden="1">DOC!$A$6:$AH$43</definedName>
    <definedName name="AER">Convencionales!#REF!</definedName>
    <definedName name="_xlnm.Print_Area" localSheetId="11">RES!$A$1:$L$55</definedName>
    <definedName name="ASC">Convencionales!#REF!</definedName>
    <definedName name="BIN">Convencionales!#REF!</definedName>
    <definedName name="EST">Convencionales!#REF!</definedName>
    <definedName name="FIN">Convencionales!#REF!</definedName>
    <definedName name="ICA">Convencionales!#REF!</definedName>
    <definedName name="IMS">Convencionales!#REF!</definedName>
    <definedName name="MIS">Convencionales!#REF!</definedName>
    <definedName name="OBE">Convencionales!$I$3:$I$17</definedName>
    <definedName name="Objetivos">Convencionales!$I$4:$I$17</definedName>
    <definedName name="OGA">Convencionales!#REF!</definedName>
    <definedName name="PAC">Convencionales!#REF!</definedName>
    <definedName name="PRF">Convencionales!#REF!</definedName>
    <definedName name="RAI">Convencionales!#REF!</definedName>
    <definedName name="THM">Convencionales!#REF!</definedName>
    <definedName name="VNI">Convencionales!#REF!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33" l="1"/>
  <c r="D41" i="33"/>
  <c r="D40" i="33"/>
  <c r="D39" i="33"/>
  <c r="D38" i="33"/>
  <c r="D37" i="33"/>
  <c r="D36" i="33"/>
  <c r="D35" i="33"/>
  <c r="D34" i="33"/>
  <c r="D33" i="33"/>
  <c r="D32" i="33"/>
  <c r="D31" i="33"/>
  <c r="D30" i="33"/>
  <c r="D29" i="33"/>
  <c r="D28" i="33"/>
  <c r="D27" i="33"/>
  <c r="D26" i="33"/>
  <c r="D25" i="33"/>
  <c r="D24" i="33"/>
  <c r="D23" i="33"/>
  <c r="D22" i="33"/>
  <c r="D21" i="33"/>
  <c r="D20" i="33"/>
  <c r="D19" i="33"/>
  <c r="D18" i="33"/>
  <c r="D17" i="33"/>
  <c r="D16" i="33"/>
  <c r="D15" i="33"/>
  <c r="D14" i="33"/>
  <c r="D13" i="33"/>
  <c r="D12" i="33"/>
  <c r="D11" i="33"/>
  <c r="D10" i="33"/>
  <c r="D9" i="33"/>
  <c r="D8" i="33"/>
  <c r="D7" i="33"/>
  <c r="D42" i="32"/>
  <c r="D41" i="32"/>
  <c r="D40" i="32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42" i="29"/>
  <c r="D41" i="29"/>
  <c r="D40" i="29"/>
  <c r="D39" i="29"/>
  <c r="D38" i="29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D7" i="29"/>
  <c r="AE42" i="33" l="1"/>
  <c r="AD42" i="33"/>
  <c r="AE41" i="33"/>
  <c r="AD41" i="33"/>
  <c r="AE40" i="33"/>
  <c r="AD40" i="33"/>
  <c r="AE39" i="33"/>
  <c r="AD39" i="33"/>
  <c r="AE38" i="33"/>
  <c r="AD38" i="33"/>
  <c r="AE37" i="33"/>
  <c r="AD37" i="33"/>
  <c r="AE36" i="33"/>
  <c r="AD36" i="33"/>
  <c r="AE35" i="33"/>
  <c r="AD35" i="33"/>
  <c r="AE34" i="33"/>
  <c r="AD34" i="33"/>
  <c r="AE33" i="33"/>
  <c r="AD33" i="33"/>
  <c r="AE32" i="33"/>
  <c r="AD32" i="33"/>
  <c r="AE31" i="33"/>
  <c r="AD31" i="33"/>
  <c r="AE30" i="33"/>
  <c r="AD30" i="33"/>
  <c r="AE29" i="33"/>
  <c r="AD29" i="33"/>
  <c r="AE28" i="33"/>
  <c r="AD28" i="33"/>
  <c r="AE27" i="33"/>
  <c r="AD27" i="33"/>
  <c r="AE26" i="33"/>
  <c r="AD26" i="33"/>
  <c r="AE25" i="33"/>
  <c r="AD25" i="33"/>
  <c r="AE24" i="33"/>
  <c r="AD24" i="33"/>
  <c r="AE23" i="33"/>
  <c r="AD23" i="33"/>
  <c r="AE22" i="33"/>
  <c r="AD22" i="33"/>
  <c r="AE21" i="33"/>
  <c r="AD21" i="33"/>
  <c r="AE20" i="33"/>
  <c r="AD20" i="33"/>
  <c r="AE19" i="33"/>
  <c r="AD19" i="33"/>
  <c r="AE18" i="33"/>
  <c r="AD18" i="33"/>
  <c r="AE17" i="33"/>
  <c r="AD17" i="33"/>
  <c r="AE16" i="33"/>
  <c r="AD16" i="33"/>
  <c r="AE15" i="33"/>
  <c r="AD15" i="33"/>
  <c r="AE14" i="33"/>
  <c r="AD14" i="33"/>
  <c r="AE13" i="33"/>
  <c r="AD13" i="33"/>
  <c r="AE12" i="33"/>
  <c r="AD12" i="33"/>
  <c r="AE11" i="33"/>
  <c r="AD11" i="33"/>
  <c r="AE10" i="33"/>
  <c r="AD10" i="33"/>
  <c r="AE9" i="33"/>
  <c r="AD9" i="33"/>
  <c r="AE8" i="33"/>
  <c r="AD8" i="33"/>
  <c r="AE7" i="33"/>
  <c r="AD7" i="33"/>
  <c r="AE42" i="32"/>
  <c r="AD42" i="32"/>
  <c r="AE41" i="32"/>
  <c r="AD41" i="32"/>
  <c r="AE40" i="32"/>
  <c r="AD40" i="32"/>
  <c r="AE39" i="32"/>
  <c r="AD39" i="32"/>
  <c r="AE38" i="32"/>
  <c r="AD38" i="32"/>
  <c r="AE37" i="32"/>
  <c r="AD37" i="32"/>
  <c r="AE36" i="32"/>
  <c r="AD36" i="32"/>
  <c r="AE35" i="32"/>
  <c r="AD35" i="32"/>
  <c r="AE34" i="32"/>
  <c r="AD34" i="32"/>
  <c r="AE33" i="32"/>
  <c r="AD33" i="32"/>
  <c r="AE32" i="32"/>
  <c r="AD32" i="32"/>
  <c r="AE31" i="32"/>
  <c r="AD31" i="32"/>
  <c r="AE30" i="32"/>
  <c r="AD30" i="32"/>
  <c r="AE29" i="32"/>
  <c r="AD29" i="32"/>
  <c r="AE28" i="32"/>
  <c r="AD28" i="32"/>
  <c r="AE27" i="32"/>
  <c r="AD27" i="32"/>
  <c r="AE26" i="32"/>
  <c r="AD26" i="32"/>
  <c r="AE25" i="32"/>
  <c r="AD25" i="32"/>
  <c r="AE24" i="32"/>
  <c r="AD24" i="32"/>
  <c r="AE23" i="32"/>
  <c r="AD23" i="32"/>
  <c r="AE22" i="32"/>
  <c r="AD22" i="32"/>
  <c r="AE21" i="32"/>
  <c r="AD21" i="32"/>
  <c r="AE20" i="32"/>
  <c r="AD20" i="32"/>
  <c r="AE19" i="32"/>
  <c r="AD19" i="32"/>
  <c r="AE18" i="32"/>
  <c r="AD18" i="32"/>
  <c r="AE17" i="32"/>
  <c r="AD17" i="32"/>
  <c r="AE16" i="32"/>
  <c r="AD16" i="32"/>
  <c r="AE15" i="32"/>
  <c r="AD15" i="32"/>
  <c r="AE14" i="32"/>
  <c r="AD14" i="32"/>
  <c r="AE13" i="32"/>
  <c r="AD13" i="32"/>
  <c r="AE12" i="32"/>
  <c r="AD12" i="32"/>
  <c r="AE11" i="32"/>
  <c r="AD11" i="32"/>
  <c r="AE10" i="32"/>
  <c r="AD10" i="32"/>
  <c r="AE9" i="32"/>
  <c r="AD9" i="32"/>
  <c r="AE8" i="32"/>
  <c r="AD8" i="32"/>
  <c r="AE7" i="32"/>
  <c r="AD7" i="32"/>
  <c r="AE42" i="29"/>
  <c r="AD42" i="29"/>
  <c r="AE41" i="29"/>
  <c r="AD41" i="29"/>
  <c r="AE40" i="29"/>
  <c r="AD40" i="29"/>
  <c r="AE39" i="29"/>
  <c r="AD39" i="29"/>
  <c r="AE38" i="29"/>
  <c r="AD38" i="29"/>
  <c r="AE37" i="29"/>
  <c r="AD37" i="29"/>
  <c r="AE36" i="29"/>
  <c r="AD36" i="29"/>
  <c r="AE35" i="29"/>
  <c r="AD35" i="29"/>
  <c r="AE34" i="29"/>
  <c r="AD34" i="29"/>
  <c r="AE33" i="29"/>
  <c r="AD33" i="29"/>
  <c r="AE32" i="29"/>
  <c r="AD32" i="29"/>
  <c r="AE31" i="29"/>
  <c r="AD31" i="29"/>
  <c r="AE30" i="29"/>
  <c r="AD30" i="29"/>
  <c r="AE29" i="29"/>
  <c r="AD29" i="29"/>
  <c r="AE28" i="29"/>
  <c r="AD28" i="29"/>
  <c r="AE27" i="29"/>
  <c r="AD27" i="29"/>
  <c r="AE26" i="29"/>
  <c r="AD26" i="29"/>
  <c r="AE25" i="29"/>
  <c r="AD25" i="29"/>
  <c r="AE24" i="29"/>
  <c r="AD24" i="29"/>
  <c r="AE23" i="29"/>
  <c r="AD23" i="29"/>
  <c r="AE22" i="29"/>
  <c r="AD22" i="29"/>
  <c r="AE21" i="29"/>
  <c r="AD21" i="29"/>
  <c r="AE20" i="29"/>
  <c r="AD20" i="29"/>
  <c r="AE19" i="29"/>
  <c r="AD19" i="29"/>
  <c r="AE18" i="29"/>
  <c r="AD18" i="29"/>
  <c r="AE17" i="29"/>
  <c r="AD17" i="29"/>
  <c r="AE16" i="29"/>
  <c r="AD16" i="29"/>
  <c r="AE15" i="29"/>
  <c r="AD15" i="29"/>
  <c r="AE14" i="29"/>
  <c r="AD14" i="29"/>
  <c r="AE13" i="29"/>
  <c r="AD13" i="29"/>
  <c r="AE12" i="29"/>
  <c r="AD12" i="29"/>
  <c r="AE11" i="29"/>
  <c r="AD11" i="29"/>
  <c r="AE10" i="29"/>
  <c r="AD10" i="29"/>
  <c r="AE9" i="29"/>
  <c r="AD9" i="29"/>
  <c r="AE8" i="29"/>
  <c r="AD8" i="29"/>
  <c r="AE7" i="29"/>
  <c r="AD7" i="29"/>
  <c r="AE42" i="1"/>
  <c r="AD42" i="1"/>
  <c r="AE41" i="1"/>
  <c r="AD41" i="1"/>
  <c r="AE40" i="1"/>
  <c r="AD40" i="1"/>
  <c r="AE39" i="1"/>
  <c r="AD39" i="1"/>
  <c r="AE38" i="1"/>
  <c r="AD38" i="1"/>
  <c r="AE37" i="1"/>
  <c r="AD37" i="1"/>
  <c r="AE36" i="1"/>
  <c r="AD36" i="1"/>
  <c r="AE35" i="1"/>
  <c r="AD35" i="1"/>
  <c r="AE34" i="1"/>
  <c r="AD34" i="1"/>
  <c r="AE33" i="1"/>
  <c r="AD33" i="1"/>
  <c r="AE32" i="1"/>
  <c r="AD32" i="1"/>
  <c r="AE31" i="1"/>
  <c r="AD31" i="1"/>
  <c r="AE30" i="1"/>
  <c r="AD30" i="1"/>
  <c r="AE29" i="1"/>
  <c r="AD29" i="1"/>
  <c r="AE28" i="1"/>
  <c r="AD28" i="1"/>
  <c r="AE27" i="1"/>
  <c r="AD27" i="1"/>
  <c r="AE26" i="1"/>
  <c r="AD26" i="1"/>
  <c r="AE25" i="1"/>
  <c r="AD25" i="1"/>
  <c r="AE24" i="1"/>
  <c r="AD24" i="1"/>
  <c r="AE23" i="1"/>
  <c r="AD23" i="1"/>
  <c r="AE22" i="1"/>
  <c r="AD22" i="1"/>
  <c r="AE21" i="1"/>
  <c r="AD21" i="1"/>
  <c r="AE20" i="1"/>
  <c r="AD20" i="1"/>
  <c r="AE19" i="1"/>
  <c r="AD19" i="1"/>
  <c r="AE18" i="1"/>
  <c r="AD18" i="1"/>
  <c r="AE17" i="1"/>
  <c r="AD17" i="1"/>
  <c r="AE16" i="1"/>
  <c r="AD16" i="1"/>
  <c r="AE15" i="1"/>
  <c r="AD15" i="1"/>
  <c r="AE14" i="1"/>
  <c r="AD14" i="1"/>
  <c r="AE13" i="1"/>
  <c r="AD13" i="1"/>
  <c r="AE12" i="1"/>
  <c r="AD12" i="1"/>
  <c r="AE11" i="1"/>
  <c r="AD11" i="1"/>
  <c r="AE10" i="1"/>
  <c r="AD10" i="1"/>
  <c r="AE9" i="1"/>
  <c r="AD9" i="1"/>
  <c r="AE8" i="1"/>
  <c r="AD8" i="1"/>
  <c r="AE7" i="1"/>
  <c r="AD7" i="1"/>
  <c r="B5" i="24"/>
  <c r="B4" i="24"/>
  <c r="B7" i="24"/>
  <c r="B3" i="24"/>
  <c r="D3" i="13"/>
  <c r="G3" i="17"/>
  <c r="G13" i="15" l="1"/>
  <c r="D21" i="15"/>
  <c r="D22" i="15"/>
  <c r="D23" i="15"/>
  <c r="E23" i="15" s="1"/>
  <c r="D24" i="15"/>
  <c r="D25" i="15"/>
  <c r="E25" i="15" s="1"/>
  <c r="D26" i="15"/>
  <c r="E26" i="15" s="1"/>
  <c r="D27" i="15"/>
  <c r="E27" i="15" s="1"/>
  <c r="D28" i="15"/>
  <c r="E28" i="15" s="1"/>
  <c r="D29" i="15"/>
  <c r="D30" i="15"/>
  <c r="D31" i="15"/>
  <c r="E31" i="15" s="1"/>
  <c r="D32" i="15"/>
  <c r="D33" i="15"/>
  <c r="E33" i="15" s="1"/>
  <c r="D34" i="15"/>
  <c r="E34" i="15" s="1"/>
  <c r="D35" i="15"/>
  <c r="E35" i="15" s="1"/>
  <c r="D36" i="15"/>
  <c r="E36" i="15" s="1"/>
  <c r="D37" i="15"/>
  <c r="D38" i="15"/>
  <c r="D39" i="15"/>
  <c r="E39" i="15" s="1"/>
  <c r="D40" i="15"/>
  <c r="D41" i="15"/>
  <c r="E41" i="15" s="1"/>
  <c r="D42" i="15"/>
  <c r="E42" i="15" s="1"/>
  <c r="D43" i="15"/>
  <c r="E43" i="15" s="1"/>
  <c r="D44" i="15"/>
  <c r="E44" i="15" s="1"/>
  <c r="D45" i="15"/>
  <c r="D46" i="15"/>
  <c r="E46" i="15" s="1"/>
  <c r="D47" i="15"/>
  <c r="E47" i="15" s="1"/>
  <c r="D48" i="15"/>
  <c r="D49" i="15"/>
  <c r="E49" i="15" s="1"/>
  <c r="D50" i="15"/>
  <c r="E50" i="15" s="1"/>
  <c r="D51" i="15"/>
  <c r="E51" i="15" s="1"/>
  <c r="D52" i="15"/>
  <c r="E52" i="15" s="1"/>
  <c r="D53" i="15"/>
  <c r="D54" i="15"/>
  <c r="D55" i="15"/>
  <c r="E55" i="15" s="1"/>
  <c r="D56" i="15"/>
  <c r="D57" i="15"/>
  <c r="E57" i="15" s="1"/>
  <c r="D58" i="15"/>
  <c r="E58" i="15" s="1"/>
  <c r="D20" i="15"/>
  <c r="E21" i="15"/>
  <c r="E22" i="15"/>
  <c r="E24" i="15"/>
  <c r="E29" i="15"/>
  <c r="E30" i="15"/>
  <c r="E32" i="15"/>
  <c r="E37" i="15"/>
  <c r="E38" i="15"/>
  <c r="E40" i="15"/>
  <c r="E45" i="15"/>
  <c r="E48" i="15"/>
  <c r="E53" i="15"/>
  <c r="E54" i="15"/>
  <c r="E56" i="15"/>
  <c r="AG43" i="33" l="1"/>
  <c r="AB43" i="33"/>
  <c r="Y43" i="33"/>
  <c r="G42" i="18" s="1"/>
  <c r="X43" i="33"/>
  <c r="F42" i="18" s="1"/>
  <c r="AG43" i="32"/>
  <c r="AB43" i="32"/>
  <c r="Y43" i="32"/>
  <c r="G41" i="18" s="1"/>
  <c r="X43" i="32"/>
  <c r="F41" i="18" s="1"/>
  <c r="AG43" i="29"/>
  <c r="AB43" i="29"/>
  <c r="Y43" i="29"/>
  <c r="G40" i="18" s="1"/>
  <c r="X43" i="29"/>
  <c r="F40" i="18" s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7" i="1"/>
  <c r="AE43" i="33" l="1"/>
  <c r="J42" i="18" s="1"/>
  <c r="AD43" i="33"/>
  <c r="I42" i="18" s="1"/>
  <c r="AE43" i="32"/>
  <c r="J41" i="18" s="1"/>
  <c r="AD43" i="32"/>
  <c r="I41" i="18" s="1"/>
  <c r="AD43" i="29"/>
  <c r="I40" i="18" s="1"/>
  <c r="AE43" i="29"/>
  <c r="J40" i="18" s="1"/>
  <c r="AG43" i="1" l="1"/>
  <c r="B11" i="34" l="1"/>
  <c r="N14" i="34" l="1"/>
  <c r="N15" i="34" s="1"/>
  <c r="C4" i="33"/>
  <c r="C3" i="33"/>
  <c r="J14" i="34"/>
  <c r="J15" i="34" s="1"/>
  <c r="C4" i="32"/>
  <c r="C3" i="32"/>
  <c r="F14" i="34"/>
  <c r="F15" i="34" s="1"/>
  <c r="C4" i="29"/>
  <c r="C3" i="29"/>
  <c r="G19" i="34" l="1"/>
  <c r="F19" i="34"/>
  <c r="O19" i="34"/>
  <c r="N19" i="34"/>
  <c r="J19" i="34"/>
  <c r="K19" i="34"/>
  <c r="AB43" i="1"/>
  <c r="B14" i="34" s="1"/>
  <c r="B15" i="34" s="1"/>
  <c r="C4" i="1"/>
  <c r="C3" i="1"/>
  <c r="C19" i="34" l="1"/>
  <c r="B19" i="34"/>
  <c r="L48" i="13"/>
  <c r="J47" i="13"/>
  <c r="I47" i="13"/>
  <c r="J46" i="13"/>
  <c r="I46" i="13"/>
  <c r="J45" i="13"/>
  <c r="I45" i="13"/>
  <c r="J44" i="13"/>
  <c r="I44" i="13"/>
  <c r="J43" i="13"/>
  <c r="I43" i="13"/>
  <c r="J42" i="13"/>
  <c r="I42" i="13"/>
  <c r="J41" i="13"/>
  <c r="I41" i="13"/>
  <c r="J40" i="13"/>
  <c r="I40" i="13"/>
  <c r="J39" i="13"/>
  <c r="I39" i="13"/>
  <c r="J38" i="13"/>
  <c r="I38" i="13"/>
  <c r="J48" i="13" l="1"/>
  <c r="J31" i="18" s="1"/>
  <c r="I48" i="13"/>
  <c r="I31" i="18" s="1"/>
  <c r="H17" i="24"/>
  <c r="G17" i="24"/>
  <c r="H16" i="24"/>
  <c r="G16" i="24"/>
  <c r="H15" i="24"/>
  <c r="G15" i="24"/>
  <c r="H14" i="24"/>
  <c r="G14" i="24"/>
  <c r="H13" i="24"/>
  <c r="G13" i="24"/>
  <c r="H12" i="24"/>
  <c r="G12" i="24"/>
  <c r="H11" i="24"/>
  <c r="G11" i="24"/>
  <c r="H10" i="24"/>
  <c r="G10" i="24"/>
  <c r="H9" i="24"/>
  <c r="G9" i="24"/>
  <c r="H8" i="24"/>
  <c r="G8" i="24"/>
  <c r="H7" i="24"/>
  <c r="G7" i="24"/>
  <c r="H6" i="24"/>
  <c r="G6" i="24"/>
  <c r="H5" i="24"/>
  <c r="H4" i="24"/>
  <c r="G4" i="24"/>
  <c r="G47" i="13" l="1"/>
  <c r="F47" i="13"/>
  <c r="G46" i="13"/>
  <c r="F46" i="13"/>
  <c r="G45" i="13"/>
  <c r="F45" i="13"/>
  <c r="G44" i="13"/>
  <c r="F44" i="13"/>
  <c r="G43" i="13"/>
  <c r="F43" i="13"/>
  <c r="G42" i="13"/>
  <c r="F42" i="13"/>
  <c r="G41" i="13"/>
  <c r="F41" i="13"/>
  <c r="G40" i="13"/>
  <c r="F40" i="13"/>
  <c r="G39" i="13"/>
  <c r="F39" i="13"/>
  <c r="D32" i="13"/>
  <c r="F32" i="13" s="1"/>
  <c r="F31" i="13"/>
  <c r="D31" i="13"/>
  <c r="G31" i="13" s="1"/>
  <c r="D30" i="13"/>
  <c r="F30" i="13" s="1"/>
  <c r="D29" i="13"/>
  <c r="G29" i="13" s="1"/>
  <c r="G28" i="13"/>
  <c r="D28" i="13"/>
  <c r="F28" i="13" s="1"/>
  <c r="D27" i="13"/>
  <c r="G27" i="13" s="1"/>
  <c r="D26" i="13"/>
  <c r="G26" i="13" s="1"/>
  <c r="D25" i="13"/>
  <c r="G25" i="13" s="1"/>
  <c r="D24" i="13"/>
  <c r="F24" i="13" s="1"/>
  <c r="I24" i="13" s="1"/>
  <c r="J32" i="13"/>
  <c r="I32" i="13"/>
  <c r="J31" i="13"/>
  <c r="I31" i="13"/>
  <c r="J30" i="13"/>
  <c r="I30" i="13"/>
  <c r="J29" i="13"/>
  <c r="I29" i="13"/>
  <c r="J28" i="13"/>
  <c r="I28" i="13"/>
  <c r="J27" i="13"/>
  <c r="I27" i="13"/>
  <c r="J26" i="13"/>
  <c r="I26" i="13"/>
  <c r="J25" i="13"/>
  <c r="I25" i="13"/>
  <c r="L33" i="13"/>
  <c r="J17" i="17"/>
  <c r="I17" i="17"/>
  <c r="J16" i="17"/>
  <c r="I16" i="17"/>
  <c r="J15" i="17"/>
  <c r="I15" i="17"/>
  <c r="J14" i="17"/>
  <c r="I14" i="17"/>
  <c r="J13" i="17"/>
  <c r="I13" i="17"/>
  <c r="J12" i="17"/>
  <c r="I12" i="17"/>
  <c r="J11" i="17"/>
  <c r="I11" i="17"/>
  <c r="J10" i="17"/>
  <c r="I10" i="17"/>
  <c r="J9" i="17"/>
  <c r="I9" i="17"/>
  <c r="J8" i="17"/>
  <c r="I8" i="17"/>
  <c r="J7" i="17"/>
  <c r="I7" i="17"/>
  <c r="J6" i="17"/>
  <c r="I6" i="17"/>
  <c r="G24" i="13" l="1"/>
  <c r="J24" i="13" s="1"/>
  <c r="F27" i="13"/>
  <c r="G32" i="13"/>
  <c r="F26" i="13"/>
  <c r="F25" i="13"/>
  <c r="F29" i="13"/>
  <c r="G30" i="13"/>
  <c r="G17" i="13"/>
  <c r="F17" i="13"/>
  <c r="G16" i="13"/>
  <c r="F16" i="13"/>
  <c r="G15" i="13"/>
  <c r="F15" i="13"/>
  <c r="G14" i="13"/>
  <c r="F14" i="13"/>
  <c r="G13" i="13"/>
  <c r="F13" i="13"/>
  <c r="G12" i="13"/>
  <c r="F12" i="13"/>
  <c r="G11" i="13"/>
  <c r="F11" i="13"/>
  <c r="G10" i="13"/>
  <c r="F10" i="13"/>
  <c r="G9" i="13"/>
  <c r="F9" i="13"/>
  <c r="G8" i="13"/>
  <c r="F8" i="13"/>
  <c r="G7" i="13"/>
  <c r="F7" i="13"/>
  <c r="G6" i="13"/>
  <c r="F6" i="13"/>
  <c r="G17" i="17" l="1"/>
  <c r="H17" i="17" s="1"/>
  <c r="G16" i="17"/>
  <c r="H16" i="17" s="1"/>
  <c r="G15" i="17"/>
  <c r="H15" i="17" s="1"/>
  <c r="G14" i="17"/>
  <c r="H14" i="17" s="1"/>
  <c r="G13" i="17"/>
  <c r="H13" i="17" s="1"/>
  <c r="G12" i="17"/>
  <c r="H12" i="17" s="1"/>
  <c r="G11" i="17"/>
  <c r="H11" i="17" s="1"/>
  <c r="G10" i="17"/>
  <c r="H10" i="17" s="1"/>
  <c r="G9" i="17"/>
  <c r="H9" i="17" s="1"/>
  <c r="G8" i="17"/>
  <c r="H8" i="17" s="1"/>
  <c r="G7" i="17"/>
  <c r="H7" i="17" s="1"/>
  <c r="G6" i="17"/>
  <c r="H6" i="17" s="1"/>
  <c r="G5" i="17"/>
  <c r="G4" i="17"/>
  <c r="L44" i="23" l="1"/>
  <c r="L29" i="23"/>
  <c r="L14" i="23"/>
  <c r="M18" i="24"/>
  <c r="L18" i="13"/>
  <c r="O18" i="17"/>
  <c r="J43" i="23" l="1"/>
  <c r="I43" i="23"/>
  <c r="J42" i="23"/>
  <c r="I42" i="23"/>
  <c r="J41" i="23"/>
  <c r="I41" i="23"/>
  <c r="J40" i="23"/>
  <c r="I40" i="23"/>
  <c r="J39" i="23"/>
  <c r="I39" i="23"/>
  <c r="J38" i="23"/>
  <c r="I38" i="23"/>
  <c r="J37" i="23"/>
  <c r="I37" i="23"/>
  <c r="J36" i="23"/>
  <c r="I36" i="23"/>
  <c r="J35" i="23"/>
  <c r="I35" i="23"/>
  <c r="J34" i="23"/>
  <c r="I34" i="23"/>
  <c r="J28" i="23"/>
  <c r="I28" i="23"/>
  <c r="J27" i="23"/>
  <c r="I27" i="23"/>
  <c r="J26" i="23"/>
  <c r="I26" i="23"/>
  <c r="J25" i="23"/>
  <c r="I25" i="23"/>
  <c r="J24" i="23"/>
  <c r="I24" i="23"/>
  <c r="J23" i="23"/>
  <c r="I23" i="23"/>
  <c r="J22" i="23"/>
  <c r="I22" i="23"/>
  <c r="J21" i="23"/>
  <c r="I21" i="23"/>
  <c r="J20" i="23"/>
  <c r="I20" i="23"/>
  <c r="J19" i="23"/>
  <c r="I19" i="23"/>
  <c r="K41" i="18" l="1"/>
  <c r="G44" i="23"/>
  <c r="I44" i="23"/>
  <c r="J44" i="23"/>
  <c r="I29" i="23"/>
  <c r="J29" i="23"/>
  <c r="F44" i="23" l="1"/>
  <c r="G29" i="23"/>
  <c r="F29" i="23"/>
  <c r="H41" i="18"/>
  <c r="B8" i="18" l="1"/>
  <c r="K40" i="18" l="1"/>
  <c r="B17" i="24"/>
  <c r="F17" i="24" s="1"/>
  <c r="B16" i="24"/>
  <c r="F16" i="24" s="1"/>
  <c r="B15" i="24"/>
  <c r="F15" i="24" s="1"/>
  <c r="B14" i="24"/>
  <c r="F14" i="24" s="1"/>
  <c r="B13" i="24"/>
  <c r="F13" i="24" s="1"/>
  <c r="B12" i="24"/>
  <c r="F12" i="24" s="1"/>
  <c r="B11" i="24"/>
  <c r="F11" i="24" s="1"/>
  <c r="B10" i="24"/>
  <c r="F10" i="24" s="1"/>
  <c r="B9" i="24"/>
  <c r="F9" i="24" s="1"/>
  <c r="B8" i="24"/>
  <c r="F8" i="24" s="1"/>
  <c r="F7" i="24"/>
  <c r="B6" i="24"/>
  <c r="F6" i="24" s="1"/>
  <c r="F5" i="24"/>
  <c r="G5" i="24" s="1"/>
  <c r="J5" i="24" s="1"/>
  <c r="F4" i="24"/>
  <c r="F3" i="24"/>
  <c r="J4" i="24"/>
  <c r="K4" i="24"/>
  <c r="K5" i="24"/>
  <c r="J6" i="24"/>
  <c r="K6" i="24"/>
  <c r="J7" i="24"/>
  <c r="K7" i="24"/>
  <c r="J8" i="24"/>
  <c r="K8" i="24"/>
  <c r="J9" i="24"/>
  <c r="K9" i="24"/>
  <c r="J10" i="24"/>
  <c r="K10" i="24"/>
  <c r="J11" i="24"/>
  <c r="K11" i="24"/>
  <c r="J12" i="24"/>
  <c r="K12" i="24"/>
  <c r="J13" i="24"/>
  <c r="K13" i="24"/>
  <c r="J14" i="24"/>
  <c r="K14" i="24"/>
  <c r="J15" i="24"/>
  <c r="K15" i="24"/>
  <c r="J16" i="24"/>
  <c r="J17" i="24"/>
  <c r="K17" i="24"/>
  <c r="G3" i="24" l="1"/>
  <c r="H3" i="24"/>
  <c r="H40" i="18"/>
  <c r="K42" i="18"/>
  <c r="H42" i="18"/>
  <c r="K16" i="24"/>
  <c r="J3" i="24"/>
  <c r="F18" i="24"/>
  <c r="K3" i="24" l="1"/>
  <c r="H18" i="24"/>
  <c r="G32" i="18" s="1"/>
  <c r="G18" i="24"/>
  <c r="F32" i="18" s="1"/>
  <c r="J18" i="24"/>
  <c r="I32" i="18" s="1"/>
  <c r="H32" i="18" l="1"/>
  <c r="K18" i="24"/>
  <c r="J32" i="18" s="1"/>
  <c r="K32" i="18" l="1"/>
  <c r="B16" i="18"/>
  <c r="Y43" i="1" l="1"/>
  <c r="X43" i="1"/>
  <c r="J13" i="23"/>
  <c r="I13" i="23"/>
  <c r="J12" i="23"/>
  <c r="I12" i="23"/>
  <c r="J11" i="23"/>
  <c r="I11" i="23"/>
  <c r="G39" i="18" l="1"/>
  <c r="G43" i="18" s="1"/>
  <c r="F39" i="18"/>
  <c r="F43" i="18" s="1"/>
  <c r="H3" i="17"/>
  <c r="H39" i="18" l="1"/>
  <c r="H43" i="18" s="1"/>
  <c r="F60" i="18" s="1"/>
  <c r="G14" i="23"/>
  <c r="F14" i="23"/>
  <c r="J10" i="23"/>
  <c r="I10" i="23"/>
  <c r="J9" i="23"/>
  <c r="I9" i="23"/>
  <c r="J8" i="23"/>
  <c r="I8" i="23"/>
  <c r="J7" i="23"/>
  <c r="I7" i="23"/>
  <c r="J6" i="23"/>
  <c r="I6" i="23"/>
  <c r="J5" i="23"/>
  <c r="I5" i="23"/>
  <c r="J4" i="23"/>
  <c r="I4" i="23"/>
  <c r="I14" i="23" l="1"/>
  <c r="J14" i="23"/>
  <c r="J49" i="18" l="1"/>
  <c r="G49" i="18"/>
  <c r="I49" i="18"/>
  <c r="F49" i="18"/>
  <c r="H49" i="18" l="1"/>
  <c r="F61" i="18" s="1"/>
  <c r="K49" i="18"/>
  <c r="G61" i="18" s="1"/>
  <c r="D9" i="15"/>
  <c r="C47" i="13" l="1"/>
  <c r="D47" i="13" s="1"/>
  <c r="C39" i="13"/>
  <c r="D39" i="13" s="1"/>
  <c r="C46" i="13"/>
  <c r="D46" i="13" s="1"/>
  <c r="C38" i="13"/>
  <c r="D38" i="13" s="1"/>
  <c r="C42" i="13"/>
  <c r="D42" i="13" s="1"/>
  <c r="C45" i="13"/>
  <c r="D45" i="13" s="1"/>
  <c r="C44" i="13"/>
  <c r="D44" i="13" s="1"/>
  <c r="C43" i="13"/>
  <c r="D43" i="13" s="1"/>
  <c r="C41" i="13"/>
  <c r="D41" i="13" s="1"/>
  <c r="C40" i="13"/>
  <c r="D40" i="13" s="1"/>
  <c r="G38" i="13"/>
  <c r="G48" i="13" s="1"/>
  <c r="G31" i="18" s="1"/>
  <c r="F38" i="13"/>
  <c r="F48" i="13" s="1"/>
  <c r="F31" i="18" s="1"/>
  <c r="D7" i="15"/>
  <c r="D8" i="15" s="1"/>
  <c r="G16" i="15"/>
  <c r="H16" i="15" s="1"/>
  <c r="I16" i="15" s="1"/>
  <c r="G15" i="15"/>
  <c r="H15" i="15" s="1"/>
  <c r="I15" i="15" s="1"/>
  <c r="G14" i="15"/>
  <c r="H14" i="15" s="1"/>
  <c r="I14" i="15" s="1"/>
  <c r="H13" i="15"/>
  <c r="D15" i="13"/>
  <c r="D14" i="13"/>
  <c r="D13" i="13"/>
  <c r="D12" i="13"/>
  <c r="D11" i="13"/>
  <c r="D10" i="13"/>
  <c r="D9" i="13"/>
  <c r="D8" i="13"/>
  <c r="D7" i="13"/>
  <c r="D6" i="13"/>
  <c r="D16" i="15"/>
  <c r="E16" i="15" s="1"/>
  <c r="D15" i="15"/>
  <c r="E15" i="15" s="1"/>
  <c r="D14" i="15"/>
  <c r="E14" i="15" s="1"/>
  <c r="F14" i="15" s="1"/>
  <c r="D13" i="15"/>
  <c r="E13" i="15" s="1"/>
  <c r="F13" i="15" s="1"/>
  <c r="E20" i="15"/>
  <c r="G3" i="13" l="1"/>
  <c r="I13" i="15"/>
  <c r="K14" i="15"/>
  <c r="K16" i="15"/>
  <c r="K15" i="15"/>
  <c r="D16" i="13"/>
  <c r="F16" i="15"/>
  <c r="J15" i="15"/>
  <c r="J16" i="15"/>
  <c r="D17" i="13"/>
  <c r="F15" i="15"/>
  <c r="J14" i="15"/>
  <c r="D4" i="13"/>
  <c r="D5" i="13"/>
  <c r="G5" i="13" l="1"/>
  <c r="F5" i="13"/>
  <c r="K13" i="15"/>
  <c r="D23" i="13"/>
  <c r="F3" i="13"/>
  <c r="G4" i="13"/>
  <c r="F4" i="13"/>
  <c r="J13" i="15"/>
  <c r="G18" i="13" l="1"/>
  <c r="G29" i="18" s="1"/>
  <c r="F18" i="13"/>
  <c r="F29" i="18" s="1"/>
  <c r="G23" i="13"/>
  <c r="F23" i="13"/>
  <c r="J17" i="13"/>
  <c r="I17" i="13"/>
  <c r="J16" i="13"/>
  <c r="I16" i="13"/>
  <c r="J15" i="13"/>
  <c r="I15" i="13"/>
  <c r="J14" i="13"/>
  <c r="I14" i="13"/>
  <c r="J13" i="13"/>
  <c r="I13" i="13"/>
  <c r="J12" i="13"/>
  <c r="I12" i="13"/>
  <c r="J11" i="13"/>
  <c r="I11" i="13"/>
  <c r="J9" i="13"/>
  <c r="I9" i="13"/>
  <c r="J7" i="13"/>
  <c r="I7" i="13"/>
  <c r="J6" i="13"/>
  <c r="J5" i="13"/>
  <c r="I5" i="13"/>
  <c r="I4" i="13"/>
  <c r="G33" i="13" l="1"/>
  <c r="G30" i="18" s="1"/>
  <c r="G33" i="18" s="1"/>
  <c r="J23" i="13"/>
  <c r="J33" i="13" s="1"/>
  <c r="J30" i="18" s="1"/>
  <c r="I23" i="13"/>
  <c r="I33" i="13" s="1"/>
  <c r="I30" i="18" s="1"/>
  <c r="F33" i="13"/>
  <c r="F30" i="18" s="1"/>
  <c r="F33" i="18" s="1"/>
  <c r="L11" i="17"/>
  <c r="M16" i="17"/>
  <c r="M15" i="17"/>
  <c r="M14" i="17"/>
  <c r="M13" i="17"/>
  <c r="M10" i="17"/>
  <c r="M9" i="17"/>
  <c r="M8" i="17"/>
  <c r="L16" i="17"/>
  <c r="L15" i="17"/>
  <c r="L14" i="17"/>
  <c r="L13" i="17"/>
  <c r="L10" i="17"/>
  <c r="L9" i="17"/>
  <c r="L8" i="17"/>
  <c r="H31" i="18" l="1"/>
  <c r="B12" i="18"/>
  <c r="M11" i="17"/>
  <c r="H30" i="18" l="1"/>
  <c r="K31" i="18"/>
  <c r="M17" i="17"/>
  <c r="L17" i="17"/>
  <c r="M12" i="17"/>
  <c r="L12" i="17"/>
  <c r="L6" i="17"/>
  <c r="L4" i="17"/>
  <c r="M4" i="17"/>
  <c r="M7" i="17"/>
  <c r="L7" i="17"/>
  <c r="M6" i="17" l="1"/>
  <c r="K30" i="18"/>
  <c r="H4" i="17" l="1"/>
  <c r="J4" i="17" s="1"/>
  <c r="H5" i="17"/>
  <c r="J3" i="17"/>
  <c r="I3" i="17"/>
  <c r="AD43" i="1"/>
  <c r="AE43" i="1"/>
  <c r="I6" i="13"/>
  <c r="J4" i="13"/>
  <c r="J39" i="18" l="1"/>
  <c r="J43" i="18" s="1"/>
  <c r="I39" i="18"/>
  <c r="I43" i="18" s="1"/>
  <c r="I4" i="17"/>
  <c r="J5" i="17"/>
  <c r="M5" i="17" s="1"/>
  <c r="I5" i="17"/>
  <c r="L5" i="17" s="1"/>
  <c r="M3" i="17"/>
  <c r="L3" i="17"/>
  <c r="I3" i="13"/>
  <c r="I10" i="13"/>
  <c r="J10" i="13"/>
  <c r="J3" i="13"/>
  <c r="K39" i="18" l="1"/>
  <c r="K43" i="18" s="1"/>
  <c r="G60" i="18" s="1"/>
  <c r="L18" i="17"/>
  <c r="I24" i="18" s="1"/>
  <c r="I18" i="17"/>
  <c r="F24" i="18" s="1"/>
  <c r="M18" i="17"/>
  <c r="J24" i="18" s="1"/>
  <c r="J18" i="17"/>
  <c r="G24" i="18" s="1"/>
  <c r="I8" i="13"/>
  <c r="I18" i="13" s="1"/>
  <c r="I29" i="18" s="1"/>
  <c r="I33" i="18" s="1"/>
  <c r="J8" i="13"/>
  <c r="J18" i="13" s="1"/>
  <c r="J29" i="18" s="1"/>
  <c r="J33" i="18" s="1"/>
  <c r="K24" i="18" l="1"/>
  <c r="G58" i="18" s="1"/>
  <c r="H24" i="18"/>
  <c r="F58" i="18" s="1"/>
  <c r="J54" i="18"/>
  <c r="I54" i="18"/>
  <c r="G54" i="18"/>
  <c r="K29" i="18"/>
  <c r="K33" i="18" s="1"/>
  <c r="G59" i="18" s="1"/>
  <c r="K54" i="18" l="1"/>
  <c r="F54" i="18"/>
  <c r="H54" i="18" s="1"/>
  <c r="H29" i="18"/>
  <c r="H33" i="18" s="1"/>
  <c r="F59" i="18" s="1"/>
</calcChain>
</file>

<file path=xl/comments1.xml><?xml version="1.0" encoding="utf-8"?>
<comments xmlns="http://schemas.openxmlformats.org/spreadsheetml/2006/main">
  <authors>
    <author>DIRECCION PLANEACION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Añadir el codigo del salario actual 2023</t>
        </r>
      </text>
    </comment>
  </commentList>
</comments>
</file>

<file path=xl/comments2.xml><?xml version="1.0" encoding="utf-8"?>
<comments xmlns="http://schemas.openxmlformats.org/spreadsheetml/2006/main">
  <authors>
    <author>ERIKA ANDREA VALVERDE</author>
    <author>DIRECCION PLANEACION</author>
  </authors>
  <commentList>
    <comment ref="K6" authorId="0" shapeId="0">
      <text>
        <r>
          <rPr>
            <b/>
            <sz val="9"/>
            <color indexed="81"/>
            <rFont val="Tahoma"/>
            <family val="2"/>
          </rPr>
          <t xml:space="preserve">
Obedece a:
PMI: </t>
        </r>
        <r>
          <rPr>
            <sz val="9"/>
            <color indexed="81"/>
            <rFont val="Tahoma"/>
            <family val="2"/>
          </rPr>
          <t>Plan de Mejora Institucional</t>
        </r>
        <r>
          <rPr>
            <b/>
            <sz val="9"/>
            <color indexed="81"/>
            <rFont val="Tahoma"/>
            <family val="2"/>
          </rPr>
          <t xml:space="preserve">
PMC: </t>
        </r>
        <r>
          <rPr>
            <sz val="9"/>
            <color indexed="81"/>
            <rFont val="Tahoma"/>
            <family val="2"/>
          </rPr>
          <t xml:space="preserve">Plan de Mejora de Calidad
</t>
        </r>
        <r>
          <rPr>
            <b/>
            <sz val="9"/>
            <color indexed="81"/>
            <rFont val="Tahoma"/>
            <family val="2"/>
          </rPr>
          <t>PMP:</t>
        </r>
        <r>
          <rPr>
            <sz val="9"/>
            <color indexed="81"/>
            <rFont val="Tahoma"/>
            <family val="2"/>
          </rPr>
          <t xml:space="preserve"> Plan de Mejora Programa Académico</t>
        </r>
        <r>
          <rPr>
            <b/>
            <sz val="9"/>
            <color indexed="81"/>
            <rFont val="Tahoma"/>
            <family val="2"/>
          </rPr>
          <t xml:space="preserve">
PGR:</t>
        </r>
        <r>
          <rPr>
            <sz val="9"/>
            <color indexed="81"/>
            <rFont val="Tahoma"/>
            <family val="2"/>
          </rPr>
          <t xml:space="preserve"> Plan de Gestión del Riesgo
</t>
        </r>
        <r>
          <rPr>
            <b/>
            <sz val="9"/>
            <color indexed="81"/>
            <rFont val="Tahoma"/>
            <family val="2"/>
          </rPr>
          <t xml:space="preserve">EST: </t>
        </r>
        <r>
          <rPr>
            <sz val="9"/>
            <color indexed="81"/>
            <rFont val="Tahoma"/>
            <family val="2"/>
          </rPr>
          <t xml:space="preserve">Estratégico al Plan de Desarrollo
</t>
        </r>
        <r>
          <rPr>
            <b/>
            <sz val="9"/>
            <color indexed="81"/>
            <rFont val="Tahoma"/>
            <family val="2"/>
          </rPr>
          <t xml:space="preserve">DM: </t>
        </r>
        <r>
          <rPr>
            <sz val="9"/>
            <color indexed="81"/>
            <rFont val="Tahoma"/>
            <family val="2"/>
          </rPr>
          <t>Documento Maestro.</t>
        </r>
      </text>
    </comment>
    <comment ref="K7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8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9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0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1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2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3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4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5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6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7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8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9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0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1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2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3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4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5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6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7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8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9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0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1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2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3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4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5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6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7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8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9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40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41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42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</commentList>
</comments>
</file>

<file path=xl/comments3.xml><?xml version="1.0" encoding="utf-8"?>
<comments xmlns="http://schemas.openxmlformats.org/spreadsheetml/2006/main">
  <authors>
    <author>ERIKA ANDREA VALVERDE</author>
    <author>DIRECCION PLANEACION</author>
  </authors>
  <commentList>
    <comment ref="K6" authorId="0" shapeId="0">
      <text>
        <r>
          <rPr>
            <b/>
            <sz val="9"/>
            <color indexed="81"/>
            <rFont val="Tahoma"/>
            <family val="2"/>
          </rPr>
          <t xml:space="preserve">ANDREA VALVERDE:
Obedece a:
PMI: </t>
        </r>
        <r>
          <rPr>
            <sz val="9"/>
            <color indexed="81"/>
            <rFont val="Tahoma"/>
            <family val="2"/>
          </rPr>
          <t>Plan de Mejora Institucional</t>
        </r>
        <r>
          <rPr>
            <b/>
            <sz val="9"/>
            <color indexed="81"/>
            <rFont val="Tahoma"/>
            <family val="2"/>
          </rPr>
          <t xml:space="preserve">
PMC: </t>
        </r>
        <r>
          <rPr>
            <sz val="9"/>
            <color indexed="81"/>
            <rFont val="Tahoma"/>
            <family val="2"/>
          </rPr>
          <t xml:space="preserve">Plan de Mejora de Calidad
</t>
        </r>
        <r>
          <rPr>
            <b/>
            <sz val="9"/>
            <color indexed="81"/>
            <rFont val="Tahoma"/>
            <family val="2"/>
          </rPr>
          <t>PMP:</t>
        </r>
        <r>
          <rPr>
            <sz val="9"/>
            <color indexed="81"/>
            <rFont val="Tahoma"/>
            <family val="2"/>
          </rPr>
          <t xml:space="preserve"> Plan de Mejora Programa Académico</t>
        </r>
        <r>
          <rPr>
            <b/>
            <sz val="9"/>
            <color indexed="81"/>
            <rFont val="Tahoma"/>
            <family val="2"/>
          </rPr>
          <t xml:space="preserve">
PGR:</t>
        </r>
        <r>
          <rPr>
            <sz val="9"/>
            <color indexed="81"/>
            <rFont val="Tahoma"/>
            <family val="2"/>
          </rPr>
          <t xml:space="preserve"> Plan de Gestión del Riesgo
</t>
        </r>
        <r>
          <rPr>
            <b/>
            <sz val="9"/>
            <color indexed="81"/>
            <rFont val="Tahoma"/>
            <family val="2"/>
          </rPr>
          <t xml:space="preserve">EST: </t>
        </r>
        <r>
          <rPr>
            <sz val="9"/>
            <color indexed="81"/>
            <rFont val="Tahoma"/>
            <family val="2"/>
          </rPr>
          <t xml:space="preserve">Estratégico al Plan de Desarrollo
</t>
        </r>
        <r>
          <rPr>
            <b/>
            <sz val="9"/>
            <color indexed="81"/>
            <rFont val="Tahoma"/>
            <family val="2"/>
          </rPr>
          <t xml:space="preserve">DM: </t>
        </r>
        <r>
          <rPr>
            <sz val="9"/>
            <color indexed="81"/>
            <rFont val="Tahoma"/>
            <family val="2"/>
          </rPr>
          <t>Documento Maestro.</t>
        </r>
      </text>
    </comment>
    <comment ref="K7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8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9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0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1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2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3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4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5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6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7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8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9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0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1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2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3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4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5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6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7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8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9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0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1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2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3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4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5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6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7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8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9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40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41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42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</commentList>
</comments>
</file>

<file path=xl/comments4.xml><?xml version="1.0" encoding="utf-8"?>
<comments xmlns="http://schemas.openxmlformats.org/spreadsheetml/2006/main">
  <authors>
    <author>ERIKA ANDREA VALVERDE</author>
    <author>DIRECCION PLANEACION</author>
  </authors>
  <commentList>
    <comment ref="K6" authorId="0" shapeId="0">
      <text>
        <r>
          <rPr>
            <b/>
            <sz val="9"/>
            <color indexed="81"/>
            <rFont val="Tahoma"/>
            <family val="2"/>
          </rPr>
          <t xml:space="preserve">ANDREA VALVERDE:
Obedece a:
PMI: </t>
        </r>
        <r>
          <rPr>
            <sz val="9"/>
            <color indexed="81"/>
            <rFont val="Tahoma"/>
            <family val="2"/>
          </rPr>
          <t>Plan de Mejora Institucional</t>
        </r>
        <r>
          <rPr>
            <b/>
            <sz val="9"/>
            <color indexed="81"/>
            <rFont val="Tahoma"/>
            <family val="2"/>
          </rPr>
          <t xml:space="preserve">
PMC: </t>
        </r>
        <r>
          <rPr>
            <sz val="9"/>
            <color indexed="81"/>
            <rFont val="Tahoma"/>
            <family val="2"/>
          </rPr>
          <t xml:space="preserve">Plan de Mejora de Calidad
</t>
        </r>
        <r>
          <rPr>
            <b/>
            <sz val="9"/>
            <color indexed="81"/>
            <rFont val="Tahoma"/>
            <family val="2"/>
          </rPr>
          <t>PMP:</t>
        </r>
        <r>
          <rPr>
            <sz val="9"/>
            <color indexed="81"/>
            <rFont val="Tahoma"/>
            <family val="2"/>
          </rPr>
          <t xml:space="preserve"> Plan de Mejora Programa Académico</t>
        </r>
        <r>
          <rPr>
            <b/>
            <sz val="9"/>
            <color indexed="81"/>
            <rFont val="Tahoma"/>
            <family val="2"/>
          </rPr>
          <t xml:space="preserve">
PGR:</t>
        </r>
        <r>
          <rPr>
            <sz val="9"/>
            <color indexed="81"/>
            <rFont val="Tahoma"/>
            <family val="2"/>
          </rPr>
          <t xml:space="preserve"> Plan de Gestión del Riesgo
</t>
        </r>
        <r>
          <rPr>
            <b/>
            <sz val="9"/>
            <color indexed="81"/>
            <rFont val="Tahoma"/>
            <family val="2"/>
          </rPr>
          <t xml:space="preserve">EST: </t>
        </r>
        <r>
          <rPr>
            <sz val="9"/>
            <color indexed="81"/>
            <rFont val="Tahoma"/>
            <family val="2"/>
          </rPr>
          <t xml:space="preserve">Estratégico al Plan de Desarrollo
</t>
        </r>
        <r>
          <rPr>
            <b/>
            <sz val="9"/>
            <color indexed="81"/>
            <rFont val="Tahoma"/>
            <family val="2"/>
          </rPr>
          <t xml:space="preserve">DM: </t>
        </r>
        <r>
          <rPr>
            <sz val="9"/>
            <color indexed="81"/>
            <rFont val="Tahoma"/>
            <family val="2"/>
          </rPr>
          <t>Documento Maestro.</t>
        </r>
      </text>
    </comment>
    <comment ref="K7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8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9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0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1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2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3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4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5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6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7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8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9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0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1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2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3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4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5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6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7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8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9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0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1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2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3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4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5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6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7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8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9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40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41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42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</commentList>
</comments>
</file>

<file path=xl/comments5.xml><?xml version="1.0" encoding="utf-8"?>
<comments xmlns="http://schemas.openxmlformats.org/spreadsheetml/2006/main">
  <authors>
    <author>ERIKA ANDREA VALVERDE</author>
    <author>DIRECCION PLANEACION</author>
  </authors>
  <commentList>
    <comment ref="K6" authorId="0" shapeId="0">
      <text>
        <r>
          <rPr>
            <b/>
            <sz val="9"/>
            <color indexed="81"/>
            <rFont val="Tahoma"/>
            <family val="2"/>
          </rPr>
          <t xml:space="preserve">ANDREA VALVERDE:
Obedece a:
PMI: </t>
        </r>
        <r>
          <rPr>
            <sz val="9"/>
            <color indexed="81"/>
            <rFont val="Tahoma"/>
            <family val="2"/>
          </rPr>
          <t>Plan de Mejora Institucional</t>
        </r>
        <r>
          <rPr>
            <b/>
            <sz val="9"/>
            <color indexed="81"/>
            <rFont val="Tahoma"/>
            <family val="2"/>
          </rPr>
          <t xml:space="preserve">
PMC: </t>
        </r>
        <r>
          <rPr>
            <sz val="9"/>
            <color indexed="81"/>
            <rFont val="Tahoma"/>
            <family val="2"/>
          </rPr>
          <t xml:space="preserve">Plan de Mejora de Calidad
</t>
        </r>
        <r>
          <rPr>
            <b/>
            <sz val="9"/>
            <color indexed="81"/>
            <rFont val="Tahoma"/>
            <family val="2"/>
          </rPr>
          <t>PMP:</t>
        </r>
        <r>
          <rPr>
            <sz val="9"/>
            <color indexed="81"/>
            <rFont val="Tahoma"/>
            <family val="2"/>
          </rPr>
          <t xml:space="preserve"> Plan de Mejora Programa Académico</t>
        </r>
        <r>
          <rPr>
            <b/>
            <sz val="9"/>
            <color indexed="81"/>
            <rFont val="Tahoma"/>
            <family val="2"/>
          </rPr>
          <t xml:space="preserve">
PGR:</t>
        </r>
        <r>
          <rPr>
            <sz val="9"/>
            <color indexed="81"/>
            <rFont val="Tahoma"/>
            <family val="2"/>
          </rPr>
          <t xml:space="preserve"> Plan de Gestión del Riesgo
</t>
        </r>
        <r>
          <rPr>
            <b/>
            <sz val="9"/>
            <color indexed="81"/>
            <rFont val="Tahoma"/>
            <family val="2"/>
          </rPr>
          <t xml:space="preserve">EST: </t>
        </r>
        <r>
          <rPr>
            <sz val="9"/>
            <color indexed="81"/>
            <rFont val="Tahoma"/>
            <family val="2"/>
          </rPr>
          <t xml:space="preserve">Estratégico al Plan de Desarrollo
</t>
        </r>
        <r>
          <rPr>
            <b/>
            <sz val="9"/>
            <color indexed="81"/>
            <rFont val="Tahoma"/>
            <family val="2"/>
          </rPr>
          <t xml:space="preserve">DM: </t>
        </r>
        <r>
          <rPr>
            <sz val="9"/>
            <color indexed="81"/>
            <rFont val="Tahoma"/>
            <family val="2"/>
          </rPr>
          <t>Documento Maestro.</t>
        </r>
      </text>
    </comment>
    <comment ref="K7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8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9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0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1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2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3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4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5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6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7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8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19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0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1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2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3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4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5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6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7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8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29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0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1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2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3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4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5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6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7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8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39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40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41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  <comment ref="K42" authorId="1" shapeId="0">
      <text>
        <r>
          <rPr>
            <b/>
            <sz val="9"/>
            <color indexed="81"/>
            <rFont val="Tahoma"/>
            <family val="2"/>
          </rPr>
          <t>DIRECCION PLANEACION:</t>
        </r>
        <r>
          <rPr>
            <sz val="9"/>
            <color indexed="81"/>
            <rFont val="Tahoma"/>
            <family val="2"/>
          </rPr>
          <t xml:space="preserve">
Obedece a:
PMI: Plan de Mejora Institucional
PMC: Plan de Mejora de Calidad
PMP: Plan de Mejora Programa Académico
PGR: Plan de Gestión del Riesgo
EST: Estratégico al Plan de Desarrollo
DM: Documento Maestro.</t>
        </r>
      </text>
    </comment>
  </commentList>
</comments>
</file>

<file path=xl/sharedStrings.xml><?xml version="1.0" encoding="utf-8"?>
<sst xmlns="http://schemas.openxmlformats.org/spreadsheetml/2006/main" count="1629" uniqueCount="969">
  <si>
    <t>fup*</t>
  </si>
  <si>
    <t>Elija</t>
  </si>
  <si>
    <t>DD</t>
  </si>
  <si>
    <t>MM</t>
  </si>
  <si>
    <t>AAAA</t>
  </si>
  <si>
    <t>OBE</t>
  </si>
  <si>
    <t>LOCALIDAD</t>
  </si>
  <si>
    <t>Descripcion ccosto</t>
  </si>
  <si>
    <t>Nombres</t>
  </si>
  <si>
    <t>SI</t>
  </si>
  <si>
    <t>Ene</t>
  </si>
  <si>
    <t>ANALISTA DE SISTEMAS</t>
  </si>
  <si>
    <t>Pregrado</t>
  </si>
  <si>
    <t>NO</t>
  </si>
  <si>
    <t>4 Meses Semestre 1</t>
  </si>
  <si>
    <t>Feb</t>
  </si>
  <si>
    <t>APRENDIZ SENA</t>
  </si>
  <si>
    <t>1. Misión y Proyecto Educativo Institucional</t>
  </si>
  <si>
    <t>POPAYÁN</t>
  </si>
  <si>
    <t>ADMINISTRACION DE EMPRESAS</t>
  </si>
  <si>
    <t>DIAZ CARMONA DANILO MANZILLER</t>
  </si>
  <si>
    <t>Especialización Profesional</t>
  </si>
  <si>
    <t>TRASLADO</t>
  </si>
  <si>
    <t>4 Meses Semestre 2</t>
  </si>
  <si>
    <t>Mar</t>
  </si>
  <si>
    <t>ASESOR</t>
  </si>
  <si>
    <t>SANTANDER DE QUILICHAO</t>
  </si>
  <si>
    <t>ADMINISTRACION DE EMPRESAS / MOD. VIRTUAL</t>
  </si>
  <si>
    <t>SOLIS ESCOBAR FERNANDO</t>
  </si>
  <si>
    <t>Maestría</t>
  </si>
  <si>
    <t>8 Meses</t>
  </si>
  <si>
    <t>Abr</t>
  </si>
  <si>
    <t>ASISTENTE  ADMINISTRATIVO</t>
  </si>
  <si>
    <t>ADMINISTRACION DE EMPRESAS AGROPECUARIAS</t>
  </si>
  <si>
    <t>IBARRA SOTELO MARYEM ROCIO</t>
  </si>
  <si>
    <t>Doctorado</t>
  </si>
  <si>
    <t>10 meses</t>
  </si>
  <si>
    <t>May</t>
  </si>
  <si>
    <t>ASISTENTE ACADEMICO</t>
  </si>
  <si>
    <t>ADMINISTRACION DE EMPRESAS AGROPECUARIAS / MOD. VIRTUAL</t>
  </si>
  <si>
    <t>GARCIA BUITRON JULIO CESAR</t>
  </si>
  <si>
    <t>11 meses</t>
  </si>
  <si>
    <t>Jun</t>
  </si>
  <si>
    <t>AUXILIAR ACADEMICO</t>
  </si>
  <si>
    <t>ARQUITECTURA</t>
  </si>
  <si>
    <t>COBO POTOSI YISEL</t>
  </si>
  <si>
    <t>1 año</t>
  </si>
  <si>
    <t>Jul</t>
  </si>
  <si>
    <t>AUXILIAR ADMINISTRATIVO</t>
  </si>
  <si>
    <t>ASEGURAMIENTO DE LA CALIDAD</t>
  </si>
  <si>
    <t>Indefinido</t>
  </si>
  <si>
    <t>Ago</t>
  </si>
  <si>
    <t>AUXILIAR CONTABLE</t>
  </si>
  <si>
    <t>AUTOEVALUACION</t>
  </si>
  <si>
    <t>VALVERDE ROJAS ERICA ANDREA</t>
  </si>
  <si>
    <t>Sep</t>
  </si>
  <si>
    <t>AUXILIAR DE CAMPO</t>
  </si>
  <si>
    <t>BIBLIOTECA</t>
  </si>
  <si>
    <t>URBANO GALLEGO ANDREA CECILIA</t>
  </si>
  <si>
    <t>Oct</t>
  </si>
  <si>
    <t>AUXILIAR DE ENFERMERIA</t>
  </si>
  <si>
    <t>BIENESTAR INSTITUCIONAL</t>
  </si>
  <si>
    <t>LOZANO NIÑO SERGIO</t>
  </si>
  <si>
    <t>Semestre 1</t>
  </si>
  <si>
    <t>Nov</t>
  </si>
  <si>
    <t>AUXILIAR DE INVESTIGACION</t>
  </si>
  <si>
    <t>CALIDAD INSTITUCIONAL</t>
  </si>
  <si>
    <t>CASTRO DOMINGUEZ GLORIA PATRICIA</t>
  </si>
  <si>
    <t>Semestre 2</t>
  </si>
  <si>
    <t>Dic</t>
  </si>
  <si>
    <t>AUXILIAR DE LABORATORIO</t>
  </si>
  <si>
    <t>CENTRO DE INFORMATICA</t>
  </si>
  <si>
    <t>FERIZ GARCIA DANIEL ANDRES</t>
  </si>
  <si>
    <t>Ambos</t>
  </si>
  <si>
    <t>AUXILIAR DE MANTENIMIENTO</t>
  </si>
  <si>
    <t>CICMA</t>
  </si>
  <si>
    <t>DURAN LOPEZ JULIAN ANDRES</t>
  </si>
  <si>
    <t>TRANSVERSAL</t>
  </si>
  <si>
    <t>AUXILIAR DE MANTENIMIENTO TI</t>
  </si>
  <si>
    <t>COORDINACION DE PROYECTOS</t>
  </si>
  <si>
    <t>QUINTERO ROJAS ANGELA MARIA</t>
  </si>
  <si>
    <t>CONVENCIONAL</t>
  </si>
  <si>
    <t>AUXILIAR DE SOPORTE</t>
  </si>
  <si>
    <t>COMUNICACIÓN SOCIAL</t>
  </si>
  <si>
    <t>URREA PANTOJA WILMER JAIR</t>
  </si>
  <si>
    <t>AUXILIAR SERVICIOS GENERALES</t>
  </si>
  <si>
    <t>COMUNICACIÓN SOCIAL / MOD. VIRTUAL</t>
  </si>
  <si>
    <t>MOSQUERA SANCHEZ LUIS EMIRO</t>
  </si>
  <si>
    <t>Tipo</t>
  </si>
  <si>
    <t>BIBLIOTECOLOGA</t>
  </si>
  <si>
    <t>COMUNICACIONES</t>
  </si>
  <si>
    <t>GAVIRIA ARMERO SONIA DEL CONSUELO</t>
  </si>
  <si>
    <t>PMI</t>
  </si>
  <si>
    <t>CAMAROGRAFO AUDIOVISUALES</t>
  </si>
  <si>
    <t>CONTABILIDAD</t>
  </si>
  <si>
    <t>ROJAS GIRALDO JUAN CARLOS</t>
  </si>
  <si>
    <t>PMC</t>
  </si>
  <si>
    <t>CAPELLAN</t>
  </si>
  <si>
    <t>CONTADURIA</t>
  </si>
  <si>
    <t>PASAJE BURBANO FABIAN FERNANDO</t>
  </si>
  <si>
    <t>PMP</t>
  </si>
  <si>
    <t>COMMUNITY MANAGER</t>
  </si>
  <si>
    <t>DECANATURA</t>
  </si>
  <si>
    <t>ZUÑIGA MUÑOZ YADY VANESSA</t>
  </si>
  <si>
    <t>PGR</t>
  </si>
  <si>
    <t>CONDUCTOR</t>
  </si>
  <si>
    <t>DERECHO</t>
  </si>
  <si>
    <t>CLEVES SUAZA LUIS GUILLERMO</t>
  </si>
  <si>
    <t>EST</t>
  </si>
  <si>
    <t>CONTADOR</t>
  </si>
  <si>
    <t>ECOLOGIA</t>
  </si>
  <si>
    <t>MEDINA LLANTEN JESUS ANTONIO</t>
  </si>
  <si>
    <t>DM</t>
  </si>
  <si>
    <t>COORDINADOR</t>
  </si>
  <si>
    <t>ECONOMIA</t>
  </si>
  <si>
    <t>ARIAS HOYOS ARNOL</t>
  </si>
  <si>
    <t>COORDINADOR - LOGISTICA, COMPRAS Y ALMACEN</t>
  </si>
  <si>
    <t>EGRESADOS</t>
  </si>
  <si>
    <t>DURAN ENRIQUEZ CARLOS ANDRES</t>
  </si>
  <si>
    <t>COORDINADOR ACADEMICO</t>
  </si>
  <si>
    <t>ESCUELA DE DESARROLLO PROFESORAL</t>
  </si>
  <si>
    <t>MONTOYA BONILLA BIBIANA PATRICIA</t>
  </si>
  <si>
    <t>COORDINADOR ACADEMICO GENERAL</t>
  </si>
  <si>
    <t>ESCUELA DE IDIOMAS</t>
  </si>
  <si>
    <t>BETANCOURT LOPEZ JOSE GREGORIO</t>
  </si>
  <si>
    <t>COORDINADOR ADMISIONES</t>
  </si>
  <si>
    <t>ESCUELA DE LECTO-ESCRITURA</t>
  </si>
  <si>
    <t>VALENCIA PALOMINO DAISY XIMENA</t>
  </si>
  <si>
    <t>COORDINADOR CULTURA Y DEPORTES</t>
  </si>
  <si>
    <t>ESCUELA DE MATEMATICAS</t>
  </si>
  <si>
    <t>MINA ZAPE CARLOS FERNANDO</t>
  </si>
  <si>
    <t>COORDINADOR DE EMPRENDIMIENTO</t>
  </si>
  <si>
    <t>ESCUELA DE MUSICA</t>
  </si>
  <si>
    <t>MOSQUERA CERON JUAN PABLO</t>
  </si>
  <si>
    <t>COORDINADOR DE MEDIOS EDUCATIVOS</t>
  </si>
  <si>
    <t>EXTENSIÓN Y PROYECCIÓN SOCIAL</t>
  </si>
  <si>
    <t>JOAQUI ESCOBAR PAOLA ANDREA</t>
  </si>
  <si>
    <t>COORDINADOR DE PROYECTOS</t>
  </si>
  <si>
    <t>FINCA</t>
  </si>
  <si>
    <t>BOLAÑOS SARRIA DIEGO FABIAN</t>
  </si>
  <si>
    <t>COORDINADOR GESTION CURRICULAR</t>
  </si>
  <si>
    <t>INGENIERIA DE SISTEMAS</t>
  </si>
  <si>
    <t>SATIZABAL SERNA CLARA EUGENIA</t>
  </si>
  <si>
    <t>COORDINADOR GESTION DOCUMENTAL</t>
  </si>
  <si>
    <t>INGENIERIA INDUSTRIAL</t>
  </si>
  <si>
    <t>ACOSTA CAICEDO OMAR ANDRES</t>
  </si>
  <si>
    <t>COORDINADOR PERMANENCIA</t>
  </si>
  <si>
    <t>INTERNACIONALIZACION</t>
  </si>
  <si>
    <t xml:space="preserve">PRADO QUINTERO JUAN MANUEL </t>
  </si>
  <si>
    <t>COORDINADOR REGISTRO ACADEMICO</t>
  </si>
  <si>
    <t>LABORATORIOS</t>
  </si>
  <si>
    <t>RONCANCIO ANDREA CAICEDO</t>
  </si>
  <si>
    <t>COORDINADOR SERVICIOS DE SALUD</t>
  </si>
  <si>
    <t>LEAC</t>
  </si>
  <si>
    <t>AGUILAR BURBANO ANDRES FELIPE</t>
  </si>
  <si>
    <t>COORDINADOR SG - SST</t>
  </si>
  <si>
    <t>MERCADEO - ADMISIONES</t>
  </si>
  <si>
    <t>ERAZO MEDINA MONICA ADRIANA</t>
  </si>
  <si>
    <t>DESARROLLADOR</t>
  </si>
  <si>
    <t>PASTORAL</t>
  </si>
  <si>
    <t>CARDONA CHAVEZ CARLOS MANUEL</t>
  </si>
  <si>
    <t>DIRECTOR</t>
  </si>
  <si>
    <t>PLANEACION</t>
  </si>
  <si>
    <t>ARBOLEDA GAETH ANDRES FELIPE</t>
  </si>
  <si>
    <t>DIRECTOR CONTROL INTERNO</t>
  </si>
  <si>
    <t>POSGRADOS / COMUNICACIÓN PARA EL DESARROLLO TERRITORIAL</t>
  </si>
  <si>
    <t>GOMEZ DURAN DIANA CAROLINA</t>
  </si>
  <si>
    <t>DIRECTOR DE EXTENCIÓN Y PROYECCIÓN SOCIAL</t>
  </si>
  <si>
    <t>POSGRADOS / DATA ANALYTICS PARA MARKETING DIGITAL</t>
  </si>
  <si>
    <t>POTES GALARZA MANUEL JULIAN CAMILO</t>
  </si>
  <si>
    <t>DIRECTOR DE INVESTIGACIÓN</t>
  </si>
  <si>
    <t>POSGRADOS / DERECHO CONSTITUCIONAL</t>
  </si>
  <si>
    <t>MOLANO CASTRO MARIA ALEJANDRA</t>
  </si>
  <si>
    <t>DIRECTOR DE POSTGRADOS</t>
  </si>
  <si>
    <t>POSGRADOS / DERECHO PROCESAL</t>
  </si>
  <si>
    <t>OCAMPO GUZMAN GINNA FERNANDA</t>
  </si>
  <si>
    <t>DIRECTOR GESTION HUMANA</t>
  </si>
  <si>
    <t>POSGRADOS / GERENCIA DE AGRONEGOCIOS SOSTENIBLES</t>
  </si>
  <si>
    <t>CONDA FERNANDEZ BIBIANA</t>
  </si>
  <si>
    <t>DIRECTOR GESTION SISTEMAS DE INFORMACION</t>
  </si>
  <si>
    <t>POSGRADOS / GERENCIA DEL TALENTO HUMANO</t>
  </si>
  <si>
    <t>ZUÑIGA RAMOS KAREN JISSET</t>
  </si>
  <si>
    <t>DIRECTOR ORII</t>
  </si>
  <si>
    <t>POSGRADOS / GERENCIA SOCIAL</t>
  </si>
  <si>
    <t>JACOME MOSQUERA VICTOR JULIAN</t>
  </si>
  <si>
    <t>DIRECTOR SEDE ALVARO ULCUE CHOCUE</t>
  </si>
  <si>
    <t>POSGRADOS / GESTIÓN DEL RIESGO DE DESASTRES</t>
  </si>
  <si>
    <t>HURTADO MARIA FERNANDA</t>
  </si>
  <si>
    <t>DIRECTOR TECNOLOGÍAS DE LA INFORMACIÓN</t>
  </si>
  <si>
    <t>POSGRADOS / PSICOLOGÍA EDUCATIVA</t>
  </si>
  <si>
    <t>FORERO OVALLE VILMA ISABEL</t>
  </si>
  <si>
    <t>DISEÑADOR GRAFICO</t>
  </si>
  <si>
    <t>POSGRADOS / PSICOLOGÍA SOCIAL COMUNITARIA</t>
  </si>
  <si>
    <t>RIASCOS CLAUDIA</t>
  </si>
  <si>
    <t>DISEÑADOR MULTIMEDIA</t>
  </si>
  <si>
    <t>PSICOLOGIA</t>
  </si>
  <si>
    <t>ZULUAGA CARDENAS CARLOS ARTURO</t>
  </si>
  <si>
    <t>DOCENTE</t>
  </si>
  <si>
    <t>RECTORIA</t>
  </si>
  <si>
    <t>ORDOÑEZ RUIZ LUZ ANGELA</t>
  </si>
  <si>
    <t>DOCENTE CON CARGA ADMINISTRATIVA</t>
  </si>
  <si>
    <t>RECURSOS HUMANOS</t>
  </si>
  <si>
    <t xml:space="preserve">CARABALI CORTES WILFREDO </t>
  </si>
  <si>
    <t>DOCENTE COORDINADOR TRABAJOS DE GRADO TIEMPO COMPLETO</t>
  </si>
  <si>
    <t>SEDE NORTE</t>
  </si>
  <si>
    <t>VELANDIA DÍAZ DIANA ISABEL</t>
  </si>
  <si>
    <t>DOCENTE INVESTIGADOR</t>
  </si>
  <si>
    <t>REGISTRO ACADEMICO</t>
  </si>
  <si>
    <t>DOCENTE MEDIO TIEMPO</t>
  </si>
  <si>
    <t>SECRETARIA GENERAL</t>
  </si>
  <si>
    <t>DOCENTE TIEMPO COMPLETO</t>
  </si>
  <si>
    <t>SEGUIMIENTO INSTITUCIONAL</t>
  </si>
  <si>
    <t>JOVEN INVESTIGADOR</t>
  </si>
  <si>
    <t>SERVICIOS GENERALES</t>
  </si>
  <si>
    <t>MAYORDOMO</t>
  </si>
  <si>
    <t>SIDI</t>
  </si>
  <si>
    <t>MEDICO</t>
  </si>
  <si>
    <t>SISTEMA DE GESTION DE SST</t>
  </si>
  <si>
    <t>MENSAJERO</t>
  </si>
  <si>
    <t>TESORERIA</t>
  </si>
  <si>
    <t>ODONTOLOGO</t>
  </si>
  <si>
    <t>TRABAJO SOCIAL</t>
  </si>
  <si>
    <t>PERIODISTA</t>
  </si>
  <si>
    <t>UNIDAD AUDIOVISUALES</t>
  </si>
  <si>
    <t>PROFESIONAL</t>
  </si>
  <si>
    <t>UNIVIDA</t>
  </si>
  <si>
    <t>PROFESIONAL BIENESTAR INSTITUCIONAL</t>
  </si>
  <si>
    <t>VICERECTORIA ACADEMICA</t>
  </si>
  <si>
    <t>PROFESIONAL CONTRATOS Y CERTIFICACIONES</t>
  </si>
  <si>
    <t>VICERECTORIA ADMINISTRATIVA Y FINANCIERA</t>
  </si>
  <si>
    <t>PROFESIONAL DE APOYO</t>
  </si>
  <si>
    <t>PROFESIONAL DE APOYO OPCIONES DE GRADO</t>
  </si>
  <si>
    <t>PROFESIONAL DE NOMINA</t>
  </si>
  <si>
    <t>PROFESIONAL DISEÑADOR</t>
  </si>
  <si>
    <t>PROFESIONAL SEGURIDAD SOCIAL</t>
  </si>
  <si>
    <t>PROFESIONAL SELECCION Y CAPACITACION</t>
  </si>
  <si>
    <t>PROFESIONAL UNIVERSITARIO</t>
  </si>
  <si>
    <t>PROFESIONAL VIRTUALIZACION REDES</t>
  </si>
  <si>
    <t>RECTOR</t>
  </si>
  <si>
    <t>TIPO RECURSOS</t>
  </si>
  <si>
    <t>SUPERNUMERARIO</t>
  </si>
  <si>
    <t>TESORERO</t>
  </si>
  <si>
    <t>Fisicos</t>
  </si>
  <si>
    <t>VICERRECTOR</t>
  </si>
  <si>
    <t>Financieros</t>
  </si>
  <si>
    <t>WEBMASTER</t>
  </si>
  <si>
    <t>Tecnológicos</t>
  </si>
  <si>
    <t>Humanos</t>
  </si>
  <si>
    <t>PROYECTOS</t>
  </si>
  <si>
    <t>1. APROPIACIÓN: IDENTIDAD INSTITUCIONAL</t>
  </si>
  <si>
    <t>2. SISTEMA INTERNO DE ASEGURAMIENTO DE LA CALIDAD</t>
  </si>
  <si>
    <t>3. ACOMPAÑAMIENTO Y ÉXITO ESTUDIANTIL</t>
  </si>
  <si>
    <t>4. NUEVOS ESCENARIOS DE APRENDIZAJE Y RECURSOS INSTITUCIONALES</t>
  </si>
  <si>
    <t>5. ECOSISTEMA DE INNOVACIÓN</t>
  </si>
  <si>
    <t>6. RELACIONAMIENTO CON EL MEDIO EXTERNO</t>
  </si>
  <si>
    <t>7. DESARROLLO Y GESTIÓN ORGANIZACIONAL</t>
  </si>
  <si>
    <t>METAS</t>
  </si>
  <si>
    <t xml:space="preserve">1. Intervenciones a estudiantes y docentes en sensibilizaciones en temáticas institucionales. </t>
  </si>
  <si>
    <t>1. Actualización del Proyecto Educativo Institucional</t>
  </si>
  <si>
    <t>1. Evaluación de los resultados de aprendizaje (Evaluación de las rubricas de enseñanza)</t>
  </si>
  <si>
    <t>1. Implementar instrumentos de comunicación y divulgación, con el fin de promover un novedoso acercamiento hacia la comunidad educativa,</t>
  </si>
  <si>
    <t>1. Construir un Plan Estratégico de Comunicación y Relacionamiento adecuado que
permita establecer un contacto permanente y consecutivo con los grupos de
interés.</t>
  </si>
  <si>
    <t>1. Actualizar de manera permanente los contenidos en medios de comunicación
institucional en línea, tales como portal web y perfiles de redes sociales
institucionales para brindar a la ciudadanía información oportuna, veraz y
confiable.</t>
  </si>
  <si>
    <t>1. Difundir la información institucional a los diferentes grupos objetivos y públicos
de interés sobre la gestión a través de acciones de comunicación externa, con el
fin de propiciar el flujo adecuado y el acceso a la información.</t>
  </si>
  <si>
    <t>1. Generar impacto social mendiante la creación del boletin institucional.</t>
  </si>
  <si>
    <t>1. Garantizar el despliegue oportuno a las diferentes audiencias y estamentos
universitarios, de los planes, proyectos, iniciativas y actividades puestas en
marcha en el marco de los eventos que se realicen internos y externos.</t>
  </si>
  <si>
    <t>1. Establecer mecanismos de acción en materia de comunicación que permita
responder a los diferentes retos institucionales.</t>
  </si>
  <si>
    <t xml:space="preserve">1. Construir y gestionar las relaciones internas y externas de la Universidad
en procura de mejorar el prestigio institucional. </t>
  </si>
  <si>
    <t>1. Visibilizar la Universidad a nivel local, nacional e internacional a través de los medios masivos de comunicación y manejo estratégico de comunicación pública.</t>
  </si>
  <si>
    <t xml:space="preserve">1. Posicionar la imagen institucional de la Universidad  con el fin de generar
un uso apropiado de su manual de identidad. </t>
  </si>
  <si>
    <t>1. Seguimiento y control de los lineamientos institucionales y Formato Unico de Gestión.</t>
  </si>
  <si>
    <t>1. Construcción de una guía metodológica para la creación, seguimiento y actualización de las políticas institucionales.</t>
  </si>
  <si>
    <t>1. Revisión y consolidación de Informes de Gestión</t>
  </si>
  <si>
    <t>1. Revisión y ajuste de indicadores que permitan medir, monitorear y hacer seguimiento a los proyectos y programas institucionales.</t>
  </si>
  <si>
    <t>1. Gobierno Institucional y Rendición de Cuentas Institucional</t>
  </si>
  <si>
    <t>1. Construcción del Plan de Desarrollo Institucional PDI</t>
  </si>
  <si>
    <t>1. Universidad Verde, Inteligente e Inclusiva: Programas y proyectos  fomenten el cuidado del medio ambiente, la apropiación de la tecnología y el respeto por la diversidad y la inclusión.</t>
  </si>
  <si>
    <t>1. Creación, revisión y actualización de políticas institucionales.</t>
  </si>
  <si>
    <t>2. Renovación de registros calificados de pregrado</t>
  </si>
  <si>
    <t>2. Ampliación de oferta académica pregrados</t>
  </si>
  <si>
    <t>2. Renovación de registros calificados de posgrado</t>
  </si>
  <si>
    <t>2. Ampliación de oferta académica posgrados</t>
  </si>
  <si>
    <t xml:space="preserve">2. Acreditación de Alta Calidad
Acreditación Institucional
</t>
  </si>
  <si>
    <t>2. Revisar los documentos de condiciones iniciales, emitir concepto y acompañar al coordinador de autoevaluación de los programas Académicos.</t>
  </si>
  <si>
    <t>2. Seguimiento de los planes de mejoramiento tanto de programas académicos de pregrado como de posgrado.</t>
  </si>
  <si>
    <t>2. Armonización y/o transición del SGC ISO 9001:2015 a la ISO 21001:2019 "Sistemas para organizaciones educativas" (Migración a ente certificador ICONTEC)</t>
  </si>
  <si>
    <t>2. Establecer mediciones en un Sistema de Gestión de la Calidad. 
Satisfacción del cliente, medida a través de encuestas.</t>
  </si>
  <si>
    <t>2. Lograr servicios de alta calidad y mantener la satisfacción de los estudiantes y partes interesadas</t>
  </si>
  <si>
    <t>2. Establecer y revisar los indicadores de calidad. (Clasificarlos: impacto, eficiencia y efectividad)</t>
  </si>
  <si>
    <t>2. Informe con el resultado del logro de los objetivos de calidad</t>
  </si>
  <si>
    <t>2. Autoevaluación: 
Revisión de la identidad institucional
Evaluación de cada una de las áreas de gestión
Establecimiento de las fortalezas y oportunidades de mejoramiento</t>
  </si>
  <si>
    <t>2. Elaboración del plan de mejoramiento:
Formulación de objetivos
Formulación de metas
Definición de indicadores
Definición de actividades y de sus responsables
Elaboración del cronograma de actividades
Definición de los recursos necesarios para la ejecución del plan de mejoramiento
Divulgación del plan de mejoramiento a la comunidad educativa</t>
  </si>
  <si>
    <t xml:space="preserve">2. Seguimiento y evaluación:
Revisión del cumplimiento de los objetivos y metas del plan de mejoramiento
Evaluación del plan de mejoramiento
</t>
  </si>
  <si>
    <t>2. Procesos de autoevaluación: de orden académico (fases Renovaciones RC)  y de orden administrativo. (Auditoria Interna)</t>
  </si>
  <si>
    <t>2. Crear una arquitectura de información que dé soporte a las metas de la Institución.</t>
  </si>
  <si>
    <t>2. Comunicación de los resultados de la autoevaluación y la evaluación del plan de mejoramiento.</t>
  </si>
  <si>
    <t>3. Política relacionada con el acceso justo a la educación superior.</t>
  </si>
  <si>
    <t>3. Establecer un Modelo de selección donde se identifiquen criterios incluyentes y equitativos.</t>
  </si>
  <si>
    <t>3. Presentar un esquema que integre lineamientos, estrategias y acciones dirigidas a mejorar la capacidad institucional y controlar el acceso de estudiantes.</t>
  </si>
  <si>
    <t>3. Reconocer las capacidades en el estudiante, y fomentar su convivencia con el entorno en congruencia con una personalidad reflexiva, crítica, sensible, creativa y, responsable, tocando las dimensiones que como sujeto social.</t>
  </si>
  <si>
    <t>3. Proyectar la formación de estudiantes con enfoque de
sostenibilidad y comprensión de distintas
formas de expresión y cultura.</t>
  </si>
  <si>
    <t>3. Establecer un Modelo Educativo Integral y Flexible que permita al estudiante conocer, hacer, ser, sentir, convivir.</t>
  </si>
  <si>
    <t>3. Proponer ejercicios de doble titulación entre los programas de pregrado</t>
  </si>
  <si>
    <t>3. Autosostenibilidad: Implementar el plan de mercadeo para captar  mayor volumen de estudiantes.</t>
  </si>
  <si>
    <t xml:space="preserve">3. Diseñar una propuesta de valor que permita Identificar y definir las ventajas de la propuesta educativa FUP y el enfoque en el diferencial de la institución. </t>
  </si>
  <si>
    <t>3. Definir campañas de preinscripción con beneficios.</t>
  </si>
  <si>
    <t>3. Establecer canales de contacto eficientes.</t>
  </si>
  <si>
    <t>3. Posicionamiento institucional a través del marketing educativo y la creación de valor sostenible alineando el propósito institucional a la generación de beneficios para estudiantes.</t>
  </si>
  <si>
    <t xml:space="preserve">3. Fomentar las estrategias de impacto del pensamiento crítico </t>
  </si>
  <si>
    <t>3. Fortalecimiento del desempeño pruebas Saber pro, a través de estrategias académicas y culturales.</t>
  </si>
  <si>
    <t>3. Establecer la Escuela de Lectoescritura como un espacio que brinde apoyos en asignaturas como lectoescritura sino también asesorías en procesos lectores y escritos, capacitaciones Pruebas Saber PRO, Club.</t>
  </si>
  <si>
    <t>3. Fortalecimiento de las competencias de estudiantes y docentes en habilidades blandas y comunicación asertiva.</t>
  </si>
  <si>
    <t>3. Permitir la conjunción de disciplinas a través de la interacción entre facultades y programas a partir de las cuales se generan nuevos perfiles de egreso.</t>
  </si>
  <si>
    <t xml:space="preserve">3. Definir y/o estandarizar en el cuerpo de docente, para asumir las funciones de Docencia, Investigación y Proyección Social </t>
  </si>
  <si>
    <t xml:space="preserve">3. Fortalecimiento segundo idioma en docentes y estudiantes </t>
  </si>
  <si>
    <t>3. Crear espacios también de formación docente desde la parte artística.</t>
  </si>
  <si>
    <t>3. Capacitación y actualización pedagógica de los docentes</t>
  </si>
  <si>
    <t xml:space="preserve">3. Formulación de estrategias activas y participativas que permitan al docente involucrarse y formar parte en el proceso de enseñanza-aprendizaje. El saber hacer, el trabajo colaborativo y cooperativo, </t>
  </si>
  <si>
    <t>3. Rubricas de Evaluación.</t>
  </si>
  <si>
    <t>3. Visitas técnicas y salidas de campo.</t>
  </si>
  <si>
    <t>3. Aumentar el material bibliográfico actual, a través de la compra de nuevos de nuevos ejemplares.</t>
  </si>
  <si>
    <t>3. Fortalecimiento de medios educativos e infraestructura tecnológica como herramienta de las actividades académicas de proyección social e investigación.</t>
  </si>
  <si>
    <t>3. Diseñar software para los sistemas de gestión bibliotecarios, que permita la creación de colecciones digitales e implementación de repositorios.</t>
  </si>
  <si>
    <t xml:space="preserve">3. Acompañamiento académico, salud integral, deporte y recreación, expresiones culturales y artísticas y apoyo a estudiantes con capacidades diversas. </t>
  </si>
  <si>
    <t>3. Gestionar los programas, acciones y servicios de bienestar que contribuyen a la formación integral de la comunidad estudiantil, el mejoramiento de la calidad de vida y la construcción de comunidad</t>
  </si>
  <si>
    <t xml:space="preserve">3. Orientación y Consejería respaldamos al estudiante para el buen suceso de su vida universitaria. </t>
  </si>
  <si>
    <t>3. Ampliación de cobertura con apoyos socioeconómicos (nutrición, conectividad, reliquidación de matrículas), acciones de pastoral universitaria.</t>
  </si>
  <si>
    <t xml:space="preserve">3. Seguimiento de los estudiantes a través del Sistema de Alertas Tempranas. </t>
  </si>
  <si>
    <t>3. Programas orientados a contribuir con el desarrollo de la personalidad y la autoestima por medio de la expresión corporal, la relajación mental y habitos saludables.</t>
  </si>
  <si>
    <t>3. Programas de pausas activas, de alimentación saludable, deportivos, de retos, de acompañamiento médico, psicológico y salud mental, agenda cultural y agenda de cine a través de la virtualidad. </t>
  </si>
  <si>
    <t xml:space="preserve">3. Implementación de estrategias para la Disminución de la deserción y ausentismo de los estudiantes. </t>
  </si>
  <si>
    <t>3. Identificar, mediante la aplicación de Análisis de Datos, los patrones de las causas de deserción y repitencia universitaria, para definir parámetros de detección temprana.</t>
  </si>
  <si>
    <t>3. Fortalecer los  procesos de seguimiento y evaluación a la deserción estudiantil y repitencia.</t>
  </si>
  <si>
    <t>3. Analizar y diseñar el sistema para generar reportes de alerta temprana de
potencial repitencia y deserción académica.</t>
  </si>
  <si>
    <t>3. Diseñar y construir un sistema de información de alerta temprana para prevenir los
fenómenos de deserción y repitencia universitaria originando en factores
académicos.</t>
  </si>
  <si>
    <t>4. Planificación, asignación, seguimiento y control de la gestión y los  recursos asignados a cada área y/o programa.</t>
  </si>
  <si>
    <t>4. Estrategia de marketing segmentado.</t>
  </si>
  <si>
    <t>4. Campaña de preinscripción con beneficios.</t>
  </si>
  <si>
    <t>4. Mecanismos de marketing externo; realización, producción e impresión de material POP.</t>
  </si>
  <si>
    <t>4. Diseñar la propuesta de valor de la Institución.</t>
  </si>
  <si>
    <t>4. Página web optimizada y creación de contenido interactivo.</t>
  </si>
  <si>
    <t>4. Construicción de  branding de la Universidad  e inbound marketing.</t>
  </si>
  <si>
    <t>4. Estrategias comerciales de posicionamiento y fidelización.</t>
  </si>
  <si>
    <t>4. Plan Estratégico de Mercadeo</t>
  </si>
  <si>
    <t xml:space="preserve">4. Informes presupuestales y contables con la periodicidad
semestral  y redefinir políticas de asignación y uso de recursos. </t>
  </si>
  <si>
    <t>4. Verificar constantemente el punto de equilibrio en cuanto al número de estudiantes y así saber si se equiparan los ingresos con los gastos,</t>
  </si>
  <si>
    <t>4. Diversificar las fuentes de ingreso del programa en pro de su estabilidad y desarrollo financiero y misional.</t>
  </si>
  <si>
    <t>4. Contar con un plan de gestión de residuos sólidos.</t>
  </si>
  <si>
    <t>4. Plan Estratégico de Seguridad Vial Implementado.</t>
  </si>
  <si>
    <t>4. Contar con permisos ambientales necesarios para la planta física, asegurando parte de la Responsabilidad Social Universitaria.</t>
  </si>
  <si>
    <t>4. Espacios de acuerdo a la normatividad y procedimientos adecuados para la gestión del archivo físico.</t>
  </si>
  <si>
    <t>4. Generar convenios Interinstitucionales que permiten el aprovechamiento de recursos y espacios disponibles directamente dentro de la Institución con otras IES.</t>
  </si>
  <si>
    <t>4. Ecosistema de conocimiento en evolución  con el uso de plataformas virtuales que e permitan generar nuevos conocimientos.</t>
  </si>
  <si>
    <t>4. Uso de herramientas TICs y entornos educativos para aplicar el aprendizaje colaborativo.</t>
  </si>
  <si>
    <t>4. Licencias de software, programas, dominios y otras herraminetas que fortalezcan el aprendizaje mediado por las TICs</t>
  </si>
  <si>
    <t>4. Transformación del modelo educativo basado en el uso de las TIC.</t>
  </si>
  <si>
    <t>4. Creación de la Unidad de correspondencia</t>
  </si>
  <si>
    <t>4. Posicionar el CEDE al nivel regional como una incubadora de empresas.</t>
  </si>
  <si>
    <t xml:space="preserve">4. Observatorio de empleabilidad y emprendimiento  (Secre. de la mujer - Observatorio de asuntos de genero) </t>
  </si>
  <si>
    <t>4. Consolidar el consultorio de emprendimiento e innovación social</t>
  </si>
  <si>
    <t>4. Centro de desarrollo, gestión, ejecución e interventoría de proyectos ( Spin OFF)</t>
  </si>
  <si>
    <t>4. Consultorio ambiental y de proyectos.</t>
  </si>
  <si>
    <t>4. Consultorio Contable, Financiero y  Fiscal (Unidad articuladora de  los laboratorios del programa NAF-PBV, como modelo de negocio y espacio de desarrollo de las prácticas de formación)</t>
  </si>
  <si>
    <t>4. Nuevos espacios para el aprendizaje, el descubrimiento y la creación artística y cultural.</t>
  </si>
  <si>
    <t>4. Renovación Infraestructura de Servidores</t>
  </si>
  <si>
    <t>4. Implementación del sistema de Backus y restauración</t>
  </si>
  <si>
    <t>4. Mejoramiento de la conectividad de las sedes</t>
  </si>
  <si>
    <t>4. Definir el Plan Estratégico de Tecnología</t>
  </si>
  <si>
    <t>4. Sistema de información de Bibliotecas para consulta fisica y virtual.
Repositorios, catalogos, bases de datos y libros electrónicos.</t>
  </si>
  <si>
    <t>4. Contar con nuevos espacios de aprendizaje y/o modernizar los ya existentes tanto en infraestructura como en materiales, equipos, laboratorios y bibliografía o bases de datos</t>
  </si>
  <si>
    <t>5. Capacitar en todos los niveles sobre el proceso y los procedimientos de la investigación.</t>
  </si>
  <si>
    <t xml:space="preserve">5. Publicacion de productos derivados de procesos del SIDI, cartillas, memorias, boletines </t>
  </si>
  <si>
    <t>5. Participación en eventos científicos de impacto nacional e Internacional.</t>
  </si>
  <si>
    <t>5. Comunicar y Divulgar procesos de investigación que generen inpacto a la comunidad académica.</t>
  </si>
  <si>
    <t>5. Movilidades nacionales/internacionales  de investigación a semilleros (intercambios, pasantias)</t>
  </si>
  <si>
    <t>5. Socialización de de los linemientos para la hoja de ruta de la investigacion formativa en la FUP.</t>
  </si>
  <si>
    <t>5. Convocatorias y proceso de evaluación interna y externa de proyectos. (I+D - UEES - SEMILLEROS INVESTIGADORES)</t>
  </si>
  <si>
    <t xml:space="preserve">5. Participación de estudiantes pertenencientes a los semilleros de investigación, docentes y administrativos </t>
  </si>
  <si>
    <t>5. Crear un procesos de investigación social (grupo de Investigación) liderado desde Extensión y proyección social.</t>
  </si>
  <si>
    <t>5. Mantener la clasificación del grupo de investigación</t>
  </si>
  <si>
    <t xml:space="preserve">5. Fortalecer la investigación a través de la generación de proyectos y productos de investigación </t>
  </si>
  <si>
    <t xml:space="preserve">5. Categorización de los grupos de investigación </t>
  </si>
  <si>
    <t xml:space="preserve">6. Socialización de la Política de egresados y asegurar la  implementación de sus lineamientos. </t>
  </si>
  <si>
    <t>6. Programas, proyectos y servicios para el desarrollo sostenible, inclusivo y mejoramiento de calidad de vida en la región.</t>
  </si>
  <si>
    <t>6. Educación para la paz: Educadores rurales comunitarios.</t>
  </si>
  <si>
    <t>6. Oferta de cursos, diplomados y/o talleres, seminarios y congresos  en ambientes presenciales virtuales para llegar a toda la comunidad.</t>
  </si>
  <si>
    <t>6. Consolidación de laboratorios de paz y promoción de la resiliencia en la zona rural.</t>
  </si>
  <si>
    <t>6. Promoción de la participación de la ciudadanía y en los programas de desarrollo social.</t>
  </si>
  <si>
    <t>6. Seguimiento a egresados: Monitorear y evaluar el quehacer de los egresados que permita procesos de análisis y determinar planes de acción inmediata, a corto o largo plazo.</t>
  </si>
  <si>
    <t>6. Aplicación, seguimineto y analisis de encuestas momento 0,1 y 5</t>
  </si>
  <si>
    <t>6. RED colaborativa de egresados.</t>
  </si>
  <si>
    <t>6. Reconocimiento a los  Egresados  FUP (Día del Egresado)</t>
  </si>
  <si>
    <t>6. Fortalecimiento en habilidades que propenda el aprendizaje del egresado a lo largo de la vida. Educación continua, emprendimiento, empleo.</t>
  </si>
  <si>
    <t>6. Relacionamiento a egresados: Generar acciones que fomenten escenarios que permitan el intercambio de conocimientos, experiencias exitosas, impactos de investigación, redes sociales, entre otros.</t>
  </si>
  <si>
    <t>6. Bolsa de empleo institucional.</t>
  </si>
  <si>
    <t xml:space="preserve">6. Gestionar nuevas ofertas de formación continua para egresados, y profesionales afines a las ciencias contables. </t>
  </si>
  <si>
    <t>6. Detectar las necesidades del sector externo en temas de formación continua, mediante un análisis de mercado</t>
  </si>
  <si>
    <t>6. Seguimiento y evaluación de los procesos de formación (logísticos, administrativos)</t>
  </si>
  <si>
    <t>6. Articular y apoyar las actividades con los diferentes programas académicos para las propuestas de cursos de extensión.</t>
  </si>
  <si>
    <t>6. Programa de Fortalecimiento Empresarial: Asesorías y Consultorías.</t>
  </si>
  <si>
    <t>6. Actualización de base de datos.</t>
  </si>
  <si>
    <t>6. Encuesta a empleadores: conocer el impacto que están generando nuestros egresados.</t>
  </si>
  <si>
    <t>6. Generar un mayor contacto entre el contexto laboral y la academia, debido al vínculo tan cercano que tiene el egresado con la realidad social actual.</t>
  </si>
  <si>
    <t>6. Percepción del Empleador: Medir el nivel de satisfacción con el desempeño del graduado y estudiante en práctica</t>
  </si>
  <si>
    <t xml:space="preserve">6. Proyecto Club ecológico y de lectura </t>
  </si>
  <si>
    <t>6. Potenciar y fortalecer programas institucionales</t>
  </si>
  <si>
    <t>6. Articulación con los Objetivos de Desarrollo Sostenible</t>
  </si>
  <si>
    <t>6. Semana Social</t>
  </si>
  <si>
    <t>6. Integración al ecosistema del emprendimiento regional, nacional e internacional.</t>
  </si>
  <si>
    <t>6. Articulación Universidad- Empresa- Estado para el fortalecimiento de lo público y el desarrollo productivo por medio de convocatorias internas y externas.</t>
  </si>
  <si>
    <t>6. Actividades académicas y culturales de relacionamiento con instituciones regionales, nacionales e internacionales</t>
  </si>
  <si>
    <t>6. Promover la movilidad académica entrante y saliente</t>
  </si>
  <si>
    <t>6. Desplazamiento temporal, en doble vía, de los miembros de la comunidad académica a otra, con un propósito específico de orden docente, investigativo, académico, administrativo o de extensión; acogiéndose a convenios establecidos por la institución.</t>
  </si>
  <si>
    <t>6. Ecosistemas de bilingüismo:  diseño y puesta en marcha de una aplicación digital ramificada para el aprendizaje de inglés.</t>
  </si>
  <si>
    <t>6. Banco de planes de aula alineados al currículo sugerido de inglés.</t>
  </si>
  <si>
    <t>6. Fortalecimiento de las prácticas pedagógicas con programas de bilingüismo.</t>
  </si>
  <si>
    <t>6. Diseños curriculares, contenidos, y asignaturas que promuevan el desarrollo de competencias interculturales.</t>
  </si>
  <si>
    <t>7. Socializar el programa de estímulos y destacar los procesos educativos, investigativos, artísticos y culturales, cuyo rasgo distintivo es la excelencia y su contribución a la comunidad académica.</t>
  </si>
  <si>
    <t>7. Asignación de responsabilidades y roles dispuestos en los manuales de funciones y según la estructura organizacional.</t>
  </si>
  <si>
    <t>7. Establecer el Plan Anual de Formación y Capacitación con los diferentes programas que permitan garantizar la actualización de  competencias y capacidades de los trabajadores.</t>
  </si>
  <si>
    <t>7. Implementar un Sistema de Gestión Documental</t>
  </si>
  <si>
    <t>7. Diseño del Sistema Integral de Información SIIFUP</t>
  </si>
  <si>
    <t>7. Alistamiento y soporte de matriculas, inscripciones, elecciones,.</t>
  </si>
  <si>
    <t>7. Consolidación base de datos de graduados.</t>
  </si>
  <si>
    <t xml:space="preserve">7. Desarrollo del módulo de Educación Continua
</t>
  </si>
  <si>
    <t>7. Desarrollo del módulo para el Sistema de Gestión de Calidad</t>
  </si>
  <si>
    <t xml:space="preserve">7. Desarrollo del módulo de Registro Académico
</t>
  </si>
  <si>
    <t>7. Diseño Sistema de Egresados</t>
  </si>
  <si>
    <t>7. Desarrollar soluciones tecnológicas asociadas al Sistema de Información de Registro estudiantil (SIRES).</t>
  </si>
  <si>
    <t>7. Diseñar una herramienta para la gestión de información y la comunicación interna, que permita mejorar y agilizar la dinámica organizacional.</t>
  </si>
  <si>
    <t>7. Implementación de actividades de la pastoral educativa como eje transversal para la formación integral.</t>
  </si>
  <si>
    <t>7. Establecer programas de promocion y prevencion de enfermedades, estilos de vida saludable</t>
  </si>
  <si>
    <t>7. Propiciar relaciones laborales bajo conceptos de amabilidad, cordialidad,
amistad y respeto.</t>
  </si>
  <si>
    <t>7. Aplicar los  mecanismos de reclutamiento y selección, contratación, formación integral - desarrollo, evaluación y desvinculación del personal.</t>
  </si>
  <si>
    <t xml:space="preserve">7. Identificar los peligros, evaluar y valorar los riesgos estableciendo la intervención para mitigar la probabilidad de ocurrencia y minimizar la potencialización del peligro </t>
  </si>
  <si>
    <t>7. Propender por el trabajo en equipo entre los colaboradores y la
comunicación constante que permite el logro de resultados, introducir
cambios, facilitar transiciones o cambios fundamentales.</t>
  </si>
  <si>
    <t>7. Responsabilidad social y corporativa en la inclusión de todos los
colaboradores y la participación de la comunidad sin ningún precepto de
discriminación, cumpliendo con las exigencias legales y logrando el bien
común.</t>
  </si>
  <si>
    <t>7. Implementar la evaluación 360 grados:
-Mide el rendimiento de los empleados.
-Evaluar las competencias.
-Diseñar planes de formación.
-Planes de carrera y sucesión.</t>
  </si>
  <si>
    <t>7. Identificación y caracterizar las necesidades de capacitación e incluirlas en el Plan Anual de Formación y Capacitación.</t>
  </si>
  <si>
    <t>7. Promocionar un clima laboral positivo que genera la confianza necesaria para mejorar la productividad de los colaboradores y para que destaquen en sus tareas. Por tanto, se debe facilitar un ambiente de trabajo cómodo, positivo y motivante.</t>
  </si>
  <si>
    <t>7. Actividades de promoción, información de las normas y reglamentos de seguridad y salud en el trabajo dentro de la Institución.</t>
  </si>
  <si>
    <t xml:space="preserve">7. Estrategias para promover la participación y el compromiso de los estudiantes, docentes y administrativos. </t>
  </si>
  <si>
    <t>7. Planificar una selección y contratación y una asignación eficaz del cuerpo docente.</t>
  </si>
  <si>
    <t>7. Promover y divulgar al cuerpo profesoral del Estatuto, a través de todos los canales
de comunicación a disposición de la institución de los programas académicos y
dependencias académicas y administrativas.</t>
  </si>
  <si>
    <t>7. Evaluación semestral del número, la dedicación, el nivel de formación y la experiencia de los profesores para la asignación y definición de la labor académica.</t>
  </si>
  <si>
    <t>7. Coordinar acciones en la formación de los docentes, de modo que sus prácticas y actividades pedagógicas incidan en el desarrollo de competencias de los estudiantes.</t>
  </si>
  <si>
    <t>7. Establecer líneas de acción para posibilitar que se provea un espacio de articulación entre el Proyecto Educativo Institucional y el proyecto de vida docente.</t>
  </si>
  <si>
    <t xml:space="preserve">7. Estímulos económicos a la producción intelectual docente y reconocimientos. </t>
  </si>
  <si>
    <t>7. Establecer criterios para la asignación de reconocimientos a docentes por sus aportes en el campo de la investigación, la generación de nuevos productos, el aporte en la excelencia educativa y la solución de problemáticas de tipo social.</t>
  </si>
  <si>
    <t>7. La apreciación de la docencia por parte de los estudiantes
La autoevaluación del profesor
La valoración por parte del jefe inmediato.
Trazar planes de mejora</t>
  </si>
  <si>
    <t>Incremento</t>
  </si>
  <si>
    <t>Carga prestacional</t>
  </si>
  <si>
    <t>Salario Mínimo</t>
  </si>
  <si>
    <t>Supsidio de transporte</t>
  </si>
  <si>
    <t>Horas Laborales Tiempo Completo</t>
  </si>
  <si>
    <t>Horas Laborales Medio Tiempo</t>
  </si>
  <si>
    <t>Horas Laborales TP</t>
  </si>
  <si>
    <t>Vr. Hora por docente</t>
  </si>
  <si>
    <t>CUALIFICACIÓN DOCENTE</t>
  </si>
  <si>
    <t>SALARIO CON INCREMENTO TC</t>
  </si>
  <si>
    <t>CON CARGA PRESTACIONAL TC</t>
  </si>
  <si>
    <t>Vr. Hora por docente TC</t>
  </si>
  <si>
    <t>SALARIO 2021 MT</t>
  </si>
  <si>
    <t>SALARIO CON INCREMENTO MT</t>
  </si>
  <si>
    <t>CON CARGA PRESTACIONAL MT</t>
  </si>
  <si>
    <t>Vr. Hora por docente MT</t>
  </si>
  <si>
    <t>Vr. Hora por docente TP</t>
  </si>
  <si>
    <t>CÓDIGO SALARIO</t>
  </si>
  <si>
    <t>SALARIO CON INCREMENTO</t>
  </si>
  <si>
    <t>CON CARGA PRESTACIONAL</t>
  </si>
  <si>
    <t>COSTO HORA</t>
  </si>
  <si>
    <t>CS01</t>
  </si>
  <si>
    <t>CS02</t>
  </si>
  <si>
    <t>CS03</t>
  </si>
  <si>
    <t>CS04</t>
  </si>
  <si>
    <t>CS05</t>
  </si>
  <si>
    <t>CS06</t>
  </si>
  <si>
    <t>CS07</t>
  </si>
  <si>
    <t>CS08</t>
  </si>
  <si>
    <t>CS09</t>
  </si>
  <si>
    <t>CS10</t>
  </si>
  <si>
    <t>CS11</t>
  </si>
  <si>
    <t>CS12</t>
  </si>
  <si>
    <t>CS13</t>
  </si>
  <si>
    <t>CS14</t>
  </si>
  <si>
    <t>CS15</t>
  </si>
  <si>
    <t>CS16</t>
  </si>
  <si>
    <t>CS17</t>
  </si>
  <si>
    <t>CS18</t>
  </si>
  <si>
    <t>CS19</t>
  </si>
  <si>
    <t>CS20</t>
  </si>
  <si>
    <t>CS21</t>
  </si>
  <si>
    <t>CS22</t>
  </si>
  <si>
    <t>CS23</t>
  </si>
  <si>
    <t>CS24</t>
  </si>
  <si>
    <t>CS25</t>
  </si>
  <si>
    <t>CS26</t>
  </si>
  <si>
    <t>CS27</t>
  </si>
  <si>
    <t>CS28</t>
  </si>
  <si>
    <t>CS29</t>
  </si>
  <si>
    <t>CS30</t>
  </si>
  <si>
    <t>CS31</t>
  </si>
  <si>
    <t>CS32</t>
  </si>
  <si>
    <t>CS33</t>
  </si>
  <si>
    <t>CS34</t>
  </si>
  <si>
    <t>CS35</t>
  </si>
  <si>
    <t>CS36</t>
  </si>
  <si>
    <t>CS37</t>
  </si>
  <si>
    <t>CS38</t>
  </si>
  <si>
    <t>CS39</t>
  </si>
  <si>
    <t>PRESUPUESTO Y PLANEACIÓN PARA EL DESARROLLO ACADÉMICO/ADMINISTRATIVO DE ÁREAS Y PROGRAMAS ACADÉMICOS</t>
  </si>
  <si>
    <t>FORMATO ÚNICO DE GESTIÓN PARA ÁREAS Y PROGRAMAS ACADÉMICOS</t>
  </si>
  <si>
    <t>Localidad</t>
  </si>
  <si>
    <t>Descripción costo</t>
  </si>
  <si>
    <t>Quién elaboró:</t>
  </si>
  <si>
    <t>Fecha de elaboración</t>
  </si>
  <si>
    <t>Nombre del colaborador</t>
  </si>
  <si>
    <t>Seleccione el Cargo</t>
  </si>
  <si>
    <t>Código Salario</t>
  </si>
  <si>
    <t>Cantidad
Personal</t>
  </si>
  <si>
    <t>Periodo de contratación</t>
  </si>
  <si>
    <t>Totales</t>
  </si>
  <si>
    <t>Costo por Semestre I</t>
  </si>
  <si>
    <t>Costo por Semestre II</t>
  </si>
  <si>
    <t>Aprobado SI-NO</t>
  </si>
  <si>
    <t>Costo Semestre 1</t>
  </si>
  <si>
    <t>Costo Semestre 2</t>
  </si>
  <si>
    <t>Observaciones</t>
  </si>
  <si>
    <t>Ejecución</t>
  </si>
  <si>
    <t>Observaciones de la Ejecución</t>
  </si>
  <si>
    <t>Docentes Tiempo Completo</t>
  </si>
  <si>
    <t>Cantidad
de Docentes</t>
  </si>
  <si>
    <t>Cualificación</t>
  </si>
  <si>
    <t>Función(Buscar)</t>
  </si>
  <si>
    <t>Docentes Medio Tiempo</t>
  </si>
  <si>
    <t>Docentes Tiempo Parcial / Hora Cátedra</t>
  </si>
  <si>
    <t>Máximo 8 Horas</t>
  </si>
  <si>
    <t>Valor semanal</t>
  </si>
  <si>
    <t>Seleccione la cualificación</t>
  </si>
  <si>
    <t>Relación Salario</t>
  </si>
  <si>
    <t>Total
Docentes</t>
  </si>
  <si>
    <t>Cantidad
Horas</t>
  </si>
  <si>
    <t>Actividades de Docencia</t>
  </si>
  <si>
    <t>I-COD</t>
  </si>
  <si>
    <t>INDICADOR</t>
  </si>
  <si>
    <t>RESPONSABLE</t>
  </si>
  <si>
    <t>TIPO DE RECURSO 
Fisico, financiero, humano y/o tecnológico.</t>
  </si>
  <si>
    <t>TIPO</t>
  </si>
  <si>
    <t>Abril</t>
  </si>
  <si>
    <t>Mayo</t>
  </si>
  <si>
    <t>Junio</t>
  </si>
  <si>
    <t>Julio</t>
  </si>
  <si>
    <t>Agto</t>
  </si>
  <si>
    <t>Meta</t>
  </si>
  <si>
    <t>Línea Base</t>
  </si>
  <si>
    <t>%</t>
  </si>
  <si>
    <t>Aprobado SI-NO-TRASLADO</t>
  </si>
  <si>
    <t>X</t>
  </si>
  <si>
    <t>DOC-10</t>
  </si>
  <si>
    <t>DOC-11</t>
  </si>
  <si>
    <t>DOC-12</t>
  </si>
  <si>
    <t>DOC-13</t>
  </si>
  <si>
    <t>DOC-14</t>
  </si>
  <si>
    <t>DOC-15</t>
  </si>
  <si>
    <t>DOC-16</t>
  </si>
  <si>
    <t>DOC-17</t>
  </si>
  <si>
    <t>DOC-18</t>
  </si>
  <si>
    <t>DOC-19</t>
  </si>
  <si>
    <t>DOC-20</t>
  </si>
  <si>
    <t>DOC-21</t>
  </si>
  <si>
    <t>DOC-22</t>
  </si>
  <si>
    <t>DOC-23</t>
  </si>
  <si>
    <t>DOC-24</t>
  </si>
  <si>
    <t>Actividades de Investigación</t>
  </si>
  <si>
    <t>INV-01</t>
  </si>
  <si>
    <t>INV-02</t>
  </si>
  <si>
    <t>INV-03</t>
  </si>
  <si>
    <t>INV-04</t>
  </si>
  <si>
    <t>INV-05</t>
  </si>
  <si>
    <t>INV-06</t>
  </si>
  <si>
    <t>INV-07</t>
  </si>
  <si>
    <t>INV-08</t>
  </si>
  <si>
    <t>INV-09</t>
  </si>
  <si>
    <t>INV-10</t>
  </si>
  <si>
    <t>INV-11</t>
  </si>
  <si>
    <t>INV-12</t>
  </si>
  <si>
    <t>INV-13</t>
  </si>
  <si>
    <t>INV-14</t>
  </si>
  <si>
    <t>INV-15</t>
  </si>
  <si>
    <t>INV-16</t>
  </si>
  <si>
    <t>INV-17</t>
  </si>
  <si>
    <t>INV-18</t>
  </si>
  <si>
    <t>INV-19</t>
  </si>
  <si>
    <t>INV-20</t>
  </si>
  <si>
    <t>INV-21</t>
  </si>
  <si>
    <t>INV-22</t>
  </si>
  <si>
    <t>INV-23</t>
  </si>
  <si>
    <t>INV-24</t>
  </si>
  <si>
    <t>Actividades de Extensión y Proyección Social</t>
  </si>
  <si>
    <t>DOC-32</t>
  </si>
  <si>
    <t>DOC-33</t>
  </si>
  <si>
    <t>DOC-34</t>
  </si>
  <si>
    <t>DOC-35</t>
  </si>
  <si>
    <t>DOC-36</t>
  </si>
  <si>
    <t>EXT-10</t>
  </si>
  <si>
    <t>EXT-11</t>
  </si>
  <si>
    <t>EXT-12</t>
  </si>
  <si>
    <t>EXT-13</t>
  </si>
  <si>
    <t>EXT-14</t>
  </si>
  <si>
    <t>EXT-15</t>
  </si>
  <si>
    <t>EXT-16</t>
  </si>
  <si>
    <t>EXT-17</t>
  </si>
  <si>
    <t>EXT-18</t>
  </si>
  <si>
    <t>EXT-19</t>
  </si>
  <si>
    <t>EXT-20</t>
  </si>
  <si>
    <t>EXT-21</t>
  </si>
  <si>
    <t>EXT-22</t>
  </si>
  <si>
    <t>EXT-23</t>
  </si>
  <si>
    <t>EXT-24</t>
  </si>
  <si>
    <t>EXT-25</t>
  </si>
  <si>
    <t>EXT-26</t>
  </si>
  <si>
    <t>EXT-27</t>
  </si>
  <si>
    <t>EXT-28</t>
  </si>
  <si>
    <t>EXT-29</t>
  </si>
  <si>
    <t>EXT-30</t>
  </si>
  <si>
    <t>EXT-31</t>
  </si>
  <si>
    <t>EXT-32</t>
  </si>
  <si>
    <t>EXT-33</t>
  </si>
  <si>
    <t>EXT-34</t>
  </si>
  <si>
    <t>EXT-35</t>
  </si>
  <si>
    <t>EXT-36</t>
  </si>
  <si>
    <t>Actividades Complementarias</t>
  </si>
  <si>
    <t>COM-10</t>
  </si>
  <si>
    <t>COM-11</t>
  </si>
  <si>
    <t>COM-12</t>
  </si>
  <si>
    <t>COM-13</t>
  </si>
  <si>
    <t>COM-14</t>
  </si>
  <si>
    <t>COM-15</t>
  </si>
  <si>
    <t>COM-16</t>
  </si>
  <si>
    <t>COM-17</t>
  </si>
  <si>
    <t>COM-18</t>
  </si>
  <si>
    <t>COM-19</t>
  </si>
  <si>
    <t>COM-20</t>
  </si>
  <si>
    <t>COM-21</t>
  </si>
  <si>
    <t>COM-22</t>
  </si>
  <si>
    <t>COM-23</t>
  </si>
  <si>
    <t>COM-24</t>
  </si>
  <si>
    <t>COM-25</t>
  </si>
  <si>
    <t>COM-26</t>
  </si>
  <si>
    <t>COM-27</t>
  </si>
  <si>
    <t>COM-28</t>
  </si>
  <si>
    <t>COM-29</t>
  </si>
  <si>
    <t>COM-30</t>
  </si>
  <si>
    <t>COM-31</t>
  </si>
  <si>
    <t>COM-32</t>
  </si>
  <si>
    <t>COM-33</t>
  </si>
  <si>
    <t>COM-34</t>
  </si>
  <si>
    <t>COM-35</t>
  </si>
  <si>
    <t>COM-36</t>
  </si>
  <si>
    <t>Otros gastos imputables al programa o al área</t>
  </si>
  <si>
    <r>
      <rPr>
        <b/>
        <sz val="11"/>
        <color theme="0"/>
        <rFont val="Tahoma"/>
        <family val="2"/>
      </rPr>
      <t xml:space="preserve">Descripción
</t>
    </r>
    <r>
      <rPr>
        <sz val="11"/>
        <color rgb="FFFFFF00"/>
        <rFont val="Tahoma"/>
        <family val="2"/>
      </rPr>
      <t>(Archivadores, escritorios, sillas, etc.)</t>
    </r>
  </si>
  <si>
    <t>Colaborador a cargo</t>
  </si>
  <si>
    <t>RESULTADO</t>
  </si>
  <si>
    <t>Espacio para la revisión</t>
  </si>
  <si>
    <t>Muebles y Enseres</t>
  </si>
  <si>
    <r>
      <t xml:space="preserve">Descripción
</t>
    </r>
    <r>
      <rPr>
        <sz val="11"/>
        <color rgb="FFFFFF00"/>
        <rFont val="Tahoma"/>
        <family val="2"/>
      </rPr>
      <t>(Adecuaciones de oficina, mantenimiento, etc.)</t>
    </r>
  </si>
  <si>
    <t>Adecuaciones</t>
  </si>
  <si>
    <r>
      <t xml:space="preserve">Descripción
</t>
    </r>
    <r>
      <rPr>
        <sz val="11"/>
        <color rgb="FFFFFF00"/>
        <rFont val="Tahoma"/>
        <family val="2"/>
      </rPr>
      <t>(Hardware y Software)</t>
    </r>
  </si>
  <si>
    <t>Equipos de tecnología</t>
  </si>
  <si>
    <t>FUNDACIÓN UNIVERSITARIA DE POPAYÁN</t>
  </si>
  <si>
    <t>PRESUPUESTO CONSOLIDADO</t>
  </si>
  <si>
    <t>VICERRECTORIA ADMINISTRATIVA Y FINANCIERA</t>
  </si>
  <si>
    <t>Relación de costos presupuestales</t>
  </si>
  <si>
    <t>Gastos en personal</t>
  </si>
  <si>
    <t>Presupuestado</t>
  </si>
  <si>
    <t>Aprobado</t>
  </si>
  <si>
    <t>Concepto</t>
  </si>
  <si>
    <t>Total anual</t>
  </si>
  <si>
    <t>Total Gastos de personal Administrativo</t>
  </si>
  <si>
    <t>Total Gastos Docentes Tiempo Completo</t>
  </si>
  <si>
    <t>Total Gastos Docentes Medio Tiempo</t>
  </si>
  <si>
    <t>Total Gastos Docentes Tiempo Parcial</t>
  </si>
  <si>
    <t>Total Gastos Docentes de POSGRADO</t>
  </si>
  <si>
    <t>Total Gastos para la labor Docente</t>
  </si>
  <si>
    <t>Gastos en actividades</t>
  </si>
  <si>
    <t>Docencia</t>
  </si>
  <si>
    <t>Investigación</t>
  </si>
  <si>
    <t>Extensión o Proyección Social</t>
  </si>
  <si>
    <t>Complementarios</t>
  </si>
  <si>
    <t>Total Gastos en actividades</t>
  </si>
  <si>
    <t>TOTALES</t>
  </si>
  <si>
    <t>PRES</t>
  </si>
  <si>
    <t>APRO</t>
  </si>
  <si>
    <t>Administrativos</t>
  </si>
  <si>
    <t>Docentes</t>
  </si>
  <si>
    <t>Actividades</t>
  </si>
  <si>
    <t>Pocentaje</t>
  </si>
  <si>
    <t>Secuencia</t>
  </si>
  <si>
    <t>Avance</t>
  </si>
  <si>
    <t>Angulo</t>
  </si>
  <si>
    <t>Datos</t>
  </si>
  <si>
    <t>Y</t>
  </si>
  <si>
    <t>Inicio</t>
  </si>
  <si>
    <t>Fin</t>
  </si>
  <si>
    <t>DOC-25</t>
  </si>
  <si>
    <t>DOC-26</t>
  </si>
  <si>
    <t>DOC-27</t>
  </si>
  <si>
    <t>DOC-28</t>
  </si>
  <si>
    <t>DOC-29</t>
  </si>
  <si>
    <t>DOC-30</t>
  </si>
  <si>
    <t>DOC-31</t>
  </si>
  <si>
    <t>DOC-1</t>
  </si>
  <si>
    <t>DOC-2</t>
  </si>
  <si>
    <t>DOC-3</t>
  </si>
  <si>
    <t>DOC-4</t>
  </si>
  <si>
    <t>DOC-5</t>
  </si>
  <si>
    <t>DOC-6</t>
  </si>
  <si>
    <t>DOC-7</t>
  </si>
  <si>
    <t>DOC-8</t>
  </si>
  <si>
    <t>DOC-9</t>
  </si>
  <si>
    <t>EXT-1</t>
  </si>
  <si>
    <t>EXT-2</t>
  </si>
  <si>
    <t>EXT-3</t>
  </si>
  <si>
    <t>EXT-4</t>
  </si>
  <si>
    <t>EXT-5</t>
  </si>
  <si>
    <t>EXT-6</t>
  </si>
  <si>
    <t>EXT-7</t>
  </si>
  <si>
    <t>EXT-8</t>
  </si>
  <si>
    <t>EXT-9</t>
  </si>
  <si>
    <t>COM-01</t>
  </si>
  <si>
    <t>COM-02</t>
  </si>
  <si>
    <t>COM-03</t>
  </si>
  <si>
    <t>COM-04</t>
  </si>
  <si>
    <t>COM-05</t>
  </si>
  <si>
    <t>COM-06</t>
  </si>
  <si>
    <t>COM-07</t>
  </si>
  <si>
    <t>COM-08</t>
  </si>
  <si>
    <t>COM-09</t>
  </si>
  <si>
    <t>OBJETIVO ESTRATEGICO</t>
  </si>
  <si>
    <t>CANTIDAD ESPERADA 2024-1</t>
  </si>
  <si>
    <t>CANTIDAD ESPERADA 2024-2</t>
  </si>
  <si>
    <t>Lograr que el 80% de los estudiantes  conozca la misión y visión.</t>
  </si>
  <si>
    <t>Lograr que el 80% de los profesores conozca la misión y visión.</t>
  </si>
  <si>
    <t xml:space="preserve">Lograr que el 80% de los administrativos conozca la misión y visión </t>
  </si>
  <si>
    <t>Establecer documento que exprese los lineamientos de Buen Gobierno</t>
  </si>
  <si>
    <t xml:space="preserve">Establecer documento que exprese los lineamientos de Inclusión Social </t>
  </si>
  <si>
    <t xml:space="preserve">Expandir la estrategia de regionalización en la FUP mediante la implementación de un centro de tutoría </t>
  </si>
  <si>
    <t>Resultado de la encuesta de satisfacción institucional
Resultado encuesta calidad</t>
  </si>
  <si>
    <t>Porcentaje de construcción del documento ( 0% para no realización, 50% para el avance y 100% documento terminado) Tiempo 1 año</t>
  </si>
  <si>
    <t xml:space="preserve">Apertura Centro de tutoría </t>
  </si>
  <si>
    <t>META</t>
  </si>
  <si>
    <t>METAS DEL OBJETIVO</t>
  </si>
  <si>
    <t>ENTREGABLE O EVIDENCIA</t>
  </si>
  <si>
    <t>Construir documento que exprese los lineamientos que permitan promover una cultura ambiental en la institución</t>
  </si>
  <si>
    <t xml:space="preserve">Incrementar la Oferta de especializaciones </t>
  </si>
  <si>
    <t>Nuevos programas de especialización con documento maestro presentado a Registro Calificado</t>
  </si>
  <si>
    <t>Índice de absorción mayor o igual al 85% en los programas de pregrado  presencial</t>
  </si>
  <si>
    <t>Índice de absorción mayor o igual al 85% en los Posgrados</t>
  </si>
  <si>
    <t>Índice de absorción mayor o igual al 85% en los programas virtuales</t>
  </si>
  <si>
    <t>Índice de selectividad en 95% en programas presenciales</t>
  </si>
  <si>
    <t>Índice de selectividad en 95% en posgrados</t>
  </si>
  <si>
    <t>Índice de selectividad en 95% en programas virtuales</t>
  </si>
  <si>
    <t>Tasa de deserción estudiantil inferior o igual 8% en los programas de pregrado</t>
  </si>
  <si>
    <t xml:space="preserve">2.Estudiantes </t>
  </si>
  <si>
    <t>Implementar el Sistema de gestión de Seguridad y Salud en el Trabajo</t>
  </si>
  <si>
    <t>Realizar un plan de prevención y respuesta ante emergencias institucional y por sedes Análisis de Vulnerabilidad</t>
  </si>
  <si>
    <t>Índice de absorción: número de matriculados al primer período académico / Número de admitidos</t>
  </si>
  <si>
    <t>Índice de selectividad: Número de admitidos al primer período académico / número de inscritos</t>
  </si>
  <si>
    <t>% de deserción (SPADIES) según programa y periodo académico</t>
  </si>
  <si>
    <t>IPP( Indíce de Permanencia de Personal)= ( P:Personas que continuaron con respecto al semestre siguiente / F:Número de trabajadores del semestre considerado)</t>
  </si>
  <si>
    <t>Avances del programa seguridad y salud en el trabajo (ASGSST) = ( Acciones Ejecutadas (AE) / Acciones Programadas ) * 100</t>
  </si>
  <si>
    <t>Documento que manifieste el Plan de Prevención y espuesta a Emergencias y sus debidas actializaciones.</t>
  </si>
  <si>
    <t>Percepción del clima organizacional de los colaboradores de la FUP en un 85%</t>
  </si>
  <si>
    <t>Total de Colaboradores satisfechos/Número total de personal*100</t>
  </si>
  <si>
    <t>El Índice de Rotación de Personal IRP Total (Docentes y Administrativos) FUP</t>
  </si>
  <si>
    <t>El Índice de Rotación de Personal IRP Docentes Total FUP</t>
  </si>
  <si>
    <t>El Índice de Rotación de Personal IRP Administrativos Total FUP</t>
  </si>
  <si>
    <t xml:space="preserve">El Índice de Rotación de Personal IRP total (Docentes y administrativos) Sede Popayán Total </t>
  </si>
  <si>
    <t xml:space="preserve">El Índice de Rotación de Personal IRP Docentes- Sede Popayán Total </t>
  </si>
  <si>
    <t xml:space="preserve">El Índice de Rotación de Personal IRP Administrativos-Sede de Popayán Total </t>
  </si>
  <si>
    <t>El Índice de Rotación de Personal IRP (Docentes-Administrativos) total Santander</t>
  </si>
  <si>
    <t>El Índice de Rotación de Personal IRP (Administrativos) total Santander</t>
  </si>
  <si>
    <t>El Índice de Rotación de Personal IRP (Docentes) total Santander</t>
  </si>
  <si>
    <t xml:space="preserve">Mantener el Indice de Rotación de Personal (Docentes y administrativos) Sede Popayán &lt; 5% </t>
  </si>
  <si>
    <t xml:space="preserve">Rotación de Personal IRP (Docentes) total Santander &lt; 5% </t>
  </si>
  <si>
    <t xml:space="preserve">Rotación de Personal IRP (Administrativos) total Santander &lt; 5% </t>
  </si>
  <si>
    <t xml:space="preserve">Rotación de Personal IRP (Docentes-Administrativos) total Santander &lt; 5% </t>
  </si>
  <si>
    <t xml:space="preserve">Rotación de Personal IRP Administrativos-Sede de Popayán Total  &lt; 5% </t>
  </si>
  <si>
    <t xml:space="preserve">Rotación de Personal Docentes- Sede Popayán Total  &lt; 5% </t>
  </si>
  <si>
    <t xml:space="preserve">Rotación de Personal Adminsitrativos Total &lt; 5% </t>
  </si>
  <si>
    <t xml:space="preserve">Rotación de Personal docentes total &lt; 5% </t>
  </si>
  <si>
    <t xml:space="preserve">Rotación de Personal docentes y administrativos &lt; 5% </t>
  </si>
  <si>
    <t>3.Talento Humano</t>
  </si>
  <si>
    <t>Contratar el 50% de los docentes a términos óptimos mayor a 9 meses</t>
  </si>
  <si>
    <t>Lograr un incremento en 40% de los profesores con nivel de formación en maestria</t>
  </si>
  <si>
    <t>Lograr un incremento en un 20% de los profesores con nivel de formación de doctorado</t>
  </si>
  <si>
    <t>Mantener una tasa tecnica inferior al 0.4% que equivalen a 25 estudiantes por docente</t>
  </si>
  <si>
    <t>(# total de docentes TC+MT+TP X 100%) / # total de docentes</t>
  </si>
  <si>
    <t>Indice= Número de estudiantes por Docente/ Docentes en programas de pregrado</t>
  </si>
  <si>
    <t># de profesores escalafonados/#total de profesores por año * 100%</t>
  </si>
  <si>
    <t>Número de docentes con habilidades en Planes TIC/Número total de docentes</t>
  </si>
  <si>
    <t>Indíce de Permanencia de Personal Total (Docentes, Administrativos) mayor o igual al  85%</t>
  </si>
  <si>
    <t>Indíce de Permanencia de Personal Total Docentes mayor o igual al  85%</t>
  </si>
  <si>
    <t>Indíce de Permanencia de Personal Total Administrativos mayor o igual al  85%</t>
  </si>
  <si>
    <t>Indíce de Permanencia de Personal Docentes Sede Popayán mayor o igual al  85%</t>
  </si>
  <si>
    <t>Indíce de Permanencia de Personal Administrativos Sede Popayán mayor o igual al  85%</t>
  </si>
  <si>
    <t>Indíce de Permanencia de Personal Docentes Sede Santander mayor o igual al  85%</t>
  </si>
  <si>
    <t>Indíce de Permanencia de Personal Administrativos Sede Santander mayor o igual al  85%</t>
  </si>
  <si>
    <t>4.Profesores</t>
  </si>
  <si>
    <t>Porcentaje de docentes escalafonados Mayor o igual al 25%</t>
  </si>
  <si>
    <t>Docentes de la FUP  con formación pedagógica basada en las  TIC mayor o Igual al 8%</t>
  </si>
  <si>
    <t>Porcentaje de construcción del  documento Estrategia Institucional ( 0% para no realización, 50% para el avance y 100% documento terminado)</t>
  </si>
  <si>
    <t>Construir 1 documento de registro calificado para un programa de maestría Propia o en convenio</t>
  </si>
  <si>
    <t>Documento Elaborado (Indicador de seguimiento 0% para no realización, 50% para el avance y 100% documento terminado)</t>
  </si>
  <si>
    <t>Porcentaje de estudiantes en el nivel de desempeño 4 en competencias genericas: Competencia escrita,Razonamiento Cuantitativo,Lectura Crítica;Competencias Ciudadanas</t>
  </si>
  <si>
    <t>Porcentaje de estudiantes en el nivel de desempeño 4 en competencias del Núcleo basico del conocimiento</t>
  </si>
  <si>
    <t>Lograr que el 5% de los estudiantes que se presentan a la prueba Saber Pro obtengan puntaje superior al promedio nacional en el nivel de desempeño 4 en cada una de las competencias genéricas: Competencia escrita,Razonamiento Cuantitativo,Lectura Crítica;Competencias Ciudadanas</t>
  </si>
  <si>
    <t xml:space="preserve">Lograr que  el 5% los estudiantes que se presentan a la prueba Saber Pro obtengan puntaje superior al promedio nacional en el nivel de desempeño 4 en cada una de las competencias del núcleo basico del conocimiento </t>
  </si>
  <si>
    <t xml:space="preserve">Obtener la renovación de registros calificados de programas académicos </t>
  </si>
  <si>
    <t>Diseñar el 20% de los contenidos académicos del programa con estrategias B-learning o modalidad virtual</t>
  </si>
  <si>
    <t>contenidos académicos del programa con estrategias B-learning o modalidad virtual/ contenidos académicos del programa *100%</t>
  </si>
  <si>
    <t>5.Procesos académicos</t>
  </si>
  <si>
    <t># Estudiantes en movilidad/ total de movlidades*100%</t>
  </si>
  <si>
    <t># docentes en movilidad docente/total de movilidades*100</t>
  </si>
  <si>
    <t>Número de profesores visitantes</t>
  </si>
  <si>
    <t>Al menos 1 profesor visitante por periodo académico por cada uno de los programas</t>
  </si>
  <si>
    <t>Movilidades de profesores igual o mayor al 30%</t>
  </si>
  <si>
    <t xml:space="preserve">Movilidades estudiantiles igual o mayor al 20% </t>
  </si>
  <si>
    <t>6.Visibilidad Nacional e Internacional</t>
  </si>
  <si>
    <t>Que el 50% de los grupos existentes suban a la categoría siguiente.</t>
  </si>
  <si>
    <t>Lograr la participación de al menos del 10% anual de los docentes en las formaciones en  CTeI</t>
  </si>
  <si>
    <t>Número de grupos que subieron de categoria  ante COLCIENCIAS/Número total de grupos avaldos en COLCIENCIAS de la FUP</t>
  </si>
  <si>
    <t>(Número de estudiantes por programa vinculados a semilleros de investigación/ Número total de estudiantes de pregrado presencial FUP)*100%</t>
  </si>
  <si>
    <t>(Número de proyectos
de investigación con
financiamiento adicional al que
destina la FUP o que son
financiados sólo con recursos
externos a la FUP en el año/ Total de proyectos de investigación en la institución)*100%</t>
  </si>
  <si>
    <t xml:space="preserve">Número de proyectos de investigación en las diferentes modalidades </t>
  </si>
  <si>
    <t xml:space="preserve">Productos de investigación generados </t>
  </si>
  <si>
    <t xml:space="preserve">Numero de movilidades internacionales al año/numero total de movilidades </t>
  </si>
  <si>
    <t>(Número de docentes participantes en  formación CTeI/ Total de docentes )*100%</t>
  </si>
  <si>
    <t>(Número de proyectos de investigación con investigadores binacionales/ Total de proyectos de investigación)*100%</t>
  </si>
  <si>
    <t>Incrementar la participación de los estudiantes en los semilleros de investigación al 30%</t>
  </si>
  <si>
    <t>al menos el 10% de los Proyectos de investigación de la institución son financiados o cofinanciados con recursos externos.</t>
  </si>
  <si>
    <t>Ejecutar al menos 1 proyecto de investigación por programa académico</t>
  </si>
  <si>
    <t>Incrementar la generación de productos de investigación en en un 20% anual en comparación al año anterior (1 producto anual por cada grupo de investigación)</t>
  </si>
  <si>
    <t xml:space="preserve">Al menos el 20% de las movilidades de investigacion sean internacionales </t>
  </si>
  <si>
    <t xml:space="preserve">Ejecutar al menos 1 Proyectos de Investigación que involucre investigadores binacionales </t>
  </si>
  <si>
    <t>7.Investigación  y Creación  Artística</t>
  </si>
  <si>
    <t>Medir el valor agregado del 100% de los egresados -graduados momento 0,  de los programas académicos</t>
  </si>
  <si>
    <t>Medir el valor agregado del  70% de los egresados -graduados momento 1, de los programas académicos</t>
  </si>
  <si>
    <t>Medir el valor agregado del  50% de los egresados -graduados momento 3,  de los programas académicos</t>
  </si>
  <si>
    <t>Medir el valor agregado del 30% de los egresados -graduados momento 5, de los programas académicos</t>
  </si>
  <si>
    <t xml:space="preserve">Realizar un documento de analisis de la trayectoria laboral de los egresados en cada uno de los programas académicos </t>
  </si>
  <si>
    <t>Elaborar un de sistema de egresados</t>
  </si>
  <si>
    <t xml:space="preserve">Lograr que el 40% de los egresados-graduados  asistan a los encuentros institucionales de egresados </t>
  </si>
  <si>
    <t>Número de actividades realizadas/6*100</t>
  </si>
  <si>
    <t>Número de proyectos de extensión por programa académico</t>
  </si>
  <si>
    <t>Número de estudiantes egresados-graduados Encuestas momento 0</t>
  </si>
  <si>
    <t>Número de estudiantes egresados-graduados Encuestas momento 1</t>
  </si>
  <si>
    <t>Número de estudiantes egresados-graduados Encuestas momento 3</t>
  </si>
  <si>
    <t>Número de estudiantes egresados-graduados Encuestas momento 5</t>
  </si>
  <si>
    <t>Porcentaje de construcción del documento (0% para no realización, 50% para el avance y 100% documento terminado</t>
  </si>
  <si>
    <t>Porcentaje de construcción del documento ( 0% para no realización, 50% para el avance y 100% documento terminado</t>
  </si>
  <si>
    <t>Sistema de Egresados OLIE Observatorio Laboral Institucional de Egresados</t>
  </si>
  <si>
    <t>Número de egresados asistentes/ Total de egresados en la base de datos* 100</t>
  </si>
  <si>
    <t>8.Impacto Social</t>
  </si>
  <si>
    <t>Por lo menos 6 actividades de educación continuada por programa académico</t>
  </si>
  <si>
    <t>Realizar un proyecto de extensión o impacto social por programa académico</t>
  </si>
  <si>
    <t>Diseñar un documento que exprese un portafolio de servicios de beneficios para los egresados de la FUP</t>
  </si>
  <si>
    <t xml:space="preserve">Porcentaje de construcción del documento ( 0% para no realización, 50% para el avance y 100% documento terminado) </t>
  </si>
  <si>
    <t># de etapas construidas/ 
total de etapas definidas</t>
  </si>
  <si>
    <t># de procesos de autoevaluación adelantados según programa y año/ # de procesos de autoevaluación planeados según programa y año</t>
  </si>
  <si>
    <t># de actividades de planes de mejoramiento adelantadas por programa según año/# total de actividades establecidas en planes de mejoramiento por programa según año</t>
  </si>
  <si>
    <t># de personas sensibilizadas / # total de personas suceptibles de ser sensibilizadas</t>
  </si>
  <si>
    <t># de personas capacitadas/ # de personas susceptibles de ser capacitadas</t>
  </si>
  <si>
    <t>9.Autoevaluación y autorregulación</t>
  </si>
  <si>
    <t xml:space="preserve">Informe Autoevaluación Institucional </t>
  </si>
  <si>
    <t>Contar con un Sistema de Información que permita controlar, revisar y consolidar las evidencias de autoevaluación</t>
  </si>
  <si>
    <t>Lograr el 100% de los procesos de autoevaluación planeados según programa</t>
  </si>
  <si>
    <t xml:space="preserve">Indice de ejecución de planes de mejoramiento de los programas en un 100% </t>
  </si>
  <si>
    <t>100% de la comunidad institucional sensibilizada en cultura de autoevaluación, Planes de mejora, control y seguimiento.</t>
  </si>
  <si>
    <t>80% de la comunidad institucional capacitada en cultura de autoevaluación, Planes de mejora, control y seguimiento. Aplica para la camunidad académica y empleadores.</t>
  </si>
  <si>
    <t xml:space="preserve">10.Bienestar Institucional </t>
  </si>
  <si>
    <t>Número de estudiantes que reciben servicios de intervención en salud / Número de estudiantes activos * 100</t>
  </si>
  <si>
    <t>(Número de docentes que reciben servicios de intervención en salud / Número de docentes activos) * 100</t>
  </si>
  <si>
    <t>(Número de administrativos de servicios de intervención en salud / Número de administrativos activos) * 100</t>
  </si>
  <si>
    <t>(Número de estudiantes con  refuerzo académico / Número de estudiantes detectados en riesgo de deserción por rendimiento académico) * 100</t>
  </si>
  <si>
    <t>Consolidar el Programa de hábitos saludables para la comunidad FUP (Estudiantes)</t>
  </si>
  <si>
    <t>Consolidar el Programa de hábitos saludables para la comunidad FUP (Docentes)</t>
  </si>
  <si>
    <t>Consolidar el Programa de hábitos saludables para la comunidad FUP (adminsitrativos)</t>
  </si>
  <si>
    <t>Estudiantes con bajo rendimiento académico Inferior o igual al 30%</t>
  </si>
  <si>
    <t>Homogenizar la información institucional con la información gubernamental</t>
  </si>
  <si>
    <t>11.Organización, gestión y administración</t>
  </si>
  <si>
    <t>Número de reportes realizados, certificaciones de reportes de los Sistemas de Información Institucional con  (SPADIES, OLE,SNIES,SACES)</t>
  </si>
  <si>
    <t>(# Actividades ejecutadas y/o adelantadas por los programas académicos / total de actividades establecidas en planes operativos anuales por programa según año)* 100</t>
  </si>
  <si>
    <t>Realizar el 100% de las adecuaciones de las Sedes Institucionales de acuerdo a las necesidades de la FUP</t>
  </si>
  <si>
    <t>Cumplimiento de los POA mayor o igual al 90% en los programas académicos y areas o dependencias</t>
  </si>
  <si>
    <t>(Requerimiento Aprobado. Realizado/ Requerimiento. Aprobado) * 100%</t>
  </si>
  <si>
    <t>Volumenes de la colección total /Número de estudiantes FUP * 100%</t>
  </si>
  <si>
    <t>Actualizar la oferta de recursos bibliograficos y/o Base de datos</t>
  </si>
  <si>
    <t>12.Recursos de apoyo académico e infraestructura física</t>
  </si>
  <si>
    <t>Aumentar la liquidez en 4% adicionales a la línea base</t>
  </si>
  <si>
    <t>Inversión en becas y convenios del 15% de los ingresos brutos</t>
  </si>
  <si>
    <t>(Utilidad Neta/Activo Total promedio)*100%</t>
  </si>
  <si>
    <t>Activos corrientes/Pasivos corrientes</t>
  </si>
  <si>
    <t>Subsidios becas y convenios/Ingresos brutos</t>
  </si>
  <si>
    <t xml:space="preserve">Lograr una rentabilidad operacional mayor o igual al 12% </t>
  </si>
  <si>
    <t>13.Recursos Financieros</t>
  </si>
  <si>
    <t>Obtener la Recertificacion ISO 9001:2015</t>
  </si>
  <si>
    <t>Lograr la digitalización del 30% de la documentación del sistema de gestión de calidad</t>
  </si>
  <si>
    <t>Documento de Recertificacion</t>
  </si>
  <si>
    <t>Porcentaje de documentos digitalizados en el sistema de gestión de la calidad</t>
  </si>
  <si>
    <t>(Número de programas acreditados/Número total de programas acreditables)*100</t>
  </si>
  <si>
    <t>(Número de No conformidades Cerradas/ Número de No conformidades detectadas)*100%</t>
  </si>
  <si>
    <t>Cerrar el 100% de las No conformidades como resultado de Auditorias Externas o internas</t>
  </si>
  <si>
    <t>Minimo el 80% de la Comunidad universitaria de la FUP manifiestan sentirse satisfechos</t>
  </si>
  <si>
    <t>Al menos el 10% de los programas académicos en proceso de Acreditación de Alta Calidad</t>
  </si>
  <si>
    <t>14.Aseguramiento de la calidad</t>
  </si>
  <si>
    <t>OBJETIVO</t>
  </si>
  <si>
    <t>_1_Misión_y_Proyecto_Educativo_Institucional</t>
  </si>
  <si>
    <t>_2_Estudiantes</t>
  </si>
  <si>
    <t>_3_Talento_Humano</t>
  </si>
  <si>
    <t>_4_Profesores</t>
  </si>
  <si>
    <t>_5_Procesos_Académicos</t>
  </si>
  <si>
    <t>_6_Visibilidad_Nacional_e_Internacional</t>
  </si>
  <si>
    <t>_7_Investigación_y_Creación_Artística</t>
  </si>
  <si>
    <t>_8_Impacto_social</t>
  </si>
  <si>
    <t>_10_Bienestar_Institucional</t>
  </si>
  <si>
    <t>_11_Organización_Gestión_y_Administración</t>
  </si>
  <si>
    <t>_12_Recursos_de_apoyo_académico_e_infraestructura_física</t>
  </si>
  <si>
    <t>_13_Recursos_financieros</t>
  </si>
  <si>
    <t>_14_Aseguramiento_de_la_Calidad</t>
  </si>
  <si>
    <t>_9_Autoevaluación_y_Autorregulación</t>
  </si>
  <si>
    <t>ACTIVIDADES PARA EL LOGRO DE LA META DEL OBJETIVO</t>
  </si>
  <si>
    <t>Versión 06</t>
  </si>
  <si>
    <t>INV-25</t>
  </si>
  <si>
    <t>INV-26</t>
  </si>
  <si>
    <t>INV-27</t>
  </si>
  <si>
    <t>INV-28</t>
  </si>
  <si>
    <t>INV-29</t>
  </si>
  <si>
    <t>INV-30</t>
  </si>
  <si>
    <t>INV-31</t>
  </si>
  <si>
    <t>INV-32</t>
  </si>
  <si>
    <t>INV-33</t>
  </si>
  <si>
    <t>INV-34</t>
  </si>
  <si>
    <t>INV-35</t>
  </si>
  <si>
    <t>INV-36</t>
  </si>
  <si>
    <t>SALARIO 2023 TC</t>
  </si>
  <si>
    <t>SALARIO 2023</t>
  </si>
  <si>
    <t>Meses de contratación x semestre</t>
  </si>
  <si>
    <t>TRASLADO CON PRESUPUESTO</t>
  </si>
  <si>
    <t>TRASLADO SIN PRESUPUESTO</t>
  </si>
  <si>
    <t>OCT</t>
  </si>
  <si>
    <t>Apoyar a estudiantes y/o externos en procesos de emprendimiento</t>
  </si>
  <si>
    <t>N° de personas atendidas en emprendimiento/Total de la población estudiantil*100</t>
  </si>
  <si>
    <t>100% de los estudiantes con bajo rendimiento con planes de mejora académica</t>
  </si>
  <si>
    <t>N° de estudiantes con planes de mejora academica/Total de la población estudiantil en bajo rendimiento*100</t>
  </si>
  <si>
    <t>ACALO HIGÓN YUDY ANDREA</t>
  </si>
  <si>
    <t>(N° de leyes y reulaciones actuales adoptadas por la institución/N° de leyes y regulaciones nacionales relacionadas a educación Superior) * 100</t>
  </si>
  <si>
    <t>Se cumple al 100% las nomativas aplicables a laTransparencia y Rendición de Cuentas</t>
  </si>
  <si>
    <t>(N° de acciones implementadas/N° de acciones propuestas) * 100</t>
  </si>
  <si>
    <t>Gestionar al menos 3 convenios de cooperación interinstitucional por programa academico u areas de funcionaes sutantivas para articulación académica o administrativa</t>
  </si>
  <si>
    <t>(N° de Convenios interinstitucionales gestionados/N° meta de convenios esperados)*100</t>
  </si>
  <si>
    <t>Al menos 1 evento que exalten la gestión de personas internas o externas en pro de los procesos institucionales.</t>
  </si>
  <si>
    <t>N° de personas exaltadas</t>
  </si>
  <si>
    <t>Gestionar el 100% de las postulaciones de Graduación de acuerdo con el proceso institucional vigente y velar por la solemnidad de la entrega de los titulos profesionales.</t>
  </si>
  <si>
    <t>(N° de normativa institucional adapatada /N° de solicitudes recibidas) * 100</t>
  </si>
  <si>
    <t>100% de la normativa institucional adaptada a las necesidades de la propia institución, disposiciones del ministerio nacional de educación y/o otros entes gubernamentales, que tengan incidencia sobre el desarrollo del quehacer de la institución</t>
  </si>
  <si>
    <t>Gestionar con el 100% de los requerimientos legales generados ante la institución (Incluye PQRSF)</t>
  </si>
  <si>
    <t>(N° de requerimientos Atendidos /N° de requerimientos ante la Institución) *100</t>
  </si>
  <si>
    <t>Cumplimiento del 100% del cronograma de implementación de Gestión documental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</si>
</sst>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&quot;$&quot;\ #,##0"/>
    <numFmt numFmtId="165" formatCode="_-* #,##0.00\ _$_-;\-* #,##0.00\ _$_-;_-* &quot;-&quot;??\ _$_-;_-@_-"/>
    <numFmt numFmtId="166" formatCode="0.000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color theme="1"/>
      <name val="Tahoma"/>
      <family val="2"/>
    </font>
    <font>
      <b/>
      <sz val="10"/>
      <color theme="0"/>
      <name val="Tahoma"/>
      <family val="2"/>
    </font>
    <font>
      <b/>
      <sz val="11"/>
      <color theme="1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  <font>
      <sz val="11"/>
      <color theme="0"/>
      <name val="Tahoma"/>
      <family val="2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name val="Tahoma"/>
      <family val="2"/>
    </font>
    <font>
      <sz val="10"/>
      <color rgb="FFFFFF00"/>
      <name val="Tahoma"/>
      <family val="2"/>
    </font>
    <font>
      <b/>
      <sz val="11"/>
      <color theme="0"/>
      <name val="Tahoma"/>
      <family val="2"/>
    </font>
    <font>
      <b/>
      <sz val="12"/>
      <color theme="1"/>
      <name val="Tahoma"/>
      <family val="2"/>
    </font>
    <font>
      <b/>
      <u/>
      <sz val="10"/>
      <color theme="1"/>
      <name val="Tahoma"/>
      <family val="2"/>
    </font>
    <font>
      <b/>
      <sz val="10"/>
      <color rgb="FF0070C0"/>
      <name val="Tahoma"/>
      <family val="2"/>
    </font>
    <font>
      <sz val="9"/>
      <color theme="0"/>
      <name val="Tahoma"/>
      <family val="2"/>
    </font>
    <font>
      <sz val="9"/>
      <color theme="1"/>
      <name val="Tahoma"/>
      <family val="2"/>
    </font>
    <font>
      <b/>
      <sz val="10"/>
      <color theme="4" tint="-0.249977111117893"/>
      <name val="Tahoma"/>
      <family val="2"/>
    </font>
    <font>
      <sz val="12"/>
      <color theme="0"/>
      <name val="Tahoma"/>
      <family val="2"/>
    </font>
    <font>
      <b/>
      <sz val="12"/>
      <color theme="0"/>
      <name val="Tahoma"/>
      <family val="2"/>
    </font>
    <font>
      <sz val="10"/>
      <color rgb="FF002060"/>
      <name val="Tahoma"/>
      <family val="2"/>
    </font>
    <font>
      <b/>
      <sz val="14"/>
      <color rgb="FF005790"/>
      <name val="Tahoma"/>
      <family val="2"/>
    </font>
    <font>
      <sz val="11"/>
      <color rgb="FFFFFF00"/>
      <name val="Tahoma"/>
      <family val="2"/>
    </font>
    <font>
      <b/>
      <sz val="8"/>
      <color rgb="FF005790"/>
      <name val="Tahoma"/>
      <family val="2"/>
    </font>
    <font>
      <sz val="10"/>
      <name val="Arial"/>
      <family val="2"/>
    </font>
    <font>
      <sz val="11"/>
      <name val="Tahoma"/>
      <family val="2"/>
    </font>
    <font>
      <sz val="12"/>
      <name val="Tahoma"/>
      <family val="2"/>
    </font>
    <font>
      <b/>
      <sz val="9"/>
      <color rgb="FFFFFF00"/>
      <name val="Tahoma"/>
      <family val="2"/>
    </font>
    <font>
      <b/>
      <u/>
      <sz val="12"/>
      <name val="Tahoma"/>
      <family val="2"/>
    </font>
    <font>
      <b/>
      <sz val="11"/>
      <name val="Tahoma"/>
      <family val="2"/>
    </font>
    <font>
      <b/>
      <sz val="10"/>
      <color rgb="FFFFFF00"/>
      <name val="Tahoma"/>
      <family val="2"/>
    </font>
    <font>
      <b/>
      <sz val="10"/>
      <color rgb="FF660B15"/>
      <name val="Tahoma"/>
      <family val="2"/>
    </font>
    <font>
      <b/>
      <sz val="10"/>
      <color rgb="FFFFC000"/>
      <name val="Tahoma"/>
      <family val="2"/>
    </font>
    <font>
      <b/>
      <sz val="9"/>
      <color theme="1"/>
      <name val="Tahoma"/>
      <family val="2"/>
    </font>
    <font>
      <b/>
      <sz val="12"/>
      <color rgb="FF00B0F0"/>
      <name val="Tahoma"/>
      <family val="2"/>
    </font>
    <font>
      <sz val="12"/>
      <color rgb="FF00B0F0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9"/>
      <color rgb="FF7030A0"/>
      <name val="Tahoma"/>
      <family val="2"/>
    </font>
    <font>
      <b/>
      <sz val="12"/>
      <name val="Tahoma"/>
      <family val="2"/>
    </font>
    <font>
      <sz val="9"/>
      <name val="Tahoma"/>
      <family val="2"/>
    </font>
    <font>
      <sz val="11"/>
      <color theme="0"/>
      <name val="Calibri"/>
      <family val="2"/>
      <scheme val="minor"/>
    </font>
    <font>
      <sz val="8"/>
      <name val="Tahoma"/>
      <family val="2"/>
    </font>
    <font>
      <b/>
      <sz val="8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rgb="FF660B15"/>
        <bgColor indexed="64"/>
      </patternFill>
    </fill>
    <fill>
      <patternFill patternType="solid">
        <fgColor rgb="FF0F1D4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rgb="FFA62424"/>
        <bgColor indexed="64"/>
      </patternFill>
    </fill>
    <fill>
      <patternFill patternType="solid">
        <fgColor rgb="FF6181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theme="0" tint="-0.14996795556505021"/>
      </right>
      <top/>
      <bottom style="double">
        <color theme="0" tint="-0.14996795556505021"/>
      </bottom>
      <diagonal/>
    </border>
    <border>
      <left style="double">
        <color theme="0" tint="-0.14996795556505021"/>
      </left>
      <right style="double">
        <color theme="0" tint="-0.14996795556505021"/>
      </right>
      <top/>
      <bottom style="double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9" borderId="9" applyNumberFormat="0" applyAlignment="0" applyProtection="0"/>
    <xf numFmtId="0" fontId="11" fillId="10" borderId="10" applyNumberFormat="0" applyAlignment="0" applyProtection="0"/>
    <xf numFmtId="0" fontId="1" fillId="11" borderId="11" applyNumberFormat="0" applyFont="0" applyAlignment="0" applyProtection="0"/>
    <xf numFmtId="0" fontId="27" fillId="0" borderId="0"/>
    <xf numFmtId="9" fontId="27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 applyAlignment="1" applyProtection="1">
      <alignment vertical="center"/>
      <protection locked="0"/>
    </xf>
    <xf numFmtId="164" fontId="3" fillId="0" borderId="1" xfId="0" applyNumberFormat="1" applyFont="1" applyBorder="1" applyAlignment="1" applyProtection="1">
      <alignment vertical="center"/>
      <protection hidden="1"/>
    </xf>
    <xf numFmtId="164" fontId="13" fillId="3" borderId="1" xfId="0" applyNumberFormat="1" applyFont="1" applyFill="1" applyBorder="1" applyAlignment="1" applyProtection="1">
      <alignment vertical="center"/>
      <protection hidden="1"/>
    </xf>
    <xf numFmtId="0" fontId="3" fillId="0" borderId="0" xfId="0" applyFont="1" applyAlignment="1">
      <alignment vertical="center"/>
    </xf>
    <xf numFmtId="42" fontId="3" fillId="0" borderId="1" xfId="1" applyFont="1" applyBorder="1" applyAlignment="1">
      <alignment vertical="center"/>
    </xf>
    <xf numFmtId="0" fontId="7" fillId="0" borderId="0" xfId="0" applyFont="1"/>
    <xf numFmtId="0" fontId="3" fillId="0" borderId="1" xfId="0" applyFont="1" applyBorder="1" applyAlignment="1">
      <alignment horizontal="center" vertical="center"/>
    </xf>
    <xf numFmtId="42" fontId="7" fillId="0" borderId="0" xfId="0" applyNumberFormat="1" applyFont="1" applyAlignment="1">
      <alignment vertical="center"/>
    </xf>
    <xf numFmtId="10" fontId="6" fillId="0" borderId="4" xfId="2" applyNumberFormat="1" applyFont="1" applyFill="1" applyBorder="1" applyAlignment="1" applyProtection="1">
      <alignment horizontal="center" vertical="center" wrapText="1"/>
      <protection hidden="1"/>
    </xf>
    <xf numFmtId="0" fontId="7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hidden="1"/>
    </xf>
    <xf numFmtId="42" fontId="3" fillId="0" borderId="1" xfId="1" applyFont="1" applyBorder="1" applyAlignment="1" applyProtection="1">
      <alignment horizontal="center" vertical="center"/>
      <protection hidden="1"/>
    </xf>
    <xf numFmtId="10" fontId="6" fillId="0" borderId="7" xfId="2" applyNumberFormat="1" applyFont="1" applyFill="1" applyBorder="1" applyAlignment="1" applyProtection="1">
      <alignment horizontal="center" vertical="center" wrapText="1"/>
      <protection hidden="1"/>
    </xf>
    <xf numFmtId="10" fontId="6" fillId="0" borderId="8" xfId="2" applyNumberFormat="1" applyFont="1" applyFill="1" applyBorder="1" applyAlignment="1" applyProtection="1">
      <alignment horizontal="center" vertical="center" wrapText="1"/>
      <protection hidden="1"/>
    </xf>
    <xf numFmtId="0" fontId="7" fillId="8" borderId="3" xfId="0" applyFont="1" applyFill="1" applyBorder="1" applyAlignment="1">
      <alignment horizontal="centerContinuous" vertical="center"/>
    </xf>
    <xf numFmtId="0" fontId="3" fillId="8" borderId="4" xfId="0" applyFont="1" applyFill="1" applyBorder="1" applyAlignment="1">
      <alignment horizontal="centerContinuous"/>
    </xf>
    <xf numFmtId="0" fontId="12" fillId="8" borderId="5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42" fontId="3" fillId="0" borderId="1" xfId="1" applyFont="1" applyBorder="1" applyAlignment="1" applyProtection="1">
      <alignment vertical="center"/>
    </xf>
    <xf numFmtId="42" fontId="3" fillId="0" borderId="0" xfId="0" applyNumberFormat="1" applyFont="1" applyAlignment="1">
      <alignment vertical="center"/>
    </xf>
    <xf numFmtId="42" fontId="13" fillId="3" borderId="0" xfId="1" applyFont="1" applyFill="1" applyAlignment="1" applyProtection="1">
      <alignment vertical="center"/>
    </xf>
    <xf numFmtId="164" fontId="3" fillId="0" borderId="1" xfId="0" applyNumberFormat="1" applyFont="1" applyBorder="1" applyAlignment="1">
      <alignment vertical="center"/>
    </xf>
    <xf numFmtId="0" fontId="16" fillId="0" borderId="0" xfId="0" applyFont="1"/>
    <xf numFmtId="0" fontId="17" fillId="0" borderId="0" xfId="0" applyFont="1"/>
    <xf numFmtId="0" fontId="7" fillId="0" borderId="2" xfId="0" applyFont="1" applyBorder="1" applyAlignment="1">
      <alignment horizontal="centerContinuous" vertical="center"/>
    </xf>
    <xf numFmtId="0" fontId="7" fillId="0" borderId="3" xfId="0" applyFont="1" applyBorder="1" applyAlignment="1">
      <alignment horizontal="centerContinuous" vertical="center"/>
    </xf>
    <xf numFmtId="0" fontId="7" fillId="13" borderId="5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7" fillId="13" borderId="2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42" fontId="3" fillId="0" borderId="0" xfId="1" applyFont="1"/>
    <xf numFmtId="0" fontId="3" fillId="0" borderId="3" xfId="0" applyFont="1" applyBorder="1" applyAlignment="1">
      <alignment vertical="center"/>
    </xf>
    <xf numFmtId="42" fontId="3" fillId="0" borderId="3" xfId="0" applyNumberFormat="1" applyFont="1" applyBorder="1" applyAlignment="1" applyProtection="1">
      <alignment vertical="center"/>
      <protection hidden="1"/>
    </xf>
    <xf numFmtId="42" fontId="3" fillId="13" borderId="1" xfId="0" applyNumberFormat="1" applyFont="1" applyFill="1" applyBorder="1" applyAlignment="1" applyProtection="1">
      <alignment vertical="center"/>
      <protection hidden="1"/>
    </xf>
    <xf numFmtId="0" fontId="7" fillId="4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42" fontId="7" fillId="4" borderId="1" xfId="0" applyNumberFormat="1" applyFont="1" applyFill="1" applyBorder="1" applyAlignment="1" applyProtection="1">
      <alignment vertical="center"/>
      <protection hidden="1"/>
    </xf>
    <xf numFmtId="42" fontId="7" fillId="4" borderId="4" xfId="0" applyNumberFormat="1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>
      <alignment vertical="center"/>
    </xf>
    <xf numFmtId="0" fontId="7" fillId="4" borderId="7" xfId="0" applyFont="1" applyFill="1" applyBorder="1" applyAlignment="1">
      <alignment vertical="center"/>
    </xf>
    <xf numFmtId="10" fontId="4" fillId="7" borderId="1" xfId="2" applyNumberFormat="1" applyFont="1" applyFill="1" applyBorder="1" applyAlignment="1" applyProtection="1">
      <alignment horizontal="center" vertical="center" wrapText="1"/>
    </xf>
    <xf numFmtId="10" fontId="4" fillId="6" borderId="1" xfId="2" applyNumberFormat="1" applyFont="1" applyFill="1" applyBorder="1" applyAlignment="1" applyProtection="1">
      <alignment horizontal="center" vertical="center" wrapText="1"/>
    </xf>
    <xf numFmtId="0" fontId="19" fillId="0" borderId="1" xfId="0" applyFont="1" applyBorder="1" applyAlignment="1" applyProtection="1">
      <alignment vertical="center" wrapText="1"/>
      <protection locked="0"/>
    </xf>
    <xf numFmtId="42" fontId="19" fillId="0" borderId="1" xfId="1" applyFont="1" applyBorder="1" applyAlignment="1" applyProtection="1">
      <alignment vertical="center"/>
      <protection hidden="1"/>
    </xf>
    <xf numFmtId="0" fontId="19" fillId="0" borderId="0" xfId="0" applyFont="1"/>
    <xf numFmtId="9" fontId="19" fillId="0" borderId="0" xfId="2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8" fillId="1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vertical="center"/>
    </xf>
    <xf numFmtId="42" fontId="13" fillId="16" borderId="1" xfId="0" applyNumberFormat="1" applyFont="1" applyFill="1" applyBorder="1" applyAlignment="1">
      <alignment vertical="center"/>
    </xf>
    <xf numFmtId="42" fontId="13" fillId="16" borderId="1" xfId="0" applyNumberFormat="1" applyFont="1" applyFill="1" applyBorder="1" applyAlignment="1" applyProtection="1">
      <alignment vertical="center"/>
      <protection hidden="1"/>
    </xf>
    <xf numFmtId="42" fontId="4" fillId="15" borderId="2" xfId="0" applyNumberFormat="1" applyFont="1" applyFill="1" applyBorder="1" applyAlignment="1">
      <alignment horizontal="centerContinuous" vertical="center"/>
    </xf>
    <xf numFmtId="0" fontId="4" fillId="15" borderId="3" xfId="0" applyFont="1" applyFill="1" applyBorder="1" applyAlignment="1">
      <alignment horizontal="centerContinuous" vertical="center"/>
    </xf>
    <xf numFmtId="42" fontId="8" fillId="15" borderId="3" xfId="0" applyNumberFormat="1" applyFont="1" applyFill="1" applyBorder="1" applyAlignment="1">
      <alignment horizontal="centerContinuous" vertical="center"/>
    </xf>
    <xf numFmtId="42" fontId="4" fillId="17" borderId="2" xfId="0" applyNumberFormat="1" applyFont="1" applyFill="1" applyBorder="1" applyAlignment="1">
      <alignment horizontal="centerContinuous" vertical="center"/>
    </xf>
    <xf numFmtId="0" fontId="4" fillId="17" borderId="3" xfId="0" applyFont="1" applyFill="1" applyBorder="1" applyAlignment="1">
      <alignment horizontal="centerContinuous" vertical="center"/>
    </xf>
    <xf numFmtId="0" fontId="8" fillId="17" borderId="4" xfId="0" applyFont="1" applyFill="1" applyBorder="1" applyAlignment="1">
      <alignment horizontal="centerContinuous" vertical="center"/>
    </xf>
    <xf numFmtId="10" fontId="7" fillId="0" borderId="4" xfId="2" applyNumberFormat="1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2" fontId="18" fillId="15" borderId="1" xfId="1" applyFont="1" applyFill="1" applyBorder="1" applyProtection="1">
      <protection hidden="1"/>
    </xf>
    <xf numFmtId="0" fontId="8" fillId="15" borderId="1" xfId="0" applyFont="1" applyFill="1" applyBorder="1" applyAlignment="1">
      <alignment vertical="center"/>
    </xf>
    <xf numFmtId="42" fontId="8" fillId="15" borderId="1" xfId="1" applyFont="1" applyFill="1" applyBorder="1"/>
    <xf numFmtId="0" fontId="18" fillId="15" borderId="2" xfId="0" applyFont="1" applyFill="1" applyBorder="1" applyAlignment="1">
      <alignment horizontal="left"/>
    </xf>
    <xf numFmtId="0" fontId="24" fillId="0" borderId="0" xfId="0" applyFont="1" applyAlignment="1">
      <alignment vertical="center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8" fillId="16" borderId="2" xfId="0" applyFont="1" applyFill="1" applyBorder="1" applyAlignment="1">
      <alignment horizontal="left"/>
    </xf>
    <xf numFmtId="42" fontId="18" fillId="16" borderId="1" xfId="1" applyFont="1" applyFill="1" applyBorder="1" applyProtection="1">
      <protection hidden="1"/>
    </xf>
    <xf numFmtId="0" fontId="3" fillId="0" borderId="1" xfId="0" applyFont="1" applyBorder="1" applyAlignment="1">
      <alignment vertical="center" wrapText="1"/>
    </xf>
    <xf numFmtId="42" fontId="13" fillId="16" borderId="1" xfId="0" applyNumberFormat="1" applyFont="1" applyFill="1" applyBorder="1"/>
    <xf numFmtId="164" fontId="13" fillId="16" borderId="1" xfId="0" applyNumberFormat="1" applyFont="1" applyFill="1" applyBorder="1" applyAlignment="1" applyProtection="1">
      <alignment vertical="center"/>
      <protection hidden="1"/>
    </xf>
    <xf numFmtId="0" fontId="8" fillId="16" borderId="5" xfId="0" applyFont="1" applyFill="1" applyBorder="1" applyAlignment="1">
      <alignment horizontal="center" vertical="center" wrapText="1"/>
    </xf>
    <xf numFmtId="0" fontId="3" fillId="18" borderId="3" xfId="0" applyFont="1" applyFill="1" applyBorder="1" applyAlignment="1">
      <alignment horizontal="centerContinuous" vertical="center"/>
    </xf>
    <xf numFmtId="0" fontId="3" fillId="18" borderId="4" xfId="0" applyFont="1" applyFill="1" applyBorder="1" applyAlignment="1">
      <alignment horizontal="centerContinuous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42" fontId="13" fillId="16" borderId="1" xfId="1" applyFont="1" applyFill="1" applyBorder="1"/>
    <xf numFmtId="0" fontId="3" fillId="0" borderId="2" xfId="0" applyFont="1" applyBorder="1" applyAlignment="1">
      <alignment horizontal="left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13" borderId="7" xfId="0" applyFont="1" applyFill="1" applyBorder="1" applyAlignment="1">
      <alignment vertical="center"/>
    </xf>
    <xf numFmtId="42" fontId="7" fillId="13" borderId="5" xfId="0" applyNumberFormat="1" applyFont="1" applyFill="1" applyBorder="1" applyAlignment="1" applyProtection="1">
      <alignment vertical="center"/>
      <protection hidden="1"/>
    </xf>
    <xf numFmtId="0" fontId="3" fillId="13" borderId="6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3" fillId="13" borderId="2" xfId="0" applyFont="1" applyFill="1" applyBorder="1" applyAlignment="1">
      <alignment vertical="center"/>
    </xf>
    <xf numFmtId="0" fontId="3" fillId="13" borderId="3" xfId="0" applyFont="1" applyFill="1" applyBorder="1" applyAlignment="1">
      <alignment vertical="center"/>
    </xf>
    <xf numFmtId="0" fontId="3" fillId="13" borderId="4" xfId="0" applyFont="1" applyFill="1" applyBorder="1" applyAlignment="1">
      <alignment vertical="center"/>
    </xf>
    <xf numFmtId="42" fontId="7" fillId="13" borderId="1" xfId="0" applyNumberFormat="1" applyFont="1" applyFill="1" applyBorder="1" applyAlignment="1" applyProtection="1">
      <alignment vertical="center"/>
      <protection hidden="1"/>
    </xf>
    <xf numFmtId="0" fontId="7" fillId="13" borderId="3" xfId="0" applyFont="1" applyFill="1" applyBorder="1" applyAlignment="1">
      <alignment vertical="center"/>
    </xf>
    <xf numFmtId="0" fontId="3" fillId="13" borderId="13" xfId="0" applyFont="1" applyFill="1" applyBorder="1" applyAlignment="1">
      <alignment vertical="center"/>
    </xf>
    <xf numFmtId="0" fontId="7" fillId="13" borderId="0" xfId="0" applyFont="1" applyFill="1" applyAlignment="1">
      <alignment vertical="center"/>
    </xf>
    <xf numFmtId="42" fontId="7" fillId="13" borderId="12" xfId="0" applyNumberFormat="1" applyFont="1" applyFill="1" applyBorder="1" applyAlignment="1" applyProtection="1">
      <alignment vertical="center"/>
      <protection hidden="1"/>
    </xf>
    <xf numFmtId="42" fontId="3" fillId="0" borderId="21" xfId="0" applyNumberFormat="1" applyFont="1" applyBorder="1" applyAlignment="1">
      <alignment vertical="center"/>
    </xf>
    <xf numFmtId="42" fontId="3" fillId="0" borderId="13" xfId="0" applyNumberFormat="1" applyFont="1" applyBorder="1" applyAlignment="1">
      <alignment vertical="center"/>
    </xf>
    <xf numFmtId="42" fontId="3" fillId="0" borderId="6" xfId="0" applyNumberFormat="1" applyFont="1" applyBorder="1" applyAlignment="1">
      <alignment vertical="center"/>
    </xf>
    <xf numFmtId="0" fontId="4" fillId="15" borderId="2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vertical="center"/>
    </xf>
    <xf numFmtId="10" fontId="6" fillId="0" borderId="1" xfId="2" applyNumberFormat="1" applyFont="1" applyFill="1" applyBorder="1" applyAlignment="1" applyProtection="1">
      <alignment horizontal="center" vertical="center" wrapText="1"/>
      <protection hidden="1"/>
    </xf>
    <xf numFmtId="10" fontId="7" fillId="0" borderId="1" xfId="2" applyNumberFormat="1" applyFont="1" applyFill="1" applyBorder="1" applyAlignment="1" applyProtection="1">
      <alignment horizontal="center" vertical="center" wrapText="1"/>
      <protection hidden="1"/>
    </xf>
    <xf numFmtId="42" fontId="3" fillId="0" borderId="14" xfId="0" applyNumberFormat="1" applyFont="1" applyBorder="1" applyAlignment="1">
      <alignment vertical="center"/>
    </xf>
    <xf numFmtId="42" fontId="3" fillId="0" borderId="12" xfId="0" applyNumberFormat="1" applyFont="1" applyBorder="1" applyAlignment="1">
      <alignment vertical="center"/>
    </xf>
    <xf numFmtId="42" fontId="3" fillId="0" borderId="5" xfId="0" applyNumberFormat="1" applyFont="1" applyBorder="1" applyAlignment="1">
      <alignment vertical="center"/>
    </xf>
    <xf numFmtId="0" fontId="7" fillId="19" borderId="1" xfId="0" applyFont="1" applyFill="1" applyBorder="1" applyAlignment="1" applyProtection="1">
      <alignment horizontal="center" vertical="center" wrapText="1"/>
      <protection locked="0"/>
    </xf>
    <xf numFmtId="9" fontId="3" fillId="0" borderId="0" xfId="2" applyFont="1" applyAlignment="1">
      <alignment horizontal="center" vertical="center"/>
    </xf>
    <xf numFmtId="9" fontId="34" fillId="19" borderId="1" xfId="0" applyNumberFormat="1" applyFont="1" applyFill="1" applyBorder="1" applyAlignment="1">
      <alignment horizontal="center" vertical="center" wrapText="1"/>
    </xf>
    <xf numFmtId="9" fontId="33" fillId="15" borderId="1" xfId="0" applyNumberFormat="1" applyFont="1" applyFill="1" applyBorder="1" applyAlignment="1">
      <alignment horizontal="center" vertical="center"/>
    </xf>
    <xf numFmtId="0" fontId="29" fillId="12" borderId="0" xfId="0" applyFont="1" applyFill="1" applyAlignment="1">
      <alignment vertical="center"/>
    </xf>
    <xf numFmtId="0" fontId="29" fillId="0" borderId="0" xfId="0" applyFont="1" applyAlignment="1">
      <alignment vertical="center"/>
    </xf>
    <xf numFmtId="0" fontId="31" fillId="12" borderId="0" xfId="0" applyFont="1" applyFill="1" applyAlignment="1">
      <alignment vertical="center"/>
    </xf>
    <xf numFmtId="0" fontId="28" fillId="12" borderId="0" xfId="0" applyFont="1" applyFill="1" applyAlignment="1">
      <alignment vertical="center"/>
    </xf>
    <xf numFmtId="0" fontId="32" fillId="0" borderId="0" xfId="0" applyFont="1" applyAlignment="1">
      <alignment vertical="center"/>
    </xf>
    <xf numFmtId="0" fontId="14" fillId="15" borderId="1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vertical="center" wrapText="1"/>
    </xf>
    <xf numFmtId="0" fontId="22" fillId="20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 applyProtection="1">
      <alignment horizontal="center" vertical="center" wrapText="1"/>
      <protection locked="0"/>
    </xf>
    <xf numFmtId="0" fontId="29" fillId="12" borderId="0" xfId="0" applyFont="1" applyFill="1" applyAlignment="1" applyProtection="1">
      <alignment vertical="center"/>
      <protection hidden="1"/>
    </xf>
    <xf numFmtId="0" fontId="29" fillId="0" borderId="0" xfId="0" applyFont="1" applyAlignment="1" applyProtection="1">
      <alignment vertical="center"/>
      <protection hidden="1"/>
    </xf>
    <xf numFmtId="0" fontId="31" fillId="12" borderId="0" xfId="0" applyFont="1" applyFill="1" applyAlignment="1" applyProtection="1">
      <alignment vertical="center"/>
      <protection hidden="1"/>
    </xf>
    <xf numFmtId="0" fontId="28" fillId="12" borderId="0" xfId="0" applyFont="1" applyFill="1" applyAlignment="1" applyProtection="1">
      <alignment vertic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4" fillId="15" borderId="1" xfId="0" applyFont="1" applyFill="1" applyBorder="1" applyAlignment="1">
      <alignment horizontal="center" vertical="center" wrapText="1"/>
    </xf>
    <xf numFmtId="10" fontId="4" fillId="15" borderId="1" xfId="2" quotePrefix="1" applyNumberFormat="1" applyFont="1" applyFill="1" applyBorder="1" applyAlignment="1" applyProtection="1">
      <alignment horizontal="center" vertical="center" wrapText="1"/>
    </xf>
    <xf numFmtId="10" fontId="4" fillId="15" borderId="1" xfId="2" applyNumberFormat="1" applyFont="1" applyFill="1" applyBorder="1" applyAlignment="1" applyProtection="1">
      <alignment horizontal="center" vertical="center" wrapText="1"/>
    </xf>
    <xf numFmtId="10" fontId="4" fillId="15" borderId="1" xfId="2" applyNumberFormat="1" applyFont="1" applyFill="1" applyBorder="1" applyAlignment="1" applyProtection="1">
      <alignment vertical="center" wrapText="1"/>
    </xf>
    <xf numFmtId="10" fontId="35" fillId="15" borderId="1" xfId="2" applyNumberFormat="1" applyFont="1" applyFill="1" applyBorder="1" applyAlignment="1" applyProtection="1">
      <alignment horizontal="center" vertical="center" wrapText="1"/>
    </xf>
    <xf numFmtId="42" fontId="3" fillId="0" borderId="1" xfId="0" applyNumberFormat="1" applyFont="1" applyBorder="1" applyAlignment="1" applyProtection="1">
      <alignment vertical="center"/>
      <protection hidden="1"/>
    </xf>
    <xf numFmtId="42" fontId="13" fillId="15" borderId="1" xfId="1" applyFont="1" applyFill="1" applyBorder="1" applyAlignment="1">
      <alignment vertical="center"/>
    </xf>
    <xf numFmtId="0" fontId="9" fillId="21" borderId="0" xfId="0" applyFont="1" applyFill="1"/>
    <xf numFmtId="0" fontId="14" fillId="21" borderId="0" xfId="0" applyFont="1" applyFill="1" applyAlignment="1">
      <alignment horizontal="center"/>
    </xf>
    <xf numFmtId="0" fontId="21" fillId="21" borderId="0" xfId="0" applyFont="1" applyFill="1"/>
    <xf numFmtId="0" fontId="21" fillId="21" borderId="0" xfId="0" applyFont="1" applyFill="1" applyAlignment="1">
      <alignment vertical="center"/>
    </xf>
    <xf numFmtId="0" fontId="38" fillId="21" borderId="0" xfId="0" applyFont="1" applyFill="1"/>
    <xf numFmtId="0" fontId="9" fillId="21" borderId="0" xfId="0" applyFont="1" applyFill="1" applyAlignment="1">
      <alignment horizontal="center" vertical="center"/>
    </xf>
    <xf numFmtId="0" fontId="9" fillId="21" borderId="19" xfId="0" applyFont="1" applyFill="1" applyBorder="1" applyAlignment="1" applyProtection="1">
      <alignment horizontal="center" vertical="center"/>
      <protection locked="0" hidden="1"/>
    </xf>
    <xf numFmtId="0" fontId="9" fillId="21" borderId="20" xfId="0" applyFont="1" applyFill="1" applyBorder="1" applyAlignment="1" applyProtection="1">
      <alignment horizontal="center" vertical="center"/>
      <protection locked="0" hidden="1"/>
    </xf>
    <xf numFmtId="0" fontId="4" fillId="20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5" xfId="0" applyFont="1" applyBorder="1" applyAlignment="1" applyProtection="1">
      <alignment horizontal="center" vertical="center"/>
      <protection hidden="1"/>
    </xf>
    <xf numFmtId="0" fontId="3" fillId="0" borderId="27" xfId="0" applyFont="1" applyBorder="1" applyAlignment="1" applyProtection="1">
      <alignment vertical="center"/>
      <protection locked="0"/>
    </xf>
    <xf numFmtId="0" fontId="3" fillId="0" borderId="28" xfId="0" applyFont="1" applyBorder="1" applyAlignment="1" applyProtection="1">
      <alignment vertical="center"/>
      <protection locked="0"/>
    </xf>
    <xf numFmtId="0" fontId="3" fillId="0" borderId="17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3" fillId="0" borderId="22" xfId="0" applyFont="1" applyBorder="1" applyAlignment="1" applyProtection="1">
      <alignment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42" fontId="3" fillId="0" borderId="2" xfId="1" applyFont="1" applyBorder="1" applyAlignment="1" applyProtection="1">
      <alignment horizontal="center" vertical="center"/>
      <protection hidden="1"/>
    </xf>
    <xf numFmtId="42" fontId="3" fillId="0" borderId="30" xfId="1" applyFont="1" applyBorder="1" applyAlignment="1" applyProtection="1">
      <alignment horizontal="center" vertical="center"/>
      <protection hidden="1"/>
    </xf>
    <xf numFmtId="42" fontId="3" fillId="0" borderId="17" xfId="1" applyFont="1" applyBorder="1" applyAlignment="1" applyProtection="1">
      <alignment horizontal="center" vertical="center"/>
      <protection hidden="1"/>
    </xf>
    <xf numFmtId="42" fontId="3" fillId="0" borderId="16" xfId="1" applyFont="1" applyBorder="1" applyAlignment="1" applyProtection="1">
      <alignment horizontal="center" vertical="center"/>
      <protection hidden="1"/>
    </xf>
    <xf numFmtId="0" fontId="3" fillId="0" borderId="31" xfId="0" applyFont="1" applyBorder="1" applyAlignment="1" applyProtection="1">
      <alignment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42" fontId="3" fillId="0" borderId="6" xfId="1" applyFont="1" applyBorder="1" applyAlignment="1" applyProtection="1">
      <alignment horizontal="center" vertical="center"/>
      <protection hidden="1"/>
    </xf>
    <xf numFmtId="0" fontId="4" fillId="15" borderId="33" xfId="0" applyFont="1" applyFill="1" applyBorder="1" applyAlignment="1">
      <alignment horizontal="center" vertical="center"/>
    </xf>
    <xf numFmtId="0" fontId="4" fillId="15" borderId="26" xfId="0" applyFont="1" applyFill="1" applyBorder="1" applyAlignment="1">
      <alignment horizontal="center" vertical="center"/>
    </xf>
    <xf numFmtId="0" fontId="4" fillId="15" borderId="34" xfId="0" applyFont="1" applyFill="1" applyBorder="1" applyAlignment="1">
      <alignment horizontal="center" vertical="center" wrapText="1"/>
    </xf>
    <xf numFmtId="0" fontId="4" fillId="15" borderId="26" xfId="0" applyFont="1" applyFill="1" applyBorder="1" applyAlignment="1">
      <alignment horizontal="center" vertical="center" wrapText="1"/>
    </xf>
    <xf numFmtId="10" fontId="4" fillId="15" borderId="35" xfId="2" quotePrefix="1" applyNumberFormat="1" applyFont="1" applyFill="1" applyBorder="1" applyAlignment="1" applyProtection="1">
      <alignment horizontal="center" vertical="center" wrapText="1"/>
    </xf>
    <xf numFmtId="42" fontId="3" fillId="0" borderId="31" xfId="1" applyFont="1" applyBorder="1" applyAlignment="1" applyProtection="1">
      <alignment horizontal="center" vertical="center"/>
      <protection hidden="1"/>
    </xf>
    <xf numFmtId="42" fontId="3" fillId="0" borderId="27" xfId="1" applyFont="1" applyBorder="1" applyAlignment="1" applyProtection="1">
      <alignment horizontal="center" vertical="center"/>
      <protection hidden="1"/>
    </xf>
    <xf numFmtId="42" fontId="3" fillId="0" borderId="28" xfId="1" applyFont="1" applyBorder="1" applyAlignment="1" applyProtection="1">
      <alignment horizontal="center" vertical="center"/>
      <protection hidden="1"/>
    </xf>
    <xf numFmtId="42" fontId="13" fillId="15" borderId="39" xfId="0" applyNumberFormat="1" applyFont="1" applyFill="1" applyBorder="1" applyAlignment="1" applyProtection="1">
      <alignment vertical="center"/>
      <protection hidden="1"/>
    </xf>
    <xf numFmtId="42" fontId="3" fillId="0" borderId="40" xfId="1" applyFont="1" applyBorder="1" applyAlignment="1" applyProtection="1">
      <alignment horizontal="center" vertical="center"/>
      <protection hidden="1"/>
    </xf>
    <xf numFmtId="42" fontId="13" fillId="15" borderId="26" xfId="0" applyNumberFormat="1" applyFont="1" applyFill="1" applyBorder="1" applyAlignment="1" applyProtection="1">
      <alignment vertical="center"/>
      <protection hidden="1"/>
    </xf>
    <xf numFmtId="0" fontId="7" fillId="8" borderId="2" xfId="0" applyFont="1" applyFill="1" applyBorder="1" applyAlignment="1">
      <alignment horizontal="center" vertical="center" wrapText="1"/>
    </xf>
    <xf numFmtId="0" fontId="26" fillId="0" borderId="5" xfId="0" applyFont="1" applyBorder="1" applyAlignment="1" applyProtection="1">
      <alignment horizontal="center" vertical="center" wrapText="1"/>
      <protection locked="0"/>
    </xf>
    <xf numFmtId="0" fontId="19" fillId="0" borderId="5" xfId="0" applyFont="1" applyBorder="1" applyAlignment="1" applyProtection="1">
      <alignment vertical="center" wrapText="1"/>
      <protection locked="0"/>
    </xf>
    <xf numFmtId="0" fontId="14" fillId="15" borderId="41" xfId="0" applyFont="1" applyFill="1" applyBorder="1" applyAlignment="1">
      <alignment horizontal="center" vertical="center" wrapText="1"/>
    </xf>
    <xf numFmtId="0" fontId="14" fillId="15" borderId="41" xfId="0" applyFont="1" applyFill="1" applyBorder="1" applyAlignment="1">
      <alignment horizontal="center" vertical="center"/>
    </xf>
    <xf numFmtId="10" fontId="4" fillId="6" borderId="41" xfId="2" applyNumberFormat="1" applyFont="1" applyFill="1" applyBorder="1" applyAlignment="1" applyProtection="1">
      <alignment horizontal="center" vertical="center" wrapText="1"/>
    </xf>
    <xf numFmtId="10" fontId="4" fillId="7" borderId="41" xfId="2" applyNumberFormat="1" applyFont="1" applyFill="1" applyBorder="1" applyAlignment="1" applyProtection="1">
      <alignment horizontal="center" vertical="center" wrapText="1"/>
    </xf>
    <xf numFmtId="0" fontId="14" fillId="20" borderId="41" xfId="0" applyFont="1" applyFill="1" applyBorder="1" applyAlignment="1">
      <alignment horizontal="center" vertical="center" wrapText="1"/>
    </xf>
    <xf numFmtId="0" fontId="14" fillId="20" borderId="4" xfId="0" applyFont="1" applyFill="1" applyBorder="1" applyAlignment="1">
      <alignment horizontal="center" vertical="center"/>
    </xf>
    <xf numFmtId="0" fontId="42" fillId="19" borderId="5" xfId="0" applyFont="1" applyFill="1" applyBorder="1" applyAlignment="1" applyProtection="1">
      <alignment horizontal="center" vertical="center" wrapText="1"/>
      <protection locked="0"/>
    </xf>
    <xf numFmtId="0" fontId="29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9" fontId="36" fillId="0" borderId="0" xfId="2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2" fontId="19" fillId="0" borderId="1" xfId="1" applyFont="1" applyBorder="1" applyAlignment="1" applyProtection="1">
      <alignment horizontal="center" vertical="center"/>
      <protection locked="0"/>
    </xf>
    <xf numFmtId="42" fontId="30" fillId="15" borderId="1" xfId="1" applyFont="1" applyFill="1" applyBorder="1" applyAlignment="1">
      <alignment horizontal="center" vertical="center"/>
    </xf>
    <xf numFmtId="0" fontId="19" fillId="19" borderId="5" xfId="0" applyFont="1" applyFill="1" applyBorder="1" applyAlignment="1" applyProtection="1">
      <alignment vertical="center" wrapText="1"/>
      <protection locked="0"/>
    </xf>
    <xf numFmtId="0" fontId="29" fillId="0" borderId="0" xfId="0" applyFont="1" applyAlignment="1">
      <alignment vertical="center" wrapText="1"/>
    </xf>
    <xf numFmtId="9" fontId="19" fillId="0" borderId="0" xfId="2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29" fillId="12" borderId="0" xfId="0" applyFont="1" applyFill="1" applyAlignment="1" applyProtection="1">
      <alignment vertical="center" wrapText="1"/>
      <protection hidden="1"/>
    </xf>
    <xf numFmtId="0" fontId="19" fillId="0" borderId="0" xfId="0" applyFont="1" applyAlignment="1">
      <alignment wrapText="1"/>
    </xf>
    <xf numFmtId="0" fontId="19" fillId="22" borderId="5" xfId="0" applyFont="1" applyFill="1" applyBorder="1" applyAlignment="1" applyProtection="1">
      <alignment vertical="center" wrapText="1"/>
      <protection locked="0"/>
    </xf>
    <xf numFmtId="0" fontId="19" fillId="22" borderId="1" xfId="0" applyFont="1" applyFill="1" applyBorder="1" applyAlignment="1" applyProtection="1">
      <alignment vertical="center" wrapText="1"/>
      <protection locked="0"/>
    </xf>
    <xf numFmtId="0" fontId="19" fillId="23" borderId="5" xfId="0" applyFont="1" applyFill="1" applyBorder="1" applyAlignment="1" applyProtection="1">
      <alignment vertical="center" wrapText="1"/>
      <protection locked="0"/>
    </xf>
    <xf numFmtId="0" fontId="19" fillId="23" borderId="1" xfId="0" applyFont="1" applyFill="1" applyBorder="1" applyAlignment="1" applyProtection="1">
      <alignment vertical="center" wrapText="1"/>
      <protection locked="0"/>
    </xf>
    <xf numFmtId="0" fontId="14" fillId="5" borderId="41" xfId="0" applyFont="1" applyFill="1" applyBorder="1" applyAlignment="1">
      <alignment horizontal="center" vertical="center"/>
    </xf>
    <xf numFmtId="0" fontId="36" fillId="5" borderId="5" xfId="0" applyFont="1" applyFill="1" applyBorder="1" applyAlignment="1" applyProtection="1">
      <alignment horizontal="center" vertical="center" wrapText="1"/>
      <protection locked="0"/>
    </xf>
    <xf numFmtId="0" fontId="36" fillId="5" borderId="1" xfId="0" applyFont="1" applyFill="1" applyBorder="1" applyAlignment="1" applyProtection="1">
      <alignment horizontal="center" vertical="center" wrapText="1"/>
      <protection locked="0"/>
    </xf>
    <xf numFmtId="0" fontId="32" fillId="23" borderId="41" xfId="0" applyFont="1" applyFill="1" applyBorder="1" applyAlignment="1">
      <alignment horizontal="center" vertical="center" wrapText="1"/>
    </xf>
    <xf numFmtId="0" fontId="32" fillId="14" borderId="41" xfId="0" applyFont="1" applyFill="1" applyBorder="1" applyAlignment="1">
      <alignment horizontal="center" vertical="center" wrapText="1"/>
    </xf>
    <xf numFmtId="0" fontId="29" fillId="12" borderId="0" xfId="0" applyFont="1" applyFill="1" applyAlignment="1">
      <alignment vertical="center" wrapText="1"/>
    </xf>
    <xf numFmtId="0" fontId="29" fillId="0" borderId="0" xfId="0" applyFont="1" applyAlignment="1" applyProtection="1">
      <alignment vertical="center" wrapText="1"/>
      <protection hidden="1"/>
    </xf>
    <xf numFmtId="0" fontId="31" fillId="12" borderId="0" xfId="0" applyFont="1" applyFill="1" applyAlignment="1">
      <alignment vertical="center" wrapText="1"/>
    </xf>
    <xf numFmtId="0" fontId="28" fillId="12" borderId="0" xfId="0" applyFont="1" applyFill="1" applyAlignment="1">
      <alignment vertical="center" wrapText="1"/>
    </xf>
    <xf numFmtId="0" fontId="32" fillId="0" borderId="0" xfId="0" applyFont="1" applyAlignment="1">
      <alignment vertical="center" wrapText="1"/>
    </xf>
    <xf numFmtId="0" fontId="14" fillId="20" borderId="4" xfId="0" applyFont="1" applyFill="1" applyBorder="1" applyAlignment="1">
      <alignment horizontal="center" vertical="center" wrapText="1"/>
    </xf>
    <xf numFmtId="0" fontId="22" fillId="20" borderId="1" xfId="0" applyFont="1" applyFill="1" applyBorder="1" applyAlignment="1">
      <alignment horizontal="center" vertical="center" wrapText="1"/>
    </xf>
    <xf numFmtId="42" fontId="19" fillId="0" borderId="1" xfId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42" fontId="19" fillId="0" borderId="1" xfId="1" applyFont="1" applyBorder="1" applyAlignment="1" applyProtection="1">
      <alignment vertical="center" wrapText="1"/>
      <protection hidden="1"/>
    </xf>
    <xf numFmtId="0" fontId="3" fillId="0" borderId="0" xfId="0" applyFont="1" applyAlignment="1">
      <alignment vertical="center" wrapText="1"/>
    </xf>
    <xf numFmtId="9" fontId="36" fillId="0" borderId="0" xfId="2" applyFont="1" applyAlignment="1">
      <alignment horizontal="center" vertical="center" wrapText="1"/>
    </xf>
    <xf numFmtId="42" fontId="30" fillId="15" borderId="1" xfId="1" applyFont="1" applyFill="1" applyBorder="1" applyAlignment="1">
      <alignment horizontal="center" vertical="center" wrapText="1"/>
    </xf>
    <xf numFmtId="9" fontId="3" fillId="0" borderId="0" xfId="2" applyFont="1" applyAlignment="1">
      <alignment horizontal="center" vertical="center" wrapText="1"/>
    </xf>
    <xf numFmtId="9" fontId="33" fillId="15" borderId="1" xfId="0" applyNumberFormat="1" applyFont="1" applyFill="1" applyBorder="1" applyAlignment="1">
      <alignment horizontal="center" vertical="center" wrapText="1"/>
    </xf>
    <xf numFmtId="42" fontId="13" fillId="15" borderId="1" xfId="1" applyFont="1" applyFill="1" applyBorder="1" applyAlignment="1">
      <alignment vertical="center" wrapText="1"/>
    </xf>
    <xf numFmtId="0" fontId="32" fillId="24" borderId="41" xfId="0" applyFont="1" applyFill="1" applyBorder="1" applyAlignment="1">
      <alignment horizontal="center" vertical="center" wrapText="1"/>
    </xf>
    <xf numFmtId="0" fontId="14" fillId="25" borderId="41" xfId="0" applyFont="1" applyFill="1" applyBorder="1" applyAlignment="1">
      <alignment horizontal="center" vertical="center" wrapText="1"/>
    </xf>
    <xf numFmtId="0" fontId="36" fillId="25" borderId="5" xfId="0" applyFont="1" applyFill="1" applyBorder="1" applyAlignment="1" applyProtection="1">
      <alignment horizontal="center" vertical="center" wrapText="1"/>
      <protection locked="0"/>
    </xf>
    <xf numFmtId="0" fontId="36" fillId="20" borderId="5" xfId="0" applyFont="1" applyFill="1" applyBorder="1" applyAlignment="1" applyProtection="1">
      <alignment horizontal="center" vertical="center" wrapText="1"/>
      <protection locked="0"/>
    </xf>
    <xf numFmtId="44" fontId="3" fillId="0" borderId="0" xfId="9" applyFont="1"/>
    <xf numFmtId="0" fontId="3" fillId="0" borderId="0" xfId="0" applyFont="1" applyProtection="1">
      <protection hidden="1"/>
    </xf>
    <xf numFmtId="0" fontId="8" fillId="2" borderId="36" xfId="0" applyFont="1" applyFill="1" applyBorder="1" applyAlignment="1" applyProtection="1">
      <alignment horizontal="center" vertical="center" wrapText="1"/>
      <protection hidden="1"/>
    </xf>
    <xf numFmtId="0" fontId="8" fillId="2" borderId="37" xfId="0" applyFont="1" applyFill="1" applyBorder="1" applyAlignment="1" applyProtection="1">
      <alignment horizontal="center" vertical="center"/>
      <protection hidden="1"/>
    </xf>
    <xf numFmtId="10" fontId="4" fillId="6" borderId="26" xfId="2" applyNumberFormat="1" applyFont="1" applyFill="1" applyBorder="1" applyAlignment="1" applyProtection="1">
      <alignment horizontal="center" vertical="center" wrapText="1"/>
      <protection hidden="1"/>
    </xf>
    <xf numFmtId="10" fontId="4" fillId="7" borderId="38" xfId="2" applyNumberFormat="1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12" borderId="1" xfId="0" applyFont="1" applyFill="1" applyBorder="1" applyAlignment="1">
      <alignment horizontal="center" vertical="center" wrapText="1"/>
    </xf>
    <xf numFmtId="0" fontId="8" fillId="12" borderId="0" xfId="0" applyFont="1" applyFill="1"/>
    <xf numFmtId="42" fontId="8" fillId="12" borderId="1" xfId="1" applyFont="1" applyFill="1" applyBorder="1" applyAlignment="1" applyProtection="1">
      <alignment horizontal="center" vertical="center"/>
      <protection locked="0"/>
    </xf>
    <xf numFmtId="0" fontId="8" fillId="12" borderId="0" xfId="0" applyFont="1" applyFill="1" applyAlignment="1">
      <alignment vertical="center"/>
    </xf>
    <xf numFmtId="0" fontId="45" fillId="12" borderId="0" xfId="0" applyFont="1" applyFill="1" applyProtection="1">
      <protection hidden="1"/>
    </xf>
    <xf numFmtId="9" fontId="45" fillId="12" borderId="0" xfId="2" applyFont="1" applyFill="1" applyProtection="1">
      <protection hidden="1"/>
    </xf>
    <xf numFmtId="166" fontId="45" fillId="12" borderId="0" xfId="0" applyNumberFormat="1" applyFont="1" applyFill="1" applyProtection="1">
      <protection hidden="1"/>
    </xf>
    <xf numFmtId="0" fontId="45" fillId="12" borderId="0" xfId="0" applyFont="1" applyFill="1" applyAlignment="1" applyProtection="1">
      <alignment horizontal="center"/>
      <protection hidden="1"/>
    </xf>
    <xf numFmtId="0" fontId="9" fillId="26" borderId="0" xfId="0" applyFont="1" applyFill="1" applyBorder="1"/>
    <xf numFmtId="0" fontId="14" fillId="26" borderId="0" xfId="0" applyFont="1" applyFill="1" applyBorder="1" applyAlignment="1">
      <alignment horizontal="center" vertical="center"/>
    </xf>
    <xf numFmtId="0" fontId="9" fillId="26" borderId="0" xfId="0" applyFont="1" applyFill="1" applyBorder="1" applyAlignment="1">
      <alignment vertical="center"/>
    </xf>
    <xf numFmtId="0" fontId="28" fillId="12" borderId="0" xfId="0" applyFont="1" applyFill="1" applyBorder="1" applyAlignment="1">
      <alignment horizontal="center" vertical="center" wrapText="1"/>
    </xf>
    <xf numFmtId="0" fontId="32" fillId="12" borderId="0" xfId="0" applyFont="1" applyFill="1" applyBorder="1" applyAlignment="1">
      <alignment horizontal="center" vertical="center"/>
    </xf>
    <xf numFmtId="0" fontId="28" fillId="12" borderId="0" xfId="0" applyFont="1" applyFill="1" applyBorder="1" applyAlignment="1">
      <alignment vertical="center"/>
    </xf>
    <xf numFmtId="42" fontId="28" fillId="12" borderId="0" xfId="0" applyNumberFormat="1" applyFont="1" applyFill="1" applyBorder="1" applyAlignment="1">
      <alignment vertical="center"/>
    </xf>
    <xf numFmtId="0" fontId="12" fillId="26" borderId="0" xfId="0" applyFont="1" applyFill="1" applyBorder="1" applyAlignment="1">
      <alignment vertical="center"/>
    </xf>
    <xf numFmtId="0" fontId="6" fillId="26" borderId="0" xfId="1" applyNumberFormat="1" applyFont="1" applyFill="1" applyBorder="1" applyAlignment="1">
      <alignment horizontal="right" vertical="center"/>
    </xf>
    <xf numFmtId="0" fontId="12" fillId="26" borderId="0" xfId="0" applyFont="1" applyFill="1" applyBorder="1"/>
    <xf numFmtId="42" fontId="6" fillId="26" borderId="0" xfId="1" applyFont="1" applyFill="1" applyBorder="1" applyAlignment="1">
      <alignment horizontal="center" vertical="center"/>
    </xf>
    <xf numFmtId="0" fontId="28" fillId="26" borderId="0" xfId="0" applyFont="1" applyFill="1" applyBorder="1" applyAlignment="1">
      <alignment horizontal="center" vertical="center" wrapText="1"/>
    </xf>
    <xf numFmtId="42" fontId="12" fillId="26" borderId="0" xfId="1" applyFont="1" applyFill="1" applyBorder="1" applyAlignment="1">
      <alignment horizontal="center" vertical="center"/>
    </xf>
    <xf numFmtId="42" fontId="28" fillId="26" borderId="0" xfId="1" applyFont="1" applyFill="1" applyBorder="1" applyAlignment="1" applyProtection="1">
      <alignment vertical="center"/>
    </xf>
    <xf numFmtId="0" fontId="28" fillId="26" borderId="0" xfId="0" applyFont="1" applyFill="1" applyBorder="1"/>
    <xf numFmtId="0" fontId="6" fillId="26" borderId="0" xfId="0" applyFont="1" applyFill="1" applyBorder="1" applyAlignment="1">
      <alignment horizontal="right" vertical="center"/>
    </xf>
    <xf numFmtId="0" fontId="28" fillId="26" borderId="0" xfId="0" applyFont="1" applyFill="1" applyBorder="1" applyAlignment="1">
      <alignment vertical="center"/>
    </xf>
    <xf numFmtId="42" fontId="28" fillId="26" borderId="0" xfId="0" applyNumberFormat="1" applyFont="1" applyFill="1" applyBorder="1" applyAlignment="1">
      <alignment vertical="center"/>
    </xf>
    <xf numFmtId="0" fontId="37" fillId="21" borderId="9" xfId="4" applyFont="1" applyFill="1" applyAlignment="1" applyProtection="1">
      <alignment horizontal="left" vertical="center"/>
      <protection locked="0" hidden="1"/>
    </xf>
    <xf numFmtId="0" fontId="37" fillId="21" borderId="11" xfId="6" applyFont="1" applyFill="1" applyAlignment="1" applyProtection="1">
      <alignment horizontal="left" vertical="center"/>
      <protection locked="0" hidden="1"/>
    </xf>
    <xf numFmtId="0" fontId="22" fillId="21" borderId="0" xfId="0" applyFont="1" applyFill="1" applyAlignment="1">
      <alignment horizontal="center" vertical="center" wrapText="1"/>
    </xf>
    <xf numFmtId="0" fontId="22" fillId="21" borderId="0" xfId="0" applyFont="1" applyFill="1" applyAlignment="1">
      <alignment horizontal="center" vertical="center"/>
    </xf>
    <xf numFmtId="0" fontId="21" fillId="21" borderId="0" xfId="0" applyFont="1" applyFill="1" applyAlignment="1">
      <alignment horizontal="center"/>
    </xf>
    <xf numFmtId="0" fontId="18" fillId="16" borderId="2" xfId="0" applyFont="1" applyFill="1" applyBorder="1" applyAlignment="1">
      <alignment horizontal="left"/>
    </xf>
    <xf numFmtId="0" fontId="18" fillId="16" borderId="3" xfId="0" applyFont="1" applyFill="1" applyBorder="1" applyAlignment="1">
      <alignment horizontal="left"/>
    </xf>
    <xf numFmtId="0" fontId="18" fillId="16" borderId="4" xfId="0" applyFont="1" applyFill="1" applyBorder="1" applyAlignment="1">
      <alignment horizontal="left"/>
    </xf>
    <xf numFmtId="0" fontId="20" fillId="14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textRotation="90" wrapText="1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9" fillId="0" borderId="3" xfId="0" applyFont="1" applyBorder="1" applyAlignment="1" applyProtection="1">
      <alignment horizontal="left" vertical="center" wrapText="1"/>
      <protection locked="0"/>
    </xf>
    <xf numFmtId="0" fontId="19" fillId="0" borderId="4" xfId="0" applyFont="1" applyBorder="1" applyAlignment="1" applyProtection="1">
      <alignment horizontal="left" vertical="center" wrapText="1"/>
      <protection locked="0"/>
    </xf>
    <xf numFmtId="0" fontId="14" fillId="15" borderId="1" xfId="0" applyFont="1" applyFill="1" applyBorder="1" applyAlignment="1">
      <alignment horizontal="center" vertical="center" textRotation="90" wrapText="1"/>
    </xf>
    <xf numFmtId="0" fontId="9" fillId="15" borderId="14" xfId="0" applyFont="1" applyFill="1" applyBorder="1" applyAlignment="1">
      <alignment horizontal="center" vertical="center" wrapText="1"/>
    </xf>
    <xf numFmtId="0" fontId="9" fillId="15" borderId="5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18" fillId="15" borderId="2" xfId="0" applyFont="1" applyFill="1" applyBorder="1" applyAlignment="1">
      <alignment horizontal="left"/>
    </xf>
    <xf numFmtId="0" fontId="18" fillId="15" borderId="3" xfId="0" applyFont="1" applyFill="1" applyBorder="1" applyAlignment="1">
      <alignment horizontal="left"/>
    </xf>
    <xf numFmtId="0" fontId="18" fillId="15" borderId="4" xfId="0" applyFont="1" applyFill="1" applyBorder="1" applyAlignment="1">
      <alignment horizontal="left"/>
    </xf>
    <xf numFmtId="0" fontId="23" fillId="10" borderId="23" xfId="5" applyFont="1" applyBorder="1" applyAlignment="1" applyProtection="1">
      <alignment horizontal="left" vertical="center"/>
      <protection hidden="1"/>
    </xf>
    <xf numFmtId="0" fontId="23" fillId="10" borderId="24" xfId="5" applyFont="1" applyBorder="1" applyAlignment="1" applyProtection="1">
      <alignment horizontal="left" vertical="center"/>
      <protection hidden="1"/>
    </xf>
    <xf numFmtId="0" fontId="23" fillId="10" borderId="25" xfId="5" applyFont="1" applyBorder="1" applyAlignment="1" applyProtection="1">
      <alignment horizontal="left" vertical="center"/>
      <protection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6" fillId="25" borderId="1" xfId="0" applyFont="1" applyFill="1" applyBorder="1" applyAlignment="1" applyProtection="1">
      <alignment horizontal="center" vertical="center" wrapText="1"/>
      <protection locked="0"/>
    </xf>
    <xf numFmtId="0" fontId="36" fillId="20" borderId="1" xfId="0" applyFont="1" applyFill="1" applyBorder="1" applyAlignment="1" applyProtection="1">
      <alignment horizontal="center" vertical="center" wrapText="1"/>
      <protection locked="0"/>
    </xf>
    <xf numFmtId="0" fontId="46" fillId="26" borderId="0" xfId="0" applyFont="1" applyFill="1" applyBorder="1" applyAlignment="1">
      <alignment wrapText="1"/>
    </xf>
    <xf numFmtId="0" fontId="44" fillId="26" borderId="0" xfId="0" applyFont="1" applyFill="1" applyBorder="1" applyAlignment="1">
      <alignment horizontal="center" wrapText="1"/>
    </xf>
    <xf numFmtId="0" fontId="46" fillId="26" borderId="0" xfId="0" applyFont="1" applyFill="1" applyBorder="1" applyAlignment="1">
      <alignment vertical="center" wrapText="1"/>
    </xf>
    <xf numFmtId="0" fontId="47" fillId="26" borderId="0" xfId="0" applyFont="1" applyFill="1" applyBorder="1" applyAlignment="1">
      <alignment wrapText="1"/>
    </xf>
    <xf numFmtId="0" fontId="46" fillId="26" borderId="0" xfId="0" quotePrefix="1" applyFont="1" applyFill="1" applyBorder="1" applyAlignment="1">
      <alignment wrapText="1"/>
    </xf>
    <xf numFmtId="0" fontId="46" fillId="26" borderId="1" xfId="0" applyFont="1" applyFill="1" applyBorder="1" applyAlignment="1">
      <alignment horizontal="center" vertical="center" wrapText="1"/>
    </xf>
    <xf numFmtId="0" fontId="46" fillId="26" borderId="1" xfId="0" applyFont="1" applyFill="1" applyBorder="1" applyAlignment="1">
      <alignment wrapText="1"/>
    </xf>
    <xf numFmtId="0" fontId="46" fillId="26" borderId="42" xfId="0" applyFont="1" applyFill="1" applyBorder="1" applyAlignment="1">
      <alignment horizontal="center" vertical="center" wrapText="1"/>
    </xf>
    <xf numFmtId="0" fontId="46" fillId="26" borderId="43" xfId="0" applyFont="1" applyFill="1" applyBorder="1" applyAlignment="1">
      <alignment horizontal="center" vertical="center" wrapText="1"/>
    </xf>
    <xf numFmtId="0" fontId="46" fillId="26" borderId="8" xfId="0" applyFont="1" applyFill="1" applyBorder="1" applyAlignment="1">
      <alignment horizontal="center" vertical="center" wrapText="1"/>
    </xf>
  </cellXfs>
  <cellStyles count="10">
    <cellStyle name="Entrada" xfId="4" builtinId="20"/>
    <cellStyle name="Millares 2" xfId="3"/>
    <cellStyle name="Moneda" xfId="9" builtinId="4"/>
    <cellStyle name="Moneda [0]" xfId="1" builtinId="7"/>
    <cellStyle name="Normal" xfId="0" builtinId="0"/>
    <cellStyle name="Normal 2" xfId="7"/>
    <cellStyle name="Notas" xfId="6" builtinId="10"/>
    <cellStyle name="Porcentaje" xfId="2" builtinId="5"/>
    <cellStyle name="Porcentaje 2" xfId="8"/>
    <cellStyle name="Salida" xfId="5" builtinId="21"/>
  </cellStyles>
  <dxfs count="5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</dxfs>
  <tableStyles count="0" defaultTableStyle="TableStyleMedium2" defaultPivotStyle="PivotStyleLight16"/>
  <colors>
    <mruColors>
      <color rgb="FF009999"/>
      <color rgb="FFFF6699"/>
      <color rgb="FF293139"/>
      <color rgb="FF021324"/>
      <color rgb="FF005790"/>
      <color rgb="FF0F1D41"/>
      <color rgb="FF660B15"/>
      <color rgb="FFA62424"/>
      <color rgb="FF618138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7D-44E8-AB47-16E27224DAA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7D-44E8-AB47-16E27224DAA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7D-44E8-AB47-16E27224DAAB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7D-44E8-AB47-16E27224DAAB}"/>
              </c:ext>
            </c:extLst>
          </c:dPt>
          <c:dPt>
            <c:idx val="4"/>
            <c:bubble3D val="0"/>
            <c:spPr>
              <a:solidFill>
                <a:srgbClr val="FFFF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7D-44E8-AB47-16E27224DAAB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C7D-44E8-AB47-16E27224DAAB}"/>
              </c:ext>
            </c:extLst>
          </c:dPt>
          <c:dPt>
            <c:idx val="6"/>
            <c:bubble3D val="0"/>
            <c:spPr>
              <a:solidFill>
                <a:srgbClr val="00B05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C7D-44E8-AB47-16E27224DAAB}"/>
              </c:ext>
            </c:extLst>
          </c:dPt>
          <c:dPt>
            <c:idx val="7"/>
            <c:bubble3D val="0"/>
            <c:spPr>
              <a:solidFill>
                <a:srgbClr val="00B05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C7D-44E8-AB47-16E27224DAAB}"/>
              </c:ext>
            </c:extLst>
          </c:dPt>
          <c:dPt>
            <c:idx val="8"/>
            <c:bubble3D val="0"/>
            <c:spPr>
              <a:solidFill>
                <a:srgbClr val="00B05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C7D-44E8-AB47-16E27224DAAB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C7D-44E8-AB47-16E27224DAAB}"/>
              </c:ext>
            </c:extLst>
          </c:dPt>
          <c:val>
            <c:numRef>
              <c:f>velGrap!$B$2:$B$11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C7D-44E8-AB47-16E27224D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scatterChart>
        <c:scatterStyle val="smoothMarker"/>
        <c:varyColors val="0"/>
        <c:ser>
          <c:idx val="2"/>
          <c:order val="1"/>
          <c:tx>
            <c:strRef>
              <c:f>velGrap!$A$17</c:f>
              <c:strCache>
                <c:ptCount val="1"/>
                <c:pt idx="0">
                  <c:v>Datos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  <a:headEnd type="oval"/>
              <a:tailEnd type="stealth"/>
            </a:ln>
            <a:effectLst/>
          </c:spPr>
          <c:marker>
            <c:symbol val="none"/>
          </c:marker>
          <c:xVal>
            <c:numRef>
              <c:f>velGrap!$B$18:$B$19</c:f>
              <c:numCache>
                <c:formatCode>General</c:formatCode>
                <c:ptCount val="2"/>
                <c:pt idx="0">
                  <c:v>0</c:v>
                </c:pt>
                <c:pt idx="1">
                  <c:v>0.96592582628906654</c:v>
                </c:pt>
              </c:numCache>
            </c:numRef>
          </c:xVal>
          <c:yVal>
            <c:numRef>
              <c:f>velGrap!$C$18:$C$19</c:f>
              <c:numCache>
                <c:formatCode>General</c:formatCode>
                <c:ptCount val="2"/>
                <c:pt idx="0">
                  <c:v>0</c:v>
                </c:pt>
                <c:pt idx="1">
                  <c:v>-0.25881904510252718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5C7D-44E8-AB47-16E27224D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193112"/>
        <c:axId val="397196248"/>
      </c:scatterChart>
      <c:valAx>
        <c:axId val="397196248"/>
        <c:scaling>
          <c:orientation val="minMax"/>
          <c:max val="1"/>
          <c:min val="-1"/>
        </c:scaling>
        <c:delete val="1"/>
        <c:axPos val="l"/>
        <c:numFmt formatCode="General" sourceLinked="1"/>
        <c:majorTickMark val="out"/>
        <c:minorTickMark val="none"/>
        <c:tickLblPos val="nextTo"/>
        <c:crossAx val="397193112"/>
        <c:crosses val="autoZero"/>
        <c:crossBetween val="midCat"/>
      </c:valAx>
      <c:valAx>
        <c:axId val="397193112"/>
        <c:scaling>
          <c:orientation val="minMax"/>
          <c:max val="1"/>
          <c:min val="-1"/>
        </c:scaling>
        <c:delete val="1"/>
        <c:axPos val="b"/>
        <c:numFmt formatCode="General" sourceLinked="1"/>
        <c:majorTickMark val="out"/>
        <c:minorTickMark val="none"/>
        <c:tickLblPos val="nextTo"/>
        <c:crossAx val="397196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0F-4A3D-99EF-6894E8685C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0F-4A3D-99EF-6894E8685CD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0F-4A3D-99EF-6894E8685CDA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D0F-4A3D-99EF-6894E8685CDA}"/>
              </c:ext>
            </c:extLst>
          </c:dPt>
          <c:dPt>
            <c:idx val="4"/>
            <c:bubble3D val="0"/>
            <c:spPr>
              <a:solidFill>
                <a:srgbClr val="FFFF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D0F-4A3D-99EF-6894E8685CDA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D0F-4A3D-99EF-6894E8685CDA}"/>
              </c:ext>
            </c:extLst>
          </c:dPt>
          <c:dPt>
            <c:idx val="6"/>
            <c:bubble3D val="0"/>
            <c:spPr>
              <a:solidFill>
                <a:srgbClr val="00B05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D0F-4A3D-99EF-6894E8685CDA}"/>
              </c:ext>
            </c:extLst>
          </c:dPt>
          <c:dPt>
            <c:idx val="7"/>
            <c:bubble3D val="0"/>
            <c:spPr>
              <a:solidFill>
                <a:srgbClr val="00B05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D0F-4A3D-99EF-6894E8685CDA}"/>
              </c:ext>
            </c:extLst>
          </c:dPt>
          <c:dPt>
            <c:idx val="8"/>
            <c:bubble3D val="0"/>
            <c:spPr>
              <a:solidFill>
                <a:srgbClr val="00B05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D0F-4A3D-99EF-6894E8685CDA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D0F-4A3D-99EF-6894E8685CDA}"/>
              </c:ext>
            </c:extLst>
          </c:dPt>
          <c:val>
            <c:numRef>
              <c:f>velGrap!$B$2:$B$11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D0F-4A3D-99EF-6894E8685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scatterChart>
        <c:scatterStyle val="smoothMarker"/>
        <c:varyColors val="0"/>
        <c:ser>
          <c:idx val="2"/>
          <c:order val="1"/>
          <c:tx>
            <c:strRef>
              <c:f>velGrap!$E$17</c:f>
              <c:strCache>
                <c:ptCount val="1"/>
                <c:pt idx="0">
                  <c:v>Datos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  <a:tailEnd type="stealth"/>
            </a:ln>
            <a:effectLst/>
          </c:spPr>
          <c:marker>
            <c:symbol val="none"/>
          </c:marker>
          <c:xVal>
            <c:numRef>
              <c:f>velGrap!$F$18:$F$19</c:f>
              <c:numCache>
                <c:formatCode>General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xVal>
          <c:yVal>
            <c:numRef>
              <c:f>velGrap!$G$18:$G$19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5D0F-4A3D-99EF-6894E8685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194680"/>
        <c:axId val="397194288"/>
      </c:scatterChart>
      <c:valAx>
        <c:axId val="397194288"/>
        <c:scaling>
          <c:orientation val="minMax"/>
          <c:max val="1"/>
          <c:min val="-1"/>
        </c:scaling>
        <c:delete val="1"/>
        <c:axPos val="l"/>
        <c:numFmt formatCode="General" sourceLinked="1"/>
        <c:majorTickMark val="out"/>
        <c:minorTickMark val="none"/>
        <c:tickLblPos val="nextTo"/>
        <c:crossAx val="397194680"/>
        <c:crosses val="autoZero"/>
        <c:crossBetween val="midCat"/>
      </c:valAx>
      <c:valAx>
        <c:axId val="397194680"/>
        <c:scaling>
          <c:orientation val="minMax"/>
          <c:max val="1"/>
          <c:min val="-1"/>
        </c:scaling>
        <c:delete val="1"/>
        <c:axPos val="b"/>
        <c:numFmt formatCode="General" sourceLinked="1"/>
        <c:majorTickMark val="out"/>
        <c:minorTickMark val="none"/>
        <c:tickLblPos val="nextTo"/>
        <c:crossAx val="397194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7D-4C47-A195-301AAD81936D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7D-4C47-A195-301AAD81936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7D-4C47-A195-301AAD81936D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7D-4C47-A195-301AAD81936D}"/>
              </c:ext>
            </c:extLst>
          </c:dPt>
          <c:dPt>
            <c:idx val="4"/>
            <c:bubble3D val="0"/>
            <c:spPr>
              <a:solidFill>
                <a:srgbClr val="FFFF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D7D-4C47-A195-301AAD81936D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D7D-4C47-A195-301AAD81936D}"/>
              </c:ext>
            </c:extLst>
          </c:dPt>
          <c:dPt>
            <c:idx val="6"/>
            <c:bubble3D val="0"/>
            <c:spPr>
              <a:solidFill>
                <a:srgbClr val="00B05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D7D-4C47-A195-301AAD81936D}"/>
              </c:ext>
            </c:extLst>
          </c:dPt>
          <c:dPt>
            <c:idx val="7"/>
            <c:bubble3D val="0"/>
            <c:spPr>
              <a:solidFill>
                <a:srgbClr val="00B05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D7D-4C47-A195-301AAD81936D}"/>
              </c:ext>
            </c:extLst>
          </c:dPt>
          <c:dPt>
            <c:idx val="8"/>
            <c:bubble3D val="0"/>
            <c:spPr>
              <a:solidFill>
                <a:srgbClr val="00B05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D7D-4C47-A195-301AAD81936D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D7D-4C47-A195-301AAD81936D}"/>
              </c:ext>
            </c:extLst>
          </c:dPt>
          <c:val>
            <c:numRef>
              <c:f>velGrap!$B$2:$B$11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D7D-4C47-A195-301AAD819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scatterChart>
        <c:scatterStyle val="smoothMarker"/>
        <c:varyColors val="0"/>
        <c:ser>
          <c:idx val="2"/>
          <c:order val="1"/>
          <c:tx>
            <c:strRef>
              <c:f>velGrap!$I$17</c:f>
              <c:strCache>
                <c:ptCount val="1"/>
                <c:pt idx="0">
                  <c:v>Datos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  <a:tailEnd type="stealth"/>
            </a:ln>
            <a:effectLst/>
          </c:spPr>
          <c:marker>
            <c:symbol val="none"/>
          </c:marker>
          <c:xVal>
            <c:numRef>
              <c:f>velGrap!$J$18:$J$19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velGrap!$K$18:$K$19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ED7D-4C47-A195-301AAD819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195856"/>
        <c:axId val="397195464"/>
      </c:scatterChart>
      <c:valAx>
        <c:axId val="397195464"/>
        <c:scaling>
          <c:orientation val="minMax"/>
          <c:max val="1"/>
          <c:min val="-1"/>
        </c:scaling>
        <c:delete val="1"/>
        <c:axPos val="l"/>
        <c:numFmt formatCode="General" sourceLinked="1"/>
        <c:majorTickMark val="out"/>
        <c:minorTickMark val="none"/>
        <c:tickLblPos val="nextTo"/>
        <c:crossAx val="397195856"/>
        <c:crosses val="autoZero"/>
        <c:crossBetween val="midCat"/>
      </c:valAx>
      <c:valAx>
        <c:axId val="397195856"/>
        <c:scaling>
          <c:orientation val="minMax"/>
          <c:max val="1"/>
          <c:min val="-1"/>
        </c:scaling>
        <c:delete val="1"/>
        <c:axPos val="b"/>
        <c:numFmt formatCode="General" sourceLinked="1"/>
        <c:majorTickMark val="out"/>
        <c:minorTickMark val="none"/>
        <c:tickLblPos val="nextTo"/>
        <c:crossAx val="397195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1-4DFF-8962-8C6D38D79FB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1-4DFF-8962-8C6D38D79FB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1-4DFF-8962-8C6D38D79FB5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1-4DFF-8962-8C6D38D79FB5}"/>
              </c:ext>
            </c:extLst>
          </c:dPt>
          <c:dPt>
            <c:idx val="4"/>
            <c:bubble3D val="0"/>
            <c:spPr>
              <a:solidFill>
                <a:srgbClr val="FFFF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B51-4DFF-8962-8C6D38D79FB5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B51-4DFF-8962-8C6D38D79FB5}"/>
              </c:ext>
            </c:extLst>
          </c:dPt>
          <c:dPt>
            <c:idx val="6"/>
            <c:bubble3D val="0"/>
            <c:spPr>
              <a:solidFill>
                <a:srgbClr val="00B05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B51-4DFF-8962-8C6D38D79FB5}"/>
              </c:ext>
            </c:extLst>
          </c:dPt>
          <c:dPt>
            <c:idx val="7"/>
            <c:bubble3D val="0"/>
            <c:spPr>
              <a:solidFill>
                <a:srgbClr val="00B05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B51-4DFF-8962-8C6D38D79FB5}"/>
              </c:ext>
            </c:extLst>
          </c:dPt>
          <c:dPt>
            <c:idx val="8"/>
            <c:bubble3D val="0"/>
            <c:spPr>
              <a:solidFill>
                <a:srgbClr val="00B05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B51-4DFF-8962-8C6D38D79FB5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B51-4DFF-8962-8C6D38D79FB5}"/>
              </c:ext>
            </c:extLst>
          </c:dPt>
          <c:val>
            <c:numRef>
              <c:f>velGrap!$B$2:$B$11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B51-4DFF-8962-8C6D38D79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scatterChart>
        <c:scatterStyle val="smoothMarker"/>
        <c:varyColors val="0"/>
        <c:ser>
          <c:idx val="2"/>
          <c:order val="1"/>
          <c:tx>
            <c:strRef>
              <c:f>velGrap!$M$17</c:f>
              <c:strCache>
                <c:ptCount val="1"/>
                <c:pt idx="0">
                  <c:v>Datos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  <a:tailEnd type="stealth"/>
            </a:ln>
            <a:effectLst/>
          </c:spPr>
          <c:marker>
            <c:symbol val="none"/>
          </c:marker>
          <c:xVal>
            <c:numRef>
              <c:f>velGrap!$N$18:$N$19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velGrap!$O$18:$O$19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FB51-4DFF-8962-8C6D38D79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640352"/>
        <c:axId val="331645448"/>
      </c:scatterChart>
      <c:valAx>
        <c:axId val="331645448"/>
        <c:scaling>
          <c:orientation val="minMax"/>
          <c:max val="1"/>
          <c:min val="-1"/>
        </c:scaling>
        <c:delete val="1"/>
        <c:axPos val="l"/>
        <c:numFmt formatCode="General" sourceLinked="1"/>
        <c:majorTickMark val="out"/>
        <c:minorTickMark val="none"/>
        <c:tickLblPos val="nextTo"/>
        <c:crossAx val="331640352"/>
        <c:crosses val="autoZero"/>
        <c:crossBetween val="midCat"/>
      </c:valAx>
      <c:valAx>
        <c:axId val="331640352"/>
        <c:scaling>
          <c:orientation val="minMax"/>
          <c:max val="1"/>
          <c:min val="-1"/>
        </c:scaling>
        <c:delete val="1"/>
        <c:axPos val="b"/>
        <c:numFmt formatCode="General" sourceLinked="1"/>
        <c:majorTickMark val="out"/>
        <c:minorTickMark val="none"/>
        <c:tickLblPos val="nextTo"/>
        <c:crossAx val="331645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RES!$F$57</c:f>
              <c:strCache>
                <c:ptCount val="1"/>
                <c:pt idx="0">
                  <c:v>PRES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RES!$E$58:$E$61</c:f>
              <c:strCache>
                <c:ptCount val="4"/>
                <c:pt idx="0">
                  <c:v>Administrativos</c:v>
                </c:pt>
                <c:pt idx="1">
                  <c:v>Docentes</c:v>
                </c:pt>
                <c:pt idx="2">
                  <c:v>Actividades</c:v>
                </c:pt>
                <c:pt idx="3">
                  <c:v>Muebles y Enseres</c:v>
                </c:pt>
              </c:strCache>
            </c:strRef>
          </c:cat>
          <c:val>
            <c:numRef>
              <c:f>RES!$F$58:$F$61</c:f>
              <c:numCache>
                <c:formatCode>_("$"* #,##0_);_("$"* \(#,##0\);_("$"*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8-4C94-8D2D-10A1791451E0}"/>
            </c:ext>
          </c:extLst>
        </c:ser>
        <c:ser>
          <c:idx val="1"/>
          <c:order val="1"/>
          <c:tx>
            <c:strRef>
              <c:f>RES!$G$57</c:f>
              <c:strCache>
                <c:ptCount val="1"/>
                <c:pt idx="0">
                  <c:v>APRO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RES!$E$58:$E$61</c:f>
              <c:strCache>
                <c:ptCount val="4"/>
                <c:pt idx="0">
                  <c:v>Administrativos</c:v>
                </c:pt>
                <c:pt idx="1">
                  <c:v>Docentes</c:v>
                </c:pt>
                <c:pt idx="2">
                  <c:v>Actividades</c:v>
                </c:pt>
                <c:pt idx="3">
                  <c:v>Muebles y Enseres</c:v>
                </c:pt>
              </c:strCache>
            </c:strRef>
          </c:cat>
          <c:val>
            <c:numRef>
              <c:f>RES!$G$58:$G$61</c:f>
              <c:numCache>
                <c:formatCode>_("$"* #,##0_);_("$"* \(#,##0\);_("$"*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F8-4C94-8D2D-10A179145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33278096"/>
        <c:axId val="333280840"/>
      </c:barChart>
      <c:catAx>
        <c:axId val="33327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333280840"/>
        <c:crosses val="autoZero"/>
        <c:auto val="1"/>
        <c:lblAlgn val="ctr"/>
        <c:lblOffset val="100"/>
        <c:noMultiLvlLbl val="0"/>
      </c:catAx>
      <c:valAx>
        <c:axId val="3332808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crossAx val="333278096"/>
        <c:crosses val="autoZero"/>
        <c:crossBetween val="between"/>
      </c:valAx>
      <c:spPr>
        <a:solidFill>
          <a:schemeClr val="accent4">
            <a:lumMod val="40000"/>
            <a:lumOff val="60000"/>
          </a:schemeClr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bg1"/>
      </a:solidFill>
    </a:ln>
    <a:effectLst/>
  </c:spPr>
  <c:txPr>
    <a:bodyPr/>
    <a:lstStyle/>
    <a:p>
      <a:pPr>
        <a:defRPr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ADM!A2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hyperlink" Target="#INI!A1"/><Relationship Id="rId1" Type="http://schemas.openxmlformats.org/officeDocument/2006/relationships/hyperlink" Target="#PRE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ADM!A2"/><Relationship Id="rId1" Type="http://schemas.openxmlformats.org/officeDocument/2006/relationships/hyperlink" Target="#POS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PRE!A1"/><Relationship Id="rId1" Type="http://schemas.openxmlformats.org/officeDocument/2006/relationships/hyperlink" Target="#DOC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OS!A1"/><Relationship Id="rId2" Type="http://schemas.openxmlformats.org/officeDocument/2006/relationships/hyperlink" Target="#INV!A1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DOC!A1"/><Relationship Id="rId2" Type="http://schemas.openxmlformats.org/officeDocument/2006/relationships/hyperlink" Target="#EXT!A1"/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INV!A1"/><Relationship Id="rId2" Type="http://schemas.openxmlformats.org/officeDocument/2006/relationships/hyperlink" Target="#COM!A1"/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EXT!A1"/><Relationship Id="rId2" Type="http://schemas.openxmlformats.org/officeDocument/2006/relationships/hyperlink" Target="#'M&amp;E'!A1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COM!A1"/><Relationship Id="rId1" Type="http://schemas.openxmlformats.org/officeDocument/2006/relationships/hyperlink" Target="#RES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hyperlink" Target="#'M&amp;E'!B2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470647</xdr:colOff>
      <xdr:row>24</xdr:row>
      <xdr:rowOff>134471</xdr:rowOff>
    </xdr:from>
    <xdr:to>
      <xdr:col>7</xdr:col>
      <xdr:colOff>100852</xdr:colOff>
      <xdr:row>26</xdr:row>
      <xdr:rowOff>89648</xdr:rowOff>
    </xdr:to>
    <xdr:sp macro="" textlink="">
      <xdr:nvSpPr>
        <xdr:cNvPr id="5" name="Flecha a la derecha con ban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866029" y="4908177"/>
          <a:ext cx="392205" cy="403412"/>
        </a:xfrm>
        <a:prstGeom prst="stripedRightArrow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3</xdr:col>
      <xdr:colOff>403411</xdr:colOff>
      <xdr:row>0</xdr:row>
      <xdr:rowOff>0</xdr:rowOff>
    </xdr:from>
    <xdr:to>
      <xdr:col>9</xdr:col>
      <xdr:colOff>1309960</xdr:colOff>
      <xdr:row>9</xdr:row>
      <xdr:rowOff>56028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3235" y="0"/>
          <a:ext cx="4638107" cy="17705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1481672</xdr:colOff>
      <xdr:row>0</xdr:row>
      <xdr:rowOff>42332</xdr:rowOff>
    </xdr:from>
    <xdr:to>
      <xdr:col>2</xdr:col>
      <xdr:colOff>1915588</xdr:colOff>
      <xdr:row>0</xdr:row>
      <xdr:rowOff>445744</xdr:rowOff>
    </xdr:to>
    <xdr:sp macro="" textlink="">
      <xdr:nvSpPr>
        <xdr:cNvPr id="3" name="Flecha a la derecha con ban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481672" y="42332"/>
          <a:ext cx="433916" cy="403412"/>
        </a:xfrm>
        <a:prstGeom prst="stripedRightArrow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889004</xdr:colOff>
      <xdr:row>0</xdr:row>
      <xdr:rowOff>46568</xdr:rowOff>
    </xdr:from>
    <xdr:to>
      <xdr:col>2</xdr:col>
      <xdr:colOff>1316571</xdr:colOff>
      <xdr:row>0</xdr:row>
      <xdr:rowOff>449980</xdr:rowOff>
    </xdr:to>
    <xdr:sp macro="" textlink="">
      <xdr:nvSpPr>
        <xdr:cNvPr id="4" name="Flecha a la derecha con ban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 flipH="1">
          <a:off x="889004" y="46568"/>
          <a:ext cx="427567" cy="403412"/>
        </a:xfrm>
        <a:prstGeom prst="stripedRightArrow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775607</xdr:colOff>
          <xdr:row>17</xdr:row>
          <xdr:rowOff>203841</xdr:rowOff>
        </xdr:from>
        <xdr:to>
          <xdr:col>2</xdr:col>
          <xdr:colOff>715281</xdr:colOff>
          <xdr:row>77</xdr:row>
          <xdr:rowOff>51139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BaseSalarial!$B$19:$C$58" spid="_x0000_s20056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775607" y="4240627"/>
              <a:ext cx="2398031" cy="978051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846484</xdr:colOff>
      <xdr:row>0</xdr:row>
      <xdr:rowOff>73836</xdr:rowOff>
    </xdr:from>
    <xdr:to>
      <xdr:col>2</xdr:col>
      <xdr:colOff>423150</xdr:colOff>
      <xdr:row>0</xdr:row>
      <xdr:rowOff>477248</xdr:rowOff>
    </xdr:to>
    <xdr:sp macro="" textlink="">
      <xdr:nvSpPr>
        <xdr:cNvPr id="2" name="Flecha a la derecha con ban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46484" y="73836"/>
          <a:ext cx="433916" cy="403412"/>
        </a:xfrm>
        <a:prstGeom prst="stripedRightArrow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250454</xdr:colOff>
      <xdr:row>0</xdr:row>
      <xdr:rowOff>78072</xdr:rowOff>
    </xdr:from>
    <xdr:to>
      <xdr:col>1</xdr:col>
      <xdr:colOff>678021</xdr:colOff>
      <xdr:row>0</xdr:row>
      <xdr:rowOff>481484</xdr:rowOff>
    </xdr:to>
    <xdr:sp macro="" textlink="">
      <xdr:nvSpPr>
        <xdr:cNvPr id="3" name="Flecha a la derecha con ban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 flipH="1">
          <a:off x="250454" y="78072"/>
          <a:ext cx="427567" cy="403412"/>
        </a:xfrm>
        <a:prstGeom prst="stripedRightArrow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314324</xdr:colOff>
      <xdr:row>34</xdr:row>
      <xdr:rowOff>142875</xdr:rowOff>
    </xdr:from>
    <xdr:to>
      <xdr:col>2</xdr:col>
      <xdr:colOff>1381125</xdr:colOff>
      <xdr:row>36</xdr:row>
      <xdr:rowOff>209423</xdr:rowOff>
    </xdr:to>
    <xdr:sp macro="" textlink="">
      <xdr:nvSpPr>
        <xdr:cNvPr id="4" name="Llamada rectangula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114424" y="7432675"/>
          <a:ext cx="2349501" cy="422148"/>
        </a:xfrm>
        <a:prstGeom prst="wedgeRectCallout">
          <a:avLst>
            <a:gd name="adj1" fmla="val -33629"/>
            <a:gd name="adj2" fmla="val 104969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O" sz="900">
              <a:latin typeface="Arial" panose="020B0604020202020204" pitchFamily="34" charset="0"/>
              <a:cs typeface="Arial" panose="020B0604020202020204" pitchFamily="34" charset="0"/>
            </a:rPr>
            <a:t>Se diligencia por cada docente en una casilla por</a:t>
          </a:r>
          <a:r>
            <a:rPr lang="es-CO" sz="900" baseline="0">
              <a:latin typeface="Arial" panose="020B0604020202020204" pitchFamily="34" charset="0"/>
              <a:cs typeface="Arial" panose="020B0604020202020204" pitchFamily="34" charset="0"/>
            </a:rPr>
            <a:t> separado</a:t>
          </a:r>
          <a:r>
            <a:rPr lang="es-CO" sz="900">
              <a:latin typeface="Arial" panose="020B0604020202020204" pitchFamily="34" charset="0"/>
              <a:cs typeface="Arial" panose="020B0604020202020204" pitchFamily="34" charset="0"/>
            </a:rPr>
            <a:t>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867828</xdr:colOff>
      <xdr:row>0</xdr:row>
      <xdr:rowOff>52915</xdr:rowOff>
    </xdr:from>
    <xdr:to>
      <xdr:col>0</xdr:col>
      <xdr:colOff>1301744</xdr:colOff>
      <xdr:row>0</xdr:row>
      <xdr:rowOff>456327</xdr:rowOff>
    </xdr:to>
    <xdr:sp macro="" textlink="">
      <xdr:nvSpPr>
        <xdr:cNvPr id="4" name="Flecha a la derecha con ban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867828" y="52915"/>
          <a:ext cx="433916" cy="403412"/>
        </a:xfrm>
        <a:prstGeom prst="stripedRightArrow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275160</xdr:colOff>
      <xdr:row>0</xdr:row>
      <xdr:rowOff>57151</xdr:rowOff>
    </xdr:from>
    <xdr:to>
      <xdr:col>0</xdr:col>
      <xdr:colOff>702727</xdr:colOff>
      <xdr:row>0</xdr:row>
      <xdr:rowOff>460563</xdr:rowOff>
    </xdr:to>
    <xdr:sp macro="" textlink="">
      <xdr:nvSpPr>
        <xdr:cNvPr id="5" name="Flecha a la derecha con banda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 flipH="1">
          <a:off x="275160" y="57151"/>
          <a:ext cx="427567" cy="403412"/>
        </a:xfrm>
        <a:prstGeom prst="stripedRightArrow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391583</xdr:colOff>
      <xdr:row>0</xdr:row>
      <xdr:rowOff>52917</xdr:rowOff>
    </xdr:from>
    <xdr:to>
      <xdr:col>4</xdr:col>
      <xdr:colOff>643468</xdr:colOff>
      <xdr:row>0</xdr:row>
      <xdr:rowOff>465540</xdr:rowOff>
    </xdr:to>
    <xdr:sp macro="" textlink="">
      <xdr:nvSpPr>
        <xdr:cNvPr id="6" name="Llamada rectangular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968500" y="52917"/>
          <a:ext cx="1924051" cy="412623"/>
        </a:xfrm>
        <a:prstGeom prst="wedgeRectCallout">
          <a:avLst>
            <a:gd name="adj1" fmla="val -33629"/>
            <a:gd name="adj2" fmla="val 104969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050">
              <a:latin typeface="Arial" panose="020B0604020202020204" pitchFamily="34" charset="0"/>
              <a:cs typeface="Arial" panose="020B0604020202020204" pitchFamily="34" charset="0"/>
            </a:rPr>
            <a:t>Aplica sólo para Posgrados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33618</xdr:colOff>
      <xdr:row>0</xdr:row>
      <xdr:rowOff>0</xdr:rowOff>
    </xdr:from>
    <xdr:to>
      <xdr:col>2</xdr:col>
      <xdr:colOff>33617</xdr:colOff>
      <xdr:row>5</xdr:row>
      <xdr:rowOff>444500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515471</xdr:colOff>
      <xdr:row>2</xdr:row>
      <xdr:rowOff>89648</xdr:rowOff>
    </xdr:from>
    <xdr:to>
      <xdr:col>1</xdr:col>
      <xdr:colOff>1255059</xdr:colOff>
      <xdr:row>3</xdr:row>
      <xdr:rowOff>257737</xdr:rowOff>
    </xdr:to>
    <xdr:sp macro="" textlink="$AB$43">
      <xdr:nvSpPr>
        <xdr:cNvPr id="6" name="Elips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098177" y="649942"/>
          <a:ext cx="739588" cy="448236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C440094-4169-4D63-8C59-9E54ED6AF639}" type="TxLink">
            <a:rPr lang="en-US" sz="1000" b="1" i="0" u="none" strike="noStrike">
              <a:solidFill>
                <a:schemeClr val="accent6">
                  <a:lumMod val="50000"/>
                </a:schemeClr>
              </a:solidFill>
              <a:latin typeface="Tahoma"/>
              <a:ea typeface="Tahoma"/>
              <a:cs typeface="Tahoma"/>
            </a:rPr>
            <a:pPr algn="ctr"/>
            <a:t>-1292%</a:t>
          </a:fld>
          <a:endParaRPr lang="es-CO" sz="60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1006041</xdr:colOff>
      <xdr:row>3</xdr:row>
      <xdr:rowOff>160739</xdr:rowOff>
    </xdr:from>
    <xdr:to>
      <xdr:col>1</xdr:col>
      <xdr:colOff>1439957</xdr:colOff>
      <xdr:row>5</xdr:row>
      <xdr:rowOff>3857</xdr:rowOff>
    </xdr:to>
    <xdr:sp macro="" textlink="">
      <xdr:nvSpPr>
        <xdr:cNvPr id="5" name="Flecha a la derecha con banda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588747" y="1001180"/>
          <a:ext cx="433916" cy="403412"/>
        </a:xfrm>
        <a:prstGeom prst="stripedRightArrow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324970</xdr:colOff>
      <xdr:row>3</xdr:row>
      <xdr:rowOff>156883</xdr:rowOff>
    </xdr:from>
    <xdr:to>
      <xdr:col>1</xdr:col>
      <xdr:colOff>752537</xdr:colOff>
      <xdr:row>5</xdr:row>
      <xdr:rowOff>1</xdr:rowOff>
    </xdr:to>
    <xdr:sp macro="" textlink="">
      <xdr:nvSpPr>
        <xdr:cNvPr id="7" name="Flecha a la derecha con banda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 flipH="1">
          <a:off x="907676" y="997324"/>
          <a:ext cx="427567" cy="403412"/>
        </a:xfrm>
        <a:prstGeom prst="stripedRightArrow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11206</xdr:rowOff>
    </xdr:from>
    <xdr:to>
      <xdr:col>2</xdr:col>
      <xdr:colOff>55406</xdr:colOff>
      <xdr:row>5</xdr:row>
      <xdr:rowOff>455706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526676</xdr:colOff>
      <xdr:row>2</xdr:row>
      <xdr:rowOff>89647</xdr:rowOff>
    </xdr:from>
    <xdr:to>
      <xdr:col>1</xdr:col>
      <xdr:colOff>1266264</xdr:colOff>
      <xdr:row>3</xdr:row>
      <xdr:rowOff>257736</xdr:rowOff>
    </xdr:to>
    <xdr:sp macro="" textlink="$Z$31">
      <xdr:nvSpPr>
        <xdr:cNvPr id="3" name="Elips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109382" y="649941"/>
          <a:ext cx="739588" cy="448236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C440094-4169-4D63-8C59-9E54ED6AF639}" type="TxLink">
            <a:rPr lang="en-US" sz="1000" b="1" i="0" u="none" strike="noStrike">
              <a:solidFill>
                <a:schemeClr val="accent6">
                  <a:lumMod val="50000"/>
                </a:schemeClr>
              </a:solidFill>
              <a:latin typeface="Tahoma"/>
              <a:ea typeface="Tahoma"/>
              <a:cs typeface="Tahoma"/>
            </a:rPr>
            <a:pPr algn="ctr"/>
            <a:t> </a:t>
          </a:fld>
          <a:endParaRPr lang="es-CO" sz="60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1006041</xdr:colOff>
      <xdr:row>3</xdr:row>
      <xdr:rowOff>160737</xdr:rowOff>
    </xdr:from>
    <xdr:to>
      <xdr:col>1</xdr:col>
      <xdr:colOff>1439957</xdr:colOff>
      <xdr:row>5</xdr:row>
      <xdr:rowOff>3855</xdr:rowOff>
    </xdr:to>
    <xdr:sp macro="" textlink="">
      <xdr:nvSpPr>
        <xdr:cNvPr id="4" name="Flecha a la derecha con ban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588747" y="1001178"/>
          <a:ext cx="433916" cy="403412"/>
        </a:xfrm>
        <a:prstGeom prst="stripedRightArrow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324970</xdr:colOff>
      <xdr:row>3</xdr:row>
      <xdr:rowOff>156881</xdr:rowOff>
    </xdr:from>
    <xdr:to>
      <xdr:col>1</xdr:col>
      <xdr:colOff>752537</xdr:colOff>
      <xdr:row>4</xdr:row>
      <xdr:rowOff>280146</xdr:rowOff>
    </xdr:to>
    <xdr:sp macro="" textlink="">
      <xdr:nvSpPr>
        <xdr:cNvPr id="5" name="Flecha a la derecha con ban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 flipH="1">
          <a:off x="907676" y="997322"/>
          <a:ext cx="427567" cy="403412"/>
        </a:xfrm>
        <a:prstGeom prst="stripedRightArrow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33617</xdr:colOff>
      <xdr:row>0</xdr:row>
      <xdr:rowOff>0</xdr:rowOff>
    </xdr:from>
    <xdr:to>
      <xdr:col>2</xdr:col>
      <xdr:colOff>32994</xdr:colOff>
      <xdr:row>5</xdr:row>
      <xdr:rowOff>444500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520452</xdr:colOff>
      <xdr:row>2</xdr:row>
      <xdr:rowOff>74084</xdr:rowOff>
    </xdr:from>
    <xdr:to>
      <xdr:col>1</xdr:col>
      <xdr:colOff>1260040</xdr:colOff>
      <xdr:row>3</xdr:row>
      <xdr:rowOff>247153</xdr:rowOff>
    </xdr:to>
    <xdr:sp macro="" textlink="#REF!">
      <xdr:nvSpPr>
        <xdr:cNvPr id="3" name="Elips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103158" y="634378"/>
          <a:ext cx="739588" cy="453216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C440094-4169-4D63-8C59-9E54ED6AF639}" type="TxLink">
            <a:rPr lang="en-US" sz="1000" b="1" i="0" u="none" strike="noStrike">
              <a:solidFill>
                <a:schemeClr val="accent6">
                  <a:lumMod val="50000"/>
                </a:schemeClr>
              </a:solidFill>
              <a:latin typeface="Tahoma"/>
              <a:ea typeface="Tahoma"/>
              <a:cs typeface="Tahoma"/>
            </a:rPr>
            <a:pPr algn="ctr"/>
            <a:t>0%</a:t>
          </a:fld>
          <a:endParaRPr lang="es-CO" sz="60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1006042</xdr:colOff>
      <xdr:row>3</xdr:row>
      <xdr:rowOff>160738</xdr:rowOff>
    </xdr:from>
    <xdr:to>
      <xdr:col>1</xdr:col>
      <xdr:colOff>1439958</xdr:colOff>
      <xdr:row>5</xdr:row>
      <xdr:rowOff>3856</xdr:rowOff>
    </xdr:to>
    <xdr:sp macro="" textlink="">
      <xdr:nvSpPr>
        <xdr:cNvPr id="4" name="Flecha a la derecha con ban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588748" y="1001179"/>
          <a:ext cx="433916" cy="403412"/>
        </a:xfrm>
        <a:prstGeom prst="stripedRightArrow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324971</xdr:colOff>
      <xdr:row>3</xdr:row>
      <xdr:rowOff>156882</xdr:rowOff>
    </xdr:from>
    <xdr:to>
      <xdr:col>1</xdr:col>
      <xdr:colOff>752538</xdr:colOff>
      <xdr:row>5</xdr:row>
      <xdr:rowOff>0</xdr:rowOff>
    </xdr:to>
    <xdr:sp macro="" textlink="">
      <xdr:nvSpPr>
        <xdr:cNvPr id="5" name="Flecha a la derecha con ban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 flipH="1">
          <a:off x="907677" y="997323"/>
          <a:ext cx="427567" cy="403412"/>
        </a:xfrm>
        <a:prstGeom prst="stripedRightArrow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89646</xdr:colOff>
      <xdr:row>5</xdr:row>
      <xdr:rowOff>470647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526676</xdr:colOff>
      <xdr:row>2</xdr:row>
      <xdr:rowOff>67235</xdr:rowOff>
    </xdr:from>
    <xdr:to>
      <xdr:col>1</xdr:col>
      <xdr:colOff>1266264</xdr:colOff>
      <xdr:row>3</xdr:row>
      <xdr:rowOff>240304</xdr:rowOff>
    </xdr:to>
    <xdr:sp macro="" textlink="#REF!">
      <xdr:nvSpPr>
        <xdr:cNvPr id="3" name="Elips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109382" y="627529"/>
          <a:ext cx="739588" cy="453216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C440094-4169-4D63-8C59-9E54ED6AF639}" type="TxLink">
            <a:rPr lang="en-US" sz="1000" b="1" i="0" u="none" strike="noStrike">
              <a:solidFill>
                <a:schemeClr val="accent6">
                  <a:lumMod val="50000"/>
                </a:schemeClr>
              </a:solidFill>
              <a:latin typeface="Tahoma"/>
              <a:ea typeface="Tahoma"/>
              <a:cs typeface="Tahoma"/>
            </a:rPr>
            <a:pPr algn="ctr"/>
            <a:t>#¡DIV/0!</a:t>
          </a:fld>
          <a:endParaRPr lang="es-CO" sz="60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1006042</xdr:colOff>
      <xdr:row>3</xdr:row>
      <xdr:rowOff>160739</xdr:rowOff>
    </xdr:from>
    <xdr:to>
      <xdr:col>1</xdr:col>
      <xdr:colOff>1439958</xdr:colOff>
      <xdr:row>5</xdr:row>
      <xdr:rowOff>3857</xdr:rowOff>
    </xdr:to>
    <xdr:sp macro="" textlink="">
      <xdr:nvSpPr>
        <xdr:cNvPr id="4" name="Flecha a la derecha con ban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588748" y="1001180"/>
          <a:ext cx="433916" cy="403412"/>
        </a:xfrm>
        <a:prstGeom prst="stripedRightArrow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324971</xdr:colOff>
      <xdr:row>3</xdr:row>
      <xdr:rowOff>156883</xdr:rowOff>
    </xdr:from>
    <xdr:to>
      <xdr:col>1</xdr:col>
      <xdr:colOff>752538</xdr:colOff>
      <xdr:row>5</xdr:row>
      <xdr:rowOff>1</xdr:rowOff>
    </xdr:to>
    <xdr:sp macro="" textlink="">
      <xdr:nvSpPr>
        <xdr:cNvPr id="5" name="Flecha a la derecha con ban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 flipH="1">
          <a:off x="907677" y="997324"/>
          <a:ext cx="427567" cy="403412"/>
        </a:xfrm>
        <a:prstGeom prst="stripedRightArrow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1434348</xdr:colOff>
      <xdr:row>0</xdr:row>
      <xdr:rowOff>60386</xdr:rowOff>
    </xdr:from>
    <xdr:to>
      <xdr:col>1</xdr:col>
      <xdr:colOff>1868264</xdr:colOff>
      <xdr:row>0</xdr:row>
      <xdr:rowOff>463798</xdr:rowOff>
    </xdr:to>
    <xdr:sp macro="" textlink="">
      <xdr:nvSpPr>
        <xdr:cNvPr id="3" name="Flecha a la derecha con ban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1815348" y="60386"/>
          <a:ext cx="433916" cy="403412"/>
        </a:xfrm>
        <a:prstGeom prst="stripedRightArrow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753277</xdr:colOff>
      <xdr:row>0</xdr:row>
      <xdr:rowOff>56530</xdr:rowOff>
    </xdr:from>
    <xdr:to>
      <xdr:col>1</xdr:col>
      <xdr:colOff>1180844</xdr:colOff>
      <xdr:row>0</xdr:row>
      <xdr:rowOff>459942</xdr:rowOff>
    </xdr:to>
    <xdr:sp macro="" textlink="">
      <xdr:nvSpPr>
        <xdr:cNvPr id="4" name="Flecha a la derecha con ban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 flipH="1">
          <a:off x="1134277" y="56530"/>
          <a:ext cx="427567" cy="403412"/>
        </a:xfrm>
        <a:prstGeom prst="stripedRightArrow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1</xdr:row>
      <xdr:rowOff>171450</xdr:rowOff>
    </xdr:from>
    <xdr:to>
      <xdr:col>2</xdr:col>
      <xdr:colOff>103717</xdr:colOff>
      <xdr:row>3</xdr:row>
      <xdr:rowOff>70037</xdr:rowOff>
    </xdr:to>
    <xdr:sp macro="" textlink="">
      <xdr:nvSpPr>
        <xdr:cNvPr id="2" name="Flecha a la derecha con ban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 flipH="1">
          <a:off x="733425" y="333375"/>
          <a:ext cx="427567" cy="422462"/>
        </a:xfrm>
        <a:prstGeom prst="stripedRightArrow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885266</xdr:colOff>
      <xdr:row>4</xdr:row>
      <xdr:rowOff>129987</xdr:rowOff>
    </xdr:from>
    <xdr:to>
      <xdr:col>11</xdr:col>
      <xdr:colOff>156883</xdr:colOff>
      <xdr:row>20</xdr:row>
      <xdr:rowOff>145674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9"/>
  <sheetViews>
    <sheetView showGridLines="0" zoomScale="130" zoomScaleNormal="130" workbookViewId="0">
      <pane ySplit="2" topLeftCell="A9" activePane="bottomLeft" state="frozen"/>
      <selection activeCell="H1" sqref="H1"/>
      <selection pane="bottomLeft" activeCell="D12" sqref="D12"/>
    </sheetView>
  </sheetViews>
  <sheetFormatPr baseColWidth="10" defaultColWidth="11.26953125" defaultRowHeight="10" x14ac:dyDescent="0.2"/>
  <cols>
    <col min="1" max="1" width="19.1796875" style="293" customWidth="1"/>
    <col min="2" max="3" width="11.26953125" style="293"/>
    <col min="4" max="4" width="9" style="293" customWidth="1"/>
    <col min="5" max="5" width="7" style="293" customWidth="1"/>
    <col min="6" max="6" width="11.26953125" style="293"/>
    <col min="7" max="7" width="16.54296875" style="293" customWidth="1"/>
    <col min="8" max="8" width="11.26953125" style="293"/>
    <col min="9" max="11" width="38.90625" style="293" customWidth="1"/>
    <col min="12" max="12" width="43" style="293" customWidth="1"/>
    <col min="13" max="15" width="11.26953125" style="293"/>
    <col min="16" max="16" width="36.54296875" style="293" customWidth="1"/>
    <col min="17" max="17" width="27.81640625" style="293" customWidth="1"/>
    <col min="18" max="16384" width="11.26953125" style="293"/>
  </cols>
  <sheetData>
    <row r="1" spans="1:17" x14ac:dyDescent="0.2">
      <c r="G1" s="293" t="s">
        <v>0</v>
      </c>
    </row>
    <row r="2" spans="1:17" ht="20.5" x14ac:dyDescent="0.25">
      <c r="B2" s="293" t="s">
        <v>1</v>
      </c>
      <c r="D2" s="294" t="s">
        <v>2</v>
      </c>
      <c r="E2" s="294" t="s">
        <v>3</v>
      </c>
      <c r="F2" s="294" t="s">
        <v>4</v>
      </c>
      <c r="G2" s="295" t="s">
        <v>1</v>
      </c>
      <c r="H2" s="295"/>
      <c r="I2" s="296" t="s">
        <v>5</v>
      </c>
      <c r="J2" s="296" t="s">
        <v>916</v>
      </c>
      <c r="K2" s="296" t="s">
        <v>750</v>
      </c>
      <c r="L2" s="293" t="s">
        <v>544</v>
      </c>
      <c r="M2" s="296" t="s">
        <v>6</v>
      </c>
      <c r="O2" s="296" t="s">
        <v>7</v>
      </c>
      <c r="Q2" s="296" t="s">
        <v>8</v>
      </c>
    </row>
    <row r="3" spans="1:17" ht="20" x14ac:dyDescent="0.2">
      <c r="A3" s="293" t="s">
        <v>1</v>
      </c>
      <c r="B3" s="293" t="s">
        <v>9</v>
      </c>
      <c r="C3" s="293" t="s">
        <v>1</v>
      </c>
      <c r="D3" s="293">
        <v>1</v>
      </c>
      <c r="E3" s="293" t="s">
        <v>10</v>
      </c>
      <c r="F3" s="293">
        <v>2019</v>
      </c>
      <c r="G3" s="295" t="s">
        <v>11</v>
      </c>
      <c r="I3" s="297" t="s">
        <v>1</v>
      </c>
      <c r="J3" s="297"/>
      <c r="K3" s="297"/>
      <c r="M3" s="293" t="s">
        <v>1</v>
      </c>
      <c r="O3" s="293" t="s">
        <v>1</v>
      </c>
      <c r="Q3" s="293" t="s">
        <v>1</v>
      </c>
    </row>
    <row r="4" spans="1:17" ht="30" x14ac:dyDescent="0.2">
      <c r="A4" s="293" t="s">
        <v>12</v>
      </c>
      <c r="B4" s="293" t="s">
        <v>13</v>
      </c>
      <c r="C4" s="293" t="s">
        <v>14</v>
      </c>
      <c r="D4" s="293">
        <v>2</v>
      </c>
      <c r="E4" s="293" t="s">
        <v>15</v>
      </c>
      <c r="F4" s="293">
        <v>2020</v>
      </c>
      <c r="G4" s="295" t="s">
        <v>16</v>
      </c>
      <c r="I4" s="295" t="s">
        <v>917</v>
      </c>
      <c r="J4" s="298" t="s">
        <v>17</v>
      </c>
      <c r="K4" s="299" t="s">
        <v>741</v>
      </c>
      <c r="L4" s="299" t="s">
        <v>747</v>
      </c>
      <c r="M4" s="293" t="s">
        <v>18</v>
      </c>
      <c r="O4" s="293" t="s">
        <v>19</v>
      </c>
      <c r="Q4" s="293" t="s">
        <v>955</v>
      </c>
    </row>
    <row r="5" spans="1:17" ht="40" x14ac:dyDescent="0.2">
      <c r="A5" s="293" t="s">
        <v>21</v>
      </c>
      <c r="B5" s="293" t="s">
        <v>22</v>
      </c>
      <c r="C5" s="293" t="s">
        <v>23</v>
      </c>
      <c r="D5" s="293">
        <v>3</v>
      </c>
      <c r="E5" s="293" t="s">
        <v>24</v>
      </c>
      <c r="F5" s="293">
        <v>2021</v>
      </c>
      <c r="G5" s="295" t="s">
        <v>25</v>
      </c>
      <c r="I5" s="293" t="s">
        <v>918</v>
      </c>
      <c r="J5" s="298"/>
      <c r="K5" s="299" t="s">
        <v>742</v>
      </c>
      <c r="L5" s="299" t="s">
        <v>747</v>
      </c>
      <c r="M5" s="293" t="s">
        <v>26</v>
      </c>
      <c r="O5" s="293" t="s">
        <v>27</v>
      </c>
      <c r="Q5" s="293" t="s">
        <v>145</v>
      </c>
    </row>
    <row r="6" spans="1:17" ht="50" x14ac:dyDescent="0.2">
      <c r="A6" s="293" t="s">
        <v>29</v>
      </c>
      <c r="B6" s="293" t="s">
        <v>9</v>
      </c>
      <c r="C6" s="293" t="s">
        <v>30</v>
      </c>
      <c r="D6" s="293">
        <v>4</v>
      </c>
      <c r="E6" s="293" t="s">
        <v>31</v>
      </c>
      <c r="F6" s="293">
        <v>2022</v>
      </c>
      <c r="G6" s="295" t="s">
        <v>32</v>
      </c>
      <c r="I6" s="293" t="s">
        <v>919</v>
      </c>
      <c r="J6" s="298"/>
      <c r="K6" s="299" t="s">
        <v>743</v>
      </c>
      <c r="L6" s="299" t="s">
        <v>747</v>
      </c>
      <c r="O6" s="293" t="s">
        <v>33</v>
      </c>
      <c r="Q6" s="293" t="s">
        <v>154</v>
      </c>
    </row>
    <row r="7" spans="1:17" ht="60" x14ac:dyDescent="0.2">
      <c r="A7" s="293" t="s">
        <v>35</v>
      </c>
      <c r="B7" s="293" t="s">
        <v>13</v>
      </c>
      <c r="C7" s="293" t="s">
        <v>36</v>
      </c>
      <c r="D7" s="293">
        <v>5</v>
      </c>
      <c r="E7" s="293" t="s">
        <v>37</v>
      </c>
      <c r="F7" s="293">
        <v>2023</v>
      </c>
      <c r="G7" s="295" t="s">
        <v>38</v>
      </c>
      <c r="I7" s="293" t="s">
        <v>920</v>
      </c>
      <c r="J7" s="298"/>
      <c r="K7" s="299" t="s">
        <v>953</v>
      </c>
      <c r="L7" s="299" t="s">
        <v>954</v>
      </c>
      <c r="O7" s="293" t="s">
        <v>39</v>
      </c>
      <c r="Q7" s="293" t="s">
        <v>163</v>
      </c>
    </row>
    <row r="8" spans="1:17" ht="30" x14ac:dyDescent="0.2">
      <c r="B8" s="293" t="s">
        <v>948</v>
      </c>
      <c r="C8" s="293" t="s">
        <v>41</v>
      </c>
      <c r="D8" s="293">
        <v>6</v>
      </c>
      <c r="E8" s="293" t="s">
        <v>42</v>
      </c>
      <c r="G8" s="295" t="s">
        <v>43</v>
      </c>
      <c r="I8" s="293" t="s">
        <v>921</v>
      </c>
      <c r="J8" s="298"/>
      <c r="K8" s="299" t="s">
        <v>753</v>
      </c>
      <c r="L8" s="299" t="s">
        <v>748</v>
      </c>
      <c r="O8" s="293" t="s">
        <v>44</v>
      </c>
      <c r="Q8" s="293" t="s">
        <v>115</v>
      </c>
    </row>
    <row r="9" spans="1:17" ht="30" x14ac:dyDescent="0.2">
      <c r="B9" s="293" t="s">
        <v>949</v>
      </c>
      <c r="C9" s="293" t="s">
        <v>46</v>
      </c>
      <c r="D9" s="293">
        <v>7</v>
      </c>
      <c r="E9" s="293" t="s">
        <v>47</v>
      </c>
      <c r="G9" s="295" t="s">
        <v>48</v>
      </c>
      <c r="I9" s="293" t="s">
        <v>922</v>
      </c>
      <c r="J9" s="298"/>
      <c r="K9" s="299" t="s">
        <v>744</v>
      </c>
      <c r="L9" s="299" t="s">
        <v>748</v>
      </c>
      <c r="O9" s="293" t="s">
        <v>49</v>
      </c>
      <c r="Q9" s="293" t="s">
        <v>124</v>
      </c>
    </row>
    <row r="10" spans="1:17" ht="30" x14ac:dyDescent="0.2">
      <c r="A10" s="293" t="s">
        <v>1</v>
      </c>
      <c r="B10" s="293" t="s">
        <v>557</v>
      </c>
      <c r="C10" s="293" t="s">
        <v>50</v>
      </c>
      <c r="D10" s="293">
        <v>8</v>
      </c>
      <c r="E10" s="293" t="s">
        <v>51</v>
      </c>
      <c r="G10" s="295" t="s">
        <v>52</v>
      </c>
      <c r="I10" s="293" t="s">
        <v>923</v>
      </c>
      <c r="J10" s="298"/>
      <c r="K10" s="299" t="s">
        <v>745</v>
      </c>
      <c r="L10" s="299" t="s">
        <v>748</v>
      </c>
      <c r="O10" s="293" t="s">
        <v>53</v>
      </c>
      <c r="Q10" s="293" t="s">
        <v>139</v>
      </c>
    </row>
    <row r="11" spans="1:17" ht="20" x14ac:dyDescent="0.2">
      <c r="A11" s="293" t="s">
        <v>21</v>
      </c>
      <c r="D11" s="293">
        <v>9</v>
      </c>
      <c r="E11" s="293" t="s">
        <v>55</v>
      </c>
      <c r="G11" s="295" t="s">
        <v>56</v>
      </c>
      <c r="I11" s="293" t="s">
        <v>924</v>
      </c>
      <c r="J11" s="298"/>
      <c r="K11" s="299" t="s">
        <v>746</v>
      </c>
      <c r="L11" s="299" t="s">
        <v>749</v>
      </c>
      <c r="O11" s="293" t="s">
        <v>57</v>
      </c>
      <c r="Q11" s="293" t="s">
        <v>202</v>
      </c>
    </row>
    <row r="12" spans="1:17" ht="30" x14ac:dyDescent="0.2">
      <c r="A12" s="293" t="s">
        <v>29</v>
      </c>
      <c r="C12" s="293" t="s">
        <v>1</v>
      </c>
      <c r="D12" s="293">
        <v>10</v>
      </c>
      <c r="E12" s="293" t="s">
        <v>59</v>
      </c>
      <c r="G12" s="295" t="s">
        <v>60</v>
      </c>
      <c r="I12" s="293" t="s">
        <v>930</v>
      </c>
      <c r="J12" s="298"/>
      <c r="K12" s="299" t="s">
        <v>754</v>
      </c>
      <c r="L12" s="299" t="s">
        <v>755</v>
      </c>
      <c r="O12" s="293" t="s">
        <v>61</v>
      </c>
      <c r="Q12" s="293" t="s">
        <v>160</v>
      </c>
    </row>
    <row r="13" spans="1:17" ht="30" x14ac:dyDescent="0.2">
      <c r="A13" s="293" t="s">
        <v>35</v>
      </c>
      <c r="C13" s="293" t="s">
        <v>63</v>
      </c>
      <c r="D13" s="293">
        <v>11</v>
      </c>
      <c r="E13" s="293" t="s">
        <v>64</v>
      </c>
      <c r="G13" s="295" t="s">
        <v>65</v>
      </c>
      <c r="I13" s="293" t="s">
        <v>925</v>
      </c>
      <c r="J13" s="298" t="s">
        <v>763</v>
      </c>
      <c r="K13" s="299" t="s">
        <v>757</v>
      </c>
      <c r="L13" s="299" t="s">
        <v>766</v>
      </c>
      <c r="O13" s="293" t="s">
        <v>66</v>
      </c>
      <c r="Q13" s="293" t="s">
        <v>67</v>
      </c>
    </row>
    <row r="14" spans="1:17" ht="20" x14ac:dyDescent="0.2">
      <c r="C14" s="293" t="s">
        <v>68</v>
      </c>
      <c r="D14" s="293">
        <v>12</v>
      </c>
      <c r="E14" s="293" t="s">
        <v>69</v>
      </c>
      <c r="G14" s="293" t="s">
        <v>70</v>
      </c>
      <c r="I14" s="293" t="s">
        <v>926</v>
      </c>
      <c r="J14" s="298"/>
      <c r="K14" s="299" t="s">
        <v>756</v>
      </c>
      <c r="L14" s="299" t="s">
        <v>766</v>
      </c>
      <c r="O14" s="293" t="s">
        <v>71</v>
      </c>
      <c r="Q14" s="293" t="s">
        <v>107</v>
      </c>
    </row>
    <row r="15" spans="1:17" ht="20" x14ac:dyDescent="0.2">
      <c r="A15" s="293" t="s">
        <v>1</v>
      </c>
      <c r="C15" s="293" t="s">
        <v>73</v>
      </c>
      <c r="D15" s="293">
        <v>13</v>
      </c>
      <c r="G15" s="293" t="s">
        <v>74</v>
      </c>
      <c r="I15" s="293" t="s">
        <v>927</v>
      </c>
      <c r="J15" s="298"/>
      <c r="K15" s="299" t="s">
        <v>758</v>
      </c>
      <c r="L15" s="299" t="s">
        <v>766</v>
      </c>
      <c r="O15" s="293" t="s">
        <v>75</v>
      </c>
      <c r="Q15" s="293" t="s">
        <v>45</v>
      </c>
    </row>
    <row r="16" spans="1:17" ht="30" x14ac:dyDescent="0.2">
      <c r="A16" s="293" t="s">
        <v>77</v>
      </c>
      <c r="D16" s="293">
        <v>14</v>
      </c>
      <c r="G16" s="293" t="s">
        <v>78</v>
      </c>
      <c r="I16" s="293" t="s">
        <v>928</v>
      </c>
      <c r="J16" s="298"/>
      <c r="K16" s="299" t="s">
        <v>760</v>
      </c>
      <c r="L16" s="299" t="s">
        <v>767</v>
      </c>
      <c r="O16" s="293" t="s">
        <v>79</v>
      </c>
      <c r="Q16" s="293" t="s">
        <v>178</v>
      </c>
    </row>
    <row r="17" spans="1:17" ht="20" x14ac:dyDescent="0.2">
      <c r="A17" s="293" t="s">
        <v>81</v>
      </c>
      <c r="D17" s="293">
        <v>15</v>
      </c>
      <c r="G17" s="293" t="s">
        <v>82</v>
      </c>
      <c r="I17" s="293" t="s">
        <v>929</v>
      </c>
      <c r="J17" s="298"/>
      <c r="K17" s="299" t="s">
        <v>759</v>
      </c>
      <c r="L17" s="299" t="s">
        <v>767</v>
      </c>
      <c r="O17" s="293" t="s">
        <v>83</v>
      </c>
      <c r="Q17" s="293" t="s">
        <v>20</v>
      </c>
    </row>
    <row r="18" spans="1:17" ht="30" x14ac:dyDescent="0.2">
      <c r="D18" s="293">
        <v>16</v>
      </c>
      <c r="G18" s="293" t="s">
        <v>85</v>
      </c>
      <c r="J18" s="298"/>
      <c r="K18" s="299" t="s">
        <v>761</v>
      </c>
      <c r="L18" s="299" t="s">
        <v>767</v>
      </c>
      <c r="O18" s="293" t="s">
        <v>86</v>
      </c>
      <c r="Q18" s="293" t="s">
        <v>118</v>
      </c>
    </row>
    <row r="19" spans="1:17" ht="20" x14ac:dyDescent="0.2">
      <c r="A19" s="293" t="s">
        <v>88</v>
      </c>
      <c r="D19" s="293">
        <v>17</v>
      </c>
      <c r="G19" s="293" t="s">
        <v>89</v>
      </c>
      <c r="J19" s="298"/>
      <c r="K19" s="299" t="s">
        <v>762</v>
      </c>
      <c r="L19" s="299" t="s">
        <v>768</v>
      </c>
      <c r="O19" s="293" t="s">
        <v>90</v>
      </c>
      <c r="Q19" s="293" t="s">
        <v>76</v>
      </c>
    </row>
    <row r="20" spans="1:17" ht="20" x14ac:dyDescent="0.2">
      <c r="A20" s="293" t="s">
        <v>92</v>
      </c>
      <c r="D20" s="293">
        <v>18</v>
      </c>
      <c r="G20" s="293" t="s">
        <v>93</v>
      </c>
      <c r="J20" s="298" t="s">
        <v>792</v>
      </c>
      <c r="K20" s="299" t="s">
        <v>772</v>
      </c>
      <c r="L20" s="299" t="s">
        <v>773</v>
      </c>
      <c r="O20" s="293" t="s">
        <v>94</v>
      </c>
      <c r="Q20" s="293" t="s">
        <v>157</v>
      </c>
    </row>
    <row r="21" spans="1:17" ht="30" x14ac:dyDescent="0.2">
      <c r="A21" s="293" t="s">
        <v>96</v>
      </c>
      <c r="D21" s="293">
        <v>19</v>
      </c>
      <c r="G21" s="293" t="s">
        <v>97</v>
      </c>
      <c r="J21" s="298"/>
      <c r="K21" s="299" t="s">
        <v>801</v>
      </c>
      <c r="L21" s="299" t="s">
        <v>769</v>
      </c>
      <c r="O21" s="293" t="s">
        <v>98</v>
      </c>
      <c r="Q21" s="293" t="s">
        <v>72</v>
      </c>
    </row>
    <row r="22" spans="1:17" ht="30" x14ac:dyDescent="0.2">
      <c r="A22" s="293" t="s">
        <v>100</v>
      </c>
      <c r="D22" s="293">
        <v>20</v>
      </c>
      <c r="G22" s="293" t="s">
        <v>101</v>
      </c>
      <c r="J22" s="298"/>
      <c r="K22" s="299" t="s">
        <v>802</v>
      </c>
      <c r="L22" s="299" t="s">
        <v>769</v>
      </c>
      <c r="O22" s="293" t="s">
        <v>102</v>
      </c>
      <c r="Q22" s="293" t="s">
        <v>190</v>
      </c>
    </row>
    <row r="23" spans="1:17" ht="30" x14ac:dyDescent="0.2">
      <c r="A23" s="293" t="s">
        <v>104</v>
      </c>
      <c r="D23" s="293">
        <v>21</v>
      </c>
      <c r="G23" s="293" t="s">
        <v>105</v>
      </c>
      <c r="J23" s="298"/>
      <c r="K23" s="299" t="s">
        <v>803</v>
      </c>
      <c r="L23" s="299" t="s">
        <v>769</v>
      </c>
      <c r="O23" s="293" t="s">
        <v>106</v>
      </c>
      <c r="Q23" s="293" t="s">
        <v>40</v>
      </c>
    </row>
    <row r="24" spans="1:17" ht="30" x14ac:dyDescent="0.2">
      <c r="A24" s="293" t="s">
        <v>108</v>
      </c>
      <c r="D24" s="293">
        <v>22</v>
      </c>
      <c r="G24" s="293" t="s">
        <v>109</v>
      </c>
      <c r="J24" s="298"/>
      <c r="K24" s="299" t="s">
        <v>804</v>
      </c>
      <c r="L24" s="299" t="s">
        <v>769</v>
      </c>
      <c r="O24" s="293" t="s">
        <v>110</v>
      </c>
      <c r="Q24" s="293" t="s">
        <v>91</v>
      </c>
    </row>
    <row r="25" spans="1:17" ht="30" x14ac:dyDescent="0.2">
      <c r="A25" s="293" t="s">
        <v>112</v>
      </c>
      <c r="D25" s="293">
        <v>23</v>
      </c>
      <c r="G25" s="293" t="s">
        <v>113</v>
      </c>
      <c r="J25" s="298"/>
      <c r="K25" s="299" t="s">
        <v>805</v>
      </c>
      <c r="L25" s="299" t="s">
        <v>769</v>
      </c>
      <c r="O25" s="293" t="s">
        <v>114</v>
      </c>
      <c r="Q25" s="293" t="s">
        <v>166</v>
      </c>
    </row>
    <row r="26" spans="1:17" ht="30" x14ac:dyDescent="0.2">
      <c r="D26" s="293">
        <v>24</v>
      </c>
      <c r="G26" s="293" t="s">
        <v>116</v>
      </c>
      <c r="J26" s="298"/>
      <c r="K26" s="299" t="s">
        <v>806</v>
      </c>
      <c r="L26" s="299" t="s">
        <v>769</v>
      </c>
      <c r="O26" s="293" t="s">
        <v>117</v>
      </c>
      <c r="Q26" s="293" t="s">
        <v>187</v>
      </c>
    </row>
    <row r="27" spans="1:17" ht="30" x14ac:dyDescent="0.2">
      <c r="D27" s="293">
        <v>25</v>
      </c>
      <c r="G27" s="293" t="s">
        <v>119</v>
      </c>
      <c r="J27" s="298"/>
      <c r="K27" s="299" t="s">
        <v>807</v>
      </c>
      <c r="L27" s="299" t="s">
        <v>769</v>
      </c>
      <c r="O27" s="293" t="s">
        <v>120</v>
      </c>
      <c r="Q27" s="293" t="s">
        <v>34</v>
      </c>
    </row>
    <row r="28" spans="1:17" ht="20" x14ac:dyDescent="0.2">
      <c r="D28" s="293">
        <v>26</v>
      </c>
      <c r="G28" s="293" t="s">
        <v>122</v>
      </c>
      <c r="J28" s="298"/>
      <c r="K28" s="299" t="s">
        <v>791</v>
      </c>
      <c r="L28" s="299" t="s">
        <v>774</v>
      </c>
      <c r="O28" s="293" t="s">
        <v>123</v>
      </c>
      <c r="Q28" s="293" t="s">
        <v>184</v>
      </c>
    </row>
    <row r="29" spans="1:17" ht="30" x14ac:dyDescent="0.2">
      <c r="D29" s="293">
        <v>27</v>
      </c>
      <c r="G29" s="293" t="s">
        <v>125</v>
      </c>
      <c r="J29" s="298"/>
      <c r="K29" s="299" t="s">
        <v>790</v>
      </c>
      <c r="L29" s="299" t="s">
        <v>775</v>
      </c>
      <c r="O29" s="293" t="s">
        <v>126</v>
      </c>
      <c r="Q29" s="293" t="s">
        <v>136</v>
      </c>
    </row>
    <row r="30" spans="1:17" ht="20" x14ac:dyDescent="0.2">
      <c r="D30" s="293">
        <v>28</v>
      </c>
      <c r="G30" s="293" t="s">
        <v>128</v>
      </c>
      <c r="J30" s="298"/>
      <c r="K30" s="299" t="s">
        <v>789</v>
      </c>
      <c r="L30" s="299" t="s">
        <v>776</v>
      </c>
      <c r="O30" s="293" t="s">
        <v>129</v>
      </c>
      <c r="Q30" s="293" t="s">
        <v>62</v>
      </c>
    </row>
    <row r="31" spans="1:17" ht="20" x14ac:dyDescent="0.2">
      <c r="D31" s="293">
        <v>29</v>
      </c>
      <c r="G31" s="293" t="s">
        <v>131</v>
      </c>
      <c r="J31" s="298"/>
      <c r="K31" s="299" t="s">
        <v>783</v>
      </c>
      <c r="L31" s="299" t="s">
        <v>777</v>
      </c>
      <c r="O31" s="293" t="s">
        <v>132</v>
      </c>
      <c r="Q31" s="293" t="s">
        <v>111</v>
      </c>
    </row>
    <row r="32" spans="1:17" ht="30" x14ac:dyDescent="0.2">
      <c r="D32" s="293">
        <v>30</v>
      </c>
      <c r="G32" s="293" t="s">
        <v>134</v>
      </c>
      <c r="J32" s="298"/>
      <c r="K32" s="299" t="s">
        <v>788</v>
      </c>
      <c r="L32" s="299" t="s">
        <v>778</v>
      </c>
      <c r="O32" s="293" t="s">
        <v>135</v>
      </c>
      <c r="Q32" s="293" t="s">
        <v>130</v>
      </c>
    </row>
    <row r="33" spans="4:17" ht="20" x14ac:dyDescent="0.2">
      <c r="D33" s="293">
        <v>31</v>
      </c>
      <c r="G33" s="293" t="s">
        <v>137</v>
      </c>
      <c r="J33" s="298"/>
      <c r="K33" s="299" t="s">
        <v>787</v>
      </c>
      <c r="L33" s="299" t="s">
        <v>779</v>
      </c>
      <c r="O33" s="293" t="s">
        <v>138</v>
      </c>
      <c r="Q33" s="293" t="s">
        <v>172</v>
      </c>
    </row>
    <row r="34" spans="4:17" ht="20" x14ac:dyDescent="0.2">
      <c r="G34" s="293" t="s">
        <v>140</v>
      </c>
      <c r="J34" s="298"/>
      <c r="K34" s="299" t="s">
        <v>786</v>
      </c>
      <c r="L34" s="299" t="s">
        <v>780</v>
      </c>
      <c r="O34" s="293" t="s">
        <v>141</v>
      </c>
      <c r="Q34" s="293" t="s">
        <v>121</v>
      </c>
    </row>
    <row r="35" spans="4:17" ht="30" x14ac:dyDescent="0.2">
      <c r="G35" s="293" t="s">
        <v>143</v>
      </c>
      <c r="J35" s="298"/>
      <c r="K35" s="299" t="s">
        <v>785</v>
      </c>
      <c r="L35" s="299" t="s">
        <v>781</v>
      </c>
      <c r="O35" s="293" t="s">
        <v>144</v>
      </c>
      <c r="Q35" s="293" t="s">
        <v>133</v>
      </c>
    </row>
    <row r="36" spans="4:17" ht="20" x14ac:dyDescent="0.2">
      <c r="G36" s="293" t="s">
        <v>146</v>
      </c>
      <c r="J36" s="298"/>
      <c r="K36" s="299" t="s">
        <v>784</v>
      </c>
      <c r="L36" s="299" t="s">
        <v>782</v>
      </c>
      <c r="O36" s="293" t="s">
        <v>147</v>
      </c>
      <c r="Q36" s="293" t="s">
        <v>87</v>
      </c>
    </row>
    <row r="37" spans="4:17" ht="30" x14ac:dyDescent="0.2">
      <c r="G37" s="293" t="s">
        <v>149</v>
      </c>
      <c r="J37" s="298"/>
      <c r="K37" s="299" t="s">
        <v>764</v>
      </c>
      <c r="L37" s="299" t="s">
        <v>770</v>
      </c>
      <c r="O37" s="293" t="s">
        <v>150</v>
      </c>
      <c r="Q37" s="293" t="s">
        <v>175</v>
      </c>
    </row>
    <row r="38" spans="4:17" ht="30" x14ac:dyDescent="0.2">
      <c r="G38" s="293" t="s">
        <v>152</v>
      </c>
      <c r="J38" s="298"/>
      <c r="K38" s="299" t="s">
        <v>765</v>
      </c>
      <c r="L38" s="299" t="s">
        <v>771</v>
      </c>
      <c r="O38" s="293" t="s">
        <v>153</v>
      </c>
      <c r="Q38" s="293" t="s">
        <v>199</v>
      </c>
    </row>
    <row r="39" spans="4:17" ht="20" x14ac:dyDescent="0.2">
      <c r="G39" s="293" t="s">
        <v>155</v>
      </c>
      <c r="J39" s="298" t="s">
        <v>808</v>
      </c>
      <c r="K39" s="299" t="s">
        <v>793</v>
      </c>
      <c r="L39" s="299" t="s">
        <v>797</v>
      </c>
      <c r="O39" s="293" t="s">
        <v>156</v>
      </c>
      <c r="Q39" s="293" t="s">
        <v>99</v>
      </c>
    </row>
    <row r="40" spans="4:17" ht="20" x14ac:dyDescent="0.2">
      <c r="G40" s="293" t="s">
        <v>158</v>
      </c>
      <c r="J40" s="298"/>
      <c r="K40" s="299" t="s">
        <v>794</v>
      </c>
      <c r="L40" s="299" t="s">
        <v>797</v>
      </c>
      <c r="O40" s="293" t="s">
        <v>159</v>
      </c>
      <c r="Q40" s="293" t="s">
        <v>169</v>
      </c>
    </row>
    <row r="41" spans="4:17" ht="20" x14ac:dyDescent="0.2">
      <c r="G41" s="293" t="s">
        <v>161</v>
      </c>
      <c r="J41" s="298"/>
      <c r="K41" s="299" t="s">
        <v>795</v>
      </c>
      <c r="L41" s="299" t="s">
        <v>797</v>
      </c>
      <c r="O41" s="293" t="s">
        <v>162</v>
      </c>
      <c r="Q41" s="293" t="s">
        <v>148</v>
      </c>
    </row>
    <row r="42" spans="4:17" ht="50" x14ac:dyDescent="0.2">
      <c r="G42" s="293" t="s">
        <v>164</v>
      </c>
      <c r="J42" s="298"/>
      <c r="K42" s="299" t="s">
        <v>796</v>
      </c>
      <c r="L42" s="299" t="s">
        <v>798</v>
      </c>
      <c r="O42" s="293" t="s">
        <v>165</v>
      </c>
      <c r="Q42" s="293" t="s">
        <v>80</v>
      </c>
    </row>
    <row r="43" spans="4:17" ht="60" x14ac:dyDescent="0.2">
      <c r="G43" s="293" t="s">
        <v>167</v>
      </c>
      <c r="J43" s="298"/>
      <c r="K43" s="299" t="s">
        <v>809</v>
      </c>
      <c r="L43" s="299" t="s">
        <v>799</v>
      </c>
      <c r="O43" s="293" t="s">
        <v>168</v>
      </c>
      <c r="Q43" s="293" t="s">
        <v>193</v>
      </c>
    </row>
    <row r="44" spans="4:17" ht="40" x14ac:dyDescent="0.2">
      <c r="G44" s="293" t="s">
        <v>170</v>
      </c>
      <c r="J44" s="298"/>
      <c r="K44" s="299" t="s">
        <v>810</v>
      </c>
      <c r="L44" s="299" t="s">
        <v>800</v>
      </c>
      <c r="O44" s="293" t="s">
        <v>171</v>
      </c>
      <c r="Q44" s="293" t="s">
        <v>95</v>
      </c>
    </row>
    <row r="45" spans="4:17" ht="30" x14ac:dyDescent="0.2">
      <c r="G45" s="293" t="s">
        <v>173</v>
      </c>
      <c r="J45" s="298" t="s">
        <v>821</v>
      </c>
      <c r="K45" s="299" t="s">
        <v>812</v>
      </c>
      <c r="L45" s="299" t="s">
        <v>813</v>
      </c>
      <c r="O45" s="293" t="s">
        <v>174</v>
      </c>
      <c r="Q45" s="293" t="s">
        <v>151</v>
      </c>
    </row>
    <row r="46" spans="4:17" ht="60" x14ac:dyDescent="0.2">
      <c r="G46" s="293" t="s">
        <v>176</v>
      </c>
      <c r="J46" s="298"/>
      <c r="K46" s="299" t="s">
        <v>816</v>
      </c>
      <c r="L46" s="299" t="s">
        <v>814</v>
      </c>
      <c r="O46" s="293" t="s">
        <v>177</v>
      </c>
      <c r="Q46" s="293" t="s">
        <v>142</v>
      </c>
    </row>
    <row r="47" spans="4:17" ht="40" x14ac:dyDescent="0.2">
      <c r="G47" s="293" t="s">
        <v>179</v>
      </c>
      <c r="J47" s="298"/>
      <c r="K47" s="299" t="s">
        <v>817</v>
      </c>
      <c r="L47" s="299" t="s">
        <v>815</v>
      </c>
      <c r="O47" s="293" t="s">
        <v>180</v>
      </c>
      <c r="Q47" s="293" t="s">
        <v>28</v>
      </c>
    </row>
    <row r="48" spans="4:17" ht="30" x14ac:dyDescent="0.2">
      <c r="G48" s="293" t="s">
        <v>182</v>
      </c>
      <c r="J48" s="298"/>
      <c r="K48" s="299" t="s">
        <v>818</v>
      </c>
      <c r="L48" s="299" t="s">
        <v>811</v>
      </c>
      <c r="O48" s="293" t="s">
        <v>183</v>
      </c>
      <c r="Q48" s="293" t="s">
        <v>58</v>
      </c>
    </row>
    <row r="49" spans="7:17" ht="40" x14ac:dyDescent="0.2">
      <c r="G49" s="293" t="s">
        <v>185</v>
      </c>
      <c r="J49" s="298"/>
      <c r="K49" s="299" t="s">
        <v>819</v>
      </c>
      <c r="L49" s="299" t="s">
        <v>820</v>
      </c>
      <c r="O49" s="293" t="s">
        <v>186</v>
      </c>
      <c r="Q49" s="293" t="s">
        <v>84</v>
      </c>
    </row>
    <row r="50" spans="7:17" ht="30" x14ac:dyDescent="0.2">
      <c r="G50" s="293" t="s">
        <v>188</v>
      </c>
      <c r="J50" s="298" t="s">
        <v>828</v>
      </c>
      <c r="K50" s="299" t="s">
        <v>827</v>
      </c>
      <c r="L50" s="299" t="s">
        <v>822</v>
      </c>
      <c r="O50" s="293" t="s">
        <v>189</v>
      </c>
      <c r="Q50" s="293" t="s">
        <v>127</v>
      </c>
    </row>
    <row r="51" spans="7:17" ht="40" x14ac:dyDescent="0.2">
      <c r="G51" s="293" t="s">
        <v>191</v>
      </c>
      <c r="J51" s="298"/>
      <c r="K51" s="299" t="s">
        <v>826</v>
      </c>
      <c r="L51" s="299" t="s">
        <v>823</v>
      </c>
      <c r="O51" s="293" t="s">
        <v>192</v>
      </c>
      <c r="Q51" s="293" t="s">
        <v>54</v>
      </c>
    </row>
    <row r="52" spans="7:17" ht="20" x14ac:dyDescent="0.2">
      <c r="G52" s="293" t="s">
        <v>194</v>
      </c>
      <c r="J52" s="298"/>
      <c r="K52" s="299" t="s">
        <v>825</v>
      </c>
      <c r="L52" s="299" t="s">
        <v>824</v>
      </c>
      <c r="O52" s="293" t="s">
        <v>195</v>
      </c>
      <c r="Q52" s="293" t="s">
        <v>205</v>
      </c>
    </row>
    <row r="53" spans="7:17" ht="30" x14ac:dyDescent="0.2">
      <c r="G53" s="293" t="s">
        <v>197</v>
      </c>
      <c r="J53" s="298" t="s">
        <v>845</v>
      </c>
      <c r="K53" s="299" t="s">
        <v>829</v>
      </c>
      <c r="L53" s="299" t="s">
        <v>831</v>
      </c>
      <c r="O53" s="293" t="s">
        <v>198</v>
      </c>
      <c r="Q53" s="293" t="s">
        <v>196</v>
      </c>
    </row>
    <row r="54" spans="7:17" ht="30" x14ac:dyDescent="0.2">
      <c r="G54" s="293" t="s">
        <v>200</v>
      </c>
      <c r="J54" s="298"/>
      <c r="K54" s="299" t="s">
        <v>839</v>
      </c>
      <c r="L54" s="299" t="s">
        <v>832</v>
      </c>
      <c r="O54" s="293" t="s">
        <v>201</v>
      </c>
      <c r="Q54" s="293" t="s">
        <v>103</v>
      </c>
    </row>
    <row r="55" spans="7:17" ht="70" x14ac:dyDescent="0.2">
      <c r="G55" s="293" t="s">
        <v>203</v>
      </c>
      <c r="J55" s="298"/>
      <c r="K55" s="299" t="s">
        <v>840</v>
      </c>
      <c r="L55" s="299" t="s">
        <v>833</v>
      </c>
      <c r="O55" s="293" t="s">
        <v>204</v>
      </c>
      <c r="Q55" s="293" t="s">
        <v>181</v>
      </c>
    </row>
    <row r="56" spans="7:17" ht="20" x14ac:dyDescent="0.2">
      <c r="G56" s="293" t="s">
        <v>206</v>
      </c>
      <c r="J56" s="298"/>
      <c r="K56" s="299" t="s">
        <v>841</v>
      </c>
      <c r="L56" s="299" t="s">
        <v>834</v>
      </c>
      <c r="O56" s="293" t="s">
        <v>207</v>
      </c>
    </row>
    <row r="57" spans="7:17" ht="30" x14ac:dyDescent="0.2">
      <c r="G57" s="293" t="s">
        <v>208</v>
      </c>
      <c r="J57" s="298"/>
      <c r="K57" s="299" t="s">
        <v>842</v>
      </c>
      <c r="L57" s="299" t="s">
        <v>835</v>
      </c>
      <c r="O57" s="293" t="s">
        <v>209</v>
      </c>
    </row>
    <row r="58" spans="7:17" ht="30" x14ac:dyDescent="0.2">
      <c r="G58" s="293" t="s">
        <v>210</v>
      </c>
      <c r="J58" s="298"/>
      <c r="K58" s="299" t="s">
        <v>843</v>
      </c>
      <c r="L58" s="299" t="s">
        <v>836</v>
      </c>
      <c r="O58" s="293" t="s">
        <v>211</v>
      </c>
    </row>
    <row r="59" spans="7:17" ht="20" x14ac:dyDescent="0.2">
      <c r="G59" s="293" t="s">
        <v>212</v>
      </c>
      <c r="J59" s="298"/>
      <c r="K59" s="299" t="s">
        <v>830</v>
      </c>
      <c r="L59" s="299" t="s">
        <v>837</v>
      </c>
      <c r="O59" s="293" t="s">
        <v>213</v>
      </c>
    </row>
    <row r="60" spans="7:17" ht="20" x14ac:dyDescent="0.2">
      <c r="G60" s="293" t="s">
        <v>214</v>
      </c>
      <c r="J60" s="298"/>
      <c r="K60" s="299" t="s">
        <v>844</v>
      </c>
      <c r="L60" s="299" t="s">
        <v>838</v>
      </c>
      <c r="O60" s="293" t="s">
        <v>215</v>
      </c>
    </row>
    <row r="61" spans="7:17" ht="30" x14ac:dyDescent="0.2">
      <c r="G61" s="293" t="s">
        <v>216</v>
      </c>
      <c r="J61" s="298" t="s">
        <v>863</v>
      </c>
      <c r="K61" s="299" t="s">
        <v>864</v>
      </c>
      <c r="L61" s="299" t="s">
        <v>853</v>
      </c>
      <c r="O61" s="293" t="s">
        <v>217</v>
      </c>
    </row>
    <row r="62" spans="7:17" ht="20" x14ac:dyDescent="0.2">
      <c r="G62" s="293" t="s">
        <v>218</v>
      </c>
      <c r="J62" s="298"/>
      <c r="K62" s="299" t="s">
        <v>865</v>
      </c>
      <c r="L62" s="299" t="s">
        <v>854</v>
      </c>
      <c r="O62" s="293" t="s">
        <v>219</v>
      </c>
    </row>
    <row r="63" spans="7:17" ht="20" x14ac:dyDescent="0.2">
      <c r="G63" s="293" t="s">
        <v>220</v>
      </c>
      <c r="J63" s="298"/>
      <c r="K63" s="299" t="s">
        <v>951</v>
      </c>
      <c r="L63" s="299" t="s">
        <v>952</v>
      </c>
      <c r="O63" s="293" t="s">
        <v>221</v>
      </c>
    </row>
    <row r="64" spans="7:17" ht="40" x14ac:dyDescent="0.2">
      <c r="G64" s="293" t="s">
        <v>222</v>
      </c>
      <c r="J64" s="298"/>
      <c r="K64" s="299" t="s">
        <v>959</v>
      </c>
      <c r="L64" s="299" t="s">
        <v>960</v>
      </c>
      <c r="O64" s="293" t="s">
        <v>223</v>
      </c>
    </row>
    <row r="65" spans="7:15" ht="20" x14ac:dyDescent="0.2">
      <c r="G65" s="293" t="s">
        <v>224</v>
      </c>
      <c r="J65" s="298"/>
      <c r="K65" s="299" t="s">
        <v>846</v>
      </c>
      <c r="L65" s="299" t="s">
        <v>855</v>
      </c>
      <c r="O65" s="293" t="s">
        <v>225</v>
      </c>
    </row>
    <row r="66" spans="7:15" ht="30" x14ac:dyDescent="0.2">
      <c r="G66" s="293" t="s">
        <v>226</v>
      </c>
      <c r="J66" s="298"/>
      <c r="K66" s="299" t="s">
        <v>847</v>
      </c>
      <c r="L66" s="299" t="s">
        <v>856</v>
      </c>
      <c r="O66" s="293" t="s">
        <v>227</v>
      </c>
    </row>
    <row r="67" spans="7:15" ht="50" x14ac:dyDescent="0.2">
      <c r="G67" s="293" t="s">
        <v>228</v>
      </c>
      <c r="J67" s="298"/>
      <c r="K67" s="299" t="s">
        <v>848</v>
      </c>
      <c r="L67" s="299" t="s">
        <v>857</v>
      </c>
      <c r="O67" s="293" t="s">
        <v>229</v>
      </c>
    </row>
    <row r="68" spans="7:15" ht="20" x14ac:dyDescent="0.2">
      <c r="G68" s="293" t="s">
        <v>230</v>
      </c>
      <c r="J68" s="298"/>
      <c r="K68" s="299" t="s">
        <v>849</v>
      </c>
      <c r="L68" s="299" t="s">
        <v>858</v>
      </c>
    </row>
    <row r="69" spans="7:15" ht="30" x14ac:dyDescent="0.2">
      <c r="G69" s="293" t="s">
        <v>231</v>
      </c>
      <c r="J69" s="298"/>
      <c r="K69" s="299" t="s">
        <v>866</v>
      </c>
      <c r="L69" s="299" t="s">
        <v>859</v>
      </c>
    </row>
    <row r="70" spans="7:15" ht="30" x14ac:dyDescent="0.2">
      <c r="G70" s="293" t="s">
        <v>232</v>
      </c>
      <c r="J70" s="298"/>
      <c r="K70" s="299" t="s">
        <v>850</v>
      </c>
      <c r="L70" s="299" t="s">
        <v>860</v>
      </c>
    </row>
    <row r="71" spans="7:15" ht="20" x14ac:dyDescent="0.2">
      <c r="G71" s="293" t="s">
        <v>233</v>
      </c>
      <c r="J71" s="298"/>
      <c r="K71" s="299" t="s">
        <v>851</v>
      </c>
      <c r="L71" s="299" t="s">
        <v>861</v>
      </c>
    </row>
    <row r="72" spans="7:15" ht="20" x14ac:dyDescent="0.2">
      <c r="G72" s="293" t="s">
        <v>234</v>
      </c>
      <c r="J72" s="298"/>
      <c r="K72" s="299" t="s">
        <v>852</v>
      </c>
      <c r="L72" s="299" t="s">
        <v>862</v>
      </c>
    </row>
    <row r="73" spans="7:15" ht="30" x14ac:dyDescent="0.2">
      <c r="G73" s="293" t="s">
        <v>235</v>
      </c>
      <c r="J73" s="298" t="s">
        <v>873</v>
      </c>
      <c r="K73" s="299" t="s">
        <v>874</v>
      </c>
      <c r="L73" s="299" t="s">
        <v>867</v>
      </c>
    </row>
    <row r="74" spans="7:15" ht="30" x14ac:dyDescent="0.2">
      <c r="G74" s="293" t="s">
        <v>236</v>
      </c>
      <c r="J74" s="298"/>
      <c r="K74" s="299" t="s">
        <v>875</v>
      </c>
      <c r="L74" s="299" t="s">
        <v>868</v>
      </c>
    </row>
    <row r="75" spans="7:15" ht="30" x14ac:dyDescent="0.2">
      <c r="G75" s="293" t="s">
        <v>237</v>
      </c>
      <c r="J75" s="298"/>
      <c r="K75" s="299" t="s">
        <v>876</v>
      </c>
      <c r="L75" s="299" t="s">
        <v>869</v>
      </c>
    </row>
    <row r="76" spans="7:15" ht="30" x14ac:dyDescent="0.2">
      <c r="G76" s="293" t="s">
        <v>238</v>
      </c>
      <c r="J76" s="298"/>
      <c r="K76" s="299" t="s">
        <v>877</v>
      </c>
      <c r="L76" s="299" t="s">
        <v>870</v>
      </c>
    </row>
    <row r="77" spans="7:15" ht="30" x14ac:dyDescent="0.2">
      <c r="G77" s="293" t="s">
        <v>209</v>
      </c>
      <c r="J77" s="298"/>
      <c r="K77" s="299" t="s">
        <v>878</v>
      </c>
      <c r="L77" s="299" t="s">
        <v>871</v>
      </c>
      <c r="O77" s="293" t="s">
        <v>239</v>
      </c>
    </row>
    <row r="78" spans="7:15" ht="40" x14ac:dyDescent="0.2">
      <c r="G78" s="293" t="s">
        <v>240</v>
      </c>
      <c r="J78" s="298"/>
      <c r="K78" s="299" t="s">
        <v>879</v>
      </c>
      <c r="L78" s="299" t="s">
        <v>872</v>
      </c>
      <c r="O78" s="293" t="s">
        <v>1</v>
      </c>
    </row>
    <row r="79" spans="7:15" ht="20" x14ac:dyDescent="0.2">
      <c r="G79" s="293" t="s">
        <v>241</v>
      </c>
      <c r="J79" s="298" t="s">
        <v>880</v>
      </c>
      <c r="K79" s="299" t="s">
        <v>885</v>
      </c>
      <c r="L79" s="299" t="s">
        <v>881</v>
      </c>
      <c r="O79" s="293" t="s">
        <v>242</v>
      </c>
    </row>
    <row r="80" spans="7:15" ht="20" x14ac:dyDescent="0.2">
      <c r="G80" s="293" t="s">
        <v>243</v>
      </c>
      <c r="J80" s="298"/>
      <c r="K80" s="299" t="s">
        <v>961</v>
      </c>
      <c r="L80" s="299" t="s">
        <v>962</v>
      </c>
      <c r="O80" s="293" t="s">
        <v>244</v>
      </c>
    </row>
    <row r="81" spans="7:16" ht="20" x14ac:dyDescent="0.2">
      <c r="G81" s="293" t="s">
        <v>245</v>
      </c>
      <c r="J81" s="298"/>
      <c r="K81" s="299" t="s">
        <v>886</v>
      </c>
      <c r="L81" s="299" t="s">
        <v>882</v>
      </c>
      <c r="O81" s="293" t="s">
        <v>246</v>
      </c>
    </row>
    <row r="82" spans="7:16" ht="20" x14ac:dyDescent="0.2">
      <c r="J82" s="298"/>
      <c r="K82" s="299" t="s">
        <v>887</v>
      </c>
      <c r="L82" s="299" t="s">
        <v>883</v>
      </c>
      <c r="O82" s="293" t="s">
        <v>247</v>
      </c>
    </row>
    <row r="83" spans="7:16" ht="30" x14ac:dyDescent="0.2">
      <c r="J83" s="298"/>
      <c r="K83" s="299" t="s">
        <v>888</v>
      </c>
      <c r="L83" s="299" t="s">
        <v>884</v>
      </c>
    </row>
    <row r="84" spans="7:16" ht="30" x14ac:dyDescent="0.2">
      <c r="J84" s="300" t="s">
        <v>890</v>
      </c>
      <c r="K84" s="299" t="s">
        <v>889</v>
      </c>
      <c r="L84" s="299" t="s">
        <v>891</v>
      </c>
    </row>
    <row r="85" spans="7:16" ht="30" x14ac:dyDescent="0.2">
      <c r="J85" s="301"/>
      <c r="K85" s="299" t="s">
        <v>963</v>
      </c>
      <c r="L85" s="299" t="s">
        <v>964</v>
      </c>
      <c r="O85" s="293" t="s">
        <v>248</v>
      </c>
    </row>
    <row r="86" spans="7:16" ht="50" x14ac:dyDescent="0.2">
      <c r="J86" s="301"/>
      <c r="K86" s="299" t="s">
        <v>965</v>
      </c>
      <c r="L86" s="299" t="s">
        <v>956</v>
      </c>
      <c r="O86" s="293" t="s">
        <v>1</v>
      </c>
    </row>
    <row r="87" spans="7:16" ht="50" x14ac:dyDescent="0.2">
      <c r="J87" s="301"/>
      <c r="K87" s="299" t="s">
        <v>957</v>
      </c>
      <c r="L87" s="299" t="s">
        <v>958</v>
      </c>
      <c r="O87" s="293" t="s">
        <v>249</v>
      </c>
    </row>
    <row r="88" spans="7:16" ht="50" x14ac:dyDescent="0.2">
      <c r="J88" s="301"/>
      <c r="K88" s="299" t="s">
        <v>966</v>
      </c>
      <c r="L88" s="299" t="s">
        <v>967</v>
      </c>
      <c r="O88" s="293" t="s">
        <v>250</v>
      </c>
    </row>
    <row r="89" spans="7:16" ht="40" x14ac:dyDescent="0.2">
      <c r="J89" s="301"/>
      <c r="K89" s="299" t="s">
        <v>968</v>
      </c>
      <c r="L89" s="299" t="s">
        <v>892</v>
      </c>
      <c r="O89" s="293" t="s">
        <v>251</v>
      </c>
    </row>
    <row r="90" spans="7:16" ht="70" x14ac:dyDescent="0.2">
      <c r="J90" s="302"/>
      <c r="K90" s="299" t="s">
        <v>894</v>
      </c>
      <c r="L90" s="299" t="s">
        <v>892</v>
      </c>
      <c r="O90" s="293" t="s">
        <v>252</v>
      </c>
    </row>
    <row r="91" spans="7:16" ht="40" x14ac:dyDescent="0.2">
      <c r="J91" s="300" t="s">
        <v>898</v>
      </c>
      <c r="K91" s="299" t="s">
        <v>893</v>
      </c>
      <c r="L91" s="299" t="s">
        <v>895</v>
      </c>
      <c r="O91" s="293" t="s">
        <v>253</v>
      </c>
    </row>
    <row r="92" spans="7:16" ht="50" x14ac:dyDescent="0.2">
      <c r="J92" s="302"/>
      <c r="K92" s="299" t="s">
        <v>897</v>
      </c>
      <c r="L92" s="299" t="s">
        <v>896</v>
      </c>
      <c r="O92" s="293" t="s">
        <v>254</v>
      </c>
    </row>
    <row r="93" spans="7:16" ht="50" x14ac:dyDescent="0.2">
      <c r="J93" s="300" t="s">
        <v>905</v>
      </c>
      <c r="K93" s="299" t="s">
        <v>904</v>
      </c>
      <c r="L93" s="299" t="s">
        <v>901</v>
      </c>
      <c r="O93" s="293" t="s">
        <v>255</v>
      </c>
    </row>
    <row r="94" spans="7:16" x14ac:dyDescent="0.2">
      <c r="J94" s="301"/>
      <c r="K94" s="299" t="s">
        <v>899</v>
      </c>
      <c r="L94" s="299" t="s">
        <v>902</v>
      </c>
    </row>
    <row r="95" spans="7:16" ht="20" x14ac:dyDescent="0.2">
      <c r="J95" s="302"/>
      <c r="K95" s="299" t="s">
        <v>900</v>
      </c>
      <c r="L95" s="299" t="s">
        <v>903</v>
      </c>
      <c r="P95" s="293" t="s">
        <v>256</v>
      </c>
    </row>
    <row r="96" spans="7:16" ht="20" x14ac:dyDescent="0.2">
      <c r="J96" s="298" t="s">
        <v>915</v>
      </c>
      <c r="K96" s="299" t="s">
        <v>912</v>
      </c>
      <c r="L96" s="299" t="s">
        <v>911</v>
      </c>
      <c r="P96" s="293" t="s">
        <v>1</v>
      </c>
    </row>
    <row r="97" spans="10:16" ht="20" x14ac:dyDescent="0.2">
      <c r="J97" s="298"/>
      <c r="K97" s="299" t="s">
        <v>906</v>
      </c>
      <c r="L97" s="299" t="s">
        <v>908</v>
      </c>
      <c r="P97" s="293" t="s">
        <v>257</v>
      </c>
    </row>
    <row r="98" spans="10:16" ht="20" x14ac:dyDescent="0.2">
      <c r="J98" s="298"/>
      <c r="K98" s="299" t="s">
        <v>907</v>
      </c>
      <c r="L98" s="299" t="s">
        <v>909</v>
      </c>
      <c r="P98" s="293" t="s">
        <v>258</v>
      </c>
    </row>
    <row r="99" spans="10:16" ht="20" x14ac:dyDescent="0.2">
      <c r="J99" s="298"/>
      <c r="K99" s="299" t="s">
        <v>913</v>
      </c>
      <c r="L99" s="299" t="s">
        <v>747</v>
      </c>
      <c r="P99" s="293" t="s">
        <v>259</v>
      </c>
    </row>
    <row r="100" spans="10:16" ht="30" x14ac:dyDescent="0.2">
      <c r="J100" s="298"/>
      <c r="K100" s="299" t="s">
        <v>914</v>
      </c>
      <c r="L100" s="299" t="s">
        <v>910</v>
      </c>
      <c r="P100" s="293" t="s">
        <v>260</v>
      </c>
    </row>
    <row r="101" spans="10:16" ht="50" x14ac:dyDescent="0.2">
      <c r="P101" s="293" t="s">
        <v>261</v>
      </c>
    </row>
    <row r="102" spans="10:16" ht="70" x14ac:dyDescent="0.2">
      <c r="P102" s="293" t="s">
        <v>262</v>
      </c>
    </row>
    <row r="103" spans="10:16" ht="60" x14ac:dyDescent="0.2">
      <c r="P103" s="293" t="s">
        <v>263</v>
      </c>
    </row>
    <row r="104" spans="10:16" ht="20" x14ac:dyDescent="0.2">
      <c r="P104" s="293" t="s">
        <v>264</v>
      </c>
    </row>
    <row r="105" spans="10:16" ht="60" x14ac:dyDescent="0.2">
      <c r="P105" s="293" t="s">
        <v>265</v>
      </c>
    </row>
    <row r="106" spans="10:16" ht="30" x14ac:dyDescent="0.2">
      <c r="P106" s="293" t="s">
        <v>266</v>
      </c>
    </row>
    <row r="107" spans="10:16" ht="30" x14ac:dyDescent="0.2">
      <c r="P107" s="293" t="s">
        <v>267</v>
      </c>
    </row>
    <row r="108" spans="10:16" ht="40" x14ac:dyDescent="0.2">
      <c r="P108" s="293" t="s">
        <v>268</v>
      </c>
    </row>
    <row r="109" spans="10:16" ht="30" x14ac:dyDescent="0.2">
      <c r="P109" s="293" t="s">
        <v>269</v>
      </c>
    </row>
    <row r="110" spans="10:16" ht="20" x14ac:dyDescent="0.2">
      <c r="P110" s="293" t="s">
        <v>270</v>
      </c>
    </row>
    <row r="111" spans="10:16" ht="30" x14ac:dyDescent="0.2">
      <c r="P111" s="293" t="s">
        <v>271</v>
      </c>
    </row>
    <row r="112" spans="10:16" x14ac:dyDescent="0.2">
      <c r="P112" s="293" t="s">
        <v>272</v>
      </c>
    </row>
    <row r="113" spans="16:16" ht="30" x14ac:dyDescent="0.2">
      <c r="P113" s="293" t="s">
        <v>273</v>
      </c>
    </row>
    <row r="114" spans="16:16" ht="20" x14ac:dyDescent="0.2">
      <c r="P114" s="293" t="s">
        <v>274</v>
      </c>
    </row>
    <row r="115" spans="16:16" ht="20" x14ac:dyDescent="0.2">
      <c r="P115" s="293" t="s">
        <v>275</v>
      </c>
    </row>
    <row r="116" spans="16:16" ht="40" x14ac:dyDescent="0.2">
      <c r="P116" s="293" t="s">
        <v>276</v>
      </c>
    </row>
    <row r="117" spans="16:16" ht="20" x14ac:dyDescent="0.2">
      <c r="P117" s="293" t="s">
        <v>277</v>
      </c>
    </row>
    <row r="118" spans="16:16" x14ac:dyDescent="0.2">
      <c r="P118" s="293" t="s">
        <v>278</v>
      </c>
    </row>
    <row r="119" spans="16:16" x14ac:dyDescent="0.2">
      <c r="P119" s="293" t="s">
        <v>279</v>
      </c>
    </row>
    <row r="120" spans="16:16" x14ac:dyDescent="0.2">
      <c r="P120" s="293" t="s">
        <v>280</v>
      </c>
    </row>
    <row r="121" spans="16:16" x14ac:dyDescent="0.2">
      <c r="P121" s="293" t="s">
        <v>281</v>
      </c>
    </row>
    <row r="122" spans="16:16" ht="30" x14ac:dyDescent="0.2">
      <c r="P122" s="293" t="s">
        <v>282</v>
      </c>
    </row>
    <row r="123" spans="16:16" ht="30" x14ac:dyDescent="0.2">
      <c r="P123" s="293" t="s">
        <v>283</v>
      </c>
    </row>
    <row r="124" spans="16:16" ht="30" x14ac:dyDescent="0.2">
      <c r="P124" s="293" t="s">
        <v>284</v>
      </c>
    </row>
    <row r="125" spans="16:16" ht="40" x14ac:dyDescent="0.2">
      <c r="P125" s="293" t="s">
        <v>285</v>
      </c>
    </row>
    <row r="126" spans="16:16" ht="30" x14ac:dyDescent="0.2">
      <c r="P126" s="293" t="s">
        <v>286</v>
      </c>
    </row>
    <row r="127" spans="16:16" ht="20" x14ac:dyDescent="0.2">
      <c r="P127" s="293" t="s">
        <v>287</v>
      </c>
    </row>
    <row r="128" spans="16:16" ht="20" x14ac:dyDescent="0.2">
      <c r="P128" s="293" t="s">
        <v>288</v>
      </c>
    </row>
    <row r="129" spans="16:16" ht="20" x14ac:dyDescent="0.2">
      <c r="P129" s="293" t="s">
        <v>289</v>
      </c>
    </row>
    <row r="130" spans="16:16" ht="50" x14ac:dyDescent="0.2">
      <c r="P130" s="293" t="s">
        <v>290</v>
      </c>
    </row>
    <row r="131" spans="16:16" ht="100" x14ac:dyDescent="0.2">
      <c r="P131" s="293" t="s">
        <v>291</v>
      </c>
    </row>
    <row r="132" spans="16:16" ht="60" x14ac:dyDescent="0.2">
      <c r="P132" s="293" t="s">
        <v>292</v>
      </c>
    </row>
    <row r="133" spans="16:16" ht="30" x14ac:dyDescent="0.2">
      <c r="P133" s="293" t="s">
        <v>293</v>
      </c>
    </row>
    <row r="134" spans="16:16" ht="20" x14ac:dyDescent="0.2">
      <c r="P134" s="293" t="s">
        <v>294</v>
      </c>
    </row>
    <row r="135" spans="16:16" ht="30" x14ac:dyDescent="0.2">
      <c r="P135" s="293" t="s">
        <v>295</v>
      </c>
    </row>
    <row r="136" spans="16:16" ht="20" x14ac:dyDescent="0.2">
      <c r="P136" s="293" t="s">
        <v>296</v>
      </c>
    </row>
    <row r="137" spans="16:16" ht="20" x14ac:dyDescent="0.2">
      <c r="P137" s="293" t="s">
        <v>297</v>
      </c>
    </row>
    <row r="138" spans="16:16" ht="30" x14ac:dyDescent="0.2">
      <c r="P138" s="293" t="s">
        <v>298</v>
      </c>
    </row>
    <row r="139" spans="16:16" ht="50" x14ac:dyDescent="0.2">
      <c r="P139" s="293" t="s">
        <v>299</v>
      </c>
    </row>
    <row r="140" spans="16:16" ht="40" x14ac:dyDescent="0.2">
      <c r="P140" s="293" t="s">
        <v>300</v>
      </c>
    </row>
    <row r="141" spans="16:16" ht="30" x14ac:dyDescent="0.2">
      <c r="P141" s="293" t="s">
        <v>301</v>
      </c>
    </row>
    <row r="142" spans="16:16" ht="20" x14ac:dyDescent="0.2">
      <c r="P142" s="293" t="s">
        <v>302</v>
      </c>
    </row>
    <row r="143" spans="16:16" ht="20" x14ac:dyDescent="0.2">
      <c r="P143" s="293" t="s">
        <v>303</v>
      </c>
    </row>
    <row r="144" spans="16:16" ht="40" x14ac:dyDescent="0.2">
      <c r="P144" s="293" t="s">
        <v>304</v>
      </c>
    </row>
    <row r="145" spans="16:16" x14ac:dyDescent="0.2">
      <c r="P145" s="293" t="s">
        <v>305</v>
      </c>
    </row>
    <row r="146" spans="16:16" x14ac:dyDescent="0.2">
      <c r="P146" s="293" t="s">
        <v>306</v>
      </c>
    </row>
    <row r="147" spans="16:16" ht="40" x14ac:dyDescent="0.2">
      <c r="P147" s="293" t="s">
        <v>307</v>
      </c>
    </row>
    <row r="148" spans="16:16" ht="20" x14ac:dyDescent="0.2">
      <c r="P148" s="293" t="s">
        <v>308</v>
      </c>
    </row>
    <row r="149" spans="16:16" ht="20" x14ac:dyDescent="0.2">
      <c r="P149" s="293" t="s">
        <v>309</v>
      </c>
    </row>
    <row r="150" spans="16:16" ht="50" x14ac:dyDescent="0.2">
      <c r="P150" s="293" t="s">
        <v>310</v>
      </c>
    </row>
    <row r="151" spans="16:16" ht="30" x14ac:dyDescent="0.2">
      <c r="P151" s="293" t="s">
        <v>311</v>
      </c>
    </row>
    <row r="152" spans="16:16" ht="30" x14ac:dyDescent="0.2">
      <c r="P152" s="293" t="s">
        <v>312</v>
      </c>
    </row>
    <row r="153" spans="16:16" ht="30" x14ac:dyDescent="0.2">
      <c r="P153" s="293" t="s">
        <v>313</v>
      </c>
    </row>
    <row r="154" spans="16:16" ht="20" x14ac:dyDescent="0.2">
      <c r="P154" s="293" t="s">
        <v>314</v>
      </c>
    </row>
    <row r="155" spans="16:16" ht="20" x14ac:dyDescent="0.2">
      <c r="P155" s="293" t="s">
        <v>315</v>
      </c>
    </row>
    <row r="156" spans="16:16" ht="20" x14ac:dyDescent="0.2">
      <c r="P156" s="293" t="s">
        <v>316</v>
      </c>
    </row>
    <row r="157" spans="16:16" ht="40" x14ac:dyDescent="0.2">
      <c r="P157" s="293" t="s">
        <v>317</v>
      </c>
    </row>
    <row r="158" spans="16:16" x14ac:dyDescent="0.2">
      <c r="P158" s="293" t="s">
        <v>318</v>
      </c>
    </row>
    <row r="159" spans="16:16" x14ac:dyDescent="0.2">
      <c r="P159" s="293" t="s">
        <v>319</v>
      </c>
    </row>
    <row r="160" spans="16:16" ht="20" x14ac:dyDescent="0.2">
      <c r="P160" s="293" t="s">
        <v>320</v>
      </c>
    </row>
    <row r="161" spans="16:16" ht="40" x14ac:dyDescent="0.2">
      <c r="P161" s="293" t="s">
        <v>321</v>
      </c>
    </row>
    <row r="162" spans="16:16" ht="30" x14ac:dyDescent="0.2">
      <c r="P162" s="293" t="s">
        <v>322</v>
      </c>
    </row>
    <row r="163" spans="16:16" ht="40" x14ac:dyDescent="0.2">
      <c r="P163" s="293" t="s">
        <v>323</v>
      </c>
    </row>
    <row r="164" spans="16:16" ht="40" x14ac:dyDescent="0.2">
      <c r="P164" s="293" t="s">
        <v>324</v>
      </c>
    </row>
    <row r="165" spans="16:16" ht="20" x14ac:dyDescent="0.2">
      <c r="P165" s="293" t="s">
        <v>325</v>
      </c>
    </row>
    <row r="166" spans="16:16" ht="40" x14ac:dyDescent="0.2">
      <c r="P166" s="293" t="s">
        <v>326</v>
      </c>
    </row>
    <row r="167" spans="16:16" ht="20" x14ac:dyDescent="0.2">
      <c r="P167" s="293" t="s">
        <v>327</v>
      </c>
    </row>
    <row r="168" spans="16:16" ht="40" x14ac:dyDescent="0.2">
      <c r="P168" s="293" t="s">
        <v>328</v>
      </c>
    </row>
    <row r="169" spans="16:16" ht="40" x14ac:dyDescent="0.2">
      <c r="P169" s="293" t="s">
        <v>329</v>
      </c>
    </row>
    <row r="170" spans="16:16" ht="20" x14ac:dyDescent="0.2">
      <c r="P170" s="293" t="s">
        <v>330</v>
      </c>
    </row>
    <row r="171" spans="16:16" ht="40" x14ac:dyDescent="0.2">
      <c r="P171" s="293" t="s">
        <v>331</v>
      </c>
    </row>
    <row r="172" spans="16:16" ht="20" x14ac:dyDescent="0.2">
      <c r="P172" s="293" t="s">
        <v>332</v>
      </c>
    </row>
    <row r="173" spans="16:16" ht="30" x14ac:dyDescent="0.2">
      <c r="P173" s="293" t="s">
        <v>333</v>
      </c>
    </row>
    <row r="174" spans="16:16" ht="50" x14ac:dyDescent="0.2">
      <c r="P174" s="293" t="s">
        <v>334</v>
      </c>
    </row>
    <row r="175" spans="16:16" ht="30" x14ac:dyDescent="0.2">
      <c r="P175" s="293" t="s">
        <v>335</v>
      </c>
    </row>
    <row r="176" spans="16:16" x14ac:dyDescent="0.2">
      <c r="P176" s="293" t="s">
        <v>336</v>
      </c>
    </row>
    <row r="177" spans="16:16" x14ac:dyDescent="0.2">
      <c r="P177" s="293" t="s">
        <v>337</v>
      </c>
    </row>
    <row r="178" spans="16:16" ht="20" x14ac:dyDescent="0.2">
      <c r="P178" s="293" t="s">
        <v>338</v>
      </c>
    </row>
    <row r="179" spans="16:16" x14ac:dyDescent="0.2">
      <c r="P179" s="293" t="s">
        <v>339</v>
      </c>
    </row>
    <row r="180" spans="16:16" ht="20" x14ac:dyDescent="0.2">
      <c r="P180" s="293" t="s">
        <v>340</v>
      </c>
    </row>
    <row r="181" spans="16:16" ht="20" x14ac:dyDescent="0.2">
      <c r="P181" s="293" t="s">
        <v>341</v>
      </c>
    </row>
    <row r="182" spans="16:16" ht="20" x14ac:dyDescent="0.2">
      <c r="P182" s="293" t="s">
        <v>342</v>
      </c>
    </row>
    <row r="183" spans="16:16" x14ac:dyDescent="0.2">
      <c r="P183" s="293" t="s">
        <v>343</v>
      </c>
    </row>
    <row r="184" spans="16:16" ht="40" x14ac:dyDescent="0.2">
      <c r="P184" s="293" t="s">
        <v>344</v>
      </c>
    </row>
    <row r="185" spans="16:16" ht="30" x14ac:dyDescent="0.2">
      <c r="P185" s="293" t="s">
        <v>345</v>
      </c>
    </row>
    <row r="186" spans="16:16" ht="30" x14ac:dyDescent="0.2">
      <c r="P186" s="293" t="s">
        <v>346</v>
      </c>
    </row>
    <row r="187" spans="16:16" x14ac:dyDescent="0.2">
      <c r="P187" s="293" t="s">
        <v>347</v>
      </c>
    </row>
    <row r="188" spans="16:16" x14ac:dyDescent="0.2">
      <c r="P188" s="293" t="s">
        <v>348</v>
      </c>
    </row>
    <row r="189" spans="16:16" ht="30" x14ac:dyDescent="0.2">
      <c r="P189" s="293" t="s">
        <v>349</v>
      </c>
    </row>
    <row r="190" spans="16:16" ht="30" x14ac:dyDescent="0.2">
      <c r="P190" s="293" t="s">
        <v>350</v>
      </c>
    </row>
    <row r="191" spans="16:16" ht="40" x14ac:dyDescent="0.2">
      <c r="P191" s="293" t="s">
        <v>351</v>
      </c>
    </row>
    <row r="192" spans="16:16" ht="30" x14ac:dyDescent="0.2">
      <c r="P192" s="293" t="s">
        <v>352</v>
      </c>
    </row>
    <row r="193" spans="16:16" ht="20" x14ac:dyDescent="0.2">
      <c r="P193" s="293" t="s">
        <v>353</v>
      </c>
    </row>
    <row r="194" spans="16:16" ht="30" x14ac:dyDescent="0.2">
      <c r="P194" s="293" t="s">
        <v>354</v>
      </c>
    </row>
    <row r="195" spans="16:16" ht="20" x14ac:dyDescent="0.2">
      <c r="P195" s="293" t="s">
        <v>355</v>
      </c>
    </row>
    <row r="196" spans="16:16" x14ac:dyDescent="0.2">
      <c r="P196" s="293" t="s">
        <v>356</v>
      </c>
    </row>
    <row r="197" spans="16:16" ht="20" x14ac:dyDescent="0.2">
      <c r="P197" s="293" t="s">
        <v>357</v>
      </c>
    </row>
    <row r="198" spans="16:16" ht="30" x14ac:dyDescent="0.2">
      <c r="P198" s="293" t="s">
        <v>358</v>
      </c>
    </row>
    <row r="199" spans="16:16" ht="20" x14ac:dyDescent="0.2">
      <c r="P199" s="293" t="s">
        <v>359</v>
      </c>
    </row>
    <row r="200" spans="16:16" ht="20" x14ac:dyDescent="0.2">
      <c r="P200" s="293" t="s">
        <v>360</v>
      </c>
    </row>
    <row r="201" spans="16:16" x14ac:dyDescent="0.2">
      <c r="P201" s="293" t="s">
        <v>361</v>
      </c>
    </row>
    <row r="202" spans="16:16" ht="40" x14ac:dyDescent="0.2">
      <c r="P202" s="293" t="s">
        <v>362</v>
      </c>
    </row>
    <row r="203" spans="16:16" ht="20" x14ac:dyDescent="0.2">
      <c r="P203" s="293" t="s">
        <v>363</v>
      </c>
    </row>
    <row r="204" spans="16:16" x14ac:dyDescent="0.2">
      <c r="P204" s="293" t="s">
        <v>364</v>
      </c>
    </row>
    <row r="205" spans="16:16" ht="20" x14ac:dyDescent="0.2">
      <c r="P205" s="293" t="s">
        <v>365</v>
      </c>
    </row>
    <row r="206" spans="16:16" x14ac:dyDescent="0.2">
      <c r="P206" s="293" t="s">
        <v>366</v>
      </c>
    </row>
    <row r="207" spans="16:16" x14ac:dyDescent="0.2">
      <c r="P207" s="293" t="s">
        <v>367</v>
      </c>
    </row>
    <row r="208" spans="16:16" ht="40" x14ac:dyDescent="0.2">
      <c r="P208" s="293" t="s">
        <v>368</v>
      </c>
    </row>
    <row r="209" spans="16:16" ht="40" x14ac:dyDescent="0.2">
      <c r="P209" s="293" t="s">
        <v>369</v>
      </c>
    </row>
    <row r="210" spans="16:16" ht="20" x14ac:dyDescent="0.2">
      <c r="P210" s="293" t="s">
        <v>370</v>
      </c>
    </row>
    <row r="211" spans="16:16" ht="20" x14ac:dyDescent="0.2">
      <c r="P211" s="293" t="s">
        <v>371</v>
      </c>
    </row>
    <row r="212" spans="16:16" ht="20" x14ac:dyDescent="0.2">
      <c r="P212" s="293" t="s">
        <v>372</v>
      </c>
    </row>
    <row r="213" spans="16:16" ht="20" x14ac:dyDescent="0.2">
      <c r="P213" s="293" t="s">
        <v>373</v>
      </c>
    </row>
    <row r="214" spans="16:16" ht="20" x14ac:dyDescent="0.2">
      <c r="P214" s="293" t="s">
        <v>374</v>
      </c>
    </row>
    <row r="215" spans="16:16" ht="20" x14ac:dyDescent="0.2">
      <c r="P215" s="293" t="s">
        <v>375</v>
      </c>
    </row>
    <row r="216" spans="16:16" ht="30" x14ac:dyDescent="0.2">
      <c r="P216" s="293" t="s">
        <v>376</v>
      </c>
    </row>
    <row r="217" spans="16:16" ht="20" x14ac:dyDescent="0.2">
      <c r="P217" s="293" t="s">
        <v>377</v>
      </c>
    </row>
    <row r="218" spans="16:16" ht="30" x14ac:dyDescent="0.2">
      <c r="P218" s="293" t="s">
        <v>378</v>
      </c>
    </row>
    <row r="219" spans="16:16" x14ac:dyDescent="0.2">
      <c r="P219" s="293" t="s">
        <v>379</v>
      </c>
    </row>
    <row r="220" spans="16:16" ht="20" x14ac:dyDescent="0.2">
      <c r="P220" s="293" t="s">
        <v>380</v>
      </c>
    </row>
    <row r="221" spans="16:16" x14ac:dyDescent="0.2">
      <c r="P221" s="293" t="s">
        <v>381</v>
      </c>
    </row>
    <row r="222" spans="16:16" ht="20" x14ac:dyDescent="0.2">
      <c r="P222" s="293" t="s">
        <v>382</v>
      </c>
    </row>
    <row r="223" spans="16:16" ht="30" x14ac:dyDescent="0.2">
      <c r="P223" s="293" t="s">
        <v>383</v>
      </c>
    </row>
    <row r="224" spans="16:16" ht="20" x14ac:dyDescent="0.2">
      <c r="P224" s="293" t="s">
        <v>384</v>
      </c>
    </row>
    <row r="225" spans="16:16" ht="30" x14ac:dyDescent="0.2">
      <c r="P225" s="293" t="s">
        <v>385</v>
      </c>
    </row>
    <row r="226" spans="16:16" ht="20" x14ac:dyDescent="0.2">
      <c r="P226" s="293" t="s">
        <v>386</v>
      </c>
    </row>
    <row r="227" spans="16:16" ht="20" x14ac:dyDescent="0.2">
      <c r="P227" s="293" t="s">
        <v>387</v>
      </c>
    </row>
    <row r="228" spans="16:16" ht="40" x14ac:dyDescent="0.2">
      <c r="P228" s="293" t="s">
        <v>388</v>
      </c>
    </row>
    <row r="229" spans="16:16" ht="20" x14ac:dyDescent="0.2">
      <c r="P229" s="293" t="s">
        <v>389</v>
      </c>
    </row>
    <row r="230" spans="16:16" x14ac:dyDescent="0.2">
      <c r="P230" s="293" t="s">
        <v>390</v>
      </c>
    </row>
    <row r="231" spans="16:16" ht="20" x14ac:dyDescent="0.2">
      <c r="P231" s="293" t="s">
        <v>391</v>
      </c>
    </row>
    <row r="232" spans="16:16" ht="30" x14ac:dyDescent="0.2">
      <c r="P232" s="293" t="s">
        <v>392</v>
      </c>
    </row>
    <row r="233" spans="16:16" ht="40" x14ac:dyDescent="0.2">
      <c r="P233" s="293" t="s">
        <v>393</v>
      </c>
    </row>
    <row r="234" spans="16:16" x14ac:dyDescent="0.2">
      <c r="P234" s="293" t="s">
        <v>394</v>
      </c>
    </row>
    <row r="235" spans="16:16" ht="30" x14ac:dyDescent="0.2">
      <c r="P235" s="293" t="s">
        <v>395</v>
      </c>
    </row>
    <row r="236" spans="16:16" ht="30" x14ac:dyDescent="0.2">
      <c r="P236" s="293" t="s">
        <v>396</v>
      </c>
    </row>
    <row r="237" spans="16:16" ht="20" x14ac:dyDescent="0.2">
      <c r="P237" s="293" t="s">
        <v>397</v>
      </c>
    </row>
    <row r="238" spans="16:16" ht="30" x14ac:dyDescent="0.2">
      <c r="P238" s="293" t="s">
        <v>398</v>
      </c>
    </row>
    <row r="239" spans="16:16" ht="20" x14ac:dyDescent="0.2">
      <c r="P239" s="293" t="s">
        <v>399</v>
      </c>
    </row>
    <row r="240" spans="16:16" x14ac:dyDescent="0.2">
      <c r="P240" s="293" t="s">
        <v>400</v>
      </c>
    </row>
    <row r="241" spans="16:16" ht="20" x14ac:dyDescent="0.2">
      <c r="P241" s="293" t="s">
        <v>401</v>
      </c>
    </row>
    <row r="242" spans="16:16" ht="30" x14ac:dyDescent="0.2">
      <c r="P242" s="293" t="s">
        <v>402</v>
      </c>
    </row>
    <row r="243" spans="16:16" ht="30" x14ac:dyDescent="0.2">
      <c r="P243" s="293" t="s">
        <v>403</v>
      </c>
    </row>
    <row r="244" spans="16:16" x14ac:dyDescent="0.2">
      <c r="P244" s="293" t="s">
        <v>404</v>
      </c>
    </row>
    <row r="245" spans="16:16" x14ac:dyDescent="0.2">
      <c r="P245" s="293" t="s">
        <v>405</v>
      </c>
    </row>
    <row r="246" spans="16:16" ht="20" x14ac:dyDescent="0.2">
      <c r="P246" s="293" t="s">
        <v>406</v>
      </c>
    </row>
    <row r="247" spans="16:16" x14ac:dyDescent="0.2">
      <c r="P247" s="293" t="s">
        <v>407</v>
      </c>
    </row>
    <row r="248" spans="16:16" ht="20" x14ac:dyDescent="0.2">
      <c r="P248" s="293" t="s">
        <v>408</v>
      </c>
    </row>
    <row r="249" spans="16:16" ht="40" x14ac:dyDescent="0.2">
      <c r="P249" s="293" t="s">
        <v>409</v>
      </c>
    </row>
    <row r="250" spans="16:16" ht="30" x14ac:dyDescent="0.2">
      <c r="P250" s="293" t="s">
        <v>410</v>
      </c>
    </row>
    <row r="251" spans="16:16" ht="20" x14ac:dyDescent="0.2">
      <c r="P251" s="293" t="s">
        <v>411</v>
      </c>
    </row>
    <row r="252" spans="16:16" ht="60" x14ac:dyDescent="0.2">
      <c r="P252" s="293" t="s">
        <v>412</v>
      </c>
    </row>
    <row r="253" spans="16:16" ht="30" x14ac:dyDescent="0.2">
      <c r="P253" s="293" t="s">
        <v>413</v>
      </c>
    </row>
    <row r="254" spans="16:16" ht="20" x14ac:dyDescent="0.2">
      <c r="P254" s="293" t="s">
        <v>414</v>
      </c>
    </row>
    <row r="255" spans="16:16" ht="20" x14ac:dyDescent="0.2">
      <c r="P255" s="293" t="s">
        <v>415</v>
      </c>
    </row>
    <row r="256" spans="16:16" ht="30" x14ac:dyDescent="0.2">
      <c r="P256" s="293" t="s">
        <v>416</v>
      </c>
    </row>
    <row r="257" spans="16:16" ht="40" x14ac:dyDescent="0.2">
      <c r="P257" s="293" t="s">
        <v>417</v>
      </c>
    </row>
    <row r="258" spans="16:16" ht="30" x14ac:dyDescent="0.2">
      <c r="P258" s="293" t="s">
        <v>418</v>
      </c>
    </row>
    <row r="259" spans="16:16" ht="40" x14ac:dyDescent="0.2">
      <c r="P259" s="293" t="s">
        <v>419</v>
      </c>
    </row>
    <row r="260" spans="16:16" x14ac:dyDescent="0.2">
      <c r="P260" s="293" t="s">
        <v>420</v>
      </c>
    </row>
    <row r="261" spans="16:16" x14ac:dyDescent="0.2">
      <c r="P261" s="293" t="s">
        <v>421</v>
      </c>
    </row>
    <row r="262" spans="16:16" ht="20" x14ac:dyDescent="0.2">
      <c r="P262" s="293" t="s">
        <v>422</v>
      </c>
    </row>
    <row r="263" spans="16:16" x14ac:dyDescent="0.2">
      <c r="P263" s="293" t="s">
        <v>423</v>
      </c>
    </row>
    <row r="264" spans="16:16" ht="20" x14ac:dyDescent="0.2">
      <c r="P264" s="293" t="s">
        <v>424</v>
      </c>
    </row>
    <row r="265" spans="16:16" ht="20" x14ac:dyDescent="0.2">
      <c r="P265" s="293" t="s">
        <v>425</v>
      </c>
    </row>
    <row r="266" spans="16:16" ht="20" x14ac:dyDescent="0.2">
      <c r="P266" s="293" t="s">
        <v>426</v>
      </c>
    </row>
    <row r="267" spans="16:16" x14ac:dyDescent="0.2">
      <c r="P267" s="293" t="s">
        <v>427</v>
      </c>
    </row>
    <row r="268" spans="16:16" ht="30" x14ac:dyDescent="0.2">
      <c r="P268" s="293" t="s">
        <v>428</v>
      </c>
    </row>
    <row r="269" spans="16:16" ht="30" x14ac:dyDescent="0.2">
      <c r="P269" s="293" t="s">
        <v>429</v>
      </c>
    </row>
    <row r="270" spans="16:16" ht="30" x14ac:dyDescent="0.2">
      <c r="P270" s="293" t="s">
        <v>430</v>
      </c>
    </row>
    <row r="271" spans="16:16" ht="20" x14ac:dyDescent="0.2">
      <c r="P271" s="293" t="s">
        <v>431</v>
      </c>
    </row>
    <row r="272" spans="16:16" ht="30" x14ac:dyDescent="0.2">
      <c r="P272" s="293" t="s">
        <v>432</v>
      </c>
    </row>
    <row r="273" spans="16:16" ht="30" x14ac:dyDescent="0.2">
      <c r="P273" s="293" t="s">
        <v>433</v>
      </c>
    </row>
    <row r="274" spans="16:16" ht="40" x14ac:dyDescent="0.2">
      <c r="P274" s="293" t="s">
        <v>434</v>
      </c>
    </row>
    <row r="275" spans="16:16" ht="60" x14ac:dyDescent="0.2">
      <c r="P275" s="293" t="s">
        <v>435</v>
      </c>
    </row>
    <row r="276" spans="16:16" ht="70" x14ac:dyDescent="0.2">
      <c r="P276" s="293" t="s">
        <v>436</v>
      </c>
    </row>
    <row r="277" spans="16:16" ht="50" x14ac:dyDescent="0.2">
      <c r="P277" s="293" t="s">
        <v>437</v>
      </c>
    </row>
    <row r="278" spans="16:16" ht="30" x14ac:dyDescent="0.2">
      <c r="P278" s="293" t="s">
        <v>438</v>
      </c>
    </row>
    <row r="279" spans="16:16" ht="50" x14ac:dyDescent="0.2">
      <c r="P279" s="293" t="s">
        <v>439</v>
      </c>
    </row>
    <row r="280" spans="16:16" ht="30" x14ac:dyDescent="0.2">
      <c r="P280" s="293" t="s">
        <v>440</v>
      </c>
    </row>
    <row r="281" spans="16:16" ht="30" x14ac:dyDescent="0.2">
      <c r="P281" s="293" t="s">
        <v>441</v>
      </c>
    </row>
    <row r="282" spans="16:16" ht="20" x14ac:dyDescent="0.2">
      <c r="P282" s="293" t="s">
        <v>442</v>
      </c>
    </row>
    <row r="283" spans="16:16" ht="50" x14ac:dyDescent="0.2">
      <c r="P283" s="293" t="s">
        <v>443</v>
      </c>
    </row>
    <row r="284" spans="16:16" ht="30" x14ac:dyDescent="0.2">
      <c r="P284" s="293" t="s">
        <v>444</v>
      </c>
    </row>
    <row r="285" spans="16:16" ht="40" x14ac:dyDescent="0.2">
      <c r="P285" s="293" t="s">
        <v>445</v>
      </c>
    </row>
    <row r="286" spans="16:16" ht="30" x14ac:dyDescent="0.2">
      <c r="P286" s="293" t="s">
        <v>446</v>
      </c>
    </row>
    <row r="287" spans="16:16" ht="20" x14ac:dyDescent="0.2">
      <c r="P287" s="293" t="s">
        <v>447</v>
      </c>
    </row>
    <row r="288" spans="16:16" ht="50" x14ac:dyDescent="0.2">
      <c r="P288" s="293" t="s">
        <v>448</v>
      </c>
    </row>
    <row r="289" spans="16:16" ht="50" x14ac:dyDescent="0.2">
      <c r="P289" s="293" t="s">
        <v>449</v>
      </c>
    </row>
  </sheetData>
  <sheetProtection algorithmName="SHA-512" hashValue="eTGnGD2T2BGYSG7tVD239Zd6P8pHXHYhKTIJxgZx04HvMMQ63BWebhTQoMXkg2cJUO3mw96Sa98m+9jgbxv6Yw==" saltValue="tJg5gnm5TuSx9hMTuIZc7w==" spinCount="100000" sheet="1" objects="1" scenarios="1"/>
  <sortState ref="Q4:Q55">
    <sortCondition ref="Q4"/>
  </sortState>
  <mergeCells count="14">
    <mergeCell ref="J84:J90"/>
    <mergeCell ref="J91:J92"/>
    <mergeCell ref="J93:J95"/>
    <mergeCell ref="J96:J100"/>
    <mergeCell ref="J50:J52"/>
    <mergeCell ref="J53:J60"/>
    <mergeCell ref="J61:J72"/>
    <mergeCell ref="J73:J78"/>
    <mergeCell ref="J79:J83"/>
    <mergeCell ref="J4:J12"/>
    <mergeCell ref="J13:J19"/>
    <mergeCell ref="J20:J38"/>
    <mergeCell ref="J39:J44"/>
    <mergeCell ref="J45:J49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8"/>
  <sheetViews>
    <sheetView showGridLines="0" topLeftCell="A8" zoomScale="80" zoomScaleNormal="80" workbookViewId="0">
      <selection activeCell="F20" sqref="F20"/>
    </sheetView>
  </sheetViews>
  <sheetFormatPr baseColWidth="10" defaultColWidth="11.453125" defaultRowHeight="14" x14ac:dyDescent="0.3"/>
  <cols>
    <col min="1" max="1" width="2.453125" style="243" customWidth="1"/>
    <col min="2" max="2" width="30" style="243" customWidth="1"/>
    <col min="3" max="3" width="18.81640625" style="243" customWidth="1"/>
    <col min="4" max="10" width="18.81640625" style="257" customWidth="1"/>
    <col min="11" max="11" width="19" style="257" customWidth="1"/>
    <col min="12" max="16384" width="11.453125" style="243"/>
  </cols>
  <sheetData>
    <row r="1" spans="2:11" s="257" customFormat="1" ht="11.25" customHeight="1" x14ac:dyDescent="0.3"/>
    <row r="2" spans="2:11" s="250" customFormat="1" ht="17.25" customHeight="1" x14ac:dyDescent="0.35">
      <c r="B2" s="250" t="s">
        <v>450</v>
      </c>
      <c r="D2" s="258">
        <v>1.1399999999999999</v>
      </c>
    </row>
    <row r="3" spans="2:11" s="250" customFormat="1" ht="17.25" customHeight="1" x14ac:dyDescent="0.35">
      <c r="B3" s="250" t="s">
        <v>451</v>
      </c>
      <c r="D3" s="258">
        <v>1.52</v>
      </c>
    </row>
    <row r="4" spans="2:11" s="250" customFormat="1" ht="17.25" customHeight="1" x14ac:dyDescent="0.35">
      <c r="B4" s="250" t="s">
        <v>452</v>
      </c>
      <c r="D4" s="253">
        <v>1276000</v>
      </c>
    </row>
    <row r="5" spans="2:11" s="250" customFormat="1" ht="17.25" customHeight="1" x14ac:dyDescent="0.35">
      <c r="B5" s="250" t="s">
        <v>453</v>
      </c>
      <c r="D5" s="253">
        <v>158000</v>
      </c>
    </row>
    <row r="6" spans="2:11" s="250" customFormat="1" ht="17.25" customHeight="1" x14ac:dyDescent="0.35">
      <c r="B6" s="250" t="s">
        <v>454</v>
      </c>
      <c r="D6" s="251">
        <v>40</v>
      </c>
    </row>
    <row r="7" spans="2:11" s="250" customFormat="1" ht="17.25" customHeight="1" x14ac:dyDescent="0.35">
      <c r="B7" s="250" t="s">
        <v>455</v>
      </c>
      <c r="D7" s="251">
        <f>D6/2</f>
        <v>20</v>
      </c>
    </row>
    <row r="8" spans="2:11" s="252" customFormat="1" ht="17.25" customHeight="1" x14ac:dyDescent="0.25">
      <c r="B8" s="250" t="s">
        <v>456</v>
      </c>
      <c r="C8" s="250"/>
      <c r="D8" s="251">
        <f>D7/2</f>
        <v>10</v>
      </c>
    </row>
    <row r="9" spans="2:11" s="252" customFormat="1" ht="18" customHeight="1" x14ac:dyDescent="0.25">
      <c r="B9" s="250" t="s">
        <v>457</v>
      </c>
      <c r="C9" s="250"/>
      <c r="D9" s="253">
        <f>(D2*D4)/30</f>
        <v>48487.999999999993</v>
      </c>
    </row>
    <row r="10" spans="2:11" s="252" customFormat="1" ht="12.5" x14ac:dyDescent="0.25"/>
    <row r="11" spans="2:11" s="252" customFormat="1" ht="12.5" x14ac:dyDescent="0.25"/>
    <row r="12" spans="2:11" s="252" customFormat="1" ht="28" x14ac:dyDescent="0.25">
      <c r="B12" s="254" t="s">
        <v>458</v>
      </c>
      <c r="C12" s="254" t="s">
        <v>945</v>
      </c>
      <c r="D12" s="254" t="s">
        <v>459</v>
      </c>
      <c r="E12" s="254" t="s">
        <v>460</v>
      </c>
      <c r="F12" s="254" t="s">
        <v>461</v>
      </c>
      <c r="G12" s="254" t="s">
        <v>462</v>
      </c>
      <c r="H12" s="254" t="s">
        <v>463</v>
      </c>
      <c r="I12" s="254" t="s">
        <v>464</v>
      </c>
      <c r="J12" s="254" t="s">
        <v>465</v>
      </c>
      <c r="K12" s="254" t="s">
        <v>466</v>
      </c>
    </row>
    <row r="13" spans="2:11" s="252" customFormat="1" x14ac:dyDescent="0.25">
      <c r="B13" s="250" t="s">
        <v>12</v>
      </c>
      <c r="C13" s="255">
        <v>2863552</v>
      </c>
      <c r="D13" s="255">
        <f>C13*$D$2</f>
        <v>3264449.28</v>
      </c>
      <c r="E13" s="256">
        <f>+D13*$D$3</f>
        <v>4961962.9056000002</v>
      </c>
      <c r="F13" s="256">
        <f>E13/$D$6</f>
        <v>124049.07264</v>
      </c>
      <c r="G13" s="255">
        <f>C13/2</f>
        <v>1431776</v>
      </c>
      <c r="H13" s="255">
        <f>G13*$D$2</f>
        <v>1632224.64</v>
      </c>
      <c r="I13" s="256">
        <f>(H13*$D$3)+$D$5</f>
        <v>2638981.4528000001</v>
      </c>
      <c r="J13" s="256">
        <f>I13/$D$7</f>
        <v>131949.07264</v>
      </c>
      <c r="K13" s="256">
        <f>I13/$D$8</f>
        <v>263898.14528</v>
      </c>
    </row>
    <row r="14" spans="2:11" s="252" customFormat="1" x14ac:dyDescent="0.25">
      <c r="B14" s="250" t="s">
        <v>21</v>
      </c>
      <c r="C14" s="255">
        <v>3058663</v>
      </c>
      <c r="D14" s="255">
        <f>C14*$D$2</f>
        <v>3486875.82</v>
      </c>
      <c r="E14" s="256">
        <f>+D14*$D$3</f>
        <v>5300051.2463999996</v>
      </c>
      <c r="F14" s="256">
        <f>E14/$D$6</f>
        <v>132501.28115999998</v>
      </c>
      <c r="G14" s="255">
        <f>C14/2</f>
        <v>1529331.5</v>
      </c>
      <c r="H14" s="255">
        <f>G14*$D$2</f>
        <v>1743437.91</v>
      </c>
      <c r="I14" s="256">
        <f>(H14*$D$3)+$D$5</f>
        <v>2808025.6231999998</v>
      </c>
      <c r="J14" s="256">
        <f>I14/$D$7</f>
        <v>140401.28115999998</v>
      </c>
      <c r="K14" s="256">
        <f>I14/$D$8</f>
        <v>280802.56231999997</v>
      </c>
    </row>
    <row r="15" spans="2:11" s="252" customFormat="1" x14ac:dyDescent="0.25">
      <c r="B15" s="250" t="s">
        <v>29</v>
      </c>
      <c r="C15" s="255">
        <v>3253771</v>
      </c>
      <c r="D15" s="255">
        <f>C15*$D$2</f>
        <v>3709298.9399999995</v>
      </c>
      <c r="E15" s="256">
        <f>+D15*$D$3</f>
        <v>5638134.3887999989</v>
      </c>
      <c r="F15" s="256">
        <f>E15/$D$6</f>
        <v>140953.35971999998</v>
      </c>
      <c r="G15" s="255">
        <f>C15/2</f>
        <v>1626885.5</v>
      </c>
      <c r="H15" s="255">
        <f>G15*$D$2</f>
        <v>1854649.4699999997</v>
      </c>
      <c r="I15" s="256">
        <f>(H15*$D$3)+$D$5</f>
        <v>2977067.1943999995</v>
      </c>
      <c r="J15" s="256">
        <f>I15/$D$7</f>
        <v>148853.35971999998</v>
      </c>
      <c r="K15" s="256">
        <f>I15/$D$8</f>
        <v>297706.71943999996</v>
      </c>
    </row>
    <row r="16" spans="2:11" s="252" customFormat="1" x14ac:dyDescent="0.25">
      <c r="B16" s="250" t="s">
        <v>35</v>
      </c>
      <c r="C16" s="255">
        <v>3923879</v>
      </c>
      <c r="D16" s="255">
        <f>C16*$D$2</f>
        <v>4473222.0599999996</v>
      </c>
      <c r="E16" s="256">
        <f>+D16*$D$3</f>
        <v>6799297.5311999992</v>
      </c>
      <c r="F16" s="256">
        <f>E16/$D$6</f>
        <v>169982.43827999997</v>
      </c>
      <c r="G16" s="255">
        <f>C16/2</f>
        <v>1961939.5</v>
      </c>
      <c r="H16" s="255">
        <f>G16*$D$2</f>
        <v>2236611.0299999998</v>
      </c>
      <c r="I16" s="256">
        <f>(H16*$D$3)+$D$5</f>
        <v>3557648.7655999996</v>
      </c>
      <c r="J16" s="256">
        <f>I16/$D$7</f>
        <v>177882.43827999997</v>
      </c>
      <c r="K16" s="256">
        <f>I16/$D$8</f>
        <v>355764.87655999995</v>
      </c>
    </row>
    <row r="17" spans="2:12" s="257" customFormat="1" x14ac:dyDescent="0.3"/>
    <row r="19" spans="2:12" ht="28" x14ac:dyDescent="0.3">
      <c r="B19" s="246" t="s">
        <v>467</v>
      </c>
      <c r="C19" s="246" t="s">
        <v>946</v>
      </c>
      <c r="D19" s="254" t="s">
        <v>468</v>
      </c>
      <c r="E19" s="254" t="s">
        <v>469</v>
      </c>
      <c r="G19" s="254" t="s">
        <v>458</v>
      </c>
      <c r="H19" s="254" t="s">
        <v>470</v>
      </c>
    </row>
    <row r="20" spans="2:12" s="245" customFormat="1" x14ac:dyDescent="0.3">
      <c r="B20" s="247" t="s">
        <v>471</v>
      </c>
      <c r="C20" s="248"/>
      <c r="D20" s="256">
        <f>C20*D$2</f>
        <v>0</v>
      </c>
      <c r="E20" s="256">
        <f>+D20*$D$3</f>
        <v>0</v>
      </c>
      <c r="F20" s="259"/>
      <c r="G20" s="250" t="s">
        <v>21</v>
      </c>
      <c r="H20" s="256">
        <v>100000</v>
      </c>
      <c r="I20" s="257"/>
      <c r="J20" s="257"/>
      <c r="K20" s="257"/>
      <c r="L20" s="243"/>
    </row>
    <row r="21" spans="2:12" s="245" customFormat="1" x14ac:dyDescent="0.3">
      <c r="B21" s="247" t="s">
        <v>472</v>
      </c>
      <c r="C21" s="248"/>
      <c r="D21" s="256">
        <f t="shared" ref="D21:D58" si="0">C21*D$2</f>
        <v>0</v>
      </c>
      <c r="E21" s="256">
        <f t="shared" ref="E21:E58" si="1">+D21*$D$3</f>
        <v>0</v>
      </c>
      <c r="F21" s="259"/>
      <c r="G21" s="250" t="s">
        <v>29</v>
      </c>
      <c r="H21" s="256">
        <v>120000</v>
      </c>
      <c r="I21" s="257"/>
      <c r="J21" s="257"/>
      <c r="K21" s="257"/>
      <c r="L21" s="243"/>
    </row>
    <row r="22" spans="2:12" s="245" customFormat="1" x14ac:dyDescent="0.35">
      <c r="B22" s="247" t="s">
        <v>473</v>
      </c>
      <c r="C22" s="249">
        <v>5453181</v>
      </c>
      <c r="D22" s="256">
        <f t="shared" si="0"/>
        <v>6216626.3399999999</v>
      </c>
      <c r="E22" s="256">
        <f t="shared" si="1"/>
        <v>9449272.036799999</v>
      </c>
      <c r="F22" s="259"/>
      <c r="G22" s="250" t="s">
        <v>35</v>
      </c>
      <c r="H22" s="256">
        <v>150000</v>
      </c>
      <c r="I22" s="259"/>
      <c r="J22" s="259"/>
      <c r="K22" s="259"/>
    </row>
    <row r="23" spans="2:12" s="245" customFormat="1" x14ac:dyDescent="0.35">
      <c r="B23" s="247" t="s">
        <v>474</v>
      </c>
      <c r="C23" s="249">
        <v>5445445</v>
      </c>
      <c r="D23" s="256">
        <f t="shared" si="0"/>
        <v>6207807.2999999998</v>
      </c>
      <c r="E23" s="256">
        <f t="shared" si="1"/>
        <v>9435867.095999999</v>
      </c>
      <c r="F23" s="259"/>
      <c r="G23" s="260"/>
      <c r="H23" s="259"/>
      <c r="I23" s="259"/>
      <c r="J23" s="259"/>
      <c r="K23" s="259"/>
    </row>
    <row r="24" spans="2:12" s="245" customFormat="1" x14ac:dyDescent="0.35">
      <c r="B24" s="247" t="s">
        <v>475</v>
      </c>
      <c r="C24" s="249">
        <v>4834509</v>
      </c>
      <c r="D24" s="256">
        <f t="shared" si="0"/>
        <v>5511340.2599999998</v>
      </c>
      <c r="E24" s="256">
        <f t="shared" si="1"/>
        <v>8377237.1952</v>
      </c>
      <c r="F24" s="259"/>
      <c r="G24" s="260"/>
      <c r="H24" s="259"/>
      <c r="I24" s="259"/>
      <c r="J24" s="259"/>
      <c r="K24" s="259"/>
    </row>
    <row r="25" spans="2:12" s="245" customFormat="1" x14ac:dyDescent="0.35">
      <c r="B25" s="247" t="s">
        <v>476</v>
      </c>
      <c r="C25" s="249">
        <v>4376887</v>
      </c>
      <c r="D25" s="256">
        <f t="shared" si="0"/>
        <v>4989651.18</v>
      </c>
      <c r="E25" s="256">
        <f t="shared" si="1"/>
        <v>7584269.7935999995</v>
      </c>
      <c r="F25" s="259"/>
      <c r="G25" s="260"/>
      <c r="H25" s="259"/>
      <c r="I25" s="259"/>
      <c r="J25" s="259"/>
      <c r="K25" s="259"/>
    </row>
    <row r="26" spans="2:12" s="245" customFormat="1" x14ac:dyDescent="0.35">
      <c r="B26" s="247" t="s">
        <v>477</v>
      </c>
      <c r="C26" s="249">
        <v>4208101</v>
      </c>
      <c r="D26" s="256">
        <f t="shared" si="0"/>
        <v>4797235.1399999997</v>
      </c>
      <c r="E26" s="256">
        <f t="shared" si="1"/>
        <v>7291797.4127999991</v>
      </c>
      <c r="F26" s="259"/>
      <c r="G26" s="260"/>
      <c r="H26" s="259"/>
      <c r="I26" s="259"/>
      <c r="J26" s="259"/>
      <c r="K26" s="259"/>
    </row>
    <row r="27" spans="2:12" s="245" customFormat="1" x14ac:dyDescent="0.35">
      <c r="B27" s="247" t="s">
        <v>478</v>
      </c>
      <c r="C27" s="249">
        <v>4158731</v>
      </c>
      <c r="D27" s="256">
        <f t="shared" si="0"/>
        <v>4740953.34</v>
      </c>
      <c r="E27" s="256">
        <f t="shared" si="1"/>
        <v>7206249.0767999999</v>
      </c>
      <c r="F27" s="259"/>
      <c r="G27" s="260"/>
      <c r="H27" s="259"/>
      <c r="I27" s="259"/>
      <c r="J27" s="259"/>
      <c r="K27" s="259"/>
    </row>
    <row r="28" spans="2:12" s="245" customFormat="1" x14ac:dyDescent="0.35">
      <c r="B28" s="247" t="s">
        <v>479</v>
      </c>
      <c r="C28" s="249">
        <v>3912883</v>
      </c>
      <c r="D28" s="256">
        <f t="shared" si="0"/>
        <v>4460686.6199999992</v>
      </c>
      <c r="E28" s="256">
        <f t="shared" si="1"/>
        <v>6780243.6623999989</v>
      </c>
      <c r="F28" s="259"/>
      <c r="G28" s="260"/>
      <c r="H28" s="259"/>
      <c r="I28" s="259"/>
      <c r="J28" s="259"/>
      <c r="K28" s="259"/>
    </row>
    <row r="29" spans="2:12" s="245" customFormat="1" x14ac:dyDescent="0.35">
      <c r="B29" s="247" t="s">
        <v>480</v>
      </c>
      <c r="C29" s="249">
        <v>3640662</v>
      </c>
      <c r="D29" s="256">
        <f t="shared" si="0"/>
        <v>4150354.6799999997</v>
      </c>
      <c r="E29" s="256">
        <f t="shared" si="1"/>
        <v>6308539.1135999998</v>
      </c>
      <c r="F29" s="259"/>
      <c r="G29" s="260"/>
      <c r="H29" s="259"/>
      <c r="I29" s="259"/>
      <c r="J29" s="259"/>
      <c r="K29" s="259"/>
    </row>
    <row r="30" spans="2:12" s="245" customFormat="1" x14ac:dyDescent="0.3">
      <c r="B30" s="247" t="s">
        <v>481</v>
      </c>
      <c r="C30" s="249">
        <v>3499649</v>
      </c>
      <c r="D30" s="256">
        <f t="shared" si="0"/>
        <v>3989599.86</v>
      </c>
      <c r="E30" s="256">
        <f t="shared" si="1"/>
        <v>6064191.7872000001</v>
      </c>
      <c r="F30" s="259"/>
      <c r="G30" s="257"/>
      <c r="H30" s="257"/>
      <c r="I30" s="259"/>
      <c r="J30" s="259"/>
      <c r="K30" s="259"/>
    </row>
    <row r="31" spans="2:12" x14ac:dyDescent="0.3">
      <c r="B31" s="247" t="s">
        <v>482</v>
      </c>
      <c r="C31" s="249">
        <v>3448879</v>
      </c>
      <c r="D31" s="256">
        <f t="shared" si="0"/>
        <v>3931722.0599999996</v>
      </c>
      <c r="E31" s="256">
        <f t="shared" si="1"/>
        <v>5976217.5311999992</v>
      </c>
    </row>
    <row r="32" spans="2:12" ht="15.75" customHeight="1" x14ac:dyDescent="0.3">
      <c r="B32" s="247" t="s">
        <v>483</v>
      </c>
      <c r="C32" s="249">
        <v>3058663</v>
      </c>
      <c r="D32" s="256">
        <f t="shared" si="0"/>
        <v>3486875.82</v>
      </c>
      <c r="E32" s="256">
        <f t="shared" si="1"/>
        <v>5300051.2463999996</v>
      </c>
    </row>
    <row r="33" spans="2:5" ht="15.75" customHeight="1" x14ac:dyDescent="0.3">
      <c r="B33" s="247" t="s">
        <v>484</v>
      </c>
      <c r="C33" s="249">
        <v>2863552</v>
      </c>
      <c r="D33" s="256">
        <f t="shared" si="0"/>
        <v>3264449.28</v>
      </c>
      <c r="E33" s="256">
        <f t="shared" si="1"/>
        <v>4961962.9056000002</v>
      </c>
    </row>
    <row r="34" spans="2:5" ht="15.75" customHeight="1" x14ac:dyDescent="0.3">
      <c r="B34" s="247" t="s">
        <v>485</v>
      </c>
      <c r="C34" s="249">
        <v>2770587</v>
      </c>
      <c r="D34" s="256">
        <f t="shared" si="0"/>
        <v>3158469.1799999997</v>
      </c>
      <c r="E34" s="256">
        <f t="shared" si="1"/>
        <v>4800873.1535999998</v>
      </c>
    </row>
    <row r="35" spans="2:5" ht="15.75" customHeight="1" x14ac:dyDescent="0.3">
      <c r="B35" s="247" t="s">
        <v>486</v>
      </c>
      <c r="C35" s="249">
        <v>2200601</v>
      </c>
      <c r="D35" s="256">
        <f t="shared" si="0"/>
        <v>2508685.1399999997</v>
      </c>
      <c r="E35" s="256">
        <f t="shared" si="1"/>
        <v>3813201.4127999996</v>
      </c>
    </row>
    <row r="36" spans="2:5" ht="15.75" customHeight="1" x14ac:dyDescent="0.3">
      <c r="B36" s="247" t="s">
        <v>487</v>
      </c>
      <c r="C36" s="249">
        <v>2171154</v>
      </c>
      <c r="D36" s="256">
        <f t="shared" si="0"/>
        <v>2475115.5599999996</v>
      </c>
      <c r="E36" s="256">
        <f t="shared" si="1"/>
        <v>3762175.6511999993</v>
      </c>
    </row>
    <row r="37" spans="2:5" ht="15.75" customHeight="1" x14ac:dyDescent="0.3">
      <c r="B37" s="247" t="s">
        <v>488</v>
      </c>
      <c r="C37" s="249">
        <v>1529330</v>
      </c>
      <c r="D37" s="256">
        <f t="shared" si="0"/>
        <v>1743436.2</v>
      </c>
      <c r="E37" s="256">
        <f t="shared" si="1"/>
        <v>2650023.0239999997</v>
      </c>
    </row>
    <row r="38" spans="2:5" ht="15.75" customHeight="1" x14ac:dyDescent="0.3">
      <c r="B38" s="247" t="s">
        <v>489</v>
      </c>
      <c r="C38" s="249">
        <v>1504506</v>
      </c>
      <c r="D38" s="256">
        <f t="shared" si="0"/>
        <v>1715136.8399999999</v>
      </c>
      <c r="E38" s="256">
        <f t="shared" si="1"/>
        <v>2607007.9967999998</v>
      </c>
    </row>
    <row r="39" spans="2:5" ht="15.75" customHeight="1" x14ac:dyDescent="0.3">
      <c r="B39" s="247" t="s">
        <v>490</v>
      </c>
      <c r="C39" s="249">
        <v>1457385</v>
      </c>
      <c r="D39" s="256">
        <f t="shared" si="0"/>
        <v>1661418.9</v>
      </c>
      <c r="E39" s="256">
        <f t="shared" si="1"/>
        <v>2525356.7280000001</v>
      </c>
    </row>
    <row r="40" spans="2:5" ht="15.75" customHeight="1" x14ac:dyDescent="0.3">
      <c r="B40" s="247" t="s">
        <v>491</v>
      </c>
      <c r="C40" s="249">
        <v>1456190</v>
      </c>
      <c r="D40" s="256">
        <f t="shared" si="0"/>
        <v>1660056.5999999999</v>
      </c>
      <c r="E40" s="256">
        <f t="shared" si="1"/>
        <v>2523286.0319999997</v>
      </c>
    </row>
    <row r="41" spans="2:5" ht="15.75" customHeight="1" x14ac:dyDescent="0.3">
      <c r="B41" s="247" t="s">
        <v>492</v>
      </c>
      <c r="C41" s="249">
        <v>1385428</v>
      </c>
      <c r="D41" s="256">
        <f t="shared" si="0"/>
        <v>1579387.92</v>
      </c>
      <c r="E41" s="256">
        <f t="shared" si="1"/>
        <v>2400669.6384000001</v>
      </c>
    </row>
    <row r="42" spans="2:5" ht="15.75" customHeight="1" x14ac:dyDescent="0.3">
      <c r="B42" s="247" t="s">
        <v>493</v>
      </c>
      <c r="C42" s="249">
        <v>1262362</v>
      </c>
      <c r="D42" s="256">
        <f t="shared" si="0"/>
        <v>1439092.68</v>
      </c>
      <c r="E42" s="256">
        <f t="shared" si="1"/>
        <v>2187420.8736</v>
      </c>
    </row>
    <row r="43" spans="2:5" ht="15.75" customHeight="1" x14ac:dyDescent="0.3">
      <c r="B43" s="247" t="s">
        <v>494</v>
      </c>
      <c r="C43" s="249">
        <v>1160000</v>
      </c>
      <c r="D43" s="256">
        <f t="shared" si="0"/>
        <v>1322400</v>
      </c>
      <c r="E43" s="256">
        <f t="shared" si="1"/>
        <v>2010048</v>
      </c>
    </row>
    <row r="44" spans="2:5" ht="15.75" customHeight="1" x14ac:dyDescent="0.3">
      <c r="B44" s="247" t="s">
        <v>495</v>
      </c>
      <c r="C44" s="249">
        <v>870000</v>
      </c>
      <c r="D44" s="256">
        <f t="shared" si="0"/>
        <v>991799.99999999988</v>
      </c>
      <c r="E44" s="256">
        <f t="shared" si="1"/>
        <v>1507535.9999999998</v>
      </c>
    </row>
    <row r="45" spans="2:5" ht="15.75" customHeight="1" x14ac:dyDescent="0.3">
      <c r="B45" s="247" t="s">
        <v>496</v>
      </c>
      <c r="C45" s="249">
        <v>580000</v>
      </c>
      <c r="D45" s="256">
        <f t="shared" si="0"/>
        <v>661200</v>
      </c>
      <c r="E45" s="256">
        <f t="shared" si="1"/>
        <v>1005024</v>
      </c>
    </row>
    <row r="46" spans="2:5" ht="15.75" hidden="1" customHeight="1" x14ac:dyDescent="0.3">
      <c r="B46" s="244" t="s">
        <v>497</v>
      </c>
      <c r="D46" s="256">
        <f t="shared" si="0"/>
        <v>0</v>
      </c>
      <c r="E46" s="256">
        <f t="shared" si="1"/>
        <v>0</v>
      </c>
    </row>
    <row r="47" spans="2:5" ht="15.75" hidden="1" customHeight="1" x14ac:dyDescent="0.3">
      <c r="B47" s="244" t="s">
        <v>498</v>
      </c>
      <c r="D47" s="256">
        <f t="shared" si="0"/>
        <v>0</v>
      </c>
      <c r="E47" s="256">
        <f t="shared" si="1"/>
        <v>0</v>
      </c>
    </row>
    <row r="48" spans="2:5" ht="15.75" hidden="1" customHeight="1" x14ac:dyDescent="0.3">
      <c r="B48" s="244" t="s">
        <v>499</v>
      </c>
      <c r="D48" s="256">
        <f t="shared" si="0"/>
        <v>0</v>
      </c>
      <c r="E48" s="256">
        <f t="shared" si="1"/>
        <v>0</v>
      </c>
    </row>
    <row r="49" spans="2:5" ht="15.75" hidden="1" customHeight="1" x14ac:dyDescent="0.3">
      <c r="B49" s="244" t="s">
        <v>500</v>
      </c>
      <c r="D49" s="256">
        <f t="shared" si="0"/>
        <v>0</v>
      </c>
      <c r="E49" s="256">
        <f t="shared" si="1"/>
        <v>0</v>
      </c>
    </row>
    <row r="50" spans="2:5" ht="15.75" hidden="1" customHeight="1" x14ac:dyDescent="0.3">
      <c r="B50" s="244" t="s">
        <v>501</v>
      </c>
      <c r="D50" s="256">
        <f t="shared" si="0"/>
        <v>0</v>
      </c>
      <c r="E50" s="256">
        <f t="shared" si="1"/>
        <v>0</v>
      </c>
    </row>
    <row r="51" spans="2:5" ht="15.75" hidden="1" customHeight="1" x14ac:dyDescent="0.3">
      <c r="B51" s="244" t="s">
        <v>502</v>
      </c>
      <c r="D51" s="256">
        <f t="shared" si="0"/>
        <v>0</v>
      </c>
      <c r="E51" s="256">
        <f t="shared" si="1"/>
        <v>0</v>
      </c>
    </row>
    <row r="52" spans="2:5" ht="15.75" hidden="1" customHeight="1" x14ac:dyDescent="0.3">
      <c r="B52" s="244" t="s">
        <v>503</v>
      </c>
      <c r="D52" s="256">
        <f t="shared" si="0"/>
        <v>0</v>
      </c>
      <c r="E52" s="256">
        <f t="shared" si="1"/>
        <v>0</v>
      </c>
    </row>
    <row r="53" spans="2:5" ht="15.75" hidden="1" customHeight="1" x14ac:dyDescent="0.3">
      <c r="B53" s="244" t="s">
        <v>504</v>
      </c>
      <c r="D53" s="256">
        <f t="shared" si="0"/>
        <v>0</v>
      </c>
      <c r="E53" s="256">
        <f t="shared" si="1"/>
        <v>0</v>
      </c>
    </row>
    <row r="54" spans="2:5" ht="15.75" hidden="1" customHeight="1" x14ac:dyDescent="0.3">
      <c r="B54" s="244" t="s">
        <v>505</v>
      </c>
      <c r="D54" s="256">
        <f t="shared" si="0"/>
        <v>0</v>
      </c>
      <c r="E54" s="256">
        <f t="shared" si="1"/>
        <v>0</v>
      </c>
    </row>
    <row r="55" spans="2:5" ht="15.75" hidden="1" customHeight="1" x14ac:dyDescent="0.3">
      <c r="B55" s="244" t="s">
        <v>506</v>
      </c>
      <c r="D55" s="256">
        <f t="shared" si="0"/>
        <v>0</v>
      </c>
      <c r="E55" s="256">
        <f t="shared" si="1"/>
        <v>0</v>
      </c>
    </row>
    <row r="56" spans="2:5" ht="15.75" hidden="1" customHeight="1" x14ac:dyDescent="0.3">
      <c r="B56" s="244" t="s">
        <v>507</v>
      </c>
      <c r="D56" s="256">
        <f t="shared" si="0"/>
        <v>0</v>
      </c>
      <c r="E56" s="256">
        <f t="shared" si="1"/>
        <v>0</v>
      </c>
    </row>
    <row r="57" spans="2:5" ht="15.75" hidden="1" customHeight="1" x14ac:dyDescent="0.3">
      <c r="B57" s="244" t="s">
        <v>508</v>
      </c>
      <c r="D57" s="256">
        <f t="shared" si="0"/>
        <v>0</v>
      </c>
      <c r="E57" s="256">
        <f t="shared" si="1"/>
        <v>0</v>
      </c>
    </row>
    <row r="58" spans="2:5" ht="15.75" hidden="1" customHeight="1" x14ac:dyDescent="0.3">
      <c r="B58" s="244" t="s">
        <v>509</v>
      </c>
      <c r="D58" s="256">
        <f t="shared" si="0"/>
        <v>0</v>
      </c>
      <c r="E58" s="256">
        <f t="shared" si="1"/>
        <v>0</v>
      </c>
    </row>
  </sheetData>
  <sheetProtection algorithmName="SHA-512" hashValue="xPhlxTwFZIkacUXfJac+pEh3xnpb9irTk+4ZfxCBOvwm/3pDNw4AEVQ1R8b3Nd8WHngFlKeXwc+je0fdk3beNA==" saltValue="8w9hbR3XmWUtLQ40nDjsww==" spinCount="100000" sheet="1" objects="1" scenarios="1"/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7"/>
  <sheetViews>
    <sheetView showGridLines="0" tabSelected="1" zoomScale="60" zoomScaleNormal="60" workbookViewId="0"/>
  </sheetViews>
  <sheetFormatPr baseColWidth="10" defaultColWidth="11.453125" defaultRowHeight="14" x14ac:dyDescent="0.3"/>
  <cols>
    <col min="1" max="1" width="5.453125" style="135" customWidth="1"/>
    <col min="2" max="3" width="11.81640625" style="135" customWidth="1"/>
    <col min="4" max="5" width="7.1796875" style="135" customWidth="1"/>
    <col min="6" max="6" width="7.26953125" style="135" customWidth="1"/>
    <col min="7" max="9" width="11.453125" style="135"/>
    <col min="10" max="10" width="29.81640625" style="135" customWidth="1"/>
    <col min="11" max="16384" width="11.453125" style="135"/>
  </cols>
  <sheetData>
    <row r="1" spans="2:11" ht="15" customHeight="1" x14ac:dyDescent="0.3">
      <c r="C1" s="136"/>
      <c r="D1" s="136"/>
      <c r="E1" s="136"/>
      <c r="F1" s="136"/>
      <c r="G1" s="136"/>
      <c r="H1" s="136"/>
      <c r="I1" s="136"/>
      <c r="J1" s="136"/>
    </row>
    <row r="2" spans="2:11" ht="15" customHeight="1" x14ac:dyDescent="0.3">
      <c r="C2" s="136"/>
      <c r="D2" s="136"/>
      <c r="E2" s="136"/>
      <c r="F2" s="136"/>
      <c r="G2" s="136"/>
      <c r="H2" s="136"/>
      <c r="I2" s="136"/>
      <c r="J2" s="136"/>
    </row>
    <row r="3" spans="2:11" ht="15" customHeight="1" x14ac:dyDescent="0.3">
      <c r="C3" s="136"/>
      <c r="D3" s="136"/>
      <c r="E3" s="136"/>
      <c r="F3" s="136"/>
      <c r="G3" s="136"/>
      <c r="H3" s="136"/>
      <c r="I3" s="136"/>
      <c r="J3" s="136"/>
    </row>
    <row r="4" spans="2:11" ht="15" customHeight="1" x14ac:dyDescent="0.3">
      <c r="C4" s="136"/>
      <c r="D4" s="136"/>
      <c r="E4" s="136"/>
      <c r="F4" s="136"/>
      <c r="G4" s="136"/>
      <c r="H4" s="136"/>
      <c r="I4" s="136"/>
      <c r="J4" s="136"/>
    </row>
    <row r="5" spans="2:11" ht="15" customHeight="1" x14ac:dyDescent="0.3">
      <c r="C5" s="136"/>
      <c r="D5" s="136"/>
      <c r="E5" s="136"/>
      <c r="F5" s="136"/>
      <c r="G5" s="136"/>
      <c r="H5" s="136"/>
      <c r="I5" s="136"/>
      <c r="J5" s="136"/>
    </row>
    <row r="6" spans="2:11" ht="15" customHeight="1" x14ac:dyDescent="0.3">
      <c r="C6" s="136"/>
      <c r="D6" s="136"/>
      <c r="E6" s="136"/>
      <c r="F6" s="136"/>
      <c r="G6" s="136"/>
      <c r="H6" s="136"/>
      <c r="I6" s="136"/>
      <c r="J6" s="136"/>
    </row>
    <row r="7" spans="2:11" ht="15" customHeight="1" x14ac:dyDescent="0.3">
      <c r="C7" s="136"/>
      <c r="D7" s="136"/>
      <c r="E7" s="136"/>
      <c r="F7" s="136"/>
      <c r="G7" s="136"/>
      <c r="H7" s="136"/>
      <c r="I7" s="136"/>
      <c r="J7" s="136"/>
    </row>
    <row r="8" spans="2:11" ht="15" customHeight="1" x14ac:dyDescent="0.3">
      <c r="C8" s="136"/>
      <c r="D8" s="136"/>
      <c r="E8" s="136"/>
      <c r="F8" s="136"/>
      <c r="G8" s="136"/>
      <c r="H8" s="136"/>
      <c r="I8" s="136"/>
      <c r="J8" s="136"/>
    </row>
    <row r="9" spans="2:11" ht="15" customHeight="1" x14ac:dyDescent="0.3">
      <c r="C9" s="136"/>
      <c r="D9" s="136"/>
      <c r="E9" s="136"/>
      <c r="F9" s="136"/>
      <c r="G9" s="136"/>
      <c r="H9" s="136"/>
      <c r="I9" s="136"/>
      <c r="J9" s="136"/>
    </row>
    <row r="10" spans="2:11" ht="18" customHeight="1" x14ac:dyDescent="0.3">
      <c r="B10" s="263" t="s">
        <v>510</v>
      </c>
      <c r="C10" s="263"/>
      <c r="D10" s="263"/>
      <c r="E10" s="263"/>
      <c r="F10" s="263"/>
      <c r="G10" s="263"/>
      <c r="H10" s="263"/>
      <c r="I10" s="263"/>
      <c r="J10" s="263"/>
      <c r="K10" s="263"/>
    </row>
    <row r="11" spans="2:11" ht="18" customHeight="1" x14ac:dyDescent="0.3">
      <c r="B11" s="263"/>
      <c r="C11" s="263"/>
      <c r="D11" s="263"/>
      <c r="E11" s="263"/>
      <c r="F11" s="263"/>
      <c r="G11" s="263"/>
      <c r="H11" s="263"/>
      <c r="I11" s="263"/>
      <c r="J11" s="263"/>
      <c r="K11" s="263"/>
    </row>
    <row r="12" spans="2:11" x14ac:dyDescent="0.3">
      <c r="B12" s="263"/>
      <c r="C12" s="263"/>
      <c r="D12" s="263"/>
      <c r="E12" s="263"/>
      <c r="F12" s="263"/>
      <c r="G12" s="263"/>
      <c r="H12" s="263"/>
      <c r="I12" s="263"/>
      <c r="J12" s="263"/>
      <c r="K12" s="263"/>
    </row>
    <row r="13" spans="2:11" ht="15" x14ac:dyDescent="0.3">
      <c r="B13" s="137"/>
      <c r="C13" s="137"/>
      <c r="D13" s="137"/>
      <c r="E13" s="137"/>
      <c r="F13" s="137"/>
      <c r="G13" s="137"/>
      <c r="H13" s="137"/>
      <c r="I13" s="137"/>
      <c r="J13" s="137"/>
      <c r="K13" s="137"/>
    </row>
    <row r="14" spans="2:11" ht="17.25" customHeight="1" x14ac:dyDescent="0.3">
      <c r="B14" s="264" t="s">
        <v>511</v>
      </c>
      <c r="C14" s="264"/>
      <c r="D14" s="264"/>
      <c r="E14" s="264"/>
      <c r="F14" s="264"/>
      <c r="G14" s="264"/>
      <c r="H14" s="264"/>
      <c r="I14" s="264"/>
      <c r="J14" s="264"/>
      <c r="K14" s="264"/>
    </row>
    <row r="15" spans="2:11" ht="17.25" customHeight="1" x14ac:dyDescent="0.3">
      <c r="B15" s="265" t="s">
        <v>932</v>
      </c>
      <c r="C15" s="265"/>
      <c r="D15" s="265"/>
      <c r="E15" s="265"/>
      <c r="F15" s="265"/>
      <c r="G15" s="265"/>
      <c r="H15" s="265"/>
      <c r="I15" s="265"/>
      <c r="J15" s="265"/>
      <c r="K15" s="265"/>
    </row>
    <row r="18" spans="2:10" ht="25.5" customHeight="1" x14ac:dyDescent="0.3">
      <c r="B18" s="138" t="s">
        <v>512</v>
      </c>
      <c r="D18" s="261"/>
      <c r="E18" s="261"/>
      <c r="F18" s="261"/>
      <c r="G18" s="261"/>
      <c r="H18" s="261"/>
      <c r="I18" s="261"/>
      <c r="J18" s="261"/>
    </row>
    <row r="19" spans="2:10" ht="9.75" customHeight="1" x14ac:dyDescent="0.3">
      <c r="D19" s="139"/>
      <c r="E19" s="139"/>
      <c r="F19" s="139"/>
      <c r="G19" s="139"/>
      <c r="H19" s="139"/>
      <c r="I19" s="139"/>
      <c r="J19" s="139"/>
    </row>
    <row r="20" spans="2:10" ht="25.5" customHeight="1" x14ac:dyDescent="0.3">
      <c r="B20" s="138" t="s">
        <v>513</v>
      </c>
      <c r="D20" s="262"/>
      <c r="E20" s="262"/>
      <c r="F20" s="262"/>
      <c r="G20" s="262"/>
      <c r="H20" s="262"/>
      <c r="I20" s="262"/>
      <c r="J20" s="262"/>
    </row>
    <row r="21" spans="2:10" ht="9.75" customHeight="1" x14ac:dyDescent="0.3">
      <c r="D21" s="139"/>
      <c r="E21" s="139"/>
      <c r="F21" s="139"/>
      <c r="G21" s="139"/>
      <c r="H21" s="139"/>
      <c r="I21" s="139"/>
      <c r="J21" s="139"/>
    </row>
    <row r="22" spans="2:10" ht="25.5" customHeight="1" x14ac:dyDescent="0.3">
      <c r="B22" s="138" t="s">
        <v>514</v>
      </c>
      <c r="D22" s="261"/>
      <c r="E22" s="261"/>
      <c r="F22" s="261"/>
      <c r="G22" s="261"/>
      <c r="H22" s="261"/>
      <c r="I22" s="261"/>
      <c r="J22" s="261"/>
    </row>
    <row r="23" spans="2:10" ht="15" x14ac:dyDescent="0.3">
      <c r="B23" s="137"/>
      <c r="C23" s="140"/>
    </row>
    <row r="26" spans="2:10" ht="21" customHeight="1" thickBot="1" x14ac:dyDescent="0.35">
      <c r="B26" s="135" t="s">
        <v>515</v>
      </c>
      <c r="D26" s="141">
        <v>9</v>
      </c>
      <c r="E26" s="142" t="s">
        <v>950</v>
      </c>
      <c r="F26" s="142">
        <v>2023</v>
      </c>
    </row>
    <row r="27" spans="2:10" ht="14.5" thickTop="1" x14ac:dyDescent="0.3"/>
  </sheetData>
  <mergeCells count="6">
    <mergeCell ref="D22:J22"/>
    <mergeCell ref="D20:J20"/>
    <mergeCell ref="B10:K12"/>
    <mergeCell ref="B14:K14"/>
    <mergeCell ref="B15:K15"/>
    <mergeCell ref="D18:J18"/>
  </mergeCells>
  <conditionalFormatting sqref="D26">
    <cfRule type="containsText" dxfId="50" priority="4" operator="containsText" text="DD">
      <formula>NOT(ISERROR(SEARCH("DD",D26)))</formula>
    </cfRule>
  </conditionalFormatting>
  <conditionalFormatting sqref="F26">
    <cfRule type="containsText" dxfId="49" priority="2" operator="containsText" text="AAAA">
      <formula>NOT(ISERROR(SEARCH("AAAA",F26)))</formula>
    </cfRule>
  </conditionalFormatting>
  <conditionalFormatting sqref="E26">
    <cfRule type="containsText" dxfId="48" priority="1" operator="containsText" text="MM">
      <formula>NOT(ISERROR(SEARCH("MM",E26)))</formula>
    </cfRule>
  </conditionalFormatting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Convencionales!$D$2:$D$33</xm:f>
          </x14:formula1>
          <xm:sqref>D26</xm:sqref>
        </x14:dataValidation>
        <x14:dataValidation type="list" allowBlank="1" showInputMessage="1" showErrorMessage="1">
          <x14:formula1>
            <xm:f>Convencionales!$E$2:$E$14</xm:f>
          </x14:formula1>
          <xm:sqref>E26</xm:sqref>
        </x14:dataValidation>
        <x14:dataValidation type="list" allowBlank="1" showInputMessage="1" showErrorMessage="1">
          <x14:formula1>
            <xm:f>Convencionales!$M$3:$M$5</xm:f>
          </x14:formula1>
          <xm:sqref>D18:J18</xm:sqref>
        </x14:dataValidation>
        <x14:dataValidation type="list" allowBlank="1" showInputMessage="1" showErrorMessage="1">
          <x14:formula1>
            <xm:f>Convencionales!$F$2:$F$7</xm:f>
          </x14:formula1>
          <xm:sqref>F26</xm:sqref>
        </x14:dataValidation>
        <x14:dataValidation type="list" allowBlank="1" showInputMessage="1" showErrorMessage="1">
          <x14:formula1>
            <xm:f>Convencionales!$Q$3:$Q$55</xm:f>
          </x14:formula1>
          <xm:sqref>D22:J22</xm:sqref>
        </x14:dataValidation>
        <x14:dataValidation type="list" allowBlank="1" showInputMessage="1" showErrorMessage="1">
          <x14:formula1>
            <xm:f>Convencionales!$O$3:$O$67</xm:f>
          </x14:formula1>
          <xm:sqref>D20:J20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R22"/>
  <sheetViews>
    <sheetView showGridLines="0" zoomScale="70" zoomScaleNormal="70" workbookViewId="0">
      <pane ySplit="2" topLeftCell="A3" activePane="bottomLeft" state="frozen"/>
      <selection pane="bottomLeft" activeCell="A3" sqref="A3"/>
    </sheetView>
  </sheetViews>
  <sheetFormatPr baseColWidth="10" defaultColWidth="11.453125" defaultRowHeight="12.5" x14ac:dyDescent="0.25"/>
  <cols>
    <col min="1" max="1" width="11.453125" style="2"/>
    <col min="2" max="2" width="23.81640625" style="2" customWidth="1"/>
    <col min="3" max="3" width="30" style="2" customWidth="1"/>
    <col min="4" max="4" width="12.54296875" style="2" customWidth="1"/>
    <col min="5" max="5" width="15.81640625" style="2" bestFit="1" customWidth="1"/>
    <col min="6" max="6" width="13.7265625" style="2" customWidth="1"/>
    <col min="7" max="7" width="18.453125" style="229" hidden="1" customWidth="1"/>
    <col min="8" max="8" width="20.81640625" style="229" hidden="1" customWidth="1"/>
    <col min="9" max="10" width="20.453125" style="229" hidden="1" customWidth="1"/>
    <col min="11" max="11" width="11.453125" style="2" customWidth="1"/>
    <col min="12" max="13" width="20.453125" style="2" customWidth="1"/>
    <col min="14" max="14" width="35.81640625" style="2" customWidth="1"/>
    <col min="15" max="15" width="16.1796875" style="2" customWidth="1"/>
    <col min="16" max="16" width="39.7265625" style="2" customWidth="1"/>
    <col min="17" max="17" width="11.453125" style="2" customWidth="1"/>
    <col min="18" max="18" width="13.1796875" style="2" customWidth="1"/>
    <col min="19" max="19" width="13.453125" style="2" customWidth="1"/>
    <col min="20" max="20" width="11.453125" style="2" customWidth="1"/>
    <col min="21" max="16384" width="11.453125" style="2"/>
  </cols>
  <sheetData>
    <row r="1" spans="2:18" ht="42" customHeight="1" thickBot="1" x14ac:dyDescent="0.3"/>
    <row r="2" spans="2:18" ht="29.25" customHeight="1" thickBot="1" x14ac:dyDescent="0.3">
      <c r="B2" s="164" t="s">
        <v>516</v>
      </c>
      <c r="C2" s="165" t="s">
        <v>517</v>
      </c>
      <c r="D2" s="166" t="s">
        <v>518</v>
      </c>
      <c r="E2" s="167" t="s">
        <v>519</v>
      </c>
      <c r="F2" s="168" t="s">
        <v>520</v>
      </c>
      <c r="G2" s="230" t="s">
        <v>947</v>
      </c>
      <c r="H2" s="231" t="s">
        <v>521</v>
      </c>
      <c r="I2" s="232" t="s">
        <v>522</v>
      </c>
      <c r="J2" s="233" t="s">
        <v>523</v>
      </c>
      <c r="K2" s="143" t="s">
        <v>524</v>
      </c>
      <c r="L2" s="121" t="s">
        <v>525</v>
      </c>
      <c r="M2" s="121" t="s">
        <v>526</v>
      </c>
      <c r="N2" s="121" t="s">
        <v>527</v>
      </c>
      <c r="O2" s="121" t="s">
        <v>528</v>
      </c>
      <c r="P2" s="121" t="s">
        <v>529</v>
      </c>
    </row>
    <row r="3" spans="2:18" s="6" customFormat="1" ht="16.5" customHeight="1" x14ac:dyDescent="0.35">
      <c r="B3" s="160"/>
      <c r="C3" s="148" t="s">
        <v>1</v>
      </c>
      <c r="D3" s="161"/>
      <c r="E3" s="162"/>
      <c r="F3" s="152" t="s">
        <v>1</v>
      </c>
      <c r="G3" s="14">
        <f t="shared" ref="G3:G17" si="0">IF(F3="4 MESES Semestre 1",4,IF(F3="4 MESES Semestre 2",4,IF(F3="8 Meses",4,IF(F3="10 Meses",5,IF(F3="11 Meses",5.5,IF(F3="1 año",6,IF(F3="Indefinido",6,0)))))))</f>
        <v>0</v>
      </c>
      <c r="H3" s="163">
        <f>(E3*G3*(IFERROR(VLOOKUP(D3,BaseSalarial!$B$20:$E$58,4,0)/G3,"0")))</f>
        <v>0</v>
      </c>
      <c r="I3" s="169">
        <f t="shared" ref="I3:I17" si="1">IF(F3="4 MESES Semestre 1",H3*G3,IF(F3="4 MESES Semestre 2",0,IF(F3="8 Meses",H3*G3,IF(F3="10 Meses",H3*G3,IF(F3="11 Meses",H3*G3,IF(F3="1 Año",H3*G3,IF(F3="Indefinido",H3*G3,0)))))))</f>
        <v>0</v>
      </c>
      <c r="J3" s="159">
        <f t="shared" ref="J3:J17" si="2">IF(F3="4 MESES Semestre 1",0,IF(F3="4 MESES Semestre 2",H3*G3,IF(F3="8 Meses",H3*G3,IF(F3="10 Meses",H3*G3,IF(F3="11 Meses",H3*G3,IF(F3="1 Año",H3*G3,IF(F3="Indefinido",H3*G3,0)))))))</f>
        <v>0</v>
      </c>
      <c r="K3" s="144" t="s">
        <v>13</v>
      </c>
      <c r="L3" s="22">
        <f>IF(K3="SI",I3,IF(K3="NO",0,"Sin comprobar"))</f>
        <v>0</v>
      </c>
      <c r="M3" s="22">
        <f>IF(K3="SI",J3,IF(K3="NO",0,"Sin comprobar"))</f>
        <v>0</v>
      </c>
      <c r="N3" s="83"/>
      <c r="O3" s="15"/>
      <c r="P3" s="74"/>
    </row>
    <row r="4" spans="2:18" s="6" customFormat="1" ht="16.5" customHeight="1" x14ac:dyDescent="0.35">
      <c r="B4" s="146"/>
      <c r="C4" s="148" t="s">
        <v>1</v>
      </c>
      <c r="D4" s="150"/>
      <c r="E4" s="154"/>
      <c r="F4" s="152" t="s">
        <v>1</v>
      </c>
      <c r="G4" s="14">
        <f t="shared" si="0"/>
        <v>0</v>
      </c>
      <c r="H4" s="156">
        <f>(E4*G4*(IFERROR(VLOOKUP(D4,BaseSalarial!$B$20:$E$58,4,0)/G4,"0")))</f>
        <v>0</v>
      </c>
      <c r="I4" s="170">
        <f t="shared" si="1"/>
        <v>0</v>
      </c>
      <c r="J4" s="158">
        <f t="shared" si="2"/>
        <v>0</v>
      </c>
      <c r="K4" s="144" t="s">
        <v>13</v>
      </c>
      <c r="L4" s="22">
        <f t="shared" ref="L4:L17" si="3">IF(K4="SI",I4,IF(K4="NO",0,"Sin comprobar"))</f>
        <v>0</v>
      </c>
      <c r="M4" s="22">
        <f t="shared" ref="M4:M17" si="4">IF(K4="SI",J4,IF(K4="NO",0,"Sin comprobar"))</f>
        <v>0</v>
      </c>
      <c r="N4" s="83"/>
      <c r="O4" s="15"/>
      <c r="P4" s="74"/>
    </row>
    <row r="5" spans="2:18" s="6" customFormat="1" ht="16.5" customHeight="1" x14ac:dyDescent="0.35">
      <c r="B5" s="146"/>
      <c r="C5" s="148" t="s">
        <v>1</v>
      </c>
      <c r="D5" s="150"/>
      <c r="E5" s="154"/>
      <c r="F5" s="152" t="s">
        <v>1</v>
      </c>
      <c r="G5" s="14">
        <f t="shared" si="0"/>
        <v>0</v>
      </c>
      <c r="H5" s="156">
        <f>(E5*G5*(IFERROR(VLOOKUP(D5,BaseSalarial!$B$20:$E$58,4,0)/G5,"0")))</f>
        <v>0</v>
      </c>
      <c r="I5" s="170">
        <f t="shared" si="1"/>
        <v>0</v>
      </c>
      <c r="J5" s="158">
        <f t="shared" si="2"/>
        <v>0</v>
      </c>
      <c r="K5" s="144" t="s">
        <v>13</v>
      </c>
      <c r="L5" s="22">
        <f t="shared" si="3"/>
        <v>0</v>
      </c>
      <c r="M5" s="22">
        <f t="shared" si="4"/>
        <v>0</v>
      </c>
      <c r="N5" s="83"/>
      <c r="O5" s="15"/>
      <c r="P5" s="74"/>
    </row>
    <row r="6" spans="2:18" s="6" customFormat="1" ht="16.5" customHeight="1" x14ac:dyDescent="0.35">
      <c r="B6" s="146"/>
      <c r="C6" s="148" t="s">
        <v>1</v>
      </c>
      <c r="D6" s="150"/>
      <c r="E6" s="154"/>
      <c r="F6" s="152" t="s">
        <v>1</v>
      </c>
      <c r="G6" s="14">
        <f t="shared" si="0"/>
        <v>0</v>
      </c>
      <c r="H6" s="156">
        <f>(E6*G6*(IFERROR(VLOOKUP(D6,BaseSalarial!$B$20:$E$58,4,0)/G6,"0")))</f>
        <v>0</v>
      </c>
      <c r="I6" s="170">
        <f t="shared" si="1"/>
        <v>0</v>
      </c>
      <c r="J6" s="158">
        <f t="shared" si="2"/>
        <v>0</v>
      </c>
      <c r="K6" s="144" t="s">
        <v>13</v>
      </c>
      <c r="L6" s="22">
        <f t="shared" si="3"/>
        <v>0</v>
      </c>
      <c r="M6" s="22">
        <f t="shared" si="4"/>
        <v>0</v>
      </c>
      <c r="N6" s="83"/>
      <c r="O6" s="15"/>
      <c r="P6" s="74"/>
    </row>
    <row r="7" spans="2:18" s="6" customFormat="1" ht="16.5" customHeight="1" x14ac:dyDescent="0.35">
      <c r="B7" s="146"/>
      <c r="C7" s="148" t="s">
        <v>1</v>
      </c>
      <c r="D7" s="150"/>
      <c r="E7" s="154"/>
      <c r="F7" s="152" t="s">
        <v>1</v>
      </c>
      <c r="G7" s="14">
        <f t="shared" si="0"/>
        <v>0</v>
      </c>
      <c r="H7" s="156">
        <f>(E7*G7*(IFERROR(VLOOKUP(D7,BaseSalarial!$B$20:$E$58,4,0)/G7,"0")))</f>
        <v>0</v>
      </c>
      <c r="I7" s="170">
        <f t="shared" si="1"/>
        <v>0</v>
      </c>
      <c r="J7" s="158">
        <f t="shared" si="2"/>
        <v>0</v>
      </c>
      <c r="K7" s="144" t="s">
        <v>13</v>
      </c>
      <c r="L7" s="22">
        <f t="shared" si="3"/>
        <v>0</v>
      </c>
      <c r="M7" s="22">
        <f t="shared" si="4"/>
        <v>0</v>
      </c>
      <c r="N7" s="83"/>
      <c r="O7" s="15"/>
      <c r="P7" s="74"/>
    </row>
    <row r="8" spans="2:18" s="6" customFormat="1" ht="16.5" customHeight="1" x14ac:dyDescent="0.35">
      <c r="B8" s="146"/>
      <c r="C8" s="148" t="s">
        <v>1</v>
      </c>
      <c r="D8" s="150"/>
      <c r="E8" s="154"/>
      <c r="F8" s="152" t="s">
        <v>1</v>
      </c>
      <c r="G8" s="14">
        <f t="shared" si="0"/>
        <v>0</v>
      </c>
      <c r="H8" s="156">
        <f>(E8*G8*(IFERROR(VLOOKUP(D8,BaseSalarial!$B$20:$E$58,4,0)/G8,"0")))</f>
        <v>0</v>
      </c>
      <c r="I8" s="170">
        <f t="shared" si="1"/>
        <v>0</v>
      </c>
      <c r="J8" s="158">
        <f t="shared" si="2"/>
        <v>0</v>
      </c>
      <c r="K8" s="144" t="s">
        <v>13</v>
      </c>
      <c r="L8" s="22">
        <f t="shared" si="3"/>
        <v>0</v>
      </c>
      <c r="M8" s="22">
        <f t="shared" si="4"/>
        <v>0</v>
      </c>
      <c r="N8" s="83"/>
      <c r="O8" s="15"/>
      <c r="P8" s="74"/>
    </row>
    <row r="9" spans="2:18" s="6" customFormat="1" ht="16.5" customHeight="1" x14ac:dyDescent="0.35">
      <c r="B9" s="146"/>
      <c r="C9" s="148" t="s">
        <v>1</v>
      </c>
      <c r="D9" s="150"/>
      <c r="E9" s="154"/>
      <c r="F9" s="152" t="s">
        <v>1</v>
      </c>
      <c r="G9" s="14">
        <f t="shared" si="0"/>
        <v>0</v>
      </c>
      <c r="H9" s="156">
        <f>(E9*G9*(IFERROR(VLOOKUP(D9,BaseSalarial!$B$20:$E$58,4,0)/G9,"0")))</f>
        <v>0</v>
      </c>
      <c r="I9" s="170">
        <f t="shared" si="1"/>
        <v>0</v>
      </c>
      <c r="J9" s="158">
        <f t="shared" si="2"/>
        <v>0</v>
      </c>
      <c r="K9" s="144" t="s">
        <v>13</v>
      </c>
      <c r="L9" s="22">
        <f t="shared" si="3"/>
        <v>0</v>
      </c>
      <c r="M9" s="22">
        <f t="shared" si="4"/>
        <v>0</v>
      </c>
      <c r="N9" s="83"/>
      <c r="O9" s="15"/>
      <c r="P9" s="74"/>
    </row>
    <row r="10" spans="2:18" s="6" customFormat="1" ht="16.5" customHeight="1" x14ac:dyDescent="0.35">
      <c r="B10" s="146"/>
      <c r="C10" s="148" t="s">
        <v>1</v>
      </c>
      <c r="D10" s="150"/>
      <c r="E10" s="154"/>
      <c r="F10" s="152" t="s">
        <v>1</v>
      </c>
      <c r="G10" s="14">
        <f t="shared" si="0"/>
        <v>0</v>
      </c>
      <c r="H10" s="156">
        <f>(E10*G10*(IFERROR(VLOOKUP(D10,BaseSalarial!$B$20:$E$58,4,0)/G10,"0")))</f>
        <v>0</v>
      </c>
      <c r="I10" s="170">
        <f t="shared" si="1"/>
        <v>0</v>
      </c>
      <c r="J10" s="158">
        <f t="shared" si="2"/>
        <v>0</v>
      </c>
      <c r="K10" s="144" t="s">
        <v>13</v>
      </c>
      <c r="L10" s="22">
        <f t="shared" si="3"/>
        <v>0</v>
      </c>
      <c r="M10" s="22">
        <f t="shared" si="4"/>
        <v>0</v>
      </c>
      <c r="N10" s="83"/>
      <c r="O10" s="15"/>
      <c r="P10" s="74"/>
    </row>
    <row r="11" spans="2:18" s="6" customFormat="1" ht="16.5" customHeight="1" x14ac:dyDescent="0.35">
      <c r="B11" s="146"/>
      <c r="C11" s="148" t="s">
        <v>1</v>
      </c>
      <c r="D11" s="150"/>
      <c r="E11" s="154"/>
      <c r="F11" s="152" t="s">
        <v>1</v>
      </c>
      <c r="G11" s="14">
        <f t="shared" si="0"/>
        <v>0</v>
      </c>
      <c r="H11" s="156">
        <f>(E11*G11*(IFERROR(VLOOKUP(D11,BaseSalarial!$B$20:$E$58,4,0)/G11,"0")))</f>
        <v>0</v>
      </c>
      <c r="I11" s="170">
        <f t="shared" si="1"/>
        <v>0</v>
      </c>
      <c r="J11" s="158">
        <f t="shared" si="2"/>
        <v>0</v>
      </c>
      <c r="K11" s="144" t="s">
        <v>13</v>
      </c>
      <c r="L11" s="22">
        <f t="shared" si="3"/>
        <v>0</v>
      </c>
      <c r="M11" s="22">
        <f t="shared" si="4"/>
        <v>0</v>
      </c>
      <c r="N11" s="83"/>
      <c r="O11" s="15"/>
      <c r="P11" s="74"/>
    </row>
    <row r="12" spans="2:18" s="6" customFormat="1" ht="16.5" customHeight="1" x14ac:dyDescent="0.35">
      <c r="B12" s="146"/>
      <c r="C12" s="148" t="s">
        <v>1</v>
      </c>
      <c r="D12" s="150"/>
      <c r="E12" s="154"/>
      <c r="F12" s="152" t="s">
        <v>1</v>
      </c>
      <c r="G12" s="14">
        <f t="shared" si="0"/>
        <v>0</v>
      </c>
      <c r="H12" s="156">
        <f>(E12*G12*(IFERROR(VLOOKUP(D12,BaseSalarial!$B$20:$E$58,4,0)/G12,"0")))</f>
        <v>0</v>
      </c>
      <c r="I12" s="170">
        <f t="shared" si="1"/>
        <v>0</v>
      </c>
      <c r="J12" s="158">
        <f t="shared" si="2"/>
        <v>0</v>
      </c>
      <c r="K12" s="144" t="s">
        <v>13</v>
      </c>
      <c r="L12" s="22">
        <f t="shared" si="3"/>
        <v>0</v>
      </c>
      <c r="M12" s="22">
        <f t="shared" si="4"/>
        <v>0</v>
      </c>
      <c r="N12" s="83"/>
      <c r="O12" s="15"/>
      <c r="P12" s="74"/>
    </row>
    <row r="13" spans="2:18" s="6" customFormat="1" ht="16.5" customHeight="1" x14ac:dyDescent="0.35">
      <c r="B13" s="146"/>
      <c r="C13" s="148" t="s">
        <v>1</v>
      </c>
      <c r="D13" s="150"/>
      <c r="E13" s="154"/>
      <c r="F13" s="152" t="s">
        <v>1</v>
      </c>
      <c r="G13" s="14">
        <f t="shared" si="0"/>
        <v>0</v>
      </c>
      <c r="H13" s="156">
        <f>(E13*G13*(IFERROR(VLOOKUP(D13,BaseSalarial!$B$20:$E$58,4,0)/G13,"0")))</f>
        <v>0</v>
      </c>
      <c r="I13" s="170">
        <f t="shared" si="1"/>
        <v>0</v>
      </c>
      <c r="J13" s="158">
        <f t="shared" si="2"/>
        <v>0</v>
      </c>
      <c r="K13" s="144" t="s">
        <v>13</v>
      </c>
      <c r="L13" s="22">
        <f t="shared" si="3"/>
        <v>0</v>
      </c>
      <c r="M13" s="22">
        <f t="shared" si="4"/>
        <v>0</v>
      </c>
      <c r="N13" s="83"/>
      <c r="O13" s="15"/>
      <c r="P13" s="74"/>
    </row>
    <row r="14" spans="2:18" s="6" customFormat="1" ht="16.5" customHeight="1" x14ac:dyDescent="0.35">
      <c r="B14" s="146"/>
      <c r="C14" s="148" t="s">
        <v>1</v>
      </c>
      <c r="D14" s="150"/>
      <c r="E14" s="154"/>
      <c r="F14" s="152" t="s">
        <v>1</v>
      </c>
      <c r="G14" s="14">
        <f t="shared" si="0"/>
        <v>0</v>
      </c>
      <c r="H14" s="156">
        <f>(E14*G14*(IFERROR(VLOOKUP(D14,BaseSalarial!$B$20:$E$58,4,0)/G14,"0")))</f>
        <v>0</v>
      </c>
      <c r="I14" s="170">
        <f t="shared" si="1"/>
        <v>0</v>
      </c>
      <c r="J14" s="158">
        <f t="shared" si="2"/>
        <v>0</v>
      </c>
      <c r="K14" s="144" t="s">
        <v>13</v>
      </c>
      <c r="L14" s="22">
        <f t="shared" si="3"/>
        <v>0</v>
      </c>
      <c r="M14" s="22">
        <f t="shared" si="4"/>
        <v>0</v>
      </c>
      <c r="N14" s="83"/>
      <c r="O14" s="15"/>
      <c r="P14" s="74"/>
      <c r="R14" s="23"/>
    </row>
    <row r="15" spans="2:18" s="6" customFormat="1" ht="16.5" customHeight="1" x14ac:dyDescent="0.35">
      <c r="B15" s="146"/>
      <c r="C15" s="148" t="s">
        <v>1</v>
      </c>
      <c r="D15" s="150"/>
      <c r="E15" s="154"/>
      <c r="F15" s="152" t="s">
        <v>1</v>
      </c>
      <c r="G15" s="14">
        <f t="shared" si="0"/>
        <v>0</v>
      </c>
      <c r="H15" s="156">
        <f>(E15*G15*(IFERROR(VLOOKUP(D15,BaseSalarial!$B$20:$E$58,4,0)/G15,"0")))</f>
        <v>0</v>
      </c>
      <c r="I15" s="170">
        <f t="shared" si="1"/>
        <v>0</v>
      </c>
      <c r="J15" s="158">
        <f t="shared" si="2"/>
        <v>0</v>
      </c>
      <c r="K15" s="144" t="s">
        <v>13</v>
      </c>
      <c r="L15" s="22">
        <f t="shared" si="3"/>
        <v>0</v>
      </c>
      <c r="M15" s="22">
        <f t="shared" si="4"/>
        <v>0</v>
      </c>
      <c r="N15" s="83"/>
      <c r="O15" s="15"/>
      <c r="P15" s="74"/>
    </row>
    <row r="16" spans="2:18" s="6" customFormat="1" ht="16.5" customHeight="1" x14ac:dyDescent="0.35">
      <c r="B16" s="146"/>
      <c r="C16" s="148" t="s">
        <v>1</v>
      </c>
      <c r="D16" s="150"/>
      <c r="E16" s="154"/>
      <c r="F16" s="152" t="s">
        <v>1</v>
      </c>
      <c r="G16" s="14">
        <f t="shared" si="0"/>
        <v>0</v>
      </c>
      <c r="H16" s="156">
        <f>(E16*G16*(IFERROR(VLOOKUP(D16,BaseSalarial!$B$20:$E$58,4,0)/G16,"0")))</f>
        <v>0</v>
      </c>
      <c r="I16" s="170">
        <f t="shared" si="1"/>
        <v>0</v>
      </c>
      <c r="J16" s="158">
        <f t="shared" si="2"/>
        <v>0</v>
      </c>
      <c r="K16" s="144" t="s">
        <v>13</v>
      </c>
      <c r="L16" s="22">
        <f t="shared" si="3"/>
        <v>0</v>
      </c>
      <c r="M16" s="22">
        <f t="shared" si="4"/>
        <v>0</v>
      </c>
      <c r="N16" s="83"/>
      <c r="O16" s="15"/>
      <c r="P16" s="74"/>
    </row>
    <row r="17" spans="2:16" s="6" customFormat="1" ht="16.5" customHeight="1" thickBot="1" x14ac:dyDescent="0.4">
      <c r="B17" s="147"/>
      <c r="C17" s="149" t="s">
        <v>1</v>
      </c>
      <c r="D17" s="151"/>
      <c r="E17" s="155"/>
      <c r="F17" s="153" t="s">
        <v>1</v>
      </c>
      <c r="G17" s="145">
        <f t="shared" si="0"/>
        <v>0</v>
      </c>
      <c r="H17" s="157">
        <f>(E17*G17*(IFERROR(VLOOKUP(D17,BaseSalarial!$B$20:$E$58,4,0)/G17,"0")))</f>
        <v>0</v>
      </c>
      <c r="I17" s="171">
        <f t="shared" si="1"/>
        <v>0</v>
      </c>
      <c r="J17" s="173">
        <f t="shared" si="2"/>
        <v>0</v>
      </c>
      <c r="K17" s="144" t="s">
        <v>13</v>
      </c>
      <c r="L17" s="22">
        <f t="shared" si="3"/>
        <v>0</v>
      </c>
      <c r="M17" s="22">
        <f t="shared" si="4"/>
        <v>0</v>
      </c>
      <c r="N17" s="83"/>
      <c r="O17" s="15"/>
      <c r="P17" s="74"/>
    </row>
    <row r="18" spans="2:16" s="6" customFormat="1" ht="16.5" customHeight="1" thickBot="1" x14ac:dyDescent="0.3">
      <c r="G18" s="234"/>
      <c r="H18" s="234"/>
      <c r="I18" s="172">
        <f>SUM(I3:I17)</f>
        <v>0</v>
      </c>
      <c r="J18" s="174">
        <f>SUM(J3:J17)</f>
        <v>0</v>
      </c>
      <c r="L18" s="24">
        <f>SUM(L3:L17)</f>
        <v>0</v>
      </c>
      <c r="M18" s="24">
        <f>SUM(M3:M17)</f>
        <v>0</v>
      </c>
      <c r="O18" s="75">
        <f>SUM(O3:O17)</f>
        <v>0</v>
      </c>
    </row>
    <row r="19" spans="2:16" s="6" customFormat="1" ht="16.5" customHeight="1" x14ac:dyDescent="0.35">
      <c r="G19" s="234"/>
      <c r="H19" s="234"/>
      <c r="I19" s="234"/>
      <c r="J19" s="234"/>
    </row>
    <row r="20" spans="2:16" s="6" customFormat="1" ht="16.5" customHeight="1" x14ac:dyDescent="0.35">
      <c r="G20" s="234"/>
      <c r="H20" s="234"/>
      <c r="I20" s="234"/>
      <c r="J20" s="234"/>
    </row>
    <row r="21" spans="2:16" x14ac:dyDescent="0.25">
      <c r="H21" s="234"/>
      <c r="I21" s="234"/>
      <c r="J21" s="234"/>
      <c r="K21" s="6"/>
      <c r="L21" s="6"/>
      <c r="M21" s="6"/>
      <c r="N21" s="6"/>
      <c r="O21" s="6"/>
    </row>
    <row r="22" spans="2:16" x14ac:dyDescent="0.25">
      <c r="E22" s="228"/>
    </row>
  </sheetData>
  <sheetProtection algorithmName="SHA-512" hashValue="3bFaF+3R1u5x4Q/advn1zUNBjWfeY/BUM3TrZOBQrzC2SBih7TP2/duq2O6FCQwZzgbUP8O01MIBmt0+RhYpDg==" saltValue="Fe06AhLmlUYYMrRMP5pKsQ==" spinCount="100000" sheet="1" objects="1" scenarios="1"/>
  <dataConsolidate link="1"/>
  <conditionalFormatting sqref="L3:M17">
    <cfRule type="containsText" dxfId="47" priority="17" operator="containsText" text="Sin comprobar">
      <formula>NOT(ISERROR(SEARCH("Sin comprobar",L3)))</formula>
    </cfRule>
  </conditionalFormatting>
  <conditionalFormatting sqref="K3:K17">
    <cfRule type="containsText" dxfId="46" priority="12" operator="containsText" text="NO">
      <formula>NOT(ISERROR(SEARCH("NO",K3)))</formula>
    </cfRule>
    <cfRule type="containsText" dxfId="45" priority="13" operator="containsText" text="SI">
      <formula>NOT(ISERROR(SEARCH("SI",K3)))</formula>
    </cfRule>
  </conditionalFormatting>
  <dataValidations count="1">
    <dataValidation type="whole" allowBlank="1" showInputMessage="1" showErrorMessage="1" sqref="E3:E17">
      <formula1>1</formula1>
      <formula2>50</formula2>
    </dataValidation>
  </dataValidations>
  <pageMargins left="0.7" right="0.7" top="0.75" bottom="0.75" header="0.3" footer="0.3"/>
  <pageSetup orientation="portrait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Convencionales!$B$3:$B$4</xm:f>
          </x14:formula1>
          <xm:sqref>K3:K17</xm:sqref>
        </x14:dataValidation>
        <x14:dataValidation type="list" allowBlank="1" showInputMessage="1" showErrorMessage="1">
          <x14:formula1>
            <xm:f>Convencionales!$C$3:$C$10</xm:f>
          </x14:formula1>
          <xm:sqref>F3:F17</xm:sqref>
        </x14:dataValidation>
        <x14:dataValidation type="list" allowBlank="1" showInputMessage="1" showErrorMessage="1">
          <x14:formula1>
            <xm:f>Convencionales!$G$2:$G$73</xm:f>
          </x14:formula1>
          <xm:sqref>C4:C17</xm:sqref>
        </x14:dataValidation>
        <x14:dataValidation type="list" allowBlank="1" showInputMessage="1" showErrorMessage="1">
          <x14:formula1>
            <xm:f>BaseSalarial!$B$20:$B$58</xm:f>
          </x14:formula1>
          <xm:sqref>D3:D17</xm:sqref>
        </x14:dataValidation>
        <x14:dataValidation type="list" allowBlank="1" showInputMessage="1" showErrorMessage="1">
          <x14:formula1>
            <xm:f>Convencionales!$G$2:$G$78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8"/>
  <sheetViews>
    <sheetView showGridLines="0" zoomScale="60" zoomScaleNormal="60" workbookViewId="0"/>
  </sheetViews>
  <sheetFormatPr baseColWidth="10" defaultColWidth="11.453125" defaultRowHeight="12.5" x14ac:dyDescent="0.25"/>
  <cols>
    <col min="1" max="1" width="11.453125" style="2"/>
    <col min="2" max="2" width="18.26953125" style="2" customWidth="1"/>
    <col min="3" max="3" width="24.1796875" style="2" customWidth="1"/>
    <col min="4" max="4" width="17" style="2" customWidth="1"/>
    <col min="5" max="5" width="18.54296875" style="2" bestFit="1" customWidth="1"/>
    <col min="6" max="6" width="16.453125" style="2" customWidth="1"/>
    <col min="7" max="7" width="23" style="2" bestFit="1" customWidth="1"/>
    <col min="8" max="8" width="18.26953125" style="2" bestFit="1" customWidth="1"/>
    <col min="9" max="9" width="19" style="2" customWidth="1"/>
    <col min="10" max="10" width="19.453125" style="2" customWidth="1"/>
    <col min="11" max="11" width="16.54296875" style="2" customWidth="1"/>
    <col min="12" max="12" width="11.453125" style="2" customWidth="1"/>
    <col min="13" max="13" width="29" style="2" customWidth="1"/>
    <col min="14" max="16" width="11.453125" style="2" customWidth="1"/>
    <col min="17" max="16384" width="11.453125" style="2"/>
  </cols>
  <sheetData>
    <row r="1" spans="2:13" ht="45" customHeight="1" x14ac:dyDescent="0.25">
      <c r="E1" s="85" t="s">
        <v>530</v>
      </c>
    </row>
    <row r="2" spans="2:13" ht="33.75" customHeight="1" x14ac:dyDescent="0.25">
      <c r="B2" s="130" t="s">
        <v>531</v>
      </c>
      <c r="C2" s="131" t="s">
        <v>532</v>
      </c>
      <c r="D2" s="130" t="s">
        <v>533</v>
      </c>
      <c r="E2" s="129" t="s">
        <v>520</v>
      </c>
      <c r="F2" s="47" t="s">
        <v>522</v>
      </c>
      <c r="G2" s="46" t="s">
        <v>523</v>
      </c>
      <c r="H2" s="121" t="s">
        <v>524</v>
      </c>
      <c r="I2" s="121" t="s">
        <v>525</v>
      </c>
      <c r="J2" s="121" t="s">
        <v>526</v>
      </c>
      <c r="K2" s="121" t="s">
        <v>527</v>
      </c>
      <c r="L2" s="121" t="s">
        <v>528</v>
      </c>
      <c r="M2" s="121" t="s">
        <v>529</v>
      </c>
    </row>
    <row r="3" spans="2:13" s="6" customFormat="1" ht="15" customHeight="1" x14ac:dyDescent="0.35">
      <c r="B3" s="12">
        <v>0</v>
      </c>
      <c r="C3" s="3" t="s">
        <v>1</v>
      </c>
      <c r="D3" s="25">
        <f>IFERROR(VLOOKUP(C3,BaseSalarial!$B$13:$E$16,4,FALSE),0)</f>
        <v>0</v>
      </c>
      <c r="E3" s="3" t="s">
        <v>1</v>
      </c>
      <c r="F3" s="4">
        <f>B3*(IF(E3="4 MESES Semestre 1",D3*4,IF(E3="4 MESES Semestre 2",0,IF(E3="8 Meses",D3*4,IF(E3="10 Meses",D3*5,IF(E3="11 Meses",D3*5.5,IF(E3="1 Año",D3*6,IF(E3="Indefinido",D3*6,0))))))))</f>
        <v>0</v>
      </c>
      <c r="G3" s="4">
        <f>B3*(IF(E3="4 MESES Semestre 1",0,IF(E3="4 MESES Semestre 2",D3*4,IF(E3="8 Meses",D3*4,IF(E3="10 Meses",D3*5,IF(E3="11 Meses",D3*5.5,IF(E3="1 Año",D3*6,IF(E3="Indefinido",D3*6,0))))))))</f>
        <v>0</v>
      </c>
      <c r="H3" s="9" t="s">
        <v>13</v>
      </c>
      <c r="I3" s="22">
        <f>IF(H3="SI",F3,IF(H3="NO",0,"Sin comprobar"))</f>
        <v>0</v>
      </c>
      <c r="J3" s="22">
        <f>IF(H3="SI",G3,IF(H3="NO",0,"Sin comprobar"))</f>
        <v>0</v>
      </c>
      <c r="K3" s="81"/>
      <c r="L3" s="22"/>
      <c r="M3" s="74"/>
    </row>
    <row r="4" spans="2:13" s="6" customFormat="1" ht="15" customHeight="1" x14ac:dyDescent="0.35">
      <c r="B4" s="12">
        <v>0</v>
      </c>
      <c r="C4" s="3" t="s">
        <v>1</v>
      </c>
      <c r="D4" s="25">
        <f>IFERROR(VLOOKUP(C4,BaseSalarial!$B$13:$E$16,4,FALSE),0)</f>
        <v>0</v>
      </c>
      <c r="E4" s="3" t="s">
        <v>1</v>
      </c>
      <c r="F4" s="4">
        <f t="shared" ref="F4:F17" si="0">B4*(IF(E4="4 MESES Semestre 1",D4*4,IF(E4="4 MESES Semestre 2",0,IF(E4="8 Meses",D4*4,IF(E4="10 Meses",D4*5,IF(E4="11 Meses",D4*5.5,IF(E4="1 Año",D4*6,IF(E4="Indefinido",D4*6,0))))))))</f>
        <v>0</v>
      </c>
      <c r="G4" s="4">
        <f t="shared" ref="G4:G17" si="1">B4*(IF(E4="4 MESES Semestre 1",0,IF(E4="4 MESES Semestre 2",D4*4,IF(E4="8 Meses",D4*4,IF(E4="10 Meses",D4*5,IF(E4="11 Meses",D4*5.5,IF(E4="1 Año",D4*6,IF(E4="Indefinido",D4*6,0))))))))</f>
        <v>0</v>
      </c>
      <c r="H4" s="9" t="s">
        <v>13</v>
      </c>
      <c r="I4" s="22">
        <f t="shared" ref="I4:I17" si="2">IF(H4="SI",F4,IF(H4="NO",0,"Sin comprobar"))</f>
        <v>0</v>
      </c>
      <c r="J4" s="22">
        <f t="shared" ref="J4:J17" si="3">IF(H4="SI",G4,IF(H4="NO",0,"Sin comprobar"))</f>
        <v>0</v>
      </c>
      <c r="K4" s="81"/>
      <c r="L4" s="22"/>
      <c r="M4" s="74"/>
    </row>
    <row r="5" spans="2:13" s="6" customFormat="1" ht="15" customHeight="1" x14ac:dyDescent="0.35">
      <c r="B5" s="12">
        <v>0</v>
      </c>
      <c r="C5" s="3" t="s">
        <v>1</v>
      </c>
      <c r="D5" s="25">
        <f>IFERROR(VLOOKUP(C5,BaseSalarial!$B$13:$E$16,4,FALSE),0)</f>
        <v>0</v>
      </c>
      <c r="E5" s="3" t="s">
        <v>1</v>
      </c>
      <c r="F5" s="4">
        <f t="shared" si="0"/>
        <v>0</v>
      </c>
      <c r="G5" s="4">
        <f t="shared" si="1"/>
        <v>0</v>
      </c>
      <c r="H5" s="9" t="s">
        <v>13</v>
      </c>
      <c r="I5" s="22">
        <f t="shared" si="2"/>
        <v>0</v>
      </c>
      <c r="J5" s="22">
        <f t="shared" si="3"/>
        <v>0</v>
      </c>
      <c r="K5" s="81"/>
      <c r="L5" s="22"/>
      <c r="M5" s="74"/>
    </row>
    <row r="6" spans="2:13" s="6" customFormat="1" ht="15" customHeight="1" x14ac:dyDescent="0.35">
      <c r="B6" s="12">
        <v>0</v>
      </c>
      <c r="C6" s="3" t="s">
        <v>1</v>
      </c>
      <c r="D6" s="25">
        <f>IFERROR(VLOOKUP(C6,BaseSalarial!$B$13:$E$16,4,FALSE),0)</f>
        <v>0</v>
      </c>
      <c r="E6" s="3" t="s">
        <v>1</v>
      </c>
      <c r="F6" s="4">
        <f t="shared" si="0"/>
        <v>0</v>
      </c>
      <c r="G6" s="4">
        <f t="shared" si="1"/>
        <v>0</v>
      </c>
      <c r="H6" s="9" t="s">
        <v>13</v>
      </c>
      <c r="I6" s="22">
        <f t="shared" si="2"/>
        <v>0</v>
      </c>
      <c r="J6" s="22">
        <f t="shared" si="3"/>
        <v>0</v>
      </c>
      <c r="K6" s="81"/>
      <c r="L6" s="22"/>
      <c r="M6" s="74"/>
    </row>
    <row r="7" spans="2:13" s="6" customFormat="1" ht="15" customHeight="1" x14ac:dyDescent="0.35">
      <c r="B7" s="12">
        <v>0</v>
      </c>
      <c r="C7" s="3" t="s">
        <v>1</v>
      </c>
      <c r="D7" s="25">
        <f>IFERROR(VLOOKUP(C7,BaseSalarial!$B$13:$E$16,4,FALSE),0)</f>
        <v>0</v>
      </c>
      <c r="E7" s="3" t="s">
        <v>1</v>
      </c>
      <c r="F7" s="4">
        <f t="shared" si="0"/>
        <v>0</v>
      </c>
      <c r="G7" s="4">
        <f t="shared" si="1"/>
        <v>0</v>
      </c>
      <c r="H7" s="9" t="s">
        <v>13</v>
      </c>
      <c r="I7" s="22">
        <f t="shared" si="2"/>
        <v>0</v>
      </c>
      <c r="J7" s="22">
        <f t="shared" si="3"/>
        <v>0</v>
      </c>
      <c r="K7" s="81"/>
      <c r="L7" s="22"/>
      <c r="M7" s="74"/>
    </row>
    <row r="8" spans="2:13" s="6" customFormat="1" ht="15" customHeight="1" x14ac:dyDescent="0.35">
      <c r="B8" s="12">
        <v>0</v>
      </c>
      <c r="C8" s="3" t="s">
        <v>1</v>
      </c>
      <c r="D8" s="25">
        <f>IFERROR(VLOOKUP(C8,BaseSalarial!$B$13:$E$16,4,FALSE),0)</f>
        <v>0</v>
      </c>
      <c r="E8" s="3" t="s">
        <v>1</v>
      </c>
      <c r="F8" s="4">
        <f t="shared" si="0"/>
        <v>0</v>
      </c>
      <c r="G8" s="4">
        <f t="shared" si="1"/>
        <v>0</v>
      </c>
      <c r="H8" s="9" t="s">
        <v>13</v>
      </c>
      <c r="I8" s="22">
        <f t="shared" si="2"/>
        <v>0</v>
      </c>
      <c r="J8" s="22">
        <f t="shared" si="3"/>
        <v>0</v>
      </c>
      <c r="K8" s="81"/>
      <c r="L8" s="22"/>
      <c r="M8" s="74"/>
    </row>
    <row r="9" spans="2:13" s="6" customFormat="1" ht="15" customHeight="1" x14ac:dyDescent="0.35">
      <c r="B9" s="12">
        <v>0</v>
      </c>
      <c r="C9" s="3" t="s">
        <v>1</v>
      </c>
      <c r="D9" s="25">
        <f>IFERROR(VLOOKUP(C9,BaseSalarial!$B$13:$E$16,4,FALSE),0)</f>
        <v>0</v>
      </c>
      <c r="E9" s="3" t="s">
        <v>1</v>
      </c>
      <c r="F9" s="4">
        <f t="shared" si="0"/>
        <v>0</v>
      </c>
      <c r="G9" s="4">
        <f t="shared" si="1"/>
        <v>0</v>
      </c>
      <c r="H9" s="9" t="s">
        <v>13</v>
      </c>
      <c r="I9" s="22">
        <f t="shared" si="2"/>
        <v>0</v>
      </c>
      <c r="J9" s="22">
        <f t="shared" si="3"/>
        <v>0</v>
      </c>
      <c r="K9" s="81"/>
      <c r="L9" s="22"/>
      <c r="M9" s="74"/>
    </row>
    <row r="10" spans="2:13" s="6" customFormat="1" ht="15" customHeight="1" x14ac:dyDescent="0.35">
      <c r="B10" s="12">
        <v>0</v>
      </c>
      <c r="C10" s="3" t="s">
        <v>1</v>
      </c>
      <c r="D10" s="25">
        <f>IFERROR(VLOOKUP(C10,BaseSalarial!$B$13:$E$16,4,FALSE),0)</f>
        <v>0</v>
      </c>
      <c r="E10" s="3" t="s">
        <v>1</v>
      </c>
      <c r="F10" s="4">
        <f t="shared" si="0"/>
        <v>0</v>
      </c>
      <c r="G10" s="4">
        <f t="shared" si="1"/>
        <v>0</v>
      </c>
      <c r="H10" s="9" t="s">
        <v>13</v>
      </c>
      <c r="I10" s="22">
        <f t="shared" si="2"/>
        <v>0</v>
      </c>
      <c r="J10" s="22">
        <f t="shared" si="3"/>
        <v>0</v>
      </c>
      <c r="K10" s="81"/>
      <c r="L10" s="22"/>
      <c r="M10" s="74"/>
    </row>
    <row r="11" spans="2:13" s="6" customFormat="1" ht="15" customHeight="1" x14ac:dyDescent="0.35">
      <c r="B11" s="12">
        <v>0</v>
      </c>
      <c r="C11" s="3" t="s">
        <v>1</v>
      </c>
      <c r="D11" s="25">
        <f>IFERROR(VLOOKUP(C11,BaseSalarial!$B$13:$E$16,4,FALSE),0)</f>
        <v>0</v>
      </c>
      <c r="E11" s="3" t="s">
        <v>1</v>
      </c>
      <c r="F11" s="4">
        <f t="shared" si="0"/>
        <v>0</v>
      </c>
      <c r="G11" s="4">
        <f t="shared" si="1"/>
        <v>0</v>
      </c>
      <c r="H11" s="9" t="s">
        <v>13</v>
      </c>
      <c r="I11" s="22">
        <f t="shared" si="2"/>
        <v>0</v>
      </c>
      <c r="J11" s="22">
        <f t="shared" si="3"/>
        <v>0</v>
      </c>
      <c r="K11" s="81"/>
      <c r="L11" s="22"/>
      <c r="M11" s="74"/>
    </row>
    <row r="12" spans="2:13" s="6" customFormat="1" ht="15" customHeight="1" x14ac:dyDescent="0.35">
      <c r="B12" s="12">
        <v>0</v>
      </c>
      <c r="C12" s="3" t="s">
        <v>1</v>
      </c>
      <c r="D12" s="25">
        <f>IFERROR(VLOOKUP(C12,BaseSalarial!$B$13:$E$16,4,FALSE),0)</f>
        <v>0</v>
      </c>
      <c r="E12" s="3" t="s">
        <v>1</v>
      </c>
      <c r="F12" s="4">
        <f t="shared" si="0"/>
        <v>0</v>
      </c>
      <c r="G12" s="4">
        <f t="shared" si="1"/>
        <v>0</v>
      </c>
      <c r="H12" s="9" t="s">
        <v>13</v>
      </c>
      <c r="I12" s="22">
        <f t="shared" si="2"/>
        <v>0</v>
      </c>
      <c r="J12" s="22">
        <f t="shared" si="3"/>
        <v>0</v>
      </c>
      <c r="K12" s="81"/>
      <c r="L12" s="22"/>
      <c r="M12" s="74"/>
    </row>
    <row r="13" spans="2:13" s="6" customFormat="1" ht="15" customHeight="1" x14ac:dyDescent="0.35">
      <c r="B13" s="12">
        <v>0</v>
      </c>
      <c r="C13" s="3" t="s">
        <v>1</v>
      </c>
      <c r="D13" s="25">
        <f>IFERROR(VLOOKUP(C13,BaseSalarial!$B$13:$E$16,4,FALSE),0)</f>
        <v>0</v>
      </c>
      <c r="E13" s="3" t="s">
        <v>1</v>
      </c>
      <c r="F13" s="4">
        <f t="shared" si="0"/>
        <v>0</v>
      </c>
      <c r="G13" s="4">
        <f t="shared" si="1"/>
        <v>0</v>
      </c>
      <c r="H13" s="9" t="s">
        <v>13</v>
      </c>
      <c r="I13" s="22">
        <f t="shared" si="2"/>
        <v>0</v>
      </c>
      <c r="J13" s="22">
        <f t="shared" si="3"/>
        <v>0</v>
      </c>
      <c r="K13" s="81"/>
      <c r="L13" s="22"/>
      <c r="M13" s="74"/>
    </row>
    <row r="14" spans="2:13" s="6" customFormat="1" ht="15" customHeight="1" x14ac:dyDescent="0.35">
      <c r="B14" s="12">
        <v>0</v>
      </c>
      <c r="C14" s="3" t="s">
        <v>1</v>
      </c>
      <c r="D14" s="25">
        <f>IFERROR(VLOOKUP(C14,BaseSalarial!$B$13:$E$16,4,FALSE),0)</f>
        <v>0</v>
      </c>
      <c r="E14" s="3" t="s">
        <v>1</v>
      </c>
      <c r="F14" s="4">
        <f t="shared" si="0"/>
        <v>0</v>
      </c>
      <c r="G14" s="4">
        <f t="shared" si="1"/>
        <v>0</v>
      </c>
      <c r="H14" s="9" t="s">
        <v>13</v>
      </c>
      <c r="I14" s="22">
        <f t="shared" si="2"/>
        <v>0</v>
      </c>
      <c r="J14" s="22">
        <f t="shared" si="3"/>
        <v>0</v>
      </c>
      <c r="K14" s="81"/>
      <c r="L14" s="22"/>
      <c r="M14" s="74"/>
    </row>
    <row r="15" spans="2:13" s="6" customFormat="1" ht="15" customHeight="1" x14ac:dyDescent="0.35">
      <c r="B15" s="12">
        <v>0</v>
      </c>
      <c r="C15" s="3" t="s">
        <v>1</v>
      </c>
      <c r="D15" s="25">
        <f>IFERROR(VLOOKUP(C15,BaseSalarial!$B$13:$E$16,4,FALSE),0)</f>
        <v>0</v>
      </c>
      <c r="E15" s="3" t="s">
        <v>1</v>
      </c>
      <c r="F15" s="4">
        <f t="shared" si="0"/>
        <v>0</v>
      </c>
      <c r="G15" s="4">
        <f t="shared" si="1"/>
        <v>0</v>
      </c>
      <c r="H15" s="9" t="s">
        <v>13</v>
      </c>
      <c r="I15" s="22">
        <f t="shared" si="2"/>
        <v>0</v>
      </c>
      <c r="J15" s="22">
        <f t="shared" si="3"/>
        <v>0</v>
      </c>
      <c r="K15" s="81"/>
      <c r="L15" s="22"/>
      <c r="M15" s="74"/>
    </row>
    <row r="16" spans="2:13" s="6" customFormat="1" ht="15" customHeight="1" x14ac:dyDescent="0.35">
      <c r="B16" s="12">
        <v>0</v>
      </c>
      <c r="C16" s="3" t="s">
        <v>1</v>
      </c>
      <c r="D16" s="25">
        <f>IFERROR(VLOOKUP(C16,BaseSalarial!$B$13:$E$16,4,FALSE),0)</f>
        <v>0</v>
      </c>
      <c r="E16" s="3" t="s">
        <v>1</v>
      </c>
      <c r="F16" s="4">
        <f t="shared" si="0"/>
        <v>0</v>
      </c>
      <c r="G16" s="4">
        <f t="shared" si="1"/>
        <v>0</v>
      </c>
      <c r="H16" s="9" t="s">
        <v>13</v>
      </c>
      <c r="I16" s="22">
        <f t="shared" si="2"/>
        <v>0</v>
      </c>
      <c r="J16" s="22">
        <f t="shared" si="3"/>
        <v>0</v>
      </c>
      <c r="K16" s="81"/>
      <c r="L16" s="22"/>
      <c r="M16" s="74"/>
    </row>
    <row r="17" spans="2:13" s="6" customFormat="1" ht="15" customHeight="1" x14ac:dyDescent="0.35">
      <c r="B17" s="12">
        <v>0</v>
      </c>
      <c r="C17" s="3" t="s">
        <v>1</v>
      </c>
      <c r="D17" s="25">
        <f>IFERROR(VLOOKUP(C17,BaseSalarial!$B$13:$E$16,4,FALSE),0)</f>
        <v>0</v>
      </c>
      <c r="E17" s="3" t="s">
        <v>1</v>
      </c>
      <c r="F17" s="4">
        <f t="shared" si="0"/>
        <v>0</v>
      </c>
      <c r="G17" s="4">
        <f t="shared" si="1"/>
        <v>0</v>
      </c>
      <c r="H17" s="9" t="s">
        <v>13</v>
      </c>
      <c r="I17" s="22">
        <f t="shared" si="2"/>
        <v>0</v>
      </c>
      <c r="J17" s="22">
        <f t="shared" si="3"/>
        <v>0</v>
      </c>
      <c r="K17" s="81"/>
      <c r="L17" s="22"/>
      <c r="M17" s="74"/>
    </row>
    <row r="18" spans="2:13" s="6" customFormat="1" ht="16.5" customHeight="1" x14ac:dyDescent="0.25">
      <c r="B18" s="2"/>
      <c r="C18" s="2"/>
      <c r="D18" s="2"/>
      <c r="E18" s="2"/>
      <c r="F18" s="5">
        <f>SUM(F3:F17)</f>
        <v>0</v>
      </c>
      <c r="G18" s="5">
        <f>SUM(G3:G17)</f>
        <v>0</v>
      </c>
      <c r="H18" s="2"/>
      <c r="I18" s="5">
        <f>SUM(I3:I17)</f>
        <v>0</v>
      </c>
      <c r="J18" s="5">
        <f>SUM(J3:J17)</f>
        <v>0</v>
      </c>
      <c r="K18" s="2"/>
      <c r="L18" s="76">
        <f>SUM(L3:L17)</f>
        <v>0</v>
      </c>
      <c r="M18" s="2"/>
    </row>
    <row r="20" spans="2:13" ht="15" x14ac:dyDescent="0.25">
      <c r="E20" s="85" t="s">
        <v>534</v>
      </c>
    </row>
    <row r="22" spans="2:13" ht="32.15" customHeight="1" x14ac:dyDescent="0.25">
      <c r="B22" s="130" t="s">
        <v>531</v>
      </c>
      <c r="C22" s="131" t="s">
        <v>532</v>
      </c>
      <c r="D22" s="130" t="s">
        <v>533</v>
      </c>
      <c r="E22" s="129" t="s">
        <v>520</v>
      </c>
      <c r="F22" s="47" t="s">
        <v>522</v>
      </c>
      <c r="G22" s="46" t="s">
        <v>523</v>
      </c>
      <c r="H22" s="121" t="s">
        <v>524</v>
      </c>
      <c r="I22" s="121" t="s">
        <v>525</v>
      </c>
      <c r="J22" s="121" t="s">
        <v>526</v>
      </c>
      <c r="K22" s="121" t="s">
        <v>527</v>
      </c>
      <c r="L22" s="121" t="s">
        <v>528</v>
      </c>
      <c r="M22" s="121" t="s">
        <v>529</v>
      </c>
    </row>
    <row r="23" spans="2:13" ht="15" customHeight="1" x14ac:dyDescent="0.25">
      <c r="B23" s="12">
        <v>0</v>
      </c>
      <c r="C23" s="3" t="s">
        <v>1</v>
      </c>
      <c r="D23" s="25">
        <f>IFERROR(VLOOKUP(C23,BaseSalarial!$B$13:$J$16,8,FALSE),0)</f>
        <v>0</v>
      </c>
      <c r="E23" s="3" t="s">
        <v>1</v>
      </c>
      <c r="F23" s="4">
        <f>B23*(IF(E23="4 MESES Semestre 1",D23*4,IF(E23="4 MESES Semestre 2",0,IF(E23="8 Meses",D23*4,IF(E23="10 Meses",D23*5,IF(E23="11 Meses",D23*5.5,IF(E23="1 Año",D23*6,IF(E23="Indefinido",D23*6,0))))))))</f>
        <v>0</v>
      </c>
      <c r="G23" s="4">
        <f>B23*(IF(E23="4 MESES Semestre 1",0,IF(E23="4 MESES Semestre 2",D23*4,IF(E23="8 Meses",D23*4,IF(E23="10 Meses",D23*5,IF(E23="11 Meses",D23*5.5,IF(E23="1 Año",D23*6,IF(E23="Indefinido",D23*6,0))))))))</f>
        <v>0</v>
      </c>
      <c r="H23" s="9" t="s">
        <v>9</v>
      </c>
      <c r="I23" s="22">
        <f>IF(H23="SI",F23,IF(H23="NO",0,"Sin comprobar"))</f>
        <v>0</v>
      </c>
      <c r="J23" s="22">
        <f>IF(H23="SI",G23,IF(H23="NO",0,"Sin comprobar"))</f>
        <v>0</v>
      </c>
      <c r="K23" s="81"/>
      <c r="L23" s="22"/>
      <c r="M23" s="74"/>
    </row>
    <row r="24" spans="2:13" ht="15" customHeight="1" x14ac:dyDescent="0.25">
      <c r="B24" s="12">
        <v>0</v>
      </c>
      <c r="C24" s="3" t="s">
        <v>1</v>
      </c>
      <c r="D24" s="25">
        <f>IFERROR(VLOOKUP(C24,BaseSalarial!$B$13:$J$16,8,FALSE),0)</f>
        <v>0</v>
      </c>
      <c r="E24" s="3" t="s">
        <v>1</v>
      </c>
      <c r="F24" s="4">
        <f t="shared" ref="F24:F32" si="4">B24*(IF(E24="4 MESES Semestre 1",D24*4,IF(E24="4 MESES Semestre 2",0,IF(E24="8 Meses",D24*4,IF(E24="10 Meses",D24*5,IF(E24="11 Meses",D24*5.5,IF(E24="1 Año",D24*6,IF(E24="Indefinido",D24*6,0))))))))</f>
        <v>0</v>
      </c>
      <c r="G24" s="4">
        <f t="shared" ref="G24:G32" si="5">B24*(IF(E24="4 MESES Semestre 1",0,IF(E24="4 MESES Semestre 2",D24*4,IF(E24="8 Meses",D24*4,IF(E24="10 Meses",D24*5,IF(E24="11 Meses",D24*5.5,IF(E24="1 Año",D24*6,IF(E24="Indefinido",D24*6,0))))))))</f>
        <v>0</v>
      </c>
      <c r="H24" s="9" t="s">
        <v>13</v>
      </c>
      <c r="I24" s="22">
        <f t="shared" ref="I24:I32" si="6">IF(H24="SI",F24,IF(H24="NO",0,"Sin comprobar"))</f>
        <v>0</v>
      </c>
      <c r="J24" s="22">
        <f t="shared" ref="J24:J32" si="7">IF(H24="SI",G24,IF(H24="NO",0,"Sin comprobar"))</f>
        <v>0</v>
      </c>
      <c r="K24" s="81"/>
      <c r="L24" s="22"/>
      <c r="M24" s="74"/>
    </row>
    <row r="25" spans="2:13" ht="15" customHeight="1" x14ac:dyDescent="0.25">
      <c r="B25" s="12">
        <v>0</v>
      </c>
      <c r="C25" s="3" t="s">
        <v>1</v>
      </c>
      <c r="D25" s="25">
        <f>IFERROR(VLOOKUP(C25,BaseSalarial!$B$13:$J$16,8,FALSE),0)</f>
        <v>0</v>
      </c>
      <c r="E25" s="3" t="s">
        <v>1</v>
      </c>
      <c r="F25" s="4">
        <f t="shared" si="4"/>
        <v>0</v>
      </c>
      <c r="G25" s="4">
        <f t="shared" si="5"/>
        <v>0</v>
      </c>
      <c r="H25" s="9" t="s">
        <v>13</v>
      </c>
      <c r="I25" s="22">
        <f t="shared" si="6"/>
        <v>0</v>
      </c>
      <c r="J25" s="22">
        <f t="shared" si="7"/>
        <v>0</v>
      </c>
      <c r="K25" s="81"/>
      <c r="L25" s="22"/>
      <c r="M25" s="74"/>
    </row>
    <row r="26" spans="2:13" ht="15" customHeight="1" x14ac:dyDescent="0.25">
      <c r="B26" s="12">
        <v>0</v>
      </c>
      <c r="C26" s="3" t="s">
        <v>1</v>
      </c>
      <c r="D26" s="25">
        <f>IFERROR(VLOOKUP(C26,BaseSalarial!$B$13:$J$16,8,FALSE),0)</f>
        <v>0</v>
      </c>
      <c r="E26" s="3" t="s">
        <v>1</v>
      </c>
      <c r="F26" s="4">
        <f t="shared" si="4"/>
        <v>0</v>
      </c>
      <c r="G26" s="4">
        <f t="shared" si="5"/>
        <v>0</v>
      </c>
      <c r="H26" s="9" t="s">
        <v>13</v>
      </c>
      <c r="I26" s="22">
        <f t="shared" si="6"/>
        <v>0</v>
      </c>
      <c r="J26" s="22">
        <f t="shared" si="7"/>
        <v>0</v>
      </c>
      <c r="K26" s="81"/>
      <c r="L26" s="22"/>
      <c r="M26" s="74"/>
    </row>
    <row r="27" spans="2:13" ht="15" customHeight="1" x14ac:dyDescent="0.25">
      <c r="B27" s="12">
        <v>0</v>
      </c>
      <c r="C27" s="3" t="s">
        <v>1</v>
      </c>
      <c r="D27" s="25">
        <f>IFERROR(VLOOKUP(C27,BaseSalarial!$B$13:$J$16,8,FALSE),0)</f>
        <v>0</v>
      </c>
      <c r="E27" s="3" t="s">
        <v>1</v>
      </c>
      <c r="F27" s="4">
        <f t="shared" si="4"/>
        <v>0</v>
      </c>
      <c r="G27" s="4">
        <f t="shared" si="5"/>
        <v>0</v>
      </c>
      <c r="H27" s="9" t="s">
        <v>13</v>
      </c>
      <c r="I27" s="22">
        <f t="shared" si="6"/>
        <v>0</v>
      </c>
      <c r="J27" s="22">
        <f t="shared" si="7"/>
        <v>0</v>
      </c>
      <c r="K27" s="81"/>
      <c r="L27" s="22"/>
      <c r="M27" s="74"/>
    </row>
    <row r="28" spans="2:13" ht="15" customHeight="1" x14ac:dyDescent="0.25">
      <c r="B28" s="12">
        <v>0</v>
      </c>
      <c r="C28" s="3" t="s">
        <v>1</v>
      </c>
      <c r="D28" s="25">
        <f>IFERROR(VLOOKUP(C28,BaseSalarial!$B$13:$J$16,8,FALSE),0)</f>
        <v>0</v>
      </c>
      <c r="E28" s="3" t="s">
        <v>1</v>
      </c>
      <c r="F28" s="4">
        <f t="shared" si="4"/>
        <v>0</v>
      </c>
      <c r="G28" s="4">
        <f t="shared" si="5"/>
        <v>0</v>
      </c>
      <c r="H28" s="9" t="s">
        <v>13</v>
      </c>
      <c r="I28" s="22">
        <f t="shared" si="6"/>
        <v>0</v>
      </c>
      <c r="J28" s="22">
        <f t="shared" si="7"/>
        <v>0</v>
      </c>
      <c r="K28" s="81"/>
      <c r="L28" s="22"/>
      <c r="M28" s="74"/>
    </row>
    <row r="29" spans="2:13" ht="15" customHeight="1" x14ac:dyDescent="0.25">
      <c r="B29" s="12">
        <v>0</v>
      </c>
      <c r="C29" s="3" t="s">
        <v>1</v>
      </c>
      <c r="D29" s="25">
        <f>IFERROR(VLOOKUP(C29,BaseSalarial!$B$13:$J$16,8,FALSE),0)</f>
        <v>0</v>
      </c>
      <c r="E29" s="3" t="s">
        <v>1</v>
      </c>
      <c r="F29" s="4">
        <f t="shared" si="4"/>
        <v>0</v>
      </c>
      <c r="G29" s="4">
        <f t="shared" si="5"/>
        <v>0</v>
      </c>
      <c r="H29" s="9" t="s">
        <v>13</v>
      </c>
      <c r="I29" s="22">
        <f t="shared" si="6"/>
        <v>0</v>
      </c>
      <c r="J29" s="22">
        <f t="shared" si="7"/>
        <v>0</v>
      </c>
      <c r="K29" s="81"/>
      <c r="L29" s="22"/>
      <c r="M29" s="74"/>
    </row>
    <row r="30" spans="2:13" ht="15" customHeight="1" x14ac:dyDescent="0.25">
      <c r="B30" s="12">
        <v>0</v>
      </c>
      <c r="C30" s="3" t="s">
        <v>1</v>
      </c>
      <c r="D30" s="25">
        <f>IFERROR(VLOOKUP(C30,BaseSalarial!$B$13:$J$16,8,FALSE),0)</f>
        <v>0</v>
      </c>
      <c r="E30" s="3" t="s">
        <v>1</v>
      </c>
      <c r="F30" s="4">
        <f t="shared" si="4"/>
        <v>0</v>
      </c>
      <c r="G30" s="4">
        <f t="shared" si="5"/>
        <v>0</v>
      </c>
      <c r="H30" s="9" t="s">
        <v>13</v>
      </c>
      <c r="I30" s="22">
        <f t="shared" si="6"/>
        <v>0</v>
      </c>
      <c r="J30" s="22">
        <f t="shared" si="7"/>
        <v>0</v>
      </c>
      <c r="K30" s="81"/>
      <c r="L30" s="22"/>
      <c r="M30" s="74"/>
    </row>
    <row r="31" spans="2:13" ht="15" customHeight="1" x14ac:dyDescent="0.25">
      <c r="B31" s="12">
        <v>0</v>
      </c>
      <c r="C31" s="3" t="s">
        <v>1</v>
      </c>
      <c r="D31" s="25">
        <f>IFERROR(VLOOKUP(C31,BaseSalarial!$B$13:$J$16,8,FALSE),0)</f>
        <v>0</v>
      </c>
      <c r="E31" s="3" t="s">
        <v>1</v>
      </c>
      <c r="F31" s="4">
        <f t="shared" si="4"/>
        <v>0</v>
      </c>
      <c r="G31" s="4">
        <f t="shared" si="5"/>
        <v>0</v>
      </c>
      <c r="H31" s="9" t="s">
        <v>13</v>
      </c>
      <c r="I31" s="22">
        <f t="shared" si="6"/>
        <v>0</v>
      </c>
      <c r="J31" s="22">
        <f t="shared" si="7"/>
        <v>0</v>
      </c>
      <c r="K31" s="81"/>
      <c r="L31" s="22"/>
      <c r="M31" s="74"/>
    </row>
    <row r="32" spans="2:13" ht="15" customHeight="1" x14ac:dyDescent="0.25">
      <c r="B32" s="12">
        <v>0</v>
      </c>
      <c r="C32" s="3" t="s">
        <v>1</v>
      </c>
      <c r="D32" s="25">
        <f>IFERROR(VLOOKUP(C32,BaseSalarial!$B$13:$J$16,8,FALSE),0)</f>
        <v>0</v>
      </c>
      <c r="E32" s="3" t="s">
        <v>1</v>
      </c>
      <c r="F32" s="4">
        <f t="shared" si="4"/>
        <v>0</v>
      </c>
      <c r="G32" s="4">
        <f t="shared" si="5"/>
        <v>0</v>
      </c>
      <c r="H32" s="9" t="s">
        <v>13</v>
      </c>
      <c r="I32" s="22">
        <f t="shared" si="6"/>
        <v>0</v>
      </c>
      <c r="J32" s="22">
        <f t="shared" si="7"/>
        <v>0</v>
      </c>
      <c r="K32" s="81"/>
      <c r="L32" s="22"/>
      <c r="M32" s="74"/>
    </row>
    <row r="33" spans="2:13" ht="16.5" customHeight="1" x14ac:dyDescent="0.25">
      <c r="F33" s="5">
        <f>SUM(F23:F32)</f>
        <v>0</v>
      </c>
      <c r="G33" s="5">
        <f>SUM(G23:G32)</f>
        <v>0</v>
      </c>
      <c r="I33" s="5">
        <f>SUM(I23:I32)</f>
        <v>0</v>
      </c>
      <c r="J33" s="5">
        <f>SUM(J23:J32)</f>
        <v>0</v>
      </c>
      <c r="L33" s="76">
        <f>SUM(L23:L32)</f>
        <v>0</v>
      </c>
    </row>
    <row r="35" spans="2:13" ht="15" x14ac:dyDescent="0.25">
      <c r="E35" s="85" t="s">
        <v>535</v>
      </c>
    </row>
    <row r="37" spans="2:13" ht="25" x14ac:dyDescent="0.25">
      <c r="B37" s="132" t="s">
        <v>536</v>
      </c>
      <c r="C37" s="130" t="s">
        <v>537</v>
      </c>
      <c r="D37" s="130" t="s">
        <v>533</v>
      </c>
      <c r="E37" s="129" t="s">
        <v>520</v>
      </c>
      <c r="F37" s="47" t="s">
        <v>522</v>
      </c>
      <c r="G37" s="46" t="s">
        <v>523</v>
      </c>
      <c r="H37" s="121" t="s">
        <v>524</v>
      </c>
      <c r="I37" s="121" t="s">
        <v>525</v>
      </c>
      <c r="J37" s="121" t="s">
        <v>526</v>
      </c>
      <c r="K37" s="121" t="s">
        <v>527</v>
      </c>
      <c r="L37" s="121" t="s">
        <v>528</v>
      </c>
      <c r="M37" s="121" t="s">
        <v>529</v>
      </c>
    </row>
    <row r="38" spans="2:13" ht="15" customHeight="1" x14ac:dyDescent="0.25">
      <c r="B38" s="12"/>
      <c r="C38" s="4">
        <f>IF(B38&gt;8,0,B38*BaseSalarial!$D$9)</f>
        <v>0</v>
      </c>
      <c r="D38" s="4">
        <f>IF(C38&lt;=(BaseSalarial!$D$9*8),C38,0)*4</f>
        <v>0</v>
      </c>
      <c r="E38" s="3" t="s">
        <v>1</v>
      </c>
      <c r="F38" s="4">
        <f>IF(E38="4 MESES Semestre 1",D38*4,IF(E38="4 MESES Semestre 2",0,IF(E38="8 Meses",D38*4,IF(E38="10 Meses",D38*5,IF(E38="11 Meses",D38*5.5,IF(E38="1 Año",D38*6,0))))))</f>
        <v>0</v>
      </c>
      <c r="G38" s="4">
        <f>IF(E38="4 MESES Semestre 1",0,IF(E38="4 MESES Semestre 2",D38*4,IF(E38="8 Meses",D38*4,IF(E38="10 Meses",D38*5,IF(E38="11 Meses",D38*5.5,IF(E38="1 Año",D38*6,0))))))</f>
        <v>0</v>
      </c>
      <c r="H38" s="9" t="s">
        <v>13</v>
      </c>
      <c r="I38" s="22">
        <f>IF(H38="SI",F38,IF(H38="NO",0,"Sin comprobar"))</f>
        <v>0</v>
      </c>
      <c r="J38" s="22">
        <f>IF(H38="SI",G38,IF(H38="NO",0,"Sin comprobar"))</f>
        <v>0</v>
      </c>
      <c r="K38" s="81"/>
      <c r="L38" s="22"/>
      <c r="M38" s="74"/>
    </row>
    <row r="39" spans="2:13" ht="15" customHeight="1" x14ac:dyDescent="0.25">
      <c r="B39" s="12"/>
      <c r="C39" s="4">
        <f>IF(B39&gt;8,0,B39*BaseSalarial!$D$9)</f>
        <v>0</v>
      </c>
      <c r="D39" s="4">
        <f>IF(C39&lt;=(BaseSalarial!$D$9*8),C39,0)*4</f>
        <v>0</v>
      </c>
      <c r="E39" s="3" t="s">
        <v>1</v>
      </c>
      <c r="F39" s="4">
        <f t="shared" ref="F39:F47" si="8">IF(E39="4 MESES Semestre 1",D39*4,IF(E39="4 MESES Semestre 2",0,IF(E39="8 Meses",D39*4,IF(E39="10 Meses",D39*5,IF(E39="11 Meses",D39*5.5,IF(E39="1 Año",D39*6,0))))))</f>
        <v>0</v>
      </c>
      <c r="G39" s="4">
        <f t="shared" ref="G39:G47" si="9">IF(E39="4 MESES Semestre 1",0,IF(E39="4 MESES Semestre 2",D39*4,IF(E39="8 Meses",D39*4,IF(E39="10 Meses",D39*5,IF(E39="11 Meses",D39*5.5,IF(E39="1 Año",D39*6,0))))))</f>
        <v>0</v>
      </c>
      <c r="H39" s="9" t="s">
        <v>13</v>
      </c>
      <c r="I39" s="22">
        <f t="shared" ref="I39:I47" si="10">IF(H39="SI",F39,IF(H39="NO",0,"Sin comprobar"))</f>
        <v>0</v>
      </c>
      <c r="J39" s="22">
        <f t="shared" ref="J39:J47" si="11">IF(H39="SI",G39,IF(H39="NO",0,"Sin comprobar"))</f>
        <v>0</v>
      </c>
      <c r="K39" s="81"/>
      <c r="L39" s="22"/>
      <c r="M39" s="74"/>
    </row>
    <row r="40" spans="2:13" ht="15" customHeight="1" x14ac:dyDescent="0.25">
      <c r="B40" s="12"/>
      <c r="C40" s="4">
        <f>IF(B40&gt;8,0,B40*BaseSalarial!$D$9)</f>
        <v>0</v>
      </c>
      <c r="D40" s="4">
        <f>IF(C40&lt;=(BaseSalarial!$D$9*8),C40,0)*4</f>
        <v>0</v>
      </c>
      <c r="E40" s="3" t="s">
        <v>1</v>
      </c>
      <c r="F40" s="4">
        <f t="shared" si="8"/>
        <v>0</v>
      </c>
      <c r="G40" s="4">
        <f t="shared" si="9"/>
        <v>0</v>
      </c>
      <c r="H40" s="9" t="s">
        <v>13</v>
      </c>
      <c r="I40" s="22">
        <f t="shared" si="10"/>
        <v>0</v>
      </c>
      <c r="J40" s="22">
        <f t="shared" si="11"/>
        <v>0</v>
      </c>
      <c r="K40" s="81"/>
      <c r="L40" s="22"/>
      <c r="M40" s="74"/>
    </row>
    <row r="41" spans="2:13" ht="15" customHeight="1" x14ac:dyDescent="0.25">
      <c r="B41" s="12"/>
      <c r="C41" s="4">
        <f>IF(B41&gt;8,0,B41*BaseSalarial!$D$9)</f>
        <v>0</v>
      </c>
      <c r="D41" s="4">
        <f>IF(C41&lt;=(BaseSalarial!$D$9*8),C41,0)*4</f>
        <v>0</v>
      </c>
      <c r="E41" s="3" t="s">
        <v>1</v>
      </c>
      <c r="F41" s="4">
        <f t="shared" si="8"/>
        <v>0</v>
      </c>
      <c r="G41" s="4">
        <f t="shared" si="9"/>
        <v>0</v>
      </c>
      <c r="H41" s="9" t="s">
        <v>13</v>
      </c>
      <c r="I41" s="22">
        <f t="shared" si="10"/>
        <v>0</v>
      </c>
      <c r="J41" s="22">
        <f t="shared" si="11"/>
        <v>0</v>
      </c>
      <c r="K41" s="81"/>
      <c r="L41" s="22"/>
      <c r="M41" s="74"/>
    </row>
    <row r="42" spans="2:13" ht="15" customHeight="1" x14ac:dyDescent="0.25">
      <c r="B42" s="12"/>
      <c r="C42" s="4">
        <f>IF(B42&gt;8,0,B42*BaseSalarial!$D$9)</f>
        <v>0</v>
      </c>
      <c r="D42" s="4">
        <f>IF(C42&lt;=(BaseSalarial!$D$9*8),C42,0)*4</f>
        <v>0</v>
      </c>
      <c r="E42" s="3" t="s">
        <v>1</v>
      </c>
      <c r="F42" s="4">
        <f t="shared" si="8"/>
        <v>0</v>
      </c>
      <c r="G42" s="4">
        <f t="shared" si="9"/>
        <v>0</v>
      </c>
      <c r="H42" s="9" t="s">
        <v>13</v>
      </c>
      <c r="I42" s="22">
        <f t="shared" si="10"/>
        <v>0</v>
      </c>
      <c r="J42" s="22">
        <f t="shared" si="11"/>
        <v>0</v>
      </c>
      <c r="K42" s="81"/>
      <c r="L42" s="22"/>
      <c r="M42" s="74"/>
    </row>
    <row r="43" spans="2:13" ht="15" customHeight="1" x14ac:dyDescent="0.25">
      <c r="B43" s="12"/>
      <c r="C43" s="4">
        <f>IF(B43&gt;8,0,B43*BaseSalarial!$D$9)</f>
        <v>0</v>
      </c>
      <c r="D43" s="4">
        <f>IF(C43&lt;=(BaseSalarial!$D$9*8),C43,0)*4</f>
        <v>0</v>
      </c>
      <c r="E43" s="3" t="s">
        <v>1</v>
      </c>
      <c r="F43" s="4">
        <f t="shared" si="8"/>
        <v>0</v>
      </c>
      <c r="G43" s="4">
        <f t="shared" si="9"/>
        <v>0</v>
      </c>
      <c r="H43" s="9" t="s">
        <v>13</v>
      </c>
      <c r="I43" s="22">
        <f t="shared" si="10"/>
        <v>0</v>
      </c>
      <c r="J43" s="22">
        <f t="shared" si="11"/>
        <v>0</v>
      </c>
      <c r="K43" s="81"/>
      <c r="L43" s="22"/>
      <c r="M43" s="74"/>
    </row>
    <row r="44" spans="2:13" ht="15" customHeight="1" x14ac:dyDescent="0.25">
      <c r="B44" s="12"/>
      <c r="C44" s="4">
        <f>IF(B44&gt;8,0,B44*BaseSalarial!$D$9)</f>
        <v>0</v>
      </c>
      <c r="D44" s="4">
        <f>IF(C44&lt;=(BaseSalarial!$D$9*8),C44,0)*4</f>
        <v>0</v>
      </c>
      <c r="E44" s="3" t="s">
        <v>1</v>
      </c>
      <c r="F44" s="4">
        <f t="shared" si="8"/>
        <v>0</v>
      </c>
      <c r="G44" s="4">
        <f t="shared" si="9"/>
        <v>0</v>
      </c>
      <c r="H44" s="9" t="s">
        <v>13</v>
      </c>
      <c r="I44" s="22">
        <f t="shared" si="10"/>
        <v>0</v>
      </c>
      <c r="J44" s="22">
        <f t="shared" si="11"/>
        <v>0</v>
      </c>
      <c r="K44" s="81"/>
      <c r="L44" s="22"/>
      <c r="M44" s="74"/>
    </row>
    <row r="45" spans="2:13" ht="15" customHeight="1" x14ac:dyDescent="0.25">
      <c r="B45" s="12"/>
      <c r="C45" s="4">
        <f>IF(B45&gt;8,0,B45*BaseSalarial!$D$9)</f>
        <v>0</v>
      </c>
      <c r="D45" s="4">
        <f>IF(C45&lt;=(BaseSalarial!$D$9*8),C45,0)*4</f>
        <v>0</v>
      </c>
      <c r="E45" s="3" t="s">
        <v>1</v>
      </c>
      <c r="F45" s="4">
        <f t="shared" si="8"/>
        <v>0</v>
      </c>
      <c r="G45" s="4">
        <f t="shared" si="9"/>
        <v>0</v>
      </c>
      <c r="H45" s="9" t="s">
        <v>13</v>
      </c>
      <c r="I45" s="22">
        <f t="shared" si="10"/>
        <v>0</v>
      </c>
      <c r="J45" s="22">
        <f t="shared" si="11"/>
        <v>0</v>
      </c>
      <c r="K45" s="81"/>
      <c r="L45" s="22"/>
      <c r="M45" s="74"/>
    </row>
    <row r="46" spans="2:13" ht="15" customHeight="1" x14ac:dyDescent="0.25">
      <c r="B46" s="12"/>
      <c r="C46" s="4">
        <f>IF(B46&gt;8,0,B46*BaseSalarial!$D$9)</f>
        <v>0</v>
      </c>
      <c r="D46" s="4">
        <f>IF(C46&lt;=(BaseSalarial!$D$9*8),C46,0)*4</f>
        <v>0</v>
      </c>
      <c r="E46" s="3" t="s">
        <v>1</v>
      </c>
      <c r="F46" s="4">
        <f t="shared" si="8"/>
        <v>0</v>
      </c>
      <c r="G46" s="4">
        <f t="shared" si="9"/>
        <v>0</v>
      </c>
      <c r="H46" s="9" t="s">
        <v>13</v>
      </c>
      <c r="I46" s="22">
        <f t="shared" si="10"/>
        <v>0</v>
      </c>
      <c r="J46" s="22">
        <f t="shared" si="11"/>
        <v>0</v>
      </c>
      <c r="K46" s="81"/>
      <c r="L46" s="22"/>
      <c r="M46" s="74"/>
    </row>
    <row r="47" spans="2:13" ht="15" customHeight="1" x14ac:dyDescent="0.25">
      <c r="B47" s="12"/>
      <c r="C47" s="4">
        <f>IF(B47&gt;8,0,B47*BaseSalarial!$D$9)</f>
        <v>0</v>
      </c>
      <c r="D47" s="4">
        <f>IF(C47&lt;=(BaseSalarial!$D$9*8),C47,0)*4</f>
        <v>0</v>
      </c>
      <c r="E47" s="3" t="s">
        <v>1</v>
      </c>
      <c r="F47" s="4">
        <f t="shared" si="8"/>
        <v>0</v>
      </c>
      <c r="G47" s="4">
        <f t="shared" si="9"/>
        <v>0</v>
      </c>
      <c r="H47" s="9" t="s">
        <v>13</v>
      </c>
      <c r="I47" s="22">
        <f t="shared" si="10"/>
        <v>0</v>
      </c>
      <c r="J47" s="22">
        <f t="shared" si="11"/>
        <v>0</v>
      </c>
      <c r="K47" s="81"/>
      <c r="L47" s="22"/>
      <c r="M47" s="74"/>
    </row>
    <row r="48" spans="2:13" ht="16.5" customHeight="1" x14ac:dyDescent="0.25">
      <c r="F48" s="5">
        <f>SUM(F38:F47)</f>
        <v>0</v>
      </c>
      <c r="G48" s="5">
        <f>SUM(G38:G47)</f>
        <v>0</v>
      </c>
      <c r="I48" s="5">
        <f>SUM(I38:I47)</f>
        <v>0</v>
      </c>
      <c r="J48" s="5">
        <f>SUM(J38:J47)</f>
        <v>0</v>
      </c>
      <c r="L48" s="76">
        <f>SUM(L38:L47)</f>
        <v>0</v>
      </c>
    </row>
  </sheetData>
  <sheetProtection algorithmName="SHA-512" hashValue="lnKGVl2huDknvU63BBGNumMlHiWSTbfYD/W+wBfmOXeH2ROCsiEwlNXX9UinEvUHc+uKvQxJ1MmBpZySy/xVPA==" saltValue="9CZWp1zupdEh5ypNgWblXw==" spinCount="100000" sheet="1" objects="1" scenarios="1"/>
  <phoneticPr fontId="41" type="noConversion"/>
  <conditionalFormatting sqref="H3:H17">
    <cfRule type="containsText" dxfId="44" priority="10" operator="containsText" text="NO">
      <formula>NOT(ISERROR(SEARCH("NO",H3)))</formula>
    </cfRule>
    <cfRule type="containsText" dxfId="43" priority="11" operator="containsText" text="SI">
      <formula>NOT(ISERROR(SEARCH("SI",H3)))</formula>
    </cfRule>
  </conditionalFormatting>
  <conditionalFormatting sqref="I3:J17">
    <cfRule type="containsText" dxfId="42" priority="9" operator="containsText" text="Sin comprobar">
      <formula>NOT(ISERROR(SEARCH("Sin comprobar",I3)))</formula>
    </cfRule>
  </conditionalFormatting>
  <conditionalFormatting sqref="H23:H32">
    <cfRule type="containsText" dxfId="41" priority="7" operator="containsText" text="NO">
      <formula>NOT(ISERROR(SEARCH("NO",H23)))</formula>
    </cfRule>
    <cfRule type="containsText" dxfId="40" priority="8" operator="containsText" text="SI">
      <formula>NOT(ISERROR(SEARCH("SI",H23)))</formula>
    </cfRule>
  </conditionalFormatting>
  <conditionalFormatting sqref="I24:J32">
    <cfRule type="containsText" dxfId="39" priority="6" operator="containsText" text="Sin comprobar">
      <formula>NOT(ISERROR(SEARCH("Sin comprobar",I24)))</formula>
    </cfRule>
  </conditionalFormatting>
  <conditionalFormatting sqref="I23:J32">
    <cfRule type="containsText" dxfId="38" priority="5" operator="containsText" text="Sin comprobar">
      <formula>NOT(ISERROR(SEARCH("Sin comprobar",I23)))</formula>
    </cfRule>
  </conditionalFormatting>
  <conditionalFormatting sqref="H38:H47">
    <cfRule type="containsText" dxfId="37" priority="3" operator="containsText" text="NO">
      <formula>NOT(ISERROR(SEARCH("NO",H38)))</formula>
    </cfRule>
    <cfRule type="containsText" dxfId="36" priority="4" operator="containsText" text="SI">
      <formula>NOT(ISERROR(SEARCH("SI",H38)))</formula>
    </cfRule>
  </conditionalFormatting>
  <conditionalFormatting sqref="I39:J47">
    <cfRule type="containsText" dxfId="35" priority="2" operator="containsText" text="Sin comprobar">
      <formula>NOT(ISERROR(SEARCH("Sin comprobar",I39)))</formula>
    </cfRule>
  </conditionalFormatting>
  <conditionalFormatting sqref="I38:J47">
    <cfRule type="containsText" dxfId="34" priority="1" operator="containsText" text="Sin comprobar">
      <formula>NOT(ISERROR(SEARCH("Sin comprobar",I38)))</formula>
    </cfRule>
  </conditionalFormatting>
  <pageMargins left="0.25" right="0.25" top="0.75" bottom="0.75" header="0.3" footer="0.3"/>
  <pageSetup paperSize="3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Convencionales!$B$3:$B$4</xm:f>
          </x14:formula1>
          <xm:sqref>H23:H32 H38:H47 H3:H17</xm:sqref>
        </x14:dataValidation>
        <x14:dataValidation type="list" allowBlank="1" showInputMessage="1" showErrorMessage="1">
          <x14:formula1>
            <xm:f>Convencionales!$A$3:$A$7</xm:f>
          </x14:formula1>
          <xm:sqref>C23:C32 C3:C17</xm:sqref>
        </x14:dataValidation>
        <x14:dataValidation type="list" allowBlank="1" showInputMessage="1" showErrorMessage="1">
          <x14:formula1>
            <xm:f>Convencionales!$C$3:$C$10</xm:f>
          </x14:formula1>
          <xm:sqref>E23:E32 E3:E17</xm:sqref>
        </x14:dataValidation>
        <x14:dataValidation type="list" allowBlank="1" showInputMessage="1" showErrorMessage="1">
          <x14:formula1>
            <xm:f>Convencionales!$C$3:$C$6</xm:f>
          </x14:formula1>
          <xm:sqref>E38:E47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showGridLines="0" zoomScale="70" zoomScaleNormal="70" workbookViewId="0">
      <pane ySplit="2" topLeftCell="A3" activePane="bottomLeft" state="frozen"/>
      <selection pane="bottomLeft" activeCell="A3" sqref="A3"/>
    </sheetView>
  </sheetViews>
  <sheetFormatPr baseColWidth="10" defaultColWidth="11.453125" defaultRowHeight="12.5" x14ac:dyDescent="0.25"/>
  <cols>
    <col min="1" max="1" width="23.6328125" style="2" bestFit="1" customWidth="1"/>
    <col min="2" max="2" width="15.1796875" style="236" hidden="1" customWidth="1"/>
    <col min="3" max="3" width="9.453125" style="2" bestFit="1" customWidth="1"/>
    <col min="4" max="4" width="9.1796875" style="2" bestFit="1" customWidth="1"/>
    <col min="5" max="5" width="12.54296875" style="2" bestFit="1" customWidth="1"/>
    <col min="6" max="6" width="17.453125" style="2" customWidth="1"/>
    <col min="7" max="7" width="20.7265625" style="2" bestFit="1" customWidth="1"/>
    <col min="8" max="8" width="21.6328125" style="2" bestFit="1" customWidth="1"/>
    <col min="9" max="9" width="13.453125" style="2" bestFit="1" customWidth="1"/>
    <col min="10" max="11" width="17.26953125" style="2" bestFit="1" customWidth="1"/>
    <col min="12" max="12" width="14.36328125" style="2" bestFit="1" customWidth="1"/>
    <col min="13" max="13" width="9.81640625" style="2" bestFit="1" customWidth="1"/>
    <col min="14" max="14" width="29" style="2" bestFit="1" customWidth="1"/>
    <col min="15" max="15" width="0" style="2" hidden="1" customWidth="1"/>
    <col min="16" max="16384" width="11.453125" style="2"/>
  </cols>
  <sheetData>
    <row r="1" spans="1:14" ht="56.25" customHeight="1" x14ac:dyDescent="0.25"/>
    <row r="2" spans="1:14" ht="29.25" customHeight="1" x14ac:dyDescent="0.25">
      <c r="A2" s="128" t="s">
        <v>538</v>
      </c>
      <c r="B2" s="235" t="s">
        <v>539</v>
      </c>
      <c r="C2" s="128" t="s">
        <v>540</v>
      </c>
      <c r="D2" s="128" t="s">
        <v>541</v>
      </c>
      <c r="E2" s="129" t="s">
        <v>520</v>
      </c>
      <c r="F2" s="53" t="s">
        <v>521</v>
      </c>
      <c r="G2" s="47" t="s">
        <v>522</v>
      </c>
      <c r="H2" s="46" t="s">
        <v>523</v>
      </c>
      <c r="I2" s="121" t="s">
        <v>524</v>
      </c>
      <c r="J2" s="121" t="s">
        <v>525</v>
      </c>
      <c r="K2" s="121" t="s">
        <v>526</v>
      </c>
      <c r="L2" s="121" t="s">
        <v>527</v>
      </c>
      <c r="M2" s="121" t="s">
        <v>528</v>
      </c>
      <c r="N2" s="121" t="s">
        <v>529</v>
      </c>
    </row>
    <row r="3" spans="1:14" s="6" customFormat="1" ht="16.5" customHeight="1" x14ac:dyDescent="0.35">
      <c r="A3" s="3" t="s">
        <v>1</v>
      </c>
      <c r="B3" s="237" t="str">
        <f>IFERROR(VLOOKUP(A3,BaseSalarial!$G$20:$H$22,2,0),"0")</f>
        <v>0</v>
      </c>
      <c r="C3" s="13"/>
      <c r="D3" s="13"/>
      <c r="E3" s="3" t="s">
        <v>1</v>
      </c>
      <c r="F3" s="15">
        <f>C3*D3*B3</f>
        <v>0</v>
      </c>
      <c r="G3" s="15">
        <f t="shared" ref="G3:G17" si="0">IF(E3="Semestre 1",F3,IF(E3="Semestre 2",0,0))</f>
        <v>0</v>
      </c>
      <c r="H3" s="15">
        <f t="shared" ref="H3:H17" si="1">IF(E3="Semestre 1",0,IF(E3="Semestre 2",F3,0))</f>
        <v>0</v>
      </c>
      <c r="I3" s="9" t="s">
        <v>13</v>
      </c>
      <c r="J3" s="22">
        <f>IF(I3="SI",G3,IF(I3="NO",0,"Sin comprobar"))</f>
        <v>0</v>
      </c>
      <c r="K3" s="22">
        <f>IF(I3="SI",H3,IF(I3="NO",0,"Sin comprobar"))</f>
        <v>0</v>
      </c>
      <c r="L3" s="74"/>
      <c r="M3" s="15"/>
      <c r="N3" s="74"/>
    </row>
    <row r="4" spans="1:14" s="6" customFormat="1" ht="16.5" customHeight="1" x14ac:dyDescent="0.35">
      <c r="A4" s="3" t="s">
        <v>1</v>
      </c>
      <c r="B4" s="237" t="str">
        <f>IFERROR(VLOOKUP(A4,BaseSalarial!$G$20:$H$22,2,0),"0")</f>
        <v>0</v>
      </c>
      <c r="C4" s="13"/>
      <c r="D4" s="13"/>
      <c r="E4" s="3" t="s">
        <v>1</v>
      </c>
      <c r="F4" s="15">
        <f t="shared" ref="F4:F17" si="2">C4*D4*B4</f>
        <v>0</v>
      </c>
      <c r="G4" s="15">
        <f t="shared" si="0"/>
        <v>0</v>
      </c>
      <c r="H4" s="15">
        <f t="shared" si="1"/>
        <v>0</v>
      </c>
      <c r="I4" s="9" t="s">
        <v>13</v>
      </c>
      <c r="J4" s="22">
        <f t="shared" ref="J4:J17" si="3">IF(I4="SI",G4,IF(I4="NO",0,"Sin comprobar"))</f>
        <v>0</v>
      </c>
      <c r="K4" s="22">
        <f t="shared" ref="K4:K17" si="4">IF(I4="SI",H4,IF(I4="NO",0,"Sin comprobar"))</f>
        <v>0</v>
      </c>
      <c r="L4" s="74"/>
      <c r="M4" s="15"/>
      <c r="N4" s="74"/>
    </row>
    <row r="5" spans="1:14" s="6" customFormat="1" ht="16.5" customHeight="1" x14ac:dyDescent="0.35">
      <c r="A5" s="3" t="s">
        <v>1</v>
      </c>
      <c r="B5" s="237" t="str">
        <f>IFERROR(VLOOKUP(A5,BaseSalarial!$G$20:$H$22,2,0),"0")</f>
        <v>0</v>
      </c>
      <c r="C5" s="13"/>
      <c r="D5" s="13"/>
      <c r="E5" s="3" t="s">
        <v>1</v>
      </c>
      <c r="F5" s="15">
        <f t="shared" si="2"/>
        <v>0</v>
      </c>
      <c r="G5" s="15">
        <f t="shared" si="0"/>
        <v>0</v>
      </c>
      <c r="H5" s="15">
        <f t="shared" si="1"/>
        <v>0</v>
      </c>
      <c r="I5" s="9" t="s">
        <v>13</v>
      </c>
      <c r="J5" s="22">
        <f t="shared" si="3"/>
        <v>0</v>
      </c>
      <c r="K5" s="22">
        <f t="shared" si="4"/>
        <v>0</v>
      </c>
      <c r="L5" s="74"/>
      <c r="M5" s="15"/>
      <c r="N5" s="74"/>
    </row>
    <row r="6" spans="1:14" s="6" customFormat="1" ht="16.5" customHeight="1" x14ac:dyDescent="0.35">
      <c r="A6" s="3" t="s">
        <v>1</v>
      </c>
      <c r="B6" s="237" t="str">
        <f>IFERROR(VLOOKUP(A6,BaseSalarial!$G$20:$H$22,2,0),"0")</f>
        <v>0</v>
      </c>
      <c r="C6" s="13"/>
      <c r="D6" s="13"/>
      <c r="E6" s="3" t="s">
        <v>1</v>
      </c>
      <c r="F6" s="15">
        <f t="shared" si="2"/>
        <v>0</v>
      </c>
      <c r="G6" s="15">
        <f t="shared" si="0"/>
        <v>0</v>
      </c>
      <c r="H6" s="15">
        <f t="shared" si="1"/>
        <v>0</v>
      </c>
      <c r="I6" s="9" t="s">
        <v>13</v>
      </c>
      <c r="J6" s="22">
        <f t="shared" si="3"/>
        <v>0</v>
      </c>
      <c r="K6" s="22">
        <f t="shared" si="4"/>
        <v>0</v>
      </c>
      <c r="L6" s="74"/>
      <c r="M6" s="15"/>
      <c r="N6" s="74"/>
    </row>
    <row r="7" spans="1:14" s="6" customFormat="1" ht="16.5" customHeight="1" x14ac:dyDescent="0.35">
      <c r="A7" s="3" t="s">
        <v>1</v>
      </c>
      <c r="B7" s="237" t="str">
        <f>IFERROR(VLOOKUP(A7,BaseSalarial!$G$20:$H$22,2,0),"0")</f>
        <v>0</v>
      </c>
      <c r="C7" s="13"/>
      <c r="D7" s="13"/>
      <c r="E7" s="3" t="s">
        <v>1</v>
      </c>
      <c r="F7" s="15">
        <f t="shared" si="2"/>
        <v>0</v>
      </c>
      <c r="G7" s="15">
        <f t="shared" si="0"/>
        <v>0</v>
      </c>
      <c r="H7" s="15">
        <f t="shared" si="1"/>
        <v>0</v>
      </c>
      <c r="I7" s="9" t="s">
        <v>13</v>
      </c>
      <c r="J7" s="22">
        <f t="shared" si="3"/>
        <v>0</v>
      </c>
      <c r="K7" s="22">
        <f t="shared" si="4"/>
        <v>0</v>
      </c>
      <c r="L7" s="74"/>
      <c r="M7" s="15"/>
      <c r="N7" s="74"/>
    </row>
    <row r="8" spans="1:14" s="6" customFormat="1" ht="16.5" customHeight="1" x14ac:dyDescent="0.35">
      <c r="A8" s="3" t="s">
        <v>1</v>
      </c>
      <c r="B8" s="237" t="str">
        <f>IFERROR(VLOOKUP(A8,BaseSalarial!$G$20:$H$22,2,0),"0")</f>
        <v>0</v>
      </c>
      <c r="C8" s="13"/>
      <c r="D8" s="13"/>
      <c r="E8" s="3" t="s">
        <v>1</v>
      </c>
      <c r="F8" s="15">
        <f t="shared" si="2"/>
        <v>0</v>
      </c>
      <c r="G8" s="15">
        <f t="shared" si="0"/>
        <v>0</v>
      </c>
      <c r="H8" s="15">
        <f t="shared" si="1"/>
        <v>0</v>
      </c>
      <c r="I8" s="9" t="s">
        <v>13</v>
      </c>
      <c r="J8" s="22">
        <f t="shared" si="3"/>
        <v>0</v>
      </c>
      <c r="K8" s="22">
        <f t="shared" si="4"/>
        <v>0</v>
      </c>
      <c r="L8" s="74"/>
      <c r="M8" s="15"/>
      <c r="N8" s="74"/>
    </row>
    <row r="9" spans="1:14" s="6" customFormat="1" ht="16.5" customHeight="1" x14ac:dyDescent="0.35">
      <c r="A9" s="3" t="s">
        <v>1</v>
      </c>
      <c r="B9" s="237" t="str">
        <f>IFERROR(VLOOKUP(A9,BaseSalarial!$G$20:$H$22,2,0),"0")</f>
        <v>0</v>
      </c>
      <c r="C9" s="13"/>
      <c r="D9" s="13"/>
      <c r="E9" s="3" t="s">
        <v>1</v>
      </c>
      <c r="F9" s="15">
        <f t="shared" si="2"/>
        <v>0</v>
      </c>
      <c r="G9" s="15">
        <f t="shared" si="0"/>
        <v>0</v>
      </c>
      <c r="H9" s="15">
        <f t="shared" si="1"/>
        <v>0</v>
      </c>
      <c r="I9" s="9" t="s">
        <v>13</v>
      </c>
      <c r="J9" s="22">
        <f t="shared" si="3"/>
        <v>0</v>
      </c>
      <c r="K9" s="22">
        <f t="shared" si="4"/>
        <v>0</v>
      </c>
      <c r="L9" s="74"/>
      <c r="M9" s="15"/>
      <c r="N9" s="74"/>
    </row>
    <row r="10" spans="1:14" s="6" customFormat="1" ht="16.5" customHeight="1" x14ac:dyDescent="0.35">
      <c r="A10" s="3" t="s">
        <v>1</v>
      </c>
      <c r="B10" s="237" t="str">
        <f>IFERROR(VLOOKUP(A10,BaseSalarial!$G$20:$H$22,2,0),"0")</f>
        <v>0</v>
      </c>
      <c r="C10" s="13"/>
      <c r="D10" s="13"/>
      <c r="E10" s="3" t="s">
        <v>1</v>
      </c>
      <c r="F10" s="15">
        <f t="shared" si="2"/>
        <v>0</v>
      </c>
      <c r="G10" s="15">
        <f t="shared" si="0"/>
        <v>0</v>
      </c>
      <c r="H10" s="15">
        <f t="shared" si="1"/>
        <v>0</v>
      </c>
      <c r="I10" s="9" t="s">
        <v>13</v>
      </c>
      <c r="J10" s="22">
        <f t="shared" si="3"/>
        <v>0</v>
      </c>
      <c r="K10" s="22">
        <f t="shared" si="4"/>
        <v>0</v>
      </c>
      <c r="L10" s="74"/>
      <c r="M10" s="15"/>
      <c r="N10" s="74"/>
    </row>
    <row r="11" spans="1:14" s="6" customFormat="1" ht="16.5" customHeight="1" x14ac:dyDescent="0.35">
      <c r="A11" s="3" t="s">
        <v>1</v>
      </c>
      <c r="B11" s="237" t="str">
        <f>IFERROR(VLOOKUP(A11,BaseSalarial!$G$20:$H$22,2,0),"0")</f>
        <v>0</v>
      </c>
      <c r="C11" s="13"/>
      <c r="D11" s="13"/>
      <c r="E11" s="3" t="s">
        <v>1</v>
      </c>
      <c r="F11" s="15">
        <f t="shared" si="2"/>
        <v>0</v>
      </c>
      <c r="G11" s="15">
        <f t="shared" si="0"/>
        <v>0</v>
      </c>
      <c r="H11" s="15">
        <f t="shared" si="1"/>
        <v>0</v>
      </c>
      <c r="I11" s="9" t="s">
        <v>13</v>
      </c>
      <c r="J11" s="22">
        <f t="shared" si="3"/>
        <v>0</v>
      </c>
      <c r="K11" s="22">
        <f t="shared" si="4"/>
        <v>0</v>
      </c>
      <c r="L11" s="74"/>
      <c r="M11" s="15"/>
      <c r="N11" s="74"/>
    </row>
    <row r="12" spans="1:14" s="6" customFormat="1" ht="16.5" customHeight="1" x14ac:dyDescent="0.35">
      <c r="A12" s="3" t="s">
        <v>1</v>
      </c>
      <c r="B12" s="237" t="str">
        <f>IFERROR(VLOOKUP(A12,BaseSalarial!$G$20:$H$22,2,0),"0")</f>
        <v>0</v>
      </c>
      <c r="C12" s="13"/>
      <c r="D12" s="13"/>
      <c r="E12" s="3" t="s">
        <v>1</v>
      </c>
      <c r="F12" s="15">
        <f t="shared" si="2"/>
        <v>0</v>
      </c>
      <c r="G12" s="15">
        <f t="shared" si="0"/>
        <v>0</v>
      </c>
      <c r="H12" s="15">
        <f t="shared" si="1"/>
        <v>0</v>
      </c>
      <c r="I12" s="9" t="s">
        <v>13</v>
      </c>
      <c r="J12" s="22">
        <f t="shared" si="3"/>
        <v>0</v>
      </c>
      <c r="K12" s="22">
        <f t="shared" si="4"/>
        <v>0</v>
      </c>
      <c r="L12" s="74"/>
      <c r="M12" s="15"/>
      <c r="N12" s="74"/>
    </row>
    <row r="13" spans="1:14" s="6" customFormat="1" ht="16.5" customHeight="1" x14ac:dyDescent="0.35">
      <c r="A13" s="3" t="s">
        <v>1</v>
      </c>
      <c r="B13" s="237" t="str">
        <f>IFERROR(VLOOKUP(A13,BaseSalarial!$G$20:$H$22,2,0),"0")</f>
        <v>0</v>
      </c>
      <c r="C13" s="13"/>
      <c r="D13" s="13"/>
      <c r="E13" s="3" t="s">
        <v>1</v>
      </c>
      <c r="F13" s="15">
        <f t="shared" si="2"/>
        <v>0</v>
      </c>
      <c r="G13" s="15">
        <f t="shared" si="0"/>
        <v>0</v>
      </c>
      <c r="H13" s="15">
        <f t="shared" si="1"/>
        <v>0</v>
      </c>
      <c r="I13" s="9" t="s">
        <v>13</v>
      </c>
      <c r="J13" s="22">
        <f t="shared" si="3"/>
        <v>0</v>
      </c>
      <c r="K13" s="22">
        <f t="shared" si="4"/>
        <v>0</v>
      </c>
      <c r="L13" s="74"/>
      <c r="M13" s="15"/>
      <c r="N13" s="74"/>
    </row>
    <row r="14" spans="1:14" s="6" customFormat="1" ht="16.5" customHeight="1" x14ac:dyDescent="0.35">
      <c r="A14" s="3" t="s">
        <v>1</v>
      </c>
      <c r="B14" s="237" t="str">
        <f>IFERROR(VLOOKUP(A14,BaseSalarial!$G$20:$H$22,2,0),"0")</f>
        <v>0</v>
      </c>
      <c r="C14" s="13"/>
      <c r="D14" s="13"/>
      <c r="E14" s="3" t="s">
        <v>1</v>
      </c>
      <c r="F14" s="15">
        <f t="shared" si="2"/>
        <v>0</v>
      </c>
      <c r="G14" s="15">
        <f t="shared" si="0"/>
        <v>0</v>
      </c>
      <c r="H14" s="15">
        <f t="shared" si="1"/>
        <v>0</v>
      </c>
      <c r="I14" s="9" t="s">
        <v>13</v>
      </c>
      <c r="J14" s="22">
        <f t="shared" si="3"/>
        <v>0</v>
      </c>
      <c r="K14" s="22">
        <f t="shared" si="4"/>
        <v>0</v>
      </c>
      <c r="L14" s="74"/>
      <c r="M14" s="15"/>
      <c r="N14" s="74"/>
    </row>
    <row r="15" spans="1:14" s="6" customFormat="1" ht="16.5" customHeight="1" x14ac:dyDescent="0.35">
      <c r="A15" s="3" t="s">
        <v>1</v>
      </c>
      <c r="B15" s="237" t="str">
        <f>IFERROR(VLOOKUP(A15,BaseSalarial!$G$20:$H$22,2,0),"0")</f>
        <v>0</v>
      </c>
      <c r="C15" s="13"/>
      <c r="D15" s="13"/>
      <c r="E15" s="3" t="s">
        <v>1</v>
      </c>
      <c r="F15" s="15">
        <f t="shared" si="2"/>
        <v>0</v>
      </c>
      <c r="G15" s="15">
        <f t="shared" si="0"/>
        <v>0</v>
      </c>
      <c r="H15" s="15">
        <f t="shared" si="1"/>
        <v>0</v>
      </c>
      <c r="I15" s="9" t="s">
        <v>13</v>
      </c>
      <c r="J15" s="22">
        <f t="shared" si="3"/>
        <v>0</v>
      </c>
      <c r="K15" s="22">
        <f t="shared" si="4"/>
        <v>0</v>
      </c>
      <c r="L15" s="74"/>
      <c r="M15" s="15"/>
      <c r="N15" s="74"/>
    </row>
    <row r="16" spans="1:14" s="6" customFormat="1" ht="16.5" customHeight="1" x14ac:dyDescent="0.35">
      <c r="A16" s="3" t="s">
        <v>1</v>
      </c>
      <c r="B16" s="237" t="str">
        <f>IFERROR(VLOOKUP(A16,BaseSalarial!$G$20:$H$22,2,0),"0")</f>
        <v>0</v>
      </c>
      <c r="C16" s="13"/>
      <c r="D16" s="13"/>
      <c r="E16" s="3" t="s">
        <v>1</v>
      </c>
      <c r="F16" s="15">
        <f t="shared" si="2"/>
        <v>0</v>
      </c>
      <c r="G16" s="15">
        <f t="shared" si="0"/>
        <v>0</v>
      </c>
      <c r="H16" s="15">
        <f t="shared" si="1"/>
        <v>0</v>
      </c>
      <c r="I16" s="9" t="s">
        <v>13</v>
      </c>
      <c r="J16" s="22">
        <f t="shared" si="3"/>
        <v>0</v>
      </c>
      <c r="K16" s="22">
        <f t="shared" si="4"/>
        <v>0</v>
      </c>
      <c r="L16" s="74"/>
      <c r="M16" s="15"/>
      <c r="N16" s="74"/>
    </row>
    <row r="17" spans="1:15" s="6" customFormat="1" ht="16.5" customHeight="1" x14ac:dyDescent="0.35">
      <c r="A17" s="3" t="s">
        <v>1</v>
      </c>
      <c r="B17" s="237" t="str">
        <f>IFERROR(VLOOKUP(A17,BaseSalarial!$G$20:$H$22,2,0),"0")</f>
        <v>0</v>
      </c>
      <c r="C17" s="13"/>
      <c r="D17" s="13"/>
      <c r="E17" s="3" t="s">
        <v>1</v>
      </c>
      <c r="F17" s="15">
        <f t="shared" si="2"/>
        <v>0</v>
      </c>
      <c r="G17" s="15">
        <f t="shared" si="0"/>
        <v>0</v>
      </c>
      <c r="H17" s="15">
        <f t="shared" si="1"/>
        <v>0</v>
      </c>
      <c r="I17" s="9" t="s">
        <v>13</v>
      </c>
      <c r="J17" s="22">
        <f t="shared" si="3"/>
        <v>0</v>
      </c>
      <c r="K17" s="22">
        <f t="shared" si="4"/>
        <v>0</v>
      </c>
      <c r="L17" s="74"/>
      <c r="M17" s="15"/>
      <c r="N17" s="74"/>
    </row>
    <row r="18" spans="1:15" s="6" customFormat="1" ht="16.5" customHeight="1" x14ac:dyDescent="0.25">
      <c r="B18" s="238"/>
      <c r="F18" s="55">
        <f>SUM(F3:F17)</f>
        <v>0</v>
      </c>
      <c r="G18" s="56">
        <f>SUM(G3:G17)</f>
        <v>0</v>
      </c>
      <c r="H18" s="56">
        <f>SUM(H3:H17)</f>
        <v>0</v>
      </c>
      <c r="J18" s="24">
        <f>SUM(J3:J17)</f>
        <v>0</v>
      </c>
      <c r="K18" s="24">
        <f>SUM(K3:K17)</f>
        <v>0</v>
      </c>
      <c r="M18" s="75">
        <f>SUM(M3:M17)</f>
        <v>0</v>
      </c>
    </row>
    <row r="19" spans="1:15" s="6" customFormat="1" ht="16.5" customHeight="1" x14ac:dyDescent="0.35">
      <c r="B19" s="238"/>
    </row>
    <row r="20" spans="1:15" s="6" customFormat="1" ht="16.5" customHeight="1" x14ac:dyDescent="0.35">
      <c r="B20" s="238"/>
    </row>
    <row r="21" spans="1:15" x14ac:dyDescent="0.25">
      <c r="F21" s="6"/>
      <c r="G21" s="6"/>
      <c r="H21" s="6"/>
      <c r="I21" s="6"/>
      <c r="J21" s="6"/>
      <c r="K21" s="6"/>
      <c r="L21" s="6"/>
      <c r="M21" s="6"/>
      <c r="N21" s="6"/>
      <c r="O21" s="6"/>
    </row>
  </sheetData>
  <sheetProtection algorithmName="SHA-512" hashValue="VggF3kVuG44UNitgtgo8jcuc1D8VuWLhEFRUzthQTzHQkDlg1CFQjXnDYV2RZX+nVBcQxjDlazF7S3BeiwTG7A==" saltValue="Oq9vnphC0gsnH3crf/Mmkg==" spinCount="100000" sheet="1" objects="1" scenarios="1"/>
  <dataConsolidate link="1"/>
  <conditionalFormatting sqref="J3:K17">
    <cfRule type="containsText" dxfId="33" priority="3" operator="containsText" text="Sin comprobar">
      <formula>NOT(ISERROR(SEARCH("Sin comprobar",J3)))</formula>
    </cfRule>
  </conditionalFormatting>
  <conditionalFormatting sqref="I3:I17">
    <cfRule type="containsText" dxfId="32" priority="1" operator="containsText" text="NO">
      <formula>NOT(ISERROR(SEARCH("NO",I3)))</formula>
    </cfRule>
    <cfRule type="containsText" dxfId="31" priority="2" operator="containsText" text="SI">
      <formula>NOT(ISERROR(SEARCH("SI",I3)))</formula>
    </cfRule>
  </conditionalFormatting>
  <dataValidations count="2">
    <dataValidation type="whole" allowBlank="1" showInputMessage="1" showErrorMessage="1" sqref="C3:C17">
      <formula1>1</formula1>
      <formula2>50</formula2>
    </dataValidation>
    <dataValidation type="whole" allowBlank="1" showInputMessage="1" showErrorMessage="1" sqref="D3:D17">
      <formula1>1</formula1>
      <formula2>10000000000</formula2>
    </dataValidation>
  </dataValidations>
  <pageMargins left="0.7" right="0.7" top="0.75" bottom="0.75" header="0.3" footer="0.3"/>
  <pageSetup orientation="portrait" horizontalDpi="360" verticalDpi="360" r:id="rId1"/>
  <ignoredErrors>
    <ignoredError sqref="B4 B6:B17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Convencionales!$B$3:$B$4</xm:f>
          </x14:formula1>
          <xm:sqref>I3:I17</xm:sqref>
        </x14:dataValidation>
        <x14:dataValidation type="list" allowBlank="1" showInputMessage="1" showErrorMessage="1">
          <x14:formula1>
            <xm:f>Convencionales!$A$10:$A$13</xm:f>
          </x14:formula1>
          <xm:sqref>A3:A17</xm:sqref>
        </x14:dataValidation>
        <x14:dataValidation type="list" allowBlank="1" showInputMessage="1" showErrorMessage="1">
          <x14:formula1>
            <xm:f>Convencionales!$C$12:$C$14</xm:f>
          </x14:formula1>
          <xm:sqref>E3:E17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46"/>
  <sheetViews>
    <sheetView showGridLines="0" zoomScale="63" zoomScaleNormal="55" zoomScaleSheetLayoutView="5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baseColWidth="10" defaultColWidth="11.453125" defaultRowHeight="12.5" x14ac:dyDescent="0.25"/>
  <cols>
    <col min="1" max="1" width="8.7265625" style="2" bestFit="1" customWidth="1"/>
    <col min="2" max="4" width="50.1796875" style="2" customWidth="1"/>
    <col min="5" max="5" width="36.1796875" style="2" customWidth="1"/>
    <col min="6" max="6" width="42.453125" style="2" customWidth="1"/>
    <col min="7" max="8" width="28.36328125" style="196" customWidth="1"/>
    <col min="9" max="9" width="32.7265625" style="2" customWidth="1"/>
    <col min="10" max="10" width="40" style="2" customWidth="1"/>
    <col min="11" max="11" width="7.7265625" style="2" customWidth="1"/>
    <col min="12" max="23" width="7.7265625" style="190" customWidth="1"/>
    <col min="24" max="25" width="16.54296875" style="186" customWidth="1"/>
    <col min="26" max="28" width="8.453125" style="2" hidden="1" customWidth="1"/>
    <col min="29" max="29" width="27.1796875" style="2" bestFit="1" customWidth="1"/>
    <col min="30" max="30" width="12.1796875" style="2" customWidth="1"/>
    <col min="31" max="31" width="12.54296875" style="2" customWidth="1"/>
    <col min="32" max="32" width="16.54296875" style="2" customWidth="1"/>
    <col min="33" max="33" width="11.453125" style="2" customWidth="1"/>
    <col min="34" max="34" width="33" style="2" customWidth="1"/>
    <col min="35" max="16384" width="11.453125" style="2"/>
  </cols>
  <sheetData>
    <row r="1" spans="1:34" s="124" customFormat="1" ht="21.75" customHeight="1" x14ac:dyDescent="0.35">
      <c r="A1" s="123"/>
      <c r="B1" s="123"/>
      <c r="D1" s="123"/>
      <c r="E1" s="123"/>
      <c r="F1" s="123"/>
      <c r="G1" s="197"/>
      <c r="H1" s="19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5"/>
      <c r="Y1" s="185"/>
      <c r="Z1" s="123"/>
      <c r="AA1" s="123"/>
      <c r="AB1" s="123"/>
    </row>
    <row r="2" spans="1:34" s="124" customFormat="1" ht="21.75" customHeight="1" x14ac:dyDescent="0.35">
      <c r="A2" s="123"/>
      <c r="B2" s="123"/>
      <c r="C2" s="125" t="s">
        <v>542</v>
      </c>
      <c r="D2" s="123"/>
      <c r="E2" s="123"/>
      <c r="F2" s="123"/>
      <c r="G2" s="197"/>
      <c r="H2" s="19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5"/>
      <c r="Y2" s="185"/>
      <c r="Z2" s="123"/>
      <c r="AA2" s="123"/>
      <c r="AB2" s="123"/>
    </row>
    <row r="3" spans="1:34" s="124" customFormat="1" ht="21.75" customHeight="1" x14ac:dyDescent="0.35">
      <c r="A3" s="123"/>
      <c r="B3" s="123"/>
      <c r="C3" s="126">
        <f>INI!D20</f>
        <v>0</v>
      </c>
      <c r="D3" s="123"/>
      <c r="E3" s="123"/>
      <c r="F3" s="123"/>
      <c r="G3" s="197"/>
      <c r="H3" s="19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5"/>
      <c r="Y3" s="185"/>
      <c r="Z3" s="123"/>
      <c r="AA3" s="123"/>
      <c r="AB3" s="123"/>
    </row>
    <row r="4" spans="1:34" s="124" customFormat="1" ht="21.75" customHeight="1" x14ac:dyDescent="0.35">
      <c r="A4" s="123"/>
      <c r="B4" s="123"/>
      <c r="C4" s="127">
        <f>INI!D22</f>
        <v>0</v>
      </c>
      <c r="D4" s="123"/>
      <c r="E4" s="123"/>
      <c r="F4" s="123"/>
      <c r="G4" s="197"/>
      <c r="H4" s="19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5"/>
      <c r="Y4" s="185"/>
      <c r="Z4" s="123"/>
      <c r="AA4" s="123"/>
      <c r="AB4" s="123"/>
    </row>
    <row r="5" spans="1:34" s="124" customFormat="1" ht="21.75" customHeight="1" thickBot="1" x14ac:dyDescent="0.4">
      <c r="A5" s="123"/>
      <c r="B5" s="123"/>
      <c r="D5" s="123"/>
      <c r="E5" s="123"/>
      <c r="F5" s="123"/>
      <c r="G5" s="197"/>
      <c r="H5" s="19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5"/>
      <c r="Y5" s="185"/>
      <c r="Z5" s="123"/>
      <c r="AA5" s="123"/>
      <c r="AB5" s="123"/>
    </row>
    <row r="6" spans="1:34" ht="57.65" customHeight="1" thickTop="1" thickBot="1" x14ac:dyDescent="0.3">
      <c r="A6" s="178" t="s">
        <v>543</v>
      </c>
      <c r="B6" s="178" t="s">
        <v>738</v>
      </c>
      <c r="C6" s="179" t="s">
        <v>751</v>
      </c>
      <c r="D6" s="179" t="s">
        <v>544</v>
      </c>
      <c r="E6" s="178" t="s">
        <v>931</v>
      </c>
      <c r="F6" s="179" t="s">
        <v>752</v>
      </c>
      <c r="G6" s="178" t="s">
        <v>739</v>
      </c>
      <c r="H6" s="178" t="s">
        <v>740</v>
      </c>
      <c r="I6" s="179" t="s">
        <v>545</v>
      </c>
      <c r="J6" s="178" t="s">
        <v>546</v>
      </c>
      <c r="K6" s="203" t="s">
        <v>547</v>
      </c>
      <c r="L6" s="179" t="s">
        <v>10</v>
      </c>
      <c r="M6" s="179" t="s">
        <v>15</v>
      </c>
      <c r="N6" s="179" t="s">
        <v>24</v>
      </c>
      <c r="O6" s="179" t="s">
        <v>548</v>
      </c>
      <c r="P6" s="179" t="s">
        <v>549</v>
      </c>
      <c r="Q6" s="179" t="s">
        <v>550</v>
      </c>
      <c r="R6" s="179" t="s">
        <v>551</v>
      </c>
      <c r="S6" s="179" t="s">
        <v>552</v>
      </c>
      <c r="T6" s="179" t="s">
        <v>55</v>
      </c>
      <c r="U6" s="179" t="s">
        <v>59</v>
      </c>
      <c r="V6" s="179" t="s">
        <v>64</v>
      </c>
      <c r="W6" s="179" t="s">
        <v>69</v>
      </c>
      <c r="X6" s="180" t="s">
        <v>522</v>
      </c>
      <c r="Y6" s="181" t="s">
        <v>523</v>
      </c>
      <c r="Z6" s="183" t="s">
        <v>553</v>
      </c>
      <c r="AA6" s="119" t="s">
        <v>554</v>
      </c>
      <c r="AB6" s="120" t="s">
        <v>555</v>
      </c>
      <c r="AC6" s="121" t="s">
        <v>556</v>
      </c>
      <c r="AD6" s="121" t="s">
        <v>522</v>
      </c>
      <c r="AE6" s="121" t="s">
        <v>523</v>
      </c>
      <c r="AF6" s="121" t="s">
        <v>527</v>
      </c>
      <c r="AG6" s="121" t="s">
        <v>528</v>
      </c>
      <c r="AH6" s="121" t="s">
        <v>529</v>
      </c>
    </row>
    <row r="7" spans="1:34" s="6" customFormat="1" ht="49" customHeight="1" thickTop="1" x14ac:dyDescent="0.35">
      <c r="A7" s="122" t="s">
        <v>711</v>
      </c>
      <c r="B7" s="193"/>
      <c r="C7" s="193"/>
      <c r="D7" s="184" t="e">
        <f>+VLOOKUP(C7,Convencionales!$K$4:$L$94,2,FALSE)</f>
        <v>#N/A</v>
      </c>
      <c r="E7" s="177"/>
      <c r="F7" s="177"/>
      <c r="G7" s="201"/>
      <c r="H7" s="199"/>
      <c r="I7" s="177"/>
      <c r="J7" s="177"/>
      <c r="K7" s="20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91">
        <v>0</v>
      </c>
      <c r="Y7" s="191">
        <v>0</v>
      </c>
      <c r="Z7" s="109"/>
      <c r="AA7" s="109"/>
      <c r="AB7" s="111">
        <v>-30</v>
      </c>
      <c r="AC7" s="9" t="s">
        <v>13</v>
      </c>
      <c r="AD7" s="7">
        <f>IF(AC7="SI",X7,IF(AC7="TRASLADO CON PRESUPUESTO",X7,IF(AC7="NO",0,"0")))</f>
        <v>0</v>
      </c>
      <c r="AE7" s="7">
        <f>IF(AC7="SI",Y7,IF(AC7="TRASLADO CON PRESUPUESTO",Y7,IF(AC7="NO",0,"0")))</f>
        <v>0</v>
      </c>
      <c r="AF7" s="81"/>
      <c r="AG7" s="49"/>
      <c r="AH7" s="74"/>
    </row>
    <row r="8" spans="1:34" s="6" customFormat="1" ht="49" customHeight="1" x14ac:dyDescent="0.35">
      <c r="A8" s="122" t="s">
        <v>712</v>
      </c>
      <c r="B8" s="193"/>
      <c r="C8" s="193"/>
      <c r="D8" s="184" t="e">
        <f>+VLOOKUP(C8,Convencionales!$K$4:$L$94,2,FALSE)</f>
        <v>#N/A</v>
      </c>
      <c r="E8" s="48"/>
      <c r="F8" s="48"/>
      <c r="G8" s="201"/>
      <c r="H8" s="199"/>
      <c r="I8" s="177"/>
      <c r="J8" s="177"/>
      <c r="K8" s="205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91">
        <v>0</v>
      </c>
      <c r="Y8" s="191">
        <v>0</v>
      </c>
      <c r="Z8" s="109"/>
      <c r="AA8" s="109"/>
      <c r="AB8" s="111">
        <v>-29</v>
      </c>
      <c r="AC8" s="9" t="s">
        <v>13</v>
      </c>
      <c r="AD8" s="7">
        <f t="shared" ref="AD8:AD42" si="0">IF(AC8="SI",X8,IF(AC8="TRASLADO CON PRESUPUESTO",X8,IF(AC8="NO",0,"0")))</f>
        <v>0</v>
      </c>
      <c r="AE8" s="7">
        <f t="shared" ref="AE8:AE42" si="1">IF(AC8="SI",Y8,IF(AC8="TRASLADO CON PRESUPUESTO",Y8,IF(AC8="NO",0,"0")))</f>
        <v>0</v>
      </c>
      <c r="AF8" s="81"/>
      <c r="AG8" s="49"/>
      <c r="AH8" s="74"/>
    </row>
    <row r="9" spans="1:34" s="6" customFormat="1" ht="49" customHeight="1" x14ac:dyDescent="0.35">
      <c r="A9" s="122" t="s">
        <v>713</v>
      </c>
      <c r="B9" s="193"/>
      <c r="C9" s="193"/>
      <c r="D9" s="184" t="e">
        <f>+VLOOKUP(C9,Convencionales!$K$4:$L$94,2,FALSE)</f>
        <v>#N/A</v>
      </c>
      <c r="E9" s="48"/>
      <c r="F9" s="48"/>
      <c r="G9" s="202"/>
      <c r="H9" s="200"/>
      <c r="I9" s="48"/>
      <c r="J9" s="177"/>
      <c r="K9" s="205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91">
        <v>0</v>
      </c>
      <c r="Y9" s="191">
        <v>0</v>
      </c>
      <c r="Z9" s="109"/>
      <c r="AA9" s="109"/>
      <c r="AB9" s="111">
        <v>-28</v>
      </c>
      <c r="AC9" s="9" t="s">
        <v>13</v>
      </c>
      <c r="AD9" s="7">
        <f t="shared" si="0"/>
        <v>0</v>
      </c>
      <c r="AE9" s="7">
        <f t="shared" si="1"/>
        <v>0</v>
      </c>
      <c r="AF9" s="81"/>
      <c r="AG9" s="49"/>
      <c r="AH9" s="74"/>
    </row>
    <row r="10" spans="1:34" s="6" customFormat="1" ht="49" customHeight="1" x14ac:dyDescent="0.35">
      <c r="A10" s="122" t="s">
        <v>714</v>
      </c>
      <c r="B10" s="193"/>
      <c r="C10" s="193"/>
      <c r="D10" s="184" t="e">
        <f>+VLOOKUP(C10,Convencionales!$K$4:$L$94,2,FALSE)</f>
        <v>#N/A</v>
      </c>
      <c r="E10" s="48"/>
      <c r="F10" s="48"/>
      <c r="G10" s="202"/>
      <c r="H10" s="200"/>
      <c r="I10" s="48"/>
      <c r="J10" s="177"/>
      <c r="K10" s="205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91">
        <v>0</v>
      </c>
      <c r="Y10" s="191">
        <v>0</v>
      </c>
      <c r="Z10" s="109"/>
      <c r="AA10" s="109"/>
      <c r="AB10" s="111">
        <v>-27</v>
      </c>
      <c r="AC10" s="9" t="s">
        <v>13</v>
      </c>
      <c r="AD10" s="7">
        <f t="shared" si="0"/>
        <v>0</v>
      </c>
      <c r="AE10" s="7">
        <f t="shared" si="1"/>
        <v>0</v>
      </c>
      <c r="AF10" s="81"/>
      <c r="AG10" s="49"/>
      <c r="AH10" s="74"/>
    </row>
    <row r="11" spans="1:34" s="6" customFormat="1" ht="49" customHeight="1" x14ac:dyDescent="0.35">
      <c r="A11" s="122" t="s">
        <v>715</v>
      </c>
      <c r="B11" s="193"/>
      <c r="C11" s="193"/>
      <c r="D11" s="184" t="e">
        <f>+VLOOKUP(C11,Convencionales!$K$4:$L$94,2,FALSE)</f>
        <v>#N/A</v>
      </c>
      <c r="E11" s="48"/>
      <c r="F11" s="48"/>
      <c r="G11" s="202"/>
      <c r="H11" s="200"/>
      <c r="I11" s="48"/>
      <c r="J11" s="177"/>
      <c r="K11" s="205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91">
        <v>0</v>
      </c>
      <c r="Y11" s="191">
        <v>0</v>
      </c>
      <c r="Z11" s="109"/>
      <c r="AA11" s="109"/>
      <c r="AB11" s="111">
        <v>-26</v>
      </c>
      <c r="AC11" s="9" t="s">
        <v>13</v>
      </c>
      <c r="AD11" s="7">
        <f t="shared" si="0"/>
        <v>0</v>
      </c>
      <c r="AE11" s="7">
        <f t="shared" si="1"/>
        <v>0</v>
      </c>
      <c r="AF11" s="81"/>
      <c r="AG11" s="49"/>
      <c r="AH11" s="74"/>
    </row>
    <row r="12" spans="1:34" s="6" customFormat="1" ht="49" customHeight="1" x14ac:dyDescent="0.35">
      <c r="A12" s="122" t="s">
        <v>716</v>
      </c>
      <c r="B12" s="193"/>
      <c r="C12" s="193"/>
      <c r="D12" s="184" t="e">
        <f>+VLOOKUP(C12,Convencionales!$K$4:$L$94,2,FALSE)</f>
        <v>#N/A</v>
      </c>
      <c r="E12" s="48"/>
      <c r="F12" s="48"/>
      <c r="G12" s="202"/>
      <c r="H12" s="200"/>
      <c r="I12" s="48"/>
      <c r="J12" s="177"/>
      <c r="K12" s="205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91">
        <v>0</v>
      </c>
      <c r="Y12" s="191">
        <v>0</v>
      </c>
      <c r="Z12" s="109"/>
      <c r="AA12" s="109"/>
      <c r="AB12" s="111">
        <v>-25</v>
      </c>
      <c r="AC12" s="9" t="s">
        <v>13</v>
      </c>
      <c r="AD12" s="7">
        <f t="shared" si="0"/>
        <v>0</v>
      </c>
      <c r="AE12" s="7">
        <f t="shared" si="1"/>
        <v>0</v>
      </c>
      <c r="AF12" s="81"/>
      <c r="AG12" s="49"/>
      <c r="AH12" s="74"/>
    </row>
    <row r="13" spans="1:34" s="6" customFormat="1" ht="49" customHeight="1" x14ac:dyDescent="0.35">
      <c r="A13" s="122" t="s">
        <v>717</v>
      </c>
      <c r="B13" s="193"/>
      <c r="C13" s="193"/>
      <c r="D13" s="184" t="e">
        <f>+VLOOKUP(C13,Convencionales!$K$4:$L$94,2,FALSE)</f>
        <v>#N/A</v>
      </c>
      <c r="E13" s="48"/>
      <c r="F13" s="48"/>
      <c r="G13" s="202"/>
      <c r="H13" s="200"/>
      <c r="I13" s="48"/>
      <c r="J13" s="177"/>
      <c r="K13" s="205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91">
        <v>0</v>
      </c>
      <c r="Y13" s="191">
        <v>0</v>
      </c>
      <c r="Z13" s="109"/>
      <c r="AA13" s="109"/>
      <c r="AB13" s="111">
        <v>-24</v>
      </c>
      <c r="AC13" s="9" t="s">
        <v>13</v>
      </c>
      <c r="AD13" s="7">
        <f t="shared" si="0"/>
        <v>0</v>
      </c>
      <c r="AE13" s="7">
        <f t="shared" si="1"/>
        <v>0</v>
      </c>
      <c r="AF13" s="81"/>
      <c r="AG13" s="49"/>
      <c r="AH13" s="74"/>
    </row>
    <row r="14" spans="1:34" s="6" customFormat="1" ht="49" customHeight="1" x14ac:dyDescent="0.35">
      <c r="A14" s="122" t="s">
        <v>718</v>
      </c>
      <c r="B14" s="193"/>
      <c r="C14" s="193"/>
      <c r="D14" s="184" t="e">
        <f>+VLOOKUP(C14,Convencionales!$K$4:$L$94,2,FALSE)</f>
        <v>#N/A</v>
      </c>
      <c r="E14" s="48"/>
      <c r="F14" s="48"/>
      <c r="G14" s="202"/>
      <c r="H14" s="200"/>
      <c r="I14" s="48"/>
      <c r="J14" s="177"/>
      <c r="K14" s="205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91">
        <v>0</v>
      </c>
      <c r="Y14" s="191">
        <v>0</v>
      </c>
      <c r="Z14" s="109"/>
      <c r="AA14" s="109"/>
      <c r="AB14" s="111">
        <v>-23</v>
      </c>
      <c r="AC14" s="9" t="s">
        <v>13</v>
      </c>
      <c r="AD14" s="7">
        <f t="shared" si="0"/>
        <v>0</v>
      </c>
      <c r="AE14" s="7">
        <f t="shared" si="1"/>
        <v>0</v>
      </c>
      <c r="AF14" s="81"/>
      <c r="AG14" s="49"/>
      <c r="AH14" s="74"/>
    </row>
    <row r="15" spans="1:34" s="6" customFormat="1" ht="49" customHeight="1" x14ac:dyDescent="0.35">
      <c r="A15" s="122" t="s">
        <v>719</v>
      </c>
      <c r="B15" s="193"/>
      <c r="C15" s="193"/>
      <c r="D15" s="184" t="e">
        <f>+VLOOKUP(C15,Convencionales!$K$4:$L$94,2,FALSE)</f>
        <v>#N/A</v>
      </c>
      <c r="E15" s="48"/>
      <c r="F15" s="48"/>
      <c r="G15" s="202"/>
      <c r="H15" s="200"/>
      <c r="I15" s="48"/>
      <c r="J15" s="177"/>
      <c r="K15" s="205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91">
        <v>0</v>
      </c>
      <c r="Y15" s="191">
        <v>0</v>
      </c>
      <c r="Z15" s="109"/>
      <c r="AA15" s="109"/>
      <c r="AB15" s="111">
        <v>-22</v>
      </c>
      <c r="AC15" s="9" t="s">
        <v>13</v>
      </c>
      <c r="AD15" s="7">
        <f t="shared" si="0"/>
        <v>0</v>
      </c>
      <c r="AE15" s="7">
        <f t="shared" si="1"/>
        <v>0</v>
      </c>
      <c r="AF15" s="81"/>
      <c r="AG15" s="49"/>
      <c r="AH15" s="74"/>
    </row>
    <row r="16" spans="1:34" s="6" customFormat="1" ht="49" customHeight="1" x14ac:dyDescent="0.35">
      <c r="A16" s="122" t="s">
        <v>558</v>
      </c>
      <c r="B16" s="193"/>
      <c r="C16" s="193"/>
      <c r="D16" s="184" t="e">
        <f>+VLOOKUP(C16,Convencionales!$K$4:$L$94,2,FALSE)</f>
        <v>#N/A</v>
      </c>
      <c r="E16" s="48"/>
      <c r="F16" s="48"/>
      <c r="G16" s="202"/>
      <c r="H16" s="200"/>
      <c r="I16" s="48"/>
      <c r="J16" s="177"/>
      <c r="K16" s="205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91">
        <v>0</v>
      </c>
      <c r="Y16" s="191">
        <v>0</v>
      </c>
      <c r="Z16" s="109"/>
      <c r="AA16" s="109"/>
      <c r="AB16" s="111">
        <v>-21</v>
      </c>
      <c r="AC16" s="9" t="s">
        <v>13</v>
      </c>
      <c r="AD16" s="7">
        <f t="shared" si="0"/>
        <v>0</v>
      </c>
      <c r="AE16" s="7">
        <f t="shared" si="1"/>
        <v>0</v>
      </c>
      <c r="AF16" s="81"/>
      <c r="AG16" s="49"/>
      <c r="AH16" s="74"/>
    </row>
    <row r="17" spans="1:34" s="6" customFormat="1" ht="49" customHeight="1" x14ac:dyDescent="0.35">
      <c r="A17" s="122" t="s">
        <v>559</v>
      </c>
      <c r="B17" s="193"/>
      <c r="C17" s="193"/>
      <c r="D17" s="184" t="e">
        <f>+VLOOKUP(C17,Convencionales!$K$4:$L$94,2,FALSE)</f>
        <v>#N/A</v>
      </c>
      <c r="E17" s="48"/>
      <c r="F17" s="48"/>
      <c r="G17" s="202"/>
      <c r="H17" s="200"/>
      <c r="I17" s="48"/>
      <c r="J17" s="177"/>
      <c r="K17" s="205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91">
        <v>0</v>
      </c>
      <c r="Y17" s="191">
        <v>0</v>
      </c>
      <c r="Z17" s="109"/>
      <c r="AA17" s="109"/>
      <c r="AB17" s="111">
        <v>-20</v>
      </c>
      <c r="AC17" s="9" t="s">
        <v>13</v>
      </c>
      <c r="AD17" s="7">
        <f t="shared" si="0"/>
        <v>0</v>
      </c>
      <c r="AE17" s="7">
        <f t="shared" si="1"/>
        <v>0</v>
      </c>
      <c r="AF17" s="81"/>
      <c r="AG17" s="49"/>
      <c r="AH17" s="74"/>
    </row>
    <row r="18" spans="1:34" s="6" customFormat="1" ht="49" customHeight="1" x14ac:dyDescent="0.35">
      <c r="A18" s="122" t="s">
        <v>560</v>
      </c>
      <c r="B18" s="193"/>
      <c r="C18" s="193"/>
      <c r="D18" s="184" t="e">
        <f>+VLOOKUP(C18,Convencionales!$K$4:$L$94,2,FALSE)</f>
        <v>#N/A</v>
      </c>
      <c r="E18" s="48"/>
      <c r="F18" s="48"/>
      <c r="G18" s="202"/>
      <c r="H18" s="200"/>
      <c r="I18" s="48"/>
      <c r="J18" s="177"/>
      <c r="K18" s="205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91">
        <v>0</v>
      </c>
      <c r="Y18" s="191">
        <v>0</v>
      </c>
      <c r="Z18" s="109"/>
      <c r="AA18" s="109"/>
      <c r="AB18" s="111">
        <v>-19</v>
      </c>
      <c r="AC18" s="9" t="s">
        <v>13</v>
      </c>
      <c r="AD18" s="7">
        <f t="shared" si="0"/>
        <v>0</v>
      </c>
      <c r="AE18" s="7">
        <f t="shared" si="1"/>
        <v>0</v>
      </c>
      <c r="AF18" s="81"/>
      <c r="AG18" s="49"/>
      <c r="AH18" s="74"/>
    </row>
    <row r="19" spans="1:34" s="6" customFormat="1" ht="49" customHeight="1" x14ac:dyDescent="0.35">
      <c r="A19" s="122" t="s">
        <v>561</v>
      </c>
      <c r="B19" s="193"/>
      <c r="C19" s="193"/>
      <c r="D19" s="184" t="e">
        <f>+VLOOKUP(C19,Convencionales!$K$4:$L$94,2,FALSE)</f>
        <v>#N/A</v>
      </c>
      <c r="E19" s="48"/>
      <c r="F19" s="48"/>
      <c r="G19" s="202"/>
      <c r="H19" s="200"/>
      <c r="I19" s="48"/>
      <c r="J19" s="177"/>
      <c r="K19" s="205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91">
        <v>0</v>
      </c>
      <c r="Y19" s="191">
        <v>0</v>
      </c>
      <c r="Z19" s="109"/>
      <c r="AA19" s="109"/>
      <c r="AB19" s="111">
        <v>-18</v>
      </c>
      <c r="AC19" s="9" t="s">
        <v>13</v>
      </c>
      <c r="AD19" s="7">
        <f t="shared" si="0"/>
        <v>0</v>
      </c>
      <c r="AE19" s="7">
        <f t="shared" si="1"/>
        <v>0</v>
      </c>
      <c r="AF19" s="81"/>
      <c r="AG19" s="49"/>
      <c r="AH19" s="74"/>
    </row>
    <row r="20" spans="1:34" s="6" customFormat="1" ht="49" customHeight="1" x14ac:dyDescent="0.35">
      <c r="A20" s="122" t="s">
        <v>562</v>
      </c>
      <c r="B20" s="193"/>
      <c r="C20" s="193"/>
      <c r="D20" s="184" t="e">
        <f>+VLOOKUP(C20,Convencionales!$K$4:$L$94,2,FALSE)</f>
        <v>#N/A</v>
      </c>
      <c r="E20" s="48"/>
      <c r="F20" s="48"/>
      <c r="G20" s="202"/>
      <c r="H20" s="200"/>
      <c r="I20" s="48"/>
      <c r="J20" s="177"/>
      <c r="K20" s="205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91">
        <v>0</v>
      </c>
      <c r="Y20" s="191">
        <v>0</v>
      </c>
      <c r="Z20" s="109"/>
      <c r="AA20" s="109"/>
      <c r="AB20" s="111">
        <v>-17</v>
      </c>
      <c r="AC20" s="9" t="s">
        <v>13</v>
      </c>
      <c r="AD20" s="7">
        <f t="shared" si="0"/>
        <v>0</v>
      </c>
      <c r="AE20" s="7">
        <f t="shared" si="1"/>
        <v>0</v>
      </c>
      <c r="AF20" s="81"/>
      <c r="AG20" s="49"/>
      <c r="AH20" s="74"/>
    </row>
    <row r="21" spans="1:34" s="6" customFormat="1" ht="49" customHeight="1" x14ac:dyDescent="0.35">
      <c r="A21" s="122" t="s">
        <v>563</v>
      </c>
      <c r="B21" s="193"/>
      <c r="C21" s="193"/>
      <c r="D21" s="184" t="e">
        <f>+VLOOKUP(C21,Convencionales!$K$4:$L$94,2,FALSE)</f>
        <v>#N/A</v>
      </c>
      <c r="E21" s="48"/>
      <c r="F21" s="48"/>
      <c r="G21" s="202"/>
      <c r="H21" s="200"/>
      <c r="I21" s="48"/>
      <c r="J21" s="177"/>
      <c r="K21" s="205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91">
        <v>0</v>
      </c>
      <c r="Y21" s="191">
        <v>0</v>
      </c>
      <c r="Z21" s="109"/>
      <c r="AA21" s="109"/>
      <c r="AB21" s="111">
        <v>-16</v>
      </c>
      <c r="AC21" s="9" t="s">
        <v>13</v>
      </c>
      <c r="AD21" s="7">
        <f t="shared" si="0"/>
        <v>0</v>
      </c>
      <c r="AE21" s="7">
        <f t="shared" si="1"/>
        <v>0</v>
      </c>
      <c r="AF21" s="81"/>
      <c r="AG21" s="49"/>
      <c r="AH21" s="74"/>
    </row>
    <row r="22" spans="1:34" s="6" customFormat="1" ht="49" customHeight="1" x14ac:dyDescent="0.35">
      <c r="A22" s="122" t="s">
        <v>564</v>
      </c>
      <c r="B22" s="193"/>
      <c r="C22" s="193"/>
      <c r="D22" s="184" t="e">
        <f>+VLOOKUP(C22,Convencionales!$K$4:$L$94,2,FALSE)</f>
        <v>#N/A</v>
      </c>
      <c r="E22" s="48"/>
      <c r="F22" s="48"/>
      <c r="G22" s="202"/>
      <c r="H22" s="200"/>
      <c r="I22" s="48"/>
      <c r="J22" s="177"/>
      <c r="K22" s="205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91">
        <v>0</v>
      </c>
      <c r="Y22" s="191">
        <v>0</v>
      </c>
      <c r="Z22" s="109"/>
      <c r="AA22" s="109"/>
      <c r="AB22" s="111">
        <v>-15</v>
      </c>
      <c r="AC22" s="9" t="s">
        <v>13</v>
      </c>
      <c r="AD22" s="7">
        <f t="shared" si="0"/>
        <v>0</v>
      </c>
      <c r="AE22" s="7">
        <f t="shared" si="1"/>
        <v>0</v>
      </c>
      <c r="AF22" s="81"/>
      <c r="AG22" s="49"/>
      <c r="AH22" s="74"/>
    </row>
    <row r="23" spans="1:34" s="6" customFormat="1" ht="49" customHeight="1" x14ac:dyDescent="0.35">
      <c r="A23" s="122" t="s">
        <v>565</v>
      </c>
      <c r="B23" s="193"/>
      <c r="C23" s="193"/>
      <c r="D23" s="184" t="e">
        <f>+VLOOKUP(C23,Convencionales!$K$4:$L$94,2,FALSE)</f>
        <v>#N/A</v>
      </c>
      <c r="E23" s="48"/>
      <c r="F23" s="48"/>
      <c r="G23" s="202"/>
      <c r="H23" s="200"/>
      <c r="I23" s="48"/>
      <c r="J23" s="177"/>
      <c r="K23" s="205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91">
        <v>0</v>
      </c>
      <c r="Y23" s="191">
        <v>0</v>
      </c>
      <c r="Z23" s="109"/>
      <c r="AA23" s="109"/>
      <c r="AB23" s="111">
        <v>-14</v>
      </c>
      <c r="AC23" s="9" t="s">
        <v>13</v>
      </c>
      <c r="AD23" s="7">
        <f t="shared" si="0"/>
        <v>0</v>
      </c>
      <c r="AE23" s="7">
        <f t="shared" si="1"/>
        <v>0</v>
      </c>
      <c r="AF23" s="81"/>
      <c r="AG23" s="49"/>
      <c r="AH23" s="74"/>
    </row>
    <row r="24" spans="1:34" s="6" customFormat="1" ht="49" customHeight="1" x14ac:dyDescent="0.35">
      <c r="A24" s="122" t="s">
        <v>566</v>
      </c>
      <c r="B24" s="193"/>
      <c r="C24" s="193"/>
      <c r="D24" s="184" t="e">
        <f>+VLOOKUP(C24,Convencionales!$K$4:$L$94,2,FALSE)</f>
        <v>#N/A</v>
      </c>
      <c r="E24" s="48"/>
      <c r="F24" s="48"/>
      <c r="G24" s="202"/>
      <c r="H24" s="200"/>
      <c r="I24" s="48"/>
      <c r="J24" s="177"/>
      <c r="K24" s="205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91">
        <v>0</v>
      </c>
      <c r="Y24" s="191">
        <v>0</v>
      </c>
      <c r="Z24" s="109"/>
      <c r="AA24" s="109"/>
      <c r="AB24" s="111">
        <v>-13</v>
      </c>
      <c r="AC24" s="9" t="s">
        <v>13</v>
      </c>
      <c r="AD24" s="7">
        <f t="shared" si="0"/>
        <v>0</v>
      </c>
      <c r="AE24" s="7">
        <f t="shared" si="1"/>
        <v>0</v>
      </c>
      <c r="AF24" s="81"/>
      <c r="AG24" s="49"/>
      <c r="AH24" s="74"/>
    </row>
    <row r="25" spans="1:34" s="6" customFormat="1" ht="49" customHeight="1" x14ac:dyDescent="0.35">
      <c r="A25" s="122" t="s">
        <v>567</v>
      </c>
      <c r="B25" s="193"/>
      <c r="C25" s="193"/>
      <c r="D25" s="184" t="e">
        <f>+VLOOKUP(C25,Convencionales!$K$4:$L$94,2,FALSE)</f>
        <v>#N/A</v>
      </c>
      <c r="E25" s="48"/>
      <c r="F25" s="48"/>
      <c r="G25" s="202"/>
      <c r="H25" s="200"/>
      <c r="I25" s="48"/>
      <c r="J25" s="177"/>
      <c r="K25" s="205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91">
        <v>0</v>
      </c>
      <c r="Y25" s="191">
        <v>0</v>
      </c>
      <c r="Z25" s="109"/>
      <c r="AA25" s="109"/>
      <c r="AB25" s="111">
        <v>-12</v>
      </c>
      <c r="AC25" s="9" t="s">
        <v>13</v>
      </c>
      <c r="AD25" s="7">
        <f t="shared" si="0"/>
        <v>0</v>
      </c>
      <c r="AE25" s="7">
        <f t="shared" si="1"/>
        <v>0</v>
      </c>
      <c r="AF25" s="81"/>
      <c r="AG25" s="49"/>
      <c r="AH25" s="74"/>
    </row>
    <row r="26" spans="1:34" s="6" customFormat="1" ht="49" customHeight="1" x14ac:dyDescent="0.35">
      <c r="A26" s="122" t="s">
        <v>568</v>
      </c>
      <c r="B26" s="193"/>
      <c r="C26" s="193"/>
      <c r="D26" s="184" t="e">
        <f>+VLOOKUP(C26,Convencionales!$K$4:$L$94,2,FALSE)</f>
        <v>#N/A</v>
      </c>
      <c r="E26" s="48"/>
      <c r="F26" s="48"/>
      <c r="G26" s="202"/>
      <c r="H26" s="200"/>
      <c r="I26" s="48"/>
      <c r="J26" s="177"/>
      <c r="K26" s="205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91">
        <v>0</v>
      </c>
      <c r="Y26" s="191">
        <v>0</v>
      </c>
      <c r="Z26" s="109"/>
      <c r="AA26" s="109"/>
      <c r="AB26" s="111">
        <v>-11</v>
      </c>
      <c r="AC26" s="9" t="s">
        <v>13</v>
      </c>
      <c r="AD26" s="7">
        <f t="shared" si="0"/>
        <v>0</v>
      </c>
      <c r="AE26" s="7">
        <f t="shared" si="1"/>
        <v>0</v>
      </c>
      <c r="AF26" s="81"/>
      <c r="AG26" s="49"/>
      <c r="AH26" s="74"/>
    </row>
    <row r="27" spans="1:34" s="6" customFormat="1" ht="49" customHeight="1" x14ac:dyDescent="0.35">
      <c r="A27" s="122" t="s">
        <v>569</v>
      </c>
      <c r="B27" s="193"/>
      <c r="C27" s="193"/>
      <c r="D27" s="184" t="e">
        <f>+VLOOKUP(C27,Convencionales!$K$4:$L$94,2,FALSE)</f>
        <v>#N/A</v>
      </c>
      <c r="E27" s="48"/>
      <c r="F27" s="48"/>
      <c r="G27" s="202"/>
      <c r="H27" s="200"/>
      <c r="I27" s="48"/>
      <c r="J27" s="177"/>
      <c r="K27" s="205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91">
        <v>0</v>
      </c>
      <c r="Y27" s="191">
        <v>0</v>
      </c>
      <c r="Z27" s="109"/>
      <c r="AA27" s="109"/>
      <c r="AB27" s="111">
        <v>-10</v>
      </c>
      <c r="AC27" s="9" t="s">
        <v>13</v>
      </c>
      <c r="AD27" s="7">
        <f t="shared" si="0"/>
        <v>0</v>
      </c>
      <c r="AE27" s="7">
        <f t="shared" si="1"/>
        <v>0</v>
      </c>
      <c r="AF27" s="81"/>
      <c r="AG27" s="49"/>
      <c r="AH27" s="74"/>
    </row>
    <row r="28" spans="1:34" s="6" customFormat="1" ht="49" customHeight="1" x14ac:dyDescent="0.35">
      <c r="A28" s="122" t="s">
        <v>570</v>
      </c>
      <c r="B28" s="193"/>
      <c r="C28" s="193"/>
      <c r="D28" s="184" t="e">
        <f>+VLOOKUP(C28,Convencionales!$K$4:$L$94,2,FALSE)</f>
        <v>#N/A</v>
      </c>
      <c r="E28" s="48"/>
      <c r="F28" s="48"/>
      <c r="G28" s="202"/>
      <c r="H28" s="200"/>
      <c r="I28" s="48"/>
      <c r="J28" s="177"/>
      <c r="K28" s="205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91">
        <v>0</v>
      </c>
      <c r="Y28" s="191">
        <v>0</v>
      </c>
      <c r="Z28" s="109"/>
      <c r="AA28" s="109"/>
      <c r="AB28" s="111">
        <v>-9</v>
      </c>
      <c r="AC28" s="9" t="s">
        <v>13</v>
      </c>
      <c r="AD28" s="7">
        <f t="shared" si="0"/>
        <v>0</v>
      </c>
      <c r="AE28" s="7">
        <f t="shared" si="1"/>
        <v>0</v>
      </c>
      <c r="AF28" s="81"/>
      <c r="AG28" s="49"/>
      <c r="AH28" s="74"/>
    </row>
    <row r="29" spans="1:34" s="6" customFormat="1" ht="49" customHeight="1" x14ac:dyDescent="0.35">
      <c r="A29" s="122" t="s">
        <v>571</v>
      </c>
      <c r="B29" s="193"/>
      <c r="C29" s="193"/>
      <c r="D29" s="184" t="e">
        <f>+VLOOKUP(C29,Convencionales!$K$4:$L$94,2,FALSE)</f>
        <v>#N/A</v>
      </c>
      <c r="E29" s="48"/>
      <c r="F29" s="48"/>
      <c r="G29" s="202"/>
      <c r="H29" s="200"/>
      <c r="I29" s="48"/>
      <c r="J29" s="177"/>
      <c r="K29" s="205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91">
        <v>0</v>
      </c>
      <c r="Y29" s="191">
        <v>0</v>
      </c>
      <c r="Z29" s="109"/>
      <c r="AA29" s="109"/>
      <c r="AB29" s="111">
        <v>-8</v>
      </c>
      <c r="AC29" s="9" t="s">
        <v>13</v>
      </c>
      <c r="AD29" s="7">
        <f t="shared" si="0"/>
        <v>0</v>
      </c>
      <c r="AE29" s="7">
        <f t="shared" si="1"/>
        <v>0</v>
      </c>
      <c r="AF29" s="81"/>
      <c r="AG29" s="49"/>
      <c r="AH29" s="74"/>
    </row>
    <row r="30" spans="1:34" s="6" customFormat="1" ht="49" customHeight="1" x14ac:dyDescent="0.35">
      <c r="A30" s="122" t="s">
        <v>572</v>
      </c>
      <c r="B30" s="193"/>
      <c r="C30" s="193"/>
      <c r="D30" s="184" t="e">
        <f>+VLOOKUP(C30,Convencionales!$K$4:$L$94,2,FALSE)</f>
        <v>#N/A</v>
      </c>
      <c r="E30" s="48"/>
      <c r="F30" s="48"/>
      <c r="G30" s="202"/>
      <c r="H30" s="200"/>
      <c r="I30" s="48"/>
      <c r="J30" s="177"/>
      <c r="K30" s="205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91">
        <v>0</v>
      </c>
      <c r="Y30" s="191">
        <v>0</v>
      </c>
      <c r="Z30" s="109"/>
      <c r="AA30" s="109"/>
      <c r="AB30" s="111">
        <v>-7</v>
      </c>
      <c r="AC30" s="9" t="s">
        <v>13</v>
      </c>
      <c r="AD30" s="7">
        <f t="shared" si="0"/>
        <v>0</v>
      </c>
      <c r="AE30" s="7">
        <f t="shared" si="1"/>
        <v>0</v>
      </c>
      <c r="AF30" s="81"/>
      <c r="AG30" s="49"/>
      <c r="AH30" s="74"/>
    </row>
    <row r="31" spans="1:34" s="6" customFormat="1" ht="49" customHeight="1" x14ac:dyDescent="0.35">
      <c r="A31" s="122" t="s">
        <v>704</v>
      </c>
      <c r="B31" s="193"/>
      <c r="C31" s="193"/>
      <c r="D31" s="184" t="e">
        <f>+VLOOKUP(C31,Convencionales!$K$4:$L$94,2,FALSE)</f>
        <v>#N/A</v>
      </c>
      <c r="E31" s="48"/>
      <c r="F31" s="48"/>
      <c r="G31" s="202"/>
      <c r="H31" s="200"/>
      <c r="I31" s="48"/>
      <c r="J31" s="177"/>
      <c r="K31" s="205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91">
        <v>0</v>
      </c>
      <c r="Y31" s="191">
        <v>0</v>
      </c>
      <c r="Z31" s="109"/>
      <c r="AA31" s="109"/>
      <c r="AB31" s="111">
        <v>-6</v>
      </c>
      <c r="AC31" s="9" t="s">
        <v>13</v>
      </c>
      <c r="AD31" s="7">
        <f t="shared" si="0"/>
        <v>0</v>
      </c>
      <c r="AE31" s="7">
        <f t="shared" si="1"/>
        <v>0</v>
      </c>
      <c r="AF31" s="81"/>
      <c r="AG31" s="49"/>
      <c r="AH31" s="74"/>
    </row>
    <row r="32" spans="1:34" s="6" customFormat="1" ht="49" customHeight="1" x14ac:dyDescent="0.35">
      <c r="A32" s="122" t="s">
        <v>705</v>
      </c>
      <c r="B32" s="193"/>
      <c r="C32" s="193"/>
      <c r="D32" s="184" t="e">
        <f>+VLOOKUP(C32,Convencionales!$K$4:$L$94,2,FALSE)</f>
        <v>#N/A</v>
      </c>
      <c r="E32" s="48"/>
      <c r="F32" s="48"/>
      <c r="G32" s="202"/>
      <c r="H32" s="200"/>
      <c r="I32" s="48"/>
      <c r="J32" s="177"/>
      <c r="K32" s="205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91">
        <v>0</v>
      </c>
      <c r="Y32" s="191">
        <v>0</v>
      </c>
      <c r="Z32" s="109"/>
      <c r="AA32" s="109"/>
      <c r="AB32" s="111">
        <v>-5</v>
      </c>
      <c r="AC32" s="9" t="s">
        <v>13</v>
      </c>
      <c r="AD32" s="7">
        <f t="shared" si="0"/>
        <v>0</v>
      </c>
      <c r="AE32" s="7">
        <f t="shared" si="1"/>
        <v>0</v>
      </c>
      <c r="AF32" s="81"/>
      <c r="AG32" s="49"/>
      <c r="AH32" s="74"/>
    </row>
    <row r="33" spans="1:34" s="6" customFormat="1" ht="49" customHeight="1" x14ac:dyDescent="0.35">
      <c r="A33" s="122" t="s">
        <v>706</v>
      </c>
      <c r="B33" s="193"/>
      <c r="C33" s="193"/>
      <c r="D33" s="184" t="e">
        <f>+VLOOKUP(C33,Convencionales!$K$4:$L$94,2,FALSE)</f>
        <v>#N/A</v>
      </c>
      <c r="E33" s="48"/>
      <c r="F33" s="48"/>
      <c r="G33" s="202"/>
      <c r="H33" s="200"/>
      <c r="I33" s="48"/>
      <c r="J33" s="177"/>
      <c r="K33" s="205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91">
        <v>0</v>
      </c>
      <c r="Y33" s="191">
        <v>0</v>
      </c>
      <c r="Z33" s="109"/>
      <c r="AA33" s="109"/>
      <c r="AB33" s="111">
        <v>-4</v>
      </c>
      <c r="AC33" s="9" t="s">
        <v>13</v>
      </c>
      <c r="AD33" s="7">
        <f t="shared" si="0"/>
        <v>0</v>
      </c>
      <c r="AE33" s="7">
        <f t="shared" si="1"/>
        <v>0</v>
      </c>
      <c r="AF33" s="81"/>
      <c r="AG33" s="49"/>
      <c r="AH33" s="74"/>
    </row>
    <row r="34" spans="1:34" s="6" customFormat="1" ht="49" customHeight="1" x14ac:dyDescent="0.35">
      <c r="A34" s="122" t="s">
        <v>707</v>
      </c>
      <c r="B34" s="193"/>
      <c r="C34" s="193"/>
      <c r="D34" s="184" t="e">
        <f>+VLOOKUP(C34,Convencionales!$K$4:$L$94,2,FALSE)</f>
        <v>#N/A</v>
      </c>
      <c r="E34" s="48"/>
      <c r="F34" s="48"/>
      <c r="G34" s="202"/>
      <c r="H34" s="200"/>
      <c r="I34" s="48"/>
      <c r="J34" s="177"/>
      <c r="K34" s="205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91">
        <v>0</v>
      </c>
      <c r="Y34" s="191">
        <v>0</v>
      </c>
      <c r="Z34" s="109"/>
      <c r="AA34" s="109"/>
      <c r="AB34" s="111">
        <v>-3</v>
      </c>
      <c r="AC34" s="9" t="s">
        <v>13</v>
      </c>
      <c r="AD34" s="7">
        <f t="shared" si="0"/>
        <v>0</v>
      </c>
      <c r="AE34" s="7">
        <f t="shared" si="1"/>
        <v>0</v>
      </c>
      <c r="AF34" s="81"/>
      <c r="AG34" s="49"/>
      <c r="AH34" s="74"/>
    </row>
    <row r="35" spans="1:34" s="6" customFormat="1" ht="49" customHeight="1" x14ac:dyDescent="0.35">
      <c r="A35" s="122" t="s">
        <v>708</v>
      </c>
      <c r="B35" s="193"/>
      <c r="C35" s="193"/>
      <c r="D35" s="184" t="e">
        <f>+VLOOKUP(C35,Convencionales!$K$4:$L$94,2,FALSE)</f>
        <v>#N/A</v>
      </c>
      <c r="E35" s="48"/>
      <c r="F35" s="48"/>
      <c r="G35" s="202"/>
      <c r="H35" s="200"/>
      <c r="I35" s="48"/>
      <c r="J35" s="177"/>
      <c r="K35" s="205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91">
        <v>0</v>
      </c>
      <c r="Y35" s="191">
        <v>0</v>
      </c>
      <c r="Z35" s="109"/>
      <c r="AA35" s="109"/>
      <c r="AB35" s="111">
        <v>-2</v>
      </c>
      <c r="AC35" s="9" t="s">
        <v>13</v>
      </c>
      <c r="AD35" s="7">
        <f t="shared" si="0"/>
        <v>0</v>
      </c>
      <c r="AE35" s="7">
        <f t="shared" si="1"/>
        <v>0</v>
      </c>
      <c r="AF35" s="81"/>
      <c r="AG35" s="49"/>
      <c r="AH35" s="74"/>
    </row>
    <row r="36" spans="1:34" s="6" customFormat="1" ht="49" customHeight="1" x14ac:dyDescent="0.35">
      <c r="A36" s="122" t="s">
        <v>709</v>
      </c>
      <c r="B36" s="193"/>
      <c r="C36" s="193"/>
      <c r="D36" s="184" t="e">
        <f>+VLOOKUP(C36,Convencionales!$K$4:$L$94,2,FALSE)</f>
        <v>#N/A</v>
      </c>
      <c r="E36" s="48"/>
      <c r="F36" s="48"/>
      <c r="G36" s="202"/>
      <c r="H36" s="200"/>
      <c r="I36" s="48"/>
      <c r="J36" s="177"/>
      <c r="K36" s="205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91">
        <v>0</v>
      </c>
      <c r="Y36" s="191">
        <v>0</v>
      </c>
      <c r="Z36" s="109"/>
      <c r="AA36" s="109"/>
      <c r="AB36" s="111">
        <v>-1</v>
      </c>
      <c r="AC36" s="9" t="s">
        <v>13</v>
      </c>
      <c r="AD36" s="7">
        <f t="shared" si="0"/>
        <v>0</v>
      </c>
      <c r="AE36" s="7">
        <f t="shared" si="1"/>
        <v>0</v>
      </c>
      <c r="AF36" s="81"/>
      <c r="AG36" s="49"/>
      <c r="AH36" s="74"/>
    </row>
    <row r="37" spans="1:34" s="6" customFormat="1" ht="49" customHeight="1" x14ac:dyDescent="0.35">
      <c r="A37" s="122" t="s">
        <v>710</v>
      </c>
      <c r="B37" s="193"/>
      <c r="C37" s="193"/>
      <c r="D37" s="184" t="e">
        <f>+VLOOKUP(C37,Convencionales!$K$4:$L$94,2,FALSE)</f>
        <v>#N/A</v>
      </c>
      <c r="E37" s="48"/>
      <c r="F37" s="48"/>
      <c r="G37" s="202"/>
      <c r="H37" s="200"/>
      <c r="I37" s="48"/>
      <c r="J37" s="177"/>
      <c r="K37" s="205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91">
        <v>0</v>
      </c>
      <c r="Y37" s="191">
        <v>0</v>
      </c>
      <c r="Z37" s="109"/>
      <c r="AA37" s="109"/>
      <c r="AB37" s="111">
        <v>0</v>
      </c>
      <c r="AC37" s="9" t="s">
        <v>13</v>
      </c>
      <c r="AD37" s="7">
        <f t="shared" si="0"/>
        <v>0</v>
      </c>
      <c r="AE37" s="7">
        <f t="shared" si="1"/>
        <v>0</v>
      </c>
      <c r="AF37" s="81"/>
      <c r="AG37" s="49"/>
      <c r="AH37" s="74"/>
    </row>
    <row r="38" spans="1:34" s="6" customFormat="1" ht="49" customHeight="1" x14ac:dyDescent="0.35">
      <c r="A38" s="122" t="s">
        <v>599</v>
      </c>
      <c r="B38" s="193"/>
      <c r="C38" s="193"/>
      <c r="D38" s="184" t="e">
        <f>+VLOOKUP(C38,Convencionales!$K$4:$L$94,2,FALSE)</f>
        <v>#N/A</v>
      </c>
      <c r="E38" s="48"/>
      <c r="F38" s="48"/>
      <c r="G38" s="202"/>
      <c r="H38" s="200"/>
      <c r="I38" s="48"/>
      <c r="J38" s="177"/>
      <c r="K38" s="205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91">
        <v>0</v>
      </c>
      <c r="Y38" s="191">
        <v>0</v>
      </c>
      <c r="Z38" s="109"/>
      <c r="AA38" s="109"/>
      <c r="AB38" s="111">
        <v>0</v>
      </c>
      <c r="AC38" s="9" t="s">
        <v>13</v>
      </c>
      <c r="AD38" s="7">
        <f t="shared" si="0"/>
        <v>0</v>
      </c>
      <c r="AE38" s="7">
        <f t="shared" si="1"/>
        <v>0</v>
      </c>
      <c r="AF38" s="81"/>
      <c r="AG38" s="49"/>
      <c r="AH38" s="74"/>
    </row>
    <row r="39" spans="1:34" s="6" customFormat="1" ht="49" customHeight="1" x14ac:dyDescent="0.35">
      <c r="A39" s="122" t="s">
        <v>600</v>
      </c>
      <c r="B39" s="193"/>
      <c r="C39" s="193"/>
      <c r="D39" s="184" t="e">
        <f>+VLOOKUP(C39,Convencionales!$K$4:$L$94,2,FALSE)</f>
        <v>#N/A</v>
      </c>
      <c r="E39" s="48"/>
      <c r="F39" s="48"/>
      <c r="G39" s="202"/>
      <c r="H39" s="200"/>
      <c r="I39" s="48"/>
      <c r="J39" s="177"/>
      <c r="K39" s="205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91">
        <v>0</v>
      </c>
      <c r="Y39" s="191">
        <v>0</v>
      </c>
      <c r="Z39" s="109"/>
      <c r="AA39" s="109"/>
      <c r="AB39" s="111">
        <v>0</v>
      </c>
      <c r="AC39" s="9" t="s">
        <v>13</v>
      </c>
      <c r="AD39" s="7">
        <f t="shared" si="0"/>
        <v>0</v>
      </c>
      <c r="AE39" s="7">
        <f t="shared" si="1"/>
        <v>0</v>
      </c>
      <c r="AF39" s="81"/>
      <c r="AG39" s="49"/>
      <c r="AH39" s="74"/>
    </row>
    <row r="40" spans="1:34" s="6" customFormat="1" ht="49" customHeight="1" x14ac:dyDescent="0.35">
      <c r="A40" s="122" t="s">
        <v>601</v>
      </c>
      <c r="B40" s="193"/>
      <c r="C40" s="193"/>
      <c r="D40" s="184" t="e">
        <f>+VLOOKUP(C40,Convencionales!$K$4:$L$94,2,FALSE)</f>
        <v>#N/A</v>
      </c>
      <c r="E40" s="48"/>
      <c r="F40" s="48"/>
      <c r="G40" s="202"/>
      <c r="H40" s="200"/>
      <c r="I40" s="48"/>
      <c r="J40" s="177"/>
      <c r="K40" s="205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91">
        <v>0</v>
      </c>
      <c r="Y40" s="191">
        <v>0</v>
      </c>
      <c r="Z40" s="109"/>
      <c r="AA40" s="109"/>
      <c r="AB40" s="111">
        <v>0</v>
      </c>
      <c r="AC40" s="9" t="s">
        <v>13</v>
      </c>
      <c r="AD40" s="7">
        <f t="shared" si="0"/>
        <v>0</v>
      </c>
      <c r="AE40" s="7">
        <f t="shared" si="1"/>
        <v>0</v>
      </c>
      <c r="AF40" s="81"/>
      <c r="AG40" s="49"/>
      <c r="AH40" s="74"/>
    </row>
    <row r="41" spans="1:34" s="6" customFormat="1" ht="49" customHeight="1" x14ac:dyDescent="0.35">
      <c r="A41" s="122" t="s">
        <v>602</v>
      </c>
      <c r="B41" s="193"/>
      <c r="C41" s="193"/>
      <c r="D41" s="184" t="e">
        <f>+VLOOKUP(C41,Convencionales!$K$4:$L$94,2,FALSE)</f>
        <v>#N/A</v>
      </c>
      <c r="E41" s="48"/>
      <c r="F41" s="48"/>
      <c r="G41" s="202"/>
      <c r="H41" s="200"/>
      <c r="I41" s="48"/>
      <c r="J41" s="177"/>
      <c r="K41" s="205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91">
        <v>0</v>
      </c>
      <c r="Y41" s="191">
        <v>0</v>
      </c>
      <c r="Z41" s="109"/>
      <c r="AA41" s="109"/>
      <c r="AB41" s="111">
        <v>0</v>
      </c>
      <c r="AC41" s="9" t="s">
        <v>13</v>
      </c>
      <c r="AD41" s="7">
        <f t="shared" si="0"/>
        <v>0</v>
      </c>
      <c r="AE41" s="7">
        <f t="shared" si="1"/>
        <v>0</v>
      </c>
      <c r="AF41" s="81"/>
      <c r="AG41" s="49"/>
      <c r="AH41" s="74"/>
    </row>
    <row r="42" spans="1:34" s="6" customFormat="1" ht="49" customHeight="1" x14ac:dyDescent="0.35">
      <c r="A42" s="122" t="s">
        <v>603</v>
      </c>
      <c r="B42" s="193"/>
      <c r="C42" s="193"/>
      <c r="D42" s="184" t="e">
        <f>+VLOOKUP(C42,Convencionales!$K$4:$L$94,2,FALSE)</f>
        <v>#N/A</v>
      </c>
      <c r="E42" s="48"/>
      <c r="F42" s="48"/>
      <c r="G42" s="202"/>
      <c r="H42" s="200"/>
      <c r="I42" s="48"/>
      <c r="J42" s="177"/>
      <c r="K42" s="205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91">
        <v>0</v>
      </c>
      <c r="Y42" s="191">
        <v>0</v>
      </c>
      <c r="Z42" s="109"/>
      <c r="AA42" s="109"/>
      <c r="AB42" s="111">
        <v>0</v>
      </c>
      <c r="AC42" s="9" t="s">
        <v>13</v>
      </c>
      <c r="AD42" s="7">
        <f t="shared" si="0"/>
        <v>0</v>
      </c>
      <c r="AE42" s="7">
        <f t="shared" si="1"/>
        <v>0</v>
      </c>
      <c r="AF42" s="81"/>
      <c r="AG42" s="49"/>
      <c r="AH42" s="74"/>
    </row>
    <row r="43" spans="1:34" ht="28.5" customHeight="1" x14ac:dyDescent="0.25">
      <c r="A43" s="51"/>
      <c r="B43" s="51"/>
      <c r="C43" s="51"/>
      <c r="D43" s="51"/>
      <c r="E43" s="51"/>
      <c r="F43" s="51"/>
      <c r="G43" s="195"/>
      <c r="H43" s="195"/>
      <c r="I43" s="51"/>
      <c r="J43" s="51"/>
      <c r="K43" s="51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92">
        <f>SUM(X7:X42)</f>
        <v>0</v>
      </c>
      <c r="Y43" s="192">
        <f>SUM(Y7:Y42)</f>
        <v>0</v>
      </c>
      <c r="Z43" s="110"/>
      <c r="AA43" s="110"/>
      <c r="AB43" s="112">
        <f>AVERAGE(AB7:AB42)</f>
        <v>-12.916666666666666</v>
      </c>
      <c r="AC43" s="50"/>
      <c r="AD43" s="134">
        <f>SUM(AD7:AD42)</f>
        <v>0</v>
      </c>
      <c r="AE43" s="134">
        <f>SUM(AE7:AE42)</f>
        <v>0</v>
      </c>
      <c r="AF43" s="50"/>
      <c r="AG43" s="134">
        <f>SUM(AG7:AG42)</f>
        <v>0</v>
      </c>
    </row>
    <row r="44" spans="1:34" ht="14.25" customHeight="1" x14ac:dyDescent="0.25">
      <c r="A44" s="51"/>
      <c r="B44" s="51"/>
      <c r="C44" s="51"/>
      <c r="D44" s="51"/>
      <c r="E44" s="51"/>
      <c r="F44" s="51"/>
      <c r="G44" s="195"/>
      <c r="H44" s="195"/>
      <c r="I44" s="51"/>
      <c r="J44" s="51"/>
      <c r="K44" s="51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51"/>
      <c r="Y44" s="51"/>
      <c r="Z44" s="110"/>
      <c r="AA44" s="110"/>
      <c r="AC44" s="50"/>
      <c r="AD44" s="50"/>
      <c r="AE44" s="50"/>
      <c r="AF44" s="50"/>
    </row>
    <row r="45" spans="1:34" ht="14.25" customHeight="1" x14ac:dyDescent="0.25">
      <c r="A45" s="50"/>
      <c r="B45" s="50"/>
      <c r="C45" s="50"/>
      <c r="D45" s="50"/>
      <c r="E45" s="50"/>
      <c r="F45" s="50"/>
      <c r="G45" s="198"/>
      <c r="H45" s="198"/>
      <c r="I45" s="50"/>
      <c r="J45" s="50"/>
      <c r="K45" s="50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51"/>
      <c r="Y45" s="51"/>
      <c r="Z45" s="110"/>
      <c r="AC45" s="50"/>
      <c r="AD45" s="50"/>
      <c r="AE45" s="50"/>
      <c r="AF45" s="50"/>
    </row>
    <row r="46" spans="1:34" x14ac:dyDescent="0.25">
      <c r="AC46" s="50"/>
      <c r="AD46" s="50"/>
      <c r="AE46" s="50"/>
      <c r="AF46" s="50"/>
    </row>
  </sheetData>
  <sheetProtection algorithmName="SHA-512" hashValue="Y+a1WxE6fx+ZCb2XqTj6VVpABplSpdZKjj8lL4PgMuf8i8PAgUNDzPsuwoSw1lvlWoK0wNP8V2Nr/I4iyunAQw==" saltValue="cAoX3drlhkPtl302R12x9Q==" spinCount="100000" sheet="1" objects="1" scenarios="1"/>
  <phoneticPr fontId="41" type="noConversion"/>
  <conditionalFormatting sqref="AD7:AE7">
    <cfRule type="containsText" dxfId="30" priority="23" operator="containsText" text="Sin comprobar">
      <formula>NOT(ISERROR(SEARCH("Sin comprobar",AD7)))</formula>
    </cfRule>
  </conditionalFormatting>
  <conditionalFormatting sqref="AC7">
    <cfRule type="containsText" dxfId="29" priority="17" operator="containsText" text="NO">
      <formula>NOT(ISERROR(SEARCH("NO",AC7)))</formula>
    </cfRule>
    <cfRule type="containsText" dxfId="28" priority="18" operator="containsText" text="SI">
      <formula>NOT(ISERROR(SEARCH("SI",AC7)))</formula>
    </cfRule>
  </conditionalFormatting>
  <conditionalFormatting sqref="AD8:AE42">
    <cfRule type="containsText" dxfId="27" priority="4" operator="containsText" text="Sin comprobar">
      <formula>NOT(ISERROR(SEARCH("Sin comprobar",AD8)))</formula>
    </cfRule>
  </conditionalFormatting>
  <conditionalFormatting sqref="AC8:AC42">
    <cfRule type="containsText" dxfId="26" priority="2" operator="containsText" text="NO">
      <formula>NOT(ISERROR(SEARCH("NO",AC8)))</formula>
    </cfRule>
    <cfRule type="containsText" dxfId="25" priority="3" operator="containsText" text="SI">
      <formula>NOT(ISERROR(SEARCH("SI",AC8)))</formula>
    </cfRule>
  </conditionalFormatting>
  <conditionalFormatting sqref="L7:W42">
    <cfRule type="containsText" dxfId="3" priority="1" operator="containsText" text="X">
      <formula>NOT(ISERROR(SEARCH("X",L7)))</formula>
    </cfRule>
  </conditionalFormatting>
  <dataValidations count="1">
    <dataValidation type="list" allowBlank="1" showInputMessage="1" showErrorMessage="1" sqref="C7:C42">
      <formula1>INDIRECT(B7)</formula1>
    </dataValidation>
  </dataValidations>
  <pageMargins left="0.7" right="0.7" top="0.75" bottom="0.75" header="0.3" footer="0.3"/>
  <pageSetup orientation="portrait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Convencionales!$A$20:$A$25</xm:f>
          </x14:formula1>
          <xm:sqref>K7:K42</xm:sqref>
        </x14:dataValidation>
        <x14:dataValidation type="list" allowBlank="1" showInputMessage="1" showErrorMessage="1">
          <x14:formula1>
            <xm:f>Convencionales!$I$4:$I$17</xm:f>
          </x14:formula1>
          <xm:sqref>B7:B42</xm:sqref>
        </x14:dataValidation>
        <x14:dataValidation type="list" allowBlank="1" showInputMessage="1" showErrorMessage="1">
          <x14:formula1>
            <xm:f>Convencionales!$O$79:$O$82</xm:f>
          </x14:formula1>
          <xm:sqref>J7:J42</xm:sqref>
        </x14:dataValidation>
        <x14:dataValidation type="list" allowBlank="1" showInputMessage="1" showErrorMessage="1">
          <x14:formula1>
            <xm:f>Convencionales!$B$6:$B$9</xm:f>
          </x14:formula1>
          <xm:sqref>AC7:AC42</xm:sqref>
        </x14:dataValidation>
        <x14:dataValidation type="list" allowBlank="1" showInputMessage="1" showErrorMessage="1">
          <x14:formula1>
            <xm:f>Convencionales!$B$10</xm:f>
          </x14:formula1>
          <xm:sqref>L7:W42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43"/>
  <sheetViews>
    <sheetView showGridLines="0" zoomScale="60" zoomScaleNormal="6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baseColWidth="10" defaultColWidth="11.453125" defaultRowHeight="12.5" x14ac:dyDescent="0.25"/>
  <cols>
    <col min="1" max="1" width="8.7265625" style="2" bestFit="1" customWidth="1"/>
    <col min="2" max="2" width="34.453125" style="2" customWidth="1"/>
    <col min="3" max="3" width="29" style="2" customWidth="1"/>
    <col min="4" max="4" width="32" style="2" customWidth="1"/>
    <col min="5" max="5" width="36.81640625" style="2" customWidth="1"/>
    <col min="6" max="6" width="42.453125" style="2" customWidth="1"/>
    <col min="7" max="8" width="21.81640625" style="196" customWidth="1"/>
    <col min="9" max="9" width="15.81640625" style="2" bestFit="1" customWidth="1"/>
    <col min="10" max="10" width="20.36328125" style="2" bestFit="1" customWidth="1"/>
    <col min="11" max="11" width="7.7265625" style="2" customWidth="1"/>
    <col min="12" max="23" width="7.453125" style="2" customWidth="1"/>
    <col min="24" max="25" width="14.1796875" style="2" customWidth="1"/>
    <col min="26" max="26" width="8.453125" style="2" hidden="1" customWidth="1"/>
    <col min="27" max="27" width="11.453125" style="2" hidden="1" customWidth="1"/>
    <col min="28" max="28" width="16" style="2" hidden="1" customWidth="1"/>
    <col min="29" max="29" width="16" style="2" customWidth="1"/>
    <col min="30" max="30" width="35.81640625" style="2" customWidth="1"/>
    <col min="31" max="31" width="16.1796875" style="2" customWidth="1"/>
    <col min="32" max="32" width="29" style="2" customWidth="1"/>
    <col min="33" max="33" width="11.453125" style="2"/>
    <col min="34" max="34" width="36.08984375" style="2" customWidth="1"/>
    <col min="35" max="16384" width="11.453125" style="2"/>
  </cols>
  <sheetData>
    <row r="1" spans="1:34" s="114" customFormat="1" ht="18" customHeight="1" x14ac:dyDescent="0.35">
      <c r="A1" s="113"/>
      <c r="B1" s="113"/>
      <c r="D1" s="113"/>
      <c r="E1" s="113"/>
      <c r="F1" s="113"/>
      <c r="G1" s="194"/>
      <c r="H1" s="19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X1" s="113"/>
      <c r="Y1" s="113"/>
      <c r="Z1" s="113"/>
    </row>
    <row r="2" spans="1:34" s="114" customFormat="1" ht="18" customHeight="1" x14ac:dyDescent="0.35">
      <c r="A2" s="113"/>
      <c r="B2" s="113"/>
      <c r="C2" s="115" t="s">
        <v>573</v>
      </c>
      <c r="D2" s="113"/>
      <c r="E2" s="113"/>
      <c r="F2" s="113"/>
      <c r="G2" s="194"/>
      <c r="H2" s="19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X2" s="113"/>
      <c r="Y2" s="113"/>
      <c r="Z2" s="113"/>
    </row>
    <row r="3" spans="1:34" s="114" customFormat="1" ht="18" customHeight="1" x14ac:dyDescent="0.35">
      <c r="A3" s="113"/>
      <c r="B3" s="113"/>
      <c r="C3" s="116">
        <f>INI!D20</f>
        <v>0</v>
      </c>
      <c r="D3" s="113"/>
      <c r="E3" s="113"/>
      <c r="F3" s="113"/>
      <c r="G3" s="194"/>
      <c r="H3" s="19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X3" s="113"/>
      <c r="Y3" s="113"/>
      <c r="Z3" s="113"/>
    </row>
    <row r="4" spans="1:34" s="114" customFormat="1" ht="18" customHeight="1" x14ac:dyDescent="0.35">
      <c r="A4" s="113"/>
      <c r="B4" s="113"/>
      <c r="C4" s="117">
        <f>INI!D22</f>
        <v>0</v>
      </c>
      <c r="D4" s="113"/>
      <c r="E4" s="113"/>
      <c r="F4" s="113"/>
      <c r="G4" s="194"/>
      <c r="H4" s="19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X4" s="113"/>
      <c r="Y4" s="113"/>
      <c r="Z4" s="113"/>
    </row>
    <row r="5" spans="1:34" s="114" customFormat="1" ht="18" customHeight="1" thickBot="1" x14ac:dyDescent="0.4">
      <c r="A5" s="113"/>
      <c r="B5" s="113"/>
      <c r="D5" s="113"/>
      <c r="E5" s="113"/>
      <c r="F5" s="113"/>
      <c r="G5" s="194"/>
      <c r="H5" s="19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X5" s="113"/>
      <c r="Y5" s="113"/>
      <c r="Z5" s="113"/>
    </row>
    <row r="6" spans="1:34" ht="61" customHeight="1" thickTop="1" thickBot="1" x14ac:dyDescent="0.3">
      <c r="A6" s="178" t="s">
        <v>543</v>
      </c>
      <c r="B6" s="178" t="s">
        <v>738</v>
      </c>
      <c r="C6" s="179" t="s">
        <v>751</v>
      </c>
      <c r="D6" s="179" t="s">
        <v>544</v>
      </c>
      <c r="E6" s="178" t="s">
        <v>931</v>
      </c>
      <c r="F6" s="179" t="s">
        <v>752</v>
      </c>
      <c r="G6" s="206" t="s">
        <v>739</v>
      </c>
      <c r="H6" s="207" t="s">
        <v>740</v>
      </c>
      <c r="I6" s="179" t="s">
        <v>545</v>
      </c>
      <c r="J6" s="178" t="s">
        <v>546</v>
      </c>
      <c r="K6" s="203" t="s">
        <v>547</v>
      </c>
      <c r="L6" s="179" t="s">
        <v>10</v>
      </c>
      <c r="M6" s="179" t="s">
        <v>15</v>
      </c>
      <c r="N6" s="179" t="s">
        <v>24</v>
      </c>
      <c r="O6" s="179" t="s">
        <v>548</v>
      </c>
      <c r="P6" s="179" t="s">
        <v>549</v>
      </c>
      <c r="Q6" s="179" t="s">
        <v>550</v>
      </c>
      <c r="R6" s="179" t="s">
        <v>551</v>
      </c>
      <c r="S6" s="179" t="s">
        <v>552</v>
      </c>
      <c r="T6" s="179" t="s">
        <v>55</v>
      </c>
      <c r="U6" s="179" t="s">
        <v>59</v>
      </c>
      <c r="V6" s="179" t="s">
        <v>64</v>
      </c>
      <c r="W6" s="179" t="s">
        <v>69</v>
      </c>
      <c r="X6" s="180" t="s">
        <v>522</v>
      </c>
      <c r="Y6" s="181" t="s">
        <v>523</v>
      </c>
      <c r="Z6" s="183" t="s">
        <v>553</v>
      </c>
      <c r="AA6" s="119" t="s">
        <v>554</v>
      </c>
      <c r="AB6" s="120" t="s">
        <v>555</v>
      </c>
      <c r="AC6" s="121" t="s">
        <v>556</v>
      </c>
      <c r="AD6" s="121" t="s">
        <v>522</v>
      </c>
      <c r="AE6" s="121" t="s">
        <v>523</v>
      </c>
      <c r="AF6" s="121" t="s">
        <v>527</v>
      </c>
      <c r="AG6" s="121" t="s">
        <v>528</v>
      </c>
      <c r="AH6" s="121" t="s">
        <v>529</v>
      </c>
    </row>
    <row r="7" spans="1:34" s="6" customFormat="1" ht="51.5" customHeight="1" thickTop="1" x14ac:dyDescent="0.35">
      <c r="A7" s="176" t="s">
        <v>574</v>
      </c>
      <c r="B7" s="193"/>
      <c r="C7" s="193"/>
      <c r="D7" s="184" t="e">
        <f>+VLOOKUP(C7,Convencionales!$K$4:$L$94,2,FALSE)</f>
        <v>#N/A</v>
      </c>
      <c r="E7" s="177"/>
      <c r="F7" s="177"/>
      <c r="G7" s="201"/>
      <c r="H7" s="199"/>
      <c r="I7" s="177"/>
      <c r="J7" s="177"/>
      <c r="K7" s="20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91">
        <v>0</v>
      </c>
      <c r="Y7" s="191">
        <v>0</v>
      </c>
      <c r="Z7" s="109"/>
      <c r="AA7" s="109"/>
      <c r="AB7" s="111">
        <v>-30</v>
      </c>
      <c r="AC7" s="9" t="s">
        <v>13</v>
      </c>
      <c r="AD7" s="7">
        <f>IF(AC7="SI",X7,IF(AC7="TRASLADO CON PRESUPUESTO",X7,IF(AC7="NO",0,"0")))</f>
        <v>0</v>
      </c>
      <c r="AE7" s="7">
        <f>IF(AC7="SI",Y7,IF(AC7="TRASLADO CON PRESUPUESTO",Y7,IF(AC7="NO",0,"0")))</f>
        <v>0</v>
      </c>
      <c r="AF7" s="81"/>
      <c r="AG7" s="49"/>
      <c r="AH7" s="74"/>
    </row>
    <row r="8" spans="1:34" s="6" customFormat="1" ht="51.5" customHeight="1" x14ac:dyDescent="0.35">
      <c r="A8" s="176" t="s">
        <v>575</v>
      </c>
      <c r="B8" s="193"/>
      <c r="C8" s="193"/>
      <c r="D8" s="184" t="e">
        <f>+VLOOKUP(C8,Convencionales!$K$4:$L$94,2,FALSE)</f>
        <v>#N/A</v>
      </c>
      <c r="E8" s="48"/>
      <c r="F8" s="48"/>
      <c r="G8" s="201"/>
      <c r="H8" s="199"/>
      <c r="I8" s="177"/>
      <c r="J8" s="177"/>
      <c r="K8" s="205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91">
        <v>0</v>
      </c>
      <c r="Y8" s="191">
        <v>0</v>
      </c>
      <c r="Z8" s="109"/>
      <c r="AA8" s="109"/>
      <c r="AB8" s="111">
        <v>-29</v>
      </c>
      <c r="AC8" s="9" t="s">
        <v>13</v>
      </c>
      <c r="AD8" s="7">
        <f t="shared" ref="AD8:AD42" si="0">IF(AC8="SI",X8,IF(AC8="TRASLADO CON PRESUPUESTO",X8,IF(AC8="NO",0,"0")))</f>
        <v>0</v>
      </c>
      <c r="AE8" s="7">
        <f t="shared" ref="AE8:AE42" si="1">IF(AC8="SI",Y8,IF(AC8="TRASLADO CON PRESUPUESTO",Y8,IF(AC8="NO",0,"0")))</f>
        <v>0</v>
      </c>
      <c r="AF8" s="81"/>
      <c r="AG8" s="49"/>
      <c r="AH8" s="74"/>
    </row>
    <row r="9" spans="1:34" s="6" customFormat="1" ht="51.5" customHeight="1" x14ac:dyDescent="0.35">
      <c r="A9" s="176" t="s">
        <v>576</v>
      </c>
      <c r="B9" s="193"/>
      <c r="C9" s="193"/>
      <c r="D9" s="184" t="e">
        <f>+VLOOKUP(C9,Convencionales!$K$4:$L$94,2,FALSE)</f>
        <v>#N/A</v>
      </c>
      <c r="E9" s="48"/>
      <c r="F9" s="48"/>
      <c r="G9" s="202"/>
      <c r="H9" s="200"/>
      <c r="I9" s="48"/>
      <c r="J9" s="177"/>
      <c r="K9" s="205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91">
        <v>0</v>
      </c>
      <c r="Y9" s="191">
        <v>0</v>
      </c>
      <c r="Z9" s="109"/>
      <c r="AA9" s="109"/>
      <c r="AB9" s="111">
        <v>-28</v>
      </c>
      <c r="AC9" s="9" t="s">
        <v>13</v>
      </c>
      <c r="AD9" s="7">
        <f t="shared" si="0"/>
        <v>0</v>
      </c>
      <c r="AE9" s="7">
        <f t="shared" si="1"/>
        <v>0</v>
      </c>
      <c r="AF9" s="81"/>
      <c r="AG9" s="49"/>
      <c r="AH9" s="74"/>
    </row>
    <row r="10" spans="1:34" s="6" customFormat="1" ht="51.5" customHeight="1" x14ac:dyDescent="0.35">
      <c r="A10" s="176" t="s">
        <v>577</v>
      </c>
      <c r="B10" s="193"/>
      <c r="C10" s="193"/>
      <c r="D10" s="184" t="e">
        <f>+VLOOKUP(C10,Convencionales!$K$4:$L$94,2,FALSE)</f>
        <v>#N/A</v>
      </c>
      <c r="E10" s="48"/>
      <c r="F10" s="48"/>
      <c r="G10" s="202"/>
      <c r="H10" s="200"/>
      <c r="I10" s="48"/>
      <c r="J10" s="177"/>
      <c r="K10" s="205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91">
        <v>0</v>
      </c>
      <c r="Y10" s="191">
        <v>0</v>
      </c>
      <c r="Z10" s="109"/>
      <c r="AA10" s="109"/>
      <c r="AB10" s="111">
        <v>-27</v>
      </c>
      <c r="AC10" s="9" t="s">
        <v>13</v>
      </c>
      <c r="AD10" s="7">
        <f t="shared" si="0"/>
        <v>0</v>
      </c>
      <c r="AE10" s="7">
        <f t="shared" si="1"/>
        <v>0</v>
      </c>
      <c r="AF10" s="81"/>
      <c r="AG10" s="49"/>
      <c r="AH10" s="74"/>
    </row>
    <row r="11" spans="1:34" s="6" customFormat="1" ht="51.5" customHeight="1" x14ac:dyDescent="0.35">
      <c r="A11" s="176" t="s">
        <v>578</v>
      </c>
      <c r="B11" s="193"/>
      <c r="C11" s="193"/>
      <c r="D11" s="184" t="e">
        <f>+VLOOKUP(C11,Convencionales!$K$4:$L$94,2,FALSE)</f>
        <v>#N/A</v>
      </c>
      <c r="E11" s="48"/>
      <c r="F11" s="48"/>
      <c r="G11" s="202"/>
      <c r="H11" s="200"/>
      <c r="I11" s="48"/>
      <c r="J11" s="177"/>
      <c r="K11" s="205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91">
        <v>0</v>
      </c>
      <c r="Y11" s="191">
        <v>0</v>
      </c>
      <c r="Z11" s="109"/>
      <c r="AA11" s="109"/>
      <c r="AB11" s="111">
        <v>-26</v>
      </c>
      <c r="AC11" s="9" t="s">
        <v>13</v>
      </c>
      <c r="AD11" s="7">
        <f t="shared" si="0"/>
        <v>0</v>
      </c>
      <c r="AE11" s="7">
        <f t="shared" si="1"/>
        <v>0</v>
      </c>
      <c r="AF11" s="81"/>
      <c r="AG11" s="49"/>
      <c r="AH11" s="74"/>
    </row>
    <row r="12" spans="1:34" s="6" customFormat="1" ht="51.5" customHeight="1" x14ac:dyDescent="0.35">
      <c r="A12" s="176" t="s">
        <v>579</v>
      </c>
      <c r="B12" s="193"/>
      <c r="C12" s="193"/>
      <c r="D12" s="184" t="e">
        <f>+VLOOKUP(C12,Convencionales!$K$4:$L$94,2,FALSE)</f>
        <v>#N/A</v>
      </c>
      <c r="E12" s="48"/>
      <c r="F12" s="48"/>
      <c r="G12" s="202"/>
      <c r="H12" s="200"/>
      <c r="I12" s="48"/>
      <c r="J12" s="177"/>
      <c r="K12" s="205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91">
        <v>0</v>
      </c>
      <c r="Y12" s="191">
        <v>0</v>
      </c>
      <c r="Z12" s="109"/>
      <c r="AA12" s="109"/>
      <c r="AB12" s="111">
        <v>-25</v>
      </c>
      <c r="AC12" s="9" t="s">
        <v>13</v>
      </c>
      <c r="AD12" s="7">
        <f t="shared" si="0"/>
        <v>0</v>
      </c>
      <c r="AE12" s="7">
        <f t="shared" si="1"/>
        <v>0</v>
      </c>
      <c r="AF12" s="81"/>
      <c r="AG12" s="49"/>
      <c r="AH12" s="74"/>
    </row>
    <row r="13" spans="1:34" s="6" customFormat="1" ht="51.5" customHeight="1" x14ac:dyDescent="0.35">
      <c r="A13" s="176" t="s">
        <v>580</v>
      </c>
      <c r="B13" s="193"/>
      <c r="C13" s="193"/>
      <c r="D13" s="184" t="e">
        <f>+VLOOKUP(C13,Convencionales!$K$4:$L$94,2,FALSE)</f>
        <v>#N/A</v>
      </c>
      <c r="E13" s="48"/>
      <c r="F13" s="48"/>
      <c r="G13" s="202"/>
      <c r="H13" s="200"/>
      <c r="I13" s="48"/>
      <c r="J13" s="177"/>
      <c r="K13" s="205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91">
        <v>0</v>
      </c>
      <c r="Y13" s="191">
        <v>0</v>
      </c>
      <c r="Z13" s="109"/>
      <c r="AA13" s="109"/>
      <c r="AB13" s="111">
        <v>-24</v>
      </c>
      <c r="AC13" s="9" t="s">
        <v>13</v>
      </c>
      <c r="AD13" s="7">
        <f t="shared" si="0"/>
        <v>0</v>
      </c>
      <c r="AE13" s="7">
        <f t="shared" si="1"/>
        <v>0</v>
      </c>
      <c r="AF13" s="81"/>
      <c r="AG13" s="49"/>
      <c r="AH13" s="74"/>
    </row>
    <row r="14" spans="1:34" s="6" customFormat="1" ht="51.5" customHeight="1" x14ac:dyDescent="0.35">
      <c r="A14" s="176" t="s">
        <v>581</v>
      </c>
      <c r="B14" s="193"/>
      <c r="C14" s="193"/>
      <c r="D14" s="184" t="e">
        <f>+VLOOKUP(C14,Convencionales!$K$4:$L$94,2,FALSE)</f>
        <v>#N/A</v>
      </c>
      <c r="E14" s="48"/>
      <c r="F14" s="48"/>
      <c r="G14" s="202"/>
      <c r="H14" s="200"/>
      <c r="I14" s="48"/>
      <c r="J14" s="177"/>
      <c r="K14" s="205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91">
        <v>0</v>
      </c>
      <c r="Y14" s="191">
        <v>0</v>
      </c>
      <c r="Z14" s="109"/>
      <c r="AA14" s="109"/>
      <c r="AB14" s="111">
        <v>-23</v>
      </c>
      <c r="AC14" s="9" t="s">
        <v>13</v>
      </c>
      <c r="AD14" s="7">
        <f t="shared" si="0"/>
        <v>0</v>
      </c>
      <c r="AE14" s="7">
        <f t="shared" si="1"/>
        <v>0</v>
      </c>
      <c r="AF14" s="81"/>
      <c r="AG14" s="49"/>
      <c r="AH14" s="74"/>
    </row>
    <row r="15" spans="1:34" s="6" customFormat="1" ht="51.5" customHeight="1" x14ac:dyDescent="0.35">
      <c r="A15" s="176" t="s">
        <v>582</v>
      </c>
      <c r="B15" s="193"/>
      <c r="C15" s="193"/>
      <c r="D15" s="184" t="e">
        <f>+VLOOKUP(C15,Convencionales!$K$4:$L$94,2,FALSE)</f>
        <v>#N/A</v>
      </c>
      <c r="E15" s="48"/>
      <c r="F15" s="48"/>
      <c r="G15" s="202"/>
      <c r="H15" s="200"/>
      <c r="I15" s="48"/>
      <c r="J15" s="177"/>
      <c r="K15" s="205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91">
        <v>0</v>
      </c>
      <c r="Y15" s="191">
        <v>0</v>
      </c>
      <c r="Z15" s="109"/>
      <c r="AA15" s="109"/>
      <c r="AB15" s="111">
        <v>-22</v>
      </c>
      <c r="AC15" s="9" t="s">
        <v>13</v>
      </c>
      <c r="AD15" s="7">
        <f t="shared" si="0"/>
        <v>0</v>
      </c>
      <c r="AE15" s="7">
        <f t="shared" si="1"/>
        <v>0</v>
      </c>
      <c r="AF15" s="81"/>
      <c r="AG15" s="49"/>
      <c r="AH15" s="74"/>
    </row>
    <row r="16" spans="1:34" s="6" customFormat="1" ht="51.5" customHeight="1" x14ac:dyDescent="0.35">
      <c r="A16" s="176" t="s">
        <v>583</v>
      </c>
      <c r="B16" s="193"/>
      <c r="C16" s="193"/>
      <c r="D16" s="184" t="e">
        <f>+VLOOKUP(C16,Convencionales!$K$4:$L$94,2,FALSE)</f>
        <v>#N/A</v>
      </c>
      <c r="E16" s="48"/>
      <c r="F16" s="48"/>
      <c r="G16" s="202"/>
      <c r="H16" s="200"/>
      <c r="I16" s="48"/>
      <c r="J16" s="177"/>
      <c r="K16" s="205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91">
        <v>0</v>
      </c>
      <c r="Y16" s="191">
        <v>0</v>
      </c>
      <c r="Z16" s="109"/>
      <c r="AA16" s="109"/>
      <c r="AB16" s="111">
        <v>-21</v>
      </c>
      <c r="AC16" s="9" t="s">
        <v>13</v>
      </c>
      <c r="AD16" s="7">
        <f t="shared" si="0"/>
        <v>0</v>
      </c>
      <c r="AE16" s="7">
        <f t="shared" si="1"/>
        <v>0</v>
      </c>
      <c r="AF16" s="81"/>
      <c r="AG16" s="49"/>
      <c r="AH16" s="74"/>
    </row>
    <row r="17" spans="1:34" s="6" customFormat="1" ht="51.5" customHeight="1" x14ac:dyDescent="0.35">
      <c r="A17" s="176" t="s">
        <v>584</v>
      </c>
      <c r="B17" s="193"/>
      <c r="C17" s="193"/>
      <c r="D17" s="184" t="e">
        <f>+VLOOKUP(C17,Convencionales!$K$4:$L$94,2,FALSE)</f>
        <v>#N/A</v>
      </c>
      <c r="E17" s="48"/>
      <c r="F17" s="48"/>
      <c r="G17" s="202"/>
      <c r="H17" s="200"/>
      <c r="I17" s="48"/>
      <c r="J17" s="177"/>
      <c r="K17" s="205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91">
        <v>0</v>
      </c>
      <c r="Y17" s="191">
        <v>0</v>
      </c>
      <c r="Z17" s="109"/>
      <c r="AA17" s="109"/>
      <c r="AB17" s="111">
        <v>-20</v>
      </c>
      <c r="AC17" s="9" t="s">
        <v>13</v>
      </c>
      <c r="AD17" s="7">
        <f t="shared" si="0"/>
        <v>0</v>
      </c>
      <c r="AE17" s="7">
        <f t="shared" si="1"/>
        <v>0</v>
      </c>
      <c r="AF17" s="81"/>
      <c r="AG17" s="49"/>
      <c r="AH17" s="74"/>
    </row>
    <row r="18" spans="1:34" s="6" customFormat="1" ht="51.5" customHeight="1" x14ac:dyDescent="0.35">
      <c r="A18" s="176" t="s">
        <v>585</v>
      </c>
      <c r="B18" s="193"/>
      <c r="C18" s="193"/>
      <c r="D18" s="184" t="e">
        <f>+VLOOKUP(C18,Convencionales!$K$4:$L$94,2,FALSE)</f>
        <v>#N/A</v>
      </c>
      <c r="E18" s="48"/>
      <c r="F18" s="48"/>
      <c r="G18" s="202"/>
      <c r="H18" s="200"/>
      <c r="I18" s="48"/>
      <c r="J18" s="177"/>
      <c r="K18" s="205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91">
        <v>0</v>
      </c>
      <c r="Y18" s="191">
        <v>0</v>
      </c>
      <c r="Z18" s="109"/>
      <c r="AA18" s="109"/>
      <c r="AB18" s="111">
        <v>-19</v>
      </c>
      <c r="AC18" s="9" t="s">
        <v>13</v>
      </c>
      <c r="AD18" s="7">
        <f t="shared" si="0"/>
        <v>0</v>
      </c>
      <c r="AE18" s="7">
        <f t="shared" si="1"/>
        <v>0</v>
      </c>
      <c r="AF18" s="81"/>
      <c r="AG18" s="49"/>
      <c r="AH18" s="74"/>
    </row>
    <row r="19" spans="1:34" s="6" customFormat="1" ht="51.5" customHeight="1" x14ac:dyDescent="0.35">
      <c r="A19" s="176" t="s">
        <v>586</v>
      </c>
      <c r="B19" s="193"/>
      <c r="C19" s="193"/>
      <c r="D19" s="184" t="e">
        <f>+VLOOKUP(C19,Convencionales!$K$4:$L$94,2,FALSE)</f>
        <v>#N/A</v>
      </c>
      <c r="E19" s="48"/>
      <c r="F19" s="48"/>
      <c r="G19" s="202"/>
      <c r="H19" s="200"/>
      <c r="I19" s="48"/>
      <c r="J19" s="177"/>
      <c r="K19" s="205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91">
        <v>0</v>
      </c>
      <c r="Y19" s="191">
        <v>0</v>
      </c>
      <c r="Z19" s="109"/>
      <c r="AA19" s="109"/>
      <c r="AB19" s="111">
        <v>-18</v>
      </c>
      <c r="AC19" s="9" t="s">
        <v>13</v>
      </c>
      <c r="AD19" s="7">
        <f t="shared" si="0"/>
        <v>0</v>
      </c>
      <c r="AE19" s="7">
        <f t="shared" si="1"/>
        <v>0</v>
      </c>
      <c r="AF19" s="81"/>
      <c r="AG19" s="49"/>
      <c r="AH19" s="74"/>
    </row>
    <row r="20" spans="1:34" s="6" customFormat="1" ht="51.5" customHeight="1" x14ac:dyDescent="0.35">
      <c r="A20" s="176" t="s">
        <v>587</v>
      </c>
      <c r="B20" s="193"/>
      <c r="C20" s="193"/>
      <c r="D20" s="184" t="e">
        <f>+VLOOKUP(C20,Convencionales!$K$4:$L$94,2,FALSE)</f>
        <v>#N/A</v>
      </c>
      <c r="E20" s="48"/>
      <c r="F20" s="48"/>
      <c r="G20" s="202"/>
      <c r="H20" s="200"/>
      <c r="I20" s="48"/>
      <c r="J20" s="177"/>
      <c r="K20" s="205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91">
        <v>0</v>
      </c>
      <c r="Y20" s="191">
        <v>0</v>
      </c>
      <c r="Z20" s="109"/>
      <c r="AA20" s="109"/>
      <c r="AB20" s="111">
        <v>-17</v>
      </c>
      <c r="AC20" s="9" t="s">
        <v>13</v>
      </c>
      <c r="AD20" s="7">
        <f t="shared" si="0"/>
        <v>0</v>
      </c>
      <c r="AE20" s="7">
        <f t="shared" si="1"/>
        <v>0</v>
      </c>
      <c r="AF20" s="81"/>
      <c r="AG20" s="49"/>
      <c r="AH20" s="74"/>
    </row>
    <row r="21" spans="1:34" s="6" customFormat="1" ht="51.5" customHeight="1" x14ac:dyDescent="0.35">
      <c r="A21" s="176" t="s">
        <v>588</v>
      </c>
      <c r="B21" s="193"/>
      <c r="C21" s="193"/>
      <c r="D21" s="184" t="e">
        <f>+VLOOKUP(C21,Convencionales!$K$4:$L$94,2,FALSE)</f>
        <v>#N/A</v>
      </c>
      <c r="E21" s="48"/>
      <c r="F21" s="48"/>
      <c r="G21" s="202"/>
      <c r="H21" s="200"/>
      <c r="I21" s="48"/>
      <c r="J21" s="177"/>
      <c r="K21" s="205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91">
        <v>0</v>
      </c>
      <c r="Y21" s="191">
        <v>0</v>
      </c>
      <c r="Z21" s="109"/>
      <c r="AA21" s="109"/>
      <c r="AB21" s="111">
        <v>-16</v>
      </c>
      <c r="AC21" s="9" t="s">
        <v>13</v>
      </c>
      <c r="AD21" s="7">
        <f t="shared" si="0"/>
        <v>0</v>
      </c>
      <c r="AE21" s="7">
        <f t="shared" si="1"/>
        <v>0</v>
      </c>
      <c r="AF21" s="81"/>
      <c r="AG21" s="49"/>
      <c r="AH21" s="74"/>
    </row>
    <row r="22" spans="1:34" s="6" customFormat="1" ht="51.5" customHeight="1" x14ac:dyDescent="0.35">
      <c r="A22" s="176" t="s">
        <v>589</v>
      </c>
      <c r="B22" s="193"/>
      <c r="C22" s="193"/>
      <c r="D22" s="184" t="e">
        <f>+VLOOKUP(C22,Convencionales!$K$4:$L$94,2,FALSE)</f>
        <v>#N/A</v>
      </c>
      <c r="E22" s="48"/>
      <c r="F22" s="48"/>
      <c r="G22" s="202"/>
      <c r="H22" s="200"/>
      <c r="I22" s="48"/>
      <c r="J22" s="177"/>
      <c r="K22" s="205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91">
        <v>0</v>
      </c>
      <c r="Y22" s="191">
        <v>0</v>
      </c>
      <c r="Z22" s="109"/>
      <c r="AA22" s="109"/>
      <c r="AB22" s="111">
        <v>-15</v>
      </c>
      <c r="AC22" s="9" t="s">
        <v>13</v>
      </c>
      <c r="AD22" s="7">
        <f t="shared" si="0"/>
        <v>0</v>
      </c>
      <c r="AE22" s="7">
        <f t="shared" si="1"/>
        <v>0</v>
      </c>
      <c r="AF22" s="81"/>
      <c r="AG22" s="49"/>
      <c r="AH22" s="74"/>
    </row>
    <row r="23" spans="1:34" s="6" customFormat="1" ht="51.5" customHeight="1" x14ac:dyDescent="0.35">
      <c r="A23" s="176" t="s">
        <v>590</v>
      </c>
      <c r="B23" s="193"/>
      <c r="C23" s="193"/>
      <c r="D23" s="184" t="e">
        <f>+VLOOKUP(C23,Convencionales!$K$4:$L$94,2,FALSE)</f>
        <v>#N/A</v>
      </c>
      <c r="E23" s="48"/>
      <c r="F23" s="48"/>
      <c r="G23" s="202"/>
      <c r="H23" s="200"/>
      <c r="I23" s="48"/>
      <c r="J23" s="177"/>
      <c r="K23" s="205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91">
        <v>0</v>
      </c>
      <c r="Y23" s="191">
        <v>0</v>
      </c>
      <c r="Z23" s="109"/>
      <c r="AA23" s="109"/>
      <c r="AB23" s="111">
        <v>-14</v>
      </c>
      <c r="AC23" s="9" t="s">
        <v>13</v>
      </c>
      <c r="AD23" s="7">
        <f t="shared" si="0"/>
        <v>0</v>
      </c>
      <c r="AE23" s="7">
        <f t="shared" si="1"/>
        <v>0</v>
      </c>
      <c r="AF23" s="81"/>
      <c r="AG23" s="49"/>
      <c r="AH23" s="74"/>
    </row>
    <row r="24" spans="1:34" s="6" customFormat="1" ht="51.5" customHeight="1" x14ac:dyDescent="0.35">
      <c r="A24" s="176" t="s">
        <v>591</v>
      </c>
      <c r="B24" s="193"/>
      <c r="C24" s="193"/>
      <c r="D24" s="184" t="e">
        <f>+VLOOKUP(C24,Convencionales!$K$4:$L$94,2,FALSE)</f>
        <v>#N/A</v>
      </c>
      <c r="E24" s="48"/>
      <c r="F24" s="48"/>
      <c r="G24" s="202"/>
      <c r="H24" s="200"/>
      <c r="I24" s="48"/>
      <c r="J24" s="177"/>
      <c r="K24" s="205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91">
        <v>0</v>
      </c>
      <c r="Y24" s="191">
        <v>0</v>
      </c>
      <c r="Z24" s="109"/>
      <c r="AA24" s="109"/>
      <c r="AB24" s="111">
        <v>-13</v>
      </c>
      <c r="AC24" s="9" t="s">
        <v>13</v>
      </c>
      <c r="AD24" s="7">
        <f t="shared" si="0"/>
        <v>0</v>
      </c>
      <c r="AE24" s="7">
        <f t="shared" si="1"/>
        <v>0</v>
      </c>
      <c r="AF24" s="81"/>
      <c r="AG24" s="49"/>
      <c r="AH24" s="74"/>
    </row>
    <row r="25" spans="1:34" s="6" customFormat="1" ht="51.5" customHeight="1" x14ac:dyDescent="0.35">
      <c r="A25" s="176" t="s">
        <v>592</v>
      </c>
      <c r="B25" s="193"/>
      <c r="C25" s="193"/>
      <c r="D25" s="184" t="e">
        <f>+VLOOKUP(C25,Convencionales!$K$4:$L$94,2,FALSE)</f>
        <v>#N/A</v>
      </c>
      <c r="E25" s="48"/>
      <c r="F25" s="48"/>
      <c r="G25" s="202"/>
      <c r="H25" s="200"/>
      <c r="I25" s="48"/>
      <c r="J25" s="177"/>
      <c r="K25" s="205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91">
        <v>0</v>
      </c>
      <c r="Y25" s="191">
        <v>0</v>
      </c>
      <c r="Z25" s="109"/>
      <c r="AA25" s="109"/>
      <c r="AB25" s="111">
        <v>-12</v>
      </c>
      <c r="AC25" s="9" t="s">
        <v>13</v>
      </c>
      <c r="AD25" s="7">
        <f t="shared" si="0"/>
        <v>0</v>
      </c>
      <c r="AE25" s="7">
        <f t="shared" si="1"/>
        <v>0</v>
      </c>
      <c r="AF25" s="81"/>
      <c r="AG25" s="49"/>
      <c r="AH25" s="74"/>
    </row>
    <row r="26" spans="1:34" s="6" customFormat="1" ht="51.5" customHeight="1" x14ac:dyDescent="0.35">
      <c r="A26" s="176" t="s">
        <v>593</v>
      </c>
      <c r="B26" s="193"/>
      <c r="C26" s="193"/>
      <c r="D26" s="184" t="e">
        <f>+VLOOKUP(C26,Convencionales!$K$4:$L$94,2,FALSE)</f>
        <v>#N/A</v>
      </c>
      <c r="E26" s="48"/>
      <c r="F26" s="48"/>
      <c r="G26" s="202"/>
      <c r="H26" s="200"/>
      <c r="I26" s="48"/>
      <c r="J26" s="177"/>
      <c r="K26" s="205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91">
        <v>0</v>
      </c>
      <c r="Y26" s="191">
        <v>0</v>
      </c>
      <c r="Z26" s="109"/>
      <c r="AA26" s="109"/>
      <c r="AB26" s="111">
        <v>-11</v>
      </c>
      <c r="AC26" s="9" t="s">
        <v>13</v>
      </c>
      <c r="AD26" s="7">
        <f t="shared" si="0"/>
        <v>0</v>
      </c>
      <c r="AE26" s="7">
        <f t="shared" si="1"/>
        <v>0</v>
      </c>
      <c r="AF26" s="81"/>
      <c r="AG26" s="49"/>
      <c r="AH26" s="74"/>
    </row>
    <row r="27" spans="1:34" s="6" customFormat="1" ht="51.5" customHeight="1" x14ac:dyDescent="0.35">
      <c r="A27" s="176" t="s">
        <v>594</v>
      </c>
      <c r="B27" s="193"/>
      <c r="C27" s="193"/>
      <c r="D27" s="184" t="e">
        <f>+VLOOKUP(C27,Convencionales!$K$4:$L$94,2,FALSE)</f>
        <v>#N/A</v>
      </c>
      <c r="E27" s="48"/>
      <c r="F27" s="48"/>
      <c r="G27" s="202"/>
      <c r="H27" s="200"/>
      <c r="I27" s="48"/>
      <c r="J27" s="177"/>
      <c r="K27" s="205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91">
        <v>0</v>
      </c>
      <c r="Y27" s="191">
        <v>0</v>
      </c>
      <c r="Z27" s="109"/>
      <c r="AA27" s="109"/>
      <c r="AB27" s="111">
        <v>-10</v>
      </c>
      <c r="AC27" s="9" t="s">
        <v>13</v>
      </c>
      <c r="AD27" s="7">
        <f t="shared" si="0"/>
        <v>0</v>
      </c>
      <c r="AE27" s="7">
        <f t="shared" si="1"/>
        <v>0</v>
      </c>
      <c r="AF27" s="81"/>
      <c r="AG27" s="49"/>
      <c r="AH27" s="74"/>
    </row>
    <row r="28" spans="1:34" s="6" customFormat="1" ht="51.5" customHeight="1" x14ac:dyDescent="0.35">
      <c r="A28" s="176" t="s">
        <v>595</v>
      </c>
      <c r="B28" s="193"/>
      <c r="C28" s="193"/>
      <c r="D28" s="184" t="e">
        <f>+VLOOKUP(C28,Convencionales!$K$4:$L$94,2,FALSE)</f>
        <v>#N/A</v>
      </c>
      <c r="E28" s="48"/>
      <c r="F28" s="48"/>
      <c r="G28" s="202"/>
      <c r="H28" s="200"/>
      <c r="I28" s="48"/>
      <c r="J28" s="177"/>
      <c r="K28" s="205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91">
        <v>0</v>
      </c>
      <c r="Y28" s="191">
        <v>0</v>
      </c>
      <c r="Z28" s="109"/>
      <c r="AA28" s="109"/>
      <c r="AB28" s="111">
        <v>-9</v>
      </c>
      <c r="AC28" s="9" t="s">
        <v>13</v>
      </c>
      <c r="AD28" s="7">
        <f t="shared" si="0"/>
        <v>0</v>
      </c>
      <c r="AE28" s="7">
        <f t="shared" si="1"/>
        <v>0</v>
      </c>
      <c r="AF28" s="81"/>
      <c r="AG28" s="49"/>
      <c r="AH28" s="74"/>
    </row>
    <row r="29" spans="1:34" s="6" customFormat="1" ht="51.5" customHeight="1" x14ac:dyDescent="0.35">
      <c r="A29" s="176" t="s">
        <v>596</v>
      </c>
      <c r="B29" s="193"/>
      <c r="C29" s="193"/>
      <c r="D29" s="184" t="e">
        <f>+VLOOKUP(C29,Convencionales!$K$4:$L$94,2,FALSE)</f>
        <v>#N/A</v>
      </c>
      <c r="E29" s="48"/>
      <c r="F29" s="48"/>
      <c r="G29" s="202"/>
      <c r="H29" s="200"/>
      <c r="I29" s="48"/>
      <c r="J29" s="177"/>
      <c r="K29" s="205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91">
        <v>0</v>
      </c>
      <c r="Y29" s="191">
        <v>0</v>
      </c>
      <c r="Z29" s="109"/>
      <c r="AA29" s="109"/>
      <c r="AB29" s="111">
        <v>-8</v>
      </c>
      <c r="AC29" s="9" t="s">
        <v>13</v>
      </c>
      <c r="AD29" s="7">
        <f t="shared" si="0"/>
        <v>0</v>
      </c>
      <c r="AE29" s="7">
        <f t="shared" si="1"/>
        <v>0</v>
      </c>
      <c r="AF29" s="81"/>
      <c r="AG29" s="49"/>
      <c r="AH29" s="74"/>
    </row>
    <row r="30" spans="1:34" s="6" customFormat="1" ht="51.5" customHeight="1" x14ac:dyDescent="0.35">
      <c r="A30" s="176" t="s">
        <v>597</v>
      </c>
      <c r="B30" s="193"/>
      <c r="C30" s="193"/>
      <c r="D30" s="184" t="e">
        <f>+VLOOKUP(C30,Convencionales!$K$4:$L$94,2,FALSE)</f>
        <v>#N/A</v>
      </c>
      <c r="E30" s="48"/>
      <c r="F30" s="48"/>
      <c r="G30" s="202"/>
      <c r="H30" s="200"/>
      <c r="I30" s="48"/>
      <c r="J30" s="177"/>
      <c r="K30" s="205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91">
        <v>0</v>
      </c>
      <c r="Y30" s="191">
        <v>0</v>
      </c>
      <c r="Z30" s="109"/>
      <c r="AA30" s="109"/>
      <c r="AB30" s="111">
        <v>-7</v>
      </c>
      <c r="AC30" s="9" t="s">
        <v>13</v>
      </c>
      <c r="AD30" s="7">
        <f t="shared" si="0"/>
        <v>0</v>
      </c>
      <c r="AE30" s="7">
        <f t="shared" si="1"/>
        <v>0</v>
      </c>
      <c r="AF30" s="81"/>
      <c r="AG30" s="49"/>
      <c r="AH30" s="74"/>
    </row>
    <row r="31" spans="1:34" ht="51.5" customHeight="1" x14ac:dyDescent="0.25">
      <c r="A31" s="176" t="s">
        <v>933</v>
      </c>
      <c r="B31" s="193"/>
      <c r="C31" s="193"/>
      <c r="D31" s="184" t="e">
        <f>+VLOOKUP(C31,Convencionales!$K$4:$L$94,2,FALSE)</f>
        <v>#N/A</v>
      </c>
      <c r="E31" s="48"/>
      <c r="F31" s="48"/>
      <c r="G31" s="202"/>
      <c r="H31" s="200"/>
      <c r="I31" s="48"/>
      <c r="J31" s="177"/>
      <c r="K31" s="205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91">
        <v>0</v>
      </c>
      <c r="Y31" s="191">
        <v>0</v>
      </c>
      <c r="Z31" s="109"/>
      <c r="AA31" s="109"/>
      <c r="AB31" s="111">
        <v>-6</v>
      </c>
      <c r="AC31" s="9" t="s">
        <v>13</v>
      </c>
      <c r="AD31" s="7">
        <f t="shared" si="0"/>
        <v>0</v>
      </c>
      <c r="AE31" s="7">
        <f t="shared" si="1"/>
        <v>0</v>
      </c>
      <c r="AF31" s="81"/>
      <c r="AG31" s="49"/>
      <c r="AH31" s="74"/>
    </row>
    <row r="32" spans="1:34" ht="51.5" customHeight="1" x14ac:dyDescent="0.25">
      <c r="A32" s="176" t="s">
        <v>934</v>
      </c>
      <c r="B32" s="193"/>
      <c r="C32" s="193"/>
      <c r="D32" s="184" t="e">
        <f>+VLOOKUP(C32,Convencionales!$K$4:$L$94,2,FALSE)</f>
        <v>#N/A</v>
      </c>
      <c r="E32" s="48"/>
      <c r="F32" s="48"/>
      <c r="G32" s="202"/>
      <c r="H32" s="200"/>
      <c r="I32" s="48"/>
      <c r="J32" s="177"/>
      <c r="K32" s="205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91">
        <v>0</v>
      </c>
      <c r="Y32" s="191">
        <v>0</v>
      </c>
      <c r="Z32" s="109"/>
      <c r="AA32" s="109"/>
      <c r="AB32" s="111">
        <v>-5</v>
      </c>
      <c r="AC32" s="9" t="s">
        <v>13</v>
      </c>
      <c r="AD32" s="7">
        <f t="shared" si="0"/>
        <v>0</v>
      </c>
      <c r="AE32" s="7">
        <f t="shared" si="1"/>
        <v>0</v>
      </c>
      <c r="AF32" s="81"/>
      <c r="AG32" s="49"/>
      <c r="AH32" s="74"/>
    </row>
    <row r="33" spans="1:34" ht="51.5" customHeight="1" x14ac:dyDescent="0.25">
      <c r="A33" s="176" t="s">
        <v>935</v>
      </c>
      <c r="B33" s="193"/>
      <c r="C33" s="193"/>
      <c r="D33" s="184" t="e">
        <f>+VLOOKUP(C33,Convencionales!$K$4:$L$94,2,FALSE)</f>
        <v>#N/A</v>
      </c>
      <c r="E33" s="48"/>
      <c r="F33" s="48"/>
      <c r="G33" s="202"/>
      <c r="H33" s="200"/>
      <c r="I33" s="48"/>
      <c r="J33" s="177"/>
      <c r="K33" s="205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91">
        <v>0</v>
      </c>
      <c r="Y33" s="191">
        <v>0</v>
      </c>
      <c r="Z33" s="109"/>
      <c r="AA33" s="109"/>
      <c r="AB33" s="111">
        <v>-4</v>
      </c>
      <c r="AC33" s="9" t="s">
        <v>13</v>
      </c>
      <c r="AD33" s="7">
        <f t="shared" si="0"/>
        <v>0</v>
      </c>
      <c r="AE33" s="7">
        <f t="shared" si="1"/>
        <v>0</v>
      </c>
      <c r="AF33" s="81"/>
      <c r="AG33" s="49"/>
      <c r="AH33" s="74"/>
    </row>
    <row r="34" spans="1:34" ht="51.5" customHeight="1" x14ac:dyDescent="0.25">
      <c r="A34" s="176" t="s">
        <v>936</v>
      </c>
      <c r="B34" s="193"/>
      <c r="C34" s="193"/>
      <c r="D34" s="184" t="e">
        <f>+VLOOKUP(C34,Convencionales!$K$4:$L$94,2,FALSE)</f>
        <v>#N/A</v>
      </c>
      <c r="E34" s="48"/>
      <c r="F34" s="48"/>
      <c r="G34" s="202"/>
      <c r="H34" s="200"/>
      <c r="I34" s="48"/>
      <c r="J34" s="177"/>
      <c r="K34" s="205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91">
        <v>0</v>
      </c>
      <c r="Y34" s="191">
        <v>0</v>
      </c>
      <c r="Z34" s="109"/>
      <c r="AA34" s="109"/>
      <c r="AB34" s="111">
        <v>-3</v>
      </c>
      <c r="AC34" s="9" t="s">
        <v>13</v>
      </c>
      <c r="AD34" s="7">
        <f t="shared" si="0"/>
        <v>0</v>
      </c>
      <c r="AE34" s="7">
        <f t="shared" si="1"/>
        <v>0</v>
      </c>
      <c r="AF34" s="81"/>
      <c r="AG34" s="49"/>
      <c r="AH34" s="74"/>
    </row>
    <row r="35" spans="1:34" ht="51.5" customHeight="1" x14ac:dyDescent="0.25">
      <c r="A35" s="176" t="s">
        <v>937</v>
      </c>
      <c r="B35" s="193"/>
      <c r="C35" s="193"/>
      <c r="D35" s="184" t="e">
        <f>+VLOOKUP(C35,Convencionales!$K$4:$L$94,2,FALSE)</f>
        <v>#N/A</v>
      </c>
      <c r="E35" s="48"/>
      <c r="F35" s="48"/>
      <c r="G35" s="202"/>
      <c r="H35" s="200"/>
      <c r="I35" s="48"/>
      <c r="J35" s="177"/>
      <c r="K35" s="205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91">
        <v>0</v>
      </c>
      <c r="Y35" s="191">
        <v>0</v>
      </c>
      <c r="Z35" s="109"/>
      <c r="AA35" s="109"/>
      <c r="AB35" s="111">
        <v>-2</v>
      </c>
      <c r="AC35" s="9" t="s">
        <v>13</v>
      </c>
      <c r="AD35" s="7">
        <f t="shared" si="0"/>
        <v>0</v>
      </c>
      <c r="AE35" s="7">
        <f t="shared" si="1"/>
        <v>0</v>
      </c>
      <c r="AF35" s="81"/>
      <c r="AG35" s="49"/>
      <c r="AH35" s="74"/>
    </row>
    <row r="36" spans="1:34" ht="51.5" customHeight="1" x14ac:dyDescent="0.25">
      <c r="A36" s="176" t="s">
        <v>938</v>
      </c>
      <c r="B36" s="193"/>
      <c r="C36" s="193"/>
      <c r="D36" s="184" t="e">
        <f>+VLOOKUP(C36,Convencionales!$K$4:$L$94,2,FALSE)</f>
        <v>#N/A</v>
      </c>
      <c r="E36" s="48"/>
      <c r="F36" s="48"/>
      <c r="G36" s="202"/>
      <c r="H36" s="200"/>
      <c r="I36" s="48"/>
      <c r="J36" s="177"/>
      <c r="K36" s="205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91">
        <v>0</v>
      </c>
      <c r="Y36" s="191">
        <v>0</v>
      </c>
      <c r="Z36" s="109"/>
      <c r="AA36" s="109"/>
      <c r="AB36" s="111">
        <v>-1</v>
      </c>
      <c r="AC36" s="9" t="s">
        <v>13</v>
      </c>
      <c r="AD36" s="7">
        <f t="shared" si="0"/>
        <v>0</v>
      </c>
      <c r="AE36" s="7">
        <f t="shared" si="1"/>
        <v>0</v>
      </c>
      <c r="AF36" s="81"/>
      <c r="AG36" s="49"/>
      <c r="AH36" s="74"/>
    </row>
    <row r="37" spans="1:34" ht="51.5" customHeight="1" x14ac:dyDescent="0.25">
      <c r="A37" s="176" t="s">
        <v>939</v>
      </c>
      <c r="B37" s="193"/>
      <c r="C37" s="193"/>
      <c r="D37" s="184" t="e">
        <f>+VLOOKUP(C37,Convencionales!$K$4:$L$94,2,FALSE)</f>
        <v>#N/A</v>
      </c>
      <c r="E37" s="48"/>
      <c r="F37" s="48"/>
      <c r="G37" s="202"/>
      <c r="H37" s="200"/>
      <c r="I37" s="48"/>
      <c r="J37" s="177"/>
      <c r="K37" s="205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91">
        <v>0</v>
      </c>
      <c r="Y37" s="191">
        <v>0</v>
      </c>
      <c r="Z37" s="109"/>
      <c r="AA37" s="109"/>
      <c r="AB37" s="111">
        <v>0</v>
      </c>
      <c r="AC37" s="9" t="s">
        <v>13</v>
      </c>
      <c r="AD37" s="7">
        <f t="shared" si="0"/>
        <v>0</v>
      </c>
      <c r="AE37" s="7">
        <f t="shared" si="1"/>
        <v>0</v>
      </c>
      <c r="AF37" s="81"/>
      <c r="AG37" s="49"/>
      <c r="AH37" s="74"/>
    </row>
    <row r="38" spans="1:34" ht="51.5" customHeight="1" x14ac:dyDescent="0.25">
      <c r="A38" s="176" t="s">
        <v>940</v>
      </c>
      <c r="B38" s="193"/>
      <c r="C38" s="193"/>
      <c r="D38" s="184" t="e">
        <f>+VLOOKUP(C38,Convencionales!$K$4:$L$94,2,FALSE)</f>
        <v>#N/A</v>
      </c>
      <c r="E38" s="48"/>
      <c r="F38" s="48"/>
      <c r="G38" s="202"/>
      <c r="H38" s="200"/>
      <c r="I38" s="48"/>
      <c r="J38" s="177"/>
      <c r="K38" s="205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91">
        <v>0</v>
      </c>
      <c r="Y38" s="191">
        <v>0</v>
      </c>
      <c r="Z38" s="109"/>
      <c r="AA38" s="109"/>
      <c r="AB38" s="111">
        <v>0</v>
      </c>
      <c r="AC38" s="9" t="s">
        <v>13</v>
      </c>
      <c r="AD38" s="7">
        <f t="shared" si="0"/>
        <v>0</v>
      </c>
      <c r="AE38" s="7">
        <f t="shared" si="1"/>
        <v>0</v>
      </c>
      <c r="AF38" s="81"/>
      <c r="AG38" s="49"/>
      <c r="AH38" s="74"/>
    </row>
    <row r="39" spans="1:34" ht="51.5" customHeight="1" x14ac:dyDescent="0.25">
      <c r="A39" s="176" t="s">
        <v>941</v>
      </c>
      <c r="B39" s="193"/>
      <c r="C39" s="193"/>
      <c r="D39" s="184" t="e">
        <f>+VLOOKUP(C39,Convencionales!$K$4:$L$94,2,FALSE)</f>
        <v>#N/A</v>
      </c>
      <c r="E39" s="48"/>
      <c r="F39" s="48"/>
      <c r="G39" s="202"/>
      <c r="H39" s="200"/>
      <c r="I39" s="48"/>
      <c r="J39" s="177"/>
      <c r="K39" s="205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91">
        <v>0</v>
      </c>
      <c r="Y39" s="191">
        <v>0</v>
      </c>
      <c r="Z39" s="109"/>
      <c r="AA39" s="109"/>
      <c r="AB39" s="111">
        <v>0</v>
      </c>
      <c r="AC39" s="9" t="s">
        <v>13</v>
      </c>
      <c r="AD39" s="7">
        <f t="shared" si="0"/>
        <v>0</v>
      </c>
      <c r="AE39" s="7">
        <f t="shared" si="1"/>
        <v>0</v>
      </c>
      <c r="AF39" s="81"/>
      <c r="AG39" s="49"/>
      <c r="AH39" s="74"/>
    </row>
    <row r="40" spans="1:34" ht="51.5" customHeight="1" x14ac:dyDescent="0.25">
      <c r="A40" s="176" t="s">
        <v>942</v>
      </c>
      <c r="B40" s="193"/>
      <c r="C40" s="193"/>
      <c r="D40" s="184" t="e">
        <f>+VLOOKUP(C40,Convencionales!$K$4:$L$94,2,FALSE)</f>
        <v>#N/A</v>
      </c>
      <c r="E40" s="48"/>
      <c r="F40" s="48"/>
      <c r="G40" s="202"/>
      <c r="H40" s="200"/>
      <c r="I40" s="48"/>
      <c r="J40" s="177"/>
      <c r="K40" s="205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91">
        <v>0</v>
      </c>
      <c r="Y40" s="191">
        <v>0</v>
      </c>
      <c r="Z40" s="109"/>
      <c r="AA40" s="109"/>
      <c r="AB40" s="111">
        <v>0</v>
      </c>
      <c r="AC40" s="9" t="s">
        <v>13</v>
      </c>
      <c r="AD40" s="7">
        <f t="shared" si="0"/>
        <v>0</v>
      </c>
      <c r="AE40" s="7">
        <f t="shared" si="1"/>
        <v>0</v>
      </c>
      <c r="AF40" s="81"/>
      <c r="AG40" s="49"/>
      <c r="AH40" s="74"/>
    </row>
    <row r="41" spans="1:34" ht="51.5" customHeight="1" x14ac:dyDescent="0.25">
      <c r="A41" s="176" t="s">
        <v>943</v>
      </c>
      <c r="B41" s="193"/>
      <c r="C41" s="193"/>
      <c r="D41" s="184" t="e">
        <f>+VLOOKUP(C41,Convencionales!$K$4:$L$94,2,FALSE)</f>
        <v>#N/A</v>
      </c>
      <c r="E41" s="48"/>
      <c r="F41" s="48"/>
      <c r="G41" s="202"/>
      <c r="H41" s="200"/>
      <c r="I41" s="48"/>
      <c r="J41" s="177"/>
      <c r="K41" s="205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91">
        <v>0</v>
      </c>
      <c r="Y41" s="191">
        <v>0</v>
      </c>
      <c r="Z41" s="109"/>
      <c r="AA41" s="109"/>
      <c r="AB41" s="111">
        <v>0</v>
      </c>
      <c r="AC41" s="9" t="s">
        <v>13</v>
      </c>
      <c r="AD41" s="7">
        <f t="shared" si="0"/>
        <v>0</v>
      </c>
      <c r="AE41" s="7">
        <f t="shared" si="1"/>
        <v>0</v>
      </c>
      <c r="AF41" s="81"/>
      <c r="AG41" s="49"/>
      <c r="AH41" s="74"/>
    </row>
    <row r="42" spans="1:34" ht="51.5" customHeight="1" x14ac:dyDescent="0.25">
      <c r="A42" s="176" t="s">
        <v>944</v>
      </c>
      <c r="B42" s="193"/>
      <c r="C42" s="193"/>
      <c r="D42" s="184" t="e">
        <f>+VLOOKUP(C42,Convencionales!$K$4:$L$94,2,FALSE)</f>
        <v>#N/A</v>
      </c>
      <c r="E42" s="48"/>
      <c r="F42" s="48"/>
      <c r="G42" s="202"/>
      <c r="H42" s="200"/>
      <c r="I42" s="48"/>
      <c r="J42" s="177"/>
      <c r="K42" s="205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91">
        <v>0</v>
      </c>
      <c r="Y42" s="191">
        <v>0</v>
      </c>
      <c r="Z42" s="109"/>
      <c r="AA42" s="109"/>
      <c r="AB42" s="111">
        <v>0</v>
      </c>
      <c r="AC42" s="9" t="s">
        <v>13</v>
      </c>
      <c r="AD42" s="7">
        <f t="shared" si="0"/>
        <v>0</v>
      </c>
      <c r="AE42" s="7">
        <f t="shared" si="1"/>
        <v>0</v>
      </c>
      <c r="AF42" s="81"/>
      <c r="AG42" s="49"/>
      <c r="AH42" s="74"/>
    </row>
    <row r="43" spans="1:34" x14ac:dyDescent="0.25">
      <c r="B43" s="51"/>
      <c r="C43" s="51"/>
      <c r="D43" s="51"/>
      <c r="E43" s="51"/>
      <c r="F43" s="51"/>
      <c r="G43" s="195"/>
      <c r="H43" s="195"/>
      <c r="I43" s="51"/>
      <c r="J43" s="51"/>
      <c r="K43" s="51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92">
        <f>SUM(X7:X42)</f>
        <v>0</v>
      </c>
      <c r="Y43" s="192">
        <f>SUM(Y7:Y42)</f>
        <v>0</v>
      </c>
      <c r="Z43" s="110"/>
      <c r="AA43" s="110"/>
      <c r="AB43" s="112">
        <f>AVERAGE(AB7:AB42)</f>
        <v>-12.916666666666666</v>
      </c>
      <c r="AC43" s="50"/>
      <c r="AD43" s="134">
        <f>SUM(AD7:AD42)</f>
        <v>0</v>
      </c>
      <c r="AE43" s="134">
        <f>SUM(AE7:AE42)</f>
        <v>0</v>
      </c>
      <c r="AF43" s="50"/>
      <c r="AG43" s="134">
        <f>SUM(AG7:AG42)</f>
        <v>0</v>
      </c>
    </row>
  </sheetData>
  <sheetProtection algorithmName="SHA-512" hashValue="xmJxcKfv7zWaIN6j+c9mkZ2s8B2R4mpoEgvCOhGge+Kqm03jDxH0XYElIYFnyMvU5vLAQfbwQS0EdLSQjou/cA==" saltValue="IMMWbKS+Fnm5++cfoh7iZg==" spinCount="100000" sheet="1" objects="1" scenarios="1"/>
  <phoneticPr fontId="41" type="noConversion"/>
  <conditionalFormatting sqref="AD7:AE7">
    <cfRule type="containsText" dxfId="24" priority="7" operator="containsText" text="Sin comprobar">
      <formula>NOT(ISERROR(SEARCH("Sin comprobar",AD7)))</formula>
    </cfRule>
  </conditionalFormatting>
  <conditionalFormatting sqref="AC7">
    <cfRule type="containsText" dxfId="23" priority="5" operator="containsText" text="NO">
      <formula>NOT(ISERROR(SEARCH("NO",AC7)))</formula>
    </cfRule>
    <cfRule type="containsText" dxfId="22" priority="6" operator="containsText" text="SI">
      <formula>NOT(ISERROR(SEARCH("SI",AC7)))</formula>
    </cfRule>
  </conditionalFormatting>
  <conditionalFormatting sqref="AD8:AE42">
    <cfRule type="containsText" dxfId="21" priority="4" operator="containsText" text="Sin comprobar">
      <formula>NOT(ISERROR(SEARCH("Sin comprobar",AD8)))</formula>
    </cfRule>
  </conditionalFormatting>
  <conditionalFormatting sqref="AC8:AC42">
    <cfRule type="containsText" dxfId="20" priority="2" operator="containsText" text="NO">
      <formula>NOT(ISERROR(SEARCH("NO",AC8)))</formula>
    </cfRule>
    <cfRule type="containsText" dxfId="19" priority="3" operator="containsText" text="SI">
      <formula>NOT(ISERROR(SEARCH("SI",AC8)))</formula>
    </cfRule>
  </conditionalFormatting>
  <conditionalFormatting sqref="L7:W42">
    <cfRule type="containsText" dxfId="2" priority="1" operator="containsText" text="X">
      <formula>NOT(ISERROR(SEARCH("X",L7)))</formula>
    </cfRule>
  </conditionalFormatting>
  <dataValidations count="1">
    <dataValidation type="list" allowBlank="1" showInputMessage="1" showErrorMessage="1" sqref="C7:C42">
      <formula1>INDIRECT(B7)</formula1>
    </dataValidation>
  </dataValidations>
  <pageMargins left="0.7" right="0.7" top="0.75" bottom="0.75" header="0.3" footer="0.3"/>
  <pageSetup orientation="portrait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Convencionales!$A$20:$A$25</xm:f>
          </x14:formula1>
          <xm:sqref>K7:K42</xm:sqref>
        </x14:dataValidation>
        <x14:dataValidation type="list" allowBlank="1" showInputMessage="1" showErrorMessage="1">
          <x14:formula1>
            <xm:f>Convencionales!$O$79:$O$82</xm:f>
          </x14:formula1>
          <xm:sqref>J7:J42</xm:sqref>
        </x14:dataValidation>
        <x14:dataValidation type="list" allowBlank="1" showInputMessage="1" showErrorMessage="1">
          <x14:formula1>
            <xm:f>Convencionales!$I$4:$I$17</xm:f>
          </x14:formula1>
          <xm:sqref>B7:B42</xm:sqref>
        </x14:dataValidation>
        <x14:dataValidation type="list" allowBlank="1" showInputMessage="1" showErrorMessage="1">
          <x14:formula1>
            <xm:f>Convencionales!$B$6:$B$9</xm:f>
          </x14:formula1>
          <xm:sqref>AC7:AC42</xm:sqref>
        </x14:dataValidation>
        <x14:dataValidation type="list" allowBlank="1" showInputMessage="1" showErrorMessage="1">
          <x14:formula1>
            <xm:f>Convencionales!$B$10</xm:f>
          </x14:formula1>
          <xm:sqref>L7:W42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46"/>
  <sheetViews>
    <sheetView showGridLines="0" zoomScale="60" zoomScaleNormal="60" workbookViewId="0">
      <pane ySplit="6" topLeftCell="A7" activePane="bottomLeft" state="frozen"/>
      <selection activeCell="A10" sqref="A10"/>
      <selection pane="bottomLeft" activeCell="A7" sqref="A7"/>
    </sheetView>
  </sheetViews>
  <sheetFormatPr baseColWidth="10" defaultColWidth="11.453125" defaultRowHeight="12.5" x14ac:dyDescent="0.25"/>
  <cols>
    <col min="1" max="1" width="8.7265625" style="196" bestFit="1" customWidth="1"/>
    <col min="2" max="2" width="34.453125" style="196" customWidth="1"/>
    <col min="3" max="4" width="32" style="196" customWidth="1"/>
    <col min="5" max="5" width="42.54296875" style="196" customWidth="1"/>
    <col min="6" max="6" width="42.453125" style="196" customWidth="1"/>
    <col min="7" max="8" width="25.54296875" style="196" customWidth="1"/>
    <col min="9" max="9" width="21.1796875" style="196" customWidth="1"/>
    <col min="10" max="10" width="33.1796875" style="196" customWidth="1"/>
    <col min="11" max="21" width="7.7265625" style="196" customWidth="1"/>
    <col min="22" max="22" width="7.453125" style="196" customWidth="1"/>
    <col min="23" max="23" width="9.26953125" style="196" customWidth="1"/>
    <col min="24" max="25" width="14.6328125" style="196" customWidth="1"/>
    <col min="26" max="26" width="8.453125" style="196" hidden="1" customWidth="1"/>
    <col min="27" max="28" width="11.1796875" style="196" hidden="1" customWidth="1"/>
    <col min="29" max="29" width="12" style="196" customWidth="1"/>
    <col min="30" max="31" width="15.81640625" style="196" customWidth="1"/>
    <col min="32" max="32" width="29" style="196" customWidth="1"/>
    <col min="33" max="16384" width="11.453125" style="196"/>
  </cols>
  <sheetData>
    <row r="1" spans="1:34" s="194" customFormat="1" ht="21.75" customHeight="1" x14ac:dyDescent="0.35">
      <c r="A1" s="208"/>
      <c r="B1" s="208"/>
      <c r="D1" s="208"/>
      <c r="E1" s="208"/>
      <c r="F1" s="208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X1" s="208"/>
      <c r="Y1" s="208"/>
      <c r="Z1" s="208"/>
    </row>
    <row r="2" spans="1:34" s="194" customFormat="1" ht="21.75" customHeight="1" x14ac:dyDescent="0.35">
      <c r="A2" s="208"/>
      <c r="B2" s="208"/>
      <c r="C2" s="210" t="s">
        <v>598</v>
      </c>
      <c r="D2" s="208"/>
      <c r="E2" s="208"/>
      <c r="F2" s="208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X2" s="208"/>
      <c r="Y2" s="208"/>
      <c r="Z2" s="208"/>
    </row>
    <row r="3" spans="1:34" s="194" customFormat="1" ht="21.75" customHeight="1" x14ac:dyDescent="0.35">
      <c r="A3" s="208"/>
      <c r="B3" s="208"/>
      <c r="C3" s="211">
        <f>INI!D20</f>
        <v>0</v>
      </c>
      <c r="D3" s="208"/>
      <c r="E3" s="208"/>
      <c r="F3" s="208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X3" s="208"/>
      <c r="Y3" s="208"/>
      <c r="Z3" s="208"/>
    </row>
    <row r="4" spans="1:34" s="194" customFormat="1" ht="21.75" customHeight="1" x14ac:dyDescent="0.35">
      <c r="A4" s="208"/>
      <c r="B4" s="208"/>
      <c r="C4" s="212">
        <f>INI!D22</f>
        <v>0</v>
      </c>
      <c r="D4" s="208"/>
      <c r="E4" s="208"/>
      <c r="F4" s="208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X4" s="208"/>
      <c r="Y4" s="208"/>
      <c r="Z4" s="208"/>
    </row>
    <row r="5" spans="1:34" s="194" customFormat="1" ht="21.75" customHeight="1" thickBot="1" x14ac:dyDescent="0.4">
      <c r="A5" s="208"/>
      <c r="B5" s="208"/>
      <c r="D5" s="208"/>
      <c r="E5" s="208"/>
      <c r="F5" s="208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X5" s="208"/>
      <c r="Y5" s="208"/>
      <c r="Z5" s="208"/>
    </row>
    <row r="6" spans="1:34" ht="50.15" customHeight="1" thickTop="1" thickBot="1" x14ac:dyDescent="0.3">
      <c r="A6" s="178" t="s">
        <v>543</v>
      </c>
      <c r="B6" s="178" t="s">
        <v>738</v>
      </c>
      <c r="C6" s="179" t="s">
        <v>751</v>
      </c>
      <c r="D6" s="179" t="s">
        <v>544</v>
      </c>
      <c r="E6" s="178" t="s">
        <v>931</v>
      </c>
      <c r="F6" s="178" t="s">
        <v>752</v>
      </c>
      <c r="G6" s="224" t="s">
        <v>739</v>
      </c>
      <c r="H6" s="207" t="s">
        <v>740</v>
      </c>
      <c r="I6" s="178" t="s">
        <v>545</v>
      </c>
      <c r="J6" s="178" t="s">
        <v>546</v>
      </c>
      <c r="K6" s="225" t="s">
        <v>547</v>
      </c>
      <c r="L6" s="178" t="s">
        <v>10</v>
      </c>
      <c r="M6" s="178" t="s">
        <v>15</v>
      </c>
      <c r="N6" s="178" t="s">
        <v>24</v>
      </c>
      <c r="O6" s="178" t="s">
        <v>548</v>
      </c>
      <c r="P6" s="178" t="s">
        <v>549</v>
      </c>
      <c r="Q6" s="178" t="s">
        <v>550</v>
      </c>
      <c r="R6" s="178" t="s">
        <v>551</v>
      </c>
      <c r="S6" s="178" t="s">
        <v>552</v>
      </c>
      <c r="T6" s="178" t="s">
        <v>55</v>
      </c>
      <c r="U6" s="178" t="s">
        <v>59</v>
      </c>
      <c r="V6" s="178" t="s">
        <v>64</v>
      </c>
      <c r="W6" s="178" t="s">
        <v>69</v>
      </c>
      <c r="X6" s="180" t="s">
        <v>522</v>
      </c>
      <c r="Y6" s="181" t="s">
        <v>523</v>
      </c>
      <c r="Z6" s="213" t="s">
        <v>553</v>
      </c>
      <c r="AA6" s="119" t="s">
        <v>554</v>
      </c>
      <c r="AB6" s="214" t="s">
        <v>555</v>
      </c>
      <c r="AC6" s="121" t="s">
        <v>556</v>
      </c>
      <c r="AD6" s="121" t="s">
        <v>522</v>
      </c>
      <c r="AE6" s="121" t="s">
        <v>523</v>
      </c>
      <c r="AF6" s="121" t="s">
        <v>527</v>
      </c>
      <c r="AG6" s="121" t="s">
        <v>528</v>
      </c>
      <c r="AH6" s="121" t="s">
        <v>529</v>
      </c>
    </row>
    <row r="7" spans="1:34" s="218" customFormat="1" ht="54.65" customHeight="1" thickTop="1" x14ac:dyDescent="0.35">
      <c r="A7" s="122" t="s">
        <v>720</v>
      </c>
      <c r="B7" s="193"/>
      <c r="C7" s="193"/>
      <c r="D7" s="184" t="e">
        <f>+VLOOKUP(C7,Convencionales!$K$4:$L$94,2,FALSE)</f>
        <v>#N/A</v>
      </c>
      <c r="E7" s="177"/>
      <c r="F7" s="177"/>
      <c r="G7" s="201"/>
      <c r="H7" s="199"/>
      <c r="I7" s="177"/>
      <c r="J7" s="177"/>
      <c r="K7" s="226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215">
        <v>0</v>
      </c>
      <c r="Y7" s="215">
        <v>0</v>
      </c>
      <c r="Z7" s="109"/>
      <c r="AA7" s="109"/>
      <c r="AB7" s="111">
        <v>-30</v>
      </c>
      <c r="AC7" s="9" t="s">
        <v>13</v>
      </c>
      <c r="AD7" s="7">
        <f>IF(AC7="SI",X7,IF(AC7="TRASLADO CON PRESUPUESTO",X7,IF(AC7="NO",0,"0")))</f>
        <v>0</v>
      </c>
      <c r="AE7" s="7">
        <f>IF(AC7="SI",Y7,IF(AC7="TRASLADO CON PRESUPUESTO",Y7,IF(AC7="NO",0,"0")))</f>
        <v>0</v>
      </c>
      <c r="AF7" s="81"/>
      <c r="AG7" s="217"/>
      <c r="AH7" s="74"/>
    </row>
    <row r="8" spans="1:34" s="218" customFormat="1" ht="56.15" customHeight="1" x14ac:dyDescent="0.35">
      <c r="A8" s="122" t="s">
        <v>721</v>
      </c>
      <c r="B8" s="193"/>
      <c r="C8" s="193"/>
      <c r="D8" s="184" t="e">
        <f>+VLOOKUP(C8,Convencionales!$K$4:$L$94,2,FALSE)</f>
        <v>#N/A</v>
      </c>
      <c r="E8" s="48"/>
      <c r="F8" s="48"/>
      <c r="G8" s="201"/>
      <c r="H8" s="199"/>
      <c r="I8" s="177"/>
      <c r="J8" s="177"/>
      <c r="K8" s="291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215">
        <v>0</v>
      </c>
      <c r="Y8" s="215">
        <v>0</v>
      </c>
      <c r="Z8" s="109"/>
      <c r="AA8" s="109"/>
      <c r="AB8" s="111">
        <v>-29</v>
      </c>
      <c r="AC8" s="9" t="s">
        <v>13</v>
      </c>
      <c r="AD8" s="7">
        <f t="shared" ref="AD8:AD42" si="0">IF(AC8="SI",X8,IF(AC8="TRASLADO CON PRESUPUESTO",X8,IF(AC8="NO",0,"0")))</f>
        <v>0</v>
      </c>
      <c r="AE8" s="7">
        <f t="shared" ref="AE8:AE42" si="1">IF(AC8="SI",Y8,IF(AC8="TRASLADO CON PRESUPUESTO",Y8,IF(AC8="NO",0,"0")))</f>
        <v>0</v>
      </c>
      <c r="AF8" s="81"/>
      <c r="AG8" s="217"/>
      <c r="AH8" s="74"/>
    </row>
    <row r="9" spans="1:34" s="218" customFormat="1" ht="61" customHeight="1" x14ac:dyDescent="0.35">
      <c r="A9" s="122" t="s">
        <v>722</v>
      </c>
      <c r="B9" s="193"/>
      <c r="C9" s="193"/>
      <c r="D9" s="184" t="e">
        <f>+VLOOKUP(C9,Convencionales!$K$4:$L$94,2,FALSE)</f>
        <v>#N/A</v>
      </c>
      <c r="E9" s="48"/>
      <c r="F9" s="48"/>
      <c r="G9" s="202"/>
      <c r="H9" s="200"/>
      <c r="I9" s="48"/>
      <c r="J9" s="177"/>
      <c r="K9" s="291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215">
        <v>0</v>
      </c>
      <c r="Y9" s="215">
        <v>0</v>
      </c>
      <c r="Z9" s="109"/>
      <c r="AA9" s="109"/>
      <c r="AB9" s="111">
        <v>-28</v>
      </c>
      <c r="AC9" s="9" t="s">
        <v>13</v>
      </c>
      <c r="AD9" s="7">
        <f t="shared" si="0"/>
        <v>0</v>
      </c>
      <c r="AE9" s="7">
        <f t="shared" si="1"/>
        <v>0</v>
      </c>
      <c r="AF9" s="81"/>
      <c r="AG9" s="217"/>
      <c r="AH9" s="74"/>
    </row>
    <row r="10" spans="1:34" s="218" customFormat="1" ht="78.650000000000006" customHeight="1" x14ac:dyDescent="0.35">
      <c r="A10" s="122" t="s">
        <v>723</v>
      </c>
      <c r="B10" s="193"/>
      <c r="C10" s="193"/>
      <c r="D10" s="184" t="e">
        <f>+VLOOKUP(C10,Convencionales!$K$4:$L$94,2,FALSE)</f>
        <v>#N/A</v>
      </c>
      <c r="E10" s="48"/>
      <c r="F10" s="48"/>
      <c r="G10" s="202"/>
      <c r="H10" s="200"/>
      <c r="I10" s="48"/>
      <c r="J10" s="177"/>
      <c r="K10" s="291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215">
        <v>0</v>
      </c>
      <c r="Y10" s="215">
        <v>0</v>
      </c>
      <c r="Z10" s="109"/>
      <c r="AA10" s="109"/>
      <c r="AB10" s="111">
        <v>-27</v>
      </c>
      <c r="AC10" s="9" t="s">
        <v>13</v>
      </c>
      <c r="AD10" s="7">
        <f t="shared" si="0"/>
        <v>0</v>
      </c>
      <c r="AE10" s="7">
        <f t="shared" si="1"/>
        <v>0</v>
      </c>
      <c r="AF10" s="81"/>
      <c r="AG10" s="217"/>
      <c r="AH10" s="74"/>
    </row>
    <row r="11" spans="1:34" s="218" customFormat="1" ht="62.15" customHeight="1" x14ac:dyDescent="0.35">
      <c r="A11" s="122" t="s">
        <v>724</v>
      </c>
      <c r="B11" s="193"/>
      <c r="C11" s="193"/>
      <c r="D11" s="184" t="e">
        <f>+VLOOKUP(C11,Convencionales!$K$4:$L$94,2,FALSE)</f>
        <v>#N/A</v>
      </c>
      <c r="E11" s="48"/>
      <c r="F11" s="48"/>
      <c r="G11" s="202"/>
      <c r="H11" s="200"/>
      <c r="I11" s="48"/>
      <c r="J11" s="177"/>
      <c r="K11" s="291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215">
        <v>0</v>
      </c>
      <c r="Y11" s="215">
        <v>0</v>
      </c>
      <c r="Z11" s="109"/>
      <c r="AA11" s="109"/>
      <c r="AB11" s="111">
        <v>-26</v>
      </c>
      <c r="AC11" s="9" t="s">
        <v>13</v>
      </c>
      <c r="AD11" s="7">
        <f t="shared" si="0"/>
        <v>0</v>
      </c>
      <c r="AE11" s="7">
        <f t="shared" si="1"/>
        <v>0</v>
      </c>
      <c r="AF11" s="81"/>
      <c r="AG11" s="217"/>
      <c r="AH11" s="74"/>
    </row>
    <row r="12" spans="1:34" s="218" customFormat="1" ht="83.5" customHeight="1" x14ac:dyDescent="0.35">
      <c r="A12" s="122" t="s">
        <v>725</v>
      </c>
      <c r="B12" s="193"/>
      <c r="C12" s="193"/>
      <c r="D12" s="184" t="e">
        <f>+VLOOKUP(C12,Convencionales!$K$4:$L$94,2,FALSE)</f>
        <v>#N/A</v>
      </c>
      <c r="E12" s="48"/>
      <c r="F12" s="48"/>
      <c r="G12" s="202"/>
      <c r="H12" s="200"/>
      <c r="I12" s="48"/>
      <c r="J12" s="177"/>
      <c r="K12" s="291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215">
        <v>0</v>
      </c>
      <c r="Y12" s="215">
        <v>0</v>
      </c>
      <c r="Z12" s="109"/>
      <c r="AA12" s="109"/>
      <c r="AB12" s="111">
        <v>-25</v>
      </c>
      <c r="AC12" s="9" t="s">
        <v>13</v>
      </c>
      <c r="AD12" s="7">
        <f t="shared" si="0"/>
        <v>0</v>
      </c>
      <c r="AE12" s="7">
        <f t="shared" si="1"/>
        <v>0</v>
      </c>
      <c r="AF12" s="81"/>
      <c r="AG12" s="217"/>
      <c r="AH12" s="74"/>
    </row>
    <row r="13" spans="1:34" s="218" customFormat="1" ht="53.5" customHeight="1" x14ac:dyDescent="0.35">
      <c r="A13" s="122" t="s">
        <v>726</v>
      </c>
      <c r="B13" s="193"/>
      <c r="C13" s="193"/>
      <c r="D13" s="184" t="e">
        <f>+VLOOKUP(C13,Convencionales!$K$4:$L$94,2,FALSE)</f>
        <v>#N/A</v>
      </c>
      <c r="E13" s="48"/>
      <c r="F13" s="48"/>
      <c r="G13" s="202"/>
      <c r="H13" s="200"/>
      <c r="I13" s="48"/>
      <c r="J13" s="177"/>
      <c r="K13" s="291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215">
        <v>0</v>
      </c>
      <c r="Y13" s="215">
        <v>0</v>
      </c>
      <c r="Z13" s="109"/>
      <c r="AA13" s="109"/>
      <c r="AB13" s="111">
        <v>-24</v>
      </c>
      <c r="AC13" s="9" t="s">
        <v>13</v>
      </c>
      <c r="AD13" s="7">
        <f t="shared" si="0"/>
        <v>0</v>
      </c>
      <c r="AE13" s="7">
        <f t="shared" si="1"/>
        <v>0</v>
      </c>
      <c r="AF13" s="81"/>
      <c r="AG13" s="217"/>
      <c r="AH13" s="74"/>
    </row>
    <row r="14" spans="1:34" s="218" customFormat="1" ht="100" customHeight="1" x14ac:dyDescent="0.35">
      <c r="A14" s="122" t="s">
        <v>727</v>
      </c>
      <c r="B14" s="193"/>
      <c r="C14" s="193"/>
      <c r="D14" s="184" t="e">
        <f>+VLOOKUP(C14,Convencionales!$K$4:$L$94,2,FALSE)</f>
        <v>#N/A</v>
      </c>
      <c r="E14" s="48"/>
      <c r="F14" s="48"/>
      <c r="G14" s="202"/>
      <c r="H14" s="200"/>
      <c r="I14" s="48"/>
      <c r="J14" s="177"/>
      <c r="K14" s="291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215">
        <v>0</v>
      </c>
      <c r="Y14" s="215">
        <v>0</v>
      </c>
      <c r="Z14" s="109"/>
      <c r="AA14" s="109"/>
      <c r="AB14" s="111">
        <v>-23</v>
      </c>
      <c r="AC14" s="9" t="s">
        <v>13</v>
      </c>
      <c r="AD14" s="7">
        <f t="shared" si="0"/>
        <v>0</v>
      </c>
      <c r="AE14" s="7">
        <f t="shared" si="1"/>
        <v>0</v>
      </c>
      <c r="AF14" s="81"/>
      <c r="AG14" s="217"/>
      <c r="AH14" s="74"/>
    </row>
    <row r="15" spans="1:34" s="218" customFormat="1" ht="63" customHeight="1" x14ac:dyDescent="0.35">
      <c r="A15" s="122" t="s">
        <v>728</v>
      </c>
      <c r="B15" s="193"/>
      <c r="C15" s="193"/>
      <c r="D15" s="184" t="e">
        <f>+VLOOKUP(C15,Convencionales!$K$4:$L$94,2,FALSE)</f>
        <v>#N/A</v>
      </c>
      <c r="E15" s="48"/>
      <c r="F15" s="48"/>
      <c r="G15" s="202"/>
      <c r="H15" s="200"/>
      <c r="I15" s="48"/>
      <c r="J15" s="177"/>
      <c r="K15" s="291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215">
        <v>0</v>
      </c>
      <c r="Y15" s="215">
        <v>0</v>
      </c>
      <c r="Z15" s="109"/>
      <c r="AA15" s="109"/>
      <c r="AB15" s="111">
        <v>-22</v>
      </c>
      <c r="AC15" s="9" t="s">
        <v>13</v>
      </c>
      <c r="AD15" s="7">
        <f t="shared" si="0"/>
        <v>0</v>
      </c>
      <c r="AE15" s="7">
        <f t="shared" si="1"/>
        <v>0</v>
      </c>
      <c r="AF15" s="81"/>
      <c r="AG15" s="217"/>
      <c r="AH15" s="74"/>
    </row>
    <row r="16" spans="1:34" s="218" customFormat="1" ht="39.75" customHeight="1" x14ac:dyDescent="0.35">
      <c r="A16" s="122" t="s">
        <v>604</v>
      </c>
      <c r="B16" s="193"/>
      <c r="C16" s="193"/>
      <c r="D16" s="184" t="e">
        <f>+VLOOKUP(C16,Convencionales!$K$4:$L$94,2,FALSE)</f>
        <v>#N/A</v>
      </c>
      <c r="E16" s="48"/>
      <c r="F16" s="48"/>
      <c r="G16" s="202"/>
      <c r="H16" s="200"/>
      <c r="I16" s="48"/>
      <c r="J16" s="177"/>
      <c r="K16" s="291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215">
        <v>0</v>
      </c>
      <c r="Y16" s="215">
        <v>0</v>
      </c>
      <c r="Z16" s="109"/>
      <c r="AA16" s="109"/>
      <c r="AB16" s="111">
        <v>-21</v>
      </c>
      <c r="AC16" s="9" t="s">
        <v>13</v>
      </c>
      <c r="AD16" s="7">
        <f t="shared" si="0"/>
        <v>0</v>
      </c>
      <c r="AE16" s="7">
        <f t="shared" si="1"/>
        <v>0</v>
      </c>
      <c r="AF16" s="81"/>
      <c r="AG16" s="217"/>
      <c r="AH16" s="74"/>
    </row>
    <row r="17" spans="1:34" s="218" customFormat="1" ht="39.75" customHeight="1" x14ac:dyDescent="0.35">
      <c r="A17" s="122" t="s">
        <v>605</v>
      </c>
      <c r="B17" s="193"/>
      <c r="C17" s="193"/>
      <c r="D17" s="184" t="e">
        <f>+VLOOKUP(C17,Convencionales!$K$4:$L$94,2,FALSE)</f>
        <v>#N/A</v>
      </c>
      <c r="E17" s="48"/>
      <c r="F17" s="48"/>
      <c r="G17" s="202"/>
      <c r="H17" s="200"/>
      <c r="I17" s="48"/>
      <c r="J17" s="177"/>
      <c r="K17" s="291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215">
        <v>0</v>
      </c>
      <c r="Y17" s="215">
        <v>0</v>
      </c>
      <c r="Z17" s="109"/>
      <c r="AA17" s="109"/>
      <c r="AB17" s="111">
        <v>-20</v>
      </c>
      <c r="AC17" s="9" t="s">
        <v>13</v>
      </c>
      <c r="AD17" s="7">
        <f t="shared" si="0"/>
        <v>0</v>
      </c>
      <c r="AE17" s="7">
        <f t="shared" si="1"/>
        <v>0</v>
      </c>
      <c r="AF17" s="81"/>
      <c r="AG17" s="217"/>
      <c r="AH17" s="74"/>
    </row>
    <row r="18" spans="1:34" s="218" customFormat="1" ht="39.75" customHeight="1" x14ac:dyDescent="0.35">
      <c r="A18" s="122" t="s">
        <v>606</v>
      </c>
      <c r="B18" s="193"/>
      <c r="C18" s="193"/>
      <c r="D18" s="184" t="e">
        <f>+VLOOKUP(C18,Convencionales!$K$4:$L$94,2,FALSE)</f>
        <v>#N/A</v>
      </c>
      <c r="E18" s="48"/>
      <c r="F18" s="48"/>
      <c r="G18" s="202"/>
      <c r="H18" s="200"/>
      <c r="I18" s="48"/>
      <c r="J18" s="177"/>
      <c r="K18" s="291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215">
        <v>0</v>
      </c>
      <c r="Y18" s="215">
        <v>0</v>
      </c>
      <c r="Z18" s="109"/>
      <c r="AA18" s="109"/>
      <c r="AB18" s="111">
        <v>-19</v>
      </c>
      <c r="AC18" s="9" t="s">
        <v>13</v>
      </c>
      <c r="AD18" s="7">
        <f t="shared" si="0"/>
        <v>0</v>
      </c>
      <c r="AE18" s="7">
        <f t="shared" si="1"/>
        <v>0</v>
      </c>
      <c r="AF18" s="81"/>
      <c r="AG18" s="217"/>
      <c r="AH18" s="74"/>
    </row>
    <row r="19" spans="1:34" s="218" customFormat="1" ht="39.75" customHeight="1" x14ac:dyDescent="0.35">
      <c r="A19" s="122" t="s">
        <v>607</v>
      </c>
      <c r="B19" s="193"/>
      <c r="C19" s="193"/>
      <c r="D19" s="184" t="e">
        <f>+VLOOKUP(C19,Convencionales!$K$4:$L$94,2,FALSE)</f>
        <v>#N/A</v>
      </c>
      <c r="E19" s="48"/>
      <c r="F19" s="48"/>
      <c r="G19" s="202"/>
      <c r="H19" s="200"/>
      <c r="I19" s="48"/>
      <c r="J19" s="177"/>
      <c r="K19" s="291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215">
        <v>0</v>
      </c>
      <c r="Y19" s="215">
        <v>0</v>
      </c>
      <c r="Z19" s="109"/>
      <c r="AA19" s="109"/>
      <c r="AB19" s="111">
        <v>-18</v>
      </c>
      <c r="AC19" s="9" t="s">
        <v>13</v>
      </c>
      <c r="AD19" s="7">
        <f t="shared" si="0"/>
        <v>0</v>
      </c>
      <c r="AE19" s="7">
        <f t="shared" si="1"/>
        <v>0</v>
      </c>
      <c r="AF19" s="81"/>
      <c r="AG19" s="217"/>
      <c r="AH19" s="74"/>
    </row>
    <row r="20" spans="1:34" s="218" customFormat="1" ht="39.75" customHeight="1" x14ac:dyDescent="0.35">
      <c r="A20" s="122" t="s">
        <v>608</v>
      </c>
      <c r="B20" s="193"/>
      <c r="C20" s="193"/>
      <c r="D20" s="184" t="e">
        <f>+VLOOKUP(C20,Convencionales!$K$4:$L$94,2,FALSE)</f>
        <v>#N/A</v>
      </c>
      <c r="E20" s="48"/>
      <c r="F20" s="48"/>
      <c r="G20" s="202"/>
      <c r="H20" s="200"/>
      <c r="I20" s="48"/>
      <c r="J20" s="177"/>
      <c r="K20" s="291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215">
        <v>0</v>
      </c>
      <c r="Y20" s="215">
        <v>0</v>
      </c>
      <c r="Z20" s="109"/>
      <c r="AA20" s="109"/>
      <c r="AB20" s="111">
        <v>-17</v>
      </c>
      <c r="AC20" s="9" t="s">
        <v>13</v>
      </c>
      <c r="AD20" s="7">
        <f t="shared" si="0"/>
        <v>0</v>
      </c>
      <c r="AE20" s="7">
        <f t="shared" si="1"/>
        <v>0</v>
      </c>
      <c r="AF20" s="81"/>
      <c r="AG20" s="217"/>
      <c r="AH20" s="74"/>
    </row>
    <row r="21" spans="1:34" s="218" customFormat="1" ht="39.75" customHeight="1" x14ac:dyDescent="0.35">
      <c r="A21" s="122" t="s">
        <v>609</v>
      </c>
      <c r="B21" s="193"/>
      <c r="C21" s="193"/>
      <c r="D21" s="184" t="e">
        <f>+VLOOKUP(C21,Convencionales!$K$4:$L$94,2,FALSE)</f>
        <v>#N/A</v>
      </c>
      <c r="E21" s="48"/>
      <c r="F21" s="48"/>
      <c r="G21" s="202"/>
      <c r="H21" s="200"/>
      <c r="I21" s="48"/>
      <c r="J21" s="177"/>
      <c r="K21" s="291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215">
        <v>0</v>
      </c>
      <c r="Y21" s="215">
        <v>0</v>
      </c>
      <c r="Z21" s="109"/>
      <c r="AA21" s="109"/>
      <c r="AB21" s="111">
        <v>-16</v>
      </c>
      <c r="AC21" s="9" t="s">
        <v>13</v>
      </c>
      <c r="AD21" s="7">
        <f t="shared" si="0"/>
        <v>0</v>
      </c>
      <c r="AE21" s="7">
        <f t="shared" si="1"/>
        <v>0</v>
      </c>
      <c r="AF21" s="81"/>
      <c r="AG21" s="217"/>
      <c r="AH21" s="74"/>
    </row>
    <row r="22" spans="1:34" s="218" customFormat="1" ht="39.75" customHeight="1" x14ac:dyDescent="0.35">
      <c r="A22" s="122" t="s">
        <v>610</v>
      </c>
      <c r="B22" s="193"/>
      <c r="C22" s="193"/>
      <c r="D22" s="184" t="e">
        <f>+VLOOKUP(C22,Convencionales!$K$4:$L$94,2,FALSE)</f>
        <v>#N/A</v>
      </c>
      <c r="E22" s="48"/>
      <c r="F22" s="48"/>
      <c r="G22" s="202"/>
      <c r="H22" s="200"/>
      <c r="I22" s="48"/>
      <c r="J22" s="177"/>
      <c r="K22" s="291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215">
        <v>0</v>
      </c>
      <c r="Y22" s="215">
        <v>0</v>
      </c>
      <c r="Z22" s="109"/>
      <c r="AA22" s="109"/>
      <c r="AB22" s="111">
        <v>-15</v>
      </c>
      <c r="AC22" s="9" t="s">
        <v>13</v>
      </c>
      <c r="AD22" s="7">
        <f t="shared" si="0"/>
        <v>0</v>
      </c>
      <c r="AE22" s="7">
        <f t="shared" si="1"/>
        <v>0</v>
      </c>
      <c r="AF22" s="81"/>
      <c r="AG22" s="217"/>
      <c r="AH22" s="74"/>
    </row>
    <row r="23" spans="1:34" s="218" customFormat="1" ht="39.75" customHeight="1" x14ac:dyDescent="0.35">
      <c r="A23" s="122" t="s">
        <v>611</v>
      </c>
      <c r="B23" s="193"/>
      <c r="C23" s="193"/>
      <c r="D23" s="184" t="e">
        <f>+VLOOKUP(C23,Convencionales!$K$4:$L$94,2,FALSE)</f>
        <v>#N/A</v>
      </c>
      <c r="E23" s="48"/>
      <c r="F23" s="48"/>
      <c r="G23" s="202"/>
      <c r="H23" s="200"/>
      <c r="I23" s="48"/>
      <c r="J23" s="177"/>
      <c r="K23" s="291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215">
        <v>0</v>
      </c>
      <c r="Y23" s="215">
        <v>0</v>
      </c>
      <c r="Z23" s="109"/>
      <c r="AA23" s="109"/>
      <c r="AB23" s="111">
        <v>-14</v>
      </c>
      <c r="AC23" s="9" t="s">
        <v>13</v>
      </c>
      <c r="AD23" s="7">
        <f t="shared" si="0"/>
        <v>0</v>
      </c>
      <c r="AE23" s="7">
        <f t="shared" si="1"/>
        <v>0</v>
      </c>
      <c r="AF23" s="81"/>
      <c r="AG23" s="217"/>
      <c r="AH23" s="74"/>
    </row>
    <row r="24" spans="1:34" s="218" customFormat="1" ht="39.75" customHeight="1" x14ac:dyDescent="0.35">
      <c r="A24" s="122" t="s">
        <v>612</v>
      </c>
      <c r="B24" s="193"/>
      <c r="C24" s="193"/>
      <c r="D24" s="184" t="e">
        <f>+VLOOKUP(C24,Convencionales!$K$4:$L$94,2,FALSE)</f>
        <v>#N/A</v>
      </c>
      <c r="E24" s="48"/>
      <c r="F24" s="48"/>
      <c r="G24" s="202"/>
      <c r="H24" s="200"/>
      <c r="I24" s="48"/>
      <c r="J24" s="177"/>
      <c r="K24" s="291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215">
        <v>0</v>
      </c>
      <c r="Y24" s="215">
        <v>0</v>
      </c>
      <c r="Z24" s="109"/>
      <c r="AA24" s="109"/>
      <c r="AB24" s="111">
        <v>-13</v>
      </c>
      <c r="AC24" s="9" t="s">
        <v>13</v>
      </c>
      <c r="AD24" s="7">
        <f t="shared" si="0"/>
        <v>0</v>
      </c>
      <c r="AE24" s="7">
        <f t="shared" si="1"/>
        <v>0</v>
      </c>
      <c r="AF24" s="81"/>
      <c r="AG24" s="217"/>
      <c r="AH24" s="74"/>
    </row>
    <row r="25" spans="1:34" s="218" customFormat="1" ht="39.75" customHeight="1" x14ac:dyDescent="0.35">
      <c r="A25" s="122" t="s">
        <v>613</v>
      </c>
      <c r="B25" s="193"/>
      <c r="C25" s="193"/>
      <c r="D25" s="184" t="e">
        <f>+VLOOKUP(C25,Convencionales!$K$4:$L$94,2,FALSE)</f>
        <v>#N/A</v>
      </c>
      <c r="E25" s="48"/>
      <c r="F25" s="48"/>
      <c r="G25" s="202"/>
      <c r="H25" s="200"/>
      <c r="I25" s="48"/>
      <c r="J25" s="177"/>
      <c r="K25" s="291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215">
        <v>0</v>
      </c>
      <c r="Y25" s="215">
        <v>0</v>
      </c>
      <c r="Z25" s="109"/>
      <c r="AA25" s="109"/>
      <c r="AB25" s="111">
        <v>-12</v>
      </c>
      <c r="AC25" s="9" t="s">
        <v>13</v>
      </c>
      <c r="AD25" s="7">
        <f t="shared" si="0"/>
        <v>0</v>
      </c>
      <c r="AE25" s="7">
        <f t="shared" si="1"/>
        <v>0</v>
      </c>
      <c r="AF25" s="81"/>
      <c r="AG25" s="217"/>
      <c r="AH25" s="74"/>
    </row>
    <row r="26" spans="1:34" s="218" customFormat="1" ht="39.75" customHeight="1" x14ac:dyDescent="0.35">
      <c r="A26" s="122" t="s">
        <v>614</v>
      </c>
      <c r="B26" s="193"/>
      <c r="C26" s="193"/>
      <c r="D26" s="184" t="e">
        <f>+VLOOKUP(C26,Convencionales!$K$4:$L$94,2,FALSE)</f>
        <v>#N/A</v>
      </c>
      <c r="E26" s="48"/>
      <c r="F26" s="48"/>
      <c r="G26" s="202"/>
      <c r="H26" s="200"/>
      <c r="I26" s="48"/>
      <c r="J26" s="177"/>
      <c r="K26" s="291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215">
        <v>0</v>
      </c>
      <c r="Y26" s="215">
        <v>0</v>
      </c>
      <c r="Z26" s="109"/>
      <c r="AA26" s="109"/>
      <c r="AB26" s="111">
        <v>-11</v>
      </c>
      <c r="AC26" s="9" t="s">
        <v>13</v>
      </c>
      <c r="AD26" s="7">
        <f t="shared" si="0"/>
        <v>0</v>
      </c>
      <c r="AE26" s="7">
        <f t="shared" si="1"/>
        <v>0</v>
      </c>
      <c r="AF26" s="81"/>
      <c r="AG26" s="217"/>
      <c r="AH26" s="74"/>
    </row>
    <row r="27" spans="1:34" s="218" customFormat="1" ht="39.75" customHeight="1" x14ac:dyDescent="0.35">
      <c r="A27" s="122" t="s">
        <v>615</v>
      </c>
      <c r="B27" s="193"/>
      <c r="C27" s="193"/>
      <c r="D27" s="184" t="e">
        <f>+VLOOKUP(C27,Convencionales!$K$4:$L$94,2,FALSE)</f>
        <v>#N/A</v>
      </c>
      <c r="E27" s="48"/>
      <c r="F27" s="48"/>
      <c r="G27" s="202"/>
      <c r="H27" s="200"/>
      <c r="I27" s="48"/>
      <c r="J27" s="177"/>
      <c r="K27" s="291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215">
        <v>0</v>
      </c>
      <c r="Y27" s="215">
        <v>0</v>
      </c>
      <c r="Z27" s="109"/>
      <c r="AA27" s="109"/>
      <c r="AB27" s="111">
        <v>-10</v>
      </c>
      <c r="AC27" s="9" t="s">
        <v>13</v>
      </c>
      <c r="AD27" s="7">
        <f t="shared" si="0"/>
        <v>0</v>
      </c>
      <c r="AE27" s="7">
        <f t="shared" si="1"/>
        <v>0</v>
      </c>
      <c r="AF27" s="81"/>
      <c r="AG27" s="217"/>
      <c r="AH27" s="74"/>
    </row>
    <row r="28" spans="1:34" s="218" customFormat="1" ht="39.75" customHeight="1" x14ac:dyDescent="0.35">
      <c r="A28" s="122" t="s">
        <v>616</v>
      </c>
      <c r="B28" s="193"/>
      <c r="C28" s="193"/>
      <c r="D28" s="184" t="e">
        <f>+VLOOKUP(C28,Convencionales!$K$4:$L$94,2,FALSE)</f>
        <v>#N/A</v>
      </c>
      <c r="E28" s="48"/>
      <c r="F28" s="48"/>
      <c r="G28" s="202"/>
      <c r="H28" s="200"/>
      <c r="I28" s="48"/>
      <c r="J28" s="177"/>
      <c r="K28" s="291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215">
        <v>0</v>
      </c>
      <c r="Y28" s="215">
        <v>0</v>
      </c>
      <c r="Z28" s="109"/>
      <c r="AA28" s="109"/>
      <c r="AB28" s="111">
        <v>-9</v>
      </c>
      <c r="AC28" s="9" t="s">
        <v>13</v>
      </c>
      <c r="AD28" s="7">
        <f t="shared" si="0"/>
        <v>0</v>
      </c>
      <c r="AE28" s="7">
        <f t="shared" si="1"/>
        <v>0</v>
      </c>
      <c r="AF28" s="81"/>
      <c r="AG28" s="217"/>
      <c r="AH28" s="74"/>
    </row>
    <row r="29" spans="1:34" s="218" customFormat="1" ht="39.75" customHeight="1" x14ac:dyDescent="0.35">
      <c r="A29" s="122" t="s">
        <v>617</v>
      </c>
      <c r="B29" s="193"/>
      <c r="C29" s="193"/>
      <c r="D29" s="184" t="e">
        <f>+VLOOKUP(C29,Convencionales!$K$4:$L$94,2,FALSE)</f>
        <v>#N/A</v>
      </c>
      <c r="E29" s="48"/>
      <c r="F29" s="48"/>
      <c r="G29" s="202"/>
      <c r="H29" s="200"/>
      <c r="I29" s="48"/>
      <c r="J29" s="177"/>
      <c r="K29" s="291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215">
        <v>0</v>
      </c>
      <c r="Y29" s="215">
        <v>0</v>
      </c>
      <c r="Z29" s="109"/>
      <c r="AA29" s="109"/>
      <c r="AB29" s="111">
        <v>-8</v>
      </c>
      <c r="AC29" s="9" t="s">
        <v>13</v>
      </c>
      <c r="AD29" s="7">
        <f t="shared" si="0"/>
        <v>0</v>
      </c>
      <c r="AE29" s="7">
        <f t="shared" si="1"/>
        <v>0</v>
      </c>
      <c r="AF29" s="81"/>
      <c r="AG29" s="217"/>
      <c r="AH29" s="74"/>
    </row>
    <row r="30" spans="1:34" s="218" customFormat="1" ht="39.75" customHeight="1" x14ac:dyDescent="0.35">
      <c r="A30" s="122" t="s">
        <v>618</v>
      </c>
      <c r="B30" s="193"/>
      <c r="C30" s="193"/>
      <c r="D30" s="184" t="e">
        <f>+VLOOKUP(C30,Convencionales!$K$4:$L$94,2,FALSE)</f>
        <v>#N/A</v>
      </c>
      <c r="E30" s="48"/>
      <c r="F30" s="48"/>
      <c r="G30" s="202"/>
      <c r="H30" s="200"/>
      <c r="I30" s="48"/>
      <c r="J30" s="177"/>
      <c r="K30" s="291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215">
        <v>0</v>
      </c>
      <c r="Y30" s="215">
        <v>0</v>
      </c>
      <c r="Z30" s="109"/>
      <c r="AA30" s="109"/>
      <c r="AB30" s="111">
        <v>-7</v>
      </c>
      <c r="AC30" s="9" t="s">
        <v>13</v>
      </c>
      <c r="AD30" s="7">
        <f t="shared" si="0"/>
        <v>0</v>
      </c>
      <c r="AE30" s="7">
        <f t="shared" si="1"/>
        <v>0</v>
      </c>
      <c r="AF30" s="81"/>
      <c r="AG30" s="217"/>
      <c r="AH30" s="74"/>
    </row>
    <row r="31" spans="1:34" s="218" customFormat="1" ht="39.75" customHeight="1" x14ac:dyDescent="0.35">
      <c r="A31" s="122" t="s">
        <v>619</v>
      </c>
      <c r="B31" s="193"/>
      <c r="C31" s="193"/>
      <c r="D31" s="184" t="e">
        <f>+VLOOKUP(C31,Convencionales!$K$4:$L$94,2,FALSE)</f>
        <v>#N/A</v>
      </c>
      <c r="E31" s="48"/>
      <c r="F31" s="48"/>
      <c r="G31" s="202"/>
      <c r="H31" s="200"/>
      <c r="I31" s="48"/>
      <c r="J31" s="177"/>
      <c r="K31" s="291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215">
        <v>0</v>
      </c>
      <c r="Y31" s="215">
        <v>0</v>
      </c>
      <c r="Z31" s="109"/>
      <c r="AA31" s="109"/>
      <c r="AB31" s="111">
        <v>-6</v>
      </c>
      <c r="AC31" s="9" t="s">
        <v>13</v>
      </c>
      <c r="AD31" s="7">
        <f t="shared" si="0"/>
        <v>0</v>
      </c>
      <c r="AE31" s="7">
        <f t="shared" si="1"/>
        <v>0</v>
      </c>
      <c r="AF31" s="81"/>
      <c r="AG31" s="217"/>
      <c r="AH31" s="74"/>
    </row>
    <row r="32" spans="1:34" s="218" customFormat="1" ht="39.75" customHeight="1" x14ac:dyDescent="0.35">
      <c r="A32" s="122" t="s">
        <v>620</v>
      </c>
      <c r="B32" s="193"/>
      <c r="C32" s="193"/>
      <c r="D32" s="184" t="e">
        <f>+VLOOKUP(C32,Convencionales!$K$4:$L$94,2,FALSE)</f>
        <v>#N/A</v>
      </c>
      <c r="E32" s="48"/>
      <c r="F32" s="48"/>
      <c r="G32" s="202"/>
      <c r="H32" s="200"/>
      <c r="I32" s="48"/>
      <c r="J32" s="177"/>
      <c r="K32" s="291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215">
        <v>0</v>
      </c>
      <c r="Y32" s="215">
        <v>0</v>
      </c>
      <c r="Z32" s="109"/>
      <c r="AA32" s="109"/>
      <c r="AB32" s="111">
        <v>-5</v>
      </c>
      <c r="AC32" s="9" t="s">
        <v>13</v>
      </c>
      <c r="AD32" s="7">
        <f t="shared" si="0"/>
        <v>0</v>
      </c>
      <c r="AE32" s="7">
        <f t="shared" si="1"/>
        <v>0</v>
      </c>
      <c r="AF32" s="81"/>
      <c r="AG32" s="217"/>
      <c r="AH32" s="74"/>
    </row>
    <row r="33" spans="1:34" s="218" customFormat="1" ht="39.75" customHeight="1" x14ac:dyDescent="0.35">
      <c r="A33" s="122" t="s">
        <v>621</v>
      </c>
      <c r="B33" s="193"/>
      <c r="C33" s="193"/>
      <c r="D33" s="184" t="e">
        <f>+VLOOKUP(C33,Convencionales!$K$4:$L$94,2,FALSE)</f>
        <v>#N/A</v>
      </c>
      <c r="E33" s="48"/>
      <c r="F33" s="48"/>
      <c r="G33" s="202"/>
      <c r="H33" s="200"/>
      <c r="I33" s="48"/>
      <c r="J33" s="177"/>
      <c r="K33" s="291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215">
        <v>0</v>
      </c>
      <c r="Y33" s="215">
        <v>0</v>
      </c>
      <c r="Z33" s="109"/>
      <c r="AA33" s="109"/>
      <c r="AB33" s="111">
        <v>-4</v>
      </c>
      <c r="AC33" s="9" t="s">
        <v>13</v>
      </c>
      <c r="AD33" s="7">
        <f t="shared" si="0"/>
        <v>0</v>
      </c>
      <c r="AE33" s="7">
        <f t="shared" si="1"/>
        <v>0</v>
      </c>
      <c r="AF33" s="81"/>
      <c r="AG33" s="217"/>
      <c r="AH33" s="74"/>
    </row>
    <row r="34" spans="1:34" s="218" customFormat="1" ht="39.75" customHeight="1" x14ac:dyDescent="0.35">
      <c r="A34" s="122" t="s">
        <v>622</v>
      </c>
      <c r="B34" s="193"/>
      <c r="C34" s="193"/>
      <c r="D34" s="184" t="e">
        <f>+VLOOKUP(C34,Convencionales!$K$4:$L$94,2,FALSE)</f>
        <v>#N/A</v>
      </c>
      <c r="E34" s="48"/>
      <c r="F34" s="48"/>
      <c r="G34" s="202"/>
      <c r="H34" s="200"/>
      <c r="I34" s="48"/>
      <c r="J34" s="177"/>
      <c r="K34" s="291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215">
        <v>0</v>
      </c>
      <c r="Y34" s="215">
        <v>0</v>
      </c>
      <c r="Z34" s="109"/>
      <c r="AA34" s="109"/>
      <c r="AB34" s="111">
        <v>-3</v>
      </c>
      <c r="AC34" s="9" t="s">
        <v>13</v>
      </c>
      <c r="AD34" s="7">
        <f t="shared" si="0"/>
        <v>0</v>
      </c>
      <c r="AE34" s="7">
        <f t="shared" si="1"/>
        <v>0</v>
      </c>
      <c r="AF34" s="81"/>
      <c r="AG34" s="217"/>
      <c r="AH34" s="74"/>
    </row>
    <row r="35" spans="1:34" s="218" customFormat="1" ht="39.75" customHeight="1" x14ac:dyDescent="0.35">
      <c r="A35" s="122" t="s">
        <v>623</v>
      </c>
      <c r="B35" s="193"/>
      <c r="C35" s="193"/>
      <c r="D35" s="184" t="e">
        <f>+VLOOKUP(C35,Convencionales!$K$4:$L$94,2,FALSE)</f>
        <v>#N/A</v>
      </c>
      <c r="E35" s="48"/>
      <c r="F35" s="48"/>
      <c r="G35" s="202"/>
      <c r="H35" s="200"/>
      <c r="I35" s="48"/>
      <c r="J35" s="177"/>
      <c r="K35" s="291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215">
        <v>0</v>
      </c>
      <c r="Y35" s="215">
        <v>0</v>
      </c>
      <c r="Z35" s="109"/>
      <c r="AA35" s="109"/>
      <c r="AB35" s="111">
        <v>-2</v>
      </c>
      <c r="AC35" s="9" t="s">
        <v>13</v>
      </c>
      <c r="AD35" s="7">
        <f t="shared" si="0"/>
        <v>0</v>
      </c>
      <c r="AE35" s="7">
        <f t="shared" si="1"/>
        <v>0</v>
      </c>
      <c r="AF35" s="81"/>
      <c r="AG35" s="217"/>
      <c r="AH35" s="74"/>
    </row>
    <row r="36" spans="1:34" s="218" customFormat="1" ht="39.75" customHeight="1" x14ac:dyDescent="0.35">
      <c r="A36" s="122" t="s">
        <v>624</v>
      </c>
      <c r="B36" s="193"/>
      <c r="C36" s="193"/>
      <c r="D36" s="184" t="e">
        <f>+VLOOKUP(C36,Convencionales!$K$4:$L$94,2,FALSE)</f>
        <v>#N/A</v>
      </c>
      <c r="E36" s="48"/>
      <c r="F36" s="48"/>
      <c r="G36" s="202"/>
      <c r="H36" s="200"/>
      <c r="I36" s="48"/>
      <c r="J36" s="177"/>
      <c r="K36" s="291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215">
        <v>0</v>
      </c>
      <c r="Y36" s="215">
        <v>0</v>
      </c>
      <c r="Z36" s="109"/>
      <c r="AA36" s="109"/>
      <c r="AB36" s="111">
        <v>-1</v>
      </c>
      <c r="AC36" s="9" t="s">
        <v>13</v>
      </c>
      <c r="AD36" s="7">
        <f t="shared" si="0"/>
        <v>0</v>
      </c>
      <c r="AE36" s="7">
        <f t="shared" si="1"/>
        <v>0</v>
      </c>
      <c r="AF36" s="81"/>
      <c r="AG36" s="217"/>
      <c r="AH36" s="74"/>
    </row>
    <row r="37" spans="1:34" s="218" customFormat="1" ht="39.75" customHeight="1" x14ac:dyDescent="0.35">
      <c r="A37" s="122" t="s">
        <v>625</v>
      </c>
      <c r="B37" s="193"/>
      <c r="C37" s="193"/>
      <c r="D37" s="184" t="e">
        <f>+VLOOKUP(C37,Convencionales!$K$4:$L$94,2,FALSE)</f>
        <v>#N/A</v>
      </c>
      <c r="E37" s="48"/>
      <c r="F37" s="48"/>
      <c r="G37" s="202"/>
      <c r="H37" s="200"/>
      <c r="I37" s="48"/>
      <c r="J37" s="177"/>
      <c r="K37" s="291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215">
        <v>0</v>
      </c>
      <c r="Y37" s="215">
        <v>0</v>
      </c>
      <c r="Z37" s="109"/>
      <c r="AA37" s="109"/>
      <c r="AB37" s="111">
        <v>0</v>
      </c>
      <c r="AC37" s="9" t="s">
        <v>13</v>
      </c>
      <c r="AD37" s="7">
        <f t="shared" si="0"/>
        <v>0</v>
      </c>
      <c r="AE37" s="7">
        <f t="shared" si="1"/>
        <v>0</v>
      </c>
      <c r="AF37" s="81"/>
      <c r="AG37" s="217"/>
      <c r="AH37" s="74"/>
    </row>
    <row r="38" spans="1:34" s="218" customFormat="1" ht="39.75" customHeight="1" x14ac:dyDescent="0.35">
      <c r="A38" s="122" t="s">
        <v>626</v>
      </c>
      <c r="B38" s="193"/>
      <c r="C38" s="193"/>
      <c r="D38" s="184" t="e">
        <f>+VLOOKUP(C38,Convencionales!$K$4:$L$94,2,FALSE)</f>
        <v>#N/A</v>
      </c>
      <c r="E38" s="48"/>
      <c r="F38" s="48"/>
      <c r="G38" s="202"/>
      <c r="H38" s="200"/>
      <c r="I38" s="48"/>
      <c r="J38" s="177"/>
      <c r="K38" s="291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215">
        <v>0</v>
      </c>
      <c r="Y38" s="215">
        <v>0</v>
      </c>
      <c r="Z38" s="109"/>
      <c r="AA38" s="109"/>
      <c r="AB38" s="111">
        <v>0</v>
      </c>
      <c r="AC38" s="9" t="s">
        <v>13</v>
      </c>
      <c r="AD38" s="7">
        <f t="shared" si="0"/>
        <v>0</v>
      </c>
      <c r="AE38" s="7">
        <f t="shared" si="1"/>
        <v>0</v>
      </c>
      <c r="AF38" s="81"/>
      <c r="AG38" s="217"/>
      <c r="AH38" s="74"/>
    </row>
    <row r="39" spans="1:34" s="218" customFormat="1" ht="39.75" customHeight="1" x14ac:dyDescent="0.35">
      <c r="A39" s="122" t="s">
        <v>627</v>
      </c>
      <c r="B39" s="193"/>
      <c r="C39" s="193"/>
      <c r="D39" s="184" t="e">
        <f>+VLOOKUP(C39,Convencionales!$K$4:$L$94,2,FALSE)</f>
        <v>#N/A</v>
      </c>
      <c r="E39" s="48"/>
      <c r="F39" s="48"/>
      <c r="G39" s="202"/>
      <c r="H39" s="200"/>
      <c r="I39" s="48"/>
      <c r="J39" s="177"/>
      <c r="K39" s="291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215">
        <v>0</v>
      </c>
      <c r="Y39" s="215">
        <v>0</v>
      </c>
      <c r="Z39" s="109"/>
      <c r="AA39" s="109"/>
      <c r="AB39" s="111">
        <v>0</v>
      </c>
      <c r="AC39" s="9" t="s">
        <v>13</v>
      </c>
      <c r="AD39" s="7">
        <f t="shared" si="0"/>
        <v>0</v>
      </c>
      <c r="AE39" s="7">
        <f t="shared" si="1"/>
        <v>0</v>
      </c>
      <c r="AF39" s="81"/>
      <c r="AG39" s="217"/>
      <c r="AH39" s="74"/>
    </row>
    <row r="40" spans="1:34" s="218" customFormat="1" ht="39.75" customHeight="1" x14ac:dyDescent="0.35">
      <c r="A40" s="122" t="s">
        <v>628</v>
      </c>
      <c r="B40" s="193"/>
      <c r="C40" s="193"/>
      <c r="D40" s="184" t="e">
        <f>+VLOOKUP(C40,Convencionales!$K$4:$L$94,2,FALSE)</f>
        <v>#N/A</v>
      </c>
      <c r="E40" s="48"/>
      <c r="F40" s="48"/>
      <c r="G40" s="202"/>
      <c r="H40" s="200"/>
      <c r="I40" s="48"/>
      <c r="J40" s="177"/>
      <c r="K40" s="291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215">
        <v>0</v>
      </c>
      <c r="Y40" s="215">
        <v>0</v>
      </c>
      <c r="Z40" s="109"/>
      <c r="AA40" s="109"/>
      <c r="AB40" s="111">
        <v>0</v>
      </c>
      <c r="AC40" s="9" t="s">
        <v>13</v>
      </c>
      <c r="AD40" s="7">
        <f t="shared" si="0"/>
        <v>0</v>
      </c>
      <c r="AE40" s="7">
        <f t="shared" si="1"/>
        <v>0</v>
      </c>
      <c r="AF40" s="81"/>
      <c r="AG40" s="217"/>
      <c r="AH40" s="74"/>
    </row>
    <row r="41" spans="1:34" s="218" customFormat="1" ht="39.75" customHeight="1" x14ac:dyDescent="0.35">
      <c r="A41" s="122" t="s">
        <v>629</v>
      </c>
      <c r="B41" s="193"/>
      <c r="C41" s="193"/>
      <c r="D41" s="184" t="e">
        <f>+VLOOKUP(C41,Convencionales!$K$4:$L$94,2,FALSE)</f>
        <v>#N/A</v>
      </c>
      <c r="E41" s="48"/>
      <c r="F41" s="48"/>
      <c r="G41" s="202"/>
      <c r="H41" s="200"/>
      <c r="I41" s="48"/>
      <c r="J41" s="177"/>
      <c r="K41" s="291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215">
        <v>0</v>
      </c>
      <c r="Y41" s="215">
        <v>0</v>
      </c>
      <c r="Z41" s="109"/>
      <c r="AA41" s="109"/>
      <c r="AB41" s="111">
        <v>0</v>
      </c>
      <c r="AC41" s="9" t="s">
        <v>13</v>
      </c>
      <c r="AD41" s="7">
        <f t="shared" si="0"/>
        <v>0</v>
      </c>
      <c r="AE41" s="7">
        <f t="shared" si="1"/>
        <v>0</v>
      </c>
      <c r="AF41" s="81"/>
      <c r="AG41" s="217"/>
      <c r="AH41" s="74"/>
    </row>
    <row r="42" spans="1:34" s="218" customFormat="1" ht="39.75" customHeight="1" x14ac:dyDescent="0.35">
      <c r="A42" s="122" t="s">
        <v>630</v>
      </c>
      <c r="B42" s="193"/>
      <c r="C42" s="193"/>
      <c r="D42" s="184" t="e">
        <f>+VLOOKUP(C42,Convencionales!$K$4:$L$94,2,FALSE)</f>
        <v>#N/A</v>
      </c>
      <c r="E42" s="48"/>
      <c r="F42" s="48"/>
      <c r="G42" s="202"/>
      <c r="H42" s="200"/>
      <c r="I42" s="48"/>
      <c r="J42" s="177"/>
      <c r="K42" s="291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215">
        <v>0</v>
      </c>
      <c r="Y42" s="215">
        <v>0</v>
      </c>
      <c r="Z42" s="109"/>
      <c r="AA42" s="109"/>
      <c r="AB42" s="111">
        <v>0</v>
      </c>
      <c r="AC42" s="9" t="s">
        <v>13</v>
      </c>
      <c r="AD42" s="7">
        <f t="shared" si="0"/>
        <v>0</v>
      </c>
      <c r="AE42" s="7">
        <f t="shared" si="1"/>
        <v>0</v>
      </c>
      <c r="AF42" s="81"/>
      <c r="AG42" s="217"/>
      <c r="AH42" s="74"/>
    </row>
    <row r="43" spans="1:34" s="218" customFormat="1" ht="39.75" customHeight="1" x14ac:dyDescent="0.25">
      <c r="A43" s="195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20">
        <f>SUM(X7:X42)</f>
        <v>0</v>
      </c>
      <c r="Y43" s="220">
        <f>SUM(Y7:Y42)</f>
        <v>0</v>
      </c>
      <c r="Z43" s="221"/>
      <c r="AA43" s="221"/>
      <c r="AB43" s="222">
        <f>AVERAGE(AB7:AB42)</f>
        <v>-12.916666666666666</v>
      </c>
      <c r="AC43" s="198"/>
      <c r="AD43" s="223">
        <f>SUM(AD7:AD42)</f>
        <v>0</v>
      </c>
      <c r="AE43" s="223">
        <f>SUM(AE7:AE42)</f>
        <v>0</v>
      </c>
      <c r="AF43" s="198"/>
      <c r="AG43" s="223">
        <f>SUM(AG7:AG42)</f>
        <v>0</v>
      </c>
      <c r="AH43" s="196"/>
    </row>
    <row r="44" spans="1:34" ht="14.25" customHeight="1" x14ac:dyDescent="0.25">
      <c r="A44" s="195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221"/>
      <c r="Y44" s="221"/>
      <c r="AA44" s="198"/>
      <c r="AB44" s="198"/>
      <c r="AC44" s="198"/>
      <c r="AD44" s="198"/>
    </row>
    <row r="45" spans="1:34" ht="14.25" customHeight="1" x14ac:dyDescent="0.2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5"/>
      <c r="W45" s="195"/>
      <c r="X45" s="221"/>
      <c r="AA45" s="198"/>
      <c r="AB45" s="198"/>
      <c r="AC45" s="198"/>
      <c r="AD45" s="198"/>
    </row>
    <row r="46" spans="1:34" x14ac:dyDescent="0.25">
      <c r="AA46" s="198"/>
      <c r="AB46" s="198"/>
      <c r="AC46" s="198"/>
      <c r="AD46" s="198"/>
    </row>
  </sheetData>
  <sheetProtection algorithmName="SHA-512" hashValue="+um6OZ3z+GOR8nBOnjQQAVLaxRXzUFm+3LrVe+rYxpp+NxbKwU+ZzCim7TPnQPCY2J/m7hXhiuBC3P3n9MrP2w==" saltValue="II3KTrV/Na18LMpv/+ggPw==" spinCount="100000" sheet="1" objects="1" scenarios="1"/>
  <conditionalFormatting sqref="AD7:AE7">
    <cfRule type="containsText" dxfId="18" priority="7" operator="containsText" text="Sin comprobar">
      <formula>NOT(ISERROR(SEARCH("Sin comprobar",AD7)))</formula>
    </cfRule>
  </conditionalFormatting>
  <conditionalFormatting sqref="AC7">
    <cfRule type="containsText" dxfId="17" priority="5" operator="containsText" text="NO">
      <formula>NOT(ISERROR(SEARCH("NO",AC7)))</formula>
    </cfRule>
    <cfRule type="containsText" dxfId="16" priority="6" operator="containsText" text="SI">
      <formula>NOT(ISERROR(SEARCH("SI",AC7)))</formula>
    </cfRule>
  </conditionalFormatting>
  <conditionalFormatting sqref="AD8:AE42">
    <cfRule type="containsText" dxfId="15" priority="4" operator="containsText" text="Sin comprobar">
      <formula>NOT(ISERROR(SEARCH("Sin comprobar",AD8)))</formula>
    </cfRule>
  </conditionalFormatting>
  <conditionalFormatting sqref="AC8:AC42">
    <cfRule type="containsText" dxfId="14" priority="2" operator="containsText" text="NO">
      <formula>NOT(ISERROR(SEARCH("NO",AC8)))</formula>
    </cfRule>
    <cfRule type="containsText" dxfId="13" priority="3" operator="containsText" text="SI">
      <formula>NOT(ISERROR(SEARCH("SI",AC8)))</formula>
    </cfRule>
  </conditionalFormatting>
  <conditionalFormatting sqref="L7:W42">
    <cfRule type="containsText" dxfId="1" priority="1" operator="containsText" text="X">
      <formula>NOT(ISERROR(SEARCH("X",L7)))</formula>
    </cfRule>
  </conditionalFormatting>
  <dataValidations count="1">
    <dataValidation type="list" allowBlank="1" showInputMessage="1" showErrorMessage="1" sqref="C7:C42">
      <formula1>INDIRECT(B7)</formula1>
    </dataValidation>
  </dataValidations>
  <pageMargins left="0.7" right="0.7" top="0.75" bottom="0.75" header="0.3" footer="0.3"/>
  <pageSetup orientation="portrait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Convencionales!$A$20:$A$25</xm:f>
          </x14:formula1>
          <xm:sqref>K7:K42</xm:sqref>
        </x14:dataValidation>
        <x14:dataValidation type="list" allowBlank="1" showInputMessage="1" showErrorMessage="1">
          <x14:formula1>
            <xm:f>Convencionales!$I$4:$I$17</xm:f>
          </x14:formula1>
          <xm:sqref>B7:B42</xm:sqref>
        </x14:dataValidation>
        <x14:dataValidation type="list" allowBlank="1" showInputMessage="1" showErrorMessage="1">
          <x14:formula1>
            <xm:f>Convencionales!$O$79:$O$82</xm:f>
          </x14:formula1>
          <xm:sqref>J7:J42</xm:sqref>
        </x14:dataValidation>
        <x14:dataValidation type="list" allowBlank="1" showInputMessage="1" showErrorMessage="1">
          <x14:formula1>
            <xm:f>Convencionales!$B$6:$B$9</xm:f>
          </x14:formula1>
          <xm:sqref>AC7:AC42</xm:sqref>
        </x14:dataValidation>
        <x14:dataValidation type="list" allowBlank="1" showInputMessage="1" showErrorMessage="1">
          <x14:formula1>
            <xm:f>Convencionales!$B$10</xm:f>
          </x14:formula1>
          <xm:sqref>L7:W42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45"/>
  <sheetViews>
    <sheetView showGridLines="0" zoomScale="60" zoomScaleNormal="60" workbookViewId="0">
      <pane ySplit="6" topLeftCell="A7" activePane="bottomLeft" state="frozen"/>
      <selection activeCell="A10" sqref="A10"/>
      <selection pane="bottomLeft" activeCell="A7" sqref="A7"/>
    </sheetView>
  </sheetViews>
  <sheetFormatPr baseColWidth="10" defaultColWidth="11.453125" defaultRowHeight="12.5" x14ac:dyDescent="0.25"/>
  <cols>
    <col min="1" max="1" width="8.7265625" style="196" bestFit="1" customWidth="1"/>
    <col min="2" max="2" width="34.453125" style="196" customWidth="1"/>
    <col min="3" max="3" width="29.7265625" style="196" customWidth="1"/>
    <col min="4" max="4" width="36.453125" style="196" customWidth="1"/>
    <col min="5" max="5" width="36.7265625" style="196" customWidth="1"/>
    <col min="6" max="6" width="42.453125" style="196" customWidth="1"/>
    <col min="7" max="8" width="23.36328125" style="196" customWidth="1"/>
    <col min="9" max="10" width="32.7265625" style="196" customWidth="1"/>
    <col min="11" max="23" width="7.7265625" style="196" customWidth="1"/>
    <col min="24" max="25" width="18.7265625" style="196" customWidth="1"/>
    <col min="26" max="26" width="9.54296875" style="196" hidden="1" customWidth="1"/>
    <col min="27" max="27" width="11.453125" style="196" hidden="1" customWidth="1"/>
    <col min="28" max="28" width="16" style="196" hidden="1" customWidth="1"/>
    <col min="29" max="29" width="16" style="196" customWidth="1"/>
    <col min="30" max="30" width="35.81640625" style="196" customWidth="1"/>
    <col min="31" max="31" width="16.1796875" style="196" customWidth="1"/>
    <col min="32" max="32" width="39.7265625" style="196" customWidth="1"/>
    <col min="33" max="33" width="11.453125" style="196" customWidth="1"/>
    <col min="34" max="16384" width="11.453125" style="196"/>
  </cols>
  <sheetData>
    <row r="1" spans="1:34" s="194" customFormat="1" ht="21.75" customHeight="1" x14ac:dyDescent="0.35">
      <c r="A1" s="208"/>
      <c r="B1" s="208"/>
      <c r="D1" s="208"/>
      <c r="E1" s="208"/>
      <c r="F1" s="208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X1" s="208"/>
      <c r="Y1" s="208"/>
      <c r="Z1" s="208"/>
    </row>
    <row r="2" spans="1:34" s="194" customFormat="1" ht="21.75" customHeight="1" x14ac:dyDescent="0.35">
      <c r="A2" s="208"/>
      <c r="B2" s="208"/>
      <c r="C2" s="210" t="s">
        <v>631</v>
      </c>
      <c r="D2" s="208"/>
      <c r="E2" s="208"/>
      <c r="F2" s="208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X2" s="208"/>
      <c r="Y2" s="208"/>
      <c r="Z2" s="208"/>
    </row>
    <row r="3" spans="1:34" s="194" customFormat="1" ht="21.75" customHeight="1" x14ac:dyDescent="0.35">
      <c r="A3" s="208"/>
      <c r="B3" s="208"/>
      <c r="C3" s="211">
        <f>INI!D20</f>
        <v>0</v>
      </c>
      <c r="D3" s="208"/>
      <c r="E3" s="208"/>
      <c r="F3" s="208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X3" s="208"/>
      <c r="Y3" s="208"/>
      <c r="Z3" s="208"/>
    </row>
    <row r="4" spans="1:34" s="194" customFormat="1" ht="21.75" customHeight="1" x14ac:dyDescent="0.35">
      <c r="A4" s="208"/>
      <c r="B4" s="208"/>
      <c r="C4" s="212">
        <f>INI!D22</f>
        <v>0</v>
      </c>
      <c r="D4" s="208"/>
      <c r="E4" s="208"/>
      <c r="F4" s="208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X4" s="208"/>
      <c r="Y4" s="208"/>
      <c r="Z4" s="208"/>
    </row>
    <row r="5" spans="1:34" s="194" customFormat="1" ht="21.75" customHeight="1" thickBot="1" x14ac:dyDescent="0.4">
      <c r="A5" s="208"/>
      <c r="B5" s="208"/>
      <c r="D5" s="208"/>
      <c r="E5" s="208"/>
      <c r="F5" s="208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X5" s="208"/>
      <c r="Y5" s="208"/>
      <c r="Z5" s="208"/>
    </row>
    <row r="6" spans="1:34" ht="50.5" customHeight="1" thickTop="1" thickBot="1" x14ac:dyDescent="0.3">
      <c r="A6" s="118" t="s">
        <v>543</v>
      </c>
      <c r="B6" s="178" t="s">
        <v>738</v>
      </c>
      <c r="C6" s="178" t="s">
        <v>751</v>
      </c>
      <c r="D6" s="178" t="s">
        <v>544</v>
      </c>
      <c r="E6" s="178" t="s">
        <v>931</v>
      </c>
      <c r="F6" s="178" t="s">
        <v>752</v>
      </c>
      <c r="G6" s="206" t="s">
        <v>739</v>
      </c>
      <c r="H6" s="207" t="s">
        <v>740</v>
      </c>
      <c r="I6" s="178" t="s">
        <v>545</v>
      </c>
      <c r="J6" s="178" t="s">
        <v>546</v>
      </c>
      <c r="K6" s="182" t="s">
        <v>547</v>
      </c>
      <c r="L6" s="178" t="s">
        <v>10</v>
      </c>
      <c r="M6" s="178" t="s">
        <v>15</v>
      </c>
      <c r="N6" s="178" t="s">
        <v>24</v>
      </c>
      <c r="O6" s="178" t="s">
        <v>548</v>
      </c>
      <c r="P6" s="178" t="s">
        <v>549</v>
      </c>
      <c r="Q6" s="178" t="s">
        <v>550</v>
      </c>
      <c r="R6" s="178" t="s">
        <v>551</v>
      </c>
      <c r="S6" s="178" t="s">
        <v>552</v>
      </c>
      <c r="T6" s="178" t="s">
        <v>55</v>
      </c>
      <c r="U6" s="178" t="s">
        <v>59</v>
      </c>
      <c r="V6" s="178" t="s">
        <v>64</v>
      </c>
      <c r="W6" s="178" t="s">
        <v>69</v>
      </c>
      <c r="X6" s="180" t="s">
        <v>522</v>
      </c>
      <c r="Y6" s="181" t="s">
        <v>523</v>
      </c>
      <c r="Z6" s="213" t="s">
        <v>553</v>
      </c>
      <c r="AA6" s="119" t="s">
        <v>554</v>
      </c>
      <c r="AB6" s="214" t="s">
        <v>555</v>
      </c>
      <c r="AC6" s="121" t="s">
        <v>556</v>
      </c>
      <c r="AD6" s="121" t="s">
        <v>522</v>
      </c>
      <c r="AE6" s="121" t="s">
        <v>523</v>
      </c>
      <c r="AF6" s="121" t="s">
        <v>527</v>
      </c>
      <c r="AG6" s="121" t="s">
        <v>528</v>
      </c>
      <c r="AH6" s="121" t="s">
        <v>529</v>
      </c>
    </row>
    <row r="7" spans="1:34" s="218" customFormat="1" ht="39.75" customHeight="1" thickTop="1" x14ac:dyDescent="0.35">
      <c r="A7" s="122" t="s">
        <v>729</v>
      </c>
      <c r="B7" s="193"/>
      <c r="C7" s="193"/>
      <c r="D7" s="184" t="e">
        <f>+VLOOKUP(C7,Convencionales!$K$4:$L$94,2,FALSE)</f>
        <v>#N/A</v>
      </c>
      <c r="E7" s="177"/>
      <c r="F7" s="177"/>
      <c r="G7" s="201"/>
      <c r="H7" s="199"/>
      <c r="I7" s="177"/>
      <c r="J7" s="177"/>
      <c r="K7" s="227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215">
        <v>0</v>
      </c>
      <c r="Y7" s="215">
        <v>0</v>
      </c>
      <c r="Z7" s="109"/>
      <c r="AA7" s="109"/>
      <c r="AB7" s="111">
        <v>-30</v>
      </c>
      <c r="AC7" s="216" t="s">
        <v>13</v>
      </c>
      <c r="AD7" s="7">
        <f>IF(AC7="SI",X7,IF(AC7="TRASLADO CON PRESUPUESTO",X7,IF(AC7="NO",0,"0")))</f>
        <v>0</v>
      </c>
      <c r="AE7" s="7">
        <f>IF(AC7="SI",Y7,IF(AC7="TRASLADO CON PRESUPUESTO",Y7,IF(AC7="NO",0,"0")))</f>
        <v>0</v>
      </c>
      <c r="AF7" s="81"/>
      <c r="AG7" s="217"/>
      <c r="AH7" s="74"/>
    </row>
    <row r="8" spans="1:34" s="218" customFormat="1" ht="59.15" customHeight="1" x14ac:dyDescent="0.35">
      <c r="A8" s="122" t="s">
        <v>730</v>
      </c>
      <c r="B8" s="193"/>
      <c r="C8" s="193"/>
      <c r="D8" s="184" t="e">
        <f>+VLOOKUP(C8,Convencionales!$K$4:$L$94,2,FALSE)</f>
        <v>#N/A</v>
      </c>
      <c r="E8" s="48"/>
      <c r="F8" s="48"/>
      <c r="G8" s="201"/>
      <c r="H8" s="199"/>
      <c r="I8" s="177"/>
      <c r="J8" s="177"/>
      <c r="K8" s="29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215">
        <v>0</v>
      </c>
      <c r="Y8" s="215">
        <v>0</v>
      </c>
      <c r="Z8" s="109"/>
      <c r="AA8" s="109"/>
      <c r="AB8" s="111">
        <v>-29</v>
      </c>
      <c r="AC8" s="216" t="s">
        <v>13</v>
      </c>
      <c r="AD8" s="7">
        <f t="shared" ref="AD8:AD42" si="0">IF(AC8="SI",X8,IF(AC8="TRASLADO CON PRESUPUESTO",X8,IF(AC8="NO",0,"0")))</f>
        <v>0</v>
      </c>
      <c r="AE8" s="7">
        <f t="shared" ref="AE8:AE42" si="1">IF(AC8="SI",Y8,IF(AC8="TRASLADO CON PRESUPUESTO",Y8,IF(AC8="NO",0,"0")))</f>
        <v>0</v>
      </c>
      <c r="AF8" s="81"/>
      <c r="AG8" s="217"/>
      <c r="AH8" s="74"/>
    </row>
    <row r="9" spans="1:34" s="218" customFormat="1" ht="59.15" customHeight="1" x14ac:dyDescent="0.35">
      <c r="A9" s="122" t="s">
        <v>731</v>
      </c>
      <c r="B9" s="193"/>
      <c r="C9" s="193"/>
      <c r="D9" s="184" t="e">
        <f>+VLOOKUP(C9,Convencionales!$K$4:$L$94,2,FALSE)</f>
        <v>#N/A</v>
      </c>
      <c r="E9" s="48"/>
      <c r="F9" s="48"/>
      <c r="G9" s="202"/>
      <c r="H9" s="200"/>
      <c r="I9" s="48"/>
      <c r="J9" s="177"/>
      <c r="K9" s="29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215">
        <v>0</v>
      </c>
      <c r="Y9" s="215">
        <v>0</v>
      </c>
      <c r="Z9" s="109"/>
      <c r="AA9" s="109"/>
      <c r="AB9" s="111">
        <v>-28</v>
      </c>
      <c r="AC9" s="216" t="s">
        <v>13</v>
      </c>
      <c r="AD9" s="7">
        <f t="shared" si="0"/>
        <v>0</v>
      </c>
      <c r="AE9" s="7">
        <f t="shared" si="1"/>
        <v>0</v>
      </c>
      <c r="AF9" s="81"/>
      <c r="AG9" s="217"/>
      <c r="AH9" s="74"/>
    </row>
    <row r="10" spans="1:34" s="218" customFormat="1" ht="59.15" customHeight="1" x14ac:dyDescent="0.35">
      <c r="A10" s="122" t="s">
        <v>732</v>
      </c>
      <c r="B10" s="193"/>
      <c r="C10" s="193"/>
      <c r="D10" s="184" t="e">
        <f>+VLOOKUP(C10,Convencionales!$K$4:$L$94,2,FALSE)</f>
        <v>#N/A</v>
      </c>
      <c r="E10" s="48"/>
      <c r="F10" s="48"/>
      <c r="G10" s="202"/>
      <c r="H10" s="200"/>
      <c r="I10" s="48"/>
      <c r="J10" s="177"/>
      <c r="K10" s="29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215">
        <v>0</v>
      </c>
      <c r="Y10" s="215">
        <v>0</v>
      </c>
      <c r="Z10" s="109"/>
      <c r="AA10" s="109"/>
      <c r="AB10" s="111">
        <v>-27</v>
      </c>
      <c r="AC10" s="216" t="s">
        <v>13</v>
      </c>
      <c r="AD10" s="7">
        <f t="shared" si="0"/>
        <v>0</v>
      </c>
      <c r="AE10" s="7">
        <f t="shared" si="1"/>
        <v>0</v>
      </c>
      <c r="AF10" s="81"/>
      <c r="AG10" s="217"/>
      <c r="AH10" s="74"/>
    </row>
    <row r="11" spans="1:34" s="218" customFormat="1" ht="75.650000000000006" customHeight="1" x14ac:dyDescent="0.35">
      <c r="A11" s="122" t="s">
        <v>733</v>
      </c>
      <c r="B11" s="193"/>
      <c r="C11" s="193"/>
      <c r="D11" s="184" t="e">
        <f>+VLOOKUP(C11,Convencionales!$K$4:$L$94,2,FALSE)</f>
        <v>#N/A</v>
      </c>
      <c r="E11" s="48"/>
      <c r="F11" s="48"/>
      <c r="G11" s="202"/>
      <c r="H11" s="200"/>
      <c r="I11" s="48"/>
      <c r="J11" s="177"/>
      <c r="K11" s="29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215">
        <v>0</v>
      </c>
      <c r="Y11" s="215">
        <v>0</v>
      </c>
      <c r="Z11" s="109"/>
      <c r="AA11" s="109"/>
      <c r="AB11" s="111">
        <v>-26</v>
      </c>
      <c r="AC11" s="216" t="s">
        <v>13</v>
      </c>
      <c r="AD11" s="7">
        <f t="shared" si="0"/>
        <v>0</v>
      </c>
      <c r="AE11" s="7">
        <f t="shared" si="1"/>
        <v>0</v>
      </c>
      <c r="AF11" s="81"/>
      <c r="AG11" s="217"/>
      <c r="AH11" s="74"/>
    </row>
    <row r="12" spans="1:34" s="218" customFormat="1" ht="75.650000000000006" customHeight="1" x14ac:dyDescent="0.35">
      <c r="A12" s="122" t="s">
        <v>734</v>
      </c>
      <c r="B12" s="193"/>
      <c r="C12" s="193"/>
      <c r="D12" s="184" t="e">
        <f>+VLOOKUP(C12,Convencionales!$K$4:$L$94,2,FALSE)</f>
        <v>#N/A</v>
      </c>
      <c r="E12" s="48"/>
      <c r="F12" s="48"/>
      <c r="G12" s="202"/>
      <c r="H12" s="200"/>
      <c r="I12" s="48"/>
      <c r="J12" s="177"/>
      <c r="K12" s="29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215">
        <v>0</v>
      </c>
      <c r="Y12" s="215">
        <v>0</v>
      </c>
      <c r="Z12" s="109"/>
      <c r="AA12" s="109"/>
      <c r="AB12" s="111">
        <v>-25</v>
      </c>
      <c r="AC12" s="216" t="s">
        <v>13</v>
      </c>
      <c r="AD12" s="7">
        <f t="shared" si="0"/>
        <v>0</v>
      </c>
      <c r="AE12" s="7">
        <f t="shared" si="1"/>
        <v>0</v>
      </c>
      <c r="AF12" s="81"/>
      <c r="AG12" s="217"/>
      <c r="AH12" s="74"/>
    </row>
    <row r="13" spans="1:34" s="218" customFormat="1" ht="85.5" customHeight="1" x14ac:dyDescent="0.35">
      <c r="A13" s="122" t="s">
        <v>735</v>
      </c>
      <c r="B13" s="193"/>
      <c r="C13" s="193"/>
      <c r="D13" s="184" t="e">
        <f>+VLOOKUP(C13,Convencionales!$K$4:$L$94,2,FALSE)</f>
        <v>#N/A</v>
      </c>
      <c r="E13" s="48"/>
      <c r="F13" s="48"/>
      <c r="G13" s="202"/>
      <c r="H13" s="200"/>
      <c r="I13" s="48"/>
      <c r="J13" s="177"/>
      <c r="K13" s="29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215">
        <v>0</v>
      </c>
      <c r="Y13" s="215">
        <v>0</v>
      </c>
      <c r="Z13" s="109"/>
      <c r="AA13" s="109"/>
      <c r="AB13" s="111">
        <v>-24</v>
      </c>
      <c r="AC13" s="216" t="s">
        <v>13</v>
      </c>
      <c r="AD13" s="7">
        <f t="shared" si="0"/>
        <v>0</v>
      </c>
      <c r="AE13" s="7">
        <f t="shared" si="1"/>
        <v>0</v>
      </c>
      <c r="AF13" s="81"/>
      <c r="AG13" s="217"/>
      <c r="AH13" s="74"/>
    </row>
    <row r="14" spans="1:34" s="218" customFormat="1" ht="72.650000000000006" customHeight="1" x14ac:dyDescent="0.35">
      <c r="A14" s="122" t="s">
        <v>736</v>
      </c>
      <c r="B14" s="193"/>
      <c r="C14" s="193"/>
      <c r="D14" s="184" t="e">
        <f>+VLOOKUP(C14,Convencionales!$K$4:$L$94,2,FALSE)</f>
        <v>#N/A</v>
      </c>
      <c r="E14" s="48"/>
      <c r="F14" s="48"/>
      <c r="G14" s="202"/>
      <c r="H14" s="200"/>
      <c r="I14" s="48"/>
      <c r="J14" s="177"/>
      <c r="K14" s="29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215">
        <v>0</v>
      </c>
      <c r="Y14" s="215">
        <v>0</v>
      </c>
      <c r="Z14" s="109"/>
      <c r="AA14" s="109"/>
      <c r="AB14" s="111">
        <v>-23</v>
      </c>
      <c r="AC14" s="216" t="s">
        <v>13</v>
      </c>
      <c r="AD14" s="7">
        <f t="shared" si="0"/>
        <v>0</v>
      </c>
      <c r="AE14" s="7">
        <f t="shared" si="1"/>
        <v>0</v>
      </c>
      <c r="AF14" s="81"/>
      <c r="AG14" s="217"/>
      <c r="AH14" s="74"/>
    </row>
    <row r="15" spans="1:34" s="218" customFormat="1" ht="76" customHeight="1" x14ac:dyDescent="0.35">
      <c r="A15" s="122" t="s">
        <v>737</v>
      </c>
      <c r="B15" s="193"/>
      <c r="C15" s="193"/>
      <c r="D15" s="184" t="e">
        <f>+VLOOKUP(C15,Convencionales!$K$4:$L$94,2,FALSE)</f>
        <v>#N/A</v>
      </c>
      <c r="E15" s="48"/>
      <c r="F15" s="48"/>
      <c r="G15" s="202"/>
      <c r="H15" s="200"/>
      <c r="I15" s="48"/>
      <c r="J15" s="177"/>
      <c r="K15" s="29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215">
        <v>0</v>
      </c>
      <c r="Y15" s="215">
        <v>0</v>
      </c>
      <c r="Z15" s="109"/>
      <c r="AA15" s="109"/>
      <c r="AB15" s="111">
        <v>-22</v>
      </c>
      <c r="AC15" s="216" t="s">
        <v>13</v>
      </c>
      <c r="AD15" s="7">
        <f t="shared" si="0"/>
        <v>0</v>
      </c>
      <c r="AE15" s="7">
        <f t="shared" si="1"/>
        <v>0</v>
      </c>
      <c r="AF15" s="81"/>
      <c r="AG15" s="217"/>
      <c r="AH15" s="74"/>
    </row>
    <row r="16" spans="1:34" s="218" customFormat="1" ht="39.75" customHeight="1" x14ac:dyDescent="0.35">
      <c r="A16" s="122" t="s">
        <v>632</v>
      </c>
      <c r="B16" s="193"/>
      <c r="C16" s="193"/>
      <c r="D16" s="184" t="e">
        <f>+VLOOKUP(C16,Convencionales!$K$4:$L$94,2,FALSE)</f>
        <v>#N/A</v>
      </c>
      <c r="E16" s="48"/>
      <c r="F16" s="48"/>
      <c r="G16" s="202"/>
      <c r="H16" s="200"/>
      <c r="I16" s="48"/>
      <c r="J16" s="177"/>
      <c r="K16" s="29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215">
        <v>0</v>
      </c>
      <c r="Y16" s="215">
        <v>0</v>
      </c>
      <c r="Z16" s="109"/>
      <c r="AA16" s="109"/>
      <c r="AB16" s="111">
        <v>-21</v>
      </c>
      <c r="AC16" s="216" t="s">
        <v>13</v>
      </c>
      <c r="AD16" s="7">
        <f t="shared" si="0"/>
        <v>0</v>
      </c>
      <c r="AE16" s="7">
        <f t="shared" si="1"/>
        <v>0</v>
      </c>
      <c r="AF16" s="81"/>
      <c r="AG16" s="217"/>
      <c r="AH16" s="74"/>
    </row>
    <row r="17" spans="1:34" s="218" customFormat="1" ht="39.75" customHeight="1" x14ac:dyDescent="0.35">
      <c r="A17" s="122" t="s">
        <v>633</v>
      </c>
      <c r="B17" s="193"/>
      <c r="C17" s="193"/>
      <c r="D17" s="184" t="e">
        <f>+VLOOKUP(C17,Convencionales!$K$4:$L$94,2,FALSE)</f>
        <v>#N/A</v>
      </c>
      <c r="E17" s="48"/>
      <c r="F17" s="48"/>
      <c r="G17" s="202"/>
      <c r="H17" s="200"/>
      <c r="I17" s="48"/>
      <c r="J17" s="177"/>
      <c r="K17" s="29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215">
        <v>0</v>
      </c>
      <c r="Y17" s="215">
        <v>0</v>
      </c>
      <c r="Z17" s="109"/>
      <c r="AA17" s="109"/>
      <c r="AB17" s="111">
        <v>-20</v>
      </c>
      <c r="AC17" s="216" t="s">
        <v>13</v>
      </c>
      <c r="AD17" s="7">
        <f t="shared" si="0"/>
        <v>0</v>
      </c>
      <c r="AE17" s="7">
        <f t="shared" si="1"/>
        <v>0</v>
      </c>
      <c r="AF17" s="81"/>
      <c r="AG17" s="217"/>
      <c r="AH17" s="74"/>
    </row>
    <row r="18" spans="1:34" s="218" customFormat="1" ht="39.75" customHeight="1" x14ac:dyDescent="0.35">
      <c r="A18" s="122" t="s">
        <v>634</v>
      </c>
      <c r="B18" s="193"/>
      <c r="C18" s="193"/>
      <c r="D18" s="184" t="e">
        <f>+VLOOKUP(C18,Convencionales!$K$4:$L$94,2,FALSE)</f>
        <v>#N/A</v>
      </c>
      <c r="E18" s="48"/>
      <c r="F18" s="48"/>
      <c r="G18" s="202"/>
      <c r="H18" s="200"/>
      <c r="I18" s="48"/>
      <c r="J18" s="177"/>
      <c r="K18" s="29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215">
        <v>0</v>
      </c>
      <c r="Y18" s="215">
        <v>0</v>
      </c>
      <c r="Z18" s="109"/>
      <c r="AA18" s="109"/>
      <c r="AB18" s="111">
        <v>-19</v>
      </c>
      <c r="AC18" s="216" t="s">
        <v>13</v>
      </c>
      <c r="AD18" s="7">
        <f t="shared" si="0"/>
        <v>0</v>
      </c>
      <c r="AE18" s="7">
        <f t="shared" si="1"/>
        <v>0</v>
      </c>
      <c r="AF18" s="81"/>
      <c r="AG18" s="217"/>
      <c r="AH18" s="74"/>
    </row>
    <row r="19" spans="1:34" s="218" customFormat="1" ht="39.75" customHeight="1" x14ac:dyDescent="0.35">
      <c r="A19" s="122" t="s">
        <v>635</v>
      </c>
      <c r="B19" s="193"/>
      <c r="C19" s="193"/>
      <c r="D19" s="184" t="e">
        <f>+VLOOKUP(C19,Convencionales!$K$4:$L$94,2,FALSE)</f>
        <v>#N/A</v>
      </c>
      <c r="E19" s="48"/>
      <c r="F19" s="48"/>
      <c r="G19" s="202"/>
      <c r="H19" s="200"/>
      <c r="I19" s="48"/>
      <c r="J19" s="177"/>
      <c r="K19" s="29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215">
        <v>0</v>
      </c>
      <c r="Y19" s="215">
        <v>0</v>
      </c>
      <c r="Z19" s="109"/>
      <c r="AA19" s="109"/>
      <c r="AB19" s="111">
        <v>-18</v>
      </c>
      <c r="AC19" s="216" t="s">
        <v>13</v>
      </c>
      <c r="AD19" s="7">
        <f t="shared" si="0"/>
        <v>0</v>
      </c>
      <c r="AE19" s="7">
        <f t="shared" si="1"/>
        <v>0</v>
      </c>
      <c r="AF19" s="81"/>
      <c r="AG19" s="217"/>
      <c r="AH19" s="74"/>
    </row>
    <row r="20" spans="1:34" s="218" customFormat="1" ht="39.75" customHeight="1" x14ac:dyDescent="0.35">
      <c r="A20" s="122" t="s">
        <v>636</v>
      </c>
      <c r="B20" s="193"/>
      <c r="C20" s="193"/>
      <c r="D20" s="184" t="e">
        <f>+VLOOKUP(C20,Convencionales!$K$4:$L$94,2,FALSE)</f>
        <v>#N/A</v>
      </c>
      <c r="E20" s="48"/>
      <c r="F20" s="48"/>
      <c r="G20" s="202"/>
      <c r="H20" s="200"/>
      <c r="I20" s="48"/>
      <c r="J20" s="177"/>
      <c r="K20" s="29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215">
        <v>0</v>
      </c>
      <c r="Y20" s="215">
        <v>0</v>
      </c>
      <c r="Z20" s="109"/>
      <c r="AA20" s="109"/>
      <c r="AB20" s="111">
        <v>-17</v>
      </c>
      <c r="AC20" s="216" t="s">
        <v>13</v>
      </c>
      <c r="AD20" s="7">
        <f t="shared" si="0"/>
        <v>0</v>
      </c>
      <c r="AE20" s="7">
        <f t="shared" si="1"/>
        <v>0</v>
      </c>
      <c r="AF20" s="81"/>
      <c r="AG20" s="217"/>
      <c r="AH20" s="74"/>
    </row>
    <row r="21" spans="1:34" s="218" customFormat="1" ht="39.75" customHeight="1" x14ac:dyDescent="0.35">
      <c r="A21" s="122" t="s">
        <v>637</v>
      </c>
      <c r="B21" s="193"/>
      <c r="C21" s="193"/>
      <c r="D21" s="184" t="e">
        <f>+VLOOKUP(C21,Convencionales!$K$4:$L$94,2,FALSE)</f>
        <v>#N/A</v>
      </c>
      <c r="E21" s="48"/>
      <c r="F21" s="48"/>
      <c r="G21" s="202"/>
      <c r="H21" s="200"/>
      <c r="I21" s="48"/>
      <c r="J21" s="177"/>
      <c r="K21" s="29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215">
        <v>0</v>
      </c>
      <c r="Y21" s="215">
        <v>0</v>
      </c>
      <c r="Z21" s="109"/>
      <c r="AA21" s="109"/>
      <c r="AB21" s="111">
        <v>-16</v>
      </c>
      <c r="AC21" s="216" t="s">
        <v>13</v>
      </c>
      <c r="AD21" s="7">
        <f t="shared" si="0"/>
        <v>0</v>
      </c>
      <c r="AE21" s="7">
        <f t="shared" si="1"/>
        <v>0</v>
      </c>
      <c r="AF21" s="81"/>
      <c r="AG21" s="217"/>
      <c r="AH21" s="74"/>
    </row>
    <row r="22" spans="1:34" s="218" customFormat="1" ht="39.75" customHeight="1" x14ac:dyDescent="0.35">
      <c r="A22" s="122" t="s">
        <v>638</v>
      </c>
      <c r="B22" s="193"/>
      <c r="C22" s="193"/>
      <c r="D22" s="184" t="e">
        <f>+VLOOKUP(C22,Convencionales!$K$4:$L$94,2,FALSE)</f>
        <v>#N/A</v>
      </c>
      <c r="E22" s="48"/>
      <c r="F22" s="48"/>
      <c r="G22" s="202"/>
      <c r="H22" s="200"/>
      <c r="I22" s="48"/>
      <c r="J22" s="177"/>
      <c r="K22" s="29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215">
        <v>0</v>
      </c>
      <c r="Y22" s="215">
        <v>0</v>
      </c>
      <c r="Z22" s="109"/>
      <c r="AA22" s="109"/>
      <c r="AB22" s="111">
        <v>-15</v>
      </c>
      <c r="AC22" s="216" t="s">
        <v>13</v>
      </c>
      <c r="AD22" s="7">
        <f t="shared" si="0"/>
        <v>0</v>
      </c>
      <c r="AE22" s="7">
        <f t="shared" si="1"/>
        <v>0</v>
      </c>
      <c r="AF22" s="81"/>
      <c r="AG22" s="217"/>
      <c r="AH22" s="74"/>
    </row>
    <row r="23" spans="1:34" s="218" customFormat="1" ht="39.75" customHeight="1" x14ac:dyDescent="0.35">
      <c r="A23" s="122" t="s">
        <v>639</v>
      </c>
      <c r="B23" s="193"/>
      <c r="C23" s="193"/>
      <c r="D23" s="184" t="e">
        <f>+VLOOKUP(C23,Convencionales!$K$4:$L$94,2,FALSE)</f>
        <v>#N/A</v>
      </c>
      <c r="E23" s="48"/>
      <c r="F23" s="48"/>
      <c r="G23" s="202"/>
      <c r="H23" s="200"/>
      <c r="I23" s="48"/>
      <c r="J23" s="177"/>
      <c r="K23" s="29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215">
        <v>0</v>
      </c>
      <c r="Y23" s="215">
        <v>0</v>
      </c>
      <c r="Z23" s="109"/>
      <c r="AA23" s="109"/>
      <c r="AB23" s="111">
        <v>-14</v>
      </c>
      <c r="AC23" s="216" t="s">
        <v>13</v>
      </c>
      <c r="AD23" s="7">
        <f t="shared" si="0"/>
        <v>0</v>
      </c>
      <c r="AE23" s="7">
        <f t="shared" si="1"/>
        <v>0</v>
      </c>
      <c r="AF23" s="81"/>
      <c r="AG23" s="217"/>
      <c r="AH23" s="74"/>
    </row>
    <row r="24" spans="1:34" s="218" customFormat="1" ht="39.75" customHeight="1" x14ac:dyDescent="0.35">
      <c r="A24" s="122" t="s">
        <v>640</v>
      </c>
      <c r="B24" s="193"/>
      <c r="C24" s="193"/>
      <c r="D24" s="184" t="e">
        <f>+VLOOKUP(C24,Convencionales!$K$4:$L$94,2,FALSE)</f>
        <v>#N/A</v>
      </c>
      <c r="E24" s="48"/>
      <c r="F24" s="48"/>
      <c r="G24" s="202"/>
      <c r="H24" s="200"/>
      <c r="I24" s="48"/>
      <c r="J24" s="177"/>
      <c r="K24" s="29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215">
        <v>0</v>
      </c>
      <c r="Y24" s="215">
        <v>0</v>
      </c>
      <c r="Z24" s="109"/>
      <c r="AA24" s="109"/>
      <c r="AB24" s="111">
        <v>-13</v>
      </c>
      <c r="AC24" s="216" t="s">
        <v>13</v>
      </c>
      <c r="AD24" s="7">
        <f t="shared" si="0"/>
        <v>0</v>
      </c>
      <c r="AE24" s="7">
        <f t="shared" si="1"/>
        <v>0</v>
      </c>
      <c r="AF24" s="81"/>
      <c r="AG24" s="217"/>
      <c r="AH24" s="74"/>
    </row>
    <row r="25" spans="1:34" s="218" customFormat="1" ht="39.75" customHeight="1" x14ac:dyDescent="0.35">
      <c r="A25" s="122" t="s">
        <v>641</v>
      </c>
      <c r="B25" s="193"/>
      <c r="C25" s="193"/>
      <c r="D25" s="184" t="e">
        <f>+VLOOKUP(C25,Convencionales!$K$4:$L$94,2,FALSE)</f>
        <v>#N/A</v>
      </c>
      <c r="E25" s="48"/>
      <c r="F25" s="48"/>
      <c r="G25" s="202"/>
      <c r="H25" s="200"/>
      <c r="I25" s="48"/>
      <c r="J25" s="177"/>
      <c r="K25" s="29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215">
        <v>0</v>
      </c>
      <c r="Y25" s="215">
        <v>0</v>
      </c>
      <c r="Z25" s="109"/>
      <c r="AA25" s="109"/>
      <c r="AB25" s="111">
        <v>-12</v>
      </c>
      <c r="AC25" s="216" t="s">
        <v>13</v>
      </c>
      <c r="AD25" s="7">
        <f t="shared" si="0"/>
        <v>0</v>
      </c>
      <c r="AE25" s="7">
        <f t="shared" si="1"/>
        <v>0</v>
      </c>
      <c r="AF25" s="81"/>
      <c r="AG25" s="217"/>
      <c r="AH25" s="74"/>
    </row>
    <row r="26" spans="1:34" s="218" customFormat="1" ht="39.75" customHeight="1" x14ac:dyDescent="0.35">
      <c r="A26" s="122" t="s">
        <v>642</v>
      </c>
      <c r="B26" s="193"/>
      <c r="C26" s="193"/>
      <c r="D26" s="184" t="e">
        <f>+VLOOKUP(C26,Convencionales!$K$4:$L$94,2,FALSE)</f>
        <v>#N/A</v>
      </c>
      <c r="E26" s="48"/>
      <c r="F26" s="48"/>
      <c r="G26" s="202"/>
      <c r="H26" s="200"/>
      <c r="I26" s="48"/>
      <c r="J26" s="177"/>
      <c r="K26" s="29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215">
        <v>0</v>
      </c>
      <c r="Y26" s="215">
        <v>0</v>
      </c>
      <c r="Z26" s="109"/>
      <c r="AA26" s="109"/>
      <c r="AB26" s="111">
        <v>-11</v>
      </c>
      <c r="AC26" s="216" t="s">
        <v>13</v>
      </c>
      <c r="AD26" s="7">
        <f t="shared" si="0"/>
        <v>0</v>
      </c>
      <c r="AE26" s="7">
        <f t="shared" si="1"/>
        <v>0</v>
      </c>
      <c r="AF26" s="81"/>
      <c r="AG26" s="217"/>
      <c r="AH26" s="74"/>
    </row>
    <row r="27" spans="1:34" s="218" customFormat="1" ht="39.75" customHeight="1" x14ac:dyDescent="0.35">
      <c r="A27" s="122" t="s">
        <v>643</v>
      </c>
      <c r="B27" s="193"/>
      <c r="C27" s="193"/>
      <c r="D27" s="184" t="e">
        <f>+VLOOKUP(C27,Convencionales!$K$4:$L$94,2,FALSE)</f>
        <v>#N/A</v>
      </c>
      <c r="E27" s="48"/>
      <c r="F27" s="48"/>
      <c r="G27" s="202"/>
      <c r="H27" s="200"/>
      <c r="I27" s="48"/>
      <c r="J27" s="177"/>
      <c r="K27" s="29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215">
        <v>0</v>
      </c>
      <c r="Y27" s="215">
        <v>0</v>
      </c>
      <c r="Z27" s="109"/>
      <c r="AA27" s="109"/>
      <c r="AB27" s="111">
        <v>-10</v>
      </c>
      <c r="AC27" s="216" t="s">
        <v>13</v>
      </c>
      <c r="AD27" s="7">
        <f t="shared" si="0"/>
        <v>0</v>
      </c>
      <c r="AE27" s="7">
        <f t="shared" si="1"/>
        <v>0</v>
      </c>
      <c r="AF27" s="81"/>
      <c r="AG27" s="217"/>
      <c r="AH27" s="74"/>
    </row>
    <row r="28" spans="1:34" s="218" customFormat="1" ht="39.75" customHeight="1" x14ac:dyDescent="0.35">
      <c r="A28" s="122" t="s">
        <v>644</v>
      </c>
      <c r="B28" s="193"/>
      <c r="C28" s="193"/>
      <c r="D28" s="184" t="e">
        <f>+VLOOKUP(C28,Convencionales!$K$4:$L$94,2,FALSE)</f>
        <v>#N/A</v>
      </c>
      <c r="E28" s="48"/>
      <c r="F28" s="48"/>
      <c r="G28" s="202"/>
      <c r="H28" s="200"/>
      <c r="I28" s="48"/>
      <c r="J28" s="177"/>
      <c r="K28" s="29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215">
        <v>0</v>
      </c>
      <c r="Y28" s="215">
        <v>0</v>
      </c>
      <c r="Z28" s="109"/>
      <c r="AA28" s="109"/>
      <c r="AB28" s="111">
        <v>-9</v>
      </c>
      <c r="AC28" s="216" t="s">
        <v>13</v>
      </c>
      <c r="AD28" s="7">
        <f t="shared" si="0"/>
        <v>0</v>
      </c>
      <c r="AE28" s="7">
        <f t="shared" si="1"/>
        <v>0</v>
      </c>
      <c r="AF28" s="81"/>
      <c r="AG28" s="217"/>
      <c r="AH28" s="74"/>
    </row>
    <row r="29" spans="1:34" s="218" customFormat="1" ht="39.75" customHeight="1" x14ac:dyDescent="0.35">
      <c r="A29" s="122" t="s">
        <v>645</v>
      </c>
      <c r="B29" s="193"/>
      <c r="C29" s="193"/>
      <c r="D29" s="184" t="e">
        <f>+VLOOKUP(C29,Convencionales!$K$4:$L$94,2,FALSE)</f>
        <v>#N/A</v>
      </c>
      <c r="E29" s="48"/>
      <c r="F29" s="48"/>
      <c r="G29" s="202"/>
      <c r="H29" s="200"/>
      <c r="I29" s="48"/>
      <c r="J29" s="177"/>
      <c r="K29" s="29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215">
        <v>0</v>
      </c>
      <c r="Y29" s="215">
        <v>0</v>
      </c>
      <c r="Z29" s="109"/>
      <c r="AA29" s="109"/>
      <c r="AB29" s="111">
        <v>-8</v>
      </c>
      <c r="AC29" s="216" t="s">
        <v>13</v>
      </c>
      <c r="AD29" s="7">
        <f t="shared" si="0"/>
        <v>0</v>
      </c>
      <c r="AE29" s="7">
        <f t="shared" si="1"/>
        <v>0</v>
      </c>
      <c r="AF29" s="81"/>
      <c r="AG29" s="217"/>
      <c r="AH29" s="74"/>
    </row>
    <row r="30" spans="1:34" s="218" customFormat="1" ht="39.75" customHeight="1" x14ac:dyDescent="0.35">
      <c r="A30" s="122" t="s">
        <v>646</v>
      </c>
      <c r="B30" s="193"/>
      <c r="C30" s="193"/>
      <c r="D30" s="184" t="e">
        <f>+VLOOKUP(C30,Convencionales!$K$4:$L$94,2,FALSE)</f>
        <v>#N/A</v>
      </c>
      <c r="E30" s="48"/>
      <c r="F30" s="48"/>
      <c r="G30" s="202"/>
      <c r="H30" s="200"/>
      <c r="I30" s="48"/>
      <c r="J30" s="177"/>
      <c r="K30" s="29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215">
        <v>0</v>
      </c>
      <c r="Y30" s="215">
        <v>0</v>
      </c>
      <c r="Z30" s="109"/>
      <c r="AA30" s="109"/>
      <c r="AB30" s="111">
        <v>-7</v>
      </c>
      <c r="AC30" s="216" t="s">
        <v>13</v>
      </c>
      <c r="AD30" s="7">
        <f t="shared" si="0"/>
        <v>0</v>
      </c>
      <c r="AE30" s="7">
        <f t="shared" si="1"/>
        <v>0</v>
      </c>
      <c r="AF30" s="81"/>
      <c r="AG30" s="217"/>
      <c r="AH30" s="74"/>
    </row>
    <row r="31" spans="1:34" s="218" customFormat="1" ht="39.75" customHeight="1" x14ac:dyDescent="0.35">
      <c r="A31" s="122" t="s">
        <v>647</v>
      </c>
      <c r="B31" s="193"/>
      <c r="C31" s="193"/>
      <c r="D31" s="184" t="e">
        <f>+VLOOKUP(C31,Convencionales!$K$4:$L$94,2,FALSE)</f>
        <v>#N/A</v>
      </c>
      <c r="E31" s="48"/>
      <c r="F31" s="48"/>
      <c r="G31" s="202"/>
      <c r="H31" s="200"/>
      <c r="I31" s="48"/>
      <c r="J31" s="177"/>
      <c r="K31" s="29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215">
        <v>0</v>
      </c>
      <c r="Y31" s="215">
        <v>0</v>
      </c>
      <c r="Z31" s="109"/>
      <c r="AA31" s="109"/>
      <c r="AB31" s="111">
        <v>-6</v>
      </c>
      <c r="AC31" s="216" t="s">
        <v>13</v>
      </c>
      <c r="AD31" s="7">
        <f t="shared" si="0"/>
        <v>0</v>
      </c>
      <c r="AE31" s="7">
        <f t="shared" si="1"/>
        <v>0</v>
      </c>
      <c r="AF31" s="81"/>
      <c r="AG31" s="217"/>
      <c r="AH31" s="74"/>
    </row>
    <row r="32" spans="1:34" s="218" customFormat="1" ht="39.75" customHeight="1" x14ac:dyDescent="0.35">
      <c r="A32" s="122" t="s">
        <v>648</v>
      </c>
      <c r="B32" s="193"/>
      <c r="C32" s="193"/>
      <c r="D32" s="184" t="e">
        <f>+VLOOKUP(C32,Convencionales!$K$4:$L$94,2,FALSE)</f>
        <v>#N/A</v>
      </c>
      <c r="E32" s="48"/>
      <c r="F32" s="48"/>
      <c r="G32" s="202"/>
      <c r="H32" s="200"/>
      <c r="I32" s="48"/>
      <c r="J32" s="177"/>
      <c r="K32" s="29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215">
        <v>0</v>
      </c>
      <c r="Y32" s="215">
        <v>0</v>
      </c>
      <c r="Z32" s="109"/>
      <c r="AA32" s="109"/>
      <c r="AB32" s="111">
        <v>-5</v>
      </c>
      <c r="AC32" s="216" t="s">
        <v>13</v>
      </c>
      <c r="AD32" s="7">
        <f t="shared" si="0"/>
        <v>0</v>
      </c>
      <c r="AE32" s="7">
        <f t="shared" si="1"/>
        <v>0</v>
      </c>
      <c r="AF32" s="81"/>
      <c r="AG32" s="217"/>
      <c r="AH32" s="74"/>
    </row>
    <row r="33" spans="1:34" s="218" customFormat="1" ht="39.75" customHeight="1" x14ac:dyDescent="0.35">
      <c r="A33" s="122" t="s">
        <v>649</v>
      </c>
      <c r="B33" s="193"/>
      <c r="C33" s="193"/>
      <c r="D33" s="184" t="e">
        <f>+VLOOKUP(C33,Convencionales!$K$4:$L$94,2,FALSE)</f>
        <v>#N/A</v>
      </c>
      <c r="E33" s="48"/>
      <c r="F33" s="48"/>
      <c r="G33" s="202"/>
      <c r="H33" s="200"/>
      <c r="I33" s="48"/>
      <c r="J33" s="177"/>
      <c r="K33" s="29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215">
        <v>0</v>
      </c>
      <c r="Y33" s="215">
        <v>0</v>
      </c>
      <c r="Z33" s="109"/>
      <c r="AA33" s="109"/>
      <c r="AB33" s="111">
        <v>-4</v>
      </c>
      <c r="AC33" s="216" t="s">
        <v>13</v>
      </c>
      <c r="AD33" s="7">
        <f t="shared" si="0"/>
        <v>0</v>
      </c>
      <c r="AE33" s="7">
        <f t="shared" si="1"/>
        <v>0</v>
      </c>
      <c r="AF33" s="81"/>
      <c r="AG33" s="217"/>
      <c r="AH33" s="74"/>
    </row>
    <row r="34" spans="1:34" s="218" customFormat="1" ht="39.75" customHeight="1" x14ac:dyDescent="0.35">
      <c r="A34" s="122" t="s">
        <v>650</v>
      </c>
      <c r="B34" s="193"/>
      <c r="C34" s="193"/>
      <c r="D34" s="184" t="e">
        <f>+VLOOKUP(C34,Convencionales!$K$4:$L$94,2,FALSE)</f>
        <v>#N/A</v>
      </c>
      <c r="E34" s="48"/>
      <c r="F34" s="48"/>
      <c r="G34" s="202"/>
      <c r="H34" s="200"/>
      <c r="I34" s="48"/>
      <c r="J34" s="177"/>
      <c r="K34" s="29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215">
        <v>0</v>
      </c>
      <c r="Y34" s="215">
        <v>0</v>
      </c>
      <c r="Z34" s="109"/>
      <c r="AA34" s="109"/>
      <c r="AB34" s="111">
        <v>-3</v>
      </c>
      <c r="AC34" s="216" t="s">
        <v>13</v>
      </c>
      <c r="AD34" s="7">
        <f t="shared" si="0"/>
        <v>0</v>
      </c>
      <c r="AE34" s="7">
        <f t="shared" si="1"/>
        <v>0</v>
      </c>
      <c r="AF34" s="81"/>
      <c r="AG34" s="217"/>
      <c r="AH34" s="74"/>
    </row>
    <row r="35" spans="1:34" s="218" customFormat="1" ht="39.75" customHeight="1" x14ac:dyDescent="0.35">
      <c r="A35" s="122" t="s">
        <v>651</v>
      </c>
      <c r="B35" s="193"/>
      <c r="C35" s="193"/>
      <c r="D35" s="184" t="e">
        <f>+VLOOKUP(C35,Convencionales!$K$4:$L$94,2,FALSE)</f>
        <v>#N/A</v>
      </c>
      <c r="E35" s="48"/>
      <c r="F35" s="48"/>
      <c r="G35" s="202"/>
      <c r="H35" s="200"/>
      <c r="I35" s="48"/>
      <c r="J35" s="177"/>
      <c r="K35" s="29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215">
        <v>0</v>
      </c>
      <c r="Y35" s="215">
        <v>0</v>
      </c>
      <c r="Z35" s="109"/>
      <c r="AA35" s="109"/>
      <c r="AB35" s="111">
        <v>-2</v>
      </c>
      <c r="AC35" s="216" t="s">
        <v>13</v>
      </c>
      <c r="AD35" s="7">
        <f t="shared" si="0"/>
        <v>0</v>
      </c>
      <c r="AE35" s="7">
        <f t="shared" si="1"/>
        <v>0</v>
      </c>
      <c r="AF35" s="81"/>
      <c r="AG35" s="217"/>
      <c r="AH35" s="74"/>
    </row>
    <row r="36" spans="1:34" s="218" customFormat="1" ht="39.75" customHeight="1" x14ac:dyDescent="0.35">
      <c r="A36" s="122" t="s">
        <v>652</v>
      </c>
      <c r="B36" s="193"/>
      <c r="C36" s="193"/>
      <c r="D36" s="184" t="e">
        <f>+VLOOKUP(C36,Convencionales!$K$4:$L$94,2,FALSE)</f>
        <v>#N/A</v>
      </c>
      <c r="E36" s="48"/>
      <c r="F36" s="48"/>
      <c r="G36" s="202"/>
      <c r="H36" s="200"/>
      <c r="I36" s="48"/>
      <c r="J36" s="177"/>
      <c r="K36" s="29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215">
        <v>0</v>
      </c>
      <c r="Y36" s="215">
        <v>0</v>
      </c>
      <c r="Z36" s="109"/>
      <c r="AA36" s="109"/>
      <c r="AB36" s="111">
        <v>-1</v>
      </c>
      <c r="AC36" s="216" t="s">
        <v>13</v>
      </c>
      <c r="AD36" s="7">
        <f t="shared" si="0"/>
        <v>0</v>
      </c>
      <c r="AE36" s="7">
        <f t="shared" si="1"/>
        <v>0</v>
      </c>
      <c r="AF36" s="81"/>
      <c r="AG36" s="217"/>
      <c r="AH36" s="74"/>
    </row>
    <row r="37" spans="1:34" s="218" customFormat="1" ht="39.75" customHeight="1" x14ac:dyDescent="0.35">
      <c r="A37" s="122" t="s">
        <v>653</v>
      </c>
      <c r="B37" s="193"/>
      <c r="C37" s="193"/>
      <c r="D37" s="184" t="e">
        <f>+VLOOKUP(C37,Convencionales!$K$4:$L$94,2,FALSE)</f>
        <v>#N/A</v>
      </c>
      <c r="E37" s="48"/>
      <c r="F37" s="48"/>
      <c r="G37" s="202"/>
      <c r="H37" s="200"/>
      <c r="I37" s="48"/>
      <c r="J37" s="177"/>
      <c r="K37" s="29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215">
        <v>0</v>
      </c>
      <c r="Y37" s="215">
        <v>0</v>
      </c>
      <c r="Z37" s="109"/>
      <c r="AA37" s="109"/>
      <c r="AB37" s="111">
        <v>0</v>
      </c>
      <c r="AC37" s="216" t="s">
        <v>13</v>
      </c>
      <c r="AD37" s="7">
        <f t="shared" si="0"/>
        <v>0</v>
      </c>
      <c r="AE37" s="7">
        <f t="shared" si="1"/>
        <v>0</v>
      </c>
      <c r="AF37" s="81"/>
      <c r="AG37" s="217"/>
      <c r="AH37" s="74"/>
    </row>
    <row r="38" spans="1:34" s="218" customFormat="1" ht="39.75" customHeight="1" x14ac:dyDescent="0.35">
      <c r="A38" s="122" t="s">
        <v>654</v>
      </c>
      <c r="B38" s="193"/>
      <c r="C38" s="193"/>
      <c r="D38" s="184" t="e">
        <f>+VLOOKUP(C38,Convencionales!$K$4:$L$94,2,FALSE)</f>
        <v>#N/A</v>
      </c>
      <c r="E38" s="48"/>
      <c r="F38" s="48"/>
      <c r="G38" s="202"/>
      <c r="H38" s="200"/>
      <c r="I38" s="48"/>
      <c r="J38" s="177"/>
      <c r="K38" s="29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215">
        <v>0</v>
      </c>
      <c r="Y38" s="215">
        <v>0</v>
      </c>
      <c r="Z38" s="109"/>
      <c r="AA38" s="109"/>
      <c r="AB38" s="111">
        <v>0</v>
      </c>
      <c r="AC38" s="216" t="s">
        <v>13</v>
      </c>
      <c r="AD38" s="7">
        <f t="shared" si="0"/>
        <v>0</v>
      </c>
      <c r="AE38" s="7">
        <f t="shared" si="1"/>
        <v>0</v>
      </c>
      <c r="AF38" s="81"/>
      <c r="AG38" s="217"/>
      <c r="AH38" s="74"/>
    </row>
    <row r="39" spans="1:34" s="218" customFormat="1" ht="39.75" customHeight="1" x14ac:dyDescent="0.35">
      <c r="A39" s="122" t="s">
        <v>655</v>
      </c>
      <c r="B39" s="193"/>
      <c r="C39" s="193"/>
      <c r="D39" s="184" t="e">
        <f>+VLOOKUP(C39,Convencionales!$K$4:$L$94,2,FALSE)</f>
        <v>#N/A</v>
      </c>
      <c r="E39" s="48"/>
      <c r="F39" s="48"/>
      <c r="G39" s="202"/>
      <c r="H39" s="200"/>
      <c r="I39" s="48"/>
      <c r="J39" s="177"/>
      <c r="K39" s="29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215">
        <v>0</v>
      </c>
      <c r="Y39" s="215">
        <v>0</v>
      </c>
      <c r="Z39" s="109"/>
      <c r="AA39" s="109"/>
      <c r="AB39" s="111">
        <v>0</v>
      </c>
      <c r="AC39" s="216" t="s">
        <v>13</v>
      </c>
      <c r="AD39" s="7">
        <f t="shared" si="0"/>
        <v>0</v>
      </c>
      <c r="AE39" s="7">
        <f t="shared" si="1"/>
        <v>0</v>
      </c>
      <c r="AF39" s="81"/>
      <c r="AG39" s="217"/>
      <c r="AH39" s="74"/>
    </row>
    <row r="40" spans="1:34" s="218" customFormat="1" ht="39.75" customHeight="1" x14ac:dyDescent="0.35">
      <c r="A40" s="122" t="s">
        <v>656</v>
      </c>
      <c r="B40" s="193"/>
      <c r="C40" s="193"/>
      <c r="D40" s="184" t="e">
        <f>+VLOOKUP(C40,Convencionales!$K$4:$L$94,2,FALSE)</f>
        <v>#N/A</v>
      </c>
      <c r="E40" s="48"/>
      <c r="F40" s="48"/>
      <c r="G40" s="202"/>
      <c r="H40" s="200"/>
      <c r="I40" s="48"/>
      <c r="J40" s="177"/>
      <c r="K40" s="29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215">
        <v>0</v>
      </c>
      <c r="Y40" s="215">
        <v>0</v>
      </c>
      <c r="Z40" s="109"/>
      <c r="AA40" s="109"/>
      <c r="AB40" s="111">
        <v>0</v>
      </c>
      <c r="AC40" s="216" t="s">
        <v>13</v>
      </c>
      <c r="AD40" s="7">
        <f t="shared" si="0"/>
        <v>0</v>
      </c>
      <c r="AE40" s="7">
        <f t="shared" si="1"/>
        <v>0</v>
      </c>
      <c r="AF40" s="81"/>
      <c r="AG40" s="217"/>
      <c r="AH40" s="74"/>
    </row>
    <row r="41" spans="1:34" s="218" customFormat="1" ht="39.75" customHeight="1" x14ac:dyDescent="0.35">
      <c r="A41" s="122" t="s">
        <v>657</v>
      </c>
      <c r="B41" s="193"/>
      <c r="C41" s="193"/>
      <c r="D41" s="184" t="e">
        <f>+VLOOKUP(C41,Convencionales!$K$4:$L$94,2,FALSE)</f>
        <v>#N/A</v>
      </c>
      <c r="E41" s="48"/>
      <c r="F41" s="48"/>
      <c r="G41" s="202"/>
      <c r="H41" s="200"/>
      <c r="I41" s="48"/>
      <c r="J41" s="177"/>
      <c r="K41" s="29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215">
        <v>0</v>
      </c>
      <c r="Y41" s="215">
        <v>0</v>
      </c>
      <c r="Z41" s="109"/>
      <c r="AA41" s="109"/>
      <c r="AB41" s="111">
        <v>0</v>
      </c>
      <c r="AC41" s="216" t="s">
        <v>13</v>
      </c>
      <c r="AD41" s="7">
        <f t="shared" si="0"/>
        <v>0</v>
      </c>
      <c r="AE41" s="7">
        <f t="shared" si="1"/>
        <v>0</v>
      </c>
      <c r="AF41" s="81"/>
      <c r="AG41" s="217"/>
      <c r="AH41" s="74"/>
    </row>
    <row r="42" spans="1:34" s="218" customFormat="1" ht="39.75" customHeight="1" x14ac:dyDescent="0.35">
      <c r="A42" s="122" t="s">
        <v>658</v>
      </c>
      <c r="B42" s="193"/>
      <c r="C42" s="193"/>
      <c r="D42" s="184" t="e">
        <f>+VLOOKUP(C42,Convencionales!$K$4:$L$94,2,FALSE)</f>
        <v>#N/A</v>
      </c>
      <c r="E42" s="48"/>
      <c r="F42" s="48"/>
      <c r="G42" s="202"/>
      <c r="H42" s="200"/>
      <c r="I42" s="48"/>
      <c r="J42" s="177"/>
      <c r="K42" s="29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215">
        <v>0</v>
      </c>
      <c r="Y42" s="215">
        <v>0</v>
      </c>
      <c r="Z42" s="109"/>
      <c r="AA42" s="109"/>
      <c r="AB42" s="111">
        <v>0</v>
      </c>
      <c r="AC42" s="216" t="s">
        <v>13</v>
      </c>
      <c r="AD42" s="7">
        <f t="shared" si="0"/>
        <v>0</v>
      </c>
      <c r="AE42" s="7">
        <f t="shared" si="1"/>
        <v>0</v>
      </c>
      <c r="AF42" s="81"/>
      <c r="AG42" s="217"/>
      <c r="AH42" s="74"/>
    </row>
    <row r="43" spans="1:34" ht="14.25" customHeight="1" x14ac:dyDescent="0.25">
      <c r="A43" s="195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20">
        <f>SUM(X7:X42)</f>
        <v>0</v>
      </c>
      <c r="Y43" s="220">
        <f>SUM(Y7:Y42)</f>
        <v>0</v>
      </c>
      <c r="Z43" s="221"/>
      <c r="AA43" s="221"/>
      <c r="AB43" s="222">
        <f>AVERAGE(AB7:AB42)</f>
        <v>-12.916666666666666</v>
      </c>
      <c r="AC43" s="198"/>
      <c r="AD43" s="223">
        <f>SUM(AD7:AD42)</f>
        <v>0</v>
      </c>
      <c r="AE43" s="223">
        <f>SUM(AE7:AE42)</f>
        <v>0</v>
      </c>
      <c r="AF43" s="198"/>
      <c r="AG43" s="223">
        <f>SUM(AG7:AG42)</f>
        <v>0</v>
      </c>
    </row>
    <row r="44" spans="1:34" ht="14.25" customHeight="1" x14ac:dyDescent="0.25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5"/>
      <c r="W44" s="195"/>
      <c r="X44" s="221"/>
      <c r="AA44" s="198"/>
      <c r="AB44" s="198"/>
      <c r="AC44" s="198"/>
      <c r="AD44" s="198"/>
    </row>
    <row r="45" spans="1:34" x14ac:dyDescent="0.25">
      <c r="AA45" s="198"/>
      <c r="AB45" s="198"/>
      <c r="AC45" s="198"/>
      <c r="AD45" s="198"/>
    </row>
  </sheetData>
  <sheetProtection algorithmName="SHA-512" hashValue="vPoHhzYvMZCz7/6zVtwPc+iFgJAPeC93uYslZPL5pHdgPrIZgYy5z2L6rGcaazPlMr8rbfC6Fs/pvXZikBgnug==" saltValue="npSaUP/BnEY07hEc9XIzBg==" spinCount="100000" sheet="1" objects="1" scenarios="1"/>
  <phoneticPr fontId="41" type="noConversion"/>
  <conditionalFormatting sqref="AD7:AE7">
    <cfRule type="containsText" dxfId="12" priority="7" operator="containsText" text="Sin comprobar">
      <formula>NOT(ISERROR(SEARCH("Sin comprobar",AD7)))</formula>
    </cfRule>
  </conditionalFormatting>
  <conditionalFormatting sqref="AC7">
    <cfRule type="containsText" dxfId="11" priority="5" operator="containsText" text="NO">
      <formula>NOT(ISERROR(SEARCH("NO",AC7)))</formula>
    </cfRule>
    <cfRule type="containsText" dxfId="10" priority="6" operator="containsText" text="SI">
      <formula>NOT(ISERROR(SEARCH("SI",AC7)))</formula>
    </cfRule>
  </conditionalFormatting>
  <conditionalFormatting sqref="AD8:AE42">
    <cfRule type="containsText" dxfId="9" priority="4" operator="containsText" text="Sin comprobar">
      <formula>NOT(ISERROR(SEARCH("Sin comprobar",AD8)))</formula>
    </cfRule>
  </conditionalFormatting>
  <conditionalFormatting sqref="AC8:AC42">
    <cfRule type="containsText" dxfId="8" priority="2" operator="containsText" text="NO">
      <formula>NOT(ISERROR(SEARCH("NO",AC8)))</formula>
    </cfRule>
    <cfRule type="containsText" dxfId="7" priority="3" operator="containsText" text="SI">
      <formula>NOT(ISERROR(SEARCH("SI",AC8)))</formula>
    </cfRule>
  </conditionalFormatting>
  <conditionalFormatting sqref="L7:W42">
    <cfRule type="containsText" dxfId="0" priority="1" operator="containsText" text="X">
      <formula>NOT(ISERROR(SEARCH("X",L7)))</formula>
    </cfRule>
  </conditionalFormatting>
  <dataValidations count="1">
    <dataValidation type="list" allowBlank="1" showInputMessage="1" showErrorMessage="1" sqref="C7:C42">
      <formula1>INDIRECT(B7)</formula1>
    </dataValidation>
  </dataValidations>
  <pageMargins left="0.7" right="0.7" top="0.75" bottom="0.75" header="0.3" footer="0.3"/>
  <pageSetup orientation="portrait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Convencionales!$A$20:$A$25</xm:f>
          </x14:formula1>
          <xm:sqref>K7:K42</xm:sqref>
        </x14:dataValidation>
        <x14:dataValidation type="list" allowBlank="1" showInputMessage="1" showErrorMessage="1">
          <x14:formula1>
            <xm:f>Convencionales!$O$79:$O$82</xm:f>
          </x14:formula1>
          <xm:sqref>J7:J42</xm:sqref>
        </x14:dataValidation>
        <x14:dataValidation type="list" allowBlank="1" showInputMessage="1" showErrorMessage="1">
          <x14:formula1>
            <xm:f>Convencionales!$I$4:$I$17</xm:f>
          </x14:formula1>
          <xm:sqref>B7:B42</xm:sqref>
        </x14:dataValidation>
        <x14:dataValidation type="list" allowBlank="1" showInputMessage="1" showErrorMessage="1">
          <x14:formula1>
            <xm:f>Convencionales!$B$6:$B$9</xm:f>
          </x14:formula1>
          <xm:sqref>AC7:AC42</xm:sqref>
        </x14:dataValidation>
        <x14:dataValidation type="list" allowBlank="1" showInputMessage="1" showErrorMessage="1">
          <x14:formula1>
            <xm:f>Convencionales!$B$10</xm:f>
          </x14:formula1>
          <xm:sqref>L7:W42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showGridLines="0" zoomScale="85" zoomScaleNormal="85" workbookViewId="0">
      <pane ySplit="1" topLeftCell="A2" activePane="bottomLeft" state="frozen"/>
      <selection pane="bottomLeft" activeCell="A2" sqref="A2"/>
    </sheetView>
  </sheetViews>
  <sheetFormatPr baseColWidth="10" defaultColWidth="11.453125" defaultRowHeight="14" x14ac:dyDescent="0.3"/>
  <cols>
    <col min="1" max="1" width="5.7265625" style="1" customWidth="1"/>
    <col min="2" max="2" width="41.1796875" style="1" customWidth="1"/>
    <col min="3" max="5" width="11.453125" style="1"/>
    <col min="6" max="7" width="15.54296875" style="1" customWidth="1"/>
    <col min="8" max="8" width="18.1796875" style="1" customWidth="1"/>
    <col min="9" max="10" width="16.453125" style="1" customWidth="1"/>
    <col min="11" max="11" width="35.81640625" style="1" customWidth="1"/>
    <col min="12" max="12" width="16.1796875" style="1" customWidth="1"/>
    <col min="13" max="13" width="39.7265625" style="1" customWidth="1"/>
    <col min="14" max="16384" width="11.453125" style="1"/>
  </cols>
  <sheetData>
    <row r="1" spans="1:13" ht="41.25" customHeight="1" x14ac:dyDescent="0.3">
      <c r="C1" s="70" t="s">
        <v>659</v>
      </c>
    </row>
    <row r="2" spans="1:13" ht="23.5" customHeight="1" x14ac:dyDescent="0.3">
      <c r="B2" s="275" t="s">
        <v>660</v>
      </c>
      <c r="C2" s="282" t="s">
        <v>661</v>
      </c>
      <c r="D2" s="282"/>
      <c r="E2" s="282"/>
      <c r="F2" s="269" t="s">
        <v>662</v>
      </c>
      <c r="G2" s="269"/>
      <c r="H2" s="175" t="s">
        <v>663</v>
      </c>
      <c r="I2" s="18"/>
      <c r="J2" s="18"/>
      <c r="K2" s="19"/>
      <c r="L2" s="78"/>
      <c r="M2" s="79"/>
    </row>
    <row r="3" spans="1:13" ht="30" customHeight="1" x14ac:dyDescent="0.3">
      <c r="B3" s="276"/>
      <c r="C3" s="282"/>
      <c r="D3" s="282"/>
      <c r="E3" s="282"/>
      <c r="F3" s="47" t="s">
        <v>522</v>
      </c>
      <c r="G3" s="46" t="s">
        <v>523</v>
      </c>
      <c r="H3" s="20" t="s">
        <v>524</v>
      </c>
      <c r="I3" s="20" t="s">
        <v>525</v>
      </c>
      <c r="J3" s="20" t="s">
        <v>526</v>
      </c>
      <c r="K3" s="21" t="s">
        <v>527</v>
      </c>
      <c r="L3" s="77" t="s">
        <v>528</v>
      </c>
      <c r="M3" s="77" t="s">
        <v>529</v>
      </c>
    </row>
    <row r="4" spans="1:13" ht="18" customHeight="1" x14ac:dyDescent="0.3">
      <c r="A4" s="274" t="s">
        <v>664</v>
      </c>
      <c r="B4" s="71"/>
      <c r="C4" s="271"/>
      <c r="D4" s="272"/>
      <c r="E4" s="273"/>
      <c r="F4" s="49"/>
      <c r="G4" s="49"/>
      <c r="H4" s="9" t="s">
        <v>13</v>
      </c>
      <c r="I4" s="7">
        <f t="shared" ref="I4:I10" si="0">IF(H4="SI",F4,IF(H4="NO",0,"Sin comprobar"))</f>
        <v>0</v>
      </c>
      <c r="J4" s="7">
        <f t="shared" ref="J4:J10" si="1">IF(H4="SI",G4,IF(H4="NO",0,"Sin comprobar"))</f>
        <v>0</v>
      </c>
      <c r="K4" s="81"/>
      <c r="L4" s="49"/>
      <c r="M4" s="80"/>
    </row>
    <row r="5" spans="1:13" ht="18" customHeight="1" x14ac:dyDescent="0.3">
      <c r="A5" s="274"/>
      <c r="B5" s="71"/>
      <c r="C5" s="271"/>
      <c r="D5" s="272"/>
      <c r="E5" s="273"/>
      <c r="F5" s="49"/>
      <c r="G5" s="49"/>
      <c r="H5" s="9" t="s">
        <v>13</v>
      </c>
      <c r="I5" s="7">
        <f t="shared" si="0"/>
        <v>0</v>
      </c>
      <c r="J5" s="7">
        <f t="shared" si="1"/>
        <v>0</v>
      </c>
      <c r="K5" s="81"/>
      <c r="L5" s="49"/>
      <c r="M5" s="80"/>
    </row>
    <row r="6" spans="1:13" ht="18" customHeight="1" x14ac:dyDescent="0.3">
      <c r="A6" s="274"/>
      <c r="B6" s="71"/>
      <c r="C6" s="271"/>
      <c r="D6" s="272"/>
      <c r="E6" s="273"/>
      <c r="F6" s="49"/>
      <c r="G6" s="49"/>
      <c r="H6" s="9" t="s">
        <v>13</v>
      </c>
      <c r="I6" s="7">
        <f t="shared" si="0"/>
        <v>0</v>
      </c>
      <c r="J6" s="7">
        <f t="shared" si="1"/>
        <v>0</v>
      </c>
      <c r="K6" s="81"/>
      <c r="L6" s="49"/>
      <c r="M6" s="80"/>
    </row>
    <row r="7" spans="1:13" ht="18" customHeight="1" x14ac:dyDescent="0.3">
      <c r="A7" s="274"/>
      <c r="B7" s="71"/>
      <c r="C7" s="271"/>
      <c r="D7" s="272"/>
      <c r="E7" s="273"/>
      <c r="F7" s="49"/>
      <c r="G7" s="49"/>
      <c r="H7" s="9" t="s">
        <v>13</v>
      </c>
      <c r="I7" s="7">
        <f t="shared" si="0"/>
        <v>0</v>
      </c>
      <c r="J7" s="7">
        <f t="shared" si="1"/>
        <v>0</v>
      </c>
      <c r="K7" s="81"/>
      <c r="L7" s="49"/>
      <c r="M7" s="80"/>
    </row>
    <row r="8" spans="1:13" ht="18" customHeight="1" x14ac:dyDescent="0.3">
      <c r="A8" s="274"/>
      <c r="B8" s="71"/>
      <c r="C8" s="271"/>
      <c r="D8" s="272"/>
      <c r="E8" s="273"/>
      <c r="F8" s="49"/>
      <c r="G8" s="49"/>
      <c r="H8" s="9" t="s">
        <v>13</v>
      </c>
      <c r="I8" s="7">
        <f t="shared" si="0"/>
        <v>0</v>
      </c>
      <c r="J8" s="7">
        <f t="shared" si="1"/>
        <v>0</v>
      </c>
      <c r="K8" s="81"/>
      <c r="L8" s="49"/>
      <c r="M8" s="80"/>
    </row>
    <row r="9" spans="1:13" ht="18" customHeight="1" x14ac:dyDescent="0.3">
      <c r="A9" s="274"/>
      <c r="B9" s="71"/>
      <c r="C9" s="271"/>
      <c r="D9" s="272"/>
      <c r="E9" s="273"/>
      <c r="F9" s="49"/>
      <c r="G9" s="49"/>
      <c r="H9" s="9" t="s">
        <v>13</v>
      </c>
      <c r="I9" s="7">
        <f t="shared" si="0"/>
        <v>0</v>
      </c>
      <c r="J9" s="7">
        <f t="shared" si="1"/>
        <v>0</v>
      </c>
      <c r="K9" s="81"/>
      <c r="L9" s="49"/>
      <c r="M9" s="80"/>
    </row>
    <row r="10" spans="1:13" ht="18" customHeight="1" x14ac:dyDescent="0.3">
      <c r="A10" s="274"/>
      <c r="B10" s="71"/>
      <c r="C10" s="271"/>
      <c r="D10" s="272"/>
      <c r="E10" s="273"/>
      <c r="F10" s="49"/>
      <c r="G10" s="49"/>
      <c r="H10" s="9" t="s">
        <v>13</v>
      </c>
      <c r="I10" s="7">
        <f t="shared" si="0"/>
        <v>0</v>
      </c>
      <c r="J10" s="7">
        <f t="shared" si="1"/>
        <v>0</v>
      </c>
      <c r="K10" s="81"/>
      <c r="L10" s="49"/>
      <c r="M10" s="80"/>
    </row>
    <row r="11" spans="1:13" ht="18" customHeight="1" x14ac:dyDescent="0.3">
      <c r="A11" s="274"/>
      <c r="B11" s="71"/>
      <c r="C11" s="271"/>
      <c r="D11" s="272"/>
      <c r="E11" s="273"/>
      <c r="F11" s="49"/>
      <c r="G11" s="49"/>
      <c r="H11" s="9" t="s">
        <v>13</v>
      </c>
      <c r="I11" s="7">
        <f t="shared" ref="I11:I13" si="2">IF(H11="SI",F11,IF(H11="NO",0,"Sin comprobar"))</f>
        <v>0</v>
      </c>
      <c r="J11" s="7">
        <f t="shared" ref="J11:J13" si="3">IF(H11="SI",G11,IF(H11="NO",0,"Sin comprobar"))</f>
        <v>0</v>
      </c>
      <c r="K11" s="81"/>
      <c r="L11" s="49"/>
      <c r="M11" s="80"/>
    </row>
    <row r="12" spans="1:13" ht="18" customHeight="1" x14ac:dyDescent="0.3">
      <c r="A12" s="274"/>
      <c r="B12" s="71"/>
      <c r="C12" s="271"/>
      <c r="D12" s="272"/>
      <c r="E12" s="273"/>
      <c r="F12" s="49"/>
      <c r="G12" s="49"/>
      <c r="H12" s="9" t="s">
        <v>13</v>
      </c>
      <c r="I12" s="7">
        <f t="shared" si="2"/>
        <v>0</v>
      </c>
      <c r="J12" s="7">
        <f t="shared" si="3"/>
        <v>0</v>
      </c>
      <c r="K12" s="81"/>
      <c r="L12" s="49"/>
      <c r="M12" s="80"/>
    </row>
    <row r="13" spans="1:13" ht="18" customHeight="1" x14ac:dyDescent="0.3">
      <c r="A13" s="274"/>
      <c r="B13" s="71"/>
      <c r="C13" s="271"/>
      <c r="D13" s="272"/>
      <c r="E13" s="273"/>
      <c r="F13" s="49"/>
      <c r="G13" s="49"/>
      <c r="H13" s="9" t="s">
        <v>13</v>
      </c>
      <c r="I13" s="7">
        <f t="shared" si="2"/>
        <v>0</v>
      </c>
      <c r="J13" s="7">
        <f t="shared" si="3"/>
        <v>0</v>
      </c>
      <c r="K13" s="81"/>
      <c r="L13" s="49"/>
      <c r="M13" s="80"/>
    </row>
    <row r="14" spans="1:13" x14ac:dyDescent="0.3">
      <c r="B14" s="69"/>
      <c r="C14" s="283"/>
      <c r="D14" s="284"/>
      <c r="E14" s="285"/>
      <c r="F14" s="66">
        <f>SUM(F4:F13)</f>
        <v>0</v>
      </c>
      <c r="G14" s="66">
        <f>SUM(G4:G13)</f>
        <v>0</v>
      </c>
      <c r="H14" s="67"/>
      <c r="I14" s="68">
        <f>SUM(I4:I13)</f>
        <v>0</v>
      </c>
      <c r="J14" s="68">
        <f>SUM(J4:J13)</f>
        <v>0</v>
      </c>
      <c r="K14" s="84"/>
      <c r="L14" s="82">
        <f>SUM(L4:L13)</f>
        <v>0</v>
      </c>
      <c r="M14" s="54"/>
    </row>
    <row r="15" spans="1:13" x14ac:dyDescent="0.3">
      <c r="B15" s="50"/>
      <c r="C15" s="50"/>
      <c r="D15" s="50"/>
    </row>
    <row r="17" spans="1:13" ht="26.15" customHeight="1" x14ac:dyDescent="0.3">
      <c r="B17" s="280" t="s">
        <v>665</v>
      </c>
      <c r="C17" s="281" t="s">
        <v>661</v>
      </c>
      <c r="D17" s="281"/>
      <c r="E17" s="281"/>
      <c r="F17" s="269" t="s">
        <v>662</v>
      </c>
      <c r="G17" s="269"/>
      <c r="H17" s="175" t="s">
        <v>663</v>
      </c>
      <c r="I17" s="18"/>
      <c r="J17" s="18"/>
      <c r="K17" s="19"/>
      <c r="L17" s="78"/>
      <c r="M17" s="79"/>
    </row>
    <row r="18" spans="1:13" ht="30" customHeight="1" x14ac:dyDescent="0.3">
      <c r="B18" s="280"/>
      <c r="C18" s="281"/>
      <c r="D18" s="281"/>
      <c r="E18" s="281"/>
      <c r="F18" s="47" t="s">
        <v>522</v>
      </c>
      <c r="G18" s="46" t="s">
        <v>523</v>
      </c>
      <c r="H18" s="20" t="s">
        <v>524</v>
      </c>
      <c r="I18" s="20" t="s">
        <v>525</v>
      </c>
      <c r="J18" s="20" t="s">
        <v>526</v>
      </c>
      <c r="K18" s="21" t="s">
        <v>527</v>
      </c>
      <c r="L18" s="77" t="s">
        <v>528</v>
      </c>
      <c r="M18" s="77" t="s">
        <v>529</v>
      </c>
    </row>
    <row r="19" spans="1:13" ht="18" customHeight="1" x14ac:dyDescent="0.3">
      <c r="A19" s="277" t="s">
        <v>666</v>
      </c>
      <c r="B19" s="71"/>
      <c r="C19" s="271"/>
      <c r="D19" s="272"/>
      <c r="E19" s="273"/>
      <c r="F19" s="49"/>
      <c r="G19" s="49"/>
      <c r="H19" s="9" t="s">
        <v>13</v>
      </c>
      <c r="I19" s="7">
        <f t="shared" ref="I19:I28" si="4">IF(H19="SI",F19,IF(H19="NO",0,"Sin comprobar"))</f>
        <v>0</v>
      </c>
      <c r="J19" s="7">
        <f t="shared" ref="J19:J28" si="5">IF(H19="SI",G19,IF(H19="NO",0,"Sin comprobar"))</f>
        <v>0</v>
      </c>
      <c r="K19" s="81"/>
      <c r="L19" s="49"/>
      <c r="M19" s="80"/>
    </row>
    <row r="20" spans="1:13" ht="18" customHeight="1" x14ac:dyDescent="0.3">
      <c r="A20" s="277"/>
      <c r="B20" s="71"/>
      <c r="C20" s="271"/>
      <c r="D20" s="272"/>
      <c r="E20" s="273"/>
      <c r="F20" s="49"/>
      <c r="G20" s="49"/>
      <c r="H20" s="9" t="s">
        <v>13</v>
      </c>
      <c r="I20" s="7">
        <f t="shared" si="4"/>
        <v>0</v>
      </c>
      <c r="J20" s="7">
        <f t="shared" si="5"/>
        <v>0</v>
      </c>
      <c r="K20" s="81"/>
      <c r="L20" s="49"/>
      <c r="M20" s="80"/>
    </row>
    <row r="21" spans="1:13" ht="18" customHeight="1" x14ac:dyDescent="0.3">
      <c r="A21" s="277"/>
      <c r="B21" s="71"/>
      <c r="C21" s="271"/>
      <c r="D21" s="272"/>
      <c r="E21" s="273"/>
      <c r="F21" s="49"/>
      <c r="G21" s="49"/>
      <c r="H21" s="9" t="s">
        <v>13</v>
      </c>
      <c r="I21" s="7">
        <f t="shared" si="4"/>
        <v>0</v>
      </c>
      <c r="J21" s="7">
        <f t="shared" si="5"/>
        <v>0</v>
      </c>
      <c r="K21" s="81"/>
      <c r="L21" s="49"/>
      <c r="M21" s="80"/>
    </row>
    <row r="22" spans="1:13" ht="18" customHeight="1" x14ac:dyDescent="0.3">
      <c r="A22" s="277"/>
      <c r="B22" s="71"/>
      <c r="C22" s="271"/>
      <c r="D22" s="272"/>
      <c r="E22" s="273"/>
      <c r="F22" s="49"/>
      <c r="G22" s="49"/>
      <c r="H22" s="9" t="s">
        <v>13</v>
      </c>
      <c r="I22" s="7">
        <f t="shared" si="4"/>
        <v>0</v>
      </c>
      <c r="J22" s="7">
        <f t="shared" si="5"/>
        <v>0</v>
      </c>
      <c r="K22" s="81"/>
      <c r="L22" s="49"/>
      <c r="M22" s="80"/>
    </row>
    <row r="23" spans="1:13" ht="18" customHeight="1" x14ac:dyDescent="0.3">
      <c r="A23" s="277"/>
      <c r="B23" s="71"/>
      <c r="C23" s="271"/>
      <c r="D23" s="272"/>
      <c r="E23" s="273"/>
      <c r="F23" s="49"/>
      <c r="G23" s="49"/>
      <c r="H23" s="9" t="s">
        <v>13</v>
      </c>
      <c r="I23" s="7">
        <f t="shared" si="4"/>
        <v>0</v>
      </c>
      <c r="J23" s="7">
        <f t="shared" si="5"/>
        <v>0</v>
      </c>
      <c r="K23" s="81"/>
      <c r="L23" s="49"/>
      <c r="M23" s="80"/>
    </row>
    <row r="24" spans="1:13" ht="18" customHeight="1" x14ac:dyDescent="0.3">
      <c r="A24" s="277"/>
      <c r="B24" s="71"/>
      <c r="C24" s="271"/>
      <c r="D24" s="272"/>
      <c r="E24" s="273"/>
      <c r="F24" s="49"/>
      <c r="G24" s="49"/>
      <c r="H24" s="9" t="s">
        <v>13</v>
      </c>
      <c r="I24" s="7">
        <f t="shared" si="4"/>
        <v>0</v>
      </c>
      <c r="J24" s="7">
        <f t="shared" si="5"/>
        <v>0</v>
      </c>
      <c r="K24" s="81"/>
      <c r="L24" s="49"/>
      <c r="M24" s="80"/>
    </row>
    <row r="25" spans="1:13" ht="18" customHeight="1" x14ac:dyDescent="0.3">
      <c r="A25" s="277"/>
      <c r="B25" s="71"/>
      <c r="C25" s="271"/>
      <c r="D25" s="272"/>
      <c r="E25" s="273"/>
      <c r="F25" s="49"/>
      <c r="G25" s="49"/>
      <c r="H25" s="9" t="s">
        <v>13</v>
      </c>
      <c r="I25" s="7">
        <f t="shared" si="4"/>
        <v>0</v>
      </c>
      <c r="J25" s="7">
        <f t="shared" si="5"/>
        <v>0</v>
      </c>
      <c r="K25" s="81"/>
      <c r="L25" s="49"/>
      <c r="M25" s="80"/>
    </row>
    <row r="26" spans="1:13" ht="18" customHeight="1" x14ac:dyDescent="0.3">
      <c r="A26" s="277"/>
      <c r="B26" s="71"/>
      <c r="C26" s="271"/>
      <c r="D26" s="272"/>
      <c r="E26" s="273"/>
      <c r="F26" s="49"/>
      <c r="G26" s="49"/>
      <c r="H26" s="9" t="s">
        <v>13</v>
      </c>
      <c r="I26" s="7">
        <f t="shared" si="4"/>
        <v>0</v>
      </c>
      <c r="J26" s="7">
        <f t="shared" si="5"/>
        <v>0</v>
      </c>
      <c r="K26" s="81"/>
      <c r="L26" s="49"/>
      <c r="M26" s="80"/>
    </row>
    <row r="27" spans="1:13" ht="18" customHeight="1" x14ac:dyDescent="0.3">
      <c r="A27" s="277"/>
      <c r="B27" s="71"/>
      <c r="C27" s="271"/>
      <c r="D27" s="272"/>
      <c r="E27" s="273"/>
      <c r="F27" s="49"/>
      <c r="G27" s="49"/>
      <c r="H27" s="9" t="s">
        <v>13</v>
      </c>
      <c r="I27" s="7">
        <f t="shared" si="4"/>
        <v>0</v>
      </c>
      <c r="J27" s="7">
        <f t="shared" si="5"/>
        <v>0</v>
      </c>
      <c r="K27" s="81"/>
      <c r="L27" s="49"/>
      <c r="M27" s="80"/>
    </row>
    <row r="28" spans="1:13" ht="18" customHeight="1" x14ac:dyDescent="0.3">
      <c r="A28" s="277"/>
      <c r="B28" s="71"/>
      <c r="C28" s="271"/>
      <c r="D28" s="272"/>
      <c r="E28" s="273"/>
      <c r="F28" s="49"/>
      <c r="G28" s="49"/>
      <c r="H28" s="9" t="s">
        <v>13</v>
      </c>
      <c r="I28" s="7">
        <f t="shared" si="4"/>
        <v>0</v>
      </c>
      <c r="J28" s="7">
        <f t="shared" si="5"/>
        <v>0</v>
      </c>
      <c r="K28" s="81"/>
      <c r="L28" s="49"/>
      <c r="M28" s="80"/>
    </row>
    <row r="29" spans="1:13" x14ac:dyDescent="0.3">
      <c r="B29" s="72"/>
      <c r="C29" s="266"/>
      <c r="D29" s="267"/>
      <c r="E29" s="268"/>
      <c r="F29" s="73">
        <f>SUM(F19:F28)</f>
        <v>0</v>
      </c>
      <c r="G29" s="73">
        <f>SUM(G19:G28)</f>
        <v>0</v>
      </c>
      <c r="H29" s="67"/>
      <c r="I29" s="68">
        <f>SUM(I19:I28)</f>
        <v>0</v>
      </c>
      <c r="J29" s="68">
        <f>SUM(J19:J28)</f>
        <v>0</v>
      </c>
      <c r="K29" s="67"/>
      <c r="L29" s="82">
        <f>SUM(L19:L28)</f>
        <v>0</v>
      </c>
      <c r="M29" s="54"/>
    </row>
    <row r="30" spans="1:13" x14ac:dyDescent="0.3">
      <c r="B30" s="50"/>
      <c r="C30" s="50"/>
    </row>
    <row r="31" spans="1:13" x14ac:dyDescent="0.3">
      <c r="B31" s="50"/>
      <c r="C31" s="50"/>
    </row>
    <row r="32" spans="1:13" ht="23.5" customHeight="1" x14ac:dyDescent="0.3">
      <c r="B32" s="278" t="s">
        <v>667</v>
      </c>
      <c r="C32" s="279" t="s">
        <v>661</v>
      </c>
      <c r="D32" s="279"/>
      <c r="E32" s="279"/>
      <c r="F32" s="269" t="s">
        <v>662</v>
      </c>
      <c r="G32" s="269"/>
      <c r="H32" s="175" t="s">
        <v>663</v>
      </c>
      <c r="I32" s="18"/>
      <c r="J32" s="18"/>
      <c r="K32" s="19"/>
      <c r="L32" s="78"/>
      <c r="M32" s="79"/>
    </row>
    <row r="33" spans="1:13" ht="30" customHeight="1" x14ac:dyDescent="0.3">
      <c r="B33" s="278"/>
      <c r="C33" s="279"/>
      <c r="D33" s="279"/>
      <c r="E33" s="279"/>
      <c r="F33" s="47" t="s">
        <v>522</v>
      </c>
      <c r="G33" s="46" t="s">
        <v>523</v>
      </c>
      <c r="H33" s="20" t="s">
        <v>524</v>
      </c>
      <c r="I33" s="20" t="s">
        <v>525</v>
      </c>
      <c r="J33" s="20" t="s">
        <v>526</v>
      </c>
      <c r="K33" s="21" t="s">
        <v>527</v>
      </c>
      <c r="L33" s="77" t="s">
        <v>528</v>
      </c>
      <c r="M33" s="77" t="s">
        <v>529</v>
      </c>
    </row>
    <row r="34" spans="1:13" ht="18" customHeight="1" x14ac:dyDescent="0.3">
      <c r="A34" s="270" t="s">
        <v>668</v>
      </c>
      <c r="B34" s="71"/>
      <c r="C34" s="271"/>
      <c r="D34" s="272"/>
      <c r="E34" s="273"/>
      <c r="F34" s="49"/>
      <c r="G34" s="49">
        <v>0</v>
      </c>
      <c r="H34" s="9" t="s">
        <v>13</v>
      </c>
      <c r="I34" s="7">
        <f t="shared" ref="I34:I43" si="6">IF(H34="SI",F34,IF(H34="NO",0,"Sin comprobar"))</f>
        <v>0</v>
      </c>
      <c r="J34" s="7">
        <f t="shared" ref="J34:J43" si="7">IF(H34="SI",G34,IF(H34="NO",0,"Sin comprobar"))</f>
        <v>0</v>
      </c>
      <c r="K34" s="81"/>
      <c r="L34" s="49"/>
      <c r="M34" s="80"/>
    </row>
    <row r="35" spans="1:13" ht="18" customHeight="1" x14ac:dyDescent="0.3">
      <c r="A35" s="270"/>
      <c r="B35" s="71"/>
      <c r="C35" s="271"/>
      <c r="D35" s="272"/>
      <c r="E35" s="273"/>
      <c r="F35" s="49"/>
      <c r="G35" s="49"/>
      <c r="H35" s="9" t="s">
        <v>13</v>
      </c>
      <c r="I35" s="7">
        <f t="shared" si="6"/>
        <v>0</v>
      </c>
      <c r="J35" s="7">
        <f t="shared" si="7"/>
        <v>0</v>
      </c>
      <c r="K35" s="81"/>
      <c r="L35" s="49"/>
      <c r="M35" s="80"/>
    </row>
    <row r="36" spans="1:13" ht="18" customHeight="1" x14ac:dyDescent="0.3">
      <c r="A36" s="270"/>
      <c r="B36" s="71"/>
      <c r="C36" s="271"/>
      <c r="D36" s="272"/>
      <c r="E36" s="273"/>
      <c r="F36" s="49"/>
      <c r="G36" s="49"/>
      <c r="H36" s="9" t="s">
        <v>13</v>
      </c>
      <c r="I36" s="7">
        <f t="shared" si="6"/>
        <v>0</v>
      </c>
      <c r="J36" s="7">
        <f t="shared" si="7"/>
        <v>0</v>
      </c>
      <c r="K36" s="81"/>
      <c r="L36" s="49"/>
      <c r="M36" s="80"/>
    </row>
    <row r="37" spans="1:13" ht="18" customHeight="1" x14ac:dyDescent="0.3">
      <c r="A37" s="270"/>
      <c r="B37" s="71"/>
      <c r="C37" s="271"/>
      <c r="D37" s="272"/>
      <c r="E37" s="273"/>
      <c r="F37" s="49"/>
      <c r="G37" s="49"/>
      <c r="H37" s="9" t="s">
        <v>13</v>
      </c>
      <c r="I37" s="7">
        <f t="shared" si="6"/>
        <v>0</v>
      </c>
      <c r="J37" s="7">
        <f t="shared" si="7"/>
        <v>0</v>
      </c>
      <c r="K37" s="81"/>
      <c r="L37" s="49"/>
      <c r="M37" s="80"/>
    </row>
    <row r="38" spans="1:13" ht="18" customHeight="1" x14ac:dyDescent="0.3">
      <c r="A38" s="270"/>
      <c r="B38" s="71"/>
      <c r="C38" s="271"/>
      <c r="D38" s="272"/>
      <c r="E38" s="273"/>
      <c r="F38" s="49"/>
      <c r="G38" s="49"/>
      <c r="H38" s="9" t="s">
        <v>13</v>
      </c>
      <c r="I38" s="7">
        <f t="shared" si="6"/>
        <v>0</v>
      </c>
      <c r="J38" s="7">
        <f t="shared" si="7"/>
        <v>0</v>
      </c>
      <c r="K38" s="81"/>
      <c r="L38" s="49"/>
      <c r="M38" s="80"/>
    </row>
    <row r="39" spans="1:13" ht="18" customHeight="1" x14ac:dyDescent="0.3">
      <c r="A39" s="270"/>
      <c r="B39" s="71"/>
      <c r="C39" s="271"/>
      <c r="D39" s="272"/>
      <c r="E39" s="273"/>
      <c r="F39" s="49"/>
      <c r="G39" s="49"/>
      <c r="H39" s="9" t="s">
        <v>13</v>
      </c>
      <c r="I39" s="7">
        <f t="shared" si="6"/>
        <v>0</v>
      </c>
      <c r="J39" s="7">
        <f t="shared" si="7"/>
        <v>0</v>
      </c>
      <c r="K39" s="81"/>
      <c r="L39" s="49"/>
      <c r="M39" s="80"/>
    </row>
    <row r="40" spans="1:13" ht="18" customHeight="1" x14ac:dyDescent="0.3">
      <c r="A40" s="270"/>
      <c r="B40" s="71"/>
      <c r="C40" s="271"/>
      <c r="D40" s="272"/>
      <c r="E40" s="273"/>
      <c r="F40" s="49"/>
      <c r="G40" s="49"/>
      <c r="H40" s="9" t="s">
        <v>13</v>
      </c>
      <c r="I40" s="7">
        <f t="shared" si="6"/>
        <v>0</v>
      </c>
      <c r="J40" s="7">
        <f t="shared" si="7"/>
        <v>0</v>
      </c>
      <c r="K40" s="81"/>
      <c r="L40" s="49"/>
      <c r="M40" s="80"/>
    </row>
    <row r="41" spans="1:13" ht="18" customHeight="1" x14ac:dyDescent="0.3">
      <c r="A41" s="270"/>
      <c r="B41" s="71"/>
      <c r="C41" s="271"/>
      <c r="D41" s="272"/>
      <c r="E41" s="273"/>
      <c r="F41" s="49"/>
      <c r="G41" s="49"/>
      <c r="H41" s="9" t="s">
        <v>13</v>
      </c>
      <c r="I41" s="7">
        <f t="shared" si="6"/>
        <v>0</v>
      </c>
      <c r="J41" s="7">
        <f t="shared" si="7"/>
        <v>0</v>
      </c>
      <c r="K41" s="81"/>
      <c r="L41" s="49"/>
      <c r="M41" s="80"/>
    </row>
    <row r="42" spans="1:13" ht="18" customHeight="1" x14ac:dyDescent="0.3">
      <c r="A42" s="270"/>
      <c r="B42" s="71"/>
      <c r="C42" s="271"/>
      <c r="D42" s="272"/>
      <c r="E42" s="273"/>
      <c r="F42" s="49"/>
      <c r="G42" s="49"/>
      <c r="H42" s="9" t="s">
        <v>13</v>
      </c>
      <c r="I42" s="7">
        <f t="shared" si="6"/>
        <v>0</v>
      </c>
      <c r="J42" s="7">
        <f t="shared" si="7"/>
        <v>0</v>
      </c>
      <c r="K42" s="81"/>
      <c r="L42" s="49"/>
      <c r="M42" s="80"/>
    </row>
    <row r="43" spans="1:13" ht="18" customHeight="1" x14ac:dyDescent="0.3">
      <c r="A43" s="270"/>
      <c r="B43" s="71"/>
      <c r="C43" s="271"/>
      <c r="D43" s="272"/>
      <c r="E43" s="273"/>
      <c r="F43" s="49"/>
      <c r="G43" s="49"/>
      <c r="H43" s="9" t="s">
        <v>13</v>
      </c>
      <c r="I43" s="7">
        <f t="shared" si="6"/>
        <v>0</v>
      </c>
      <c r="J43" s="7">
        <f t="shared" si="7"/>
        <v>0</v>
      </c>
      <c r="K43" s="81"/>
      <c r="L43" s="49"/>
      <c r="M43" s="80"/>
    </row>
    <row r="44" spans="1:13" x14ac:dyDescent="0.3">
      <c r="B44" s="72"/>
      <c r="C44" s="266"/>
      <c r="D44" s="267"/>
      <c r="E44" s="268"/>
      <c r="F44" s="73">
        <f>SUM(F34:F43)</f>
        <v>0</v>
      </c>
      <c r="G44" s="73">
        <f>SUM(G34:G43)</f>
        <v>0</v>
      </c>
      <c r="H44" s="67"/>
      <c r="I44" s="68">
        <f>SUM(I34:I43)</f>
        <v>0</v>
      </c>
      <c r="J44" s="68">
        <f>SUM(J34:J43)</f>
        <v>0</v>
      </c>
      <c r="K44" s="67"/>
      <c r="L44" s="82">
        <f>SUM(L34:L43)</f>
        <v>0</v>
      </c>
      <c r="M44" s="54"/>
    </row>
    <row r="45" spans="1:13" x14ac:dyDescent="0.3">
      <c r="B45" s="50"/>
      <c r="C45" s="50"/>
      <c r="D45" s="50"/>
    </row>
    <row r="46" spans="1:13" x14ac:dyDescent="0.3">
      <c r="B46" s="50"/>
      <c r="C46" s="50"/>
      <c r="D46" s="50"/>
    </row>
  </sheetData>
  <mergeCells count="45">
    <mergeCell ref="F2:G2"/>
    <mergeCell ref="C2:E3"/>
    <mergeCell ref="C4:E4"/>
    <mergeCell ref="C7:E7"/>
    <mergeCell ref="C14:E14"/>
    <mergeCell ref="C12:E12"/>
    <mergeCell ref="C13:E13"/>
    <mergeCell ref="C8:E8"/>
    <mergeCell ref="C9:E9"/>
    <mergeCell ref="C10:E10"/>
    <mergeCell ref="C11:E11"/>
    <mergeCell ref="F17:G17"/>
    <mergeCell ref="C19:E19"/>
    <mergeCell ref="C20:E20"/>
    <mergeCell ref="B17:B18"/>
    <mergeCell ref="C17:E18"/>
    <mergeCell ref="A4:A13"/>
    <mergeCell ref="B2:B3"/>
    <mergeCell ref="A19:A28"/>
    <mergeCell ref="B32:B33"/>
    <mergeCell ref="C32:E33"/>
    <mergeCell ref="C27:E27"/>
    <mergeCell ref="C28:E28"/>
    <mergeCell ref="C29:E29"/>
    <mergeCell ref="C24:E24"/>
    <mergeCell ref="C25:E25"/>
    <mergeCell ref="C26:E26"/>
    <mergeCell ref="C21:E21"/>
    <mergeCell ref="C22:E22"/>
    <mergeCell ref="C23:E23"/>
    <mergeCell ref="C5:E5"/>
    <mergeCell ref="C6:E6"/>
    <mergeCell ref="C44:E44"/>
    <mergeCell ref="F32:G32"/>
    <mergeCell ref="A34:A4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</mergeCells>
  <conditionalFormatting sqref="I4:J13">
    <cfRule type="containsText" dxfId="6" priority="3" operator="containsText" text="Sin comprobar">
      <formula>NOT(ISERROR(SEARCH("Sin comprobar",I4)))</formula>
    </cfRule>
  </conditionalFormatting>
  <conditionalFormatting sqref="I19:J28">
    <cfRule type="containsText" dxfId="5" priority="2" operator="containsText" text="Sin comprobar">
      <formula>NOT(ISERROR(SEARCH("Sin comprobar",I19)))</formula>
    </cfRule>
  </conditionalFormatting>
  <conditionalFormatting sqref="I34:J43">
    <cfRule type="containsText" dxfId="4" priority="1" operator="containsText" text="Sin comprobar">
      <formula>NOT(ISERROR(SEARCH("Sin comprobar",I34)))</formula>
    </cfRule>
  </conditionalFormatting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Convencionales!$B$3:$B$4</xm:f>
          </x14:formula1>
          <xm:sqref>H19:H28 H4:H13 H34:H43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61"/>
  <sheetViews>
    <sheetView showGridLines="0" zoomScale="85" zoomScaleNormal="85" zoomScaleSheetLayoutView="90" workbookViewId="0"/>
  </sheetViews>
  <sheetFormatPr baseColWidth="10" defaultColWidth="11.453125" defaultRowHeight="12.5" x14ac:dyDescent="0.25"/>
  <cols>
    <col min="1" max="1" width="3.81640625" style="2" customWidth="1"/>
    <col min="2" max="2" width="11.1796875" style="2" customWidth="1"/>
    <col min="3" max="4" width="12" style="2" customWidth="1"/>
    <col min="5" max="5" width="16.26953125" style="2" bestFit="1" customWidth="1"/>
    <col min="6" max="11" width="18" style="2" customWidth="1"/>
    <col min="12" max="12" width="3.81640625" style="2" customWidth="1"/>
    <col min="13" max="13" width="3.453125" style="2" customWidth="1"/>
    <col min="14" max="14" width="13.7265625" style="2" customWidth="1"/>
    <col min="15" max="16384" width="11.453125" style="2"/>
  </cols>
  <sheetData>
    <row r="2" spans="2:11" s="6" customFormat="1" ht="23.25" customHeight="1" x14ac:dyDescent="0.35">
      <c r="B2" s="289" t="s">
        <v>669</v>
      </c>
      <c r="C2" s="289"/>
      <c r="D2" s="289"/>
      <c r="E2" s="289"/>
      <c r="F2" s="289"/>
      <c r="G2" s="289"/>
      <c r="H2" s="289"/>
      <c r="I2" s="289"/>
      <c r="J2" s="289"/>
      <c r="K2" s="289"/>
    </row>
    <row r="3" spans="2:11" ht="18" customHeight="1" x14ac:dyDescent="0.25">
      <c r="B3" s="290" t="s">
        <v>670</v>
      </c>
      <c r="C3" s="290"/>
      <c r="D3" s="290"/>
      <c r="E3" s="290"/>
      <c r="F3" s="290"/>
      <c r="G3" s="290"/>
      <c r="H3" s="290"/>
      <c r="I3" s="290"/>
      <c r="J3" s="290"/>
      <c r="K3" s="290"/>
    </row>
    <row r="4" spans="2:11" ht="18" customHeight="1" x14ac:dyDescent="0.25">
      <c r="B4" s="290" t="s">
        <v>671</v>
      </c>
      <c r="C4" s="290"/>
      <c r="D4" s="290"/>
      <c r="E4" s="290"/>
      <c r="F4" s="290"/>
      <c r="G4" s="290"/>
      <c r="H4" s="290"/>
      <c r="I4" s="290"/>
      <c r="J4" s="290"/>
      <c r="K4" s="290"/>
    </row>
    <row r="5" spans="2:11" x14ac:dyDescent="0.25">
      <c r="B5" s="52"/>
      <c r="C5" s="52"/>
      <c r="D5" s="52"/>
      <c r="E5" s="52"/>
      <c r="F5" s="52"/>
      <c r="G5" s="52"/>
      <c r="H5" s="52"/>
    </row>
    <row r="6" spans="2:11" x14ac:dyDescent="0.25">
      <c r="B6" s="8" t="s">
        <v>512</v>
      </c>
    </row>
    <row r="7" spans="2:11" ht="3.75" customHeight="1" x14ac:dyDescent="0.25"/>
    <row r="8" spans="2:11" ht="18.75" customHeight="1" x14ac:dyDescent="0.25">
      <c r="B8" s="286">
        <f>INI!D18</f>
        <v>0</v>
      </c>
      <c r="C8" s="287"/>
      <c r="D8" s="287"/>
      <c r="E8" s="287"/>
      <c r="F8" s="288"/>
    </row>
    <row r="9" spans="2:11" ht="6" customHeight="1" x14ac:dyDescent="0.25"/>
    <row r="10" spans="2:11" x14ac:dyDescent="0.25">
      <c r="B10" s="8" t="s">
        <v>513</v>
      </c>
    </row>
    <row r="11" spans="2:11" ht="3.75" customHeight="1" x14ac:dyDescent="0.25"/>
    <row r="12" spans="2:11" ht="18.75" customHeight="1" x14ac:dyDescent="0.25">
      <c r="B12" s="286">
        <f>INI!D20</f>
        <v>0</v>
      </c>
      <c r="C12" s="287"/>
      <c r="D12" s="287"/>
      <c r="E12" s="287"/>
      <c r="F12" s="288"/>
    </row>
    <row r="13" spans="2:11" ht="6" customHeight="1" x14ac:dyDescent="0.25"/>
    <row r="14" spans="2:11" x14ac:dyDescent="0.25">
      <c r="B14" s="8" t="s">
        <v>514</v>
      </c>
    </row>
    <row r="15" spans="2:11" ht="3.75" customHeight="1" x14ac:dyDescent="0.25"/>
    <row r="16" spans="2:11" ht="18.75" customHeight="1" x14ac:dyDescent="0.25">
      <c r="B16" s="286">
        <f>INI!D22</f>
        <v>0</v>
      </c>
      <c r="C16" s="287"/>
      <c r="D16" s="287"/>
      <c r="E16" s="287"/>
      <c r="F16" s="288"/>
    </row>
    <row r="18" spans="2:11" x14ac:dyDescent="0.25">
      <c r="B18" s="26" t="s">
        <v>672</v>
      </c>
    </row>
    <row r="19" spans="2:11" x14ac:dyDescent="0.25">
      <c r="B19" s="26"/>
    </row>
    <row r="20" spans="2:11" x14ac:dyDescent="0.25">
      <c r="B20" s="8"/>
    </row>
    <row r="21" spans="2:11" x14ac:dyDescent="0.25">
      <c r="B21" s="27" t="s">
        <v>673</v>
      </c>
    </row>
    <row r="22" spans="2:11" ht="16.5" customHeight="1" x14ac:dyDescent="0.25">
      <c r="F22" s="57" t="s">
        <v>674</v>
      </c>
      <c r="G22" s="58"/>
      <c r="H22" s="59"/>
      <c r="I22" s="60" t="s">
        <v>675</v>
      </c>
      <c r="J22" s="61"/>
      <c r="K22" s="62"/>
    </row>
    <row r="23" spans="2:11" ht="26.25" customHeight="1" x14ac:dyDescent="0.25">
      <c r="B23" s="28" t="s">
        <v>676</v>
      </c>
      <c r="C23" s="29"/>
      <c r="D23" s="29"/>
      <c r="E23" s="29"/>
      <c r="F23" s="104" t="s">
        <v>522</v>
      </c>
      <c r="G23" s="16" t="s">
        <v>523</v>
      </c>
      <c r="H23" s="30" t="s">
        <v>677</v>
      </c>
      <c r="I23" s="104" t="s">
        <v>522</v>
      </c>
      <c r="J23" s="17" t="s">
        <v>523</v>
      </c>
      <c r="K23" s="30" t="s">
        <v>677</v>
      </c>
    </row>
    <row r="24" spans="2:11" s="6" customFormat="1" ht="23.25" customHeight="1" x14ac:dyDescent="0.35">
      <c r="B24" s="44" t="s">
        <v>678</v>
      </c>
      <c r="C24" s="45"/>
      <c r="D24" s="45"/>
      <c r="E24" s="89"/>
      <c r="F24" s="43">
        <f>ADM!I18</f>
        <v>0</v>
      </c>
      <c r="G24" s="43">
        <f>ADM!J18</f>
        <v>0</v>
      </c>
      <c r="H24" s="43">
        <f>SUM(F24:G24)</f>
        <v>0</v>
      </c>
      <c r="I24" s="43">
        <f>ADM!L18</f>
        <v>0</v>
      </c>
      <c r="J24" s="43">
        <f>ADM!M18</f>
        <v>0</v>
      </c>
      <c r="K24" s="43">
        <f>SUM(I24:J24)</f>
        <v>0</v>
      </c>
    </row>
    <row r="25" spans="2:11" s="6" customFormat="1" ht="15" customHeight="1" x14ac:dyDescent="0.35"/>
    <row r="26" spans="2:11" s="6" customFormat="1" ht="15" customHeight="1" x14ac:dyDescent="0.35"/>
    <row r="27" spans="2:11" ht="16.5" customHeight="1" x14ac:dyDescent="0.25">
      <c r="F27" s="57" t="s">
        <v>674</v>
      </c>
      <c r="G27" s="58"/>
      <c r="H27" s="59"/>
      <c r="I27" s="60" t="s">
        <v>675</v>
      </c>
      <c r="J27" s="61"/>
      <c r="K27" s="62"/>
    </row>
    <row r="28" spans="2:11" ht="26.25" customHeight="1" x14ac:dyDescent="0.25">
      <c r="B28" s="28" t="s">
        <v>676</v>
      </c>
      <c r="C28" s="29"/>
      <c r="D28" s="29"/>
      <c r="E28" s="29"/>
      <c r="F28" s="104" t="s">
        <v>522</v>
      </c>
      <c r="G28" s="16" t="s">
        <v>523</v>
      </c>
      <c r="H28" s="30" t="s">
        <v>677</v>
      </c>
      <c r="I28" s="104" t="s">
        <v>522</v>
      </c>
      <c r="J28" s="17" t="s">
        <v>523</v>
      </c>
      <c r="K28" s="30" t="s">
        <v>677</v>
      </c>
    </row>
    <row r="29" spans="2:11" s="6" customFormat="1" ht="16.5" customHeight="1" x14ac:dyDescent="0.35">
      <c r="B29" s="90" t="s">
        <v>679</v>
      </c>
      <c r="C29" s="91"/>
      <c r="D29" s="91"/>
      <c r="E29" s="92"/>
      <c r="F29" s="39">
        <f>PRE!F18</f>
        <v>0</v>
      </c>
      <c r="G29" s="39">
        <f>PRE!G18</f>
        <v>0</v>
      </c>
      <c r="H29" s="39">
        <f t="shared" ref="H29:H31" si="0">SUM(F29:G29)</f>
        <v>0</v>
      </c>
      <c r="I29" s="39">
        <f>PRE!I18</f>
        <v>0</v>
      </c>
      <c r="J29" s="39">
        <f>PRE!J18</f>
        <v>0</v>
      </c>
      <c r="K29" s="39">
        <f>SUM(I29:J29)</f>
        <v>0</v>
      </c>
    </row>
    <row r="30" spans="2:11" s="6" customFormat="1" ht="16.5" customHeight="1" x14ac:dyDescent="0.35">
      <c r="B30" s="90" t="s">
        <v>680</v>
      </c>
      <c r="C30" s="91"/>
      <c r="D30" s="91"/>
      <c r="E30" s="92"/>
      <c r="F30" s="39">
        <f>PRE!F33</f>
        <v>0</v>
      </c>
      <c r="G30" s="39">
        <f>PRE!G33</f>
        <v>0</v>
      </c>
      <c r="H30" s="39">
        <f t="shared" si="0"/>
        <v>0</v>
      </c>
      <c r="I30" s="39">
        <f>PRE!I33</f>
        <v>0</v>
      </c>
      <c r="J30" s="39">
        <f>PRE!J33</f>
        <v>0</v>
      </c>
      <c r="K30" s="39">
        <f t="shared" ref="K30:K31" si="1">SUM(I30:J30)</f>
        <v>0</v>
      </c>
    </row>
    <row r="31" spans="2:11" s="6" customFormat="1" ht="16.5" customHeight="1" x14ac:dyDescent="0.35">
      <c r="B31" s="90" t="s">
        <v>681</v>
      </c>
      <c r="C31" s="91"/>
      <c r="D31" s="91"/>
      <c r="E31" s="92"/>
      <c r="F31" s="39">
        <f>PRE!F48</f>
        <v>0</v>
      </c>
      <c r="G31" s="39">
        <f>PRE!G48</f>
        <v>0</v>
      </c>
      <c r="H31" s="39">
        <f t="shared" si="0"/>
        <v>0</v>
      </c>
      <c r="I31" s="39">
        <f>PRE!I48</f>
        <v>0</v>
      </c>
      <c r="J31" s="39">
        <f>PRE!J48</f>
        <v>0</v>
      </c>
      <c r="K31" s="39">
        <f t="shared" si="1"/>
        <v>0</v>
      </c>
    </row>
    <row r="32" spans="2:11" s="6" customFormat="1" ht="16.5" customHeight="1" x14ac:dyDescent="0.35">
      <c r="B32" s="90" t="s">
        <v>682</v>
      </c>
      <c r="C32" s="91"/>
      <c r="D32" s="91"/>
      <c r="E32" s="92"/>
      <c r="F32" s="39">
        <f>POS!G18</f>
        <v>0</v>
      </c>
      <c r="G32" s="39">
        <f>POS!H18</f>
        <v>0</v>
      </c>
      <c r="H32" s="39">
        <f t="shared" ref="H32" si="2">SUM(F32:G32)</f>
        <v>0</v>
      </c>
      <c r="I32" s="39">
        <f>POS!J18</f>
        <v>0</v>
      </c>
      <c r="J32" s="39">
        <f>POS!K18</f>
        <v>0</v>
      </c>
      <c r="K32" s="39">
        <f t="shared" ref="K32" si="3">SUM(I32:J32)</f>
        <v>0</v>
      </c>
    </row>
    <row r="33" spans="2:14" s="6" customFormat="1" ht="23.25" customHeight="1" x14ac:dyDescent="0.35">
      <c r="B33" s="44" t="s">
        <v>683</v>
      </c>
      <c r="C33" s="45"/>
      <c r="D33" s="45"/>
      <c r="E33" s="89"/>
      <c r="F33" s="42">
        <f>SUM(F29:F32)</f>
        <v>0</v>
      </c>
      <c r="G33" s="43">
        <f t="shared" ref="G33:K33" si="4">SUM(G29:G32)</f>
        <v>0</v>
      </c>
      <c r="H33" s="43">
        <f t="shared" si="4"/>
        <v>0</v>
      </c>
      <c r="I33" s="42">
        <f t="shared" si="4"/>
        <v>0</v>
      </c>
      <c r="J33" s="43">
        <f t="shared" si="4"/>
        <v>0</v>
      </c>
      <c r="K33" s="43">
        <f t="shared" si="4"/>
        <v>0</v>
      </c>
    </row>
    <row r="34" spans="2:14" s="6" customFormat="1" ht="15" customHeight="1" x14ac:dyDescent="0.35">
      <c r="B34" s="32"/>
      <c r="C34" s="32"/>
      <c r="D34" s="32"/>
      <c r="E34" s="32"/>
      <c r="F34" s="10"/>
      <c r="G34" s="10"/>
      <c r="H34" s="10"/>
    </row>
    <row r="35" spans="2:14" s="6" customFormat="1" ht="15" customHeight="1" x14ac:dyDescent="0.35">
      <c r="B35" s="32"/>
      <c r="C35" s="32"/>
      <c r="D35" s="32"/>
      <c r="E35" s="32"/>
      <c r="F35" s="10"/>
      <c r="G35" s="10"/>
      <c r="H35" s="10"/>
    </row>
    <row r="36" spans="2:14" s="6" customFormat="1" ht="14.25" customHeight="1" x14ac:dyDescent="0.35">
      <c r="B36" s="33" t="s">
        <v>684</v>
      </c>
      <c r="C36" s="32"/>
      <c r="D36" s="32"/>
      <c r="E36" s="32"/>
      <c r="F36" s="10"/>
      <c r="G36" s="10"/>
      <c r="H36" s="10"/>
    </row>
    <row r="37" spans="2:14" ht="16.5" customHeight="1" x14ac:dyDescent="0.25">
      <c r="F37" s="57" t="s">
        <v>674</v>
      </c>
      <c r="G37" s="58"/>
      <c r="H37" s="59"/>
      <c r="I37" s="60" t="s">
        <v>675</v>
      </c>
      <c r="J37" s="61"/>
      <c r="K37" s="62"/>
    </row>
    <row r="38" spans="2:14" s="6" customFormat="1" ht="26.25" customHeight="1" x14ac:dyDescent="0.35">
      <c r="B38" s="28" t="s">
        <v>676</v>
      </c>
      <c r="C38" s="29"/>
      <c r="D38" s="29"/>
      <c r="E38" s="29"/>
      <c r="F38" s="104" t="s">
        <v>522</v>
      </c>
      <c r="G38" s="11" t="s">
        <v>523</v>
      </c>
      <c r="H38" s="34" t="s">
        <v>677</v>
      </c>
      <c r="I38" s="104" t="s">
        <v>522</v>
      </c>
      <c r="J38" s="11" t="s">
        <v>523</v>
      </c>
      <c r="K38" s="35" t="s">
        <v>677</v>
      </c>
    </row>
    <row r="39" spans="2:14" s="6" customFormat="1" ht="16.5" customHeight="1" x14ac:dyDescent="0.35">
      <c r="B39" s="90" t="s">
        <v>685</v>
      </c>
      <c r="C39" s="94"/>
      <c r="D39" s="94"/>
      <c r="E39" s="94"/>
      <c r="F39" s="93">
        <f>+DOC!X43</f>
        <v>0</v>
      </c>
      <c r="G39" s="93">
        <f>+DOC!Y43</f>
        <v>0</v>
      </c>
      <c r="H39" s="93">
        <f t="shared" ref="H39:H42" si="5">SUM(F39:G39)</f>
        <v>0</v>
      </c>
      <c r="I39" s="93">
        <f>+DOC!AD43</f>
        <v>0</v>
      </c>
      <c r="J39" s="93">
        <f>+DOC!AE43</f>
        <v>0</v>
      </c>
      <c r="K39" s="93">
        <f t="shared" ref="K39:K42" si="6">SUM(I39:J39)</f>
        <v>0</v>
      </c>
    </row>
    <row r="40" spans="2:14" s="6" customFormat="1" ht="16.5" customHeight="1" x14ac:dyDescent="0.35">
      <c r="B40" s="90" t="s">
        <v>686</v>
      </c>
      <c r="C40" s="86"/>
      <c r="D40" s="86"/>
      <c r="E40" s="86"/>
      <c r="F40" s="87">
        <f>+INV!X43</f>
        <v>0</v>
      </c>
      <c r="G40" s="87">
        <f>+INV!Y43</f>
        <v>0</v>
      </c>
      <c r="H40" s="87">
        <f t="shared" si="5"/>
        <v>0</v>
      </c>
      <c r="I40" s="87">
        <f>+INV!AD43</f>
        <v>0</v>
      </c>
      <c r="J40" s="87">
        <f>+INV!AE43</f>
        <v>0</v>
      </c>
      <c r="K40" s="87">
        <f t="shared" si="6"/>
        <v>0</v>
      </c>
    </row>
    <row r="41" spans="2:14" s="6" customFormat="1" ht="16.5" customHeight="1" x14ac:dyDescent="0.35">
      <c r="B41" s="88" t="s">
        <v>687</v>
      </c>
      <c r="C41" s="86"/>
      <c r="D41" s="86"/>
      <c r="E41" s="86"/>
      <c r="F41" s="87">
        <f>+EXT!X43</f>
        <v>0</v>
      </c>
      <c r="G41" s="87">
        <f>+EXT!Y43</f>
        <v>0</v>
      </c>
      <c r="H41" s="87">
        <f t="shared" ref="H41" si="7">SUM(F41:G41)</f>
        <v>0</v>
      </c>
      <c r="I41" s="87">
        <f>+EXT!AD43</f>
        <v>0</v>
      </c>
      <c r="J41" s="87">
        <f>+EXT!AE43</f>
        <v>0</v>
      </c>
      <c r="K41" s="87">
        <f t="shared" ref="K41" si="8">SUM(I41:J41)</f>
        <v>0</v>
      </c>
    </row>
    <row r="42" spans="2:14" s="6" customFormat="1" ht="16.5" customHeight="1" x14ac:dyDescent="0.35">
      <c r="B42" s="95" t="s">
        <v>688</v>
      </c>
      <c r="C42" s="96"/>
      <c r="D42" s="96"/>
      <c r="E42" s="96"/>
      <c r="F42" s="87">
        <f>+COM!X43</f>
        <v>0</v>
      </c>
      <c r="G42" s="87">
        <f>+COM!Y43</f>
        <v>0</v>
      </c>
      <c r="H42" s="97">
        <f t="shared" si="5"/>
        <v>0</v>
      </c>
      <c r="I42" s="87">
        <f>+COM!AD43</f>
        <v>0</v>
      </c>
      <c r="J42" s="87">
        <f>+COM!AE43</f>
        <v>0</v>
      </c>
      <c r="K42" s="97">
        <f t="shared" si="6"/>
        <v>0</v>
      </c>
    </row>
    <row r="43" spans="2:14" s="6" customFormat="1" ht="23.25" customHeight="1" x14ac:dyDescent="0.35">
      <c r="B43" s="40" t="s">
        <v>689</v>
      </c>
      <c r="C43" s="41"/>
      <c r="D43" s="41"/>
      <c r="E43" s="41"/>
      <c r="F43" s="42">
        <f>SUM(F39:F42)</f>
        <v>0</v>
      </c>
      <c r="G43" s="43">
        <f t="shared" ref="G43:K43" si="9">SUM(G39:G42)</f>
        <v>0</v>
      </c>
      <c r="H43" s="43">
        <f t="shared" si="9"/>
        <v>0</v>
      </c>
      <c r="I43" s="43">
        <f t="shared" si="9"/>
        <v>0</v>
      </c>
      <c r="J43" s="43">
        <f t="shared" si="9"/>
        <v>0</v>
      </c>
      <c r="K43" s="43">
        <f t="shared" si="9"/>
        <v>0</v>
      </c>
    </row>
    <row r="44" spans="2:14" ht="15" customHeight="1" x14ac:dyDescent="0.25"/>
    <row r="45" spans="2:14" ht="15" customHeight="1" x14ac:dyDescent="0.25"/>
    <row r="46" spans="2:14" x14ac:dyDescent="0.25">
      <c r="B46" s="33" t="s">
        <v>664</v>
      </c>
    </row>
    <row r="47" spans="2:14" ht="16.5" customHeight="1" x14ac:dyDescent="0.25">
      <c r="F47" s="57" t="s">
        <v>674</v>
      </c>
      <c r="G47" s="58"/>
      <c r="H47" s="59"/>
      <c r="I47" s="60" t="s">
        <v>675</v>
      </c>
      <c r="J47" s="61"/>
      <c r="K47" s="62"/>
      <c r="N47" s="36"/>
    </row>
    <row r="48" spans="2:14" s="6" customFormat="1" ht="26.25" customHeight="1" x14ac:dyDescent="0.35">
      <c r="B48" s="28" t="s">
        <v>676</v>
      </c>
      <c r="C48" s="29"/>
      <c r="D48" s="29"/>
      <c r="E48" s="29"/>
      <c r="F48" s="104" t="s">
        <v>522</v>
      </c>
      <c r="G48" s="11" t="s">
        <v>523</v>
      </c>
      <c r="H48" s="34" t="s">
        <v>677</v>
      </c>
      <c r="I48" s="104" t="s">
        <v>522</v>
      </c>
      <c r="J48" s="11" t="s">
        <v>523</v>
      </c>
      <c r="K48" s="35" t="s">
        <v>677</v>
      </c>
    </row>
    <row r="49" spans="2:11" s="6" customFormat="1" ht="23.25" customHeight="1" x14ac:dyDescent="0.35">
      <c r="B49" s="40" t="s">
        <v>659</v>
      </c>
      <c r="C49" s="41"/>
      <c r="D49" s="41"/>
      <c r="E49" s="41"/>
      <c r="F49" s="42">
        <f>'M&amp;E'!I14</f>
        <v>0</v>
      </c>
      <c r="G49" s="42">
        <f>'M&amp;E'!J14</f>
        <v>0</v>
      </c>
      <c r="H49" s="43">
        <f>SUM(F49:G49)</f>
        <v>0</v>
      </c>
      <c r="I49" s="43">
        <f>'M&amp;E'!I14</f>
        <v>0</v>
      </c>
      <c r="J49" s="43">
        <f>'M&amp;E'!J14</f>
        <v>0</v>
      </c>
      <c r="K49" s="43">
        <f>SUM(I49:J49)</f>
        <v>0</v>
      </c>
    </row>
    <row r="50" spans="2:11" s="6" customFormat="1" ht="1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s="6" customFormat="1" ht="15" customHeight="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ht="16.5" customHeight="1" x14ac:dyDescent="0.25">
      <c r="F52" s="57" t="s">
        <v>674</v>
      </c>
      <c r="G52" s="58"/>
      <c r="H52" s="59"/>
      <c r="I52" s="60" t="s">
        <v>675</v>
      </c>
      <c r="J52" s="61"/>
      <c r="K52" s="62"/>
    </row>
    <row r="53" spans="2:11" ht="25" x14ac:dyDescent="0.25">
      <c r="B53" s="28"/>
      <c r="C53" s="29"/>
      <c r="D53" s="29"/>
      <c r="E53" s="29"/>
      <c r="F53" s="105" t="s">
        <v>522</v>
      </c>
      <c r="G53" s="63" t="s">
        <v>523</v>
      </c>
      <c r="H53" s="64" t="s">
        <v>677</v>
      </c>
      <c r="I53" s="105" t="s">
        <v>522</v>
      </c>
      <c r="J53" s="63" t="s">
        <v>523</v>
      </c>
      <c r="K53" s="65" t="s">
        <v>677</v>
      </c>
    </row>
    <row r="54" spans="2:11" ht="17.25" customHeight="1" x14ac:dyDescent="0.25">
      <c r="B54" s="31" t="s">
        <v>690</v>
      </c>
      <c r="C54" s="37"/>
      <c r="D54" s="37"/>
      <c r="E54" s="37"/>
      <c r="F54" s="133">
        <f>F24+F33+F43+F49</f>
        <v>0</v>
      </c>
      <c r="G54" s="38">
        <f>G24+G33+G43+G49</f>
        <v>0</v>
      </c>
      <c r="H54" s="39">
        <f>SUM(F54:G54)</f>
        <v>0</v>
      </c>
      <c r="I54" s="38">
        <f>I24+I33+I43+I49</f>
        <v>0</v>
      </c>
      <c r="J54" s="38">
        <f>J24+J33+J43+J49</f>
        <v>0</v>
      </c>
      <c r="K54" s="39">
        <f>SUM(I54:J54)</f>
        <v>0</v>
      </c>
    </row>
    <row r="55" spans="2:11" ht="15" customHeight="1" x14ac:dyDescent="0.25"/>
    <row r="56" spans="2:11" ht="15" customHeight="1" x14ac:dyDescent="0.25"/>
    <row r="57" spans="2:11" ht="17.25" customHeight="1" x14ac:dyDescent="0.25">
      <c r="F57" s="101" t="s">
        <v>691</v>
      </c>
      <c r="G57" s="102" t="s">
        <v>692</v>
      </c>
    </row>
    <row r="58" spans="2:11" s="6" customFormat="1" ht="19.5" customHeight="1" x14ac:dyDescent="0.35">
      <c r="E58" s="67" t="s">
        <v>693</v>
      </c>
      <c r="F58" s="98">
        <f>H24</f>
        <v>0</v>
      </c>
      <c r="G58" s="106">
        <f>K24</f>
        <v>0</v>
      </c>
    </row>
    <row r="59" spans="2:11" s="6" customFormat="1" ht="19.5" customHeight="1" x14ac:dyDescent="0.35">
      <c r="E59" s="103" t="s">
        <v>694</v>
      </c>
      <c r="F59" s="99">
        <f>H33</f>
        <v>0</v>
      </c>
      <c r="G59" s="107">
        <f>K33</f>
        <v>0</v>
      </c>
    </row>
    <row r="60" spans="2:11" s="6" customFormat="1" ht="19.5" customHeight="1" x14ac:dyDescent="0.35">
      <c r="E60" s="67" t="s">
        <v>695</v>
      </c>
      <c r="F60" s="99">
        <f>H43</f>
        <v>0</v>
      </c>
      <c r="G60" s="107">
        <f>K43</f>
        <v>0</v>
      </c>
    </row>
    <row r="61" spans="2:11" s="6" customFormat="1" ht="19.5" customHeight="1" x14ac:dyDescent="0.35">
      <c r="E61" s="67" t="s">
        <v>664</v>
      </c>
      <c r="F61" s="100">
        <f>H49</f>
        <v>0</v>
      </c>
      <c r="G61" s="108">
        <f>K49</f>
        <v>0</v>
      </c>
    </row>
  </sheetData>
  <sheetProtection algorithmName="SHA-512" hashValue="7b4qPXD07j8ts4QxstZTZIswuWeolJrtHvY8RxTyHu3lnfwjXlm2WZo0DQF+J1hTExL6RJSAFhLvshVHr7Q5OQ==" saltValue="I/8pbwe6PsxZu2+BeZOKlQ==" spinCount="100000" sheet="1" objects="1" scenarios="1"/>
  <mergeCells count="6">
    <mergeCell ref="B16:F16"/>
    <mergeCell ref="B2:K2"/>
    <mergeCell ref="B3:K3"/>
    <mergeCell ref="B4:K4"/>
    <mergeCell ref="B8:F8"/>
    <mergeCell ref="B12:F12"/>
  </mergeCells>
  <conditionalFormatting sqref="H42 K42">
    <cfRule type="iconSet" priority="42">
      <iconSet iconSet="5ArrowsGray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K33">
    <cfRule type="iconSet" priority="36">
      <iconSet iconSet="3ArrowsGray">
        <cfvo type="percent" val="0"/>
        <cfvo type="percent" val="33"/>
        <cfvo type="percent" val="67"/>
      </iconSet>
    </cfRule>
  </conditionalFormatting>
  <conditionalFormatting sqref="H50 K50">
    <cfRule type="iconSet" priority="33">
      <iconSet iconSet="3ArrowsGray">
        <cfvo type="percent" val="0"/>
        <cfvo type="percent" val="33"/>
        <cfvo type="percent" val="67"/>
      </iconSet>
    </cfRule>
  </conditionalFormatting>
  <conditionalFormatting sqref="H51 K51">
    <cfRule type="iconSet" priority="32">
      <iconSet iconSet="3ArrowsGray">
        <cfvo type="percent" val="0"/>
        <cfvo type="percent" val="33"/>
        <cfvo type="percent" val="67"/>
      </iconSet>
    </cfRule>
  </conditionalFormatting>
  <conditionalFormatting sqref="K54 H54">
    <cfRule type="iconSet" priority="24">
      <iconSet iconSet="5ArrowsGray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 K40">
    <cfRule type="iconSet" priority="68">
      <iconSet iconSet="5ArrowsGray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K32 H32">
    <cfRule type="iconSet" priority="20">
      <iconSet iconSet="3ArrowsGray">
        <cfvo type="percent" val="0"/>
        <cfvo type="percent" val="33"/>
        <cfvo type="percent" val="67"/>
      </iconSet>
    </cfRule>
  </conditionalFormatting>
  <conditionalFormatting sqref="H41 K41">
    <cfRule type="iconSet" priority="18">
      <iconSet iconSet="5ArrowsGray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25:H26 K25:K26">
    <cfRule type="iconSet" priority="111">
      <iconSet iconSet="3ArrowsGray">
        <cfvo type="percent" val="0"/>
        <cfvo type="percent" val="33"/>
        <cfvo type="percent" val="67"/>
      </iconSet>
    </cfRule>
  </conditionalFormatting>
  <conditionalFormatting sqref="H29:H32 K29:K32">
    <cfRule type="iconSet" priority="114">
      <iconSet iconSet="3ArrowsGray">
        <cfvo type="percent" val="0"/>
        <cfvo type="percent" val="33"/>
        <cfvo type="percent" val="67"/>
      </iconSet>
    </cfRule>
  </conditionalFormatting>
  <conditionalFormatting sqref="H30 K30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H31 K31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K24">
    <cfRule type="iconSet" priority="7">
      <iconSet iconSet="3ArrowsGray">
        <cfvo type="percent" val="0"/>
        <cfvo type="percent" val="33"/>
        <cfvo type="percent" val="67"/>
      </iconSet>
    </cfRule>
  </conditionalFormatting>
  <conditionalFormatting sqref="K39 H39">
    <cfRule type="iconSet" priority="121">
      <iconSet iconSet="5ArrowsGray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24 K24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H29 K29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H32 K32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H33 K33">
    <cfRule type="iconSet" priority="1">
      <iconSet iconSet="3Arrows">
        <cfvo type="percent" val="0"/>
        <cfvo type="percent" val="33"/>
        <cfvo type="percent" val="67"/>
      </iconSet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scale="61" orientation="portrait" horizontalDpi="360" verticalDpi="360" r:id="rId1"/>
  <ignoredErrors>
    <ignoredError sqref="B12" unlockedFormula="1"/>
    <ignoredError sqref="H54 K29 K30 K31" 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zoomScale="130" zoomScaleNormal="130" workbookViewId="0"/>
  </sheetViews>
  <sheetFormatPr baseColWidth="10" defaultColWidth="11.453125" defaultRowHeight="14.5" x14ac:dyDescent="0.35"/>
  <cols>
    <col min="1" max="1" width="11.453125" style="239"/>
    <col min="2" max="2" width="9.81640625" style="239" bestFit="1" customWidth="1"/>
    <col min="3" max="16384" width="11.453125" style="239"/>
  </cols>
  <sheetData>
    <row r="1" spans="1:14" x14ac:dyDescent="0.35">
      <c r="A1" s="239" t="s">
        <v>696</v>
      </c>
      <c r="B1" s="239" t="s">
        <v>697</v>
      </c>
    </row>
    <row r="2" spans="1:14" x14ac:dyDescent="0.35">
      <c r="A2" s="240">
        <v>0.1</v>
      </c>
      <c r="B2" s="239">
        <v>1</v>
      </c>
    </row>
    <row r="3" spans="1:14" x14ac:dyDescent="0.35">
      <c r="A3" s="240">
        <v>0.2</v>
      </c>
      <c r="B3" s="239">
        <v>1</v>
      </c>
    </row>
    <row r="4" spans="1:14" x14ac:dyDescent="0.35">
      <c r="A4" s="240">
        <v>0.3</v>
      </c>
      <c r="B4" s="239">
        <v>1</v>
      </c>
    </row>
    <row r="5" spans="1:14" x14ac:dyDescent="0.35">
      <c r="A5" s="240">
        <v>0.4</v>
      </c>
      <c r="B5" s="239">
        <v>1</v>
      </c>
    </row>
    <row r="6" spans="1:14" x14ac:dyDescent="0.35">
      <c r="A6" s="240">
        <v>0.5</v>
      </c>
      <c r="B6" s="239">
        <v>1</v>
      </c>
    </row>
    <row r="7" spans="1:14" x14ac:dyDescent="0.35">
      <c r="A7" s="240">
        <v>0.6</v>
      </c>
      <c r="B7" s="239">
        <v>1</v>
      </c>
    </row>
    <row r="8" spans="1:14" x14ac:dyDescent="0.35">
      <c r="A8" s="240">
        <v>0.7</v>
      </c>
      <c r="B8" s="239">
        <v>1</v>
      </c>
    </row>
    <row r="9" spans="1:14" x14ac:dyDescent="0.35">
      <c r="A9" s="240">
        <v>0.8</v>
      </c>
      <c r="B9" s="239">
        <v>1</v>
      </c>
    </row>
    <row r="10" spans="1:14" x14ac:dyDescent="0.35">
      <c r="A10" s="240">
        <v>0.9</v>
      </c>
      <c r="B10" s="239">
        <v>1</v>
      </c>
    </row>
    <row r="11" spans="1:14" x14ac:dyDescent="0.35">
      <c r="A11" s="240">
        <v>1</v>
      </c>
      <c r="B11" s="239">
        <f>SUM(B2:B10)</f>
        <v>9</v>
      </c>
    </row>
    <row r="14" spans="1:14" x14ac:dyDescent="0.35">
      <c r="A14" s="239" t="s">
        <v>698</v>
      </c>
      <c r="B14" s="240">
        <f>DOC!AB43</f>
        <v>-12.916666666666666</v>
      </c>
      <c r="E14" s="239" t="s">
        <v>698</v>
      </c>
      <c r="F14" s="240">
        <f>INV!Z31</f>
        <v>0</v>
      </c>
      <c r="I14" s="239" t="s">
        <v>698</v>
      </c>
      <c r="J14" s="240" t="e">
        <f>EXT!#REF!</f>
        <v>#REF!</v>
      </c>
      <c r="M14" s="239" t="s">
        <v>698</v>
      </c>
      <c r="N14" s="240" t="e">
        <f>COM!#REF!</f>
        <v>#REF!</v>
      </c>
    </row>
    <row r="15" spans="1:14" x14ac:dyDescent="0.35">
      <c r="A15" s="239" t="s">
        <v>699</v>
      </c>
      <c r="B15" s="241">
        <f>B14*PI()</f>
        <v>-40.578905108868156</v>
      </c>
      <c r="E15" s="239" t="s">
        <v>699</v>
      </c>
      <c r="F15" s="241">
        <f>F14*PI()</f>
        <v>0</v>
      </c>
      <c r="I15" s="239" t="s">
        <v>699</v>
      </c>
      <c r="J15" s="241" t="e">
        <f>J14*PI()</f>
        <v>#REF!</v>
      </c>
      <c r="M15" s="239" t="s">
        <v>699</v>
      </c>
      <c r="N15" s="241" t="e">
        <f>N14*PI()</f>
        <v>#REF!</v>
      </c>
    </row>
    <row r="17" spans="1:15" x14ac:dyDescent="0.35">
      <c r="A17" s="239" t="s">
        <v>700</v>
      </c>
      <c r="B17" s="242" t="s">
        <v>557</v>
      </c>
      <c r="C17" s="242" t="s">
        <v>701</v>
      </c>
      <c r="E17" s="239" t="s">
        <v>700</v>
      </c>
      <c r="F17" s="242" t="s">
        <v>557</v>
      </c>
      <c r="G17" s="242" t="s">
        <v>701</v>
      </c>
      <c r="I17" s="239" t="s">
        <v>700</v>
      </c>
      <c r="J17" s="242" t="s">
        <v>557</v>
      </c>
      <c r="K17" s="242" t="s">
        <v>701</v>
      </c>
      <c r="M17" s="239" t="s">
        <v>700</v>
      </c>
      <c r="N17" s="242" t="s">
        <v>557</v>
      </c>
      <c r="O17" s="242" t="s">
        <v>701</v>
      </c>
    </row>
    <row r="18" spans="1:15" x14ac:dyDescent="0.35">
      <c r="A18" s="239" t="s">
        <v>702</v>
      </c>
      <c r="B18" s="239">
        <v>0</v>
      </c>
      <c r="C18" s="239">
        <v>0</v>
      </c>
      <c r="E18" s="239" t="s">
        <v>702</v>
      </c>
      <c r="F18" s="239">
        <v>0</v>
      </c>
      <c r="G18" s="239">
        <v>0</v>
      </c>
      <c r="I18" s="239" t="s">
        <v>702</v>
      </c>
      <c r="J18" s="239">
        <v>0</v>
      </c>
      <c r="K18" s="239">
        <v>0</v>
      </c>
      <c r="M18" s="239" t="s">
        <v>702</v>
      </c>
      <c r="N18" s="239">
        <v>0</v>
      </c>
      <c r="O18" s="239">
        <v>0</v>
      </c>
    </row>
    <row r="19" spans="1:15" x14ac:dyDescent="0.35">
      <c r="A19" s="239" t="s">
        <v>703</v>
      </c>
      <c r="B19" s="239">
        <f>-(COS(B15))</f>
        <v>0.96592582628906654</v>
      </c>
      <c r="C19" s="239">
        <f>SIN(B15)</f>
        <v>-0.25881904510252718</v>
      </c>
      <c r="E19" s="239" t="s">
        <v>703</v>
      </c>
      <c r="F19" s="239">
        <f>-(COS(F15))</f>
        <v>-1</v>
      </c>
      <c r="G19" s="239">
        <f>SIN(F15)</f>
        <v>0</v>
      </c>
      <c r="I19" s="239" t="s">
        <v>703</v>
      </c>
      <c r="J19" s="239" t="e">
        <f>-(COS(J15))</f>
        <v>#REF!</v>
      </c>
      <c r="K19" s="239" t="e">
        <f>SIN(J15)</f>
        <v>#REF!</v>
      </c>
      <c r="M19" s="239" t="s">
        <v>703</v>
      </c>
      <c r="N19" s="239" t="e">
        <f>-(COS(N15))</f>
        <v>#REF!</v>
      </c>
      <c r="O19" s="239" t="e">
        <f>SIN(N15)</f>
        <v>#REF!</v>
      </c>
    </row>
  </sheetData>
  <sheetProtection algorithmName="SHA-512" hashValue="QvJuBybPE1cNoBgTOKXsGmt2qHUPKZYoNR03peX9BT05Q7ADXSRxZLXHRblbLZ+12bV8YbNKdmvTUlmz8Sm1xg==" saltValue="Add5a/WhltADrenK2BkY1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17</vt:i4>
      </vt:variant>
    </vt:vector>
  </HeadingPairs>
  <TitlesOfParts>
    <vt:vector size="30" baseType="lpstr">
      <vt:lpstr>Convencionales</vt:lpstr>
      <vt:lpstr>BaseSalarial</vt:lpstr>
      <vt:lpstr>INI</vt:lpstr>
      <vt:lpstr>ADM</vt:lpstr>
      <vt:lpstr>PRE</vt:lpstr>
      <vt:lpstr>POS</vt:lpstr>
      <vt:lpstr>DOC</vt:lpstr>
      <vt:lpstr>INV</vt:lpstr>
      <vt:lpstr>EXT</vt:lpstr>
      <vt:lpstr>COM</vt:lpstr>
      <vt:lpstr>M&amp;E</vt:lpstr>
      <vt:lpstr>RES</vt:lpstr>
      <vt:lpstr>velGrap</vt:lpstr>
      <vt:lpstr>_1_Misión_y_Proyecto_Educativo_Institucional</vt:lpstr>
      <vt:lpstr>_10_Bienestar_Institucional</vt:lpstr>
      <vt:lpstr>_11_Organización_Gestión_y_Administración</vt:lpstr>
      <vt:lpstr>_12_Recursos_de_apoyo_académico_e_infraestructura_física</vt:lpstr>
      <vt:lpstr>_13_Recursos_financieros</vt:lpstr>
      <vt:lpstr>_14_Aseguramiento_de_la_Calidad</vt:lpstr>
      <vt:lpstr>_2_Estudiantes</vt:lpstr>
      <vt:lpstr>_3_Talento_Humano</vt:lpstr>
      <vt:lpstr>_4_Profesores</vt:lpstr>
      <vt:lpstr>_5_Procesos_Académicos</vt:lpstr>
      <vt:lpstr>_6_Visibilidad_Nacional_e_Internacional</vt:lpstr>
      <vt:lpstr>_7_Investigación_y_Creación_Artística</vt:lpstr>
      <vt:lpstr>_8_Impacto_social</vt:lpstr>
      <vt:lpstr>_9_Autoevaluación_y_Autorregulación</vt:lpstr>
      <vt:lpstr>RES!Área_de_impresión</vt:lpstr>
      <vt:lpstr>OBE</vt:lpstr>
      <vt:lpstr>Objetivos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DIRECCION PLANEACION</cp:lastModifiedBy>
  <cp:revision/>
  <dcterms:created xsi:type="dcterms:W3CDTF">2017-10-05T15:20:21Z</dcterms:created>
  <dcterms:modified xsi:type="dcterms:W3CDTF">2023-10-11T16:46:00Z</dcterms:modified>
  <cp:category/>
  <cp:contentStatus/>
</cp:coreProperties>
</file>